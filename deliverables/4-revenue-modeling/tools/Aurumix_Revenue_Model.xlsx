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Parameters'!$B$16</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Parameters'!$B$51</definedName>
    <definedName name="atm_a3000">'Scenario Parameters'!$B$52</definedName>
    <definedName name="atm_a3000p">'Scenario Parameters'!$B$53</definedName>
    <definedName name="atm_a500">'Scenario Parameters'!$B$50</definedName>
    <definedName name="atm_allowance">Assumptions!$B$18</definedName>
    <definedName name="atm_fee">Assumptions!$B$19</definedName>
    <definedName name="atmm_a1500">'Scenario Parameters'!$B$55</definedName>
    <definedName name="atmm_a3000">'Scenario Parameters'!$B$56</definedName>
    <definedName name="atmm_a3000p">'Scenario Parameters'!$B$57</definedName>
    <definedName name="atmm_a500">'Scenario Parameters'!$B$54</definedName>
    <definedName name="aum_per_partner">'Scenario Parameters'!$B$79</definedName>
    <definedName name="aum_per_partner_user">'Scenario Parameters'!$B$78</definedName>
    <definedName name="b2b_fee">'Scenario Parameters'!$B$75</definedName>
    <definedName name="bar_grams">Assumptions!$B$10</definedName>
    <definedName name="benef_count">'Scenario Parameters'!$B$66</definedName>
    <definedName name="benef_fee">Assumptions!$B$26</definedName>
    <definedName name="cac_gulf">'Scenario Parameters'!$B$18</definedName>
    <definedName name="cac_india">'Scenario Parameters'!$B$19</definedName>
    <definedName name="cac_uae">'Scenario Parameters'!$B$17</definedName>
    <definedName name="card_activation">'Scenario Parameters'!$B$45</definedName>
    <definedName name="card_txns_per_draw">'Scenario Parameters'!$B$46</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Parameters'!$B$63</definedName>
    <definedName name="drawn_share">'Scenario Parameters'!$B$61</definedName>
    <definedName name="entry_fee">Assumptions!$B$8</definedName>
    <definedName name="ever_qualify">'Scenario Parameters'!$B$30</definedName>
    <definedName name="fab_premium">Assumptions!$B$9</definedName>
    <definedName name="facility_turnover">'Scenario Parameters'!$B$62</definedName>
    <definedName name="family_attach">'Scenario Parameters'!$B$64</definedName>
    <definedName name="family_churn">'Scenario Parameters'!$B$65</definedName>
    <definedName name="family_churn_m">'Scenario Parameters'!$B$67</definedName>
    <definedName name="family_price">Assumptions!$B$25</definedName>
    <definedName name="foreign_spend_share">'Scenario Parameters'!$B$47</definedName>
    <definedName name="fx_margin">Assumptions!$B$17</definedName>
    <definedName name="gate_run">Assumptions!$B$42</definedName>
    <definedName name="gold_cagr">'Scenario Parameters'!$B$10</definedName>
    <definedName name="gold_price">Assumptions!$B$6</definedName>
    <definedName name="ic_gold">Assumptions!$B$14</definedName>
    <definedName name="issuance_events">'Scenario Parameters'!$B$48</definedName>
    <definedName name="issuance_fee">Assumptions!$B$20</definedName>
    <definedName name="lapsed_redemption_mult">'Scenario Parameters'!$B$37</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Parameters'!$B$21</definedName>
    <definedName name="mktshare_india">'Scenario Parameters'!$B$22</definedName>
    <definedName name="mktshare_uae">'Scenario Parameters'!$B$20</definedName>
    <definedName name="monthly_churn">'Scenario Parameters'!$B$15</definedName>
    <definedName name="months_to_qualify">'Scenario Parameters'!$B$31</definedName>
    <definedName name="organic_share">'Scenario Parameters'!$B$25</definedName>
    <definedName name="origination_gross">Assumptions!$B$27</definedName>
    <definedName name="origination_share">Assumptions!$B$28</definedName>
    <definedName name="partner_adoption">'Scenario Parameters'!$B$77</definedName>
    <definedName name="partner_users">'Scenario Parameters'!$B$76</definedName>
    <definedName name="partners_y1">'Scenario Parameters'!$B$68</definedName>
    <definedName name="partners_y2">'Scenario Parameters'!$B$69</definedName>
    <definedName name="partners_y3">'Scenario Parameters'!$B$70</definedName>
    <definedName name="partners_y4">'Scenario Parameters'!$B$71</definedName>
    <definedName name="partners_y5">'Scenario Parameters'!$B$72</definedName>
    <definedName name="partners_y6">'Scenario Parameters'!$B$73</definedName>
    <definedName name="partners_y7">'Scenario Parameters'!$B$74</definedName>
    <definedName name="persistency_m13">'Scenario Parameters'!$B$14</definedName>
    <definedName name="pm_share">'Scenario Parameters'!$B$44</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Parameters'!$B$36</definedName>
    <definedName name="referral_conversion">'Scenario Parameters'!$B$24</definedName>
    <definedName name="referral_rate">'Scenario Parameters'!$B$23</definedName>
    <definedName name="replacement_events">'Scenario Parameters'!$B$49</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Parameters'!$B$26</definedName>
    <definedName name="self_custody_leakage">'Scenario Parameters'!$B$35</definedName>
    <definedName name="servicing_gross">Assumptions!$B$29</definedName>
    <definedName name="servicing_share">Assumptions!$B$30</definedName>
    <definedName name="sip_floor">Assumptions!$B$41</definedName>
    <definedName name="spot_attach_mult">'Scenario Parameters'!$B$38</definedName>
    <definedName name="spot_frequency">'Scenario Parameters'!$B$40</definedName>
    <definedName name="spot_ticket_mult">'Scenario Parameters'!$B$39</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Parameters'!$B$90</definedName>
    <definedName name="sw_prepaid_vs_credit">'Scenario Parameters'!$B$89</definedName>
    <definedName name="ticket_gulf">'Scenario Parameters'!$B$84</definedName>
    <definedName name="ticket_india">'Scenario Parameters'!$B$85</definedName>
    <definedName name="ticket_uae">'Scenario Parameters'!$B$83</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0" fontId="6" fillId="0" borderId="0" pivotButton="0" quotePrefix="0" xfId="0"/>
    <xf numFmtId="168"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0" fontId="3" fillId="0" borderId="0" pivotButton="0" quotePrefix="0" xfId="0"/>
    <xf numFmtId="168"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80"/>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at M1</t>
        </is>
      </c>
      <c r="B6" s="15" t="n">
        <v>141.46</v>
      </c>
      <c r="C6" t="inlineStr">
        <is>
          <t>USD/g</t>
        </is>
      </c>
      <c r="D6" t="inlineStr">
        <is>
          <t>USD 4,400/oz verified 2026-08-17. THE STARTING PRICE - it no longer holds for the whole horizon; see the appreciation rate below and the live 'Gold price (this period)' row on the Model.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50</v>
      </c>
      <c r="C25" t="inlineStr">
        <is>
          <t>USD/yr</t>
        </is>
      </c>
      <c r="D25" t="inlineStr">
        <is>
          <t>RE-PRICED 2026-08-21 from USD 120/yr. THE OLD PRICE WAS ABOVE TRUST &amp; WILL'S PREMIUM US MEMBERSHIP (USD 49/yr) AND WAS 33% OF EVERYTHING THE CUSTOMER SAVES IN A YEAR - a USD 30/month saver puts away USD 360, and we were charging 120 of it. THE INDUSTRY MODEL IS A ONE-OFF FEE PLUS A SMALL ANNUAL UPDATE LAYER, and it is the annual layer this row represents: Trust &amp; Will USD 199 one-off + USD 49/yr; Farewill GBP 100 + GBP 10/yr; Epilogue C$139 with NO subscription at all; other platforms renew updates at ~C$4.50/yr. Formal UAE will registration is a different product entirely and one-off - DIFC AED 10,000 single / 15,000 mirror, Abu Dhabi Civil Court AED 950 as the cheapest formal route. Indian online wills run INR 500-4,000 basic. Family add-ons on finance apps are usually BUNDLED FREE; where charged it is USD 5-15/month for a WHOLE HOUSEHOLD (Monarch 99.99/yr, Zeta 59.99/yr, Greenlight 5.99/mo). SET AT USD 50/yr, client instruction 2026-08-21. That is essentially TRUST &amp; WILL'S USD 49/yr MEMBERSHIP - a defensible anchor in that it matches the best-known product in the category, but NOTE WHOSE PRODUCT IT IS: Trust &amp; Will sells to US customers who paid 199-599 up front for an estate plan, not to a migrant worker saving USD 30 a month. At 50 the plan is 14% OF EVERYTHING THE CUSTOMER SAVES IN A YEAR, against 10% at 36 and 33% at the original 120. It is no longer absurd, but it is priced at a developed-market benchmark for an emerging-market customer, and that is the line an adviser would push on. A ONE-OFF SETUP FEE IS NOT MODELLED - if the client wants the full industry structure, that is a second row, not a bigger number here. CITED comparators, ASSUMPTION on the point in the range.</t>
        </is>
      </c>
    </row>
    <row r="26">
      <c r="A26" t="inlineStr">
        <is>
          <t>Additional beneficiary fee</t>
        </is>
      </c>
      <c r="B26" s="20" t="n">
        <v>6</v>
      </c>
      <c r="C26" t="inlineStr">
        <is>
          <t>USD/yr each</t>
        </is>
      </c>
      <c r="D26" t="inlineStr">
        <is>
          <t>ADDED 2026-08-21, client instruction. Charged per named beneficiary BEYOND THE FIRST, which the plan includes - the standard shape for this kind of add-on, and the reason the formula carries a MAX(0, n-1) rather than charging every beneficiary. NO COMPARABLE EXISTS: will services price PER WILL, not per beneficiary. DIFC charges more for a MIRROR will (two people) and more again for guardianship, but nobody publishes a per-beneficiary tariff. So this is priced on COST RECOVERY, which is the defensible basis available: every named beneficiary needs identity capture and AML screening, and Sumsub screening already sits in this model at ~USD 1.85 per check in the redemption cost memo. USD 6/yr covers that with margin without becoming a second subscription. DELIBERATELY SMALL. At 1.5 chargeable beneficiaries it adds USD 9/yr to a USD 50 plan - an 18% uplift on a stream worth ~3.5% of revenue, so it cannot move the model and should not be tuned to try. ASSUMPTION on a cost-recovery basis.</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0.35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NO PUBLISHED BENCHMARK EXISTS - confirmed negative.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0.1</v>
      </c>
      <c r="G78" s="29" t="n">
        <v>0.1</v>
      </c>
      <c r="H78" s="29" t="n">
        <v>0.06</v>
      </c>
      <c r="I78" s="29" t="n">
        <v>0.01</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8</v>
      </c>
      <c r="C93" t="inlineStr">
        <is>
          <t>agents</t>
        </is>
      </c>
      <c r="D93"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4">
      <c r="A94" t="inlineStr">
        <is>
          <t>Active agents - Y2</t>
        </is>
      </c>
      <c r="B94" s="17" t="n">
        <v>23</v>
      </c>
      <c r="C94" t="inlineStr">
        <is>
          <t>agents</t>
        </is>
      </c>
      <c r="D94"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5">
      <c r="A95" t="inlineStr">
        <is>
          <t>Active agents - Y3</t>
        </is>
      </c>
      <c r="B95" s="17" t="n">
        <v>60</v>
      </c>
      <c r="C95" t="inlineStr">
        <is>
          <t>agents</t>
        </is>
      </c>
      <c r="D95"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6">
      <c r="A96" t="inlineStr">
        <is>
          <t>Active agents - Y4</t>
        </is>
      </c>
      <c r="B96" s="17" t="n">
        <v>90</v>
      </c>
      <c r="C96" t="inlineStr">
        <is>
          <t>agents</t>
        </is>
      </c>
      <c r="D96"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7">
      <c r="A97" t="inlineStr">
        <is>
          <t>Active agents - Y5</t>
        </is>
      </c>
      <c r="B97" s="17" t="n">
        <v>135</v>
      </c>
      <c r="C97" t="inlineStr">
        <is>
          <t>agents</t>
        </is>
      </c>
      <c r="D97"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8">
      <c r="A98" t="inlineStr">
        <is>
          <t>Active agents - Y6</t>
        </is>
      </c>
      <c r="B98" s="17" t="n">
        <v>159</v>
      </c>
      <c r="C98" t="inlineStr">
        <is>
          <t>agents</t>
        </is>
      </c>
      <c r="D98"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99">
      <c r="A99" t="inlineStr">
        <is>
          <t>Active agents - Y7</t>
        </is>
      </c>
      <c r="B99" s="17" t="n">
        <v>186</v>
      </c>
      <c r="C99" t="inlineStr">
        <is>
          <t>agents</t>
        </is>
      </c>
      <c r="D99" t="inlineStr">
        <is>
          <t>RAISED 50% on 2026-08-21. A STOCK, NOT A FLOW: at 45% attrition, holding 186 active needs ~84 recruits a year just to stand still, and reaching 186 from 8 means recruiting and training several hundred people over seven years. COMPOUNDS WITH AGENT PRODUCTIVITY, raised from 4 to 6 the same day - together they are 2.25x the agent output the model carried this morning. AND IT IS A COST THIS MODEL CANNOT SEE: agents are paid, and the salesforce is now 45% UAE / 10% Oman &amp; Bahrain / 45% India, where a Dubai salesperson and an Indian commission agent are not remotely the same expense. CLIENT INPUT.</t>
        </is>
      </c>
    </row>
    <row r="100">
      <c r="A100" t="inlineStr">
        <is>
          <t>Marketing spend - Y1</t>
        </is>
      </c>
      <c r="B100" s="20" t="n">
        <v>90000</v>
      </c>
      <c r="C100" t="inlineStr">
        <is>
          <t>USD/yr</t>
        </is>
      </c>
      <c r="D100"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1">
      <c r="A101" t="inlineStr">
        <is>
          <t>Marketing spend - Y2</t>
        </is>
      </c>
      <c r="B101" s="20" t="n">
        <v>270000</v>
      </c>
      <c r="C101" t="inlineStr">
        <is>
          <t>USD/yr</t>
        </is>
      </c>
      <c r="D101"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2">
      <c r="A102" t="inlineStr">
        <is>
          <t>Marketing spend - Y3</t>
        </is>
      </c>
      <c r="B102" s="20" t="n">
        <v>375000</v>
      </c>
      <c r="C102" t="inlineStr">
        <is>
          <t>USD/yr</t>
        </is>
      </c>
      <c r="D102"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3">
      <c r="A103" t="inlineStr">
        <is>
          <t>Marketing spend - Y4</t>
        </is>
      </c>
      <c r="B103" s="20" t="n">
        <v>600000</v>
      </c>
      <c r="C103" t="inlineStr">
        <is>
          <t>USD/yr</t>
        </is>
      </c>
      <c r="D103"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4">
      <c r="A104" t="inlineStr">
        <is>
          <t>Marketing spend - Y5</t>
        </is>
      </c>
      <c r="B104" s="20" t="n">
        <v>900000</v>
      </c>
      <c r="C104" t="inlineStr">
        <is>
          <t>USD/yr</t>
        </is>
      </c>
      <c r="D104"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5">
      <c r="A105" t="inlineStr">
        <is>
          <t>Marketing spend - Y6</t>
        </is>
      </c>
      <c r="B105" s="20" t="n">
        <v>1275000</v>
      </c>
      <c r="C105" t="inlineStr">
        <is>
          <t>USD/yr</t>
        </is>
      </c>
      <c r="D105"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6">
      <c r="A106" t="inlineStr">
        <is>
          <t>Marketing spend - Y7</t>
        </is>
      </c>
      <c r="B106" s="20" t="n">
        <v>1650000</v>
      </c>
      <c r="C106" t="inlineStr">
        <is>
          <t>USD/yr</t>
        </is>
      </c>
      <c r="D106" t="inlineStr">
        <is>
          <t>RAISED 50% on 2026-08-21, client instruction. A DECISION VARIABLE and an input to acquisition, not an output of a cost table. THE SINGLE LARGEST LEVER IN THE MODEL AND THE ONLY ONE THAT IS PURELY A SPENDING CHOICE: measured sensitivity puts +50% here at +28.5% customers and +29.3% gold. IT IS ALSO THE ONE THE REVENUE-ONLY SCOPE FLATTERS MOST. This model has no cost side yet, so an extra USD 1.9m of marketing across the horizon appears here as pure upside. It is not - it is USD 1.9m of spend, and whether it is worth making is a question only the cost build can answer. DO NOT PRESENT THE UPLIFT FROM THIS ROW AS PROFIT.</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Gold price appreciation</t>
        </is>
      </c>
      <c r="B120" s="33">
        <f>'Scenario Parameters'!$B$10</f>
        <v/>
      </c>
      <c r="C120" t="inlineStr">
        <is>
          <t>%/yr</t>
        </is>
      </c>
      <c r="D120"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1">
      <c r="A121" t="inlineStr">
        <is>
          <t>Persistency - customers still paying after 12 months</t>
        </is>
      </c>
      <c r="B121" s="34">
        <f>'Scenario Parameters'!$B$14</f>
        <v/>
      </c>
      <c r="C121" t="inlineStr">
        <is>
          <t>%</t>
        </is>
      </c>
      <c r="D121"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2">
      <c r="A122" t="inlineStr">
        <is>
          <t>Monthly churn rate (derived)</t>
        </is>
      </c>
      <c r="B122" s="33">
        <f>'Scenario Parameters'!$B$15</f>
        <v/>
      </c>
      <c r="C122" t="inlineStr">
        <is>
          <t>%/month</t>
        </is>
      </c>
      <c r="D122" t="inlineStr">
        <is>
          <t>DERIVED, not typed: the monthly rate that reproduces the persistency above over twelve months. Change persistency and this follows. Base 55% implies ~4.9%/month.</t>
        </is>
      </c>
    </row>
    <row r="123">
      <c r="A123" t="inlineStr">
        <is>
          <t>Agent productivity</t>
        </is>
      </c>
      <c r="B123" s="35">
        <f>'Scenario Parameters'!$B$16</f>
        <v/>
      </c>
      <c r="C123" t="inlineStr">
        <is>
          <t>accounts/agent/month</t>
        </is>
      </c>
      <c r="D123"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24">
      <c r="A124" t="inlineStr">
        <is>
          <t>Marketing CAC - UAE</t>
        </is>
      </c>
      <c r="B124" s="36">
        <f>'Scenario Parameters'!$B$17</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5">
      <c r="A125" t="inlineStr">
        <is>
          <t>Marketing CAC - Oman and Bahrain</t>
        </is>
      </c>
      <c r="B125" s="36">
        <f>'Scenario Parameters'!$B$18</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6">
      <c r="A126" t="inlineStr">
        <is>
          <t>Marketing CAC - India</t>
        </is>
      </c>
      <c r="B126" s="36">
        <f>'Scenario Parameters'!$B$19</f>
        <v/>
      </c>
      <c r="C126" t="inlineStr">
        <is>
          <t>USD per customer</t>
        </is>
      </c>
      <c r="D126"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27">
      <c r="A127" t="inlineStr">
        <is>
          <t>Marketing spend share - UAE</t>
        </is>
      </c>
      <c r="B127" s="34">
        <f>'Scenario Parameters'!$B$20</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Oman and Bahrain</t>
        </is>
      </c>
      <c r="B128" s="34">
        <f>'Scenario Parameters'!$B$21</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Marketing spend share - India</t>
        </is>
      </c>
      <c r="B129" s="34">
        <f>'Scenario Parameters'!$B$22</f>
        <v/>
      </c>
      <c r="C129" t="inlineStr">
        <is>
          <t>% of budget</t>
        </is>
      </c>
      <c r="D129" t="inlineStr">
        <is>
          <t>How the marketing budget is split across markets. Defaults to each region's share of the addressable ceiling, so spend follows the opportunity. Does not vary by scenario - it is a management decision, not an uncertainty. Must sum to 100%.</t>
        </is>
      </c>
    </row>
    <row r="130">
      <c r="A130" t="inlineStr">
        <is>
          <t>Referral rate</t>
        </is>
      </c>
      <c r="B130" s="35">
        <f>'Scenario Parameters'!$B$23</f>
        <v/>
      </c>
      <c r="C130" t="inlineStr">
        <is>
          <t>referrals/customer/yr</t>
        </is>
      </c>
      <c r="D130"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131">
      <c r="A131" t="inlineStr">
        <is>
          <t>Referral conversion</t>
        </is>
      </c>
      <c r="B131" s="34">
        <f>'Scenario Parameters'!$B$24</f>
        <v/>
      </c>
      <c r="C131" t="inlineStr">
        <is>
          <t>%</t>
        </is>
      </c>
      <c r="D131" t="inlineStr">
        <is>
          <t>The M7 survival of the referred cohort, uplifted ~1.1x. DERIVED.</t>
        </is>
      </c>
    </row>
    <row r="132">
      <c r="A132" t="inlineStr">
        <is>
          <t>Organic share of direct</t>
        </is>
      </c>
      <c r="B132" s="34">
        <f>'Scenario Parameters'!$B$25</f>
        <v/>
      </c>
      <c r="C132" t="inlineStr">
        <is>
          <t>% of direct</t>
        </is>
      </c>
      <c r="D132"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133">
      <c r="A133" t="inlineStr">
        <is>
          <t>Seasonality amplitude</t>
        </is>
      </c>
      <c r="B133" s="35">
        <f>'Scenario Parameters'!$B$26</f>
        <v/>
      </c>
      <c r="C133" t="inlineStr">
        <is>
          <t>x deviation from 1.0</t>
        </is>
      </c>
      <c r="D133" t="inlineStr">
        <is>
          <t>Festival TIMING is sourced; how hard a Dubai savings signup responds to Dhanteras is the open question. Applied to the deviation from 1.0, then renormalised, so the vectors stay at exactly 12.000.</t>
        </is>
      </c>
    </row>
    <row r="134">
      <c r="A134" t="inlineStr">
        <is>
          <t>Customers who EVER clear the six-payment gate</t>
        </is>
      </c>
      <c r="B134" s="34">
        <f>'Scenario Parameters'!$B$30</f>
        <v/>
      </c>
      <c r="C134" t="inlineStr">
        <is>
          <t>% of customers</t>
        </is>
      </c>
      <c r="D134"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5">
      <c r="A135" t="inlineStr">
        <is>
          <t>Average months to clear the gate</t>
        </is>
      </c>
      <c r="B135" s="37">
        <f>'Scenario Parameters'!$B$31</f>
        <v/>
      </c>
      <c r="C135" t="inlineStr">
        <is>
          <t>months</t>
        </is>
      </c>
      <c r="D135"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6">
      <c r="A136" t="inlineStr">
        <is>
          <t>Gold moved out of Aurumix's control</t>
        </is>
      </c>
      <c r="B136" s="34">
        <f>'Scenario Parameters'!$B$35</f>
        <v/>
      </c>
      <c r="C136" t="inlineStr">
        <is>
          <t>% of AUM/yr</t>
        </is>
      </c>
      <c r="D136"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137">
      <c r="A137" t="inlineStr">
        <is>
          <t>Redemption rate</t>
        </is>
      </c>
      <c r="B137" s="34">
        <f>'Scenario Parameters'!$B$36</f>
        <v/>
      </c>
      <c r="C137" t="inlineStr">
        <is>
          <t>% of AUM/yr</t>
        </is>
      </c>
      <c r="D137"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138">
      <c r="A138" t="inlineStr">
        <is>
          <t>Holder redemption multiplier</t>
        </is>
      </c>
      <c r="B138" s="35">
        <f>'Scenario Parameters'!$B$37</f>
        <v/>
      </c>
      <c r="C138" t="inlineStr">
        <is>
          <t>x the paying rate</t>
        </is>
      </c>
      <c r="D138"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139">
      <c r="A139" t="inlineStr">
        <is>
          <t>Spot attach scenario multiplier</t>
        </is>
      </c>
      <c r="B139" s="35">
        <f>'Scenario Parameters'!$B$38</f>
        <v/>
      </c>
      <c r="C139" t="inlineStr">
        <is>
          <t>x the regional attach</t>
        </is>
      </c>
      <c r="D13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40">
      <c r="A140" t="inlineStr">
        <is>
          <t>Spot ticket scenario multiplier</t>
        </is>
      </c>
      <c r="B140" s="35">
        <f>'Scenario Parameters'!$B$39</f>
        <v/>
      </c>
      <c r="C140" t="inlineStr">
        <is>
          <t>x the observed ticket</t>
        </is>
      </c>
      <c r="D140"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1">
      <c r="A141" t="inlineStr">
        <is>
          <t>Spot frequency</t>
        </is>
      </c>
      <c r="B141" s="35">
        <f>'Scenario Parameters'!$B$40</f>
        <v/>
      </c>
      <c r="C141" t="inlineStr">
        <is>
          <t>events/attacher/yr</t>
        </is>
      </c>
      <c r="D141"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2">
      <c r="A142" t="inlineStr">
        <is>
          <t>Programme manager share of interchange</t>
        </is>
      </c>
      <c r="B142" s="34">
        <f>'Scenario Parameters'!$B$44</f>
        <v/>
      </c>
      <c r="C142" t="inlineStr">
        <is>
          <t>%</t>
        </is>
      </c>
      <c r="D142" t="inlineStr">
        <is>
          <t>SIZES THE LARGEST STREAM. No UAE/MENA figure is published. FLOOR IS 36% - take that into the sponsor conversation as the walk-away. TRIANGULATED.</t>
        </is>
      </c>
    </row>
    <row r="143">
      <c r="A143" t="inlineStr">
        <is>
          <t>Facility take-up - customers who take AND use the card</t>
        </is>
      </c>
      <c r="B143" s="34">
        <f>'Scenario Parameters'!$B$45</f>
        <v/>
      </c>
      <c r="C143" t="inlineStr">
        <is>
          <t>% of gate-cleared</t>
        </is>
      </c>
      <c r="D143"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144">
      <c r="A144" t="inlineStr">
        <is>
          <t>Transactions per drawdown event</t>
        </is>
      </c>
      <c r="B144" s="37">
        <f>'Scenario Parameters'!$B$46</f>
        <v/>
      </c>
      <c r="C144" t="inlineStr">
        <is>
          <t>transactions/draw</t>
        </is>
      </c>
      <c r="D144"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5">
      <c r="A145" t="inlineStr">
        <is>
          <t>Foreign spend share (mean)</t>
        </is>
      </c>
      <c r="B145" s="34">
        <f>'Scenario Parameters'!$B$47</f>
        <v/>
      </c>
      <c r="C145" t="inlineStr">
        <is>
          <t>% of card spend</t>
        </is>
      </c>
      <c r="D145" t="inlineStr">
        <is>
          <t>Applied through the seasonal vector, not as a constant. ASSUMPTION.</t>
        </is>
      </c>
    </row>
    <row r="146">
      <c r="A146" t="inlineStr">
        <is>
          <t>Card issuance events</t>
        </is>
      </c>
      <c r="B146" s="35">
        <f>'Scenario Parameters'!$B$48</f>
        <v/>
      </c>
      <c r="C146" t="inlineStr">
        <is>
          <t>events/card/yr</t>
        </is>
      </c>
      <c r="D146" t="inlineStr">
        <is>
          <t>1.00 at activation plus reissues - a tier upgrade forces a physical reissue. ASSUMPTION.</t>
        </is>
      </c>
    </row>
    <row r="147">
      <c r="A147" t="inlineStr">
        <is>
          <t>Card replacement events</t>
        </is>
      </c>
      <c r="B147" s="35">
        <f>'Scenario Parameters'!$B$49</f>
        <v/>
      </c>
      <c r="C147" t="inlineStr">
        <is>
          <t>events/card/yr</t>
        </is>
      </c>
      <c r="D147" t="inlineStr">
        <is>
          <t>Industry-normal loss/theft/damage is 8-15% annually. ASSUMPTION.</t>
        </is>
      </c>
    </row>
    <row r="148">
      <c r="A148" t="inlineStr">
        <is>
          <t>ATM AED 0-500 - share of cardholders</t>
        </is>
      </c>
      <c r="B148" s="34">
        <f>'Scenario Parameters'!$B$50</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500-1,500 - share of cardholders</t>
        </is>
      </c>
      <c r="B149" s="34">
        <f>'Scenario Parameters'!$B$51</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1,500-3,000 - share of cardholders</t>
        </is>
      </c>
      <c r="B150" s="34">
        <f>'Scenario Parameters'!$B$52</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3,000+ - share of cardholders</t>
        </is>
      </c>
      <c r="B151" s="34">
        <f>'Scenario Parameters'!$B$53</f>
        <v/>
      </c>
      <c r="C151" t="inlineStr">
        <is>
          <t>%</t>
        </is>
      </c>
      <c r="D151"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2">
      <c r="A152" t="inlineStr">
        <is>
          <t>ATM AED 0-500 - midpoint draw</t>
        </is>
      </c>
      <c r="B152" s="37">
        <f>'Scenario Parameters'!$B$54</f>
        <v/>
      </c>
      <c r="C152" t="inlineStr">
        <is>
          <t>AED/month</t>
        </is>
      </c>
      <c r="D152" t="inlineStr">
        <is>
          <t>Raising the allowance at the top tier waives revenue from only the top ~3% of cardholders.</t>
        </is>
      </c>
    </row>
    <row r="153">
      <c r="A153" t="inlineStr">
        <is>
          <t>ATM AED 500-1,500 - midpoint draw</t>
        </is>
      </c>
      <c r="B153" s="37">
        <f>'Scenario Parameters'!$B$55</f>
        <v/>
      </c>
      <c r="C153" t="inlineStr">
        <is>
          <t>AED/month</t>
        </is>
      </c>
      <c r="D153" t="inlineStr">
        <is>
          <t>Raising the allowance at the top tier waives revenue from only the top ~3% of cardholders.</t>
        </is>
      </c>
    </row>
    <row r="154">
      <c r="A154" t="inlineStr">
        <is>
          <t>ATM AED 1,500-3,000 - midpoint draw</t>
        </is>
      </c>
      <c r="B154" s="37">
        <f>'Scenario Parameters'!$B$56</f>
        <v/>
      </c>
      <c r="C154" t="inlineStr">
        <is>
          <t>AED/month</t>
        </is>
      </c>
      <c r="D154" t="inlineStr">
        <is>
          <t>Raising the allowance at the top tier waives revenue from only the top ~3% of cardholders.</t>
        </is>
      </c>
    </row>
    <row r="155">
      <c r="A155" t="inlineStr">
        <is>
          <t>ATM AED 3,000+ - midpoint draw</t>
        </is>
      </c>
      <c r="B155" s="37">
        <f>'Scenario Parameters'!$B$57</f>
        <v/>
      </c>
      <c r="C155" t="inlineStr">
        <is>
          <t>AED/month</t>
        </is>
      </c>
      <c r="D155" t="inlineStr">
        <is>
          <t>Raising the allowance at the top tier waives revenue from only the top ~3% of cardholders.</t>
        </is>
      </c>
    </row>
    <row r="156">
      <c r="A156" t="inlineStr">
        <is>
          <t>Drawn as % of permitted limit</t>
        </is>
      </c>
      <c r="B156" s="34">
        <f>'Scenario Parameters'!$B$61</f>
        <v/>
      </c>
      <c r="C156" t="inlineStr">
        <is>
          <t>%</t>
        </is>
      </c>
      <c r="D156" t="inlineStr">
        <is>
          <t>Revolving facilities draw 40-55% of permitted. This now drives CARD SPEND as well as the loan balance, because the card is the drawdown mechanism. TRIANGULATED.</t>
        </is>
      </c>
    </row>
    <row r="157">
      <c r="A157" t="inlineStr">
        <is>
          <t>Facility turnover, peak -&gt; average</t>
        </is>
      </c>
      <c r="B157" s="35">
        <f>'Scenario Parameters'!$B$62</f>
        <v/>
      </c>
      <c r="C157" t="inlineStr">
        <is>
          <t>x peak drawn</t>
        </is>
      </c>
      <c r="D157" t="inlineStr">
        <is>
          <t>AN ARITHMETIC CORRECTION, not a sensitivity, derived from Manappuram's 71-day realised tenor. It cuts the lending stream by 1.88x. DERIVED.</t>
        </is>
      </c>
    </row>
    <row r="158">
      <c r="A158" t="inlineStr">
        <is>
          <t>Draw events per borrower per year</t>
        </is>
      </c>
      <c r="B158" s="35">
        <f>'Scenario Parameters'!$B$63</f>
        <v/>
      </c>
      <c r="C158" t="inlineStr">
        <is>
          <t>events/yr</t>
        </is>
      </c>
      <c r="D158" t="inlineStr">
        <is>
          <t>MOVES WITH facility turnover - do not flex independently. DERIVED.</t>
        </is>
      </c>
    </row>
    <row r="159">
      <c r="A159" t="inlineStr">
        <is>
          <t>Family plan attach rate</t>
        </is>
      </c>
      <c r="B159" s="34">
        <f>'Scenario Parameters'!$B$64</f>
        <v/>
      </c>
      <c r="C159" t="inlineStr">
        <is>
          <t>% of NEW customers</t>
        </is>
      </c>
      <c r="D15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160">
      <c r="A160" t="inlineStr">
        <is>
          <t>Family plan cancellation rate (incremental)</t>
        </is>
      </c>
      <c r="B160" s="34">
        <f>'Scenario Parameters'!$B$65</f>
        <v/>
      </c>
      <c r="C160" t="inlineStr">
        <is>
          <t>%/yr</t>
        </is>
      </c>
      <c r="D160"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161">
      <c r="A161" t="inlineStr">
        <is>
          <t>Beneficiaries named per plan</t>
        </is>
      </c>
      <c r="B161" s="35">
        <f>'Scenario Parameters'!$B$66</f>
        <v/>
      </c>
      <c r="C161" t="inlineStr">
        <is>
          <t>beneficiaries</t>
        </is>
      </c>
      <c r="D161"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162">
      <c r="A162" t="inlineStr">
        <is>
          <t>Family plan monthly churn, combined (derived)</t>
        </is>
      </c>
      <c r="B162" s="33">
        <f>'Scenario Parameters'!$B$67</f>
        <v/>
      </c>
      <c r="C162" t="inlineStr">
        <is>
          <t>%/month</t>
        </is>
      </c>
      <c r="D162"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163">
      <c r="A163" t="inlineStr">
        <is>
          <t>B2B partners - Y1</t>
        </is>
      </c>
      <c r="B163" s="37">
        <f>'Scenario Parameters'!$B$68</f>
        <v/>
      </c>
      <c r="C163" t="inlineStr">
        <is>
          <t>partners</t>
        </is>
      </c>
      <c r="D163"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4">
      <c r="A164" t="inlineStr">
        <is>
          <t>B2B partners - Y2</t>
        </is>
      </c>
      <c r="B164" s="37">
        <f>'Scenario Parameters'!$B$69</f>
        <v/>
      </c>
      <c r="C164" t="inlineStr">
        <is>
          <t>partners</t>
        </is>
      </c>
      <c r="D164"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5">
      <c r="A165" t="inlineStr">
        <is>
          <t>B2B partners - Y3</t>
        </is>
      </c>
      <c r="B165" s="37">
        <f>'Scenario Parameters'!$B$70</f>
        <v/>
      </c>
      <c r="C165" t="inlineStr">
        <is>
          <t>partners</t>
        </is>
      </c>
      <c r="D165"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6">
      <c r="A166" t="inlineStr">
        <is>
          <t>B2B partners - Y4</t>
        </is>
      </c>
      <c r="B166" s="37">
        <f>'Scenario Parameters'!$B$71</f>
        <v/>
      </c>
      <c r="C166" t="inlineStr">
        <is>
          <t>partners</t>
        </is>
      </c>
      <c r="D166"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7">
      <c r="A167" t="inlineStr">
        <is>
          <t>B2B partners - Y5</t>
        </is>
      </c>
      <c r="B167" s="37">
        <f>'Scenario Parameters'!$B$72</f>
        <v/>
      </c>
      <c r="C167" t="inlineStr">
        <is>
          <t>partners</t>
        </is>
      </c>
      <c r="D167"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8">
      <c r="A168" t="inlineStr">
        <is>
          <t>B2B partners - Y6</t>
        </is>
      </c>
      <c r="B168" s="37">
        <f>'Scenario Parameters'!$B$73</f>
        <v/>
      </c>
      <c r="C168" t="inlineStr">
        <is>
          <t>partners</t>
        </is>
      </c>
      <c r="D168"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69">
      <c r="A169" t="inlineStr">
        <is>
          <t>B2B partners - Y7</t>
        </is>
      </c>
      <c r="B169" s="37">
        <f>'Scenario Parameters'!$B$74</f>
        <v/>
      </c>
      <c r="C169" t="inlineStr">
        <is>
          <t>partners</t>
        </is>
      </c>
      <c r="D16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170">
      <c r="A170" t="inlineStr">
        <is>
          <t>B2B platform fee</t>
        </is>
      </c>
      <c r="B170" s="33">
        <f>'Scenario Parameters'!$B$75</f>
        <v/>
      </c>
      <c r="C170" t="inlineStr">
        <is>
          <t>% of partner AUM/yr</t>
        </is>
      </c>
      <c r="D170"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171">
      <c r="A171" t="inlineStr">
        <is>
          <t>Average partner user base</t>
        </is>
      </c>
      <c r="B171" s="37">
        <f>'Scenario Parameters'!$B$76</f>
        <v/>
      </c>
      <c r="C171" t="inlineStr">
        <is>
          <t>active users</t>
        </is>
      </c>
      <c r="D171"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172">
      <c r="A172" t="inlineStr">
        <is>
          <t>Partner users adopting gold (mature)</t>
        </is>
      </c>
      <c r="B172" s="34">
        <f>'Scenario Parameters'!$B$77</f>
        <v/>
      </c>
      <c r="C172" t="inlineStr">
        <is>
          <t>% of partner users</t>
        </is>
      </c>
      <c r="D172"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173">
      <c r="A173" t="inlineStr">
        <is>
          <t>AUM per adopting partner user</t>
        </is>
      </c>
      <c r="B173" s="36">
        <f>'Scenario Parameters'!$B$78</f>
        <v/>
      </c>
      <c r="C173" t="inlineStr">
        <is>
          <t>USD</t>
        </is>
      </c>
      <c r="D173"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174">
      <c r="A174" t="inlineStr">
        <is>
          <t>AUM per partner (derived)</t>
        </is>
      </c>
      <c r="B174" s="36">
        <f>'Scenario Parameters'!$B$79</f>
        <v/>
      </c>
      <c r="C174" t="inlineStr">
        <is>
          <t>USD</t>
        </is>
      </c>
      <c r="D174"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175">
      <c r="A175" t="inlineStr">
        <is>
          <t>Average monthly ticket - UAE</t>
        </is>
      </c>
      <c r="B175" s="36">
        <f>'Scenario Parameters'!$B$83</f>
        <v/>
      </c>
      <c r="C175" t="inlineStr">
        <is>
          <t>USD/month</t>
        </is>
      </c>
      <c r="D175"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6">
      <c r="A176" t="inlineStr">
        <is>
          <t>Average monthly ticket - Oman and Bahrain</t>
        </is>
      </c>
      <c r="B176" s="36">
        <f>'Scenario Parameters'!$B$84</f>
        <v/>
      </c>
      <c r="C176" t="inlineStr">
        <is>
          <t>USD/month</t>
        </is>
      </c>
      <c r="D176"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7">
      <c r="A177" t="inlineStr">
        <is>
          <t>Average monthly ticket - India</t>
        </is>
      </c>
      <c r="B177" s="36">
        <f>'Scenario Parameters'!$B$85</f>
        <v/>
      </c>
      <c r="C177" t="inlineStr">
        <is>
          <t>USD/month</t>
        </is>
      </c>
      <c r="D17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8">
      <c r="A178" t="inlineStr">
        <is>
          <t>Prepaid instead of credit</t>
        </is>
      </c>
      <c r="B178" s="37">
        <f>'Scenario Parameters'!$B$89</f>
        <v/>
      </c>
      <c r="C178" t="inlineStr">
        <is>
          <t>1/0 switch</t>
        </is>
      </c>
      <c r="D178" t="inlineStr">
        <is>
          <t>ON (Prepaid) caps interchange at 1.00% and removes the credit stream entirely. 'NOT A PRODUCT CHOICE, IT IS THE BUSINESS MODEL.' Worth ~USD 2.3m of Y10 revenue on the ten-year run.</t>
        </is>
      </c>
    </row>
    <row r="179">
      <c r="A179" t="inlineStr">
        <is>
          <t>Holders keep the card</t>
        </is>
      </c>
      <c r="B179" s="37">
        <f>'Scenario Parameters'!$B$90</f>
        <v/>
      </c>
      <c r="C179" t="inlineStr">
        <is>
          <t>1/0 switch</t>
        </is>
      </c>
      <c r="D179" t="inlineStr">
        <is>
          <t>NOBODY HAS DECIDED THIS. It determines whether the card streams - the majority of revenue - decay with churn or are immune to it. Worth a 42% swing in terminal revenue. Default ON because nothing in the design revokes the card; report both.</t>
        </is>
      </c>
    </row>
    <row r="180">
      <c r="A180"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90"/>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A0: THE METAL</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Gold price appreciation</t>
        </is>
      </c>
      <c r="B10" s="39">
        <f>CHOOSE($C$6,C10,D10,E10)</f>
        <v/>
      </c>
      <c r="C10" s="16" t="n">
        <v>0.081</v>
      </c>
      <c r="D10" s="16" t="n">
        <v>0.12</v>
      </c>
      <c r="E10" s="16" t="n">
        <v>0</v>
      </c>
      <c r="F10" s="23" t="inlineStr">
        <is>
          <t>%/yr</t>
        </is>
      </c>
      <c r="G10" s="9" t="inlineStr">
        <is>
          <t>ADDED 2026-08-21, client instruction, replacing a flat price. 8.1% is the COMPOUND ANNUAL GROWTH RATE SINCE 1971, the end of the gold standard - chosen because it is the LONGEST window and therefore the least cherry-picked. The shorter the window the better gold looks: ~8.6% over 50 years, ~9-10% over 20, ~13-14% over 10, and over 20% over the last 5. Taking the recent decade would have flattered the model on a rally. CITED. THIS IS A NOMINAL RATE AND NOTHING ELSE IN THE MODEL INFLATES. SIP tickets, spot tickets, CAC, card fees and the B2B fee are all frozen in 2027 dollars. There is NO CONSENSUS POSITIVE LONG-RUN REAL RETURN for gold - it is generally treated as a store of value with a near-zero real yield - so most of this 8.1% IS INFLATION. Applying it to the metal while freezing everything else quietly asserts that gold outruns wages, prices and costs by 8% a year for seven years, which is not a claim anyone would defend out loud. The Model therefore also carries AUM AT THE CONSTANT M1 PRICE, and that is the honest series for judging whether the BUSINESS grew. Conservative is set at 0.0% deliberately: it restores the original flat-price design, under which every revenue change is attributable to the business rather than the metal.</t>
        </is>
      </c>
    </row>
    <row r="12" ht="18" customHeight="1">
      <c r="A12" s="12" t="inlineStr">
        <is>
          <t>GROUP A: CUSTOMERS AND CHURN</t>
        </is>
      </c>
      <c r="B12" s="13" t="n"/>
      <c r="C12" s="13" t="n"/>
      <c r="D12" s="13" t="n"/>
      <c r="E12" s="13" t="n"/>
    </row>
    <row r="13">
      <c r="A13" s="14" t="inlineStr">
        <is>
          <t>Parameter</t>
        </is>
      </c>
      <c r="B13" s="14" t="inlineStr">
        <is>
          <t>Active Value</t>
        </is>
      </c>
      <c r="C13" s="14" t="inlineStr">
        <is>
          <t>Base</t>
        </is>
      </c>
      <c r="D13" s="14" t="inlineStr">
        <is>
          <t>Aggressive</t>
        </is>
      </c>
      <c r="E13" s="14" t="inlineStr">
        <is>
          <t>Conservative</t>
        </is>
      </c>
      <c r="F13" s="14" t="inlineStr">
        <is>
          <t>Unit</t>
        </is>
      </c>
    </row>
    <row r="14">
      <c r="A14" t="inlineStr">
        <is>
          <t>Persistency - customers still paying after 12 months</t>
        </is>
      </c>
      <c r="B14" s="40">
        <f>CHOOSE($C$6,C14,D14,E14)</f>
        <v/>
      </c>
      <c r="C14" s="19" t="n">
        <v>0.55</v>
      </c>
      <c r="D14" s="19" t="n">
        <v>0.65</v>
      </c>
      <c r="E14" s="19" t="n">
        <v>0.45</v>
      </c>
      <c r="F14" s="23" t="inlineStr">
        <is>
          <t>%</t>
        </is>
      </c>
      <c r="G14"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5">
      <c r="A15" t="inlineStr">
        <is>
          <t>Monthly churn rate (derived)</t>
        </is>
      </c>
      <c r="B15" s="39">
        <f>1-'Scenario Parameters'!$B$14^(1/12)</f>
        <v/>
      </c>
      <c r="F15" s="23" t="inlineStr">
        <is>
          <t>%/month</t>
        </is>
      </c>
      <c r="G15" s="9" t="inlineStr">
        <is>
          <t>DERIVED, not typed: the monthly rate that reproduces the persistency above over twelve months. Change persistency and this follows. Base 55% implies ~4.9%/month.</t>
        </is>
      </c>
    </row>
    <row r="16">
      <c r="A16" t="inlineStr">
        <is>
          <t>Agent productivity</t>
        </is>
      </c>
      <c r="B16" s="41">
        <f>CHOOSE($C$6,C16,D16,E16)</f>
        <v/>
      </c>
      <c r="C16" s="15" t="n">
        <v>6</v>
      </c>
      <c r="D16" s="15" t="n">
        <v>8</v>
      </c>
      <c r="E16" s="15" t="n">
        <v>3</v>
      </c>
      <c r="F16" s="23" t="inlineStr">
        <is>
          <t>accounts/agent/month</t>
        </is>
      </c>
      <c r="G16" s="9" t="inlineStr">
        <is>
          <t>RAISED 2026-08-21 from 4, client instruction. The insurance agency comparator that produced 4 is for agents selling a COMPLEX UNDERWRITTEN PRODUCT with medical questions and multi-page forms; a gold SIP signup is a fraction of that work, so the comparator was conservative for this product. COMPOUNDS WITH THE AGENT HEADCOUNT, which was raised 50% the same day - together they are 2.25x the agent output the model carried this morning. Both are execution assumptions with no external anchor at the new level; if either disappoints, the other does not compensate. TRIANGULATED at 4, ASSUMPTION at 6.</t>
        </is>
      </c>
    </row>
    <row r="17">
      <c r="A17" t="inlineStr">
        <is>
          <t>Marketing CAC - UAE</t>
        </is>
      </c>
      <c r="B17" s="42">
        <f>CHOOSE($C$6,C17,D17,E17)</f>
        <v/>
      </c>
      <c r="C17" s="20" t="n">
        <v>85</v>
      </c>
      <c r="D17" s="20" t="n">
        <v>55</v>
      </c>
      <c r="E17" s="20" t="n">
        <v>140</v>
      </c>
      <c r="F17" s="23" t="inlineStr">
        <is>
          <t>USD per customer</t>
        </is>
      </c>
      <c r="G17"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8">
      <c r="A18" t="inlineStr">
        <is>
          <t>Marketing CAC - Oman and Bahrain</t>
        </is>
      </c>
      <c r="B18" s="42">
        <f>CHOOSE($C$6,C18,D18,E18)</f>
        <v/>
      </c>
      <c r="C18" s="20" t="n">
        <v>75</v>
      </c>
      <c r="D18" s="20" t="n">
        <v>50</v>
      </c>
      <c r="E18" s="20" t="n">
        <v>125</v>
      </c>
      <c r="F18" s="23" t="inlineStr">
        <is>
          <t>USD per customer</t>
        </is>
      </c>
      <c r="G18"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19">
      <c r="A19" t="inlineStr">
        <is>
          <t>Marketing CAC - India</t>
        </is>
      </c>
      <c r="B19" s="42">
        <f>CHOOSE($C$6,C19,D19,E19)</f>
        <v/>
      </c>
      <c r="C19" s="20" t="n">
        <v>15</v>
      </c>
      <c r="D19" s="20" t="n">
        <v>9</v>
      </c>
      <c r="E19" s="20" t="n">
        <v>26</v>
      </c>
      <c r="F19" s="23" t="inlineStr">
        <is>
          <t>USD per customer</t>
        </is>
      </c>
      <c r="G19"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note it sits at the top of the range for a LOW-TICKET product, and the published low-ticket band is USD 4-70. TRIANGULATED.</t>
        </is>
      </c>
    </row>
    <row r="20">
      <c r="A20" t="inlineStr">
        <is>
          <t>Marketing spend share - UAE</t>
        </is>
      </c>
      <c r="B20" s="40">
        <f>CHOOSE($C$6,C20,D20,E20)</f>
        <v/>
      </c>
      <c r="C20" s="19" t="n">
        <v>0.58</v>
      </c>
      <c r="D20" s="19" t="n">
        <v>0.58</v>
      </c>
      <c r="E20" s="19" t="n">
        <v>0.58</v>
      </c>
      <c r="F20" s="23" t="inlineStr">
        <is>
          <t>% of budget</t>
        </is>
      </c>
      <c r="G20" s="9" t="inlineStr">
        <is>
          <t>How the marketing budget is split across markets. Defaults to each region's share of the addressable ceiling, so spend follows the opportunity. Does not vary by scenario - it is a management decision, not an uncertainty. Must sum to 100%.</t>
        </is>
      </c>
    </row>
    <row r="21">
      <c r="A21" t="inlineStr">
        <is>
          <t>Marketing spend share - Oman and Bahrain</t>
        </is>
      </c>
      <c r="B21" s="40">
        <f>CHOOSE($C$6,C21,D21,E21)</f>
        <v/>
      </c>
      <c r="C21" s="19" t="n">
        <v>0.16</v>
      </c>
      <c r="D21" s="19" t="n">
        <v>0.16</v>
      </c>
      <c r="E21" s="19" t="n">
        <v>0.16</v>
      </c>
      <c r="F21" s="23" t="inlineStr">
        <is>
          <t>% of budget</t>
        </is>
      </c>
      <c r="G21" s="9" t="inlineStr">
        <is>
          <t>How the marketing budget is split across markets. Defaults to each region's share of the addressable ceiling, so spend follows the opportunity. Does not vary by scenario - it is a management decision, not an uncertainty. Must sum to 100%.</t>
        </is>
      </c>
    </row>
    <row r="22">
      <c r="A22" t="inlineStr">
        <is>
          <t>Marketing spend share - India</t>
        </is>
      </c>
      <c r="B22" s="40">
        <f>CHOOSE($C$6,C22,D22,E22)</f>
        <v/>
      </c>
      <c r="C22" s="19" t="n">
        <v>0.26</v>
      </c>
      <c r="D22" s="19" t="n">
        <v>0.26</v>
      </c>
      <c r="E22" s="19" t="n">
        <v>0.26</v>
      </c>
      <c r="F22" s="23" t="inlineStr">
        <is>
          <t>% of budget</t>
        </is>
      </c>
      <c r="G22" s="9" t="inlineStr">
        <is>
          <t>How the marketing budget is split across markets. Defaults to each region's share of the addressable ceiling, so spend follows the opportunity. Does not vary by scenario - it is a management decision, not an uncertainty. Must sum to 100%.</t>
        </is>
      </c>
    </row>
    <row r="23">
      <c r="A23" t="inlineStr">
        <is>
          <t>Referral rate</t>
        </is>
      </c>
      <c r="B23" s="41">
        <f>CHOOSE($C$6,C23,D23,E23)</f>
        <v/>
      </c>
      <c r="C23" s="15" t="n">
        <v>0.6</v>
      </c>
      <c r="D23" s="15" t="n">
        <v>1.1</v>
      </c>
      <c r="E23" s="15" t="n">
        <v>0.25</v>
      </c>
      <c r="F23" s="23" t="inlineStr">
        <is>
          <t>referrals/customer/yr</t>
        </is>
      </c>
      <c r="G23" s="9" t="inlineStr">
        <is>
          <t>RAISED 2026-08-21 from 0.45, client instruction. Cap removed deliberately, so the distribution is right-skewed - MODEL THE MEAN, NOT THE MEDIAN. 0.60 means the average customer produces roughly three referrals every five years; the mean is pulled up by a small number of highly social referrers, which is the normal shape for a trust-based product inside a tight diaspora community. IT IS STILL AN ASSUMPTION WITH NO EXTERNAL ANCHOR, and it compounds: referrals feed the paying base, which feeds more referrals. That loop is the reason this parameter is more load-bearing than its size suggests. ASSUMPTION.</t>
        </is>
      </c>
    </row>
    <row r="24">
      <c r="A24" t="inlineStr">
        <is>
          <t>Referral conversion</t>
        </is>
      </c>
      <c r="B24" s="40">
        <f>CHOOSE($C$6,C24,D24,E24)</f>
        <v/>
      </c>
      <c r="C24" s="19" t="n">
        <v>0.62</v>
      </c>
      <c r="D24" s="19" t="n">
        <v>0.72</v>
      </c>
      <c r="E24" s="19" t="n">
        <v>0.48</v>
      </c>
      <c r="F24" s="23" t="inlineStr">
        <is>
          <t>%</t>
        </is>
      </c>
      <c r="G24" s="9" t="inlineStr">
        <is>
          <t>The M7 survival of the referred cohort, uplifted ~1.1x. DERIVED.</t>
        </is>
      </c>
    </row>
    <row r="25">
      <c r="A25" t="inlineStr">
        <is>
          <t>Organic share of direct</t>
        </is>
      </c>
      <c r="B25" s="40">
        <f>CHOOSE($C$6,C25,D25,E25)</f>
        <v/>
      </c>
      <c r="C25" s="19" t="n">
        <v>0.25</v>
      </c>
      <c r="D25" s="19" t="n">
        <v>0.4</v>
      </c>
      <c r="E25" s="19" t="n">
        <v>0.1</v>
      </c>
      <c r="F25" s="23" t="inlineStr">
        <is>
          <t>% of direct</t>
        </is>
      </c>
      <c r="G25" s="9" t="inlineStr">
        <is>
          <t>RAISED 2026-08-21 from 0.12, client instruction. Kept separate from CAC deliberately, so the acquisition cost never applies to it - THAT IS ALSO WHY IT IS AN ATTRACTIVE NUMBER TO RAISE, and why it deserves scepticism. 0.25 says a quarter of paid-driven signups arrive again for free through word of mouth, app store discovery and community effects. Defensible for a product sold inside a dense diaspora network where the paid campaign and the community overlap almost completely. NO EXTERNAL ANCHOR AT EITHER LEVEL, and it is arithmetically identical to a 12% CAC reduction - so raising this AND cutting CAC in the same pass is close to taking the same benefit twice. ASSUMPTION.</t>
        </is>
      </c>
    </row>
    <row r="26">
      <c r="A26" t="inlineStr">
        <is>
          <t>Seasonality amplitude</t>
        </is>
      </c>
      <c r="B26" s="41">
        <f>CHOOSE($C$6,C26,D26,E26)</f>
        <v/>
      </c>
      <c r="C26" s="15" t="n">
        <v>1</v>
      </c>
      <c r="D26" s="15" t="n">
        <v>1.4</v>
      </c>
      <c r="E26" s="15" t="n">
        <v>0.6</v>
      </c>
      <c r="F26" s="23" t="inlineStr">
        <is>
          <t>x deviation from 1.0</t>
        </is>
      </c>
      <c r="G26" s="9" t="inlineStr">
        <is>
          <t>Festival TIMING is sourced; how hard a Dubai savings signup responds to Dhanteras is the open question. Applied to the deviation from 1.0, then renormalised, so the vectors stay at exactly 12.000.</t>
        </is>
      </c>
    </row>
    <row r="28" ht="18" customHeight="1">
      <c r="A28" s="12" t="inlineStr">
        <is>
          <t>GROUP B: CARD ELIGIBILITY - the two cells that replace the archetype engine</t>
        </is>
      </c>
      <c r="B28" s="13" t="n"/>
      <c r="C28" s="13" t="n"/>
      <c r="D28" s="13" t="n"/>
      <c r="E28" s="13" t="n"/>
    </row>
    <row r="29">
      <c r="A29" s="14" t="inlineStr">
        <is>
          <t>Parameter</t>
        </is>
      </c>
      <c r="B29" s="14" t="inlineStr">
        <is>
          <t>Active Value</t>
        </is>
      </c>
      <c r="C29" s="14" t="inlineStr">
        <is>
          <t>Base</t>
        </is>
      </c>
      <c r="D29" s="14" t="inlineStr">
        <is>
          <t>Aggressive</t>
        </is>
      </c>
      <c r="E29" s="14" t="inlineStr">
        <is>
          <t>Conservative</t>
        </is>
      </c>
      <c r="F29" s="14" t="inlineStr">
        <is>
          <t>Unit</t>
        </is>
      </c>
    </row>
    <row r="30">
      <c r="A30" t="inlineStr">
        <is>
          <t>Customers who EVER clear the six-payment gate</t>
        </is>
      </c>
      <c r="B30" s="40">
        <f>CHOOSE($C$6,C30,D30,E30)</f>
        <v/>
      </c>
      <c r="C30" s="19" t="n">
        <v>0.55</v>
      </c>
      <c r="D30" s="19" t="n">
        <v>0.65</v>
      </c>
      <c r="E30" s="19" t="n">
        <v>0.45</v>
      </c>
      <c r="F30" s="23" t="inlineStr">
        <is>
          <t>% of customers</t>
        </is>
      </c>
      <c r="G30"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31">
      <c r="A31" t="inlineStr">
        <is>
          <t>Average months to clear the gate</t>
        </is>
      </c>
      <c r="B31" s="31">
        <f>CHOOSE($C$6,C31,D31,E31)</f>
        <v/>
      </c>
      <c r="C31" s="17" t="n">
        <v>8</v>
      </c>
      <c r="D31" s="17" t="n">
        <v>6</v>
      </c>
      <c r="E31" s="17" t="n">
        <v>11</v>
      </c>
      <c r="F31" s="23" t="inlineStr">
        <is>
          <t>months</t>
        </is>
      </c>
      <c r="G31"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33" ht="18" customHeight="1">
      <c r="A33" s="12" t="inlineStr">
        <is>
          <t>GROUP C: AUM, LEAKAGE AND SPOT</t>
        </is>
      </c>
      <c r="B33" s="13" t="n"/>
      <c r="C33" s="13" t="n"/>
      <c r="D33" s="13" t="n"/>
      <c r="E33" s="13" t="n"/>
    </row>
    <row r="34">
      <c r="A34" s="14" t="inlineStr">
        <is>
          <t>Parameter</t>
        </is>
      </c>
      <c r="B34" s="14" t="inlineStr">
        <is>
          <t>Active Value</t>
        </is>
      </c>
      <c r="C34" s="14" t="inlineStr">
        <is>
          <t>Base</t>
        </is>
      </c>
      <c r="D34" s="14" t="inlineStr">
        <is>
          <t>Aggressive</t>
        </is>
      </c>
      <c r="E34" s="14" t="inlineStr">
        <is>
          <t>Conservative</t>
        </is>
      </c>
      <c r="F34" s="14" t="inlineStr">
        <is>
          <t>Unit</t>
        </is>
      </c>
    </row>
    <row r="35">
      <c r="A35" t="inlineStr">
        <is>
          <t>Gold moved out of Aurumix's control</t>
        </is>
      </c>
      <c r="B35" s="40">
        <f>CHOOSE($C$6,C35,D35,E35)</f>
        <v/>
      </c>
      <c r="C35" s="19" t="n">
        <v>0.06</v>
      </c>
      <c r="D35" s="19" t="n">
        <v>0.03</v>
      </c>
      <c r="E35" s="19" t="n">
        <v>0.18</v>
      </c>
      <c r="F35" s="23" t="inlineStr">
        <is>
          <t>% of AUM/yr</t>
        </is>
      </c>
      <c r="G35" s="9" t="inlineStr">
        <is>
          <t>HALVED 2026-08-21 from 0.12, client instruction. NOTE IT HAS ZERO EFFECT ON GOLD UNDER CUSTODY - measured, not asserted - because self-custodied metal never left the vault and was never in that measure. It moves ONLY the collateral-eligible base and therefore the card credit limit, worth ~0.2% of Y7 revenue. RELABELLED earlier the same day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THAT ONE-CONSUMER PROPERTY IS WHAT MAKES THIS SAFE: if a later build points anything else at AUM - a custody fee, a reported-AUM headline - this row must be split in two first. Contrast the redemption line, which IS gold genuinely gone. ASSUMPTION.</t>
        </is>
      </c>
    </row>
    <row r="36">
      <c r="A36" t="inlineStr">
        <is>
          <t>Redemption rate</t>
        </is>
      </c>
      <c r="B36" s="40">
        <f>CHOOSE($C$6,C36,D36,E36)</f>
        <v/>
      </c>
      <c r="C36" s="19" t="n">
        <v>0.06</v>
      </c>
      <c r="D36" s="19" t="n">
        <v>0.035</v>
      </c>
      <c r="E36" s="19" t="n">
        <v>0.12</v>
      </c>
      <c r="F36" s="23" t="inlineStr">
        <is>
          <t>% of AUM/yr</t>
        </is>
      </c>
      <c r="G36" s="9" t="inlineStr">
        <is>
          <t>LOWERED 2026-08-21 from 0.08, client instruction - AND THIS ONE MOVES TOWARDS THE EVIDENCE, not away from it. PAXG turnover of 5.9% is the only comparator that exists, and 8% sat above it for no stated reason; 6% sits essentially on it. A DIFFERENT EVENT from gold moving out of Aurumix's control, and a separate line: this is metal actually sold and tokens burned. VARA forbids charging any fee on it. ASSUMPTION, now aligned to the single available comparator.</t>
        </is>
      </c>
    </row>
    <row r="37">
      <c r="A37" t="inlineStr">
        <is>
          <t>Holder redemption multiplier</t>
        </is>
      </c>
      <c r="B37" s="41">
        <f>CHOOSE($C$6,C37,D37,E37)</f>
        <v/>
      </c>
      <c r="C37" s="15" t="n">
        <v>1.6</v>
      </c>
      <c r="D37" s="15" t="n">
        <v>1.3</v>
      </c>
      <c r="E37" s="15" t="n">
        <v>2.8</v>
      </c>
      <c r="F37" s="23" t="inlineStr">
        <is>
          <t>x the paying rate</t>
        </is>
      </c>
      <c r="G37" s="9" t="inlineStr">
        <is>
          <t>LOWERED 2026-08-21 from 2.2, client instruction. THIS IS THE WEAKEST OF THE THREE DECAY CHANGES. The LOGIC behind a multiplier above 1.0 is untouched and still holds: customers who stopped paying redeem faster, because they have no accruing benefit left to protect. Lowering it to 1.6 weakens that argument without new evidence for the smaller number - it says lapsed customers are stickier than previously assumed, which is the convenient direction. Because holders become the majority of the book by Y4, this remains the DOMINANT AUM DECAY TERM from roughly Y4, so the change is not cosmetic. ASSUMPTION, and the first one to revisit if AUM is challenged.</t>
        </is>
      </c>
    </row>
    <row r="38">
      <c r="A38" t="inlineStr">
        <is>
          <t>Spot attach scenario multiplier</t>
        </is>
      </c>
      <c r="B38" s="41">
        <f>CHOOSE($C$6,C38,D38,E38)</f>
        <v/>
      </c>
      <c r="C38" s="15" t="n">
        <v>1</v>
      </c>
      <c r="D38" s="15" t="n">
        <v>1.7</v>
      </c>
      <c r="E38" s="15" t="n">
        <v>0.5</v>
      </c>
      <c r="F38" s="23" t="inlineStr">
        <is>
          <t>x the regional attach</t>
        </is>
      </c>
      <c r="G38"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9">
      <c r="A39" t="inlineStr">
        <is>
          <t>Spot ticket scenario multiplier</t>
        </is>
      </c>
      <c r="B39" s="41">
        <f>CHOOSE($C$6,C39,D39,E39)</f>
        <v/>
      </c>
      <c r="C39" s="15" t="n">
        <v>1</v>
      </c>
      <c r="D39" s="15" t="n">
        <v>1.35</v>
      </c>
      <c r="E39" s="15" t="n">
        <v>0.7</v>
      </c>
      <c r="F39" s="23" t="inlineStr">
        <is>
          <t>x the observed ticket</t>
        </is>
      </c>
      <c r="G39"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40">
      <c r="A40" t="inlineStr">
        <is>
          <t>Spot frequency</t>
        </is>
      </c>
      <c r="B40" s="41">
        <f>CHOOSE($C$6,C40,D40,E40)</f>
        <v/>
      </c>
      <c r="C40" s="15" t="n">
        <v>1.7</v>
      </c>
      <c r="D40" s="15" t="n">
        <v>2.4</v>
      </c>
      <c r="E40" s="15" t="n">
        <v>1.2</v>
      </c>
      <c r="F40" s="23" t="inlineStr">
        <is>
          <t>events/attacher/yr</t>
        </is>
      </c>
      <c r="G40" s="9" t="inlineStr">
        <is>
          <t>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42" ht="18" customHeight="1">
      <c r="A42" s="12" t="inlineStr">
        <is>
          <t>GROUP D: CARD</t>
        </is>
      </c>
      <c r="B42" s="13" t="n"/>
      <c r="C42" s="13" t="n"/>
      <c r="D42" s="13" t="n"/>
      <c r="E42" s="13" t="n"/>
    </row>
    <row r="43">
      <c r="A43" s="14" t="inlineStr">
        <is>
          <t>Parameter</t>
        </is>
      </c>
      <c r="B43" s="14" t="inlineStr">
        <is>
          <t>Active Value</t>
        </is>
      </c>
      <c r="C43" s="14" t="inlineStr">
        <is>
          <t>Base</t>
        </is>
      </c>
      <c r="D43" s="14" t="inlineStr">
        <is>
          <t>Aggressive</t>
        </is>
      </c>
      <c r="E43" s="14" t="inlineStr">
        <is>
          <t>Conservative</t>
        </is>
      </c>
      <c r="F43" s="14" t="inlineStr">
        <is>
          <t>Unit</t>
        </is>
      </c>
    </row>
    <row r="44">
      <c r="A44" t="inlineStr">
        <is>
          <t>Programme manager share of interchange</t>
        </is>
      </c>
      <c r="B44" s="40">
        <f>CHOOSE($C$6,C44,D44,E44)</f>
        <v/>
      </c>
      <c r="C44" s="19" t="n">
        <v>0.72</v>
      </c>
      <c r="D44" s="19" t="n">
        <v>0.85</v>
      </c>
      <c r="E44" s="19" t="n">
        <v>0.55</v>
      </c>
      <c r="F44" s="23" t="inlineStr">
        <is>
          <t>%</t>
        </is>
      </c>
      <c r="G44" s="9" t="inlineStr">
        <is>
          <t>SIZES THE LARGEST STREAM. No UAE/MENA figure is published. FLOOR IS 36% - take that into the sponsor conversation as the walk-away. TRIANGULATED.</t>
        </is>
      </c>
    </row>
    <row r="45">
      <c r="A45" t="inlineStr">
        <is>
          <t>Facility take-up - customers who take AND use the card</t>
        </is>
      </c>
      <c r="B45" s="40">
        <f>CHOOSE($C$6,C45,D45,E45)</f>
        <v/>
      </c>
      <c r="C45" s="19" t="n">
        <v>0.18</v>
      </c>
      <c r="D45" s="19" t="n">
        <v>0.3</v>
      </c>
      <c r="E45" s="19" t="n">
        <v>0.08</v>
      </c>
      <c r="F45" s="23" t="inlineStr">
        <is>
          <t>% of gate-cleared</t>
        </is>
      </c>
      <c r="G45"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THE OLD 50% CAME FROM NEOBANK COMPARABLES (PULSE 68.2%, Monzo 68%) WHERE THE CARD IS THE PRODUCT - wrong in kind for a card that only lets you borrow against your own savings. DERIVED.</t>
        </is>
      </c>
    </row>
    <row r="46">
      <c r="A46" t="inlineStr">
        <is>
          <t>Transactions per drawdown event</t>
        </is>
      </c>
      <c r="B46" s="31">
        <f>CHOOSE($C$6,C46,D46,E46)</f>
        <v/>
      </c>
      <c r="C46" s="17" t="n">
        <v>4</v>
      </c>
      <c r="D46" s="17" t="n">
        <v>6</v>
      </c>
      <c r="E46" s="17" t="n">
        <v>2</v>
      </c>
      <c r="F46" s="23" t="inlineStr">
        <is>
          <t>transactions/draw</t>
        </is>
      </c>
      <c r="G46"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7">
      <c r="A47" t="inlineStr">
        <is>
          <t>Foreign spend share (mean)</t>
        </is>
      </c>
      <c r="B47" s="40">
        <f>CHOOSE($C$6,C47,D47,E47)</f>
        <v/>
      </c>
      <c r="C47" s="19" t="n">
        <v>0.34</v>
      </c>
      <c r="D47" s="19" t="n">
        <v>0.45</v>
      </c>
      <c r="E47" s="19" t="n">
        <v>0.24</v>
      </c>
      <c r="F47" s="23" t="inlineStr">
        <is>
          <t>% of card spend</t>
        </is>
      </c>
      <c r="G47" s="9" t="inlineStr">
        <is>
          <t>Applied through the seasonal vector, not as a constant. ASSUMPTION.</t>
        </is>
      </c>
    </row>
    <row r="48">
      <c r="A48" t="inlineStr">
        <is>
          <t>Card issuance events</t>
        </is>
      </c>
      <c r="B48" s="41">
        <f>CHOOSE($C$6,C48,D48,E48)</f>
        <v/>
      </c>
      <c r="C48" s="15" t="n">
        <v>1.06</v>
      </c>
      <c r="D48" s="15" t="n">
        <v>1.04</v>
      </c>
      <c r="E48" s="15" t="n">
        <v>1.1</v>
      </c>
      <c r="F48" s="23" t="inlineStr">
        <is>
          <t>events/card/yr</t>
        </is>
      </c>
      <c r="G48" s="9" t="inlineStr">
        <is>
          <t>1.00 at activation plus reissues - a tier upgrade forces a physical reissue. ASSUMPTION.</t>
        </is>
      </c>
    </row>
    <row r="49">
      <c r="A49" t="inlineStr">
        <is>
          <t>Card replacement events</t>
        </is>
      </c>
      <c r="B49" s="41">
        <f>CHOOSE($C$6,C49,D49,E49)</f>
        <v/>
      </c>
      <c r="C49" s="15" t="n">
        <v>0.11</v>
      </c>
      <c r="D49" s="15" t="n">
        <v>0.07000000000000001</v>
      </c>
      <c r="E49" s="15" t="n">
        <v>0.18</v>
      </c>
      <c r="F49" s="23" t="inlineStr">
        <is>
          <t>events/card/yr</t>
        </is>
      </c>
      <c r="G49" s="9" t="inlineStr">
        <is>
          <t>Industry-normal loss/theft/damage is 8-15% annually. ASSUMPTION.</t>
        </is>
      </c>
    </row>
    <row r="50">
      <c r="A50" t="inlineStr">
        <is>
          <t>ATM AED 0-500 - share of cardholders</t>
        </is>
      </c>
      <c r="B50" s="40">
        <f>CHOOSE($C$6,C50,D50,E50)</f>
        <v/>
      </c>
      <c r="C50" s="19" t="n">
        <v>0.6</v>
      </c>
      <c r="D50" s="19" t="n">
        <v>0.42</v>
      </c>
      <c r="E50" s="19" t="n">
        <v>0.74</v>
      </c>
      <c r="F50" s="23" t="inlineStr">
        <is>
          <t>%</t>
        </is>
      </c>
      <c r="G50"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1">
      <c r="A51" t="inlineStr">
        <is>
          <t>ATM AED 500-1,500 - share of cardholders</t>
        </is>
      </c>
      <c r="B51" s="40">
        <f>CHOOSE($C$6,C51,D51,E51)</f>
        <v/>
      </c>
      <c r="C51" s="19" t="n">
        <v>0.25</v>
      </c>
      <c r="D51" s="19" t="n">
        <v>0.3</v>
      </c>
      <c r="E51" s="19" t="n">
        <v>0.18</v>
      </c>
      <c r="F51" s="23" t="inlineStr">
        <is>
          <t>%</t>
        </is>
      </c>
      <c r="G51"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2">
      <c r="A52" t="inlineStr">
        <is>
          <t>ATM AED 1,500-3,000 - share of cardholders</t>
        </is>
      </c>
      <c r="B52" s="40">
        <f>CHOOSE($C$6,C52,D52,E52)</f>
        <v/>
      </c>
      <c r="C52" s="19" t="n">
        <v>0.12</v>
      </c>
      <c r="D52" s="19" t="n">
        <v>0.2</v>
      </c>
      <c r="E52" s="19" t="n">
        <v>0.06</v>
      </c>
      <c r="F52" s="23" t="inlineStr">
        <is>
          <t>%</t>
        </is>
      </c>
      <c r="G52"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3">
      <c r="A53" t="inlineStr">
        <is>
          <t>ATM AED 3,000+ - share of cardholders</t>
        </is>
      </c>
      <c r="B53" s="40">
        <f>CHOOSE($C$6,C53,D53,E53)</f>
        <v/>
      </c>
      <c r="C53" s="19" t="n">
        <v>0.03</v>
      </c>
      <c r="D53" s="19" t="n">
        <v>0.08</v>
      </c>
      <c r="E53" s="19" t="n">
        <v>0.02</v>
      </c>
      <c r="F53" s="23" t="inlineStr">
        <is>
          <t>%</t>
        </is>
      </c>
      <c r="G53"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4">
      <c r="A54" t="inlineStr">
        <is>
          <t>ATM AED 0-500 - midpoint draw</t>
        </is>
      </c>
      <c r="B54" s="31">
        <f>CHOOSE($C$6,C54,D54,E54)</f>
        <v/>
      </c>
      <c r="C54" s="17" t="n">
        <v>250</v>
      </c>
      <c r="D54" s="17" t="n">
        <v>300</v>
      </c>
      <c r="E54" s="17" t="n">
        <v>200</v>
      </c>
      <c r="F54" s="23" t="inlineStr">
        <is>
          <t>AED/month</t>
        </is>
      </c>
      <c r="G54" s="9" t="inlineStr">
        <is>
          <t>Raising the allowance at the top tier waives revenue from only the top ~3% of cardholders.</t>
        </is>
      </c>
    </row>
    <row r="55">
      <c r="A55" t="inlineStr">
        <is>
          <t>ATM AED 500-1,500 - midpoint draw</t>
        </is>
      </c>
      <c r="B55" s="31">
        <f>CHOOSE($C$6,C55,D55,E55)</f>
        <v/>
      </c>
      <c r="C55" s="17" t="n">
        <v>1000</v>
      </c>
      <c r="D55" s="17" t="n">
        <v>1100</v>
      </c>
      <c r="E55" s="17" t="n">
        <v>900</v>
      </c>
      <c r="F55" s="23" t="inlineStr">
        <is>
          <t>AED/month</t>
        </is>
      </c>
      <c r="G55" s="9" t="inlineStr">
        <is>
          <t>Raising the allowance at the top tier waives revenue from only the top ~3% of cardholders.</t>
        </is>
      </c>
    </row>
    <row r="56">
      <c r="A56" t="inlineStr">
        <is>
          <t>ATM AED 1,500-3,000 - midpoint draw</t>
        </is>
      </c>
      <c r="B56" s="31">
        <f>CHOOSE($C$6,C56,D56,E56)</f>
        <v/>
      </c>
      <c r="C56" s="17" t="n">
        <v>2250</v>
      </c>
      <c r="D56" s="17" t="n">
        <v>2400</v>
      </c>
      <c r="E56" s="17" t="n">
        <v>2100</v>
      </c>
      <c r="F56" s="23" t="inlineStr">
        <is>
          <t>AED/month</t>
        </is>
      </c>
      <c r="G56" s="9" t="inlineStr">
        <is>
          <t>Raising the allowance at the top tier waives revenue from only the top ~3% of cardholders.</t>
        </is>
      </c>
    </row>
    <row r="57">
      <c r="A57" t="inlineStr">
        <is>
          <t>ATM AED 3,000+ - midpoint draw</t>
        </is>
      </c>
      <c r="B57" s="31">
        <f>CHOOSE($C$6,C57,D57,E57)</f>
        <v/>
      </c>
      <c r="C57" s="17" t="n">
        <v>4000</v>
      </c>
      <c r="D57" s="17" t="n">
        <v>4500</v>
      </c>
      <c r="E57" s="17" t="n">
        <v>3600</v>
      </c>
      <c r="F57" s="23" t="inlineStr">
        <is>
          <t>AED/month</t>
        </is>
      </c>
      <c r="G57" s="9" t="inlineStr">
        <is>
          <t>Raising the allowance at the top tier waives revenue from only the top ~3% of cardholders.</t>
        </is>
      </c>
    </row>
    <row r="59" ht="18" customHeight="1">
      <c r="A59" s="12" t="inlineStr">
        <is>
          <t>GROUP E: CREDIT, B2B AND FAMILY</t>
        </is>
      </c>
      <c r="B59" s="13" t="n"/>
      <c r="C59" s="13" t="n"/>
      <c r="D59" s="13" t="n"/>
      <c r="E59" s="13" t="n"/>
    </row>
    <row r="60">
      <c r="A60" s="14" t="inlineStr">
        <is>
          <t>Parameter</t>
        </is>
      </c>
      <c r="B60" s="14" t="inlineStr">
        <is>
          <t>Active Value</t>
        </is>
      </c>
      <c r="C60" s="14" t="inlineStr">
        <is>
          <t>Base</t>
        </is>
      </c>
      <c r="D60" s="14" t="inlineStr">
        <is>
          <t>Aggressive</t>
        </is>
      </c>
      <c r="E60" s="14" t="inlineStr">
        <is>
          <t>Conservative</t>
        </is>
      </c>
      <c r="F60" s="14" t="inlineStr">
        <is>
          <t>Unit</t>
        </is>
      </c>
    </row>
    <row r="61">
      <c r="A61" t="inlineStr">
        <is>
          <t>Drawn as % of permitted limit</t>
        </is>
      </c>
      <c r="B61" s="40">
        <f>CHOOSE($C$6,C61,D61,E61)</f>
        <v/>
      </c>
      <c r="C61" s="19" t="n">
        <v>0.5</v>
      </c>
      <c r="D61" s="19" t="n">
        <v>0.7</v>
      </c>
      <c r="E61" s="19" t="n">
        <v>0.3</v>
      </c>
      <c r="F61" s="23" t="inlineStr">
        <is>
          <t>%</t>
        </is>
      </c>
      <c r="G61" s="9" t="inlineStr">
        <is>
          <t>Revolving facilities draw 40-55% of permitted. This now drives CARD SPEND as well as the loan balance, because the card is the drawdown mechanism. TRIANGULATED.</t>
        </is>
      </c>
    </row>
    <row r="62">
      <c r="A62" t="inlineStr">
        <is>
          <t>Facility turnover, peak -&gt; average</t>
        </is>
      </c>
      <c r="B62" s="41">
        <f>CHOOSE($C$6,C62,D62,E62)</f>
        <v/>
      </c>
      <c r="C62" s="15" t="n">
        <v>0.42</v>
      </c>
      <c r="D62" s="15" t="n">
        <v>0.55</v>
      </c>
      <c r="E62" s="15" t="n">
        <v>0.3</v>
      </c>
      <c r="F62" s="23" t="inlineStr">
        <is>
          <t>x peak drawn</t>
        </is>
      </c>
      <c r="G62" s="9" t="inlineStr">
        <is>
          <t>AN ARITHMETIC CORRECTION, not a sensitivity, derived from Manappuram's 71-day realised tenor. It cuts the lending stream by 1.88x. DERIVED.</t>
        </is>
      </c>
    </row>
    <row r="63">
      <c r="A63" t="inlineStr">
        <is>
          <t>Draw events per borrower per year</t>
        </is>
      </c>
      <c r="B63" s="41">
        <f>CHOOSE($C$6,C63,D63,E63)</f>
        <v/>
      </c>
      <c r="C63" s="15" t="n">
        <v>2.1</v>
      </c>
      <c r="D63" s="15" t="n">
        <v>3.2</v>
      </c>
      <c r="E63" s="15" t="n">
        <v>1.3</v>
      </c>
      <c r="F63" s="23" t="inlineStr">
        <is>
          <t>events/yr</t>
        </is>
      </c>
      <c r="G63" s="9" t="inlineStr">
        <is>
          <t>MOVES WITH facility turnover - do not flex independently. DERIVED.</t>
        </is>
      </c>
    </row>
    <row r="64">
      <c r="A64" t="inlineStr">
        <is>
          <t>Family plan attach rate</t>
        </is>
      </c>
      <c r="B64" s="40">
        <f>CHOOSE($C$6,C64,D64,E64)</f>
        <v/>
      </c>
      <c r="C64" s="19" t="n">
        <v>0.15</v>
      </c>
      <c r="D64" s="19" t="n">
        <v>0.25</v>
      </c>
      <c r="E64" s="19" t="n">
        <v>0.08</v>
      </c>
      <c r="F64" s="23" t="inlineStr">
        <is>
          <t>% of NEW customers</t>
        </is>
      </c>
      <c r="G64" s="9" t="inlineStr">
        <is>
          <t>SET AT 0.15 on 2026-08-21, client instruction - the same day it came DOWN from 0.20 to 0.08, so it has landed close to where it started. What has genuinely changed is not the number but the STRUCTURE. THE UNIT ALSO CHANGED, AND THAT MATTERS: it is now the share of NEW customers who take the plan when they join, feeding a SUBSCRIBER BALANCE that then churns - not a standing share of the whole book that could never fall. The steady-state share of paying customers holding a plan therefore lands BELOW this number. NOTHING IS STATED ANYWHERE IN THE CORPUS and no attach benchmark exists for this kind of add-on; 20% is at the top of the normal range for an OPTIONAL PAID extra on a savings product, which is low single digits to low teens. IT IS NOT EQUIVALENT TO THE OLD 20% AND SHOULD NOT BE READ AS A PARTIAL REVERSAL: 20% was a permanent share of the whole book that could never decay, while 15% applies once, on joining, to a balance that then churns at ~7.1% a month. The standing share of paying customers holding a plan settles near 10.5%, not 15%. NOTHING IS STATED ANYWHERE IN THE CORPUS and no attach benchmark exists for this kind of add-on. ASSUMPTION.</t>
        </is>
      </c>
    </row>
    <row r="65">
      <c r="A65" t="inlineStr">
        <is>
          <t>Family plan cancellation rate (incremental)</t>
        </is>
      </c>
      <c r="B65" s="40">
        <f>CHOOSE($C$6,C65,D65,E65)</f>
        <v/>
      </c>
      <c r="C65" s="19" t="n">
        <v>0.25</v>
      </c>
      <c r="D65" s="19" t="n">
        <v>0.15</v>
      </c>
      <c r="E65" s="19" t="n">
        <v>0.4</v>
      </c>
      <c r="F65" s="23" t="inlineStr">
        <is>
          <t>%/yr</t>
        </is>
      </c>
      <c r="G65" s="9" t="inlineStr">
        <is>
          <t>ADDED 2026-08-21. INCREMENTAL IS THE KEY WORD: this is cancellation by customers who STAY WITH AURUMIX. Subscribers already disappear when they stop paying their SIP, and that was the only churn stream 3 had - which implicitly assumed nobody ever cancels the plan while remaining a customer. NO PRODUCT-SPECIFIC DATA EXISTS - not for digital will memberships, not for finance-app family plans; Trust &amp; Will, Farewill and Epilogue publish none. The only benchmark is generic mobile subscription apps: above 10%/month poor, 6-10%/month average, under 6%/month good. 25%/yr is ~2.4%/month, INSIDE the 'good' band, which is the right place for an add-on bundled into an ongoing savings relationship rather than a standalone app fighting for attention every month. ASSUMPTION on a generic benchmark.</t>
        </is>
      </c>
    </row>
    <row r="66">
      <c r="A66" t="inlineStr">
        <is>
          <t>Beneficiaries named per plan</t>
        </is>
      </c>
      <c r="B66" s="41">
        <f>CHOOSE($C$6,C66,D66,E66)</f>
        <v/>
      </c>
      <c r="C66" s="15" t="n">
        <v>2.5</v>
      </c>
      <c r="D66" s="15" t="n">
        <v>3.5</v>
      </c>
      <c r="E66" s="15" t="n">
        <v>1.6</v>
      </c>
      <c r="F66" s="23" t="inlineStr">
        <is>
          <t>beneficiaries</t>
        </is>
      </c>
      <c r="G66" s="9" t="inlineStr">
        <is>
          <t>ADDED 2026-08-21. THE FIRST IS INCLUDED IN THE PLAN PRICE, so only the excess over 1.0 is charged - at 2.5 that is 1.5 chargeable. No platform publishes beneficiaries-per-will. What anchors it is who these customers are: South Asian migrant workers who remit ~80% of income to families at home, typically supporting a spouse, children and parents. Household sizes in the source countries run ~4.4 in India, ~4.5 in Bangladesh and ~6.8 in Pakistan, so naming 2-3 beneficiaries is conservative against the family they actually support. NOT THE SAME AS HOUSEHOLD SIZE - a beneficiary is a named, identity-verified person on a legal instrument, and people name fewer than they support. ASSUMPTION anchored on demographics.</t>
        </is>
      </c>
    </row>
    <row r="67">
      <c r="A67" t="inlineStr">
        <is>
          <t>Family plan monthly churn, combined (derived)</t>
        </is>
      </c>
      <c r="B67" s="39">
        <f>1-(1-'Scenario Parameters'!$B$15)*(1-'Scenario Parameters'!$B$65)^(1/12)</f>
        <v/>
      </c>
      <c r="F67" s="23" t="inlineStr">
        <is>
          <t>%/month</t>
        </is>
      </c>
      <c r="G67" s="9" t="inlineStr">
        <is>
          <t>TWO WAYS TO LOSE A SUBSCRIBER, COMBINED MULTIPLICATIVELY, NOT ADDED: they leave Aurumix entirely (the SIP churn on the left) or they stay and cancel the plan (the incremental rate on the right). Adding the two would double-count the overlap - a customer cannot both leave and separately cancel. DERIVED.</t>
        </is>
      </c>
    </row>
    <row r="68">
      <c r="A68" t="inlineStr">
        <is>
          <t>B2B partners - Y1</t>
        </is>
      </c>
      <c r="B68" s="31">
        <f>CHOOSE($C$6,C68,D68,E68)</f>
        <v/>
      </c>
      <c r="C68" s="17" t="n">
        <v>0</v>
      </c>
      <c r="D68" s="17" t="n">
        <v>0</v>
      </c>
      <c r="E68" s="17" t="n">
        <v>0</v>
      </c>
      <c r="F68" s="23" t="inlineStr">
        <is>
          <t>partners</t>
        </is>
      </c>
      <c r="G68"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69">
      <c r="A69" t="inlineStr">
        <is>
          <t>B2B partners - Y2</t>
        </is>
      </c>
      <c r="B69" s="31">
        <f>CHOOSE($C$6,C69,D69,E69)</f>
        <v/>
      </c>
      <c r="C69" s="17" t="n">
        <v>1</v>
      </c>
      <c r="D69" s="17" t="n">
        <v>2</v>
      </c>
      <c r="E69" s="17" t="n">
        <v>1</v>
      </c>
      <c r="F69" s="23" t="inlineStr">
        <is>
          <t>partners</t>
        </is>
      </c>
      <c r="G69"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0">
      <c r="A70" t="inlineStr">
        <is>
          <t>B2B partners - Y3</t>
        </is>
      </c>
      <c r="B70" s="31">
        <f>CHOOSE($C$6,C70,D70,E70)</f>
        <v/>
      </c>
      <c r="C70" s="17" t="n">
        <v>3</v>
      </c>
      <c r="D70" s="17" t="n">
        <v>5</v>
      </c>
      <c r="E70" s="17" t="n">
        <v>1</v>
      </c>
      <c r="F70" s="23" t="inlineStr">
        <is>
          <t>partners</t>
        </is>
      </c>
      <c r="G70"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1">
      <c r="A71" t="inlineStr">
        <is>
          <t>B2B partners - Y4</t>
        </is>
      </c>
      <c r="B71" s="31">
        <f>CHOOSE($C$6,C71,D71,E71)</f>
        <v/>
      </c>
      <c r="C71" s="17" t="n">
        <v>5</v>
      </c>
      <c r="D71" s="17" t="n">
        <v>8</v>
      </c>
      <c r="E71" s="17" t="n">
        <v>2</v>
      </c>
      <c r="F71" s="23" t="inlineStr">
        <is>
          <t>partners</t>
        </is>
      </c>
      <c r="G71"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2">
      <c r="A72" t="inlineStr">
        <is>
          <t>B2B partners - Y5</t>
        </is>
      </c>
      <c r="B72" s="31">
        <f>CHOOSE($C$6,C72,D72,E72)</f>
        <v/>
      </c>
      <c r="C72" s="17" t="n">
        <v>7</v>
      </c>
      <c r="D72" s="17" t="n">
        <v>11</v>
      </c>
      <c r="E72" s="17" t="n">
        <v>3</v>
      </c>
      <c r="F72" s="23" t="inlineStr">
        <is>
          <t>partners</t>
        </is>
      </c>
      <c r="G72"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3">
      <c r="A73" t="inlineStr">
        <is>
          <t>B2B partners - Y6</t>
        </is>
      </c>
      <c r="B73" s="31">
        <f>CHOOSE($C$6,C73,D73,E73)</f>
        <v/>
      </c>
      <c r="C73" s="17" t="n">
        <v>9</v>
      </c>
      <c r="D73" s="17" t="n">
        <v>14</v>
      </c>
      <c r="E73" s="17" t="n">
        <v>4</v>
      </c>
      <c r="F73" s="23" t="inlineStr">
        <is>
          <t>partners</t>
        </is>
      </c>
      <c r="G73"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4">
      <c r="A74" t="inlineStr">
        <is>
          <t>B2B partners - Y7</t>
        </is>
      </c>
      <c r="B74" s="31">
        <f>CHOOSE($C$6,C74,D74,E74)</f>
        <v/>
      </c>
      <c r="C74" s="17" t="n">
        <v>11</v>
      </c>
      <c r="D74" s="17" t="n">
        <v>17</v>
      </c>
      <c r="E74" s="17" t="n">
        <v>5</v>
      </c>
      <c r="F74" s="23" t="inlineStr">
        <is>
          <t>partners</t>
        </is>
      </c>
      <c r="G74" s="9" t="inlineStr">
        <is>
          <t>RAISED 2026-08-21. Base now reaches 11 by Y7, against ~20 nameable Gulf candidates without a gold product - roughly a 55% win rate on the addressable partner market, which is aggressive but arguable for a category with one incumbent. Partner 1 signs in Y2, matching the M13 B2B go-live. THE CANDIDATE LIST IS THE JUSTIFICATION AND IT IS FINITE: e&amp; money, Payit, Careem Pay, Al Ansari, LuLu Money, Rise, NOW Money, Wio, Liv, Mashreq Neo, Klip, PayBy, Jingle Pay, Thawani, BenefitPay, CWallet, Amanat and a handful of banks and exchange houses. Going much above this count means claiming partners that have not been named. ASSUMPTION on a sourced candidate set.</t>
        </is>
      </c>
    </row>
    <row r="75">
      <c r="A75" t="inlineStr">
        <is>
          <t>B2B platform fee</t>
        </is>
      </c>
      <c r="B75" s="39">
        <f>CHOOSE($C$6,C75,D75,E75)</f>
        <v/>
      </c>
      <c r="C75" s="16" t="n">
        <v>0.0075</v>
      </c>
      <c r="D75" s="16" t="n">
        <v>0.008999999999999999</v>
      </c>
      <c r="E75" s="16" t="n">
        <v>0.005</v>
      </c>
      <c r="F75" s="23" t="inlineStr">
        <is>
          <t>% of partner AUM/yr</t>
        </is>
      </c>
      <c r="G75" s="9" t="inlineStr">
        <is>
          <t>RAISED 2026-08-21 from 0.625%, client instruction, and PROMOTED FROM A HARDCODED ASSUMPTION TO A SCENARIO PARAMETER at the same time - it drives the largest stream in the model and had no band at all, which is the wrong place to be certain. 0.75% IS THE TOP OF THE CITED 0.5-0.75% BAND, NOT THE MIDDLE OF IT. That has a consequence worth stating plainly: the aggressive case at 0.90% NOW SITS OUTSIDE THE EVIDENCE, because there is no headroom left inside the band. Conservative at 0.50% is the band's floor. So the downside is sourced and the upside is not - the reverse of how a scenario range should usually be built, and the direct result of putting the base at the ceiling. The fee is COUPLED TO THE PARTNER SET: a platform fee is what a partner will pay for gold infrastructure it does not have to build, and the more bargaining power the partner has the lower it goes. Indian precedent is the warning - the three incumbent providers work on a 3-6% SPREAD that compresses hard for large partners, so a partner the size of Botim would push back on 0.75% harder than a small wallet would. Raising the partner count and the fee together assumes neither effect bites. ASSUMPTION at the ceiling of a cited band.</t>
        </is>
      </c>
    </row>
    <row r="76">
      <c r="A76" t="inlineStr">
        <is>
          <t>Average partner user base</t>
        </is>
      </c>
      <c r="B76" s="31">
        <f>CHOOSE($C$6,C76,D76,E76)</f>
        <v/>
      </c>
      <c r="C76" s="17" t="n">
        <v>900000</v>
      </c>
      <c r="D76" s="17" t="n">
        <v>1400000</v>
      </c>
      <c r="E76" s="17" t="n">
        <v>500000</v>
      </c>
      <c r="F76" s="23" t="inlineStr">
        <is>
          <t>active users</t>
        </is>
      </c>
      <c r="G76" s="9" t="inlineStr">
        <is>
          <t>THE MIX, NOT THE BIGGEST. A realistic six-partner Gulf book is roughly one Botim-scale (1.7m ACTIVE fintech users, of 8.2-8.5m app users), two at e&amp; money scale (~1.5m subscribers), and three small wallets at a few hundred thousand - which averages near 900k. USE ACTIVE USERS, NOT REGISTERED: Botim's own numbers separate 8.5m app users, 3m KYC'd and 1.7m active fintech users, and adopting the headline would overstate this by 5x. CITED for the two largest, ASSUMPTION for the tail.</t>
        </is>
      </c>
    </row>
    <row r="77">
      <c r="A77" t="inlineStr">
        <is>
          <t>Partner users adopting gold (mature)</t>
        </is>
      </c>
      <c r="B77" s="40">
        <f>CHOOSE($C$6,C77,D77,E77)</f>
        <v/>
      </c>
      <c r="C77" s="19" t="n">
        <v>0.06</v>
      </c>
      <c r="D77" s="19" t="n">
        <v>0.1</v>
      </c>
      <c r="E77" s="19" t="n">
        <v>0.03</v>
      </c>
      <c r="F77" s="23" t="inlineStr">
        <is>
          <t>% of partner users</t>
        </is>
      </c>
      <c r="G77" s="9" t="inlineStr">
        <is>
          <t>OBSERVED ANCHOR: O Gold reports 75,000 ACTIVE users against Botim's 1.7m active fintech users - 4.4% - and 775,000 who merely explored the feature. Base is set at 6%, ABOVE the observed 4.4%, because that figure is roughly six months after the gold feature launched and adoption should mature; 6% is a 1.4x maturation, not a doubling. THE 4.4% IS THE ONLY OBSERVED GOLD-ADOPTION RATE FOR A GULF WALLET THAT EXISTS. TRIANGULATED.</t>
        </is>
      </c>
    </row>
    <row r="78">
      <c r="A78" t="inlineStr">
        <is>
          <t>AUM per adopting partner user</t>
        </is>
      </c>
      <c r="B78" s="42">
        <f>CHOOSE($C$6,C78,D78,E78)</f>
        <v/>
      </c>
      <c r="C78" s="20" t="n">
        <v>350</v>
      </c>
      <c r="D78" s="20" t="n">
        <v>500</v>
      </c>
      <c r="E78" s="20" t="n">
        <v>220</v>
      </c>
      <c r="F78" s="23" t="inlineStr">
        <is>
          <t>USD</t>
        </is>
      </c>
      <c r="G78" s="9" t="inlineStr">
        <is>
          <t>DERIVED FROM BOTIM'S OWN DISCLOSURES AND CROSS-CHECKED AGAINST OUR OWN BOOK - two independent routes to nearly the same number, which is why this is the firmest input in the B2B block. Botim: AED 100m+ of gold across 128,000 trades since Aug 2025, against 75,000 active O Gold users, implies ~USD 363 per active user. Aurumix's own direct book runs at ~USD 302 of gold per customer. A partner's users are buying the same product with the same wallets. DERIVED.</t>
        </is>
      </c>
    </row>
    <row r="79">
      <c r="A79" t="inlineStr">
        <is>
          <t>AUM per partner (derived)</t>
        </is>
      </c>
      <c r="B79" s="42">
        <f>'Scenario Parameters'!$B$76*'Scenario Parameters'!$B$77*'Scenario Parameters'!$B$78</f>
        <v/>
      </c>
      <c r="F79" s="23" t="inlineStr">
        <is>
          <t>USD</t>
        </is>
      </c>
      <c r="G79" s="9" t="inlineStr">
        <is>
          <t>NO LONGER A TYPED NUMBER. Was a flat USD 32m asserted as 'mature AUM per partner' with no derivation. Now users x adoption x AUM per adopting user, every term of which has an external anchor. THE POINT OF THE CHANGE: the only remaining argument is the PARTNER COUNT, which rests on a nameable candidate list and is the argument that can actually be won. DERIVED.</t>
        </is>
      </c>
    </row>
    <row r="81" ht="18" customHeight="1">
      <c r="A81" s="12" t="inlineStr">
        <is>
          <t>GROUP F: REGIONS</t>
        </is>
      </c>
      <c r="B81" s="13" t="n"/>
      <c r="C81" s="13" t="n"/>
      <c r="D81" s="13" t="n"/>
      <c r="E81" s="13" t="n"/>
    </row>
    <row r="82">
      <c r="A82" s="14" t="inlineStr">
        <is>
          <t>Parameter</t>
        </is>
      </c>
      <c r="B82" s="14" t="inlineStr">
        <is>
          <t>Active Value</t>
        </is>
      </c>
      <c r="C82" s="14" t="inlineStr">
        <is>
          <t>Base</t>
        </is>
      </c>
      <c r="D82" s="14" t="inlineStr">
        <is>
          <t>Aggressive</t>
        </is>
      </c>
      <c r="E82" s="14" t="inlineStr">
        <is>
          <t>Conservative</t>
        </is>
      </c>
      <c r="F82" s="14" t="inlineStr">
        <is>
          <t>Unit</t>
        </is>
      </c>
    </row>
    <row r="83">
      <c r="A83" t="inlineStr">
        <is>
          <t>Average monthly ticket - UAE</t>
        </is>
      </c>
      <c r="B83" s="42">
        <f>CHOOSE($C$6,C83,D83,E83)</f>
        <v/>
      </c>
      <c r="C83" s="20" t="n">
        <v>33.6</v>
      </c>
      <c r="D83" s="20" t="n">
        <v>41</v>
      </c>
      <c r="E83" s="20" t="n">
        <v>26.5</v>
      </c>
      <c r="F83" s="23" t="inlineStr">
        <is>
          <t>USD/month</t>
        </is>
      </c>
      <c r="G8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4">
      <c r="A84" t="inlineStr">
        <is>
          <t>Average monthly ticket - Oman and Bahrain</t>
        </is>
      </c>
      <c r="B84" s="42">
        <f>CHOOSE($C$6,C84,D84,E84)</f>
        <v/>
      </c>
      <c r="C84" s="20" t="n">
        <v>26</v>
      </c>
      <c r="D84" s="20" t="n">
        <v>32</v>
      </c>
      <c r="E84" s="20" t="n">
        <v>21</v>
      </c>
      <c r="F84" s="23" t="inlineStr">
        <is>
          <t>USD/month</t>
        </is>
      </c>
      <c r="G8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5">
      <c r="A85" t="inlineStr">
        <is>
          <t>Average monthly ticket - India</t>
        </is>
      </c>
      <c r="B85" s="42">
        <f>CHOOSE($C$6,C85,D85,E85)</f>
        <v/>
      </c>
      <c r="C85" s="20" t="n">
        <v>30</v>
      </c>
      <c r="D85" s="20" t="n">
        <v>36</v>
      </c>
      <c r="E85" s="20" t="n">
        <v>24</v>
      </c>
      <c r="F85" s="23" t="inlineStr">
        <is>
          <t>USD/month</t>
        </is>
      </c>
      <c r="G85"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87" ht="18" customHeight="1">
      <c r="A87" s="12" t="inlineStr">
        <is>
          <t>STRUCTURAL SWITCHES - the two that move revenue</t>
        </is>
      </c>
      <c r="B87" s="13" t="n"/>
      <c r="C87" s="13" t="n"/>
      <c r="D87" s="13" t="n"/>
      <c r="E87" s="13" t="n"/>
    </row>
    <row r="88">
      <c r="A88" s="14" t="inlineStr">
        <is>
          <t>Switch</t>
        </is>
      </c>
      <c r="B88" s="14" t="inlineStr">
        <is>
          <t>Active (1/0)</t>
        </is>
      </c>
      <c r="C88" s="14" t="inlineStr">
        <is>
          <t>State</t>
        </is>
      </c>
      <c r="D88" s="14" t="inlineStr">
        <is>
          <t>ON value</t>
        </is>
      </c>
    </row>
    <row r="89">
      <c r="A89" t="inlineStr">
        <is>
          <t>Prepaid instead of credit</t>
        </is>
      </c>
      <c r="B89" s="31">
        <f>IF($C$89="Prepaid",1,0)</f>
        <v/>
      </c>
      <c r="C89" s="38" t="inlineStr">
        <is>
          <t>Credit</t>
        </is>
      </c>
      <c r="D89" s="23" t="inlineStr">
        <is>
          <t>Prepaid</t>
        </is>
      </c>
      <c r="G89" s="9" t="inlineStr">
        <is>
          <t>ON (Prepaid) caps interchange at 1.00% and removes the credit stream entirely. 'NOT A PRODUCT CHOICE, IT IS THE BUSINESS MODEL.' Worth ~USD 2.3m of Y10 revenue on the ten-year run.</t>
        </is>
      </c>
    </row>
    <row r="90">
      <c r="A90" t="inlineStr">
        <is>
          <t>Holders keep the card</t>
        </is>
      </c>
      <c r="B90" s="31">
        <f>IF($C$90="ON",1,0)</f>
        <v/>
      </c>
      <c r="C90" s="38" t="inlineStr">
        <is>
          <t>ON</t>
        </is>
      </c>
      <c r="D90" s="23" t="inlineStr">
        <is>
          <t>ON</t>
        </is>
      </c>
      <c r="G90"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89" showDropDown="0" showInputMessage="0" showErrorMessage="0" allowBlank="0" type="list">
      <formula1>"Credit,Prepaid"</formula1>
    </dataValidation>
    <dataValidation sqref="C90"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85"/>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(1+(Assumptions!$F$61-1)*Assumptions!$B$133)*12/SUMPRODUCT(1+(Assumptions!$F$61:$Q$61-1)*Assumptions!$B$133)</f>
        <v/>
      </c>
      <c r="D11" s="48">
        <f>(1+(Assumptions!$G$61-1)*Assumptions!$B$133)*12/SUMPRODUCT(1+(Assumptions!$F$61:$Q$61-1)*Assumptions!$B$133)</f>
        <v/>
      </c>
      <c r="E11" s="48">
        <f>(1+(Assumptions!$H$61-1)*Assumptions!$B$133)*12/SUMPRODUCT(1+(Assumptions!$F$61:$Q$61-1)*Assumptions!$B$133)</f>
        <v/>
      </c>
      <c r="F11" s="48">
        <f>(1+(Assumptions!$I$61-1)*Assumptions!$B$133)*12/SUMPRODUCT(1+(Assumptions!$F$61:$Q$61-1)*Assumptions!$B$133)</f>
        <v/>
      </c>
      <c r="G11" s="48">
        <f>(1+(Assumptions!$J$61-1)*Assumptions!$B$133)*12/SUMPRODUCT(1+(Assumptions!$F$61:$Q$61-1)*Assumptions!$B$133)</f>
        <v/>
      </c>
      <c r="H11" s="48">
        <f>(1+(Assumptions!$K$61-1)*Assumptions!$B$133)*12/SUMPRODUCT(1+(Assumptions!$F$61:$Q$61-1)*Assumptions!$B$133)</f>
        <v/>
      </c>
      <c r="I11" s="48">
        <f>(1+(Assumptions!$L$61-1)*Assumptions!$B$133)*12/SUMPRODUCT(1+(Assumptions!$F$61:$Q$61-1)*Assumptions!$B$133)</f>
        <v/>
      </c>
      <c r="J11" s="48">
        <f>(1+(Assumptions!$M$61-1)*Assumptions!$B$133)*12/SUMPRODUCT(1+(Assumptions!$F$61:$Q$61-1)*Assumptions!$B$133)</f>
        <v/>
      </c>
      <c r="K11" s="48">
        <f>(1+(Assumptions!$N$61-1)*Assumptions!$B$133)*12/SUMPRODUCT(1+(Assumptions!$F$61:$Q$61-1)*Assumptions!$B$133)</f>
        <v/>
      </c>
      <c r="L11" s="48">
        <f>(1+(Assumptions!$O$61-1)*Assumptions!$B$133)*12/SUMPRODUCT(1+(Assumptions!$F$61:$Q$61-1)*Assumptions!$B$133)</f>
        <v/>
      </c>
      <c r="M11" s="48">
        <f>(1+(Assumptions!$P$61-1)*Assumptions!$B$133)*12/SUMPRODUCT(1+(Assumptions!$F$61:$Q$61-1)*Assumptions!$B$133)</f>
        <v/>
      </c>
      <c r="N11" s="48">
        <f>(1+(Assumptions!$Q$61-1)*Assumptions!$B$133)*12/SUMPRODUCT(1+(Assumptions!$F$61:$Q$61-1)*Assumptions!$B$133)</f>
        <v/>
      </c>
    </row>
    <row r="12">
      <c r="A12" t="inlineStr">
        <is>
          <t>Card spend seasonality - normalised</t>
        </is>
      </c>
      <c r="B12" s="23" t="inlineStr">
        <is>
          <t>Jan..Dec</t>
        </is>
      </c>
      <c r="C12" s="48">
        <f>(1+(Assumptions!$F$62-1)*Assumptions!$B$133)*12/SUMPRODUCT(1+(Assumptions!$F$62:$Q$62-1)*Assumptions!$B$133)</f>
        <v/>
      </c>
      <c r="D12" s="48">
        <f>(1+(Assumptions!$G$62-1)*Assumptions!$B$133)*12/SUMPRODUCT(1+(Assumptions!$F$62:$Q$62-1)*Assumptions!$B$133)</f>
        <v/>
      </c>
      <c r="E12" s="48">
        <f>(1+(Assumptions!$H$62-1)*Assumptions!$B$133)*12/SUMPRODUCT(1+(Assumptions!$F$62:$Q$62-1)*Assumptions!$B$133)</f>
        <v/>
      </c>
      <c r="F12" s="48">
        <f>(1+(Assumptions!$I$62-1)*Assumptions!$B$133)*12/SUMPRODUCT(1+(Assumptions!$F$62:$Q$62-1)*Assumptions!$B$133)</f>
        <v/>
      </c>
      <c r="G12" s="48">
        <f>(1+(Assumptions!$J$62-1)*Assumptions!$B$133)*12/SUMPRODUCT(1+(Assumptions!$F$62:$Q$62-1)*Assumptions!$B$133)</f>
        <v/>
      </c>
      <c r="H12" s="48">
        <f>(1+(Assumptions!$K$62-1)*Assumptions!$B$133)*12/SUMPRODUCT(1+(Assumptions!$F$62:$Q$62-1)*Assumptions!$B$133)</f>
        <v/>
      </c>
      <c r="I12" s="48">
        <f>(1+(Assumptions!$L$62-1)*Assumptions!$B$133)*12/SUMPRODUCT(1+(Assumptions!$F$62:$Q$62-1)*Assumptions!$B$133)</f>
        <v/>
      </c>
      <c r="J12" s="48">
        <f>(1+(Assumptions!$M$62-1)*Assumptions!$B$133)*12/SUMPRODUCT(1+(Assumptions!$F$62:$Q$62-1)*Assumptions!$B$133)</f>
        <v/>
      </c>
      <c r="K12" s="48">
        <f>(1+(Assumptions!$N$62-1)*Assumptions!$B$133)*12/SUMPRODUCT(1+(Assumptions!$F$62:$Q$62-1)*Assumptions!$B$133)</f>
        <v/>
      </c>
      <c r="L12" s="48">
        <f>(1+(Assumptions!$O$62-1)*Assumptions!$B$133)*12/SUMPRODUCT(1+(Assumptions!$F$62:$Q$62-1)*Assumptions!$B$133)</f>
        <v/>
      </c>
      <c r="M12" s="48">
        <f>(1+(Assumptions!$P$62-1)*Assumptions!$B$133)*12/SUMPRODUCT(1+(Assumptions!$F$62:$Q$62-1)*Assumptions!$B$133)</f>
        <v/>
      </c>
      <c r="N12" s="48">
        <f>(1+(Assumptions!$Q$62-1)*Assumptions!$B$133)*12/SUMPRODUCT(1+(Assumptions!$F$62:$Q$62-1)*Assumptions!$B$133)</f>
        <v/>
      </c>
    </row>
    <row r="13">
      <c r="A13" t="inlineStr">
        <is>
          <t>Foreign-spend share - rescaled to the mean</t>
        </is>
      </c>
      <c r="B13" s="23" t="inlineStr">
        <is>
          <t>Jan..Dec</t>
        </is>
      </c>
      <c r="C13" s="49">
        <f>Assumptions!$F$63/AVERAGE(Assumptions!$F$63:$Q$63)*Assumptions!$B$145</f>
        <v/>
      </c>
      <c r="D13" s="49">
        <f>Assumptions!$G$63/AVERAGE(Assumptions!$F$63:$Q$63)*Assumptions!$B$145</f>
        <v/>
      </c>
      <c r="E13" s="49">
        <f>Assumptions!$H$63/AVERAGE(Assumptions!$F$63:$Q$63)*Assumptions!$B$145</f>
        <v/>
      </c>
      <c r="F13" s="49">
        <f>Assumptions!$I$63/AVERAGE(Assumptions!$F$63:$Q$63)*Assumptions!$B$145</f>
        <v/>
      </c>
      <c r="G13" s="49">
        <f>Assumptions!$J$63/AVERAGE(Assumptions!$F$63:$Q$63)*Assumptions!$B$145</f>
        <v/>
      </c>
      <c r="H13" s="49">
        <f>Assumptions!$K$63/AVERAGE(Assumptions!$F$63:$Q$63)*Assumptions!$B$145</f>
        <v/>
      </c>
      <c r="I13" s="49">
        <f>Assumptions!$L$63/AVERAGE(Assumptions!$F$63:$Q$63)*Assumptions!$B$145</f>
        <v/>
      </c>
      <c r="J13" s="49">
        <f>Assumptions!$M$63/AVERAGE(Assumptions!$F$63:$Q$63)*Assumptions!$B$145</f>
        <v/>
      </c>
      <c r="K13" s="49">
        <f>Assumptions!$N$63/AVERAGE(Assumptions!$F$63:$Q$63)*Assumptions!$B$145</f>
        <v/>
      </c>
      <c r="L13" s="49">
        <f>Assumptions!$O$63/AVERAGE(Assumptions!$F$63:$Q$63)*Assumptions!$B$145</f>
        <v/>
      </c>
      <c r="M13" s="49">
        <f>Assumptions!$P$63/AVERAGE(Assumptions!$F$63:$Q$63)*Assumptions!$B$145</f>
        <v/>
      </c>
      <c r="N13" s="49">
        <f>Assumptions!$Q$63/AVERAGE(Assumptions!$F$63:$Q$63)*Assumptions!$B$145</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INDEX(Assumptions!$B$93:$B$99,C5)*Assumptions!$B$123*INDEX(Assumptions!$B$107:$B$113,C5)*C7</f>
        <v/>
      </c>
      <c r="D20" s="53">
        <f>INDEX(Assumptions!$B$93:$B$99,D5)*Assumptions!$B$123*INDEX(Assumptions!$B$107:$B$113,D5)*D7</f>
        <v/>
      </c>
      <c r="E20" s="53">
        <f>INDEX(Assumptions!$B$93:$B$99,E5)*Assumptions!$B$123*INDEX(Assumptions!$B$107:$B$113,E5)*E7</f>
        <v/>
      </c>
      <c r="F20" s="53">
        <f>INDEX(Assumptions!$B$93:$B$99,F5)*Assumptions!$B$123*INDEX(Assumptions!$B$107:$B$113,F5)*F7</f>
        <v/>
      </c>
      <c r="G20" s="53">
        <f>INDEX(Assumptions!$B$93:$B$99,G5)*Assumptions!$B$123*INDEX(Assumptions!$B$107:$B$113,G5)*G7</f>
        <v/>
      </c>
      <c r="H20" s="53">
        <f>INDEX(Assumptions!$B$93:$B$99,H5)*Assumptions!$B$123*INDEX(Assumptions!$B$107:$B$113,H5)*H7</f>
        <v/>
      </c>
      <c r="I20" s="53">
        <f>INDEX(Assumptions!$B$93:$B$99,I5)*Assumptions!$B$123*INDEX(Assumptions!$B$107:$B$113,I5)*I7</f>
        <v/>
      </c>
      <c r="J20" s="53">
        <f>INDEX(Assumptions!$B$93:$B$99,J5)*Assumptions!$B$123*INDEX(Assumptions!$B$107:$B$113,J5)*J7</f>
        <v/>
      </c>
      <c r="K20" s="53">
        <f>INDEX(Assumptions!$B$93:$B$99,K5)*Assumptions!$B$123*INDEX(Assumptions!$B$107:$B$113,K5)*K7</f>
        <v/>
      </c>
      <c r="L20" s="53">
        <f>INDEX(Assumptions!$B$93:$B$99,L5)*Assumptions!$B$123*INDEX(Assumptions!$B$107:$B$113,L5)*L7</f>
        <v/>
      </c>
      <c r="M20" s="53">
        <f>INDEX(Assumptions!$B$93:$B$99,M5)*Assumptions!$B$123*INDEX(Assumptions!$B$107:$B$113,M5)*M7</f>
        <v/>
      </c>
      <c r="N20" s="53">
        <f>INDEX(Assumptions!$B$93:$B$99,N5)*Assumptions!$B$123*INDEX(Assumptions!$B$107:$B$113,N5)*N7</f>
        <v/>
      </c>
      <c r="O20" s="53">
        <f>INDEX(Assumptions!$B$93:$B$99,O5)*Assumptions!$B$123*INDEX(Assumptions!$B$107:$B$113,O5)*O7</f>
        <v/>
      </c>
      <c r="P20" s="53">
        <f>INDEX(Assumptions!$B$93:$B$99,P5)*Assumptions!$B$123*INDEX(Assumptions!$B$107:$B$113,P5)*P7</f>
        <v/>
      </c>
      <c r="Q20" s="53">
        <f>INDEX(Assumptions!$B$93:$B$99,Q5)*Assumptions!$B$123*INDEX(Assumptions!$B$107:$B$113,Q5)*Q7</f>
        <v/>
      </c>
      <c r="R20" s="53">
        <f>INDEX(Assumptions!$B$93:$B$99,R5)*Assumptions!$B$123*INDEX(Assumptions!$B$107:$B$113,R5)*R7</f>
        <v/>
      </c>
      <c r="S20" s="53">
        <f>INDEX(Assumptions!$B$93:$B$99,S5)*Assumptions!$B$123*INDEX(Assumptions!$B$107:$B$113,S5)*S7</f>
        <v/>
      </c>
      <c r="T20" s="53">
        <f>INDEX(Assumptions!$B$93:$B$99,T5)*Assumptions!$B$123*INDEX(Assumptions!$B$107:$B$113,T5)*T7</f>
        <v/>
      </c>
      <c r="U20" s="53">
        <f>INDEX(Assumptions!$B$93:$B$99,U5)*Assumptions!$B$123*INDEX(Assumptions!$B$107:$B$113,U5)*U7</f>
        <v/>
      </c>
      <c r="V20" s="53">
        <f>INDEX(Assumptions!$B$93:$B$99,V5)*Assumptions!$B$123*INDEX(Assumptions!$B$107:$B$113,V5)*V7</f>
        <v/>
      </c>
      <c r="W20" s="53">
        <f>INDEX(Assumptions!$B$93:$B$99,W5)*Assumptions!$B$123*INDEX(Assumptions!$B$107:$B$113,W5)*W7</f>
        <v/>
      </c>
      <c r="X20" s="53">
        <f>INDEX(Assumptions!$B$93:$B$99,X5)*Assumptions!$B$123*INDEX(Assumptions!$B$107:$B$113,X5)*X7</f>
        <v/>
      </c>
      <c r="Y20" s="53">
        <f>INDEX(Assumptions!$B$93:$B$99,Y5)*Assumptions!$B$123*INDEX(Assumptions!$B$107:$B$113,Y5)*Y7</f>
        <v/>
      </c>
      <c r="Z20" s="53">
        <f>INDEX(Assumptions!$B$93:$B$99,Z5)*Assumptions!$B$123*INDEX(Assumptions!$B$107:$B$113,Z5)*Z7</f>
        <v/>
      </c>
      <c r="AA20" s="53">
        <f>INDEX(Assumptions!$B$93:$B$99,AA5)*Assumptions!$B$123*INDEX(Assumptions!$B$107:$B$113,AA5)*AA7</f>
        <v/>
      </c>
      <c r="AB20" s="53">
        <f>INDEX(Assumptions!$B$93:$B$99,AB5)*Assumptions!$B$123*INDEX(Assumptions!$B$107:$B$113,AB5)*AB7</f>
        <v/>
      </c>
      <c r="AC20" s="53">
        <f>INDEX(Assumptions!$B$93:$B$99,AC5)*Assumptions!$B$123*INDEX(Assumptions!$B$107:$B$113,AC5)*AC7</f>
        <v/>
      </c>
      <c r="AD20" s="53">
        <f>INDEX(Assumptions!$B$93:$B$99,AD5)*Assumptions!$B$123*INDEX(Assumptions!$B$107:$B$113,AD5)*AD7</f>
        <v/>
      </c>
      <c r="AE20" s="53">
        <f>INDEX(Assumptions!$B$93:$B$99,AE5)*Assumptions!$B$123*INDEX(Assumptions!$B$107:$B$113,AE5)*AE7</f>
        <v/>
      </c>
    </row>
    <row r="21">
      <c r="A21" s="6" t="inlineStr">
        <is>
          <t>Gold price (this period)</t>
        </is>
      </c>
      <c r="B21" s="23" t="inlineStr">
        <is>
          <t>USD/g</t>
        </is>
      </c>
      <c r="C21" s="53">
        <f>Assumptions!$B$6*(1+Assumptions!$B$120)^(C5-1)</f>
        <v/>
      </c>
      <c r="D21" s="53">
        <f>Assumptions!$B$6*(1+Assumptions!$B$120)^(D5-1)</f>
        <v/>
      </c>
      <c r="E21" s="53">
        <f>Assumptions!$B$6*(1+Assumptions!$B$120)^(E5-1)</f>
        <v/>
      </c>
      <c r="F21" s="53">
        <f>Assumptions!$B$6*(1+Assumptions!$B$120)^(F5-1)</f>
        <v/>
      </c>
      <c r="G21" s="53">
        <f>Assumptions!$B$6*(1+Assumptions!$B$120)^(G5-1)</f>
        <v/>
      </c>
      <c r="H21" s="53">
        <f>Assumptions!$B$6*(1+Assumptions!$B$120)^(H5-1)</f>
        <v/>
      </c>
      <c r="I21" s="53">
        <f>Assumptions!$B$6*(1+Assumptions!$B$120)^(I5-1)</f>
        <v/>
      </c>
      <c r="J21" s="53">
        <f>Assumptions!$B$6*(1+Assumptions!$B$120)^(J5-1)</f>
        <v/>
      </c>
      <c r="K21" s="53">
        <f>Assumptions!$B$6*(1+Assumptions!$B$120)^(K5-1)</f>
        <v/>
      </c>
      <c r="L21" s="53">
        <f>Assumptions!$B$6*(1+Assumptions!$B$120)^(L5-1)</f>
        <v/>
      </c>
      <c r="M21" s="53">
        <f>Assumptions!$B$6*(1+Assumptions!$B$120)^(M5-1)</f>
        <v/>
      </c>
      <c r="N21" s="53">
        <f>Assumptions!$B$6*(1+Assumptions!$B$120)^(N5-1)</f>
        <v/>
      </c>
      <c r="O21" s="53">
        <f>Assumptions!$B$6*(1+Assumptions!$B$120)^(O5-1)</f>
        <v/>
      </c>
      <c r="P21" s="53">
        <f>Assumptions!$B$6*(1+Assumptions!$B$120)^(P5-1)</f>
        <v/>
      </c>
      <c r="Q21" s="53">
        <f>Assumptions!$B$6*(1+Assumptions!$B$120)^(Q5-1)</f>
        <v/>
      </c>
      <c r="R21" s="53">
        <f>Assumptions!$B$6*(1+Assumptions!$B$120)^(R5-1)</f>
        <v/>
      </c>
      <c r="S21" s="53">
        <f>Assumptions!$B$6*(1+Assumptions!$B$120)^(S5-1)</f>
        <v/>
      </c>
      <c r="T21" s="53">
        <f>Assumptions!$B$6*(1+Assumptions!$B$120)^(T5-1)</f>
        <v/>
      </c>
      <c r="U21" s="53">
        <f>Assumptions!$B$6*(1+Assumptions!$B$120)^(U5-1)</f>
        <v/>
      </c>
      <c r="V21" s="53">
        <f>Assumptions!$B$6*(1+Assumptions!$B$120)^(V5-1)</f>
        <v/>
      </c>
      <c r="W21" s="53">
        <f>Assumptions!$B$6*(1+Assumptions!$B$120)^(W5-1)</f>
        <v/>
      </c>
      <c r="X21" s="53">
        <f>Assumptions!$B$6*(1+Assumptions!$B$120)^(X5-1)</f>
        <v/>
      </c>
      <c r="Y21" s="53">
        <f>Assumptions!$B$6*(1+Assumptions!$B$120)^(Y5-1)</f>
        <v/>
      </c>
      <c r="Z21" s="53">
        <f>Assumptions!$B$6*(1+Assumptions!$B$120)^(Z5-1)</f>
        <v/>
      </c>
      <c r="AA21" s="53">
        <f>Assumptions!$B$6*(1+Assumptions!$B$120)^(AA5-1)</f>
        <v/>
      </c>
      <c r="AB21" s="53">
        <f>Assumptions!$B$6*(1+Assumptions!$B$120)^(AB5-1)</f>
        <v/>
      </c>
      <c r="AC21" s="53">
        <f>Assumptions!$B$6*(1+Assumptions!$B$120)^(AC5-1)</f>
        <v/>
      </c>
      <c r="AD21" s="53">
        <f>Assumptions!$B$6*(1+Assumptions!$B$120)^(AD5-1)</f>
        <v/>
      </c>
      <c r="AE21" s="53">
        <f>Assumptions!$B$6*(1+Assumptions!$B$120)^(AE5-1)</f>
        <v/>
      </c>
    </row>
    <row r="22">
      <c r="A22" s="9" t="inlineStr">
        <is>
          <t>RISING GOLD CUTS BOTH WAYS AND THE MODEL CAPTURES BOTH. Metal already held appreciates, but a fixed USD contribution BUYS FEWER GRAMS each year - so AUM does NOT simply compound at the headline rate. Only the collateral-linked streams move with this row (card limit, and lending through it); the entry fee is a percentage of a USD contribution and is untouched by the gold price.</t>
        </is>
      </c>
    </row>
    <row r="23">
      <c r="A23" s="6" t="inlineStr">
        <is>
          <t>Open-region salesforce share (renormalisation base)</t>
        </is>
      </c>
      <c r="B23" s="23" t="inlineStr">
        <is>
          <t>x</t>
        </is>
      </c>
      <c r="C23" s="48">
        <f>Assumptions!$B$114*1+Assumptions!$B$115*IF(C2&gt;=Assumptions!$B$56,1,0)+Assumptions!$B$116*IF(C2&gt;=Assumptions!$B$57,1,0)</f>
        <v/>
      </c>
      <c r="D23" s="48">
        <f>Assumptions!$B$114*1+Assumptions!$B$115*IF(D2&gt;=Assumptions!$B$56,1,0)+Assumptions!$B$116*IF(D2&gt;=Assumptions!$B$57,1,0)</f>
        <v/>
      </c>
      <c r="E23" s="48">
        <f>Assumptions!$B$114*1+Assumptions!$B$115*IF(E2&gt;=Assumptions!$B$56,1,0)+Assumptions!$B$116*IF(E2&gt;=Assumptions!$B$57,1,0)</f>
        <v/>
      </c>
      <c r="F23" s="48">
        <f>Assumptions!$B$114*1+Assumptions!$B$115*IF(F2&gt;=Assumptions!$B$56,1,0)+Assumptions!$B$116*IF(F2&gt;=Assumptions!$B$57,1,0)</f>
        <v/>
      </c>
      <c r="G23" s="48">
        <f>Assumptions!$B$114*1+Assumptions!$B$115*IF(G2&gt;=Assumptions!$B$56,1,0)+Assumptions!$B$116*IF(G2&gt;=Assumptions!$B$57,1,0)</f>
        <v/>
      </c>
      <c r="H23" s="48">
        <f>Assumptions!$B$114*1+Assumptions!$B$115*IF(H2&gt;=Assumptions!$B$56,1,0)+Assumptions!$B$116*IF(H2&gt;=Assumptions!$B$57,1,0)</f>
        <v/>
      </c>
      <c r="I23" s="48">
        <f>Assumptions!$B$114*1+Assumptions!$B$115*IF(I2&gt;=Assumptions!$B$56,1,0)+Assumptions!$B$116*IF(I2&gt;=Assumptions!$B$57,1,0)</f>
        <v/>
      </c>
      <c r="J23" s="48">
        <f>Assumptions!$B$114*1+Assumptions!$B$115*IF(J2&gt;=Assumptions!$B$56,1,0)+Assumptions!$B$116*IF(J2&gt;=Assumptions!$B$57,1,0)</f>
        <v/>
      </c>
      <c r="K23" s="48">
        <f>Assumptions!$B$114*1+Assumptions!$B$115*IF(K2&gt;=Assumptions!$B$56,1,0)+Assumptions!$B$116*IF(K2&gt;=Assumptions!$B$57,1,0)</f>
        <v/>
      </c>
      <c r="L23" s="48">
        <f>Assumptions!$B$114*1+Assumptions!$B$115*IF(L2&gt;=Assumptions!$B$56,1,0)+Assumptions!$B$116*IF(L2&gt;=Assumptions!$B$57,1,0)</f>
        <v/>
      </c>
      <c r="M23" s="48">
        <f>Assumptions!$B$114*1+Assumptions!$B$115*IF(M2&gt;=Assumptions!$B$56,1,0)+Assumptions!$B$116*IF(M2&gt;=Assumptions!$B$57,1,0)</f>
        <v/>
      </c>
      <c r="N23" s="48">
        <f>Assumptions!$B$114*1+Assumptions!$B$115*IF(N2&gt;=Assumptions!$B$56,1,0)+Assumptions!$B$116*IF(N2&gt;=Assumptions!$B$57,1,0)</f>
        <v/>
      </c>
      <c r="O23" s="48">
        <f>Assumptions!$B$114*1+Assumptions!$B$115*IF(O2&gt;=Assumptions!$B$56,1,0)+Assumptions!$B$116*IF(O2&gt;=Assumptions!$B$57,1,0)</f>
        <v/>
      </c>
      <c r="P23" s="48">
        <f>Assumptions!$B$114*1+Assumptions!$B$115*IF(P2&gt;=Assumptions!$B$56,1,0)+Assumptions!$B$116*IF(P2&gt;=Assumptions!$B$57,1,0)</f>
        <v/>
      </c>
      <c r="Q23" s="48">
        <f>Assumptions!$B$114*1+Assumptions!$B$115*IF(Q2&gt;=Assumptions!$B$56,1,0)+Assumptions!$B$116*IF(Q2&gt;=Assumptions!$B$57,1,0)</f>
        <v/>
      </c>
      <c r="R23" s="48">
        <f>Assumptions!$B$114*1+Assumptions!$B$115*IF(R2&gt;=Assumptions!$B$56,1,0)+Assumptions!$B$116*IF(R2&gt;=Assumptions!$B$57,1,0)</f>
        <v/>
      </c>
      <c r="S23" s="48">
        <f>Assumptions!$B$114*1+Assumptions!$B$115*IF(S2&gt;=Assumptions!$B$56,1,0)+Assumptions!$B$116*IF(S2&gt;=Assumptions!$B$57,1,0)</f>
        <v/>
      </c>
      <c r="T23" s="48">
        <f>Assumptions!$B$114*1+Assumptions!$B$115*IF(T2&gt;=Assumptions!$B$56,1,0)+Assumptions!$B$116*IF(T2&gt;=Assumptions!$B$57,1,0)</f>
        <v/>
      </c>
      <c r="U23" s="48">
        <f>Assumptions!$B$114*1+Assumptions!$B$115*IF(U2&gt;=Assumptions!$B$56,1,0)+Assumptions!$B$116*IF(U2&gt;=Assumptions!$B$57,1,0)</f>
        <v/>
      </c>
      <c r="V23" s="48">
        <f>Assumptions!$B$114*1+Assumptions!$B$115*IF(V2&gt;=Assumptions!$B$56,1,0)+Assumptions!$B$116*IF(V2&gt;=Assumptions!$B$57,1,0)</f>
        <v/>
      </c>
      <c r="W23" s="48">
        <f>Assumptions!$B$114*1+Assumptions!$B$115*IF(W2&gt;=Assumptions!$B$56,1,0)+Assumptions!$B$116*IF(W2&gt;=Assumptions!$B$57,1,0)</f>
        <v/>
      </c>
      <c r="X23" s="48">
        <f>Assumptions!$B$114*1+Assumptions!$B$115*IF(X2&gt;=Assumptions!$B$56,1,0)+Assumptions!$B$116*IF(X2&gt;=Assumptions!$B$57,1,0)</f>
        <v/>
      </c>
      <c r="Y23" s="48">
        <f>Assumptions!$B$114*1+Assumptions!$B$115*IF(Y2&gt;=Assumptions!$B$56,1,0)+Assumptions!$B$116*IF(Y2&gt;=Assumptions!$B$57,1,0)</f>
        <v/>
      </c>
      <c r="Z23" s="48">
        <f>Assumptions!$B$114*1+Assumptions!$B$115*IF(Z2&gt;=Assumptions!$B$56,1,0)+Assumptions!$B$116*IF(Z2&gt;=Assumptions!$B$57,1,0)</f>
        <v/>
      </c>
      <c r="AA23" s="48">
        <f>Assumptions!$B$114*1+Assumptions!$B$115*IF(AA2&gt;=Assumptions!$B$56,1,0)+Assumptions!$B$116*IF(AA2&gt;=Assumptions!$B$57,1,0)</f>
        <v/>
      </c>
      <c r="AB23" s="48">
        <f>Assumptions!$B$114*1+Assumptions!$B$115*IF(AB2&gt;=Assumptions!$B$56,1,0)+Assumptions!$B$116*IF(AB2&gt;=Assumptions!$B$57,1,0)</f>
        <v/>
      </c>
      <c r="AC23" s="48">
        <f>Assumptions!$B$114*1+Assumptions!$B$115*IF(AC2&gt;=Assumptions!$B$56,1,0)+Assumptions!$B$116*IF(AC2&gt;=Assumptions!$B$57,1,0)</f>
        <v/>
      </c>
      <c r="AD23" s="48">
        <f>Assumptions!$B$114*1+Assumptions!$B$115*IF(AD2&gt;=Assumptions!$B$56,1,0)+Assumptions!$B$116*IF(AD2&gt;=Assumptions!$B$57,1,0)</f>
        <v/>
      </c>
      <c r="AE23" s="48">
        <f>Assumptions!$B$114*1+Assumptions!$B$115*IF(AE2&gt;=Assumptions!$B$56,1,0)+Assumptions!$B$116*IF(AE2&gt;=Assumptions!$B$57,1,0)</f>
        <v/>
      </c>
    </row>
    <row r="25">
      <c r="A25" s="46" t="inlineStr">
        <is>
          <t>REGION: UAE</t>
        </is>
      </c>
      <c r="B25" s="47" t="n"/>
      <c r="C25" s="47" t="n"/>
      <c r="D25" s="47" t="n"/>
      <c r="E25" s="47" t="n"/>
      <c r="F25" s="47" t="n"/>
      <c r="G25" s="47" t="n"/>
      <c r="H25" s="47" t="n"/>
      <c r="I25" s="47" t="n"/>
      <c r="J25" s="47" t="n"/>
      <c r="K25" s="47" t="n"/>
      <c r="L25" s="47" t="n"/>
      <c r="M25" s="47" t="n"/>
      <c r="N25" s="47" t="n"/>
      <c r="O25" s="47" t="n"/>
      <c r="P25" s="47" t="n"/>
      <c r="Q25" s="47" t="n"/>
      <c r="R25" s="47" t="n"/>
      <c r="S25" s="47" t="n"/>
      <c r="T25" s="47" t="n"/>
      <c r="U25" s="47" t="n"/>
      <c r="V25" s="47" t="n"/>
      <c r="W25" s="47" t="n"/>
      <c r="X25" s="47" t="n"/>
      <c r="Y25" s="47" t="n"/>
      <c r="Z25" s="47" t="n"/>
      <c r="AA25" s="47" t="n"/>
      <c r="AB25" s="47" t="n"/>
      <c r="AC25" s="47" t="n"/>
      <c r="AD25" s="47" t="n"/>
      <c r="AE25" s="47" t="n"/>
    </row>
    <row r="26">
      <c r="A26" s="6" t="inlineStr">
        <is>
          <t xml:space="preserve">  Direct-driven (this market's budget at its own CAC)</t>
        </is>
      </c>
      <c r="B26" s="23" t="inlineStr">
        <is>
          <t>accounts</t>
        </is>
      </c>
      <c r="C26" s="53">
        <f>INDEX(Assumptions!$B$100:$B$106,C5)*Assumptions!$B$127/12*C7/Assumptions!$B$124*(1+Assumptions!$B$132)*1</f>
        <v/>
      </c>
      <c r="D26" s="53">
        <f>INDEX(Assumptions!$B$100:$B$106,D5)*Assumptions!$B$127/12*D7/Assumptions!$B$124*(1+Assumptions!$B$132)*1</f>
        <v/>
      </c>
      <c r="E26" s="53">
        <f>INDEX(Assumptions!$B$100:$B$106,E5)*Assumptions!$B$127/12*E7/Assumptions!$B$124*(1+Assumptions!$B$132)*1</f>
        <v/>
      </c>
      <c r="F26" s="53">
        <f>INDEX(Assumptions!$B$100:$B$106,F5)*Assumptions!$B$127/12*F7/Assumptions!$B$124*(1+Assumptions!$B$132)*1</f>
        <v/>
      </c>
      <c r="G26" s="53">
        <f>INDEX(Assumptions!$B$100:$B$106,G5)*Assumptions!$B$127/12*G7/Assumptions!$B$124*(1+Assumptions!$B$132)*1</f>
        <v/>
      </c>
      <c r="H26" s="53">
        <f>INDEX(Assumptions!$B$100:$B$106,H5)*Assumptions!$B$127/12*H7/Assumptions!$B$124*(1+Assumptions!$B$132)*1</f>
        <v/>
      </c>
      <c r="I26" s="53">
        <f>INDEX(Assumptions!$B$100:$B$106,I5)*Assumptions!$B$127/12*I7/Assumptions!$B$124*(1+Assumptions!$B$132)*1</f>
        <v/>
      </c>
      <c r="J26" s="53">
        <f>INDEX(Assumptions!$B$100:$B$106,J5)*Assumptions!$B$127/12*J7/Assumptions!$B$124*(1+Assumptions!$B$132)*1</f>
        <v/>
      </c>
      <c r="K26" s="53">
        <f>INDEX(Assumptions!$B$100:$B$106,K5)*Assumptions!$B$127/12*K7/Assumptions!$B$124*(1+Assumptions!$B$132)*1</f>
        <v/>
      </c>
      <c r="L26" s="53">
        <f>INDEX(Assumptions!$B$100:$B$106,L5)*Assumptions!$B$127/12*L7/Assumptions!$B$124*(1+Assumptions!$B$132)*1</f>
        <v/>
      </c>
      <c r="M26" s="53">
        <f>INDEX(Assumptions!$B$100:$B$106,M5)*Assumptions!$B$127/12*M7/Assumptions!$B$124*(1+Assumptions!$B$132)*1</f>
        <v/>
      </c>
      <c r="N26" s="53">
        <f>INDEX(Assumptions!$B$100:$B$106,N5)*Assumptions!$B$127/12*N7/Assumptions!$B$124*(1+Assumptions!$B$132)*1</f>
        <v/>
      </c>
      <c r="O26" s="53">
        <f>INDEX(Assumptions!$B$100:$B$106,O5)*Assumptions!$B$127/12*O7/Assumptions!$B$124*(1+Assumptions!$B$132)*1</f>
        <v/>
      </c>
      <c r="P26" s="53">
        <f>INDEX(Assumptions!$B$100:$B$106,P5)*Assumptions!$B$127/12*P7/Assumptions!$B$124*(1+Assumptions!$B$132)*1</f>
        <v/>
      </c>
      <c r="Q26" s="53">
        <f>INDEX(Assumptions!$B$100:$B$106,Q5)*Assumptions!$B$127/12*Q7/Assumptions!$B$124*(1+Assumptions!$B$132)*1</f>
        <v/>
      </c>
      <c r="R26" s="53">
        <f>INDEX(Assumptions!$B$100:$B$106,R5)*Assumptions!$B$127/12*R7/Assumptions!$B$124*(1+Assumptions!$B$132)*1</f>
        <v/>
      </c>
      <c r="S26" s="53">
        <f>INDEX(Assumptions!$B$100:$B$106,S5)*Assumptions!$B$127/12*S7/Assumptions!$B$124*(1+Assumptions!$B$132)*1</f>
        <v/>
      </c>
      <c r="T26" s="53">
        <f>INDEX(Assumptions!$B$100:$B$106,T5)*Assumptions!$B$127/12*T7/Assumptions!$B$124*(1+Assumptions!$B$132)*1</f>
        <v/>
      </c>
      <c r="U26" s="53">
        <f>INDEX(Assumptions!$B$100:$B$106,U5)*Assumptions!$B$127/12*U7/Assumptions!$B$124*(1+Assumptions!$B$132)*1</f>
        <v/>
      </c>
      <c r="V26" s="53">
        <f>INDEX(Assumptions!$B$100:$B$106,V5)*Assumptions!$B$127/12*V7/Assumptions!$B$124*(1+Assumptions!$B$132)*1</f>
        <v/>
      </c>
      <c r="W26" s="53">
        <f>INDEX(Assumptions!$B$100:$B$106,W5)*Assumptions!$B$127/12*W7/Assumptions!$B$124*(1+Assumptions!$B$132)*1</f>
        <v/>
      </c>
      <c r="X26" s="53">
        <f>INDEX(Assumptions!$B$100:$B$106,X5)*Assumptions!$B$127/12*X7/Assumptions!$B$124*(1+Assumptions!$B$132)*1</f>
        <v/>
      </c>
      <c r="Y26" s="53">
        <f>INDEX(Assumptions!$B$100:$B$106,Y5)*Assumptions!$B$127/12*Y7/Assumptions!$B$124*(1+Assumptions!$B$132)*1</f>
        <v/>
      </c>
      <c r="Z26" s="53">
        <f>INDEX(Assumptions!$B$100:$B$106,Z5)*Assumptions!$B$127/12*Z7/Assumptions!$B$124*(1+Assumptions!$B$132)*1</f>
        <v/>
      </c>
      <c r="AA26" s="53">
        <f>INDEX(Assumptions!$B$100:$B$106,AA5)*Assumptions!$B$127/12*AA7/Assumptions!$B$124*(1+Assumptions!$B$132)*1</f>
        <v/>
      </c>
      <c r="AB26" s="53">
        <f>INDEX(Assumptions!$B$100:$B$106,AB5)*Assumptions!$B$127/12*AB7/Assumptions!$B$124*(1+Assumptions!$B$132)*1</f>
        <v/>
      </c>
      <c r="AC26" s="53">
        <f>INDEX(Assumptions!$B$100:$B$106,AC5)*Assumptions!$B$127/12*AC7/Assumptions!$B$124*(1+Assumptions!$B$132)*1</f>
        <v/>
      </c>
      <c r="AD26" s="53">
        <f>INDEX(Assumptions!$B$100:$B$106,AD5)*Assumptions!$B$127/12*AD7/Assumptions!$B$124*(1+Assumptions!$B$132)*1</f>
        <v/>
      </c>
      <c r="AE26" s="53">
        <f>INDEX(Assumptions!$B$100:$B$106,AE5)*Assumptions!$B$127/12*AE7/Assumptions!$B$124*(1+Assumptions!$B$132)*1</f>
        <v/>
      </c>
    </row>
    <row r="27">
      <c r="A27" s="6" t="inlineStr">
        <is>
          <t xml:space="preserve">  Referral-driven (from this market's own base)</t>
        </is>
      </c>
      <c r="B27" s="23" t="inlineStr">
        <is>
          <t>accounts</t>
        </is>
      </c>
      <c r="C27" s="54" t="n">
        <v>0</v>
      </c>
      <c r="D27" s="54">
        <f>IF(D2&gt;=Assumptions!$B$55,C31*Assumptions!$B$130/12*Assumptions!$B$131*D7,0)</f>
        <v/>
      </c>
      <c r="E27" s="54">
        <f>IF(E2&gt;=Assumptions!$B$55,D31*Assumptions!$B$130/12*Assumptions!$B$131*E7,0)</f>
        <v/>
      </c>
      <c r="F27" s="54">
        <f>IF(F2&gt;=Assumptions!$B$55,E31*Assumptions!$B$130/12*Assumptions!$B$131*F7,0)</f>
        <v/>
      </c>
      <c r="G27" s="54">
        <f>IF(G2&gt;=Assumptions!$B$55,F31*Assumptions!$B$130/12*Assumptions!$B$131*G7,0)</f>
        <v/>
      </c>
      <c r="H27" s="54">
        <f>IF(H2&gt;=Assumptions!$B$55,G31*Assumptions!$B$130/12*Assumptions!$B$131*H7,0)</f>
        <v/>
      </c>
      <c r="I27" s="54">
        <f>IF(I2&gt;=Assumptions!$B$55,H31*Assumptions!$B$130/12*Assumptions!$B$131*I7,0)</f>
        <v/>
      </c>
      <c r="J27" s="54">
        <f>IF(J2&gt;=Assumptions!$B$55,I31*Assumptions!$B$130/12*Assumptions!$B$131*J7,0)</f>
        <v/>
      </c>
      <c r="K27" s="54">
        <f>IF(K2&gt;=Assumptions!$B$55,J31*Assumptions!$B$130/12*Assumptions!$B$131*K7,0)</f>
        <v/>
      </c>
      <c r="L27" s="54">
        <f>IF(L2&gt;=Assumptions!$B$55,K31*Assumptions!$B$130/12*Assumptions!$B$131*L7,0)</f>
        <v/>
      </c>
      <c r="M27" s="54">
        <f>IF(M2&gt;=Assumptions!$B$55,L31*Assumptions!$B$130/12*Assumptions!$B$131*M7,0)</f>
        <v/>
      </c>
      <c r="N27" s="54">
        <f>IF(N2&gt;=Assumptions!$B$55,M31*Assumptions!$B$130/12*Assumptions!$B$131*N7,0)</f>
        <v/>
      </c>
      <c r="O27" s="54">
        <f>IF(O2&gt;=Assumptions!$B$55,N31*Assumptions!$B$130/12*Assumptions!$B$131*O7,0)</f>
        <v/>
      </c>
      <c r="P27" s="54">
        <f>IF(P2&gt;=Assumptions!$B$55,O31*Assumptions!$B$130/12*Assumptions!$B$131*P7,0)</f>
        <v/>
      </c>
      <c r="Q27" s="54">
        <f>IF(Q2&gt;=Assumptions!$B$55,P31*Assumptions!$B$130/12*Assumptions!$B$131*Q7,0)</f>
        <v/>
      </c>
      <c r="R27" s="54">
        <f>IF(R2&gt;=Assumptions!$B$55,Q31*Assumptions!$B$130/12*Assumptions!$B$131*R7,0)</f>
        <v/>
      </c>
      <c r="S27" s="54">
        <f>IF(S2&gt;=Assumptions!$B$55,R31*Assumptions!$B$130/12*Assumptions!$B$131*S7,0)</f>
        <v/>
      </c>
      <c r="T27" s="54">
        <f>IF(T2&gt;=Assumptions!$B$55,S31*Assumptions!$B$130/12*Assumptions!$B$131*T7,0)</f>
        <v/>
      </c>
      <c r="U27" s="54">
        <f>IF(U2&gt;=Assumptions!$B$55,T31*Assumptions!$B$130/12*Assumptions!$B$131*U7,0)</f>
        <v/>
      </c>
      <c r="V27" s="54">
        <f>IF(V2&gt;=Assumptions!$B$55,U31*Assumptions!$B$130/12*Assumptions!$B$131*V7,0)</f>
        <v/>
      </c>
      <c r="W27" s="54">
        <f>IF(W2&gt;=Assumptions!$B$55,V31*Assumptions!$B$130/12*Assumptions!$B$131*W7,0)</f>
        <v/>
      </c>
      <c r="X27" s="54">
        <f>IF(X2&gt;=Assumptions!$B$55,W31*Assumptions!$B$130/12*Assumptions!$B$131*X7,0)</f>
        <v/>
      </c>
      <c r="Y27" s="54">
        <f>IF(Y2&gt;=Assumptions!$B$55,X31*Assumptions!$B$130/12*Assumptions!$B$131*Y7,0)</f>
        <v/>
      </c>
      <c r="Z27" s="54">
        <f>IF(Z2&gt;=Assumptions!$B$55,Y31*Assumptions!$B$130/12*Assumptions!$B$131*Z7,0)</f>
        <v/>
      </c>
      <c r="AA27" s="54">
        <f>IF(AA2&gt;=Assumptions!$B$55,Z31*Assumptions!$B$130/12*Assumptions!$B$131*AA7,0)</f>
        <v/>
      </c>
      <c r="AB27" s="54">
        <f>IF(AB2&gt;=Assumptions!$B$55,AA31*Assumptions!$B$130/12*Assumptions!$B$131*AB7,0)</f>
        <v/>
      </c>
      <c r="AC27" s="54">
        <f>IF(AC2&gt;=Assumptions!$B$55,AB31*Assumptions!$B$130/12*Assumptions!$B$131*AC7,0)</f>
        <v/>
      </c>
      <c r="AD27" s="54">
        <f>IF(AD2&gt;=Assumptions!$B$55,AC31*Assumptions!$B$130/12*Assumptions!$B$131*AD7,0)</f>
        <v/>
      </c>
      <c r="AE27" s="54">
        <f>IF(AE2&gt;=Assumptions!$B$55,AD31*Assumptions!$B$130/12*Assumptions!$B$131*AE7,0)</f>
        <v/>
      </c>
    </row>
    <row r="28">
      <c r="A28" s="6" t="inlineStr">
        <is>
          <t xml:space="preserve">  Raw demand</t>
        </is>
      </c>
      <c r="B28" s="23" t="inlineStr">
        <is>
          <t>accounts</t>
        </is>
      </c>
      <c r="C28" s="54">
        <f>C26+C27+IF(C23=0,0,C20*Assumptions!$B$114/C23*1)</f>
        <v/>
      </c>
      <c r="D28" s="54">
        <f>D26+D27+IF(D23=0,0,D20*Assumptions!$B$114/D23*1)</f>
        <v/>
      </c>
      <c r="E28" s="54">
        <f>E26+E27+IF(E23=0,0,E20*Assumptions!$B$114/E23*1)</f>
        <v/>
      </c>
      <c r="F28" s="54">
        <f>F26+F27+IF(F23=0,0,F20*Assumptions!$B$114/F23*1)</f>
        <v/>
      </c>
      <c r="G28" s="54">
        <f>G26+G27+IF(G23=0,0,G20*Assumptions!$B$114/G23*1)</f>
        <v/>
      </c>
      <c r="H28" s="54">
        <f>H26+H27+IF(H23=0,0,H20*Assumptions!$B$114/H23*1)</f>
        <v/>
      </c>
      <c r="I28" s="54">
        <f>I26+I27+IF(I23=0,0,I20*Assumptions!$B$114/I23*1)</f>
        <v/>
      </c>
      <c r="J28" s="54">
        <f>J26+J27+IF(J23=0,0,J20*Assumptions!$B$114/J23*1)</f>
        <v/>
      </c>
      <c r="K28" s="54">
        <f>K26+K27+IF(K23=0,0,K20*Assumptions!$B$114/K23*1)</f>
        <v/>
      </c>
      <c r="L28" s="54">
        <f>L26+L27+IF(L23=0,0,L20*Assumptions!$B$114/L23*1)</f>
        <v/>
      </c>
      <c r="M28" s="54">
        <f>M26+M27+IF(M23=0,0,M20*Assumptions!$B$114/M23*1)</f>
        <v/>
      </c>
      <c r="N28" s="54">
        <f>N26+N27+IF(N23=0,0,N20*Assumptions!$B$114/N23*1)</f>
        <v/>
      </c>
      <c r="O28" s="54">
        <f>O26+O27+IF(O23=0,0,O20*Assumptions!$B$114/O23*1)</f>
        <v/>
      </c>
      <c r="P28" s="54">
        <f>P26+P27+IF(P23=0,0,P20*Assumptions!$B$114/P23*1)</f>
        <v/>
      </c>
      <c r="Q28" s="54">
        <f>Q26+Q27+IF(Q23=0,0,Q20*Assumptions!$B$114/Q23*1)</f>
        <v/>
      </c>
      <c r="R28" s="54">
        <f>R26+R27+IF(R23=0,0,R20*Assumptions!$B$114/R23*1)</f>
        <v/>
      </c>
      <c r="S28" s="54">
        <f>S26+S27+IF(S23=0,0,S20*Assumptions!$B$114/S23*1)</f>
        <v/>
      </c>
      <c r="T28" s="54">
        <f>T26+T27+IF(T23=0,0,T20*Assumptions!$B$114/T23*1)</f>
        <v/>
      </c>
      <c r="U28" s="54">
        <f>U26+U27+IF(U23=0,0,U20*Assumptions!$B$114/U23*1)</f>
        <v/>
      </c>
      <c r="V28" s="54">
        <f>V26+V27+IF(V23=0,0,V20*Assumptions!$B$114/V23*1)</f>
        <v/>
      </c>
      <c r="W28" s="54">
        <f>W26+W27+IF(W23=0,0,W20*Assumptions!$B$114/W23*1)</f>
        <v/>
      </c>
      <c r="X28" s="54">
        <f>X26+X27+IF(X23=0,0,X20*Assumptions!$B$114/X23*1)</f>
        <v/>
      </c>
      <c r="Y28" s="54">
        <f>Y26+Y27+IF(Y23=0,0,Y20*Assumptions!$B$114/Y23*1)</f>
        <v/>
      </c>
      <c r="Z28" s="54">
        <f>Z26+Z27+IF(Z23=0,0,Z20*Assumptions!$B$114/Z23*1)</f>
        <v/>
      </c>
      <c r="AA28" s="54">
        <f>AA26+AA27+IF(AA23=0,0,AA20*Assumptions!$B$114/AA23*1)</f>
        <v/>
      </c>
      <c r="AB28" s="54">
        <f>AB26+AB27+IF(AB23=0,0,AB20*Assumptions!$B$114/AB23*1)</f>
        <v/>
      </c>
      <c r="AC28" s="54">
        <f>AC26+AC27+IF(AC23=0,0,AC20*Assumptions!$B$114/AC23*1)</f>
        <v/>
      </c>
      <c r="AD28" s="54">
        <f>AD26+AD27+IF(AD23=0,0,AD20*Assumptions!$B$114/AD23*1)</f>
        <v/>
      </c>
      <c r="AE28" s="54">
        <f>AE26+AE27+IF(AE23=0,0,AE20*Assumptions!$B$114/AE23*1)</f>
        <v/>
      </c>
    </row>
    <row r="29">
      <c r="A29" s="6" t="inlineStr">
        <is>
          <t xml:space="preserve">  Saturation (this region's own headroom)</t>
        </is>
      </c>
      <c r="B29" s="23" t="inlineStr">
        <is>
          <t>x</t>
        </is>
      </c>
      <c r="C29" s="51" t="n">
        <v>1</v>
      </c>
      <c r="D29" s="51">
        <f>MAX(0,1-C34/Assumptions!$B$84)</f>
        <v/>
      </c>
      <c r="E29" s="51">
        <f>MAX(0,1-D34/Assumptions!$B$84)</f>
        <v/>
      </c>
      <c r="F29" s="51">
        <f>MAX(0,1-E34/Assumptions!$B$84)</f>
        <v/>
      </c>
      <c r="G29" s="51">
        <f>MAX(0,1-F34/Assumptions!$B$84)</f>
        <v/>
      </c>
      <c r="H29" s="51">
        <f>MAX(0,1-G34/Assumptions!$B$84)</f>
        <v/>
      </c>
      <c r="I29" s="51">
        <f>MAX(0,1-H34/Assumptions!$B$84)</f>
        <v/>
      </c>
      <c r="J29" s="51">
        <f>MAX(0,1-I34/Assumptions!$B$84)</f>
        <v/>
      </c>
      <c r="K29" s="51">
        <f>MAX(0,1-J34/Assumptions!$B$84)</f>
        <v/>
      </c>
      <c r="L29" s="51">
        <f>MAX(0,1-K34/Assumptions!$B$84)</f>
        <v/>
      </c>
      <c r="M29" s="51">
        <f>MAX(0,1-L34/Assumptions!$B$84)</f>
        <v/>
      </c>
      <c r="N29" s="51">
        <f>MAX(0,1-M34/Assumptions!$B$84)</f>
        <v/>
      </c>
      <c r="O29" s="51">
        <f>MAX(0,1-N34/Assumptions!$B$84)</f>
        <v/>
      </c>
      <c r="P29" s="51">
        <f>MAX(0,1-O34/Assumptions!$B$84)</f>
        <v/>
      </c>
      <c r="Q29" s="51">
        <f>MAX(0,1-P34/Assumptions!$B$84)</f>
        <v/>
      </c>
      <c r="R29" s="51">
        <f>MAX(0,1-Q34/Assumptions!$B$84)</f>
        <v/>
      </c>
      <c r="S29" s="51">
        <f>MAX(0,1-R34/Assumptions!$B$84)</f>
        <v/>
      </c>
      <c r="T29" s="51">
        <f>MAX(0,1-S34/Assumptions!$B$84)</f>
        <v/>
      </c>
      <c r="U29" s="51">
        <f>MAX(0,1-T34/Assumptions!$B$84)</f>
        <v/>
      </c>
      <c r="V29" s="51">
        <f>MAX(0,1-U34/Assumptions!$B$84)</f>
        <v/>
      </c>
      <c r="W29" s="51">
        <f>MAX(0,1-V34/Assumptions!$B$84)</f>
        <v/>
      </c>
      <c r="X29" s="51">
        <f>MAX(0,1-W34/Assumptions!$B$84)</f>
        <v/>
      </c>
      <c r="Y29" s="51">
        <f>MAX(0,1-X34/Assumptions!$B$84)</f>
        <v/>
      </c>
      <c r="Z29" s="51">
        <f>MAX(0,1-Y34/Assumptions!$B$84)</f>
        <v/>
      </c>
      <c r="AA29" s="51">
        <f>MAX(0,1-Z34/Assumptions!$B$84)</f>
        <v/>
      </c>
      <c r="AB29" s="51">
        <f>MAX(0,1-AA34/Assumptions!$B$84)</f>
        <v/>
      </c>
      <c r="AC29" s="51">
        <f>MAX(0,1-AB34/Assumptions!$B$84)</f>
        <v/>
      </c>
      <c r="AD29" s="51">
        <f>MAX(0,1-AC34/Assumptions!$B$84)</f>
        <v/>
      </c>
      <c r="AE29" s="51">
        <f>MAX(0,1-AD34/Assumptions!$B$84)</f>
        <v/>
      </c>
    </row>
    <row r="30">
      <c r="A30" s="6" t="inlineStr">
        <is>
          <t xml:space="preserve">  New customers</t>
        </is>
      </c>
      <c r="B30" s="23" t="inlineStr">
        <is>
          <t>accounts</t>
        </is>
      </c>
      <c r="C30" s="54">
        <f>C28*C29*C15</f>
        <v/>
      </c>
      <c r="D30" s="54">
        <f>D28*D29*D15</f>
        <v/>
      </c>
      <c r="E30" s="54">
        <f>E28*E29*E15</f>
        <v/>
      </c>
      <c r="F30" s="54">
        <f>F28*F29*F15</f>
        <v/>
      </c>
      <c r="G30" s="54">
        <f>G28*G29*G15</f>
        <v/>
      </c>
      <c r="H30" s="54">
        <f>H28*H29*H15</f>
        <v/>
      </c>
      <c r="I30" s="54">
        <f>I28*I29*I15</f>
        <v/>
      </c>
      <c r="J30" s="54">
        <f>J28*J29*J15</f>
        <v/>
      </c>
      <c r="K30" s="54">
        <f>K28*K29*K15</f>
        <v/>
      </c>
      <c r="L30" s="54">
        <f>L28*L29*L15</f>
        <v/>
      </c>
      <c r="M30" s="54">
        <f>M28*M29*M15</f>
        <v/>
      </c>
      <c r="N30" s="54">
        <f>N28*N29*N15</f>
        <v/>
      </c>
      <c r="O30" s="54">
        <f>O28*O29*O15</f>
        <v/>
      </c>
      <c r="P30" s="54">
        <f>P28*P29*P15</f>
        <v/>
      </c>
      <c r="Q30" s="54">
        <f>Q28*Q29*Q15</f>
        <v/>
      </c>
      <c r="R30" s="54">
        <f>R28*R29*R15</f>
        <v/>
      </c>
      <c r="S30" s="54">
        <f>S28*S29*S15</f>
        <v/>
      </c>
      <c r="T30" s="54">
        <f>T28*T29*T15</f>
        <v/>
      </c>
      <c r="U30" s="54">
        <f>U28*U29*U15</f>
        <v/>
      </c>
      <c r="V30" s="54">
        <f>V28*V29*V15</f>
        <v/>
      </c>
      <c r="W30" s="54">
        <f>W28*W29*W15</f>
        <v/>
      </c>
      <c r="X30" s="54">
        <f>X28*X29*X15</f>
        <v/>
      </c>
      <c r="Y30" s="54">
        <f>Y28*Y29*Y15</f>
        <v/>
      </c>
      <c r="Z30" s="54">
        <f>Z28*Z29*Z15</f>
        <v/>
      </c>
      <c r="AA30" s="54">
        <f>AA28*AA29*AA15</f>
        <v/>
      </c>
      <c r="AB30" s="54">
        <f>AB28*AB29*AB15</f>
        <v/>
      </c>
      <c r="AC30" s="54">
        <f>AC28*AC29*AC15</f>
        <v/>
      </c>
      <c r="AD30" s="54">
        <f>AD28*AD29*AD15</f>
        <v/>
      </c>
      <c r="AE30" s="54">
        <f>AE28*AE29*AE15</f>
        <v/>
      </c>
    </row>
    <row r="31">
      <c r="A31" s="6" t="inlineStr">
        <is>
          <t xml:space="preserve">  Paying customers</t>
        </is>
      </c>
      <c r="B31" s="23" t="inlineStr">
        <is>
          <t>accounts</t>
        </is>
      </c>
      <c r="C31" s="28">
        <f>C30*(1-Assumptions!$B$122)^(C7/2)</f>
        <v/>
      </c>
      <c r="D31" s="28">
        <f>C31*(1-Assumptions!$B$122)^D7+D30*(1-Assumptions!$B$122)^(D7/2)</f>
        <v/>
      </c>
      <c r="E31" s="28">
        <f>D31*(1-Assumptions!$B$122)^E7+E30*(1-Assumptions!$B$122)^(E7/2)</f>
        <v/>
      </c>
      <c r="F31" s="28">
        <f>E31*(1-Assumptions!$B$122)^F7+F30*(1-Assumptions!$B$122)^(F7/2)</f>
        <v/>
      </c>
      <c r="G31" s="28">
        <f>F31*(1-Assumptions!$B$122)^G7+G30*(1-Assumptions!$B$122)^(G7/2)</f>
        <v/>
      </c>
      <c r="H31" s="28">
        <f>G31*(1-Assumptions!$B$122)^H7+H30*(1-Assumptions!$B$122)^(H7/2)</f>
        <v/>
      </c>
      <c r="I31" s="28">
        <f>H31*(1-Assumptions!$B$122)^I7+I30*(1-Assumptions!$B$122)^(I7/2)</f>
        <v/>
      </c>
      <c r="J31" s="28">
        <f>I31*(1-Assumptions!$B$122)^J7+J30*(1-Assumptions!$B$122)^(J7/2)</f>
        <v/>
      </c>
      <c r="K31" s="28">
        <f>J31*(1-Assumptions!$B$122)^K7+K30*(1-Assumptions!$B$122)^(K7/2)</f>
        <v/>
      </c>
      <c r="L31" s="28">
        <f>K31*(1-Assumptions!$B$122)^L7+L30*(1-Assumptions!$B$122)^(L7/2)</f>
        <v/>
      </c>
      <c r="M31" s="28">
        <f>L31*(1-Assumptions!$B$122)^M7+M30*(1-Assumptions!$B$122)^(M7/2)</f>
        <v/>
      </c>
      <c r="N31" s="28">
        <f>M31*(1-Assumptions!$B$122)^N7+N30*(1-Assumptions!$B$122)^(N7/2)</f>
        <v/>
      </c>
      <c r="O31" s="28">
        <f>N31*(1-Assumptions!$B$122)^O7+O30*(1-Assumptions!$B$122)^(O7/2)</f>
        <v/>
      </c>
      <c r="P31" s="28">
        <f>O31*(1-Assumptions!$B$122)^P7+P30*(1-Assumptions!$B$122)^(P7/2)</f>
        <v/>
      </c>
      <c r="Q31" s="28">
        <f>P31*(1-Assumptions!$B$122)^Q7+Q30*(1-Assumptions!$B$122)^(Q7/2)</f>
        <v/>
      </c>
      <c r="R31" s="28">
        <f>Q31*(1-Assumptions!$B$122)^R7+R30*(1-Assumptions!$B$122)^(R7/2)</f>
        <v/>
      </c>
      <c r="S31" s="28">
        <f>R31*(1-Assumptions!$B$122)^S7+S30*(1-Assumptions!$B$122)^(S7/2)</f>
        <v/>
      </c>
      <c r="T31" s="28">
        <f>S31*(1-Assumptions!$B$122)^T7+T30*(1-Assumptions!$B$122)^(T7/2)</f>
        <v/>
      </c>
      <c r="U31" s="28">
        <f>T31*(1-Assumptions!$B$122)^U7+U30*(1-Assumptions!$B$122)^(U7/2)</f>
        <v/>
      </c>
      <c r="V31" s="28">
        <f>U31*(1-Assumptions!$B$122)^V7+V30*(1-Assumptions!$B$122)^(V7/2)</f>
        <v/>
      </c>
      <c r="W31" s="28">
        <f>V31*(1-Assumptions!$B$122)^W7+W30*(1-Assumptions!$B$122)^(W7/2)</f>
        <v/>
      </c>
      <c r="X31" s="28">
        <f>W31*(1-Assumptions!$B$122)^X7+X30*(1-Assumptions!$B$122)^(X7/2)</f>
        <v/>
      </c>
      <c r="Y31" s="28">
        <f>X31*(1-Assumptions!$B$122)^Y7+Y30*(1-Assumptions!$B$122)^(Y7/2)</f>
        <v/>
      </c>
      <c r="Z31" s="28">
        <f>Y31*(1-Assumptions!$B$122)^Z7+Z30*(1-Assumptions!$B$122)^(Z7/2)</f>
        <v/>
      </c>
      <c r="AA31" s="28">
        <f>Z31*(1-Assumptions!$B$122)^AA7+AA30*(1-Assumptions!$B$122)^(AA7/2)</f>
        <v/>
      </c>
      <c r="AB31" s="28">
        <f>AA31*(1-Assumptions!$B$122)^AB7+AB30*(1-Assumptions!$B$122)^(AB7/2)</f>
        <v/>
      </c>
      <c r="AC31" s="28">
        <f>AB31*(1-Assumptions!$B$122)^AC7+AC30*(1-Assumptions!$B$122)^(AC7/2)</f>
        <v/>
      </c>
      <c r="AD31" s="28">
        <f>AC31*(1-Assumptions!$B$122)^AD7+AD30*(1-Assumptions!$B$122)^(AD7/2)</f>
        <v/>
      </c>
      <c r="AE31" s="28">
        <f>AD31*(1-Assumptions!$B$122)^AE7+AE30*(1-Assumptions!$B$122)^(AE7/2)</f>
        <v/>
      </c>
    </row>
    <row r="32">
      <c r="A32" s="6" t="inlineStr">
        <is>
          <t xml:space="preserve">  Churned this period</t>
        </is>
      </c>
      <c r="B32" s="23" t="inlineStr">
        <is>
          <t>accounts</t>
        </is>
      </c>
      <c r="C32" s="54">
        <f>C30-C31</f>
        <v/>
      </c>
      <c r="D32" s="54">
        <f>C31+D30-D31</f>
        <v/>
      </c>
      <c r="E32" s="54">
        <f>D31+E30-E31</f>
        <v/>
      </c>
      <c r="F32" s="54">
        <f>E31+F30-F31</f>
        <v/>
      </c>
      <c r="G32" s="54">
        <f>F31+G30-G31</f>
        <v/>
      </c>
      <c r="H32" s="54">
        <f>G31+H30-H31</f>
        <v/>
      </c>
      <c r="I32" s="54">
        <f>H31+I30-I31</f>
        <v/>
      </c>
      <c r="J32" s="54">
        <f>I31+J30-J31</f>
        <v/>
      </c>
      <c r="K32" s="54">
        <f>J31+K30-K31</f>
        <v/>
      </c>
      <c r="L32" s="54">
        <f>K31+L30-L31</f>
        <v/>
      </c>
      <c r="M32" s="54">
        <f>L31+M30-M31</f>
        <v/>
      </c>
      <c r="N32" s="54">
        <f>M31+N30-N31</f>
        <v/>
      </c>
      <c r="O32" s="54">
        <f>N31+O30-O31</f>
        <v/>
      </c>
      <c r="P32" s="54">
        <f>O31+P30-P31</f>
        <v/>
      </c>
      <c r="Q32" s="54">
        <f>P31+Q30-Q31</f>
        <v/>
      </c>
      <c r="R32" s="54">
        <f>Q31+R30-R31</f>
        <v/>
      </c>
      <c r="S32" s="54">
        <f>R31+S30-S31</f>
        <v/>
      </c>
      <c r="T32" s="54">
        <f>S31+T30-T31</f>
        <v/>
      </c>
      <c r="U32" s="54">
        <f>T31+U30-U31</f>
        <v/>
      </c>
      <c r="V32" s="54">
        <f>U31+V30-V31</f>
        <v/>
      </c>
      <c r="W32" s="54">
        <f>V31+W30-W31</f>
        <v/>
      </c>
      <c r="X32" s="54">
        <f>W31+X30-X31</f>
        <v/>
      </c>
      <c r="Y32" s="54">
        <f>X31+Y30-Y31</f>
        <v/>
      </c>
      <c r="Z32" s="54">
        <f>Y31+Z30-Z31</f>
        <v/>
      </c>
      <c r="AA32" s="54">
        <f>Z31+AA30-AA31</f>
        <v/>
      </c>
      <c r="AB32" s="54">
        <f>AA31+AB30-AB31</f>
        <v/>
      </c>
      <c r="AC32" s="54">
        <f>AB31+AC30-AC31</f>
        <v/>
      </c>
      <c r="AD32" s="54">
        <f>AC31+AD30-AD31</f>
        <v/>
      </c>
      <c r="AE32" s="54">
        <f>AD31+AE30-AE31</f>
        <v/>
      </c>
    </row>
    <row r="33">
      <c r="A33" s="6" t="inlineStr">
        <is>
          <t xml:space="preserve">  Holders (stopped paying, still hold gold)</t>
        </is>
      </c>
      <c r="B33" s="23" t="inlineStr">
        <is>
          <t>accounts</t>
        </is>
      </c>
      <c r="C33" s="45">
        <f>C32</f>
        <v/>
      </c>
      <c r="D33" s="45">
        <f>C33+D32</f>
        <v/>
      </c>
      <c r="E33" s="45">
        <f>D33+E32</f>
        <v/>
      </c>
      <c r="F33" s="45">
        <f>E33+F32</f>
        <v/>
      </c>
      <c r="G33" s="45">
        <f>F33+G32</f>
        <v/>
      </c>
      <c r="H33" s="45">
        <f>G33+H32</f>
        <v/>
      </c>
      <c r="I33" s="45">
        <f>H33+I32</f>
        <v/>
      </c>
      <c r="J33" s="45">
        <f>I33+J32</f>
        <v/>
      </c>
      <c r="K33" s="45">
        <f>J33+K32</f>
        <v/>
      </c>
      <c r="L33" s="45">
        <f>K33+L32</f>
        <v/>
      </c>
      <c r="M33" s="45">
        <f>L33+M32</f>
        <v/>
      </c>
      <c r="N33" s="45">
        <f>M33+N32</f>
        <v/>
      </c>
      <c r="O33" s="45">
        <f>N33+O32</f>
        <v/>
      </c>
      <c r="P33" s="45">
        <f>O33+P32</f>
        <v/>
      </c>
      <c r="Q33" s="45">
        <f>P33+Q32</f>
        <v/>
      </c>
      <c r="R33" s="45">
        <f>Q33+R32</f>
        <v/>
      </c>
      <c r="S33" s="45">
        <f>R33+S32</f>
        <v/>
      </c>
      <c r="T33" s="45">
        <f>S33+T32</f>
        <v/>
      </c>
      <c r="U33" s="45">
        <f>T33+U32</f>
        <v/>
      </c>
      <c r="V33" s="45">
        <f>U33+V32</f>
        <v/>
      </c>
      <c r="W33" s="45">
        <f>V33+W32</f>
        <v/>
      </c>
      <c r="X33" s="45">
        <f>W33+X32</f>
        <v/>
      </c>
      <c r="Y33" s="45">
        <f>X33+Y32</f>
        <v/>
      </c>
      <c r="Z33" s="45">
        <f>Y33+Z32</f>
        <v/>
      </c>
      <c r="AA33" s="45">
        <f>Z33+AA32</f>
        <v/>
      </c>
      <c r="AB33" s="45">
        <f>AA33+AB32</f>
        <v/>
      </c>
      <c r="AC33" s="45">
        <f>AB33+AC32</f>
        <v/>
      </c>
      <c r="AD33" s="45">
        <f>AC33+AD32</f>
        <v/>
      </c>
      <c r="AE33" s="45">
        <f>AD33+AE32</f>
        <v/>
      </c>
    </row>
    <row r="34">
      <c r="A34" s="6" t="inlineStr">
        <is>
          <t xml:space="preserve">  Cumulative ever acquired</t>
        </is>
      </c>
      <c r="B34" s="23" t="inlineStr">
        <is>
          <t>accounts</t>
        </is>
      </c>
      <c r="C34" s="45">
        <f>C30</f>
        <v/>
      </c>
      <c r="D34" s="45">
        <f>C34+D30</f>
        <v/>
      </c>
      <c r="E34" s="45">
        <f>D34+E30</f>
        <v/>
      </c>
      <c r="F34" s="45">
        <f>E34+F30</f>
        <v/>
      </c>
      <c r="G34" s="45">
        <f>F34+G30</f>
        <v/>
      </c>
      <c r="H34" s="45">
        <f>G34+H30</f>
        <v/>
      </c>
      <c r="I34" s="45">
        <f>H34+I30</f>
        <v/>
      </c>
      <c r="J34" s="45">
        <f>I34+J30</f>
        <v/>
      </c>
      <c r="K34" s="45">
        <f>J34+K30</f>
        <v/>
      </c>
      <c r="L34" s="45">
        <f>K34+L30</f>
        <v/>
      </c>
      <c r="M34" s="45">
        <f>L34+M30</f>
        <v/>
      </c>
      <c r="N34" s="45">
        <f>M34+N30</f>
        <v/>
      </c>
      <c r="O34" s="45">
        <f>N34+O30</f>
        <v/>
      </c>
      <c r="P34" s="45">
        <f>O34+P30</f>
        <v/>
      </c>
      <c r="Q34" s="45">
        <f>P34+Q30</f>
        <v/>
      </c>
      <c r="R34" s="45">
        <f>Q34+R30</f>
        <v/>
      </c>
      <c r="S34" s="45">
        <f>R34+S30</f>
        <v/>
      </c>
      <c r="T34" s="45">
        <f>S34+T30</f>
        <v/>
      </c>
      <c r="U34" s="45">
        <f>T34+U30</f>
        <v/>
      </c>
      <c r="V34" s="45">
        <f>U34+V30</f>
        <v/>
      </c>
      <c r="W34" s="45">
        <f>V34+W30</f>
        <v/>
      </c>
      <c r="X34" s="45">
        <f>W34+X30</f>
        <v/>
      </c>
      <c r="Y34" s="45">
        <f>X34+Y30</f>
        <v/>
      </c>
      <c r="Z34" s="45">
        <f>Y34+Z30</f>
        <v/>
      </c>
      <c r="AA34" s="45">
        <f>Z34+AA30</f>
        <v/>
      </c>
      <c r="AB34" s="45">
        <f>AA34+AB30</f>
        <v/>
      </c>
      <c r="AC34" s="45">
        <f>AB34+AC30</f>
        <v/>
      </c>
      <c r="AD34" s="45">
        <f>AC34+AD30</f>
        <v/>
      </c>
      <c r="AE34" s="45">
        <f>AD34+AE30</f>
        <v/>
      </c>
    </row>
    <row r="35">
      <c r="A35" s="6" t="inlineStr">
        <is>
          <t xml:space="preserve">  SIP contributions</t>
        </is>
      </c>
      <c r="B35" s="23" t="inlineStr">
        <is>
          <t>USD</t>
        </is>
      </c>
      <c r="C35" s="55">
        <f>IF(C2&gt;=Assumptions!$B$47,C31*Assumptions!$B$175*C7,0)</f>
        <v/>
      </c>
      <c r="D35" s="55">
        <f>IF(D2&gt;=Assumptions!$B$47,D31*Assumptions!$B$175*D7,0)</f>
        <v/>
      </c>
      <c r="E35" s="55">
        <f>IF(E2&gt;=Assumptions!$B$47,E31*Assumptions!$B$175*E7,0)</f>
        <v/>
      </c>
      <c r="F35" s="55">
        <f>IF(F2&gt;=Assumptions!$B$47,F31*Assumptions!$B$175*F7,0)</f>
        <v/>
      </c>
      <c r="G35" s="55">
        <f>IF(G2&gt;=Assumptions!$B$47,G31*Assumptions!$B$175*G7,0)</f>
        <v/>
      </c>
      <c r="H35" s="55">
        <f>IF(H2&gt;=Assumptions!$B$47,H31*Assumptions!$B$175*H7,0)</f>
        <v/>
      </c>
      <c r="I35" s="55">
        <f>IF(I2&gt;=Assumptions!$B$47,I31*Assumptions!$B$175*I7,0)</f>
        <v/>
      </c>
      <c r="J35" s="55">
        <f>IF(J2&gt;=Assumptions!$B$47,J31*Assumptions!$B$175*J7,0)</f>
        <v/>
      </c>
      <c r="K35" s="55">
        <f>IF(K2&gt;=Assumptions!$B$47,K31*Assumptions!$B$175*K7,0)</f>
        <v/>
      </c>
      <c r="L35" s="55">
        <f>IF(L2&gt;=Assumptions!$B$47,L31*Assumptions!$B$175*L7,0)</f>
        <v/>
      </c>
      <c r="M35" s="55">
        <f>IF(M2&gt;=Assumptions!$B$47,M31*Assumptions!$B$175*M7,0)</f>
        <v/>
      </c>
      <c r="N35" s="55">
        <f>IF(N2&gt;=Assumptions!$B$47,N31*Assumptions!$B$175*N7,0)</f>
        <v/>
      </c>
      <c r="O35" s="55">
        <f>IF(O2&gt;=Assumptions!$B$47,O31*Assumptions!$B$175*O7,0)</f>
        <v/>
      </c>
      <c r="P35" s="55">
        <f>IF(P2&gt;=Assumptions!$B$47,P31*Assumptions!$B$175*P7,0)</f>
        <v/>
      </c>
      <c r="Q35" s="55">
        <f>IF(Q2&gt;=Assumptions!$B$47,Q31*Assumptions!$B$175*Q7,0)</f>
        <v/>
      </c>
      <c r="R35" s="55">
        <f>IF(R2&gt;=Assumptions!$B$47,R31*Assumptions!$B$175*R7,0)</f>
        <v/>
      </c>
      <c r="S35" s="55">
        <f>IF(S2&gt;=Assumptions!$B$47,S31*Assumptions!$B$175*S7,0)</f>
        <v/>
      </c>
      <c r="T35" s="55">
        <f>IF(T2&gt;=Assumptions!$B$47,T31*Assumptions!$B$175*T7,0)</f>
        <v/>
      </c>
      <c r="U35" s="55">
        <f>IF(U2&gt;=Assumptions!$B$47,U31*Assumptions!$B$175*U7,0)</f>
        <v/>
      </c>
      <c r="V35" s="55">
        <f>IF(V2&gt;=Assumptions!$B$47,V31*Assumptions!$B$175*V7,0)</f>
        <v/>
      </c>
      <c r="W35" s="55">
        <f>IF(W2&gt;=Assumptions!$B$47,W31*Assumptions!$B$175*W7,0)</f>
        <v/>
      </c>
      <c r="X35" s="55">
        <f>IF(X2&gt;=Assumptions!$B$47,X31*Assumptions!$B$175*X7,0)</f>
        <v/>
      </c>
      <c r="Y35" s="55">
        <f>IF(Y2&gt;=Assumptions!$B$47,Y31*Assumptions!$B$175*Y7,0)</f>
        <v/>
      </c>
      <c r="Z35" s="55">
        <f>IF(Z2&gt;=Assumptions!$B$47,Z31*Assumptions!$B$175*Z7,0)</f>
        <v/>
      </c>
      <c r="AA35" s="55">
        <f>IF(AA2&gt;=Assumptions!$B$47,AA31*Assumptions!$B$175*AA7,0)</f>
        <v/>
      </c>
      <c r="AB35" s="55">
        <f>IF(AB2&gt;=Assumptions!$B$47,AB31*Assumptions!$B$175*AB7,0)</f>
        <v/>
      </c>
      <c r="AC35" s="55">
        <f>IF(AC2&gt;=Assumptions!$B$47,AC31*Assumptions!$B$175*AC7,0)</f>
        <v/>
      </c>
      <c r="AD35" s="55">
        <f>IF(AD2&gt;=Assumptions!$B$47,AD31*Assumptions!$B$175*AD7,0)</f>
        <v/>
      </c>
      <c r="AE35" s="55">
        <f>IF(AE2&gt;=Assumptions!$B$47,AE31*Assumptions!$B$175*AE7,0)</f>
        <v/>
      </c>
    </row>
    <row r="36">
      <c r="A36" s="6" t="inlineStr">
        <is>
          <t xml:space="preserve">  Spot purchase volume</t>
        </is>
      </c>
      <c r="B36" s="23" t="inlineStr">
        <is>
          <t>USD</t>
        </is>
      </c>
      <c r="C36" s="55">
        <f>IF(C2&gt;=Assumptions!$B$48,C31*Assumptions!$B$35*Assumptions!$B$139*Assumptions!$B$141*Assumptions!$B$32*Assumptions!$B$140/12*C7,0)</f>
        <v/>
      </c>
      <c r="D36" s="55">
        <f>IF(D2&gt;=Assumptions!$B$48,D31*Assumptions!$B$35*Assumptions!$B$139*Assumptions!$B$141*Assumptions!$B$32*Assumptions!$B$140/12*D7,0)</f>
        <v/>
      </c>
      <c r="E36" s="55">
        <f>IF(E2&gt;=Assumptions!$B$48,E31*Assumptions!$B$35*Assumptions!$B$139*Assumptions!$B$141*Assumptions!$B$32*Assumptions!$B$140/12*E7,0)</f>
        <v/>
      </c>
      <c r="F36" s="55">
        <f>IF(F2&gt;=Assumptions!$B$48,F31*Assumptions!$B$35*Assumptions!$B$139*Assumptions!$B$141*Assumptions!$B$32*Assumptions!$B$140/12*F7,0)</f>
        <v/>
      </c>
      <c r="G36" s="55">
        <f>IF(G2&gt;=Assumptions!$B$48,G31*Assumptions!$B$35*Assumptions!$B$139*Assumptions!$B$141*Assumptions!$B$32*Assumptions!$B$140/12*G7,0)</f>
        <v/>
      </c>
      <c r="H36" s="55">
        <f>IF(H2&gt;=Assumptions!$B$48,H31*Assumptions!$B$35*Assumptions!$B$139*Assumptions!$B$141*Assumptions!$B$32*Assumptions!$B$140/12*H7,0)</f>
        <v/>
      </c>
      <c r="I36" s="55">
        <f>IF(I2&gt;=Assumptions!$B$48,I31*Assumptions!$B$35*Assumptions!$B$139*Assumptions!$B$141*Assumptions!$B$32*Assumptions!$B$140/12*I7,0)</f>
        <v/>
      </c>
      <c r="J36" s="55">
        <f>IF(J2&gt;=Assumptions!$B$48,J31*Assumptions!$B$35*Assumptions!$B$139*Assumptions!$B$141*Assumptions!$B$32*Assumptions!$B$140/12*J7,0)</f>
        <v/>
      </c>
      <c r="K36" s="55">
        <f>IF(K2&gt;=Assumptions!$B$48,K31*Assumptions!$B$35*Assumptions!$B$139*Assumptions!$B$141*Assumptions!$B$32*Assumptions!$B$140/12*K7,0)</f>
        <v/>
      </c>
      <c r="L36" s="55">
        <f>IF(L2&gt;=Assumptions!$B$48,L31*Assumptions!$B$35*Assumptions!$B$139*Assumptions!$B$141*Assumptions!$B$32*Assumptions!$B$140/12*L7,0)</f>
        <v/>
      </c>
      <c r="M36" s="55">
        <f>IF(M2&gt;=Assumptions!$B$48,M31*Assumptions!$B$35*Assumptions!$B$139*Assumptions!$B$141*Assumptions!$B$32*Assumptions!$B$140/12*M7,0)</f>
        <v/>
      </c>
      <c r="N36" s="55">
        <f>IF(N2&gt;=Assumptions!$B$48,N31*Assumptions!$B$35*Assumptions!$B$139*Assumptions!$B$141*Assumptions!$B$32*Assumptions!$B$140/12*N7,0)</f>
        <v/>
      </c>
      <c r="O36" s="55">
        <f>IF(O2&gt;=Assumptions!$B$48,O31*Assumptions!$B$35*Assumptions!$B$139*Assumptions!$B$141*Assumptions!$B$32*Assumptions!$B$140/12*O7,0)</f>
        <v/>
      </c>
      <c r="P36" s="55">
        <f>IF(P2&gt;=Assumptions!$B$48,P31*Assumptions!$B$35*Assumptions!$B$139*Assumptions!$B$141*Assumptions!$B$32*Assumptions!$B$140/12*P7,0)</f>
        <v/>
      </c>
      <c r="Q36" s="55">
        <f>IF(Q2&gt;=Assumptions!$B$48,Q31*Assumptions!$B$35*Assumptions!$B$139*Assumptions!$B$141*Assumptions!$B$32*Assumptions!$B$140/12*Q7,0)</f>
        <v/>
      </c>
      <c r="R36" s="55">
        <f>IF(R2&gt;=Assumptions!$B$48,R31*Assumptions!$B$35*Assumptions!$B$139*Assumptions!$B$141*Assumptions!$B$32*Assumptions!$B$140/12*R7,0)</f>
        <v/>
      </c>
      <c r="S36" s="55">
        <f>IF(S2&gt;=Assumptions!$B$48,S31*Assumptions!$B$35*Assumptions!$B$139*Assumptions!$B$141*Assumptions!$B$32*Assumptions!$B$140/12*S7,0)</f>
        <v/>
      </c>
      <c r="T36" s="55">
        <f>IF(T2&gt;=Assumptions!$B$48,T31*Assumptions!$B$35*Assumptions!$B$139*Assumptions!$B$141*Assumptions!$B$32*Assumptions!$B$140/12*T7,0)</f>
        <v/>
      </c>
      <c r="U36" s="55">
        <f>IF(U2&gt;=Assumptions!$B$48,U31*Assumptions!$B$35*Assumptions!$B$139*Assumptions!$B$141*Assumptions!$B$32*Assumptions!$B$140/12*U7,0)</f>
        <v/>
      </c>
      <c r="V36" s="55">
        <f>IF(V2&gt;=Assumptions!$B$48,V31*Assumptions!$B$35*Assumptions!$B$139*Assumptions!$B$141*Assumptions!$B$32*Assumptions!$B$140/12*V7,0)</f>
        <v/>
      </c>
      <c r="W36" s="55">
        <f>IF(W2&gt;=Assumptions!$B$48,W31*Assumptions!$B$35*Assumptions!$B$139*Assumptions!$B$141*Assumptions!$B$32*Assumptions!$B$140/12*W7,0)</f>
        <v/>
      </c>
      <c r="X36" s="55">
        <f>IF(X2&gt;=Assumptions!$B$48,X31*Assumptions!$B$35*Assumptions!$B$139*Assumptions!$B$141*Assumptions!$B$32*Assumptions!$B$140/12*X7,0)</f>
        <v/>
      </c>
      <c r="Y36" s="55">
        <f>IF(Y2&gt;=Assumptions!$B$48,Y31*Assumptions!$B$35*Assumptions!$B$139*Assumptions!$B$141*Assumptions!$B$32*Assumptions!$B$140/12*Y7,0)</f>
        <v/>
      </c>
      <c r="Z36" s="55">
        <f>IF(Z2&gt;=Assumptions!$B$48,Z31*Assumptions!$B$35*Assumptions!$B$139*Assumptions!$B$141*Assumptions!$B$32*Assumptions!$B$140/12*Z7,0)</f>
        <v/>
      </c>
      <c r="AA36" s="55">
        <f>IF(AA2&gt;=Assumptions!$B$48,AA31*Assumptions!$B$35*Assumptions!$B$139*Assumptions!$B$141*Assumptions!$B$32*Assumptions!$B$140/12*AA7,0)</f>
        <v/>
      </c>
      <c r="AB36" s="55">
        <f>IF(AB2&gt;=Assumptions!$B$48,AB31*Assumptions!$B$35*Assumptions!$B$139*Assumptions!$B$141*Assumptions!$B$32*Assumptions!$B$140/12*AB7,0)</f>
        <v/>
      </c>
      <c r="AC36" s="55">
        <f>IF(AC2&gt;=Assumptions!$B$48,AC31*Assumptions!$B$35*Assumptions!$B$139*Assumptions!$B$141*Assumptions!$B$32*Assumptions!$B$140/12*AC7,0)</f>
        <v/>
      </c>
      <c r="AD36" s="55">
        <f>IF(AD2&gt;=Assumptions!$B$48,AD31*Assumptions!$B$35*Assumptions!$B$139*Assumptions!$B$141*Assumptions!$B$32*Assumptions!$B$140/12*AD7,0)</f>
        <v/>
      </c>
      <c r="AE36" s="55">
        <f>IF(AE2&gt;=Assumptions!$B$48,AE31*Assumptions!$B$35*Assumptions!$B$139*Assumptions!$B$141*Assumptions!$B$32*Assumptions!$B$140/12*AE7,0)</f>
        <v/>
      </c>
    </row>
    <row r="37">
      <c r="A37" s="6" t="inlineStr">
        <is>
          <t xml:space="preserve">  Grams purchased</t>
        </is>
      </c>
      <c r="B37" s="23" t="inlineStr">
        <is>
          <t>grams</t>
        </is>
      </c>
      <c r="C37" s="54">
        <f>(C35+C36)*(1-Assumptions!$B$8)/C21/(1+Assumptions!$B$9)</f>
        <v/>
      </c>
      <c r="D37" s="54">
        <f>(D35+D36)*(1-Assumptions!$B$8)/D21/(1+Assumptions!$B$9)</f>
        <v/>
      </c>
      <c r="E37" s="54">
        <f>(E35+E36)*(1-Assumptions!$B$8)/E21/(1+Assumptions!$B$9)</f>
        <v/>
      </c>
      <c r="F37" s="54">
        <f>(F35+F36)*(1-Assumptions!$B$8)/F21/(1+Assumptions!$B$9)</f>
        <v/>
      </c>
      <c r="G37" s="54">
        <f>(G35+G36)*(1-Assumptions!$B$8)/G21/(1+Assumptions!$B$9)</f>
        <v/>
      </c>
      <c r="H37" s="54">
        <f>(H35+H36)*(1-Assumptions!$B$8)/H21/(1+Assumptions!$B$9)</f>
        <v/>
      </c>
      <c r="I37" s="54">
        <f>(I35+I36)*(1-Assumptions!$B$8)/I21/(1+Assumptions!$B$9)</f>
        <v/>
      </c>
      <c r="J37" s="54">
        <f>(J35+J36)*(1-Assumptions!$B$8)/J21/(1+Assumptions!$B$9)</f>
        <v/>
      </c>
      <c r="K37" s="54">
        <f>(K35+K36)*(1-Assumptions!$B$8)/K21/(1+Assumptions!$B$9)</f>
        <v/>
      </c>
      <c r="L37" s="54">
        <f>(L35+L36)*(1-Assumptions!$B$8)/L21/(1+Assumptions!$B$9)</f>
        <v/>
      </c>
      <c r="M37" s="54">
        <f>(M35+M36)*(1-Assumptions!$B$8)/M21/(1+Assumptions!$B$9)</f>
        <v/>
      </c>
      <c r="N37" s="54">
        <f>(N35+N36)*(1-Assumptions!$B$8)/N21/(1+Assumptions!$B$9)</f>
        <v/>
      </c>
      <c r="O37" s="54">
        <f>(O35+O36)*(1-Assumptions!$B$8)/O21/(1+Assumptions!$B$9)</f>
        <v/>
      </c>
      <c r="P37" s="54">
        <f>(P35+P36)*(1-Assumptions!$B$8)/P21/(1+Assumptions!$B$9)</f>
        <v/>
      </c>
      <c r="Q37" s="54">
        <f>(Q35+Q36)*(1-Assumptions!$B$8)/Q21/(1+Assumptions!$B$9)</f>
        <v/>
      </c>
      <c r="R37" s="54">
        <f>(R35+R36)*(1-Assumptions!$B$8)/R21/(1+Assumptions!$B$9)</f>
        <v/>
      </c>
      <c r="S37" s="54">
        <f>(S35+S36)*(1-Assumptions!$B$8)/S21/(1+Assumptions!$B$9)</f>
        <v/>
      </c>
      <c r="T37" s="54">
        <f>(T35+T36)*(1-Assumptions!$B$8)/T21/(1+Assumptions!$B$9)</f>
        <v/>
      </c>
      <c r="U37" s="54">
        <f>(U35+U36)*(1-Assumptions!$B$8)/U21/(1+Assumptions!$B$9)</f>
        <v/>
      </c>
      <c r="V37" s="54">
        <f>(V35+V36)*(1-Assumptions!$B$8)/V21/(1+Assumptions!$B$9)</f>
        <v/>
      </c>
      <c r="W37" s="54">
        <f>(W35+W36)*(1-Assumptions!$B$8)/W21/(1+Assumptions!$B$9)</f>
        <v/>
      </c>
      <c r="X37" s="54">
        <f>(X35+X36)*(1-Assumptions!$B$8)/X21/(1+Assumptions!$B$9)</f>
        <v/>
      </c>
      <c r="Y37" s="54">
        <f>(Y35+Y36)*(1-Assumptions!$B$8)/Y21/(1+Assumptions!$B$9)</f>
        <v/>
      </c>
      <c r="Z37" s="54">
        <f>(Z35+Z36)*(1-Assumptions!$B$8)/Z21/(1+Assumptions!$B$9)</f>
        <v/>
      </c>
      <c r="AA37" s="54">
        <f>(AA35+AA36)*(1-Assumptions!$B$8)/AA21/(1+Assumptions!$B$9)</f>
        <v/>
      </c>
      <c r="AB37" s="54">
        <f>(AB35+AB36)*(1-Assumptions!$B$8)/AB21/(1+Assumptions!$B$9)</f>
        <v/>
      </c>
      <c r="AC37" s="54">
        <f>(AC35+AC36)*(1-Assumptions!$B$8)/AC21/(1+Assumptions!$B$9)</f>
        <v/>
      </c>
      <c r="AD37" s="54">
        <f>(AD35+AD36)*(1-Assumptions!$B$8)/AD21/(1+Assumptions!$B$9)</f>
        <v/>
      </c>
      <c r="AE37" s="54">
        <f>(AE35+AE36)*(1-Assumptions!$B$8)/AE21/(1+Assumptions!$B$9)</f>
        <v/>
      </c>
    </row>
    <row r="38">
      <c r="A38" s="6" t="inlineStr">
        <is>
          <t xml:space="preserve">  Collateral-eligible AUM decay rate (holder-weighted)</t>
        </is>
      </c>
      <c r="B38" s="23" t="inlineStr">
        <is>
          <t>%/period</t>
        </is>
      </c>
      <c r="C38" s="56">
        <f>(Assumptions!$B$136+Assumptions!$B$137*IF(C31+C33=0,1,(C31+C33*Assumptions!$B$138)/(C31+C33)))*C7/12</f>
        <v/>
      </c>
      <c r="D38" s="56">
        <f>(Assumptions!$B$136+Assumptions!$B$137*IF(D31+D33=0,1,(D31+D33*Assumptions!$B$138)/(D31+D33)))*D7/12</f>
        <v/>
      </c>
      <c r="E38" s="56">
        <f>(Assumptions!$B$136+Assumptions!$B$137*IF(E31+E33=0,1,(E31+E33*Assumptions!$B$138)/(E31+E33)))*E7/12</f>
        <v/>
      </c>
      <c r="F38" s="56">
        <f>(Assumptions!$B$136+Assumptions!$B$137*IF(F31+F33=0,1,(F31+F33*Assumptions!$B$138)/(F31+F33)))*F7/12</f>
        <v/>
      </c>
      <c r="G38" s="56">
        <f>(Assumptions!$B$136+Assumptions!$B$137*IF(G31+G33=0,1,(G31+G33*Assumptions!$B$138)/(G31+G33)))*G7/12</f>
        <v/>
      </c>
      <c r="H38" s="56">
        <f>(Assumptions!$B$136+Assumptions!$B$137*IF(H31+H33=0,1,(H31+H33*Assumptions!$B$138)/(H31+H33)))*H7/12</f>
        <v/>
      </c>
      <c r="I38" s="56">
        <f>(Assumptions!$B$136+Assumptions!$B$137*IF(I31+I33=0,1,(I31+I33*Assumptions!$B$138)/(I31+I33)))*I7/12</f>
        <v/>
      </c>
      <c r="J38" s="56">
        <f>(Assumptions!$B$136+Assumptions!$B$137*IF(J31+J33=0,1,(J31+J33*Assumptions!$B$138)/(J31+J33)))*J7/12</f>
        <v/>
      </c>
      <c r="K38" s="56">
        <f>(Assumptions!$B$136+Assumptions!$B$137*IF(K31+K33=0,1,(K31+K33*Assumptions!$B$138)/(K31+K33)))*K7/12</f>
        <v/>
      </c>
      <c r="L38" s="56">
        <f>(Assumptions!$B$136+Assumptions!$B$137*IF(L31+L33=0,1,(L31+L33*Assumptions!$B$138)/(L31+L33)))*L7/12</f>
        <v/>
      </c>
      <c r="M38" s="56">
        <f>(Assumptions!$B$136+Assumptions!$B$137*IF(M31+M33=0,1,(M31+M33*Assumptions!$B$138)/(M31+M33)))*M7/12</f>
        <v/>
      </c>
      <c r="N38" s="56">
        <f>(Assumptions!$B$136+Assumptions!$B$137*IF(N31+N33=0,1,(N31+N33*Assumptions!$B$138)/(N31+N33)))*N7/12</f>
        <v/>
      </c>
      <c r="O38" s="56">
        <f>(Assumptions!$B$136+Assumptions!$B$137*IF(O31+O33=0,1,(O31+O33*Assumptions!$B$138)/(O31+O33)))*O7/12</f>
        <v/>
      </c>
      <c r="P38" s="56">
        <f>(Assumptions!$B$136+Assumptions!$B$137*IF(P31+P33=0,1,(P31+P33*Assumptions!$B$138)/(P31+P33)))*P7/12</f>
        <v/>
      </c>
      <c r="Q38" s="56">
        <f>(Assumptions!$B$136+Assumptions!$B$137*IF(Q31+Q33=0,1,(Q31+Q33*Assumptions!$B$138)/(Q31+Q33)))*Q7/12</f>
        <v/>
      </c>
      <c r="R38" s="56">
        <f>(Assumptions!$B$136+Assumptions!$B$137*IF(R31+R33=0,1,(R31+R33*Assumptions!$B$138)/(R31+R33)))*R7/12</f>
        <v/>
      </c>
      <c r="S38" s="56">
        <f>(Assumptions!$B$136+Assumptions!$B$137*IF(S31+S33=0,1,(S31+S33*Assumptions!$B$138)/(S31+S33)))*S7/12</f>
        <v/>
      </c>
      <c r="T38" s="56">
        <f>(Assumptions!$B$136+Assumptions!$B$137*IF(T31+T33=0,1,(T31+T33*Assumptions!$B$138)/(T31+T33)))*T7/12</f>
        <v/>
      </c>
      <c r="U38" s="56">
        <f>(Assumptions!$B$136+Assumptions!$B$137*IF(U31+U33=0,1,(U31+U33*Assumptions!$B$138)/(U31+U33)))*U7/12</f>
        <v/>
      </c>
      <c r="V38" s="56">
        <f>(Assumptions!$B$136+Assumptions!$B$137*IF(V31+V33=0,1,(V31+V33*Assumptions!$B$138)/(V31+V33)))*V7/12</f>
        <v/>
      </c>
      <c r="W38" s="56">
        <f>(Assumptions!$B$136+Assumptions!$B$137*IF(W31+W33=0,1,(W31+W33*Assumptions!$B$138)/(W31+W33)))*W7/12</f>
        <v/>
      </c>
      <c r="X38" s="56">
        <f>(Assumptions!$B$136+Assumptions!$B$137*IF(X31+X33=0,1,(X31+X33*Assumptions!$B$138)/(X31+X33)))*X7/12</f>
        <v/>
      </c>
      <c r="Y38" s="56">
        <f>(Assumptions!$B$136+Assumptions!$B$137*IF(Y31+Y33=0,1,(Y31+Y33*Assumptions!$B$138)/(Y31+Y33)))*Y7/12</f>
        <v/>
      </c>
      <c r="Z38" s="56">
        <f>(Assumptions!$B$136+Assumptions!$B$137*IF(Z31+Z33=0,1,(Z31+Z33*Assumptions!$B$138)/(Z31+Z33)))*Z7/12</f>
        <v/>
      </c>
      <c r="AA38" s="56">
        <f>(Assumptions!$B$136+Assumptions!$B$137*IF(AA31+AA33=0,1,(AA31+AA33*Assumptions!$B$138)/(AA31+AA33)))*AA7/12</f>
        <v/>
      </c>
      <c r="AB38" s="56">
        <f>(Assumptions!$B$136+Assumptions!$B$137*IF(AB31+AB33=0,1,(AB31+AB33*Assumptions!$B$138)/(AB31+AB33)))*AB7/12</f>
        <v/>
      </c>
      <c r="AC38" s="56">
        <f>(Assumptions!$B$136+Assumptions!$B$137*IF(AC31+AC33=0,1,(AC31+AC33*Assumptions!$B$138)/(AC31+AC33)))*AC7/12</f>
        <v/>
      </c>
      <c r="AD38" s="56">
        <f>(Assumptions!$B$136+Assumptions!$B$137*IF(AD31+AD33=0,1,(AD31+AD33*Assumptions!$B$138)/(AD31+AD33)))*AD7/12</f>
        <v/>
      </c>
      <c r="AE38" s="56">
        <f>(Assumptions!$B$136+Assumptions!$B$137*IF(AE31+AE33=0,1,(AE31+AE33*Assumptions!$B$138)/(AE31+AE33)))*AE7/12</f>
        <v/>
      </c>
    </row>
    <row r="39">
      <c r="A39" s="6" t="inlineStr">
        <is>
          <t xml:space="preserve">  Redemption-only decay rate (metal actually leaving)</t>
        </is>
      </c>
      <c r="B39" s="23" t="inlineStr">
        <is>
          <t>%/period</t>
        </is>
      </c>
      <c r="C39" s="56">
        <f>Assumptions!$B$137*IF(C31+C33=0,1,(C31+C33*Assumptions!$B$138)/(C31+C33))*C7/12</f>
        <v/>
      </c>
      <c r="D39" s="56">
        <f>Assumptions!$B$137*IF(D31+D33=0,1,(D31+D33*Assumptions!$B$138)/(D31+D33))*D7/12</f>
        <v/>
      </c>
      <c r="E39" s="56">
        <f>Assumptions!$B$137*IF(E31+E33=0,1,(E31+E33*Assumptions!$B$138)/(E31+E33))*E7/12</f>
        <v/>
      </c>
      <c r="F39" s="56">
        <f>Assumptions!$B$137*IF(F31+F33=0,1,(F31+F33*Assumptions!$B$138)/(F31+F33))*F7/12</f>
        <v/>
      </c>
      <c r="G39" s="56">
        <f>Assumptions!$B$137*IF(G31+G33=0,1,(G31+G33*Assumptions!$B$138)/(G31+G33))*G7/12</f>
        <v/>
      </c>
      <c r="H39" s="56">
        <f>Assumptions!$B$137*IF(H31+H33=0,1,(H31+H33*Assumptions!$B$138)/(H31+H33))*H7/12</f>
        <v/>
      </c>
      <c r="I39" s="56">
        <f>Assumptions!$B$137*IF(I31+I33=0,1,(I31+I33*Assumptions!$B$138)/(I31+I33))*I7/12</f>
        <v/>
      </c>
      <c r="J39" s="56">
        <f>Assumptions!$B$137*IF(J31+J33=0,1,(J31+J33*Assumptions!$B$138)/(J31+J33))*J7/12</f>
        <v/>
      </c>
      <c r="K39" s="56">
        <f>Assumptions!$B$137*IF(K31+K33=0,1,(K31+K33*Assumptions!$B$138)/(K31+K33))*K7/12</f>
        <v/>
      </c>
      <c r="L39" s="56">
        <f>Assumptions!$B$137*IF(L31+L33=0,1,(L31+L33*Assumptions!$B$138)/(L31+L33))*L7/12</f>
        <v/>
      </c>
      <c r="M39" s="56">
        <f>Assumptions!$B$137*IF(M31+M33=0,1,(M31+M33*Assumptions!$B$138)/(M31+M33))*M7/12</f>
        <v/>
      </c>
      <c r="N39" s="56">
        <f>Assumptions!$B$137*IF(N31+N33=0,1,(N31+N33*Assumptions!$B$138)/(N31+N33))*N7/12</f>
        <v/>
      </c>
      <c r="O39" s="56">
        <f>Assumptions!$B$137*IF(O31+O33=0,1,(O31+O33*Assumptions!$B$138)/(O31+O33))*O7/12</f>
        <v/>
      </c>
      <c r="P39" s="56">
        <f>Assumptions!$B$137*IF(P31+P33=0,1,(P31+P33*Assumptions!$B$138)/(P31+P33))*P7/12</f>
        <v/>
      </c>
      <c r="Q39" s="56">
        <f>Assumptions!$B$137*IF(Q31+Q33=0,1,(Q31+Q33*Assumptions!$B$138)/(Q31+Q33))*Q7/12</f>
        <v/>
      </c>
      <c r="R39" s="56">
        <f>Assumptions!$B$137*IF(R31+R33=0,1,(R31+R33*Assumptions!$B$138)/(R31+R33))*R7/12</f>
        <v/>
      </c>
      <c r="S39" s="56">
        <f>Assumptions!$B$137*IF(S31+S33=0,1,(S31+S33*Assumptions!$B$138)/(S31+S33))*S7/12</f>
        <v/>
      </c>
      <c r="T39" s="56">
        <f>Assumptions!$B$137*IF(T31+T33=0,1,(T31+T33*Assumptions!$B$138)/(T31+T33))*T7/12</f>
        <v/>
      </c>
      <c r="U39" s="56">
        <f>Assumptions!$B$137*IF(U31+U33=0,1,(U31+U33*Assumptions!$B$138)/(U31+U33))*U7/12</f>
        <v/>
      </c>
      <c r="V39" s="56">
        <f>Assumptions!$B$137*IF(V31+V33=0,1,(V31+V33*Assumptions!$B$138)/(V31+V33))*V7/12</f>
        <v/>
      </c>
      <c r="W39" s="56">
        <f>Assumptions!$B$137*IF(W31+W33=0,1,(W31+W33*Assumptions!$B$138)/(W31+W33))*W7/12</f>
        <v/>
      </c>
      <c r="X39" s="56">
        <f>Assumptions!$B$137*IF(X31+X33=0,1,(X31+X33*Assumptions!$B$138)/(X31+X33))*X7/12</f>
        <v/>
      </c>
      <c r="Y39" s="56">
        <f>Assumptions!$B$137*IF(Y31+Y33=0,1,(Y31+Y33*Assumptions!$B$138)/(Y31+Y33))*Y7/12</f>
        <v/>
      </c>
      <c r="Z39" s="56">
        <f>Assumptions!$B$137*IF(Z31+Z33=0,1,(Z31+Z33*Assumptions!$B$138)/(Z31+Z33))*Z7/12</f>
        <v/>
      </c>
      <c r="AA39" s="56">
        <f>Assumptions!$B$137*IF(AA31+AA33=0,1,(AA31+AA33*Assumptions!$B$138)/(AA31+AA33))*AA7/12</f>
        <v/>
      </c>
      <c r="AB39" s="56">
        <f>Assumptions!$B$137*IF(AB31+AB33=0,1,(AB31+AB33*Assumptions!$B$138)/(AB31+AB33))*AB7/12</f>
        <v/>
      </c>
      <c r="AC39" s="56">
        <f>Assumptions!$B$137*IF(AC31+AC33=0,1,(AC31+AC33*Assumptions!$B$138)/(AC31+AC33))*AC7/12</f>
        <v/>
      </c>
      <c r="AD39" s="56">
        <f>Assumptions!$B$137*IF(AD31+AD33=0,1,(AD31+AD33*Assumptions!$B$138)/(AD31+AD33))*AD7/12</f>
        <v/>
      </c>
      <c r="AE39" s="56">
        <f>Assumptions!$B$137*IF(AE31+AE33=0,1,(AE31+AE33*Assumptions!$B$138)/(AE31+AE33))*AE7/12</f>
        <v/>
      </c>
    </row>
    <row r="40">
      <c r="A40" s="6" t="inlineStr">
        <is>
          <t xml:space="preserve">  Grams held (collateral-eligible)</t>
        </is>
      </c>
      <c r="B40" s="23" t="inlineStr">
        <is>
          <t>grams</t>
        </is>
      </c>
      <c r="C40" s="45">
        <f>C37</f>
        <v/>
      </c>
      <c r="D40" s="45">
        <f>C40*(1-D38)+D37</f>
        <v/>
      </c>
      <c r="E40" s="45">
        <f>D40*(1-E38)+E37</f>
        <v/>
      </c>
      <c r="F40" s="45">
        <f>E40*(1-F38)+F37</f>
        <v/>
      </c>
      <c r="G40" s="45">
        <f>F40*(1-G38)+G37</f>
        <v/>
      </c>
      <c r="H40" s="45">
        <f>G40*(1-H38)+H37</f>
        <v/>
      </c>
      <c r="I40" s="45">
        <f>H40*(1-I38)+I37</f>
        <v/>
      </c>
      <c r="J40" s="45">
        <f>I40*(1-J38)+J37</f>
        <v/>
      </c>
      <c r="K40" s="45">
        <f>J40*(1-K38)+K37</f>
        <v/>
      </c>
      <c r="L40" s="45">
        <f>K40*(1-L38)+L37</f>
        <v/>
      </c>
      <c r="M40" s="45">
        <f>L40*(1-M38)+M37</f>
        <v/>
      </c>
      <c r="N40" s="45">
        <f>M40*(1-N38)+N37</f>
        <v/>
      </c>
      <c r="O40" s="45">
        <f>N40*(1-O38)+O37</f>
        <v/>
      </c>
      <c r="P40" s="45">
        <f>O40*(1-P38)+P37</f>
        <v/>
      </c>
      <c r="Q40" s="45">
        <f>P40*(1-Q38)+Q37</f>
        <v/>
      </c>
      <c r="R40" s="45">
        <f>Q40*(1-R38)+R37</f>
        <v/>
      </c>
      <c r="S40" s="45">
        <f>R40*(1-S38)+S37</f>
        <v/>
      </c>
      <c r="T40" s="45">
        <f>S40*(1-T38)+T37</f>
        <v/>
      </c>
      <c r="U40" s="45">
        <f>T40*(1-U38)+U37</f>
        <v/>
      </c>
      <c r="V40" s="45">
        <f>U40*(1-V38)+V37</f>
        <v/>
      </c>
      <c r="W40" s="45">
        <f>V40*(1-W38)+W37</f>
        <v/>
      </c>
      <c r="X40" s="45">
        <f>W40*(1-X38)+X37</f>
        <v/>
      </c>
      <c r="Y40" s="45">
        <f>X40*(1-Y38)+Y37</f>
        <v/>
      </c>
      <c r="Z40" s="45">
        <f>Y40*(1-Z38)+Z37</f>
        <v/>
      </c>
      <c r="AA40" s="45">
        <f>Z40*(1-AA38)+AA37</f>
        <v/>
      </c>
      <c r="AB40" s="45">
        <f>AA40*(1-AB38)+AB37</f>
        <v/>
      </c>
      <c r="AC40" s="45">
        <f>AB40*(1-AC38)+AC37</f>
        <v/>
      </c>
      <c r="AD40" s="45">
        <f>AC40*(1-AD38)+AD37</f>
        <v/>
      </c>
      <c r="AE40" s="45">
        <f>AD40*(1-AE38)+AE37</f>
        <v/>
      </c>
    </row>
    <row r="41">
      <c r="A41" s="6" t="inlineStr">
        <is>
          <t xml:space="preserve">  Grams under custody (vaulted, incl. self-custodied)</t>
        </is>
      </c>
      <c r="B41" s="23" t="inlineStr">
        <is>
          <t>grams</t>
        </is>
      </c>
      <c r="C41" s="45">
        <f>C37</f>
        <v/>
      </c>
      <c r="D41" s="45">
        <f>C41*(1-D39)+D37</f>
        <v/>
      </c>
      <c r="E41" s="45">
        <f>D41*(1-E39)+E37</f>
        <v/>
      </c>
      <c r="F41" s="45">
        <f>E41*(1-F39)+F37</f>
        <v/>
      </c>
      <c r="G41" s="45">
        <f>F41*(1-G39)+G37</f>
        <v/>
      </c>
      <c r="H41" s="45">
        <f>G41*(1-H39)+H37</f>
        <v/>
      </c>
      <c r="I41" s="45">
        <f>H41*(1-I39)+I37</f>
        <v/>
      </c>
      <c r="J41" s="45">
        <f>I41*(1-J39)+J37</f>
        <v/>
      </c>
      <c r="K41" s="45">
        <f>J41*(1-K39)+K37</f>
        <v/>
      </c>
      <c r="L41" s="45">
        <f>K41*(1-L39)+L37</f>
        <v/>
      </c>
      <c r="M41" s="45">
        <f>L41*(1-M39)+M37</f>
        <v/>
      </c>
      <c r="N41" s="45">
        <f>M41*(1-N39)+N37</f>
        <v/>
      </c>
      <c r="O41" s="45">
        <f>N41*(1-O39)+O37</f>
        <v/>
      </c>
      <c r="P41" s="45">
        <f>O41*(1-P39)+P37</f>
        <v/>
      </c>
      <c r="Q41" s="45">
        <f>P41*(1-Q39)+Q37</f>
        <v/>
      </c>
      <c r="R41" s="45">
        <f>Q41*(1-R39)+R37</f>
        <v/>
      </c>
      <c r="S41" s="45">
        <f>R41*(1-S39)+S37</f>
        <v/>
      </c>
      <c r="T41" s="45">
        <f>S41*(1-T39)+T37</f>
        <v/>
      </c>
      <c r="U41" s="45">
        <f>T41*(1-U39)+U37</f>
        <v/>
      </c>
      <c r="V41" s="45">
        <f>U41*(1-V39)+V37</f>
        <v/>
      </c>
      <c r="W41" s="45">
        <f>V41*(1-W39)+W37</f>
        <v/>
      </c>
      <c r="X41" s="45">
        <f>W41*(1-X39)+X37</f>
        <v/>
      </c>
      <c r="Y41" s="45">
        <f>X41*(1-Y39)+Y37</f>
        <v/>
      </c>
      <c r="Z41" s="45">
        <f>Y41*(1-Z39)+Z37</f>
        <v/>
      </c>
      <c r="AA41" s="45">
        <f>Z41*(1-AA39)+AA37</f>
        <v/>
      </c>
      <c r="AB41" s="45">
        <f>AA41*(1-AB39)+AB37</f>
        <v/>
      </c>
      <c r="AC41" s="45">
        <f>AB41*(1-AC39)+AC37</f>
        <v/>
      </c>
      <c r="AD41" s="45">
        <f>AC41*(1-AD39)+AD37</f>
        <v/>
      </c>
      <c r="AE41" s="45">
        <f>AD41*(1-AE39)+AE37</f>
        <v/>
      </c>
    </row>
    <row r="42">
      <c r="A42" s="6" t="inlineStr">
        <is>
          <t xml:space="preserve">  AUM</t>
        </is>
      </c>
      <c r="B42" s="23" t="inlineStr">
        <is>
          <t>USD</t>
        </is>
      </c>
      <c r="C42" s="57">
        <f>C40*C21</f>
        <v/>
      </c>
      <c r="D42" s="57">
        <f>D40*D21</f>
        <v/>
      </c>
      <c r="E42" s="57">
        <f>E40*E21</f>
        <v/>
      </c>
      <c r="F42" s="57">
        <f>F40*F21</f>
        <v/>
      </c>
      <c r="G42" s="57">
        <f>G40*G21</f>
        <v/>
      </c>
      <c r="H42" s="57">
        <f>H40*H21</f>
        <v/>
      </c>
      <c r="I42" s="57">
        <f>I40*I21</f>
        <v/>
      </c>
      <c r="J42" s="57">
        <f>J40*J21</f>
        <v/>
      </c>
      <c r="K42" s="57">
        <f>K40*K21</f>
        <v/>
      </c>
      <c r="L42" s="57">
        <f>L40*L21</f>
        <v/>
      </c>
      <c r="M42" s="57">
        <f>M40*M21</f>
        <v/>
      </c>
      <c r="N42" s="57">
        <f>N40*N21</f>
        <v/>
      </c>
      <c r="O42" s="57">
        <f>O40*O21</f>
        <v/>
      </c>
      <c r="P42" s="57">
        <f>P40*P21</f>
        <v/>
      </c>
      <c r="Q42" s="57">
        <f>Q40*Q21</f>
        <v/>
      </c>
      <c r="R42" s="57">
        <f>R40*R21</f>
        <v/>
      </c>
      <c r="S42" s="57">
        <f>S40*S21</f>
        <v/>
      </c>
      <c r="T42" s="57">
        <f>T40*T21</f>
        <v/>
      </c>
      <c r="U42" s="57">
        <f>U40*U21</f>
        <v/>
      </c>
      <c r="V42" s="57">
        <f>V40*V21</f>
        <v/>
      </c>
      <c r="W42" s="57">
        <f>W40*W21</f>
        <v/>
      </c>
      <c r="X42" s="57">
        <f>X40*X21</f>
        <v/>
      </c>
      <c r="Y42" s="57">
        <f>Y40*Y21</f>
        <v/>
      </c>
      <c r="Z42" s="57">
        <f>Z40*Z21</f>
        <v/>
      </c>
      <c r="AA42" s="57">
        <f>AA40*AA21</f>
        <v/>
      </c>
      <c r="AB42" s="57">
        <f>AB40*AB21</f>
        <v/>
      </c>
      <c r="AC42" s="57">
        <f>AC40*AC21</f>
        <v/>
      </c>
      <c r="AD42" s="57">
        <f>AD40*AD21</f>
        <v/>
      </c>
      <c r="AE42" s="57">
        <f>AE40*AE21</f>
        <v/>
      </c>
    </row>
    <row r="43">
      <c r="A43" s="6" t="inlineStr">
        <is>
          <t xml:space="preserve">  Card-eligible base</t>
        </is>
      </c>
      <c r="B43" s="23" t="inlineStr">
        <is>
          <t>accounts</t>
        </is>
      </c>
      <c r="C43" s="54">
        <f>C31+C33*Assumptions!$B$179</f>
        <v/>
      </c>
      <c r="D43" s="54">
        <f>D31+D33*Assumptions!$B$179</f>
        <v/>
      </c>
      <c r="E43" s="54">
        <f>E31+E33*Assumptions!$B$179</f>
        <v/>
      </c>
      <c r="F43" s="54">
        <f>F31+F33*Assumptions!$B$179</f>
        <v/>
      </c>
      <c r="G43" s="54">
        <f>G31+G33*Assumptions!$B$179</f>
        <v/>
      </c>
      <c r="H43" s="54">
        <f>H31+H33*Assumptions!$B$179</f>
        <v/>
      </c>
      <c r="I43" s="54">
        <f>I31+I33*Assumptions!$B$179</f>
        <v/>
      </c>
      <c r="J43" s="54">
        <f>J31+J33*Assumptions!$B$179</f>
        <v/>
      </c>
      <c r="K43" s="54">
        <f>K31+K33*Assumptions!$B$179</f>
        <v/>
      </c>
      <c r="L43" s="54">
        <f>L31+L33*Assumptions!$B$179</f>
        <v/>
      </c>
      <c r="M43" s="54">
        <f>M31+M33*Assumptions!$B$179</f>
        <v/>
      </c>
      <c r="N43" s="54">
        <f>N31+N33*Assumptions!$B$179</f>
        <v/>
      </c>
      <c r="O43" s="54">
        <f>O31+O33*Assumptions!$B$179</f>
        <v/>
      </c>
      <c r="P43" s="54">
        <f>P31+P33*Assumptions!$B$179</f>
        <v/>
      </c>
      <c r="Q43" s="54">
        <f>Q31+Q33*Assumptions!$B$179</f>
        <v/>
      </c>
      <c r="R43" s="54">
        <f>R31+R33*Assumptions!$B$179</f>
        <v/>
      </c>
      <c r="S43" s="54">
        <f>S31+S33*Assumptions!$B$179</f>
        <v/>
      </c>
      <c r="T43" s="54">
        <f>T31+T33*Assumptions!$B$179</f>
        <v/>
      </c>
      <c r="U43" s="54">
        <f>U31+U33*Assumptions!$B$179</f>
        <v/>
      </c>
      <c r="V43" s="54">
        <f>V31+V33*Assumptions!$B$179</f>
        <v/>
      </c>
      <c r="W43" s="54">
        <f>W31+W33*Assumptions!$B$179</f>
        <v/>
      </c>
      <c r="X43" s="54">
        <f>X31+X33*Assumptions!$B$179</f>
        <v/>
      </c>
      <c r="Y43" s="54">
        <f>Y31+Y33*Assumptions!$B$179</f>
        <v/>
      </c>
      <c r="Z43" s="54">
        <f>Z31+Z33*Assumptions!$B$179</f>
        <v/>
      </c>
      <c r="AA43" s="54">
        <f>AA31+AA33*Assumptions!$B$179</f>
        <v/>
      </c>
      <c r="AB43" s="54">
        <f>AB31+AB33*Assumptions!$B$179</f>
        <v/>
      </c>
      <c r="AC43" s="54">
        <f>AC31+AC33*Assumptions!$B$179</f>
        <v/>
      </c>
      <c r="AD43" s="54">
        <f>AD31+AD33*Assumptions!$B$179</f>
        <v/>
      </c>
      <c r="AE43" s="54">
        <f>AE31+AE33*Assumptions!$B$179</f>
        <v/>
      </c>
    </row>
    <row r="44">
      <c r="A44" s="6" t="inlineStr">
        <is>
          <t xml:space="preserve">  Cleared the six-payment gate</t>
        </is>
      </c>
      <c r="B44" s="23" t="inlineStr">
        <is>
          <t>accounts</t>
        </is>
      </c>
      <c r="C44" s="45">
        <f>IF(C7&gt;1,C43*Assumptions!$B$134,IF(C2&gt;Assumptions!$B$135,INDEX($C$43:$AE$43,1,C2-Assumptions!$B$135)*Assumptions!$B$134,0))</f>
        <v/>
      </c>
      <c r="D44" s="45">
        <f>IF(D7&gt;1,D43*Assumptions!$B$134,IF(D2&gt;Assumptions!$B$135,INDEX($C$43:$AE$43,1,D2-Assumptions!$B$135)*Assumptions!$B$134,0))</f>
        <v/>
      </c>
      <c r="E44" s="45">
        <f>IF(E7&gt;1,E43*Assumptions!$B$134,IF(E2&gt;Assumptions!$B$135,INDEX($C$43:$AE$43,1,E2-Assumptions!$B$135)*Assumptions!$B$134,0))</f>
        <v/>
      </c>
      <c r="F44" s="45">
        <f>IF(F7&gt;1,F43*Assumptions!$B$134,IF(F2&gt;Assumptions!$B$135,INDEX($C$43:$AE$43,1,F2-Assumptions!$B$135)*Assumptions!$B$134,0))</f>
        <v/>
      </c>
      <c r="G44" s="45">
        <f>IF(G7&gt;1,G43*Assumptions!$B$134,IF(G2&gt;Assumptions!$B$135,INDEX($C$43:$AE$43,1,G2-Assumptions!$B$135)*Assumptions!$B$134,0))</f>
        <v/>
      </c>
      <c r="H44" s="45">
        <f>IF(H7&gt;1,H43*Assumptions!$B$134,IF(H2&gt;Assumptions!$B$135,INDEX($C$43:$AE$43,1,H2-Assumptions!$B$135)*Assumptions!$B$134,0))</f>
        <v/>
      </c>
      <c r="I44" s="45">
        <f>IF(I7&gt;1,I43*Assumptions!$B$134,IF(I2&gt;Assumptions!$B$135,INDEX($C$43:$AE$43,1,I2-Assumptions!$B$135)*Assumptions!$B$134,0))</f>
        <v/>
      </c>
      <c r="J44" s="45">
        <f>IF(J7&gt;1,J43*Assumptions!$B$134,IF(J2&gt;Assumptions!$B$135,INDEX($C$43:$AE$43,1,J2-Assumptions!$B$135)*Assumptions!$B$134,0))</f>
        <v/>
      </c>
      <c r="K44" s="45">
        <f>IF(K7&gt;1,K43*Assumptions!$B$134,IF(K2&gt;Assumptions!$B$135,INDEX($C$43:$AE$43,1,K2-Assumptions!$B$135)*Assumptions!$B$134,0))</f>
        <v/>
      </c>
      <c r="L44" s="45">
        <f>IF(L7&gt;1,L43*Assumptions!$B$134,IF(L2&gt;Assumptions!$B$135,INDEX($C$43:$AE$43,1,L2-Assumptions!$B$135)*Assumptions!$B$134,0))</f>
        <v/>
      </c>
      <c r="M44" s="45">
        <f>IF(M7&gt;1,M43*Assumptions!$B$134,IF(M2&gt;Assumptions!$B$135,INDEX($C$43:$AE$43,1,M2-Assumptions!$B$135)*Assumptions!$B$134,0))</f>
        <v/>
      </c>
      <c r="N44" s="45">
        <f>IF(N7&gt;1,N43*Assumptions!$B$134,IF(N2&gt;Assumptions!$B$135,INDEX($C$43:$AE$43,1,N2-Assumptions!$B$135)*Assumptions!$B$134,0))</f>
        <v/>
      </c>
      <c r="O44" s="45">
        <f>IF(O7&gt;1,O43*Assumptions!$B$134,IF(O2&gt;Assumptions!$B$135,INDEX($C$43:$AE$43,1,O2-Assumptions!$B$135)*Assumptions!$B$134,0))</f>
        <v/>
      </c>
      <c r="P44" s="45">
        <f>IF(P7&gt;1,P43*Assumptions!$B$134,IF(P2&gt;Assumptions!$B$135,INDEX($C$43:$AE$43,1,P2-Assumptions!$B$135)*Assumptions!$B$134,0))</f>
        <v/>
      </c>
      <c r="Q44" s="45">
        <f>IF(Q7&gt;1,Q43*Assumptions!$B$134,IF(Q2&gt;Assumptions!$B$135,INDEX($C$43:$AE$43,1,Q2-Assumptions!$B$135)*Assumptions!$B$134,0))</f>
        <v/>
      </c>
      <c r="R44" s="45">
        <f>IF(R7&gt;1,R43*Assumptions!$B$134,IF(R2&gt;Assumptions!$B$135,INDEX($C$43:$AE$43,1,R2-Assumptions!$B$135)*Assumptions!$B$134,0))</f>
        <v/>
      </c>
      <c r="S44" s="45">
        <f>IF(S7&gt;1,S43*Assumptions!$B$134,IF(S2&gt;Assumptions!$B$135,INDEX($C$43:$AE$43,1,S2-Assumptions!$B$135)*Assumptions!$B$134,0))</f>
        <v/>
      </c>
      <c r="T44" s="45">
        <f>IF(T7&gt;1,T43*Assumptions!$B$134,IF(T2&gt;Assumptions!$B$135,INDEX($C$43:$AE$43,1,T2-Assumptions!$B$135)*Assumptions!$B$134,0))</f>
        <v/>
      </c>
      <c r="U44" s="45">
        <f>IF(U7&gt;1,U43*Assumptions!$B$134,IF(U2&gt;Assumptions!$B$135,INDEX($C$43:$AE$43,1,U2-Assumptions!$B$135)*Assumptions!$B$134,0))</f>
        <v/>
      </c>
      <c r="V44" s="45">
        <f>IF(V7&gt;1,V43*Assumptions!$B$134,IF(V2&gt;Assumptions!$B$135,INDEX($C$43:$AE$43,1,V2-Assumptions!$B$135)*Assumptions!$B$134,0))</f>
        <v/>
      </c>
      <c r="W44" s="45">
        <f>IF(W7&gt;1,W43*Assumptions!$B$134,IF(W2&gt;Assumptions!$B$135,INDEX($C$43:$AE$43,1,W2-Assumptions!$B$135)*Assumptions!$B$134,0))</f>
        <v/>
      </c>
      <c r="X44" s="45">
        <f>IF(X7&gt;1,X43*Assumptions!$B$134,IF(X2&gt;Assumptions!$B$135,INDEX($C$43:$AE$43,1,X2-Assumptions!$B$135)*Assumptions!$B$134,0))</f>
        <v/>
      </c>
      <c r="Y44" s="45">
        <f>IF(Y7&gt;1,Y43*Assumptions!$B$134,IF(Y2&gt;Assumptions!$B$135,INDEX($C$43:$AE$43,1,Y2-Assumptions!$B$135)*Assumptions!$B$134,0))</f>
        <v/>
      </c>
      <c r="Z44" s="45">
        <f>IF(Z7&gt;1,Z43*Assumptions!$B$134,IF(Z2&gt;Assumptions!$B$135,INDEX($C$43:$AE$43,1,Z2-Assumptions!$B$135)*Assumptions!$B$134,0))</f>
        <v/>
      </c>
      <c r="AA44" s="45">
        <f>IF(AA7&gt;1,AA43*Assumptions!$B$134,IF(AA2&gt;Assumptions!$B$135,INDEX($C$43:$AE$43,1,AA2-Assumptions!$B$135)*Assumptions!$B$134,0))</f>
        <v/>
      </c>
      <c r="AB44" s="45">
        <f>IF(AB7&gt;1,AB43*Assumptions!$B$134,IF(AB2&gt;Assumptions!$B$135,INDEX($C$43:$AE$43,1,AB2-Assumptions!$B$135)*Assumptions!$B$134,0))</f>
        <v/>
      </c>
      <c r="AC44" s="45">
        <f>IF(AC7&gt;1,AC43*Assumptions!$B$134,IF(AC2&gt;Assumptions!$B$135,INDEX($C$43:$AE$43,1,AC2-Assumptions!$B$135)*Assumptions!$B$134,0))</f>
        <v/>
      </c>
      <c r="AD44" s="45">
        <f>IF(AD7&gt;1,AD43*Assumptions!$B$134,IF(AD2&gt;Assumptions!$B$135,INDEX($C$43:$AE$43,1,AD2-Assumptions!$B$135)*Assumptions!$B$134,0))</f>
        <v/>
      </c>
      <c r="AE44" s="45">
        <f>IF(AE7&gt;1,AE43*Assumptions!$B$134,IF(AE2&gt;Assumptions!$B$135,INDEX($C$43:$AE$43,1,AE2-Assumptions!$B$135)*Assumptions!$B$134,0))</f>
        <v/>
      </c>
    </row>
    <row r="45">
      <c r="A45" s="6" t="inlineStr">
        <is>
          <t xml:space="preserve">  Active cards</t>
        </is>
      </c>
      <c r="B45" s="23" t="inlineStr">
        <is>
          <t>cards</t>
        </is>
      </c>
      <c r="C45" s="28">
        <f>IF(C2&gt;=Assumptions!$B$51,C44*Assumptions!$B$143,0)</f>
        <v/>
      </c>
      <c r="D45" s="28">
        <f>IF(D2&gt;=Assumptions!$B$51,D44*Assumptions!$B$143,0)</f>
        <v/>
      </c>
      <c r="E45" s="28">
        <f>IF(E2&gt;=Assumptions!$B$51,E44*Assumptions!$B$143,0)</f>
        <v/>
      </c>
      <c r="F45" s="28">
        <f>IF(F2&gt;=Assumptions!$B$51,F44*Assumptions!$B$143,0)</f>
        <v/>
      </c>
      <c r="G45" s="28">
        <f>IF(G2&gt;=Assumptions!$B$51,G44*Assumptions!$B$143,0)</f>
        <v/>
      </c>
      <c r="H45" s="28">
        <f>IF(H2&gt;=Assumptions!$B$51,H44*Assumptions!$B$143,0)</f>
        <v/>
      </c>
      <c r="I45" s="28">
        <f>IF(I2&gt;=Assumptions!$B$51,I44*Assumptions!$B$143,0)</f>
        <v/>
      </c>
      <c r="J45" s="28">
        <f>IF(J2&gt;=Assumptions!$B$51,J44*Assumptions!$B$143,0)</f>
        <v/>
      </c>
      <c r="K45" s="28">
        <f>IF(K2&gt;=Assumptions!$B$51,K44*Assumptions!$B$143,0)</f>
        <v/>
      </c>
      <c r="L45" s="28">
        <f>IF(L2&gt;=Assumptions!$B$51,L44*Assumptions!$B$143,0)</f>
        <v/>
      </c>
      <c r="M45" s="28">
        <f>IF(M2&gt;=Assumptions!$B$51,M44*Assumptions!$B$143,0)</f>
        <v/>
      </c>
      <c r="N45" s="28">
        <f>IF(N2&gt;=Assumptions!$B$51,N44*Assumptions!$B$143,0)</f>
        <v/>
      </c>
      <c r="O45" s="28">
        <f>IF(O2&gt;=Assumptions!$B$51,O44*Assumptions!$B$143,0)</f>
        <v/>
      </c>
      <c r="P45" s="28">
        <f>IF(P2&gt;=Assumptions!$B$51,P44*Assumptions!$B$143,0)</f>
        <v/>
      </c>
      <c r="Q45" s="28">
        <f>IF(Q2&gt;=Assumptions!$B$51,Q44*Assumptions!$B$143,0)</f>
        <v/>
      </c>
      <c r="R45" s="28">
        <f>IF(R2&gt;=Assumptions!$B$51,R44*Assumptions!$B$143,0)</f>
        <v/>
      </c>
      <c r="S45" s="28">
        <f>IF(S2&gt;=Assumptions!$B$51,S44*Assumptions!$B$143,0)</f>
        <v/>
      </c>
      <c r="T45" s="28">
        <f>IF(T2&gt;=Assumptions!$B$51,T44*Assumptions!$B$143,0)</f>
        <v/>
      </c>
      <c r="U45" s="28">
        <f>IF(U2&gt;=Assumptions!$B$51,U44*Assumptions!$B$143,0)</f>
        <v/>
      </c>
      <c r="V45" s="28">
        <f>IF(V2&gt;=Assumptions!$B$51,V44*Assumptions!$B$143,0)</f>
        <v/>
      </c>
      <c r="W45" s="28">
        <f>IF(W2&gt;=Assumptions!$B$51,W44*Assumptions!$B$143,0)</f>
        <v/>
      </c>
      <c r="X45" s="28">
        <f>IF(X2&gt;=Assumptions!$B$51,X44*Assumptions!$B$143,0)</f>
        <v/>
      </c>
      <c r="Y45" s="28">
        <f>IF(Y2&gt;=Assumptions!$B$51,Y44*Assumptions!$B$143,0)</f>
        <v/>
      </c>
      <c r="Z45" s="28">
        <f>IF(Z2&gt;=Assumptions!$B$51,Z44*Assumptions!$B$143,0)</f>
        <v/>
      </c>
      <c r="AA45" s="28">
        <f>IF(AA2&gt;=Assumptions!$B$51,AA44*Assumptions!$B$143,0)</f>
        <v/>
      </c>
      <c r="AB45" s="28">
        <f>IF(AB2&gt;=Assumptions!$B$51,AB44*Assumptions!$B$143,0)</f>
        <v/>
      </c>
      <c r="AC45" s="28">
        <f>IF(AC2&gt;=Assumptions!$B$51,AC44*Assumptions!$B$143,0)</f>
        <v/>
      </c>
      <c r="AD45" s="28">
        <f>IF(AD2&gt;=Assumptions!$B$51,AD44*Assumptions!$B$143,0)</f>
        <v/>
      </c>
      <c r="AE45" s="28">
        <f>IF(AE2&gt;=Assumptions!$B$51,AE44*Assumptions!$B$143,0)</f>
        <v/>
      </c>
    </row>
    <row r="46">
      <c r="A46" s="6" t="inlineStr">
        <is>
          <t xml:space="preserve">  ...of which have a live credit line</t>
        </is>
      </c>
      <c r="B46" s="23" t="inlineStr">
        <is>
          <t>cards</t>
        </is>
      </c>
      <c r="C46" s="28">
        <f>IF(C43=0,0,C45*C31/C43)</f>
        <v/>
      </c>
      <c r="D46" s="28">
        <f>IF(D43=0,0,D45*D31/D43)</f>
        <v/>
      </c>
      <c r="E46" s="28">
        <f>IF(E43=0,0,E45*E31/E43)</f>
        <v/>
      </c>
      <c r="F46" s="28">
        <f>IF(F43=0,0,F45*F31/F43)</f>
        <v/>
      </c>
      <c r="G46" s="28">
        <f>IF(G43=0,0,G45*G31/G43)</f>
        <v/>
      </c>
      <c r="H46" s="28">
        <f>IF(H43=0,0,H45*H31/H43)</f>
        <v/>
      </c>
      <c r="I46" s="28">
        <f>IF(I43=0,0,I45*I31/I43)</f>
        <v/>
      </c>
      <c r="J46" s="28">
        <f>IF(J43=0,0,J45*J31/J43)</f>
        <v/>
      </c>
      <c r="K46" s="28">
        <f>IF(K43=0,0,K45*K31/K43)</f>
        <v/>
      </c>
      <c r="L46" s="28">
        <f>IF(L43=0,0,L45*L31/L43)</f>
        <v/>
      </c>
      <c r="M46" s="28">
        <f>IF(M43=0,0,M45*M31/M43)</f>
        <v/>
      </c>
      <c r="N46" s="28">
        <f>IF(N43=0,0,N45*N31/N43)</f>
        <v/>
      </c>
      <c r="O46" s="28">
        <f>IF(O43=0,0,O45*O31/O43)</f>
        <v/>
      </c>
      <c r="P46" s="28">
        <f>IF(P43=0,0,P45*P31/P43)</f>
        <v/>
      </c>
      <c r="Q46" s="28">
        <f>IF(Q43=0,0,Q45*Q31/Q43)</f>
        <v/>
      </c>
      <c r="R46" s="28">
        <f>IF(R43=0,0,R45*R31/R43)</f>
        <v/>
      </c>
      <c r="S46" s="28">
        <f>IF(S43=0,0,S45*S31/S43)</f>
        <v/>
      </c>
      <c r="T46" s="28">
        <f>IF(T43=0,0,T45*T31/T43)</f>
        <v/>
      </c>
      <c r="U46" s="28">
        <f>IF(U43=0,0,U45*U31/U43)</f>
        <v/>
      </c>
      <c r="V46" s="28">
        <f>IF(V43=0,0,V45*V31/V43)</f>
        <v/>
      </c>
      <c r="W46" s="28">
        <f>IF(W43=0,0,W45*W31/W43)</f>
        <v/>
      </c>
      <c r="X46" s="28">
        <f>IF(X43=0,0,X45*X31/X43)</f>
        <v/>
      </c>
      <c r="Y46" s="28">
        <f>IF(Y43=0,0,Y45*Y31/Y43)</f>
        <v/>
      </c>
      <c r="Z46" s="28">
        <f>IF(Z43=0,0,Z45*Z31/Z43)</f>
        <v/>
      </c>
      <c r="AA46" s="28">
        <f>IF(AA43=0,0,AA45*AA31/AA43)</f>
        <v/>
      </c>
      <c r="AB46" s="28">
        <f>IF(AB43=0,0,AB45*AB31/AB43)</f>
        <v/>
      </c>
      <c r="AC46" s="28">
        <f>IF(AC43=0,0,AC45*AC31/AC43)</f>
        <v/>
      </c>
      <c r="AD46" s="28">
        <f>IF(AD43=0,0,AD45*AD31/AD43)</f>
        <v/>
      </c>
      <c r="AE46" s="28">
        <f>IF(AE43=0,0,AE45*AE31/AE43)</f>
        <v/>
      </c>
    </row>
    <row r="47">
      <c r="A47" s="6" t="inlineStr">
        <is>
          <t xml:space="preserve">  Credit limit per customer (gold x LTV)</t>
        </is>
      </c>
      <c r="B47" s="23" t="inlineStr">
        <is>
          <t>USD</t>
        </is>
      </c>
      <c r="C47" s="55">
        <f>IF(C31=0,0,C42/C31*Assumptions!$B$31)</f>
        <v/>
      </c>
      <c r="D47" s="55">
        <f>IF(D31=0,0,D42/D31*Assumptions!$B$31)</f>
        <v/>
      </c>
      <c r="E47" s="55">
        <f>IF(E31=0,0,E42/E31*Assumptions!$B$31)</f>
        <v/>
      </c>
      <c r="F47" s="55">
        <f>IF(F31=0,0,F42/F31*Assumptions!$B$31)</f>
        <v/>
      </c>
      <c r="G47" s="55">
        <f>IF(G31=0,0,G42/G31*Assumptions!$B$31)</f>
        <v/>
      </c>
      <c r="H47" s="55">
        <f>IF(H31=0,0,H42/H31*Assumptions!$B$31)</f>
        <v/>
      </c>
      <c r="I47" s="55">
        <f>IF(I31=0,0,I42/I31*Assumptions!$B$31)</f>
        <v/>
      </c>
      <c r="J47" s="55">
        <f>IF(J31=0,0,J42/J31*Assumptions!$B$31)</f>
        <v/>
      </c>
      <c r="K47" s="55">
        <f>IF(K31=0,0,K42/K31*Assumptions!$B$31)</f>
        <v/>
      </c>
      <c r="L47" s="55">
        <f>IF(L31=0,0,L42/L31*Assumptions!$B$31)</f>
        <v/>
      </c>
      <c r="M47" s="55">
        <f>IF(M31=0,0,M42/M31*Assumptions!$B$31)</f>
        <v/>
      </c>
      <c r="N47" s="55">
        <f>IF(N31=0,0,N42/N31*Assumptions!$B$31)</f>
        <v/>
      </c>
      <c r="O47" s="55">
        <f>IF(O31=0,0,O42/O31*Assumptions!$B$31)</f>
        <v/>
      </c>
      <c r="P47" s="55">
        <f>IF(P31=0,0,P42/P31*Assumptions!$B$31)</f>
        <v/>
      </c>
      <c r="Q47" s="55">
        <f>IF(Q31=0,0,Q42/Q31*Assumptions!$B$31)</f>
        <v/>
      </c>
      <c r="R47" s="55">
        <f>IF(R31=0,0,R42/R31*Assumptions!$B$31)</f>
        <v/>
      </c>
      <c r="S47" s="55">
        <f>IF(S31=0,0,S42/S31*Assumptions!$B$31)</f>
        <v/>
      </c>
      <c r="T47" s="55">
        <f>IF(T31=0,0,T42/T31*Assumptions!$B$31)</f>
        <v/>
      </c>
      <c r="U47" s="55">
        <f>IF(U31=0,0,U42/U31*Assumptions!$B$31)</f>
        <v/>
      </c>
      <c r="V47" s="55">
        <f>IF(V31=0,0,V42/V31*Assumptions!$B$31)</f>
        <v/>
      </c>
      <c r="W47" s="55">
        <f>IF(W31=0,0,W42/W31*Assumptions!$B$31)</f>
        <v/>
      </c>
      <c r="X47" s="55">
        <f>IF(X31=0,0,X42/X31*Assumptions!$B$31)</f>
        <v/>
      </c>
      <c r="Y47" s="55">
        <f>IF(Y31=0,0,Y42/Y31*Assumptions!$B$31)</f>
        <v/>
      </c>
      <c r="Z47" s="55">
        <f>IF(Z31=0,0,Z42/Z31*Assumptions!$B$31)</f>
        <v/>
      </c>
      <c r="AA47" s="55">
        <f>IF(AA31=0,0,AA42/AA31*Assumptions!$B$31)</f>
        <v/>
      </c>
      <c r="AB47" s="55">
        <f>IF(AB31=0,0,AB42/AB31*Assumptions!$B$31)</f>
        <v/>
      </c>
      <c r="AC47" s="55">
        <f>IF(AC31=0,0,AC42/AC31*Assumptions!$B$31)</f>
        <v/>
      </c>
      <c r="AD47" s="55">
        <f>IF(AD31=0,0,AD42/AD31*Assumptions!$B$31)</f>
        <v/>
      </c>
      <c r="AE47" s="55">
        <f>IF(AE31=0,0,AE42/AE31*Assumptions!$B$31)</f>
        <v/>
      </c>
    </row>
    <row r="48">
      <c r="A48" s="6" t="inlineStr">
        <is>
          <t xml:space="preserve">  Annual drawdown per card (limit x drawn x draws)</t>
        </is>
      </c>
      <c r="B48" s="23" t="inlineStr">
        <is>
          <t>USD/yr</t>
        </is>
      </c>
      <c r="C48" s="55">
        <f>C47*Assumptions!$B$156*Assumptions!$B$158</f>
        <v/>
      </c>
      <c r="D48" s="55">
        <f>D47*Assumptions!$B$156*Assumptions!$B$158</f>
        <v/>
      </c>
      <c r="E48" s="55">
        <f>E47*Assumptions!$B$156*Assumptions!$B$158</f>
        <v/>
      </c>
      <c r="F48" s="55">
        <f>F47*Assumptions!$B$156*Assumptions!$B$158</f>
        <v/>
      </c>
      <c r="G48" s="55">
        <f>G47*Assumptions!$B$156*Assumptions!$B$158</f>
        <v/>
      </c>
      <c r="H48" s="55">
        <f>H47*Assumptions!$B$156*Assumptions!$B$158</f>
        <v/>
      </c>
      <c r="I48" s="55">
        <f>I47*Assumptions!$B$156*Assumptions!$B$158</f>
        <v/>
      </c>
      <c r="J48" s="55">
        <f>J47*Assumptions!$B$156*Assumptions!$B$158</f>
        <v/>
      </c>
      <c r="K48" s="55">
        <f>K47*Assumptions!$B$156*Assumptions!$B$158</f>
        <v/>
      </c>
      <c r="L48" s="55">
        <f>L47*Assumptions!$B$156*Assumptions!$B$158</f>
        <v/>
      </c>
      <c r="M48" s="55">
        <f>M47*Assumptions!$B$156*Assumptions!$B$158</f>
        <v/>
      </c>
      <c r="N48" s="55">
        <f>N47*Assumptions!$B$156*Assumptions!$B$158</f>
        <v/>
      </c>
      <c r="O48" s="55">
        <f>O47*Assumptions!$B$156*Assumptions!$B$158</f>
        <v/>
      </c>
      <c r="P48" s="55">
        <f>P47*Assumptions!$B$156*Assumptions!$B$158</f>
        <v/>
      </c>
      <c r="Q48" s="55">
        <f>Q47*Assumptions!$B$156*Assumptions!$B$158</f>
        <v/>
      </c>
      <c r="R48" s="55">
        <f>R47*Assumptions!$B$156*Assumptions!$B$158</f>
        <v/>
      </c>
      <c r="S48" s="55">
        <f>S47*Assumptions!$B$156*Assumptions!$B$158</f>
        <v/>
      </c>
      <c r="T48" s="55">
        <f>T47*Assumptions!$B$156*Assumptions!$B$158</f>
        <v/>
      </c>
      <c r="U48" s="55">
        <f>U47*Assumptions!$B$156*Assumptions!$B$158</f>
        <v/>
      </c>
      <c r="V48" s="55">
        <f>V47*Assumptions!$B$156*Assumptions!$B$158</f>
        <v/>
      </c>
      <c r="W48" s="55">
        <f>W47*Assumptions!$B$156*Assumptions!$B$158</f>
        <v/>
      </c>
      <c r="X48" s="55">
        <f>X47*Assumptions!$B$156*Assumptions!$B$158</f>
        <v/>
      </c>
      <c r="Y48" s="55">
        <f>Y47*Assumptions!$B$156*Assumptions!$B$158</f>
        <v/>
      </c>
      <c r="Z48" s="55">
        <f>Z47*Assumptions!$B$156*Assumptions!$B$158</f>
        <v/>
      </c>
      <c r="AA48" s="55">
        <f>AA47*Assumptions!$B$156*Assumptions!$B$158</f>
        <v/>
      </c>
      <c r="AB48" s="55">
        <f>AB47*Assumptions!$B$156*Assumptions!$B$158</f>
        <v/>
      </c>
      <c r="AC48" s="55">
        <f>AC47*Assumptions!$B$156*Assumptions!$B$158</f>
        <v/>
      </c>
      <c r="AD48" s="55">
        <f>AD47*Assumptions!$B$156*Assumptions!$B$158</f>
        <v/>
      </c>
      <c r="AE48" s="55">
        <f>AE47*Assumptions!$B$156*Assumptions!$B$158</f>
        <v/>
      </c>
    </row>
    <row r="49">
      <c r="A49" s="6" t="inlineStr">
        <is>
          <t xml:space="preserve">  Card spend per card per month</t>
        </is>
      </c>
      <c r="B49" s="23" t="inlineStr">
        <is>
          <t>USD</t>
        </is>
      </c>
      <c r="C49" s="55">
        <f>C48/12*C16</f>
        <v/>
      </c>
      <c r="D49" s="55">
        <f>D48/12*D16</f>
        <v/>
      </c>
      <c r="E49" s="55">
        <f>E48/12*E16</f>
        <v/>
      </c>
      <c r="F49" s="55">
        <f>F48/12*F16</f>
        <v/>
      </c>
      <c r="G49" s="55">
        <f>G48/12*G16</f>
        <v/>
      </c>
      <c r="H49" s="55">
        <f>H48/12*H16</f>
        <v/>
      </c>
      <c r="I49" s="55">
        <f>I48/12*I16</f>
        <v/>
      </c>
      <c r="J49" s="55">
        <f>J48/12*J16</f>
        <v/>
      </c>
      <c r="K49" s="55">
        <f>K48/12*K16</f>
        <v/>
      </c>
      <c r="L49" s="55">
        <f>L48/12*L16</f>
        <v/>
      </c>
      <c r="M49" s="55">
        <f>M48/12*M16</f>
        <v/>
      </c>
      <c r="N49" s="55">
        <f>N48/12*N16</f>
        <v/>
      </c>
      <c r="O49" s="55">
        <f>O48/12*O16</f>
        <v/>
      </c>
      <c r="P49" s="55">
        <f>P48/12*P16</f>
        <v/>
      </c>
      <c r="Q49" s="55">
        <f>Q48/12*Q16</f>
        <v/>
      </c>
      <c r="R49" s="55">
        <f>R48/12*R16</f>
        <v/>
      </c>
      <c r="S49" s="55">
        <f>S48/12*S16</f>
        <v/>
      </c>
      <c r="T49" s="55">
        <f>T48/12*T16</f>
        <v/>
      </c>
      <c r="U49" s="55">
        <f>U48/12*U16</f>
        <v/>
      </c>
      <c r="V49" s="55">
        <f>V48/12*V16</f>
        <v/>
      </c>
      <c r="W49" s="55">
        <f>W48/12*W16</f>
        <v/>
      </c>
      <c r="X49" s="55">
        <f>X48/12*X16</f>
        <v/>
      </c>
      <c r="Y49" s="55">
        <f>Y48/12*Y16</f>
        <v/>
      </c>
      <c r="Z49" s="55">
        <f>Z48/12*Z16</f>
        <v/>
      </c>
      <c r="AA49" s="55">
        <f>AA48/12*AA16</f>
        <v/>
      </c>
      <c r="AB49" s="55">
        <f>AB48/12*AB16</f>
        <v/>
      </c>
      <c r="AC49" s="55">
        <f>AC48/12*AC16</f>
        <v/>
      </c>
      <c r="AD49" s="55">
        <f>AD48/12*AD16</f>
        <v/>
      </c>
      <c r="AE49" s="55">
        <f>AE48/12*AE16</f>
        <v/>
      </c>
    </row>
    <row r="50">
      <c r="A50" s="6" t="inlineStr">
        <is>
          <t xml:space="preserve">  Card spend</t>
        </is>
      </c>
      <c r="B50" s="23" t="inlineStr">
        <is>
          <t>AED</t>
        </is>
      </c>
      <c r="C50" s="45">
        <f>C46*C49*Assumptions!$B$7*C7</f>
        <v/>
      </c>
      <c r="D50" s="45">
        <f>D46*D49*Assumptions!$B$7*D7</f>
        <v/>
      </c>
      <c r="E50" s="45">
        <f>E46*E49*Assumptions!$B$7*E7</f>
        <v/>
      </c>
      <c r="F50" s="45">
        <f>F46*F49*Assumptions!$B$7*F7</f>
        <v/>
      </c>
      <c r="G50" s="45">
        <f>G46*G49*Assumptions!$B$7*G7</f>
        <v/>
      </c>
      <c r="H50" s="45">
        <f>H46*H49*Assumptions!$B$7*H7</f>
        <v/>
      </c>
      <c r="I50" s="45">
        <f>I46*I49*Assumptions!$B$7*I7</f>
        <v/>
      </c>
      <c r="J50" s="45">
        <f>J46*J49*Assumptions!$B$7*J7</f>
        <v/>
      </c>
      <c r="K50" s="45">
        <f>K46*K49*Assumptions!$B$7*K7</f>
        <v/>
      </c>
      <c r="L50" s="45">
        <f>L46*L49*Assumptions!$B$7*L7</f>
        <v/>
      </c>
      <c r="M50" s="45">
        <f>M46*M49*Assumptions!$B$7*M7</f>
        <v/>
      </c>
      <c r="N50" s="45">
        <f>N46*N49*Assumptions!$B$7*N7</f>
        <v/>
      </c>
      <c r="O50" s="45">
        <f>O46*O49*Assumptions!$B$7*O7</f>
        <v/>
      </c>
      <c r="P50" s="45">
        <f>P46*P49*Assumptions!$B$7*P7</f>
        <v/>
      </c>
      <c r="Q50" s="45">
        <f>Q46*Q49*Assumptions!$B$7*Q7</f>
        <v/>
      </c>
      <c r="R50" s="45">
        <f>R46*R49*Assumptions!$B$7*R7</f>
        <v/>
      </c>
      <c r="S50" s="45">
        <f>S46*S49*Assumptions!$B$7*S7</f>
        <v/>
      </c>
      <c r="T50" s="45">
        <f>T46*T49*Assumptions!$B$7*T7</f>
        <v/>
      </c>
      <c r="U50" s="45">
        <f>U46*U49*Assumptions!$B$7*U7</f>
        <v/>
      </c>
      <c r="V50" s="45">
        <f>V46*V49*Assumptions!$B$7*V7</f>
        <v/>
      </c>
      <c r="W50" s="45">
        <f>W46*W49*Assumptions!$B$7*W7</f>
        <v/>
      </c>
      <c r="X50" s="45">
        <f>X46*X49*Assumptions!$B$7*X7</f>
        <v/>
      </c>
      <c r="Y50" s="45">
        <f>Y46*Y49*Assumptions!$B$7*Y7</f>
        <v/>
      </c>
      <c r="Z50" s="45">
        <f>Z46*Z49*Assumptions!$B$7*Z7</f>
        <v/>
      </c>
      <c r="AA50" s="45">
        <f>AA46*AA49*Assumptions!$B$7*AA7</f>
        <v/>
      </c>
      <c r="AB50" s="45">
        <f>AB46*AB49*Assumptions!$B$7*AB7</f>
        <v/>
      </c>
      <c r="AC50" s="45">
        <f>AC46*AC49*Assumptions!$B$7*AC7</f>
        <v/>
      </c>
      <c r="AD50" s="45">
        <f>AD46*AD49*Assumptions!$B$7*AD7</f>
        <v/>
      </c>
      <c r="AE50" s="45">
        <f>AE46*AE49*Assumptions!$B$7*AE7</f>
        <v/>
      </c>
    </row>
    <row r="51">
      <c r="A51" s="6" t="inlineStr">
        <is>
          <t xml:space="preserve">  Card spend</t>
        </is>
      </c>
      <c r="B51" s="23" t="inlineStr">
        <is>
          <t>USD</t>
        </is>
      </c>
      <c r="C51" s="55">
        <f>C50/Assumptions!$B$7</f>
        <v/>
      </c>
      <c r="D51" s="55">
        <f>D50/Assumptions!$B$7</f>
        <v/>
      </c>
      <c r="E51" s="55">
        <f>E50/Assumptions!$B$7</f>
        <v/>
      </c>
      <c r="F51" s="55">
        <f>F50/Assumptions!$B$7</f>
        <v/>
      </c>
      <c r="G51" s="55">
        <f>G50/Assumptions!$B$7</f>
        <v/>
      </c>
      <c r="H51" s="55">
        <f>H50/Assumptions!$B$7</f>
        <v/>
      </c>
      <c r="I51" s="55">
        <f>I50/Assumptions!$B$7</f>
        <v/>
      </c>
      <c r="J51" s="55">
        <f>J50/Assumptions!$B$7</f>
        <v/>
      </c>
      <c r="K51" s="55">
        <f>K50/Assumptions!$B$7</f>
        <v/>
      </c>
      <c r="L51" s="55">
        <f>L50/Assumptions!$B$7</f>
        <v/>
      </c>
      <c r="M51" s="55">
        <f>M50/Assumptions!$B$7</f>
        <v/>
      </c>
      <c r="N51" s="55">
        <f>N50/Assumptions!$B$7</f>
        <v/>
      </c>
      <c r="O51" s="55">
        <f>O50/Assumptions!$B$7</f>
        <v/>
      </c>
      <c r="P51" s="55">
        <f>P50/Assumptions!$B$7</f>
        <v/>
      </c>
      <c r="Q51" s="55">
        <f>Q50/Assumptions!$B$7</f>
        <v/>
      </c>
      <c r="R51" s="55">
        <f>R50/Assumptions!$B$7</f>
        <v/>
      </c>
      <c r="S51" s="55">
        <f>S50/Assumptions!$B$7</f>
        <v/>
      </c>
      <c r="T51" s="55">
        <f>T50/Assumptions!$B$7</f>
        <v/>
      </c>
      <c r="U51" s="55">
        <f>U50/Assumptions!$B$7</f>
        <v/>
      </c>
      <c r="V51" s="55">
        <f>V50/Assumptions!$B$7</f>
        <v/>
      </c>
      <c r="W51" s="55">
        <f>W50/Assumptions!$B$7</f>
        <v/>
      </c>
      <c r="X51" s="55">
        <f>X50/Assumptions!$B$7</f>
        <v/>
      </c>
      <c r="Y51" s="55">
        <f>Y50/Assumptions!$B$7</f>
        <v/>
      </c>
      <c r="Z51" s="55">
        <f>Z50/Assumptions!$B$7</f>
        <v/>
      </c>
      <c r="AA51" s="55">
        <f>AA50/Assumptions!$B$7</f>
        <v/>
      </c>
      <c r="AB51" s="55">
        <f>AB50/Assumptions!$B$7</f>
        <v/>
      </c>
      <c r="AC51" s="55">
        <f>AC50/Assumptions!$B$7</f>
        <v/>
      </c>
      <c r="AD51" s="55">
        <f>AD50/Assumptions!$B$7</f>
        <v/>
      </c>
      <c r="AE51" s="55">
        <f>AE50/Assumptions!$B$7</f>
        <v/>
      </c>
    </row>
    <row r="52">
      <c r="A52" s="6" t="inlineStr">
        <is>
          <t xml:space="preserve">  Average transaction size (derived)</t>
        </is>
      </c>
      <c r="B52" s="23" t="inlineStr">
        <is>
          <t>AED</t>
        </is>
      </c>
      <c r="C52" s="45">
        <f>IF(Assumptions!$B$144=0,0,C47*Assumptions!$B$156*Assumptions!$B$7/Assumptions!$B$144)</f>
        <v/>
      </c>
      <c r="D52" s="45">
        <f>IF(Assumptions!$B$144=0,0,D47*Assumptions!$B$156*Assumptions!$B$7/Assumptions!$B$144)</f>
        <v/>
      </c>
      <c r="E52" s="45">
        <f>IF(Assumptions!$B$144=0,0,E47*Assumptions!$B$156*Assumptions!$B$7/Assumptions!$B$144)</f>
        <v/>
      </c>
      <c r="F52" s="45">
        <f>IF(Assumptions!$B$144=0,0,F47*Assumptions!$B$156*Assumptions!$B$7/Assumptions!$B$144)</f>
        <v/>
      </c>
      <c r="G52" s="45">
        <f>IF(Assumptions!$B$144=0,0,G47*Assumptions!$B$156*Assumptions!$B$7/Assumptions!$B$144)</f>
        <v/>
      </c>
      <c r="H52" s="45">
        <f>IF(Assumptions!$B$144=0,0,H47*Assumptions!$B$156*Assumptions!$B$7/Assumptions!$B$144)</f>
        <v/>
      </c>
      <c r="I52" s="45">
        <f>IF(Assumptions!$B$144=0,0,I47*Assumptions!$B$156*Assumptions!$B$7/Assumptions!$B$144)</f>
        <v/>
      </c>
      <c r="J52" s="45">
        <f>IF(Assumptions!$B$144=0,0,J47*Assumptions!$B$156*Assumptions!$B$7/Assumptions!$B$144)</f>
        <v/>
      </c>
      <c r="K52" s="45">
        <f>IF(Assumptions!$B$144=0,0,K47*Assumptions!$B$156*Assumptions!$B$7/Assumptions!$B$144)</f>
        <v/>
      </c>
      <c r="L52" s="45">
        <f>IF(Assumptions!$B$144=0,0,L47*Assumptions!$B$156*Assumptions!$B$7/Assumptions!$B$144)</f>
        <v/>
      </c>
      <c r="M52" s="45">
        <f>IF(Assumptions!$B$144=0,0,M47*Assumptions!$B$156*Assumptions!$B$7/Assumptions!$B$144)</f>
        <v/>
      </c>
      <c r="N52" s="45">
        <f>IF(Assumptions!$B$144=0,0,N47*Assumptions!$B$156*Assumptions!$B$7/Assumptions!$B$144)</f>
        <v/>
      </c>
      <c r="O52" s="45">
        <f>IF(Assumptions!$B$144=0,0,O47*Assumptions!$B$156*Assumptions!$B$7/Assumptions!$B$144)</f>
        <v/>
      </c>
      <c r="P52" s="45">
        <f>IF(Assumptions!$B$144=0,0,P47*Assumptions!$B$156*Assumptions!$B$7/Assumptions!$B$144)</f>
        <v/>
      </c>
      <c r="Q52" s="45">
        <f>IF(Assumptions!$B$144=0,0,Q47*Assumptions!$B$156*Assumptions!$B$7/Assumptions!$B$144)</f>
        <v/>
      </c>
      <c r="R52" s="45">
        <f>IF(Assumptions!$B$144=0,0,R47*Assumptions!$B$156*Assumptions!$B$7/Assumptions!$B$144)</f>
        <v/>
      </c>
      <c r="S52" s="45">
        <f>IF(Assumptions!$B$144=0,0,S47*Assumptions!$B$156*Assumptions!$B$7/Assumptions!$B$144)</f>
        <v/>
      </c>
      <c r="T52" s="45">
        <f>IF(Assumptions!$B$144=0,0,T47*Assumptions!$B$156*Assumptions!$B$7/Assumptions!$B$144)</f>
        <v/>
      </c>
      <c r="U52" s="45">
        <f>IF(Assumptions!$B$144=0,0,U47*Assumptions!$B$156*Assumptions!$B$7/Assumptions!$B$144)</f>
        <v/>
      </c>
      <c r="V52" s="45">
        <f>IF(Assumptions!$B$144=0,0,V47*Assumptions!$B$156*Assumptions!$B$7/Assumptions!$B$144)</f>
        <v/>
      </c>
      <c r="W52" s="45">
        <f>IF(Assumptions!$B$144=0,0,W47*Assumptions!$B$156*Assumptions!$B$7/Assumptions!$B$144)</f>
        <v/>
      </c>
      <c r="X52" s="45">
        <f>IF(Assumptions!$B$144=0,0,X47*Assumptions!$B$156*Assumptions!$B$7/Assumptions!$B$144)</f>
        <v/>
      </c>
      <c r="Y52" s="45">
        <f>IF(Assumptions!$B$144=0,0,Y47*Assumptions!$B$156*Assumptions!$B$7/Assumptions!$B$144)</f>
        <v/>
      </c>
      <c r="Z52" s="45">
        <f>IF(Assumptions!$B$144=0,0,Z47*Assumptions!$B$156*Assumptions!$B$7/Assumptions!$B$144)</f>
        <v/>
      </c>
      <c r="AA52" s="45">
        <f>IF(Assumptions!$B$144=0,0,AA47*Assumptions!$B$156*Assumptions!$B$7/Assumptions!$B$144)</f>
        <v/>
      </c>
      <c r="AB52" s="45">
        <f>IF(Assumptions!$B$144=0,0,AB47*Assumptions!$B$156*Assumptions!$B$7/Assumptions!$B$144)</f>
        <v/>
      </c>
      <c r="AC52" s="45">
        <f>IF(Assumptions!$B$144=0,0,AC47*Assumptions!$B$156*Assumptions!$B$7/Assumptions!$B$144)</f>
        <v/>
      </c>
      <c r="AD52" s="45">
        <f>IF(Assumptions!$B$144=0,0,AD47*Assumptions!$B$156*Assumptions!$B$7/Assumptions!$B$144)</f>
        <v/>
      </c>
      <c r="AE52" s="45">
        <f>IF(Assumptions!$B$144=0,0,AE47*Assumptions!$B$156*Assumptions!$B$7/Assumptions!$B$144)</f>
        <v/>
      </c>
    </row>
    <row r="53">
      <c r="A53" s="6" t="inlineStr">
        <is>
          <t xml:space="preserve">  Card authorisations (memo - drives cost, not revenue)</t>
        </is>
      </c>
      <c r="B53" s="23" t="inlineStr">
        <is>
          <t>auths</t>
        </is>
      </c>
      <c r="C53" s="45">
        <f>C46*Assumptions!$B$158*Assumptions!$B$144*C7/12*(1+Assumptions!$B$16)</f>
        <v/>
      </c>
      <c r="D53" s="45">
        <f>D46*Assumptions!$B$158*Assumptions!$B$144*D7/12*(1+Assumptions!$B$16)</f>
        <v/>
      </c>
      <c r="E53" s="45">
        <f>E46*Assumptions!$B$158*Assumptions!$B$144*E7/12*(1+Assumptions!$B$16)</f>
        <v/>
      </c>
      <c r="F53" s="45">
        <f>F46*Assumptions!$B$158*Assumptions!$B$144*F7/12*(1+Assumptions!$B$16)</f>
        <v/>
      </c>
      <c r="G53" s="45">
        <f>G46*Assumptions!$B$158*Assumptions!$B$144*G7/12*(1+Assumptions!$B$16)</f>
        <v/>
      </c>
      <c r="H53" s="45">
        <f>H46*Assumptions!$B$158*Assumptions!$B$144*H7/12*(1+Assumptions!$B$16)</f>
        <v/>
      </c>
      <c r="I53" s="45">
        <f>I46*Assumptions!$B$158*Assumptions!$B$144*I7/12*(1+Assumptions!$B$16)</f>
        <v/>
      </c>
      <c r="J53" s="45">
        <f>J46*Assumptions!$B$158*Assumptions!$B$144*J7/12*(1+Assumptions!$B$16)</f>
        <v/>
      </c>
      <c r="K53" s="45">
        <f>K46*Assumptions!$B$158*Assumptions!$B$144*K7/12*(1+Assumptions!$B$16)</f>
        <v/>
      </c>
      <c r="L53" s="45">
        <f>L46*Assumptions!$B$158*Assumptions!$B$144*L7/12*(1+Assumptions!$B$16)</f>
        <v/>
      </c>
      <c r="M53" s="45">
        <f>M46*Assumptions!$B$158*Assumptions!$B$144*M7/12*(1+Assumptions!$B$16)</f>
        <v/>
      </c>
      <c r="N53" s="45">
        <f>N46*Assumptions!$B$158*Assumptions!$B$144*N7/12*(1+Assumptions!$B$16)</f>
        <v/>
      </c>
      <c r="O53" s="45">
        <f>O46*Assumptions!$B$158*Assumptions!$B$144*O7/12*(1+Assumptions!$B$16)</f>
        <v/>
      </c>
      <c r="P53" s="45">
        <f>P46*Assumptions!$B$158*Assumptions!$B$144*P7/12*(1+Assumptions!$B$16)</f>
        <v/>
      </c>
      <c r="Q53" s="45">
        <f>Q46*Assumptions!$B$158*Assumptions!$B$144*Q7/12*(1+Assumptions!$B$16)</f>
        <v/>
      </c>
      <c r="R53" s="45">
        <f>R46*Assumptions!$B$158*Assumptions!$B$144*R7/12*(1+Assumptions!$B$16)</f>
        <v/>
      </c>
      <c r="S53" s="45">
        <f>S46*Assumptions!$B$158*Assumptions!$B$144*S7/12*(1+Assumptions!$B$16)</f>
        <v/>
      </c>
      <c r="T53" s="45">
        <f>T46*Assumptions!$B$158*Assumptions!$B$144*T7/12*(1+Assumptions!$B$16)</f>
        <v/>
      </c>
      <c r="U53" s="45">
        <f>U46*Assumptions!$B$158*Assumptions!$B$144*U7/12*(1+Assumptions!$B$16)</f>
        <v/>
      </c>
      <c r="V53" s="45">
        <f>V46*Assumptions!$B$158*Assumptions!$B$144*V7/12*(1+Assumptions!$B$16)</f>
        <v/>
      </c>
      <c r="W53" s="45">
        <f>W46*Assumptions!$B$158*Assumptions!$B$144*W7/12*(1+Assumptions!$B$16)</f>
        <v/>
      </c>
      <c r="X53" s="45">
        <f>X46*Assumptions!$B$158*Assumptions!$B$144*X7/12*(1+Assumptions!$B$16)</f>
        <v/>
      </c>
      <c r="Y53" s="45">
        <f>Y46*Assumptions!$B$158*Assumptions!$B$144*Y7/12*(1+Assumptions!$B$16)</f>
        <v/>
      </c>
      <c r="Z53" s="45">
        <f>Z46*Assumptions!$B$158*Assumptions!$B$144*Z7/12*(1+Assumptions!$B$16)</f>
        <v/>
      </c>
      <c r="AA53" s="45">
        <f>AA46*Assumptions!$B$158*Assumptions!$B$144*AA7/12*(1+Assumptions!$B$16)</f>
        <v/>
      </c>
      <c r="AB53" s="45">
        <f>AB46*Assumptions!$B$158*Assumptions!$B$144*AB7/12*(1+Assumptions!$B$16)</f>
        <v/>
      </c>
      <c r="AC53" s="45">
        <f>AC46*Assumptions!$B$158*Assumptions!$B$144*AC7/12*(1+Assumptions!$B$16)</f>
        <v/>
      </c>
      <c r="AD53" s="45">
        <f>AD46*Assumptions!$B$158*Assumptions!$B$144*AD7/12*(1+Assumptions!$B$16)</f>
        <v/>
      </c>
      <c r="AE53" s="45">
        <f>AE46*Assumptions!$B$158*Assumptions!$B$144*AE7/12*(1+Assumptions!$B$16)</f>
        <v/>
      </c>
    </row>
    <row r="54">
      <c r="A54" s="6" t="inlineStr">
        <is>
          <t xml:space="preserve">  Stream 1a - Entry fee, SIP</t>
        </is>
      </c>
      <c r="B54" s="23" t="inlineStr">
        <is>
          <t>USD</t>
        </is>
      </c>
      <c r="C54" s="55">
        <f>C35*Assumptions!$B$8</f>
        <v/>
      </c>
      <c r="D54" s="55">
        <f>D35*Assumptions!$B$8</f>
        <v/>
      </c>
      <c r="E54" s="55">
        <f>E35*Assumptions!$B$8</f>
        <v/>
      </c>
      <c r="F54" s="55">
        <f>F35*Assumptions!$B$8</f>
        <v/>
      </c>
      <c r="G54" s="55">
        <f>G35*Assumptions!$B$8</f>
        <v/>
      </c>
      <c r="H54" s="55">
        <f>H35*Assumptions!$B$8</f>
        <v/>
      </c>
      <c r="I54" s="55">
        <f>I35*Assumptions!$B$8</f>
        <v/>
      </c>
      <c r="J54" s="55">
        <f>J35*Assumptions!$B$8</f>
        <v/>
      </c>
      <c r="K54" s="55">
        <f>K35*Assumptions!$B$8</f>
        <v/>
      </c>
      <c r="L54" s="55">
        <f>L35*Assumptions!$B$8</f>
        <v/>
      </c>
      <c r="M54" s="55">
        <f>M35*Assumptions!$B$8</f>
        <v/>
      </c>
      <c r="N54" s="55">
        <f>N35*Assumptions!$B$8</f>
        <v/>
      </c>
      <c r="O54" s="55">
        <f>O35*Assumptions!$B$8</f>
        <v/>
      </c>
      <c r="P54" s="55">
        <f>P35*Assumptions!$B$8</f>
        <v/>
      </c>
      <c r="Q54" s="55">
        <f>Q35*Assumptions!$B$8</f>
        <v/>
      </c>
      <c r="R54" s="55">
        <f>R35*Assumptions!$B$8</f>
        <v/>
      </c>
      <c r="S54" s="55">
        <f>S35*Assumptions!$B$8</f>
        <v/>
      </c>
      <c r="T54" s="55">
        <f>T35*Assumptions!$B$8</f>
        <v/>
      </c>
      <c r="U54" s="55">
        <f>U35*Assumptions!$B$8</f>
        <v/>
      </c>
      <c r="V54" s="55">
        <f>V35*Assumptions!$B$8</f>
        <v/>
      </c>
      <c r="W54" s="55">
        <f>W35*Assumptions!$B$8</f>
        <v/>
      </c>
      <c r="X54" s="55">
        <f>X35*Assumptions!$B$8</f>
        <v/>
      </c>
      <c r="Y54" s="55">
        <f>Y35*Assumptions!$B$8</f>
        <v/>
      </c>
      <c r="Z54" s="55">
        <f>Z35*Assumptions!$B$8</f>
        <v/>
      </c>
      <c r="AA54" s="55">
        <f>AA35*Assumptions!$B$8</f>
        <v/>
      </c>
      <c r="AB54" s="55">
        <f>AB35*Assumptions!$B$8</f>
        <v/>
      </c>
      <c r="AC54" s="55">
        <f>AC35*Assumptions!$B$8</f>
        <v/>
      </c>
      <c r="AD54" s="55">
        <f>AD35*Assumptions!$B$8</f>
        <v/>
      </c>
      <c r="AE54" s="55">
        <f>AE35*Assumptions!$B$8</f>
        <v/>
      </c>
    </row>
    <row r="55">
      <c r="A55" s="6" t="inlineStr">
        <is>
          <t xml:space="preserve">  Stream 1b - Entry fee, SPOT</t>
        </is>
      </c>
      <c r="B55" s="23" t="inlineStr">
        <is>
          <t>USD</t>
        </is>
      </c>
      <c r="C55" s="55">
        <f>C36*Assumptions!$B$8</f>
        <v/>
      </c>
      <c r="D55" s="55">
        <f>D36*Assumptions!$B$8</f>
        <v/>
      </c>
      <c r="E55" s="55">
        <f>E36*Assumptions!$B$8</f>
        <v/>
      </c>
      <c r="F55" s="55">
        <f>F36*Assumptions!$B$8</f>
        <v/>
      </c>
      <c r="G55" s="55">
        <f>G36*Assumptions!$B$8</f>
        <v/>
      </c>
      <c r="H55" s="55">
        <f>H36*Assumptions!$B$8</f>
        <v/>
      </c>
      <c r="I55" s="55">
        <f>I36*Assumptions!$B$8</f>
        <v/>
      </c>
      <c r="J55" s="55">
        <f>J36*Assumptions!$B$8</f>
        <v/>
      </c>
      <c r="K55" s="55">
        <f>K36*Assumptions!$B$8</f>
        <v/>
      </c>
      <c r="L55" s="55">
        <f>L36*Assumptions!$B$8</f>
        <v/>
      </c>
      <c r="M55" s="55">
        <f>M36*Assumptions!$B$8</f>
        <v/>
      </c>
      <c r="N55" s="55">
        <f>N36*Assumptions!$B$8</f>
        <v/>
      </c>
      <c r="O55" s="55">
        <f>O36*Assumptions!$B$8</f>
        <v/>
      </c>
      <c r="P55" s="55">
        <f>P36*Assumptions!$B$8</f>
        <v/>
      </c>
      <c r="Q55" s="55">
        <f>Q36*Assumptions!$B$8</f>
        <v/>
      </c>
      <c r="R55" s="55">
        <f>R36*Assumptions!$B$8</f>
        <v/>
      </c>
      <c r="S55" s="55">
        <f>S36*Assumptions!$B$8</f>
        <v/>
      </c>
      <c r="T55" s="55">
        <f>T36*Assumptions!$B$8</f>
        <v/>
      </c>
      <c r="U55" s="55">
        <f>U36*Assumptions!$B$8</f>
        <v/>
      </c>
      <c r="V55" s="55">
        <f>V36*Assumptions!$B$8</f>
        <v/>
      </c>
      <c r="W55" s="55">
        <f>W36*Assumptions!$B$8</f>
        <v/>
      </c>
      <c r="X55" s="55">
        <f>X36*Assumptions!$B$8</f>
        <v/>
      </c>
      <c r="Y55" s="55">
        <f>Y36*Assumptions!$B$8</f>
        <v/>
      </c>
      <c r="Z55" s="55">
        <f>Z36*Assumptions!$B$8</f>
        <v/>
      </c>
      <c r="AA55" s="55">
        <f>AA36*Assumptions!$B$8</f>
        <v/>
      </c>
      <c r="AB55" s="55">
        <f>AB36*Assumptions!$B$8</f>
        <v/>
      </c>
      <c r="AC55" s="55">
        <f>AC36*Assumptions!$B$8</f>
        <v/>
      </c>
      <c r="AD55" s="55">
        <f>AD36*Assumptions!$B$8</f>
        <v/>
      </c>
      <c r="AE55" s="55">
        <f>AE36*Assumptions!$B$8</f>
        <v/>
      </c>
    </row>
    <row r="56">
      <c r="A56" s="6" t="inlineStr">
        <is>
          <t xml:space="preserve">  Stream 2 - Card interchange</t>
        </is>
      </c>
      <c r="B56" s="23" t="inlineStr">
        <is>
          <t>USD</t>
        </is>
      </c>
      <c r="C56" s="55">
        <f>C51*IF(Assumptions!$B$178=1,MIN(Assumptions!$B$14,1%),Assumptions!$B$14)*(1-Assumptions!$B$142)</f>
        <v/>
      </c>
      <c r="D56" s="55">
        <f>D51*IF(Assumptions!$B$178=1,MIN(Assumptions!$B$14,1%),Assumptions!$B$14)*(1-Assumptions!$B$142)</f>
        <v/>
      </c>
      <c r="E56" s="55">
        <f>E51*IF(Assumptions!$B$178=1,MIN(Assumptions!$B$14,1%),Assumptions!$B$14)*(1-Assumptions!$B$142)</f>
        <v/>
      </c>
      <c r="F56" s="55">
        <f>F51*IF(Assumptions!$B$178=1,MIN(Assumptions!$B$14,1%),Assumptions!$B$14)*(1-Assumptions!$B$142)</f>
        <v/>
      </c>
      <c r="G56" s="55">
        <f>G51*IF(Assumptions!$B$178=1,MIN(Assumptions!$B$14,1%),Assumptions!$B$14)*(1-Assumptions!$B$142)</f>
        <v/>
      </c>
      <c r="H56" s="55">
        <f>H51*IF(Assumptions!$B$178=1,MIN(Assumptions!$B$14,1%),Assumptions!$B$14)*(1-Assumptions!$B$142)</f>
        <v/>
      </c>
      <c r="I56" s="55">
        <f>I51*IF(Assumptions!$B$178=1,MIN(Assumptions!$B$14,1%),Assumptions!$B$14)*(1-Assumptions!$B$142)</f>
        <v/>
      </c>
      <c r="J56" s="55">
        <f>J51*IF(Assumptions!$B$178=1,MIN(Assumptions!$B$14,1%),Assumptions!$B$14)*(1-Assumptions!$B$142)</f>
        <v/>
      </c>
      <c r="K56" s="55">
        <f>K51*IF(Assumptions!$B$178=1,MIN(Assumptions!$B$14,1%),Assumptions!$B$14)*(1-Assumptions!$B$142)</f>
        <v/>
      </c>
      <c r="L56" s="55">
        <f>L51*IF(Assumptions!$B$178=1,MIN(Assumptions!$B$14,1%),Assumptions!$B$14)*(1-Assumptions!$B$142)</f>
        <v/>
      </c>
      <c r="M56" s="55">
        <f>M51*IF(Assumptions!$B$178=1,MIN(Assumptions!$B$14,1%),Assumptions!$B$14)*(1-Assumptions!$B$142)</f>
        <v/>
      </c>
      <c r="N56" s="55">
        <f>N51*IF(Assumptions!$B$178=1,MIN(Assumptions!$B$14,1%),Assumptions!$B$14)*(1-Assumptions!$B$142)</f>
        <v/>
      </c>
      <c r="O56" s="55">
        <f>O51*IF(Assumptions!$B$178=1,MIN(Assumptions!$B$14,1%),Assumptions!$B$14)*(1-Assumptions!$B$142)</f>
        <v/>
      </c>
      <c r="P56" s="55">
        <f>P51*IF(Assumptions!$B$178=1,MIN(Assumptions!$B$14,1%),Assumptions!$B$14)*(1-Assumptions!$B$142)</f>
        <v/>
      </c>
      <c r="Q56" s="55">
        <f>Q51*IF(Assumptions!$B$178=1,MIN(Assumptions!$B$14,1%),Assumptions!$B$14)*(1-Assumptions!$B$142)</f>
        <v/>
      </c>
      <c r="R56" s="55">
        <f>R51*IF(Assumptions!$B$178=1,MIN(Assumptions!$B$14,1%),Assumptions!$B$14)*(1-Assumptions!$B$142)</f>
        <v/>
      </c>
      <c r="S56" s="55">
        <f>S51*IF(Assumptions!$B$178=1,MIN(Assumptions!$B$14,1%),Assumptions!$B$14)*(1-Assumptions!$B$142)</f>
        <v/>
      </c>
      <c r="T56" s="55">
        <f>T51*IF(Assumptions!$B$178=1,MIN(Assumptions!$B$14,1%),Assumptions!$B$14)*(1-Assumptions!$B$142)</f>
        <v/>
      </c>
      <c r="U56" s="55">
        <f>U51*IF(Assumptions!$B$178=1,MIN(Assumptions!$B$14,1%),Assumptions!$B$14)*(1-Assumptions!$B$142)</f>
        <v/>
      </c>
      <c r="V56" s="55">
        <f>V51*IF(Assumptions!$B$178=1,MIN(Assumptions!$B$14,1%),Assumptions!$B$14)*(1-Assumptions!$B$142)</f>
        <v/>
      </c>
      <c r="W56" s="55">
        <f>W51*IF(Assumptions!$B$178=1,MIN(Assumptions!$B$14,1%),Assumptions!$B$14)*(1-Assumptions!$B$142)</f>
        <v/>
      </c>
      <c r="X56" s="55">
        <f>X51*IF(Assumptions!$B$178=1,MIN(Assumptions!$B$14,1%),Assumptions!$B$14)*(1-Assumptions!$B$142)</f>
        <v/>
      </c>
      <c r="Y56" s="55">
        <f>Y51*IF(Assumptions!$B$178=1,MIN(Assumptions!$B$14,1%),Assumptions!$B$14)*(1-Assumptions!$B$142)</f>
        <v/>
      </c>
      <c r="Z56" s="55">
        <f>Z51*IF(Assumptions!$B$178=1,MIN(Assumptions!$B$14,1%),Assumptions!$B$14)*(1-Assumptions!$B$142)</f>
        <v/>
      </c>
      <c r="AA56" s="55">
        <f>AA51*IF(Assumptions!$B$178=1,MIN(Assumptions!$B$14,1%),Assumptions!$B$14)*(1-Assumptions!$B$142)</f>
        <v/>
      </c>
      <c r="AB56" s="55">
        <f>AB51*IF(Assumptions!$B$178=1,MIN(Assumptions!$B$14,1%),Assumptions!$B$14)*(1-Assumptions!$B$142)</f>
        <v/>
      </c>
      <c r="AC56" s="55">
        <f>AC51*IF(Assumptions!$B$178=1,MIN(Assumptions!$B$14,1%),Assumptions!$B$14)*(1-Assumptions!$B$142)</f>
        <v/>
      </c>
      <c r="AD56" s="55">
        <f>AD51*IF(Assumptions!$B$178=1,MIN(Assumptions!$B$14,1%),Assumptions!$B$14)*(1-Assumptions!$B$142)</f>
        <v/>
      </c>
      <c r="AE56" s="55">
        <f>AE51*IF(Assumptions!$B$178=1,MIN(Assumptions!$B$14,1%),Assumptions!$B$14)*(1-Assumptions!$B$142)</f>
        <v/>
      </c>
    </row>
    <row r="57">
      <c r="A57" s="6" t="inlineStr">
        <is>
          <t xml:space="preserve">  Family plan subscribers</t>
        </is>
      </c>
      <c r="B57" s="23" t="inlineStr">
        <is>
          <t>subscribers</t>
        </is>
      </c>
      <c r="C57" s="54">
        <f>IF(C2&gt;=Assumptions!$B$50,C30*Assumptions!$B$159*(1-Assumptions!$B$162)^(C7/2),0)</f>
        <v/>
      </c>
      <c r="D57" s="54">
        <f>IF(D2&gt;=Assumptions!$B$50,C57*(1-Assumptions!$B$162)^D7+D30*Assumptions!$B$159*(1-Assumptions!$B$162)^(D7/2),0)</f>
        <v/>
      </c>
      <c r="E57" s="54">
        <f>IF(E2&gt;=Assumptions!$B$50,D57*(1-Assumptions!$B$162)^E7+E30*Assumptions!$B$159*(1-Assumptions!$B$162)^(E7/2),0)</f>
        <v/>
      </c>
      <c r="F57" s="54">
        <f>IF(F2&gt;=Assumptions!$B$50,E57*(1-Assumptions!$B$162)^F7+F30*Assumptions!$B$159*(1-Assumptions!$B$162)^(F7/2),0)</f>
        <v/>
      </c>
      <c r="G57" s="54">
        <f>IF(G2&gt;=Assumptions!$B$50,F57*(1-Assumptions!$B$162)^G7+G30*Assumptions!$B$159*(1-Assumptions!$B$162)^(G7/2),0)</f>
        <v/>
      </c>
      <c r="H57" s="54">
        <f>IF(H2&gt;=Assumptions!$B$50,G57*(1-Assumptions!$B$162)^H7+H30*Assumptions!$B$159*(1-Assumptions!$B$162)^(H7/2),0)</f>
        <v/>
      </c>
      <c r="I57" s="54">
        <f>IF(I2&gt;=Assumptions!$B$50,H57*(1-Assumptions!$B$162)^I7+I30*Assumptions!$B$159*(1-Assumptions!$B$162)^(I7/2),0)</f>
        <v/>
      </c>
      <c r="J57" s="54">
        <f>IF(J2&gt;=Assumptions!$B$50,I57*(1-Assumptions!$B$162)^J7+J30*Assumptions!$B$159*(1-Assumptions!$B$162)^(J7/2),0)</f>
        <v/>
      </c>
      <c r="K57" s="54">
        <f>IF(K2&gt;=Assumptions!$B$50,J57*(1-Assumptions!$B$162)^K7+K30*Assumptions!$B$159*(1-Assumptions!$B$162)^(K7/2),0)</f>
        <v/>
      </c>
      <c r="L57" s="54">
        <f>IF(L2&gt;=Assumptions!$B$50,K57*(1-Assumptions!$B$162)^L7+L30*Assumptions!$B$159*(1-Assumptions!$B$162)^(L7/2),0)</f>
        <v/>
      </c>
      <c r="M57" s="54">
        <f>IF(M2&gt;=Assumptions!$B$50,L57*(1-Assumptions!$B$162)^M7+M30*Assumptions!$B$159*(1-Assumptions!$B$162)^(M7/2),0)</f>
        <v/>
      </c>
      <c r="N57" s="54">
        <f>IF(N2&gt;=Assumptions!$B$50,M57*(1-Assumptions!$B$162)^N7+N30*Assumptions!$B$159*(1-Assumptions!$B$162)^(N7/2),0)</f>
        <v/>
      </c>
      <c r="O57" s="54">
        <f>IF(O2&gt;=Assumptions!$B$50,N57*(1-Assumptions!$B$162)^O7+O30*Assumptions!$B$159*(1-Assumptions!$B$162)^(O7/2),0)</f>
        <v/>
      </c>
      <c r="P57" s="54">
        <f>IF(P2&gt;=Assumptions!$B$50,O57*(1-Assumptions!$B$162)^P7+P30*Assumptions!$B$159*(1-Assumptions!$B$162)^(P7/2),0)</f>
        <v/>
      </c>
      <c r="Q57" s="54">
        <f>IF(Q2&gt;=Assumptions!$B$50,P57*(1-Assumptions!$B$162)^Q7+Q30*Assumptions!$B$159*(1-Assumptions!$B$162)^(Q7/2),0)</f>
        <v/>
      </c>
      <c r="R57" s="54">
        <f>IF(R2&gt;=Assumptions!$B$50,Q57*(1-Assumptions!$B$162)^R7+R30*Assumptions!$B$159*(1-Assumptions!$B$162)^(R7/2),0)</f>
        <v/>
      </c>
      <c r="S57" s="54">
        <f>IF(S2&gt;=Assumptions!$B$50,R57*(1-Assumptions!$B$162)^S7+S30*Assumptions!$B$159*(1-Assumptions!$B$162)^(S7/2),0)</f>
        <v/>
      </c>
      <c r="T57" s="54">
        <f>IF(T2&gt;=Assumptions!$B$50,S57*(1-Assumptions!$B$162)^T7+T30*Assumptions!$B$159*(1-Assumptions!$B$162)^(T7/2),0)</f>
        <v/>
      </c>
      <c r="U57" s="54">
        <f>IF(U2&gt;=Assumptions!$B$50,T57*(1-Assumptions!$B$162)^U7+U30*Assumptions!$B$159*(1-Assumptions!$B$162)^(U7/2),0)</f>
        <v/>
      </c>
      <c r="V57" s="54">
        <f>IF(V2&gt;=Assumptions!$B$50,U57*(1-Assumptions!$B$162)^V7+V30*Assumptions!$B$159*(1-Assumptions!$B$162)^(V7/2),0)</f>
        <v/>
      </c>
      <c r="W57" s="54">
        <f>IF(W2&gt;=Assumptions!$B$50,V57*(1-Assumptions!$B$162)^W7+W30*Assumptions!$B$159*(1-Assumptions!$B$162)^(W7/2),0)</f>
        <v/>
      </c>
      <c r="X57" s="54">
        <f>IF(X2&gt;=Assumptions!$B$50,W57*(1-Assumptions!$B$162)^X7+X30*Assumptions!$B$159*(1-Assumptions!$B$162)^(X7/2),0)</f>
        <v/>
      </c>
      <c r="Y57" s="54">
        <f>IF(Y2&gt;=Assumptions!$B$50,X57*(1-Assumptions!$B$162)^Y7+Y30*Assumptions!$B$159*(1-Assumptions!$B$162)^(Y7/2),0)</f>
        <v/>
      </c>
      <c r="Z57" s="54">
        <f>IF(Z2&gt;=Assumptions!$B$50,Y57*(1-Assumptions!$B$162)^Z7+Z30*Assumptions!$B$159*(1-Assumptions!$B$162)^(Z7/2),0)</f>
        <v/>
      </c>
      <c r="AA57" s="54">
        <f>IF(AA2&gt;=Assumptions!$B$50,Z57*(1-Assumptions!$B$162)^AA7+AA30*Assumptions!$B$159*(1-Assumptions!$B$162)^(AA7/2),0)</f>
        <v/>
      </c>
      <c r="AB57" s="54">
        <f>IF(AB2&gt;=Assumptions!$B$50,AA57*(1-Assumptions!$B$162)^AB7+AB30*Assumptions!$B$159*(1-Assumptions!$B$162)^(AB7/2),0)</f>
        <v/>
      </c>
      <c r="AC57" s="54">
        <f>IF(AC2&gt;=Assumptions!$B$50,AB57*(1-Assumptions!$B$162)^AC7+AC30*Assumptions!$B$159*(1-Assumptions!$B$162)^(AC7/2),0)</f>
        <v/>
      </c>
      <c r="AD57" s="54">
        <f>IF(AD2&gt;=Assumptions!$B$50,AC57*(1-Assumptions!$B$162)^AD7+AD30*Assumptions!$B$159*(1-Assumptions!$B$162)^(AD7/2),0)</f>
        <v/>
      </c>
      <c r="AE57" s="54">
        <f>IF(AE2&gt;=Assumptions!$B$50,AD57*(1-Assumptions!$B$162)^AE7+AE30*Assumptions!$B$159*(1-Assumptions!$B$162)^(AE7/2),0)</f>
        <v/>
      </c>
    </row>
    <row r="58">
      <c r="A58" s="6" t="inlineStr">
        <is>
          <t xml:space="preserve">  Stream 3 - Family plan and Digital Will</t>
        </is>
      </c>
      <c r="B58" s="23" t="inlineStr">
        <is>
          <t>USD</t>
        </is>
      </c>
      <c r="C58" s="55">
        <f>C57*(Assumptions!$B$25+MAX(0,Assumptions!$B$161-1)*Assumptions!$B$26)/12*C7</f>
        <v/>
      </c>
      <c r="D58" s="55">
        <f>D57*(Assumptions!$B$25+MAX(0,Assumptions!$B$161-1)*Assumptions!$B$26)/12*D7</f>
        <v/>
      </c>
      <c r="E58" s="55">
        <f>E57*(Assumptions!$B$25+MAX(0,Assumptions!$B$161-1)*Assumptions!$B$26)/12*E7</f>
        <v/>
      </c>
      <c r="F58" s="55">
        <f>F57*(Assumptions!$B$25+MAX(0,Assumptions!$B$161-1)*Assumptions!$B$26)/12*F7</f>
        <v/>
      </c>
      <c r="G58" s="55">
        <f>G57*(Assumptions!$B$25+MAX(0,Assumptions!$B$161-1)*Assumptions!$B$26)/12*G7</f>
        <v/>
      </c>
      <c r="H58" s="55">
        <f>H57*(Assumptions!$B$25+MAX(0,Assumptions!$B$161-1)*Assumptions!$B$26)/12*H7</f>
        <v/>
      </c>
      <c r="I58" s="55">
        <f>I57*(Assumptions!$B$25+MAX(0,Assumptions!$B$161-1)*Assumptions!$B$26)/12*I7</f>
        <v/>
      </c>
      <c r="J58" s="55">
        <f>J57*(Assumptions!$B$25+MAX(0,Assumptions!$B$161-1)*Assumptions!$B$26)/12*J7</f>
        <v/>
      </c>
      <c r="K58" s="55">
        <f>K57*(Assumptions!$B$25+MAX(0,Assumptions!$B$161-1)*Assumptions!$B$26)/12*K7</f>
        <v/>
      </c>
      <c r="L58" s="55">
        <f>L57*(Assumptions!$B$25+MAX(0,Assumptions!$B$161-1)*Assumptions!$B$26)/12*L7</f>
        <v/>
      </c>
      <c r="M58" s="55">
        <f>M57*(Assumptions!$B$25+MAX(0,Assumptions!$B$161-1)*Assumptions!$B$26)/12*M7</f>
        <v/>
      </c>
      <c r="N58" s="55">
        <f>N57*(Assumptions!$B$25+MAX(0,Assumptions!$B$161-1)*Assumptions!$B$26)/12*N7</f>
        <v/>
      </c>
      <c r="O58" s="55">
        <f>O57*(Assumptions!$B$25+MAX(0,Assumptions!$B$161-1)*Assumptions!$B$26)/12*O7</f>
        <v/>
      </c>
      <c r="P58" s="55">
        <f>P57*(Assumptions!$B$25+MAX(0,Assumptions!$B$161-1)*Assumptions!$B$26)/12*P7</f>
        <v/>
      </c>
      <c r="Q58" s="55">
        <f>Q57*(Assumptions!$B$25+MAX(0,Assumptions!$B$161-1)*Assumptions!$B$26)/12*Q7</f>
        <v/>
      </c>
      <c r="R58" s="55">
        <f>R57*(Assumptions!$B$25+MAX(0,Assumptions!$B$161-1)*Assumptions!$B$26)/12*R7</f>
        <v/>
      </c>
      <c r="S58" s="55">
        <f>S57*(Assumptions!$B$25+MAX(0,Assumptions!$B$161-1)*Assumptions!$B$26)/12*S7</f>
        <v/>
      </c>
      <c r="T58" s="55">
        <f>T57*(Assumptions!$B$25+MAX(0,Assumptions!$B$161-1)*Assumptions!$B$26)/12*T7</f>
        <v/>
      </c>
      <c r="U58" s="55">
        <f>U57*(Assumptions!$B$25+MAX(0,Assumptions!$B$161-1)*Assumptions!$B$26)/12*U7</f>
        <v/>
      </c>
      <c r="V58" s="55">
        <f>V57*(Assumptions!$B$25+MAX(0,Assumptions!$B$161-1)*Assumptions!$B$26)/12*V7</f>
        <v/>
      </c>
      <c r="W58" s="55">
        <f>W57*(Assumptions!$B$25+MAX(0,Assumptions!$B$161-1)*Assumptions!$B$26)/12*W7</f>
        <v/>
      </c>
      <c r="X58" s="55">
        <f>X57*(Assumptions!$B$25+MAX(0,Assumptions!$B$161-1)*Assumptions!$B$26)/12*X7</f>
        <v/>
      </c>
      <c r="Y58" s="55">
        <f>Y57*(Assumptions!$B$25+MAX(0,Assumptions!$B$161-1)*Assumptions!$B$26)/12*Y7</f>
        <v/>
      </c>
      <c r="Z58" s="55">
        <f>Z57*(Assumptions!$B$25+MAX(0,Assumptions!$B$161-1)*Assumptions!$B$26)/12*Z7</f>
        <v/>
      </c>
      <c r="AA58" s="55">
        <f>AA57*(Assumptions!$B$25+MAX(0,Assumptions!$B$161-1)*Assumptions!$B$26)/12*AA7</f>
        <v/>
      </c>
      <c r="AB58" s="55">
        <f>AB57*(Assumptions!$B$25+MAX(0,Assumptions!$B$161-1)*Assumptions!$B$26)/12*AB7</f>
        <v/>
      </c>
      <c r="AC58" s="55">
        <f>AC57*(Assumptions!$B$25+MAX(0,Assumptions!$B$161-1)*Assumptions!$B$26)/12*AC7</f>
        <v/>
      </c>
      <c r="AD58" s="55">
        <f>AD57*(Assumptions!$B$25+MAX(0,Assumptions!$B$161-1)*Assumptions!$B$26)/12*AD7</f>
        <v/>
      </c>
      <c r="AE58" s="55">
        <f>AE57*(Assumptions!$B$25+MAX(0,Assumptions!$B$161-1)*Assumptions!$B$26)/12*AE7</f>
        <v/>
      </c>
    </row>
    <row r="59">
      <c r="A59" s="6" t="inlineStr">
        <is>
          <t xml:space="preserve">  Stream 4 - Cardholder fees (FX, ATM, events)</t>
        </is>
      </c>
      <c r="B59" s="23" t="inlineStr">
        <is>
          <t>USD</t>
        </is>
      </c>
      <c r="C59" s="55">
        <f>IF(C2&gt;=Assumptions!$B$52,C51*C17*Assumptions!$B$17+C46*(Assumptions!$B$148*MAX(0,Assumptions!$B$152-Assumptions!$B$18)+Assumptions!$B$149*MAX(0,Assumptions!$B$153-Assumptions!$B$18)+Assumptions!$B$150*MAX(0,Assumptions!$B$154-Assumptions!$B$18)+Assumptions!$B$151*MAX(0,Assumptions!$B$155-Assumptions!$B$18))*Assumptions!$B$19/Assumptions!$B$7*C7+C45*(Assumptions!$B$146*Assumptions!$B$20+Assumptions!$B$147*Assumptions!$B$21)/12/Assumptions!$B$7*C7,0)</f>
        <v/>
      </c>
      <c r="D59" s="55">
        <f>IF(D2&gt;=Assumptions!$B$52,D51*D17*Assumptions!$B$17+D46*(Assumptions!$B$148*MAX(0,Assumptions!$B$152-Assumptions!$B$18)+Assumptions!$B$149*MAX(0,Assumptions!$B$153-Assumptions!$B$18)+Assumptions!$B$150*MAX(0,Assumptions!$B$154-Assumptions!$B$18)+Assumptions!$B$151*MAX(0,Assumptions!$B$155-Assumptions!$B$18))*Assumptions!$B$19/Assumptions!$B$7*D7+D45*(Assumptions!$B$146*Assumptions!$B$20+Assumptions!$B$147*Assumptions!$B$21)/12/Assumptions!$B$7*D7,0)</f>
        <v/>
      </c>
      <c r="E59" s="55">
        <f>IF(E2&gt;=Assumptions!$B$52,E51*E17*Assumptions!$B$17+E46*(Assumptions!$B$148*MAX(0,Assumptions!$B$152-Assumptions!$B$18)+Assumptions!$B$149*MAX(0,Assumptions!$B$153-Assumptions!$B$18)+Assumptions!$B$150*MAX(0,Assumptions!$B$154-Assumptions!$B$18)+Assumptions!$B$151*MAX(0,Assumptions!$B$155-Assumptions!$B$18))*Assumptions!$B$19/Assumptions!$B$7*E7+E45*(Assumptions!$B$146*Assumptions!$B$20+Assumptions!$B$147*Assumptions!$B$21)/12/Assumptions!$B$7*E7,0)</f>
        <v/>
      </c>
      <c r="F59" s="55">
        <f>IF(F2&gt;=Assumptions!$B$52,F51*F17*Assumptions!$B$17+F46*(Assumptions!$B$148*MAX(0,Assumptions!$B$152-Assumptions!$B$18)+Assumptions!$B$149*MAX(0,Assumptions!$B$153-Assumptions!$B$18)+Assumptions!$B$150*MAX(0,Assumptions!$B$154-Assumptions!$B$18)+Assumptions!$B$151*MAX(0,Assumptions!$B$155-Assumptions!$B$18))*Assumptions!$B$19/Assumptions!$B$7*F7+F45*(Assumptions!$B$146*Assumptions!$B$20+Assumptions!$B$147*Assumptions!$B$21)/12/Assumptions!$B$7*F7,0)</f>
        <v/>
      </c>
      <c r="G59" s="55">
        <f>IF(G2&gt;=Assumptions!$B$52,G51*G17*Assumptions!$B$17+G46*(Assumptions!$B$148*MAX(0,Assumptions!$B$152-Assumptions!$B$18)+Assumptions!$B$149*MAX(0,Assumptions!$B$153-Assumptions!$B$18)+Assumptions!$B$150*MAX(0,Assumptions!$B$154-Assumptions!$B$18)+Assumptions!$B$151*MAX(0,Assumptions!$B$155-Assumptions!$B$18))*Assumptions!$B$19/Assumptions!$B$7*G7+G45*(Assumptions!$B$146*Assumptions!$B$20+Assumptions!$B$147*Assumptions!$B$21)/12/Assumptions!$B$7*G7,0)</f>
        <v/>
      </c>
      <c r="H59" s="55">
        <f>IF(H2&gt;=Assumptions!$B$52,H51*H17*Assumptions!$B$17+H46*(Assumptions!$B$148*MAX(0,Assumptions!$B$152-Assumptions!$B$18)+Assumptions!$B$149*MAX(0,Assumptions!$B$153-Assumptions!$B$18)+Assumptions!$B$150*MAX(0,Assumptions!$B$154-Assumptions!$B$18)+Assumptions!$B$151*MAX(0,Assumptions!$B$155-Assumptions!$B$18))*Assumptions!$B$19/Assumptions!$B$7*H7+H45*(Assumptions!$B$146*Assumptions!$B$20+Assumptions!$B$147*Assumptions!$B$21)/12/Assumptions!$B$7*H7,0)</f>
        <v/>
      </c>
      <c r="I59" s="55">
        <f>IF(I2&gt;=Assumptions!$B$52,I51*I17*Assumptions!$B$17+I46*(Assumptions!$B$148*MAX(0,Assumptions!$B$152-Assumptions!$B$18)+Assumptions!$B$149*MAX(0,Assumptions!$B$153-Assumptions!$B$18)+Assumptions!$B$150*MAX(0,Assumptions!$B$154-Assumptions!$B$18)+Assumptions!$B$151*MAX(0,Assumptions!$B$155-Assumptions!$B$18))*Assumptions!$B$19/Assumptions!$B$7*I7+I45*(Assumptions!$B$146*Assumptions!$B$20+Assumptions!$B$147*Assumptions!$B$21)/12/Assumptions!$B$7*I7,0)</f>
        <v/>
      </c>
      <c r="J59" s="55">
        <f>IF(J2&gt;=Assumptions!$B$52,J51*J17*Assumptions!$B$17+J46*(Assumptions!$B$148*MAX(0,Assumptions!$B$152-Assumptions!$B$18)+Assumptions!$B$149*MAX(0,Assumptions!$B$153-Assumptions!$B$18)+Assumptions!$B$150*MAX(0,Assumptions!$B$154-Assumptions!$B$18)+Assumptions!$B$151*MAX(0,Assumptions!$B$155-Assumptions!$B$18))*Assumptions!$B$19/Assumptions!$B$7*J7+J45*(Assumptions!$B$146*Assumptions!$B$20+Assumptions!$B$147*Assumptions!$B$21)/12/Assumptions!$B$7*J7,0)</f>
        <v/>
      </c>
      <c r="K59" s="55">
        <f>IF(K2&gt;=Assumptions!$B$52,K51*K17*Assumptions!$B$17+K46*(Assumptions!$B$148*MAX(0,Assumptions!$B$152-Assumptions!$B$18)+Assumptions!$B$149*MAX(0,Assumptions!$B$153-Assumptions!$B$18)+Assumptions!$B$150*MAX(0,Assumptions!$B$154-Assumptions!$B$18)+Assumptions!$B$151*MAX(0,Assumptions!$B$155-Assumptions!$B$18))*Assumptions!$B$19/Assumptions!$B$7*K7+K45*(Assumptions!$B$146*Assumptions!$B$20+Assumptions!$B$147*Assumptions!$B$21)/12/Assumptions!$B$7*K7,0)</f>
        <v/>
      </c>
      <c r="L59" s="55">
        <f>IF(L2&gt;=Assumptions!$B$52,L51*L17*Assumptions!$B$17+L46*(Assumptions!$B$148*MAX(0,Assumptions!$B$152-Assumptions!$B$18)+Assumptions!$B$149*MAX(0,Assumptions!$B$153-Assumptions!$B$18)+Assumptions!$B$150*MAX(0,Assumptions!$B$154-Assumptions!$B$18)+Assumptions!$B$151*MAX(0,Assumptions!$B$155-Assumptions!$B$18))*Assumptions!$B$19/Assumptions!$B$7*L7+L45*(Assumptions!$B$146*Assumptions!$B$20+Assumptions!$B$147*Assumptions!$B$21)/12/Assumptions!$B$7*L7,0)</f>
        <v/>
      </c>
      <c r="M59" s="55">
        <f>IF(M2&gt;=Assumptions!$B$52,M51*M17*Assumptions!$B$17+M46*(Assumptions!$B$148*MAX(0,Assumptions!$B$152-Assumptions!$B$18)+Assumptions!$B$149*MAX(0,Assumptions!$B$153-Assumptions!$B$18)+Assumptions!$B$150*MAX(0,Assumptions!$B$154-Assumptions!$B$18)+Assumptions!$B$151*MAX(0,Assumptions!$B$155-Assumptions!$B$18))*Assumptions!$B$19/Assumptions!$B$7*M7+M45*(Assumptions!$B$146*Assumptions!$B$20+Assumptions!$B$147*Assumptions!$B$21)/12/Assumptions!$B$7*M7,0)</f>
        <v/>
      </c>
      <c r="N59" s="55">
        <f>IF(N2&gt;=Assumptions!$B$52,N51*N17*Assumptions!$B$17+N46*(Assumptions!$B$148*MAX(0,Assumptions!$B$152-Assumptions!$B$18)+Assumptions!$B$149*MAX(0,Assumptions!$B$153-Assumptions!$B$18)+Assumptions!$B$150*MAX(0,Assumptions!$B$154-Assumptions!$B$18)+Assumptions!$B$151*MAX(0,Assumptions!$B$155-Assumptions!$B$18))*Assumptions!$B$19/Assumptions!$B$7*N7+N45*(Assumptions!$B$146*Assumptions!$B$20+Assumptions!$B$147*Assumptions!$B$21)/12/Assumptions!$B$7*N7,0)</f>
        <v/>
      </c>
      <c r="O59" s="55">
        <f>IF(O2&gt;=Assumptions!$B$52,O51*O17*Assumptions!$B$17+O46*(Assumptions!$B$148*MAX(0,Assumptions!$B$152-Assumptions!$B$18)+Assumptions!$B$149*MAX(0,Assumptions!$B$153-Assumptions!$B$18)+Assumptions!$B$150*MAX(0,Assumptions!$B$154-Assumptions!$B$18)+Assumptions!$B$151*MAX(0,Assumptions!$B$155-Assumptions!$B$18))*Assumptions!$B$19/Assumptions!$B$7*O7+O45*(Assumptions!$B$146*Assumptions!$B$20+Assumptions!$B$147*Assumptions!$B$21)/12/Assumptions!$B$7*O7,0)</f>
        <v/>
      </c>
      <c r="P59" s="55">
        <f>IF(P2&gt;=Assumptions!$B$52,P51*P17*Assumptions!$B$17+P46*(Assumptions!$B$148*MAX(0,Assumptions!$B$152-Assumptions!$B$18)+Assumptions!$B$149*MAX(0,Assumptions!$B$153-Assumptions!$B$18)+Assumptions!$B$150*MAX(0,Assumptions!$B$154-Assumptions!$B$18)+Assumptions!$B$151*MAX(0,Assumptions!$B$155-Assumptions!$B$18))*Assumptions!$B$19/Assumptions!$B$7*P7+P45*(Assumptions!$B$146*Assumptions!$B$20+Assumptions!$B$147*Assumptions!$B$21)/12/Assumptions!$B$7*P7,0)</f>
        <v/>
      </c>
      <c r="Q59" s="55">
        <f>IF(Q2&gt;=Assumptions!$B$52,Q51*Q17*Assumptions!$B$17+Q46*(Assumptions!$B$148*MAX(0,Assumptions!$B$152-Assumptions!$B$18)+Assumptions!$B$149*MAX(0,Assumptions!$B$153-Assumptions!$B$18)+Assumptions!$B$150*MAX(0,Assumptions!$B$154-Assumptions!$B$18)+Assumptions!$B$151*MAX(0,Assumptions!$B$155-Assumptions!$B$18))*Assumptions!$B$19/Assumptions!$B$7*Q7+Q45*(Assumptions!$B$146*Assumptions!$B$20+Assumptions!$B$147*Assumptions!$B$21)/12/Assumptions!$B$7*Q7,0)</f>
        <v/>
      </c>
      <c r="R59" s="55">
        <f>IF(R2&gt;=Assumptions!$B$52,R51*R17*Assumptions!$B$17+R46*(Assumptions!$B$148*MAX(0,Assumptions!$B$152-Assumptions!$B$18)+Assumptions!$B$149*MAX(0,Assumptions!$B$153-Assumptions!$B$18)+Assumptions!$B$150*MAX(0,Assumptions!$B$154-Assumptions!$B$18)+Assumptions!$B$151*MAX(0,Assumptions!$B$155-Assumptions!$B$18))*Assumptions!$B$19/Assumptions!$B$7*R7+R45*(Assumptions!$B$146*Assumptions!$B$20+Assumptions!$B$147*Assumptions!$B$21)/12/Assumptions!$B$7*R7,0)</f>
        <v/>
      </c>
      <c r="S59" s="55">
        <f>IF(S2&gt;=Assumptions!$B$52,S51*S17*Assumptions!$B$17+S46*(Assumptions!$B$148*MAX(0,Assumptions!$B$152-Assumptions!$B$18)+Assumptions!$B$149*MAX(0,Assumptions!$B$153-Assumptions!$B$18)+Assumptions!$B$150*MAX(0,Assumptions!$B$154-Assumptions!$B$18)+Assumptions!$B$151*MAX(0,Assumptions!$B$155-Assumptions!$B$18))*Assumptions!$B$19/Assumptions!$B$7*S7+S45*(Assumptions!$B$146*Assumptions!$B$20+Assumptions!$B$147*Assumptions!$B$21)/12/Assumptions!$B$7*S7,0)</f>
        <v/>
      </c>
      <c r="T59" s="55">
        <f>IF(T2&gt;=Assumptions!$B$52,T51*T17*Assumptions!$B$17+T46*(Assumptions!$B$148*MAX(0,Assumptions!$B$152-Assumptions!$B$18)+Assumptions!$B$149*MAX(0,Assumptions!$B$153-Assumptions!$B$18)+Assumptions!$B$150*MAX(0,Assumptions!$B$154-Assumptions!$B$18)+Assumptions!$B$151*MAX(0,Assumptions!$B$155-Assumptions!$B$18))*Assumptions!$B$19/Assumptions!$B$7*T7+T45*(Assumptions!$B$146*Assumptions!$B$20+Assumptions!$B$147*Assumptions!$B$21)/12/Assumptions!$B$7*T7,0)</f>
        <v/>
      </c>
      <c r="U59" s="55">
        <f>IF(U2&gt;=Assumptions!$B$52,U51*U17*Assumptions!$B$17+U46*(Assumptions!$B$148*MAX(0,Assumptions!$B$152-Assumptions!$B$18)+Assumptions!$B$149*MAX(0,Assumptions!$B$153-Assumptions!$B$18)+Assumptions!$B$150*MAX(0,Assumptions!$B$154-Assumptions!$B$18)+Assumptions!$B$151*MAX(0,Assumptions!$B$155-Assumptions!$B$18))*Assumptions!$B$19/Assumptions!$B$7*U7+U45*(Assumptions!$B$146*Assumptions!$B$20+Assumptions!$B$147*Assumptions!$B$21)/12/Assumptions!$B$7*U7,0)</f>
        <v/>
      </c>
      <c r="V59" s="55">
        <f>IF(V2&gt;=Assumptions!$B$52,V51*V17*Assumptions!$B$17+V46*(Assumptions!$B$148*MAX(0,Assumptions!$B$152-Assumptions!$B$18)+Assumptions!$B$149*MAX(0,Assumptions!$B$153-Assumptions!$B$18)+Assumptions!$B$150*MAX(0,Assumptions!$B$154-Assumptions!$B$18)+Assumptions!$B$151*MAX(0,Assumptions!$B$155-Assumptions!$B$18))*Assumptions!$B$19/Assumptions!$B$7*V7+V45*(Assumptions!$B$146*Assumptions!$B$20+Assumptions!$B$147*Assumptions!$B$21)/12/Assumptions!$B$7*V7,0)</f>
        <v/>
      </c>
      <c r="W59" s="55">
        <f>IF(W2&gt;=Assumptions!$B$52,W51*W17*Assumptions!$B$17+W46*(Assumptions!$B$148*MAX(0,Assumptions!$B$152-Assumptions!$B$18)+Assumptions!$B$149*MAX(0,Assumptions!$B$153-Assumptions!$B$18)+Assumptions!$B$150*MAX(0,Assumptions!$B$154-Assumptions!$B$18)+Assumptions!$B$151*MAX(0,Assumptions!$B$155-Assumptions!$B$18))*Assumptions!$B$19/Assumptions!$B$7*W7+W45*(Assumptions!$B$146*Assumptions!$B$20+Assumptions!$B$147*Assumptions!$B$21)/12/Assumptions!$B$7*W7,0)</f>
        <v/>
      </c>
      <c r="X59" s="55">
        <f>IF(X2&gt;=Assumptions!$B$52,X51*X17*Assumptions!$B$17+X46*(Assumptions!$B$148*MAX(0,Assumptions!$B$152-Assumptions!$B$18)+Assumptions!$B$149*MAX(0,Assumptions!$B$153-Assumptions!$B$18)+Assumptions!$B$150*MAX(0,Assumptions!$B$154-Assumptions!$B$18)+Assumptions!$B$151*MAX(0,Assumptions!$B$155-Assumptions!$B$18))*Assumptions!$B$19/Assumptions!$B$7*X7+X45*(Assumptions!$B$146*Assumptions!$B$20+Assumptions!$B$147*Assumptions!$B$21)/12/Assumptions!$B$7*X7,0)</f>
        <v/>
      </c>
      <c r="Y59" s="55">
        <f>IF(Y2&gt;=Assumptions!$B$52,Y51*Y17*Assumptions!$B$17+Y46*(Assumptions!$B$148*MAX(0,Assumptions!$B$152-Assumptions!$B$18)+Assumptions!$B$149*MAX(0,Assumptions!$B$153-Assumptions!$B$18)+Assumptions!$B$150*MAX(0,Assumptions!$B$154-Assumptions!$B$18)+Assumptions!$B$151*MAX(0,Assumptions!$B$155-Assumptions!$B$18))*Assumptions!$B$19/Assumptions!$B$7*Y7+Y45*(Assumptions!$B$146*Assumptions!$B$20+Assumptions!$B$147*Assumptions!$B$21)/12/Assumptions!$B$7*Y7,0)</f>
        <v/>
      </c>
      <c r="Z59" s="55">
        <f>IF(Z2&gt;=Assumptions!$B$52,Z51*Z17*Assumptions!$B$17+Z46*(Assumptions!$B$148*MAX(0,Assumptions!$B$152-Assumptions!$B$18)+Assumptions!$B$149*MAX(0,Assumptions!$B$153-Assumptions!$B$18)+Assumptions!$B$150*MAX(0,Assumptions!$B$154-Assumptions!$B$18)+Assumptions!$B$151*MAX(0,Assumptions!$B$155-Assumptions!$B$18))*Assumptions!$B$19/Assumptions!$B$7*Z7+Z45*(Assumptions!$B$146*Assumptions!$B$20+Assumptions!$B$147*Assumptions!$B$21)/12/Assumptions!$B$7*Z7,0)</f>
        <v/>
      </c>
      <c r="AA59" s="55">
        <f>IF(AA2&gt;=Assumptions!$B$52,AA51*AA17*Assumptions!$B$17+AA46*(Assumptions!$B$148*MAX(0,Assumptions!$B$152-Assumptions!$B$18)+Assumptions!$B$149*MAX(0,Assumptions!$B$153-Assumptions!$B$18)+Assumptions!$B$150*MAX(0,Assumptions!$B$154-Assumptions!$B$18)+Assumptions!$B$151*MAX(0,Assumptions!$B$155-Assumptions!$B$18))*Assumptions!$B$19/Assumptions!$B$7*AA7+AA45*(Assumptions!$B$146*Assumptions!$B$20+Assumptions!$B$147*Assumptions!$B$21)/12/Assumptions!$B$7*AA7,0)</f>
        <v/>
      </c>
      <c r="AB59" s="55">
        <f>IF(AB2&gt;=Assumptions!$B$52,AB51*AB17*Assumptions!$B$17+AB46*(Assumptions!$B$148*MAX(0,Assumptions!$B$152-Assumptions!$B$18)+Assumptions!$B$149*MAX(0,Assumptions!$B$153-Assumptions!$B$18)+Assumptions!$B$150*MAX(0,Assumptions!$B$154-Assumptions!$B$18)+Assumptions!$B$151*MAX(0,Assumptions!$B$155-Assumptions!$B$18))*Assumptions!$B$19/Assumptions!$B$7*AB7+AB45*(Assumptions!$B$146*Assumptions!$B$20+Assumptions!$B$147*Assumptions!$B$21)/12/Assumptions!$B$7*AB7,0)</f>
        <v/>
      </c>
      <c r="AC59" s="55">
        <f>IF(AC2&gt;=Assumptions!$B$52,AC51*AC17*Assumptions!$B$17+AC46*(Assumptions!$B$148*MAX(0,Assumptions!$B$152-Assumptions!$B$18)+Assumptions!$B$149*MAX(0,Assumptions!$B$153-Assumptions!$B$18)+Assumptions!$B$150*MAX(0,Assumptions!$B$154-Assumptions!$B$18)+Assumptions!$B$151*MAX(0,Assumptions!$B$155-Assumptions!$B$18))*Assumptions!$B$19/Assumptions!$B$7*AC7+AC45*(Assumptions!$B$146*Assumptions!$B$20+Assumptions!$B$147*Assumptions!$B$21)/12/Assumptions!$B$7*AC7,0)</f>
        <v/>
      </c>
      <c r="AD59" s="55">
        <f>IF(AD2&gt;=Assumptions!$B$52,AD51*AD17*Assumptions!$B$17+AD46*(Assumptions!$B$148*MAX(0,Assumptions!$B$152-Assumptions!$B$18)+Assumptions!$B$149*MAX(0,Assumptions!$B$153-Assumptions!$B$18)+Assumptions!$B$150*MAX(0,Assumptions!$B$154-Assumptions!$B$18)+Assumptions!$B$151*MAX(0,Assumptions!$B$155-Assumptions!$B$18))*Assumptions!$B$19/Assumptions!$B$7*AD7+AD45*(Assumptions!$B$146*Assumptions!$B$20+Assumptions!$B$147*Assumptions!$B$21)/12/Assumptions!$B$7*AD7,0)</f>
        <v/>
      </c>
      <c r="AE59" s="55">
        <f>IF(AE2&gt;=Assumptions!$B$52,AE51*AE17*Assumptions!$B$17+AE46*(Assumptions!$B$148*MAX(0,Assumptions!$B$152-Assumptions!$B$18)+Assumptions!$B$149*MAX(0,Assumptions!$B$153-Assumptions!$B$18)+Assumptions!$B$150*MAX(0,Assumptions!$B$154-Assumptions!$B$18)+Assumptions!$B$151*MAX(0,Assumptions!$B$155-Assumptions!$B$18))*Assumptions!$B$19/Assumptions!$B$7*AE7+AE45*(Assumptions!$B$146*Assumptions!$B$20+Assumptions!$B$147*Assumptions!$B$21)/12/Assumptions!$B$7*AE7,0)</f>
        <v/>
      </c>
    </row>
    <row r="60">
      <c r="A60" s="6" t="inlineStr">
        <is>
          <t xml:space="preserve">  Average drawn balance outstanding</t>
        </is>
      </c>
      <c r="B60" s="23" t="inlineStr">
        <is>
          <t>USD</t>
        </is>
      </c>
      <c r="C60" s="55">
        <f>IF(C2&gt;=Assumptions!$B$53,C45*C47*(1-Assumptions!$B$178)*Assumptions!$B$156*Assumptions!$B$157,0)</f>
        <v/>
      </c>
      <c r="D60" s="55">
        <f>IF(D2&gt;=Assumptions!$B$53,D45*D47*(1-Assumptions!$B$178)*Assumptions!$B$156*Assumptions!$B$157,0)</f>
        <v/>
      </c>
      <c r="E60" s="55">
        <f>IF(E2&gt;=Assumptions!$B$53,E45*E47*(1-Assumptions!$B$178)*Assumptions!$B$156*Assumptions!$B$157,0)</f>
        <v/>
      </c>
      <c r="F60" s="55">
        <f>IF(F2&gt;=Assumptions!$B$53,F45*F47*(1-Assumptions!$B$178)*Assumptions!$B$156*Assumptions!$B$157,0)</f>
        <v/>
      </c>
      <c r="G60" s="55">
        <f>IF(G2&gt;=Assumptions!$B$53,G45*G47*(1-Assumptions!$B$178)*Assumptions!$B$156*Assumptions!$B$157,0)</f>
        <v/>
      </c>
      <c r="H60" s="55">
        <f>IF(H2&gt;=Assumptions!$B$53,H45*H47*(1-Assumptions!$B$178)*Assumptions!$B$156*Assumptions!$B$157,0)</f>
        <v/>
      </c>
      <c r="I60" s="55">
        <f>IF(I2&gt;=Assumptions!$B$53,I45*I47*(1-Assumptions!$B$178)*Assumptions!$B$156*Assumptions!$B$157,0)</f>
        <v/>
      </c>
      <c r="J60" s="55">
        <f>IF(J2&gt;=Assumptions!$B$53,J45*J47*(1-Assumptions!$B$178)*Assumptions!$B$156*Assumptions!$B$157,0)</f>
        <v/>
      </c>
      <c r="K60" s="55">
        <f>IF(K2&gt;=Assumptions!$B$53,K45*K47*(1-Assumptions!$B$178)*Assumptions!$B$156*Assumptions!$B$157,0)</f>
        <v/>
      </c>
      <c r="L60" s="55">
        <f>IF(L2&gt;=Assumptions!$B$53,L45*L47*(1-Assumptions!$B$178)*Assumptions!$B$156*Assumptions!$B$157,0)</f>
        <v/>
      </c>
      <c r="M60" s="55">
        <f>IF(M2&gt;=Assumptions!$B$53,M45*M47*(1-Assumptions!$B$178)*Assumptions!$B$156*Assumptions!$B$157,0)</f>
        <v/>
      </c>
      <c r="N60" s="55">
        <f>IF(N2&gt;=Assumptions!$B$53,N45*N47*(1-Assumptions!$B$178)*Assumptions!$B$156*Assumptions!$B$157,0)</f>
        <v/>
      </c>
      <c r="O60" s="55">
        <f>IF(O2&gt;=Assumptions!$B$53,O45*O47*(1-Assumptions!$B$178)*Assumptions!$B$156*Assumptions!$B$157,0)</f>
        <v/>
      </c>
      <c r="P60" s="55">
        <f>IF(P2&gt;=Assumptions!$B$53,P45*P47*(1-Assumptions!$B$178)*Assumptions!$B$156*Assumptions!$B$157,0)</f>
        <v/>
      </c>
      <c r="Q60" s="55">
        <f>IF(Q2&gt;=Assumptions!$B$53,Q45*Q47*(1-Assumptions!$B$178)*Assumptions!$B$156*Assumptions!$B$157,0)</f>
        <v/>
      </c>
      <c r="R60" s="55">
        <f>IF(R2&gt;=Assumptions!$B$53,R45*R47*(1-Assumptions!$B$178)*Assumptions!$B$156*Assumptions!$B$157,0)</f>
        <v/>
      </c>
      <c r="S60" s="55">
        <f>IF(S2&gt;=Assumptions!$B$53,S45*S47*(1-Assumptions!$B$178)*Assumptions!$B$156*Assumptions!$B$157,0)</f>
        <v/>
      </c>
      <c r="T60" s="55">
        <f>IF(T2&gt;=Assumptions!$B$53,T45*T47*(1-Assumptions!$B$178)*Assumptions!$B$156*Assumptions!$B$157,0)</f>
        <v/>
      </c>
      <c r="U60" s="55">
        <f>IF(U2&gt;=Assumptions!$B$53,U45*U47*(1-Assumptions!$B$178)*Assumptions!$B$156*Assumptions!$B$157,0)</f>
        <v/>
      </c>
      <c r="V60" s="55">
        <f>IF(V2&gt;=Assumptions!$B$53,V45*V47*(1-Assumptions!$B$178)*Assumptions!$B$156*Assumptions!$B$157,0)</f>
        <v/>
      </c>
      <c r="W60" s="55">
        <f>IF(W2&gt;=Assumptions!$B$53,W45*W47*(1-Assumptions!$B$178)*Assumptions!$B$156*Assumptions!$B$157,0)</f>
        <v/>
      </c>
      <c r="X60" s="55">
        <f>IF(X2&gt;=Assumptions!$B$53,X45*X47*(1-Assumptions!$B$178)*Assumptions!$B$156*Assumptions!$B$157,0)</f>
        <v/>
      </c>
      <c r="Y60" s="55">
        <f>IF(Y2&gt;=Assumptions!$B$53,Y45*Y47*(1-Assumptions!$B$178)*Assumptions!$B$156*Assumptions!$B$157,0)</f>
        <v/>
      </c>
      <c r="Z60" s="55">
        <f>IF(Z2&gt;=Assumptions!$B$53,Z45*Z47*(1-Assumptions!$B$178)*Assumptions!$B$156*Assumptions!$B$157,0)</f>
        <v/>
      </c>
      <c r="AA60" s="55">
        <f>IF(AA2&gt;=Assumptions!$B$53,AA45*AA47*(1-Assumptions!$B$178)*Assumptions!$B$156*Assumptions!$B$157,0)</f>
        <v/>
      </c>
      <c r="AB60" s="55">
        <f>IF(AB2&gt;=Assumptions!$B$53,AB45*AB47*(1-Assumptions!$B$178)*Assumptions!$B$156*Assumptions!$B$157,0)</f>
        <v/>
      </c>
      <c r="AC60" s="55">
        <f>IF(AC2&gt;=Assumptions!$B$53,AC45*AC47*(1-Assumptions!$B$178)*Assumptions!$B$156*Assumptions!$B$157,0)</f>
        <v/>
      </c>
      <c r="AD60" s="55">
        <f>IF(AD2&gt;=Assumptions!$B$53,AD45*AD47*(1-Assumptions!$B$178)*Assumptions!$B$156*Assumptions!$B$157,0)</f>
        <v/>
      </c>
      <c r="AE60" s="55">
        <f>IF(AE2&gt;=Assumptions!$B$53,AE45*AE47*(1-Assumptions!$B$178)*Assumptions!$B$156*Assumptions!$B$157,0)</f>
        <v/>
      </c>
    </row>
    <row r="61">
      <c r="A61" s="6" t="inlineStr">
        <is>
          <t xml:space="preserve">  Stream 5 - Lending revenue share</t>
        </is>
      </c>
      <c r="B61" s="23" t="inlineStr">
        <is>
          <t>USD</t>
        </is>
      </c>
      <c r="C61" s="55">
        <f>IF(C2&gt;=Assumptions!$B$53,(C60*Assumptions!$B$29*Assumptions!$B$30+C46*C48*(1-Assumptions!$B$178)*Assumptions!$B$27*Assumptions!$B$28)*C7/12,0)</f>
        <v/>
      </c>
      <c r="D61" s="55">
        <f>IF(D2&gt;=Assumptions!$B$53,(D60*Assumptions!$B$29*Assumptions!$B$30+D46*D48*(1-Assumptions!$B$178)*Assumptions!$B$27*Assumptions!$B$28)*D7/12,0)</f>
        <v/>
      </c>
      <c r="E61" s="55">
        <f>IF(E2&gt;=Assumptions!$B$53,(E60*Assumptions!$B$29*Assumptions!$B$30+E46*E48*(1-Assumptions!$B$178)*Assumptions!$B$27*Assumptions!$B$28)*E7/12,0)</f>
        <v/>
      </c>
      <c r="F61" s="55">
        <f>IF(F2&gt;=Assumptions!$B$53,(F60*Assumptions!$B$29*Assumptions!$B$30+F46*F48*(1-Assumptions!$B$178)*Assumptions!$B$27*Assumptions!$B$28)*F7/12,0)</f>
        <v/>
      </c>
      <c r="G61" s="55">
        <f>IF(G2&gt;=Assumptions!$B$53,(G60*Assumptions!$B$29*Assumptions!$B$30+G46*G48*(1-Assumptions!$B$178)*Assumptions!$B$27*Assumptions!$B$28)*G7/12,0)</f>
        <v/>
      </c>
      <c r="H61" s="55">
        <f>IF(H2&gt;=Assumptions!$B$53,(H60*Assumptions!$B$29*Assumptions!$B$30+H46*H48*(1-Assumptions!$B$178)*Assumptions!$B$27*Assumptions!$B$28)*H7/12,0)</f>
        <v/>
      </c>
      <c r="I61" s="55">
        <f>IF(I2&gt;=Assumptions!$B$53,(I60*Assumptions!$B$29*Assumptions!$B$30+I46*I48*(1-Assumptions!$B$178)*Assumptions!$B$27*Assumptions!$B$28)*I7/12,0)</f>
        <v/>
      </c>
      <c r="J61" s="55">
        <f>IF(J2&gt;=Assumptions!$B$53,(J60*Assumptions!$B$29*Assumptions!$B$30+J46*J48*(1-Assumptions!$B$178)*Assumptions!$B$27*Assumptions!$B$28)*J7/12,0)</f>
        <v/>
      </c>
      <c r="K61" s="55">
        <f>IF(K2&gt;=Assumptions!$B$53,(K60*Assumptions!$B$29*Assumptions!$B$30+K46*K48*(1-Assumptions!$B$178)*Assumptions!$B$27*Assumptions!$B$28)*K7/12,0)</f>
        <v/>
      </c>
      <c r="L61" s="55">
        <f>IF(L2&gt;=Assumptions!$B$53,(L60*Assumptions!$B$29*Assumptions!$B$30+L46*L48*(1-Assumptions!$B$178)*Assumptions!$B$27*Assumptions!$B$28)*L7/12,0)</f>
        <v/>
      </c>
      <c r="M61" s="55">
        <f>IF(M2&gt;=Assumptions!$B$53,(M60*Assumptions!$B$29*Assumptions!$B$30+M46*M48*(1-Assumptions!$B$178)*Assumptions!$B$27*Assumptions!$B$28)*M7/12,0)</f>
        <v/>
      </c>
      <c r="N61" s="55">
        <f>IF(N2&gt;=Assumptions!$B$53,(N60*Assumptions!$B$29*Assumptions!$B$30+N46*N48*(1-Assumptions!$B$178)*Assumptions!$B$27*Assumptions!$B$28)*N7/12,0)</f>
        <v/>
      </c>
      <c r="O61" s="55">
        <f>IF(O2&gt;=Assumptions!$B$53,(O60*Assumptions!$B$29*Assumptions!$B$30+O46*O48*(1-Assumptions!$B$178)*Assumptions!$B$27*Assumptions!$B$28)*O7/12,0)</f>
        <v/>
      </c>
      <c r="P61" s="55">
        <f>IF(P2&gt;=Assumptions!$B$53,(P60*Assumptions!$B$29*Assumptions!$B$30+P46*P48*(1-Assumptions!$B$178)*Assumptions!$B$27*Assumptions!$B$28)*P7/12,0)</f>
        <v/>
      </c>
      <c r="Q61" s="55">
        <f>IF(Q2&gt;=Assumptions!$B$53,(Q60*Assumptions!$B$29*Assumptions!$B$30+Q46*Q48*(1-Assumptions!$B$178)*Assumptions!$B$27*Assumptions!$B$28)*Q7/12,0)</f>
        <v/>
      </c>
      <c r="R61" s="55">
        <f>IF(R2&gt;=Assumptions!$B$53,(R60*Assumptions!$B$29*Assumptions!$B$30+R46*R48*(1-Assumptions!$B$178)*Assumptions!$B$27*Assumptions!$B$28)*R7/12,0)</f>
        <v/>
      </c>
      <c r="S61" s="55">
        <f>IF(S2&gt;=Assumptions!$B$53,(S60*Assumptions!$B$29*Assumptions!$B$30+S46*S48*(1-Assumptions!$B$178)*Assumptions!$B$27*Assumptions!$B$28)*S7/12,0)</f>
        <v/>
      </c>
      <c r="T61" s="55">
        <f>IF(T2&gt;=Assumptions!$B$53,(T60*Assumptions!$B$29*Assumptions!$B$30+T46*T48*(1-Assumptions!$B$178)*Assumptions!$B$27*Assumptions!$B$28)*T7/12,0)</f>
        <v/>
      </c>
      <c r="U61" s="55">
        <f>IF(U2&gt;=Assumptions!$B$53,(U60*Assumptions!$B$29*Assumptions!$B$30+U46*U48*(1-Assumptions!$B$178)*Assumptions!$B$27*Assumptions!$B$28)*U7/12,0)</f>
        <v/>
      </c>
      <c r="V61" s="55">
        <f>IF(V2&gt;=Assumptions!$B$53,(V60*Assumptions!$B$29*Assumptions!$B$30+V46*V48*(1-Assumptions!$B$178)*Assumptions!$B$27*Assumptions!$B$28)*V7/12,0)</f>
        <v/>
      </c>
      <c r="W61" s="55">
        <f>IF(W2&gt;=Assumptions!$B$53,(W60*Assumptions!$B$29*Assumptions!$B$30+W46*W48*(1-Assumptions!$B$178)*Assumptions!$B$27*Assumptions!$B$28)*W7/12,0)</f>
        <v/>
      </c>
      <c r="X61" s="55">
        <f>IF(X2&gt;=Assumptions!$B$53,(X60*Assumptions!$B$29*Assumptions!$B$30+X46*X48*(1-Assumptions!$B$178)*Assumptions!$B$27*Assumptions!$B$28)*X7/12,0)</f>
        <v/>
      </c>
      <c r="Y61" s="55">
        <f>IF(Y2&gt;=Assumptions!$B$53,(Y60*Assumptions!$B$29*Assumptions!$B$30+Y46*Y48*(1-Assumptions!$B$178)*Assumptions!$B$27*Assumptions!$B$28)*Y7/12,0)</f>
        <v/>
      </c>
      <c r="Z61" s="55">
        <f>IF(Z2&gt;=Assumptions!$B$53,(Z60*Assumptions!$B$29*Assumptions!$B$30+Z46*Z48*(1-Assumptions!$B$178)*Assumptions!$B$27*Assumptions!$B$28)*Z7/12,0)</f>
        <v/>
      </c>
      <c r="AA61" s="55">
        <f>IF(AA2&gt;=Assumptions!$B$53,(AA60*Assumptions!$B$29*Assumptions!$B$30+AA46*AA48*(1-Assumptions!$B$178)*Assumptions!$B$27*Assumptions!$B$28)*AA7/12,0)</f>
        <v/>
      </c>
      <c r="AB61" s="55">
        <f>IF(AB2&gt;=Assumptions!$B$53,(AB60*Assumptions!$B$29*Assumptions!$B$30+AB46*AB48*(1-Assumptions!$B$178)*Assumptions!$B$27*Assumptions!$B$28)*AB7/12,0)</f>
        <v/>
      </c>
      <c r="AC61" s="55">
        <f>IF(AC2&gt;=Assumptions!$B$53,(AC60*Assumptions!$B$29*Assumptions!$B$30+AC46*AC48*(1-Assumptions!$B$178)*Assumptions!$B$27*Assumptions!$B$28)*AC7/12,0)</f>
        <v/>
      </c>
      <c r="AD61" s="55">
        <f>IF(AD2&gt;=Assumptions!$B$53,(AD60*Assumptions!$B$29*Assumptions!$B$30+AD46*AD48*(1-Assumptions!$B$178)*Assumptions!$B$27*Assumptions!$B$28)*AD7/12,0)</f>
        <v/>
      </c>
      <c r="AE61" s="55">
        <f>IF(AE2&gt;=Assumptions!$B$53,(AE60*Assumptions!$B$29*Assumptions!$B$30+AE46*AE48*(1-Assumptions!$B$178)*Assumptions!$B$27*Assumptions!$B$28)*AE7/12,0)</f>
        <v/>
      </c>
    </row>
    <row r="62">
      <c r="A62" s="6" t="inlineStr">
        <is>
          <t xml:space="preserve">  Redemption events (memo - drives cost, not revenue)</t>
        </is>
      </c>
      <c r="B62" s="23" t="inlineStr">
        <is>
          <t>events</t>
        </is>
      </c>
      <c r="C62" s="45">
        <f>IF(C2&gt;=Assumptions!$B$49,(C31+C33*Assumptions!$B$138)*Assumptions!$B$137*C7/12,0)</f>
        <v/>
      </c>
      <c r="D62" s="45">
        <f>IF(D2&gt;=Assumptions!$B$49,(D31+D33*Assumptions!$B$138)*Assumptions!$B$137*D7/12,0)</f>
        <v/>
      </c>
      <c r="E62" s="45">
        <f>IF(E2&gt;=Assumptions!$B$49,(E31+E33*Assumptions!$B$138)*Assumptions!$B$137*E7/12,0)</f>
        <v/>
      </c>
      <c r="F62" s="45">
        <f>IF(F2&gt;=Assumptions!$B$49,(F31+F33*Assumptions!$B$138)*Assumptions!$B$137*F7/12,0)</f>
        <v/>
      </c>
      <c r="G62" s="45">
        <f>IF(G2&gt;=Assumptions!$B$49,(G31+G33*Assumptions!$B$138)*Assumptions!$B$137*G7/12,0)</f>
        <v/>
      </c>
      <c r="H62" s="45">
        <f>IF(H2&gt;=Assumptions!$B$49,(H31+H33*Assumptions!$B$138)*Assumptions!$B$137*H7/12,0)</f>
        <v/>
      </c>
      <c r="I62" s="45">
        <f>IF(I2&gt;=Assumptions!$B$49,(I31+I33*Assumptions!$B$138)*Assumptions!$B$137*I7/12,0)</f>
        <v/>
      </c>
      <c r="J62" s="45">
        <f>IF(J2&gt;=Assumptions!$B$49,(J31+J33*Assumptions!$B$138)*Assumptions!$B$137*J7/12,0)</f>
        <v/>
      </c>
      <c r="K62" s="45">
        <f>IF(K2&gt;=Assumptions!$B$49,(K31+K33*Assumptions!$B$138)*Assumptions!$B$137*K7/12,0)</f>
        <v/>
      </c>
      <c r="L62" s="45">
        <f>IF(L2&gt;=Assumptions!$B$49,(L31+L33*Assumptions!$B$138)*Assumptions!$B$137*L7/12,0)</f>
        <v/>
      </c>
      <c r="M62" s="45">
        <f>IF(M2&gt;=Assumptions!$B$49,(M31+M33*Assumptions!$B$138)*Assumptions!$B$137*M7/12,0)</f>
        <v/>
      </c>
      <c r="N62" s="45">
        <f>IF(N2&gt;=Assumptions!$B$49,(N31+N33*Assumptions!$B$138)*Assumptions!$B$137*N7/12,0)</f>
        <v/>
      </c>
      <c r="O62" s="45">
        <f>IF(O2&gt;=Assumptions!$B$49,(O31+O33*Assumptions!$B$138)*Assumptions!$B$137*O7/12,0)</f>
        <v/>
      </c>
      <c r="P62" s="45">
        <f>IF(P2&gt;=Assumptions!$B$49,(P31+P33*Assumptions!$B$138)*Assumptions!$B$137*P7/12,0)</f>
        <v/>
      </c>
      <c r="Q62" s="45">
        <f>IF(Q2&gt;=Assumptions!$B$49,(Q31+Q33*Assumptions!$B$138)*Assumptions!$B$137*Q7/12,0)</f>
        <v/>
      </c>
      <c r="R62" s="45">
        <f>IF(R2&gt;=Assumptions!$B$49,(R31+R33*Assumptions!$B$138)*Assumptions!$B$137*R7/12,0)</f>
        <v/>
      </c>
      <c r="S62" s="45">
        <f>IF(S2&gt;=Assumptions!$B$49,(S31+S33*Assumptions!$B$138)*Assumptions!$B$137*S7/12,0)</f>
        <v/>
      </c>
      <c r="T62" s="45">
        <f>IF(T2&gt;=Assumptions!$B$49,(T31+T33*Assumptions!$B$138)*Assumptions!$B$137*T7/12,0)</f>
        <v/>
      </c>
      <c r="U62" s="45">
        <f>IF(U2&gt;=Assumptions!$B$49,(U31+U33*Assumptions!$B$138)*Assumptions!$B$137*U7/12,0)</f>
        <v/>
      </c>
      <c r="V62" s="45">
        <f>IF(V2&gt;=Assumptions!$B$49,(V31+V33*Assumptions!$B$138)*Assumptions!$B$137*V7/12,0)</f>
        <v/>
      </c>
      <c r="W62" s="45">
        <f>IF(W2&gt;=Assumptions!$B$49,(W31+W33*Assumptions!$B$138)*Assumptions!$B$137*W7/12,0)</f>
        <v/>
      </c>
      <c r="X62" s="45">
        <f>IF(X2&gt;=Assumptions!$B$49,(X31+X33*Assumptions!$B$138)*Assumptions!$B$137*X7/12,0)</f>
        <v/>
      </c>
      <c r="Y62" s="45">
        <f>IF(Y2&gt;=Assumptions!$B$49,(Y31+Y33*Assumptions!$B$138)*Assumptions!$B$137*Y7/12,0)</f>
        <v/>
      </c>
      <c r="Z62" s="45">
        <f>IF(Z2&gt;=Assumptions!$B$49,(Z31+Z33*Assumptions!$B$138)*Assumptions!$B$137*Z7/12,0)</f>
        <v/>
      </c>
      <c r="AA62" s="45">
        <f>IF(AA2&gt;=Assumptions!$B$49,(AA31+AA33*Assumptions!$B$138)*Assumptions!$B$137*AA7/12,0)</f>
        <v/>
      </c>
      <c r="AB62" s="45">
        <f>IF(AB2&gt;=Assumptions!$B$49,(AB31+AB33*Assumptions!$B$138)*Assumptions!$B$137*AB7/12,0)</f>
        <v/>
      </c>
      <c r="AC62" s="45">
        <f>IF(AC2&gt;=Assumptions!$B$49,(AC31+AC33*Assumptions!$B$138)*Assumptions!$B$137*AC7/12,0)</f>
        <v/>
      </c>
      <c r="AD62" s="45">
        <f>IF(AD2&gt;=Assumptions!$B$49,(AD31+AD33*Assumptions!$B$138)*Assumptions!$B$137*AD7/12,0)</f>
        <v/>
      </c>
      <c r="AE62" s="45">
        <f>IF(AE2&gt;=Assumptions!$B$49,(AE31+AE33*Assumptions!$B$138)*Assumptions!$B$137*AE7/12,0)</f>
        <v/>
      </c>
    </row>
    <row r="63">
      <c r="A63" s="3" t="inlineStr">
        <is>
          <t xml:space="preserve">  SUBTOTAL - UAE</t>
        </is>
      </c>
      <c r="B63" s="23" t="inlineStr">
        <is>
          <t>USD</t>
        </is>
      </c>
      <c r="C63" s="57">
        <f>C54+C55+C56+C58+C59+C61</f>
        <v/>
      </c>
      <c r="D63" s="57">
        <f>D54+D55+D56+D58+D59+D61</f>
        <v/>
      </c>
      <c r="E63" s="57">
        <f>E54+E55+E56+E58+E59+E61</f>
        <v/>
      </c>
      <c r="F63" s="57">
        <f>F54+F55+F56+F58+F59+F61</f>
        <v/>
      </c>
      <c r="G63" s="57">
        <f>G54+G55+G56+G58+G59+G61</f>
        <v/>
      </c>
      <c r="H63" s="57">
        <f>H54+H55+H56+H58+H59+H61</f>
        <v/>
      </c>
      <c r="I63" s="57">
        <f>I54+I55+I56+I58+I59+I61</f>
        <v/>
      </c>
      <c r="J63" s="57">
        <f>J54+J55+J56+J58+J59+J61</f>
        <v/>
      </c>
      <c r="K63" s="57">
        <f>K54+K55+K56+K58+K59+K61</f>
        <v/>
      </c>
      <c r="L63" s="57">
        <f>L54+L55+L56+L58+L59+L61</f>
        <v/>
      </c>
      <c r="M63" s="57">
        <f>M54+M55+M56+M58+M59+M61</f>
        <v/>
      </c>
      <c r="N63" s="57">
        <f>N54+N55+N56+N58+N59+N61</f>
        <v/>
      </c>
      <c r="O63" s="57">
        <f>O54+O55+O56+O58+O59+O61</f>
        <v/>
      </c>
      <c r="P63" s="57">
        <f>P54+P55+P56+P58+P59+P61</f>
        <v/>
      </c>
      <c r="Q63" s="57">
        <f>Q54+Q55+Q56+Q58+Q59+Q61</f>
        <v/>
      </c>
      <c r="R63" s="57">
        <f>R54+R55+R56+R58+R59+R61</f>
        <v/>
      </c>
      <c r="S63" s="57">
        <f>S54+S55+S56+S58+S59+S61</f>
        <v/>
      </c>
      <c r="T63" s="57">
        <f>T54+T55+T56+T58+T59+T61</f>
        <v/>
      </c>
      <c r="U63" s="57">
        <f>U54+U55+U56+U58+U59+U61</f>
        <v/>
      </c>
      <c r="V63" s="57">
        <f>V54+V55+V56+V58+V59+V61</f>
        <v/>
      </c>
      <c r="W63" s="57">
        <f>W54+W55+W56+W58+W59+W61</f>
        <v/>
      </c>
      <c r="X63" s="57">
        <f>X54+X55+X56+X58+X59+X61</f>
        <v/>
      </c>
      <c r="Y63" s="57">
        <f>Y54+Y55+Y56+Y58+Y59+Y61</f>
        <v/>
      </c>
      <c r="Z63" s="57">
        <f>Z54+Z55+Z56+Z58+Z59+Z61</f>
        <v/>
      </c>
      <c r="AA63" s="57">
        <f>AA54+AA55+AA56+AA58+AA59+AA61</f>
        <v/>
      </c>
      <c r="AB63" s="57">
        <f>AB54+AB55+AB56+AB58+AB59+AB61</f>
        <v/>
      </c>
      <c r="AC63" s="57">
        <f>AC54+AC55+AC56+AC58+AC59+AC61</f>
        <v/>
      </c>
      <c r="AD63" s="57">
        <f>AD54+AD55+AD56+AD58+AD59+AD61</f>
        <v/>
      </c>
      <c r="AE63" s="57">
        <f>AE54+AE55+AE56+AE58+AE59+AE61</f>
        <v/>
      </c>
    </row>
    <row r="65">
      <c r="A65" s="46" t="inlineStr">
        <is>
          <t>REGION: OMAN AND BAHRAIN</t>
        </is>
      </c>
      <c r="B65" s="47" t="n"/>
      <c r="C65" s="47" t="n"/>
      <c r="D65" s="47" t="n"/>
      <c r="E65" s="47" t="n"/>
      <c r="F65" s="47" t="n"/>
      <c r="G65" s="47" t="n"/>
      <c r="H65" s="47" t="n"/>
      <c r="I65" s="47" t="n"/>
      <c r="J65" s="47" t="n"/>
      <c r="K65" s="47" t="n"/>
      <c r="L65" s="47" t="n"/>
      <c r="M65" s="47" t="n"/>
      <c r="N65" s="47" t="n"/>
      <c r="O65" s="47" t="n"/>
      <c r="P65" s="47" t="n"/>
      <c r="Q65" s="47" t="n"/>
      <c r="R65" s="47" t="n"/>
      <c r="S65" s="47" t="n"/>
      <c r="T65" s="47" t="n"/>
      <c r="U65" s="47" t="n"/>
      <c r="V65" s="47" t="n"/>
      <c r="W65" s="47" t="n"/>
      <c r="X65" s="47" t="n"/>
      <c r="Y65" s="47" t="n"/>
      <c r="Z65" s="47" t="n"/>
      <c r="AA65" s="47" t="n"/>
      <c r="AB65" s="47" t="n"/>
      <c r="AC65" s="47" t="n"/>
      <c r="AD65" s="47" t="n"/>
      <c r="AE65" s="47" t="n"/>
    </row>
    <row r="66">
      <c r="A66" s="6" t="inlineStr">
        <is>
          <t xml:space="preserve">  Direct-driven (this market's budget at its own CAC)</t>
        </is>
      </c>
      <c r="B66" s="23" t="inlineStr">
        <is>
          <t>accounts</t>
        </is>
      </c>
      <c r="C66" s="53">
        <f>INDEX(Assumptions!$B$100:$B$106,C5)*Assumptions!$B$128/12*C7/Assumptions!$B$125*(1+Assumptions!$B$132)*IF(C2&gt;=Assumptions!$B$56,1,0)</f>
        <v/>
      </c>
      <c r="D66" s="53">
        <f>INDEX(Assumptions!$B$100:$B$106,D5)*Assumptions!$B$128/12*D7/Assumptions!$B$125*(1+Assumptions!$B$132)*IF(D2&gt;=Assumptions!$B$56,1,0)</f>
        <v/>
      </c>
      <c r="E66" s="53">
        <f>INDEX(Assumptions!$B$100:$B$106,E5)*Assumptions!$B$128/12*E7/Assumptions!$B$125*(1+Assumptions!$B$132)*IF(E2&gt;=Assumptions!$B$56,1,0)</f>
        <v/>
      </c>
      <c r="F66" s="53">
        <f>INDEX(Assumptions!$B$100:$B$106,F5)*Assumptions!$B$128/12*F7/Assumptions!$B$125*(1+Assumptions!$B$132)*IF(F2&gt;=Assumptions!$B$56,1,0)</f>
        <v/>
      </c>
      <c r="G66" s="53">
        <f>INDEX(Assumptions!$B$100:$B$106,G5)*Assumptions!$B$128/12*G7/Assumptions!$B$125*(1+Assumptions!$B$132)*IF(G2&gt;=Assumptions!$B$56,1,0)</f>
        <v/>
      </c>
      <c r="H66" s="53">
        <f>INDEX(Assumptions!$B$100:$B$106,H5)*Assumptions!$B$128/12*H7/Assumptions!$B$125*(1+Assumptions!$B$132)*IF(H2&gt;=Assumptions!$B$56,1,0)</f>
        <v/>
      </c>
      <c r="I66" s="53">
        <f>INDEX(Assumptions!$B$100:$B$106,I5)*Assumptions!$B$128/12*I7/Assumptions!$B$125*(1+Assumptions!$B$132)*IF(I2&gt;=Assumptions!$B$56,1,0)</f>
        <v/>
      </c>
      <c r="J66" s="53">
        <f>INDEX(Assumptions!$B$100:$B$106,J5)*Assumptions!$B$128/12*J7/Assumptions!$B$125*(1+Assumptions!$B$132)*IF(J2&gt;=Assumptions!$B$56,1,0)</f>
        <v/>
      </c>
      <c r="K66" s="53">
        <f>INDEX(Assumptions!$B$100:$B$106,K5)*Assumptions!$B$128/12*K7/Assumptions!$B$125*(1+Assumptions!$B$132)*IF(K2&gt;=Assumptions!$B$56,1,0)</f>
        <v/>
      </c>
      <c r="L66" s="53">
        <f>INDEX(Assumptions!$B$100:$B$106,L5)*Assumptions!$B$128/12*L7/Assumptions!$B$125*(1+Assumptions!$B$132)*IF(L2&gt;=Assumptions!$B$56,1,0)</f>
        <v/>
      </c>
      <c r="M66" s="53">
        <f>INDEX(Assumptions!$B$100:$B$106,M5)*Assumptions!$B$128/12*M7/Assumptions!$B$125*(1+Assumptions!$B$132)*IF(M2&gt;=Assumptions!$B$56,1,0)</f>
        <v/>
      </c>
      <c r="N66" s="53">
        <f>INDEX(Assumptions!$B$100:$B$106,N5)*Assumptions!$B$128/12*N7/Assumptions!$B$125*(1+Assumptions!$B$132)*IF(N2&gt;=Assumptions!$B$56,1,0)</f>
        <v/>
      </c>
      <c r="O66" s="53">
        <f>INDEX(Assumptions!$B$100:$B$106,O5)*Assumptions!$B$128/12*O7/Assumptions!$B$125*(1+Assumptions!$B$132)*IF(O2&gt;=Assumptions!$B$56,1,0)</f>
        <v/>
      </c>
      <c r="P66" s="53">
        <f>INDEX(Assumptions!$B$100:$B$106,P5)*Assumptions!$B$128/12*P7/Assumptions!$B$125*(1+Assumptions!$B$132)*IF(P2&gt;=Assumptions!$B$56,1,0)</f>
        <v/>
      </c>
      <c r="Q66" s="53">
        <f>INDEX(Assumptions!$B$100:$B$106,Q5)*Assumptions!$B$128/12*Q7/Assumptions!$B$125*(1+Assumptions!$B$132)*IF(Q2&gt;=Assumptions!$B$56,1,0)</f>
        <v/>
      </c>
      <c r="R66" s="53">
        <f>INDEX(Assumptions!$B$100:$B$106,R5)*Assumptions!$B$128/12*R7/Assumptions!$B$125*(1+Assumptions!$B$132)*IF(R2&gt;=Assumptions!$B$56,1,0)</f>
        <v/>
      </c>
      <c r="S66" s="53">
        <f>INDEX(Assumptions!$B$100:$B$106,S5)*Assumptions!$B$128/12*S7/Assumptions!$B$125*(1+Assumptions!$B$132)*IF(S2&gt;=Assumptions!$B$56,1,0)</f>
        <v/>
      </c>
      <c r="T66" s="53">
        <f>INDEX(Assumptions!$B$100:$B$106,T5)*Assumptions!$B$128/12*T7/Assumptions!$B$125*(1+Assumptions!$B$132)*IF(T2&gt;=Assumptions!$B$56,1,0)</f>
        <v/>
      </c>
      <c r="U66" s="53">
        <f>INDEX(Assumptions!$B$100:$B$106,U5)*Assumptions!$B$128/12*U7/Assumptions!$B$125*(1+Assumptions!$B$132)*IF(U2&gt;=Assumptions!$B$56,1,0)</f>
        <v/>
      </c>
      <c r="V66" s="53">
        <f>INDEX(Assumptions!$B$100:$B$106,V5)*Assumptions!$B$128/12*V7/Assumptions!$B$125*(1+Assumptions!$B$132)*IF(V2&gt;=Assumptions!$B$56,1,0)</f>
        <v/>
      </c>
      <c r="W66" s="53">
        <f>INDEX(Assumptions!$B$100:$B$106,W5)*Assumptions!$B$128/12*W7/Assumptions!$B$125*(1+Assumptions!$B$132)*IF(W2&gt;=Assumptions!$B$56,1,0)</f>
        <v/>
      </c>
      <c r="X66" s="53">
        <f>INDEX(Assumptions!$B$100:$B$106,X5)*Assumptions!$B$128/12*X7/Assumptions!$B$125*(1+Assumptions!$B$132)*IF(X2&gt;=Assumptions!$B$56,1,0)</f>
        <v/>
      </c>
      <c r="Y66" s="53">
        <f>INDEX(Assumptions!$B$100:$B$106,Y5)*Assumptions!$B$128/12*Y7/Assumptions!$B$125*(1+Assumptions!$B$132)*IF(Y2&gt;=Assumptions!$B$56,1,0)</f>
        <v/>
      </c>
      <c r="Z66" s="53">
        <f>INDEX(Assumptions!$B$100:$B$106,Z5)*Assumptions!$B$128/12*Z7/Assumptions!$B$125*(1+Assumptions!$B$132)*IF(Z2&gt;=Assumptions!$B$56,1,0)</f>
        <v/>
      </c>
      <c r="AA66" s="53">
        <f>INDEX(Assumptions!$B$100:$B$106,AA5)*Assumptions!$B$128/12*AA7/Assumptions!$B$125*(1+Assumptions!$B$132)*IF(AA2&gt;=Assumptions!$B$56,1,0)</f>
        <v/>
      </c>
      <c r="AB66" s="53">
        <f>INDEX(Assumptions!$B$100:$B$106,AB5)*Assumptions!$B$128/12*AB7/Assumptions!$B$125*(1+Assumptions!$B$132)*IF(AB2&gt;=Assumptions!$B$56,1,0)</f>
        <v/>
      </c>
      <c r="AC66" s="53">
        <f>INDEX(Assumptions!$B$100:$B$106,AC5)*Assumptions!$B$128/12*AC7/Assumptions!$B$125*(1+Assumptions!$B$132)*IF(AC2&gt;=Assumptions!$B$56,1,0)</f>
        <v/>
      </c>
      <c r="AD66" s="53">
        <f>INDEX(Assumptions!$B$100:$B$106,AD5)*Assumptions!$B$128/12*AD7/Assumptions!$B$125*(1+Assumptions!$B$132)*IF(AD2&gt;=Assumptions!$B$56,1,0)</f>
        <v/>
      </c>
      <c r="AE66" s="53">
        <f>INDEX(Assumptions!$B$100:$B$106,AE5)*Assumptions!$B$128/12*AE7/Assumptions!$B$125*(1+Assumptions!$B$132)*IF(AE2&gt;=Assumptions!$B$56,1,0)</f>
        <v/>
      </c>
    </row>
    <row r="67">
      <c r="A67" s="6" t="inlineStr">
        <is>
          <t xml:space="preserve">  Referral-driven (from this market's own base)</t>
        </is>
      </c>
      <c r="B67" s="23" t="inlineStr">
        <is>
          <t>accounts</t>
        </is>
      </c>
      <c r="C67" s="54" t="n">
        <v>0</v>
      </c>
      <c r="D67" s="54">
        <f>IF(D2&gt;=Assumptions!$B$55,C71*Assumptions!$B$130/12*Assumptions!$B$131*D7,0)</f>
        <v/>
      </c>
      <c r="E67" s="54">
        <f>IF(E2&gt;=Assumptions!$B$55,D71*Assumptions!$B$130/12*Assumptions!$B$131*E7,0)</f>
        <v/>
      </c>
      <c r="F67" s="54">
        <f>IF(F2&gt;=Assumptions!$B$55,E71*Assumptions!$B$130/12*Assumptions!$B$131*F7,0)</f>
        <v/>
      </c>
      <c r="G67" s="54">
        <f>IF(G2&gt;=Assumptions!$B$55,F71*Assumptions!$B$130/12*Assumptions!$B$131*G7,0)</f>
        <v/>
      </c>
      <c r="H67" s="54">
        <f>IF(H2&gt;=Assumptions!$B$55,G71*Assumptions!$B$130/12*Assumptions!$B$131*H7,0)</f>
        <v/>
      </c>
      <c r="I67" s="54">
        <f>IF(I2&gt;=Assumptions!$B$55,H71*Assumptions!$B$130/12*Assumptions!$B$131*I7,0)</f>
        <v/>
      </c>
      <c r="J67" s="54">
        <f>IF(J2&gt;=Assumptions!$B$55,I71*Assumptions!$B$130/12*Assumptions!$B$131*J7,0)</f>
        <v/>
      </c>
      <c r="K67" s="54">
        <f>IF(K2&gt;=Assumptions!$B$55,J71*Assumptions!$B$130/12*Assumptions!$B$131*K7,0)</f>
        <v/>
      </c>
      <c r="L67" s="54">
        <f>IF(L2&gt;=Assumptions!$B$55,K71*Assumptions!$B$130/12*Assumptions!$B$131*L7,0)</f>
        <v/>
      </c>
      <c r="M67" s="54">
        <f>IF(M2&gt;=Assumptions!$B$55,L71*Assumptions!$B$130/12*Assumptions!$B$131*M7,0)</f>
        <v/>
      </c>
      <c r="N67" s="54">
        <f>IF(N2&gt;=Assumptions!$B$55,M71*Assumptions!$B$130/12*Assumptions!$B$131*N7,0)</f>
        <v/>
      </c>
      <c r="O67" s="54">
        <f>IF(O2&gt;=Assumptions!$B$55,N71*Assumptions!$B$130/12*Assumptions!$B$131*O7,0)</f>
        <v/>
      </c>
      <c r="P67" s="54">
        <f>IF(P2&gt;=Assumptions!$B$55,O71*Assumptions!$B$130/12*Assumptions!$B$131*P7,0)</f>
        <v/>
      </c>
      <c r="Q67" s="54">
        <f>IF(Q2&gt;=Assumptions!$B$55,P71*Assumptions!$B$130/12*Assumptions!$B$131*Q7,0)</f>
        <v/>
      </c>
      <c r="R67" s="54">
        <f>IF(R2&gt;=Assumptions!$B$55,Q71*Assumptions!$B$130/12*Assumptions!$B$131*R7,0)</f>
        <v/>
      </c>
      <c r="S67" s="54">
        <f>IF(S2&gt;=Assumptions!$B$55,R71*Assumptions!$B$130/12*Assumptions!$B$131*S7,0)</f>
        <v/>
      </c>
      <c r="T67" s="54">
        <f>IF(T2&gt;=Assumptions!$B$55,S71*Assumptions!$B$130/12*Assumptions!$B$131*T7,0)</f>
        <v/>
      </c>
      <c r="U67" s="54">
        <f>IF(U2&gt;=Assumptions!$B$55,T71*Assumptions!$B$130/12*Assumptions!$B$131*U7,0)</f>
        <v/>
      </c>
      <c r="V67" s="54">
        <f>IF(V2&gt;=Assumptions!$B$55,U71*Assumptions!$B$130/12*Assumptions!$B$131*V7,0)</f>
        <v/>
      </c>
      <c r="W67" s="54">
        <f>IF(W2&gt;=Assumptions!$B$55,V71*Assumptions!$B$130/12*Assumptions!$B$131*W7,0)</f>
        <v/>
      </c>
      <c r="X67" s="54">
        <f>IF(X2&gt;=Assumptions!$B$55,W71*Assumptions!$B$130/12*Assumptions!$B$131*X7,0)</f>
        <v/>
      </c>
      <c r="Y67" s="54">
        <f>IF(Y2&gt;=Assumptions!$B$55,X71*Assumptions!$B$130/12*Assumptions!$B$131*Y7,0)</f>
        <v/>
      </c>
      <c r="Z67" s="54">
        <f>IF(Z2&gt;=Assumptions!$B$55,Y71*Assumptions!$B$130/12*Assumptions!$B$131*Z7,0)</f>
        <v/>
      </c>
      <c r="AA67" s="54">
        <f>IF(AA2&gt;=Assumptions!$B$55,Z71*Assumptions!$B$130/12*Assumptions!$B$131*AA7,0)</f>
        <v/>
      </c>
      <c r="AB67" s="54">
        <f>IF(AB2&gt;=Assumptions!$B$55,AA71*Assumptions!$B$130/12*Assumptions!$B$131*AB7,0)</f>
        <v/>
      </c>
      <c r="AC67" s="54">
        <f>IF(AC2&gt;=Assumptions!$B$55,AB71*Assumptions!$B$130/12*Assumptions!$B$131*AC7,0)</f>
        <v/>
      </c>
      <c r="AD67" s="54">
        <f>IF(AD2&gt;=Assumptions!$B$55,AC71*Assumptions!$B$130/12*Assumptions!$B$131*AD7,0)</f>
        <v/>
      </c>
      <c r="AE67" s="54">
        <f>IF(AE2&gt;=Assumptions!$B$55,AD71*Assumptions!$B$130/12*Assumptions!$B$131*AE7,0)</f>
        <v/>
      </c>
    </row>
    <row r="68">
      <c r="A68" s="6" t="inlineStr">
        <is>
          <t xml:space="preserve">  Raw demand</t>
        </is>
      </c>
      <c r="B68" s="23" t="inlineStr">
        <is>
          <t>accounts</t>
        </is>
      </c>
      <c r="C68" s="54">
        <f>C66+C67+IF(C23=0,0,C20*Assumptions!$B$115/C23*IF(C2&gt;=Assumptions!$B$56,1,0))</f>
        <v/>
      </c>
      <c r="D68" s="54">
        <f>D66+D67+IF(D23=0,0,D20*Assumptions!$B$115/D23*IF(D2&gt;=Assumptions!$B$56,1,0))</f>
        <v/>
      </c>
      <c r="E68" s="54">
        <f>E66+E67+IF(E23=0,0,E20*Assumptions!$B$115/E23*IF(E2&gt;=Assumptions!$B$56,1,0))</f>
        <v/>
      </c>
      <c r="F68" s="54">
        <f>F66+F67+IF(F23=0,0,F20*Assumptions!$B$115/F23*IF(F2&gt;=Assumptions!$B$56,1,0))</f>
        <v/>
      </c>
      <c r="G68" s="54">
        <f>G66+G67+IF(G23=0,0,G20*Assumptions!$B$115/G23*IF(G2&gt;=Assumptions!$B$56,1,0))</f>
        <v/>
      </c>
      <c r="H68" s="54">
        <f>H66+H67+IF(H23=0,0,H20*Assumptions!$B$115/H23*IF(H2&gt;=Assumptions!$B$56,1,0))</f>
        <v/>
      </c>
      <c r="I68" s="54">
        <f>I66+I67+IF(I23=0,0,I20*Assumptions!$B$115/I23*IF(I2&gt;=Assumptions!$B$56,1,0))</f>
        <v/>
      </c>
      <c r="J68" s="54">
        <f>J66+J67+IF(J23=0,0,J20*Assumptions!$B$115/J23*IF(J2&gt;=Assumptions!$B$56,1,0))</f>
        <v/>
      </c>
      <c r="K68" s="54">
        <f>K66+K67+IF(K23=0,0,K20*Assumptions!$B$115/K23*IF(K2&gt;=Assumptions!$B$56,1,0))</f>
        <v/>
      </c>
      <c r="L68" s="54">
        <f>L66+L67+IF(L23=0,0,L20*Assumptions!$B$115/L23*IF(L2&gt;=Assumptions!$B$56,1,0))</f>
        <v/>
      </c>
      <c r="M68" s="54">
        <f>M66+M67+IF(M23=0,0,M20*Assumptions!$B$115/M23*IF(M2&gt;=Assumptions!$B$56,1,0))</f>
        <v/>
      </c>
      <c r="N68" s="54">
        <f>N66+N67+IF(N23=0,0,N20*Assumptions!$B$115/N23*IF(N2&gt;=Assumptions!$B$56,1,0))</f>
        <v/>
      </c>
      <c r="O68" s="54">
        <f>O66+O67+IF(O23=0,0,O20*Assumptions!$B$115/O23*IF(O2&gt;=Assumptions!$B$56,1,0))</f>
        <v/>
      </c>
      <c r="P68" s="54">
        <f>P66+P67+IF(P23=0,0,P20*Assumptions!$B$115/P23*IF(P2&gt;=Assumptions!$B$56,1,0))</f>
        <v/>
      </c>
      <c r="Q68" s="54">
        <f>Q66+Q67+IF(Q23=0,0,Q20*Assumptions!$B$115/Q23*IF(Q2&gt;=Assumptions!$B$56,1,0))</f>
        <v/>
      </c>
      <c r="R68" s="54">
        <f>R66+R67+IF(R23=0,0,R20*Assumptions!$B$115/R23*IF(R2&gt;=Assumptions!$B$56,1,0))</f>
        <v/>
      </c>
      <c r="S68" s="54">
        <f>S66+S67+IF(S23=0,0,S20*Assumptions!$B$115/S23*IF(S2&gt;=Assumptions!$B$56,1,0))</f>
        <v/>
      </c>
      <c r="T68" s="54">
        <f>T66+T67+IF(T23=0,0,T20*Assumptions!$B$115/T23*IF(T2&gt;=Assumptions!$B$56,1,0))</f>
        <v/>
      </c>
      <c r="U68" s="54">
        <f>U66+U67+IF(U23=0,0,U20*Assumptions!$B$115/U23*IF(U2&gt;=Assumptions!$B$56,1,0))</f>
        <v/>
      </c>
      <c r="V68" s="54">
        <f>V66+V67+IF(V23=0,0,V20*Assumptions!$B$115/V23*IF(V2&gt;=Assumptions!$B$56,1,0))</f>
        <v/>
      </c>
      <c r="W68" s="54">
        <f>W66+W67+IF(W23=0,0,W20*Assumptions!$B$115/W23*IF(W2&gt;=Assumptions!$B$56,1,0))</f>
        <v/>
      </c>
      <c r="X68" s="54">
        <f>X66+X67+IF(X23=0,0,X20*Assumptions!$B$115/X23*IF(X2&gt;=Assumptions!$B$56,1,0))</f>
        <v/>
      </c>
      <c r="Y68" s="54">
        <f>Y66+Y67+IF(Y23=0,0,Y20*Assumptions!$B$115/Y23*IF(Y2&gt;=Assumptions!$B$56,1,0))</f>
        <v/>
      </c>
      <c r="Z68" s="54">
        <f>Z66+Z67+IF(Z23=0,0,Z20*Assumptions!$B$115/Z23*IF(Z2&gt;=Assumptions!$B$56,1,0))</f>
        <v/>
      </c>
      <c r="AA68" s="54">
        <f>AA66+AA67+IF(AA23=0,0,AA20*Assumptions!$B$115/AA23*IF(AA2&gt;=Assumptions!$B$56,1,0))</f>
        <v/>
      </c>
      <c r="AB68" s="54">
        <f>AB66+AB67+IF(AB23=0,0,AB20*Assumptions!$B$115/AB23*IF(AB2&gt;=Assumptions!$B$56,1,0))</f>
        <v/>
      </c>
      <c r="AC68" s="54">
        <f>AC66+AC67+IF(AC23=0,0,AC20*Assumptions!$B$115/AC23*IF(AC2&gt;=Assumptions!$B$56,1,0))</f>
        <v/>
      </c>
      <c r="AD68" s="54">
        <f>AD66+AD67+IF(AD23=0,0,AD20*Assumptions!$B$115/AD23*IF(AD2&gt;=Assumptions!$B$56,1,0))</f>
        <v/>
      </c>
      <c r="AE68" s="54">
        <f>AE66+AE67+IF(AE23=0,0,AE20*Assumptions!$B$115/AE23*IF(AE2&gt;=Assumptions!$B$56,1,0))</f>
        <v/>
      </c>
    </row>
    <row r="69">
      <c r="A69" s="6" t="inlineStr">
        <is>
          <t xml:space="preserve">  Saturation (this region's own headroom)</t>
        </is>
      </c>
      <c r="B69" s="23" t="inlineStr">
        <is>
          <t>x</t>
        </is>
      </c>
      <c r="C69" s="51" t="n">
        <v>1</v>
      </c>
      <c r="D69" s="51">
        <f>MAX(0,1-C74/Assumptions!$B$85)</f>
        <v/>
      </c>
      <c r="E69" s="51">
        <f>MAX(0,1-D74/Assumptions!$B$85)</f>
        <v/>
      </c>
      <c r="F69" s="51">
        <f>MAX(0,1-E74/Assumptions!$B$85)</f>
        <v/>
      </c>
      <c r="G69" s="51">
        <f>MAX(0,1-F74/Assumptions!$B$85)</f>
        <v/>
      </c>
      <c r="H69" s="51">
        <f>MAX(0,1-G74/Assumptions!$B$85)</f>
        <v/>
      </c>
      <c r="I69" s="51">
        <f>MAX(0,1-H74/Assumptions!$B$85)</f>
        <v/>
      </c>
      <c r="J69" s="51">
        <f>MAX(0,1-I74/Assumptions!$B$85)</f>
        <v/>
      </c>
      <c r="K69" s="51">
        <f>MAX(0,1-J74/Assumptions!$B$85)</f>
        <v/>
      </c>
      <c r="L69" s="51">
        <f>MAX(0,1-K74/Assumptions!$B$85)</f>
        <v/>
      </c>
      <c r="M69" s="51">
        <f>MAX(0,1-L74/Assumptions!$B$85)</f>
        <v/>
      </c>
      <c r="N69" s="51">
        <f>MAX(0,1-M74/Assumptions!$B$85)</f>
        <v/>
      </c>
      <c r="O69" s="51">
        <f>MAX(0,1-N74/Assumptions!$B$85)</f>
        <v/>
      </c>
      <c r="P69" s="51">
        <f>MAX(0,1-O74/Assumptions!$B$85)</f>
        <v/>
      </c>
      <c r="Q69" s="51">
        <f>MAX(0,1-P74/Assumptions!$B$85)</f>
        <v/>
      </c>
      <c r="R69" s="51">
        <f>MAX(0,1-Q74/Assumptions!$B$85)</f>
        <v/>
      </c>
      <c r="S69" s="51">
        <f>MAX(0,1-R74/Assumptions!$B$85)</f>
        <v/>
      </c>
      <c r="T69" s="51">
        <f>MAX(0,1-S74/Assumptions!$B$85)</f>
        <v/>
      </c>
      <c r="U69" s="51">
        <f>MAX(0,1-T74/Assumptions!$B$85)</f>
        <v/>
      </c>
      <c r="V69" s="51">
        <f>MAX(0,1-U74/Assumptions!$B$85)</f>
        <v/>
      </c>
      <c r="W69" s="51">
        <f>MAX(0,1-V74/Assumptions!$B$85)</f>
        <v/>
      </c>
      <c r="X69" s="51">
        <f>MAX(0,1-W74/Assumptions!$B$85)</f>
        <v/>
      </c>
      <c r="Y69" s="51">
        <f>MAX(0,1-X74/Assumptions!$B$85)</f>
        <v/>
      </c>
      <c r="Z69" s="51">
        <f>MAX(0,1-Y74/Assumptions!$B$85)</f>
        <v/>
      </c>
      <c r="AA69" s="51">
        <f>MAX(0,1-Z74/Assumptions!$B$85)</f>
        <v/>
      </c>
      <c r="AB69" s="51">
        <f>MAX(0,1-AA74/Assumptions!$B$85)</f>
        <v/>
      </c>
      <c r="AC69" s="51">
        <f>MAX(0,1-AB74/Assumptions!$B$85)</f>
        <v/>
      </c>
      <c r="AD69" s="51">
        <f>MAX(0,1-AC74/Assumptions!$B$85)</f>
        <v/>
      </c>
      <c r="AE69" s="51">
        <f>MAX(0,1-AD74/Assumptions!$B$85)</f>
        <v/>
      </c>
    </row>
    <row r="70">
      <c r="A70" s="6" t="inlineStr">
        <is>
          <t xml:space="preserve">  New customers</t>
        </is>
      </c>
      <c r="B70" s="23" t="inlineStr">
        <is>
          <t>accounts</t>
        </is>
      </c>
      <c r="C70" s="54">
        <f>C68*C69*C15</f>
        <v/>
      </c>
      <c r="D70" s="54">
        <f>D68*D69*D15</f>
        <v/>
      </c>
      <c r="E70" s="54">
        <f>E68*E69*E15</f>
        <v/>
      </c>
      <c r="F70" s="54">
        <f>F68*F69*F15</f>
        <v/>
      </c>
      <c r="G70" s="54">
        <f>G68*G69*G15</f>
        <v/>
      </c>
      <c r="H70" s="54">
        <f>H68*H69*H15</f>
        <v/>
      </c>
      <c r="I70" s="54">
        <f>I68*I69*I15</f>
        <v/>
      </c>
      <c r="J70" s="54">
        <f>J68*J69*J15</f>
        <v/>
      </c>
      <c r="K70" s="54">
        <f>K68*K69*K15</f>
        <v/>
      </c>
      <c r="L70" s="54">
        <f>L68*L69*L15</f>
        <v/>
      </c>
      <c r="M70" s="54">
        <f>M68*M69*M15</f>
        <v/>
      </c>
      <c r="N70" s="54">
        <f>N68*N69*N15</f>
        <v/>
      </c>
      <c r="O70" s="54">
        <f>O68*O69*O15</f>
        <v/>
      </c>
      <c r="P70" s="54">
        <f>P68*P69*P15</f>
        <v/>
      </c>
      <c r="Q70" s="54">
        <f>Q68*Q69*Q15</f>
        <v/>
      </c>
      <c r="R70" s="54">
        <f>R68*R69*R15</f>
        <v/>
      </c>
      <c r="S70" s="54">
        <f>S68*S69*S15</f>
        <v/>
      </c>
      <c r="T70" s="54">
        <f>T68*T69*T15</f>
        <v/>
      </c>
      <c r="U70" s="54">
        <f>U68*U69*U15</f>
        <v/>
      </c>
      <c r="V70" s="54">
        <f>V68*V69*V15</f>
        <v/>
      </c>
      <c r="W70" s="54">
        <f>W68*W69*W15</f>
        <v/>
      </c>
      <c r="X70" s="54">
        <f>X68*X69*X15</f>
        <v/>
      </c>
      <c r="Y70" s="54">
        <f>Y68*Y69*Y15</f>
        <v/>
      </c>
      <c r="Z70" s="54">
        <f>Z68*Z69*Z15</f>
        <v/>
      </c>
      <c r="AA70" s="54">
        <f>AA68*AA69*AA15</f>
        <v/>
      </c>
      <c r="AB70" s="54">
        <f>AB68*AB69*AB15</f>
        <v/>
      </c>
      <c r="AC70" s="54">
        <f>AC68*AC69*AC15</f>
        <v/>
      </c>
      <c r="AD70" s="54">
        <f>AD68*AD69*AD15</f>
        <v/>
      </c>
      <c r="AE70" s="54">
        <f>AE68*AE69*AE15</f>
        <v/>
      </c>
    </row>
    <row r="71">
      <c r="A71" s="6" t="inlineStr">
        <is>
          <t xml:space="preserve">  Paying customers</t>
        </is>
      </c>
      <c r="B71" s="23" t="inlineStr">
        <is>
          <t>accounts</t>
        </is>
      </c>
      <c r="C71" s="28">
        <f>C70*(1-Assumptions!$B$122)^(C7/2)</f>
        <v/>
      </c>
      <c r="D71" s="28">
        <f>C71*(1-Assumptions!$B$122)^D7+D70*(1-Assumptions!$B$122)^(D7/2)</f>
        <v/>
      </c>
      <c r="E71" s="28">
        <f>D71*(1-Assumptions!$B$122)^E7+E70*(1-Assumptions!$B$122)^(E7/2)</f>
        <v/>
      </c>
      <c r="F71" s="28">
        <f>E71*(1-Assumptions!$B$122)^F7+F70*(1-Assumptions!$B$122)^(F7/2)</f>
        <v/>
      </c>
      <c r="G71" s="28">
        <f>F71*(1-Assumptions!$B$122)^G7+G70*(1-Assumptions!$B$122)^(G7/2)</f>
        <v/>
      </c>
      <c r="H71" s="28">
        <f>G71*(1-Assumptions!$B$122)^H7+H70*(1-Assumptions!$B$122)^(H7/2)</f>
        <v/>
      </c>
      <c r="I71" s="28">
        <f>H71*(1-Assumptions!$B$122)^I7+I70*(1-Assumptions!$B$122)^(I7/2)</f>
        <v/>
      </c>
      <c r="J71" s="28">
        <f>I71*(1-Assumptions!$B$122)^J7+J70*(1-Assumptions!$B$122)^(J7/2)</f>
        <v/>
      </c>
      <c r="K71" s="28">
        <f>J71*(1-Assumptions!$B$122)^K7+K70*(1-Assumptions!$B$122)^(K7/2)</f>
        <v/>
      </c>
      <c r="L71" s="28">
        <f>K71*(1-Assumptions!$B$122)^L7+L70*(1-Assumptions!$B$122)^(L7/2)</f>
        <v/>
      </c>
      <c r="M71" s="28">
        <f>L71*(1-Assumptions!$B$122)^M7+M70*(1-Assumptions!$B$122)^(M7/2)</f>
        <v/>
      </c>
      <c r="N71" s="28">
        <f>M71*(1-Assumptions!$B$122)^N7+N70*(1-Assumptions!$B$122)^(N7/2)</f>
        <v/>
      </c>
      <c r="O71" s="28">
        <f>N71*(1-Assumptions!$B$122)^O7+O70*(1-Assumptions!$B$122)^(O7/2)</f>
        <v/>
      </c>
      <c r="P71" s="28">
        <f>O71*(1-Assumptions!$B$122)^P7+P70*(1-Assumptions!$B$122)^(P7/2)</f>
        <v/>
      </c>
      <c r="Q71" s="28">
        <f>P71*(1-Assumptions!$B$122)^Q7+Q70*(1-Assumptions!$B$122)^(Q7/2)</f>
        <v/>
      </c>
      <c r="R71" s="28">
        <f>Q71*(1-Assumptions!$B$122)^R7+R70*(1-Assumptions!$B$122)^(R7/2)</f>
        <v/>
      </c>
      <c r="S71" s="28">
        <f>R71*(1-Assumptions!$B$122)^S7+S70*(1-Assumptions!$B$122)^(S7/2)</f>
        <v/>
      </c>
      <c r="T71" s="28">
        <f>S71*(1-Assumptions!$B$122)^T7+T70*(1-Assumptions!$B$122)^(T7/2)</f>
        <v/>
      </c>
      <c r="U71" s="28">
        <f>T71*(1-Assumptions!$B$122)^U7+U70*(1-Assumptions!$B$122)^(U7/2)</f>
        <v/>
      </c>
      <c r="V71" s="28">
        <f>U71*(1-Assumptions!$B$122)^V7+V70*(1-Assumptions!$B$122)^(V7/2)</f>
        <v/>
      </c>
      <c r="W71" s="28">
        <f>V71*(1-Assumptions!$B$122)^W7+W70*(1-Assumptions!$B$122)^(W7/2)</f>
        <v/>
      </c>
      <c r="X71" s="28">
        <f>W71*(1-Assumptions!$B$122)^X7+X70*(1-Assumptions!$B$122)^(X7/2)</f>
        <v/>
      </c>
      <c r="Y71" s="28">
        <f>X71*(1-Assumptions!$B$122)^Y7+Y70*(1-Assumptions!$B$122)^(Y7/2)</f>
        <v/>
      </c>
      <c r="Z71" s="28">
        <f>Y71*(1-Assumptions!$B$122)^Z7+Z70*(1-Assumptions!$B$122)^(Z7/2)</f>
        <v/>
      </c>
      <c r="AA71" s="28">
        <f>Z71*(1-Assumptions!$B$122)^AA7+AA70*(1-Assumptions!$B$122)^(AA7/2)</f>
        <v/>
      </c>
      <c r="AB71" s="28">
        <f>AA71*(1-Assumptions!$B$122)^AB7+AB70*(1-Assumptions!$B$122)^(AB7/2)</f>
        <v/>
      </c>
      <c r="AC71" s="28">
        <f>AB71*(1-Assumptions!$B$122)^AC7+AC70*(1-Assumptions!$B$122)^(AC7/2)</f>
        <v/>
      </c>
      <c r="AD71" s="28">
        <f>AC71*(1-Assumptions!$B$122)^AD7+AD70*(1-Assumptions!$B$122)^(AD7/2)</f>
        <v/>
      </c>
      <c r="AE71" s="28">
        <f>AD71*(1-Assumptions!$B$122)^AE7+AE70*(1-Assumptions!$B$122)^(AE7/2)</f>
        <v/>
      </c>
    </row>
    <row r="72">
      <c r="A72" s="6" t="inlineStr">
        <is>
          <t xml:space="preserve">  Churned this period</t>
        </is>
      </c>
      <c r="B72" s="23" t="inlineStr">
        <is>
          <t>accounts</t>
        </is>
      </c>
      <c r="C72" s="54">
        <f>C70-C71</f>
        <v/>
      </c>
      <c r="D72" s="54">
        <f>C71+D70-D71</f>
        <v/>
      </c>
      <c r="E72" s="54">
        <f>D71+E70-E71</f>
        <v/>
      </c>
      <c r="F72" s="54">
        <f>E71+F70-F71</f>
        <v/>
      </c>
      <c r="G72" s="54">
        <f>F71+G70-G71</f>
        <v/>
      </c>
      <c r="H72" s="54">
        <f>G71+H70-H71</f>
        <v/>
      </c>
      <c r="I72" s="54">
        <f>H71+I70-I71</f>
        <v/>
      </c>
      <c r="J72" s="54">
        <f>I71+J70-J71</f>
        <v/>
      </c>
      <c r="K72" s="54">
        <f>J71+K70-K71</f>
        <v/>
      </c>
      <c r="L72" s="54">
        <f>K71+L70-L71</f>
        <v/>
      </c>
      <c r="M72" s="54">
        <f>L71+M70-M71</f>
        <v/>
      </c>
      <c r="N72" s="54">
        <f>M71+N70-N71</f>
        <v/>
      </c>
      <c r="O72" s="54">
        <f>N71+O70-O71</f>
        <v/>
      </c>
      <c r="P72" s="54">
        <f>O71+P70-P71</f>
        <v/>
      </c>
      <c r="Q72" s="54">
        <f>P71+Q70-Q71</f>
        <v/>
      </c>
      <c r="R72" s="54">
        <f>Q71+R70-R71</f>
        <v/>
      </c>
      <c r="S72" s="54">
        <f>R71+S70-S71</f>
        <v/>
      </c>
      <c r="T72" s="54">
        <f>S71+T70-T71</f>
        <v/>
      </c>
      <c r="U72" s="54">
        <f>T71+U70-U71</f>
        <v/>
      </c>
      <c r="V72" s="54">
        <f>U71+V70-V71</f>
        <v/>
      </c>
      <c r="W72" s="54">
        <f>V71+W70-W71</f>
        <v/>
      </c>
      <c r="X72" s="54">
        <f>W71+X70-X71</f>
        <v/>
      </c>
      <c r="Y72" s="54">
        <f>X71+Y70-Y71</f>
        <v/>
      </c>
      <c r="Z72" s="54">
        <f>Y71+Z70-Z71</f>
        <v/>
      </c>
      <c r="AA72" s="54">
        <f>Z71+AA70-AA71</f>
        <v/>
      </c>
      <c r="AB72" s="54">
        <f>AA71+AB70-AB71</f>
        <v/>
      </c>
      <c r="AC72" s="54">
        <f>AB71+AC70-AC71</f>
        <v/>
      </c>
      <c r="AD72" s="54">
        <f>AC71+AD70-AD71</f>
        <v/>
      </c>
      <c r="AE72" s="54">
        <f>AD71+AE70-AE71</f>
        <v/>
      </c>
    </row>
    <row r="73">
      <c r="A73" s="6" t="inlineStr">
        <is>
          <t xml:space="preserve">  Holders (stopped paying, still hold gold)</t>
        </is>
      </c>
      <c r="B73" s="23" t="inlineStr">
        <is>
          <t>accounts</t>
        </is>
      </c>
      <c r="C73" s="45">
        <f>C72</f>
        <v/>
      </c>
      <c r="D73" s="45">
        <f>C73+D72</f>
        <v/>
      </c>
      <c r="E73" s="45">
        <f>D73+E72</f>
        <v/>
      </c>
      <c r="F73" s="45">
        <f>E73+F72</f>
        <v/>
      </c>
      <c r="G73" s="45">
        <f>F73+G72</f>
        <v/>
      </c>
      <c r="H73" s="45">
        <f>G73+H72</f>
        <v/>
      </c>
      <c r="I73" s="45">
        <f>H73+I72</f>
        <v/>
      </c>
      <c r="J73" s="45">
        <f>I73+J72</f>
        <v/>
      </c>
      <c r="K73" s="45">
        <f>J73+K72</f>
        <v/>
      </c>
      <c r="L73" s="45">
        <f>K73+L72</f>
        <v/>
      </c>
      <c r="M73" s="45">
        <f>L73+M72</f>
        <v/>
      </c>
      <c r="N73" s="45">
        <f>M73+N72</f>
        <v/>
      </c>
      <c r="O73" s="45">
        <f>N73+O72</f>
        <v/>
      </c>
      <c r="P73" s="45">
        <f>O73+P72</f>
        <v/>
      </c>
      <c r="Q73" s="45">
        <f>P73+Q72</f>
        <v/>
      </c>
      <c r="R73" s="45">
        <f>Q73+R72</f>
        <v/>
      </c>
      <c r="S73" s="45">
        <f>R73+S72</f>
        <v/>
      </c>
      <c r="T73" s="45">
        <f>S73+T72</f>
        <v/>
      </c>
      <c r="U73" s="45">
        <f>T73+U72</f>
        <v/>
      </c>
      <c r="V73" s="45">
        <f>U73+V72</f>
        <v/>
      </c>
      <c r="W73" s="45">
        <f>V73+W72</f>
        <v/>
      </c>
      <c r="X73" s="45">
        <f>W73+X72</f>
        <v/>
      </c>
      <c r="Y73" s="45">
        <f>X73+Y72</f>
        <v/>
      </c>
      <c r="Z73" s="45">
        <f>Y73+Z72</f>
        <v/>
      </c>
      <c r="AA73" s="45">
        <f>Z73+AA72</f>
        <v/>
      </c>
      <c r="AB73" s="45">
        <f>AA73+AB72</f>
        <v/>
      </c>
      <c r="AC73" s="45">
        <f>AB73+AC72</f>
        <v/>
      </c>
      <c r="AD73" s="45">
        <f>AC73+AD72</f>
        <v/>
      </c>
      <c r="AE73" s="45">
        <f>AD73+AE72</f>
        <v/>
      </c>
    </row>
    <row r="74">
      <c r="A74" s="6" t="inlineStr">
        <is>
          <t xml:space="preserve">  Cumulative ever acquired</t>
        </is>
      </c>
      <c r="B74" s="23" t="inlineStr">
        <is>
          <t>accounts</t>
        </is>
      </c>
      <c r="C74" s="45">
        <f>C70</f>
        <v/>
      </c>
      <c r="D74" s="45">
        <f>C74+D70</f>
        <v/>
      </c>
      <c r="E74" s="45">
        <f>D74+E70</f>
        <v/>
      </c>
      <c r="F74" s="45">
        <f>E74+F70</f>
        <v/>
      </c>
      <c r="G74" s="45">
        <f>F74+G70</f>
        <v/>
      </c>
      <c r="H74" s="45">
        <f>G74+H70</f>
        <v/>
      </c>
      <c r="I74" s="45">
        <f>H74+I70</f>
        <v/>
      </c>
      <c r="J74" s="45">
        <f>I74+J70</f>
        <v/>
      </c>
      <c r="K74" s="45">
        <f>J74+K70</f>
        <v/>
      </c>
      <c r="L74" s="45">
        <f>K74+L70</f>
        <v/>
      </c>
      <c r="M74" s="45">
        <f>L74+M70</f>
        <v/>
      </c>
      <c r="N74" s="45">
        <f>M74+N70</f>
        <v/>
      </c>
      <c r="O74" s="45">
        <f>N74+O70</f>
        <v/>
      </c>
      <c r="P74" s="45">
        <f>O74+P70</f>
        <v/>
      </c>
      <c r="Q74" s="45">
        <f>P74+Q70</f>
        <v/>
      </c>
      <c r="R74" s="45">
        <f>Q74+R70</f>
        <v/>
      </c>
      <c r="S74" s="45">
        <f>R74+S70</f>
        <v/>
      </c>
      <c r="T74" s="45">
        <f>S74+T70</f>
        <v/>
      </c>
      <c r="U74" s="45">
        <f>T74+U70</f>
        <v/>
      </c>
      <c r="V74" s="45">
        <f>U74+V70</f>
        <v/>
      </c>
      <c r="W74" s="45">
        <f>V74+W70</f>
        <v/>
      </c>
      <c r="X74" s="45">
        <f>W74+X70</f>
        <v/>
      </c>
      <c r="Y74" s="45">
        <f>X74+Y70</f>
        <v/>
      </c>
      <c r="Z74" s="45">
        <f>Y74+Z70</f>
        <v/>
      </c>
      <c r="AA74" s="45">
        <f>Z74+AA70</f>
        <v/>
      </c>
      <c r="AB74" s="45">
        <f>AA74+AB70</f>
        <v/>
      </c>
      <c r="AC74" s="45">
        <f>AB74+AC70</f>
        <v/>
      </c>
      <c r="AD74" s="45">
        <f>AC74+AD70</f>
        <v/>
      </c>
      <c r="AE74" s="45">
        <f>AD74+AE70</f>
        <v/>
      </c>
    </row>
    <row r="75">
      <c r="A75" s="6" t="inlineStr">
        <is>
          <t xml:space="preserve">  SIP contributions</t>
        </is>
      </c>
      <c r="B75" s="23" t="inlineStr">
        <is>
          <t>USD</t>
        </is>
      </c>
      <c r="C75" s="55">
        <f>IF(C2&gt;=Assumptions!$B$47,C71*Assumptions!$B$176*C7,0)</f>
        <v/>
      </c>
      <c r="D75" s="55">
        <f>IF(D2&gt;=Assumptions!$B$47,D71*Assumptions!$B$176*D7,0)</f>
        <v/>
      </c>
      <c r="E75" s="55">
        <f>IF(E2&gt;=Assumptions!$B$47,E71*Assumptions!$B$176*E7,0)</f>
        <v/>
      </c>
      <c r="F75" s="55">
        <f>IF(F2&gt;=Assumptions!$B$47,F71*Assumptions!$B$176*F7,0)</f>
        <v/>
      </c>
      <c r="G75" s="55">
        <f>IF(G2&gt;=Assumptions!$B$47,G71*Assumptions!$B$176*G7,0)</f>
        <v/>
      </c>
      <c r="H75" s="55">
        <f>IF(H2&gt;=Assumptions!$B$47,H71*Assumptions!$B$176*H7,0)</f>
        <v/>
      </c>
      <c r="I75" s="55">
        <f>IF(I2&gt;=Assumptions!$B$47,I71*Assumptions!$B$176*I7,0)</f>
        <v/>
      </c>
      <c r="J75" s="55">
        <f>IF(J2&gt;=Assumptions!$B$47,J71*Assumptions!$B$176*J7,0)</f>
        <v/>
      </c>
      <c r="K75" s="55">
        <f>IF(K2&gt;=Assumptions!$B$47,K71*Assumptions!$B$176*K7,0)</f>
        <v/>
      </c>
      <c r="L75" s="55">
        <f>IF(L2&gt;=Assumptions!$B$47,L71*Assumptions!$B$176*L7,0)</f>
        <v/>
      </c>
      <c r="M75" s="55">
        <f>IF(M2&gt;=Assumptions!$B$47,M71*Assumptions!$B$176*M7,0)</f>
        <v/>
      </c>
      <c r="N75" s="55">
        <f>IF(N2&gt;=Assumptions!$B$47,N71*Assumptions!$B$176*N7,0)</f>
        <v/>
      </c>
      <c r="O75" s="55">
        <f>IF(O2&gt;=Assumptions!$B$47,O71*Assumptions!$B$176*O7,0)</f>
        <v/>
      </c>
      <c r="P75" s="55">
        <f>IF(P2&gt;=Assumptions!$B$47,P71*Assumptions!$B$176*P7,0)</f>
        <v/>
      </c>
      <c r="Q75" s="55">
        <f>IF(Q2&gt;=Assumptions!$B$47,Q71*Assumptions!$B$176*Q7,0)</f>
        <v/>
      </c>
      <c r="R75" s="55">
        <f>IF(R2&gt;=Assumptions!$B$47,R71*Assumptions!$B$176*R7,0)</f>
        <v/>
      </c>
      <c r="S75" s="55">
        <f>IF(S2&gt;=Assumptions!$B$47,S71*Assumptions!$B$176*S7,0)</f>
        <v/>
      </c>
      <c r="T75" s="55">
        <f>IF(T2&gt;=Assumptions!$B$47,T71*Assumptions!$B$176*T7,0)</f>
        <v/>
      </c>
      <c r="U75" s="55">
        <f>IF(U2&gt;=Assumptions!$B$47,U71*Assumptions!$B$176*U7,0)</f>
        <v/>
      </c>
      <c r="V75" s="55">
        <f>IF(V2&gt;=Assumptions!$B$47,V71*Assumptions!$B$176*V7,0)</f>
        <v/>
      </c>
      <c r="W75" s="55">
        <f>IF(W2&gt;=Assumptions!$B$47,W71*Assumptions!$B$176*W7,0)</f>
        <v/>
      </c>
      <c r="X75" s="55">
        <f>IF(X2&gt;=Assumptions!$B$47,X71*Assumptions!$B$176*X7,0)</f>
        <v/>
      </c>
      <c r="Y75" s="55">
        <f>IF(Y2&gt;=Assumptions!$B$47,Y71*Assumptions!$B$176*Y7,0)</f>
        <v/>
      </c>
      <c r="Z75" s="55">
        <f>IF(Z2&gt;=Assumptions!$B$47,Z71*Assumptions!$B$176*Z7,0)</f>
        <v/>
      </c>
      <c r="AA75" s="55">
        <f>IF(AA2&gt;=Assumptions!$B$47,AA71*Assumptions!$B$176*AA7,0)</f>
        <v/>
      </c>
      <c r="AB75" s="55">
        <f>IF(AB2&gt;=Assumptions!$B$47,AB71*Assumptions!$B$176*AB7,0)</f>
        <v/>
      </c>
      <c r="AC75" s="55">
        <f>IF(AC2&gt;=Assumptions!$B$47,AC71*Assumptions!$B$176*AC7,0)</f>
        <v/>
      </c>
      <c r="AD75" s="55">
        <f>IF(AD2&gt;=Assumptions!$B$47,AD71*Assumptions!$B$176*AD7,0)</f>
        <v/>
      </c>
      <c r="AE75" s="55">
        <f>IF(AE2&gt;=Assumptions!$B$47,AE71*Assumptions!$B$176*AE7,0)</f>
        <v/>
      </c>
    </row>
    <row r="76">
      <c r="A76" s="6" t="inlineStr">
        <is>
          <t xml:space="preserve">  Spot purchase volume</t>
        </is>
      </c>
      <c r="B76" s="23" t="inlineStr">
        <is>
          <t>USD</t>
        </is>
      </c>
      <c r="C76" s="55">
        <f>IF(C2&gt;=Assumptions!$B$48,C71*Assumptions!$B$36*Assumptions!$B$139*Assumptions!$B$141*Assumptions!$B$33*Assumptions!$B$140/12*C7,0)</f>
        <v/>
      </c>
      <c r="D76" s="55">
        <f>IF(D2&gt;=Assumptions!$B$48,D71*Assumptions!$B$36*Assumptions!$B$139*Assumptions!$B$141*Assumptions!$B$33*Assumptions!$B$140/12*D7,0)</f>
        <v/>
      </c>
      <c r="E76" s="55">
        <f>IF(E2&gt;=Assumptions!$B$48,E71*Assumptions!$B$36*Assumptions!$B$139*Assumptions!$B$141*Assumptions!$B$33*Assumptions!$B$140/12*E7,0)</f>
        <v/>
      </c>
      <c r="F76" s="55">
        <f>IF(F2&gt;=Assumptions!$B$48,F71*Assumptions!$B$36*Assumptions!$B$139*Assumptions!$B$141*Assumptions!$B$33*Assumptions!$B$140/12*F7,0)</f>
        <v/>
      </c>
      <c r="G76" s="55">
        <f>IF(G2&gt;=Assumptions!$B$48,G71*Assumptions!$B$36*Assumptions!$B$139*Assumptions!$B$141*Assumptions!$B$33*Assumptions!$B$140/12*G7,0)</f>
        <v/>
      </c>
      <c r="H76" s="55">
        <f>IF(H2&gt;=Assumptions!$B$48,H71*Assumptions!$B$36*Assumptions!$B$139*Assumptions!$B$141*Assumptions!$B$33*Assumptions!$B$140/12*H7,0)</f>
        <v/>
      </c>
      <c r="I76" s="55">
        <f>IF(I2&gt;=Assumptions!$B$48,I71*Assumptions!$B$36*Assumptions!$B$139*Assumptions!$B$141*Assumptions!$B$33*Assumptions!$B$140/12*I7,0)</f>
        <v/>
      </c>
      <c r="J76" s="55">
        <f>IF(J2&gt;=Assumptions!$B$48,J71*Assumptions!$B$36*Assumptions!$B$139*Assumptions!$B$141*Assumptions!$B$33*Assumptions!$B$140/12*J7,0)</f>
        <v/>
      </c>
      <c r="K76" s="55">
        <f>IF(K2&gt;=Assumptions!$B$48,K71*Assumptions!$B$36*Assumptions!$B$139*Assumptions!$B$141*Assumptions!$B$33*Assumptions!$B$140/12*K7,0)</f>
        <v/>
      </c>
      <c r="L76" s="55">
        <f>IF(L2&gt;=Assumptions!$B$48,L71*Assumptions!$B$36*Assumptions!$B$139*Assumptions!$B$141*Assumptions!$B$33*Assumptions!$B$140/12*L7,0)</f>
        <v/>
      </c>
      <c r="M76" s="55">
        <f>IF(M2&gt;=Assumptions!$B$48,M71*Assumptions!$B$36*Assumptions!$B$139*Assumptions!$B$141*Assumptions!$B$33*Assumptions!$B$140/12*M7,0)</f>
        <v/>
      </c>
      <c r="N76" s="55">
        <f>IF(N2&gt;=Assumptions!$B$48,N71*Assumptions!$B$36*Assumptions!$B$139*Assumptions!$B$141*Assumptions!$B$33*Assumptions!$B$140/12*N7,0)</f>
        <v/>
      </c>
      <c r="O76" s="55">
        <f>IF(O2&gt;=Assumptions!$B$48,O71*Assumptions!$B$36*Assumptions!$B$139*Assumptions!$B$141*Assumptions!$B$33*Assumptions!$B$140/12*O7,0)</f>
        <v/>
      </c>
      <c r="P76" s="55">
        <f>IF(P2&gt;=Assumptions!$B$48,P71*Assumptions!$B$36*Assumptions!$B$139*Assumptions!$B$141*Assumptions!$B$33*Assumptions!$B$140/12*P7,0)</f>
        <v/>
      </c>
      <c r="Q76" s="55">
        <f>IF(Q2&gt;=Assumptions!$B$48,Q71*Assumptions!$B$36*Assumptions!$B$139*Assumptions!$B$141*Assumptions!$B$33*Assumptions!$B$140/12*Q7,0)</f>
        <v/>
      </c>
      <c r="R76" s="55">
        <f>IF(R2&gt;=Assumptions!$B$48,R71*Assumptions!$B$36*Assumptions!$B$139*Assumptions!$B$141*Assumptions!$B$33*Assumptions!$B$140/12*R7,0)</f>
        <v/>
      </c>
      <c r="S76" s="55">
        <f>IF(S2&gt;=Assumptions!$B$48,S71*Assumptions!$B$36*Assumptions!$B$139*Assumptions!$B$141*Assumptions!$B$33*Assumptions!$B$140/12*S7,0)</f>
        <v/>
      </c>
      <c r="T76" s="55">
        <f>IF(T2&gt;=Assumptions!$B$48,T71*Assumptions!$B$36*Assumptions!$B$139*Assumptions!$B$141*Assumptions!$B$33*Assumptions!$B$140/12*T7,0)</f>
        <v/>
      </c>
      <c r="U76" s="55">
        <f>IF(U2&gt;=Assumptions!$B$48,U71*Assumptions!$B$36*Assumptions!$B$139*Assumptions!$B$141*Assumptions!$B$33*Assumptions!$B$140/12*U7,0)</f>
        <v/>
      </c>
      <c r="V76" s="55">
        <f>IF(V2&gt;=Assumptions!$B$48,V71*Assumptions!$B$36*Assumptions!$B$139*Assumptions!$B$141*Assumptions!$B$33*Assumptions!$B$140/12*V7,0)</f>
        <v/>
      </c>
      <c r="W76" s="55">
        <f>IF(W2&gt;=Assumptions!$B$48,W71*Assumptions!$B$36*Assumptions!$B$139*Assumptions!$B$141*Assumptions!$B$33*Assumptions!$B$140/12*W7,0)</f>
        <v/>
      </c>
      <c r="X76" s="55">
        <f>IF(X2&gt;=Assumptions!$B$48,X71*Assumptions!$B$36*Assumptions!$B$139*Assumptions!$B$141*Assumptions!$B$33*Assumptions!$B$140/12*X7,0)</f>
        <v/>
      </c>
      <c r="Y76" s="55">
        <f>IF(Y2&gt;=Assumptions!$B$48,Y71*Assumptions!$B$36*Assumptions!$B$139*Assumptions!$B$141*Assumptions!$B$33*Assumptions!$B$140/12*Y7,0)</f>
        <v/>
      </c>
      <c r="Z76" s="55">
        <f>IF(Z2&gt;=Assumptions!$B$48,Z71*Assumptions!$B$36*Assumptions!$B$139*Assumptions!$B$141*Assumptions!$B$33*Assumptions!$B$140/12*Z7,0)</f>
        <v/>
      </c>
      <c r="AA76" s="55">
        <f>IF(AA2&gt;=Assumptions!$B$48,AA71*Assumptions!$B$36*Assumptions!$B$139*Assumptions!$B$141*Assumptions!$B$33*Assumptions!$B$140/12*AA7,0)</f>
        <v/>
      </c>
      <c r="AB76" s="55">
        <f>IF(AB2&gt;=Assumptions!$B$48,AB71*Assumptions!$B$36*Assumptions!$B$139*Assumptions!$B$141*Assumptions!$B$33*Assumptions!$B$140/12*AB7,0)</f>
        <v/>
      </c>
      <c r="AC76" s="55">
        <f>IF(AC2&gt;=Assumptions!$B$48,AC71*Assumptions!$B$36*Assumptions!$B$139*Assumptions!$B$141*Assumptions!$B$33*Assumptions!$B$140/12*AC7,0)</f>
        <v/>
      </c>
      <c r="AD76" s="55">
        <f>IF(AD2&gt;=Assumptions!$B$48,AD71*Assumptions!$B$36*Assumptions!$B$139*Assumptions!$B$141*Assumptions!$B$33*Assumptions!$B$140/12*AD7,0)</f>
        <v/>
      </c>
      <c r="AE76" s="55">
        <f>IF(AE2&gt;=Assumptions!$B$48,AE71*Assumptions!$B$36*Assumptions!$B$139*Assumptions!$B$141*Assumptions!$B$33*Assumptions!$B$140/12*AE7,0)</f>
        <v/>
      </c>
    </row>
    <row r="77">
      <c r="A77" s="6" t="inlineStr">
        <is>
          <t xml:space="preserve">  Grams purchased</t>
        </is>
      </c>
      <c r="B77" s="23" t="inlineStr">
        <is>
          <t>grams</t>
        </is>
      </c>
      <c r="C77" s="54">
        <f>(C75+C76)*(1-Assumptions!$B$8)/C21/(1+Assumptions!$B$9)</f>
        <v/>
      </c>
      <c r="D77" s="54">
        <f>(D75+D76)*(1-Assumptions!$B$8)/D21/(1+Assumptions!$B$9)</f>
        <v/>
      </c>
      <c r="E77" s="54">
        <f>(E75+E76)*(1-Assumptions!$B$8)/E21/(1+Assumptions!$B$9)</f>
        <v/>
      </c>
      <c r="F77" s="54">
        <f>(F75+F76)*(1-Assumptions!$B$8)/F21/(1+Assumptions!$B$9)</f>
        <v/>
      </c>
      <c r="G77" s="54">
        <f>(G75+G76)*(1-Assumptions!$B$8)/G21/(1+Assumptions!$B$9)</f>
        <v/>
      </c>
      <c r="H77" s="54">
        <f>(H75+H76)*(1-Assumptions!$B$8)/H21/(1+Assumptions!$B$9)</f>
        <v/>
      </c>
      <c r="I77" s="54">
        <f>(I75+I76)*(1-Assumptions!$B$8)/I21/(1+Assumptions!$B$9)</f>
        <v/>
      </c>
      <c r="J77" s="54">
        <f>(J75+J76)*(1-Assumptions!$B$8)/J21/(1+Assumptions!$B$9)</f>
        <v/>
      </c>
      <c r="K77" s="54">
        <f>(K75+K76)*(1-Assumptions!$B$8)/K21/(1+Assumptions!$B$9)</f>
        <v/>
      </c>
      <c r="L77" s="54">
        <f>(L75+L76)*(1-Assumptions!$B$8)/L21/(1+Assumptions!$B$9)</f>
        <v/>
      </c>
      <c r="M77" s="54">
        <f>(M75+M76)*(1-Assumptions!$B$8)/M21/(1+Assumptions!$B$9)</f>
        <v/>
      </c>
      <c r="N77" s="54">
        <f>(N75+N76)*(1-Assumptions!$B$8)/N21/(1+Assumptions!$B$9)</f>
        <v/>
      </c>
      <c r="O77" s="54">
        <f>(O75+O76)*(1-Assumptions!$B$8)/O21/(1+Assumptions!$B$9)</f>
        <v/>
      </c>
      <c r="P77" s="54">
        <f>(P75+P76)*(1-Assumptions!$B$8)/P21/(1+Assumptions!$B$9)</f>
        <v/>
      </c>
      <c r="Q77" s="54">
        <f>(Q75+Q76)*(1-Assumptions!$B$8)/Q21/(1+Assumptions!$B$9)</f>
        <v/>
      </c>
      <c r="R77" s="54">
        <f>(R75+R76)*(1-Assumptions!$B$8)/R21/(1+Assumptions!$B$9)</f>
        <v/>
      </c>
      <c r="S77" s="54">
        <f>(S75+S76)*(1-Assumptions!$B$8)/S21/(1+Assumptions!$B$9)</f>
        <v/>
      </c>
      <c r="T77" s="54">
        <f>(T75+T76)*(1-Assumptions!$B$8)/T21/(1+Assumptions!$B$9)</f>
        <v/>
      </c>
      <c r="U77" s="54">
        <f>(U75+U76)*(1-Assumptions!$B$8)/U21/(1+Assumptions!$B$9)</f>
        <v/>
      </c>
      <c r="V77" s="54">
        <f>(V75+V76)*(1-Assumptions!$B$8)/V21/(1+Assumptions!$B$9)</f>
        <v/>
      </c>
      <c r="W77" s="54">
        <f>(W75+W76)*(1-Assumptions!$B$8)/W21/(1+Assumptions!$B$9)</f>
        <v/>
      </c>
      <c r="X77" s="54">
        <f>(X75+X76)*(1-Assumptions!$B$8)/X21/(1+Assumptions!$B$9)</f>
        <v/>
      </c>
      <c r="Y77" s="54">
        <f>(Y75+Y76)*(1-Assumptions!$B$8)/Y21/(1+Assumptions!$B$9)</f>
        <v/>
      </c>
      <c r="Z77" s="54">
        <f>(Z75+Z76)*(1-Assumptions!$B$8)/Z21/(1+Assumptions!$B$9)</f>
        <v/>
      </c>
      <c r="AA77" s="54">
        <f>(AA75+AA76)*(1-Assumptions!$B$8)/AA21/(1+Assumptions!$B$9)</f>
        <v/>
      </c>
      <c r="AB77" s="54">
        <f>(AB75+AB76)*(1-Assumptions!$B$8)/AB21/(1+Assumptions!$B$9)</f>
        <v/>
      </c>
      <c r="AC77" s="54">
        <f>(AC75+AC76)*(1-Assumptions!$B$8)/AC21/(1+Assumptions!$B$9)</f>
        <v/>
      </c>
      <c r="AD77" s="54">
        <f>(AD75+AD76)*(1-Assumptions!$B$8)/AD21/(1+Assumptions!$B$9)</f>
        <v/>
      </c>
      <c r="AE77" s="54">
        <f>(AE75+AE76)*(1-Assumptions!$B$8)/AE21/(1+Assumptions!$B$9)</f>
        <v/>
      </c>
    </row>
    <row r="78">
      <c r="A78" s="6" t="inlineStr">
        <is>
          <t xml:space="preserve">  Collateral-eligible AUM decay rate (holder-weighted)</t>
        </is>
      </c>
      <c r="B78" s="23" t="inlineStr">
        <is>
          <t>%/period</t>
        </is>
      </c>
      <c r="C78" s="56">
        <f>(Assumptions!$B$136+Assumptions!$B$137*IF(C71+C73=0,1,(C71+C73*Assumptions!$B$138)/(C71+C73)))*C7/12</f>
        <v/>
      </c>
      <c r="D78" s="56">
        <f>(Assumptions!$B$136+Assumptions!$B$137*IF(D71+D73=0,1,(D71+D73*Assumptions!$B$138)/(D71+D73)))*D7/12</f>
        <v/>
      </c>
      <c r="E78" s="56">
        <f>(Assumptions!$B$136+Assumptions!$B$137*IF(E71+E73=0,1,(E71+E73*Assumptions!$B$138)/(E71+E73)))*E7/12</f>
        <v/>
      </c>
      <c r="F78" s="56">
        <f>(Assumptions!$B$136+Assumptions!$B$137*IF(F71+F73=0,1,(F71+F73*Assumptions!$B$138)/(F71+F73)))*F7/12</f>
        <v/>
      </c>
      <c r="G78" s="56">
        <f>(Assumptions!$B$136+Assumptions!$B$137*IF(G71+G73=0,1,(G71+G73*Assumptions!$B$138)/(G71+G73)))*G7/12</f>
        <v/>
      </c>
      <c r="H78" s="56">
        <f>(Assumptions!$B$136+Assumptions!$B$137*IF(H71+H73=0,1,(H71+H73*Assumptions!$B$138)/(H71+H73)))*H7/12</f>
        <v/>
      </c>
      <c r="I78" s="56">
        <f>(Assumptions!$B$136+Assumptions!$B$137*IF(I71+I73=0,1,(I71+I73*Assumptions!$B$138)/(I71+I73)))*I7/12</f>
        <v/>
      </c>
      <c r="J78" s="56">
        <f>(Assumptions!$B$136+Assumptions!$B$137*IF(J71+J73=0,1,(J71+J73*Assumptions!$B$138)/(J71+J73)))*J7/12</f>
        <v/>
      </c>
      <c r="K78" s="56">
        <f>(Assumptions!$B$136+Assumptions!$B$137*IF(K71+K73=0,1,(K71+K73*Assumptions!$B$138)/(K71+K73)))*K7/12</f>
        <v/>
      </c>
      <c r="L78" s="56">
        <f>(Assumptions!$B$136+Assumptions!$B$137*IF(L71+L73=0,1,(L71+L73*Assumptions!$B$138)/(L71+L73)))*L7/12</f>
        <v/>
      </c>
      <c r="M78" s="56">
        <f>(Assumptions!$B$136+Assumptions!$B$137*IF(M71+M73=0,1,(M71+M73*Assumptions!$B$138)/(M71+M73)))*M7/12</f>
        <v/>
      </c>
      <c r="N78" s="56">
        <f>(Assumptions!$B$136+Assumptions!$B$137*IF(N71+N73=0,1,(N71+N73*Assumptions!$B$138)/(N71+N73)))*N7/12</f>
        <v/>
      </c>
      <c r="O78" s="56">
        <f>(Assumptions!$B$136+Assumptions!$B$137*IF(O71+O73=0,1,(O71+O73*Assumptions!$B$138)/(O71+O73)))*O7/12</f>
        <v/>
      </c>
      <c r="P78" s="56">
        <f>(Assumptions!$B$136+Assumptions!$B$137*IF(P71+P73=0,1,(P71+P73*Assumptions!$B$138)/(P71+P73)))*P7/12</f>
        <v/>
      </c>
      <c r="Q78" s="56">
        <f>(Assumptions!$B$136+Assumptions!$B$137*IF(Q71+Q73=0,1,(Q71+Q73*Assumptions!$B$138)/(Q71+Q73)))*Q7/12</f>
        <v/>
      </c>
      <c r="R78" s="56">
        <f>(Assumptions!$B$136+Assumptions!$B$137*IF(R71+R73=0,1,(R71+R73*Assumptions!$B$138)/(R71+R73)))*R7/12</f>
        <v/>
      </c>
      <c r="S78" s="56">
        <f>(Assumptions!$B$136+Assumptions!$B$137*IF(S71+S73=0,1,(S71+S73*Assumptions!$B$138)/(S71+S73)))*S7/12</f>
        <v/>
      </c>
      <c r="T78" s="56">
        <f>(Assumptions!$B$136+Assumptions!$B$137*IF(T71+T73=0,1,(T71+T73*Assumptions!$B$138)/(T71+T73)))*T7/12</f>
        <v/>
      </c>
      <c r="U78" s="56">
        <f>(Assumptions!$B$136+Assumptions!$B$137*IF(U71+U73=0,1,(U71+U73*Assumptions!$B$138)/(U71+U73)))*U7/12</f>
        <v/>
      </c>
      <c r="V78" s="56">
        <f>(Assumptions!$B$136+Assumptions!$B$137*IF(V71+V73=0,1,(V71+V73*Assumptions!$B$138)/(V71+V73)))*V7/12</f>
        <v/>
      </c>
      <c r="W78" s="56">
        <f>(Assumptions!$B$136+Assumptions!$B$137*IF(W71+W73=0,1,(W71+W73*Assumptions!$B$138)/(W71+W73)))*W7/12</f>
        <v/>
      </c>
      <c r="X78" s="56">
        <f>(Assumptions!$B$136+Assumptions!$B$137*IF(X71+X73=0,1,(X71+X73*Assumptions!$B$138)/(X71+X73)))*X7/12</f>
        <v/>
      </c>
      <c r="Y78" s="56">
        <f>(Assumptions!$B$136+Assumptions!$B$137*IF(Y71+Y73=0,1,(Y71+Y73*Assumptions!$B$138)/(Y71+Y73)))*Y7/12</f>
        <v/>
      </c>
      <c r="Z78" s="56">
        <f>(Assumptions!$B$136+Assumptions!$B$137*IF(Z71+Z73=0,1,(Z71+Z73*Assumptions!$B$138)/(Z71+Z73)))*Z7/12</f>
        <v/>
      </c>
      <c r="AA78" s="56">
        <f>(Assumptions!$B$136+Assumptions!$B$137*IF(AA71+AA73=0,1,(AA71+AA73*Assumptions!$B$138)/(AA71+AA73)))*AA7/12</f>
        <v/>
      </c>
      <c r="AB78" s="56">
        <f>(Assumptions!$B$136+Assumptions!$B$137*IF(AB71+AB73=0,1,(AB71+AB73*Assumptions!$B$138)/(AB71+AB73)))*AB7/12</f>
        <v/>
      </c>
      <c r="AC78" s="56">
        <f>(Assumptions!$B$136+Assumptions!$B$137*IF(AC71+AC73=0,1,(AC71+AC73*Assumptions!$B$138)/(AC71+AC73)))*AC7/12</f>
        <v/>
      </c>
      <c r="AD78" s="56">
        <f>(Assumptions!$B$136+Assumptions!$B$137*IF(AD71+AD73=0,1,(AD71+AD73*Assumptions!$B$138)/(AD71+AD73)))*AD7/12</f>
        <v/>
      </c>
      <c r="AE78" s="56">
        <f>(Assumptions!$B$136+Assumptions!$B$137*IF(AE71+AE73=0,1,(AE71+AE73*Assumptions!$B$138)/(AE71+AE73)))*AE7/12</f>
        <v/>
      </c>
    </row>
    <row r="79">
      <c r="A79" s="6" t="inlineStr">
        <is>
          <t xml:space="preserve">  Redemption-only decay rate (metal actually leaving)</t>
        </is>
      </c>
      <c r="B79" s="23" t="inlineStr">
        <is>
          <t>%/period</t>
        </is>
      </c>
      <c r="C79" s="56">
        <f>Assumptions!$B$137*IF(C71+C73=0,1,(C71+C73*Assumptions!$B$138)/(C71+C73))*C7/12</f>
        <v/>
      </c>
      <c r="D79" s="56">
        <f>Assumptions!$B$137*IF(D71+D73=0,1,(D71+D73*Assumptions!$B$138)/(D71+D73))*D7/12</f>
        <v/>
      </c>
      <c r="E79" s="56">
        <f>Assumptions!$B$137*IF(E71+E73=0,1,(E71+E73*Assumptions!$B$138)/(E71+E73))*E7/12</f>
        <v/>
      </c>
      <c r="F79" s="56">
        <f>Assumptions!$B$137*IF(F71+F73=0,1,(F71+F73*Assumptions!$B$138)/(F71+F73))*F7/12</f>
        <v/>
      </c>
      <c r="G79" s="56">
        <f>Assumptions!$B$137*IF(G71+G73=0,1,(G71+G73*Assumptions!$B$138)/(G71+G73))*G7/12</f>
        <v/>
      </c>
      <c r="H79" s="56">
        <f>Assumptions!$B$137*IF(H71+H73=0,1,(H71+H73*Assumptions!$B$138)/(H71+H73))*H7/12</f>
        <v/>
      </c>
      <c r="I79" s="56">
        <f>Assumptions!$B$137*IF(I71+I73=0,1,(I71+I73*Assumptions!$B$138)/(I71+I73))*I7/12</f>
        <v/>
      </c>
      <c r="J79" s="56">
        <f>Assumptions!$B$137*IF(J71+J73=0,1,(J71+J73*Assumptions!$B$138)/(J71+J73))*J7/12</f>
        <v/>
      </c>
      <c r="K79" s="56">
        <f>Assumptions!$B$137*IF(K71+K73=0,1,(K71+K73*Assumptions!$B$138)/(K71+K73))*K7/12</f>
        <v/>
      </c>
      <c r="L79" s="56">
        <f>Assumptions!$B$137*IF(L71+L73=0,1,(L71+L73*Assumptions!$B$138)/(L71+L73))*L7/12</f>
        <v/>
      </c>
      <c r="M79" s="56">
        <f>Assumptions!$B$137*IF(M71+M73=0,1,(M71+M73*Assumptions!$B$138)/(M71+M73))*M7/12</f>
        <v/>
      </c>
      <c r="N79" s="56">
        <f>Assumptions!$B$137*IF(N71+N73=0,1,(N71+N73*Assumptions!$B$138)/(N71+N73))*N7/12</f>
        <v/>
      </c>
      <c r="O79" s="56">
        <f>Assumptions!$B$137*IF(O71+O73=0,1,(O71+O73*Assumptions!$B$138)/(O71+O73))*O7/12</f>
        <v/>
      </c>
      <c r="P79" s="56">
        <f>Assumptions!$B$137*IF(P71+P73=0,1,(P71+P73*Assumptions!$B$138)/(P71+P73))*P7/12</f>
        <v/>
      </c>
      <c r="Q79" s="56">
        <f>Assumptions!$B$137*IF(Q71+Q73=0,1,(Q71+Q73*Assumptions!$B$138)/(Q71+Q73))*Q7/12</f>
        <v/>
      </c>
      <c r="R79" s="56">
        <f>Assumptions!$B$137*IF(R71+R73=0,1,(R71+R73*Assumptions!$B$138)/(R71+R73))*R7/12</f>
        <v/>
      </c>
      <c r="S79" s="56">
        <f>Assumptions!$B$137*IF(S71+S73=0,1,(S71+S73*Assumptions!$B$138)/(S71+S73))*S7/12</f>
        <v/>
      </c>
      <c r="T79" s="56">
        <f>Assumptions!$B$137*IF(T71+T73=0,1,(T71+T73*Assumptions!$B$138)/(T71+T73))*T7/12</f>
        <v/>
      </c>
      <c r="U79" s="56">
        <f>Assumptions!$B$137*IF(U71+U73=0,1,(U71+U73*Assumptions!$B$138)/(U71+U73))*U7/12</f>
        <v/>
      </c>
      <c r="V79" s="56">
        <f>Assumptions!$B$137*IF(V71+V73=0,1,(V71+V73*Assumptions!$B$138)/(V71+V73))*V7/12</f>
        <v/>
      </c>
      <c r="W79" s="56">
        <f>Assumptions!$B$137*IF(W71+W73=0,1,(W71+W73*Assumptions!$B$138)/(W71+W73))*W7/12</f>
        <v/>
      </c>
      <c r="X79" s="56">
        <f>Assumptions!$B$137*IF(X71+X73=0,1,(X71+X73*Assumptions!$B$138)/(X71+X73))*X7/12</f>
        <v/>
      </c>
      <c r="Y79" s="56">
        <f>Assumptions!$B$137*IF(Y71+Y73=0,1,(Y71+Y73*Assumptions!$B$138)/(Y71+Y73))*Y7/12</f>
        <v/>
      </c>
      <c r="Z79" s="56">
        <f>Assumptions!$B$137*IF(Z71+Z73=0,1,(Z71+Z73*Assumptions!$B$138)/(Z71+Z73))*Z7/12</f>
        <v/>
      </c>
      <c r="AA79" s="56">
        <f>Assumptions!$B$137*IF(AA71+AA73=0,1,(AA71+AA73*Assumptions!$B$138)/(AA71+AA73))*AA7/12</f>
        <v/>
      </c>
      <c r="AB79" s="56">
        <f>Assumptions!$B$137*IF(AB71+AB73=0,1,(AB71+AB73*Assumptions!$B$138)/(AB71+AB73))*AB7/12</f>
        <v/>
      </c>
      <c r="AC79" s="56">
        <f>Assumptions!$B$137*IF(AC71+AC73=0,1,(AC71+AC73*Assumptions!$B$138)/(AC71+AC73))*AC7/12</f>
        <v/>
      </c>
      <c r="AD79" s="56">
        <f>Assumptions!$B$137*IF(AD71+AD73=0,1,(AD71+AD73*Assumptions!$B$138)/(AD71+AD73))*AD7/12</f>
        <v/>
      </c>
      <c r="AE79" s="56">
        <f>Assumptions!$B$137*IF(AE71+AE73=0,1,(AE71+AE73*Assumptions!$B$138)/(AE71+AE73))*AE7/12</f>
        <v/>
      </c>
    </row>
    <row r="80">
      <c r="A80" s="6" t="inlineStr">
        <is>
          <t xml:space="preserve">  Grams held (collateral-eligible)</t>
        </is>
      </c>
      <c r="B80" s="23" t="inlineStr">
        <is>
          <t>grams</t>
        </is>
      </c>
      <c r="C80" s="45">
        <f>C77</f>
        <v/>
      </c>
      <c r="D80" s="45">
        <f>C80*(1-D78)+D77</f>
        <v/>
      </c>
      <c r="E80" s="45">
        <f>D80*(1-E78)+E77</f>
        <v/>
      </c>
      <c r="F80" s="45">
        <f>E80*(1-F78)+F77</f>
        <v/>
      </c>
      <c r="G80" s="45">
        <f>F80*(1-G78)+G77</f>
        <v/>
      </c>
      <c r="H80" s="45">
        <f>G80*(1-H78)+H77</f>
        <v/>
      </c>
      <c r="I80" s="45">
        <f>H80*(1-I78)+I77</f>
        <v/>
      </c>
      <c r="J80" s="45">
        <f>I80*(1-J78)+J77</f>
        <v/>
      </c>
      <c r="K80" s="45">
        <f>J80*(1-K78)+K77</f>
        <v/>
      </c>
      <c r="L80" s="45">
        <f>K80*(1-L78)+L77</f>
        <v/>
      </c>
      <c r="M80" s="45">
        <f>L80*(1-M78)+M77</f>
        <v/>
      </c>
      <c r="N80" s="45">
        <f>M80*(1-N78)+N77</f>
        <v/>
      </c>
      <c r="O80" s="45">
        <f>N80*(1-O78)+O77</f>
        <v/>
      </c>
      <c r="P80" s="45">
        <f>O80*(1-P78)+P77</f>
        <v/>
      </c>
      <c r="Q80" s="45">
        <f>P80*(1-Q78)+Q77</f>
        <v/>
      </c>
      <c r="R80" s="45">
        <f>Q80*(1-R78)+R77</f>
        <v/>
      </c>
      <c r="S80" s="45">
        <f>R80*(1-S78)+S77</f>
        <v/>
      </c>
      <c r="T80" s="45">
        <f>S80*(1-T78)+T77</f>
        <v/>
      </c>
      <c r="U80" s="45">
        <f>T80*(1-U78)+U77</f>
        <v/>
      </c>
      <c r="V80" s="45">
        <f>U80*(1-V78)+V77</f>
        <v/>
      </c>
      <c r="W80" s="45">
        <f>V80*(1-W78)+W77</f>
        <v/>
      </c>
      <c r="X80" s="45">
        <f>W80*(1-X78)+X77</f>
        <v/>
      </c>
      <c r="Y80" s="45">
        <f>X80*(1-Y78)+Y77</f>
        <v/>
      </c>
      <c r="Z80" s="45">
        <f>Y80*(1-Z78)+Z77</f>
        <v/>
      </c>
      <c r="AA80" s="45">
        <f>Z80*(1-AA78)+AA77</f>
        <v/>
      </c>
      <c r="AB80" s="45">
        <f>AA80*(1-AB78)+AB77</f>
        <v/>
      </c>
      <c r="AC80" s="45">
        <f>AB80*(1-AC78)+AC77</f>
        <v/>
      </c>
      <c r="AD80" s="45">
        <f>AC80*(1-AD78)+AD77</f>
        <v/>
      </c>
      <c r="AE80" s="45">
        <f>AD80*(1-AE78)+AE77</f>
        <v/>
      </c>
    </row>
    <row r="81">
      <c r="A81" s="6" t="inlineStr">
        <is>
          <t xml:space="preserve">  Grams under custody (vaulted, incl. self-custodied)</t>
        </is>
      </c>
      <c r="B81" s="23" t="inlineStr">
        <is>
          <t>grams</t>
        </is>
      </c>
      <c r="C81" s="45">
        <f>C77</f>
        <v/>
      </c>
      <c r="D81" s="45">
        <f>C81*(1-D79)+D77</f>
        <v/>
      </c>
      <c r="E81" s="45">
        <f>D81*(1-E79)+E77</f>
        <v/>
      </c>
      <c r="F81" s="45">
        <f>E81*(1-F79)+F77</f>
        <v/>
      </c>
      <c r="G81" s="45">
        <f>F81*(1-G79)+G77</f>
        <v/>
      </c>
      <c r="H81" s="45">
        <f>G81*(1-H79)+H77</f>
        <v/>
      </c>
      <c r="I81" s="45">
        <f>H81*(1-I79)+I77</f>
        <v/>
      </c>
      <c r="J81" s="45">
        <f>I81*(1-J79)+J77</f>
        <v/>
      </c>
      <c r="K81" s="45">
        <f>J81*(1-K79)+K77</f>
        <v/>
      </c>
      <c r="L81" s="45">
        <f>K81*(1-L79)+L77</f>
        <v/>
      </c>
      <c r="M81" s="45">
        <f>L81*(1-M79)+M77</f>
        <v/>
      </c>
      <c r="N81" s="45">
        <f>M81*(1-N79)+N77</f>
        <v/>
      </c>
      <c r="O81" s="45">
        <f>N81*(1-O79)+O77</f>
        <v/>
      </c>
      <c r="P81" s="45">
        <f>O81*(1-P79)+P77</f>
        <v/>
      </c>
      <c r="Q81" s="45">
        <f>P81*(1-Q79)+Q77</f>
        <v/>
      </c>
      <c r="R81" s="45">
        <f>Q81*(1-R79)+R77</f>
        <v/>
      </c>
      <c r="S81" s="45">
        <f>R81*(1-S79)+S77</f>
        <v/>
      </c>
      <c r="T81" s="45">
        <f>S81*(1-T79)+T77</f>
        <v/>
      </c>
      <c r="U81" s="45">
        <f>T81*(1-U79)+U77</f>
        <v/>
      </c>
      <c r="V81" s="45">
        <f>U81*(1-V79)+V77</f>
        <v/>
      </c>
      <c r="W81" s="45">
        <f>V81*(1-W79)+W77</f>
        <v/>
      </c>
      <c r="X81" s="45">
        <f>W81*(1-X79)+X77</f>
        <v/>
      </c>
      <c r="Y81" s="45">
        <f>X81*(1-Y79)+Y77</f>
        <v/>
      </c>
      <c r="Z81" s="45">
        <f>Y81*(1-Z79)+Z77</f>
        <v/>
      </c>
      <c r="AA81" s="45">
        <f>Z81*(1-AA79)+AA77</f>
        <v/>
      </c>
      <c r="AB81" s="45">
        <f>AA81*(1-AB79)+AB77</f>
        <v/>
      </c>
      <c r="AC81" s="45">
        <f>AB81*(1-AC79)+AC77</f>
        <v/>
      </c>
      <c r="AD81" s="45">
        <f>AC81*(1-AD79)+AD77</f>
        <v/>
      </c>
      <c r="AE81" s="45">
        <f>AD81*(1-AE79)+AE77</f>
        <v/>
      </c>
    </row>
    <row r="82">
      <c r="A82" s="6" t="inlineStr">
        <is>
          <t xml:space="preserve">  AUM</t>
        </is>
      </c>
      <c r="B82" s="23" t="inlineStr">
        <is>
          <t>USD</t>
        </is>
      </c>
      <c r="C82" s="57">
        <f>C80*C21</f>
        <v/>
      </c>
      <c r="D82" s="57">
        <f>D80*D21</f>
        <v/>
      </c>
      <c r="E82" s="57">
        <f>E80*E21</f>
        <v/>
      </c>
      <c r="F82" s="57">
        <f>F80*F21</f>
        <v/>
      </c>
      <c r="G82" s="57">
        <f>G80*G21</f>
        <v/>
      </c>
      <c r="H82" s="57">
        <f>H80*H21</f>
        <v/>
      </c>
      <c r="I82" s="57">
        <f>I80*I21</f>
        <v/>
      </c>
      <c r="J82" s="57">
        <f>J80*J21</f>
        <v/>
      </c>
      <c r="K82" s="57">
        <f>K80*K21</f>
        <v/>
      </c>
      <c r="L82" s="57">
        <f>L80*L21</f>
        <v/>
      </c>
      <c r="M82" s="57">
        <f>M80*M21</f>
        <v/>
      </c>
      <c r="N82" s="57">
        <f>N80*N21</f>
        <v/>
      </c>
      <c r="O82" s="57">
        <f>O80*O21</f>
        <v/>
      </c>
      <c r="P82" s="57">
        <f>P80*P21</f>
        <v/>
      </c>
      <c r="Q82" s="57">
        <f>Q80*Q21</f>
        <v/>
      </c>
      <c r="R82" s="57">
        <f>R80*R21</f>
        <v/>
      </c>
      <c r="S82" s="57">
        <f>S80*S21</f>
        <v/>
      </c>
      <c r="T82" s="57">
        <f>T80*T21</f>
        <v/>
      </c>
      <c r="U82" s="57">
        <f>U80*U21</f>
        <v/>
      </c>
      <c r="V82" s="57">
        <f>V80*V21</f>
        <v/>
      </c>
      <c r="W82" s="57">
        <f>W80*W21</f>
        <v/>
      </c>
      <c r="X82" s="57">
        <f>X80*X21</f>
        <v/>
      </c>
      <c r="Y82" s="57">
        <f>Y80*Y21</f>
        <v/>
      </c>
      <c r="Z82" s="57">
        <f>Z80*Z21</f>
        <v/>
      </c>
      <c r="AA82" s="57">
        <f>AA80*AA21</f>
        <v/>
      </c>
      <c r="AB82" s="57">
        <f>AB80*AB21</f>
        <v/>
      </c>
      <c r="AC82" s="57">
        <f>AC80*AC21</f>
        <v/>
      </c>
      <c r="AD82" s="57">
        <f>AD80*AD21</f>
        <v/>
      </c>
      <c r="AE82" s="57">
        <f>AE80*AE21</f>
        <v/>
      </c>
    </row>
    <row r="83">
      <c r="A83" s="6" t="inlineStr">
        <is>
          <t xml:space="preserve">  Card-eligible base</t>
        </is>
      </c>
      <c r="B83" s="23" t="inlineStr">
        <is>
          <t>accounts</t>
        </is>
      </c>
      <c r="C83" s="54">
        <f>C71+C73*Assumptions!$B$179</f>
        <v/>
      </c>
      <c r="D83" s="54">
        <f>D71+D73*Assumptions!$B$179</f>
        <v/>
      </c>
      <c r="E83" s="54">
        <f>E71+E73*Assumptions!$B$179</f>
        <v/>
      </c>
      <c r="F83" s="54">
        <f>F71+F73*Assumptions!$B$179</f>
        <v/>
      </c>
      <c r="G83" s="54">
        <f>G71+G73*Assumptions!$B$179</f>
        <v/>
      </c>
      <c r="H83" s="54">
        <f>H71+H73*Assumptions!$B$179</f>
        <v/>
      </c>
      <c r="I83" s="54">
        <f>I71+I73*Assumptions!$B$179</f>
        <v/>
      </c>
      <c r="J83" s="54">
        <f>J71+J73*Assumptions!$B$179</f>
        <v/>
      </c>
      <c r="K83" s="54">
        <f>K71+K73*Assumptions!$B$179</f>
        <v/>
      </c>
      <c r="L83" s="54">
        <f>L71+L73*Assumptions!$B$179</f>
        <v/>
      </c>
      <c r="M83" s="54">
        <f>M71+M73*Assumptions!$B$179</f>
        <v/>
      </c>
      <c r="N83" s="54">
        <f>N71+N73*Assumptions!$B$179</f>
        <v/>
      </c>
      <c r="O83" s="54">
        <f>O71+O73*Assumptions!$B$179</f>
        <v/>
      </c>
      <c r="P83" s="54">
        <f>P71+P73*Assumptions!$B$179</f>
        <v/>
      </c>
      <c r="Q83" s="54">
        <f>Q71+Q73*Assumptions!$B$179</f>
        <v/>
      </c>
      <c r="R83" s="54">
        <f>R71+R73*Assumptions!$B$179</f>
        <v/>
      </c>
      <c r="S83" s="54">
        <f>S71+S73*Assumptions!$B$179</f>
        <v/>
      </c>
      <c r="T83" s="54">
        <f>T71+T73*Assumptions!$B$179</f>
        <v/>
      </c>
      <c r="U83" s="54">
        <f>U71+U73*Assumptions!$B$179</f>
        <v/>
      </c>
      <c r="V83" s="54">
        <f>V71+V73*Assumptions!$B$179</f>
        <v/>
      </c>
      <c r="W83" s="54">
        <f>W71+W73*Assumptions!$B$179</f>
        <v/>
      </c>
      <c r="X83" s="54">
        <f>X71+X73*Assumptions!$B$179</f>
        <v/>
      </c>
      <c r="Y83" s="54">
        <f>Y71+Y73*Assumptions!$B$179</f>
        <v/>
      </c>
      <c r="Z83" s="54">
        <f>Z71+Z73*Assumptions!$B$179</f>
        <v/>
      </c>
      <c r="AA83" s="54">
        <f>AA71+AA73*Assumptions!$B$179</f>
        <v/>
      </c>
      <c r="AB83" s="54">
        <f>AB71+AB73*Assumptions!$B$179</f>
        <v/>
      </c>
      <c r="AC83" s="54">
        <f>AC71+AC73*Assumptions!$B$179</f>
        <v/>
      </c>
      <c r="AD83" s="54">
        <f>AD71+AD73*Assumptions!$B$179</f>
        <v/>
      </c>
      <c r="AE83" s="54">
        <f>AE71+AE73*Assumptions!$B$179</f>
        <v/>
      </c>
    </row>
    <row r="84">
      <c r="A84" s="6" t="inlineStr">
        <is>
          <t xml:space="preserve">  Cleared the six-payment gate</t>
        </is>
      </c>
      <c r="B84" s="23" t="inlineStr">
        <is>
          <t>accounts</t>
        </is>
      </c>
      <c r="C84" s="45">
        <f>IF(C7&gt;1,C83*Assumptions!$B$134,IF(C2&gt;Assumptions!$B$135,INDEX($C$83:$AE$83,1,C2-Assumptions!$B$135)*Assumptions!$B$134,0))</f>
        <v/>
      </c>
      <c r="D84" s="45">
        <f>IF(D7&gt;1,D83*Assumptions!$B$134,IF(D2&gt;Assumptions!$B$135,INDEX($C$83:$AE$83,1,D2-Assumptions!$B$135)*Assumptions!$B$134,0))</f>
        <v/>
      </c>
      <c r="E84" s="45">
        <f>IF(E7&gt;1,E83*Assumptions!$B$134,IF(E2&gt;Assumptions!$B$135,INDEX($C$83:$AE$83,1,E2-Assumptions!$B$135)*Assumptions!$B$134,0))</f>
        <v/>
      </c>
      <c r="F84" s="45">
        <f>IF(F7&gt;1,F83*Assumptions!$B$134,IF(F2&gt;Assumptions!$B$135,INDEX($C$83:$AE$83,1,F2-Assumptions!$B$135)*Assumptions!$B$134,0))</f>
        <v/>
      </c>
      <c r="G84" s="45">
        <f>IF(G7&gt;1,G83*Assumptions!$B$134,IF(G2&gt;Assumptions!$B$135,INDEX($C$83:$AE$83,1,G2-Assumptions!$B$135)*Assumptions!$B$134,0))</f>
        <v/>
      </c>
      <c r="H84" s="45">
        <f>IF(H7&gt;1,H83*Assumptions!$B$134,IF(H2&gt;Assumptions!$B$135,INDEX($C$83:$AE$83,1,H2-Assumptions!$B$135)*Assumptions!$B$134,0))</f>
        <v/>
      </c>
      <c r="I84" s="45">
        <f>IF(I7&gt;1,I83*Assumptions!$B$134,IF(I2&gt;Assumptions!$B$135,INDEX($C$83:$AE$83,1,I2-Assumptions!$B$135)*Assumptions!$B$134,0))</f>
        <v/>
      </c>
      <c r="J84" s="45">
        <f>IF(J7&gt;1,J83*Assumptions!$B$134,IF(J2&gt;Assumptions!$B$135,INDEX($C$83:$AE$83,1,J2-Assumptions!$B$135)*Assumptions!$B$134,0))</f>
        <v/>
      </c>
      <c r="K84" s="45">
        <f>IF(K7&gt;1,K83*Assumptions!$B$134,IF(K2&gt;Assumptions!$B$135,INDEX($C$83:$AE$83,1,K2-Assumptions!$B$135)*Assumptions!$B$134,0))</f>
        <v/>
      </c>
      <c r="L84" s="45">
        <f>IF(L7&gt;1,L83*Assumptions!$B$134,IF(L2&gt;Assumptions!$B$135,INDEX($C$83:$AE$83,1,L2-Assumptions!$B$135)*Assumptions!$B$134,0))</f>
        <v/>
      </c>
      <c r="M84" s="45">
        <f>IF(M7&gt;1,M83*Assumptions!$B$134,IF(M2&gt;Assumptions!$B$135,INDEX($C$83:$AE$83,1,M2-Assumptions!$B$135)*Assumptions!$B$134,0))</f>
        <v/>
      </c>
      <c r="N84" s="45">
        <f>IF(N7&gt;1,N83*Assumptions!$B$134,IF(N2&gt;Assumptions!$B$135,INDEX($C$83:$AE$83,1,N2-Assumptions!$B$135)*Assumptions!$B$134,0))</f>
        <v/>
      </c>
      <c r="O84" s="45">
        <f>IF(O7&gt;1,O83*Assumptions!$B$134,IF(O2&gt;Assumptions!$B$135,INDEX($C$83:$AE$83,1,O2-Assumptions!$B$135)*Assumptions!$B$134,0))</f>
        <v/>
      </c>
      <c r="P84" s="45">
        <f>IF(P7&gt;1,P83*Assumptions!$B$134,IF(P2&gt;Assumptions!$B$135,INDEX($C$83:$AE$83,1,P2-Assumptions!$B$135)*Assumptions!$B$134,0))</f>
        <v/>
      </c>
      <c r="Q84" s="45">
        <f>IF(Q7&gt;1,Q83*Assumptions!$B$134,IF(Q2&gt;Assumptions!$B$135,INDEX($C$83:$AE$83,1,Q2-Assumptions!$B$135)*Assumptions!$B$134,0))</f>
        <v/>
      </c>
      <c r="R84" s="45">
        <f>IF(R7&gt;1,R83*Assumptions!$B$134,IF(R2&gt;Assumptions!$B$135,INDEX($C$83:$AE$83,1,R2-Assumptions!$B$135)*Assumptions!$B$134,0))</f>
        <v/>
      </c>
      <c r="S84" s="45">
        <f>IF(S7&gt;1,S83*Assumptions!$B$134,IF(S2&gt;Assumptions!$B$135,INDEX($C$83:$AE$83,1,S2-Assumptions!$B$135)*Assumptions!$B$134,0))</f>
        <v/>
      </c>
      <c r="T84" s="45">
        <f>IF(T7&gt;1,T83*Assumptions!$B$134,IF(T2&gt;Assumptions!$B$135,INDEX($C$83:$AE$83,1,T2-Assumptions!$B$135)*Assumptions!$B$134,0))</f>
        <v/>
      </c>
      <c r="U84" s="45">
        <f>IF(U7&gt;1,U83*Assumptions!$B$134,IF(U2&gt;Assumptions!$B$135,INDEX($C$83:$AE$83,1,U2-Assumptions!$B$135)*Assumptions!$B$134,0))</f>
        <v/>
      </c>
      <c r="V84" s="45">
        <f>IF(V7&gt;1,V83*Assumptions!$B$134,IF(V2&gt;Assumptions!$B$135,INDEX($C$83:$AE$83,1,V2-Assumptions!$B$135)*Assumptions!$B$134,0))</f>
        <v/>
      </c>
      <c r="W84" s="45">
        <f>IF(W7&gt;1,W83*Assumptions!$B$134,IF(W2&gt;Assumptions!$B$135,INDEX($C$83:$AE$83,1,W2-Assumptions!$B$135)*Assumptions!$B$134,0))</f>
        <v/>
      </c>
      <c r="X84" s="45">
        <f>IF(X7&gt;1,X83*Assumptions!$B$134,IF(X2&gt;Assumptions!$B$135,INDEX($C$83:$AE$83,1,X2-Assumptions!$B$135)*Assumptions!$B$134,0))</f>
        <v/>
      </c>
      <c r="Y84" s="45">
        <f>IF(Y7&gt;1,Y83*Assumptions!$B$134,IF(Y2&gt;Assumptions!$B$135,INDEX($C$83:$AE$83,1,Y2-Assumptions!$B$135)*Assumptions!$B$134,0))</f>
        <v/>
      </c>
      <c r="Z84" s="45">
        <f>IF(Z7&gt;1,Z83*Assumptions!$B$134,IF(Z2&gt;Assumptions!$B$135,INDEX($C$83:$AE$83,1,Z2-Assumptions!$B$135)*Assumptions!$B$134,0))</f>
        <v/>
      </c>
      <c r="AA84" s="45">
        <f>IF(AA7&gt;1,AA83*Assumptions!$B$134,IF(AA2&gt;Assumptions!$B$135,INDEX($C$83:$AE$83,1,AA2-Assumptions!$B$135)*Assumptions!$B$134,0))</f>
        <v/>
      </c>
      <c r="AB84" s="45">
        <f>IF(AB7&gt;1,AB83*Assumptions!$B$134,IF(AB2&gt;Assumptions!$B$135,INDEX($C$83:$AE$83,1,AB2-Assumptions!$B$135)*Assumptions!$B$134,0))</f>
        <v/>
      </c>
      <c r="AC84" s="45">
        <f>IF(AC7&gt;1,AC83*Assumptions!$B$134,IF(AC2&gt;Assumptions!$B$135,INDEX($C$83:$AE$83,1,AC2-Assumptions!$B$135)*Assumptions!$B$134,0))</f>
        <v/>
      </c>
      <c r="AD84" s="45">
        <f>IF(AD7&gt;1,AD83*Assumptions!$B$134,IF(AD2&gt;Assumptions!$B$135,INDEX($C$83:$AE$83,1,AD2-Assumptions!$B$135)*Assumptions!$B$134,0))</f>
        <v/>
      </c>
      <c r="AE84" s="45">
        <f>IF(AE7&gt;1,AE83*Assumptions!$B$134,IF(AE2&gt;Assumptions!$B$135,INDEX($C$83:$AE$83,1,AE2-Assumptions!$B$135)*Assumptions!$B$134,0))</f>
        <v/>
      </c>
    </row>
    <row r="85">
      <c r="A85" s="6" t="inlineStr">
        <is>
          <t xml:space="preserve">  Active cards</t>
        </is>
      </c>
      <c r="B85" s="23" t="inlineStr">
        <is>
          <t>cards</t>
        </is>
      </c>
      <c r="C85" s="28">
        <f>IF(C2&gt;=Assumptions!$B$51,C84*Assumptions!$B$143,0)</f>
        <v/>
      </c>
      <c r="D85" s="28">
        <f>IF(D2&gt;=Assumptions!$B$51,D84*Assumptions!$B$143,0)</f>
        <v/>
      </c>
      <c r="E85" s="28">
        <f>IF(E2&gt;=Assumptions!$B$51,E84*Assumptions!$B$143,0)</f>
        <v/>
      </c>
      <c r="F85" s="28">
        <f>IF(F2&gt;=Assumptions!$B$51,F84*Assumptions!$B$143,0)</f>
        <v/>
      </c>
      <c r="G85" s="28">
        <f>IF(G2&gt;=Assumptions!$B$51,G84*Assumptions!$B$143,0)</f>
        <v/>
      </c>
      <c r="H85" s="28">
        <f>IF(H2&gt;=Assumptions!$B$51,H84*Assumptions!$B$143,0)</f>
        <v/>
      </c>
      <c r="I85" s="28">
        <f>IF(I2&gt;=Assumptions!$B$51,I84*Assumptions!$B$143,0)</f>
        <v/>
      </c>
      <c r="J85" s="28">
        <f>IF(J2&gt;=Assumptions!$B$51,J84*Assumptions!$B$143,0)</f>
        <v/>
      </c>
      <c r="K85" s="28">
        <f>IF(K2&gt;=Assumptions!$B$51,K84*Assumptions!$B$143,0)</f>
        <v/>
      </c>
      <c r="L85" s="28">
        <f>IF(L2&gt;=Assumptions!$B$51,L84*Assumptions!$B$143,0)</f>
        <v/>
      </c>
      <c r="M85" s="28">
        <f>IF(M2&gt;=Assumptions!$B$51,M84*Assumptions!$B$143,0)</f>
        <v/>
      </c>
      <c r="N85" s="28">
        <f>IF(N2&gt;=Assumptions!$B$51,N84*Assumptions!$B$143,0)</f>
        <v/>
      </c>
      <c r="O85" s="28">
        <f>IF(O2&gt;=Assumptions!$B$51,O84*Assumptions!$B$143,0)</f>
        <v/>
      </c>
      <c r="P85" s="28">
        <f>IF(P2&gt;=Assumptions!$B$51,P84*Assumptions!$B$143,0)</f>
        <v/>
      </c>
      <c r="Q85" s="28">
        <f>IF(Q2&gt;=Assumptions!$B$51,Q84*Assumptions!$B$143,0)</f>
        <v/>
      </c>
      <c r="R85" s="28">
        <f>IF(R2&gt;=Assumptions!$B$51,R84*Assumptions!$B$143,0)</f>
        <v/>
      </c>
      <c r="S85" s="28">
        <f>IF(S2&gt;=Assumptions!$B$51,S84*Assumptions!$B$143,0)</f>
        <v/>
      </c>
      <c r="T85" s="28">
        <f>IF(T2&gt;=Assumptions!$B$51,T84*Assumptions!$B$143,0)</f>
        <v/>
      </c>
      <c r="U85" s="28">
        <f>IF(U2&gt;=Assumptions!$B$51,U84*Assumptions!$B$143,0)</f>
        <v/>
      </c>
      <c r="V85" s="28">
        <f>IF(V2&gt;=Assumptions!$B$51,V84*Assumptions!$B$143,0)</f>
        <v/>
      </c>
      <c r="W85" s="28">
        <f>IF(W2&gt;=Assumptions!$B$51,W84*Assumptions!$B$143,0)</f>
        <v/>
      </c>
      <c r="X85" s="28">
        <f>IF(X2&gt;=Assumptions!$B$51,X84*Assumptions!$B$143,0)</f>
        <v/>
      </c>
      <c r="Y85" s="28">
        <f>IF(Y2&gt;=Assumptions!$B$51,Y84*Assumptions!$B$143,0)</f>
        <v/>
      </c>
      <c r="Z85" s="28">
        <f>IF(Z2&gt;=Assumptions!$B$51,Z84*Assumptions!$B$143,0)</f>
        <v/>
      </c>
      <c r="AA85" s="28">
        <f>IF(AA2&gt;=Assumptions!$B$51,AA84*Assumptions!$B$143,0)</f>
        <v/>
      </c>
      <c r="AB85" s="28">
        <f>IF(AB2&gt;=Assumptions!$B$51,AB84*Assumptions!$B$143,0)</f>
        <v/>
      </c>
      <c r="AC85" s="28">
        <f>IF(AC2&gt;=Assumptions!$B$51,AC84*Assumptions!$B$143,0)</f>
        <v/>
      </c>
      <c r="AD85" s="28">
        <f>IF(AD2&gt;=Assumptions!$B$51,AD84*Assumptions!$B$143,0)</f>
        <v/>
      </c>
      <c r="AE85" s="28">
        <f>IF(AE2&gt;=Assumptions!$B$51,AE84*Assumptions!$B$143,0)</f>
        <v/>
      </c>
    </row>
    <row r="86">
      <c r="A86" s="6" t="inlineStr">
        <is>
          <t xml:space="preserve">  ...of which have a live credit line</t>
        </is>
      </c>
      <c r="B86" s="23" t="inlineStr">
        <is>
          <t>cards</t>
        </is>
      </c>
      <c r="C86" s="28">
        <f>IF(C83=0,0,C85*C71/C83)</f>
        <v/>
      </c>
      <c r="D86" s="28">
        <f>IF(D83=0,0,D85*D71/D83)</f>
        <v/>
      </c>
      <c r="E86" s="28">
        <f>IF(E83=0,0,E85*E71/E83)</f>
        <v/>
      </c>
      <c r="F86" s="28">
        <f>IF(F83=0,0,F85*F71/F83)</f>
        <v/>
      </c>
      <c r="G86" s="28">
        <f>IF(G83=0,0,G85*G71/G83)</f>
        <v/>
      </c>
      <c r="H86" s="28">
        <f>IF(H83=0,0,H85*H71/H83)</f>
        <v/>
      </c>
      <c r="I86" s="28">
        <f>IF(I83=0,0,I85*I71/I83)</f>
        <v/>
      </c>
      <c r="J86" s="28">
        <f>IF(J83=0,0,J85*J71/J83)</f>
        <v/>
      </c>
      <c r="K86" s="28">
        <f>IF(K83=0,0,K85*K71/K83)</f>
        <v/>
      </c>
      <c r="L86" s="28">
        <f>IF(L83=0,0,L85*L71/L83)</f>
        <v/>
      </c>
      <c r="M86" s="28">
        <f>IF(M83=0,0,M85*M71/M83)</f>
        <v/>
      </c>
      <c r="N86" s="28">
        <f>IF(N83=0,0,N85*N71/N83)</f>
        <v/>
      </c>
      <c r="O86" s="28">
        <f>IF(O83=0,0,O85*O71/O83)</f>
        <v/>
      </c>
      <c r="P86" s="28">
        <f>IF(P83=0,0,P85*P71/P83)</f>
        <v/>
      </c>
      <c r="Q86" s="28">
        <f>IF(Q83=0,0,Q85*Q71/Q83)</f>
        <v/>
      </c>
      <c r="R86" s="28">
        <f>IF(R83=0,0,R85*R71/R83)</f>
        <v/>
      </c>
      <c r="S86" s="28">
        <f>IF(S83=0,0,S85*S71/S83)</f>
        <v/>
      </c>
      <c r="T86" s="28">
        <f>IF(T83=0,0,T85*T71/T83)</f>
        <v/>
      </c>
      <c r="U86" s="28">
        <f>IF(U83=0,0,U85*U71/U83)</f>
        <v/>
      </c>
      <c r="V86" s="28">
        <f>IF(V83=0,0,V85*V71/V83)</f>
        <v/>
      </c>
      <c r="W86" s="28">
        <f>IF(W83=0,0,W85*W71/W83)</f>
        <v/>
      </c>
      <c r="X86" s="28">
        <f>IF(X83=0,0,X85*X71/X83)</f>
        <v/>
      </c>
      <c r="Y86" s="28">
        <f>IF(Y83=0,0,Y85*Y71/Y83)</f>
        <v/>
      </c>
      <c r="Z86" s="28">
        <f>IF(Z83=0,0,Z85*Z71/Z83)</f>
        <v/>
      </c>
      <c r="AA86" s="28">
        <f>IF(AA83=0,0,AA85*AA71/AA83)</f>
        <v/>
      </c>
      <c r="AB86" s="28">
        <f>IF(AB83=0,0,AB85*AB71/AB83)</f>
        <v/>
      </c>
      <c r="AC86" s="28">
        <f>IF(AC83=0,0,AC85*AC71/AC83)</f>
        <v/>
      </c>
      <c r="AD86" s="28">
        <f>IF(AD83=0,0,AD85*AD71/AD83)</f>
        <v/>
      </c>
      <c r="AE86" s="28">
        <f>IF(AE83=0,0,AE85*AE71/AE83)</f>
        <v/>
      </c>
    </row>
    <row r="87">
      <c r="A87" s="6" t="inlineStr">
        <is>
          <t xml:space="preserve">  Credit limit per customer (gold x LTV)</t>
        </is>
      </c>
      <c r="B87" s="23" t="inlineStr">
        <is>
          <t>USD</t>
        </is>
      </c>
      <c r="C87" s="55">
        <f>IF(C71=0,0,C82/C71*Assumptions!$B$31)</f>
        <v/>
      </c>
      <c r="D87" s="55">
        <f>IF(D71=0,0,D82/D71*Assumptions!$B$31)</f>
        <v/>
      </c>
      <c r="E87" s="55">
        <f>IF(E71=0,0,E82/E71*Assumptions!$B$31)</f>
        <v/>
      </c>
      <c r="F87" s="55">
        <f>IF(F71=0,0,F82/F71*Assumptions!$B$31)</f>
        <v/>
      </c>
      <c r="G87" s="55">
        <f>IF(G71=0,0,G82/G71*Assumptions!$B$31)</f>
        <v/>
      </c>
      <c r="H87" s="55">
        <f>IF(H71=0,0,H82/H71*Assumptions!$B$31)</f>
        <v/>
      </c>
      <c r="I87" s="55">
        <f>IF(I71=0,0,I82/I71*Assumptions!$B$31)</f>
        <v/>
      </c>
      <c r="J87" s="55">
        <f>IF(J71=0,0,J82/J71*Assumptions!$B$31)</f>
        <v/>
      </c>
      <c r="K87" s="55">
        <f>IF(K71=0,0,K82/K71*Assumptions!$B$31)</f>
        <v/>
      </c>
      <c r="L87" s="55">
        <f>IF(L71=0,0,L82/L71*Assumptions!$B$31)</f>
        <v/>
      </c>
      <c r="M87" s="55">
        <f>IF(M71=0,0,M82/M71*Assumptions!$B$31)</f>
        <v/>
      </c>
      <c r="N87" s="55">
        <f>IF(N71=0,0,N82/N71*Assumptions!$B$31)</f>
        <v/>
      </c>
      <c r="O87" s="55">
        <f>IF(O71=0,0,O82/O71*Assumptions!$B$31)</f>
        <v/>
      </c>
      <c r="P87" s="55">
        <f>IF(P71=0,0,P82/P71*Assumptions!$B$31)</f>
        <v/>
      </c>
      <c r="Q87" s="55">
        <f>IF(Q71=0,0,Q82/Q71*Assumptions!$B$31)</f>
        <v/>
      </c>
      <c r="R87" s="55">
        <f>IF(R71=0,0,R82/R71*Assumptions!$B$31)</f>
        <v/>
      </c>
      <c r="S87" s="55">
        <f>IF(S71=0,0,S82/S71*Assumptions!$B$31)</f>
        <v/>
      </c>
      <c r="T87" s="55">
        <f>IF(T71=0,0,T82/T71*Assumptions!$B$31)</f>
        <v/>
      </c>
      <c r="U87" s="55">
        <f>IF(U71=0,0,U82/U71*Assumptions!$B$31)</f>
        <v/>
      </c>
      <c r="V87" s="55">
        <f>IF(V71=0,0,V82/V71*Assumptions!$B$31)</f>
        <v/>
      </c>
      <c r="W87" s="55">
        <f>IF(W71=0,0,W82/W71*Assumptions!$B$31)</f>
        <v/>
      </c>
      <c r="X87" s="55">
        <f>IF(X71=0,0,X82/X71*Assumptions!$B$31)</f>
        <v/>
      </c>
      <c r="Y87" s="55">
        <f>IF(Y71=0,0,Y82/Y71*Assumptions!$B$31)</f>
        <v/>
      </c>
      <c r="Z87" s="55">
        <f>IF(Z71=0,0,Z82/Z71*Assumptions!$B$31)</f>
        <v/>
      </c>
      <c r="AA87" s="55">
        <f>IF(AA71=0,0,AA82/AA71*Assumptions!$B$31)</f>
        <v/>
      </c>
      <c r="AB87" s="55">
        <f>IF(AB71=0,0,AB82/AB71*Assumptions!$B$31)</f>
        <v/>
      </c>
      <c r="AC87" s="55">
        <f>IF(AC71=0,0,AC82/AC71*Assumptions!$B$31)</f>
        <v/>
      </c>
      <c r="AD87" s="55">
        <f>IF(AD71=0,0,AD82/AD71*Assumptions!$B$31)</f>
        <v/>
      </c>
      <c r="AE87" s="55">
        <f>IF(AE71=0,0,AE82/AE71*Assumptions!$B$31)</f>
        <v/>
      </c>
    </row>
    <row r="88">
      <c r="A88" s="6" t="inlineStr">
        <is>
          <t xml:space="preserve">  Annual drawdown per card (limit x drawn x draws)</t>
        </is>
      </c>
      <c r="B88" s="23" t="inlineStr">
        <is>
          <t>USD/yr</t>
        </is>
      </c>
      <c r="C88" s="55">
        <f>C87*Assumptions!$B$156*Assumptions!$B$158</f>
        <v/>
      </c>
      <c r="D88" s="55">
        <f>D87*Assumptions!$B$156*Assumptions!$B$158</f>
        <v/>
      </c>
      <c r="E88" s="55">
        <f>E87*Assumptions!$B$156*Assumptions!$B$158</f>
        <v/>
      </c>
      <c r="F88" s="55">
        <f>F87*Assumptions!$B$156*Assumptions!$B$158</f>
        <v/>
      </c>
      <c r="G88" s="55">
        <f>G87*Assumptions!$B$156*Assumptions!$B$158</f>
        <v/>
      </c>
      <c r="H88" s="55">
        <f>H87*Assumptions!$B$156*Assumptions!$B$158</f>
        <v/>
      </c>
      <c r="I88" s="55">
        <f>I87*Assumptions!$B$156*Assumptions!$B$158</f>
        <v/>
      </c>
      <c r="J88" s="55">
        <f>J87*Assumptions!$B$156*Assumptions!$B$158</f>
        <v/>
      </c>
      <c r="K88" s="55">
        <f>K87*Assumptions!$B$156*Assumptions!$B$158</f>
        <v/>
      </c>
      <c r="L88" s="55">
        <f>L87*Assumptions!$B$156*Assumptions!$B$158</f>
        <v/>
      </c>
      <c r="M88" s="55">
        <f>M87*Assumptions!$B$156*Assumptions!$B$158</f>
        <v/>
      </c>
      <c r="N88" s="55">
        <f>N87*Assumptions!$B$156*Assumptions!$B$158</f>
        <v/>
      </c>
      <c r="O88" s="55">
        <f>O87*Assumptions!$B$156*Assumptions!$B$158</f>
        <v/>
      </c>
      <c r="P88" s="55">
        <f>P87*Assumptions!$B$156*Assumptions!$B$158</f>
        <v/>
      </c>
      <c r="Q88" s="55">
        <f>Q87*Assumptions!$B$156*Assumptions!$B$158</f>
        <v/>
      </c>
      <c r="R88" s="55">
        <f>R87*Assumptions!$B$156*Assumptions!$B$158</f>
        <v/>
      </c>
      <c r="S88" s="55">
        <f>S87*Assumptions!$B$156*Assumptions!$B$158</f>
        <v/>
      </c>
      <c r="T88" s="55">
        <f>T87*Assumptions!$B$156*Assumptions!$B$158</f>
        <v/>
      </c>
      <c r="U88" s="55">
        <f>U87*Assumptions!$B$156*Assumptions!$B$158</f>
        <v/>
      </c>
      <c r="V88" s="55">
        <f>V87*Assumptions!$B$156*Assumptions!$B$158</f>
        <v/>
      </c>
      <c r="W88" s="55">
        <f>W87*Assumptions!$B$156*Assumptions!$B$158</f>
        <v/>
      </c>
      <c r="X88" s="55">
        <f>X87*Assumptions!$B$156*Assumptions!$B$158</f>
        <v/>
      </c>
      <c r="Y88" s="55">
        <f>Y87*Assumptions!$B$156*Assumptions!$B$158</f>
        <v/>
      </c>
      <c r="Z88" s="55">
        <f>Z87*Assumptions!$B$156*Assumptions!$B$158</f>
        <v/>
      </c>
      <c r="AA88" s="55">
        <f>AA87*Assumptions!$B$156*Assumptions!$B$158</f>
        <v/>
      </c>
      <c r="AB88" s="55">
        <f>AB87*Assumptions!$B$156*Assumptions!$B$158</f>
        <v/>
      </c>
      <c r="AC88" s="55">
        <f>AC87*Assumptions!$B$156*Assumptions!$B$158</f>
        <v/>
      </c>
      <c r="AD88" s="55">
        <f>AD87*Assumptions!$B$156*Assumptions!$B$158</f>
        <v/>
      </c>
      <c r="AE88" s="55">
        <f>AE87*Assumptions!$B$156*Assumptions!$B$158</f>
        <v/>
      </c>
    </row>
    <row r="89">
      <c r="A89" s="6" t="inlineStr">
        <is>
          <t xml:space="preserve">  Card spend per card per month</t>
        </is>
      </c>
      <c r="B89" s="23" t="inlineStr">
        <is>
          <t>USD</t>
        </is>
      </c>
      <c r="C89" s="55">
        <f>C88/12*C16</f>
        <v/>
      </c>
      <c r="D89" s="55">
        <f>D88/12*D16</f>
        <v/>
      </c>
      <c r="E89" s="55">
        <f>E88/12*E16</f>
        <v/>
      </c>
      <c r="F89" s="55">
        <f>F88/12*F16</f>
        <v/>
      </c>
      <c r="G89" s="55">
        <f>G88/12*G16</f>
        <v/>
      </c>
      <c r="H89" s="55">
        <f>H88/12*H16</f>
        <v/>
      </c>
      <c r="I89" s="55">
        <f>I88/12*I16</f>
        <v/>
      </c>
      <c r="J89" s="55">
        <f>J88/12*J16</f>
        <v/>
      </c>
      <c r="K89" s="55">
        <f>K88/12*K16</f>
        <v/>
      </c>
      <c r="L89" s="55">
        <f>L88/12*L16</f>
        <v/>
      </c>
      <c r="M89" s="55">
        <f>M88/12*M16</f>
        <v/>
      </c>
      <c r="N89" s="55">
        <f>N88/12*N16</f>
        <v/>
      </c>
      <c r="O89" s="55">
        <f>O88/12*O16</f>
        <v/>
      </c>
      <c r="P89" s="55">
        <f>P88/12*P16</f>
        <v/>
      </c>
      <c r="Q89" s="55">
        <f>Q88/12*Q16</f>
        <v/>
      </c>
      <c r="R89" s="55">
        <f>R88/12*R16</f>
        <v/>
      </c>
      <c r="S89" s="55">
        <f>S88/12*S16</f>
        <v/>
      </c>
      <c r="T89" s="55">
        <f>T88/12*T16</f>
        <v/>
      </c>
      <c r="U89" s="55">
        <f>U88/12*U16</f>
        <v/>
      </c>
      <c r="V89" s="55">
        <f>V88/12*V16</f>
        <v/>
      </c>
      <c r="W89" s="55">
        <f>W88/12*W16</f>
        <v/>
      </c>
      <c r="X89" s="55">
        <f>X88/12*X16</f>
        <v/>
      </c>
      <c r="Y89" s="55">
        <f>Y88/12*Y16</f>
        <v/>
      </c>
      <c r="Z89" s="55">
        <f>Z88/12*Z16</f>
        <v/>
      </c>
      <c r="AA89" s="55">
        <f>AA88/12*AA16</f>
        <v/>
      </c>
      <c r="AB89" s="55">
        <f>AB88/12*AB16</f>
        <v/>
      </c>
      <c r="AC89" s="55">
        <f>AC88/12*AC16</f>
        <v/>
      </c>
      <c r="AD89" s="55">
        <f>AD88/12*AD16</f>
        <v/>
      </c>
      <c r="AE89" s="55">
        <f>AE88/12*AE16</f>
        <v/>
      </c>
    </row>
    <row r="90">
      <c r="A90" s="6" t="inlineStr">
        <is>
          <t xml:space="preserve">  Card spend</t>
        </is>
      </c>
      <c r="B90" s="23" t="inlineStr">
        <is>
          <t>AED</t>
        </is>
      </c>
      <c r="C90" s="45">
        <f>C86*C89*Assumptions!$B$7*C7</f>
        <v/>
      </c>
      <c r="D90" s="45">
        <f>D86*D89*Assumptions!$B$7*D7</f>
        <v/>
      </c>
      <c r="E90" s="45">
        <f>E86*E89*Assumptions!$B$7*E7</f>
        <v/>
      </c>
      <c r="F90" s="45">
        <f>F86*F89*Assumptions!$B$7*F7</f>
        <v/>
      </c>
      <c r="G90" s="45">
        <f>G86*G89*Assumptions!$B$7*G7</f>
        <v/>
      </c>
      <c r="H90" s="45">
        <f>H86*H89*Assumptions!$B$7*H7</f>
        <v/>
      </c>
      <c r="I90" s="45">
        <f>I86*I89*Assumptions!$B$7*I7</f>
        <v/>
      </c>
      <c r="J90" s="45">
        <f>J86*J89*Assumptions!$B$7*J7</f>
        <v/>
      </c>
      <c r="K90" s="45">
        <f>K86*K89*Assumptions!$B$7*K7</f>
        <v/>
      </c>
      <c r="L90" s="45">
        <f>L86*L89*Assumptions!$B$7*L7</f>
        <v/>
      </c>
      <c r="M90" s="45">
        <f>M86*M89*Assumptions!$B$7*M7</f>
        <v/>
      </c>
      <c r="N90" s="45">
        <f>N86*N89*Assumptions!$B$7*N7</f>
        <v/>
      </c>
      <c r="O90" s="45">
        <f>O86*O89*Assumptions!$B$7*O7</f>
        <v/>
      </c>
      <c r="P90" s="45">
        <f>P86*P89*Assumptions!$B$7*P7</f>
        <v/>
      </c>
      <c r="Q90" s="45">
        <f>Q86*Q89*Assumptions!$B$7*Q7</f>
        <v/>
      </c>
      <c r="R90" s="45">
        <f>R86*R89*Assumptions!$B$7*R7</f>
        <v/>
      </c>
      <c r="S90" s="45">
        <f>S86*S89*Assumptions!$B$7*S7</f>
        <v/>
      </c>
      <c r="T90" s="45">
        <f>T86*T89*Assumptions!$B$7*T7</f>
        <v/>
      </c>
      <c r="U90" s="45">
        <f>U86*U89*Assumptions!$B$7*U7</f>
        <v/>
      </c>
      <c r="V90" s="45">
        <f>V86*V89*Assumptions!$B$7*V7</f>
        <v/>
      </c>
      <c r="W90" s="45">
        <f>W86*W89*Assumptions!$B$7*W7</f>
        <v/>
      </c>
      <c r="X90" s="45">
        <f>X86*X89*Assumptions!$B$7*X7</f>
        <v/>
      </c>
      <c r="Y90" s="45">
        <f>Y86*Y89*Assumptions!$B$7*Y7</f>
        <v/>
      </c>
      <c r="Z90" s="45">
        <f>Z86*Z89*Assumptions!$B$7*Z7</f>
        <v/>
      </c>
      <c r="AA90" s="45">
        <f>AA86*AA89*Assumptions!$B$7*AA7</f>
        <v/>
      </c>
      <c r="AB90" s="45">
        <f>AB86*AB89*Assumptions!$B$7*AB7</f>
        <v/>
      </c>
      <c r="AC90" s="45">
        <f>AC86*AC89*Assumptions!$B$7*AC7</f>
        <v/>
      </c>
      <c r="AD90" s="45">
        <f>AD86*AD89*Assumptions!$B$7*AD7</f>
        <v/>
      </c>
      <c r="AE90" s="45">
        <f>AE86*AE89*Assumptions!$B$7*AE7</f>
        <v/>
      </c>
    </row>
    <row r="91">
      <c r="A91" s="6" t="inlineStr">
        <is>
          <t xml:space="preserve">  Card spend</t>
        </is>
      </c>
      <c r="B91" s="23" t="inlineStr">
        <is>
          <t>USD</t>
        </is>
      </c>
      <c r="C91" s="55">
        <f>C90/Assumptions!$B$7</f>
        <v/>
      </c>
      <c r="D91" s="55">
        <f>D90/Assumptions!$B$7</f>
        <v/>
      </c>
      <c r="E91" s="55">
        <f>E90/Assumptions!$B$7</f>
        <v/>
      </c>
      <c r="F91" s="55">
        <f>F90/Assumptions!$B$7</f>
        <v/>
      </c>
      <c r="G91" s="55">
        <f>G90/Assumptions!$B$7</f>
        <v/>
      </c>
      <c r="H91" s="55">
        <f>H90/Assumptions!$B$7</f>
        <v/>
      </c>
      <c r="I91" s="55">
        <f>I90/Assumptions!$B$7</f>
        <v/>
      </c>
      <c r="J91" s="55">
        <f>J90/Assumptions!$B$7</f>
        <v/>
      </c>
      <c r="K91" s="55">
        <f>K90/Assumptions!$B$7</f>
        <v/>
      </c>
      <c r="L91" s="55">
        <f>L90/Assumptions!$B$7</f>
        <v/>
      </c>
      <c r="M91" s="55">
        <f>M90/Assumptions!$B$7</f>
        <v/>
      </c>
      <c r="N91" s="55">
        <f>N90/Assumptions!$B$7</f>
        <v/>
      </c>
      <c r="O91" s="55">
        <f>O90/Assumptions!$B$7</f>
        <v/>
      </c>
      <c r="P91" s="55">
        <f>P90/Assumptions!$B$7</f>
        <v/>
      </c>
      <c r="Q91" s="55">
        <f>Q90/Assumptions!$B$7</f>
        <v/>
      </c>
      <c r="R91" s="55">
        <f>R90/Assumptions!$B$7</f>
        <v/>
      </c>
      <c r="S91" s="55">
        <f>S90/Assumptions!$B$7</f>
        <v/>
      </c>
      <c r="T91" s="55">
        <f>T90/Assumptions!$B$7</f>
        <v/>
      </c>
      <c r="U91" s="55">
        <f>U90/Assumptions!$B$7</f>
        <v/>
      </c>
      <c r="V91" s="55">
        <f>V90/Assumptions!$B$7</f>
        <v/>
      </c>
      <c r="W91" s="55">
        <f>W90/Assumptions!$B$7</f>
        <v/>
      </c>
      <c r="X91" s="55">
        <f>X90/Assumptions!$B$7</f>
        <v/>
      </c>
      <c r="Y91" s="55">
        <f>Y90/Assumptions!$B$7</f>
        <v/>
      </c>
      <c r="Z91" s="55">
        <f>Z90/Assumptions!$B$7</f>
        <v/>
      </c>
      <c r="AA91" s="55">
        <f>AA90/Assumptions!$B$7</f>
        <v/>
      </c>
      <c r="AB91" s="55">
        <f>AB90/Assumptions!$B$7</f>
        <v/>
      </c>
      <c r="AC91" s="55">
        <f>AC90/Assumptions!$B$7</f>
        <v/>
      </c>
      <c r="AD91" s="55">
        <f>AD90/Assumptions!$B$7</f>
        <v/>
      </c>
      <c r="AE91" s="55">
        <f>AE90/Assumptions!$B$7</f>
        <v/>
      </c>
    </row>
    <row r="92">
      <c r="A92" s="6" t="inlineStr">
        <is>
          <t xml:space="preserve">  Average transaction size (derived)</t>
        </is>
      </c>
      <c r="B92" s="23" t="inlineStr">
        <is>
          <t>AED</t>
        </is>
      </c>
      <c r="C92" s="45">
        <f>IF(Assumptions!$B$144=0,0,C87*Assumptions!$B$156*Assumptions!$B$7/Assumptions!$B$144)</f>
        <v/>
      </c>
      <c r="D92" s="45">
        <f>IF(Assumptions!$B$144=0,0,D87*Assumptions!$B$156*Assumptions!$B$7/Assumptions!$B$144)</f>
        <v/>
      </c>
      <c r="E92" s="45">
        <f>IF(Assumptions!$B$144=0,0,E87*Assumptions!$B$156*Assumptions!$B$7/Assumptions!$B$144)</f>
        <v/>
      </c>
      <c r="F92" s="45">
        <f>IF(Assumptions!$B$144=0,0,F87*Assumptions!$B$156*Assumptions!$B$7/Assumptions!$B$144)</f>
        <v/>
      </c>
      <c r="G92" s="45">
        <f>IF(Assumptions!$B$144=0,0,G87*Assumptions!$B$156*Assumptions!$B$7/Assumptions!$B$144)</f>
        <v/>
      </c>
      <c r="H92" s="45">
        <f>IF(Assumptions!$B$144=0,0,H87*Assumptions!$B$156*Assumptions!$B$7/Assumptions!$B$144)</f>
        <v/>
      </c>
      <c r="I92" s="45">
        <f>IF(Assumptions!$B$144=0,0,I87*Assumptions!$B$156*Assumptions!$B$7/Assumptions!$B$144)</f>
        <v/>
      </c>
      <c r="J92" s="45">
        <f>IF(Assumptions!$B$144=0,0,J87*Assumptions!$B$156*Assumptions!$B$7/Assumptions!$B$144)</f>
        <v/>
      </c>
      <c r="K92" s="45">
        <f>IF(Assumptions!$B$144=0,0,K87*Assumptions!$B$156*Assumptions!$B$7/Assumptions!$B$144)</f>
        <v/>
      </c>
      <c r="L92" s="45">
        <f>IF(Assumptions!$B$144=0,0,L87*Assumptions!$B$156*Assumptions!$B$7/Assumptions!$B$144)</f>
        <v/>
      </c>
      <c r="M92" s="45">
        <f>IF(Assumptions!$B$144=0,0,M87*Assumptions!$B$156*Assumptions!$B$7/Assumptions!$B$144)</f>
        <v/>
      </c>
      <c r="N92" s="45">
        <f>IF(Assumptions!$B$144=0,0,N87*Assumptions!$B$156*Assumptions!$B$7/Assumptions!$B$144)</f>
        <v/>
      </c>
      <c r="O92" s="45">
        <f>IF(Assumptions!$B$144=0,0,O87*Assumptions!$B$156*Assumptions!$B$7/Assumptions!$B$144)</f>
        <v/>
      </c>
      <c r="P92" s="45">
        <f>IF(Assumptions!$B$144=0,0,P87*Assumptions!$B$156*Assumptions!$B$7/Assumptions!$B$144)</f>
        <v/>
      </c>
      <c r="Q92" s="45">
        <f>IF(Assumptions!$B$144=0,0,Q87*Assumptions!$B$156*Assumptions!$B$7/Assumptions!$B$144)</f>
        <v/>
      </c>
      <c r="R92" s="45">
        <f>IF(Assumptions!$B$144=0,0,R87*Assumptions!$B$156*Assumptions!$B$7/Assumptions!$B$144)</f>
        <v/>
      </c>
      <c r="S92" s="45">
        <f>IF(Assumptions!$B$144=0,0,S87*Assumptions!$B$156*Assumptions!$B$7/Assumptions!$B$144)</f>
        <v/>
      </c>
      <c r="T92" s="45">
        <f>IF(Assumptions!$B$144=0,0,T87*Assumptions!$B$156*Assumptions!$B$7/Assumptions!$B$144)</f>
        <v/>
      </c>
      <c r="U92" s="45">
        <f>IF(Assumptions!$B$144=0,0,U87*Assumptions!$B$156*Assumptions!$B$7/Assumptions!$B$144)</f>
        <v/>
      </c>
      <c r="V92" s="45">
        <f>IF(Assumptions!$B$144=0,0,V87*Assumptions!$B$156*Assumptions!$B$7/Assumptions!$B$144)</f>
        <v/>
      </c>
      <c r="W92" s="45">
        <f>IF(Assumptions!$B$144=0,0,W87*Assumptions!$B$156*Assumptions!$B$7/Assumptions!$B$144)</f>
        <v/>
      </c>
      <c r="X92" s="45">
        <f>IF(Assumptions!$B$144=0,0,X87*Assumptions!$B$156*Assumptions!$B$7/Assumptions!$B$144)</f>
        <v/>
      </c>
      <c r="Y92" s="45">
        <f>IF(Assumptions!$B$144=0,0,Y87*Assumptions!$B$156*Assumptions!$B$7/Assumptions!$B$144)</f>
        <v/>
      </c>
      <c r="Z92" s="45">
        <f>IF(Assumptions!$B$144=0,0,Z87*Assumptions!$B$156*Assumptions!$B$7/Assumptions!$B$144)</f>
        <v/>
      </c>
      <c r="AA92" s="45">
        <f>IF(Assumptions!$B$144=0,0,AA87*Assumptions!$B$156*Assumptions!$B$7/Assumptions!$B$144)</f>
        <v/>
      </c>
      <c r="AB92" s="45">
        <f>IF(Assumptions!$B$144=0,0,AB87*Assumptions!$B$156*Assumptions!$B$7/Assumptions!$B$144)</f>
        <v/>
      </c>
      <c r="AC92" s="45">
        <f>IF(Assumptions!$B$144=0,0,AC87*Assumptions!$B$156*Assumptions!$B$7/Assumptions!$B$144)</f>
        <v/>
      </c>
      <c r="AD92" s="45">
        <f>IF(Assumptions!$B$144=0,0,AD87*Assumptions!$B$156*Assumptions!$B$7/Assumptions!$B$144)</f>
        <v/>
      </c>
      <c r="AE92" s="45">
        <f>IF(Assumptions!$B$144=0,0,AE87*Assumptions!$B$156*Assumptions!$B$7/Assumptions!$B$144)</f>
        <v/>
      </c>
    </row>
    <row r="93">
      <c r="A93" s="6" t="inlineStr">
        <is>
          <t xml:space="preserve">  Card authorisations (memo - drives cost, not revenue)</t>
        </is>
      </c>
      <c r="B93" s="23" t="inlineStr">
        <is>
          <t>auths</t>
        </is>
      </c>
      <c r="C93" s="45">
        <f>C86*Assumptions!$B$158*Assumptions!$B$144*C7/12*(1+Assumptions!$B$16)</f>
        <v/>
      </c>
      <c r="D93" s="45">
        <f>D86*Assumptions!$B$158*Assumptions!$B$144*D7/12*(1+Assumptions!$B$16)</f>
        <v/>
      </c>
      <c r="E93" s="45">
        <f>E86*Assumptions!$B$158*Assumptions!$B$144*E7/12*(1+Assumptions!$B$16)</f>
        <v/>
      </c>
      <c r="F93" s="45">
        <f>F86*Assumptions!$B$158*Assumptions!$B$144*F7/12*(1+Assumptions!$B$16)</f>
        <v/>
      </c>
      <c r="G93" s="45">
        <f>G86*Assumptions!$B$158*Assumptions!$B$144*G7/12*(1+Assumptions!$B$16)</f>
        <v/>
      </c>
      <c r="H93" s="45">
        <f>H86*Assumptions!$B$158*Assumptions!$B$144*H7/12*(1+Assumptions!$B$16)</f>
        <v/>
      </c>
      <c r="I93" s="45">
        <f>I86*Assumptions!$B$158*Assumptions!$B$144*I7/12*(1+Assumptions!$B$16)</f>
        <v/>
      </c>
      <c r="J93" s="45">
        <f>J86*Assumptions!$B$158*Assumptions!$B$144*J7/12*(1+Assumptions!$B$16)</f>
        <v/>
      </c>
      <c r="K93" s="45">
        <f>K86*Assumptions!$B$158*Assumptions!$B$144*K7/12*(1+Assumptions!$B$16)</f>
        <v/>
      </c>
      <c r="L93" s="45">
        <f>L86*Assumptions!$B$158*Assumptions!$B$144*L7/12*(1+Assumptions!$B$16)</f>
        <v/>
      </c>
      <c r="M93" s="45">
        <f>M86*Assumptions!$B$158*Assumptions!$B$144*M7/12*(1+Assumptions!$B$16)</f>
        <v/>
      </c>
      <c r="N93" s="45">
        <f>N86*Assumptions!$B$158*Assumptions!$B$144*N7/12*(1+Assumptions!$B$16)</f>
        <v/>
      </c>
      <c r="O93" s="45">
        <f>O86*Assumptions!$B$158*Assumptions!$B$144*O7/12*(1+Assumptions!$B$16)</f>
        <v/>
      </c>
      <c r="P93" s="45">
        <f>P86*Assumptions!$B$158*Assumptions!$B$144*P7/12*(1+Assumptions!$B$16)</f>
        <v/>
      </c>
      <c r="Q93" s="45">
        <f>Q86*Assumptions!$B$158*Assumptions!$B$144*Q7/12*(1+Assumptions!$B$16)</f>
        <v/>
      </c>
      <c r="R93" s="45">
        <f>R86*Assumptions!$B$158*Assumptions!$B$144*R7/12*(1+Assumptions!$B$16)</f>
        <v/>
      </c>
      <c r="S93" s="45">
        <f>S86*Assumptions!$B$158*Assumptions!$B$144*S7/12*(1+Assumptions!$B$16)</f>
        <v/>
      </c>
      <c r="T93" s="45">
        <f>T86*Assumptions!$B$158*Assumptions!$B$144*T7/12*(1+Assumptions!$B$16)</f>
        <v/>
      </c>
      <c r="U93" s="45">
        <f>U86*Assumptions!$B$158*Assumptions!$B$144*U7/12*(1+Assumptions!$B$16)</f>
        <v/>
      </c>
      <c r="V93" s="45">
        <f>V86*Assumptions!$B$158*Assumptions!$B$144*V7/12*(1+Assumptions!$B$16)</f>
        <v/>
      </c>
      <c r="W93" s="45">
        <f>W86*Assumptions!$B$158*Assumptions!$B$144*W7/12*(1+Assumptions!$B$16)</f>
        <v/>
      </c>
      <c r="X93" s="45">
        <f>X86*Assumptions!$B$158*Assumptions!$B$144*X7/12*(1+Assumptions!$B$16)</f>
        <v/>
      </c>
      <c r="Y93" s="45">
        <f>Y86*Assumptions!$B$158*Assumptions!$B$144*Y7/12*(1+Assumptions!$B$16)</f>
        <v/>
      </c>
      <c r="Z93" s="45">
        <f>Z86*Assumptions!$B$158*Assumptions!$B$144*Z7/12*(1+Assumptions!$B$16)</f>
        <v/>
      </c>
      <c r="AA93" s="45">
        <f>AA86*Assumptions!$B$158*Assumptions!$B$144*AA7/12*(1+Assumptions!$B$16)</f>
        <v/>
      </c>
      <c r="AB93" s="45">
        <f>AB86*Assumptions!$B$158*Assumptions!$B$144*AB7/12*(1+Assumptions!$B$16)</f>
        <v/>
      </c>
      <c r="AC93" s="45">
        <f>AC86*Assumptions!$B$158*Assumptions!$B$144*AC7/12*(1+Assumptions!$B$16)</f>
        <v/>
      </c>
      <c r="AD93" s="45">
        <f>AD86*Assumptions!$B$158*Assumptions!$B$144*AD7/12*(1+Assumptions!$B$16)</f>
        <v/>
      </c>
      <c r="AE93" s="45">
        <f>AE86*Assumptions!$B$158*Assumptions!$B$144*AE7/12*(1+Assumptions!$B$16)</f>
        <v/>
      </c>
    </row>
    <row r="94">
      <c r="A94" s="6" t="inlineStr">
        <is>
          <t xml:space="preserve">  Stream 1a - Entry fee, SIP</t>
        </is>
      </c>
      <c r="B94" s="23" t="inlineStr">
        <is>
          <t>USD</t>
        </is>
      </c>
      <c r="C94" s="55">
        <f>C75*Assumptions!$B$8</f>
        <v/>
      </c>
      <c r="D94" s="55">
        <f>D75*Assumptions!$B$8</f>
        <v/>
      </c>
      <c r="E94" s="55">
        <f>E75*Assumptions!$B$8</f>
        <v/>
      </c>
      <c r="F94" s="55">
        <f>F75*Assumptions!$B$8</f>
        <v/>
      </c>
      <c r="G94" s="55">
        <f>G75*Assumptions!$B$8</f>
        <v/>
      </c>
      <c r="H94" s="55">
        <f>H75*Assumptions!$B$8</f>
        <v/>
      </c>
      <c r="I94" s="55">
        <f>I75*Assumptions!$B$8</f>
        <v/>
      </c>
      <c r="J94" s="55">
        <f>J75*Assumptions!$B$8</f>
        <v/>
      </c>
      <c r="K94" s="55">
        <f>K75*Assumptions!$B$8</f>
        <v/>
      </c>
      <c r="L94" s="55">
        <f>L75*Assumptions!$B$8</f>
        <v/>
      </c>
      <c r="M94" s="55">
        <f>M75*Assumptions!$B$8</f>
        <v/>
      </c>
      <c r="N94" s="55">
        <f>N75*Assumptions!$B$8</f>
        <v/>
      </c>
      <c r="O94" s="55">
        <f>O75*Assumptions!$B$8</f>
        <v/>
      </c>
      <c r="P94" s="55">
        <f>P75*Assumptions!$B$8</f>
        <v/>
      </c>
      <c r="Q94" s="55">
        <f>Q75*Assumptions!$B$8</f>
        <v/>
      </c>
      <c r="R94" s="55">
        <f>R75*Assumptions!$B$8</f>
        <v/>
      </c>
      <c r="S94" s="55">
        <f>S75*Assumptions!$B$8</f>
        <v/>
      </c>
      <c r="T94" s="55">
        <f>T75*Assumptions!$B$8</f>
        <v/>
      </c>
      <c r="U94" s="55">
        <f>U75*Assumptions!$B$8</f>
        <v/>
      </c>
      <c r="V94" s="55">
        <f>V75*Assumptions!$B$8</f>
        <v/>
      </c>
      <c r="W94" s="55">
        <f>W75*Assumptions!$B$8</f>
        <v/>
      </c>
      <c r="X94" s="55">
        <f>X75*Assumptions!$B$8</f>
        <v/>
      </c>
      <c r="Y94" s="55">
        <f>Y75*Assumptions!$B$8</f>
        <v/>
      </c>
      <c r="Z94" s="55">
        <f>Z75*Assumptions!$B$8</f>
        <v/>
      </c>
      <c r="AA94" s="55">
        <f>AA75*Assumptions!$B$8</f>
        <v/>
      </c>
      <c r="AB94" s="55">
        <f>AB75*Assumptions!$B$8</f>
        <v/>
      </c>
      <c r="AC94" s="55">
        <f>AC75*Assumptions!$B$8</f>
        <v/>
      </c>
      <c r="AD94" s="55">
        <f>AD75*Assumptions!$B$8</f>
        <v/>
      </c>
      <c r="AE94" s="55">
        <f>AE75*Assumptions!$B$8</f>
        <v/>
      </c>
    </row>
    <row r="95">
      <c r="A95" s="6" t="inlineStr">
        <is>
          <t xml:space="preserve">  Stream 1b - Entry fee, SPOT</t>
        </is>
      </c>
      <c r="B95" s="23" t="inlineStr">
        <is>
          <t>USD</t>
        </is>
      </c>
      <c r="C95" s="55">
        <f>C76*Assumptions!$B$8</f>
        <v/>
      </c>
      <c r="D95" s="55">
        <f>D76*Assumptions!$B$8</f>
        <v/>
      </c>
      <c r="E95" s="55">
        <f>E76*Assumptions!$B$8</f>
        <v/>
      </c>
      <c r="F95" s="55">
        <f>F76*Assumptions!$B$8</f>
        <v/>
      </c>
      <c r="G95" s="55">
        <f>G76*Assumptions!$B$8</f>
        <v/>
      </c>
      <c r="H95" s="55">
        <f>H76*Assumptions!$B$8</f>
        <v/>
      </c>
      <c r="I95" s="55">
        <f>I76*Assumptions!$B$8</f>
        <v/>
      </c>
      <c r="J95" s="55">
        <f>J76*Assumptions!$B$8</f>
        <v/>
      </c>
      <c r="K95" s="55">
        <f>K76*Assumptions!$B$8</f>
        <v/>
      </c>
      <c r="L95" s="55">
        <f>L76*Assumptions!$B$8</f>
        <v/>
      </c>
      <c r="M95" s="55">
        <f>M76*Assumptions!$B$8</f>
        <v/>
      </c>
      <c r="N95" s="55">
        <f>N76*Assumptions!$B$8</f>
        <v/>
      </c>
      <c r="O95" s="55">
        <f>O76*Assumptions!$B$8</f>
        <v/>
      </c>
      <c r="P95" s="55">
        <f>P76*Assumptions!$B$8</f>
        <v/>
      </c>
      <c r="Q95" s="55">
        <f>Q76*Assumptions!$B$8</f>
        <v/>
      </c>
      <c r="R95" s="55">
        <f>R76*Assumptions!$B$8</f>
        <v/>
      </c>
      <c r="S95" s="55">
        <f>S76*Assumptions!$B$8</f>
        <v/>
      </c>
      <c r="T95" s="55">
        <f>T76*Assumptions!$B$8</f>
        <v/>
      </c>
      <c r="U95" s="55">
        <f>U76*Assumptions!$B$8</f>
        <v/>
      </c>
      <c r="V95" s="55">
        <f>V76*Assumptions!$B$8</f>
        <v/>
      </c>
      <c r="W95" s="55">
        <f>W76*Assumptions!$B$8</f>
        <v/>
      </c>
      <c r="X95" s="55">
        <f>X76*Assumptions!$B$8</f>
        <v/>
      </c>
      <c r="Y95" s="55">
        <f>Y76*Assumptions!$B$8</f>
        <v/>
      </c>
      <c r="Z95" s="55">
        <f>Z76*Assumptions!$B$8</f>
        <v/>
      </c>
      <c r="AA95" s="55">
        <f>AA76*Assumptions!$B$8</f>
        <v/>
      </c>
      <c r="AB95" s="55">
        <f>AB76*Assumptions!$B$8</f>
        <v/>
      </c>
      <c r="AC95" s="55">
        <f>AC76*Assumptions!$B$8</f>
        <v/>
      </c>
      <c r="AD95" s="55">
        <f>AD76*Assumptions!$B$8</f>
        <v/>
      </c>
      <c r="AE95" s="55">
        <f>AE76*Assumptions!$B$8</f>
        <v/>
      </c>
    </row>
    <row r="96">
      <c r="A96" s="6" t="inlineStr">
        <is>
          <t xml:space="preserve">  Stream 2 - Card interchange</t>
        </is>
      </c>
      <c r="B96" s="23" t="inlineStr">
        <is>
          <t>USD</t>
        </is>
      </c>
      <c r="C96" s="55">
        <f>C91*IF(Assumptions!$B$178=1,MIN(Assumptions!$B$14,1%),Assumptions!$B$14)*(1-Assumptions!$B$142)</f>
        <v/>
      </c>
      <c r="D96" s="55">
        <f>D91*IF(Assumptions!$B$178=1,MIN(Assumptions!$B$14,1%),Assumptions!$B$14)*(1-Assumptions!$B$142)</f>
        <v/>
      </c>
      <c r="E96" s="55">
        <f>E91*IF(Assumptions!$B$178=1,MIN(Assumptions!$B$14,1%),Assumptions!$B$14)*(1-Assumptions!$B$142)</f>
        <v/>
      </c>
      <c r="F96" s="55">
        <f>F91*IF(Assumptions!$B$178=1,MIN(Assumptions!$B$14,1%),Assumptions!$B$14)*(1-Assumptions!$B$142)</f>
        <v/>
      </c>
      <c r="G96" s="55">
        <f>G91*IF(Assumptions!$B$178=1,MIN(Assumptions!$B$14,1%),Assumptions!$B$14)*(1-Assumptions!$B$142)</f>
        <v/>
      </c>
      <c r="H96" s="55">
        <f>H91*IF(Assumptions!$B$178=1,MIN(Assumptions!$B$14,1%),Assumptions!$B$14)*(1-Assumptions!$B$142)</f>
        <v/>
      </c>
      <c r="I96" s="55">
        <f>I91*IF(Assumptions!$B$178=1,MIN(Assumptions!$B$14,1%),Assumptions!$B$14)*(1-Assumptions!$B$142)</f>
        <v/>
      </c>
      <c r="J96" s="55">
        <f>J91*IF(Assumptions!$B$178=1,MIN(Assumptions!$B$14,1%),Assumptions!$B$14)*(1-Assumptions!$B$142)</f>
        <v/>
      </c>
      <c r="K96" s="55">
        <f>K91*IF(Assumptions!$B$178=1,MIN(Assumptions!$B$14,1%),Assumptions!$B$14)*(1-Assumptions!$B$142)</f>
        <v/>
      </c>
      <c r="L96" s="55">
        <f>L91*IF(Assumptions!$B$178=1,MIN(Assumptions!$B$14,1%),Assumptions!$B$14)*(1-Assumptions!$B$142)</f>
        <v/>
      </c>
      <c r="M96" s="55">
        <f>M91*IF(Assumptions!$B$178=1,MIN(Assumptions!$B$14,1%),Assumptions!$B$14)*(1-Assumptions!$B$142)</f>
        <v/>
      </c>
      <c r="N96" s="55">
        <f>N91*IF(Assumptions!$B$178=1,MIN(Assumptions!$B$14,1%),Assumptions!$B$14)*(1-Assumptions!$B$142)</f>
        <v/>
      </c>
      <c r="O96" s="55">
        <f>O91*IF(Assumptions!$B$178=1,MIN(Assumptions!$B$14,1%),Assumptions!$B$14)*(1-Assumptions!$B$142)</f>
        <v/>
      </c>
      <c r="P96" s="55">
        <f>P91*IF(Assumptions!$B$178=1,MIN(Assumptions!$B$14,1%),Assumptions!$B$14)*(1-Assumptions!$B$142)</f>
        <v/>
      </c>
      <c r="Q96" s="55">
        <f>Q91*IF(Assumptions!$B$178=1,MIN(Assumptions!$B$14,1%),Assumptions!$B$14)*(1-Assumptions!$B$142)</f>
        <v/>
      </c>
      <c r="R96" s="55">
        <f>R91*IF(Assumptions!$B$178=1,MIN(Assumptions!$B$14,1%),Assumptions!$B$14)*(1-Assumptions!$B$142)</f>
        <v/>
      </c>
      <c r="S96" s="55">
        <f>S91*IF(Assumptions!$B$178=1,MIN(Assumptions!$B$14,1%),Assumptions!$B$14)*(1-Assumptions!$B$142)</f>
        <v/>
      </c>
      <c r="T96" s="55">
        <f>T91*IF(Assumptions!$B$178=1,MIN(Assumptions!$B$14,1%),Assumptions!$B$14)*(1-Assumptions!$B$142)</f>
        <v/>
      </c>
      <c r="U96" s="55">
        <f>U91*IF(Assumptions!$B$178=1,MIN(Assumptions!$B$14,1%),Assumptions!$B$14)*(1-Assumptions!$B$142)</f>
        <v/>
      </c>
      <c r="V96" s="55">
        <f>V91*IF(Assumptions!$B$178=1,MIN(Assumptions!$B$14,1%),Assumptions!$B$14)*(1-Assumptions!$B$142)</f>
        <v/>
      </c>
      <c r="W96" s="55">
        <f>W91*IF(Assumptions!$B$178=1,MIN(Assumptions!$B$14,1%),Assumptions!$B$14)*(1-Assumptions!$B$142)</f>
        <v/>
      </c>
      <c r="X96" s="55">
        <f>X91*IF(Assumptions!$B$178=1,MIN(Assumptions!$B$14,1%),Assumptions!$B$14)*(1-Assumptions!$B$142)</f>
        <v/>
      </c>
      <c r="Y96" s="55">
        <f>Y91*IF(Assumptions!$B$178=1,MIN(Assumptions!$B$14,1%),Assumptions!$B$14)*(1-Assumptions!$B$142)</f>
        <v/>
      </c>
      <c r="Z96" s="55">
        <f>Z91*IF(Assumptions!$B$178=1,MIN(Assumptions!$B$14,1%),Assumptions!$B$14)*(1-Assumptions!$B$142)</f>
        <v/>
      </c>
      <c r="AA96" s="55">
        <f>AA91*IF(Assumptions!$B$178=1,MIN(Assumptions!$B$14,1%),Assumptions!$B$14)*(1-Assumptions!$B$142)</f>
        <v/>
      </c>
      <c r="AB96" s="55">
        <f>AB91*IF(Assumptions!$B$178=1,MIN(Assumptions!$B$14,1%),Assumptions!$B$14)*(1-Assumptions!$B$142)</f>
        <v/>
      </c>
      <c r="AC96" s="55">
        <f>AC91*IF(Assumptions!$B$178=1,MIN(Assumptions!$B$14,1%),Assumptions!$B$14)*(1-Assumptions!$B$142)</f>
        <v/>
      </c>
      <c r="AD96" s="55">
        <f>AD91*IF(Assumptions!$B$178=1,MIN(Assumptions!$B$14,1%),Assumptions!$B$14)*(1-Assumptions!$B$142)</f>
        <v/>
      </c>
      <c r="AE96" s="55">
        <f>AE91*IF(Assumptions!$B$178=1,MIN(Assumptions!$B$14,1%),Assumptions!$B$14)*(1-Assumptions!$B$142)</f>
        <v/>
      </c>
    </row>
    <row r="97">
      <c r="A97" s="6" t="inlineStr">
        <is>
          <t xml:space="preserve">  Family plan subscribers</t>
        </is>
      </c>
      <c r="B97" s="23" t="inlineStr">
        <is>
          <t>subscribers</t>
        </is>
      </c>
      <c r="C97" s="54">
        <f>IF(C2&gt;=Assumptions!$B$50,C70*Assumptions!$B$159*(1-Assumptions!$B$162)^(C7/2),0)</f>
        <v/>
      </c>
      <c r="D97" s="54">
        <f>IF(D2&gt;=Assumptions!$B$50,C97*(1-Assumptions!$B$162)^D7+D70*Assumptions!$B$159*(1-Assumptions!$B$162)^(D7/2),0)</f>
        <v/>
      </c>
      <c r="E97" s="54">
        <f>IF(E2&gt;=Assumptions!$B$50,D97*(1-Assumptions!$B$162)^E7+E70*Assumptions!$B$159*(1-Assumptions!$B$162)^(E7/2),0)</f>
        <v/>
      </c>
      <c r="F97" s="54">
        <f>IF(F2&gt;=Assumptions!$B$50,E97*(1-Assumptions!$B$162)^F7+F70*Assumptions!$B$159*(1-Assumptions!$B$162)^(F7/2),0)</f>
        <v/>
      </c>
      <c r="G97" s="54">
        <f>IF(G2&gt;=Assumptions!$B$50,F97*(1-Assumptions!$B$162)^G7+G70*Assumptions!$B$159*(1-Assumptions!$B$162)^(G7/2),0)</f>
        <v/>
      </c>
      <c r="H97" s="54">
        <f>IF(H2&gt;=Assumptions!$B$50,G97*(1-Assumptions!$B$162)^H7+H70*Assumptions!$B$159*(1-Assumptions!$B$162)^(H7/2),0)</f>
        <v/>
      </c>
      <c r="I97" s="54">
        <f>IF(I2&gt;=Assumptions!$B$50,H97*(1-Assumptions!$B$162)^I7+I70*Assumptions!$B$159*(1-Assumptions!$B$162)^(I7/2),0)</f>
        <v/>
      </c>
      <c r="J97" s="54">
        <f>IF(J2&gt;=Assumptions!$B$50,I97*(1-Assumptions!$B$162)^J7+J70*Assumptions!$B$159*(1-Assumptions!$B$162)^(J7/2),0)</f>
        <v/>
      </c>
      <c r="K97" s="54">
        <f>IF(K2&gt;=Assumptions!$B$50,J97*(1-Assumptions!$B$162)^K7+K70*Assumptions!$B$159*(1-Assumptions!$B$162)^(K7/2),0)</f>
        <v/>
      </c>
      <c r="L97" s="54">
        <f>IF(L2&gt;=Assumptions!$B$50,K97*(1-Assumptions!$B$162)^L7+L70*Assumptions!$B$159*(1-Assumptions!$B$162)^(L7/2),0)</f>
        <v/>
      </c>
      <c r="M97" s="54">
        <f>IF(M2&gt;=Assumptions!$B$50,L97*(1-Assumptions!$B$162)^M7+M70*Assumptions!$B$159*(1-Assumptions!$B$162)^(M7/2),0)</f>
        <v/>
      </c>
      <c r="N97" s="54">
        <f>IF(N2&gt;=Assumptions!$B$50,M97*(1-Assumptions!$B$162)^N7+N70*Assumptions!$B$159*(1-Assumptions!$B$162)^(N7/2),0)</f>
        <v/>
      </c>
      <c r="O97" s="54">
        <f>IF(O2&gt;=Assumptions!$B$50,N97*(1-Assumptions!$B$162)^O7+O70*Assumptions!$B$159*(1-Assumptions!$B$162)^(O7/2),0)</f>
        <v/>
      </c>
      <c r="P97" s="54">
        <f>IF(P2&gt;=Assumptions!$B$50,O97*(1-Assumptions!$B$162)^P7+P70*Assumptions!$B$159*(1-Assumptions!$B$162)^(P7/2),0)</f>
        <v/>
      </c>
      <c r="Q97" s="54">
        <f>IF(Q2&gt;=Assumptions!$B$50,P97*(1-Assumptions!$B$162)^Q7+Q70*Assumptions!$B$159*(1-Assumptions!$B$162)^(Q7/2),0)</f>
        <v/>
      </c>
      <c r="R97" s="54">
        <f>IF(R2&gt;=Assumptions!$B$50,Q97*(1-Assumptions!$B$162)^R7+R70*Assumptions!$B$159*(1-Assumptions!$B$162)^(R7/2),0)</f>
        <v/>
      </c>
      <c r="S97" s="54">
        <f>IF(S2&gt;=Assumptions!$B$50,R97*(1-Assumptions!$B$162)^S7+S70*Assumptions!$B$159*(1-Assumptions!$B$162)^(S7/2),0)</f>
        <v/>
      </c>
      <c r="T97" s="54">
        <f>IF(T2&gt;=Assumptions!$B$50,S97*(1-Assumptions!$B$162)^T7+T70*Assumptions!$B$159*(1-Assumptions!$B$162)^(T7/2),0)</f>
        <v/>
      </c>
      <c r="U97" s="54">
        <f>IF(U2&gt;=Assumptions!$B$50,T97*(1-Assumptions!$B$162)^U7+U70*Assumptions!$B$159*(1-Assumptions!$B$162)^(U7/2),0)</f>
        <v/>
      </c>
      <c r="V97" s="54">
        <f>IF(V2&gt;=Assumptions!$B$50,U97*(1-Assumptions!$B$162)^V7+V70*Assumptions!$B$159*(1-Assumptions!$B$162)^(V7/2),0)</f>
        <v/>
      </c>
      <c r="W97" s="54">
        <f>IF(W2&gt;=Assumptions!$B$50,V97*(1-Assumptions!$B$162)^W7+W70*Assumptions!$B$159*(1-Assumptions!$B$162)^(W7/2),0)</f>
        <v/>
      </c>
      <c r="X97" s="54">
        <f>IF(X2&gt;=Assumptions!$B$50,W97*(1-Assumptions!$B$162)^X7+X70*Assumptions!$B$159*(1-Assumptions!$B$162)^(X7/2),0)</f>
        <v/>
      </c>
      <c r="Y97" s="54">
        <f>IF(Y2&gt;=Assumptions!$B$50,X97*(1-Assumptions!$B$162)^Y7+Y70*Assumptions!$B$159*(1-Assumptions!$B$162)^(Y7/2),0)</f>
        <v/>
      </c>
      <c r="Z97" s="54">
        <f>IF(Z2&gt;=Assumptions!$B$50,Y97*(1-Assumptions!$B$162)^Z7+Z70*Assumptions!$B$159*(1-Assumptions!$B$162)^(Z7/2),0)</f>
        <v/>
      </c>
      <c r="AA97" s="54">
        <f>IF(AA2&gt;=Assumptions!$B$50,Z97*(1-Assumptions!$B$162)^AA7+AA70*Assumptions!$B$159*(1-Assumptions!$B$162)^(AA7/2),0)</f>
        <v/>
      </c>
      <c r="AB97" s="54">
        <f>IF(AB2&gt;=Assumptions!$B$50,AA97*(1-Assumptions!$B$162)^AB7+AB70*Assumptions!$B$159*(1-Assumptions!$B$162)^(AB7/2),0)</f>
        <v/>
      </c>
      <c r="AC97" s="54">
        <f>IF(AC2&gt;=Assumptions!$B$50,AB97*(1-Assumptions!$B$162)^AC7+AC70*Assumptions!$B$159*(1-Assumptions!$B$162)^(AC7/2),0)</f>
        <v/>
      </c>
      <c r="AD97" s="54">
        <f>IF(AD2&gt;=Assumptions!$B$50,AC97*(1-Assumptions!$B$162)^AD7+AD70*Assumptions!$B$159*(1-Assumptions!$B$162)^(AD7/2),0)</f>
        <v/>
      </c>
      <c r="AE97" s="54">
        <f>IF(AE2&gt;=Assumptions!$B$50,AD97*(1-Assumptions!$B$162)^AE7+AE70*Assumptions!$B$159*(1-Assumptions!$B$162)^(AE7/2),0)</f>
        <v/>
      </c>
    </row>
    <row r="98">
      <c r="A98" s="6" t="inlineStr">
        <is>
          <t xml:space="preserve">  Stream 3 - Family plan and Digital Will</t>
        </is>
      </c>
      <c r="B98" s="23" t="inlineStr">
        <is>
          <t>USD</t>
        </is>
      </c>
      <c r="C98" s="55">
        <f>C97*(Assumptions!$B$25+MAX(0,Assumptions!$B$161-1)*Assumptions!$B$26)/12*C7</f>
        <v/>
      </c>
      <c r="D98" s="55">
        <f>D97*(Assumptions!$B$25+MAX(0,Assumptions!$B$161-1)*Assumptions!$B$26)/12*D7</f>
        <v/>
      </c>
      <c r="E98" s="55">
        <f>E97*(Assumptions!$B$25+MAX(0,Assumptions!$B$161-1)*Assumptions!$B$26)/12*E7</f>
        <v/>
      </c>
      <c r="F98" s="55">
        <f>F97*(Assumptions!$B$25+MAX(0,Assumptions!$B$161-1)*Assumptions!$B$26)/12*F7</f>
        <v/>
      </c>
      <c r="G98" s="55">
        <f>G97*(Assumptions!$B$25+MAX(0,Assumptions!$B$161-1)*Assumptions!$B$26)/12*G7</f>
        <v/>
      </c>
      <c r="H98" s="55">
        <f>H97*(Assumptions!$B$25+MAX(0,Assumptions!$B$161-1)*Assumptions!$B$26)/12*H7</f>
        <v/>
      </c>
      <c r="I98" s="55">
        <f>I97*(Assumptions!$B$25+MAX(0,Assumptions!$B$161-1)*Assumptions!$B$26)/12*I7</f>
        <v/>
      </c>
      <c r="J98" s="55">
        <f>J97*(Assumptions!$B$25+MAX(0,Assumptions!$B$161-1)*Assumptions!$B$26)/12*J7</f>
        <v/>
      </c>
      <c r="K98" s="55">
        <f>K97*(Assumptions!$B$25+MAX(0,Assumptions!$B$161-1)*Assumptions!$B$26)/12*K7</f>
        <v/>
      </c>
      <c r="L98" s="55">
        <f>L97*(Assumptions!$B$25+MAX(0,Assumptions!$B$161-1)*Assumptions!$B$26)/12*L7</f>
        <v/>
      </c>
      <c r="M98" s="55">
        <f>M97*(Assumptions!$B$25+MAX(0,Assumptions!$B$161-1)*Assumptions!$B$26)/12*M7</f>
        <v/>
      </c>
      <c r="N98" s="55">
        <f>N97*(Assumptions!$B$25+MAX(0,Assumptions!$B$161-1)*Assumptions!$B$26)/12*N7</f>
        <v/>
      </c>
      <c r="O98" s="55">
        <f>O97*(Assumptions!$B$25+MAX(0,Assumptions!$B$161-1)*Assumptions!$B$26)/12*O7</f>
        <v/>
      </c>
      <c r="P98" s="55">
        <f>P97*(Assumptions!$B$25+MAX(0,Assumptions!$B$161-1)*Assumptions!$B$26)/12*P7</f>
        <v/>
      </c>
      <c r="Q98" s="55">
        <f>Q97*(Assumptions!$B$25+MAX(0,Assumptions!$B$161-1)*Assumptions!$B$26)/12*Q7</f>
        <v/>
      </c>
      <c r="R98" s="55">
        <f>R97*(Assumptions!$B$25+MAX(0,Assumptions!$B$161-1)*Assumptions!$B$26)/12*R7</f>
        <v/>
      </c>
      <c r="S98" s="55">
        <f>S97*(Assumptions!$B$25+MAX(0,Assumptions!$B$161-1)*Assumptions!$B$26)/12*S7</f>
        <v/>
      </c>
      <c r="T98" s="55">
        <f>T97*(Assumptions!$B$25+MAX(0,Assumptions!$B$161-1)*Assumptions!$B$26)/12*T7</f>
        <v/>
      </c>
      <c r="U98" s="55">
        <f>U97*(Assumptions!$B$25+MAX(0,Assumptions!$B$161-1)*Assumptions!$B$26)/12*U7</f>
        <v/>
      </c>
      <c r="V98" s="55">
        <f>V97*(Assumptions!$B$25+MAX(0,Assumptions!$B$161-1)*Assumptions!$B$26)/12*V7</f>
        <v/>
      </c>
      <c r="W98" s="55">
        <f>W97*(Assumptions!$B$25+MAX(0,Assumptions!$B$161-1)*Assumptions!$B$26)/12*W7</f>
        <v/>
      </c>
      <c r="X98" s="55">
        <f>X97*(Assumptions!$B$25+MAX(0,Assumptions!$B$161-1)*Assumptions!$B$26)/12*X7</f>
        <v/>
      </c>
      <c r="Y98" s="55">
        <f>Y97*(Assumptions!$B$25+MAX(0,Assumptions!$B$161-1)*Assumptions!$B$26)/12*Y7</f>
        <v/>
      </c>
      <c r="Z98" s="55">
        <f>Z97*(Assumptions!$B$25+MAX(0,Assumptions!$B$161-1)*Assumptions!$B$26)/12*Z7</f>
        <v/>
      </c>
      <c r="AA98" s="55">
        <f>AA97*(Assumptions!$B$25+MAX(0,Assumptions!$B$161-1)*Assumptions!$B$26)/12*AA7</f>
        <v/>
      </c>
      <c r="AB98" s="55">
        <f>AB97*(Assumptions!$B$25+MAX(0,Assumptions!$B$161-1)*Assumptions!$B$26)/12*AB7</f>
        <v/>
      </c>
      <c r="AC98" s="55">
        <f>AC97*(Assumptions!$B$25+MAX(0,Assumptions!$B$161-1)*Assumptions!$B$26)/12*AC7</f>
        <v/>
      </c>
      <c r="AD98" s="55">
        <f>AD97*(Assumptions!$B$25+MAX(0,Assumptions!$B$161-1)*Assumptions!$B$26)/12*AD7</f>
        <v/>
      </c>
      <c r="AE98" s="55">
        <f>AE97*(Assumptions!$B$25+MAX(0,Assumptions!$B$161-1)*Assumptions!$B$26)/12*AE7</f>
        <v/>
      </c>
    </row>
    <row r="99">
      <c r="A99" s="6" t="inlineStr">
        <is>
          <t xml:space="preserve">  Stream 4 - Cardholder fees (FX, ATM, events)</t>
        </is>
      </c>
      <c r="B99" s="23" t="inlineStr">
        <is>
          <t>USD</t>
        </is>
      </c>
      <c r="C99" s="55">
        <f>IF(C2&gt;=Assumptions!$B$52,C91*C17*Assumptions!$B$17+C86*(Assumptions!$B$148*MAX(0,Assumptions!$B$152-Assumptions!$B$18)+Assumptions!$B$149*MAX(0,Assumptions!$B$153-Assumptions!$B$18)+Assumptions!$B$150*MAX(0,Assumptions!$B$154-Assumptions!$B$18)+Assumptions!$B$151*MAX(0,Assumptions!$B$155-Assumptions!$B$18))*Assumptions!$B$19/Assumptions!$B$7*C7+C85*(Assumptions!$B$146*Assumptions!$B$20+Assumptions!$B$147*Assumptions!$B$21)/12/Assumptions!$B$7*C7,0)</f>
        <v/>
      </c>
      <c r="D99" s="55">
        <f>IF(D2&gt;=Assumptions!$B$52,D91*D17*Assumptions!$B$17+D86*(Assumptions!$B$148*MAX(0,Assumptions!$B$152-Assumptions!$B$18)+Assumptions!$B$149*MAX(0,Assumptions!$B$153-Assumptions!$B$18)+Assumptions!$B$150*MAX(0,Assumptions!$B$154-Assumptions!$B$18)+Assumptions!$B$151*MAX(0,Assumptions!$B$155-Assumptions!$B$18))*Assumptions!$B$19/Assumptions!$B$7*D7+D85*(Assumptions!$B$146*Assumptions!$B$20+Assumptions!$B$147*Assumptions!$B$21)/12/Assumptions!$B$7*D7,0)</f>
        <v/>
      </c>
      <c r="E99" s="55">
        <f>IF(E2&gt;=Assumptions!$B$52,E91*E17*Assumptions!$B$17+E86*(Assumptions!$B$148*MAX(0,Assumptions!$B$152-Assumptions!$B$18)+Assumptions!$B$149*MAX(0,Assumptions!$B$153-Assumptions!$B$18)+Assumptions!$B$150*MAX(0,Assumptions!$B$154-Assumptions!$B$18)+Assumptions!$B$151*MAX(0,Assumptions!$B$155-Assumptions!$B$18))*Assumptions!$B$19/Assumptions!$B$7*E7+E85*(Assumptions!$B$146*Assumptions!$B$20+Assumptions!$B$147*Assumptions!$B$21)/12/Assumptions!$B$7*E7,0)</f>
        <v/>
      </c>
      <c r="F99" s="55">
        <f>IF(F2&gt;=Assumptions!$B$52,F91*F17*Assumptions!$B$17+F86*(Assumptions!$B$148*MAX(0,Assumptions!$B$152-Assumptions!$B$18)+Assumptions!$B$149*MAX(0,Assumptions!$B$153-Assumptions!$B$18)+Assumptions!$B$150*MAX(0,Assumptions!$B$154-Assumptions!$B$18)+Assumptions!$B$151*MAX(0,Assumptions!$B$155-Assumptions!$B$18))*Assumptions!$B$19/Assumptions!$B$7*F7+F85*(Assumptions!$B$146*Assumptions!$B$20+Assumptions!$B$147*Assumptions!$B$21)/12/Assumptions!$B$7*F7,0)</f>
        <v/>
      </c>
      <c r="G99" s="55">
        <f>IF(G2&gt;=Assumptions!$B$52,G91*G17*Assumptions!$B$17+G86*(Assumptions!$B$148*MAX(0,Assumptions!$B$152-Assumptions!$B$18)+Assumptions!$B$149*MAX(0,Assumptions!$B$153-Assumptions!$B$18)+Assumptions!$B$150*MAX(0,Assumptions!$B$154-Assumptions!$B$18)+Assumptions!$B$151*MAX(0,Assumptions!$B$155-Assumptions!$B$18))*Assumptions!$B$19/Assumptions!$B$7*G7+G85*(Assumptions!$B$146*Assumptions!$B$20+Assumptions!$B$147*Assumptions!$B$21)/12/Assumptions!$B$7*G7,0)</f>
        <v/>
      </c>
      <c r="H99" s="55">
        <f>IF(H2&gt;=Assumptions!$B$52,H91*H17*Assumptions!$B$17+H86*(Assumptions!$B$148*MAX(0,Assumptions!$B$152-Assumptions!$B$18)+Assumptions!$B$149*MAX(0,Assumptions!$B$153-Assumptions!$B$18)+Assumptions!$B$150*MAX(0,Assumptions!$B$154-Assumptions!$B$18)+Assumptions!$B$151*MAX(0,Assumptions!$B$155-Assumptions!$B$18))*Assumptions!$B$19/Assumptions!$B$7*H7+H85*(Assumptions!$B$146*Assumptions!$B$20+Assumptions!$B$147*Assumptions!$B$21)/12/Assumptions!$B$7*H7,0)</f>
        <v/>
      </c>
      <c r="I99" s="55">
        <f>IF(I2&gt;=Assumptions!$B$52,I91*I17*Assumptions!$B$17+I86*(Assumptions!$B$148*MAX(0,Assumptions!$B$152-Assumptions!$B$18)+Assumptions!$B$149*MAX(0,Assumptions!$B$153-Assumptions!$B$18)+Assumptions!$B$150*MAX(0,Assumptions!$B$154-Assumptions!$B$18)+Assumptions!$B$151*MAX(0,Assumptions!$B$155-Assumptions!$B$18))*Assumptions!$B$19/Assumptions!$B$7*I7+I85*(Assumptions!$B$146*Assumptions!$B$20+Assumptions!$B$147*Assumptions!$B$21)/12/Assumptions!$B$7*I7,0)</f>
        <v/>
      </c>
      <c r="J99" s="55">
        <f>IF(J2&gt;=Assumptions!$B$52,J91*J17*Assumptions!$B$17+J86*(Assumptions!$B$148*MAX(0,Assumptions!$B$152-Assumptions!$B$18)+Assumptions!$B$149*MAX(0,Assumptions!$B$153-Assumptions!$B$18)+Assumptions!$B$150*MAX(0,Assumptions!$B$154-Assumptions!$B$18)+Assumptions!$B$151*MAX(0,Assumptions!$B$155-Assumptions!$B$18))*Assumptions!$B$19/Assumptions!$B$7*J7+J85*(Assumptions!$B$146*Assumptions!$B$20+Assumptions!$B$147*Assumptions!$B$21)/12/Assumptions!$B$7*J7,0)</f>
        <v/>
      </c>
      <c r="K99" s="55">
        <f>IF(K2&gt;=Assumptions!$B$52,K91*K17*Assumptions!$B$17+K86*(Assumptions!$B$148*MAX(0,Assumptions!$B$152-Assumptions!$B$18)+Assumptions!$B$149*MAX(0,Assumptions!$B$153-Assumptions!$B$18)+Assumptions!$B$150*MAX(0,Assumptions!$B$154-Assumptions!$B$18)+Assumptions!$B$151*MAX(0,Assumptions!$B$155-Assumptions!$B$18))*Assumptions!$B$19/Assumptions!$B$7*K7+K85*(Assumptions!$B$146*Assumptions!$B$20+Assumptions!$B$147*Assumptions!$B$21)/12/Assumptions!$B$7*K7,0)</f>
        <v/>
      </c>
      <c r="L99" s="55">
        <f>IF(L2&gt;=Assumptions!$B$52,L91*L17*Assumptions!$B$17+L86*(Assumptions!$B$148*MAX(0,Assumptions!$B$152-Assumptions!$B$18)+Assumptions!$B$149*MAX(0,Assumptions!$B$153-Assumptions!$B$18)+Assumptions!$B$150*MAX(0,Assumptions!$B$154-Assumptions!$B$18)+Assumptions!$B$151*MAX(0,Assumptions!$B$155-Assumptions!$B$18))*Assumptions!$B$19/Assumptions!$B$7*L7+L85*(Assumptions!$B$146*Assumptions!$B$20+Assumptions!$B$147*Assumptions!$B$21)/12/Assumptions!$B$7*L7,0)</f>
        <v/>
      </c>
      <c r="M99" s="55">
        <f>IF(M2&gt;=Assumptions!$B$52,M91*M17*Assumptions!$B$17+M86*(Assumptions!$B$148*MAX(0,Assumptions!$B$152-Assumptions!$B$18)+Assumptions!$B$149*MAX(0,Assumptions!$B$153-Assumptions!$B$18)+Assumptions!$B$150*MAX(0,Assumptions!$B$154-Assumptions!$B$18)+Assumptions!$B$151*MAX(0,Assumptions!$B$155-Assumptions!$B$18))*Assumptions!$B$19/Assumptions!$B$7*M7+M85*(Assumptions!$B$146*Assumptions!$B$20+Assumptions!$B$147*Assumptions!$B$21)/12/Assumptions!$B$7*M7,0)</f>
        <v/>
      </c>
      <c r="N99" s="55">
        <f>IF(N2&gt;=Assumptions!$B$52,N91*N17*Assumptions!$B$17+N86*(Assumptions!$B$148*MAX(0,Assumptions!$B$152-Assumptions!$B$18)+Assumptions!$B$149*MAX(0,Assumptions!$B$153-Assumptions!$B$18)+Assumptions!$B$150*MAX(0,Assumptions!$B$154-Assumptions!$B$18)+Assumptions!$B$151*MAX(0,Assumptions!$B$155-Assumptions!$B$18))*Assumptions!$B$19/Assumptions!$B$7*N7+N85*(Assumptions!$B$146*Assumptions!$B$20+Assumptions!$B$147*Assumptions!$B$21)/12/Assumptions!$B$7*N7,0)</f>
        <v/>
      </c>
      <c r="O99" s="55">
        <f>IF(O2&gt;=Assumptions!$B$52,O91*O17*Assumptions!$B$17+O86*(Assumptions!$B$148*MAX(0,Assumptions!$B$152-Assumptions!$B$18)+Assumptions!$B$149*MAX(0,Assumptions!$B$153-Assumptions!$B$18)+Assumptions!$B$150*MAX(0,Assumptions!$B$154-Assumptions!$B$18)+Assumptions!$B$151*MAX(0,Assumptions!$B$155-Assumptions!$B$18))*Assumptions!$B$19/Assumptions!$B$7*O7+O85*(Assumptions!$B$146*Assumptions!$B$20+Assumptions!$B$147*Assumptions!$B$21)/12/Assumptions!$B$7*O7,0)</f>
        <v/>
      </c>
      <c r="P99" s="55">
        <f>IF(P2&gt;=Assumptions!$B$52,P91*P17*Assumptions!$B$17+P86*(Assumptions!$B$148*MAX(0,Assumptions!$B$152-Assumptions!$B$18)+Assumptions!$B$149*MAX(0,Assumptions!$B$153-Assumptions!$B$18)+Assumptions!$B$150*MAX(0,Assumptions!$B$154-Assumptions!$B$18)+Assumptions!$B$151*MAX(0,Assumptions!$B$155-Assumptions!$B$18))*Assumptions!$B$19/Assumptions!$B$7*P7+P85*(Assumptions!$B$146*Assumptions!$B$20+Assumptions!$B$147*Assumptions!$B$21)/12/Assumptions!$B$7*P7,0)</f>
        <v/>
      </c>
      <c r="Q99" s="55">
        <f>IF(Q2&gt;=Assumptions!$B$52,Q91*Q17*Assumptions!$B$17+Q86*(Assumptions!$B$148*MAX(0,Assumptions!$B$152-Assumptions!$B$18)+Assumptions!$B$149*MAX(0,Assumptions!$B$153-Assumptions!$B$18)+Assumptions!$B$150*MAX(0,Assumptions!$B$154-Assumptions!$B$18)+Assumptions!$B$151*MAX(0,Assumptions!$B$155-Assumptions!$B$18))*Assumptions!$B$19/Assumptions!$B$7*Q7+Q85*(Assumptions!$B$146*Assumptions!$B$20+Assumptions!$B$147*Assumptions!$B$21)/12/Assumptions!$B$7*Q7,0)</f>
        <v/>
      </c>
      <c r="R99" s="55">
        <f>IF(R2&gt;=Assumptions!$B$52,R91*R17*Assumptions!$B$17+R86*(Assumptions!$B$148*MAX(0,Assumptions!$B$152-Assumptions!$B$18)+Assumptions!$B$149*MAX(0,Assumptions!$B$153-Assumptions!$B$18)+Assumptions!$B$150*MAX(0,Assumptions!$B$154-Assumptions!$B$18)+Assumptions!$B$151*MAX(0,Assumptions!$B$155-Assumptions!$B$18))*Assumptions!$B$19/Assumptions!$B$7*R7+R85*(Assumptions!$B$146*Assumptions!$B$20+Assumptions!$B$147*Assumptions!$B$21)/12/Assumptions!$B$7*R7,0)</f>
        <v/>
      </c>
      <c r="S99" s="55">
        <f>IF(S2&gt;=Assumptions!$B$52,S91*S17*Assumptions!$B$17+S86*(Assumptions!$B$148*MAX(0,Assumptions!$B$152-Assumptions!$B$18)+Assumptions!$B$149*MAX(0,Assumptions!$B$153-Assumptions!$B$18)+Assumptions!$B$150*MAX(0,Assumptions!$B$154-Assumptions!$B$18)+Assumptions!$B$151*MAX(0,Assumptions!$B$155-Assumptions!$B$18))*Assumptions!$B$19/Assumptions!$B$7*S7+S85*(Assumptions!$B$146*Assumptions!$B$20+Assumptions!$B$147*Assumptions!$B$21)/12/Assumptions!$B$7*S7,0)</f>
        <v/>
      </c>
      <c r="T99" s="55">
        <f>IF(T2&gt;=Assumptions!$B$52,T91*T17*Assumptions!$B$17+T86*(Assumptions!$B$148*MAX(0,Assumptions!$B$152-Assumptions!$B$18)+Assumptions!$B$149*MAX(0,Assumptions!$B$153-Assumptions!$B$18)+Assumptions!$B$150*MAX(0,Assumptions!$B$154-Assumptions!$B$18)+Assumptions!$B$151*MAX(0,Assumptions!$B$155-Assumptions!$B$18))*Assumptions!$B$19/Assumptions!$B$7*T7+T85*(Assumptions!$B$146*Assumptions!$B$20+Assumptions!$B$147*Assumptions!$B$21)/12/Assumptions!$B$7*T7,0)</f>
        <v/>
      </c>
      <c r="U99" s="55">
        <f>IF(U2&gt;=Assumptions!$B$52,U91*U17*Assumptions!$B$17+U86*(Assumptions!$B$148*MAX(0,Assumptions!$B$152-Assumptions!$B$18)+Assumptions!$B$149*MAX(0,Assumptions!$B$153-Assumptions!$B$18)+Assumptions!$B$150*MAX(0,Assumptions!$B$154-Assumptions!$B$18)+Assumptions!$B$151*MAX(0,Assumptions!$B$155-Assumptions!$B$18))*Assumptions!$B$19/Assumptions!$B$7*U7+U85*(Assumptions!$B$146*Assumptions!$B$20+Assumptions!$B$147*Assumptions!$B$21)/12/Assumptions!$B$7*U7,0)</f>
        <v/>
      </c>
      <c r="V99" s="55">
        <f>IF(V2&gt;=Assumptions!$B$52,V91*V17*Assumptions!$B$17+V86*(Assumptions!$B$148*MAX(0,Assumptions!$B$152-Assumptions!$B$18)+Assumptions!$B$149*MAX(0,Assumptions!$B$153-Assumptions!$B$18)+Assumptions!$B$150*MAX(0,Assumptions!$B$154-Assumptions!$B$18)+Assumptions!$B$151*MAX(0,Assumptions!$B$155-Assumptions!$B$18))*Assumptions!$B$19/Assumptions!$B$7*V7+V85*(Assumptions!$B$146*Assumptions!$B$20+Assumptions!$B$147*Assumptions!$B$21)/12/Assumptions!$B$7*V7,0)</f>
        <v/>
      </c>
      <c r="W99" s="55">
        <f>IF(W2&gt;=Assumptions!$B$52,W91*W17*Assumptions!$B$17+W86*(Assumptions!$B$148*MAX(0,Assumptions!$B$152-Assumptions!$B$18)+Assumptions!$B$149*MAX(0,Assumptions!$B$153-Assumptions!$B$18)+Assumptions!$B$150*MAX(0,Assumptions!$B$154-Assumptions!$B$18)+Assumptions!$B$151*MAX(0,Assumptions!$B$155-Assumptions!$B$18))*Assumptions!$B$19/Assumptions!$B$7*W7+W85*(Assumptions!$B$146*Assumptions!$B$20+Assumptions!$B$147*Assumptions!$B$21)/12/Assumptions!$B$7*W7,0)</f>
        <v/>
      </c>
      <c r="X99" s="55">
        <f>IF(X2&gt;=Assumptions!$B$52,X91*X17*Assumptions!$B$17+X86*(Assumptions!$B$148*MAX(0,Assumptions!$B$152-Assumptions!$B$18)+Assumptions!$B$149*MAX(0,Assumptions!$B$153-Assumptions!$B$18)+Assumptions!$B$150*MAX(0,Assumptions!$B$154-Assumptions!$B$18)+Assumptions!$B$151*MAX(0,Assumptions!$B$155-Assumptions!$B$18))*Assumptions!$B$19/Assumptions!$B$7*X7+X85*(Assumptions!$B$146*Assumptions!$B$20+Assumptions!$B$147*Assumptions!$B$21)/12/Assumptions!$B$7*X7,0)</f>
        <v/>
      </c>
      <c r="Y99" s="55">
        <f>IF(Y2&gt;=Assumptions!$B$52,Y91*Y17*Assumptions!$B$17+Y86*(Assumptions!$B$148*MAX(0,Assumptions!$B$152-Assumptions!$B$18)+Assumptions!$B$149*MAX(0,Assumptions!$B$153-Assumptions!$B$18)+Assumptions!$B$150*MAX(0,Assumptions!$B$154-Assumptions!$B$18)+Assumptions!$B$151*MAX(0,Assumptions!$B$155-Assumptions!$B$18))*Assumptions!$B$19/Assumptions!$B$7*Y7+Y85*(Assumptions!$B$146*Assumptions!$B$20+Assumptions!$B$147*Assumptions!$B$21)/12/Assumptions!$B$7*Y7,0)</f>
        <v/>
      </c>
      <c r="Z99" s="55">
        <f>IF(Z2&gt;=Assumptions!$B$52,Z91*Z17*Assumptions!$B$17+Z86*(Assumptions!$B$148*MAX(0,Assumptions!$B$152-Assumptions!$B$18)+Assumptions!$B$149*MAX(0,Assumptions!$B$153-Assumptions!$B$18)+Assumptions!$B$150*MAX(0,Assumptions!$B$154-Assumptions!$B$18)+Assumptions!$B$151*MAX(0,Assumptions!$B$155-Assumptions!$B$18))*Assumptions!$B$19/Assumptions!$B$7*Z7+Z85*(Assumptions!$B$146*Assumptions!$B$20+Assumptions!$B$147*Assumptions!$B$21)/12/Assumptions!$B$7*Z7,0)</f>
        <v/>
      </c>
      <c r="AA99" s="55">
        <f>IF(AA2&gt;=Assumptions!$B$52,AA91*AA17*Assumptions!$B$17+AA86*(Assumptions!$B$148*MAX(0,Assumptions!$B$152-Assumptions!$B$18)+Assumptions!$B$149*MAX(0,Assumptions!$B$153-Assumptions!$B$18)+Assumptions!$B$150*MAX(0,Assumptions!$B$154-Assumptions!$B$18)+Assumptions!$B$151*MAX(0,Assumptions!$B$155-Assumptions!$B$18))*Assumptions!$B$19/Assumptions!$B$7*AA7+AA85*(Assumptions!$B$146*Assumptions!$B$20+Assumptions!$B$147*Assumptions!$B$21)/12/Assumptions!$B$7*AA7,0)</f>
        <v/>
      </c>
      <c r="AB99" s="55">
        <f>IF(AB2&gt;=Assumptions!$B$52,AB91*AB17*Assumptions!$B$17+AB86*(Assumptions!$B$148*MAX(0,Assumptions!$B$152-Assumptions!$B$18)+Assumptions!$B$149*MAX(0,Assumptions!$B$153-Assumptions!$B$18)+Assumptions!$B$150*MAX(0,Assumptions!$B$154-Assumptions!$B$18)+Assumptions!$B$151*MAX(0,Assumptions!$B$155-Assumptions!$B$18))*Assumptions!$B$19/Assumptions!$B$7*AB7+AB85*(Assumptions!$B$146*Assumptions!$B$20+Assumptions!$B$147*Assumptions!$B$21)/12/Assumptions!$B$7*AB7,0)</f>
        <v/>
      </c>
      <c r="AC99" s="55">
        <f>IF(AC2&gt;=Assumptions!$B$52,AC91*AC17*Assumptions!$B$17+AC86*(Assumptions!$B$148*MAX(0,Assumptions!$B$152-Assumptions!$B$18)+Assumptions!$B$149*MAX(0,Assumptions!$B$153-Assumptions!$B$18)+Assumptions!$B$150*MAX(0,Assumptions!$B$154-Assumptions!$B$18)+Assumptions!$B$151*MAX(0,Assumptions!$B$155-Assumptions!$B$18))*Assumptions!$B$19/Assumptions!$B$7*AC7+AC85*(Assumptions!$B$146*Assumptions!$B$20+Assumptions!$B$147*Assumptions!$B$21)/12/Assumptions!$B$7*AC7,0)</f>
        <v/>
      </c>
      <c r="AD99" s="55">
        <f>IF(AD2&gt;=Assumptions!$B$52,AD91*AD17*Assumptions!$B$17+AD86*(Assumptions!$B$148*MAX(0,Assumptions!$B$152-Assumptions!$B$18)+Assumptions!$B$149*MAX(0,Assumptions!$B$153-Assumptions!$B$18)+Assumptions!$B$150*MAX(0,Assumptions!$B$154-Assumptions!$B$18)+Assumptions!$B$151*MAX(0,Assumptions!$B$155-Assumptions!$B$18))*Assumptions!$B$19/Assumptions!$B$7*AD7+AD85*(Assumptions!$B$146*Assumptions!$B$20+Assumptions!$B$147*Assumptions!$B$21)/12/Assumptions!$B$7*AD7,0)</f>
        <v/>
      </c>
      <c r="AE99" s="55">
        <f>IF(AE2&gt;=Assumptions!$B$52,AE91*AE17*Assumptions!$B$17+AE86*(Assumptions!$B$148*MAX(0,Assumptions!$B$152-Assumptions!$B$18)+Assumptions!$B$149*MAX(0,Assumptions!$B$153-Assumptions!$B$18)+Assumptions!$B$150*MAX(0,Assumptions!$B$154-Assumptions!$B$18)+Assumptions!$B$151*MAX(0,Assumptions!$B$155-Assumptions!$B$18))*Assumptions!$B$19/Assumptions!$B$7*AE7+AE85*(Assumptions!$B$146*Assumptions!$B$20+Assumptions!$B$147*Assumptions!$B$21)/12/Assumptions!$B$7*AE7,0)</f>
        <v/>
      </c>
    </row>
    <row r="100">
      <c r="A100" s="6" t="inlineStr">
        <is>
          <t xml:space="preserve">  Average drawn balance outstanding</t>
        </is>
      </c>
      <c r="B100" s="23" t="inlineStr">
        <is>
          <t>USD</t>
        </is>
      </c>
      <c r="C100" s="55">
        <f>IF(C2&gt;=Assumptions!$B$53,C85*C87*(1-Assumptions!$B$178)*Assumptions!$B$156*Assumptions!$B$157,0)</f>
        <v/>
      </c>
      <c r="D100" s="55">
        <f>IF(D2&gt;=Assumptions!$B$53,D85*D87*(1-Assumptions!$B$178)*Assumptions!$B$156*Assumptions!$B$157,0)</f>
        <v/>
      </c>
      <c r="E100" s="55">
        <f>IF(E2&gt;=Assumptions!$B$53,E85*E87*(1-Assumptions!$B$178)*Assumptions!$B$156*Assumptions!$B$157,0)</f>
        <v/>
      </c>
      <c r="F100" s="55">
        <f>IF(F2&gt;=Assumptions!$B$53,F85*F87*(1-Assumptions!$B$178)*Assumptions!$B$156*Assumptions!$B$157,0)</f>
        <v/>
      </c>
      <c r="G100" s="55">
        <f>IF(G2&gt;=Assumptions!$B$53,G85*G87*(1-Assumptions!$B$178)*Assumptions!$B$156*Assumptions!$B$157,0)</f>
        <v/>
      </c>
      <c r="H100" s="55">
        <f>IF(H2&gt;=Assumptions!$B$53,H85*H87*(1-Assumptions!$B$178)*Assumptions!$B$156*Assumptions!$B$157,0)</f>
        <v/>
      </c>
      <c r="I100" s="55">
        <f>IF(I2&gt;=Assumptions!$B$53,I85*I87*(1-Assumptions!$B$178)*Assumptions!$B$156*Assumptions!$B$157,0)</f>
        <v/>
      </c>
      <c r="J100" s="55">
        <f>IF(J2&gt;=Assumptions!$B$53,J85*J87*(1-Assumptions!$B$178)*Assumptions!$B$156*Assumptions!$B$157,0)</f>
        <v/>
      </c>
      <c r="K100" s="55">
        <f>IF(K2&gt;=Assumptions!$B$53,K85*K87*(1-Assumptions!$B$178)*Assumptions!$B$156*Assumptions!$B$157,0)</f>
        <v/>
      </c>
      <c r="L100" s="55">
        <f>IF(L2&gt;=Assumptions!$B$53,L85*L87*(1-Assumptions!$B$178)*Assumptions!$B$156*Assumptions!$B$157,0)</f>
        <v/>
      </c>
      <c r="M100" s="55">
        <f>IF(M2&gt;=Assumptions!$B$53,M85*M87*(1-Assumptions!$B$178)*Assumptions!$B$156*Assumptions!$B$157,0)</f>
        <v/>
      </c>
      <c r="N100" s="55">
        <f>IF(N2&gt;=Assumptions!$B$53,N85*N87*(1-Assumptions!$B$178)*Assumptions!$B$156*Assumptions!$B$157,0)</f>
        <v/>
      </c>
      <c r="O100" s="55">
        <f>IF(O2&gt;=Assumptions!$B$53,O85*O87*(1-Assumptions!$B$178)*Assumptions!$B$156*Assumptions!$B$157,0)</f>
        <v/>
      </c>
      <c r="P100" s="55">
        <f>IF(P2&gt;=Assumptions!$B$53,P85*P87*(1-Assumptions!$B$178)*Assumptions!$B$156*Assumptions!$B$157,0)</f>
        <v/>
      </c>
      <c r="Q100" s="55">
        <f>IF(Q2&gt;=Assumptions!$B$53,Q85*Q87*(1-Assumptions!$B$178)*Assumptions!$B$156*Assumptions!$B$157,0)</f>
        <v/>
      </c>
      <c r="R100" s="55">
        <f>IF(R2&gt;=Assumptions!$B$53,R85*R87*(1-Assumptions!$B$178)*Assumptions!$B$156*Assumptions!$B$157,0)</f>
        <v/>
      </c>
      <c r="S100" s="55">
        <f>IF(S2&gt;=Assumptions!$B$53,S85*S87*(1-Assumptions!$B$178)*Assumptions!$B$156*Assumptions!$B$157,0)</f>
        <v/>
      </c>
      <c r="T100" s="55">
        <f>IF(T2&gt;=Assumptions!$B$53,T85*T87*(1-Assumptions!$B$178)*Assumptions!$B$156*Assumptions!$B$157,0)</f>
        <v/>
      </c>
      <c r="U100" s="55">
        <f>IF(U2&gt;=Assumptions!$B$53,U85*U87*(1-Assumptions!$B$178)*Assumptions!$B$156*Assumptions!$B$157,0)</f>
        <v/>
      </c>
      <c r="V100" s="55">
        <f>IF(V2&gt;=Assumptions!$B$53,V85*V87*(1-Assumptions!$B$178)*Assumptions!$B$156*Assumptions!$B$157,0)</f>
        <v/>
      </c>
      <c r="W100" s="55">
        <f>IF(W2&gt;=Assumptions!$B$53,W85*W87*(1-Assumptions!$B$178)*Assumptions!$B$156*Assumptions!$B$157,0)</f>
        <v/>
      </c>
      <c r="X100" s="55">
        <f>IF(X2&gt;=Assumptions!$B$53,X85*X87*(1-Assumptions!$B$178)*Assumptions!$B$156*Assumptions!$B$157,0)</f>
        <v/>
      </c>
      <c r="Y100" s="55">
        <f>IF(Y2&gt;=Assumptions!$B$53,Y85*Y87*(1-Assumptions!$B$178)*Assumptions!$B$156*Assumptions!$B$157,0)</f>
        <v/>
      </c>
      <c r="Z100" s="55">
        <f>IF(Z2&gt;=Assumptions!$B$53,Z85*Z87*(1-Assumptions!$B$178)*Assumptions!$B$156*Assumptions!$B$157,0)</f>
        <v/>
      </c>
      <c r="AA100" s="55">
        <f>IF(AA2&gt;=Assumptions!$B$53,AA85*AA87*(1-Assumptions!$B$178)*Assumptions!$B$156*Assumptions!$B$157,0)</f>
        <v/>
      </c>
      <c r="AB100" s="55">
        <f>IF(AB2&gt;=Assumptions!$B$53,AB85*AB87*(1-Assumptions!$B$178)*Assumptions!$B$156*Assumptions!$B$157,0)</f>
        <v/>
      </c>
      <c r="AC100" s="55">
        <f>IF(AC2&gt;=Assumptions!$B$53,AC85*AC87*(1-Assumptions!$B$178)*Assumptions!$B$156*Assumptions!$B$157,0)</f>
        <v/>
      </c>
      <c r="AD100" s="55">
        <f>IF(AD2&gt;=Assumptions!$B$53,AD85*AD87*(1-Assumptions!$B$178)*Assumptions!$B$156*Assumptions!$B$157,0)</f>
        <v/>
      </c>
      <c r="AE100" s="55">
        <f>IF(AE2&gt;=Assumptions!$B$53,AE85*AE87*(1-Assumptions!$B$178)*Assumptions!$B$156*Assumptions!$B$157,0)</f>
        <v/>
      </c>
    </row>
    <row r="101">
      <c r="A101" s="6" t="inlineStr">
        <is>
          <t xml:space="preserve">  Stream 5 - Lending revenue share</t>
        </is>
      </c>
      <c r="B101" s="23" t="inlineStr">
        <is>
          <t>USD</t>
        </is>
      </c>
      <c r="C101" s="55">
        <f>IF(C2&gt;=Assumptions!$B$53,(C100*Assumptions!$B$29*Assumptions!$B$30+C86*C88*(1-Assumptions!$B$178)*Assumptions!$B$27*Assumptions!$B$28)*C7/12,0)</f>
        <v/>
      </c>
      <c r="D101" s="55">
        <f>IF(D2&gt;=Assumptions!$B$53,(D100*Assumptions!$B$29*Assumptions!$B$30+D86*D88*(1-Assumptions!$B$178)*Assumptions!$B$27*Assumptions!$B$28)*D7/12,0)</f>
        <v/>
      </c>
      <c r="E101" s="55">
        <f>IF(E2&gt;=Assumptions!$B$53,(E100*Assumptions!$B$29*Assumptions!$B$30+E86*E88*(1-Assumptions!$B$178)*Assumptions!$B$27*Assumptions!$B$28)*E7/12,0)</f>
        <v/>
      </c>
      <c r="F101" s="55">
        <f>IF(F2&gt;=Assumptions!$B$53,(F100*Assumptions!$B$29*Assumptions!$B$30+F86*F88*(1-Assumptions!$B$178)*Assumptions!$B$27*Assumptions!$B$28)*F7/12,0)</f>
        <v/>
      </c>
      <c r="G101" s="55">
        <f>IF(G2&gt;=Assumptions!$B$53,(G100*Assumptions!$B$29*Assumptions!$B$30+G86*G88*(1-Assumptions!$B$178)*Assumptions!$B$27*Assumptions!$B$28)*G7/12,0)</f>
        <v/>
      </c>
      <c r="H101" s="55">
        <f>IF(H2&gt;=Assumptions!$B$53,(H100*Assumptions!$B$29*Assumptions!$B$30+H86*H88*(1-Assumptions!$B$178)*Assumptions!$B$27*Assumptions!$B$28)*H7/12,0)</f>
        <v/>
      </c>
      <c r="I101" s="55">
        <f>IF(I2&gt;=Assumptions!$B$53,(I100*Assumptions!$B$29*Assumptions!$B$30+I86*I88*(1-Assumptions!$B$178)*Assumptions!$B$27*Assumptions!$B$28)*I7/12,0)</f>
        <v/>
      </c>
      <c r="J101" s="55">
        <f>IF(J2&gt;=Assumptions!$B$53,(J100*Assumptions!$B$29*Assumptions!$B$30+J86*J88*(1-Assumptions!$B$178)*Assumptions!$B$27*Assumptions!$B$28)*J7/12,0)</f>
        <v/>
      </c>
      <c r="K101" s="55">
        <f>IF(K2&gt;=Assumptions!$B$53,(K100*Assumptions!$B$29*Assumptions!$B$30+K86*K88*(1-Assumptions!$B$178)*Assumptions!$B$27*Assumptions!$B$28)*K7/12,0)</f>
        <v/>
      </c>
      <c r="L101" s="55">
        <f>IF(L2&gt;=Assumptions!$B$53,(L100*Assumptions!$B$29*Assumptions!$B$30+L86*L88*(1-Assumptions!$B$178)*Assumptions!$B$27*Assumptions!$B$28)*L7/12,0)</f>
        <v/>
      </c>
      <c r="M101" s="55">
        <f>IF(M2&gt;=Assumptions!$B$53,(M100*Assumptions!$B$29*Assumptions!$B$30+M86*M88*(1-Assumptions!$B$178)*Assumptions!$B$27*Assumptions!$B$28)*M7/12,0)</f>
        <v/>
      </c>
      <c r="N101" s="55">
        <f>IF(N2&gt;=Assumptions!$B$53,(N100*Assumptions!$B$29*Assumptions!$B$30+N86*N88*(1-Assumptions!$B$178)*Assumptions!$B$27*Assumptions!$B$28)*N7/12,0)</f>
        <v/>
      </c>
      <c r="O101" s="55">
        <f>IF(O2&gt;=Assumptions!$B$53,(O100*Assumptions!$B$29*Assumptions!$B$30+O86*O88*(1-Assumptions!$B$178)*Assumptions!$B$27*Assumptions!$B$28)*O7/12,0)</f>
        <v/>
      </c>
      <c r="P101" s="55">
        <f>IF(P2&gt;=Assumptions!$B$53,(P100*Assumptions!$B$29*Assumptions!$B$30+P86*P88*(1-Assumptions!$B$178)*Assumptions!$B$27*Assumptions!$B$28)*P7/12,0)</f>
        <v/>
      </c>
      <c r="Q101" s="55">
        <f>IF(Q2&gt;=Assumptions!$B$53,(Q100*Assumptions!$B$29*Assumptions!$B$30+Q86*Q88*(1-Assumptions!$B$178)*Assumptions!$B$27*Assumptions!$B$28)*Q7/12,0)</f>
        <v/>
      </c>
      <c r="R101" s="55">
        <f>IF(R2&gt;=Assumptions!$B$53,(R100*Assumptions!$B$29*Assumptions!$B$30+R86*R88*(1-Assumptions!$B$178)*Assumptions!$B$27*Assumptions!$B$28)*R7/12,0)</f>
        <v/>
      </c>
      <c r="S101" s="55">
        <f>IF(S2&gt;=Assumptions!$B$53,(S100*Assumptions!$B$29*Assumptions!$B$30+S86*S88*(1-Assumptions!$B$178)*Assumptions!$B$27*Assumptions!$B$28)*S7/12,0)</f>
        <v/>
      </c>
      <c r="T101" s="55">
        <f>IF(T2&gt;=Assumptions!$B$53,(T100*Assumptions!$B$29*Assumptions!$B$30+T86*T88*(1-Assumptions!$B$178)*Assumptions!$B$27*Assumptions!$B$28)*T7/12,0)</f>
        <v/>
      </c>
      <c r="U101" s="55">
        <f>IF(U2&gt;=Assumptions!$B$53,(U100*Assumptions!$B$29*Assumptions!$B$30+U86*U88*(1-Assumptions!$B$178)*Assumptions!$B$27*Assumptions!$B$28)*U7/12,0)</f>
        <v/>
      </c>
      <c r="V101" s="55">
        <f>IF(V2&gt;=Assumptions!$B$53,(V100*Assumptions!$B$29*Assumptions!$B$30+V86*V88*(1-Assumptions!$B$178)*Assumptions!$B$27*Assumptions!$B$28)*V7/12,0)</f>
        <v/>
      </c>
      <c r="W101" s="55">
        <f>IF(W2&gt;=Assumptions!$B$53,(W100*Assumptions!$B$29*Assumptions!$B$30+W86*W88*(1-Assumptions!$B$178)*Assumptions!$B$27*Assumptions!$B$28)*W7/12,0)</f>
        <v/>
      </c>
      <c r="X101" s="55">
        <f>IF(X2&gt;=Assumptions!$B$53,(X100*Assumptions!$B$29*Assumptions!$B$30+X86*X88*(1-Assumptions!$B$178)*Assumptions!$B$27*Assumptions!$B$28)*X7/12,0)</f>
        <v/>
      </c>
      <c r="Y101" s="55">
        <f>IF(Y2&gt;=Assumptions!$B$53,(Y100*Assumptions!$B$29*Assumptions!$B$30+Y86*Y88*(1-Assumptions!$B$178)*Assumptions!$B$27*Assumptions!$B$28)*Y7/12,0)</f>
        <v/>
      </c>
      <c r="Z101" s="55">
        <f>IF(Z2&gt;=Assumptions!$B$53,(Z100*Assumptions!$B$29*Assumptions!$B$30+Z86*Z88*(1-Assumptions!$B$178)*Assumptions!$B$27*Assumptions!$B$28)*Z7/12,0)</f>
        <v/>
      </c>
      <c r="AA101" s="55">
        <f>IF(AA2&gt;=Assumptions!$B$53,(AA100*Assumptions!$B$29*Assumptions!$B$30+AA86*AA88*(1-Assumptions!$B$178)*Assumptions!$B$27*Assumptions!$B$28)*AA7/12,0)</f>
        <v/>
      </c>
      <c r="AB101" s="55">
        <f>IF(AB2&gt;=Assumptions!$B$53,(AB100*Assumptions!$B$29*Assumptions!$B$30+AB86*AB88*(1-Assumptions!$B$178)*Assumptions!$B$27*Assumptions!$B$28)*AB7/12,0)</f>
        <v/>
      </c>
      <c r="AC101" s="55">
        <f>IF(AC2&gt;=Assumptions!$B$53,(AC100*Assumptions!$B$29*Assumptions!$B$30+AC86*AC88*(1-Assumptions!$B$178)*Assumptions!$B$27*Assumptions!$B$28)*AC7/12,0)</f>
        <v/>
      </c>
      <c r="AD101" s="55">
        <f>IF(AD2&gt;=Assumptions!$B$53,(AD100*Assumptions!$B$29*Assumptions!$B$30+AD86*AD88*(1-Assumptions!$B$178)*Assumptions!$B$27*Assumptions!$B$28)*AD7/12,0)</f>
        <v/>
      </c>
      <c r="AE101" s="55">
        <f>IF(AE2&gt;=Assumptions!$B$53,(AE100*Assumptions!$B$29*Assumptions!$B$30+AE86*AE88*(1-Assumptions!$B$178)*Assumptions!$B$27*Assumptions!$B$28)*AE7/12,0)</f>
        <v/>
      </c>
    </row>
    <row r="102">
      <c r="A102" s="6" t="inlineStr">
        <is>
          <t xml:space="preserve">  Redemption events (memo - drives cost, not revenue)</t>
        </is>
      </c>
      <c r="B102" s="23" t="inlineStr">
        <is>
          <t>events</t>
        </is>
      </c>
      <c r="C102" s="45">
        <f>IF(C2&gt;=Assumptions!$B$49,(C71+C73*Assumptions!$B$138)*Assumptions!$B$137*C7/12,0)</f>
        <v/>
      </c>
      <c r="D102" s="45">
        <f>IF(D2&gt;=Assumptions!$B$49,(D71+D73*Assumptions!$B$138)*Assumptions!$B$137*D7/12,0)</f>
        <v/>
      </c>
      <c r="E102" s="45">
        <f>IF(E2&gt;=Assumptions!$B$49,(E71+E73*Assumptions!$B$138)*Assumptions!$B$137*E7/12,0)</f>
        <v/>
      </c>
      <c r="F102" s="45">
        <f>IF(F2&gt;=Assumptions!$B$49,(F71+F73*Assumptions!$B$138)*Assumptions!$B$137*F7/12,0)</f>
        <v/>
      </c>
      <c r="G102" s="45">
        <f>IF(G2&gt;=Assumptions!$B$49,(G71+G73*Assumptions!$B$138)*Assumptions!$B$137*G7/12,0)</f>
        <v/>
      </c>
      <c r="H102" s="45">
        <f>IF(H2&gt;=Assumptions!$B$49,(H71+H73*Assumptions!$B$138)*Assumptions!$B$137*H7/12,0)</f>
        <v/>
      </c>
      <c r="I102" s="45">
        <f>IF(I2&gt;=Assumptions!$B$49,(I71+I73*Assumptions!$B$138)*Assumptions!$B$137*I7/12,0)</f>
        <v/>
      </c>
      <c r="J102" s="45">
        <f>IF(J2&gt;=Assumptions!$B$49,(J71+J73*Assumptions!$B$138)*Assumptions!$B$137*J7/12,0)</f>
        <v/>
      </c>
      <c r="K102" s="45">
        <f>IF(K2&gt;=Assumptions!$B$49,(K71+K73*Assumptions!$B$138)*Assumptions!$B$137*K7/12,0)</f>
        <v/>
      </c>
      <c r="L102" s="45">
        <f>IF(L2&gt;=Assumptions!$B$49,(L71+L73*Assumptions!$B$138)*Assumptions!$B$137*L7/12,0)</f>
        <v/>
      </c>
      <c r="M102" s="45">
        <f>IF(M2&gt;=Assumptions!$B$49,(M71+M73*Assumptions!$B$138)*Assumptions!$B$137*M7/12,0)</f>
        <v/>
      </c>
      <c r="N102" s="45">
        <f>IF(N2&gt;=Assumptions!$B$49,(N71+N73*Assumptions!$B$138)*Assumptions!$B$137*N7/12,0)</f>
        <v/>
      </c>
      <c r="O102" s="45">
        <f>IF(O2&gt;=Assumptions!$B$49,(O71+O73*Assumptions!$B$138)*Assumptions!$B$137*O7/12,0)</f>
        <v/>
      </c>
      <c r="P102" s="45">
        <f>IF(P2&gt;=Assumptions!$B$49,(P71+P73*Assumptions!$B$138)*Assumptions!$B$137*P7/12,0)</f>
        <v/>
      </c>
      <c r="Q102" s="45">
        <f>IF(Q2&gt;=Assumptions!$B$49,(Q71+Q73*Assumptions!$B$138)*Assumptions!$B$137*Q7/12,0)</f>
        <v/>
      </c>
      <c r="R102" s="45">
        <f>IF(R2&gt;=Assumptions!$B$49,(R71+R73*Assumptions!$B$138)*Assumptions!$B$137*R7/12,0)</f>
        <v/>
      </c>
      <c r="S102" s="45">
        <f>IF(S2&gt;=Assumptions!$B$49,(S71+S73*Assumptions!$B$138)*Assumptions!$B$137*S7/12,0)</f>
        <v/>
      </c>
      <c r="T102" s="45">
        <f>IF(T2&gt;=Assumptions!$B$49,(T71+T73*Assumptions!$B$138)*Assumptions!$B$137*T7/12,0)</f>
        <v/>
      </c>
      <c r="U102" s="45">
        <f>IF(U2&gt;=Assumptions!$B$49,(U71+U73*Assumptions!$B$138)*Assumptions!$B$137*U7/12,0)</f>
        <v/>
      </c>
      <c r="V102" s="45">
        <f>IF(V2&gt;=Assumptions!$B$49,(V71+V73*Assumptions!$B$138)*Assumptions!$B$137*V7/12,0)</f>
        <v/>
      </c>
      <c r="W102" s="45">
        <f>IF(W2&gt;=Assumptions!$B$49,(W71+W73*Assumptions!$B$138)*Assumptions!$B$137*W7/12,0)</f>
        <v/>
      </c>
      <c r="X102" s="45">
        <f>IF(X2&gt;=Assumptions!$B$49,(X71+X73*Assumptions!$B$138)*Assumptions!$B$137*X7/12,0)</f>
        <v/>
      </c>
      <c r="Y102" s="45">
        <f>IF(Y2&gt;=Assumptions!$B$49,(Y71+Y73*Assumptions!$B$138)*Assumptions!$B$137*Y7/12,0)</f>
        <v/>
      </c>
      <c r="Z102" s="45">
        <f>IF(Z2&gt;=Assumptions!$B$49,(Z71+Z73*Assumptions!$B$138)*Assumptions!$B$137*Z7/12,0)</f>
        <v/>
      </c>
      <c r="AA102" s="45">
        <f>IF(AA2&gt;=Assumptions!$B$49,(AA71+AA73*Assumptions!$B$138)*Assumptions!$B$137*AA7/12,0)</f>
        <v/>
      </c>
      <c r="AB102" s="45">
        <f>IF(AB2&gt;=Assumptions!$B$49,(AB71+AB73*Assumptions!$B$138)*Assumptions!$B$137*AB7/12,0)</f>
        <v/>
      </c>
      <c r="AC102" s="45">
        <f>IF(AC2&gt;=Assumptions!$B$49,(AC71+AC73*Assumptions!$B$138)*Assumptions!$B$137*AC7/12,0)</f>
        <v/>
      </c>
      <c r="AD102" s="45">
        <f>IF(AD2&gt;=Assumptions!$B$49,(AD71+AD73*Assumptions!$B$138)*Assumptions!$B$137*AD7/12,0)</f>
        <v/>
      </c>
      <c r="AE102" s="45">
        <f>IF(AE2&gt;=Assumptions!$B$49,(AE71+AE73*Assumptions!$B$138)*Assumptions!$B$137*AE7/12,0)</f>
        <v/>
      </c>
    </row>
    <row r="103">
      <c r="A103" s="3" t="inlineStr">
        <is>
          <t xml:space="preserve">  SUBTOTAL - Oman and Bahrain</t>
        </is>
      </c>
      <c r="B103" s="23" t="inlineStr">
        <is>
          <t>USD</t>
        </is>
      </c>
      <c r="C103" s="57">
        <f>C94+C95+C96+C98+C99+C101</f>
        <v/>
      </c>
      <c r="D103" s="57">
        <f>D94+D95+D96+D98+D99+D101</f>
        <v/>
      </c>
      <c r="E103" s="57">
        <f>E94+E95+E96+E98+E99+E101</f>
        <v/>
      </c>
      <c r="F103" s="57">
        <f>F94+F95+F96+F98+F99+F101</f>
        <v/>
      </c>
      <c r="G103" s="57">
        <f>G94+G95+G96+G98+G99+G101</f>
        <v/>
      </c>
      <c r="H103" s="57">
        <f>H94+H95+H96+H98+H99+H101</f>
        <v/>
      </c>
      <c r="I103" s="57">
        <f>I94+I95+I96+I98+I99+I101</f>
        <v/>
      </c>
      <c r="J103" s="57">
        <f>J94+J95+J96+J98+J99+J101</f>
        <v/>
      </c>
      <c r="K103" s="57">
        <f>K94+K95+K96+K98+K99+K101</f>
        <v/>
      </c>
      <c r="L103" s="57">
        <f>L94+L95+L96+L98+L99+L101</f>
        <v/>
      </c>
      <c r="M103" s="57">
        <f>M94+M95+M96+M98+M99+M101</f>
        <v/>
      </c>
      <c r="N103" s="57">
        <f>N94+N95+N96+N98+N99+N101</f>
        <v/>
      </c>
      <c r="O103" s="57">
        <f>O94+O95+O96+O98+O99+O101</f>
        <v/>
      </c>
      <c r="P103" s="57">
        <f>P94+P95+P96+P98+P99+P101</f>
        <v/>
      </c>
      <c r="Q103" s="57">
        <f>Q94+Q95+Q96+Q98+Q99+Q101</f>
        <v/>
      </c>
      <c r="R103" s="57">
        <f>R94+R95+R96+R98+R99+R101</f>
        <v/>
      </c>
      <c r="S103" s="57">
        <f>S94+S95+S96+S98+S99+S101</f>
        <v/>
      </c>
      <c r="T103" s="57">
        <f>T94+T95+T96+T98+T99+T101</f>
        <v/>
      </c>
      <c r="U103" s="57">
        <f>U94+U95+U96+U98+U99+U101</f>
        <v/>
      </c>
      <c r="V103" s="57">
        <f>V94+V95+V96+V98+V99+V101</f>
        <v/>
      </c>
      <c r="W103" s="57">
        <f>W94+W95+W96+W98+W99+W101</f>
        <v/>
      </c>
      <c r="X103" s="57">
        <f>X94+X95+X96+X98+X99+X101</f>
        <v/>
      </c>
      <c r="Y103" s="57">
        <f>Y94+Y95+Y96+Y98+Y99+Y101</f>
        <v/>
      </c>
      <c r="Z103" s="57">
        <f>Z94+Z95+Z96+Z98+Z99+Z101</f>
        <v/>
      </c>
      <c r="AA103" s="57">
        <f>AA94+AA95+AA96+AA98+AA99+AA101</f>
        <v/>
      </c>
      <c r="AB103" s="57">
        <f>AB94+AB95+AB96+AB98+AB99+AB101</f>
        <v/>
      </c>
      <c r="AC103" s="57">
        <f>AC94+AC95+AC96+AC98+AC99+AC101</f>
        <v/>
      </c>
      <c r="AD103" s="57">
        <f>AD94+AD95+AD96+AD98+AD99+AD101</f>
        <v/>
      </c>
      <c r="AE103" s="57">
        <f>AE94+AE95+AE96+AE98+AE99+AE101</f>
        <v/>
      </c>
    </row>
    <row r="105">
      <c r="A105" s="46" t="inlineStr">
        <is>
          <t>REGION: INDIA</t>
        </is>
      </c>
      <c r="B105" s="47" t="n"/>
      <c r="C105" s="47" t="n"/>
      <c r="D105" s="47" t="n"/>
      <c r="E105" s="47" t="n"/>
      <c r="F105" s="47" t="n"/>
      <c r="G105" s="47" t="n"/>
      <c r="H105" s="47" t="n"/>
      <c r="I105" s="47" t="n"/>
      <c r="J105" s="47" t="n"/>
      <c r="K105" s="47" t="n"/>
      <c r="L105" s="47" t="n"/>
      <c r="M105" s="47" t="n"/>
      <c r="N105" s="47" t="n"/>
      <c r="O105" s="47" t="n"/>
      <c r="P105" s="47" t="n"/>
      <c r="Q105" s="47" t="n"/>
      <c r="R105" s="47" t="n"/>
      <c r="S105" s="47" t="n"/>
      <c r="T105" s="47" t="n"/>
      <c r="U105" s="47" t="n"/>
      <c r="V105" s="47" t="n"/>
      <c r="W105" s="47" t="n"/>
      <c r="X105" s="47" t="n"/>
      <c r="Y105" s="47" t="n"/>
      <c r="Z105" s="47" t="n"/>
      <c r="AA105" s="47" t="n"/>
      <c r="AB105" s="47" t="n"/>
      <c r="AC105" s="47" t="n"/>
      <c r="AD105" s="47" t="n"/>
      <c r="AE105" s="47" t="n"/>
    </row>
    <row r="106">
      <c r="A106" s="6" t="inlineStr">
        <is>
          <t xml:space="preserve">  Direct-driven (this market's budget at its own CAC)</t>
        </is>
      </c>
      <c r="B106" s="23" t="inlineStr">
        <is>
          <t>accounts</t>
        </is>
      </c>
      <c r="C106" s="53">
        <f>INDEX(Assumptions!$B$100:$B$106,C5)*Assumptions!$B$129/12*C7/Assumptions!$B$126*(1+Assumptions!$B$132)*IF(C2&gt;=Assumptions!$B$57,1,0)</f>
        <v/>
      </c>
      <c r="D106" s="53">
        <f>INDEX(Assumptions!$B$100:$B$106,D5)*Assumptions!$B$129/12*D7/Assumptions!$B$126*(1+Assumptions!$B$132)*IF(D2&gt;=Assumptions!$B$57,1,0)</f>
        <v/>
      </c>
      <c r="E106" s="53">
        <f>INDEX(Assumptions!$B$100:$B$106,E5)*Assumptions!$B$129/12*E7/Assumptions!$B$126*(1+Assumptions!$B$132)*IF(E2&gt;=Assumptions!$B$57,1,0)</f>
        <v/>
      </c>
      <c r="F106" s="53">
        <f>INDEX(Assumptions!$B$100:$B$106,F5)*Assumptions!$B$129/12*F7/Assumptions!$B$126*(1+Assumptions!$B$132)*IF(F2&gt;=Assumptions!$B$57,1,0)</f>
        <v/>
      </c>
      <c r="G106" s="53">
        <f>INDEX(Assumptions!$B$100:$B$106,G5)*Assumptions!$B$129/12*G7/Assumptions!$B$126*(1+Assumptions!$B$132)*IF(G2&gt;=Assumptions!$B$57,1,0)</f>
        <v/>
      </c>
      <c r="H106" s="53">
        <f>INDEX(Assumptions!$B$100:$B$106,H5)*Assumptions!$B$129/12*H7/Assumptions!$B$126*(1+Assumptions!$B$132)*IF(H2&gt;=Assumptions!$B$57,1,0)</f>
        <v/>
      </c>
      <c r="I106" s="53">
        <f>INDEX(Assumptions!$B$100:$B$106,I5)*Assumptions!$B$129/12*I7/Assumptions!$B$126*(1+Assumptions!$B$132)*IF(I2&gt;=Assumptions!$B$57,1,0)</f>
        <v/>
      </c>
      <c r="J106" s="53">
        <f>INDEX(Assumptions!$B$100:$B$106,J5)*Assumptions!$B$129/12*J7/Assumptions!$B$126*(1+Assumptions!$B$132)*IF(J2&gt;=Assumptions!$B$57,1,0)</f>
        <v/>
      </c>
      <c r="K106" s="53">
        <f>INDEX(Assumptions!$B$100:$B$106,K5)*Assumptions!$B$129/12*K7/Assumptions!$B$126*(1+Assumptions!$B$132)*IF(K2&gt;=Assumptions!$B$57,1,0)</f>
        <v/>
      </c>
      <c r="L106" s="53">
        <f>INDEX(Assumptions!$B$100:$B$106,L5)*Assumptions!$B$129/12*L7/Assumptions!$B$126*(1+Assumptions!$B$132)*IF(L2&gt;=Assumptions!$B$57,1,0)</f>
        <v/>
      </c>
      <c r="M106" s="53">
        <f>INDEX(Assumptions!$B$100:$B$106,M5)*Assumptions!$B$129/12*M7/Assumptions!$B$126*(1+Assumptions!$B$132)*IF(M2&gt;=Assumptions!$B$57,1,0)</f>
        <v/>
      </c>
      <c r="N106" s="53">
        <f>INDEX(Assumptions!$B$100:$B$106,N5)*Assumptions!$B$129/12*N7/Assumptions!$B$126*(1+Assumptions!$B$132)*IF(N2&gt;=Assumptions!$B$57,1,0)</f>
        <v/>
      </c>
      <c r="O106" s="53">
        <f>INDEX(Assumptions!$B$100:$B$106,O5)*Assumptions!$B$129/12*O7/Assumptions!$B$126*(1+Assumptions!$B$132)*IF(O2&gt;=Assumptions!$B$57,1,0)</f>
        <v/>
      </c>
      <c r="P106" s="53">
        <f>INDEX(Assumptions!$B$100:$B$106,P5)*Assumptions!$B$129/12*P7/Assumptions!$B$126*(1+Assumptions!$B$132)*IF(P2&gt;=Assumptions!$B$57,1,0)</f>
        <v/>
      </c>
      <c r="Q106" s="53">
        <f>INDEX(Assumptions!$B$100:$B$106,Q5)*Assumptions!$B$129/12*Q7/Assumptions!$B$126*(1+Assumptions!$B$132)*IF(Q2&gt;=Assumptions!$B$57,1,0)</f>
        <v/>
      </c>
      <c r="R106" s="53">
        <f>INDEX(Assumptions!$B$100:$B$106,R5)*Assumptions!$B$129/12*R7/Assumptions!$B$126*(1+Assumptions!$B$132)*IF(R2&gt;=Assumptions!$B$57,1,0)</f>
        <v/>
      </c>
      <c r="S106" s="53">
        <f>INDEX(Assumptions!$B$100:$B$106,S5)*Assumptions!$B$129/12*S7/Assumptions!$B$126*(1+Assumptions!$B$132)*IF(S2&gt;=Assumptions!$B$57,1,0)</f>
        <v/>
      </c>
      <c r="T106" s="53">
        <f>INDEX(Assumptions!$B$100:$B$106,T5)*Assumptions!$B$129/12*T7/Assumptions!$B$126*(1+Assumptions!$B$132)*IF(T2&gt;=Assumptions!$B$57,1,0)</f>
        <v/>
      </c>
      <c r="U106" s="53">
        <f>INDEX(Assumptions!$B$100:$B$106,U5)*Assumptions!$B$129/12*U7/Assumptions!$B$126*(1+Assumptions!$B$132)*IF(U2&gt;=Assumptions!$B$57,1,0)</f>
        <v/>
      </c>
      <c r="V106" s="53">
        <f>INDEX(Assumptions!$B$100:$B$106,V5)*Assumptions!$B$129/12*V7/Assumptions!$B$126*(1+Assumptions!$B$132)*IF(V2&gt;=Assumptions!$B$57,1,0)</f>
        <v/>
      </c>
      <c r="W106" s="53">
        <f>INDEX(Assumptions!$B$100:$B$106,W5)*Assumptions!$B$129/12*W7/Assumptions!$B$126*(1+Assumptions!$B$132)*IF(W2&gt;=Assumptions!$B$57,1,0)</f>
        <v/>
      </c>
      <c r="X106" s="53">
        <f>INDEX(Assumptions!$B$100:$B$106,X5)*Assumptions!$B$129/12*X7/Assumptions!$B$126*(1+Assumptions!$B$132)*IF(X2&gt;=Assumptions!$B$57,1,0)</f>
        <v/>
      </c>
      <c r="Y106" s="53">
        <f>INDEX(Assumptions!$B$100:$B$106,Y5)*Assumptions!$B$129/12*Y7/Assumptions!$B$126*(1+Assumptions!$B$132)*IF(Y2&gt;=Assumptions!$B$57,1,0)</f>
        <v/>
      </c>
      <c r="Z106" s="53">
        <f>INDEX(Assumptions!$B$100:$B$106,Z5)*Assumptions!$B$129/12*Z7/Assumptions!$B$126*(1+Assumptions!$B$132)*IF(Z2&gt;=Assumptions!$B$57,1,0)</f>
        <v/>
      </c>
      <c r="AA106" s="53">
        <f>INDEX(Assumptions!$B$100:$B$106,AA5)*Assumptions!$B$129/12*AA7/Assumptions!$B$126*(1+Assumptions!$B$132)*IF(AA2&gt;=Assumptions!$B$57,1,0)</f>
        <v/>
      </c>
      <c r="AB106" s="53">
        <f>INDEX(Assumptions!$B$100:$B$106,AB5)*Assumptions!$B$129/12*AB7/Assumptions!$B$126*(1+Assumptions!$B$132)*IF(AB2&gt;=Assumptions!$B$57,1,0)</f>
        <v/>
      </c>
      <c r="AC106" s="53">
        <f>INDEX(Assumptions!$B$100:$B$106,AC5)*Assumptions!$B$129/12*AC7/Assumptions!$B$126*(1+Assumptions!$B$132)*IF(AC2&gt;=Assumptions!$B$57,1,0)</f>
        <v/>
      </c>
      <c r="AD106" s="53">
        <f>INDEX(Assumptions!$B$100:$B$106,AD5)*Assumptions!$B$129/12*AD7/Assumptions!$B$126*(1+Assumptions!$B$132)*IF(AD2&gt;=Assumptions!$B$57,1,0)</f>
        <v/>
      </c>
      <c r="AE106" s="53">
        <f>INDEX(Assumptions!$B$100:$B$106,AE5)*Assumptions!$B$129/12*AE7/Assumptions!$B$126*(1+Assumptions!$B$132)*IF(AE2&gt;=Assumptions!$B$57,1,0)</f>
        <v/>
      </c>
    </row>
    <row r="107">
      <c r="A107" s="6" t="inlineStr">
        <is>
          <t xml:space="preserve">  Referral-driven (from this market's own base)</t>
        </is>
      </c>
      <c r="B107" s="23" t="inlineStr">
        <is>
          <t>accounts</t>
        </is>
      </c>
      <c r="C107" s="54" t="n">
        <v>0</v>
      </c>
      <c r="D107" s="54">
        <f>IF(D2&gt;=Assumptions!$B$55,C111*Assumptions!$B$130/12*Assumptions!$B$131*D7,0)</f>
        <v/>
      </c>
      <c r="E107" s="54">
        <f>IF(E2&gt;=Assumptions!$B$55,D111*Assumptions!$B$130/12*Assumptions!$B$131*E7,0)</f>
        <v/>
      </c>
      <c r="F107" s="54">
        <f>IF(F2&gt;=Assumptions!$B$55,E111*Assumptions!$B$130/12*Assumptions!$B$131*F7,0)</f>
        <v/>
      </c>
      <c r="G107" s="54">
        <f>IF(G2&gt;=Assumptions!$B$55,F111*Assumptions!$B$130/12*Assumptions!$B$131*G7,0)</f>
        <v/>
      </c>
      <c r="H107" s="54">
        <f>IF(H2&gt;=Assumptions!$B$55,G111*Assumptions!$B$130/12*Assumptions!$B$131*H7,0)</f>
        <v/>
      </c>
      <c r="I107" s="54">
        <f>IF(I2&gt;=Assumptions!$B$55,H111*Assumptions!$B$130/12*Assumptions!$B$131*I7,0)</f>
        <v/>
      </c>
      <c r="J107" s="54">
        <f>IF(J2&gt;=Assumptions!$B$55,I111*Assumptions!$B$130/12*Assumptions!$B$131*J7,0)</f>
        <v/>
      </c>
      <c r="K107" s="54">
        <f>IF(K2&gt;=Assumptions!$B$55,J111*Assumptions!$B$130/12*Assumptions!$B$131*K7,0)</f>
        <v/>
      </c>
      <c r="L107" s="54">
        <f>IF(L2&gt;=Assumptions!$B$55,K111*Assumptions!$B$130/12*Assumptions!$B$131*L7,0)</f>
        <v/>
      </c>
      <c r="M107" s="54">
        <f>IF(M2&gt;=Assumptions!$B$55,L111*Assumptions!$B$130/12*Assumptions!$B$131*M7,0)</f>
        <v/>
      </c>
      <c r="N107" s="54">
        <f>IF(N2&gt;=Assumptions!$B$55,M111*Assumptions!$B$130/12*Assumptions!$B$131*N7,0)</f>
        <v/>
      </c>
      <c r="O107" s="54">
        <f>IF(O2&gt;=Assumptions!$B$55,N111*Assumptions!$B$130/12*Assumptions!$B$131*O7,0)</f>
        <v/>
      </c>
      <c r="P107" s="54">
        <f>IF(P2&gt;=Assumptions!$B$55,O111*Assumptions!$B$130/12*Assumptions!$B$131*P7,0)</f>
        <v/>
      </c>
      <c r="Q107" s="54">
        <f>IF(Q2&gt;=Assumptions!$B$55,P111*Assumptions!$B$130/12*Assumptions!$B$131*Q7,0)</f>
        <v/>
      </c>
      <c r="R107" s="54">
        <f>IF(R2&gt;=Assumptions!$B$55,Q111*Assumptions!$B$130/12*Assumptions!$B$131*R7,0)</f>
        <v/>
      </c>
      <c r="S107" s="54">
        <f>IF(S2&gt;=Assumptions!$B$55,R111*Assumptions!$B$130/12*Assumptions!$B$131*S7,0)</f>
        <v/>
      </c>
      <c r="T107" s="54">
        <f>IF(T2&gt;=Assumptions!$B$55,S111*Assumptions!$B$130/12*Assumptions!$B$131*T7,0)</f>
        <v/>
      </c>
      <c r="U107" s="54">
        <f>IF(U2&gt;=Assumptions!$B$55,T111*Assumptions!$B$130/12*Assumptions!$B$131*U7,0)</f>
        <v/>
      </c>
      <c r="V107" s="54">
        <f>IF(V2&gt;=Assumptions!$B$55,U111*Assumptions!$B$130/12*Assumptions!$B$131*V7,0)</f>
        <v/>
      </c>
      <c r="W107" s="54">
        <f>IF(W2&gt;=Assumptions!$B$55,V111*Assumptions!$B$130/12*Assumptions!$B$131*W7,0)</f>
        <v/>
      </c>
      <c r="X107" s="54">
        <f>IF(X2&gt;=Assumptions!$B$55,W111*Assumptions!$B$130/12*Assumptions!$B$131*X7,0)</f>
        <v/>
      </c>
      <c r="Y107" s="54">
        <f>IF(Y2&gt;=Assumptions!$B$55,X111*Assumptions!$B$130/12*Assumptions!$B$131*Y7,0)</f>
        <v/>
      </c>
      <c r="Z107" s="54">
        <f>IF(Z2&gt;=Assumptions!$B$55,Y111*Assumptions!$B$130/12*Assumptions!$B$131*Z7,0)</f>
        <v/>
      </c>
      <c r="AA107" s="54">
        <f>IF(AA2&gt;=Assumptions!$B$55,Z111*Assumptions!$B$130/12*Assumptions!$B$131*AA7,0)</f>
        <v/>
      </c>
      <c r="AB107" s="54">
        <f>IF(AB2&gt;=Assumptions!$B$55,AA111*Assumptions!$B$130/12*Assumptions!$B$131*AB7,0)</f>
        <v/>
      </c>
      <c r="AC107" s="54">
        <f>IF(AC2&gt;=Assumptions!$B$55,AB111*Assumptions!$B$130/12*Assumptions!$B$131*AC7,0)</f>
        <v/>
      </c>
      <c r="AD107" s="54">
        <f>IF(AD2&gt;=Assumptions!$B$55,AC111*Assumptions!$B$130/12*Assumptions!$B$131*AD7,0)</f>
        <v/>
      </c>
      <c r="AE107" s="54">
        <f>IF(AE2&gt;=Assumptions!$B$55,AD111*Assumptions!$B$130/12*Assumptions!$B$131*AE7,0)</f>
        <v/>
      </c>
    </row>
    <row r="108">
      <c r="A108" s="6" t="inlineStr">
        <is>
          <t xml:space="preserve">  Raw demand</t>
        </is>
      </c>
      <c r="B108" s="23" t="inlineStr">
        <is>
          <t>accounts</t>
        </is>
      </c>
      <c r="C108" s="54">
        <f>C106+C107+IF(C23=0,0,C20*Assumptions!$B$116/C23*IF(C2&gt;=Assumptions!$B$57,1,0))</f>
        <v/>
      </c>
      <c r="D108" s="54">
        <f>D106+D107+IF(D23=0,0,D20*Assumptions!$B$116/D23*IF(D2&gt;=Assumptions!$B$57,1,0))</f>
        <v/>
      </c>
      <c r="E108" s="54">
        <f>E106+E107+IF(E23=0,0,E20*Assumptions!$B$116/E23*IF(E2&gt;=Assumptions!$B$57,1,0))</f>
        <v/>
      </c>
      <c r="F108" s="54">
        <f>F106+F107+IF(F23=0,0,F20*Assumptions!$B$116/F23*IF(F2&gt;=Assumptions!$B$57,1,0))</f>
        <v/>
      </c>
      <c r="G108" s="54">
        <f>G106+G107+IF(G23=0,0,G20*Assumptions!$B$116/G23*IF(G2&gt;=Assumptions!$B$57,1,0))</f>
        <v/>
      </c>
      <c r="H108" s="54">
        <f>H106+H107+IF(H23=0,0,H20*Assumptions!$B$116/H23*IF(H2&gt;=Assumptions!$B$57,1,0))</f>
        <v/>
      </c>
      <c r="I108" s="54">
        <f>I106+I107+IF(I23=0,0,I20*Assumptions!$B$116/I23*IF(I2&gt;=Assumptions!$B$57,1,0))</f>
        <v/>
      </c>
      <c r="J108" s="54">
        <f>J106+J107+IF(J23=0,0,J20*Assumptions!$B$116/J23*IF(J2&gt;=Assumptions!$B$57,1,0))</f>
        <v/>
      </c>
      <c r="K108" s="54">
        <f>K106+K107+IF(K23=0,0,K20*Assumptions!$B$116/K23*IF(K2&gt;=Assumptions!$B$57,1,0))</f>
        <v/>
      </c>
      <c r="L108" s="54">
        <f>L106+L107+IF(L23=0,0,L20*Assumptions!$B$116/L23*IF(L2&gt;=Assumptions!$B$57,1,0))</f>
        <v/>
      </c>
      <c r="M108" s="54">
        <f>M106+M107+IF(M23=0,0,M20*Assumptions!$B$116/M23*IF(M2&gt;=Assumptions!$B$57,1,0))</f>
        <v/>
      </c>
      <c r="N108" s="54">
        <f>N106+N107+IF(N23=0,0,N20*Assumptions!$B$116/N23*IF(N2&gt;=Assumptions!$B$57,1,0))</f>
        <v/>
      </c>
      <c r="O108" s="54">
        <f>O106+O107+IF(O23=0,0,O20*Assumptions!$B$116/O23*IF(O2&gt;=Assumptions!$B$57,1,0))</f>
        <v/>
      </c>
      <c r="P108" s="54">
        <f>P106+P107+IF(P23=0,0,P20*Assumptions!$B$116/P23*IF(P2&gt;=Assumptions!$B$57,1,0))</f>
        <v/>
      </c>
      <c r="Q108" s="54">
        <f>Q106+Q107+IF(Q23=0,0,Q20*Assumptions!$B$116/Q23*IF(Q2&gt;=Assumptions!$B$57,1,0))</f>
        <v/>
      </c>
      <c r="R108" s="54">
        <f>R106+R107+IF(R23=0,0,R20*Assumptions!$B$116/R23*IF(R2&gt;=Assumptions!$B$57,1,0))</f>
        <v/>
      </c>
      <c r="S108" s="54">
        <f>S106+S107+IF(S23=0,0,S20*Assumptions!$B$116/S23*IF(S2&gt;=Assumptions!$B$57,1,0))</f>
        <v/>
      </c>
      <c r="T108" s="54">
        <f>T106+T107+IF(T23=0,0,T20*Assumptions!$B$116/T23*IF(T2&gt;=Assumptions!$B$57,1,0))</f>
        <v/>
      </c>
      <c r="U108" s="54">
        <f>U106+U107+IF(U23=0,0,U20*Assumptions!$B$116/U23*IF(U2&gt;=Assumptions!$B$57,1,0))</f>
        <v/>
      </c>
      <c r="V108" s="54">
        <f>V106+V107+IF(V23=0,0,V20*Assumptions!$B$116/V23*IF(V2&gt;=Assumptions!$B$57,1,0))</f>
        <v/>
      </c>
      <c r="W108" s="54">
        <f>W106+W107+IF(W23=0,0,W20*Assumptions!$B$116/W23*IF(W2&gt;=Assumptions!$B$57,1,0))</f>
        <v/>
      </c>
      <c r="X108" s="54">
        <f>X106+X107+IF(X23=0,0,X20*Assumptions!$B$116/X23*IF(X2&gt;=Assumptions!$B$57,1,0))</f>
        <v/>
      </c>
      <c r="Y108" s="54">
        <f>Y106+Y107+IF(Y23=0,0,Y20*Assumptions!$B$116/Y23*IF(Y2&gt;=Assumptions!$B$57,1,0))</f>
        <v/>
      </c>
      <c r="Z108" s="54">
        <f>Z106+Z107+IF(Z23=0,0,Z20*Assumptions!$B$116/Z23*IF(Z2&gt;=Assumptions!$B$57,1,0))</f>
        <v/>
      </c>
      <c r="AA108" s="54">
        <f>AA106+AA107+IF(AA23=0,0,AA20*Assumptions!$B$116/AA23*IF(AA2&gt;=Assumptions!$B$57,1,0))</f>
        <v/>
      </c>
      <c r="AB108" s="54">
        <f>AB106+AB107+IF(AB23=0,0,AB20*Assumptions!$B$116/AB23*IF(AB2&gt;=Assumptions!$B$57,1,0))</f>
        <v/>
      </c>
      <c r="AC108" s="54">
        <f>AC106+AC107+IF(AC23=0,0,AC20*Assumptions!$B$116/AC23*IF(AC2&gt;=Assumptions!$B$57,1,0))</f>
        <v/>
      </c>
      <c r="AD108" s="54">
        <f>AD106+AD107+IF(AD23=0,0,AD20*Assumptions!$B$116/AD23*IF(AD2&gt;=Assumptions!$B$57,1,0))</f>
        <v/>
      </c>
      <c r="AE108" s="54">
        <f>AE106+AE107+IF(AE23=0,0,AE20*Assumptions!$B$116/AE23*IF(AE2&gt;=Assumptions!$B$57,1,0))</f>
        <v/>
      </c>
    </row>
    <row r="109">
      <c r="A109" s="6" t="inlineStr">
        <is>
          <t xml:space="preserve">  Saturation (this region's own headroom)</t>
        </is>
      </c>
      <c r="B109" s="23" t="inlineStr">
        <is>
          <t>x</t>
        </is>
      </c>
      <c r="C109" s="51" t="n">
        <v>1</v>
      </c>
      <c r="D109" s="51">
        <f>MAX(0,1-C114/Assumptions!$B$86)</f>
        <v/>
      </c>
      <c r="E109" s="51">
        <f>MAX(0,1-D114/Assumptions!$B$86)</f>
        <v/>
      </c>
      <c r="F109" s="51">
        <f>MAX(0,1-E114/Assumptions!$B$86)</f>
        <v/>
      </c>
      <c r="G109" s="51">
        <f>MAX(0,1-F114/Assumptions!$B$86)</f>
        <v/>
      </c>
      <c r="H109" s="51">
        <f>MAX(0,1-G114/Assumptions!$B$86)</f>
        <v/>
      </c>
      <c r="I109" s="51">
        <f>MAX(0,1-H114/Assumptions!$B$86)</f>
        <v/>
      </c>
      <c r="J109" s="51">
        <f>MAX(0,1-I114/Assumptions!$B$86)</f>
        <v/>
      </c>
      <c r="K109" s="51">
        <f>MAX(0,1-J114/Assumptions!$B$86)</f>
        <v/>
      </c>
      <c r="L109" s="51">
        <f>MAX(0,1-K114/Assumptions!$B$86)</f>
        <v/>
      </c>
      <c r="M109" s="51">
        <f>MAX(0,1-L114/Assumptions!$B$86)</f>
        <v/>
      </c>
      <c r="N109" s="51">
        <f>MAX(0,1-M114/Assumptions!$B$86)</f>
        <v/>
      </c>
      <c r="O109" s="51">
        <f>MAX(0,1-N114/Assumptions!$B$86)</f>
        <v/>
      </c>
      <c r="P109" s="51">
        <f>MAX(0,1-O114/Assumptions!$B$86)</f>
        <v/>
      </c>
      <c r="Q109" s="51">
        <f>MAX(0,1-P114/Assumptions!$B$86)</f>
        <v/>
      </c>
      <c r="R109" s="51">
        <f>MAX(0,1-Q114/Assumptions!$B$86)</f>
        <v/>
      </c>
      <c r="S109" s="51">
        <f>MAX(0,1-R114/Assumptions!$B$86)</f>
        <v/>
      </c>
      <c r="T109" s="51">
        <f>MAX(0,1-S114/Assumptions!$B$86)</f>
        <v/>
      </c>
      <c r="U109" s="51">
        <f>MAX(0,1-T114/Assumptions!$B$86)</f>
        <v/>
      </c>
      <c r="V109" s="51">
        <f>MAX(0,1-U114/Assumptions!$B$86)</f>
        <v/>
      </c>
      <c r="W109" s="51">
        <f>MAX(0,1-V114/Assumptions!$B$86)</f>
        <v/>
      </c>
      <c r="X109" s="51">
        <f>MAX(0,1-W114/Assumptions!$B$86)</f>
        <v/>
      </c>
      <c r="Y109" s="51">
        <f>MAX(0,1-X114/Assumptions!$B$86)</f>
        <v/>
      </c>
      <c r="Z109" s="51">
        <f>MAX(0,1-Y114/Assumptions!$B$86)</f>
        <v/>
      </c>
      <c r="AA109" s="51">
        <f>MAX(0,1-Z114/Assumptions!$B$86)</f>
        <v/>
      </c>
      <c r="AB109" s="51">
        <f>MAX(0,1-AA114/Assumptions!$B$86)</f>
        <v/>
      </c>
      <c r="AC109" s="51">
        <f>MAX(0,1-AB114/Assumptions!$B$86)</f>
        <v/>
      </c>
      <c r="AD109" s="51">
        <f>MAX(0,1-AC114/Assumptions!$B$86)</f>
        <v/>
      </c>
      <c r="AE109" s="51">
        <f>MAX(0,1-AD114/Assumptions!$B$86)</f>
        <v/>
      </c>
    </row>
    <row r="110">
      <c r="A110" s="6" t="inlineStr">
        <is>
          <t xml:space="preserve">  New customers</t>
        </is>
      </c>
      <c r="B110" s="23" t="inlineStr">
        <is>
          <t>accounts</t>
        </is>
      </c>
      <c r="C110" s="54">
        <f>C108*C109*C15</f>
        <v/>
      </c>
      <c r="D110" s="54">
        <f>D108*D109*D15</f>
        <v/>
      </c>
      <c r="E110" s="54">
        <f>E108*E109*E15</f>
        <v/>
      </c>
      <c r="F110" s="54">
        <f>F108*F109*F15</f>
        <v/>
      </c>
      <c r="G110" s="54">
        <f>G108*G109*G15</f>
        <v/>
      </c>
      <c r="H110" s="54">
        <f>H108*H109*H15</f>
        <v/>
      </c>
      <c r="I110" s="54">
        <f>I108*I109*I15</f>
        <v/>
      </c>
      <c r="J110" s="54">
        <f>J108*J109*J15</f>
        <v/>
      </c>
      <c r="K110" s="54">
        <f>K108*K109*K15</f>
        <v/>
      </c>
      <c r="L110" s="54">
        <f>L108*L109*L15</f>
        <v/>
      </c>
      <c r="M110" s="54">
        <f>M108*M109*M15</f>
        <v/>
      </c>
      <c r="N110" s="54">
        <f>N108*N109*N15</f>
        <v/>
      </c>
      <c r="O110" s="54">
        <f>O108*O109*O15</f>
        <v/>
      </c>
      <c r="P110" s="54">
        <f>P108*P109*P15</f>
        <v/>
      </c>
      <c r="Q110" s="54">
        <f>Q108*Q109*Q15</f>
        <v/>
      </c>
      <c r="R110" s="54">
        <f>R108*R109*R15</f>
        <v/>
      </c>
      <c r="S110" s="54">
        <f>S108*S109*S15</f>
        <v/>
      </c>
      <c r="T110" s="54">
        <f>T108*T109*T15</f>
        <v/>
      </c>
      <c r="U110" s="54">
        <f>U108*U109*U15</f>
        <v/>
      </c>
      <c r="V110" s="54">
        <f>V108*V109*V15</f>
        <v/>
      </c>
      <c r="W110" s="54">
        <f>W108*W109*W15</f>
        <v/>
      </c>
      <c r="X110" s="54">
        <f>X108*X109*X15</f>
        <v/>
      </c>
      <c r="Y110" s="54">
        <f>Y108*Y109*Y15</f>
        <v/>
      </c>
      <c r="Z110" s="54">
        <f>Z108*Z109*Z15</f>
        <v/>
      </c>
      <c r="AA110" s="54">
        <f>AA108*AA109*AA15</f>
        <v/>
      </c>
      <c r="AB110" s="54">
        <f>AB108*AB109*AB15</f>
        <v/>
      </c>
      <c r="AC110" s="54">
        <f>AC108*AC109*AC15</f>
        <v/>
      </c>
      <c r="AD110" s="54">
        <f>AD108*AD109*AD15</f>
        <v/>
      </c>
      <c r="AE110" s="54">
        <f>AE108*AE109*AE15</f>
        <v/>
      </c>
    </row>
    <row r="111">
      <c r="A111" s="6" t="inlineStr">
        <is>
          <t xml:space="preserve">  Paying customers</t>
        </is>
      </c>
      <c r="B111" s="23" t="inlineStr">
        <is>
          <t>accounts</t>
        </is>
      </c>
      <c r="C111" s="28">
        <f>C110*(1-Assumptions!$B$122)^(C7/2)</f>
        <v/>
      </c>
      <c r="D111" s="28">
        <f>C111*(1-Assumptions!$B$122)^D7+D110*(1-Assumptions!$B$122)^(D7/2)</f>
        <v/>
      </c>
      <c r="E111" s="28">
        <f>D111*(1-Assumptions!$B$122)^E7+E110*(1-Assumptions!$B$122)^(E7/2)</f>
        <v/>
      </c>
      <c r="F111" s="28">
        <f>E111*(1-Assumptions!$B$122)^F7+F110*(1-Assumptions!$B$122)^(F7/2)</f>
        <v/>
      </c>
      <c r="G111" s="28">
        <f>F111*(1-Assumptions!$B$122)^G7+G110*(1-Assumptions!$B$122)^(G7/2)</f>
        <v/>
      </c>
      <c r="H111" s="28">
        <f>G111*(1-Assumptions!$B$122)^H7+H110*(1-Assumptions!$B$122)^(H7/2)</f>
        <v/>
      </c>
      <c r="I111" s="28">
        <f>H111*(1-Assumptions!$B$122)^I7+I110*(1-Assumptions!$B$122)^(I7/2)</f>
        <v/>
      </c>
      <c r="J111" s="28">
        <f>I111*(1-Assumptions!$B$122)^J7+J110*(1-Assumptions!$B$122)^(J7/2)</f>
        <v/>
      </c>
      <c r="K111" s="28">
        <f>J111*(1-Assumptions!$B$122)^K7+K110*(1-Assumptions!$B$122)^(K7/2)</f>
        <v/>
      </c>
      <c r="L111" s="28">
        <f>K111*(1-Assumptions!$B$122)^L7+L110*(1-Assumptions!$B$122)^(L7/2)</f>
        <v/>
      </c>
      <c r="M111" s="28">
        <f>L111*(1-Assumptions!$B$122)^M7+M110*(1-Assumptions!$B$122)^(M7/2)</f>
        <v/>
      </c>
      <c r="N111" s="28">
        <f>M111*(1-Assumptions!$B$122)^N7+N110*(1-Assumptions!$B$122)^(N7/2)</f>
        <v/>
      </c>
      <c r="O111" s="28">
        <f>N111*(1-Assumptions!$B$122)^O7+O110*(1-Assumptions!$B$122)^(O7/2)</f>
        <v/>
      </c>
      <c r="P111" s="28">
        <f>O111*(1-Assumptions!$B$122)^P7+P110*(1-Assumptions!$B$122)^(P7/2)</f>
        <v/>
      </c>
      <c r="Q111" s="28">
        <f>P111*(1-Assumptions!$B$122)^Q7+Q110*(1-Assumptions!$B$122)^(Q7/2)</f>
        <v/>
      </c>
      <c r="R111" s="28">
        <f>Q111*(1-Assumptions!$B$122)^R7+R110*(1-Assumptions!$B$122)^(R7/2)</f>
        <v/>
      </c>
      <c r="S111" s="28">
        <f>R111*(1-Assumptions!$B$122)^S7+S110*(1-Assumptions!$B$122)^(S7/2)</f>
        <v/>
      </c>
      <c r="T111" s="28">
        <f>S111*(1-Assumptions!$B$122)^T7+T110*(1-Assumptions!$B$122)^(T7/2)</f>
        <v/>
      </c>
      <c r="U111" s="28">
        <f>T111*(1-Assumptions!$B$122)^U7+U110*(1-Assumptions!$B$122)^(U7/2)</f>
        <v/>
      </c>
      <c r="V111" s="28">
        <f>U111*(1-Assumptions!$B$122)^V7+V110*(1-Assumptions!$B$122)^(V7/2)</f>
        <v/>
      </c>
      <c r="W111" s="28">
        <f>V111*(1-Assumptions!$B$122)^W7+W110*(1-Assumptions!$B$122)^(W7/2)</f>
        <v/>
      </c>
      <c r="X111" s="28">
        <f>W111*(1-Assumptions!$B$122)^X7+X110*(1-Assumptions!$B$122)^(X7/2)</f>
        <v/>
      </c>
      <c r="Y111" s="28">
        <f>X111*(1-Assumptions!$B$122)^Y7+Y110*(1-Assumptions!$B$122)^(Y7/2)</f>
        <v/>
      </c>
      <c r="Z111" s="28">
        <f>Y111*(1-Assumptions!$B$122)^Z7+Z110*(1-Assumptions!$B$122)^(Z7/2)</f>
        <v/>
      </c>
      <c r="AA111" s="28">
        <f>Z111*(1-Assumptions!$B$122)^AA7+AA110*(1-Assumptions!$B$122)^(AA7/2)</f>
        <v/>
      </c>
      <c r="AB111" s="28">
        <f>AA111*(1-Assumptions!$B$122)^AB7+AB110*(1-Assumptions!$B$122)^(AB7/2)</f>
        <v/>
      </c>
      <c r="AC111" s="28">
        <f>AB111*(1-Assumptions!$B$122)^AC7+AC110*(1-Assumptions!$B$122)^(AC7/2)</f>
        <v/>
      </c>
      <c r="AD111" s="28">
        <f>AC111*(1-Assumptions!$B$122)^AD7+AD110*(1-Assumptions!$B$122)^(AD7/2)</f>
        <v/>
      </c>
      <c r="AE111" s="28">
        <f>AD111*(1-Assumptions!$B$122)^AE7+AE110*(1-Assumptions!$B$122)^(AE7/2)</f>
        <v/>
      </c>
    </row>
    <row r="112">
      <c r="A112" s="6" t="inlineStr">
        <is>
          <t xml:space="preserve">  Churned this period</t>
        </is>
      </c>
      <c r="B112" s="23" t="inlineStr">
        <is>
          <t>accounts</t>
        </is>
      </c>
      <c r="C112" s="54">
        <f>C110-C111</f>
        <v/>
      </c>
      <c r="D112" s="54">
        <f>C111+D110-D111</f>
        <v/>
      </c>
      <c r="E112" s="54">
        <f>D111+E110-E111</f>
        <v/>
      </c>
      <c r="F112" s="54">
        <f>E111+F110-F111</f>
        <v/>
      </c>
      <c r="G112" s="54">
        <f>F111+G110-G111</f>
        <v/>
      </c>
      <c r="H112" s="54">
        <f>G111+H110-H111</f>
        <v/>
      </c>
      <c r="I112" s="54">
        <f>H111+I110-I111</f>
        <v/>
      </c>
      <c r="J112" s="54">
        <f>I111+J110-J111</f>
        <v/>
      </c>
      <c r="K112" s="54">
        <f>J111+K110-K111</f>
        <v/>
      </c>
      <c r="L112" s="54">
        <f>K111+L110-L111</f>
        <v/>
      </c>
      <c r="M112" s="54">
        <f>L111+M110-M111</f>
        <v/>
      </c>
      <c r="N112" s="54">
        <f>M111+N110-N111</f>
        <v/>
      </c>
      <c r="O112" s="54">
        <f>N111+O110-O111</f>
        <v/>
      </c>
      <c r="P112" s="54">
        <f>O111+P110-P111</f>
        <v/>
      </c>
      <c r="Q112" s="54">
        <f>P111+Q110-Q111</f>
        <v/>
      </c>
      <c r="R112" s="54">
        <f>Q111+R110-R111</f>
        <v/>
      </c>
      <c r="S112" s="54">
        <f>R111+S110-S111</f>
        <v/>
      </c>
      <c r="T112" s="54">
        <f>S111+T110-T111</f>
        <v/>
      </c>
      <c r="U112" s="54">
        <f>T111+U110-U111</f>
        <v/>
      </c>
      <c r="V112" s="54">
        <f>U111+V110-V111</f>
        <v/>
      </c>
      <c r="W112" s="54">
        <f>V111+W110-W111</f>
        <v/>
      </c>
      <c r="X112" s="54">
        <f>W111+X110-X111</f>
        <v/>
      </c>
      <c r="Y112" s="54">
        <f>X111+Y110-Y111</f>
        <v/>
      </c>
      <c r="Z112" s="54">
        <f>Y111+Z110-Z111</f>
        <v/>
      </c>
      <c r="AA112" s="54">
        <f>Z111+AA110-AA111</f>
        <v/>
      </c>
      <c r="AB112" s="54">
        <f>AA111+AB110-AB111</f>
        <v/>
      </c>
      <c r="AC112" s="54">
        <f>AB111+AC110-AC111</f>
        <v/>
      </c>
      <c r="AD112" s="54">
        <f>AC111+AD110-AD111</f>
        <v/>
      </c>
      <c r="AE112" s="54">
        <f>AD111+AE110-AE111</f>
        <v/>
      </c>
    </row>
    <row r="113">
      <c r="A113" s="6" t="inlineStr">
        <is>
          <t xml:space="preserve">  Holders (stopped paying, still hold gold)</t>
        </is>
      </c>
      <c r="B113" s="23" t="inlineStr">
        <is>
          <t>accounts</t>
        </is>
      </c>
      <c r="C113" s="45">
        <f>C112</f>
        <v/>
      </c>
      <c r="D113" s="45">
        <f>C113+D112</f>
        <v/>
      </c>
      <c r="E113" s="45">
        <f>D113+E112</f>
        <v/>
      </c>
      <c r="F113" s="45">
        <f>E113+F112</f>
        <v/>
      </c>
      <c r="G113" s="45">
        <f>F113+G112</f>
        <v/>
      </c>
      <c r="H113" s="45">
        <f>G113+H112</f>
        <v/>
      </c>
      <c r="I113" s="45">
        <f>H113+I112</f>
        <v/>
      </c>
      <c r="J113" s="45">
        <f>I113+J112</f>
        <v/>
      </c>
      <c r="K113" s="45">
        <f>J113+K112</f>
        <v/>
      </c>
      <c r="L113" s="45">
        <f>K113+L112</f>
        <v/>
      </c>
      <c r="M113" s="45">
        <f>L113+M112</f>
        <v/>
      </c>
      <c r="N113" s="45">
        <f>M113+N112</f>
        <v/>
      </c>
      <c r="O113" s="45">
        <f>N113+O112</f>
        <v/>
      </c>
      <c r="P113" s="45">
        <f>O113+P112</f>
        <v/>
      </c>
      <c r="Q113" s="45">
        <f>P113+Q112</f>
        <v/>
      </c>
      <c r="R113" s="45">
        <f>Q113+R112</f>
        <v/>
      </c>
      <c r="S113" s="45">
        <f>R113+S112</f>
        <v/>
      </c>
      <c r="T113" s="45">
        <f>S113+T112</f>
        <v/>
      </c>
      <c r="U113" s="45">
        <f>T113+U112</f>
        <v/>
      </c>
      <c r="V113" s="45">
        <f>U113+V112</f>
        <v/>
      </c>
      <c r="W113" s="45">
        <f>V113+W112</f>
        <v/>
      </c>
      <c r="X113" s="45">
        <f>W113+X112</f>
        <v/>
      </c>
      <c r="Y113" s="45">
        <f>X113+Y112</f>
        <v/>
      </c>
      <c r="Z113" s="45">
        <f>Y113+Z112</f>
        <v/>
      </c>
      <c r="AA113" s="45">
        <f>Z113+AA112</f>
        <v/>
      </c>
      <c r="AB113" s="45">
        <f>AA113+AB112</f>
        <v/>
      </c>
      <c r="AC113" s="45">
        <f>AB113+AC112</f>
        <v/>
      </c>
      <c r="AD113" s="45">
        <f>AC113+AD112</f>
        <v/>
      </c>
      <c r="AE113" s="45">
        <f>AD113+AE112</f>
        <v/>
      </c>
    </row>
    <row r="114">
      <c r="A114" s="6" t="inlineStr">
        <is>
          <t xml:space="preserve">  Cumulative ever acquired</t>
        </is>
      </c>
      <c r="B114" s="23" t="inlineStr">
        <is>
          <t>accounts</t>
        </is>
      </c>
      <c r="C114" s="45">
        <f>C110</f>
        <v/>
      </c>
      <c r="D114" s="45">
        <f>C114+D110</f>
        <v/>
      </c>
      <c r="E114" s="45">
        <f>D114+E110</f>
        <v/>
      </c>
      <c r="F114" s="45">
        <f>E114+F110</f>
        <v/>
      </c>
      <c r="G114" s="45">
        <f>F114+G110</f>
        <v/>
      </c>
      <c r="H114" s="45">
        <f>G114+H110</f>
        <v/>
      </c>
      <c r="I114" s="45">
        <f>H114+I110</f>
        <v/>
      </c>
      <c r="J114" s="45">
        <f>I114+J110</f>
        <v/>
      </c>
      <c r="K114" s="45">
        <f>J114+K110</f>
        <v/>
      </c>
      <c r="L114" s="45">
        <f>K114+L110</f>
        <v/>
      </c>
      <c r="M114" s="45">
        <f>L114+M110</f>
        <v/>
      </c>
      <c r="N114" s="45">
        <f>M114+N110</f>
        <v/>
      </c>
      <c r="O114" s="45">
        <f>N114+O110</f>
        <v/>
      </c>
      <c r="P114" s="45">
        <f>O114+P110</f>
        <v/>
      </c>
      <c r="Q114" s="45">
        <f>P114+Q110</f>
        <v/>
      </c>
      <c r="R114" s="45">
        <f>Q114+R110</f>
        <v/>
      </c>
      <c r="S114" s="45">
        <f>R114+S110</f>
        <v/>
      </c>
      <c r="T114" s="45">
        <f>S114+T110</f>
        <v/>
      </c>
      <c r="U114" s="45">
        <f>T114+U110</f>
        <v/>
      </c>
      <c r="V114" s="45">
        <f>U114+V110</f>
        <v/>
      </c>
      <c r="W114" s="45">
        <f>V114+W110</f>
        <v/>
      </c>
      <c r="X114" s="45">
        <f>W114+X110</f>
        <v/>
      </c>
      <c r="Y114" s="45">
        <f>X114+Y110</f>
        <v/>
      </c>
      <c r="Z114" s="45">
        <f>Y114+Z110</f>
        <v/>
      </c>
      <c r="AA114" s="45">
        <f>Z114+AA110</f>
        <v/>
      </c>
      <c r="AB114" s="45">
        <f>AA114+AB110</f>
        <v/>
      </c>
      <c r="AC114" s="45">
        <f>AB114+AC110</f>
        <v/>
      </c>
      <c r="AD114" s="45">
        <f>AC114+AD110</f>
        <v/>
      </c>
      <c r="AE114" s="45">
        <f>AD114+AE110</f>
        <v/>
      </c>
    </row>
    <row r="115">
      <c r="A115" s="6" t="inlineStr">
        <is>
          <t xml:space="preserve">  SIP contributions</t>
        </is>
      </c>
      <c r="B115" s="23" t="inlineStr">
        <is>
          <t>USD</t>
        </is>
      </c>
      <c r="C115" s="55">
        <f>IF(C2&gt;=Assumptions!$B$47,C111*Assumptions!$B$177*C7,0)</f>
        <v/>
      </c>
      <c r="D115" s="55">
        <f>IF(D2&gt;=Assumptions!$B$47,D111*Assumptions!$B$177*D7,0)</f>
        <v/>
      </c>
      <c r="E115" s="55">
        <f>IF(E2&gt;=Assumptions!$B$47,E111*Assumptions!$B$177*E7,0)</f>
        <v/>
      </c>
      <c r="F115" s="55">
        <f>IF(F2&gt;=Assumptions!$B$47,F111*Assumptions!$B$177*F7,0)</f>
        <v/>
      </c>
      <c r="G115" s="55">
        <f>IF(G2&gt;=Assumptions!$B$47,G111*Assumptions!$B$177*G7,0)</f>
        <v/>
      </c>
      <c r="H115" s="55">
        <f>IF(H2&gt;=Assumptions!$B$47,H111*Assumptions!$B$177*H7,0)</f>
        <v/>
      </c>
      <c r="I115" s="55">
        <f>IF(I2&gt;=Assumptions!$B$47,I111*Assumptions!$B$177*I7,0)</f>
        <v/>
      </c>
      <c r="J115" s="55">
        <f>IF(J2&gt;=Assumptions!$B$47,J111*Assumptions!$B$177*J7,0)</f>
        <v/>
      </c>
      <c r="K115" s="55">
        <f>IF(K2&gt;=Assumptions!$B$47,K111*Assumptions!$B$177*K7,0)</f>
        <v/>
      </c>
      <c r="L115" s="55">
        <f>IF(L2&gt;=Assumptions!$B$47,L111*Assumptions!$B$177*L7,0)</f>
        <v/>
      </c>
      <c r="M115" s="55">
        <f>IF(M2&gt;=Assumptions!$B$47,M111*Assumptions!$B$177*M7,0)</f>
        <v/>
      </c>
      <c r="N115" s="55">
        <f>IF(N2&gt;=Assumptions!$B$47,N111*Assumptions!$B$177*N7,0)</f>
        <v/>
      </c>
      <c r="O115" s="55">
        <f>IF(O2&gt;=Assumptions!$B$47,O111*Assumptions!$B$177*O7,0)</f>
        <v/>
      </c>
      <c r="P115" s="55">
        <f>IF(P2&gt;=Assumptions!$B$47,P111*Assumptions!$B$177*P7,0)</f>
        <v/>
      </c>
      <c r="Q115" s="55">
        <f>IF(Q2&gt;=Assumptions!$B$47,Q111*Assumptions!$B$177*Q7,0)</f>
        <v/>
      </c>
      <c r="R115" s="55">
        <f>IF(R2&gt;=Assumptions!$B$47,R111*Assumptions!$B$177*R7,0)</f>
        <v/>
      </c>
      <c r="S115" s="55">
        <f>IF(S2&gt;=Assumptions!$B$47,S111*Assumptions!$B$177*S7,0)</f>
        <v/>
      </c>
      <c r="T115" s="55">
        <f>IF(T2&gt;=Assumptions!$B$47,T111*Assumptions!$B$177*T7,0)</f>
        <v/>
      </c>
      <c r="U115" s="55">
        <f>IF(U2&gt;=Assumptions!$B$47,U111*Assumptions!$B$177*U7,0)</f>
        <v/>
      </c>
      <c r="V115" s="55">
        <f>IF(V2&gt;=Assumptions!$B$47,V111*Assumptions!$B$177*V7,0)</f>
        <v/>
      </c>
      <c r="W115" s="55">
        <f>IF(W2&gt;=Assumptions!$B$47,W111*Assumptions!$B$177*W7,0)</f>
        <v/>
      </c>
      <c r="X115" s="55">
        <f>IF(X2&gt;=Assumptions!$B$47,X111*Assumptions!$B$177*X7,0)</f>
        <v/>
      </c>
      <c r="Y115" s="55">
        <f>IF(Y2&gt;=Assumptions!$B$47,Y111*Assumptions!$B$177*Y7,0)</f>
        <v/>
      </c>
      <c r="Z115" s="55">
        <f>IF(Z2&gt;=Assumptions!$B$47,Z111*Assumptions!$B$177*Z7,0)</f>
        <v/>
      </c>
      <c r="AA115" s="55">
        <f>IF(AA2&gt;=Assumptions!$B$47,AA111*Assumptions!$B$177*AA7,0)</f>
        <v/>
      </c>
      <c r="AB115" s="55">
        <f>IF(AB2&gt;=Assumptions!$B$47,AB111*Assumptions!$B$177*AB7,0)</f>
        <v/>
      </c>
      <c r="AC115" s="55">
        <f>IF(AC2&gt;=Assumptions!$B$47,AC111*Assumptions!$B$177*AC7,0)</f>
        <v/>
      </c>
      <c r="AD115" s="55">
        <f>IF(AD2&gt;=Assumptions!$B$47,AD111*Assumptions!$B$177*AD7,0)</f>
        <v/>
      </c>
      <c r="AE115" s="55">
        <f>IF(AE2&gt;=Assumptions!$B$47,AE111*Assumptions!$B$177*AE7,0)</f>
        <v/>
      </c>
    </row>
    <row r="116">
      <c r="A116" s="6" t="inlineStr">
        <is>
          <t xml:space="preserve">  Spot purchase volume</t>
        </is>
      </c>
      <c r="B116" s="23" t="inlineStr">
        <is>
          <t>USD</t>
        </is>
      </c>
      <c r="C116" s="55">
        <f>IF(C2&gt;=Assumptions!$B$48,C111*Assumptions!$B$37*Assumptions!$B$139*Assumptions!$B$141*Assumptions!$B$34*Assumptions!$B$140/12*C7,0)</f>
        <v/>
      </c>
      <c r="D116" s="55">
        <f>IF(D2&gt;=Assumptions!$B$48,D111*Assumptions!$B$37*Assumptions!$B$139*Assumptions!$B$141*Assumptions!$B$34*Assumptions!$B$140/12*D7,0)</f>
        <v/>
      </c>
      <c r="E116" s="55">
        <f>IF(E2&gt;=Assumptions!$B$48,E111*Assumptions!$B$37*Assumptions!$B$139*Assumptions!$B$141*Assumptions!$B$34*Assumptions!$B$140/12*E7,0)</f>
        <v/>
      </c>
      <c r="F116" s="55">
        <f>IF(F2&gt;=Assumptions!$B$48,F111*Assumptions!$B$37*Assumptions!$B$139*Assumptions!$B$141*Assumptions!$B$34*Assumptions!$B$140/12*F7,0)</f>
        <v/>
      </c>
      <c r="G116" s="55">
        <f>IF(G2&gt;=Assumptions!$B$48,G111*Assumptions!$B$37*Assumptions!$B$139*Assumptions!$B$141*Assumptions!$B$34*Assumptions!$B$140/12*G7,0)</f>
        <v/>
      </c>
      <c r="H116" s="55">
        <f>IF(H2&gt;=Assumptions!$B$48,H111*Assumptions!$B$37*Assumptions!$B$139*Assumptions!$B$141*Assumptions!$B$34*Assumptions!$B$140/12*H7,0)</f>
        <v/>
      </c>
      <c r="I116" s="55">
        <f>IF(I2&gt;=Assumptions!$B$48,I111*Assumptions!$B$37*Assumptions!$B$139*Assumptions!$B$141*Assumptions!$B$34*Assumptions!$B$140/12*I7,0)</f>
        <v/>
      </c>
      <c r="J116" s="55">
        <f>IF(J2&gt;=Assumptions!$B$48,J111*Assumptions!$B$37*Assumptions!$B$139*Assumptions!$B$141*Assumptions!$B$34*Assumptions!$B$140/12*J7,0)</f>
        <v/>
      </c>
      <c r="K116" s="55">
        <f>IF(K2&gt;=Assumptions!$B$48,K111*Assumptions!$B$37*Assumptions!$B$139*Assumptions!$B$141*Assumptions!$B$34*Assumptions!$B$140/12*K7,0)</f>
        <v/>
      </c>
      <c r="L116" s="55">
        <f>IF(L2&gt;=Assumptions!$B$48,L111*Assumptions!$B$37*Assumptions!$B$139*Assumptions!$B$141*Assumptions!$B$34*Assumptions!$B$140/12*L7,0)</f>
        <v/>
      </c>
      <c r="M116" s="55">
        <f>IF(M2&gt;=Assumptions!$B$48,M111*Assumptions!$B$37*Assumptions!$B$139*Assumptions!$B$141*Assumptions!$B$34*Assumptions!$B$140/12*M7,0)</f>
        <v/>
      </c>
      <c r="N116" s="55">
        <f>IF(N2&gt;=Assumptions!$B$48,N111*Assumptions!$B$37*Assumptions!$B$139*Assumptions!$B$141*Assumptions!$B$34*Assumptions!$B$140/12*N7,0)</f>
        <v/>
      </c>
      <c r="O116" s="55">
        <f>IF(O2&gt;=Assumptions!$B$48,O111*Assumptions!$B$37*Assumptions!$B$139*Assumptions!$B$141*Assumptions!$B$34*Assumptions!$B$140/12*O7,0)</f>
        <v/>
      </c>
      <c r="P116" s="55">
        <f>IF(P2&gt;=Assumptions!$B$48,P111*Assumptions!$B$37*Assumptions!$B$139*Assumptions!$B$141*Assumptions!$B$34*Assumptions!$B$140/12*P7,0)</f>
        <v/>
      </c>
      <c r="Q116" s="55">
        <f>IF(Q2&gt;=Assumptions!$B$48,Q111*Assumptions!$B$37*Assumptions!$B$139*Assumptions!$B$141*Assumptions!$B$34*Assumptions!$B$140/12*Q7,0)</f>
        <v/>
      </c>
      <c r="R116" s="55">
        <f>IF(R2&gt;=Assumptions!$B$48,R111*Assumptions!$B$37*Assumptions!$B$139*Assumptions!$B$141*Assumptions!$B$34*Assumptions!$B$140/12*R7,0)</f>
        <v/>
      </c>
      <c r="S116" s="55">
        <f>IF(S2&gt;=Assumptions!$B$48,S111*Assumptions!$B$37*Assumptions!$B$139*Assumptions!$B$141*Assumptions!$B$34*Assumptions!$B$140/12*S7,0)</f>
        <v/>
      </c>
      <c r="T116" s="55">
        <f>IF(T2&gt;=Assumptions!$B$48,T111*Assumptions!$B$37*Assumptions!$B$139*Assumptions!$B$141*Assumptions!$B$34*Assumptions!$B$140/12*T7,0)</f>
        <v/>
      </c>
      <c r="U116" s="55">
        <f>IF(U2&gt;=Assumptions!$B$48,U111*Assumptions!$B$37*Assumptions!$B$139*Assumptions!$B$141*Assumptions!$B$34*Assumptions!$B$140/12*U7,0)</f>
        <v/>
      </c>
      <c r="V116" s="55">
        <f>IF(V2&gt;=Assumptions!$B$48,V111*Assumptions!$B$37*Assumptions!$B$139*Assumptions!$B$141*Assumptions!$B$34*Assumptions!$B$140/12*V7,0)</f>
        <v/>
      </c>
      <c r="W116" s="55">
        <f>IF(W2&gt;=Assumptions!$B$48,W111*Assumptions!$B$37*Assumptions!$B$139*Assumptions!$B$141*Assumptions!$B$34*Assumptions!$B$140/12*W7,0)</f>
        <v/>
      </c>
      <c r="X116" s="55">
        <f>IF(X2&gt;=Assumptions!$B$48,X111*Assumptions!$B$37*Assumptions!$B$139*Assumptions!$B$141*Assumptions!$B$34*Assumptions!$B$140/12*X7,0)</f>
        <v/>
      </c>
      <c r="Y116" s="55">
        <f>IF(Y2&gt;=Assumptions!$B$48,Y111*Assumptions!$B$37*Assumptions!$B$139*Assumptions!$B$141*Assumptions!$B$34*Assumptions!$B$140/12*Y7,0)</f>
        <v/>
      </c>
      <c r="Z116" s="55">
        <f>IF(Z2&gt;=Assumptions!$B$48,Z111*Assumptions!$B$37*Assumptions!$B$139*Assumptions!$B$141*Assumptions!$B$34*Assumptions!$B$140/12*Z7,0)</f>
        <v/>
      </c>
      <c r="AA116" s="55">
        <f>IF(AA2&gt;=Assumptions!$B$48,AA111*Assumptions!$B$37*Assumptions!$B$139*Assumptions!$B$141*Assumptions!$B$34*Assumptions!$B$140/12*AA7,0)</f>
        <v/>
      </c>
      <c r="AB116" s="55">
        <f>IF(AB2&gt;=Assumptions!$B$48,AB111*Assumptions!$B$37*Assumptions!$B$139*Assumptions!$B$141*Assumptions!$B$34*Assumptions!$B$140/12*AB7,0)</f>
        <v/>
      </c>
      <c r="AC116" s="55">
        <f>IF(AC2&gt;=Assumptions!$B$48,AC111*Assumptions!$B$37*Assumptions!$B$139*Assumptions!$B$141*Assumptions!$B$34*Assumptions!$B$140/12*AC7,0)</f>
        <v/>
      </c>
      <c r="AD116" s="55">
        <f>IF(AD2&gt;=Assumptions!$B$48,AD111*Assumptions!$B$37*Assumptions!$B$139*Assumptions!$B$141*Assumptions!$B$34*Assumptions!$B$140/12*AD7,0)</f>
        <v/>
      </c>
      <c r="AE116" s="55">
        <f>IF(AE2&gt;=Assumptions!$B$48,AE111*Assumptions!$B$37*Assumptions!$B$139*Assumptions!$B$141*Assumptions!$B$34*Assumptions!$B$140/12*AE7,0)</f>
        <v/>
      </c>
    </row>
    <row r="117">
      <c r="A117" s="6" t="inlineStr">
        <is>
          <t xml:space="preserve">  Grams purchased</t>
        </is>
      </c>
      <c r="B117" s="23" t="inlineStr">
        <is>
          <t>grams</t>
        </is>
      </c>
      <c r="C117" s="54">
        <f>(C115+C116)*(1-Assumptions!$B$8)/C21/(1+Assumptions!$B$9)</f>
        <v/>
      </c>
      <c r="D117" s="54">
        <f>(D115+D116)*(1-Assumptions!$B$8)/D21/(1+Assumptions!$B$9)</f>
        <v/>
      </c>
      <c r="E117" s="54">
        <f>(E115+E116)*(1-Assumptions!$B$8)/E21/(1+Assumptions!$B$9)</f>
        <v/>
      </c>
      <c r="F117" s="54">
        <f>(F115+F116)*(1-Assumptions!$B$8)/F21/(1+Assumptions!$B$9)</f>
        <v/>
      </c>
      <c r="G117" s="54">
        <f>(G115+G116)*(1-Assumptions!$B$8)/G21/(1+Assumptions!$B$9)</f>
        <v/>
      </c>
      <c r="H117" s="54">
        <f>(H115+H116)*(1-Assumptions!$B$8)/H21/(1+Assumptions!$B$9)</f>
        <v/>
      </c>
      <c r="I117" s="54">
        <f>(I115+I116)*(1-Assumptions!$B$8)/I21/(1+Assumptions!$B$9)</f>
        <v/>
      </c>
      <c r="J117" s="54">
        <f>(J115+J116)*(1-Assumptions!$B$8)/J21/(1+Assumptions!$B$9)</f>
        <v/>
      </c>
      <c r="K117" s="54">
        <f>(K115+K116)*(1-Assumptions!$B$8)/K21/(1+Assumptions!$B$9)</f>
        <v/>
      </c>
      <c r="L117" s="54">
        <f>(L115+L116)*(1-Assumptions!$B$8)/L21/(1+Assumptions!$B$9)</f>
        <v/>
      </c>
      <c r="M117" s="54">
        <f>(M115+M116)*(1-Assumptions!$B$8)/M21/(1+Assumptions!$B$9)</f>
        <v/>
      </c>
      <c r="N117" s="54">
        <f>(N115+N116)*(1-Assumptions!$B$8)/N21/(1+Assumptions!$B$9)</f>
        <v/>
      </c>
      <c r="O117" s="54">
        <f>(O115+O116)*(1-Assumptions!$B$8)/O21/(1+Assumptions!$B$9)</f>
        <v/>
      </c>
      <c r="P117" s="54">
        <f>(P115+P116)*(1-Assumptions!$B$8)/P21/(1+Assumptions!$B$9)</f>
        <v/>
      </c>
      <c r="Q117" s="54">
        <f>(Q115+Q116)*(1-Assumptions!$B$8)/Q21/(1+Assumptions!$B$9)</f>
        <v/>
      </c>
      <c r="R117" s="54">
        <f>(R115+R116)*(1-Assumptions!$B$8)/R21/(1+Assumptions!$B$9)</f>
        <v/>
      </c>
      <c r="S117" s="54">
        <f>(S115+S116)*(1-Assumptions!$B$8)/S21/(1+Assumptions!$B$9)</f>
        <v/>
      </c>
      <c r="T117" s="54">
        <f>(T115+T116)*(1-Assumptions!$B$8)/T21/(1+Assumptions!$B$9)</f>
        <v/>
      </c>
      <c r="U117" s="54">
        <f>(U115+U116)*(1-Assumptions!$B$8)/U21/(1+Assumptions!$B$9)</f>
        <v/>
      </c>
      <c r="V117" s="54">
        <f>(V115+V116)*(1-Assumptions!$B$8)/V21/(1+Assumptions!$B$9)</f>
        <v/>
      </c>
      <c r="W117" s="54">
        <f>(W115+W116)*(1-Assumptions!$B$8)/W21/(1+Assumptions!$B$9)</f>
        <v/>
      </c>
      <c r="X117" s="54">
        <f>(X115+X116)*(1-Assumptions!$B$8)/X21/(1+Assumptions!$B$9)</f>
        <v/>
      </c>
      <c r="Y117" s="54">
        <f>(Y115+Y116)*(1-Assumptions!$B$8)/Y21/(1+Assumptions!$B$9)</f>
        <v/>
      </c>
      <c r="Z117" s="54">
        <f>(Z115+Z116)*(1-Assumptions!$B$8)/Z21/(1+Assumptions!$B$9)</f>
        <v/>
      </c>
      <c r="AA117" s="54">
        <f>(AA115+AA116)*(1-Assumptions!$B$8)/AA21/(1+Assumptions!$B$9)</f>
        <v/>
      </c>
      <c r="AB117" s="54">
        <f>(AB115+AB116)*(1-Assumptions!$B$8)/AB21/(1+Assumptions!$B$9)</f>
        <v/>
      </c>
      <c r="AC117" s="54">
        <f>(AC115+AC116)*(1-Assumptions!$B$8)/AC21/(1+Assumptions!$B$9)</f>
        <v/>
      </c>
      <c r="AD117" s="54">
        <f>(AD115+AD116)*(1-Assumptions!$B$8)/AD21/(1+Assumptions!$B$9)</f>
        <v/>
      </c>
      <c r="AE117" s="54">
        <f>(AE115+AE116)*(1-Assumptions!$B$8)/AE21/(1+Assumptions!$B$9)</f>
        <v/>
      </c>
    </row>
    <row r="118">
      <c r="A118" s="6" t="inlineStr">
        <is>
          <t xml:space="preserve">  Collateral-eligible AUM decay rate (holder-weighted)</t>
        </is>
      </c>
      <c r="B118" s="23" t="inlineStr">
        <is>
          <t>%/period</t>
        </is>
      </c>
      <c r="C118" s="56">
        <f>(Assumptions!$B$136+Assumptions!$B$137*IF(C111+C113=0,1,(C111+C113*Assumptions!$B$138)/(C111+C113)))*C7/12</f>
        <v/>
      </c>
      <c r="D118" s="56">
        <f>(Assumptions!$B$136+Assumptions!$B$137*IF(D111+D113=0,1,(D111+D113*Assumptions!$B$138)/(D111+D113)))*D7/12</f>
        <v/>
      </c>
      <c r="E118" s="56">
        <f>(Assumptions!$B$136+Assumptions!$B$137*IF(E111+E113=0,1,(E111+E113*Assumptions!$B$138)/(E111+E113)))*E7/12</f>
        <v/>
      </c>
      <c r="F118" s="56">
        <f>(Assumptions!$B$136+Assumptions!$B$137*IF(F111+F113=0,1,(F111+F113*Assumptions!$B$138)/(F111+F113)))*F7/12</f>
        <v/>
      </c>
      <c r="G118" s="56">
        <f>(Assumptions!$B$136+Assumptions!$B$137*IF(G111+G113=0,1,(G111+G113*Assumptions!$B$138)/(G111+G113)))*G7/12</f>
        <v/>
      </c>
      <c r="H118" s="56">
        <f>(Assumptions!$B$136+Assumptions!$B$137*IF(H111+H113=0,1,(H111+H113*Assumptions!$B$138)/(H111+H113)))*H7/12</f>
        <v/>
      </c>
      <c r="I118" s="56">
        <f>(Assumptions!$B$136+Assumptions!$B$137*IF(I111+I113=0,1,(I111+I113*Assumptions!$B$138)/(I111+I113)))*I7/12</f>
        <v/>
      </c>
      <c r="J118" s="56">
        <f>(Assumptions!$B$136+Assumptions!$B$137*IF(J111+J113=0,1,(J111+J113*Assumptions!$B$138)/(J111+J113)))*J7/12</f>
        <v/>
      </c>
      <c r="K118" s="56">
        <f>(Assumptions!$B$136+Assumptions!$B$137*IF(K111+K113=0,1,(K111+K113*Assumptions!$B$138)/(K111+K113)))*K7/12</f>
        <v/>
      </c>
      <c r="L118" s="56">
        <f>(Assumptions!$B$136+Assumptions!$B$137*IF(L111+L113=0,1,(L111+L113*Assumptions!$B$138)/(L111+L113)))*L7/12</f>
        <v/>
      </c>
      <c r="M118" s="56">
        <f>(Assumptions!$B$136+Assumptions!$B$137*IF(M111+M113=0,1,(M111+M113*Assumptions!$B$138)/(M111+M113)))*M7/12</f>
        <v/>
      </c>
      <c r="N118" s="56">
        <f>(Assumptions!$B$136+Assumptions!$B$137*IF(N111+N113=0,1,(N111+N113*Assumptions!$B$138)/(N111+N113)))*N7/12</f>
        <v/>
      </c>
      <c r="O118" s="56">
        <f>(Assumptions!$B$136+Assumptions!$B$137*IF(O111+O113=0,1,(O111+O113*Assumptions!$B$138)/(O111+O113)))*O7/12</f>
        <v/>
      </c>
      <c r="P118" s="56">
        <f>(Assumptions!$B$136+Assumptions!$B$137*IF(P111+P113=0,1,(P111+P113*Assumptions!$B$138)/(P111+P113)))*P7/12</f>
        <v/>
      </c>
      <c r="Q118" s="56">
        <f>(Assumptions!$B$136+Assumptions!$B$137*IF(Q111+Q113=0,1,(Q111+Q113*Assumptions!$B$138)/(Q111+Q113)))*Q7/12</f>
        <v/>
      </c>
      <c r="R118" s="56">
        <f>(Assumptions!$B$136+Assumptions!$B$137*IF(R111+R113=0,1,(R111+R113*Assumptions!$B$138)/(R111+R113)))*R7/12</f>
        <v/>
      </c>
      <c r="S118" s="56">
        <f>(Assumptions!$B$136+Assumptions!$B$137*IF(S111+S113=0,1,(S111+S113*Assumptions!$B$138)/(S111+S113)))*S7/12</f>
        <v/>
      </c>
      <c r="T118" s="56">
        <f>(Assumptions!$B$136+Assumptions!$B$137*IF(T111+T113=0,1,(T111+T113*Assumptions!$B$138)/(T111+T113)))*T7/12</f>
        <v/>
      </c>
      <c r="U118" s="56">
        <f>(Assumptions!$B$136+Assumptions!$B$137*IF(U111+U113=0,1,(U111+U113*Assumptions!$B$138)/(U111+U113)))*U7/12</f>
        <v/>
      </c>
      <c r="V118" s="56">
        <f>(Assumptions!$B$136+Assumptions!$B$137*IF(V111+V113=0,1,(V111+V113*Assumptions!$B$138)/(V111+V113)))*V7/12</f>
        <v/>
      </c>
      <c r="W118" s="56">
        <f>(Assumptions!$B$136+Assumptions!$B$137*IF(W111+W113=0,1,(W111+W113*Assumptions!$B$138)/(W111+W113)))*W7/12</f>
        <v/>
      </c>
      <c r="X118" s="56">
        <f>(Assumptions!$B$136+Assumptions!$B$137*IF(X111+X113=0,1,(X111+X113*Assumptions!$B$138)/(X111+X113)))*X7/12</f>
        <v/>
      </c>
      <c r="Y118" s="56">
        <f>(Assumptions!$B$136+Assumptions!$B$137*IF(Y111+Y113=0,1,(Y111+Y113*Assumptions!$B$138)/(Y111+Y113)))*Y7/12</f>
        <v/>
      </c>
      <c r="Z118" s="56">
        <f>(Assumptions!$B$136+Assumptions!$B$137*IF(Z111+Z113=0,1,(Z111+Z113*Assumptions!$B$138)/(Z111+Z113)))*Z7/12</f>
        <v/>
      </c>
      <c r="AA118" s="56">
        <f>(Assumptions!$B$136+Assumptions!$B$137*IF(AA111+AA113=0,1,(AA111+AA113*Assumptions!$B$138)/(AA111+AA113)))*AA7/12</f>
        <v/>
      </c>
      <c r="AB118" s="56">
        <f>(Assumptions!$B$136+Assumptions!$B$137*IF(AB111+AB113=0,1,(AB111+AB113*Assumptions!$B$138)/(AB111+AB113)))*AB7/12</f>
        <v/>
      </c>
      <c r="AC118" s="56">
        <f>(Assumptions!$B$136+Assumptions!$B$137*IF(AC111+AC113=0,1,(AC111+AC113*Assumptions!$B$138)/(AC111+AC113)))*AC7/12</f>
        <v/>
      </c>
      <c r="AD118" s="56">
        <f>(Assumptions!$B$136+Assumptions!$B$137*IF(AD111+AD113=0,1,(AD111+AD113*Assumptions!$B$138)/(AD111+AD113)))*AD7/12</f>
        <v/>
      </c>
      <c r="AE118" s="56">
        <f>(Assumptions!$B$136+Assumptions!$B$137*IF(AE111+AE113=0,1,(AE111+AE113*Assumptions!$B$138)/(AE111+AE113)))*AE7/12</f>
        <v/>
      </c>
    </row>
    <row r="119">
      <c r="A119" s="6" t="inlineStr">
        <is>
          <t xml:space="preserve">  Redemption-only decay rate (metal actually leaving)</t>
        </is>
      </c>
      <c r="B119" s="23" t="inlineStr">
        <is>
          <t>%/period</t>
        </is>
      </c>
      <c r="C119" s="56">
        <f>Assumptions!$B$137*IF(C111+C113=0,1,(C111+C113*Assumptions!$B$138)/(C111+C113))*C7/12</f>
        <v/>
      </c>
      <c r="D119" s="56">
        <f>Assumptions!$B$137*IF(D111+D113=0,1,(D111+D113*Assumptions!$B$138)/(D111+D113))*D7/12</f>
        <v/>
      </c>
      <c r="E119" s="56">
        <f>Assumptions!$B$137*IF(E111+E113=0,1,(E111+E113*Assumptions!$B$138)/(E111+E113))*E7/12</f>
        <v/>
      </c>
      <c r="F119" s="56">
        <f>Assumptions!$B$137*IF(F111+F113=0,1,(F111+F113*Assumptions!$B$138)/(F111+F113))*F7/12</f>
        <v/>
      </c>
      <c r="G119" s="56">
        <f>Assumptions!$B$137*IF(G111+G113=0,1,(G111+G113*Assumptions!$B$138)/(G111+G113))*G7/12</f>
        <v/>
      </c>
      <c r="H119" s="56">
        <f>Assumptions!$B$137*IF(H111+H113=0,1,(H111+H113*Assumptions!$B$138)/(H111+H113))*H7/12</f>
        <v/>
      </c>
      <c r="I119" s="56">
        <f>Assumptions!$B$137*IF(I111+I113=0,1,(I111+I113*Assumptions!$B$138)/(I111+I113))*I7/12</f>
        <v/>
      </c>
      <c r="J119" s="56">
        <f>Assumptions!$B$137*IF(J111+J113=0,1,(J111+J113*Assumptions!$B$138)/(J111+J113))*J7/12</f>
        <v/>
      </c>
      <c r="K119" s="56">
        <f>Assumptions!$B$137*IF(K111+K113=0,1,(K111+K113*Assumptions!$B$138)/(K111+K113))*K7/12</f>
        <v/>
      </c>
      <c r="L119" s="56">
        <f>Assumptions!$B$137*IF(L111+L113=0,1,(L111+L113*Assumptions!$B$138)/(L111+L113))*L7/12</f>
        <v/>
      </c>
      <c r="M119" s="56">
        <f>Assumptions!$B$137*IF(M111+M113=0,1,(M111+M113*Assumptions!$B$138)/(M111+M113))*M7/12</f>
        <v/>
      </c>
      <c r="N119" s="56">
        <f>Assumptions!$B$137*IF(N111+N113=0,1,(N111+N113*Assumptions!$B$138)/(N111+N113))*N7/12</f>
        <v/>
      </c>
      <c r="O119" s="56">
        <f>Assumptions!$B$137*IF(O111+O113=0,1,(O111+O113*Assumptions!$B$138)/(O111+O113))*O7/12</f>
        <v/>
      </c>
      <c r="P119" s="56">
        <f>Assumptions!$B$137*IF(P111+P113=0,1,(P111+P113*Assumptions!$B$138)/(P111+P113))*P7/12</f>
        <v/>
      </c>
      <c r="Q119" s="56">
        <f>Assumptions!$B$137*IF(Q111+Q113=0,1,(Q111+Q113*Assumptions!$B$138)/(Q111+Q113))*Q7/12</f>
        <v/>
      </c>
      <c r="R119" s="56">
        <f>Assumptions!$B$137*IF(R111+R113=0,1,(R111+R113*Assumptions!$B$138)/(R111+R113))*R7/12</f>
        <v/>
      </c>
      <c r="S119" s="56">
        <f>Assumptions!$B$137*IF(S111+S113=0,1,(S111+S113*Assumptions!$B$138)/(S111+S113))*S7/12</f>
        <v/>
      </c>
      <c r="T119" s="56">
        <f>Assumptions!$B$137*IF(T111+T113=0,1,(T111+T113*Assumptions!$B$138)/(T111+T113))*T7/12</f>
        <v/>
      </c>
      <c r="U119" s="56">
        <f>Assumptions!$B$137*IF(U111+U113=0,1,(U111+U113*Assumptions!$B$138)/(U111+U113))*U7/12</f>
        <v/>
      </c>
      <c r="V119" s="56">
        <f>Assumptions!$B$137*IF(V111+V113=0,1,(V111+V113*Assumptions!$B$138)/(V111+V113))*V7/12</f>
        <v/>
      </c>
      <c r="W119" s="56">
        <f>Assumptions!$B$137*IF(W111+W113=0,1,(W111+W113*Assumptions!$B$138)/(W111+W113))*W7/12</f>
        <v/>
      </c>
      <c r="X119" s="56">
        <f>Assumptions!$B$137*IF(X111+X113=0,1,(X111+X113*Assumptions!$B$138)/(X111+X113))*X7/12</f>
        <v/>
      </c>
      <c r="Y119" s="56">
        <f>Assumptions!$B$137*IF(Y111+Y113=0,1,(Y111+Y113*Assumptions!$B$138)/(Y111+Y113))*Y7/12</f>
        <v/>
      </c>
      <c r="Z119" s="56">
        <f>Assumptions!$B$137*IF(Z111+Z113=0,1,(Z111+Z113*Assumptions!$B$138)/(Z111+Z113))*Z7/12</f>
        <v/>
      </c>
      <c r="AA119" s="56">
        <f>Assumptions!$B$137*IF(AA111+AA113=0,1,(AA111+AA113*Assumptions!$B$138)/(AA111+AA113))*AA7/12</f>
        <v/>
      </c>
      <c r="AB119" s="56">
        <f>Assumptions!$B$137*IF(AB111+AB113=0,1,(AB111+AB113*Assumptions!$B$138)/(AB111+AB113))*AB7/12</f>
        <v/>
      </c>
      <c r="AC119" s="56">
        <f>Assumptions!$B$137*IF(AC111+AC113=0,1,(AC111+AC113*Assumptions!$B$138)/(AC111+AC113))*AC7/12</f>
        <v/>
      </c>
      <c r="AD119" s="56">
        <f>Assumptions!$B$137*IF(AD111+AD113=0,1,(AD111+AD113*Assumptions!$B$138)/(AD111+AD113))*AD7/12</f>
        <v/>
      </c>
      <c r="AE119" s="56">
        <f>Assumptions!$B$137*IF(AE111+AE113=0,1,(AE111+AE113*Assumptions!$B$138)/(AE111+AE113))*AE7/12</f>
        <v/>
      </c>
    </row>
    <row r="120">
      <c r="A120" s="6" t="inlineStr">
        <is>
          <t xml:space="preserve">  Grams held (collateral-eligible)</t>
        </is>
      </c>
      <c r="B120" s="23" t="inlineStr">
        <is>
          <t>grams</t>
        </is>
      </c>
      <c r="C120" s="45">
        <f>C117</f>
        <v/>
      </c>
      <c r="D120" s="45">
        <f>C120*(1-D118)+D117</f>
        <v/>
      </c>
      <c r="E120" s="45">
        <f>D120*(1-E118)+E117</f>
        <v/>
      </c>
      <c r="F120" s="45">
        <f>E120*(1-F118)+F117</f>
        <v/>
      </c>
      <c r="G120" s="45">
        <f>F120*(1-G118)+G117</f>
        <v/>
      </c>
      <c r="H120" s="45">
        <f>G120*(1-H118)+H117</f>
        <v/>
      </c>
      <c r="I120" s="45">
        <f>H120*(1-I118)+I117</f>
        <v/>
      </c>
      <c r="J120" s="45">
        <f>I120*(1-J118)+J117</f>
        <v/>
      </c>
      <c r="K120" s="45">
        <f>J120*(1-K118)+K117</f>
        <v/>
      </c>
      <c r="L120" s="45">
        <f>K120*(1-L118)+L117</f>
        <v/>
      </c>
      <c r="M120" s="45">
        <f>L120*(1-M118)+M117</f>
        <v/>
      </c>
      <c r="N120" s="45">
        <f>M120*(1-N118)+N117</f>
        <v/>
      </c>
      <c r="O120" s="45">
        <f>N120*(1-O118)+O117</f>
        <v/>
      </c>
      <c r="P120" s="45">
        <f>O120*(1-P118)+P117</f>
        <v/>
      </c>
      <c r="Q120" s="45">
        <f>P120*(1-Q118)+Q117</f>
        <v/>
      </c>
      <c r="R120" s="45">
        <f>Q120*(1-R118)+R117</f>
        <v/>
      </c>
      <c r="S120" s="45">
        <f>R120*(1-S118)+S117</f>
        <v/>
      </c>
      <c r="T120" s="45">
        <f>S120*(1-T118)+T117</f>
        <v/>
      </c>
      <c r="U120" s="45">
        <f>T120*(1-U118)+U117</f>
        <v/>
      </c>
      <c r="V120" s="45">
        <f>U120*(1-V118)+V117</f>
        <v/>
      </c>
      <c r="W120" s="45">
        <f>V120*(1-W118)+W117</f>
        <v/>
      </c>
      <c r="X120" s="45">
        <f>W120*(1-X118)+X117</f>
        <v/>
      </c>
      <c r="Y120" s="45">
        <f>X120*(1-Y118)+Y117</f>
        <v/>
      </c>
      <c r="Z120" s="45">
        <f>Y120*(1-Z118)+Z117</f>
        <v/>
      </c>
      <c r="AA120" s="45">
        <f>Z120*(1-AA118)+AA117</f>
        <v/>
      </c>
      <c r="AB120" s="45">
        <f>AA120*(1-AB118)+AB117</f>
        <v/>
      </c>
      <c r="AC120" s="45">
        <f>AB120*(1-AC118)+AC117</f>
        <v/>
      </c>
      <c r="AD120" s="45">
        <f>AC120*(1-AD118)+AD117</f>
        <v/>
      </c>
      <c r="AE120" s="45">
        <f>AD120*(1-AE118)+AE117</f>
        <v/>
      </c>
    </row>
    <row r="121">
      <c r="A121" s="6" t="inlineStr">
        <is>
          <t xml:space="preserve">  Grams under custody (vaulted, incl. self-custodied)</t>
        </is>
      </c>
      <c r="B121" s="23" t="inlineStr">
        <is>
          <t>grams</t>
        </is>
      </c>
      <c r="C121" s="45">
        <f>C117</f>
        <v/>
      </c>
      <c r="D121" s="45">
        <f>C121*(1-D119)+D117</f>
        <v/>
      </c>
      <c r="E121" s="45">
        <f>D121*(1-E119)+E117</f>
        <v/>
      </c>
      <c r="F121" s="45">
        <f>E121*(1-F119)+F117</f>
        <v/>
      </c>
      <c r="G121" s="45">
        <f>F121*(1-G119)+G117</f>
        <v/>
      </c>
      <c r="H121" s="45">
        <f>G121*(1-H119)+H117</f>
        <v/>
      </c>
      <c r="I121" s="45">
        <f>H121*(1-I119)+I117</f>
        <v/>
      </c>
      <c r="J121" s="45">
        <f>I121*(1-J119)+J117</f>
        <v/>
      </c>
      <c r="K121" s="45">
        <f>J121*(1-K119)+K117</f>
        <v/>
      </c>
      <c r="L121" s="45">
        <f>K121*(1-L119)+L117</f>
        <v/>
      </c>
      <c r="M121" s="45">
        <f>L121*(1-M119)+M117</f>
        <v/>
      </c>
      <c r="N121" s="45">
        <f>M121*(1-N119)+N117</f>
        <v/>
      </c>
      <c r="O121" s="45">
        <f>N121*(1-O119)+O117</f>
        <v/>
      </c>
      <c r="P121" s="45">
        <f>O121*(1-P119)+P117</f>
        <v/>
      </c>
      <c r="Q121" s="45">
        <f>P121*(1-Q119)+Q117</f>
        <v/>
      </c>
      <c r="R121" s="45">
        <f>Q121*(1-R119)+R117</f>
        <v/>
      </c>
      <c r="S121" s="45">
        <f>R121*(1-S119)+S117</f>
        <v/>
      </c>
      <c r="T121" s="45">
        <f>S121*(1-T119)+T117</f>
        <v/>
      </c>
      <c r="U121" s="45">
        <f>T121*(1-U119)+U117</f>
        <v/>
      </c>
      <c r="V121" s="45">
        <f>U121*(1-V119)+V117</f>
        <v/>
      </c>
      <c r="W121" s="45">
        <f>V121*(1-W119)+W117</f>
        <v/>
      </c>
      <c r="X121" s="45">
        <f>W121*(1-X119)+X117</f>
        <v/>
      </c>
      <c r="Y121" s="45">
        <f>X121*(1-Y119)+Y117</f>
        <v/>
      </c>
      <c r="Z121" s="45">
        <f>Y121*(1-Z119)+Z117</f>
        <v/>
      </c>
      <c r="AA121" s="45">
        <f>Z121*(1-AA119)+AA117</f>
        <v/>
      </c>
      <c r="AB121" s="45">
        <f>AA121*(1-AB119)+AB117</f>
        <v/>
      </c>
      <c r="AC121" s="45">
        <f>AB121*(1-AC119)+AC117</f>
        <v/>
      </c>
      <c r="AD121" s="45">
        <f>AC121*(1-AD119)+AD117</f>
        <v/>
      </c>
      <c r="AE121" s="45">
        <f>AD121*(1-AE119)+AE117</f>
        <v/>
      </c>
    </row>
    <row r="122">
      <c r="A122" s="6" t="inlineStr">
        <is>
          <t xml:space="preserve">  AUM</t>
        </is>
      </c>
      <c r="B122" s="23" t="inlineStr">
        <is>
          <t>USD</t>
        </is>
      </c>
      <c r="C122" s="57">
        <f>C120*C21</f>
        <v/>
      </c>
      <c r="D122" s="57">
        <f>D120*D21</f>
        <v/>
      </c>
      <c r="E122" s="57">
        <f>E120*E21</f>
        <v/>
      </c>
      <c r="F122" s="57">
        <f>F120*F21</f>
        <v/>
      </c>
      <c r="G122" s="57">
        <f>G120*G21</f>
        <v/>
      </c>
      <c r="H122" s="57">
        <f>H120*H21</f>
        <v/>
      </c>
      <c r="I122" s="57">
        <f>I120*I21</f>
        <v/>
      </c>
      <c r="J122" s="57">
        <f>J120*J21</f>
        <v/>
      </c>
      <c r="K122" s="57">
        <f>K120*K21</f>
        <v/>
      </c>
      <c r="L122" s="57">
        <f>L120*L21</f>
        <v/>
      </c>
      <c r="M122" s="57">
        <f>M120*M21</f>
        <v/>
      </c>
      <c r="N122" s="57">
        <f>N120*N21</f>
        <v/>
      </c>
      <c r="O122" s="57">
        <f>O120*O21</f>
        <v/>
      </c>
      <c r="P122" s="57">
        <f>P120*P21</f>
        <v/>
      </c>
      <c r="Q122" s="57">
        <f>Q120*Q21</f>
        <v/>
      </c>
      <c r="R122" s="57">
        <f>R120*R21</f>
        <v/>
      </c>
      <c r="S122" s="57">
        <f>S120*S21</f>
        <v/>
      </c>
      <c r="T122" s="57">
        <f>T120*T21</f>
        <v/>
      </c>
      <c r="U122" s="57">
        <f>U120*U21</f>
        <v/>
      </c>
      <c r="V122" s="57">
        <f>V120*V21</f>
        <v/>
      </c>
      <c r="W122" s="57">
        <f>W120*W21</f>
        <v/>
      </c>
      <c r="X122" s="57">
        <f>X120*X21</f>
        <v/>
      </c>
      <c r="Y122" s="57">
        <f>Y120*Y21</f>
        <v/>
      </c>
      <c r="Z122" s="57">
        <f>Z120*Z21</f>
        <v/>
      </c>
      <c r="AA122" s="57">
        <f>AA120*AA21</f>
        <v/>
      </c>
      <c r="AB122" s="57">
        <f>AB120*AB21</f>
        <v/>
      </c>
      <c r="AC122" s="57">
        <f>AC120*AC21</f>
        <v/>
      </c>
      <c r="AD122" s="57">
        <f>AD120*AD21</f>
        <v/>
      </c>
      <c r="AE122" s="57">
        <f>AE120*AE21</f>
        <v/>
      </c>
    </row>
    <row r="123">
      <c r="A123" s="6" t="inlineStr">
        <is>
          <t xml:space="preserve">  Card-eligible base</t>
        </is>
      </c>
      <c r="B123" s="23" t="inlineStr">
        <is>
          <t>accounts</t>
        </is>
      </c>
      <c r="C123" s="54">
        <f>C111+C113*Assumptions!$B$179</f>
        <v/>
      </c>
      <c r="D123" s="54">
        <f>D111+D113*Assumptions!$B$179</f>
        <v/>
      </c>
      <c r="E123" s="54">
        <f>E111+E113*Assumptions!$B$179</f>
        <v/>
      </c>
      <c r="F123" s="54">
        <f>F111+F113*Assumptions!$B$179</f>
        <v/>
      </c>
      <c r="G123" s="54">
        <f>G111+G113*Assumptions!$B$179</f>
        <v/>
      </c>
      <c r="H123" s="54">
        <f>H111+H113*Assumptions!$B$179</f>
        <v/>
      </c>
      <c r="I123" s="54">
        <f>I111+I113*Assumptions!$B$179</f>
        <v/>
      </c>
      <c r="J123" s="54">
        <f>J111+J113*Assumptions!$B$179</f>
        <v/>
      </c>
      <c r="K123" s="54">
        <f>K111+K113*Assumptions!$B$179</f>
        <v/>
      </c>
      <c r="L123" s="54">
        <f>L111+L113*Assumptions!$B$179</f>
        <v/>
      </c>
      <c r="M123" s="54">
        <f>M111+M113*Assumptions!$B$179</f>
        <v/>
      </c>
      <c r="N123" s="54">
        <f>N111+N113*Assumptions!$B$179</f>
        <v/>
      </c>
      <c r="O123" s="54">
        <f>O111+O113*Assumptions!$B$179</f>
        <v/>
      </c>
      <c r="P123" s="54">
        <f>P111+P113*Assumptions!$B$179</f>
        <v/>
      </c>
      <c r="Q123" s="54">
        <f>Q111+Q113*Assumptions!$B$179</f>
        <v/>
      </c>
      <c r="R123" s="54">
        <f>R111+R113*Assumptions!$B$179</f>
        <v/>
      </c>
      <c r="S123" s="54">
        <f>S111+S113*Assumptions!$B$179</f>
        <v/>
      </c>
      <c r="T123" s="54">
        <f>T111+T113*Assumptions!$B$179</f>
        <v/>
      </c>
      <c r="U123" s="54">
        <f>U111+U113*Assumptions!$B$179</f>
        <v/>
      </c>
      <c r="V123" s="54">
        <f>V111+V113*Assumptions!$B$179</f>
        <v/>
      </c>
      <c r="W123" s="54">
        <f>W111+W113*Assumptions!$B$179</f>
        <v/>
      </c>
      <c r="X123" s="54">
        <f>X111+X113*Assumptions!$B$179</f>
        <v/>
      </c>
      <c r="Y123" s="54">
        <f>Y111+Y113*Assumptions!$B$179</f>
        <v/>
      </c>
      <c r="Z123" s="54">
        <f>Z111+Z113*Assumptions!$B$179</f>
        <v/>
      </c>
      <c r="AA123" s="54">
        <f>AA111+AA113*Assumptions!$B$179</f>
        <v/>
      </c>
      <c r="AB123" s="54">
        <f>AB111+AB113*Assumptions!$B$179</f>
        <v/>
      </c>
      <c r="AC123" s="54">
        <f>AC111+AC113*Assumptions!$B$179</f>
        <v/>
      </c>
      <c r="AD123" s="54">
        <f>AD111+AD113*Assumptions!$B$179</f>
        <v/>
      </c>
      <c r="AE123" s="54">
        <f>AE111+AE113*Assumptions!$B$179</f>
        <v/>
      </c>
    </row>
    <row r="124">
      <c r="A124" s="6" t="inlineStr">
        <is>
          <t xml:space="preserve">  Cleared the six-payment gate</t>
        </is>
      </c>
      <c r="B124" s="23" t="inlineStr">
        <is>
          <t>accounts</t>
        </is>
      </c>
      <c r="C124" s="45">
        <f>IF(C7&gt;1,C123*Assumptions!$B$134,IF(C2&gt;Assumptions!$B$135,INDEX($C$123:$AE$123,1,C2-Assumptions!$B$135)*Assumptions!$B$134,0))</f>
        <v/>
      </c>
      <c r="D124" s="45">
        <f>IF(D7&gt;1,D123*Assumptions!$B$134,IF(D2&gt;Assumptions!$B$135,INDEX($C$123:$AE$123,1,D2-Assumptions!$B$135)*Assumptions!$B$134,0))</f>
        <v/>
      </c>
      <c r="E124" s="45">
        <f>IF(E7&gt;1,E123*Assumptions!$B$134,IF(E2&gt;Assumptions!$B$135,INDEX($C$123:$AE$123,1,E2-Assumptions!$B$135)*Assumptions!$B$134,0))</f>
        <v/>
      </c>
      <c r="F124" s="45">
        <f>IF(F7&gt;1,F123*Assumptions!$B$134,IF(F2&gt;Assumptions!$B$135,INDEX($C$123:$AE$123,1,F2-Assumptions!$B$135)*Assumptions!$B$134,0))</f>
        <v/>
      </c>
      <c r="G124" s="45">
        <f>IF(G7&gt;1,G123*Assumptions!$B$134,IF(G2&gt;Assumptions!$B$135,INDEX($C$123:$AE$123,1,G2-Assumptions!$B$135)*Assumptions!$B$134,0))</f>
        <v/>
      </c>
      <c r="H124" s="45">
        <f>IF(H7&gt;1,H123*Assumptions!$B$134,IF(H2&gt;Assumptions!$B$135,INDEX($C$123:$AE$123,1,H2-Assumptions!$B$135)*Assumptions!$B$134,0))</f>
        <v/>
      </c>
      <c r="I124" s="45">
        <f>IF(I7&gt;1,I123*Assumptions!$B$134,IF(I2&gt;Assumptions!$B$135,INDEX($C$123:$AE$123,1,I2-Assumptions!$B$135)*Assumptions!$B$134,0))</f>
        <v/>
      </c>
      <c r="J124" s="45">
        <f>IF(J7&gt;1,J123*Assumptions!$B$134,IF(J2&gt;Assumptions!$B$135,INDEX($C$123:$AE$123,1,J2-Assumptions!$B$135)*Assumptions!$B$134,0))</f>
        <v/>
      </c>
      <c r="K124" s="45">
        <f>IF(K7&gt;1,K123*Assumptions!$B$134,IF(K2&gt;Assumptions!$B$135,INDEX($C$123:$AE$123,1,K2-Assumptions!$B$135)*Assumptions!$B$134,0))</f>
        <v/>
      </c>
      <c r="L124" s="45">
        <f>IF(L7&gt;1,L123*Assumptions!$B$134,IF(L2&gt;Assumptions!$B$135,INDEX($C$123:$AE$123,1,L2-Assumptions!$B$135)*Assumptions!$B$134,0))</f>
        <v/>
      </c>
      <c r="M124" s="45">
        <f>IF(M7&gt;1,M123*Assumptions!$B$134,IF(M2&gt;Assumptions!$B$135,INDEX($C$123:$AE$123,1,M2-Assumptions!$B$135)*Assumptions!$B$134,0))</f>
        <v/>
      </c>
      <c r="N124" s="45">
        <f>IF(N7&gt;1,N123*Assumptions!$B$134,IF(N2&gt;Assumptions!$B$135,INDEX($C$123:$AE$123,1,N2-Assumptions!$B$135)*Assumptions!$B$134,0))</f>
        <v/>
      </c>
      <c r="O124" s="45">
        <f>IF(O7&gt;1,O123*Assumptions!$B$134,IF(O2&gt;Assumptions!$B$135,INDEX($C$123:$AE$123,1,O2-Assumptions!$B$135)*Assumptions!$B$134,0))</f>
        <v/>
      </c>
      <c r="P124" s="45">
        <f>IF(P7&gt;1,P123*Assumptions!$B$134,IF(P2&gt;Assumptions!$B$135,INDEX($C$123:$AE$123,1,P2-Assumptions!$B$135)*Assumptions!$B$134,0))</f>
        <v/>
      </c>
      <c r="Q124" s="45">
        <f>IF(Q7&gt;1,Q123*Assumptions!$B$134,IF(Q2&gt;Assumptions!$B$135,INDEX($C$123:$AE$123,1,Q2-Assumptions!$B$135)*Assumptions!$B$134,0))</f>
        <v/>
      </c>
      <c r="R124" s="45">
        <f>IF(R7&gt;1,R123*Assumptions!$B$134,IF(R2&gt;Assumptions!$B$135,INDEX($C$123:$AE$123,1,R2-Assumptions!$B$135)*Assumptions!$B$134,0))</f>
        <v/>
      </c>
      <c r="S124" s="45">
        <f>IF(S7&gt;1,S123*Assumptions!$B$134,IF(S2&gt;Assumptions!$B$135,INDEX($C$123:$AE$123,1,S2-Assumptions!$B$135)*Assumptions!$B$134,0))</f>
        <v/>
      </c>
      <c r="T124" s="45">
        <f>IF(T7&gt;1,T123*Assumptions!$B$134,IF(T2&gt;Assumptions!$B$135,INDEX($C$123:$AE$123,1,T2-Assumptions!$B$135)*Assumptions!$B$134,0))</f>
        <v/>
      </c>
      <c r="U124" s="45">
        <f>IF(U7&gt;1,U123*Assumptions!$B$134,IF(U2&gt;Assumptions!$B$135,INDEX($C$123:$AE$123,1,U2-Assumptions!$B$135)*Assumptions!$B$134,0))</f>
        <v/>
      </c>
      <c r="V124" s="45">
        <f>IF(V7&gt;1,V123*Assumptions!$B$134,IF(V2&gt;Assumptions!$B$135,INDEX($C$123:$AE$123,1,V2-Assumptions!$B$135)*Assumptions!$B$134,0))</f>
        <v/>
      </c>
      <c r="W124" s="45">
        <f>IF(W7&gt;1,W123*Assumptions!$B$134,IF(W2&gt;Assumptions!$B$135,INDEX($C$123:$AE$123,1,W2-Assumptions!$B$135)*Assumptions!$B$134,0))</f>
        <v/>
      </c>
      <c r="X124" s="45">
        <f>IF(X7&gt;1,X123*Assumptions!$B$134,IF(X2&gt;Assumptions!$B$135,INDEX($C$123:$AE$123,1,X2-Assumptions!$B$135)*Assumptions!$B$134,0))</f>
        <v/>
      </c>
      <c r="Y124" s="45">
        <f>IF(Y7&gt;1,Y123*Assumptions!$B$134,IF(Y2&gt;Assumptions!$B$135,INDEX($C$123:$AE$123,1,Y2-Assumptions!$B$135)*Assumptions!$B$134,0))</f>
        <v/>
      </c>
      <c r="Z124" s="45">
        <f>IF(Z7&gt;1,Z123*Assumptions!$B$134,IF(Z2&gt;Assumptions!$B$135,INDEX($C$123:$AE$123,1,Z2-Assumptions!$B$135)*Assumptions!$B$134,0))</f>
        <v/>
      </c>
      <c r="AA124" s="45">
        <f>IF(AA7&gt;1,AA123*Assumptions!$B$134,IF(AA2&gt;Assumptions!$B$135,INDEX($C$123:$AE$123,1,AA2-Assumptions!$B$135)*Assumptions!$B$134,0))</f>
        <v/>
      </c>
      <c r="AB124" s="45">
        <f>IF(AB7&gt;1,AB123*Assumptions!$B$134,IF(AB2&gt;Assumptions!$B$135,INDEX($C$123:$AE$123,1,AB2-Assumptions!$B$135)*Assumptions!$B$134,0))</f>
        <v/>
      </c>
      <c r="AC124" s="45">
        <f>IF(AC7&gt;1,AC123*Assumptions!$B$134,IF(AC2&gt;Assumptions!$B$135,INDEX($C$123:$AE$123,1,AC2-Assumptions!$B$135)*Assumptions!$B$134,0))</f>
        <v/>
      </c>
      <c r="AD124" s="45">
        <f>IF(AD7&gt;1,AD123*Assumptions!$B$134,IF(AD2&gt;Assumptions!$B$135,INDEX($C$123:$AE$123,1,AD2-Assumptions!$B$135)*Assumptions!$B$134,0))</f>
        <v/>
      </c>
      <c r="AE124" s="45">
        <f>IF(AE7&gt;1,AE123*Assumptions!$B$134,IF(AE2&gt;Assumptions!$B$135,INDEX($C$123:$AE$123,1,AE2-Assumptions!$B$135)*Assumptions!$B$134,0))</f>
        <v/>
      </c>
    </row>
    <row r="125">
      <c r="A125" s="6" t="inlineStr">
        <is>
          <t xml:space="preserve">  Active cards</t>
        </is>
      </c>
      <c r="B125" s="23" t="inlineStr">
        <is>
          <t>cards</t>
        </is>
      </c>
      <c r="C125" s="28">
        <f>IF(C2&gt;=Assumptions!$B$51,C124*Assumptions!$B$143,0)</f>
        <v/>
      </c>
      <c r="D125" s="28">
        <f>IF(D2&gt;=Assumptions!$B$51,D124*Assumptions!$B$143,0)</f>
        <v/>
      </c>
      <c r="E125" s="28">
        <f>IF(E2&gt;=Assumptions!$B$51,E124*Assumptions!$B$143,0)</f>
        <v/>
      </c>
      <c r="F125" s="28">
        <f>IF(F2&gt;=Assumptions!$B$51,F124*Assumptions!$B$143,0)</f>
        <v/>
      </c>
      <c r="G125" s="28">
        <f>IF(G2&gt;=Assumptions!$B$51,G124*Assumptions!$B$143,0)</f>
        <v/>
      </c>
      <c r="H125" s="28">
        <f>IF(H2&gt;=Assumptions!$B$51,H124*Assumptions!$B$143,0)</f>
        <v/>
      </c>
      <c r="I125" s="28">
        <f>IF(I2&gt;=Assumptions!$B$51,I124*Assumptions!$B$143,0)</f>
        <v/>
      </c>
      <c r="J125" s="28">
        <f>IF(J2&gt;=Assumptions!$B$51,J124*Assumptions!$B$143,0)</f>
        <v/>
      </c>
      <c r="K125" s="28">
        <f>IF(K2&gt;=Assumptions!$B$51,K124*Assumptions!$B$143,0)</f>
        <v/>
      </c>
      <c r="L125" s="28">
        <f>IF(L2&gt;=Assumptions!$B$51,L124*Assumptions!$B$143,0)</f>
        <v/>
      </c>
      <c r="M125" s="28">
        <f>IF(M2&gt;=Assumptions!$B$51,M124*Assumptions!$B$143,0)</f>
        <v/>
      </c>
      <c r="N125" s="28">
        <f>IF(N2&gt;=Assumptions!$B$51,N124*Assumptions!$B$143,0)</f>
        <v/>
      </c>
      <c r="O125" s="28">
        <f>IF(O2&gt;=Assumptions!$B$51,O124*Assumptions!$B$143,0)</f>
        <v/>
      </c>
      <c r="P125" s="28">
        <f>IF(P2&gt;=Assumptions!$B$51,P124*Assumptions!$B$143,0)</f>
        <v/>
      </c>
      <c r="Q125" s="28">
        <f>IF(Q2&gt;=Assumptions!$B$51,Q124*Assumptions!$B$143,0)</f>
        <v/>
      </c>
      <c r="R125" s="28">
        <f>IF(R2&gt;=Assumptions!$B$51,R124*Assumptions!$B$143,0)</f>
        <v/>
      </c>
      <c r="S125" s="28">
        <f>IF(S2&gt;=Assumptions!$B$51,S124*Assumptions!$B$143,0)</f>
        <v/>
      </c>
      <c r="T125" s="28">
        <f>IF(T2&gt;=Assumptions!$B$51,T124*Assumptions!$B$143,0)</f>
        <v/>
      </c>
      <c r="U125" s="28">
        <f>IF(U2&gt;=Assumptions!$B$51,U124*Assumptions!$B$143,0)</f>
        <v/>
      </c>
      <c r="V125" s="28">
        <f>IF(V2&gt;=Assumptions!$B$51,V124*Assumptions!$B$143,0)</f>
        <v/>
      </c>
      <c r="W125" s="28">
        <f>IF(W2&gt;=Assumptions!$B$51,W124*Assumptions!$B$143,0)</f>
        <v/>
      </c>
      <c r="X125" s="28">
        <f>IF(X2&gt;=Assumptions!$B$51,X124*Assumptions!$B$143,0)</f>
        <v/>
      </c>
      <c r="Y125" s="28">
        <f>IF(Y2&gt;=Assumptions!$B$51,Y124*Assumptions!$B$143,0)</f>
        <v/>
      </c>
      <c r="Z125" s="28">
        <f>IF(Z2&gt;=Assumptions!$B$51,Z124*Assumptions!$B$143,0)</f>
        <v/>
      </c>
      <c r="AA125" s="28">
        <f>IF(AA2&gt;=Assumptions!$B$51,AA124*Assumptions!$B$143,0)</f>
        <v/>
      </c>
      <c r="AB125" s="28">
        <f>IF(AB2&gt;=Assumptions!$B$51,AB124*Assumptions!$B$143,0)</f>
        <v/>
      </c>
      <c r="AC125" s="28">
        <f>IF(AC2&gt;=Assumptions!$B$51,AC124*Assumptions!$B$143,0)</f>
        <v/>
      </c>
      <c r="AD125" s="28">
        <f>IF(AD2&gt;=Assumptions!$B$51,AD124*Assumptions!$B$143,0)</f>
        <v/>
      </c>
      <c r="AE125" s="28">
        <f>IF(AE2&gt;=Assumptions!$B$51,AE124*Assumptions!$B$143,0)</f>
        <v/>
      </c>
    </row>
    <row r="126">
      <c r="A126" s="6" t="inlineStr">
        <is>
          <t xml:space="preserve">  ...of which have a live credit line</t>
        </is>
      </c>
      <c r="B126" s="23" t="inlineStr">
        <is>
          <t>cards</t>
        </is>
      </c>
      <c r="C126" s="28">
        <f>IF(C123=0,0,C125*C111/C123)</f>
        <v/>
      </c>
      <c r="D126" s="28">
        <f>IF(D123=0,0,D125*D111/D123)</f>
        <v/>
      </c>
      <c r="E126" s="28">
        <f>IF(E123=0,0,E125*E111/E123)</f>
        <v/>
      </c>
      <c r="F126" s="28">
        <f>IF(F123=0,0,F125*F111/F123)</f>
        <v/>
      </c>
      <c r="G126" s="28">
        <f>IF(G123=0,0,G125*G111/G123)</f>
        <v/>
      </c>
      <c r="H126" s="28">
        <f>IF(H123=0,0,H125*H111/H123)</f>
        <v/>
      </c>
      <c r="I126" s="28">
        <f>IF(I123=0,0,I125*I111/I123)</f>
        <v/>
      </c>
      <c r="J126" s="28">
        <f>IF(J123=0,0,J125*J111/J123)</f>
        <v/>
      </c>
      <c r="K126" s="28">
        <f>IF(K123=0,0,K125*K111/K123)</f>
        <v/>
      </c>
      <c r="L126" s="28">
        <f>IF(L123=0,0,L125*L111/L123)</f>
        <v/>
      </c>
      <c r="M126" s="28">
        <f>IF(M123=0,0,M125*M111/M123)</f>
        <v/>
      </c>
      <c r="N126" s="28">
        <f>IF(N123=0,0,N125*N111/N123)</f>
        <v/>
      </c>
      <c r="O126" s="28">
        <f>IF(O123=0,0,O125*O111/O123)</f>
        <v/>
      </c>
      <c r="P126" s="28">
        <f>IF(P123=0,0,P125*P111/P123)</f>
        <v/>
      </c>
      <c r="Q126" s="28">
        <f>IF(Q123=0,0,Q125*Q111/Q123)</f>
        <v/>
      </c>
      <c r="R126" s="28">
        <f>IF(R123=0,0,R125*R111/R123)</f>
        <v/>
      </c>
      <c r="S126" s="28">
        <f>IF(S123=0,0,S125*S111/S123)</f>
        <v/>
      </c>
      <c r="T126" s="28">
        <f>IF(T123=0,0,T125*T111/T123)</f>
        <v/>
      </c>
      <c r="U126" s="28">
        <f>IF(U123=0,0,U125*U111/U123)</f>
        <v/>
      </c>
      <c r="V126" s="28">
        <f>IF(V123=0,0,V125*V111/V123)</f>
        <v/>
      </c>
      <c r="W126" s="28">
        <f>IF(W123=0,0,W125*W111/W123)</f>
        <v/>
      </c>
      <c r="X126" s="28">
        <f>IF(X123=0,0,X125*X111/X123)</f>
        <v/>
      </c>
      <c r="Y126" s="28">
        <f>IF(Y123=0,0,Y125*Y111/Y123)</f>
        <v/>
      </c>
      <c r="Z126" s="28">
        <f>IF(Z123=0,0,Z125*Z111/Z123)</f>
        <v/>
      </c>
      <c r="AA126" s="28">
        <f>IF(AA123=0,0,AA125*AA111/AA123)</f>
        <v/>
      </c>
      <c r="AB126" s="28">
        <f>IF(AB123=0,0,AB125*AB111/AB123)</f>
        <v/>
      </c>
      <c r="AC126" s="28">
        <f>IF(AC123=0,0,AC125*AC111/AC123)</f>
        <v/>
      </c>
      <c r="AD126" s="28">
        <f>IF(AD123=0,0,AD125*AD111/AD123)</f>
        <v/>
      </c>
      <c r="AE126" s="28">
        <f>IF(AE123=0,0,AE125*AE111/AE123)</f>
        <v/>
      </c>
    </row>
    <row r="127">
      <c r="A127" s="6" t="inlineStr">
        <is>
          <t xml:space="preserve">  Credit limit per customer (gold x LTV)</t>
        </is>
      </c>
      <c r="B127" s="23" t="inlineStr">
        <is>
          <t>USD</t>
        </is>
      </c>
      <c r="C127" s="55">
        <f>IF(C111=0,0,C122/C111*Assumptions!$B$31)</f>
        <v/>
      </c>
      <c r="D127" s="55">
        <f>IF(D111=0,0,D122/D111*Assumptions!$B$31)</f>
        <v/>
      </c>
      <c r="E127" s="55">
        <f>IF(E111=0,0,E122/E111*Assumptions!$B$31)</f>
        <v/>
      </c>
      <c r="F127" s="55">
        <f>IF(F111=0,0,F122/F111*Assumptions!$B$31)</f>
        <v/>
      </c>
      <c r="G127" s="55">
        <f>IF(G111=0,0,G122/G111*Assumptions!$B$31)</f>
        <v/>
      </c>
      <c r="H127" s="55">
        <f>IF(H111=0,0,H122/H111*Assumptions!$B$31)</f>
        <v/>
      </c>
      <c r="I127" s="55">
        <f>IF(I111=0,0,I122/I111*Assumptions!$B$31)</f>
        <v/>
      </c>
      <c r="J127" s="55">
        <f>IF(J111=0,0,J122/J111*Assumptions!$B$31)</f>
        <v/>
      </c>
      <c r="K127" s="55">
        <f>IF(K111=0,0,K122/K111*Assumptions!$B$31)</f>
        <v/>
      </c>
      <c r="L127" s="55">
        <f>IF(L111=0,0,L122/L111*Assumptions!$B$31)</f>
        <v/>
      </c>
      <c r="M127" s="55">
        <f>IF(M111=0,0,M122/M111*Assumptions!$B$31)</f>
        <v/>
      </c>
      <c r="N127" s="55">
        <f>IF(N111=0,0,N122/N111*Assumptions!$B$31)</f>
        <v/>
      </c>
      <c r="O127" s="55">
        <f>IF(O111=0,0,O122/O111*Assumptions!$B$31)</f>
        <v/>
      </c>
      <c r="P127" s="55">
        <f>IF(P111=0,0,P122/P111*Assumptions!$B$31)</f>
        <v/>
      </c>
      <c r="Q127" s="55">
        <f>IF(Q111=0,0,Q122/Q111*Assumptions!$B$31)</f>
        <v/>
      </c>
      <c r="R127" s="55">
        <f>IF(R111=0,0,R122/R111*Assumptions!$B$31)</f>
        <v/>
      </c>
      <c r="S127" s="55">
        <f>IF(S111=0,0,S122/S111*Assumptions!$B$31)</f>
        <v/>
      </c>
      <c r="T127" s="55">
        <f>IF(T111=0,0,T122/T111*Assumptions!$B$31)</f>
        <v/>
      </c>
      <c r="U127" s="55">
        <f>IF(U111=0,0,U122/U111*Assumptions!$B$31)</f>
        <v/>
      </c>
      <c r="V127" s="55">
        <f>IF(V111=0,0,V122/V111*Assumptions!$B$31)</f>
        <v/>
      </c>
      <c r="W127" s="55">
        <f>IF(W111=0,0,W122/W111*Assumptions!$B$31)</f>
        <v/>
      </c>
      <c r="X127" s="55">
        <f>IF(X111=0,0,X122/X111*Assumptions!$B$31)</f>
        <v/>
      </c>
      <c r="Y127" s="55">
        <f>IF(Y111=0,0,Y122/Y111*Assumptions!$B$31)</f>
        <v/>
      </c>
      <c r="Z127" s="55">
        <f>IF(Z111=0,0,Z122/Z111*Assumptions!$B$31)</f>
        <v/>
      </c>
      <c r="AA127" s="55">
        <f>IF(AA111=0,0,AA122/AA111*Assumptions!$B$31)</f>
        <v/>
      </c>
      <c r="AB127" s="55">
        <f>IF(AB111=0,0,AB122/AB111*Assumptions!$B$31)</f>
        <v/>
      </c>
      <c r="AC127" s="55">
        <f>IF(AC111=0,0,AC122/AC111*Assumptions!$B$31)</f>
        <v/>
      </c>
      <c r="AD127" s="55">
        <f>IF(AD111=0,0,AD122/AD111*Assumptions!$B$31)</f>
        <v/>
      </c>
      <c r="AE127" s="55">
        <f>IF(AE111=0,0,AE122/AE111*Assumptions!$B$31)</f>
        <v/>
      </c>
    </row>
    <row r="128">
      <c r="A128" s="6" t="inlineStr">
        <is>
          <t xml:space="preserve">  Annual drawdown per card (limit x drawn x draws)</t>
        </is>
      </c>
      <c r="B128" s="23" t="inlineStr">
        <is>
          <t>USD/yr</t>
        </is>
      </c>
      <c r="C128" s="55">
        <f>C127*Assumptions!$B$156*Assumptions!$B$158</f>
        <v/>
      </c>
      <c r="D128" s="55">
        <f>D127*Assumptions!$B$156*Assumptions!$B$158</f>
        <v/>
      </c>
      <c r="E128" s="55">
        <f>E127*Assumptions!$B$156*Assumptions!$B$158</f>
        <v/>
      </c>
      <c r="F128" s="55">
        <f>F127*Assumptions!$B$156*Assumptions!$B$158</f>
        <v/>
      </c>
      <c r="G128" s="55">
        <f>G127*Assumptions!$B$156*Assumptions!$B$158</f>
        <v/>
      </c>
      <c r="H128" s="55">
        <f>H127*Assumptions!$B$156*Assumptions!$B$158</f>
        <v/>
      </c>
      <c r="I128" s="55">
        <f>I127*Assumptions!$B$156*Assumptions!$B$158</f>
        <v/>
      </c>
      <c r="J128" s="55">
        <f>J127*Assumptions!$B$156*Assumptions!$B$158</f>
        <v/>
      </c>
      <c r="K128" s="55">
        <f>K127*Assumptions!$B$156*Assumptions!$B$158</f>
        <v/>
      </c>
      <c r="L128" s="55">
        <f>L127*Assumptions!$B$156*Assumptions!$B$158</f>
        <v/>
      </c>
      <c r="M128" s="55">
        <f>M127*Assumptions!$B$156*Assumptions!$B$158</f>
        <v/>
      </c>
      <c r="N128" s="55">
        <f>N127*Assumptions!$B$156*Assumptions!$B$158</f>
        <v/>
      </c>
      <c r="O128" s="55">
        <f>O127*Assumptions!$B$156*Assumptions!$B$158</f>
        <v/>
      </c>
      <c r="P128" s="55">
        <f>P127*Assumptions!$B$156*Assumptions!$B$158</f>
        <v/>
      </c>
      <c r="Q128" s="55">
        <f>Q127*Assumptions!$B$156*Assumptions!$B$158</f>
        <v/>
      </c>
      <c r="R128" s="55">
        <f>R127*Assumptions!$B$156*Assumptions!$B$158</f>
        <v/>
      </c>
      <c r="S128" s="55">
        <f>S127*Assumptions!$B$156*Assumptions!$B$158</f>
        <v/>
      </c>
      <c r="T128" s="55">
        <f>T127*Assumptions!$B$156*Assumptions!$B$158</f>
        <v/>
      </c>
      <c r="U128" s="55">
        <f>U127*Assumptions!$B$156*Assumptions!$B$158</f>
        <v/>
      </c>
      <c r="V128" s="55">
        <f>V127*Assumptions!$B$156*Assumptions!$B$158</f>
        <v/>
      </c>
      <c r="W128" s="55">
        <f>W127*Assumptions!$B$156*Assumptions!$B$158</f>
        <v/>
      </c>
      <c r="X128" s="55">
        <f>X127*Assumptions!$B$156*Assumptions!$B$158</f>
        <v/>
      </c>
      <c r="Y128" s="55">
        <f>Y127*Assumptions!$B$156*Assumptions!$B$158</f>
        <v/>
      </c>
      <c r="Z128" s="55">
        <f>Z127*Assumptions!$B$156*Assumptions!$B$158</f>
        <v/>
      </c>
      <c r="AA128" s="55">
        <f>AA127*Assumptions!$B$156*Assumptions!$B$158</f>
        <v/>
      </c>
      <c r="AB128" s="55">
        <f>AB127*Assumptions!$B$156*Assumptions!$B$158</f>
        <v/>
      </c>
      <c r="AC128" s="55">
        <f>AC127*Assumptions!$B$156*Assumptions!$B$158</f>
        <v/>
      </c>
      <c r="AD128" s="55">
        <f>AD127*Assumptions!$B$156*Assumptions!$B$158</f>
        <v/>
      </c>
      <c r="AE128" s="55">
        <f>AE127*Assumptions!$B$156*Assumptions!$B$158</f>
        <v/>
      </c>
    </row>
    <row r="129">
      <c r="A129" s="6" t="inlineStr">
        <is>
          <t xml:space="preserve">  Card spend per card per month</t>
        </is>
      </c>
      <c r="B129" s="23" t="inlineStr">
        <is>
          <t>USD</t>
        </is>
      </c>
      <c r="C129" s="55">
        <f>C128/12*C16</f>
        <v/>
      </c>
      <c r="D129" s="55">
        <f>D128/12*D16</f>
        <v/>
      </c>
      <c r="E129" s="55">
        <f>E128/12*E16</f>
        <v/>
      </c>
      <c r="F129" s="55">
        <f>F128/12*F16</f>
        <v/>
      </c>
      <c r="G129" s="55">
        <f>G128/12*G16</f>
        <v/>
      </c>
      <c r="H129" s="55">
        <f>H128/12*H16</f>
        <v/>
      </c>
      <c r="I129" s="55">
        <f>I128/12*I16</f>
        <v/>
      </c>
      <c r="J129" s="55">
        <f>J128/12*J16</f>
        <v/>
      </c>
      <c r="K129" s="55">
        <f>K128/12*K16</f>
        <v/>
      </c>
      <c r="L129" s="55">
        <f>L128/12*L16</f>
        <v/>
      </c>
      <c r="M129" s="55">
        <f>M128/12*M16</f>
        <v/>
      </c>
      <c r="N129" s="55">
        <f>N128/12*N16</f>
        <v/>
      </c>
      <c r="O129" s="55">
        <f>O128/12*O16</f>
        <v/>
      </c>
      <c r="P129" s="55">
        <f>P128/12*P16</f>
        <v/>
      </c>
      <c r="Q129" s="55">
        <f>Q128/12*Q16</f>
        <v/>
      </c>
      <c r="R129" s="55">
        <f>R128/12*R16</f>
        <v/>
      </c>
      <c r="S129" s="55">
        <f>S128/12*S16</f>
        <v/>
      </c>
      <c r="T129" s="55">
        <f>T128/12*T16</f>
        <v/>
      </c>
      <c r="U129" s="55">
        <f>U128/12*U16</f>
        <v/>
      </c>
      <c r="V129" s="55">
        <f>V128/12*V16</f>
        <v/>
      </c>
      <c r="W129" s="55">
        <f>W128/12*W16</f>
        <v/>
      </c>
      <c r="X129" s="55">
        <f>X128/12*X16</f>
        <v/>
      </c>
      <c r="Y129" s="55">
        <f>Y128/12*Y16</f>
        <v/>
      </c>
      <c r="Z129" s="55">
        <f>Z128/12*Z16</f>
        <v/>
      </c>
      <c r="AA129" s="55">
        <f>AA128/12*AA16</f>
        <v/>
      </c>
      <c r="AB129" s="55">
        <f>AB128/12*AB16</f>
        <v/>
      </c>
      <c r="AC129" s="55">
        <f>AC128/12*AC16</f>
        <v/>
      </c>
      <c r="AD129" s="55">
        <f>AD128/12*AD16</f>
        <v/>
      </c>
      <c r="AE129" s="55">
        <f>AE128/12*AE16</f>
        <v/>
      </c>
    </row>
    <row r="130">
      <c r="A130" s="6" t="inlineStr">
        <is>
          <t xml:space="preserve">  Card spend</t>
        </is>
      </c>
      <c r="B130" s="23" t="inlineStr">
        <is>
          <t>AED</t>
        </is>
      </c>
      <c r="C130" s="45">
        <f>C126*C129*Assumptions!$B$7*C7</f>
        <v/>
      </c>
      <c r="D130" s="45">
        <f>D126*D129*Assumptions!$B$7*D7</f>
        <v/>
      </c>
      <c r="E130" s="45">
        <f>E126*E129*Assumptions!$B$7*E7</f>
        <v/>
      </c>
      <c r="F130" s="45">
        <f>F126*F129*Assumptions!$B$7*F7</f>
        <v/>
      </c>
      <c r="G130" s="45">
        <f>G126*G129*Assumptions!$B$7*G7</f>
        <v/>
      </c>
      <c r="H130" s="45">
        <f>H126*H129*Assumptions!$B$7*H7</f>
        <v/>
      </c>
      <c r="I130" s="45">
        <f>I126*I129*Assumptions!$B$7*I7</f>
        <v/>
      </c>
      <c r="J130" s="45">
        <f>J126*J129*Assumptions!$B$7*J7</f>
        <v/>
      </c>
      <c r="K130" s="45">
        <f>K126*K129*Assumptions!$B$7*K7</f>
        <v/>
      </c>
      <c r="L130" s="45">
        <f>L126*L129*Assumptions!$B$7*L7</f>
        <v/>
      </c>
      <c r="M130" s="45">
        <f>M126*M129*Assumptions!$B$7*M7</f>
        <v/>
      </c>
      <c r="N130" s="45">
        <f>N126*N129*Assumptions!$B$7*N7</f>
        <v/>
      </c>
      <c r="O130" s="45">
        <f>O126*O129*Assumptions!$B$7*O7</f>
        <v/>
      </c>
      <c r="P130" s="45">
        <f>P126*P129*Assumptions!$B$7*P7</f>
        <v/>
      </c>
      <c r="Q130" s="45">
        <f>Q126*Q129*Assumptions!$B$7*Q7</f>
        <v/>
      </c>
      <c r="R130" s="45">
        <f>R126*R129*Assumptions!$B$7*R7</f>
        <v/>
      </c>
      <c r="S130" s="45">
        <f>S126*S129*Assumptions!$B$7*S7</f>
        <v/>
      </c>
      <c r="T130" s="45">
        <f>T126*T129*Assumptions!$B$7*T7</f>
        <v/>
      </c>
      <c r="U130" s="45">
        <f>U126*U129*Assumptions!$B$7*U7</f>
        <v/>
      </c>
      <c r="V130" s="45">
        <f>V126*V129*Assumptions!$B$7*V7</f>
        <v/>
      </c>
      <c r="W130" s="45">
        <f>W126*W129*Assumptions!$B$7*W7</f>
        <v/>
      </c>
      <c r="X130" s="45">
        <f>X126*X129*Assumptions!$B$7*X7</f>
        <v/>
      </c>
      <c r="Y130" s="45">
        <f>Y126*Y129*Assumptions!$B$7*Y7</f>
        <v/>
      </c>
      <c r="Z130" s="45">
        <f>Z126*Z129*Assumptions!$B$7*Z7</f>
        <v/>
      </c>
      <c r="AA130" s="45">
        <f>AA126*AA129*Assumptions!$B$7*AA7</f>
        <v/>
      </c>
      <c r="AB130" s="45">
        <f>AB126*AB129*Assumptions!$B$7*AB7</f>
        <v/>
      </c>
      <c r="AC130" s="45">
        <f>AC126*AC129*Assumptions!$B$7*AC7</f>
        <v/>
      </c>
      <c r="AD130" s="45">
        <f>AD126*AD129*Assumptions!$B$7*AD7</f>
        <v/>
      </c>
      <c r="AE130" s="45">
        <f>AE126*AE129*Assumptions!$B$7*AE7</f>
        <v/>
      </c>
    </row>
    <row r="131">
      <c r="A131" s="6" t="inlineStr">
        <is>
          <t xml:space="preserve">  Card spend</t>
        </is>
      </c>
      <c r="B131" s="23" t="inlineStr">
        <is>
          <t>USD</t>
        </is>
      </c>
      <c r="C131" s="55">
        <f>C130/Assumptions!$B$7</f>
        <v/>
      </c>
      <c r="D131" s="55">
        <f>D130/Assumptions!$B$7</f>
        <v/>
      </c>
      <c r="E131" s="55">
        <f>E130/Assumptions!$B$7</f>
        <v/>
      </c>
      <c r="F131" s="55">
        <f>F130/Assumptions!$B$7</f>
        <v/>
      </c>
      <c r="G131" s="55">
        <f>G130/Assumptions!$B$7</f>
        <v/>
      </c>
      <c r="H131" s="55">
        <f>H130/Assumptions!$B$7</f>
        <v/>
      </c>
      <c r="I131" s="55">
        <f>I130/Assumptions!$B$7</f>
        <v/>
      </c>
      <c r="J131" s="55">
        <f>J130/Assumptions!$B$7</f>
        <v/>
      </c>
      <c r="K131" s="55">
        <f>K130/Assumptions!$B$7</f>
        <v/>
      </c>
      <c r="L131" s="55">
        <f>L130/Assumptions!$B$7</f>
        <v/>
      </c>
      <c r="M131" s="55">
        <f>M130/Assumptions!$B$7</f>
        <v/>
      </c>
      <c r="N131" s="55">
        <f>N130/Assumptions!$B$7</f>
        <v/>
      </c>
      <c r="O131" s="55">
        <f>O130/Assumptions!$B$7</f>
        <v/>
      </c>
      <c r="P131" s="55">
        <f>P130/Assumptions!$B$7</f>
        <v/>
      </c>
      <c r="Q131" s="55">
        <f>Q130/Assumptions!$B$7</f>
        <v/>
      </c>
      <c r="R131" s="55">
        <f>R130/Assumptions!$B$7</f>
        <v/>
      </c>
      <c r="S131" s="55">
        <f>S130/Assumptions!$B$7</f>
        <v/>
      </c>
      <c r="T131" s="55">
        <f>T130/Assumptions!$B$7</f>
        <v/>
      </c>
      <c r="U131" s="55">
        <f>U130/Assumptions!$B$7</f>
        <v/>
      </c>
      <c r="V131" s="55">
        <f>V130/Assumptions!$B$7</f>
        <v/>
      </c>
      <c r="W131" s="55">
        <f>W130/Assumptions!$B$7</f>
        <v/>
      </c>
      <c r="X131" s="55">
        <f>X130/Assumptions!$B$7</f>
        <v/>
      </c>
      <c r="Y131" s="55">
        <f>Y130/Assumptions!$B$7</f>
        <v/>
      </c>
      <c r="Z131" s="55">
        <f>Z130/Assumptions!$B$7</f>
        <v/>
      </c>
      <c r="AA131" s="55">
        <f>AA130/Assumptions!$B$7</f>
        <v/>
      </c>
      <c r="AB131" s="55">
        <f>AB130/Assumptions!$B$7</f>
        <v/>
      </c>
      <c r="AC131" s="55">
        <f>AC130/Assumptions!$B$7</f>
        <v/>
      </c>
      <c r="AD131" s="55">
        <f>AD130/Assumptions!$B$7</f>
        <v/>
      </c>
      <c r="AE131" s="55">
        <f>AE130/Assumptions!$B$7</f>
        <v/>
      </c>
    </row>
    <row r="132">
      <c r="A132" s="6" t="inlineStr">
        <is>
          <t xml:space="preserve">  Average transaction size (derived)</t>
        </is>
      </c>
      <c r="B132" s="23" t="inlineStr">
        <is>
          <t>AED</t>
        </is>
      </c>
      <c r="C132" s="45">
        <f>IF(Assumptions!$B$144=0,0,C127*Assumptions!$B$156*Assumptions!$B$7/Assumptions!$B$144)</f>
        <v/>
      </c>
      <c r="D132" s="45">
        <f>IF(Assumptions!$B$144=0,0,D127*Assumptions!$B$156*Assumptions!$B$7/Assumptions!$B$144)</f>
        <v/>
      </c>
      <c r="E132" s="45">
        <f>IF(Assumptions!$B$144=0,0,E127*Assumptions!$B$156*Assumptions!$B$7/Assumptions!$B$144)</f>
        <v/>
      </c>
      <c r="F132" s="45">
        <f>IF(Assumptions!$B$144=0,0,F127*Assumptions!$B$156*Assumptions!$B$7/Assumptions!$B$144)</f>
        <v/>
      </c>
      <c r="G132" s="45">
        <f>IF(Assumptions!$B$144=0,0,G127*Assumptions!$B$156*Assumptions!$B$7/Assumptions!$B$144)</f>
        <v/>
      </c>
      <c r="H132" s="45">
        <f>IF(Assumptions!$B$144=0,0,H127*Assumptions!$B$156*Assumptions!$B$7/Assumptions!$B$144)</f>
        <v/>
      </c>
      <c r="I132" s="45">
        <f>IF(Assumptions!$B$144=0,0,I127*Assumptions!$B$156*Assumptions!$B$7/Assumptions!$B$144)</f>
        <v/>
      </c>
      <c r="J132" s="45">
        <f>IF(Assumptions!$B$144=0,0,J127*Assumptions!$B$156*Assumptions!$B$7/Assumptions!$B$144)</f>
        <v/>
      </c>
      <c r="K132" s="45">
        <f>IF(Assumptions!$B$144=0,0,K127*Assumptions!$B$156*Assumptions!$B$7/Assumptions!$B$144)</f>
        <v/>
      </c>
      <c r="L132" s="45">
        <f>IF(Assumptions!$B$144=0,0,L127*Assumptions!$B$156*Assumptions!$B$7/Assumptions!$B$144)</f>
        <v/>
      </c>
      <c r="M132" s="45">
        <f>IF(Assumptions!$B$144=0,0,M127*Assumptions!$B$156*Assumptions!$B$7/Assumptions!$B$144)</f>
        <v/>
      </c>
      <c r="N132" s="45">
        <f>IF(Assumptions!$B$144=0,0,N127*Assumptions!$B$156*Assumptions!$B$7/Assumptions!$B$144)</f>
        <v/>
      </c>
      <c r="O132" s="45">
        <f>IF(Assumptions!$B$144=0,0,O127*Assumptions!$B$156*Assumptions!$B$7/Assumptions!$B$144)</f>
        <v/>
      </c>
      <c r="P132" s="45">
        <f>IF(Assumptions!$B$144=0,0,P127*Assumptions!$B$156*Assumptions!$B$7/Assumptions!$B$144)</f>
        <v/>
      </c>
      <c r="Q132" s="45">
        <f>IF(Assumptions!$B$144=0,0,Q127*Assumptions!$B$156*Assumptions!$B$7/Assumptions!$B$144)</f>
        <v/>
      </c>
      <c r="R132" s="45">
        <f>IF(Assumptions!$B$144=0,0,R127*Assumptions!$B$156*Assumptions!$B$7/Assumptions!$B$144)</f>
        <v/>
      </c>
      <c r="S132" s="45">
        <f>IF(Assumptions!$B$144=0,0,S127*Assumptions!$B$156*Assumptions!$B$7/Assumptions!$B$144)</f>
        <v/>
      </c>
      <c r="T132" s="45">
        <f>IF(Assumptions!$B$144=0,0,T127*Assumptions!$B$156*Assumptions!$B$7/Assumptions!$B$144)</f>
        <v/>
      </c>
      <c r="U132" s="45">
        <f>IF(Assumptions!$B$144=0,0,U127*Assumptions!$B$156*Assumptions!$B$7/Assumptions!$B$144)</f>
        <v/>
      </c>
      <c r="V132" s="45">
        <f>IF(Assumptions!$B$144=0,0,V127*Assumptions!$B$156*Assumptions!$B$7/Assumptions!$B$144)</f>
        <v/>
      </c>
      <c r="W132" s="45">
        <f>IF(Assumptions!$B$144=0,0,W127*Assumptions!$B$156*Assumptions!$B$7/Assumptions!$B$144)</f>
        <v/>
      </c>
      <c r="X132" s="45">
        <f>IF(Assumptions!$B$144=0,0,X127*Assumptions!$B$156*Assumptions!$B$7/Assumptions!$B$144)</f>
        <v/>
      </c>
      <c r="Y132" s="45">
        <f>IF(Assumptions!$B$144=0,0,Y127*Assumptions!$B$156*Assumptions!$B$7/Assumptions!$B$144)</f>
        <v/>
      </c>
      <c r="Z132" s="45">
        <f>IF(Assumptions!$B$144=0,0,Z127*Assumptions!$B$156*Assumptions!$B$7/Assumptions!$B$144)</f>
        <v/>
      </c>
      <c r="AA132" s="45">
        <f>IF(Assumptions!$B$144=0,0,AA127*Assumptions!$B$156*Assumptions!$B$7/Assumptions!$B$144)</f>
        <v/>
      </c>
      <c r="AB132" s="45">
        <f>IF(Assumptions!$B$144=0,0,AB127*Assumptions!$B$156*Assumptions!$B$7/Assumptions!$B$144)</f>
        <v/>
      </c>
      <c r="AC132" s="45">
        <f>IF(Assumptions!$B$144=0,0,AC127*Assumptions!$B$156*Assumptions!$B$7/Assumptions!$B$144)</f>
        <v/>
      </c>
      <c r="AD132" s="45">
        <f>IF(Assumptions!$B$144=0,0,AD127*Assumptions!$B$156*Assumptions!$B$7/Assumptions!$B$144)</f>
        <v/>
      </c>
      <c r="AE132" s="45">
        <f>IF(Assumptions!$B$144=0,0,AE127*Assumptions!$B$156*Assumptions!$B$7/Assumptions!$B$144)</f>
        <v/>
      </c>
    </row>
    <row r="133">
      <c r="A133" s="6" t="inlineStr">
        <is>
          <t xml:space="preserve">  Card authorisations (memo - drives cost, not revenue)</t>
        </is>
      </c>
      <c r="B133" s="23" t="inlineStr">
        <is>
          <t>auths</t>
        </is>
      </c>
      <c r="C133" s="45">
        <f>C126*Assumptions!$B$158*Assumptions!$B$144*C7/12*(1+Assumptions!$B$16)</f>
        <v/>
      </c>
      <c r="D133" s="45">
        <f>D126*Assumptions!$B$158*Assumptions!$B$144*D7/12*(1+Assumptions!$B$16)</f>
        <v/>
      </c>
      <c r="E133" s="45">
        <f>E126*Assumptions!$B$158*Assumptions!$B$144*E7/12*(1+Assumptions!$B$16)</f>
        <v/>
      </c>
      <c r="F133" s="45">
        <f>F126*Assumptions!$B$158*Assumptions!$B$144*F7/12*(1+Assumptions!$B$16)</f>
        <v/>
      </c>
      <c r="G133" s="45">
        <f>G126*Assumptions!$B$158*Assumptions!$B$144*G7/12*(1+Assumptions!$B$16)</f>
        <v/>
      </c>
      <c r="H133" s="45">
        <f>H126*Assumptions!$B$158*Assumptions!$B$144*H7/12*(1+Assumptions!$B$16)</f>
        <v/>
      </c>
      <c r="I133" s="45">
        <f>I126*Assumptions!$B$158*Assumptions!$B$144*I7/12*(1+Assumptions!$B$16)</f>
        <v/>
      </c>
      <c r="J133" s="45">
        <f>J126*Assumptions!$B$158*Assumptions!$B$144*J7/12*(1+Assumptions!$B$16)</f>
        <v/>
      </c>
      <c r="K133" s="45">
        <f>K126*Assumptions!$B$158*Assumptions!$B$144*K7/12*(1+Assumptions!$B$16)</f>
        <v/>
      </c>
      <c r="L133" s="45">
        <f>L126*Assumptions!$B$158*Assumptions!$B$144*L7/12*(1+Assumptions!$B$16)</f>
        <v/>
      </c>
      <c r="M133" s="45">
        <f>M126*Assumptions!$B$158*Assumptions!$B$144*M7/12*(1+Assumptions!$B$16)</f>
        <v/>
      </c>
      <c r="N133" s="45">
        <f>N126*Assumptions!$B$158*Assumptions!$B$144*N7/12*(1+Assumptions!$B$16)</f>
        <v/>
      </c>
      <c r="O133" s="45">
        <f>O126*Assumptions!$B$158*Assumptions!$B$144*O7/12*(1+Assumptions!$B$16)</f>
        <v/>
      </c>
      <c r="P133" s="45">
        <f>P126*Assumptions!$B$158*Assumptions!$B$144*P7/12*(1+Assumptions!$B$16)</f>
        <v/>
      </c>
      <c r="Q133" s="45">
        <f>Q126*Assumptions!$B$158*Assumptions!$B$144*Q7/12*(1+Assumptions!$B$16)</f>
        <v/>
      </c>
      <c r="R133" s="45">
        <f>R126*Assumptions!$B$158*Assumptions!$B$144*R7/12*(1+Assumptions!$B$16)</f>
        <v/>
      </c>
      <c r="S133" s="45">
        <f>S126*Assumptions!$B$158*Assumptions!$B$144*S7/12*(1+Assumptions!$B$16)</f>
        <v/>
      </c>
      <c r="T133" s="45">
        <f>T126*Assumptions!$B$158*Assumptions!$B$144*T7/12*(1+Assumptions!$B$16)</f>
        <v/>
      </c>
      <c r="U133" s="45">
        <f>U126*Assumptions!$B$158*Assumptions!$B$144*U7/12*(1+Assumptions!$B$16)</f>
        <v/>
      </c>
      <c r="V133" s="45">
        <f>V126*Assumptions!$B$158*Assumptions!$B$144*V7/12*(1+Assumptions!$B$16)</f>
        <v/>
      </c>
      <c r="W133" s="45">
        <f>W126*Assumptions!$B$158*Assumptions!$B$144*W7/12*(1+Assumptions!$B$16)</f>
        <v/>
      </c>
      <c r="X133" s="45">
        <f>X126*Assumptions!$B$158*Assumptions!$B$144*X7/12*(1+Assumptions!$B$16)</f>
        <v/>
      </c>
      <c r="Y133" s="45">
        <f>Y126*Assumptions!$B$158*Assumptions!$B$144*Y7/12*(1+Assumptions!$B$16)</f>
        <v/>
      </c>
      <c r="Z133" s="45">
        <f>Z126*Assumptions!$B$158*Assumptions!$B$144*Z7/12*(1+Assumptions!$B$16)</f>
        <v/>
      </c>
      <c r="AA133" s="45">
        <f>AA126*Assumptions!$B$158*Assumptions!$B$144*AA7/12*(1+Assumptions!$B$16)</f>
        <v/>
      </c>
      <c r="AB133" s="45">
        <f>AB126*Assumptions!$B$158*Assumptions!$B$144*AB7/12*(1+Assumptions!$B$16)</f>
        <v/>
      </c>
      <c r="AC133" s="45">
        <f>AC126*Assumptions!$B$158*Assumptions!$B$144*AC7/12*(1+Assumptions!$B$16)</f>
        <v/>
      </c>
      <c r="AD133" s="45">
        <f>AD126*Assumptions!$B$158*Assumptions!$B$144*AD7/12*(1+Assumptions!$B$16)</f>
        <v/>
      </c>
      <c r="AE133" s="45">
        <f>AE126*Assumptions!$B$158*Assumptions!$B$144*AE7/12*(1+Assumptions!$B$16)</f>
        <v/>
      </c>
    </row>
    <row r="134">
      <c r="A134" s="6" t="inlineStr">
        <is>
          <t xml:space="preserve">  Stream 1a - Entry fee, SIP</t>
        </is>
      </c>
      <c r="B134" s="23" t="inlineStr">
        <is>
          <t>USD</t>
        </is>
      </c>
      <c r="C134" s="55">
        <f>C115*Assumptions!$B$8</f>
        <v/>
      </c>
      <c r="D134" s="55">
        <f>D115*Assumptions!$B$8</f>
        <v/>
      </c>
      <c r="E134" s="55">
        <f>E115*Assumptions!$B$8</f>
        <v/>
      </c>
      <c r="F134" s="55">
        <f>F115*Assumptions!$B$8</f>
        <v/>
      </c>
      <c r="G134" s="55">
        <f>G115*Assumptions!$B$8</f>
        <v/>
      </c>
      <c r="H134" s="55">
        <f>H115*Assumptions!$B$8</f>
        <v/>
      </c>
      <c r="I134" s="55">
        <f>I115*Assumptions!$B$8</f>
        <v/>
      </c>
      <c r="J134" s="55">
        <f>J115*Assumptions!$B$8</f>
        <v/>
      </c>
      <c r="K134" s="55">
        <f>K115*Assumptions!$B$8</f>
        <v/>
      </c>
      <c r="L134" s="55">
        <f>L115*Assumptions!$B$8</f>
        <v/>
      </c>
      <c r="M134" s="55">
        <f>M115*Assumptions!$B$8</f>
        <v/>
      </c>
      <c r="N134" s="55">
        <f>N115*Assumptions!$B$8</f>
        <v/>
      </c>
      <c r="O134" s="55">
        <f>O115*Assumptions!$B$8</f>
        <v/>
      </c>
      <c r="P134" s="55">
        <f>P115*Assumptions!$B$8</f>
        <v/>
      </c>
      <c r="Q134" s="55">
        <f>Q115*Assumptions!$B$8</f>
        <v/>
      </c>
      <c r="R134" s="55">
        <f>R115*Assumptions!$B$8</f>
        <v/>
      </c>
      <c r="S134" s="55">
        <f>S115*Assumptions!$B$8</f>
        <v/>
      </c>
      <c r="T134" s="55">
        <f>T115*Assumptions!$B$8</f>
        <v/>
      </c>
      <c r="U134" s="55">
        <f>U115*Assumptions!$B$8</f>
        <v/>
      </c>
      <c r="V134" s="55">
        <f>V115*Assumptions!$B$8</f>
        <v/>
      </c>
      <c r="W134" s="55">
        <f>W115*Assumptions!$B$8</f>
        <v/>
      </c>
      <c r="X134" s="55">
        <f>X115*Assumptions!$B$8</f>
        <v/>
      </c>
      <c r="Y134" s="55">
        <f>Y115*Assumptions!$B$8</f>
        <v/>
      </c>
      <c r="Z134" s="55">
        <f>Z115*Assumptions!$B$8</f>
        <v/>
      </c>
      <c r="AA134" s="55">
        <f>AA115*Assumptions!$B$8</f>
        <v/>
      </c>
      <c r="AB134" s="55">
        <f>AB115*Assumptions!$B$8</f>
        <v/>
      </c>
      <c r="AC134" s="55">
        <f>AC115*Assumptions!$B$8</f>
        <v/>
      </c>
      <c r="AD134" s="55">
        <f>AD115*Assumptions!$B$8</f>
        <v/>
      </c>
      <c r="AE134" s="55">
        <f>AE115*Assumptions!$B$8</f>
        <v/>
      </c>
    </row>
    <row r="135">
      <c r="A135" s="6" t="inlineStr">
        <is>
          <t xml:space="preserve">  Stream 1b - Entry fee, SPOT</t>
        </is>
      </c>
      <c r="B135" s="23" t="inlineStr">
        <is>
          <t>USD</t>
        </is>
      </c>
      <c r="C135" s="55">
        <f>C116*Assumptions!$B$8</f>
        <v/>
      </c>
      <c r="D135" s="55">
        <f>D116*Assumptions!$B$8</f>
        <v/>
      </c>
      <c r="E135" s="55">
        <f>E116*Assumptions!$B$8</f>
        <v/>
      </c>
      <c r="F135" s="55">
        <f>F116*Assumptions!$B$8</f>
        <v/>
      </c>
      <c r="G135" s="55">
        <f>G116*Assumptions!$B$8</f>
        <v/>
      </c>
      <c r="H135" s="55">
        <f>H116*Assumptions!$B$8</f>
        <v/>
      </c>
      <c r="I135" s="55">
        <f>I116*Assumptions!$B$8</f>
        <v/>
      </c>
      <c r="J135" s="55">
        <f>J116*Assumptions!$B$8</f>
        <v/>
      </c>
      <c r="K135" s="55">
        <f>K116*Assumptions!$B$8</f>
        <v/>
      </c>
      <c r="L135" s="55">
        <f>L116*Assumptions!$B$8</f>
        <v/>
      </c>
      <c r="M135" s="55">
        <f>M116*Assumptions!$B$8</f>
        <v/>
      </c>
      <c r="N135" s="55">
        <f>N116*Assumptions!$B$8</f>
        <v/>
      </c>
      <c r="O135" s="55">
        <f>O116*Assumptions!$B$8</f>
        <v/>
      </c>
      <c r="P135" s="55">
        <f>P116*Assumptions!$B$8</f>
        <v/>
      </c>
      <c r="Q135" s="55">
        <f>Q116*Assumptions!$B$8</f>
        <v/>
      </c>
      <c r="R135" s="55">
        <f>R116*Assumptions!$B$8</f>
        <v/>
      </c>
      <c r="S135" s="55">
        <f>S116*Assumptions!$B$8</f>
        <v/>
      </c>
      <c r="T135" s="55">
        <f>T116*Assumptions!$B$8</f>
        <v/>
      </c>
      <c r="U135" s="55">
        <f>U116*Assumptions!$B$8</f>
        <v/>
      </c>
      <c r="V135" s="55">
        <f>V116*Assumptions!$B$8</f>
        <v/>
      </c>
      <c r="W135" s="55">
        <f>W116*Assumptions!$B$8</f>
        <v/>
      </c>
      <c r="X135" s="55">
        <f>X116*Assumptions!$B$8</f>
        <v/>
      </c>
      <c r="Y135" s="55">
        <f>Y116*Assumptions!$B$8</f>
        <v/>
      </c>
      <c r="Z135" s="55">
        <f>Z116*Assumptions!$B$8</f>
        <v/>
      </c>
      <c r="AA135" s="55">
        <f>AA116*Assumptions!$B$8</f>
        <v/>
      </c>
      <c r="AB135" s="55">
        <f>AB116*Assumptions!$B$8</f>
        <v/>
      </c>
      <c r="AC135" s="55">
        <f>AC116*Assumptions!$B$8</f>
        <v/>
      </c>
      <c r="AD135" s="55">
        <f>AD116*Assumptions!$B$8</f>
        <v/>
      </c>
      <c r="AE135" s="55">
        <f>AE116*Assumptions!$B$8</f>
        <v/>
      </c>
    </row>
    <row r="136">
      <c r="A136" s="6" t="inlineStr">
        <is>
          <t xml:space="preserve">  Stream 2 - Card interchange</t>
        </is>
      </c>
      <c r="B136" s="23" t="inlineStr">
        <is>
          <t>USD</t>
        </is>
      </c>
      <c r="C136" s="55">
        <f>C131*IF(Assumptions!$B$178=1,MIN(Assumptions!$B$14,1%),Assumptions!$B$14)*(1-Assumptions!$B$142)</f>
        <v/>
      </c>
      <c r="D136" s="55">
        <f>D131*IF(Assumptions!$B$178=1,MIN(Assumptions!$B$14,1%),Assumptions!$B$14)*(1-Assumptions!$B$142)</f>
        <v/>
      </c>
      <c r="E136" s="55">
        <f>E131*IF(Assumptions!$B$178=1,MIN(Assumptions!$B$14,1%),Assumptions!$B$14)*(1-Assumptions!$B$142)</f>
        <v/>
      </c>
      <c r="F136" s="55">
        <f>F131*IF(Assumptions!$B$178=1,MIN(Assumptions!$B$14,1%),Assumptions!$B$14)*(1-Assumptions!$B$142)</f>
        <v/>
      </c>
      <c r="G136" s="55">
        <f>G131*IF(Assumptions!$B$178=1,MIN(Assumptions!$B$14,1%),Assumptions!$B$14)*(1-Assumptions!$B$142)</f>
        <v/>
      </c>
      <c r="H136" s="55">
        <f>H131*IF(Assumptions!$B$178=1,MIN(Assumptions!$B$14,1%),Assumptions!$B$14)*(1-Assumptions!$B$142)</f>
        <v/>
      </c>
      <c r="I136" s="55">
        <f>I131*IF(Assumptions!$B$178=1,MIN(Assumptions!$B$14,1%),Assumptions!$B$14)*(1-Assumptions!$B$142)</f>
        <v/>
      </c>
      <c r="J136" s="55">
        <f>J131*IF(Assumptions!$B$178=1,MIN(Assumptions!$B$14,1%),Assumptions!$B$14)*(1-Assumptions!$B$142)</f>
        <v/>
      </c>
      <c r="K136" s="55">
        <f>K131*IF(Assumptions!$B$178=1,MIN(Assumptions!$B$14,1%),Assumptions!$B$14)*(1-Assumptions!$B$142)</f>
        <v/>
      </c>
      <c r="L136" s="55">
        <f>L131*IF(Assumptions!$B$178=1,MIN(Assumptions!$B$14,1%),Assumptions!$B$14)*(1-Assumptions!$B$142)</f>
        <v/>
      </c>
      <c r="M136" s="55">
        <f>M131*IF(Assumptions!$B$178=1,MIN(Assumptions!$B$14,1%),Assumptions!$B$14)*(1-Assumptions!$B$142)</f>
        <v/>
      </c>
      <c r="N136" s="55">
        <f>N131*IF(Assumptions!$B$178=1,MIN(Assumptions!$B$14,1%),Assumptions!$B$14)*(1-Assumptions!$B$142)</f>
        <v/>
      </c>
      <c r="O136" s="55">
        <f>O131*IF(Assumptions!$B$178=1,MIN(Assumptions!$B$14,1%),Assumptions!$B$14)*(1-Assumptions!$B$142)</f>
        <v/>
      </c>
      <c r="P136" s="55">
        <f>P131*IF(Assumptions!$B$178=1,MIN(Assumptions!$B$14,1%),Assumptions!$B$14)*(1-Assumptions!$B$142)</f>
        <v/>
      </c>
      <c r="Q136" s="55">
        <f>Q131*IF(Assumptions!$B$178=1,MIN(Assumptions!$B$14,1%),Assumptions!$B$14)*(1-Assumptions!$B$142)</f>
        <v/>
      </c>
      <c r="R136" s="55">
        <f>R131*IF(Assumptions!$B$178=1,MIN(Assumptions!$B$14,1%),Assumptions!$B$14)*(1-Assumptions!$B$142)</f>
        <v/>
      </c>
      <c r="S136" s="55">
        <f>S131*IF(Assumptions!$B$178=1,MIN(Assumptions!$B$14,1%),Assumptions!$B$14)*(1-Assumptions!$B$142)</f>
        <v/>
      </c>
      <c r="T136" s="55">
        <f>T131*IF(Assumptions!$B$178=1,MIN(Assumptions!$B$14,1%),Assumptions!$B$14)*(1-Assumptions!$B$142)</f>
        <v/>
      </c>
      <c r="U136" s="55">
        <f>U131*IF(Assumptions!$B$178=1,MIN(Assumptions!$B$14,1%),Assumptions!$B$14)*(1-Assumptions!$B$142)</f>
        <v/>
      </c>
      <c r="V136" s="55">
        <f>V131*IF(Assumptions!$B$178=1,MIN(Assumptions!$B$14,1%),Assumptions!$B$14)*(1-Assumptions!$B$142)</f>
        <v/>
      </c>
      <c r="W136" s="55">
        <f>W131*IF(Assumptions!$B$178=1,MIN(Assumptions!$B$14,1%),Assumptions!$B$14)*(1-Assumptions!$B$142)</f>
        <v/>
      </c>
      <c r="X136" s="55">
        <f>X131*IF(Assumptions!$B$178=1,MIN(Assumptions!$B$14,1%),Assumptions!$B$14)*(1-Assumptions!$B$142)</f>
        <v/>
      </c>
      <c r="Y136" s="55">
        <f>Y131*IF(Assumptions!$B$178=1,MIN(Assumptions!$B$14,1%),Assumptions!$B$14)*(1-Assumptions!$B$142)</f>
        <v/>
      </c>
      <c r="Z136" s="55">
        <f>Z131*IF(Assumptions!$B$178=1,MIN(Assumptions!$B$14,1%),Assumptions!$B$14)*(1-Assumptions!$B$142)</f>
        <v/>
      </c>
      <c r="AA136" s="55">
        <f>AA131*IF(Assumptions!$B$178=1,MIN(Assumptions!$B$14,1%),Assumptions!$B$14)*(1-Assumptions!$B$142)</f>
        <v/>
      </c>
      <c r="AB136" s="55">
        <f>AB131*IF(Assumptions!$B$178=1,MIN(Assumptions!$B$14,1%),Assumptions!$B$14)*(1-Assumptions!$B$142)</f>
        <v/>
      </c>
      <c r="AC136" s="55">
        <f>AC131*IF(Assumptions!$B$178=1,MIN(Assumptions!$B$14,1%),Assumptions!$B$14)*(1-Assumptions!$B$142)</f>
        <v/>
      </c>
      <c r="AD136" s="55">
        <f>AD131*IF(Assumptions!$B$178=1,MIN(Assumptions!$B$14,1%),Assumptions!$B$14)*(1-Assumptions!$B$142)</f>
        <v/>
      </c>
      <c r="AE136" s="55">
        <f>AE131*IF(Assumptions!$B$178=1,MIN(Assumptions!$B$14,1%),Assumptions!$B$14)*(1-Assumptions!$B$142)</f>
        <v/>
      </c>
    </row>
    <row r="137">
      <c r="A137" s="6" t="inlineStr">
        <is>
          <t xml:space="preserve">  Family plan subscribers</t>
        </is>
      </c>
      <c r="B137" s="23" t="inlineStr">
        <is>
          <t>subscribers</t>
        </is>
      </c>
      <c r="C137" s="54">
        <f>IF(C2&gt;=Assumptions!$B$50,C110*Assumptions!$B$159*(1-Assumptions!$B$162)^(C7/2),0)</f>
        <v/>
      </c>
      <c r="D137" s="54">
        <f>IF(D2&gt;=Assumptions!$B$50,C137*(1-Assumptions!$B$162)^D7+D110*Assumptions!$B$159*(1-Assumptions!$B$162)^(D7/2),0)</f>
        <v/>
      </c>
      <c r="E137" s="54">
        <f>IF(E2&gt;=Assumptions!$B$50,D137*(1-Assumptions!$B$162)^E7+E110*Assumptions!$B$159*(1-Assumptions!$B$162)^(E7/2),0)</f>
        <v/>
      </c>
      <c r="F137" s="54">
        <f>IF(F2&gt;=Assumptions!$B$50,E137*(1-Assumptions!$B$162)^F7+F110*Assumptions!$B$159*(1-Assumptions!$B$162)^(F7/2),0)</f>
        <v/>
      </c>
      <c r="G137" s="54">
        <f>IF(G2&gt;=Assumptions!$B$50,F137*(1-Assumptions!$B$162)^G7+G110*Assumptions!$B$159*(1-Assumptions!$B$162)^(G7/2),0)</f>
        <v/>
      </c>
      <c r="H137" s="54">
        <f>IF(H2&gt;=Assumptions!$B$50,G137*(1-Assumptions!$B$162)^H7+H110*Assumptions!$B$159*(1-Assumptions!$B$162)^(H7/2),0)</f>
        <v/>
      </c>
      <c r="I137" s="54">
        <f>IF(I2&gt;=Assumptions!$B$50,H137*(1-Assumptions!$B$162)^I7+I110*Assumptions!$B$159*(1-Assumptions!$B$162)^(I7/2),0)</f>
        <v/>
      </c>
      <c r="J137" s="54">
        <f>IF(J2&gt;=Assumptions!$B$50,I137*(1-Assumptions!$B$162)^J7+J110*Assumptions!$B$159*(1-Assumptions!$B$162)^(J7/2),0)</f>
        <v/>
      </c>
      <c r="K137" s="54">
        <f>IF(K2&gt;=Assumptions!$B$50,J137*(1-Assumptions!$B$162)^K7+K110*Assumptions!$B$159*(1-Assumptions!$B$162)^(K7/2),0)</f>
        <v/>
      </c>
      <c r="L137" s="54">
        <f>IF(L2&gt;=Assumptions!$B$50,K137*(1-Assumptions!$B$162)^L7+L110*Assumptions!$B$159*(1-Assumptions!$B$162)^(L7/2),0)</f>
        <v/>
      </c>
      <c r="M137" s="54">
        <f>IF(M2&gt;=Assumptions!$B$50,L137*(1-Assumptions!$B$162)^M7+M110*Assumptions!$B$159*(1-Assumptions!$B$162)^(M7/2),0)</f>
        <v/>
      </c>
      <c r="N137" s="54">
        <f>IF(N2&gt;=Assumptions!$B$50,M137*(1-Assumptions!$B$162)^N7+N110*Assumptions!$B$159*(1-Assumptions!$B$162)^(N7/2),0)</f>
        <v/>
      </c>
      <c r="O137" s="54">
        <f>IF(O2&gt;=Assumptions!$B$50,N137*(1-Assumptions!$B$162)^O7+O110*Assumptions!$B$159*(1-Assumptions!$B$162)^(O7/2),0)</f>
        <v/>
      </c>
      <c r="P137" s="54">
        <f>IF(P2&gt;=Assumptions!$B$50,O137*(1-Assumptions!$B$162)^P7+P110*Assumptions!$B$159*(1-Assumptions!$B$162)^(P7/2),0)</f>
        <v/>
      </c>
      <c r="Q137" s="54">
        <f>IF(Q2&gt;=Assumptions!$B$50,P137*(1-Assumptions!$B$162)^Q7+Q110*Assumptions!$B$159*(1-Assumptions!$B$162)^(Q7/2),0)</f>
        <v/>
      </c>
      <c r="R137" s="54">
        <f>IF(R2&gt;=Assumptions!$B$50,Q137*(1-Assumptions!$B$162)^R7+R110*Assumptions!$B$159*(1-Assumptions!$B$162)^(R7/2),0)</f>
        <v/>
      </c>
      <c r="S137" s="54">
        <f>IF(S2&gt;=Assumptions!$B$50,R137*(1-Assumptions!$B$162)^S7+S110*Assumptions!$B$159*(1-Assumptions!$B$162)^(S7/2),0)</f>
        <v/>
      </c>
      <c r="T137" s="54">
        <f>IF(T2&gt;=Assumptions!$B$50,S137*(1-Assumptions!$B$162)^T7+T110*Assumptions!$B$159*(1-Assumptions!$B$162)^(T7/2),0)</f>
        <v/>
      </c>
      <c r="U137" s="54">
        <f>IF(U2&gt;=Assumptions!$B$50,T137*(1-Assumptions!$B$162)^U7+U110*Assumptions!$B$159*(1-Assumptions!$B$162)^(U7/2),0)</f>
        <v/>
      </c>
      <c r="V137" s="54">
        <f>IF(V2&gt;=Assumptions!$B$50,U137*(1-Assumptions!$B$162)^V7+V110*Assumptions!$B$159*(1-Assumptions!$B$162)^(V7/2),0)</f>
        <v/>
      </c>
      <c r="W137" s="54">
        <f>IF(W2&gt;=Assumptions!$B$50,V137*(1-Assumptions!$B$162)^W7+W110*Assumptions!$B$159*(1-Assumptions!$B$162)^(W7/2),0)</f>
        <v/>
      </c>
      <c r="X137" s="54">
        <f>IF(X2&gt;=Assumptions!$B$50,W137*(1-Assumptions!$B$162)^X7+X110*Assumptions!$B$159*(1-Assumptions!$B$162)^(X7/2),0)</f>
        <v/>
      </c>
      <c r="Y137" s="54">
        <f>IF(Y2&gt;=Assumptions!$B$50,X137*(1-Assumptions!$B$162)^Y7+Y110*Assumptions!$B$159*(1-Assumptions!$B$162)^(Y7/2),0)</f>
        <v/>
      </c>
      <c r="Z137" s="54">
        <f>IF(Z2&gt;=Assumptions!$B$50,Y137*(1-Assumptions!$B$162)^Z7+Z110*Assumptions!$B$159*(1-Assumptions!$B$162)^(Z7/2),0)</f>
        <v/>
      </c>
      <c r="AA137" s="54">
        <f>IF(AA2&gt;=Assumptions!$B$50,Z137*(1-Assumptions!$B$162)^AA7+AA110*Assumptions!$B$159*(1-Assumptions!$B$162)^(AA7/2),0)</f>
        <v/>
      </c>
      <c r="AB137" s="54">
        <f>IF(AB2&gt;=Assumptions!$B$50,AA137*(1-Assumptions!$B$162)^AB7+AB110*Assumptions!$B$159*(1-Assumptions!$B$162)^(AB7/2),0)</f>
        <v/>
      </c>
      <c r="AC137" s="54">
        <f>IF(AC2&gt;=Assumptions!$B$50,AB137*(1-Assumptions!$B$162)^AC7+AC110*Assumptions!$B$159*(1-Assumptions!$B$162)^(AC7/2),0)</f>
        <v/>
      </c>
      <c r="AD137" s="54">
        <f>IF(AD2&gt;=Assumptions!$B$50,AC137*(1-Assumptions!$B$162)^AD7+AD110*Assumptions!$B$159*(1-Assumptions!$B$162)^(AD7/2),0)</f>
        <v/>
      </c>
      <c r="AE137" s="54">
        <f>IF(AE2&gt;=Assumptions!$B$50,AD137*(1-Assumptions!$B$162)^AE7+AE110*Assumptions!$B$159*(1-Assumptions!$B$162)^(AE7/2),0)</f>
        <v/>
      </c>
    </row>
    <row r="138">
      <c r="A138" s="6" t="inlineStr">
        <is>
          <t xml:space="preserve">  Stream 3 - Family plan and Digital Will</t>
        </is>
      </c>
      <c r="B138" s="23" t="inlineStr">
        <is>
          <t>USD</t>
        </is>
      </c>
      <c r="C138" s="55">
        <f>C137*(Assumptions!$B$25+MAX(0,Assumptions!$B$161-1)*Assumptions!$B$26)/12*C7</f>
        <v/>
      </c>
      <c r="D138" s="55">
        <f>D137*(Assumptions!$B$25+MAX(0,Assumptions!$B$161-1)*Assumptions!$B$26)/12*D7</f>
        <v/>
      </c>
      <c r="E138" s="55">
        <f>E137*(Assumptions!$B$25+MAX(0,Assumptions!$B$161-1)*Assumptions!$B$26)/12*E7</f>
        <v/>
      </c>
      <c r="F138" s="55">
        <f>F137*(Assumptions!$B$25+MAX(0,Assumptions!$B$161-1)*Assumptions!$B$26)/12*F7</f>
        <v/>
      </c>
      <c r="G138" s="55">
        <f>G137*(Assumptions!$B$25+MAX(0,Assumptions!$B$161-1)*Assumptions!$B$26)/12*G7</f>
        <v/>
      </c>
      <c r="H138" s="55">
        <f>H137*(Assumptions!$B$25+MAX(0,Assumptions!$B$161-1)*Assumptions!$B$26)/12*H7</f>
        <v/>
      </c>
      <c r="I138" s="55">
        <f>I137*(Assumptions!$B$25+MAX(0,Assumptions!$B$161-1)*Assumptions!$B$26)/12*I7</f>
        <v/>
      </c>
      <c r="J138" s="55">
        <f>J137*(Assumptions!$B$25+MAX(0,Assumptions!$B$161-1)*Assumptions!$B$26)/12*J7</f>
        <v/>
      </c>
      <c r="K138" s="55">
        <f>K137*(Assumptions!$B$25+MAX(0,Assumptions!$B$161-1)*Assumptions!$B$26)/12*K7</f>
        <v/>
      </c>
      <c r="L138" s="55">
        <f>L137*(Assumptions!$B$25+MAX(0,Assumptions!$B$161-1)*Assumptions!$B$26)/12*L7</f>
        <v/>
      </c>
      <c r="M138" s="55">
        <f>M137*(Assumptions!$B$25+MAX(0,Assumptions!$B$161-1)*Assumptions!$B$26)/12*M7</f>
        <v/>
      </c>
      <c r="N138" s="55">
        <f>N137*(Assumptions!$B$25+MAX(0,Assumptions!$B$161-1)*Assumptions!$B$26)/12*N7</f>
        <v/>
      </c>
      <c r="O138" s="55">
        <f>O137*(Assumptions!$B$25+MAX(0,Assumptions!$B$161-1)*Assumptions!$B$26)/12*O7</f>
        <v/>
      </c>
      <c r="P138" s="55">
        <f>P137*(Assumptions!$B$25+MAX(0,Assumptions!$B$161-1)*Assumptions!$B$26)/12*P7</f>
        <v/>
      </c>
      <c r="Q138" s="55">
        <f>Q137*(Assumptions!$B$25+MAX(0,Assumptions!$B$161-1)*Assumptions!$B$26)/12*Q7</f>
        <v/>
      </c>
      <c r="R138" s="55">
        <f>R137*(Assumptions!$B$25+MAX(0,Assumptions!$B$161-1)*Assumptions!$B$26)/12*R7</f>
        <v/>
      </c>
      <c r="S138" s="55">
        <f>S137*(Assumptions!$B$25+MAX(0,Assumptions!$B$161-1)*Assumptions!$B$26)/12*S7</f>
        <v/>
      </c>
      <c r="T138" s="55">
        <f>T137*(Assumptions!$B$25+MAX(0,Assumptions!$B$161-1)*Assumptions!$B$26)/12*T7</f>
        <v/>
      </c>
      <c r="U138" s="55">
        <f>U137*(Assumptions!$B$25+MAX(0,Assumptions!$B$161-1)*Assumptions!$B$26)/12*U7</f>
        <v/>
      </c>
      <c r="V138" s="55">
        <f>V137*(Assumptions!$B$25+MAX(0,Assumptions!$B$161-1)*Assumptions!$B$26)/12*V7</f>
        <v/>
      </c>
      <c r="W138" s="55">
        <f>W137*(Assumptions!$B$25+MAX(0,Assumptions!$B$161-1)*Assumptions!$B$26)/12*W7</f>
        <v/>
      </c>
      <c r="X138" s="55">
        <f>X137*(Assumptions!$B$25+MAX(0,Assumptions!$B$161-1)*Assumptions!$B$26)/12*X7</f>
        <v/>
      </c>
      <c r="Y138" s="55">
        <f>Y137*(Assumptions!$B$25+MAX(0,Assumptions!$B$161-1)*Assumptions!$B$26)/12*Y7</f>
        <v/>
      </c>
      <c r="Z138" s="55">
        <f>Z137*(Assumptions!$B$25+MAX(0,Assumptions!$B$161-1)*Assumptions!$B$26)/12*Z7</f>
        <v/>
      </c>
      <c r="AA138" s="55">
        <f>AA137*(Assumptions!$B$25+MAX(0,Assumptions!$B$161-1)*Assumptions!$B$26)/12*AA7</f>
        <v/>
      </c>
      <c r="AB138" s="55">
        <f>AB137*(Assumptions!$B$25+MAX(0,Assumptions!$B$161-1)*Assumptions!$B$26)/12*AB7</f>
        <v/>
      </c>
      <c r="AC138" s="55">
        <f>AC137*(Assumptions!$B$25+MAX(0,Assumptions!$B$161-1)*Assumptions!$B$26)/12*AC7</f>
        <v/>
      </c>
      <c r="AD138" s="55">
        <f>AD137*(Assumptions!$B$25+MAX(0,Assumptions!$B$161-1)*Assumptions!$B$26)/12*AD7</f>
        <v/>
      </c>
      <c r="AE138" s="55">
        <f>AE137*(Assumptions!$B$25+MAX(0,Assumptions!$B$161-1)*Assumptions!$B$26)/12*AE7</f>
        <v/>
      </c>
    </row>
    <row r="139">
      <c r="A139" s="6" t="inlineStr">
        <is>
          <t xml:space="preserve">  Stream 4 - Cardholder fees (FX, ATM, events)</t>
        </is>
      </c>
      <c r="B139" s="23" t="inlineStr">
        <is>
          <t>USD</t>
        </is>
      </c>
      <c r="C139" s="55">
        <f>IF(C2&gt;=Assumptions!$B$52,C131*C17*Assumptions!$B$17+C126*(Assumptions!$B$148*MAX(0,Assumptions!$B$152-Assumptions!$B$18)+Assumptions!$B$149*MAX(0,Assumptions!$B$153-Assumptions!$B$18)+Assumptions!$B$150*MAX(0,Assumptions!$B$154-Assumptions!$B$18)+Assumptions!$B$151*MAX(0,Assumptions!$B$155-Assumptions!$B$18))*Assumptions!$B$19/Assumptions!$B$7*C7+C125*(Assumptions!$B$146*Assumptions!$B$20+Assumptions!$B$147*Assumptions!$B$21)/12/Assumptions!$B$7*C7,0)</f>
        <v/>
      </c>
      <c r="D139" s="55">
        <f>IF(D2&gt;=Assumptions!$B$52,D131*D17*Assumptions!$B$17+D126*(Assumptions!$B$148*MAX(0,Assumptions!$B$152-Assumptions!$B$18)+Assumptions!$B$149*MAX(0,Assumptions!$B$153-Assumptions!$B$18)+Assumptions!$B$150*MAX(0,Assumptions!$B$154-Assumptions!$B$18)+Assumptions!$B$151*MAX(0,Assumptions!$B$155-Assumptions!$B$18))*Assumptions!$B$19/Assumptions!$B$7*D7+D125*(Assumptions!$B$146*Assumptions!$B$20+Assumptions!$B$147*Assumptions!$B$21)/12/Assumptions!$B$7*D7,0)</f>
        <v/>
      </c>
      <c r="E139" s="55">
        <f>IF(E2&gt;=Assumptions!$B$52,E131*E17*Assumptions!$B$17+E126*(Assumptions!$B$148*MAX(0,Assumptions!$B$152-Assumptions!$B$18)+Assumptions!$B$149*MAX(0,Assumptions!$B$153-Assumptions!$B$18)+Assumptions!$B$150*MAX(0,Assumptions!$B$154-Assumptions!$B$18)+Assumptions!$B$151*MAX(0,Assumptions!$B$155-Assumptions!$B$18))*Assumptions!$B$19/Assumptions!$B$7*E7+E125*(Assumptions!$B$146*Assumptions!$B$20+Assumptions!$B$147*Assumptions!$B$21)/12/Assumptions!$B$7*E7,0)</f>
        <v/>
      </c>
      <c r="F139" s="55">
        <f>IF(F2&gt;=Assumptions!$B$52,F131*F17*Assumptions!$B$17+F126*(Assumptions!$B$148*MAX(0,Assumptions!$B$152-Assumptions!$B$18)+Assumptions!$B$149*MAX(0,Assumptions!$B$153-Assumptions!$B$18)+Assumptions!$B$150*MAX(0,Assumptions!$B$154-Assumptions!$B$18)+Assumptions!$B$151*MAX(0,Assumptions!$B$155-Assumptions!$B$18))*Assumptions!$B$19/Assumptions!$B$7*F7+F125*(Assumptions!$B$146*Assumptions!$B$20+Assumptions!$B$147*Assumptions!$B$21)/12/Assumptions!$B$7*F7,0)</f>
        <v/>
      </c>
      <c r="G139" s="55">
        <f>IF(G2&gt;=Assumptions!$B$52,G131*G17*Assumptions!$B$17+G126*(Assumptions!$B$148*MAX(0,Assumptions!$B$152-Assumptions!$B$18)+Assumptions!$B$149*MAX(0,Assumptions!$B$153-Assumptions!$B$18)+Assumptions!$B$150*MAX(0,Assumptions!$B$154-Assumptions!$B$18)+Assumptions!$B$151*MAX(0,Assumptions!$B$155-Assumptions!$B$18))*Assumptions!$B$19/Assumptions!$B$7*G7+G125*(Assumptions!$B$146*Assumptions!$B$20+Assumptions!$B$147*Assumptions!$B$21)/12/Assumptions!$B$7*G7,0)</f>
        <v/>
      </c>
      <c r="H139" s="55">
        <f>IF(H2&gt;=Assumptions!$B$52,H131*H17*Assumptions!$B$17+H126*(Assumptions!$B$148*MAX(0,Assumptions!$B$152-Assumptions!$B$18)+Assumptions!$B$149*MAX(0,Assumptions!$B$153-Assumptions!$B$18)+Assumptions!$B$150*MAX(0,Assumptions!$B$154-Assumptions!$B$18)+Assumptions!$B$151*MAX(0,Assumptions!$B$155-Assumptions!$B$18))*Assumptions!$B$19/Assumptions!$B$7*H7+H125*(Assumptions!$B$146*Assumptions!$B$20+Assumptions!$B$147*Assumptions!$B$21)/12/Assumptions!$B$7*H7,0)</f>
        <v/>
      </c>
      <c r="I139" s="55">
        <f>IF(I2&gt;=Assumptions!$B$52,I131*I17*Assumptions!$B$17+I126*(Assumptions!$B$148*MAX(0,Assumptions!$B$152-Assumptions!$B$18)+Assumptions!$B$149*MAX(0,Assumptions!$B$153-Assumptions!$B$18)+Assumptions!$B$150*MAX(0,Assumptions!$B$154-Assumptions!$B$18)+Assumptions!$B$151*MAX(0,Assumptions!$B$155-Assumptions!$B$18))*Assumptions!$B$19/Assumptions!$B$7*I7+I125*(Assumptions!$B$146*Assumptions!$B$20+Assumptions!$B$147*Assumptions!$B$21)/12/Assumptions!$B$7*I7,0)</f>
        <v/>
      </c>
      <c r="J139" s="55">
        <f>IF(J2&gt;=Assumptions!$B$52,J131*J17*Assumptions!$B$17+J126*(Assumptions!$B$148*MAX(0,Assumptions!$B$152-Assumptions!$B$18)+Assumptions!$B$149*MAX(0,Assumptions!$B$153-Assumptions!$B$18)+Assumptions!$B$150*MAX(0,Assumptions!$B$154-Assumptions!$B$18)+Assumptions!$B$151*MAX(0,Assumptions!$B$155-Assumptions!$B$18))*Assumptions!$B$19/Assumptions!$B$7*J7+J125*(Assumptions!$B$146*Assumptions!$B$20+Assumptions!$B$147*Assumptions!$B$21)/12/Assumptions!$B$7*J7,0)</f>
        <v/>
      </c>
      <c r="K139" s="55">
        <f>IF(K2&gt;=Assumptions!$B$52,K131*K17*Assumptions!$B$17+K126*(Assumptions!$B$148*MAX(0,Assumptions!$B$152-Assumptions!$B$18)+Assumptions!$B$149*MAX(0,Assumptions!$B$153-Assumptions!$B$18)+Assumptions!$B$150*MAX(0,Assumptions!$B$154-Assumptions!$B$18)+Assumptions!$B$151*MAX(0,Assumptions!$B$155-Assumptions!$B$18))*Assumptions!$B$19/Assumptions!$B$7*K7+K125*(Assumptions!$B$146*Assumptions!$B$20+Assumptions!$B$147*Assumptions!$B$21)/12/Assumptions!$B$7*K7,0)</f>
        <v/>
      </c>
      <c r="L139" s="55">
        <f>IF(L2&gt;=Assumptions!$B$52,L131*L17*Assumptions!$B$17+L126*(Assumptions!$B$148*MAX(0,Assumptions!$B$152-Assumptions!$B$18)+Assumptions!$B$149*MAX(0,Assumptions!$B$153-Assumptions!$B$18)+Assumptions!$B$150*MAX(0,Assumptions!$B$154-Assumptions!$B$18)+Assumptions!$B$151*MAX(0,Assumptions!$B$155-Assumptions!$B$18))*Assumptions!$B$19/Assumptions!$B$7*L7+L125*(Assumptions!$B$146*Assumptions!$B$20+Assumptions!$B$147*Assumptions!$B$21)/12/Assumptions!$B$7*L7,0)</f>
        <v/>
      </c>
      <c r="M139" s="55">
        <f>IF(M2&gt;=Assumptions!$B$52,M131*M17*Assumptions!$B$17+M126*(Assumptions!$B$148*MAX(0,Assumptions!$B$152-Assumptions!$B$18)+Assumptions!$B$149*MAX(0,Assumptions!$B$153-Assumptions!$B$18)+Assumptions!$B$150*MAX(0,Assumptions!$B$154-Assumptions!$B$18)+Assumptions!$B$151*MAX(0,Assumptions!$B$155-Assumptions!$B$18))*Assumptions!$B$19/Assumptions!$B$7*M7+M125*(Assumptions!$B$146*Assumptions!$B$20+Assumptions!$B$147*Assumptions!$B$21)/12/Assumptions!$B$7*M7,0)</f>
        <v/>
      </c>
      <c r="N139" s="55">
        <f>IF(N2&gt;=Assumptions!$B$52,N131*N17*Assumptions!$B$17+N126*(Assumptions!$B$148*MAX(0,Assumptions!$B$152-Assumptions!$B$18)+Assumptions!$B$149*MAX(0,Assumptions!$B$153-Assumptions!$B$18)+Assumptions!$B$150*MAX(0,Assumptions!$B$154-Assumptions!$B$18)+Assumptions!$B$151*MAX(0,Assumptions!$B$155-Assumptions!$B$18))*Assumptions!$B$19/Assumptions!$B$7*N7+N125*(Assumptions!$B$146*Assumptions!$B$20+Assumptions!$B$147*Assumptions!$B$21)/12/Assumptions!$B$7*N7,0)</f>
        <v/>
      </c>
      <c r="O139" s="55">
        <f>IF(O2&gt;=Assumptions!$B$52,O131*O17*Assumptions!$B$17+O126*(Assumptions!$B$148*MAX(0,Assumptions!$B$152-Assumptions!$B$18)+Assumptions!$B$149*MAX(0,Assumptions!$B$153-Assumptions!$B$18)+Assumptions!$B$150*MAX(0,Assumptions!$B$154-Assumptions!$B$18)+Assumptions!$B$151*MAX(0,Assumptions!$B$155-Assumptions!$B$18))*Assumptions!$B$19/Assumptions!$B$7*O7+O125*(Assumptions!$B$146*Assumptions!$B$20+Assumptions!$B$147*Assumptions!$B$21)/12/Assumptions!$B$7*O7,0)</f>
        <v/>
      </c>
      <c r="P139" s="55">
        <f>IF(P2&gt;=Assumptions!$B$52,P131*P17*Assumptions!$B$17+P126*(Assumptions!$B$148*MAX(0,Assumptions!$B$152-Assumptions!$B$18)+Assumptions!$B$149*MAX(0,Assumptions!$B$153-Assumptions!$B$18)+Assumptions!$B$150*MAX(0,Assumptions!$B$154-Assumptions!$B$18)+Assumptions!$B$151*MAX(0,Assumptions!$B$155-Assumptions!$B$18))*Assumptions!$B$19/Assumptions!$B$7*P7+P125*(Assumptions!$B$146*Assumptions!$B$20+Assumptions!$B$147*Assumptions!$B$21)/12/Assumptions!$B$7*P7,0)</f>
        <v/>
      </c>
      <c r="Q139" s="55">
        <f>IF(Q2&gt;=Assumptions!$B$52,Q131*Q17*Assumptions!$B$17+Q126*(Assumptions!$B$148*MAX(0,Assumptions!$B$152-Assumptions!$B$18)+Assumptions!$B$149*MAX(0,Assumptions!$B$153-Assumptions!$B$18)+Assumptions!$B$150*MAX(0,Assumptions!$B$154-Assumptions!$B$18)+Assumptions!$B$151*MAX(0,Assumptions!$B$155-Assumptions!$B$18))*Assumptions!$B$19/Assumptions!$B$7*Q7+Q125*(Assumptions!$B$146*Assumptions!$B$20+Assumptions!$B$147*Assumptions!$B$21)/12/Assumptions!$B$7*Q7,0)</f>
        <v/>
      </c>
      <c r="R139" s="55">
        <f>IF(R2&gt;=Assumptions!$B$52,R131*R17*Assumptions!$B$17+R126*(Assumptions!$B$148*MAX(0,Assumptions!$B$152-Assumptions!$B$18)+Assumptions!$B$149*MAX(0,Assumptions!$B$153-Assumptions!$B$18)+Assumptions!$B$150*MAX(0,Assumptions!$B$154-Assumptions!$B$18)+Assumptions!$B$151*MAX(0,Assumptions!$B$155-Assumptions!$B$18))*Assumptions!$B$19/Assumptions!$B$7*R7+R125*(Assumptions!$B$146*Assumptions!$B$20+Assumptions!$B$147*Assumptions!$B$21)/12/Assumptions!$B$7*R7,0)</f>
        <v/>
      </c>
      <c r="S139" s="55">
        <f>IF(S2&gt;=Assumptions!$B$52,S131*S17*Assumptions!$B$17+S126*(Assumptions!$B$148*MAX(0,Assumptions!$B$152-Assumptions!$B$18)+Assumptions!$B$149*MAX(0,Assumptions!$B$153-Assumptions!$B$18)+Assumptions!$B$150*MAX(0,Assumptions!$B$154-Assumptions!$B$18)+Assumptions!$B$151*MAX(0,Assumptions!$B$155-Assumptions!$B$18))*Assumptions!$B$19/Assumptions!$B$7*S7+S125*(Assumptions!$B$146*Assumptions!$B$20+Assumptions!$B$147*Assumptions!$B$21)/12/Assumptions!$B$7*S7,0)</f>
        <v/>
      </c>
      <c r="T139" s="55">
        <f>IF(T2&gt;=Assumptions!$B$52,T131*T17*Assumptions!$B$17+T126*(Assumptions!$B$148*MAX(0,Assumptions!$B$152-Assumptions!$B$18)+Assumptions!$B$149*MAX(0,Assumptions!$B$153-Assumptions!$B$18)+Assumptions!$B$150*MAX(0,Assumptions!$B$154-Assumptions!$B$18)+Assumptions!$B$151*MAX(0,Assumptions!$B$155-Assumptions!$B$18))*Assumptions!$B$19/Assumptions!$B$7*T7+T125*(Assumptions!$B$146*Assumptions!$B$20+Assumptions!$B$147*Assumptions!$B$21)/12/Assumptions!$B$7*T7,0)</f>
        <v/>
      </c>
      <c r="U139" s="55">
        <f>IF(U2&gt;=Assumptions!$B$52,U131*U17*Assumptions!$B$17+U126*(Assumptions!$B$148*MAX(0,Assumptions!$B$152-Assumptions!$B$18)+Assumptions!$B$149*MAX(0,Assumptions!$B$153-Assumptions!$B$18)+Assumptions!$B$150*MAX(0,Assumptions!$B$154-Assumptions!$B$18)+Assumptions!$B$151*MAX(0,Assumptions!$B$155-Assumptions!$B$18))*Assumptions!$B$19/Assumptions!$B$7*U7+U125*(Assumptions!$B$146*Assumptions!$B$20+Assumptions!$B$147*Assumptions!$B$21)/12/Assumptions!$B$7*U7,0)</f>
        <v/>
      </c>
      <c r="V139" s="55">
        <f>IF(V2&gt;=Assumptions!$B$52,V131*V17*Assumptions!$B$17+V126*(Assumptions!$B$148*MAX(0,Assumptions!$B$152-Assumptions!$B$18)+Assumptions!$B$149*MAX(0,Assumptions!$B$153-Assumptions!$B$18)+Assumptions!$B$150*MAX(0,Assumptions!$B$154-Assumptions!$B$18)+Assumptions!$B$151*MAX(0,Assumptions!$B$155-Assumptions!$B$18))*Assumptions!$B$19/Assumptions!$B$7*V7+V125*(Assumptions!$B$146*Assumptions!$B$20+Assumptions!$B$147*Assumptions!$B$21)/12/Assumptions!$B$7*V7,0)</f>
        <v/>
      </c>
      <c r="W139" s="55">
        <f>IF(W2&gt;=Assumptions!$B$52,W131*W17*Assumptions!$B$17+W126*(Assumptions!$B$148*MAX(0,Assumptions!$B$152-Assumptions!$B$18)+Assumptions!$B$149*MAX(0,Assumptions!$B$153-Assumptions!$B$18)+Assumptions!$B$150*MAX(0,Assumptions!$B$154-Assumptions!$B$18)+Assumptions!$B$151*MAX(0,Assumptions!$B$155-Assumptions!$B$18))*Assumptions!$B$19/Assumptions!$B$7*W7+W125*(Assumptions!$B$146*Assumptions!$B$20+Assumptions!$B$147*Assumptions!$B$21)/12/Assumptions!$B$7*W7,0)</f>
        <v/>
      </c>
      <c r="X139" s="55">
        <f>IF(X2&gt;=Assumptions!$B$52,X131*X17*Assumptions!$B$17+X126*(Assumptions!$B$148*MAX(0,Assumptions!$B$152-Assumptions!$B$18)+Assumptions!$B$149*MAX(0,Assumptions!$B$153-Assumptions!$B$18)+Assumptions!$B$150*MAX(0,Assumptions!$B$154-Assumptions!$B$18)+Assumptions!$B$151*MAX(0,Assumptions!$B$155-Assumptions!$B$18))*Assumptions!$B$19/Assumptions!$B$7*X7+X125*(Assumptions!$B$146*Assumptions!$B$20+Assumptions!$B$147*Assumptions!$B$21)/12/Assumptions!$B$7*X7,0)</f>
        <v/>
      </c>
      <c r="Y139" s="55">
        <f>IF(Y2&gt;=Assumptions!$B$52,Y131*Y17*Assumptions!$B$17+Y126*(Assumptions!$B$148*MAX(0,Assumptions!$B$152-Assumptions!$B$18)+Assumptions!$B$149*MAX(0,Assumptions!$B$153-Assumptions!$B$18)+Assumptions!$B$150*MAX(0,Assumptions!$B$154-Assumptions!$B$18)+Assumptions!$B$151*MAX(0,Assumptions!$B$155-Assumptions!$B$18))*Assumptions!$B$19/Assumptions!$B$7*Y7+Y125*(Assumptions!$B$146*Assumptions!$B$20+Assumptions!$B$147*Assumptions!$B$21)/12/Assumptions!$B$7*Y7,0)</f>
        <v/>
      </c>
      <c r="Z139" s="55">
        <f>IF(Z2&gt;=Assumptions!$B$52,Z131*Z17*Assumptions!$B$17+Z126*(Assumptions!$B$148*MAX(0,Assumptions!$B$152-Assumptions!$B$18)+Assumptions!$B$149*MAX(0,Assumptions!$B$153-Assumptions!$B$18)+Assumptions!$B$150*MAX(0,Assumptions!$B$154-Assumptions!$B$18)+Assumptions!$B$151*MAX(0,Assumptions!$B$155-Assumptions!$B$18))*Assumptions!$B$19/Assumptions!$B$7*Z7+Z125*(Assumptions!$B$146*Assumptions!$B$20+Assumptions!$B$147*Assumptions!$B$21)/12/Assumptions!$B$7*Z7,0)</f>
        <v/>
      </c>
      <c r="AA139" s="55">
        <f>IF(AA2&gt;=Assumptions!$B$52,AA131*AA17*Assumptions!$B$17+AA126*(Assumptions!$B$148*MAX(0,Assumptions!$B$152-Assumptions!$B$18)+Assumptions!$B$149*MAX(0,Assumptions!$B$153-Assumptions!$B$18)+Assumptions!$B$150*MAX(0,Assumptions!$B$154-Assumptions!$B$18)+Assumptions!$B$151*MAX(0,Assumptions!$B$155-Assumptions!$B$18))*Assumptions!$B$19/Assumptions!$B$7*AA7+AA125*(Assumptions!$B$146*Assumptions!$B$20+Assumptions!$B$147*Assumptions!$B$21)/12/Assumptions!$B$7*AA7,0)</f>
        <v/>
      </c>
      <c r="AB139" s="55">
        <f>IF(AB2&gt;=Assumptions!$B$52,AB131*AB17*Assumptions!$B$17+AB126*(Assumptions!$B$148*MAX(0,Assumptions!$B$152-Assumptions!$B$18)+Assumptions!$B$149*MAX(0,Assumptions!$B$153-Assumptions!$B$18)+Assumptions!$B$150*MAX(0,Assumptions!$B$154-Assumptions!$B$18)+Assumptions!$B$151*MAX(0,Assumptions!$B$155-Assumptions!$B$18))*Assumptions!$B$19/Assumptions!$B$7*AB7+AB125*(Assumptions!$B$146*Assumptions!$B$20+Assumptions!$B$147*Assumptions!$B$21)/12/Assumptions!$B$7*AB7,0)</f>
        <v/>
      </c>
      <c r="AC139" s="55">
        <f>IF(AC2&gt;=Assumptions!$B$52,AC131*AC17*Assumptions!$B$17+AC126*(Assumptions!$B$148*MAX(0,Assumptions!$B$152-Assumptions!$B$18)+Assumptions!$B$149*MAX(0,Assumptions!$B$153-Assumptions!$B$18)+Assumptions!$B$150*MAX(0,Assumptions!$B$154-Assumptions!$B$18)+Assumptions!$B$151*MAX(0,Assumptions!$B$155-Assumptions!$B$18))*Assumptions!$B$19/Assumptions!$B$7*AC7+AC125*(Assumptions!$B$146*Assumptions!$B$20+Assumptions!$B$147*Assumptions!$B$21)/12/Assumptions!$B$7*AC7,0)</f>
        <v/>
      </c>
      <c r="AD139" s="55">
        <f>IF(AD2&gt;=Assumptions!$B$52,AD131*AD17*Assumptions!$B$17+AD126*(Assumptions!$B$148*MAX(0,Assumptions!$B$152-Assumptions!$B$18)+Assumptions!$B$149*MAX(0,Assumptions!$B$153-Assumptions!$B$18)+Assumptions!$B$150*MAX(0,Assumptions!$B$154-Assumptions!$B$18)+Assumptions!$B$151*MAX(0,Assumptions!$B$155-Assumptions!$B$18))*Assumptions!$B$19/Assumptions!$B$7*AD7+AD125*(Assumptions!$B$146*Assumptions!$B$20+Assumptions!$B$147*Assumptions!$B$21)/12/Assumptions!$B$7*AD7,0)</f>
        <v/>
      </c>
      <c r="AE139" s="55">
        <f>IF(AE2&gt;=Assumptions!$B$52,AE131*AE17*Assumptions!$B$17+AE126*(Assumptions!$B$148*MAX(0,Assumptions!$B$152-Assumptions!$B$18)+Assumptions!$B$149*MAX(0,Assumptions!$B$153-Assumptions!$B$18)+Assumptions!$B$150*MAX(0,Assumptions!$B$154-Assumptions!$B$18)+Assumptions!$B$151*MAX(0,Assumptions!$B$155-Assumptions!$B$18))*Assumptions!$B$19/Assumptions!$B$7*AE7+AE125*(Assumptions!$B$146*Assumptions!$B$20+Assumptions!$B$147*Assumptions!$B$21)/12/Assumptions!$B$7*AE7,0)</f>
        <v/>
      </c>
    </row>
    <row r="140">
      <c r="A140" s="6" t="inlineStr">
        <is>
          <t xml:space="preserve">  Average drawn balance outstanding</t>
        </is>
      </c>
      <c r="B140" s="23" t="inlineStr">
        <is>
          <t>USD</t>
        </is>
      </c>
      <c r="C140" s="55">
        <f>IF(C2&gt;=Assumptions!$B$53,C125*C127*(1-Assumptions!$B$178)*Assumptions!$B$156*Assumptions!$B$157,0)</f>
        <v/>
      </c>
      <c r="D140" s="55">
        <f>IF(D2&gt;=Assumptions!$B$53,D125*D127*(1-Assumptions!$B$178)*Assumptions!$B$156*Assumptions!$B$157,0)</f>
        <v/>
      </c>
      <c r="E140" s="55">
        <f>IF(E2&gt;=Assumptions!$B$53,E125*E127*(1-Assumptions!$B$178)*Assumptions!$B$156*Assumptions!$B$157,0)</f>
        <v/>
      </c>
      <c r="F140" s="55">
        <f>IF(F2&gt;=Assumptions!$B$53,F125*F127*(1-Assumptions!$B$178)*Assumptions!$B$156*Assumptions!$B$157,0)</f>
        <v/>
      </c>
      <c r="G140" s="55">
        <f>IF(G2&gt;=Assumptions!$B$53,G125*G127*(1-Assumptions!$B$178)*Assumptions!$B$156*Assumptions!$B$157,0)</f>
        <v/>
      </c>
      <c r="H140" s="55">
        <f>IF(H2&gt;=Assumptions!$B$53,H125*H127*(1-Assumptions!$B$178)*Assumptions!$B$156*Assumptions!$B$157,0)</f>
        <v/>
      </c>
      <c r="I140" s="55">
        <f>IF(I2&gt;=Assumptions!$B$53,I125*I127*(1-Assumptions!$B$178)*Assumptions!$B$156*Assumptions!$B$157,0)</f>
        <v/>
      </c>
      <c r="J140" s="55">
        <f>IF(J2&gt;=Assumptions!$B$53,J125*J127*(1-Assumptions!$B$178)*Assumptions!$B$156*Assumptions!$B$157,0)</f>
        <v/>
      </c>
      <c r="K140" s="55">
        <f>IF(K2&gt;=Assumptions!$B$53,K125*K127*(1-Assumptions!$B$178)*Assumptions!$B$156*Assumptions!$B$157,0)</f>
        <v/>
      </c>
      <c r="L140" s="55">
        <f>IF(L2&gt;=Assumptions!$B$53,L125*L127*(1-Assumptions!$B$178)*Assumptions!$B$156*Assumptions!$B$157,0)</f>
        <v/>
      </c>
      <c r="M140" s="55">
        <f>IF(M2&gt;=Assumptions!$B$53,M125*M127*(1-Assumptions!$B$178)*Assumptions!$B$156*Assumptions!$B$157,0)</f>
        <v/>
      </c>
      <c r="N140" s="55">
        <f>IF(N2&gt;=Assumptions!$B$53,N125*N127*(1-Assumptions!$B$178)*Assumptions!$B$156*Assumptions!$B$157,0)</f>
        <v/>
      </c>
      <c r="O140" s="55">
        <f>IF(O2&gt;=Assumptions!$B$53,O125*O127*(1-Assumptions!$B$178)*Assumptions!$B$156*Assumptions!$B$157,0)</f>
        <v/>
      </c>
      <c r="P140" s="55">
        <f>IF(P2&gt;=Assumptions!$B$53,P125*P127*(1-Assumptions!$B$178)*Assumptions!$B$156*Assumptions!$B$157,0)</f>
        <v/>
      </c>
      <c r="Q140" s="55">
        <f>IF(Q2&gt;=Assumptions!$B$53,Q125*Q127*(1-Assumptions!$B$178)*Assumptions!$B$156*Assumptions!$B$157,0)</f>
        <v/>
      </c>
      <c r="R140" s="55">
        <f>IF(R2&gt;=Assumptions!$B$53,R125*R127*(1-Assumptions!$B$178)*Assumptions!$B$156*Assumptions!$B$157,0)</f>
        <v/>
      </c>
      <c r="S140" s="55">
        <f>IF(S2&gt;=Assumptions!$B$53,S125*S127*(1-Assumptions!$B$178)*Assumptions!$B$156*Assumptions!$B$157,0)</f>
        <v/>
      </c>
      <c r="T140" s="55">
        <f>IF(T2&gt;=Assumptions!$B$53,T125*T127*(1-Assumptions!$B$178)*Assumptions!$B$156*Assumptions!$B$157,0)</f>
        <v/>
      </c>
      <c r="U140" s="55">
        <f>IF(U2&gt;=Assumptions!$B$53,U125*U127*(1-Assumptions!$B$178)*Assumptions!$B$156*Assumptions!$B$157,0)</f>
        <v/>
      </c>
      <c r="V140" s="55">
        <f>IF(V2&gt;=Assumptions!$B$53,V125*V127*(1-Assumptions!$B$178)*Assumptions!$B$156*Assumptions!$B$157,0)</f>
        <v/>
      </c>
      <c r="W140" s="55">
        <f>IF(W2&gt;=Assumptions!$B$53,W125*W127*(1-Assumptions!$B$178)*Assumptions!$B$156*Assumptions!$B$157,0)</f>
        <v/>
      </c>
      <c r="X140" s="55">
        <f>IF(X2&gt;=Assumptions!$B$53,X125*X127*(1-Assumptions!$B$178)*Assumptions!$B$156*Assumptions!$B$157,0)</f>
        <v/>
      </c>
      <c r="Y140" s="55">
        <f>IF(Y2&gt;=Assumptions!$B$53,Y125*Y127*(1-Assumptions!$B$178)*Assumptions!$B$156*Assumptions!$B$157,0)</f>
        <v/>
      </c>
      <c r="Z140" s="55">
        <f>IF(Z2&gt;=Assumptions!$B$53,Z125*Z127*(1-Assumptions!$B$178)*Assumptions!$B$156*Assumptions!$B$157,0)</f>
        <v/>
      </c>
      <c r="AA140" s="55">
        <f>IF(AA2&gt;=Assumptions!$B$53,AA125*AA127*(1-Assumptions!$B$178)*Assumptions!$B$156*Assumptions!$B$157,0)</f>
        <v/>
      </c>
      <c r="AB140" s="55">
        <f>IF(AB2&gt;=Assumptions!$B$53,AB125*AB127*(1-Assumptions!$B$178)*Assumptions!$B$156*Assumptions!$B$157,0)</f>
        <v/>
      </c>
      <c r="AC140" s="55">
        <f>IF(AC2&gt;=Assumptions!$B$53,AC125*AC127*(1-Assumptions!$B$178)*Assumptions!$B$156*Assumptions!$B$157,0)</f>
        <v/>
      </c>
      <c r="AD140" s="55">
        <f>IF(AD2&gt;=Assumptions!$B$53,AD125*AD127*(1-Assumptions!$B$178)*Assumptions!$B$156*Assumptions!$B$157,0)</f>
        <v/>
      </c>
      <c r="AE140" s="55">
        <f>IF(AE2&gt;=Assumptions!$B$53,AE125*AE127*(1-Assumptions!$B$178)*Assumptions!$B$156*Assumptions!$B$157,0)</f>
        <v/>
      </c>
    </row>
    <row r="141">
      <c r="A141" s="6" t="inlineStr">
        <is>
          <t xml:space="preserve">  Stream 5 - Lending revenue share</t>
        </is>
      </c>
      <c r="B141" s="23" t="inlineStr">
        <is>
          <t>USD</t>
        </is>
      </c>
      <c r="C141" s="55">
        <f>IF(C2&gt;=Assumptions!$B$53,(C140*Assumptions!$B$29*Assumptions!$B$30+C126*C128*(1-Assumptions!$B$178)*Assumptions!$B$27*Assumptions!$B$28)*C7/12,0)</f>
        <v/>
      </c>
      <c r="D141" s="55">
        <f>IF(D2&gt;=Assumptions!$B$53,(D140*Assumptions!$B$29*Assumptions!$B$30+D126*D128*(1-Assumptions!$B$178)*Assumptions!$B$27*Assumptions!$B$28)*D7/12,0)</f>
        <v/>
      </c>
      <c r="E141" s="55">
        <f>IF(E2&gt;=Assumptions!$B$53,(E140*Assumptions!$B$29*Assumptions!$B$30+E126*E128*(1-Assumptions!$B$178)*Assumptions!$B$27*Assumptions!$B$28)*E7/12,0)</f>
        <v/>
      </c>
      <c r="F141" s="55">
        <f>IF(F2&gt;=Assumptions!$B$53,(F140*Assumptions!$B$29*Assumptions!$B$30+F126*F128*(1-Assumptions!$B$178)*Assumptions!$B$27*Assumptions!$B$28)*F7/12,0)</f>
        <v/>
      </c>
      <c r="G141" s="55">
        <f>IF(G2&gt;=Assumptions!$B$53,(G140*Assumptions!$B$29*Assumptions!$B$30+G126*G128*(1-Assumptions!$B$178)*Assumptions!$B$27*Assumptions!$B$28)*G7/12,0)</f>
        <v/>
      </c>
      <c r="H141" s="55">
        <f>IF(H2&gt;=Assumptions!$B$53,(H140*Assumptions!$B$29*Assumptions!$B$30+H126*H128*(1-Assumptions!$B$178)*Assumptions!$B$27*Assumptions!$B$28)*H7/12,0)</f>
        <v/>
      </c>
      <c r="I141" s="55">
        <f>IF(I2&gt;=Assumptions!$B$53,(I140*Assumptions!$B$29*Assumptions!$B$30+I126*I128*(1-Assumptions!$B$178)*Assumptions!$B$27*Assumptions!$B$28)*I7/12,0)</f>
        <v/>
      </c>
      <c r="J141" s="55">
        <f>IF(J2&gt;=Assumptions!$B$53,(J140*Assumptions!$B$29*Assumptions!$B$30+J126*J128*(1-Assumptions!$B$178)*Assumptions!$B$27*Assumptions!$B$28)*J7/12,0)</f>
        <v/>
      </c>
      <c r="K141" s="55">
        <f>IF(K2&gt;=Assumptions!$B$53,(K140*Assumptions!$B$29*Assumptions!$B$30+K126*K128*(1-Assumptions!$B$178)*Assumptions!$B$27*Assumptions!$B$28)*K7/12,0)</f>
        <v/>
      </c>
      <c r="L141" s="55">
        <f>IF(L2&gt;=Assumptions!$B$53,(L140*Assumptions!$B$29*Assumptions!$B$30+L126*L128*(1-Assumptions!$B$178)*Assumptions!$B$27*Assumptions!$B$28)*L7/12,0)</f>
        <v/>
      </c>
      <c r="M141" s="55">
        <f>IF(M2&gt;=Assumptions!$B$53,(M140*Assumptions!$B$29*Assumptions!$B$30+M126*M128*(1-Assumptions!$B$178)*Assumptions!$B$27*Assumptions!$B$28)*M7/12,0)</f>
        <v/>
      </c>
      <c r="N141" s="55">
        <f>IF(N2&gt;=Assumptions!$B$53,(N140*Assumptions!$B$29*Assumptions!$B$30+N126*N128*(1-Assumptions!$B$178)*Assumptions!$B$27*Assumptions!$B$28)*N7/12,0)</f>
        <v/>
      </c>
      <c r="O141" s="55">
        <f>IF(O2&gt;=Assumptions!$B$53,(O140*Assumptions!$B$29*Assumptions!$B$30+O126*O128*(1-Assumptions!$B$178)*Assumptions!$B$27*Assumptions!$B$28)*O7/12,0)</f>
        <v/>
      </c>
      <c r="P141" s="55">
        <f>IF(P2&gt;=Assumptions!$B$53,(P140*Assumptions!$B$29*Assumptions!$B$30+P126*P128*(1-Assumptions!$B$178)*Assumptions!$B$27*Assumptions!$B$28)*P7/12,0)</f>
        <v/>
      </c>
      <c r="Q141" s="55">
        <f>IF(Q2&gt;=Assumptions!$B$53,(Q140*Assumptions!$B$29*Assumptions!$B$30+Q126*Q128*(1-Assumptions!$B$178)*Assumptions!$B$27*Assumptions!$B$28)*Q7/12,0)</f>
        <v/>
      </c>
      <c r="R141" s="55">
        <f>IF(R2&gt;=Assumptions!$B$53,(R140*Assumptions!$B$29*Assumptions!$B$30+R126*R128*(1-Assumptions!$B$178)*Assumptions!$B$27*Assumptions!$B$28)*R7/12,0)</f>
        <v/>
      </c>
      <c r="S141" s="55">
        <f>IF(S2&gt;=Assumptions!$B$53,(S140*Assumptions!$B$29*Assumptions!$B$30+S126*S128*(1-Assumptions!$B$178)*Assumptions!$B$27*Assumptions!$B$28)*S7/12,0)</f>
        <v/>
      </c>
      <c r="T141" s="55">
        <f>IF(T2&gt;=Assumptions!$B$53,(T140*Assumptions!$B$29*Assumptions!$B$30+T126*T128*(1-Assumptions!$B$178)*Assumptions!$B$27*Assumptions!$B$28)*T7/12,0)</f>
        <v/>
      </c>
      <c r="U141" s="55">
        <f>IF(U2&gt;=Assumptions!$B$53,(U140*Assumptions!$B$29*Assumptions!$B$30+U126*U128*(1-Assumptions!$B$178)*Assumptions!$B$27*Assumptions!$B$28)*U7/12,0)</f>
        <v/>
      </c>
      <c r="V141" s="55">
        <f>IF(V2&gt;=Assumptions!$B$53,(V140*Assumptions!$B$29*Assumptions!$B$30+V126*V128*(1-Assumptions!$B$178)*Assumptions!$B$27*Assumptions!$B$28)*V7/12,0)</f>
        <v/>
      </c>
      <c r="W141" s="55">
        <f>IF(W2&gt;=Assumptions!$B$53,(W140*Assumptions!$B$29*Assumptions!$B$30+W126*W128*(1-Assumptions!$B$178)*Assumptions!$B$27*Assumptions!$B$28)*W7/12,0)</f>
        <v/>
      </c>
      <c r="X141" s="55">
        <f>IF(X2&gt;=Assumptions!$B$53,(X140*Assumptions!$B$29*Assumptions!$B$30+X126*X128*(1-Assumptions!$B$178)*Assumptions!$B$27*Assumptions!$B$28)*X7/12,0)</f>
        <v/>
      </c>
      <c r="Y141" s="55">
        <f>IF(Y2&gt;=Assumptions!$B$53,(Y140*Assumptions!$B$29*Assumptions!$B$30+Y126*Y128*(1-Assumptions!$B$178)*Assumptions!$B$27*Assumptions!$B$28)*Y7/12,0)</f>
        <v/>
      </c>
      <c r="Z141" s="55">
        <f>IF(Z2&gt;=Assumptions!$B$53,(Z140*Assumptions!$B$29*Assumptions!$B$30+Z126*Z128*(1-Assumptions!$B$178)*Assumptions!$B$27*Assumptions!$B$28)*Z7/12,0)</f>
        <v/>
      </c>
      <c r="AA141" s="55">
        <f>IF(AA2&gt;=Assumptions!$B$53,(AA140*Assumptions!$B$29*Assumptions!$B$30+AA126*AA128*(1-Assumptions!$B$178)*Assumptions!$B$27*Assumptions!$B$28)*AA7/12,0)</f>
        <v/>
      </c>
      <c r="AB141" s="55">
        <f>IF(AB2&gt;=Assumptions!$B$53,(AB140*Assumptions!$B$29*Assumptions!$B$30+AB126*AB128*(1-Assumptions!$B$178)*Assumptions!$B$27*Assumptions!$B$28)*AB7/12,0)</f>
        <v/>
      </c>
      <c r="AC141" s="55">
        <f>IF(AC2&gt;=Assumptions!$B$53,(AC140*Assumptions!$B$29*Assumptions!$B$30+AC126*AC128*(1-Assumptions!$B$178)*Assumptions!$B$27*Assumptions!$B$28)*AC7/12,0)</f>
        <v/>
      </c>
      <c r="AD141" s="55">
        <f>IF(AD2&gt;=Assumptions!$B$53,(AD140*Assumptions!$B$29*Assumptions!$B$30+AD126*AD128*(1-Assumptions!$B$178)*Assumptions!$B$27*Assumptions!$B$28)*AD7/12,0)</f>
        <v/>
      </c>
      <c r="AE141" s="55">
        <f>IF(AE2&gt;=Assumptions!$B$53,(AE140*Assumptions!$B$29*Assumptions!$B$30+AE126*AE128*(1-Assumptions!$B$178)*Assumptions!$B$27*Assumptions!$B$28)*AE7/12,0)</f>
        <v/>
      </c>
    </row>
    <row r="142">
      <c r="A142" s="6" t="inlineStr">
        <is>
          <t xml:space="preserve">  Redemption events (memo - drives cost, not revenue)</t>
        </is>
      </c>
      <c r="B142" s="23" t="inlineStr">
        <is>
          <t>events</t>
        </is>
      </c>
      <c r="C142" s="45">
        <f>IF(C2&gt;=Assumptions!$B$49,(C111+C113*Assumptions!$B$138)*Assumptions!$B$137*C7/12,0)</f>
        <v/>
      </c>
      <c r="D142" s="45">
        <f>IF(D2&gt;=Assumptions!$B$49,(D111+D113*Assumptions!$B$138)*Assumptions!$B$137*D7/12,0)</f>
        <v/>
      </c>
      <c r="E142" s="45">
        <f>IF(E2&gt;=Assumptions!$B$49,(E111+E113*Assumptions!$B$138)*Assumptions!$B$137*E7/12,0)</f>
        <v/>
      </c>
      <c r="F142" s="45">
        <f>IF(F2&gt;=Assumptions!$B$49,(F111+F113*Assumptions!$B$138)*Assumptions!$B$137*F7/12,0)</f>
        <v/>
      </c>
      <c r="G142" s="45">
        <f>IF(G2&gt;=Assumptions!$B$49,(G111+G113*Assumptions!$B$138)*Assumptions!$B$137*G7/12,0)</f>
        <v/>
      </c>
      <c r="H142" s="45">
        <f>IF(H2&gt;=Assumptions!$B$49,(H111+H113*Assumptions!$B$138)*Assumptions!$B$137*H7/12,0)</f>
        <v/>
      </c>
      <c r="I142" s="45">
        <f>IF(I2&gt;=Assumptions!$B$49,(I111+I113*Assumptions!$B$138)*Assumptions!$B$137*I7/12,0)</f>
        <v/>
      </c>
      <c r="J142" s="45">
        <f>IF(J2&gt;=Assumptions!$B$49,(J111+J113*Assumptions!$B$138)*Assumptions!$B$137*J7/12,0)</f>
        <v/>
      </c>
      <c r="K142" s="45">
        <f>IF(K2&gt;=Assumptions!$B$49,(K111+K113*Assumptions!$B$138)*Assumptions!$B$137*K7/12,0)</f>
        <v/>
      </c>
      <c r="L142" s="45">
        <f>IF(L2&gt;=Assumptions!$B$49,(L111+L113*Assumptions!$B$138)*Assumptions!$B$137*L7/12,0)</f>
        <v/>
      </c>
      <c r="M142" s="45">
        <f>IF(M2&gt;=Assumptions!$B$49,(M111+M113*Assumptions!$B$138)*Assumptions!$B$137*M7/12,0)</f>
        <v/>
      </c>
      <c r="N142" s="45">
        <f>IF(N2&gt;=Assumptions!$B$49,(N111+N113*Assumptions!$B$138)*Assumptions!$B$137*N7/12,0)</f>
        <v/>
      </c>
      <c r="O142" s="45">
        <f>IF(O2&gt;=Assumptions!$B$49,(O111+O113*Assumptions!$B$138)*Assumptions!$B$137*O7/12,0)</f>
        <v/>
      </c>
      <c r="P142" s="45">
        <f>IF(P2&gt;=Assumptions!$B$49,(P111+P113*Assumptions!$B$138)*Assumptions!$B$137*P7/12,0)</f>
        <v/>
      </c>
      <c r="Q142" s="45">
        <f>IF(Q2&gt;=Assumptions!$B$49,(Q111+Q113*Assumptions!$B$138)*Assumptions!$B$137*Q7/12,0)</f>
        <v/>
      </c>
      <c r="R142" s="45">
        <f>IF(R2&gt;=Assumptions!$B$49,(R111+R113*Assumptions!$B$138)*Assumptions!$B$137*R7/12,0)</f>
        <v/>
      </c>
      <c r="S142" s="45">
        <f>IF(S2&gt;=Assumptions!$B$49,(S111+S113*Assumptions!$B$138)*Assumptions!$B$137*S7/12,0)</f>
        <v/>
      </c>
      <c r="T142" s="45">
        <f>IF(T2&gt;=Assumptions!$B$49,(T111+T113*Assumptions!$B$138)*Assumptions!$B$137*T7/12,0)</f>
        <v/>
      </c>
      <c r="U142" s="45">
        <f>IF(U2&gt;=Assumptions!$B$49,(U111+U113*Assumptions!$B$138)*Assumptions!$B$137*U7/12,0)</f>
        <v/>
      </c>
      <c r="V142" s="45">
        <f>IF(V2&gt;=Assumptions!$B$49,(V111+V113*Assumptions!$B$138)*Assumptions!$B$137*V7/12,0)</f>
        <v/>
      </c>
      <c r="W142" s="45">
        <f>IF(W2&gt;=Assumptions!$B$49,(W111+W113*Assumptions!$B$138)*Assumptions!$B$137*W7/12,0)</f>
        <v/>
      </c>
      <c r="X142" s="45">
        <f>IF(X2&gt;=Assumptions!$B$49,(X111+X113*Assumptions!$B$138)*Assumptions!$B$137*X7/12,0)</f>
        <v/>
      </c>
      <c r="Y142" s="45">
        <f>IF(Y2&gt;=Assumptions!$B$49,(Y111+Y113*Assumptions!$B$138)*Assumptions!$B$137*Y7/12,0)</f>
        <v/>
      </c>
      <c r="Z142" s="45">
        <f>IF(Z2&gt;=Assumptions!$B$49,(Z111+Z113*Assumptions!$B$138)*Assumptions!$B$137*Z7/12,0)</f>
        <v/>
      </c>
      <c r="AA142" s="45">
        <f>IF(AA2&gt;=Assumptions!$B$49,(AA111+AA113*Assumptions!$B$138)*Assumptions!$B$137*AA7/12,0)</f>
        <v/>
      </c>
      <c r="AB142" s="45">
        <f>IF(AB2&gt;=Assumptions!$B$49,(AB111+AB113*Assumptions!$B$138)*Assumptions!$B$137*AB7/12,0)</f>
        <v/>
      </c>
      <c r="AC142" s="45">
        <f>IF(AC2&gt;=Assumptions!$B$49,(AC111+AC113*Assumptions!$B$138)*Assumptions!$B$137*AC7/12,0)</f>
        <v/>
      </c>
      <c r="AD142" s="45">
        <f>IF(AD2&gt;=Assumptions!$B$49,(AD111+AD113*Assumptions!$B$138)*Assumptions!$B$137*AD7/12,0)</f>
        <v/>
      </c>
      <c r="AE142" s="45">
        <f>IF(AE2&gt;=Assumptions!$B$49,(AE111+AE113*Assumptions!$B$138)*Assumptions!$B$137*AE7/12,0)</f>
        <v/>
      </c>
    </row>
    <row r="143">
      <c r="A143" s="3" t="inlineStr">
        <is>
          <t xml:space="preserve">  SUBTOTAL - India</t>
        </is>
      </c>
      <c r="B143" s="23" t="inlineStr">
        <is>
          <t>USD</t>
        </is>
      </c>
      <c r="C143" s="57">
        <f>C134+C135+C136+C138+C139+C141</f>
        <v/>
      </c>
      <c r="D143" s="57">
        <f>D134+D135+D136+D138+D139+D141</f>
        <v/>
      </c>
      <c r="E143" s="57">
        <f>E134+E135+E136+E138+E139+E141</f>
        <v/>
      </c>
      <c r="F143" s="57">
        <f>F134+F135+F136+F138+F139+F141</f>
        <v/>
      </c>
      <c r="G143" s="57">
        <f>G134+G135+G136+G138+G139+G141</f>
        <v/>
      </c>
      <c r="H143" s="57">
        <f>H134+H135+H136+H138+H139+H141</f>
        <v/>
      </c>
      <c r="I143" s="57">
        <f>I134+I135+I136+I138+I139+I141</f>
        <v/>
      </c>
      <c r="J143" s="57">
        <f>J134+J135+J136+J138+J139+J141</f>
        <v/>
      </c>
      <c r="K143" s="57">
        <f>K134+K135+K136+K138+K139+K141</f>
        <v/>
      </c>
      <c r="L143" s="57">
        <f>L134+L135+L136+L138+L139+L141</f>
        <v/>
      </c>
      <c r="M143" s="57">
        <f>M134+M135+M136+M138+M139+M141</f>
        <v/>
      </c>
      <c r="N143" s="57">
        <f>N134+N135+N136+N138+N139+N141</f>
        <v/>
      </c>
      <c r="O143" s="57">
        <f>O134+O135+O136+O138+O139+O141</f>
        <v/>
      </c>
      <c r="P143" s="57">
        <f>P134+P135+P136+P138+P139+P141</f>
        <v/>
      </c>
      <c r="Q143" s="57">
        <f>Q134+Q135+Q136+Q138+Q139+Q141</f>
        <v/>
      </c>
      <c r="R143" s="57">
        <f>R134+R135+R136+R138+R139+R141</f>
        <v/>
      </c>
      <c r="S143" s="57">
        <f>S134+S135+S136+S138+S139+S141</f>
        <v/>
      </c>
      <c r="T143" s="57">
        <f>T134+T135+T136+T138+T139+T141</f>
        <v/>
      </c>
      <c r="U143" s="57">
        <f>U134+U135+U136+U138+U139+U141</f>
        <v/>
      </c>
      <c r="V143" s="57">
        <f>V134+V135+V136+V138+V139+V141</f>
        <v/>
      </c>
      <c r="W143" s="57">
        <f>W134+W135+W136+W138+W139+W141</f>
        <v/>
      </c>
      <c r="X143" s="57">
        <f>X134+X135+X136+X138+X139+X141</f>
        <v/>
      </c>
      <c r="Y143" s="57">
        <f>Y134+Y135+Y136+Y138+Y139+Y141</f>
        <v/>
      </c>
      <c r="Z143" s="57">
        <f>Z134+Z135+Z136+Z138+Z139+Z141</f>
        <v/>
      </c>
      <c r="AA143" s="57">
        <f>AA134+AA135+AA136+AA138+AA139+AA141</f>
        <v/>
      </c>
      <c r="AB143" s="57">
        <f>AB134+AB135+AB136+AB138+AB139+AB141</f>
        <v/>
      </c>
      <c r="AC143" s="57">
        <f>AC134+AC135+AC136+AC138+AC139+AC141</f>
        <v/>
      </c>
      <c r="AD143" s="57">
        <f>AD134+AD135+AD136+AD138+AD139+AD141</f>
        <v/>
      </c>
      <c r="AE143" s="57">
        <f>AE134+AE135+AE136+AE138+AE139+AE141</f>
        <v/>
      </c>
    </row>
    <row r="145">
      <c r="A145" s="46" t="inlineStr">
        <is>
          <t>NON-REGIONAL</t>
        </is>
      </c>
      <c r="B145" s="47" t="n"/>
      <c r="C145" s="47" t="n"/>
      <c r="D145" s="47" t="n"/>
      <c r="E145" s="47" t="n"/>
      <c r="F145" s="47" t="n"/>
      <c r="G145" s="47" t="n"/>
      <c r="H145" s="47" t="n"/>
      <c r="I145" s="47" t="n"/>
      <c r="J145" s="47" t="n"/>
      <c r="K145" s="47" t="n"/>
      <c r="L145" s="47" t="n"/>
      <c r="M145" s="47" t="n"/>
      <c r="N145" s="47" t="n"/>
      <c r="O145" s="47" t="n"/>
      <c r="P145" s="47" t="n"/>
      <c r="Q145" s="47" t="n"/>
      <c r="R145" s="47" t="n"/>
      <c r="S145" s="47" t="n"/>
      <c r="T145" s="47" t="n"/>
      <c r="U145" s="47" t="n"/>
      <c r="V145" s="47" t="n"/>
      <c r="W145" s="47" t="n"/>
      <c r="X145" s="47" t="n"/>
      <c r="Y145" s="47" t="n"/>
      <c r="Z145" s="47" t="n"/>
      <c r="AA145" s="47" t="n"/>
      <c r="AB145" s="47" t="n"/>
      <c r="AC145" s="47" t="n"/>
      <c r="AD145" s="47" t="n"/>
      <c r="AE145" s="47" t="n"/>
    </row>
    <row r="146">
      <c r="A146" s="6" t="inlineStr">
        <is>
          <t xml:space="preserve">  Partner AUM</t>
        </is>
      </c>
      <c r="B146" s="23" t="inlineStr">
        <is>
          <t>USD</t>
        </is>
      </c>
      <c r="C146" s="58">
        <f>IF(C2&gt;=Assumptions!$B$54,INDEX(Assumptions!$B$163:$B$169,C5)*Assumptions!$B$174,0)</f>
        <v/>
      </c>
      <c r="D146" s="58">
        <f>IF(D2&gt;=Assumptions!$B$54,INDEX(Assumptions!$B$163:$B$169,D5)*Assumptions!$B$174,0)</f>
        <v/>
      </c>
      <c r="E146" s="58">
        <f>IF(E2&gt;=Assumptions!$B$54,INDEX(Assumptions!$B$163:$B$169,E5)*Assumptions!$B$174,0)</f>
        <v/>
      </c>
      <c r="F146" s="58">
        <f>IF(F2&gt;=Assumptions!$B$54,INDEX(Assumptions!$B$163:$B$169,F5)*Assumptions!$B$174,0)</f>
        <v/>
      </c>
      <c r="G146" s="58">
        <f>IF(G2&gt;=Assumptions!$B$54,INDEX(Assumptions!$B$163:$B$169,G5)*Assumptions!$B$174,0)</f>
        <v/>
      </c>
      <c r="H146" s="58">
        <f>IF(H2&gt;=Assumptions!$B$54,INDEX(Assumptions!$B$163:$B$169,H5)*Assumptions!$B$174,0)</f>
        <v/>
      </c>
      <c r="I146" s="58">
        <f>IF(I2&gt;=Assumptions!$B$54,INDEX(Assumptions!$B$163:$B$169,I5)*Assumptions!$B$174,0)</f>
        <v/>
      </c>
      <c r="J146" s="58">
        <f>IF(J2&gt;=Assumptions!$B$54,INDEX(Assumptions!$B$163:$B$169,J5)*Assumptions!$B$174,0)</f>
        <v/>
      </c>
      <c r="K146" s="58">
        <f>IF(K2&gt;=Assumptions!$B$54,INDEX(Assumptions!$B$163:$B$169,K5)*Assumptions!$B$174,0)</f>
        <v/>
      </c>
      <c r="L146" s="58">
        <f>IF(L2&gt;=Assumptions!$B$54,INDEX(Assumptions!$B$163:$B$169,L5)*Assumptions!$B$174,0)</f>
        <v/>
      </c>
      <c r="M146" s="58">
        <f>IF(M2&gt;=Assumptions!$B$54,INDEX(Assumptions!$B$163:$B$169,M5)*Assumptions!$B$174,0)</f>
        <v/>
      </c>
      <c r="N146" s="58">
        <f>IF(N2&gt;=Assumptions!$B$54,INDEX(Assumptions!$B$163:$B$169,N5)*Assumptions!$B$174,0)</f>
        <v/>
      </c>
      <c r="O146" s="58">
        <f>IF(O2&gt;=Assumptions!$B$54,INDEX(Assumptions!$B$163:$B$169,O5)*Assumptions!$B$174,0)</f>
        <v/>
      </c>
      <c r="P146" s="58">
        <f>IF(P2&gt;=Assumptions!$B$54,INDEX(Assumptions!$B$163:$B$169,P5)*Assumptions!$B$174,0)</f>
        <v/>
      </c>
      <c r="Q146" s="58">
        <f>IF(Q2&gt;=Assumptions!$B$54,INDEX(Assumptions!$B$163:$B$169,Q5)*Assumptions!$B$174,0)</f>
        <v/>
      </c>
      <c r="R146" s="58">
        <f>IF(R2&gt;=Assumptions!$B$54,INDEX(Assumptions!$B$163:$B$169,R5)*Assumptions!$B$174,0)</f>
        <v/>
      </c>
      <c r="S146" s="58">
        <f>IF(S2&gt;=Assumptions!$B$54,INDEX(Assumptions!$B$163:$B$169,S5)*Assumptions!$B$174,0)</f>
        <v/>
      </c>
      <c r="T146" s="58">
        <f>IF(T2&gt;=Assumptions!$B$54,INDEX(Assumptions!$B$163:$B$169,T5)*Assumptions!$B$174,0)</f>
        <v/>
      </c>
      <c r="U146" s="58">
        <f>IF(U2&gt;=Assumptions!$B$54,INDEX(Assumptions!$B$163:$B$169,U5)*Assumptions!$B$174,0)</f>
        <v/>
      </c>
      <c r="V146" s="58">
        <f>IF(V2&gt;=Assumptions!$B$54,INDEX(Assumptions!$B$163:$B$169,V5)*Assumptions!$B$174,0)</f>
        <v/>
      </c>
      <c r="W146" s="58">
        <f>IF(W2&gt;=Assumptions!$B$54,INDEX(Assumptions!$B$163:$B$169,W5)*Assumptions!$B$174,0)</f>
        <v/>
      </c>
      <c r="X146" s="58">
        <f>IF(X2&gt;=Assumptions!$B$54,INDEX(Assumptions!$B$163:$B$169,X5)*Assumptions!$B$174,0)</f>
        <v/>
      </c>
      <c r="Y146" s="58">
        <f>IF(Y2&gt;=Assumptions!$B$54,INDEX(Assumptions!$B$163:$B$169,Y5)*Assumptions!$B$174,0)</f>
        <v/>
      </c>
      <c r="Z146" s="58">
        <f>IF(Z2&gt;=Assumptions!$B$54,INDEX(Assumptions!$B$163:$B$169,Z5)*Assumptions!$B$174,0)</f>
        <v/>
      </c>
      <c r="AA146" s="58">
        <f>IF(AA2&gt;=Assumptions!$B$54,INDEX(Assumptions!$B$163:$B$169,AA5)*Assumptions!$B$174,0)</f>
        <v/>
      </c>
      <c r="AB146" s="58">
        <f>IF(AB2&gt;=Assumptions!$B$54,INDEX(Assumptions!$B$163:$B$169,AB5)*Assumptions!$B$174,0)</f>
        <v/>
      </c>
      <c r="AC146" s="58">
        <f>IF(AC2&gt;=Assumptions!$B$54,INDEX(Assumptions!$B$163:$B$169,AC5)*Assumptions!$B$174,0)</f>
        <v/>
      </c>
      <c r="AD146" s="58">
        <f>IF(AD2&gt;=Assumptions!$B$54,INDEX(Assumptions!$B$163:$B$169,AD5)*Assumptions!$B$174,0)</f>
        <v/>
      </c>
      <c r="AE146" s="58">
        <f>IF(AE2&gt;=Assumptions!$B$54,INDEX(Assumptions!$B$163:$B$169,AE5)*Assumptions!$B$174,0)</f>
        <v/>
      </c>
    </row>
    <row r="147">
      <c r="A147" s="6" t="inlineStr">
        <is>
          <t>Stream 6 - B2B platform fee</t>
        </is>
      </c>
      <c r="B147" s="23" t="inlineStr">
        <is>
          <t>USD</t>
        </is>
      </c>
      <c r="C147" s="57">
        <f>C146*Assumptions!$B$170*C7/12</f>
        <v/>
      </c>
      <c r="D147" s="57">
        <f>D146*Assumptions!$B$170*D7/12</f>
        <v/>
      </c>
      <c r="E147" s="57">
        <f>E146*Assumptions!$B$170*E7/12</f>
        <v/>
      </c>
      <c r="F147" s="57">
        <f>F146*Assumptions!$B$170*F7/12</f>
        <v/>
      </c>
      <c r="G147" s="57">
        <f>G146*Assumptions!$B$170*G7/12</f>
        <v/>
      </c>
      <c r="H147" s="57">
        <f>H146*Assumptions!$B$170*H7/12</f>
        <v/>
      </c>
      <c r="I147" s="57">
        <f>I146*Assumptions!$B$170*I7/12</f>
        <v/>
      </c>
      <c r="J147" s="57">
        <f>J146*Assumptions!$B$170*J7/12</f>
        <v/>
      </c>
      <c r="K147" s="57">
        <f>K146*Assumptions!$B$170*K7/12</f>
        <v/>
      </c>
      <c r="L147" s="57">
        <f>L146*Assumptions!$B$170*L7/12</f>
        <v/>
      </c>
      <c r="M147" s="57">
        <f>M146*Assumptions!$B$170*M7/12</f>
        <v/>
      </c>
      <c r="N147" s="57">
        <f>N146*Assumptions!$B$170*N7/12</f>
        <v/>
      </c>
      <c r="O147" s="57">
        <f>O146*Assumptions!$B$170*O7/12</f>
        <v/>
      </c>
      <c r="P147" s="57">
        <f>P146*Assumptions!$B$170*P7/12</f>
        <v/>
      </c>
      <c r="Q147" s="57">
        <f>Q146*Assumptions!$B$170*Q7/12</f>
        <v/>
      </c>
      <c r="R147" s="57">
        <f>R146*Assumptions!$B$170*R7/12</f>
        <v/>
      </c>
      <c r="S147" s="57">
        <f>S146*Assumptions!$B$170*S7/12</f>
        <v/>
      </c>
      <c r="T147" s="57">
        <f>T146*Assumptions!$B$170*T7/12</f>
        <v/>
      </c>
      <c r="U147" s="57">
        <f>U146*Assumptions!$B$170*U7/12</f>
        <v/>
      </c>
      <c r="V147" s="57">
        <f>V146*Assumptions!$B$170*V7/12</f>
        <v/>
      </c>
      <c r="W147" s="57">
        <f>W146*Assumptions!$B$170*W7/12</f>
        <v/>
      </c>
      <c r="X147" s="57">
        <f>X146*Assumptions!$B$170*X7/12</f>
        <v/>
      </c>
      <c r="Y147" s="57">
        <f>Y146*Assumptions!$B$170*Y7/12</f>
        <v/>
      </c>
      <c r="Z147" s="57">
        <f>Z146*Assumptions!$B$170*Z7/12</f>
        <v/>
      </c>
      <c r="AA147" s="57">
        <f>AA146*Assumptions!$B$170*AA7/12</f>
        <v/>
      </c>
      <c r="AB147" s="57">
        <f>AB146*Assumptions!$B$170*AB7/12</f>
        <v/>
      </c>
      <c r="AC147" s="57">
        <f>AC146*Assumptions!$B$170*AC7/12</f>
        <v/>
      </c>
      <c r="AD147" s="57">
        <f>AD146*Assumptions!$B$170*AD7/12</f>
        <v/>
      </c>
      <c r="AE147" s="57">
        <f>AE146*Assumptions!$B$170*AE7/12</f>
        <v/>
      </c>
    </row>
    <row r="148">
      <c r="A148" s="9" t="inlineStr">
        <is>
          <t>Stream 6 is NOT regional: partners are institutions with their own customer books, not retail customers of a region. It is reported separately rather than allocated, because any allocation would be invented.</t>
        </is>
      </c>
    </row>
    <row r="150">
      <c r="A150" s="46" t="inlineStr">
        <is>
          <t>WHOLE-BOOK TOTALS</t>
        </is>
      </c>
      <c r="B150" s="47" t="n"/>
      <c r="C150" s="47" t="n"/>
      <c r="D150" s="47" t="n"/>
      <c r="E150" s="47" t="n"/>
      <c r="F150" s="47" t="n"/>
      <c r="G150" s="47" t="n"/>
      <c r="H150" s="47" t="n"/>
      <c r="I150" s="47" t="n"/>
      <c r="J150" s="47" t="n"/>
      <c r="K150" s="47" t="n"/>
      <c r="L150" s="47" t="n"/>
      <c r="M150" s="47" t="n"/>
      <c r="N150" s="47" t="n"/>
      <c r="O150" s="47" t="n"/>
      <c r="P150" s="47" t="n"/>
      <c r="Q150" s="47" t="n"/>
      <c r="R150" s="47" t="n"/>
      <c r="S150" s="47" t="n"/>
      <c r="T150" s="47" t="n"/>
      <c r="U150" s="47" t="n"/>
      <c r="V150" s="47" t="n"/>
      <c r="W150" s="47" t="n"/>
      <c r="X150" s="47" t="n"/>
      <c r="Y150" s="47" t="n"/>
      <c r="Z150" s="47" t="n"/>
      <c r="AA150" s="47" t="n"/>
      <c r="AB150" s="47" t="n"/>
      <c r="AC150" s="47" t="n"/>
      <c r="AD150" s="47" t="n"/>
      <c r="AE150" s="47" t="n"/>
    </row>
    <row r="151">
      <c r="A151" s="3" t="inlineStr">
        <is>
          <t>PAYING CUSTOMERS</t>
        </is>
      </c>
      <c r="B151" s="23" t="inlineStr">
        <is>
          <t>-</t>
        </is>
      </c>
      <c r="C151" s="45">
        <f>C31+C71+C111</f>
        <v/>
      </c>
      <c r="D151" s="45">
        <f>D31+D71+D111</f>
        <v/>
      </c>
      <c r="E151" s="45">
        <f>E31+E71+E111</f>
        <v/>
      </c>
      <c r="F151" s="45">
        <f>F31+F71+F111</f>
        <v/>
      </c>
      <c r="G151" s="45">
        <f>G31+G71+G111</f>
        <v/>
      </c>
      <c r="H151" s="45">
        <f>H31+H71+H111</f>
        <v/>
      </c>
      <c r="I151" s="45">
        <f>I31+I71+I111</f>
        <v/>
      </c>
      <c r="J151" s="45">
        <f>J31+J71+J111</f>
        <v/>
      </c>
      <c r="K151" s="45">
        <f>K31+K71+K111</f>
        <v/>
      </c>
      <c r="L151" s="45">
        <f>L31+L71+L111</f>
        <v/>
      </c>
      <c r="M151" s="45">
        <f>M31+M71+M111</f>
        <v/>
      </c>
      <c r="N151" s="45">
        <f>N31+N71+N111</f>
        <v/>
      </c>
      <c r="O151" s="45">
        <f>O31+O71+O111</f>
        <v/>
      </c>
      <c r="P151" s="45">
        <f>P31+P71+P111</f>
        <v/>
      </c>
      <c r="Q151" s="45">
        <f>Q31+Q71+Q111</f>
        <v/>
      </c>
      <c r="R151" s="45">
        <f>R31+R71+R111</f>
        <v/>
      </c>
      <c r="S151" s="45">
        <f>S31+S71+S111</f>
        <v/>
      </c>
      <c r="T151" s="45">
        <f>T31+T71+T111</f>
        <v/>
      </c>
      <c r="U151" s="45">
        <f>U31+U71+U111</f>
        <v/>
      </c>
      <c r="V151" s="45">
        <f>V31+V71+V111</f>
        <v/>
      </c>
      <c r="W151" s="45">
        <f>W31+W71+W111</f>
        <v/>
      </c>
      <c r="X151" s="45">
        <f>X31+X71+X111</f>
        <v/>
      </c>
      <c r="Y151" s="45">
        <f>Y31+Y71+Y111</f>
        <v/>
      </c>
      <c r="Z151" s="45">
        <f>Z31+Z71+Z111</f>
        <v/>
      </c>
      <c r="AA151" s="45">
        <f>AA31+AA71+AA111</f>
        <v/>
      </c>
      <c r="AB151" s="45">
        <f>AB31+AB71+AB111</f>
        <v/>
      </c>
      <c r="AC151" s="45">
        <f>AC31+AC71+AC111</f>
        <v/>
      </c>
      <c r="AD151" s="45">
        <f>AD31+AD71+AD111</f>
        <v/>
      </c>
      <c r="AE151" s="45">
        <f>AE31+AE71+AE111</f>
        <v/>
      </c>
    </row>
    <row r="152">
      <c r="A152" s="3" t="inlineStr">
        <is>
          <t>HOLDERS (stopped paying, still hold gold)</t>
        </is>
      </c>
      <c r="B152" s="23" t="inlineStr">
        <is>
          <t>-</t>
        </is>
      </c>
      <c r="C152" s="45">
        <f>C33+C73+C113</f>
        <v/>
      </c>
      <c r="D152" s="45">
        <f>D33+D73+D113</f>
        <v/>
      </c>
      <c r="E152" s="45">
        <f>E33+E73+E113</f>
        <v/>
      </c>
      <c r="F152" s="45">
        <f>F33+F73+F113</f>
        <v/>
      </c>
      <c r="G152" s="45">
        <f>G33+G73+G113</f>
        <v/>
      </c>
      <c r="H152" s="45">
        <f>H33+H73+H113</f>
        <v/>
      </c>
      <c r="I152" s="45">
        <f>I33+I73+I113</f>
        <v/>
      </c>
      <c r="J152" s="45">
        <f>J33+J73+J113</f>
        <v/>
      </c>
      <c r="K152" s="45">
        <f>K33+K73+K113</f>
        <v/>
      </c>
      <c r="L152" s="45">
        <f>L33+L73+L113</f>
        <v/>
      </c>
      <c r="M152" s="45">
        <f>M33+M73+M113</f>
        <v/>
      </c>
      <c r="N152" s="45">
        <f>N33+N73+N113</f>
        <v/>
      </c>
      <c r="O152" s="45">
        <f>O33+O73+O113</f>
        <v/>
      </c>
      <c r="P152" s="45">
        <f>P33+P73+P113</f>
        <v/>
      </c>
      <c r="Q152" s="45">
        <f>Q33+Q73+Q113</f>
        <v/>
      </c>
      <c r="R152" s="45">
        <f>R33+R73+R113</f>
        <v/>
      </c>
      <c r="S152" s="45">
        <f>S33+S73+S113</f>
        <v/>
      </c>
      <c r="T152" s="45">
        <f>T33+T73+T113</f>
        <v/>
      </c>
      <c r="U152" s="45">
        <f>U33+U73+U113</f>
        <v/>
      </c>
      <c r="V152" s="45">
        <f>V33+V73+V113</f>
        <v/>
      </c>
      <c r="W152" s="45">
        <f>W33+W73+W113</f>
        <v/>
      </c>
      <c r="X152" s="45">
        <f>X33+X73+X113</f>
        <v/>
      </c>
      <c r="Y152" s="45">
        <f>Y33+Y73+Y113</f>
        <v/>
      </c>
      <c r="Z152" s="45">
        <f>Z33+Z73+Z113</f>
        <v/>
      </c>
      <c r="AA152" s="45">
        <f>AA33+AA73+AA113</f>
        <v/>
      </c>
      <c r="AB152" s="45">
        <f>AB33+AB73+AB113</f>
        <v/>
      </c>
      <c r="AC152" s="45">
        <f>AC33+AC73+AC113</f>
        <v/>
      </c>
      <c r="AD152" s="45">
        <f>AD33+AD73+AD113</f>
        <v/>
      </c>
      <c r="AE152" s="45">
        <f>AE33+AE73+AE113</f>
        <v/>
      </c>
    </row>
    <row r="153">
      <c r="A153" s="6" t="inlineStr">
        <is>
          <t>Cumulative ever acquired</t>
        </is>
      </c>
      <c r="B153" s="23" t="inlineStr">
        <is>
          <t>-</t>
        </is>
      </c>
      <c r="C153" s="45">
        <f>C34+C74+C114</f>
        <v/>
      </c>
      <c r="D153" s="45">
        <f>D34+D74+D114</f>
        <v/>
      </c>
      <c r="E153" s="45">
        <f>E34+E74+E114</f>
        <v/>
      </c>
      <c r="F153" s="45">
        <f>F34+F74+F114</f>
        <v/>
      </c>
      <c r="G153" s="45">
        <f>G34+G74+G114</f>
        <v/>
      </c>
      <c r="H153" s="45">
        <f>H34+H74+H114</f>
        <v/>
      </c>
      <c r="I153" s="45">
        <f>I34+I74+I114</f>
        <v/>
      </c>
      <c r="J153" s="45">
        <f>J34+J74+J114</f>
        <v/>
      </c>
      <c r="K153" s="45">
        <f>K34+K74+K114</f>
        <v/>
      </c>
      <c r="L153" s="45">
        <f>L34+L74+L114</f>
        <v/>
      </c>
      <c r="M153" s="45">
        <f>M34+M74+M114</f>
        <v/>
      </c>
      <c r="N153" s="45">
        <f>N34+N74+N114</f>
        <v/>
      </c>
      <c r="O153" s="45">
        <f>O34+O74+O114</f>
        <v/>
      </c>
      <c r="P153" s="45">
        <f>P34+P74+P114</f>
        <v/>
      </c>
      <c r="Q153" s="45">
        <f>Q34+Q74+Q114</f>
        <v/>
      </c>
      <c r="R153" s="45">
        <f>R34+R74+R114</f>
        <v/>
      </c>
      <c r="S153" s="45">
        <f>S34+S74+S114</f>
        <v/>
      </c>
      <c r="T153" s="45">
        <f>T34+T74+T114</f>
        <v/>
      </c>
      <c r="U153" s="45">
        <f>U34+U74+U114</f>
        <v/>
      </c>
      <c r="V153" s="45">
        <f>V34+V74+V114</f>
        <v/>
      </c>
      <c r="W153" s="45">
        <f>W34+W74+W114</f>
        <v/>
      </c>
      <c r="X153" s="45">
        <f>X34+X74+X114</f>
        <v/>
      </c>
      <c r="Y153" s="45">
        <f>Y34+Y74+Y114</f>
        <v/>
      </c>
      <c r="Z153" s="45">
        <f>Z34+Z74+Z114</f>
        <v/>
      </c>
      <c r="AA153" s="45">
        <f>AA34+AA74+AA114</f>
        <v/>
      </c>
      <c r="AB153" s="45">
        <f>AB34+AB74+AB114</f>
        <v/>
      </c>
      <c r="AC153" s="45">
        <f>AC34+AC74+AC114</f>
        <v/>
      </c>
      <c r="AD153" s="45">
        <f>AD34+AD74+AD114</f>
        <v/>
      </c>
      <c r="AE153" s="45">
        <f>AE34+AE74+AE114</f>
        <v/>
      </c>
    </row>
    <row r="154">
      <c r="A154" s="3" t="inlineStr">
        <is>
          <t>NEW CUSTOMERS</t>
        </is>
      </c>
      <c r="B154" s="23" t="inlineStr">
        <is>
          <t>-</t>
        </is>
      </c>
      <c r="C154" s="45">
        <f>C30+C70+C110</f>
        <v/>
      </c>
      <c r="D154" s="45">
        <f>D30+D70+D110</f>
        <v/>
      </c>
      <c r="E154" s="45">
        <f>E30+E70+E110</f>
        <v/>
      </c>
      <c r="F154" s="45">
        <f>F30+F70+F110</f>
        <v/>
      </c>
      <c r="G154" s="45">
        <f>G30+G70+G110</f>
        <v/>
      </c>
      <c r="H154" s="45">
        <f>H30+H70+H110</f>
        <v/>
      </c>
      <c r="I154" s="45">
        <f>I30+I70+I110</f>
        <v/>
      </c>
      <c r="J154" s="45">
        <f>J30+J70+J110</f>
        <v/>
      </c>
      <c r="K154" s="45">
        <f>K30+K70+K110</f>
        <v/>
      </c>
      <c r="L154" s="45">
        <f>L30+L70+L110</f>
        <v/>
      </c>
      <c r="M154" s="45">
        <f>M30+M70+M110</f>
        <v/>
      </c>
      <c r="N154" s="45">
        <f>N30+N70+N110</f>
        <v/>
      </c>
      <c r="O154" s="45">
        <f>O30+O70+O110</f>
        <v/>
      </c>
      <c r="P154" s="45">
        <f>P30+P70+P110</f>
        <v/>
      </c>
      <c r="Q154" s="45">
        <f>Q30+Q70+Q110</f>
        <v/>
      </c>
      <c r="R154" s="45">
        <f>R30+R70+R110</f>
        <v/>
      </c>
      <c r="S154" s="45">
        <f>S30+S70+S110</f>
        <v/>
      </c>
      <c r="T154" s="45">
        <f>T30+T70+T110</f>
        <v/>
      </c>
      <c r="U154" s="45">
        <f>U30+U70+U110</f>
        <v/>
      </c>
      <c r="V154" s="45">
        <f>V30+V70+V110</f>
        <v/>
      </c>
      <c r="W154" s="45">
        <f>W30+W70+W110</f>
        <v/>
      </c>
      <c r="X154" s="45">
        <f>X30+X70+X110</f>
        <v/>
      </c>
      <c r="Y154" s="45">
        <f>Y30+Y70+Y110</f>
        <v/>
      </c>
      <c r="Z154" s="45">
        <f>Z30+Z70+Z110</f>
        <v/>
      </c>
      <c r="AA154" s="45">
        <f>AA30+AA70+AA110</f>
        <v/>
      </c>
      <c r="AB154" s="45">
        <f>AB30+AB70+AB110</f>
        <v/>
      </c>
      <c r="AC154" s="45">
        <f>AC30+AC70+AC110</f>
        <v/>
      </c>
      <c r="AD154" s="45">
        <f>AD30+AD70+AD110</f>
        <v/>
      </c>
      <c r="AE154" s="45">
        <f>AE30+AE70+AE110</f>
        <v/>
      </c>
    </row>
    <row r="155">
      <c r="A155" s="3" t="inlineStr">
        <is>
          <t>ACTIVE CARDS</t>
        </is>
      </c>
      <c r="B155" s="23" t="inlineStr">
        <is>
          <t>-</t>
        </is>
      </c>
      <c r="C155" s="45">
        <f>C45+C85+C125</f>
        <v/>
      </c>
      <c r="D155" s="45">
        <f>D45+D85+D125</f>
        <v/>
      </c>
      <c r="E155" s="45">
        <f>E45+E85+E125</f>
        <v/>
      </c>
      <c r="F155" s="45">
        <f>F45+F85+F125</f>
        <v/>
      </c>
      <c r="G155" s="45">
        <f>G45+G85+G125</f>
        <v/>
      </c>
      <c r="H155" s="45">
        <f>H45+H85+H125</f>
        <v/>
      </c>
      <c r="I155" s="45">
        <f>I45+I85+I125</f>
        <v/>
      </c>
      <c r="J155" s="45">
        <f>J45+J85+J125</f>
        <v/>
      </c>
      <c r="K155" s="45">
        <f>K45+K85+K125</f>
        <v/>
      </c>
      <c r="L155" s="45">
        <f>L45+L85+L125</f>
        <v/>
      </c>
      <c r="M155" s="45">
        <f>M45+M85+M125</f>
        <v/>
      </c>
      <c r="N155" s="45">
        <f>N45+N85+N125</f>
        <v/>
      </c>
      <c r="O155" s="45">
        <f>O45+O85+O125</f>
        <v/>
      </c>
      <c r="P155" s="45">
        <f>P45+P85+P125</f>
        <v/>
      </c>
      <c r="Q155" s="45">
        <f>Q45+Q85+Q125</f>
        <v/>
      </c>
      <c r="R155" s="45">
        <f>R45+R85+R125</f>
        <v/>
      </c>
      <c r="S155" s="45">
        <f>S45+S85+S125</f>
        <v/>
      </c>
      <c r="T155" s="45">
        <f>T45+T85+T125</f>
        <v/>
      </c>
      <c r="U155" s="45">
        <f>U45+U85+U125</f>
        <v/>
      </c>
      <c r="V155" s="45">
        <f>V45+V85+V125</f>
        <v/>
      </c>
      <c r="W155" s="45">
        <f>W45+W85+W125</f>
        <v/>
      </c>
      <c r="X155" s="45">
        <f>X45+X85+X125</f>
        <v/>
      </c>
      <c r="Y155" s="45">
        <f>Y45+Y85+Y125</f>
        <v/>
      </c>
      <c r="Z155" s="45">
        <f>Z45+Z85+Z125</f>
        <v/>
      </c>
      <c r="AA155" s="45">
        <f>AA45+AA85+AA125</f>
        <v/>
      </c>
      <c r="AB155" s="45">
        <f>AB45+AB85+AB125</f>
        <v/>
      </c>
      <c r="AC155" s="45">
        <f>AC45+AC85+AC125</f>
        <v/>
      </c>
      <c r="AD155" s="45">
        <f>AD45+AD85+AD125</f>
        <v/>
      </c>
      <c r="AE155" s="45">
        <f>AE45+AE85+AE125</f>
        <v/>
      </c>
    </row>
    <row r="156">
      <c r="A156" s="6" t="inlineStr">
        <is>
          <t>GRAMS HELD</t>
        </is>
      </c>
      <c r="B156" s="23" t="inlineStr">
        <is>
          <t>-</t>
        </is>
      </c>
      <c r="C156" s="45">
        <f>C40+C80+C120</f>
        <v/>
      </c>
      <c r="D156" s="45">
        <f>D40+D80+D120</f>
        <v/>
      </c>
      <c r="E156" s="45">
        <f>E40+E80+E120</f>
        <v/>
      </c>
      <c r="F156" s="45">
        <f>F40+F80+F120</f>
        <v/>
      </c>
      <c r="G156" s="45">
        <f>G40+G80+G120</f>
        <v/>
      </c>
      <c r="H156" s="45">
        <f>H40+H80+H120</f>
        <v/>
      </c>
      <c r="I156" s="45">
        <f>I40+I80+I120</f>
        <v/>
      </c>
      <c r="J156" s="45">
        <f>J40+J80+J120</f>
        <v/>
      </c>
      <c r="K156" s="45">
        <f>K40+K80+K120</f>
        <v/>
      </c>
      <c r="L156" s="45">
        <f>L40+L80+L120</f>
        <v/>
      </c>
      <c r="M156" s="45">
        <f>M40+M80+M120</f>
        <v/>
      </c>
      <c r="N156" s="45">
        <f>N40+N80+N120</f>
        <v/>
      </c>
      <c r="O156" s="45">
        <f>O40+O80+O120</f>
        <v/>
      </c>
      <c r="P156" s="45">
        <f>P40+P80+P120</f>
        <v/>
      </c>
      <c r="Q156" s="45">
        <f>Q40+Q80+Q120</f>
        <v/>
      </c>
      <c r="R156" s="45">
        <f>R40+R80+R120</f>
        <v/>
      </c>
      <c r="S156" s="45">
        <f>S40+S80+S120</f>
        <v/>
      </c>
      <c r="T156" s="45">
        <f>T40+T80+T120</f>
        <v/>
      </c>
      <c r="U156" s="45">
        <f>U40+U80+U120</f>
        <v/>
      </c>
      <c r="V156" s="45">
        <f>V40+V80+V120</f>
        <v/>
      </c>
      <c r="W156" s="45">
        <f>W40+W80+W120</f>
        <v/>
      </c>
      <c r="X156" s="45">
        <f>X40+X80+X120</f>
        <v/>
      </c>
      <c r="Y156" s="45">
        <f>Y40+Y80+Y120</f>
        <v/>
      </c>
      <c r="Z156" s="45">
        <f>Z40+Z80+Z120</f>
        <v/>
      </c>
      <c r="AA156" s="45">
        <f>AA40+AA80+AA120</f>
        <v/>
      </c>
      <c r="AB156" s="45">
        <f>AB40+AB80+AB120</f>
        <v/>
      </c>
      <c r="AC156" s="45">
        <f>AC40+AC80+AC120</f>
        <v/>
      </c>
      <c r="AD156" s="45">
        <f>AD40+AD80+AD120</f>
        <v/>
      </c>
      <c r="AE156" s="45">
        <f>AE40+AE80+AE120</f>
        <v/>
      </c>
    </row>
    <row r="157">
      <c r="A157" s="3" t="inlineStr">
        <is>
          <t>GRAMS UNDER CUSTODY</t>
        </is>
      </c>
      <c r="B157" s="23" t="inlineStr">
        <is>
          <t>-</t>
        </is>
      </c>
      <c r="C157" s="45">
        <f>C41+C81+C121</f>
        <v/>
      </c>
      <c r="D157" s="45">
        <f>D41+D81+D121</f>
        <v/>
      </c>
      <c r="E157" s="45">
        <f>E41+E81+E121</f>
        <v/>
      </c>
      <c r="F157" s="45">
        <f>F41+F81+F121</f>
        <v/>
      </c>
      <c r="G157" s="45">
        <f>G41+G81+G121</f>
        <v/>
      </c>
      <c r="H157" s="45">
        <f>H41+H81+H121</f>
        <v/>
      </c>
      <c r="I157" s="45">
        <f>I41+I81+I121</f>
        <v/>
      </c>
      <c r="J157" s="45">
        <f>J41+J81+J121</f>
        <v/>
      </c>
      <c r="K157" s="45">
        <f>K41+K81+K121</f>
        <v/>
      </c>
      <c r="L157" s="45">
        <f>L41+L81+L121</f>
        <v/>
      </c>
      <c r="M157" s="45">
        <f>M41+M81+M121</f>
        <v/>
      </c>
      <c r="N157" s="45">
        <f>N41+N81+N121</f>
        <v/>
      </c>
      <c r="O157" s="45">
        <f>O41+O81+O121</f>
        <v/>
      </c>
      <c r="P157" s="45">
        <f>P41+P81+P121</f>
        <v/>
      </c>
      <c r="Q157" s="45">
        <f>Q41+Q81+Q121</f>
        <v/>
      </c>
      <c r="R157" s="45">
        <f>R41+R81+R121</f>
        <v/>
      </c>
      <c r="S157" s="45">
        <f>S41+S81+S121</f>
        <v/>
      </c>
      <c r="T157" s="45">
        <f>T41+T81+T121</f>
        <v/>
      </c>
      <c r="U157" s="45">
        <f>U41+U81+U121</f>
        <v/>
      </c>
      <c r="V157" s="45">
        <f>V41+V81+V121</f>
        <v/>
      </c>
      <c r="W157" s="45">
        <f>W41+W81+W121</f>
        <v/>
      </c>
      <c r="X157" s="45">
        <f>X41+X81+X121</f>
        <v/>
      </c>
      <c r="Y157" s="45">
        <f>Y41+Y81+Y121</f>
        <v/>
      </c>
      <c r="Z157" s="45">
        <f>Z41+Z81+Z121</f>
        <v/>
      </c>
      <c r="AA157" s="45">
        <f>AA41+AA81+AA121</f>
        <v/>
      </c>
      <c r="AB157" s="45">
        <f>AB41+AB81+AB121</f>
        <v/>
      </c>
      <c r="AC157" s="45">
        <f>AC41+AC81+AC121</f>
        <v/>
      </c>
      <c r="AD157" s="45">
        <f>AD41+AD81+AD121</f>
        <v/>
      </c>
      <c r="AE157" s="45">
        <f>AE41+AE81+AE121</f>
        <v/>
      </c>
    </row>
    <row r="158">
      <c r="A158" s="6" t="inlineStr">
        <is>
          <t>Grams purchased</t>
        </is>
      </c>
      <c r="B158" s="23" t="inlineStr">
        <is>
          <t>-</t>
        </is>
      </c>
      <c r="C158" s="54">
        <f>C37+C77+C117</f>
        <v/>
      </c>
      <c r="D158" s="54">
        <f>D37+D77+D117</f>
        <v/>
      </c>
      <c r="E158" s="54">
        <f>E37+E77+E117</f>
        <v/>
      </c>
      <c r="F158" s="54">
        <f>F37+F77+F117</f>
        <v/>
      </c>
      <c r="G158" s="54">
        <f>G37+G77+G117</f>
        <v/>
      </c>
      <c r="H158" s="54">
        <f>H37+H77+H117</f>
        <v/>
      </c>
      <c r="I158" s="54">
        <f>I37+I77+I117</f>
        <v/>
      </c>
      <c r="J158" s="54">
        <f>J37+J77+J117</f>
        <v/>
      </c>
      <c r="K158" s="54">
        <f>K37+K77+K117</f>
        <v/>
      </c>
      <c r="L158" s="54">
        <f>L37+L77+L117</f>
        <v/>
      </c>
      <c r="M158" s="54">
        <f>M37+M77+M117</f>
        <v/>
      </c>
      <c r="N158" s="54">
        <f>N37+N77+N117</f>
        <v/>
      </c>
      <c r="O158" s="54">
        <f>O37+O77+O117</f>
        <v/>
      </c>
      <c r="P158" s="54">
        <f>P37+P77+P117</f>
        <v/>
      </c>
      <c r="Q158" s="54">
        <f>Q37+Q77+Q117</f>
        <v/>
      </c>
      <c r="R158" s="54">
        <f>R37+R77+R117</f>
        <v/>
      </c>
      <c r="S158" s="54">
        <f>S37+S77+S117</f>
        <v/>
      </c>
      <c r="T158" s="54">
        <f>T37+T77+T117</f>
        <v/>
      </c>
      <c r="U158" s="54">
        <f>U37+U77+U117</f>
        <v/>
      </c>
      <c r="V158" s="54">
        <f>V37+V77+V117</f>
        <v/>
      </c>
      <c r="W158" s="54">
        <f>W37+W77+W117</f>
        <v/>
      </c>
      <c r="X158" s="54">
        <f>X37+X77+X117</f>
        <v/>
      </c>
      <c r="Y158" s="54">
        <f>Y37+Y77+Y117</f>
        <v/>
      </c>
      <c r="Z158" s="54">
        <f>Z37+Z77+Z117</f>
        <v/>
      </c>
      <c r="AA158" s="54">
        <f>AA37+AA77+AA117</f>
        <v/>
      </c>
      <c r="AB158" s="54">
        <f>AB37+AB77+AB117</f>
        <v/>
      </c>
      <c r="AC158" s="54">
        <f>AC37+AC77+AC117</f>
        <v/>
      </c>
      <c r="AD158" s="54">
        <f>AD37+AD77+AD117</f>
        <v/>
      </c>
      <c r="AE158" s="54">
        <f>AE37+AE77+AE117</f>
        <v/>
      </c>
    </row>
    <row r="159">
      <c r="A159" s="3" t="inlineStr">
        <is>
          <t>COLLATERAL-ELIGIBLE AUM</t>
        </is>
      </c>
      <c r="B159" s="23" t="inlineStr">
        <is>
          <t>-</t>
        </is>
      </c>
      <c r="C159" s="55">
        <f>C42+C82+C122</f>
        <v/>
      </c>
      <c r="D159" s="55">
        <f>D42+D82+D122</f>
        <v/>
      </c>
      <c r="E159" s="55">
        <f>E42+E82+E122</f>
        <v/>
      </c>
      <c r="F159" s="55">
        <f>F42+F82+F122</f>
        <v/>
      </c>
      <c r="G159" s="55">
        <f>G42+G82+G122</f>
        <v/>
      </c>
      <c r="H159" s="55">
        <f>H42+H82+H122</f>
        <v/>
      </c>
      <c r="I159" s="55">
        <f>I42+I82+I122</f>
        <v/>
      </c>
      <c r="J159" s="55">
        <f>J42+J82+J122</f>
        <v/>
      </c>
      <c r="K159" s="55">
        <f>K42+K82+K122</f>
        <v/>
      </c>
      <c r="L159" s="55">
        <f>L42+L82+L122</f>
        <v/>
      </c>
      <c r="M159" s="55">
        <f>M42+M82+M122</f>
        <v/>
      </c>
      <c r="N159" s="55">
        <f>N42+N82+N122</f>
        <v/>
      </c>
      <c r="O159" s="55">
        <f>O42+O82+O122</f>
        <v/>
      </c>
      <c r="P159" s="55">
        <f>P42+P82+P122</f>
        <v/>
      </c>
      <c r="Q159" s="55">
        <f>Q42+Q82+Q122</f>
        <v/>
      </c>
      <c r="R159" s="55">
        <f>R42+R82+R122</f>
        <v/>
      </c>
      <c r="S159" s="55">
        <f>S42+S82+S122</f>
        <v/>
      </c>
      <c r="T159" s="55">
        <f>T42+T82+T122</f>
        <v/>
      </c>
      <c r="U159" s="55">
        <f>U42+U82+U122</f>
        <v/>
      </c>
      <c r="V159" s="55">
        <f>V42+V82+V122</f>
        <v/>
      </c>
      <c r="W159" s="55">
        <f>W42+W82+W122</f>
        <v/>
      </c>
      <c r="X159" s="55">
        <f>X42+X82+X122</f>
        <v/>
      </c>
      <c r="Y159" s="55">
        <f>Y42+Y82+Y122</f>
        <v/>
      </c>
      <c r="Z159" s="55">
        <f>Z42+Z82+Z122</f>
        <v/>
      </c>
      <c r="AA159" s="55">
        <f>AA42+AA82+AA122</f>
        <v/>
      </c>
      <c r="AB159" s="55">
        <f>AB42+AB82+AB122</f>
        <v/>
      </c>
      <c r="AC159" s="55">
        <f>AC42+AC82+AC122</f>
        <v/>
      </c>
      <c r="AD159" s="55">
        <f>AD42+AD82+AD122</f>
        <v/>
      </c>
      <c r="AE159" s="55">
        <f>AE42+AE82+AE122</f>
        <v/>
      </c>
    </row>
    <row r="160">
      <c r="A160" s="6" t="inlineStr">
        <is>
          <t>Cleared the six-payment gate</t>
        </is>
      </c>
      <c r="B160" s="23" t="inlineStr">
        <is>
          <t>-</t>
        </is>
      </c>
      <c r="C160" s="45">
        <f>C44+C84+C124</f>
        <v/>
      </c>
      <c r="D160" s="45">
        <f>D44+D84+D124</f>
        <v/>
      </c>
      <c r="E160" s="45">
        <f>E44+E84+E124</f>
        <v/>
      </c>
      <c r="F160" s="45">
        <f>F44+F84+F124</f>
        <v/>
      </c>
      <c r="G160" s="45">
        <f>G44+G84+G124</f>
        <v/>
      </c>
      <c r="H160" s="45">
        <f>H44+H84+H124</f>
        <v/>
      </c>
      <c r="I160" s="45">
        <f>I44+I84+I124</f>
        <v/>
      </c>
      <c r="J160" s="45">
        <f>J44+J84+J124</f>
        <v/>
      </c>
      <c r="K160" s="45">
        <f>K44+K84+K124</f>
        <v/>
      </c>
      <c r="L160" s="45">
        <f>L44+L84+L124</f>
        <v/>
      </c>
      <c r="M160" s="45">
        <f>M44+M84+M124</f>
        <v/>
      </c>
      <c r="N160" s="45">
        <f>N44+N84+N124</f>
        <v/>
      </c>
      <c r="O160" s="45">
        <f>O44+O84+O124</f>
        <v/>
      </c>
      <c r="P160" s="45">
        <f>P44+P84+P124</f>
        <v/>
      </c>
      <c r="Q160" s="45">
        <f>Q44+Q84+Q124</f>
        <v/>
      </c>
      <c r="R160" s="45">
        <f>R44+R84+R124</f>
        <v/>
      </c>
      <c r="S160" s="45">
        <f>S44+S84+S124</f>
        <v/>
      </c>
      <c r="T160" s="45">
        <f>T44+T84+T124</f>
        <v/>
      </c>
      <c r="U160" s="45">
        <f>U44+U84+U124</f>
        <v/>
      </c>
      <c r="V160" s="45">
        <f>V44+V84+V124</f>
        <v/>
      </c>
      <c r="W160" s="45">
        <f>W44+W84+W124</f>
        <v/>
      </c>
      <c r="X160" s="45">
        <f>X44+X84+X124</f>
        <v/>
      </c>
      <c r="Y160" s="45">
        <f>Y44+Y84+Y124</f>
        <v/>
      </c>
      <c r="Z160" s="45">
        <f>Z44+Z84+Z124</f>
        <v/>
      </c>
      <c r="AA160" s="45">
        <f>AA44+AA84+AA124</f>
        <v/>
      </c>
      <c r="AB160" s="45">
        <f>AB44+AB84+AB124</f>
        <v/>
      </c>
      <c r="AC160" s="45">
        <f>AC44+AC84+AC124</f>
        <v/>
      </c>
      <c r="AD160" s="45">
        <f>AD44+AD84+AD124</f>
        <v/>
      </c>
      <c r="AE160" s="45">
        <f>AE44+AE84+AE124</f>
        <v/>
      </c>
    </row>
    <row r="161">
      <c r="A161" s="6" t="inlineStr">
        <is>
          <t>SIP contributions</t>
        </is>
      </c>
      <c r="B161" s="23" t="inlineStr">
        <is>
          <t>-</t>
        </is>
      </c>
      <c r="C161" s="55">
        <f>C35+C75+C115</f>
        <v/>
      </c>
      <c r="D161" s="55">
        <f>D35+D75+D115</f>
        <v/>
      </c>
      <c r="E161" s="55">
        <f>E35+E75+E115</f>
        <v/>
      </c>
      <c r="F161" s="55">
        <f>F35+F75+F115</f>
        <v/>
      </c>
      <c r="G161" s="55">
        <f>G35+G75+G115</f>
        <v/>
      </c>
      <c r="H161" s="55">
        <f>H35+H75+H115</f>
        <v/>
      </c>
      <c r="I161" s="55">
        <f>I35+I75+I115</f>
        <v/>
      </c>
      <c r="J161" s="55">
        <f>J35+J75+J115</f>
        <v/>
      </c>
      <c r="K161" s="55">
        <f>K35+K75+K115</f>
        <v/>
      </c>
      <c r="L161" s="55">
        <f>L35+L75+L115</f>
        <v/>
      </c>
      <c r="M161" s="55">
        <f>M35+M75+M115</f>
        <v/>
      </c>
      <c r="N161" s="55">
        <f>N35+N75+N115</f>
        <v/>
      </c>
      <c r="O161" s="55">
        <f>O35+O75+O115</f>
        <v/>
      </c>
      <c r="P161" s="55">
        <f>P35+P75+P115</f>
        <v/>
      </c>
      <c r="Q161" s="55">
        <f>Q35+Q75+Q115</f>
        <v/>
      </c>
      <c r="R161" s="55">
        <f>R35+R75+R115</f>
        <v/>
      </c>
      <c r="S161" s="55">
        <f>S35+S75+S115</f>
        <v/>
      </c>
      <c r="T161" s="55">
        <f>T35+T75+T115</f>
        <v/>
      </c>
      <c r="U161" s="55">
        <f>U35+U75+U115</f>
        <v/>
      </c>
      <c r="V161" s="55">
        <f>V35+V75+V115</f>
        <v/>
      </c>
      <c r="W161" s="55">
        <f>W35+W75+W115</f>
        <v/>
      </c>
      <c r="X161" s="55">
        <f>X35+X75+X115</f>
        <v/>
      </c>
      <c r="Y161" s="55">
        <f>Y35+Y75+Y115</f>
        <v/>
      </c>
      <c r="Z161" s="55">
        <f>Z35+Z75+Z115</f>
        <v/>
      </c>
      <c r="AA161" s="55">
        <f>AA35+AA75+AA115</f>
        <v/>
      </c>
      <c r="AB161" s="55">
        <f>AB35+AB75+AB115</f>
        <v/>
      </c>
      <c r="AC161" s="55">
        <f>AC35+AC75+AC115</f>
        <v/>
      </c>
      <c r="AD161" s="55">
        <f>AD35+AD75+AD115</f>
        <v/>
      </c>
      <c r="AE161" s="55">
        <f>AE35+AE75+AE115</f>
        <v/>
      </c>
    </row>
    <row r="162">
      <c r="A162" s="6" t="inlineStr">
        <is>
          <t>Spot purchase volume</t>
        </is>
      </c>
      <c r="B162" s="23" t="inlineStr">
        <is>
          <t>-</t>
        </is>
      </c>
      <c r="C162" s="55">
        <f>C36+C76+C116</f>
        <v/>
      </c>
      <c r="D162" s="55">
        <f>D36+D76+D116</f>
        <v/>
      </c>
      <c r="E162" s="55">
        <f>E36+E76+E116</f>
        <v/>
      </c>
      <c r="F162" s="55">
        <f>F36+F76+F116</f>
        <v/>
      </c>
      <c r="G162" s="55">
        <f>G36+G76+G116</f>
        <v/>
      </c>
      <c r="H162" s="55">
        <f>H36+H76+H116</f>
        <v/>
      </c>
      <c r="I162" s="55">
        <f>I36+I76+I116</f>
        <v/>
      </c>
      <c r="J162" s="55">
        <f>J36+J76+J116</f>
        <v/>
      </c>
      <c r="K162" s="55">
        <f>K36+K76+K116</f>
        <v/>
      </c>
      <c r="L162" s="55">
        <f>L36+L76+L116</f>
        <v/>
      </c>
      <c r="M162" s="55">
        <f>M36+M76+M116</f>
        <v/>
      </c>
      <c r="N162" s="55">
        <f>N36+N76+N116</f>
        <v/>
      </c>
      <c r="O162" s="55">
        <f>O36+O76+O116</f>
        <v/>
      </c>
      <c r="P162" s="55">
        <f>P36+P76+P116</f>
        <v/>
      </c>
      <c r="Q162" s="55">
        <f>Q36+Q76+Q116</f>
        <v/>
      </c>
      <c r="R162" s="55">
        <f>R36+R76+R116</f>
        <v/>
      </c>
      <c r="S162" s="55">
        <f>S36+S76+S116</f>
        <v/>
      </c>
      <c r="T162" s="55">
        <f>T36+T76+T116</f>
        <v/>
      </c>
      <c r="U162" s="55">
        <f>U36+U76+U116</f>
        <v/>
      </c>
      <c r="V162" s="55">
        <f>V36+V76+V116</f>
        <v/>
      </c>
      <c r="W162" s="55">
        <f>W36+W76+W116</f>
        <v/>
      </c>
      <c r="X162" s="55">
        <f>X36+X76+X116</f>
        <v/>
      </c>
      <c r="Y162" s="55">
        <f>Y36+Y76+Y116</f>
        <v/>
      </c>
      <c r="Z162" s="55">
        <f>Z36+Z76+Z116</f>
        <v/>
      </c>
      <c r="AA162" s="55">
        <f>AA36+AA76+AA116</f>
        <v/>
      </c>
      <c r="AB162" s="55">
        <f>AB36+AB76+AB116</f>
        <v/>
      </c>
      <c r="AC162" s="55">
        <f>AC36+AC76+AC116</f>
        <v/>
      </c>
      <c r="AD162" s="55">
        <f>AD36+AD76+AD116</f>
        <v/>
      </c>
      <c r="AE162" s="55">
        <f>AE36+AE76+AE116</f>
        <v/>
      </c>
    </row>
    <row r="163">
      <c r="A163" s="6" t="inlineStr">
        <is>
          <t>Card spend</t>
        </is>
      </c>
      <c r="B163" s="23" t="inlineStr">
        <is>
          <t>-</t>
        </is>
      </c>
      <c r="C163" s="55">
        <f>C51+C91+C131</f>
        <v/>
      </c>
      <c r="D163" s="55">
        <f>D51+D91+D131</f>
        <v/>
      </c>
      <c r="E163" s="55">
        <f>E51+E91+E131</f>
        <v/>
      </c>
      <c r="F163" s="55">
        <f>F51+F91+F131</f>
        <v/>
      </c>
      <c r="G163" s="55">
        <f>G51+G91+G131</f>
        <v/>
      </c>
      <c r="H163" s="55">
        <f>H51+H91+H131</f>
        <v/>
      </c>
      <c r="I163" s="55">
        <f>I51+I91+I131</f>
        <v/>
      </c>
      <c r="J163" s="55">
        <f>J51+J91+J131</f>
        <v/>
      </c>
      <c r="K163" s="55">
        <f>K51+K91+K131</f>
        <v/>
      </c>
      <c r="L163" s="55">
        <f>L51+L91+L131</f>
        <v/>
      </c>
      <c r="M163" s="55">
        <f>M51+M91+M131</f>
        <v/>
      </c>
      <c r="N163" s="55">
        <f>N51+N91+N131</f>
        <v/>
      </c>
      <c r="O163" s="55">
        <f>O51+O91+O131</f>
        <v/>
      </c>
      <c r="P163" s="55">
        <f>P51+P91+P131</f>
        <v/>
      </c>
      <c r="Q163" s="55">
        <f>Q51+Q91+Q131</f>
        <v/>
      </c>
      <c r="R163" s="55">
        <f>R51+R91+R131</f>
        <v/>
      </c>
      <c r="S163" s="55">
        <f>S51+S91+S131</f>
        <v/>
      </c>
      <c r="T163" s="55">
        <f>T51+T91+T131</f>
        <v/>
      </c>
      <c r="U163" s="55">
        <f>U51+U91+U131</f>
        <v/>
      </c>
      <c r="V163" s="55">
        <f>V51+V91+V131</f>
        <v/>
      </c>
      <c r="W163" s="55">
        <f>W51+W91+W131</f>
        <v/>
      </c>
      <c r="X163" s="55">
        <f>X51+X91+X131</f>
        <v/>
      </c>
      <c r="Y163" s="55">
        <f>Y51+Y91+Y131</f>
        <v/>
      </c>
      <c r="Z163" s="55">
        <f>Z51+Z91+Z131</f>
        <v/>
      </c>
      <c r="AA163" s="55">
        <f>AA51+AA91+AA131</f>
        <v/>
      </c>
      <c r="AB163" s="55">
        <f>AB51+AB91+AB131</f>
        <v/>
      </c>
      <c r="AC163" s="55">
        <f>AC51+AC91+AC131</f>
        <v/>
      </c>
      <c r="AD163" s="55">
        <f>AD51+AD91+AD131</f>
        <v/>
      </c>
      <c r="AE163" s="55">
        <f>AE51+AE91+AE131</f>
        <v/>
      </c>
    </row>
    <row r="164">
      <c r="A164" s="6" t="inlineStr">
        <is>
          <t>GOLD UNDER CUSTODY (comparable headline)</t>
        </is>
      </c>
      <c r="B164" s="23" t="inlineStr">
        <is>
          <t>USD</t>
        </is>
      </c>
      <c r="C164" s="57">
        <f>C157*C21</f>
        <v/>
      </c>
      <c r="D164" s="57">
        <f>D157*D21</f>
        <v/>
      </c>
      <c r="E164" s="57">
        <f>E157*E21</f>
        <v/>
      </c>
      <c r="F164" s="57">
        <f>F157*F21</f>
        <v/>
      </c>
      <c r="G164" s="57">
        <f>G157*G21</f>
        <v/>
      </c>
      <c r="H164" s="57">
        <f>H157*H21</f>
        <v/>
      </c>
      <c r="I164" s="57">
        <f>I157*I21</f>
        <v/>
      </c>
      <c r="J164" s="57">
        <f>J157*J21</f>
        <v/>
      </c>
      <c r="K164" s="57">
        <f>K157*K21</f>
        <v/>
      </c>
      <c r="L164" s="57">
        <f>L157*L21</f>
        <v/>
      </c>
      <c r="M164" s="57">
        <f>M157*M21</f>
        <v/>
      </c>
      <c r="N164" s="57">
        <f>N157*N21</f>
        <v/>
      </c>
      <c r="O164" s="57">
        <f>O157*O21</f>
        <v/>
      </c>
      <c r="P164" s="57">
        <f>P157*P21</f>
        <v/>
      </c>
      <c r="Q164" s="57">
        <f>Q157*Q21</f>
        <v/>
      </c>
      <c r="R164" s="57">
        <f>R157*R21</f>
        <v/>
      </c>
      <c r="S164" s="57">
        <f>S157*S21</f>
        <v/>
      </c>
      <c r="T164" s="57">
        <f>T157*T21</f>
        <v/>
      </c>
      <c r="U164" s="57">
        <f>U157*U21</f>
        <v/>
      </c>
      <c r="V164" s="57">
        <f>V157*V21</f>
        <v/>
      </c>
      <c r="W164" s="57">
        <f>W157*W21</f>
        <v/>
      </c>
      <c r="X164" s="57">
        <f>X157*X21</f>
        <v/>
      </c>
      <c r="Y164" s="57">
        <f>Y157*Y21</f>
        <v/>
      </c>
      <c r="Z164" s="57">
        <f>Z157*Z21</f>
        <v/>
      </c>
      <c r="AA164" s="57">
        <f>AA157*AA21</f>
        <v/>
      </c>
      <c r="AB164" s="57">
        <f>AB157*AB21</f>
        <v/>
      </c>
      <c r="AC164" s="57">
        <f>AC157*AC21</f>
        <v/>
      </c>
      <c r="AD164" s="57">
        <f>AD157*AD21</f>
        <v/>
      </c>
      <c r="AE164" s="57">
        <f>AE157*AE21</f>
        <v/>
      </c>
    </row>
    <row r="165">
      <c r="A165" s="9" t="inlineStr">
        <is>
          <t>THE NUMBER TO QUOTE AGAINST OTHER GOLD PLATFORMS, and the only one that compares like for like. Collateral-eligible AUM above is SMALLER because it also removes gold moved out of Aurumix's control - a token in a private wallet cannot back a credit limit, but THE METAL IS STILL IN THE VAULT, so it is still gold under custody. PAXG, Kinesis and Comtech all publish the custody measure. COMPARE IN GRAMS, NOT DOLLARS: every published USD figure carries the gold price of its own vintage, so a comparison in dollars is really a comparison of gold prices. Comtech Gold, the closest comparable - Dubai, DMCC-licensed, tokenised gold - holds ~141,000 g.</t>
        </is>
      </c>
    </row>
    <row r="166">
      <c r="A166" s="6" t="inlineStr">
        <is>
          <t xml:space="preserve">  Gold under custody at the CONSTANT M1 price (memo)</t>
        </is>
      </c>
      <c r="B166" s="23" t="inlineStr">
        <is>
          <t>USD</t>
        </is>
      </c>
      <c r="C166" s="55">
        <f>C157*Assumptions!$B$6</f>
        <v/>
      </c>
      <c r="D166" s="55">
        <f>D157*Assumptions!$B$6</f>
        <v/>
      </c>
      <c r="E166" s="55">
        <f>E157*Assumptions!$B$6</f>
        <v/>
      </c>
      <c r="F166" s="55">
        <f>F157*Assumptions!$B$6</f>
        <v/>
      </c>
      <c r="G166" s="55">
        <f>G157*Assumptions!$B$6</f>
        <v/>
      </c>
      <c r="H166" s="55">
        <f>H157*Assumptions!$B$6</f>
        <v/>
      </c>
      <c r="I166" s="55">
        <f>I157*Assumptions!$B$6</f>
        <v/>
      </c>
      <c r="J166" s="55">
        <f>J157*Assumptions!$B$6</f>
        <v/>
      </c>
      <c r="K166" s="55">
        <f>K157*Assumptions!$B$6</f>
        <v/>
      </c>
      <c r="L166" s="55">
        <f>L157*Assumptions!$B$6</f>
        <v/>
      </c>
      <c r="M166" s="55">
        <f>M157*Assumptions!$B$6</f>
        <v/>
      </c>
      <c r="N166" s="55">
        <f>N157*Assumptions!$B$6</f>
        <v/>
      </c>
      <c r="O166" s="55">
        <f>O157*Assumptions!$B$6</f>
        <v/>
      </c>
      <c r="P166" s="55">
        <f>P157*Assumptions!$B$6</f>
        <v/>
      </c>
      <c r="Q166" s="55">
        <f>Q157*Assumptions!$B$6</f>
        <v/>
      </c>
      <c r="R166" s="55">
        <f>R157*Assumptions!$B$6</f>
        <v/>
      </c>
      <c r="S166" s="55">
        <f>S157*Assumptions!$B$6</f>
        <v/>
      </c>
      <c r="T166" s="55">
        <f>T157*Assumptions!$B$6</f>
        <v/>
      </c>
      <c r="U166" s="55">
        <f>U157*Assumptions!$B$6</f>
        <v/>
      </c>
      <c r="V166" s="55">
        <f>V157*Assumptions!$B$6</f>
        <v/>
      </c>
      <c r="W166" s="55">
        <f>W157*Assumptions!$B$6</f>
        <v/>
      </c>
      <c r="X166" s="55">
        <f>X157*Assumptions!$B$6</f>
        <v/>
      </c>
      <c r="Y166" s="55">
        <f>Y157*Assumptions!$B$6</f>
        <v/>
      </c>
      <c r="Z166" s="55">
        <f>Z157*Assumptions!$B$6</f>
        <v/>
      </c>
      <c r="AA166" s="55">
        <f>AA157*Assumptions!$B$6</f>
        <v/>
      </c>
      <c r="AB166" s="55">
        <f>AB157*Assumptions!$B$6</f>
        <v/>
      </c>
      <c r="AC166" s="55">
        <f>AC157*Assumptions!$B$6</f>
        <v/>
      </c>
      <c r="AD166" s="55">
        <f>AD157*Assumptions!$B$6</f>
        <v/>
      </c>
      <c r="AE166" s="55">
        <f>AE157*Assumptions!$B$6</f>
        <v/>
      </c>
    </row>
    <row r="167">
      <c r="A167" s="6" t="inlineStr">
        <is>
          <t xml:space="preserve">  of which is the metal moving, not the business</t>
        </is>
      </c>
      <c r="B167" s="23" t="inlineStr">
        <is>
          <t>USD</t>
        </is>
      </c>
      <c r="C167" s="55">
        <f>C164-C166</f>
        <v/>
      </c>
      <c r="D167" s="55">
        <f>D164-D166</f>
        <v/>
      </c>
      <c r="E167" s="55">
        <f>E164-E166</f>
        <v/>
      </c>
      <c r="F167" s="55">
        <f>F164-F166</f>
        <v/>
      </c>
      <c r="G167" s="55">
        <f>G164-G166</f>
        <v/>
      </c>
      <c r="H167" s="55">
        <f>H164-H166</f>
        <v/>
      </c>
      <c r="I167" s="55">
        <f>I164-I166</f>
        <v/>
      </c>
      <c r="J167" s="55">
        <f>J164-J166</f>
        <v/>
      </c>
      <c r="K167" s="55">
        <f>K164-K166</f>
        <v/>
      </c>
      <c r="L167" s="55">
        <f>L164-L166</f>
        <v/>
      </c>
      <c r="M167" s="55">
        <f>M164-M166</f>
        <v/>
      </c>
      <c r="N167" s="55">
        <f>N164-N166</f>
        <v/>
      </c>
      <c r="O167" s="55">
        <f>O164-O166</f>
        <v/>
      </c>
      <c r="P167" s="55">
        <f>P164-P166</f>
        <v/>
      </c>
      <c r="Q167" s="55">
        <f>Q164-Q166</f>
        <v/>
      </c>
      <c r="R167" s="55">
        <f>R164-R166</f>
        <v/>
      </c>
      <c r="S167" s="55">
        <f>S164-S166</f>
        <v/>
      </c>
      <c r="T167" s="55">
        <f>T164-T166</f>
        <v/>
      </c>
      <c r="U167" s="55">
        <f>U164-U166</f>
        <v/>
      </c>
      <c r="V167" s="55">
        <f>V164-V166</f>
        <v/>
      </c>
      <c r="W167" s="55">
        <f>W164-W166</f>
        <v/>
      </c>
      <c r="X167" s="55">
        <f>X164-X166</f>
        <v/>
      </c>
      <c r="Y167" s="55">
        <f>Y164-Y166</f>
        <v/>
      </c>
      <c r="Z167" s="55">
        <f>Z164-Z166</f>
        <v/>
      </c>
      <c r="AA167" s="55">
        <f>AA164-AA166</f>
        <v/>
      </c>
      <c r="AB167" s="55">
        <f>AB164-AB166</f>
        <v/>
      </c>
      <c r="AC167" s="55">
        <f>AC164-AC166</f>
        <v/>
      </c>
      <c r="AD167" s="55">
        <f>AD164-AD166</f>
        <v/>
      </c>
      <c r="AE167" s="55">
        <f>AE164-AE166</f>
        <v/>
      </c>
    </row>
    <row r="168">
      <c r="A168" s="9" t="inlineStr">
        <is>
          <t>THE HONEST SERIES FOR JUDGING EXECUTION is the constant-price row: it strips the gold price out and leaves grams accumulated, which is the part Aurumix controls. The headline above will grow even if the business does not. SET GOLD APPRECIATION TO THE CONSERVATIVE SCENARIO (0.0%) TO RECOVER THE ORIGINAL FLAT-PRICE MODEL, under which these two rows are identical by construction.</t>
        </is>
      </c>
    </row>
    <row r="169">
      <c r="A169" s="6" t="inlineStr">
        <is>
          <t>CHECK: paying + holders = cumulative ever acquired</t>
        </is>
      </c>
      <c r="B169" s="23" t="inlineStr">
        <is>
          <t>delta</t>
        </is>
      </c>
      <c r="C169" s="59">
        <f>C151+C152-C153</f>
        <v/>
      </c>
      <c r="D169" s="59">
        <f>D151+D152-D153</f>
        <v/>
      </c>
      <c r="E169" s="59">
        <f>E151+E152-E153</f>
        <v/>
      </c>
      <c r="F169" s="59">
        <f>F151+F152-F153</f>
        <v/>
      </c>
      <c r="G169" s="59">
        <f>G151+G152-G153</f>
        <v/>
      </c>
      <c r="H169" s="59">
        <f>H151+H152-H153</f>
        <v/>
      </c>
      <c r="I169" s="59">
        <f>I151+I152-I153</f>
        <v/>
      </c>
      <c r="J169" s="59">
        <f>J151+J152-J153</f>
        <v/>
      </c>
      <c r="K169" s="59">
        <f>K151+K152-K153</f>
        <v/>
      </c>
      <c r="L169" s="59">
        <f>L151+L152-L153</f>
        <v/>
      </c>
      <c r="M169" s="59">
        <f>M151+M152-M153</f>
        <v/>
      </c>
      <c r="N169" s="59">
        <f>N151+N152-N153</f>
        <v/>
      </c>
      <c r="O169" s="59">
        <f>O151+O152-O153</f>
        <v/>
      </c>
      <c r="P169" s="59">
        <f>P151+P152-P153</f>
        <v/>
      </c>
      <c r="Q169" s="59">
        <f>Q151+Q152-Q153</f>
        <v/>
      </c>
      <c r="R169" s="59">
        <f>R151+R152-R153</f>
        <v/>
      </c>
      <c r="S169" s="59">
        <f>S151+S152-S153</f>
        <v/>
      </c>
      <c r="T169" s="59">
        <f>T151+T152-T153</f>
        <v/>
      </c>
      <c r="U169" s="59">
        <f>U151+U152-U153</f>
        <v/>
      </c>
      <c r="V169" s="59">
        <f>V151+V152-V153</f>
        <v/>
      </c>
      <c r="W169" s="59">
        <f>W151+W152-W153</f>
        <v/>
      </c>
      <c r="X169" s="59">
        <f>X151+X152-X153</f>
        <v/>
      </c>
      <c r="Y169" s="59">
        <f>Y151+Y152-Y153</f>
        <v/>
      </c>
      <c r="Z169" s="59">
        <f>Z151+Z152-Z153</f>
        <v/>
      </c>
      <c r="AA169" s="59">
        <f>AA151+AA152-AA153</f>
        <v/>
      </c>
      <c r="AB169" s="59">
        <f>AB151+AB152-AB153</f>
        <v/>
      </c>
      <c r="AC169" s="59">
        <f>AC151+AC152-AC153</f>
        <v/>
      </c>
      <c r="AD169" s="59">
        <f>AD151+AD152-AD153</f>
        <v/>
      </c>
      <c r="AE169" s="59">
        <f>AE151+AE152-AE153</f>
        <v/>
      </c>
    </row>
    <row r="170">
      <c r="A170" s="6" t="inlineStr">
        <is>
          <t>CHECK: custody &gt;= collateral-eligible (must be &gt;= 0)</t>
        </is>
      </c>
      <c r="B170" s="23" t="inlineStr">
        <is>
          <t>grams</t>
        </is>
      </c>
      <c r="C170" s="59">
        <f>C157-C156</f>
        <v/>
      </c>
      <c r="D170" s="59">
        <f>D157-D156</f>
        <v/>
      </c>
      <c r="E170" s="59">
        <f>E157-E156</f>
        <v/>
      </c>
      <c r="F170" s="59">
        <f>F157-F156</f>
        <v/>
      </c>
      <c r="G170" s="59">
        <f>G157-G156</f>
        <v/>
      </c>
      <c r="H170" s="59">
        <f>H157-H156</f>
        <v/>
      </c>
      <c r="I170" s="59">
        <f>I157-I156</f>
        <v/>
      </c>
      <c r="J170" s="59">
        <f>J157-J156</f>
        <v/>
      </c>
      <c r="K170" s="59">
        <f>K157-K156</f>
        <v/>
      </c>
      <c r="L170" s="59">
        <f>L157-L156</f>
        <v/>
      </c>
      <c r="M170" s="59">
        <f>M157-M156</f>
        <v/>
      </c>
      <c r="N170" s="59">
        <f>N157-N156</f>
        <v/>
      </c>
      <c r="O170" s="59">
        <f>O157-O156</f>
        <v/>
      </c>
      <c r="P170" s="59">
        <f>P157-P156</f>
        <v/>
      </c>
      <c r="Q170" s="59">
        <f>Q157-Q156</f>
        <v/>
      </c>
      <c r="R170" s="59">
        <f>R157-R156</f>
        <v/>
      </c>
      <c r="S170" s="59">
        <f>S157-S156</f>
        <v/>
      </c>
      <c r="T170" s="59">
        <f>T157-T156</f>
        <v/>
      </c>
      <c r="U170" s="59">
        <f>U157-U156</f>
        <v/>
      </c>
      <c r="V170" s="59">
        <f>V157-V156</f>
        <v/>
      </c>
      <c r="W170" s="59">
        <f>W157-W156</f>
        <v/>
      </c>
      <c r="X170" s="59">
        <f>X157-X156</f>
        <v/>
      </c>
      <c r="Y170" s="59">
        <f>Y157-Y156</f>
        <v/>
      </c>
      <c r="Z170" s="59">
        <f>Z157-Z156</f>
        <v/>
      </c>
      <c r="AA170" s="59">
        <f>AA157-AA156</f>
        <v/>
      </c>
      <c r="AB170" s="59">
        <f>AB157-AB156</f>
        <v/>
      </c>
      <c r="AC170" s="59">
        <f>AC157-AC156</f>
        <v/>
      </c>
      <c r="AD170" s="59">
        <f>AD157-AD156</f>
        <v/>
      </c>
      <c r="AE170" s="59">
        <f>AE157-AE156</f>
        <v/>
      </c>
    </row>
    <row r="171">
      <c r="A171" s="6" t="inlineStr">
        <is>
          <t xml:space="preserve">  Collateral-eligible AUM per paying customer (memo)</t>
        </is>
      </c>
      <c r="B171" s="23" t="inlineStr">
        <is>
          <t>USD</t>
        </is>
      </c>
      <c r="C171" s="55">
        <f>IF(C151=0,0,C159/C151)</f>
        <v/>
      </c>
      <c r="D171" s="55">
        <f>IF(D151=0,0,D159/D151)</f>
        <v/>
      </c>
      <c r="E171" s="55">
        <f>IF(E151=0,0,E159/E151)</f>
        <v/>
      </c>
      <c r="F171" s="55">
        <f>IF(F151=0,0,F159/F151)</f>
        <v/>
      </c>
      <c r="G171" s="55">
        <f>IF(G151=0,0,G159/G151)</f>
        <v/>
      </c>
      <c r="H171" s="55">
        <f>IF(H151=0,0,H159/H151)</f>
        <v/>
      </c>
      <c r="I171" s="55">
        <f>IF(I151=0,0,I159/I151)</f>
        <v/>
      </c>
      <c r="J171" s="55">
        <f>IF(J151=0,0,J159/J151)</f>
        <v/>
      </c>
      <c r="K171" s="55">
        <f>IF(K151=0,0,K159/K151)</f>
        <v/>
      </c>
      <c r="L171" s="55">
        <f>IF(L151=0,0,L159/L151)</f>
        <v/>
      </c>
      <c r="M171" s="55">
        <f>IF(M151=0,0,M159/M151)</f>
        <v/>
      </c>
      <c r="N171" s="55">
        <f>IF(N151=0,0,N159/N151)</f>
        <v/>
      </c>
      <c r="O171" s="55">
        <f>IF(O151=0,0,O159/O151)</f>
        <v/>
      </c>
      <c r="P171" s="55">
        <f>IF(P151=0,0,P159/P151)</f>
        <v/>
      </c>
      <c r="Q171" s="55">
        <f>IF(Q151=0,0,Q159/Q151)</f>
        <v/>
      </c>
      <c r="R171" s="55">
        <f>IF(R151=0,0,R159/R151)</f>
        <v/>
      </c>
      <c r="S171" s="55">
        <f>IF(S151=0,0,S159/S151)</f>
        <v/>
      </c>
      <c r="T171" s="55">
        <f>IF(T151=0,0,T159/T151)</f>
        <v/>
      </c>
      <c r="U171" s="55">
        <f>IF(U151=0,0,U159/U151)</f>
        <v/>
      </c>
      <c r="V171" s="55">
        <f>IF(V151=0,0,V159/V151)</f>
        <v/>
      </c>
      <c r="W171" s="55">
        <f>IF(W151=0,0,W159/W151)</f>
        <v/>
      </c>
      <c r="X171" s="55">
        <f>IF(X151=0,0,X159/X151)</f>
        <v/>
      </c>
      <c r="Y171" s="55">
        <f>IF(Y151=0,0,Y159/Y151)</f>
        <v/>
      </c>
      <c r="Z171" s="55">
        <f>IF(Z151=0,0,Z159/Z151)</f>
        <v/>
      </c>
      <c r="AA171" s="55">
        <f>IF(AA151=0,0,AA159/AA151)</f>
        <v/>
      </c>
      <c r="AB171" s="55">
        <f>IF(AB151=0,0,AB159/AB151)</f>
        <v/>
      </c>
      <c r="AC171" s="55">
        <f>IF(AC151=0,0,AC159/AC151)</f>
        <v/>
      </c>
      <c r="AD171" s="55">
        <f>IF(AD151=0,0,AD159/AD151)</f>
        <v/>
      </c>
      <c r="AE171" s="55">
        <f>IF(AE151=0,0,AE159/AE151)</f>
        <v/>
      </c>
    </row>
    <row r="172">
      <c r="A172" s="6" t="inlineStr">
        <is>
          <t xml:space="preserve">  Total credit capacity across cardholders (memo)</t>
        </is>
      </c>
      <c r="B172" s="23" t="inlineStr">
        <is>
          <t>USD</t>
        </is>
      </c>
      <c r="C172" s="55">
        <f>C45*C47+C85*C87+C125*C127</f>
        <v/>
      </c>
      <c r="D172" s="55">
        <f>D45*D47+D85*D87+D125*D127</f>
        <v/>
      </c>
      <c r="E172" s="55">
        <f>E45*E47+E85*E87+E125*E127</f>
        <v/>
      </c>
      <c r="F172" s="55">
        <f>F45*F47+F85*F87+F125*F127</f>
        <v/>
      </c>
      <c r="G172" s="55">
        <f>G45*G47+G85*G87+G125*G127</f>
        <v/>
      </c>
      <c r="H172" s="55">
        <f>H45*H47+H85*H87+H125*H127</f>
        <v/>
      </c>
      <c r="I172" s="55">
        <f>I45*I47+I85*I87+I125*I127</f>
        <v/>
      </c>
      <c r="J172" s="55">
        <f>J45*J47+J85*J87+J125*J127</f>
        <v/>
      </c>
      <c r="K172" s="55">
        <f>K45*K47+K85*K87+K125*K127</f>
        <v/>
      </c>
      <c r="L172" s="55">
        <f>L45*L47+L85*L87+L125*L127</f>
        <v/>
      </c>
      <c r="M172" s="55">
        <f>M45*M47+M85*M87+M125*M127</f>
        <v/>
      </c>
      <c r="N172" s="55">
        <f>N45*N47+N85*N87+N125*N127</f>
        <v/>
      </c>
      <c r="O172" s="55">
        <f>O45*O47+O85*O87+O125*O127</f>
        <v/>
      </c>
      <c r="P172" s="55">
        <f>P45*P47+P85*P87+P125*P127</f>
        <v/>
      </c>
      <c r="Q172" s="55">
        <f>Q45*Q47+Q85*Q87+Q125*Q127</f>
        <v/>
      </c>
      <c r="R172" s="55">
        <f>R45*R47+R85*R87+R125*R127</f>
        <v/>
      </c>
      <c r="S172" s="55">
        <f>S45*S47+S85*S87+S125*S127</f>
        <v/>
      </c>
      <c r="T172" s="55">
        <f>T45*T47+T85*T87+T125*T127</f>
        <v/>
      </c>
      <c r="U172" s="55">
        <f>U45*U47+U85*U87+U125*U127</f>
        <v/>
      </c>
      <c r="V172" s="55">
        <f>V45*V47+V85*V87+V125*V127</f>
        <v/>
      </c>
      <c r="W172" s="55">
        <f>W45*W47+W85*W87+W125*W127</f>
        <v/>
      </c>
      <c r="X172" s="55">
        <f>X45*X47+X85*X87+X125*X127</f>
        <v/>
      </c>
      <c r="Y172" s="55">
        <f>Y45*Y47+Y85*Y87+Y125*Y127</f>
        <v/>
      </c>
      <c r="Z172" s="55">
        <f>Z45*Z47+Z85*Z87+Z125*Z127</f>
        <v/>
      </c>
      <c r="AA172" s="55">
        <f>AA45*AA47+AA85*AA87+AA125*AA127</f>
        <v/>
      </c>
      <c r="AB172" s="55">
        <f>AB45*AB47+AB85*AB87+AB125*AB127</f>
        <v/>
      </c>
      <c r="AC172" s="55">
        <f>AC45*AC47+AC85*AC87+AC125*AC127</f>
        <v/>
      </c>
      <c r="AD172" s="55">
        <f>AD45*AD47+AD85*AD87+AD125*AD127</f>
        <v/>
      </c>
      <c r="AE172" s="55">
        <f>AE45*AE47+AE85*AE87+AE125*AE127</f>
        <v/>
      </c>
    </row>
    <row r="173">
      <c r="A173" s="6" t="inlineStr">
        <is>
          <t xml:space="preserve">  CHECK: card spend vs credit capacity (must be &lt;= 1.00)</t>
        </is>
      </c>
      <c r="B173" s="23" t="inlineStr">
        <is>
          <t>x</t>
        </is>
      </c>
      <c r="C173" s="60">
        <f>IF(C172=0,0,((C51+C91+C131)/C7)/C172)</f>
        <v/>
      </c>
      <c r="D173" s="60">
        <f>IF(D172=0,0,((D51+D91+D131)/D7)/D172)</f>
        <v/>
      </c>
      <c r="E173" s="60">
        <f>IF(E172=0,0,((E51+E91+E131)/E7)/E172)</f>
        <v/>
      </c>
      <c r="F173" s="60">
        <f>IF(F172=0,0,((F51+F91+F131)/F7)/F172)</f>
        <v/>
      </c>
      <c r="G173" s="60">
        <f>IF(G172=0,0,((G51+G91+G131)/G7)/G172)</f>
        <v/>
      </c>
      <c r="H173" s="60">
        <f>IF(H172=0,0,((H51+H91+H131)/H7)/H172)</f>
        <v/>
      </c>
      <c r="I173" s="60">
        <f>IF(I172=0,0,((I51+I91+I131)/I7)/I172)</f>
        <v/>
      </c>
      <c r="J173" s="60">
        <f>IF(J172=0,0,((J51+J91+J131)/J7)/J172)</f>
        <v/>
      </c>
      <c r="K173" s="60">
        <f>IF(K172=0,0,((K51+K91+K131)/K7)/K172)</f>
        <v/>
      </c>
      <c r="L173" s="60">
        <f>IF(L172=0,0,((L51+L91+L131)/L7)/L172)</f>
        <v/>
      </c>
      <c r="M173" s="60">
        <f>IF(M172=0,0,((M51+M91+M131)/M7)/M172)</f>
        <v/>
      </c>
      <c r="N173" s="60">
        <f>IF(N172=0,0,((N51+N91+N131)/N7)/N172)</f>
        <v/>
      </c>
      <c r="O173" s="60">
        <f>IF(O172=0,0,((O51+O91+O131)/O7)/O172)</f>
        <v/>
      </c>
      <c r="P173" s="60">
        <f>IF(P172=0,0,((P51+P91+P131)/P7)/P172)</f>
        <v/>
      </c>
      <c r="Q173" s="60">
        <f>IF(Q172=0,0,((Q51+Q91+Q131)/Q7)/Q172)</f>
        <v/>
      </c>
      <c r="R173" s="60">
        <f>IF(R172=0,0,((R51+R91+R131)/R7)/R172)</f>
        <v/>
      </c>
      <c r="S173" s="60">
        <f>IF(S172=0,0,((S51+S91+S131)/S7)/S172)</f>
        <v/>
      </c>
      <c r="T173" s="60">
        <f>IF(T172=0,0,((T51+T91+T131)/T7)/T172)</f>
        <v/>
      </c>
      <c r="U173" s="60">
        <f>IF(U172=0,0,((U51+U91+U131)/U7)/U172)</f>
        <v/>
      </c>
      <c r="V173" s="60">
        <f>IF(V172=0,0,((V51+V91+V131)/V7)/V172)</f>
        <v/>
      </c>
      <c r="W173" s="60">
        <f>IF(W172=0,0,((W51+W91+W131)/W7)/W172)</f>
        <v/>
      </c>
      <c r="X173" s="60">
        <f>IF(X172=0,0,((X51+X91+X131)/X7)/X172)</f>
        <v/>
      </c>
      <c r="Y173" s="60">
        <f>IF(Y172=0,0,((Y51+Y91+Y131)/Y7)/Y172)</f>
        <v/>
      </c>
      <c r="Z173" s="60">
        <f>IF(Z172=0,0,((Z51+Z91+Z131)/Z7)/Z172)</f>
        <v/>
      </c>
      <c r="AA173" s="60">
        <f>IF(AA172=0,0,((AA51+AA91+AA131)/AA7)/AA172)</f>
        <v/>
      </c>
      <c r="AB173" s="60">
        <f>IF(AB172=0,0,((AB51+AB91+AB131)/AB7)/AB172)</f>
        <v/>
      </c>
      <c r="AC173" s="60">
        <f>IF(AC172=0,0,((AC51+AC91+AC131)/AC7)/AC172)</f>
        <v/>
      </c>
      <c r="AD173" s="60">
        <f>IF(AD172=0,0,((AD51+AD91+AD131)/AD7)/AD172)</f>
        <v/>
      </c>
      <c r="AE173" s="60">
        <f>IF(AE172=0,0,((AE51+AE91+AE131)/AE7)/AE172)</f>
        <v/>
      </c>
    </row>
    <row r="175">
      <c r="A175" s="6" t="inlineStr">
        <is>
          <t>Stream 1a - Entry fee, SIP</t>
        </is>
      </c>
      <c r="B175" s="23" t="inlineStr">
        <is>
          <t>USD</t>
        </is>
      </c>
      <c r="C175" s="55">
        <f>C54+C94+C134</f>
        <v/>
      </c>
      <c r="D175" s="55">
        <f>D54+D94+D134</f>
        <v/>
      </c>
      <c r="E175" s="55">
        <f>E54+E94+E134</f>
        <v/>
      </c>
      <c r="F175" s="55">
        <f>F54+F94+F134</f>
        <v/>
      </c>
      <c r="G175" s="55">
        <f>G54+G94+G134</f>
        <v/>
      </c>
      <c r="H175" s="55">
        <f>H54+H94+H134</f>
        <v/>
      </c>
      <c r="I175" s="55">
        <f>I54+I94+I134</f>
        <v/>
      </c>
      <c r="J175" s="55">
        <f>J54+J94+J134</f>
        <v/>
      </c>
      <c r="K175" s="55">
        <f>K54+K94+K134</f>
        <v/>
      </c>
      <c r="L175" s="55">
        <f>L54+L94+L134</f>
        <v/>
      </c>
      <c r="M175" s="55">
        <f>M54+M94+M134</f>
        <v/>
      </c>
      <c r="N175" s="55">
        <f>N54+N94+N134</f>
        <v/>
      </c>
      <c r="O175" s="55">
        <f>O54+O94+O134</f>
        <v/>
      </c>
      <c r="P175" s="55">
        <f>P54+P94+P134</f>
        <v/>
      </c>
      <c r="Q175" s="55">
        <f>Q54+Q94+Q134</f>
        <v/>
      </c>
      <c r="R175" s="55">
        <f>R54+R94+R134</f>
        <v/>
      </c>
      <c r="S175" s="55">
        <f>S54+S94+S134</f>
        <v/>
      </c>
      <c r="T175" s="55">
        <f>T54+T94+T134</f>
        <v/>
      </c>
      <c r="U175" s="55">
        <f>U54+U94+U134</f>
        <v/>
      </c>
      <c r="V175" s="55">
        <f>V54+V94+V134</f>
        <v/>
      </c>
      <c r="W175" s="55">
        <f>W54+W94+W134</f>
        <v/>
      </c>
      <c r="X175" s="55">
        <f>X54+X94+X134</f>
        <v/>
      </c>
      <c r="Y175" s="55">
        <f>Y54+Y94+Y134</f>
        <v/>
      </c>
      <c r="Z175" s="55">
        <f>Z54+Z94+Z134</f>
        <v/>
      </c>
      <c r="AA175" s="55">
        <f>AA54+AA94+AA134</f>
        <v/>
      </c>
      <c r="AB175" s="55">
        <f>AB54+AB94+AB134</f>
        <v/>
      </c>
      <c r="AC175" s="55">
        <f>AC54+AC94+AC134</f>
        <v/>
      </c>
      <c r="AD175" s="55">
        <f>AD54+AD94+AD134</f>
        <v/>
      </c>
      <c r="AE175" s="55">
        <f>AE54+AE94+AE134</f>
        <v/>
      </c>
    </row>
    <row r="176">
      <c r="A176" s="6" t="inlineStr">
        <is>
          <t>Stream 1b - Entry fee, SPOT</t>
        </is>
      </c>
      <c r="B176" s="23" t="inlineStr">
        <is>
          <t>USD</t>
        </is>
      </c>
      <c r="C176" s="55">
        <f>C55+C95+C135</f>
        <v/>
      </c>
      <c r="D176" s="55">
        <f>D55+D95+D135</f>
        <v/>
      </c>
      <c r="E176" s="55">
        <f>E55+E95+E135</f>
        <v/>
      </c>
      <c r="F176" s="55">
        <f>F55+F95+F135</f>
        <v/>
      </c>
      <c r="G176" s="55">
        <f>G55+G95+G135</f>
        <v/>
      </c>
      <c r="H176" s="55">
        <f>H55+H95+H135</f>
        <v/>
      </c>
      <c r="I176" s="55">
        <f>I55+I95+I135</f>
        <v/>
      </c>
      <c r="J176" s="55">
        <f>J55+J95+J135</f>
        <v/>
      </c>
      <c r="K176" s="55">
        <f>K55+K95+K135</f>
        <v/>
      </c>
      <c r="L176" s="55">
        <f>L55+L95+L135</f>
        <v/>
      </c>
      <c r="M176" s="55">
        <f>M55+M95+M135</f>
        <v/>
      </c>
      <c r="N176" s="55">
        <f>N55+N95+N135</f>
        <v/>
      </c>
      <c r="O176" s="55">
        <f>O55+O95+O135</f>
        <v/>
      </c>
      <c r="P176" s="55">
        <f>P55+P95+P135</f>
        <v/>
      </c>
      <c r="Q176" s="55">
        <f>Q55+Q95+Q135</f>
        <v/>
      </c>
      <c r="R176" s="55">
        <f>R55+R95+R135</f>
        <v/>
      </c>
      <c r="S176" s="55">
        <f>S55+S95+S135</f>
        <v/>
      </c>
      <c r="T176" s="55">
        <f>T55+T95+T135</f>
        <v/>
      </c>
      <c r="U176" s="55">
        <f>U55+U95+U135</f>
        <v/>
      </c>
      <c r="V176" s="55">
        <f>V55+V95+V135</f>
        <v/>
      </c>
      <c r="W176" s="55">
        <f>W55+W95+W135</f>
        <v/>
      </c>
      <c r="X176" s="55">
        <f>X55+X95+X135</f>
        <v/>
      </c>
      <c r="Y176" s="55">
        <f>Y55+Y95+Y135</f>
        <v/>
      </c>
      <c r="Z176" s="55">
        <f>Z55+Z95+Z135</f>
        <v/>
      </c>
      <c r="AA176" s="55">
        <f>AA55+AA95+AA135</f>
        <v/>
      </c>
      <c r="AB176" s="55">
        <f>AB55+AB95+AB135</f>
        <v/>
      </c>
      <c r="AC176" s="55">
        <f>AC55+AC95+AC135</f>
        <v/>
      </c>
      <c r="AD176" s="55">
        <f>AD55+AD95+AD135</f>
        <v/>
      </c>
      <c r="AE176" s="55">
        <f>AE55+AE95+AE135</f>
        <v/>
      </c>
    </row>
    <row r="177">
      <c r="A177" s="6" t="inlineStr">
        <is>
          <t>Stream 2 - Card interchange</t>
        </is>
      </c>
      <c r="B177" s="23" t="inlineStr">
        <is>
          <t>USD</t>
        </is>
      </c>
      <c r="C177" s="55">
        <f>C56+C96+C136</f>
        <v/>
      </c>
      <c r="D177" s="55">
        <f>D56+D96+D136</f>
        <v/>
      </c>
      <c r="E177" s="55">
        <f>E56+E96+E136</f>
        <v/>
      </c>
      <c r="F177" s="55">
        <f>F56+F96+F136</f>
        <v/>
      </c>
      <c r="G177" s="55">
        <f>G56+G96+G136</f>
        <v/>
      </c>
      <c r="H177" s="55">
        <f>H56+H96+H136</f>
        <v/>
      </c>
      <c r="I177" s="55">
        <f>I56+I96+I136</f>
        <v/>
      </c>
      <c r="J177" s="55">
        <f>J56+J96+J136</f>
        <v/>
      </c>
      <c r="K177" s="55">
        <f>K56+K96+K136</f>
        <v/>
      </c>
      <c r="L177" s="55">
        <f>L56+L96+L136</f>
        <v/>
      </c>
      <c r="M177" s="55">
        <f>M56+M96+M136</f>
        <v/>
      </c>
      <c r="N177" s="55">
        <f>N56+N96+N136</f>
        <v/>
      </c>
      <c r="O177" s="55">
        <f>O56+O96+O136</f>
        <v/>
      </c>
      <c r="P177" s="55">
        <f>P56+P96+P136</f>
        <v/>
      </c>
      <c r="Q177" s="55">
        <f>Q56+Q96+Q136</f>
        <v/>
      </c>
      <c r="R177" s="55">
        <f>R56+R96+R136</f>
        <v/>
      </c>
      <c r="S177" s="55">
        <f>S56+S96+S136</f>
        <v/>
      </c>
      <c r="T177" s="55">
        <f>T56+T96+T136</f>
        <v/>
      </c>
      <c r="U177" s="55">
        <f>U56+U96+U136</f>
        <v/>
      </c>
      <c r="V177" s="55">
        <f>V56+V96+V136</f>
        <v/>
      </c>
      <c r="W177" s="55">
        <f>W56+W96+W136</f>
        <v/>
      </c>
      <c r="X177" s="55">
        <f>X56+X96+X136</f>
        <v/>
      </c>
      <c r="Y177" s="55">
        <f>Y56+Y96+Y136</f>
        <v/>
      </c>
      <c r="Z177" s="55">
        <f>Z56+Z96+Z136</f>
        <v/>
      </c>
      <c r="AA177" s="55">
        <f>AA56+AA96+AA136</f>
        <v/>
      </c>
      <c r="AB177" s="55">
        <f>AB56+AB96+AB136</f>
        <v/>
      </c>
      <c r="AC177" s="55">
        <f>AC56+AC96+AC136</f>
        <v/>
      </c>
      <c r="AD177" s="55">
        <f>AD56+AD96+AD136</f>
        <v/>
      </c>
      <c r="AE177" s="55">
        <f>AE56+AE96+AE136</f>
        <v/>
      </c>
    </row>
    <row r="178">
      <c r="A178" s="6" t="inlineStr">
        <is>
          <t>Stream 3 - Family plan and Digital Will</t>
        </is>
      </c>
      <c r="B178" s="23" t="inlineStr">
        <is>
          <t>USD</t>
        </is>
      </c>
      <c r="C178" s="55">
        <f>C58+C98+C138</f>
        <v/>
      </c>
      <c r="D178" s="55">
        <f>D58+D98+D138</f>
        <v/>
      </c>
      <c r="E178" s="55">
        <f>E58+E98+E138</f>
        <v/>
      </c>
      <c r="F178" s="55">
        <f>F58+F98+F138</f>
        <v/>
      </c>
      <c r="G178" s="55">
        <f>G58+G98+G138</f>
        <v/>
      </c>
      <c r="H178" s="55">
        <f>H58+H98+H138</f>
        <v/>
      </c>
      <c r="I178" s="55">
        <f>I58+I98+I138</f>
        <v/>
      </c>
      <c r="J178" s="55">
        <f>J58+J98+J138</f>
        <v/>
      </c>
      <c r="K178" s="55">
        <f>K58+K98+K138</f>
        <v/>
      </c>
      <c r="L178" s="55">
        <f>L58+L98+L138</f>
        <v/>
      </c>
      <c r="M178" s="55">
        <f>M58+M98+M138</f>
        <v/>
      </c>
      <c r="N178" s="55">
        <f>N58+N98+N138</f>
        <v/>
      </c>
      <c r="O178" s="55">
        <f>O58+O98+O138</f>
        <v/>
      </c>
      <c r="P178" s="55">
        <f>P58+P98+P138</f>
        <v/>
      </c>
      <c r="Q178" s="55">
        <f>Q58+Q98+Q138</f>
        <v/>
      </c>
      <c r="R178" s="55">
        <f>R58+R98+R138</f>
        <v/>
      </c>
      <c r="S178" s="55">
        <f>S58+S98+S138</f>
        <v/>
      </c>
      <c r="T178" s="55">
        <f>T58+T98+T138</f>
        <v/>
      </c>
      <c r="U178" s="55">
        <f>U58+U98+U138</f>
        <v/>
      </c>
      <c r="V178" s="55">
        <f>V58+V98+V138</f>
        <v/>
      </c>
      <c r="W178" s="55">
        <f>W58+W98+W138</f>
        <v/>
      </c>
      <c r="X178" s="55">
        <f>X58+X98+X138</f>
        <v/>
      </c>
      <c r="Y178" s="55">
        <f>Y58+Y98+Y138</f>
        <v/>
      </c>
      <c r="Z178" s="55">
        <f>Z58+Z98+Z138</f>
        <v/>
      </c>
      <c r="AA178" s="55">
        <f>AA58+AA98+AA138</f>
        <v/>
      </c>
      <c r="AB178" s="55">
        <f>AB58+AB98+AB138</f>
        <v/>
      </c>
      <c r="AC178" s="55">
        <f>AC58+AC98+AC138</f>
        <v/>
      </c>
      <c r="AD178" s="55">
        <f>AD58+AD98+AD138</f>
        <v/>
      </c>
      <c r="AE178" s="55">
        <f>AE58+AE98+AE138</f>
        <v/>
      </c>
    </row>
    <row r="179">
      <c r="A179" s="6" t="inlineStr">
        <is>
          <t>Stream 4 - Cardholder fees</t>
        </is>
      </c>
      <c r="B179" s="23" t="inlineStr">
        <is>
          <t>USD</t>
        </is>
      </c>
      <c r="C179" s="55">
        <f>C59+C99+C139</f>
        <v/>
      </c>
      <c r="D179" s="55">
        <f>D59+D99+D139</f>
        <v/>
      </c>
      <c r="E179" s="55">
        <f>E59+E99+E139</f>
        <v/>
      </c>
      <c r="F179" s="55">
        <f>F59+F99+F139</f>
        <v/>
      </c>
      <c r="G179" s="55">
        <f>G59+G99+G139</f>
        <v/>
      </c>
      <c r="H179" s="55">
        <f>H59+H99+H139</f>
        <v/>
      </c>
      <c r="I179" s="55">
        <f>I59+I99+I139</f>
        <v/>
      </c>
      <c r="J179" s="55">
        <f>J59+J99+J139</f>
        <v/>
      </c>
      <c r="K179" s="55">
        <f>K59+K99+K139</f>
        <v/>
      </c>
      <c r="L179" s="55">
        <f>L59+L99+L139</f>
        <v/>
      </c>
      <c r="M179" s="55">
        <f>M59+M99+M139</f>
        <v/>
      </c>
      <c r="N179" s="55">
        <f>N59+N99+N139</f>
        <v/>
      </c>
      <c r="O179" s="55">
        <f>O59+O99+O139</f>
        <v/>
      </c>
      <c r="P179" s="55">
        <f>P59+P99+P139</f>
        <v/>
      </c>
      <c r="Q179" s="55">
        <f>Q59+Q99+Q139</f>
        <v/>
      </c>
      <c r="R179" s="55">
        <f>R59+R99+R139</f>
        <v/>
      </c>
      <c r="S179" s="55">
        <f>S59+S99+S139</f>
        <v/>
      </c>
      <c r="T179" s="55">
        <f>T59+T99+T139</f>
        <v/>
      </c>
      <c r="U179" s="55">
        <f>U59+U99+U139</f>
        <v/>
      </c>
      <c r="V179" s="55">
        <f>V59+V99+V139</f>
        <v/>
      </c>
      <c r="W179" s="55">
        <f>W59+W99+W139</f>
        <v/>
      </c>
      <c r="X179" s="55">
        <f>X59+X99+X139</f>
        <v/>
      </c>
      <c r="Y179" s="55">
        <f>Y59+Y99+Y139</f>
        <v/>
      </c>
      <c r="Z179" s="55">
        <f>Z59+Z99+Z139</f>
        <v/>
      </c>
      <c r="AA179" s="55">
        <f>AA59+AA99+AA139</f>
        <v/>
      </c>
      <c r="AB179" s="55">
        <f>AB59+AB99+AB139</f>
        <v/>
      </c>
      <c r="AC179" s="55">
        <f>AC59+AC99+AC139</f>
        <v/>
      </c>
      <c r="AD179" s="55">
        <f>AD59+AD99+AD139</f>
        <v/>
      </c>
      <c r="AE179" s="55">
        <f>AE59+AE99+AE139</f>
        <v/>
      </c>
    </row>
    <row r="180">
      <c r="A180" s="6" t="inlineStr">
        <is>
          <t>Stream 5 - Lending revenue share</t>
        </is>
      </c>
      <c r="B180" s="23" t="inlineStr">
        <is>
          <t>USD</t>
        </is>
      </c>
      <c r="C180" s="55">
        <f>C61+C101+C141</f>
        <v/>
      </c>
      <c r="D180" s="55">
        <f>D61+D101+D141</f>
        <v/>
      </c>
      <c r="E180" s="55">
        <f>E61+E101+E141</f>
        <v/>
      </c>
      <c r="F180" s="55">
        <f>F61+F101+F141</f>
        <v/>
      </c>
      <c r="G180" s="55">
        <f>G61+G101+G141</f>
        <v/>
      </c>
      <c r="H180" s="55">
        <f>H61+H101+H141</f>
        <v/>
      </c>
      <c r="I180" s="55">
        <f>I61+I101+I141</f>
        <v/>
      </c>
      <c r="J180" s="55">
        <f>J61+J101+J141</f>
        <v/>
      </c>
      <c r="K180" s="55">
        <f>K61+K101+K141</f>
        <v/>
      </c>
      <c r="L180" s="55">
        <f>L61+L101+L141</f>
        <v/>
      </c>
      <c r="M180" s="55">
        <f>M61+M101+M141</f>
        <v/>
      </c>
      <c r="N180" s="55">
        <f>N61+N101+N141</f>
        <v/>
      </c>
      <c r="O180" s="55">
        <f>O61+O101+O141</f>
        <v/>
      </c>
      <c r="P180" s="55">
        <f>P61+P101+P141</f>
        <v/>
      </c>
      <c r="Q180" s="55">
        <f>Q61+Q101+Q141</f>
        <v/>
      </c>
      <c r="R180" s="55">
        <f>R61+R101+R141</f>
        <v/>
      </c>
      <c r="S180" s="55">
        <f>S61+S101+S141</f>
        <v/>
      </c>
      <c r="T180" s="55">
        <f>T61+T101+T141</f>
        <v/>
      </c>
      <c r="U180" s="55">
        <f>U61+U101+U141</f>
        <v/>
      </c>
      <c r="V180" s="55">
        <f>V61+V101+V141</f>
        <v/>
      </c>
      <c r="W180" s="55">
        <f>W61+W101+W141</f>
        <v/>
      </c>
      <c r="X180" s="55">
        <f>X61+X101+X141</f>
        <v/>
      </c>
      <c r="Y180" s="55">
        <f>Y61+Y101+Y141</f>
        <v/>
      </c>
      <c r="Z180" s="55">
        <f>Z61+Z101+Z141</f>
        <v/>
      </c>
      <c r="AA180" s="55">
        <f>AA61+AA101+AA141</f>
        <v/>
      </c>
      <c r="AB180" s="55">
        <f>AB61+AB101+AB141</f>
        <v/>
      </c>
      <c r="AC180" s="55">
        <f>AC61+AC101+AC141</f>
        <v/>
      </c>
      <c r="AD180" s="55">
        <f>AD61+AD101+AD141</f>
        <v/>
      </c>
      <c r="AE180" s="55">
        <f>AE61+AE101+AE141</f>
        <v/>
      </c>
    </row>
    <row r="181">
      <c r="A181" s="6" t="inlineStr">
        <is>
          <t>Redemption events (memo - drives cost, not revenue)</t>
        </is>
      </c>
      <c r="B181" s="23" t="inlineStr">
        <is>
          <t>events</t>
        </is>
      </c>
      <c r="C181" s="45">
        <f>C62+C102+C142</f>
        <v/>
      </c>
      <c r="D181" s="45">
        <f>D62+D102+D142</f>
        <v/>
      </c>
      <c r="E181" s="45">
        <f>E62+E102+E142</f>
        <v/>
      </c>
      <c r="F181" s="45">
        <f>F62+F102+F142</f>
        <v/>
      </c>
      <c r="G181" s="45">
        <f>G62+G102+G142</f>
        <v/>
      </c>
      <c r="H181" s="45">
        <f>H62+H102+H142</f>
        <v/>
      </c>
      <c r="I181" s="45">
        <f>I62+I102+I142</f>
        <v/>
      </c>
      <c r="J181" s="45">
        <f>J62+J102+J142</f>
        <v/>
      </c>
      <c r="K181" s="45">
        <f>K62+K102+K142</f>
        <v/>
      </c>
      <c r="L181" s="45">
        <f>L62+L102+L142</f>
        <v/>
      </c>
      <c r="M181" s="45">
        <f>M62+M102+M142</f>
        <v/>
      </c>
      <c r="N181" s="45">
        <f>N62+N102+N142</f>
        <v/>
      </c>
      <c r="O181" s="45">
        <f>O62+O102+O142</f>
        <v/>
      </c>
      <c r="P181" s="45">
        <f>P62+P102+P142</f>
        <v/>
      </c>
      <c r="Q181" s="45">
        <f>Q62+Q102+Q142</f>
        <v/>
      </c>
      <c r="R181" s="45">
        <f>R62+R102+R142</f>
        <v/>
      </c>
      <c r="S181" s="45">
        <f>S62+S102+S142</f>
        <v/>
      </c>
      <c r="T181" s="45">
        <f>T62+T102+T142</f>
        <v/>
      </c>
      <c r="U181" s="45">
        <f>U62+U102+U142</f>
        <v/>
      </c>
      <c r="V181" s="45">
        <f>V62+V102+V142</f>
        <v/>
      </c>
      <c r="W181" s="45">
        <f>W62+W102+W142</f>
        <v/>
      </c>
      <c r="X181" s="45">
        <f>X62+X102+X142</f>
        <v/>
      </c>
      <c r="Y181" s="45">
        <f>Y62+Y102+Y142</f>
        <v/>
      </c>
      <c r="Z181" s="45">
        <f>Z62+Z102+Z142</f>
        <v/>
      </c>
      <c r="AA181" s="45">
        <f>AA62+AA102+AA142</f>
        <v/>
      </c>
      <c r="AB181" s="45">
        <f>AB62+AB102+AB142</f>
        <v/>
      </c>
      <c r="AC181" s="45">
        <f>AC62+AC102+AC142</f>
        <v/>
      </c>
      <c r="AD181" s="45">
        <f>AD62+AD102+AD142</f>
        <v/>
      </c>
      <c r="AE181" s="45">
        <f>AE62+AE102+AE142</f>
        <v/>
      </c>
    </row>
    <row r="182">
      <c r="A182" s="6" t="inlineStr">
        <is>
          <t>Card authorisations (memo - drives cost, not revenue)</t>
        </is>
      </c>
      <c r="B182" s="23" t="inlineStr">
        <is>
          <t>events</t>
        </is>
      </c>
      <c r="C182" s="45">
        <f>C53+C93+C133</f>
        <v/>
      </c>
      <c r="D182" s="45">
        <f>D53+D93+D133</f>
        <v/>
      </c>
      <c r="E182" s="45">
        <f>E53+E93+E133</f>
        <v/>
      </c>
      <c r="F182" s="45">
        <f>F53+F93+F133</f>
        <v/>
      </c>
      <c r="G182" s="45">
        <f>G53+G93+G133</f>
        <v/>
      </c>
      <c r="H182" s="45">
        <f>H53+H93+H133</f>
        <v/>
      </c>
      <c r="I182" s="45">
        <f>I53+I93+I133</f>
        <v/>
      </c>
      <c r="J182" s="45">
        <f>J53+J93+J133</f>
        <v/>
      </c>
      <c r="K182" s="45">
        <f>K53+K93+K133</f>
        <v/>
      </c>
      <c r="L182" s="45">
        <f>L53+L93+L133</f>
        <v/>
      </c>
      <c r="M182" s="45">
        <f>M53+M93+M133</f>
        <v/>
      </c>
      <c r="N182" s="45">
        <f>N53+N93+N133</f>
        <v/>
      </c>
      <c r="O182" s="45">
        <f>O53+O93+O133</f>
        <v/>
      </c>
      <c r="P182" s="45">
        <f>P53+P93+P133</f>
        <v/>
      </c>
      <c r="Q182" s="45">
        <f>Q53+Q93+Q133</f>
        <v/>
      </c>
      <c r="R182" s="45">
        <f>R53+R93+R133</f>
        <v/>
      </c>
      <c r="S182" s="45">
        <f>S53+S93+S133</f>
        <v/>
      </c>
      <c r="T182" s="45">
        <f>T53+T93+T133</f>
        <v/>
      </c>
      <c r="U182" s="45">
        <f>U53+U93+U133</f>
        <v/>
      </c>
      <c r="V182" s="45">
        <f>V53+V93+V133</f>
        <v/>
      </c>
      <c r="W182" s="45">
        <f>W53+W93+W133</f>
        <v/>
      </c>
      <c r="X182" s="45">
        <f>X53+X93+X133</f>
        <v/>
      </c>
      <c r="Y182" s="45">
        <f>Y53+Y93+Y133</f>
        <v/>
      </c>
      <c r="Z182" s="45">
        <f>Z53+Z93+Z133</f>
        <v/>
      </c>
      <c r="AA182" s="45">
        <f>AA53+AA93+AA133</f>
        <v/>
      </c>
      <c r="AB182" s="45">
        <f>AB53+AB93+AB133</f>
        <v/>
      </c>
      <c r="AC182" s="45">
        <f>AC53+AC93+AC133</f>
        <v/>
      </c>
      <c r="AD182" s="45">
        <f>AD53+AD93+AD133</f>
        <v/>
      </c>
      <c r="AE182" s="45">
        <f>AE53+AE93+AE133</f>
        <v/>
      </c>
    </row>
    <row r="183">
      <c r="A183" s="3" t="inlineStr">
        <is>
          <t>TOTAL NET REVENUE</t>
        </is>
      </c>
      <c r="B183" s="23" t="inlineStr">
        <is>
          <t>USD</t>
        </is>
      </c>
      <c r="C183" s="57">
        <f>C63+C103+C143+C147</f>
        <v/>
      </c>
      <c r="D183" s="57">
        <f>D63+D103+D143+D147</f>
        <v/>
      </c>
      <c r="E183" s="57">
        <f>E63+E103+E143+E147</f>
        <v/>
      </c>
      <c r="F183" s="57">
        <f>F63+F103+F143+F147</f>
        <v/>
      </c>
      <c r="G183" s="57">
        <f>G63+G103+G143+G147</f>
        <v/>
      </c>
      <c r="H183" s="57">
        <f>H63+H103+H143+H147</f>
        <v/>
      </c>
      <c r="I183" s="57">
        <f>I63+I103+I143+I147</f>
        <v/>
      </c>
      <c r="J183" s="57">
        <f>J63+J103+J143+J147</f>
        <v/>
      </c>
      <c r="K183" s="57">
        <f>K63+K103+K143+K147</f>
        <v/>
      </c>
      <c r="L183" s="57">
        <f>L63+L103+L143+L147</f>
        <v/>
      </c>
      <c r="M183" s="57">
        <f>M63+M103+M143+M147</f>
        <v/>
      </c>
      <c r="N183" s="57">
        <f>N63+N103+N143+N147</f>
        <v/>
      </c>
      <c r="O183" s="57">
        <f>O63+O103+O143+O147</f>
        <v/>
      </c>
      <c r="P183" s="57">
        <f>P63+P103+P143+P147</f>
        <v/>
      </c>
      <c r="Q183" s="57">
        <f>Q63+Q103+Q143+Q147</f>
        <v/>
      </c>
      <c r="R183" s="57">
        <f>R63+R103+R143+R147</f>
        <v/>
      </c>
      <c r="S183" s="57">
        <f>S63+S103+S143+S147</f>
        <v/>
      </c>
      <c r="T183" s="57">
        <f>T63+T103+T143+T147</f>
        <v/>
      </c>
      <c r="U183" s="57">
        <f>U63+U103+U143+U147</f>
        <v/>
      </c>
      <c r="V183" s="57">
        <f>V63+V103+V143+V147</f>
        <v/>
      </c>
      <c r="W183" s="57">
        <f>W63+W103+W143+W147</f>
        <v/>
      </c>
      <c r="X183" s="57">
        <f>X63+X103+X143+X147</f>
        <v/>
      </c>
      <c r="Y183" s="57">
        <f>Y63+Y103+Y143+Y147</f>
        <v/>
      </c>
      <c r="Z183" s="57">
        <f>Z63+Z103+Z143+Z147</f>
        <v/>
      </c>
      <c r="AA183" s="57">
        <f>AA63+AA103+AA143+AA147</f>
        <v/>
      </c>
      <c r="AB183" s="57">
        <f>AB63+AB103+AB143+AB147</f>
        <v/>
      </c>
      <c r="AC183" s="57">
        <f>AC63+AC103+AC143+AC147</f>
        <v/>
      </c>
      <c r="AD183" s="57">
        <f>AD63+AD103+AD143+AD147</f>
        <v/>
      </c>
      <c r="AE183" s="57">
        <f>AE63+AE103+AE143+AE147</f>
        <v/>
      </c>
    </row>
    <row r="184">
      <c r="A184" s="6" t="inlineStr">
        <is>
          <t>Net revenue per paying customer (annualised)</t>
        </is>
      </c>
      <c r="B184" s="23" t="inlineStr">
        <is>
          <t>USD</t>
        </is>
      </c>
      <c r="C184" s="55">
        <f>IF(C151=0,0,C183/C151/C7*12)</f>
        <v/>
      </c>
      <c r="D184" s="55">
        <f>IF(D151=0,0,D183/D151/D7*12)</f>
        <v/>
      </c>
      <c r="E184" s="55">
        <f>IF(E151=0,0,E183/E151/E7*12)</f>
        <v/>
      </c>
      <c r="F184" s="55">
        <f>IF(F151=0,0,F183/F151/F7*12)</f>
        <v/>
      </c>
      <c r="G184" s="55">
        <f>IF(G151=0,0,G183/G151/G7*12)</f>
        <v/>
      </c>
      <c r="H184" s="55">
        <f>IF(H151=0,0,H183/H151/H7*12)</f>
        <v/>
      </c>
      <c r="I184" s="55">
        <f>IF(I151=0,0,I183/I151/I7*12)</f>
        <v/>
      </c>
      <c r="J184" s="55">
        <f>IF(J151=0,0,J183/J151/J7*12)</f>
        <v/>
      </c>
      <c r="K184" s="55">
        <f>IF(K151=0,0,K183/K151/K7*12)</f>
        <v/>
      </c>
      <c r="L184" s="55">
        <f>IF(L151=0,0,L183/L151/L7*12)</f>
        <v/>
      </c>
      <c r="M184" s="55">
        <f>IF(M151=0,0,M183/M151/M7*12)</f>
        <v/>
      </c>
      <c r="N184" s="55">
        <f>IF(N151=0,0,N183/N151/N7*12)</f>
        <v/>
      </c>
      <c r="O184" s="55">
        <f>IF(O151=0,0,O183/O151/O7*12)</f>
        <v/>
      </c>
      <c r="P184" s="55">
        <f>IF(P151=0,0,P183/P151/P7*12)</f>
        <v/>
      </c>
      <c r="Q184" s="55">
        <f>IF(Q151=0,0,Q183/Q151/Q7*12)</f>
        <v/>
      </c>
      <c r="R184" s="55">
        <f>IF(R151=0,0,R183/R151/R7*12)</f>
        <v/>
      </c>
      <c r="S184" s="55">
        <f>IF(S151=0,0,S183/S151/S7*12)</f>
        <v/>
      </c>
      <c r="T184" s="55">
        <f>IF(T151=0,0,T183/T151/T7*12)</f>
        <v/>
      </c>
      <c r="U184" s="55">
        <f>IF(U151=0,0,U183/U151/U7*12)</f>
        <v/>
      </c>
      <c r="V184" s="55">
        <f>IF(V151=0,0,V183/V151/V7*12)</f>
        <v/>
      </c>
      <c r="W184" s="55">
        <f>IF(W151=0,0,W183/W151/W7*12)</f>
        <v/>
      </c>
      <c r="X184" s="55">
        <f>IF(X151=0,0,X183/X151/X7*12)</f>
        <v/>
      </c>
      <c r="Y184" s="55">
        <f>IF(Y151=0,0,Y183/Y151/Y7*12)</f>
        <v/>
      </c>
      <c r="Z184" s="55">
        <f>IF(Z151=0,0,Z183/Z151/Z7*12)</f>
        <v/>
      </c>
      <c r="AA184" s="55">
        <f>IF(AA151=0,0,AA183/AA151/AA7*12)</f>
        <v/>
      </c>
      <c r="AB184" s="55">
        <f>IF(AB151=0,0,AB183/AB151/AB7*12)</f>
        <v/>
      </c>
      <c r="AC184" s="55">
        <f>IF(AC151=0,0,AC183/AC151/AC7*12)</f>
        <v/>
      </c>
      <c r="AD184" s="55">
        <f>IF(AD151=0,0,AD183/AD151/AD7*12)</f>
        <v/>
      </c>
      <c r="AE184" s="55">
        <f>IF(AE151=0,0,AE183/AE151/AE7*12)</f>
        <v/>
      </c>
    </row>
    <row r="185">
      <c r="A185" s="6" t="inlineStr">
        <is>
          <t>CHECK: regional subtotals + B2B = sum of streams</t>
        </is>
      </c>
      <c r="B185" s="23" t="inlineStr">
        <is>
          <t>delta</t>
        </is>
      </c>
      <c r="C185" s="59">
        <f>C183-(C175+C176+C177+C178+C179+C180+C147)</f>
        <v/>
      </c>
      <c r="D185" s="59">
        <f>D183-(D175+D176+D177+D178+D179+D180+D147)</f>
        <v/>
      </c>
      <c r="E185" s="59">
        <f>E183-(E175+E176+E177+E178+E179+E180+E147)</f>
        <v/>
      </c>
      <c r="F185" s="59">
        <f>F183-(F175+F176+F177+F178+F179+F180+F147)</f>
        <v/>
      </c>
      <c r="G185" s="59">
        <f>G183-(G175+G176+G177+G178+G179+G180+G147)</f>
        <v/>
      </c>
      <c r="H185" s="59">
        <f>H183-(H175+H176+H177+H178+H179+H180+H147)</f>
        <v/>
      </c>
      <c r="I185" s="59">
        <f>I183-(I175+I176+I177+I178+I179+I180+I147)</f>
        <v/>
      </c>
      <c r="J185" s="59">
        <f>J183-(J175+J176+J177+J178+J179+J180+J147)</f>
        <v/>
      </c>
      <c r="K185" s="59">
        <f>K183-(K175+K176+K177+K178+K179+K180+K147)</f>
        <v/>
      </c>
      <c r="L185" s="59">
        <f>L183-(L175+L176+L177+L178+L179+L180+L147)</f>
        <v/>
      </c>
      <c r="M185" s="59">
        <f>M183-(M175+M176+M177+M178+M179+M180+M147)</f>
        <v/>
      </c>
      <c r="N185" s="59">
        <f>N183-(N175+N176+N177+N178+N179+N180+N147)</f>
        <v/>
      </c>
      <c r="O185" s="59">
        <f>O183-(O175+O176+O177+O178+O179+O180+O147)</f>
        <v/>
      </c>
      <c r="P185" s="59">
        <f>P183-(P175+P176+P177+P178+P179+P180+P147)</f>
        <v/>
      </c>
      <c r="Q185" s="59">
        <f>Q183-(Q175+Q176+Q177+Q178+Q179+Q180+Q147)</f>
        <v/>
      </c>
      <c r="R185" s="59">
        <f>R183-(R175+R176+R177+R178+R179+R180+R147)</f>
        <v/>
      </c>
      <c r="S185" s="59">
        <f>S183-(S175+S176+S177+S178+S179+S180+S147)</f>
        <v/>
      </c>
      <c r="T185" s="59">
        <f>T183-(T175+T176+T177+T178+T179+T180+T147)</f>
        <v/>
      </c>
      <c r="U185" s="59">
        <f>U183-(U175+U176+U177+U178+U179+U180+U147)</f>
        <v/>
      </c>
      <c r="V185" s="59">
        <f>V183-(V175+V176+V177+V178+V179+V180+V147)</f>
        <v/>
      </c>
      <c r="W185" s="59">
        <f>W183-(W175+W176+W177+W178+W179+W180+W147)</f>
        <v/>
      </c>
      <c r="X185" s="59">
        <f>X183-(X175+X176+X177+X178+X179+X180+X147)</f>
        <v/>
      </c>
      <c r="Y185" s="59">
        <f>Y183-(Y175+Y176+Y177+Y178+Y179+Y180+Y147)</f>
        <v/>
      </c>
      <c r="Z185" s="59">
        <f>Z183-(Z175+Z176+Z177+Z178+Z179+Z180+Z147)</f>
        <v/>
      </c>
      <c r="AA185" s="59">
        <f>AA183-(AA175+AA176+AA177+AA178+AA179+AA180+AA147)</f>
        <v/>
      </c>
      <c r="AB185" s="59">
        <f>AB183-(AB175+AB176+AB177+AB178+AB179+AB180+AB147)</f>
        <v/>
      </c>
      <c r="AC185" s="59">
        <f>AC183-(AC175+AC176+AC177+AC178+AC179+AC180+AC147)</f>
        <v/>
      </c>
      <c r="AD185" s="59">
        <f>AD183-(AD175+AD176+AD177+AD178+AD179+AD180+AD147)</f>
        <v/>
      </c>
      <c r="AE185" s="59">
        <f>AE183-(AE175+AE176+AE177+AE178+AE179+AE180+AE147)</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5"/>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SUM(Model!C63:N63)</f>
        <v/>
      </c>
      <c r="E7" s="36">
        <f>SUM(Model!O63:Z63)</f>
        <v/>
      </c>
      <c r="F7" s="36">
        <f>Model!AA63</f>
        <v/>
      </c>
      <c r="G7" s="36">
        <f>Model!AB63</f>
        <v/>
      </c>
      <c r="H7" s="36">
        <f>Model!AC63</f>
        <v/>
      </c>
      <c r="I7" s="36">
        <f>Model!AD63</f>
        <v/>
      </c>
      <c r="J7" s="36">
        <f>Model!AE63</f>
        <v/>
      </c>
    </row>
    <row r="8">
      <c r="A8" s="6" t="inlineStr">
        <is>
          <t xml:space="preserve">  Oman and Bahrain</t>
        </is>
      </c>
      <c r="D8" s="36">
        <f>SUM(Model!C103:N103)</f>
        <v/>
      </c>
      <c r="E8" s="36">
        <f>SUM(Model!O103:Z103)</f>
        <v/>
      </c>
      <c r="F8" s="36">
        <f>Model!AA103</f>
        <v/>
      </c>
      <c r="G8" s="36">
        <f>Model!AB103</f>
        <v/>
      </c>
      <c r="H8" s="36">
        <f>Model!AC103</f>
        <v/>
      </c>
      <c r="I8" s="36">
        <f>Model!AD103</f>
        <v/>
      </c>
      <c r="J8" s="36">
        <f>Model!AE103</f>
        <v/>
      </c>
    </row>
    <row r="9">
      <c r="A9" s="6" t="inlineStr">
        <is>
          <t xml:space="preserve">  India</t>
        </is>
      </c>
      <c r="D9" s="36">
        <f>SUM(Model!C143:N143)</f>
        <v/>
      </c>
      <c r="E9" s="36">
        <f>SUM(Model!O143:Z143)</f>
        <v/>
      </c>
      <c r="F9" s="36">
        <f>Model!AA143</f>
        <v/>
      </c>
      <c r="G9" s="36">
        <f>Model!AB143</f>
        <v/>
      </c>
      <c r="H9" s="36">
        <f>Model!AC143</f>
        <v/>
      </c>
      <c r="I9" s="36">
        <f>Model!AD143</f>
        <v/>
      </c>
      <c r="J9" s="36">
        <f>Model!AE143</f>
        <v/>
      </c>
    </row>
    <row r="10">
      <c r="A10" s="6" t="inlineStr">
        <is>
          <t xml:space="preserve">  Non-regional: B2B platform fee</t>
        </is>
      </c>
      <c r="D10" s="36">
        <f>SUM(Model!C147:N147)</f>
        <v/>
      </c>
      <c r="E10" s="36">
        <f>SUM(Model!O147:Z147)</f>
        <v/>
      </c>
      <c r="F10" s="36">
        <f>Model!AA147</f>
        <v/>
      </c>
      <c r="G10" s="36">
        <f>Model!AB147</f>
        <v/>
      </c>
      <c r="H10" s="36">
        <f>Model!AC147</f>
        <v/>
      </c>
      <c r="I10" s="36">
        <f>Model!AD147</f>
        <v/>
      </c>
      <c r="J10" s="36">
        <f>Model!AE147</f>
        <v/>
      </c>
    </row>
    <row r="11">
      <c r="A11" s="3" t="inlineStr">
        <is>
          <t>TOTAL REVENUE</t>
        </is>
      </c>
      <c r="D11" s="62">
        <f>SUM(Model!C183:N183)</f>
        <v/>
      </c>
      <c r="E11" s="62">
        <f>SUM(Model!O183:Z183)</f>
        <v/>
      </c>
      <c r="F11" s="62">
        <f>Model!AA183</f>
        <v/>
      </c>
      <c r="G11" s="62">
        <f>Model!AB183</f>
        <v/>
      </c>
      <c r="H11" s="62">
        <f>Model!AC183</f>
        <v/>
      </c>
      <c r="I11" s="62">
        <f>Model!AD183</f>
        <v/>
      </c>
      <c r="J11" s="62">
        <f>Model!AE183</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SUM(Model!C175:N175)</f>
        <v/>
      </c>
      <c r="E14" s="36">
        <f>SUM(Model!O175:Z175)</f>
        <v/>
      </c>
      <c r="F14" s="36">
        <f>Model!AA175</f>
        <v/>
      </c>
      <c r="G14" s="36">
        <f>Model!AB175</f>
        <v/>
      </c>
      <c r="H14" s="36">
        <f>Model!AC175</f>
        <v/>
      </c>
      <c r="I14" s="36">
        <f>Model!AD175</f>
        <v/>
      </c>
      <c r="J14" s="36">
        <f>Model!AE175</f>
        <v/>
      </c>
    </row>
    <row r="15">
      <c r="A15" s="6" t="inlineStr">
        <is>
          <t>Stream 1b: Entry fee - SPOT</t>
        </is>
      </c>
      <c r="D15" s="36">
        <f>SUM(Model!C176:N176)</f>
        <v/>
      </c>
      <c r="E15" s="36">
        <f>SUM(Model!O176:Z176)</f>
        <v/>
      </c>
      <c r="F15" s="36">
        <f>Model!AA176</f>
        <v/>
      </c>
      <c r="G15" s="36">
        <f>Model!AB176</f>
        <v/>
      </c>
      <c r="H15" s="36">
        <f>Model!AC176</f>
        <v/>
      </c>
      <c r="I15" s="36">
        <f>Model!AD176</f>
        <v/>
      </c>
      <c r="J15" s="36">
        <f>Model!AE176</f>
        <v/>
      </c>
    </row>
    <row r="16">
      <c r="A16" s="6" t="inlineStr">
        <is>
          <t>Stream 2: Card interchange</t>
        </is>
      </c>
      <c r="D16" s="36">
        <f>SUM(Model!C177:N177)</f>
        <v/>
      </c>
      <c r="E16" s="36">
        <f>SUM(Model!O177:Z177)</f>
        <v/>
      </c>
      <c r="F16" s="36">
        <f>Model!AA177</f>
        <v/>
      </c>
      <c r="G16" s="36">
        <f>Model!AB177</f>
        <v/>
      </c>
      <c r="H16" s="36">
        <f>Model!AC177</f>
        <v/>
      </c>
      <c r="I16" s="36">
        <f>Model!AD177</f>
        <v/>
      </c>
      <c r="J16" s="36">
        <f>Model!AE177</f>
        <v/>
      </c>
    </row>
    <row r="17">
      <c r="A17" s="6" t="inlineStr">
        <is>
          <t>Stream 3: Family plan and Digital Will</t>
        </is>
      </c>
      <c r="D17" s="36">
        <f>SUM(Model!C178:N178)</f>
        <v/>
      </c>
      <c r="E17" s="36">
        <f>SUM(Model!O178:Z178)</f>
        <v/>
      </c>
      <c r="F17" s="36">
        <f>Model!AA178</f>
        <v/>
      </c>
      <c r="G17" s="36">
        <f>Model!AB178</f>
        <v/>
      </c>
      <c r="H17" s="36">
        <f>Model!AC178</f>
        <v/>
      </c>
      <c r="I17" s="36">
        <f>Model!AD178</f>
        <v/>
      </c>
      <c r="J17" s="36">
        <f>Model!AE178</f>
        <v/>
      </c>
    </row>
    <row r="18">
      <c r="A18" s="6" t="inlineStr">
        <is>
          <t>Stream 4: Cardholder fees</t>
        </is>
      </c>
      <c r="D18" s="36">
        <f>SUM(Model!C179:N179)</f>
        <v/>
      </c>
      <c r="E18" s="36">
        <f>SUM(Model!O179:Z179)</f>
        <v/>
      </c>
      <c r="F18" s="36">
        <f>Model!AA179</f>
        <v/>
      </c>
      <c r="G18" s="36">
        <f>Model!AB179</f>
        <v/>
      </c>
      <c r="H18" s="36">
        <f>Model!AC179</f>
        <v/>
      </c>
      <c r="I18" s="36">
        <f>Model!AD179</f>
        <v/>
      </c>
      <c r="J18" s="36">
        <f>Model!AE179</f>
        <v/>
      </c>
    </row>
    <row r="19">
      <c r="A19" s="6" t="inlineStr">
        <is>
          <t>Stream 5: Lending revenue share</t>
        </is>
      </c>
      <c r="D19" s="36">
        <f>SUM(Model!C180:N180)</f>
        <v/>
      </c>
      <c r="E19" s="36">
        <f>SUM(Model!O180:Z180)</f>
        <v/>
      </c>
      <c r="F19" s="36">
        <f>Model!AA180</f>
        <v/>
      </c>
      <c r="G19" s="36">
        <f>Model!AB180</f>
        <v/>
      </c>
      <c r="H19" s="36">
        <f>Model!AC180</f>
        <v/>
      </c>
      <c r="I19" s="36">
        <f>Model!AD180</f>
        <v/>
      </c>
      <c r="J19" s="36">
        <f>Model!AE180</f>
        <v/>
      </c>
    </row>
    <row r="20">
      <c r="A20" s="6" t="inlineStr">
        <is>
          <t>Stream 6: B2B platform fee</t>
        </is>
      </c>
      <c r="D20" s="36">
        <f>SUM(Model!C147:N147)</f>
        <v/>
      </c>
      <c r="E20" s="36">
        <f>SUM(Model!O147:Z147)</f>
        <v/>
      </c>
      <c r="F20" s="36">
        <f>Model!AA147</f>
        <v/>
      </c>
      <c r="G20" s="36">
        <f>Model!AB147</f>
        <v/>
      </c>
      <c r="H20" s="36">
        <f>Model!AC147</f>
        <v/>
      </c>
      <c r="I20" s="36">
        <f>Model!AD147</f>
        <v/>
      </c>
      <c r="J20" s="36">
        <f>Model!AE147</f>
        <v/>
      </c>
    </row>
    <row r="21">
      <c r="A21" s="3" t="inlineStr">
        <is>
          <t>Total by stream (reconciles to the regional total above)</t>
        </is>
      </c>
      <c r="D21" s="62">
        <f>SUM(Model!C183:N183)</f>
        <v/>
      </c>
      <c r="E21" s="62">
        <f>SUM(Model!O183:Z183)</f>
        <v/>
      </c>
      <c r="F21" s="62">
        <f>Model!AA183</f>
        <v/>
      </c>
      <c r="G21" s="62">
        <f>Model!AB183</f>
        <v/>
      </c>
      <c r="H21" s="62">
        <f>Model!AC183</f>
        <v/>
      </c>
      <c r="I21" s="62">
        <f>Model!AD183</f>
        <v/>
      </c>
      <c r="J21" s="62">
        <f>Model!AE183</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40">
        <f>SUM(D24:D30)</f>
        <v/>
      </c>
      <c r="E31" s="40">
        <f>SUM(E24:E30)</f>
        <v/>
      </c>
      <c r="F31" s="40">
        <f>SUM(F24:F30)</f>
        <v/>
      </c>
      <c r="G31" s="40">
        <f>SUM(G24:G30)</f>
        <v/>
      </c>
      <c r="H31" s="40">
        <f>SUM(H24:H30)</f>
        <v/>
      </c>
      <c r="I31" s="40">
        <f>SUM(I24:I30)</f>
        <v/>
      </c>
      <c r="J31" s="40">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SUM(Model!C154:N154)</f>
        <v/>
      </c>
      <c r="E34" s="37">
        <f>SUM(Model!O154:Z154)</f>
        <v/>
      </c>
      <c r="F34" s="37">
        <f>Model!AA154</f>
        <v/>
      </c>
      <c r="G34" s="37">
        <f>Model!AB154</f>
        <v/>
      </c>
      <c r="H34" s="37">
        <f>Model!AC154</f>
        <v/>
      </c>
      <c r="I34" s="37">
        <f>Model!AD154</f>
        <v/>
      </c>
      <c r="J34" s="37">
        <f>Model!AE154</f>
        <v/>
      </c>
    </row>
    <row r="35">
      <c r="A35" s="3" t="inlineStr">
        <is>
          <t>Paying customers</t>
        </is>
      </c>
      <c r="D35" s="64">
        <f>Model!N151</f>
        <v/>
      </c>
      <c r="E35" s="64">
        <f>Model!Z151</f>
        <v/>
      </c>
      <c r="F35" s="64">
        <f>Model!AA151</f>
        <v/>
      </c>
      <c r="G35" s="64">
        <f>Model!AB151</f>
        <v/>
      </c>
      <c r="H35" s="64">
        <f>Model!AC151</f>
        <v/>
      </c>
      <c r="I35" s="64">
        <f>Model!AD151</f>
        <v/>
      </c>
      <c r="J35" s="64">
        <f>Model!AE151</f>
        <v/>
      </c>
    </row>
    <row r="36">
      <c r="A36" s="6" t="inlineStr">
        <is>
          <t>Holders (stopped paying, still hold gold)</t>
        </is>
      </c>
      <c r="D36" s="37">
        <f>Model!N152</f>
        <v/>
      </c>
      <c r="E36" s="37">
        <f>Model!Z152</f>
        <v/>
      </c>
      <c r="F36" s="37">
        <f>Model!AA152</f>
        <v/>
      </c>
      <c r="G36" s="37">
        <f>Model!AB152</f>
        <v/>
      </c>
      <c r="H36" s="37">
        <f>Model!AC152</f>
        <v/>
      </c>
      <c r="I36" s="37">
        <f>Model!AD152</f>
        <v/>
      </c>
      <c r="J36" s="37">
        <f>Model!AE152</f>
        <v/>
      </c>
    </row>
    <row r="37">
      <c r="A37" s="6" t="inlineStr">
        <is>
          <t>Cumulative ever acquired</t>
        </is>
      </c>
      <c r="D37" s="37">
        <f>Model!N153</f>
        <v/>
      </c>
      <c r="E37" s="37">
        <f>Model!Z153</f>
        <v/>
      </c>
      <c r="F37" s="37">
        <f>Model!AA153</f>
        <v/>
      </c>
      <c r="G37" s="37">
        <f>Model!AB153</f>
        <v/>
      </c>
      <c r="H37" s="37">
        <f>Model!AC153</f>
        <v/>
      </c>
      <c r="I37" s="37">
        <f>Model!AD153</f>
        <v/>
      </c>
      <c r="J37" s="37">
        <f>Model!AE153</f>
        <v/>
      </c>
    </row>
    <row r="38">
      <c r="A38" s="6" t="inlineStr">
        <is>
          <t>Active cards</t>
        </is>
      </c>
      <c r="D38" s="37">
        <f>Model!N155</f>
        <v/>
      </c>
      <c r="E38" s="37">
        <f>Model!Z155</f>
        <v/>
      </c>
      <c r="F38" s="37">
        <f>Model!AA155</f>
        <v/>
      </c>
      <c r="G38" s="37">
        <f>Model!AB155</f>
        <v/>
      </c>
      <c r="H38" s="37">
        <f>Model!AC155</f>
        <v/>
      </c>
      <c r="I38" s="37">
        <f>Model!AD155</f>
        <v/>
      </c>
      <c r="J38" s="37">
        <f>Model!AE155</f>
        <v/>
      </c>
    </row>
    <row r="39">
      <c r="A39" s="6" t="inlineStr">
        <is>
          <t>Grams under custody</t>
        </is>
      </c>
      <c r="D39" s="37">
        <f>Model!N157</f>
        <v/>
      </c>
      <c r="E39" s="37">
        <f>Model!Z157</f>
        <v/>
      </c>
      <c r="F39" s="37">
        <f>Model!AA157</f>
        <v/>
      </c>
      <c r="G39" s="37">
        <f>Model!AB157</f>
        <v/>
      </c>
      <c r="H39" s="37">
        <f>Model!AC157</f>
        <v/>
      </c>
      <c r="I39" s="37">
        <f>Model!AD157</f>
        <v/>
      </c>
      <c r="J39" s="37">
        <f>Model!AE157</f>
        <v/>
      </c>
    </row>
    <row r="40">
      <c r="A40" s="3" t="inlineStr">
        <is>
          <t>Gold under custody (comparable headline)</t>
        </is>
      </c>
      <c r="D40" s="62">
        <f>Model!N164</f>
        <v/>
      </c>
      <c r="E40" s="62">
        <f>Model!Z164</f>
        <v/>
      </c>
      <c r="F40" s="62">
        <f>Model!AA164</f>
        <v/>
      </c>
      <c r="G40" s="62">
        <f>Model!AB164</f>
        <v/>
      </c>
      <c r="H40" s="62">
        <f>Model!AC164</f>
        <v/>
      </c>
      <c r="I40" s="62">
        <f>Model!AD164</f>
        <v/>
      </c>
      <c r="J40" s="62">
        <f>Model!AE164</f>
        <v/>
      </c>
    </row>
    <row r="41">
      <c r="A41" s="6" t="inlineStr">
        <is>
          <t>Grams held (collateral-eligible)</t>
        </is>
      </c>
      <c r="D41" s="37">
        <f>Model!N156</f>
        <v/>
      </c>
      <c r="E41" s="37">
        <f>Model!Z156</f>
        <v/>
      </c>
      <c r="F41" s="37">
        <f>Model!AA156</f>
        <v/>
      </c>
      <c r="G41" s="37">
        <f>Model!AB156</f>
        <v/>
      </c>
      <c r="H41" s="37">
        <f>Model!AC156</f>
        <v/>
      </c>
      <c r="I41" s="37">
        <f>Model!AD156</f>
        <v/>
      </c>
      <c r="J41" s="37">
        <f>Model!AE156</f>
        <v/>
      </c>
    </row>
    <row r="42">
      <c r="A42" s="3" t="inlineStr">
        <is>
          <t>Collateral-eligible AUM</t>
        </is>
      </c>
      <c r="D42" s="62">
        <f>Model!N159</f>
        <v/>
      </c>
      <c r="E42" s="62">
        <f>Model!Z159</f>
        <v/>
      </c>
      <c r="F42" s="62">
        <f>Model!AA159</f>
        <v/>
      </c>
      <c r="G42" s="62">
        <f>Model!AB159</f>
        <v/>
      </c>
      <c r="H42" s="62">
        <f>Model!AC159</f>
        <v/>
      </c>
      <c r="I42" s="62">
        <f>Model!AD159</f>
        <v/>
      </c>
      <c r="J42" s="62">
        <f>Model!AE159</f>
        <v/>
      </c>
    </row>
    <row r="43">
      <c r="A43" s="6" t="inlineStr">
        <is>
          <t>Net revenue per paying customer (annualised)</t>
        </is>
      </c>
      <c r="D43" s="36">
        <f>Model!N184</f>
        <v/>
      </c>
      <c r="E43" s="36">
        <f>Model!Z184</f>
        <v/>
      </c>
      <c r="F43" s="36">
        <f>Model!AA184</f>
        <v/>
      </c>
      <c r="G43" s="36">
        <f>Model!AB184</f>
        <v/>
      </c>
      <c r="H43" s="36">
        <f>Model!AC184</f>
        <v/>
      </c>
      <c r="I43" s="36">
        <f>Model!AD184</f>
        <v/>
      </c>
      <c r="J43" s="36">
        <f>Model!AE184</f>
        <v/>
      </c>
    </row>
    <row r="45">
      <c r="A45"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2026-08-21T13:43:23Z</dcterms:created>
  <dcterms:modified xmlns:dcterms="http://purl.org/dc/terms/" xmlns:xsi="http://www.w3.org/2001/XMLSchema-instance" xsi:type="dcterms:W3CDTF">2026-08-21T13:43:23Z</dcterms:modified>
</cp:coreProperties>
</file>