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gulf_y1">Assumptions!$B$100</definedName>
    <definedName name="agents_gulf_y2">Assumptions!$B$101</definedName>
    <definedName name="agents_gulf_y3">Assumptions!$B$102</definedName>
    <definedName name="agents_gulf_y4">Assumptions!$B$103</definedName>
    <definedName name="agents_gulf_y5">Assumptions!$B$104</definedName>
    <definedName name="agents_gulf_y6">Assumptions!$B$105</definedName>
    <definedName name="agents_gulf_y7">Assumptions!$B$106</definedName>
    <definedName name="agents_india_y1">Assumptions!$B$107</definedName>
    <definedName name="agents_india_y2">Assumptions!$B$108</definedName>
    <definedName name="agents_india_y3">Assumptions!$B$109</definedName>
    <definedName name="agents_india_y4">Assumptions!$B$110</definedName>
    <definedName name="agents_india_y5">Assumptions!$B$111</definedName>
    <definedName name="agents_india_y6">Assumptions!$B$112</definedName>
    <definedName name="agents_india_y7">Assumptions!$B$113</definedName>
    <definedName name="agents_uae_y1">Assumptions!$B$93</definedName>
    <definedName name="agents_uae_y2">Assumptions!$B$94</definedName>
    <definedName name="agents_uae_y3">Assumptions!$B$95</definedName>
    <definedName name="agents_uae_y4">Assumptions!$B$96</definedName>
    <definedName name="agents_uae_y5">Assumptions!$B$97</definedName>
    <definedName name="agents_uae_y6">Assumptions!$B$98</definedName>
    <definedName name="agents_uae_y7">Assumptions!$B$99</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Parameters'!$B$79</definedName>
    <definedName name="aum_per_partner_user">'Scenario Parameters'!$B$78</definedName>
    <definedName name="b2b_fee">'Scenario Parameters'!$B$75</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fee">Assumptions!$B$20</definedName>
    <definedName name="lapsed_redemption_mult">'Scenario Parameters'!$B$37</definedName>
    <definedName name="ltv_gold">Assumptions!$B$31</definedName>
    <definedName name="mktg_y1">Assumptions!$B$114</definedName>
    <definedName name="mktg_y2">Assumptions!$B$115</definedName>
    <definedName name="mktg_y3">Assumptions!$B$116</definedName>
    <definedName name="mktg_y4">Assumptions!$B$117</definedName>
    <definedName name="mktg_y5">Assumptions!$B$118</definedName>
    <definedName name="mktg_y6">Assumptions!$B$119</definedName>
    <definedName name="mktg_y7">Assumptions!$B$120</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Parameters'!$B$77</definedName>
    <definedName name="partner_users">'Scenario Parameters'!$B$76</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Assumptions!$B$121</definedName>
    <definedName name="ramp_y2">Assumptions!$B$122</definedName>
    <definedName name="ramp_y3">Assumptions!$B$123</definedName>
    <definedName name="ramp_y4">Assumptions!$B$124</definedName>
    <definedName name="ramp_y5">Assumptions!$B$125</definedName>
    <definedName name="ramp_y6">Assumptions!$B$126</definedName>
    <definedName name="ramp_y7">Assumptions!$B$127</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issue_rate">'Scenario Parameters'!$B$48</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Parameters'!$B$90</definedName>
    <definedName name="sw_prepaid_vs_credit">'Scenario Parameters'!$B$89</definedName>
    <definedName name="ticket_gulf">'Scenario Parameters'!$B$84</definedName>
    <definedName name="ticket_india">'Scenario Parameters'!$B$85</definedName>
    <definedName name="ticket_uae">'Scenario Parameters'!$B$83</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6" fontId="1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UAE - Y1</t>
        </is>
      </c>
      <c r="B93" s="17" t="n">
        <v>0</v>
      </c>
      <c r="C93" t="inlineStr">
        <is>
          <t>agents</t>
        </is>
      </c>
      <c r="D9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4">
      <c r="A94" t="inlineStr">
        <is>
          <t>Active agents - UAE - Y2</t>
        </is>
      </c>
      <c r="B94" s="17" t="n">
        <v>0</v>
      </c>
      <c r="C94" t="inlineStr">
        <is>
          <t>agents</t>
        </is>
      </c>
      <c r="D94"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5">
      <c r="A95" t="inlineStr">
        <is>
          <t>Active agents - UAE - Y3</t>
        </is>
      </c>
      <c r="B95" s="17" t="n">
        <v>0</v>
      </c>
      <c r="C95" t="inlineStr">
        <is>
          <t>agents</t>
        </is>
      </c>
      <c r="D95"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6">
      <c r="A96" t="inlineStr">
        <is>
          <t>Active agents - UAE - Y4</t>
        </is>
      </c>
      <c r="B96" s="17" t="n">
        <v>0</v>
      </c>
      <c r="C96" t="inlineStr">
        <is>
          <t>agents</t>
        </is>
      </c>
      <c r="D96"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7">
      <c r="A97" t="inlineStr">
        <is>
          <t>Active agents - UAE - Y5</t>
        </is>
      </c>
      <c r="B97" s="17" t="n">
        <v>0</v>
      </c>
      <c r="C97" t="inlineStr">
        <is>
          <t>agents</t>
        </is>
      </c>
      <c r="D97"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8">
      <c r="A98" t="inlineStr">
        <is>
          <t>Active agents - UAE - Y6</t>
        </is>
      </c>
      <c r="B98" s="17" t="n">
        <v>0</v>
      </c>
      <c r="C98" t="inlineStr">
        <is>
          <t>agents</t>
        </is>
      </c>
      <c r="D98"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9">
      <c r="A99" t="inlineStr">
        <is>
          <t>Active agents - UAE - Y7</t>
        </is>
      </c>
      <c r="B99" s="17" t="n">
        <v>0</v>
      </c>
      <c r="C99" t="inlineStr">
        <is>
          <t>agents</t>
        </is>
      </c>
      <c r="D99"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0">
      <c r="A100" t="inlineStr">
        <is>
          <t>Active agents - Oman and Bahrain - Y1</t>
        </is>
      </c>
      <c r="B100" s="17" t="n">
        <v>0</v>
      </c>
      <c r="C100" t="inlineStr">
        <is>
          <t>agents</t>
        </is>
      </c>
      <c r="D100"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1">
      <c r="A101" t="inlineStr">
        <is>
          <t>Active agents - Oman and Bahrain - Y2</t>
        </is>
      </c>
      <c r="B101" s="17" t="n">
        <v>0</v>
      </c>
      <c r="C101" t="inlineStr">
        <is>
          <t>agents</t>
        </is>
      </c>
      <c r="D101"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2">
      <c r="A102" t="inlineStr">
        <is>
          <t>Active agents - Oman and Bahrain - Y3</t>
        </is>
      </c>
      <c r="B102" s="17" t="n">
        <v>0</v>
      </c>
      <c r="C102" t="inlineStr">
        <is>
          <t>agents</t>
        </is>
      </c>
      <c r="D102"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3">
      <c r="A103" t="inlineStr">
        <is>
          <t>Active agents - Oman and Bahrain - Y4</t>
        </is>
      </c>
      <c r="B103" s="17" t="n">
        <v>0</v>
      </c>
      <c r="C103" t="inlineStr">
        <is>
          <t>agents</t>
        </is>
      </c>
      <c r="D10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4">
      <c r="A104" t="inlineStr">
        <is>
          <t>Active agents - Oman and Bahrain - Y5</t>
        </is>
      </c>
      <c r="B104" s="17" t="n">
        <v>0</v>
      </c>
      <c r="C104" t="inlineStr">
        <is>
          <t>agents</t>
        </is>
      </c>
      <c r="D104"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5">
      <c r="A105" t="inlineStr">
        <is>
          <t>Active agents - Oman and Bahrain - Y6</t>
        </is>
      </c>
      <c r="B105" s="17" t="n">
        <v>0</v>
      </c>
      <c r="C105" t="inlineStr">
        <is>
          <t>agents</t>
        </is>
      </c>
      <c r="D105"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6">
      <c r="A106" t="inlineStr">
        <is>
          <t>Active agents - Oman and Bahrain - Y7</t>
        </is>
      </c>
      <c r="B106" s="17" t="n">
        <v>0</v>
      </c>
      <c r="C106" t="inlineStr">
        <is>
          <t>agents</t>
        </is>
      </c>
      <c r="D106"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7">
      <c r="A107" t="inlineStr">
        <is>
          <t>Active agents - India - Y1</t>
        </is>
      </c>
      <c r="B107" s="17" t="n">
        <v>40</v>
      </c>
      <c r="C107" t="inlineStr">
        <is>
          <t>agents</t>
        </is>
      </c>
      <c r="D107"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8">
      <c r="A108" t="inlineStr">
        <is>
          <t>Active agents - India - Y2</t>
        </is>
      </c>
      <c r="B108" s="17" t="n">
        <v>40</v>
      </c>
      <c r="C108" t="inlineStr">
        <is>
          <t>agents</t>
        </is>
      </c>
      <c r="D108"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9">
      <c r="A109" t="inlineStr">
        <is>
          <t>Active agents - India - Y3</t>
        </is>
      </c>
      <c r="B109" s="17" t="n">
        <v>60</v>
      </c>
      <c r="C109" t="inlineStr">
        <is>
          <t>agents</t>
        </is>
      </c>
      <c r="D109"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0">
      <c r="A110" t="inlineStr">
        <is>
          <t>Active agents - India - Y4</t>
        </is>
      </c>
      <c r="B110" s="17" t="n">
        <v>177</v>
      </c>
      <c r="C110" t="inlineStr">
        <is>
          <t>agents</t>
        </is>
      </c>
      <c r="D110"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1">
      <c r="A111" t="inlineStr">
        <is>
          <t>Active agents - India - Y5</t>
        </is>
      </c>
      <c r="B111" s="17" t="n">
        <v>298</v>
      </c>
      <c r="C111" t="inlineStr">
        <is>
          <t>agents</t>
        </is>
      </c>
      <c r="D111"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2">
      <c r="A112" t="inlineStr">
        <is>
          <t>Active agents - India - Y6</t>
        </is>
      </c>
      <c r="B112" s="17" t="n">
        <v>356</v>
      </c>
      <c r="C112" t="inlineStr">
        <is>
          <t>agents</t>
        </is>
      </c>
      <c r="D112"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3">
      <c r="A113" t="inlineStr">
        <is>
          <t>Active agents - India - Y7</t>
        </is>
      </c>
      <c r="B113" s="17" t="n">
        <v>420</v>
      </c>
      <c r="C113" t="inlineStr">
        <is>
          <t>agents</t>
        </is>
      </c>
      <c r="D11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4">
      <c r="A114" t="inlineStr">
        <is>
          <t>Marketing spend - Y1</t>
        </is>
      </c>
      <c r="B114" s="20" t="n">
        <v>90000</v>
      </c>
      <c r="C114" t="inlineStr">
        <is>
          <t>USD/yr</t>
        </is>
      </c>
      <c r="D11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5">
      <c r="A115" t="inlineStr">
        <is>
          <t>Marketing spend - Y2</t>
        </is>
      </c>
      <c r="B115" s="20" t="n">
        <v>270000</v>
      </c>
      <c r="C115" t="inlineStr">
        <is>
          <t>USD/yr</t>
        </is>
      </c>
      <c r="D11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6">
      <c r="A116" t="inlineStr">
        <is>
          <t>Marketing spend - Y3</t>
        </is>
      </c>
      <c r="B116" s="20" t="n">
        <v>375000</v>
      </c>
      <c r="C116" t="inlineStr">
        <is>
          <t>USD/yr</t>
        </is>
      </c>
      <c r="D11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7">
      <c r="A117" t="inlineStr">
        <is>
          <t>Marketing spend - Y4</t>
        </is>
      </c>
      <c r="B117" s="20" t="n">
        <v>600000</v>
      </c>
      <c r="C117" t="inlineStr">
        <is>
          <t>USD/yr</t>
        </is>
      </c>
      <c r="D117"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8">
      <c r="A118" t="inlineStr">
        <is>
          <t>Marketing spend - Y5</t>
        </is>
      </c>
      <c r="B118" s="20" t="n">
        <v>900000</v>
      </c>
      <c r="C118" t="inlineStr">
        <is>
          <t>USD/yr</t>
        </is>
      </c>
      <c r="D118"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9">
      <c r="A119" t="inlineStr">
        <is>
          <t>Marketing spend - Y6</t>
        </is>
      </c>
      <c r="B119" s="20" t="n">
        <v>1275000</v>
      </c>
      <c r="C119" t="inlineStr">
        <is>
          <t>USD/yr</t>
        </is>
      </c>
      <c r="D119"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20">
      <c r="A120" t="inlineStr">
        <is>
          <t>Marketing spend - Y7</t>
        </is>
      </c>
      <c r="B120" s="20" t="n">
        <v>1650000</v>
      </c>
      <c r="C120" t="inlineStr">
        <is>
          <t>USD/yr</t>
        </is>
      </c>
      <c r="D120"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21">
      <c r="A121" t="inlineStr">
        <is>
          <t>Agent blended ramp - Y1</t>
        </is>
      </c>
      <c r="B121" s="15" t="n">
        <v>0.6</v>
      </c>
      <c r="C121" t="inlineStr">
        <is>
          <t>x productivity</t>
        </is>
      </c>
      <c r="D121" t="inlineStr">
        <is>
          <t>Six months to full productivity, which happens to match the six-payment gate.</t>
        </is>
      </c>
    </row>
    <row r="122">
      <c r="A122" t="inlineStr">
        <is>
          <t>Agent blended ramp - Y2</t>
        </is>
      </c>
      <c r="B122" s="15" t="n">
        <v>0.85</v>
      </c>
      <c r="C122" t="inlineStr">
        <is>
          <t>x productivity</t>
        </is>
      </c>
      <c r="D122" t="inlineStr">
        <is>
          <t>Six months to full productivity, which happens to match the six-payment gate.</t>
        </is>
      </c>
    </row>
    <row r="123">
      <c r="A123" t="inlineStr">
        <is>
          <t>Agent blended ramp - Y3</t>
        </is>
      </c>
      <c r="B123" s="15" t="n">
        <v>1</v>
      </c>
      <c r="C123" t="inlineStr">
        <is>
          <t>x productivity</t>
        </is>
      </c>
      <c r="D123" t="inlineStr">
        <is>
          <t>Six months to full productivity, which happens to match the six-payment gate.</t>
        </is>
      </c>
    </row>
    <row r="124">
      <c r="A124" t="inlineStr">
        <is>
          <t>Agent blended ramp - Y4</t>
        </is>
      </c>
      <c r="B124" s="15" t="n">
        <v>1</v>
      </c>
      <c r="C124" t="inlineStr">
        <is>
          <t>x productivity</t>
        </is>
      </c>
      <c r="D124" t="inlineStr">
        <is>
          <t>Six months to full productivity, which happens to match the six-payment gate.</t>
        </is>
      </c>
    </row>
    <row r="125">
      <c r="A125" t="inlineStr">
        <is>
          <t>Agent blended ramp - Y5</t>
        </is>
      </c>
      <c r="B125" s="15" t="n">
        <v>1</v>
      </c>
      <c r="C125" t="inlineStr">
        <is>
          <t>x productivity</t>
        </is>
      </c>
      <c r="D125" t="inlineStr">
        <is>
          <t>Six months to full productivity, which happens to match the six-payment gate.</t>
        </is>
      </c>
    </row>
    <row r="126">
      <c r="A126" t="inlineStr">
        <is>
          <t>Agent blended ramp - Y6</t>
        </is>
      </c>
      <c r="B126" s="15" t="n">
        <v>1</v>
      </c>
      <c r="C126" t="inlineStr">
        <is>
          <t>x productivity</t>
        </is>
      </c>
      <c r="D126" t="inlineStr">
        <is>
          <t>Six months to full productivity, which happens to match the six-payment gate.</t>
        </is>
      </c>
    </row>
    <row r="127">
      <c r="A127" t="inlineStr">
        <is>
          <t>Agent blended ramp - Y7</t>
        </is>
      </c>
      <c r="B127" s="15" t="n">
        <v>1</v>
      </c>
      <c r="C127" t="inlineStr">
        <is>
          <t>x productivity</t>
        </is>
      </c>
      <c r="D127" t="inlineStr">
        <is>
          <t>Six months to full productivity, which happens to match the six-payment gate.</t>
        </is>
      </c>
    </row>
    <row r="129" ht="18" customHeight="1">
      <c r="A129" s="12" t="inlineStr">
        <is>
          <t>SCENARIO-LINKED INPUTS (live values - move with the scenario switch)</t>
        </is>
      </c>
      <c r="B129" s="13" t="n"/>
      <c r="C129" s="13" t="n"/>
      <c r="D129" s="13" t="n"/>
    </row>
    <row r="130">
      <c r="A130" s="14" t="inlineStr">
        <is>
          <t>Parameter</t>
        </is>
      </c>
      <c r="B130" s="14" t="inlineStr">
        <is>
          <t>Value</t>
        </is>
      </c>
      <c r="C130" s="14" t="inlineStr">
        <is>
          <t>Unit</t>
        </is>
      </c>
      <c r="D130" s="14" t="inlineStr">
        <is>
          <t>Source</t>
        </is>
      </c>
    </row>
    <row r="131">
      <c r="A131" t="inlineStr">
        <is>
          <t>Gold price appreciation</t>
        </is>
      </c>
      <c r="B131" s="33">
        <f>'Scenario Parameters'!$B$10</f>
        <v/>
      </c>
      <c r="C131" t="inlineStr">
        <is>
          <t>%/yr</t>
        </is>
      </c>
      <c r="D131"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32">
      <c r="A132" t="inlineStr">
        <is>
          <t>Persistency - customers still paying after 12 months</t>
        </is>
      </c>
      <c r="B132" s="34">
        <f>'Scenario Parameters'!$B$14</f>
        <v/>
      </c>
      <c r="C132" t="inlineStr">
        <is>
          <t>%</t>
        </is>
      </c>
      <c r="D13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33">
      <c r="A133" t="inlineStr">
        <is>
          <t>Monthly churn rate (derived)</t>
        </is>
      </c>
      <c r="B133" s="33">
        <f>'Scenario Parameters'!$B$15</f>
        <v/>
      </c>
      <c r="C133" t="inlineStr">
        <is>
          <t>%/month</t>
        </is>
      </c>
      <c r="D133" t="inlineStr">
        <is>
          <t>DERIVED, not typed: the monthly rate that reproduces the persistency above over twelve months. Change persistency and this follows. Base 55% implies ~4.9%/month.</t>
        </is>
      </c>
    </row>
    <row r="134">
      <c r="A134" t="inlineStr">
        <is>
          <t>Agent productivity</t>
        </is>
      </c>
      <c r="B134" s="35">
        <f>'Scenario Parameters'!$B$16</f>
        <v/>
      </c>
      <c r="C134" t="inlineStr">
        <is>
          <t>accounts/agent/month</t>
        </is>
      </c>
      <c r="D134" t="inlineStr">
        <is>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is>
      </c>
    </row>
    <row r="135">
      <c r="A135" t="inlineStr">
        <is>
          <t>Marketing CAC - UAE</t>
        </is>
      </c>
      <c r="B135" s="36">
        <f>'Scenario Parameters'!$B$17</f>
        <v/>
      </c>
      <c r="C135" t="inlineStr">
        <is>
          <t>USD per customer</t>
        </is>
      </c>
      <c r="D13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36">
      <c r="A136" t="inlineStr">
        <is>
          <t>Marketing CAC - Oman and Bahrain</t>
        </is>
      </c>
      <c r="B136" s="36">
        <f>'Scenario Parameters'!$B$18</f>
        <v/>
      </c>
      <c r="C136" t="inlineStr">
        <is>
          <t>USD per customer</t>
        </is>
      </c>
      <c r="D13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37">
      <c r="A137" t="inlineStr">
        <is>
          <t>Marketing CAC - India</t>
        </is>
      </c>
      <c r="B137" s="36">
        <f>'Scenario Parameters'!$B$19</f>
        <v/>
      </c>
      <c r="C137" t="inlineStr">
        <is>
          <t>USD per customer</t>
        </is>
      </c>
      <c r="D13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38">
      <c r="A138" t="inlineStr">
        <is>
          <t>Marketing spend share - UAE</t>
        </is>
      </c>
      <c r="B138" s="34">
        <f>'Scenario Parameters'!$B$20</f>
        <v/>
      </c>
      <c r="C138" t="inlineStr">
        <is>
          <t>% of budget</t>
        </is>
      </c>
      <c r="D138"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39">
      <c r="A139" t="inlineStr">
        <is>
          <t>Marketing spend share - Oman and Bahrain</t>
        </is>
      </c>
      <c r="B139" s="34">
        <f>'Scenario Parameters'!$B$21</f>
        <v/>
      </c>
      <c r="C139" t="inlineStr">
        <is>
          <t>% of budget</t>
        </is>
      </c>
      <c r="D13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0">
      <c r="A140" t="inlineStr">
        <is>
          <t>Marketing spend share - India</t>
        </is>
      </c>
      <c r="B140" s="34">
        <f>'Scenario Parameters'!$B$22</f>
        <v/>
      </c>
      <c r="C140" t="inlineStr">
        <is>
          <t>% of budget</t>
        </is>
      </c>
      <c r="D140"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1">
      <c r="A141" t="inlineStr">
        <is>
          <t>Referral rate</t>
        </is>
      </c>
      <c r="B141" s="35">
        <f>'Scenario Parameters'!$B$23</f>
        <v/>
      </c>
      <c r="C141" t="inlineStr">
        <is>
          <t>referrals/customer/yr</t>
        </is>
      </c>
      <c r="D141"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42">
      <c r="A142" t="inlineStr">
        <is>
          <t>Referral conversion</t>
        </is>
      </c>
      <c r="B142" s="34">
        <f>'Scenario Parameters'!$B$24</f>
        <v/>
      </c>
      <c r="C142" t="inlineStr">
        <is>
          <t>%</t>
        </is>
      </c>
      <c r="D142" t="inlineStr">
        <is>
          <t>The M7 survival of the referred cohort, uplifted ~1.1x. DERIVED.</t>
        </is>
      </c>
    </row>
    <row r="143">
      <c r="A143" t="inlineStr">
        <is>
          <t>Organic share of direct</t>
        </is>
      </c>
      <c r="B143" s="34">
        <f>'Scenario Parameters'!$B$25</f>
        <v/>
      </c>
      <c r="C143" t="inlineStr">
        <is>
          <t>% of direct</t>
        </is>
      </c>
      <c r="D143"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44">
      <c r="A144" t="inlineStr">
        <is>
          <t>Seasonality amplitude</t>
        </is>
      </c>
      <c r="B144" s="35">
        <f>'Scenario Parameters'!$B$26</f>
        <v/>
      </c>
      <c r="C144" t="inlineStr">
        <is>
          <t>x deviation from 1.0</t>
        </is>
      </c>
      <c r="D144" t="inlineStr">
        <is>
          <t>Festival TIMING is sourced; how hard a Dubai savings signup responds to Dhanteras is the open question. Applied to the deviation from 1.0, then renormalised, so the vectors stay at exactly 12.000.</t>
        </is>
      </c>
    </row>
    <row r="145">
      <c r="A145" t="inlineStr">
        <is>
          <t>Customers who EVER reach an ICS benefit tier</t>
        </is>
      </c>
      <c r="B145" s="34">
        <f>'Scenario Parameters'!$B$30</f>
        <v/>
      </c>
      <c r="C145" t="inlineStr">
        <is>
          <t>% of customers</t>
        </is>
      </c>
      <c r="D145" t="inlineStr">
        <is>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is>
      </c>
    </row>
    <row r="146">
      <c r="A146" t="inlineStr">
        <is>
          <t>Average months to reach an ICS benefit tier</t>
        </is>
      </c>
      <c r="B146" s="37">
        <f>'Scenario Parameters'!$B$31</f>
        <v/>
      </c>
      <c r="C146" t="inlineStr">
        <is>
          <t>months</t>
        </is>
      </c>
      <c r="D146" t="inlineStr">
        <is>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is>
      </c>
    </row>
    <row r="147">
      <c r="A147" t="inlineStr">
        <is>
          <t>Gold moved out of Aurumix's control</t>
        </is>
      </c>
      <c r="B147" s="34">
        <f>'Scenario Parameters'!$B$35</f>
        <v/>
      </c>
      <c r="C147" t="inlineStr">
        <is>
          <t>% of AUM/yr</t>
        </is>
      </c>
      <c r="D147"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48">
      <c r="A148" t="inlineStr">
        <is>
          <t>Redemption rate</t>
        </is>
      </c>
      <c r="B148" s="34">
        <f>'Scenario Parameters'!$B$36</f>
        <v/>
      </c>
      <c r="C148" t="inlineStr">
        <is>
          <t>% of AUM/yr</t>
        </is>
      </c>
      <c r="D148"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49">
      <c r="A149" t="inlineStr">
        <is>
          <t>Holder redemption multiplier</t>
        </is>
      </c>
      <c r="B149" s="35">
        <f>'Scenario Parameters'!$B$37</f>
        <v/>
      </c>
      <c r="C149" t="inlineStr">
        <is>
          <t>x the paying rate</t>
        </is>
      </c>
      <c r="D14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50">
      <c r="A150" t="inlineStr">
        <is>
          <t>Spot attach scenario multiplier</t>
        </is>
      </c>
      <c r="B150" s="35">
        <f>'Scenario Parameters'!$B$38</f>
        <v/>
      </c>
      <c r="C150" t="inlineStr">
        <is>
          <t>x the regional attach</t>
        </is>
      </c>
      <c r="D150"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51">
      <c r="A151" t="inlineStr">
        <is>
          <t>Spot ticket scenario multiplier</t>
        </is>
      </c>
      <c r="B151" s="35">
        <f>'Scenario Parameters'!$B$39</f>
        <v/>
      </c>
      <c r="C151" t="inlineStr">
        <is>
          <t>x the observed ticket</t>
        </is>
      </c>
      <c r="D151"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52">
      <c r="A152" t="inlineStr">
        <is>
          <t>Spot frequency</t>
        </is>
      </c>
      <c r="B152" s="35">
        <f>'Scenario Parameters'!$B$40</f>
        <v/>
      </c>
      <c r="C152" t="inlineStr">
        <is>
          <t>events/attacher/yr</t>
        </is>
      </c>
      <c r="D152"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53">
      <c r="A153" t="inlineStr">
        <is>
          <t>Programme manager share of interchange</t>
        </is>
      </c>
      <c r="B153" s="34">
        <f>'Scenario Parameters'!$B$44</f>
        <v/>
      </c>
      <c r="C153" t="inlineStr">
        <is>
          <t>%</t>
        </is>
      </c>
      <c r="D153"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154">
      <c r="A154" t="inlineStr">
        <is>
          <t>Facility take-up - customers who take AND use the card</t>
        </is>
      </c>
      <c r="B154" s="34">
        <f>'Scenario Parameters'!$B$45</f>
        <v/>
      </c>
      <c r="C154" t="inlineStr">
        <is>
          <t>% of card-eligible base</t>
        </is>
      </c>
      <c r="D154" t="inlineStr">
        <is>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is>
      </c>
    </row>
    <row r="155">
      <c r="A155" t="inlineStr">
        <is>
          <t>Transactions per drawdown event</t>
        </is>
      </c>
      <c r="B155" s="37">
        <f>'Scenario Parameters'!$B$46</f>
        <v/>
      </c>
      <c r="C155" t="inlineStr">
        <is>
          <t>transactions/draw</t>
        </is>
      </c>
      <c r="D155"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56">
      <c r="A156" t="inlineStr">
        <is>
          <t>Foreign spend share (mean)</t>
        </is>
      </c>
      <c r="B156" s="34">
        <f>'Scenario Parameters'!$B$47</f>
        <v/>
      </c>
      <c r="C156" t="inlineStr">
        <is>
          <t>% of card spend</t>
        </is>
      </c>
      <c r="D156" t="inlineStr">
        <is>
          <t>Applied through the seasonal vector, not as a constant. ASSUMPTION.</t>
        </is>
      </c>
    </row>
    <row r="157">
      <c r="A157" t="inlineStr">
        <is>
          <t>Card REISSUE rate (excludes first issue)</t>
        </is>
      </c>
      <c r="B157" s="35">
        <f>'Scenario Parameters'!$B$48</f>
        <v/>
      </c>
      <c r="C157" t="inlineStr">
        <is>
          <t>reissues/card/yr</t>
        </is>
      </c>
      <c r="D157" t="inlineStr">
        <is>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is>
      </c>
    </row>
    <row r="158">
      <c r="A158" t="inlineStr">
        <is>
          <t>Card replacement events</t>
        </is>
      </c>
      <c r="B158" s="35">
        <f>'Scenario Parameters'!$B$49</f>
        <v/>
      </c>
      <c r="C158" t="inlineStr">
        <is>
          <t>events/card/yr</t>
        </is>
      </c>
      <c r="D158" t="inlineStr">
        <is>
          <t>Industry-normal loss/theft/damage is 8-15% annually. ASSUMPTION.</t>
        </is>
      </c>
    </row>
    <row r="159">
      <c r="A159" t="inlineStr">
        <is>
          <t>ATM AED 0-500 - share of cardholders</t>
        </is>
      </c>
      <c r="B159" s="34">
        <f>'Scenario Parameters'!$B$50</f>
        <v/>
      </c>
      <c r="C159" t="inlineStr">
        <is>
          <t>%</t>
        </is>
      </c>
      <c r="D15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0">
      <c r="A160" t="inlineStr">
        <is>
          <t>ATM AED 500-1,500 - share of cardholders</t>
        </is>
      </c>
      <c r="B160" s="34">
        <f>'Scenario Parameters'!$B$51</f>
        <v/>
      </c>
      <c r="C160" t="inlineStr">
        <is>
          <t>%</t>
        </is>
      </c>
      <c r="D16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1">
      <c r="A161" t="inlineStr">
        <is>
          <t>ATM AED 1,500-3,000 - share of cardholders</t>
        </is>
      </c>
      <c r="B161" s="34">
        <f>'Scenario Parameters'!$B$52</f>
        <v/>
      </c>
      <c r="C161" t="inlineStr">
        <is>
          <t>%</t>
        </is>
      </c>
      <c r="D16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2">
      <c r="A162" t="inlineStr">
        <is>
          <t>ATM AED 3,000+ - share of cardholders</t>
        </is>
      </c>
      <c r="B162" s="34">
        <f>'Scenario Parameters'!$B$53</f>
        <v/>
      </c>
      <c r="C162" t="inlineStr">
        <is>
          <t>%</t>
        </is>
      </c>
      <c r="D16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3">
      <c r="A163" t="inlineStr">
        <is>
          <t>ATM AED 0-500 - midpoint draw</t>
        </is>
      </c>
      <c r="B163" s="37">
        <f>'Scenario Parameters'!$B$54</f>
        <v/>
      </c>
      <c r="C163" t="inlineStr">
        <is>
          <t>AED/month</t>
        </is>
      </c>
      <c r="D163" t="inlineStr">
        <is>
          <t>Raising the allowance at the top tier waives revenue from only the top ~3% of cardholders.</t>
        </is>
      </c>
    </row>
    <row r="164">
      <c r="A164" t="inlineStr">
        <is>
          <t>ATM AED 500-1,500 - midpoint draw</t>
        </is>
      </c>
      <c r="B164" s="37">
        <f>'Scenario Parameters'!$B$55</f>
        <v/>
      </c>
      <c r="C164" t="inlineStr">
        <is>
          <t>AED/month</t>
        </is>
      </c>
      <c r="D164" t="inlineStr">
        <is>
          <t>Raising the allowance at the top tier waives revenue from only the top ~3% of cardholders.</t>
        </is>
      </c>
    </row>
    <row r="165">
      <c r="A165" t="inlineStr">
        <is>
          <t>ATM AED 1,500-3,000 - midpoint draw</t>
        </is>
      </c>
      <c r="B165" s="37">
        <f>'Scenario Parameters'!$B$56</f>
        <v/>
      </c>
      <c r="C165" t="inlineStr">
        <is>
          <t>AED/month</t>
        </is>
      </c>
      <c r="D165" t="inlineStr">
        <is>
          <t>Raising the allowance at the top tier waives revenue from only the top ~3% of cardholders.</t>
        </is>
      </c>
    </row>
    <row r="166">
      <c r="A166" t="inlineStr">
        <is>
          <t>ATM AED 3,000+ - midpoint draw</t>
        </is>
      </c>
      <c r="B166" s="37">
        <f>'Scenario Parameters'!$B$57</f>
        <v/>
      </c>
      <c r="C166" t="inlineStr">
        <is>
          <t>AED/month</t>
        </is>
      </c>
      <c r="D166" t="inlineStr">
        <is>
          <t>Raising the allowance at the top tier waives revenue from only the top ~3% of cardholders.</t>
        </is>
      </c>
    </row>
    <row r="167">
      <c r="A167" t="inlineStr">
        <is>
          <t>Drawn as % of permitted limit</t>
        </is>
      </c>
      <c r="B167" s="34">
        <f>'Scenario Parameters'!$B$61</f>
        <v/>
      </c>
      <c r="C167" t="inlineStr">
        <is>
          <t>%</t>
        </is>
      </c>
      <c r="D167" t="inlineStr">
        <is>
          <t>Revolving facilities draw 40-55% of permitted. This now drives CARD SPEND as well as the loan balance, because the card is the drawdown mechanism. TRIANGULATED.</t>
        </is>
      </c>
    </row>
    <row r="168">
      <c r="A168" t="inlineStr">
        <is>
          <t>Facility turnover, peak -&gt; average</t>
        </is>
      </c>
      <c r="B168" s="35">
        <f>'Scenario Parameters'!$B$62</f>
        <v/>
      </c>
      <c r="C168" t="inlineStr">
        <is>
          <t>x peak drawn</t>
        </is>
      </c>
      <c r="D168" t="inlineStr">
        <is>
          <t>AN ARITHMETIC CORRECTION, not a sensitivity, derived from Manappuram's 71-day realised tenor. It cuts the lending stream by 1.88x. DERIVED.</t>
        </is>
      </c>
    </row>
    <row r="169">
      <c r="A169" t="inlineStr">
        <is>
          <t>Draw events per borrower per year</t>
        </is>
      </c>
      <c r="B169" s="35">
        <f>'Scenario Parameters'!$B$63</f>
        <v/>
      </c>
      <c r="C169" t="inlineStr">
        <is>
          <t>events/yr</t>
        </is>
      </c>
      <c r="D169" t="inlineStr">
        <is>
          <t>MOVES WITH facility turnover - do not flex independently. DERIVED.</t>
        </is>
      </c>
    </row>
    <row r="170">
      <c r="A170" t="inlineStr">
        <is>
          <t>Family plan attach rate</t>
        </is>
      </c>
      <c r="B170" s="34">
        <f>'Scenario Parameters'!$B$64</f>
        <v/>
      </c>
      <c r="C170" t="inlineStr">
        <is>
          <t>% of NEW customers</t>
        </is>
      </c>
      <c r="D170"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71">
      <c r="A171" t="inlineStr">
        <is>
          <t>Family plan cancellation rate (incremental)</t>
        </is>
      </c>
      <c r="B171" s="34">
        <f>'Scenario Parameters'!$B$65</f>
        <v/>
      </c>
      <c r="C171" t="inlineStr">
        <is>
          <t>%/yr</t>
        </is>
      </c>
      <c r="D171"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72">
      <c r="A172" t="inlineStr">
        <is>
          <t>Beneficiaries named per plan</t>
        </is>
      </c>
      <c r="B172" s="35">
        <f>'Scenario Parameters'!$B$66</f>
        <v/>
      </c>
      <c r="C172" t="inlineStr">
        <is>
          <t>beneficiaries</t>
        </is>
      </c>
      <c r="D172"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73">
      <c r="A173" t="inlineStr">
        <is>
          <t>Family plan monthly churn, combined (derived)</t>
        </is>
      </c>
      <c r="B173" s="33">
        <f>'Scenario Parameters'!$B$67</f>
        <v/>
      </c>
      <c r="C173" t="inlineStr">
        <is>
          <t>%/month</t>
        </is>
      </c>
      <c r="D173"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74">
      <c r="A174" t="inlineStr">
        <is>
          <t>B2B partners - Y1</t>
        </is>
      </c>
      <c r="B174" s="37">
        <f>'Scenario Parameters'!$B$68</f>
        <v/>
      </c>
      <c r="C174" t="inlineStr">
        <is>
          <t>partners</t>
        </is>
      </c>
      <c r="D17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5">
      <c r="A175" t="inlineStr">
        <is>
          <t>B2B partners - Y2</t>
        </is>
      </c>
      <c r="B175" s="37">
        <f>'Scenario Parameters'!$B$69</f>
        <v/>
      </c>
      <c r="C175" t="inlineStr">
        <is>
          <t>partners</t>
        </is>
      </c>
      <c r="D17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6">
      <c r="A176" t="inlineStr">
        <is>
          <t>B2B partners - Y3</t>
        </is>
      </c>
      <c r="B176" s="37">
        <f>'Scenario Parameters'!$B$70</f>
        <v/>
      </c>
      <c r="C176" t="inlineStr">
        <is>
          <t>partners</t>
        </is>
      </c>
      <c r="D17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7">
      <c r="A177" t="inlineStr">
        <is>
          <t>B2B partners - Y4</t>
        </is>
      </c>
      <c r="B177" s="37">
        <f>'Scenario Parameters'!$B$71</f>
        <v/>
      </c>
      <c r="C177" t="inlineStr">
        <is>
          <t>partners</t>
        </is>
      </c>
      <c r="D17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8">
      <c r="A178" t="inlineStr">
        <is>
          <t>B2B partners - Y5</t>
        </is>
      </c>
      <c r="B178" s="37">
        <f>'Scenario Parameters'!$B$72</f>
        <v/>
      </c>
      <c r="C178" t="inlineStr">
        <is>
          <t>partners</t>
        </is>
      </c>
      <c r="D17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9">
      <c r="A179" t="inlineStr">
        <is>
          <t>B2B partners - Y6</t>
        </is>
      </c>
      <c r="B179" s="37">
        <f>'Scenario Parameters'!$B$73</f>
        <v/>
      </c>
      <c r="C179" t="inlineStr">
        <is>
          <t>partners</t>
        </is>
      </c>
      <c r="D17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0">
      <c r="A180" t="inlineStr">
        <is>
          <t>B2B partners - Y7</t>
        </is>
      </c>
      <c r="B180" s="37">
        <f>'Scenario Parameters'!$B$74</f>
        <v/>
      </c>
      <c r="C180" t="inlineStr">
        <is>
          <t>partners</t>
        </is>
      </c>
      <c r="D180"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1">
      <c r="A181" t="inlineStr">
        <is>
          <t>B2B platform fee</t>
        </is>
      </c>
      <c r="B181" s="33">
        <f>'Scenario Parameters'!$B$75</f>
        <v/>
      </c>
      <c r="C181" t="inlineStr">
        <is>
          <t>% of partner AUM/yr</t>
        </is>
      </c>
      <c r="D181"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182">
      <c r="A182" t="inlineStr">
        <is>
          <t>Average partner user base</t>
        </is>
      </c>
      <c r="B182" s="37">
        <f>'Scenario Parameters'!$B$76</f>
        <v/>
      </c>
      <c r="C182" t="inlineStr">
        <is>
          <t>active users</t>
        </is>
      </c>
      <c r="D182"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83">
      <c r="A183" t="inlineStr">
        <is>
          <t>Partner users adopting gold (mature)</t>
        </is>
      </c>
      <c r="B183" s="34">
        <f>'Scenario Parameters'!$B$77</f>
        <v/>
      </c>
      <c r="C183" t="inlineStr">
        <is>
          <t>% of partner users</t>
        </is>
      </c>
      <c r="D183"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84">
      <c r="A184" t="inlineStr">
        <is>
          <t>AUM per adopting partner user</t>
        </is>
      </c>
      <c r="B184" s="36">
        <f>'Scenario Parameters'!$B$78</f>
        <v/>
      </c>
      <c r="C184" t="inlineStr">
        <is>
          <t>USD</t>
        </is>
      </c>
      <c r="D184"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85">
      <c r="A185" t="inlineStr">
        <is>
          <t>AUM per partner (derived)</t>
        </is>
      </c>
      <c r="B185" s="36">
        <f>'Scenario Parameters'!$B$79</f>
        <v/>
      </c>
      <c r="C185" t="inlineStr">
        <is>
          <t>USD</t>
        </is>
      </c>
      <c r="D185"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86">
      <c r="A186" t="inlineStr">
        <is>
          <t>Average monthly ticket - UAE</t>
        </is>
      </c>
      <c r="B186" s="36">
        <f>'Scenario Parameters'!$B$83</f>
        <v/>
      </c>
      <c r="C186" t="inlineStr">
        <is>
          <t>USD/month</t>
        </is>
      </c>
      <c r="D18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87">
      <c r="A187" t="inlineStr">
        <is>
          <t>Average monthly ticket - Oman and Bahrain</t>
        </is>
      </c>
      <c r="B187" s="36">
        <f>'Scenario Parameters'!$B$84</f>
        <v/>
      </c>
      <c r="C187" t="inlineStr">
        <is>
          <t>USD/month</t>
        </is>
      </c>
      <c r="D18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88">
      <c r="A188" t="inlineStr">
        <is>
          <t>Average monthly ticket - India</t>
        </is>
      </c>
      <c r="B188" s="36">
        <f>'Scenario Parameters'!$B$85</f>
        <v/>
      </c>
      <c r="C188" t="inlineStr">
        <is>
          <t>USD/month</t>
        </is>
      </c>
      <c r="D188"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89">
      <c r="A189" t="inlineStr">
        <is>
          <t>Prepaid instead of credit</t>
        </is>
      </c>
      <c r="B189" s="37">
        <f>'Scenario Parameters'!$B$89</f>
        <v/>
      </c>
      <c r="C189" t="inlineStr">
        <is>
          <t>1/0 switch</t>
        </is>
      </c>
      <c r="D189" t="inlineStr">
        <is>
          <t>ON (Prepaid) caps interchange at 1.00% and removes the credit stream entirely. 'NOT A PRODUCT CHOICE, IT IS THE BUSINESS MODEL.' Worth ~USD 2.3m of Y10 revenue on the ten-year run.</t>
        </is>
      </c>
    </row>
    <row r="190">
      <c r="A190" t="inlineStr">
        <is>
          <t>Holders keep the card</t>
        </is>
      </c>
      <c r="B190" s="37">
        <f>'Scenario Parameters'!$B$90</f>
        <v/>
      </c>
      <c r="C190" t="inlineStr">
        <is>
          <t>1/0 switch</t>
        </is>
      </c>
      <c r="D190" t="inlineStr">
        <is>
          <t>NOBODY HAS DECIDED THIS. It determines whether the card streams - the majority of revenue - decay with churn or are immune to it. Worth a 42% swing in terminal revenue. Default ON because nothing in the design revokes the card; report both.</t>
        </is>
      </c>
    </row>
    <row r="191">
      <c r="A191"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0"/>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9</v>
      </c>
      <c r="E16" s="15" t="n">
        <v>3</v>
      </c>
      <c r="F16" s="23" t="inlineStr">
        <is>
          <t>accounts/agent/month</t>
        </is>
      </c>
      <c r="G16" s="9" t="inlineStr">
        <is>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20">
      <c r="A20" t="inlineStr">
        <is>
          <t>Marketing spend share - UAE</t>
        </is>
      </c>
      <c r="B20" s="40">
        <f>CHOOSE($C$6,C20,D20,E20)</f>
        <v/>
      </c>
      <c r="C20" s="19" t="n">
        <v>0.74</v>
      </c>
      <c r="D20" s="19" t="n">
        <v>0.74</v>
      </c>
      <c r="E20" s="19" t="n">
        <v>0.74</v>
      </c>
      <c r="F20" s="23" t="inlineStr">
        <is>
          <t>% of budget</t>
        </is>
      </c>
      <c r="G20"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1">
      <c r="A21" t="inlineStr">
        <is>
          <t>Marketing spend share - Oman and Bahrain</t>
        </is>
      </c>
      <c r="B21" s="40">
        <f>CHOOSE($C$6,C21,D21,E21)</f>
        <v/>
      </c>
      <c r="C21" s="19" t="n">
        <v>0.18</v>
      </c>
      <c r="D21" s="19" t="n">
        <v>0.18</v>
      </c>
      <c r="E21" s="19" t="n">
        <v>0.18</v>
      </c>
      <c r="F21" s="23" t="inlineStr">
        <is>
          <t>% of budget</t>
        </is>
      </c>
      <c r="G21"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2">
      <c r="A22" t="inlineStr">
        <is>
          <t>Marketing spend share - India</t>
        </is>
      </c>
      <c r="B22" s="40">
        <f>CHOOSE($C$6,C22,D22,E22)</f>
        <v/>
      </c>
      <c r="C22" s="19" t="n">
        <v>0.08</v>
      </c>
      <c r="D22" s="19" t="n">
        <v>0.08</v>
      </c>
      <c r="E22" s="19" t="n">
        <v>0.08</v>
      </c>
      <c r="F22" s="23" t="inlineStr">
        <is>
          <t>% of budget</t>
        </is>
      </c>
      <c r="G22"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ICS BENEFIT ENTITLEMENT - no longer gates ACCESS, only BENEFITS</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reach an ICS benefit tier</t>
        </is>
      </c>
      <c r="B30" s="40">
        <f>CHOOSE($C$6,C30,D30,E30)</f>
        <v/>
      </c>
      <c r="C30" s="19" t="n">
        <v>0.55</v>
      </c>
      <c r="D30" s="19" t="n">
        <v>0.65</v>
      </c>
      <c r="E30" s="19" t="n">
        <v>0.45</v>
      </c>
      <c r="F30" s="23" t="inlineStr">
        <is>
          <t>% of customers</t>
        </is>
      </c>
      <c r="G30" s="9" t="inlineStr">
        <is>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is>
      </c>
    </row>
    <row r="31">
      <c r="A31" t="inlineStr">
        <is>
          <t>Average months to reach an ICS benefit tier</t>
        </is>
      </c>
      <c r="B31" s="31">
        <f>CHOOSE($C$6,C31,D31,E31)</f>
        <v/>
      </c>
      <c r="C31" s="17" t="n">
        <v>8</v>
      </c>
      <c r="D31" s="17" t="n">
        <v>6</v>
      </c>
      <c r="E31" s="17" t="n">
        <v>11</v>
      </c>
      <c r="F31" s="23" t="inlineStr">
        <is>
          <t>months</t>
        </is>
      </c>
      <c r="G31" s="9" t="inlineStr">
        <is>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0.6</v>
      </c>
      <c r="D44" s="19" t="n">
        <v>0.36</v>
      </c>
      <c r="E44" s="19" t="n">
        <v>0.85</v>
      </c>
      <c r="F44" s="23" t="inlineStr">
        <is>
          <t>%</t>
        </is>
      </c>
      <c r="G44" s="9"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45">
      <c r="A45" t="inlineStr">
        <is>
          <t>Facility take-up - customers who take AND use the card</t>
        </is>
      </c>
      <c r="B45" s="40">
        <f>CHOOSE($C$6,C45,D45,E45)</f>
        <v/>
      </c>
      <c r="C45" s="19" t="n">
        <v>0.18</v>
      </c>
      <c r="D45" s="19" t="n">
        <v>0.3</v>
      </c>
      <c r="E45" s="19" t="n">
        <v>0.08</v>
      </c>
      <c r="F45" s="23" t="inlineStr">
        <is>
          <t>% of card-eligible base</t>
        </is>
      </c>
      <c r="G45" s="9" t="inlineStr">
        <is>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REISSUE rate (excludes first issue)</t>
        </is>
      </c>
      <c r="B48" s="41">
        <f>CHOOSE($C$6,C48,D48,E48)</f>
        <v/>
      </c>
      <c r="C48" s="15" t="n">
        <v>0.06</v>
      </c>
      <c r="D48" s="15" t="n">
        <v>0.04</v>
      </c>
      <c r="E48" s="15" t="n">
        <v>0.1</v>
      </c>
      <c r="F48" s="23" t="inlineStr">
        <is>
          <t>reissues/card/yr</t>
        </is>
      </c>
      <c r="G48" s="9" t="inlineStr">
        <is>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0.15</v>
      </c>
      <c r="D64" s="19" t="n">
        <v>0.25</v>
      </c>
      <c r="E64" s="19" t="n">
        <v>0.08</v>
      </c>
      <c r="F64" s="23" t="inlineStr">
        <is>
          <t>% of NEW customers</t>
        </is>
      </c>
      <c r="G64"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B2B platform fee</t>
        </is>
      </c>
      <c r="B75" s="39">
        <f>CHOOSE($C$6,C75,D75,E75)</f>
        <v/>
      </c>
      <c r="C75" s="16" t="n">
        <v>0.0075</v>
      </c>
      <c r="D75" s="16" t="n">
        <v>0.008999999999999999</v>
      </c>
      <c r="E75" s="16" t="n">
        <v>0.005</v>
      </c>
      <c r="F75" s="23" t="inlineStr">
        <is>
          <t>% of partner AUM/yr</t>
        </is>
      </c>
      <c r="G75" s="9"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76">
      <c r="A76" t="inlineStr">
        <is>
          <t>Average partner user base</t>
        </is>
      </c>
      <c r="B76" s="31">
        <f>CHOOSE($C$6,C76,D76,E76)</f>
        <v/>
      </c>
      <c r="C76" s="17" t="n">
        <v>900000</v>
      </c>
      <c r="D76" s="17" t="n">
        <v>1400000</v>
      </c>
      <c r="E76" s="17" t="n">
        <v>500000</v>
      </c>
      <c r="F76" s="23" t="inlineStr">
        <is>
          <t>active users</t>
        </is>
      </c>
      <c r="G76"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77">
      <c r="A77" t="inlineStr">
        <is>
          <t>Partner users adopting gold (mature)</t>
        </is>
      </c>
      <c r="B77" s="40">
        <f>CHOOSE($C$6,C77,D77,E77)</f>
        <v/>
      </c>
      <c r="C77" s="19" t="n">
        <v>0.06</v>
      </c>
      <c r="D77" s="19" t="n">
        <v>0.1</v>
      </c>
      <c r="E77" s="19" t="n">
        <v>0.03</v>
      </c>
      <c r="F77" s="23" t="inlineStr">
        <is>
          <t>% of partner users</t>
        </is>
      </c>
      <c r="G77"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78">
      <c r="A78" t="inlineStr">
        <is>
          <t>AUM per adopting partner user</t>
        </is>
      </c>
      <c r="B78" s="42">
        <f>CHOOSE($C$6,C78,D78,E78)</f>
        <v/>
      </c>
      <c r="C78" s="20" t="n">
        <v>350</v>
      </c>
      <c r="D78" s="20" t="n">
        <v>500</v>
      </c>
      <c r="E78" s="20" t="n">
        <v>220</v>
      </c>
      <c r="F78" s="23" t="inlineStr">
        <is>
          <t>USD</t>
        </is>
      </c>
      <c r="G78"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9">
      <c r="A79" t="inlineStr">
        <is>
          <t>AUM per partner (derived)</t>
        </is>
      </c>
      <c r="B79" s="42">
        <f>'Scenario Parameters'!$B$76*'Scenario Parameters'!$B$77*'Scenario Parameters'!$B$78</f>
        <v/>
      </c>
      <c r="F79" s="23" t="inlineStr">
        <is>
          <t>USD</t>
        </is>
      </c>
      <c r="G79"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1" ht="18" customHeight="1">
      <c r="A81" s="12" t="inlineStr">
        <is>
          <t>GROUP F: REGIONS</t>
        </is>
      </c>
      <c r="B81" s="13" t="n"/>
      <c r="C81" s="13" t="n"/>
      <c r="D81" s="13" t="n"/>
      <c r="E81" s="13" t="n"/>
    </row>
    <row r="82">
      <c r="A82" s="14" t="inlineStr">
        <is>
          <t>Parameter</t>
        </is>
      </c>
      <c r="B82" s="14" t="inlineStr">
        <is>
          <t>Active Value</t>
        </is>
      </c>
      <c r="C82" s="14" t="inlineStr">
        <is>
          <t>Base</t>
        </is>
      </c>
      <c r="D82" s="14" t="inlineStr">
        <is>
          <t>Aggressive</t>
        </is>
      </c>
      <c r="E82" s="14" t="inlineStr">
        <is>
          <t>Conservative</t>
        </is>
      </c>
      <c r="F82" s="14" t="inlineStr">
        <is>
          <t>Unit</t>
        </is>
      </c>
    </row>
    <row r="83">
      <c r="A83" t="inlineStr">
        <is>
          <t>Average monthly ticket - UAE</t>
        </is>
      </c>
      <c r="B83" s="42">
        <f>CHOOSE($C$6,C83,D83,E83)</f>
        <v/>
      </c>
      <c r="C83" s="20" t="n">
        <v>33.6</v>
      </c>
      <c r="D83" s="20" t="n">
        <v>41</v>
      </c>
      <c r="E83" s="20" t="n">
        <v>26.5</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Oman and Bahrain</t>
        </is>
      </c>
      <c r="B84" s="42">
        <f>CHOOSE($C$6,C84,D84,E84)</f>
        <v/>
      </c>
      <c r="C84" s="20" t="n">
        <v>26</v>
      </c>
      <c r="D84" s="20" t="n">
        <v>32</v>
      </c>
      <c r="E84" s="20" t="n">
        <v>21</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5">
      <c r="A85" t="inlineStr">
        <is>
          <t>Average monthly ticket - India</t>
        </is>
      </c>
      <c r="B85" s="42">
        <f>CHOOSE($C$6,C85,D85,E85)</f>
        <v/>
      </c>
      <c r="C85" s="20" t="n">
        <v>30</v>
      </c>
      <c r="D85" s="20" t="n">
        <v>36</v>
      </c>
      <c r="E85" s="20" t="n">
        <v>24</v>
      </c>
      <c r="F85" s="23" t="inlineStr">
        <is>
          <t>USD/month</t>
        </is>
      </c>
      <c r="G8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7" ht="18" customHeight="1">
      <c r="A87" s="12" t="inlineStr">
        <is>
          <t>STRUCTURAL SWITCHES - the two that move revenue</t>
        </is>
      </c>
      <c r="B87" s="13" t="n"/>
      <c r="C87" s="13" t="n"/>
      <c r="D87" s="13" t="n"/>
      <c r="E87" s="13" t="n"/>
    </row>
    <row r="88">
      <c r="A88" s="14" t="inlineStr">
        <is>
          <t>Switch</t>
        </is>
      </c>
      <c r="B88" s="14" t="inlineStr">
        <is>
          <t>Active (1/0)</t>
        </is>
      </c>
      <c r="C88" s="14" t="inlineStr">
        <is>
          <t>State</t>
        </is>
      </c>
      <c r="D88" s="14" t="inlineStr">
        <is>
          <t>ON value</t>
        </is>
      </c>
    </row>
    <row r="89">
      <c r="A89" t="inlineStr">
        <is>
          <t>Prepaid instead of credit</t>
        </is>
      </c>
      <c r="B89" s="31">
        <f>IF($C$89="Prepaid",1,0)</f>
        <v/>
      </c>
      <c r="C89" s="38" t="inlineStr">
        <is>
          <t>Credit</t>
        </is>
      </c>
      <c r="D89" s="23" t="inlineStr">
        <is>
          <t>Prepaid</t>
        </is>
      </c>
      <c r="G89" s="9" t="inlineStr">
        <is>
          <t>ON (Prepaid) caps interchange at 1.00% and removes the credit stream entirely. 'NOT A PRODUCT CHOICE, IT IS THE BUSINESS MODEL.' Worth ~USD 2.3m of Y10 revenue on the ten-year run.</t>
        </is>
      </c>
    </row>
    <row r="90">
      <c r="A90" t="inlineStr">
        <is>
          <t>Holders keep the card</t>
        </is>
      </c>
      <c r="B90" s="31">
        <f>IF($C$90="ON",1,0)</f>
        <v/>
      </c>
      <c r="C90" s="38" t="inlineStr">
        <is>
          <t>ON</t>
        </is>
      </c>
      <c r="D90" s="23" t="inlineStr">
        <is>
          <t>ON</t>
        </is>
      </c>
      <c r="G90"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9" showDropDown="0" showInputMessage="0" showErrorMessage="0" allowBlank="0" type="list">
      <formula1>"Credit,Prepaid"</formula1>
    </dataValidation>
    <dataValidation sqref="C90"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9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(1+(Assumptions!$F$61-1)*Assumptions!$B$144)*12/SUMPRODUCT(1+(Assumptions!$F$61:$Q$61-1)*Assumptions!$B$144)</f>
        <v/>
      </c>
      <c r="D11" s="48">
        <f>(1+(Assumptions!$G$61-1)*Assumptions!$B$144)*12/SUMPRODUCT(1+(Assumptions!$F$61:$Q$61-1)*Assumptions!$B$144)</f>
        <v/>
      </c>
      <c r="E11" s="48">
        <f>(1+(Assumptions!$H$61-1)*Assumptions!$B$144)*12/SUMPRODUCT(1+(Assumptions!$F$61:$Q$61-1)*Assumptions!$B$144)</f>
        <v/>
      </c>
      <c r="F11" s="48">
        <f>(1+(Assumptions!$I$61-1)*Assumptions!$B$144)*12/SUMPRODUCT(1+(Assumptions!$F$61:$Q$61-1)*Assumptions!$B$144)</f>
        <v/>
      </c>
      <c r="G11" s="48">
        <f>(1+(Assumptions!$J$61-1)*Assumptions!$B$144)*12/SUMPRODUCT(1+(Assumptions!$F$61:$Q$61-1)*Assumptions!$B$144)</f>
        <v/>
      </c>
      <c r="H11" s="48">
        <f>(1+(Assumptions!$K$61-1)*Assumptions!$B$144)*12/SUMPRODUCT(1+(Assumptions!$F$61:$Q$61-1)*Assumptions!$B$144)</f>
        <v/>
      </c>
      <c r="I11" s="48">
        <f>(1+(Assumptions!$L$61-1)*Assumptions!$B$144)*12/SUMPRODUCT(1+(Assumptions!$F$61:$Q$61-1)*Assumptions!$B$144)</f>
        <v/>
      </c>
      <c r="J11" s="48">
        <f>(1+(Assumptions!$M$61-1)*Assumptions!$B$144)*12/SUMPRODUCT(1+(Assumptions!$F$61:$Q$61-1)*Assumptions!$B$144)</f>
        <v/>
      </c>
      <c r="K11" s="48">
        <f>(1+(Assumptions!$N$61-1)*Assumptions!$B$144)*12/SUMPRODUCT(1+(Assumptions!$F$61:$Q$61-1)*Assumptions!$B$144)</f>
        <v/>
      </c>
      <c r="L11" s="48">
        <f>(1+(Assumptions!$O$61-1)*Assumptions!$B$144)*12/SUMPRODUCT(1+(Assumptions!$F$61:$Q$61-1)*Assumptions!$B$144)</f>
        <v/>
      </c>
      <c r="M11" s="48">
        <f>(1+(Assumptions!$P$61-1)*Assumptions!$B$144)*12/SUMPRODUCT(1+(Assumptions!$F$61:$Q$61-1)*Assumptions!$B$144)</f>
        <v/>
      </c>
      <c r="N11" s="48">
        <f>(1+(Assumptions!$Q$61-1)*Assumptions!$B$144)*12/SUMPRODUCT(1+(Assumptions!$F$61:$Q$61-1)*Assumptions!$B$144)</f>
        <v/>
      </c>
    </row>
    <row r="12">
      <c r="A12" t="inlineStr">
        <is>
          <t>Card spend seasonality - normalised</t>
        </is>
      </c>
      <c r="B12" s="23" t="inlineStr">
        <is>
          <t>Jan..Dec</t>
        </is>
      </c>
      <c r="C12" s="48">
        <f>(1+(Assumptions!$F$62-1)*Assumptions!$B$144)*12/SUMPRODUCT(1+(Assumptions!$F$62:$Q$62-1)*Assumptions!$B$144)</f>
        <v/>
      </c>
      <c r="D12" s="48">
        <f>(1+(Assumptions!$G$62-1)*Assumptions!$B$144)*12/SUMPRODUCT(1+(Assumptions!$F$62:$Q$62-1)*Assumptions!$B$144)</f>
        <v/>
      </c>
      <c r="E12" s="48">
        <f>(1+(Assumptions!$H$62-1)*Assumptions!$B$144)*12/SUMPRODUCT(1+(Assumptions!$F$62:$Q$62-1)*Assumptions!$B$144)</f>
        <v/>
      </c>
      <c r="F12" s="48">
        <f>(1+(Assumptions!$I$62-1)*Assumptions!$B$144)*12/SUMPRODUCT(1+(Assumptions!$F$62:$Q$62-1)*Assumptions!$B$144)</f>
        <v/>
      </c>
      <c r="G12" s="48">
        <f>(1+(Assumptions!$J$62-1)*Assumptions!$B$144)*12/SUMPRODUCT(1+(Assumptions!$F$62:$Q$62-1)*Assumptions!$B$144)</f>
        <v/>
      </c>
      <c r="H12" s="48">
        <f>(1+(Assumptions!$K$62-1)*Assumptions!$B$144)*12/SUMPRODUCT(1+(Assumptions!$F$62:$Q$62-1)*Assumptions!$B$144)</f>
        <v/>
      </c>
      <c r="I12" s="48">
        <f>(1+(Assumptions!$L$62-1)*Assumptions!$B$144)*12/SUMPRODUCT(1+(Assumptions!$F$62:$Q$62-1)*Assumptions!$B$144)</f>
        <v/>
      </c>
      <c r="J12" s="48">
        <f>(1+(Assumptions!$M$62-1)*Assumptions!$B$144)*12/SUMPRODUCT(1+(Assumptions!$F$62:$Q$62-1)*Assumptions!$B$144)</f>
        <v/>
      </c>
      <c r="K12" s="48">
        <f>(1+(Assumptions!$N$62-1)*Assumptions!$B$144)*12/SUMPRODUCT(1+(Assumptions!$F$62:$Q$62-1)*Assumptions!$B$144)</f>
        <v/>
      </c>
      <c r="L12" s="48">
        <f>(1+(Assumptions!$O$62-1)*Assumptions!$B$144)*12/SUMPRODUCT(1+(Assumptions!$F$62:$Q$62-1)*Assumptions!$B$144)</f>
        <v/>
      </c>
      <c r="M12" s="48">
        <f>(1+(Assumptions!$P$62-1)*Assumptions!$B$144)*12/SUMPRODUCT(1+(Assumptions!$F$62:$Q$62-1)*Assumptions!$B$144)</f>
        <v/>
      </c>
      <c r="N12" s="48">
        <f>(1+(Assumptions!$Q$62-1)*Assumptions!$B$144)*12/SUMPRODUCT(1+(Assumptions!$F$62:$Q$62-1)*Assumptions!$B$144)</f>
        <v/>
      </c>
    </row>
    <row r="13">
      <c r="A13" t="inlineStr">
        <is>
          <t>Foreign-spend share - rescaled to the mean</t>
        </is>
      </c>
      <c r="B13" s="23" t="inlineStr">
        <is>
          <t>Jan..Dec</t>
        </is>
      </c>
      <c r="C13" s="49">
        <f>Assumptions!$F$63/AVERAGE(Assumptions!$F$63:$Q$63)*Assumptions!$B$156</f>
        <v/>
      </c>
      <c r="D13" s="49">
        <f>Assumptions!$G$63/AVERAGE(Assumptions!$F$63:$Q$63)*Assumptions!$B$156</f>
        <v/>
      </c>
      <c r="E13" s="49">
        <f>Assumptions!$H$63/AVERAGE(Assumptions!$F$63:$Q$63)*Assumptions!$B$156</f>
        <v/>
      </c>
      <c r="F13" s="49">
        <f>Assumptions!$I$63/AVERAGE(Assumptions!$F$63:$Q$63)*Assumptions!$B$156</f>
        <v/>
      </c>
      <c r="G13" s="49">
        <f>Assumptions!$J$63/AVERAGE(Assumptions!$F$63:$Q$63)*Assumptions!$B$156</f>
        <v/>
      </c>
      <c r="H13" s="49">
        <f>Assumptions!$K$63/AVERAGE(Assumptions!$F$63:$Q$63)*Assumptions!$B$156</f>
        <v/>
      </c>
      <c r="I13" s="49">
        <f>Assumptions!$L$63/AVERAGE(Assumptions!$F$63:$Q$63)*Assumptions!$B$156</f>
        <v/>
      </c>
      <c r="J13" s="49">
        <f>Assumptions!$M$63/AVERAGE(Assumptions!$F$63:$Q$63)*Assumptions!$B$156</f>
        <v/>
      </c>
      <c r="K13" s="49">
        <f>Assumptions!$N$63/AVERAGE(Assumptions!$F$63:$Q$63)*Assumptions!$B$156</f>
        <v/>
      </c>
      <c r="L13" s="49">
        <f>Assumptions!$O$63/AVERAGE(Assumptions!$F$63:$Q$63)*Assumptions!$B$156</f>
        <v/>
      </c>
      <c r="M13" s="49">
        <f>Assumptions!$P$63/AVERAGE(Assumptions!$F$63:$Q$63)*Assumptions!$B$156</f>
        <v/>
      </c>
      <c r="N13" s="49">
        <f>Assumptions!$Q$63/AVERAGE(Assumptions!$F$63:$Q$63)*Assumptions!$B$156</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s="6" t="inlineStr">
        <is>
          <t>Gold price (this period)</t>
        </is>
      </c>
      <c r="B20" s="23" t="inlineStr">
        <is>
          <t>USD/g</t>
        </is>
      </c>
      <c r="C20" s="53">
        <f>Assumptions!$B$6*(1+Assumptions!$B$131)^(C5-1)</f>
        <v/>
      </c>
      <c r="D20" s="53">
        <f>Assumptions!$B$6*(1+Assumptions!$B$131)^(D5-1)</f>
        <v/>
      </c>
      <c r="E20" s="53">
        <f>Assumptions!$B$6*(1+Assumptions!$B$131)^(E5-1)</f>
        <v/>
      </c>
      <c r="F20" s="53">
        <f>Assumptions!$B$6*(1+Assumptions!$B$131)^(F5-1)</f>
        <v/>
      </c>
      <c r="G20" s="53">
        <f>Assumptions!$B$6*(1+Assumptions!$B$131)^(G5-1)</f>
        <v/>
      </c>
      <c r="H20" s="53">
        <f>Assumptions!$B$6*(1+Assumptions!$B$131)^(H5-1)</f>
        <v/>
      </c>
      <c r="I20" s="53">
        <f>Assumptions!$B$6*(1+Assumptions!$B$131)^(I5-1)</f>
        <v/>
      </c>
      <c r="J20" s="53">
        <f>Assumptions!$B$6*(1+Assumptions!$B$131)^(J5-1)</f>
        <v/>
      </c>
      <c r="K20" s="53">
        <f>Assumptions!$B$6*(1+Assumptions!$B$131)^(K5-1)</f>
        <v/>
      </c>
      <c r="L20" s="53">
        <f>Assumptions!$B$6*(1+Assumptions!$B$131)^(L5-1)</f>
        <v/>
      </c>
      <c r="M20" s="53">
        <f>Assumptions!$B$6*(1+Assumptions!$B$131)^(M5-1)</f>
        <v/>
      </c>
      <c r="N20" s="53">
        <f>Assumptions!$B$6*(1+Assumptions!$B$131)^(N5-1)</f>
        <v/>
      </c>
      <c r="O20" s="53">
        <f>Assumptions!$B$6*(1+Assumptions!$B$131)^(O5-1)</f>
        <v/>
      </c>
      <c r="P20" s="53">
        <f>Assumptions!$B$6*(1+Assumptions!$B$131)^(P5-1)</f>
        <v/>
      </c>
      <c r="Q20" s="53">
        <f>Assumptions!$B$6*(1+Assumptions!$B$131)^(Q5-1)</f>
        <v/>
      </c>
      <c r="R20" s="53">
        <f>Assumptions!$B$6*(1+Assumptions!$B$131)^(R5-1)</f>
        <v/>
      </c>
      <c r="S20" s="53">
        <f>Assumptions!$B$6*(1+Assumptions!$B$131)^(S5-1)</f>
        <v/>
      </c>
      <c r="T20" s="53">
        <f>Assumptions!$B$6*(1+Assumptions!$B$131)^(T5-1)</f>
        <v/>
      </c>
      <c r="U20" s="53">
        <f>Assumptions!$B$6*(1+Assumptions!$B$131)^(U5-1)</f>
        <v/>
      </c>
      <c r="V20" s="53">
        <f>Assumptions!$B$6*(1+Assumptions!$B$131)^(V5-1)</f>
        <v/>
      </c>
      <c r="W20" s="53">
        <f>Assumptions!$B$6*(1+Assumptions!$B$131)^(W5-1)</f>
        <v/>
      </c>
      <c r="X20" s="53">
        <f>Assumptions!$B$6*(1+Assumptions!$B$131)^(X5-1)</f>
        <v/>
      </c>
      <c r="Y20" s="53">
        <f>Assumptions!$B$6*(1+Assumptions!$B$131)^(Y5-1)</f>
        <v/>
      </c>
      <c r="Z20" s="53">
        <f>Assumptions!$B$6*(1+Assumptions!$B$131)^(Z5-1)</f>
        <v/>
      </c>
      <c r="AA20" s="53">
        <f>Assumptions!$B$6*(1+Assumptions!$B$131)^(AA5-1)</f>
        <v/>
      </c>
      <c r="AB20" s="53">
        <f>Assumptions!$B$6*(1+Assumptions!$B$131)^(AB5-1)</f>
        <v/>
      </c>
      <c r="AC20" s="53">
        <f>Assumptions!$B$6*(1+Assumptions!$B$131)^(AC5-1)</f>
        <v/>
      </c>
      <c r="AD20" s="53">
        <f>Assumptions!$B$6*(1+Assumptions!$B$131)^(AD5-1)</f>
        <v/>
      </c>
      <c r="AE20" s="53">
        <f>Assumptions!$B$6*(1+Assumptions!$B$131)^(AE5-1)</f>
        <v/>
      </c>
    </row>
    <row r="21">
      <c r="A21"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2">
      <c r="A22" s="46" t="inlineStr">
        <is>
          <t>REGION: UAE</t>
        </is>
      </c>
      <c r="B22" s="47" t="n"/>
      <c r="C22" s="47" t="n"/>
      <c r="D22" s="47" t="n"/>
      <c r="E22" s="47" t="n"/>
      <c r="F22" s="47" t="n"/>
      <c r="G22" s="47" t="n"/>
      <c r="H22" s="47" t="n"/>
      <c r="I22" s="47" t="n"/>
      <c r="J22" s="47" t="n"/>
      <c r="K22" s="47" t="n"/>
      <c r="L22" s="47" t="n"/>
      <c r="M22" s="47" t="n"/>
      <c r="N22" s="47" t="n"/>
      <c r="O22" s="47" t="n"/>
      <c r="P22" s="47" t="n"/>
      <c r="Q22" s="47" t="n"/>
      <c r="R22" s="47" t="n"/>
      <c r="S22" s="47" t="n"/>
      <c r="T22" s="47" t="n"/>
      <c r="U22" s="47" t="n"/>
      <c r="V22" s="47" t="n"/>
      <c r="W22" s="47" t="n"/>
      <c r="X22" s="47" t="n"/>
      <c r="Y22" s="47" t="n"/>
      <c r="Z22" s="47" t="n"/>
      <c r="AA22" s="47" t="n"/>
      <c r="AB22" s="47" t="n"/>
      <c r="AC22" s="47" t="n"/>
      <c r="AD22" s="47" t="n"/>
      <c r="AE22" s="47" t="n"/>
    </row>
    <row r="23">
      <c r="A23" s="6" t="inlineStr">
        <is>
          <t xml:space="preserve">  Direct-driven (this market's budget at its own CAC)</t>
        </is>
      </c>
      <c r="B23" s="23" t="inlineStr">
        <is>
          <t>accounts</t>
        </is>
      </c>
      <c r="C23" s="53">
        <f>INDEX(Assumptions!$B$114:$B$120,C5)*Assumptions!$B$138/12*C7/Assumptions!$B$135*(1+Assumptions!$B$143)*1</f>
        <v/>
      </c>
      <c r="D23" s="53">
        <f>INDEX(Assumptions!$B$114:$B$120,D5)*Assumptions!$B$138/12*D7/Assumptions!$B$135*(1+Assumptions!$B$143)*1</f>
        <v/>
      </c>
      <c r="E23" s="53">
        <f>INDEX(Assumptions!$B$114:$B$120,E5)*Assumptions!$B$138/12*E7/Assumptions!$B$135*(1+Assumptions!$B$143)*1</f>
        <v/>
      </c>
      <c r="F23" s="53">
        <f>INDEX(Assumptions!$B$114:$B$120,F5)*Assumptions!$B$138/12*F7/Assumptions!$B$135*(1+Assumptions!$B$143)*1</f>
        <v/>
      </c>
      <c r="G23" s="53">
        <f>INDEX(Assumptions!$B$114:$B$120,G5)*Assumptions!$B$138/12*G7/Assumptions!$B$135*(1+Assumptions!$B$143)*1</f>
        <v/>
      </c>
      <c r="H23" s="53">
        <f>INDEX(Assumptions!$B$114:$B$120,H5)*Assumptions!$B$138/12*H7/Assumptions!$B$135*(1+Assumptions!$B$143)*1</f>
        <v/>
      </c>
      <c r="I23" s="53">
        <f>INDEX(Assumptions!$B$114:$B$120,I5)*Assumptions!$B$138/12*I7/Assumptions!$B$135*(1+Assumptions!$B$143)*1</f>
        <v/>
      </c>
      <c r="J23" s="53">
        <f>INDEX(Assumptions!$B$114:$B$120,J5)*Assumptions!$B$138/12*J7/Assumptions!$B$135*(1+Assumptions!$B$143)*1</f>
        <v/>
      </c>
      <c r="K23" s="53">
        <f>INDEX(Assumptions!$B$114:$B$120,K5)*Assumptions!$B$138/12*K7/Assumptions!$B$135*(1+Assumptions!$B$143)*1</f>
        <v/>
      </c>
      <c r="L23" s="53">
        <f>INDEX(Assumptions!$B$114:$B$120,L5)*Assumptions!$B$138/12*L7/Assumptions!$B$135*(1+Assumptions!$B$143)*1</f>
        <v/>
      </c>
      <c r="M23" s="53">
        <f>INDEX(Assumptions!$B$114:$B$120,M5)*Assumptions!$B$138/12*M7/Assumptions!$B$135*(1+Assumptions!$B$143)*1</f>
        <v/>
      </c>
      <c r="N23" s="53">
        <f>INDEX(Assumptions!$B$114:$B$120,N5)*Assumptions!$B$138/12*N7/Assumptions!$B$135*(1+Assumptions!$B$143)*1</f>
        <v/>
      </c>
      <c r="O23" s="53">
        <f>INDEX(Assumptions!$B$114:$B$120,O5)*Assumptions!$B$138/12*O7/Assumptions!$B$135*(1+Assumptions!$B$143)*1</f>
        <v/>
      </c>
      <c r="P23" s="53">
        <f>INDEX(Assumptions!$B$114:$B$120,P5)*Assumptions!$B$138/12*P7/Assumptions!$B$135*(1+Assumptions!$B$143)*1</f>
        <v/>
      </c>
      <c r="Q23" s="53">
        <f>INDEX(Assumptions!$B$114:$B$120,Q5)*Assumptions!$B$138/12*Q7/Assumptions!$B$135*(1+Assumptions!$B$143)*1</f>
        <v/>
      </c>
      <c r="R23" s="53">
        <f>INDEX(Assumptions!$B$114:$B$120,R5)*Assumptions!$B$138/12*R7/Assumptions!$B$135*(1+Assumptions!$B$143)*1</f>
        <v/>
      </c>
      <c r="S23" s="53">
        <f>INDEX(Assumptions!$B$114:$B$120,S5)*Assumptions!$B$138/12*S7/Assumptions!$B$135*(1+Assumptions!$B$143)*1</f>
        <v/>
      </c>
      <c r="T23" s="53">
        <f>INDEX(Assumptions!$B$114:$B$120,T5)*Assumptions!$B$138/12*T7/Assumptions!$B$135*(1+Assumptions!$B$143)*1</f>
        <v/>
      </c>
      <c r="U23" s="53">
        <f>INDEX(Assumptions!$B$114:$B$120,U5)*Assumptions!$B$138/12*U7/Assumptions!$B$135*(1+Assumptions!$B$143)*1</f>
        <v/>
      </c>
      <c r="V23" s="53">
        <f>INDEX(Assumptions!$B$114:$B$120,V5)*Assumptions!$B$138/12*V7/Assumptions!$B$135*(1+Assumptions!$B$143)*1</f>
        <v/>
      </c>
      <c r="W23" s="53">
        <f>INDEX(Assumptions!$B$114:$B$120,W5)*Assumptions!$B$138/12*W7/Assumptions!$B$135*(1+Assumptions!$B$143)*1</f>
        <v/>
      </c>
      <c r="X23" s="53">
        <f>INDEX(Assumptions!$B$114:$B$120,X5)*Assumptions!$B$138/12*X7/Assumptions!$B$135*(1+Assumptions!$B$143)*1</f>
        <v/>
      </c>
      <c r="Y23" s="53">
        <f>INDEX(Assumptions!$B$114:$B$120,Y5)*Assumptions!$B$138/12*Y7/Assumptions!$B$135*(1+Assumptions!$B$143)*1</f>
        <v/>
      </c>
      <c r="Z23" s="53">
        <f>INDEX(Assumptions!$B$114:$B$120,Z5)*Assumptions!$B$138/12*Z7/Assumptions!$B$135*(1+Assumptions!$B$143)*1</f>
        <v/>
      </c>
      <c r="AA23" s="53">
        <f>INDEX(Assumptions!$B$114:$B$120,AA5)*Assumptions!$B$138/12*AA7/Assumptions!$B$135*(1+Assumptions!$B$143)*1</f>
        <v/>
      </c>
      <c r="AB23" s="53">
        <f>INDEX(Assumptions!$B$114:$B$120,AB5)*Assumptions!$B$138/12*AB7/Assumptions!$B$135*(1+Assumptions!$B$143)*1</f>
        <v/>
      </c>
      <c r="AC23" s="53">
        <f>INDEX(Assumptions!$B$114:$B$120,AC5)*Assumptions!$B$138/12*AC7/Assumptions!$B$135*(1+Assumptions!$B$143)*1</f>
        <v/>
      </c>
      <c r="AD23" s="53">
        <f>INDEX(Assumptions!$B$114:$B$120,AD5)*Assumptions!$B$138/12*AD7/Assumptions!$B$135*(1+Assumptions!$B$143)*1</f>
        <v/>
      </c>
      <c r="AE23" s="53">
        <f>INDEX(Assumptions!$B$114:$B$120,AE5)*Assumptions!$B$138/12*AE7/Assumptions!$B$135*(1+Assumptions!$B$143)*1</f>
        <v/>
      </c>
    </row>
    <row r="24">
      <c r="A24" s="6" t="inlineStr">
        <is>
          <t xml:space="preserve">  Referral-driven (from this market's own base)</t>
        </is>
      </c>
      <c r="B24" s="23" t="inlineStr">
        <is>
          <t>accounts</t>
        </is>
      </c>
      <c r="C24" s="54" t="n">
        <v>0</v>
      </c>
      <c r="D24" s="54">
        <f>IF(D2&gt;=Assumptions!$B$55,C29*Assumptions!$B$141/12*Assumptions!$B$142*D7,0)</f>
        <v/>
      </c>
      <c r="E24" s="54">
        <f>IF(E2&gt;=Assumptions!$B$55,D29*Assumptions!$B$141/12*Assumptions!$B$142*E7,0)</f>
        <v/>
      </c>
      <c r="F24" s="54">
        <f>IF(F2&gt;=Assumptions!$B$55,E29*Assumptions!$B$141/12*Assumptions!$B$142*F7,0)</f>
        <v/>
      </c>
      <c r="G24" s="54">
        <f>IF(G2&gt;=Assumptions!$B$55,F29*Assumptions!$B$141/12*Assumptions!$B$142*G7,0)</f>
        <v/>
      </c>
      <c r="H24" s="54">
        <f>IF(H2&gt;=Assumptions!$B$55,G29*Assumptions!$B$141/12*Assumptions!$B$142*H7,0)</f>
        <v/>
      </c>
      <c r="I24" s="54">
        <f>IF(I2&gt;=Assumptions!$B$55,H29*Assumptions!$B$141/12*Assumptions!$B$142*I7,0)</f>
        <v/>
      </c>
      <c r="J24" s="54">
        <f>IF(J2&gt;=Assumptions!$B$55,I29*Assumptions!$B$141/12*Assumptions!$B$142*J7,0)</f>
        <v/>
      </c>
      <c r="K24" s="54">
        <f>IF(K2&gt;=Assumptions!$B$55,J29*Assumptions!$B$141/12*Assumptions!$B$142*K7,0)</f>
        <v/>
      </c>
      <c r="L24" s="54">
        <f>IF(L2&gt;=Assumptions!$B$55,K29*Assumptions!$B$141/12*Assumptions!$B$142*L7,0)</f>
        <v/>
      </c>
      <c r="M24" s="54">
        <f>IF(M2&gt;=Assumptions!$B$55,L29*Assumptions!$B$141/12*Assumptions!$B$142*M7,0)</f>
        <v/>
      </c>
      <c r="N24" s="54">
        <f>IF(N2&gt;=Assumptions!$B$55,M29*Assumptions!$B$141/12*Assumptions!$B$142*N7,0)</f>
        <v/>
      </c>
      <c r="O24" s="54">
        <f>IF(O2&gt;=Assumptions!$B$55,N29*Assumptions!$B$141/12*Assumptions!$B$142*O7,0)</f>
        <v/>
      </c>
      <c r="P24" s="54">
        <f>IF(P2&gt;=Assumptions!$B$55,O29*Assumptions!$B$141/12*Assumptions!$B$142*P7,0)</f>
        <v/>
      </c>
      <c r="Q24" s="54">
        <f>IF(Q2&gt;=Assumptions!$B$55,P29*Assumptions!$B$141/12*Assumptions!$B$142*Q7,0)</f>
        <v/>
      </c>
      <c r="R24" s="54">
        <f>IF(R2&gt;=Assumptions!$B$55,Q29*Assumptions!$B$141/12*Assumptions!$B$142*R7,0)</f>
        <v/>
      </c>
      <c r="S24" s="54">
        <f>IF(S2&gt;=Assumptions!$B$55,R29*Assumptions!$B$141/12*Assumptions!$B$142*S7,0)</f>
        <v/>
      </c>
      <c r="T24" s="54">
        <f>IF(T2&gt;=Assumptions!$B$55,S29*Assumptions!$B$141/12*Assumptions!$B$142*T7,0)</f>
        <v/>
      </c>
      <c r="U24" s="54">
        <f>IF(U2&gt;=Assumptions!$B$55,T29*Assumptions!$B$141/12*Assumptions!$B$142*U7,0)</f>
        <v/>
      </c>
      <c r="V24" s="54">
        <f>IF(V2&gt;=Assumptions!$B$55,U29*Assumptions!$B$141/12*Assumptions!$B$142*V7,0)</f>
        <v/>
      </c>
      <c r="W24" s="54">
        <f>IF(W2&gt;=Assumptions!$B$55,V29*Assumptions!$B$141/12*Assumptions!$B$142*W7,0)</f>
        <v/>
      </c>
      <c r="X24" s="54">
        <f>IF(X2&gt;=Assumptions!$B$55,W29*Assumptions!$B$141/12*Assumptions!$B$142*X7,0)</f>
        <v/>
      </c>
      <c r="Y24" s="54">
        <f>IF(Y2&gt;=Assumptions!$B$55,X29*Assumptions!$B$141/12*Assumptions!$B$142*Y7,0)</f>
        <v/>
      </c>
      <c r="Z24" s="54">
        <f>IF(Z2&gt;=Assumptions!$B$55,Y29*Assumptions!$B$141/12*Assumptions!$B$142*Z7,0)</f>
        <v/>
      </c>
      <c r="AA24" s="54">
        <f>IF(AA2&gt;=Assumptions!$B$55,Z29*Assumptions!$B$141/12*Assumptions!$B$142*AA7,0)</f>
        <v/>
      </c>
      <c r="AB24" s="54">
        <f>IF(AB2&gt;=Assumptions!$B$55,AA29*Assumptions!$B$141/12*Assumptions!$B$142*AB7,0)</f>
        <v/>
      </c>
      <c r="AC24" s="54">
        <f>IF(AC2&gt;=Assumptions!$B$55,AB29*Assumptions!$B$141/12*Assumptions!$B$142*AC7,0)</f>
        <v/>
      </c>
      <c r="AD24" s="54">
        <f>IF(AD2&gt;=Assumptions!$B$55,AC29*Assumptions!$B$141/12*Assumptions!$B$142*AD7,0)</f>
        <v/>
      </c>
      <c r="AE24" s="54">
        <f>IF(AE2&gt;=Assumptions!$B$55,AD29*Assumptions!$B$141/12*Assumptions!$B$142*AE7,0)</f>
        <v/>
      </c>
    </row>
    <row r="25">
      <c r="A25" s="6" t="inlineStr">
        <is>
          <t xml:space="preserve">  Agent-driven (this market's own agents)</t>
        </is>
      </c>
      <c r="B25" s="23" t="inlineStr">
        <is>
          <t>accounts</t>
        </is>
      </c>
      <c r="C25" s="53">
        <f>INDEX(Assumptions!$B$93:$B$99,C5)*Assumptions!$B$134*INDEX(Assumptions!$B$121:$B$127,C5)*C7*1</f>
        <v/>
      </c>
      <c r="D25" s="53">
        <f>INDEX(Assumptions!$B$93:$B$99,D5)*Assumptions!$B$134*INDEX(Assumptions!$B$121:$B$127,D5)*D7*1</f>
        <v/>
      </c>
      <c r="E25" s="53">
        <f>INDEX(Assumptions!$B$93:$B$99,E5)*Assumptions!$B$134*INDEX(Assumptions!$B$121:$B$127,E5)*E7*1</f>
        <v/>
      </c>
      <c r="F25" s="53">
        <f>INDEX(Assumptions!$B$93:$B$99,F5)*Assumptions!$B$134*INDEX(Assumptions!$B$121:$B$127,F5)*F7*1</f>
        <v/>
      </c>
      <c r="G25" s="53">
        <f>INDEX(Assumptions!$B$93:$B$99,G5)*Assumptions!$B$134*INDEX(Assumptions!$B$121:$B$127,G5)*G7*1</f>
        <v/>
      </c>
      <c r="H25" s="53">
        <f>INDEX(Assumptions!$B$93:$B$99,H5)*Assumptions!$B$134*INDEX(Assumptions!$B$121:$B$127,H5)*H7*1</f>
        <v/>
      </c>
      <c r="I25" s="53">
        <f>INDEX(Assumptions!$B$93:$B$99,I5)*Assumptions!$B$134*INDEX(Assumptions!$B$121:$B$127,I5)*I7*1</f>
        <v/>
      </c>
      <c r="J25" s="53">
        <f>INDEX(Assumptions!$B$93:$B$99,J5)*Assumptions!$B$134*INDEX(Assumptions!$B$121:$B$127,J5)*J7*1</f>
        <v/>
      </c>
      <c r="K25" s="53">
        <f>INDEX(Assumptions!$B$93:$B$99,K5)*Assumptions!$B$134*INDEX(Assumptions!$B$121:$B$127,K5)*K7*1</f>
        <v/>
      </c>
      <c r="L25" s="53">
        <f>INDEX(Assumptions!$B$93:$B$99,L5)*Assumptions!$B$134*INDEX(Assumptions!$B$121:$B$127,L5)*L7*1</f>
        <v/>
      </c>
      <c r="M25" s="53">
        <f>INDEX(Assumptions!$B$93:$B$99,M5)*Assumptions!$B$134*INDEX(Assumptions!$B$121:$B$127,M5)*M7*1</f>
        <v/>
      </c>
      <c r="N25" s="53">
        <f>INDEX(Assumptions!$B$93:$B$99,N5)*Assumptions!$B$134*INDEX(Assumptions!$B$121:$B$127,N5)*N7*1</f>
        <v/>
      </c>
      <c r="O25" s="53">
        <f>INDEX(Assumptions!$B$93:$B$99,O5)*Assumptions!$B$134*INDEX(Assumptions!$B$121:$B$127,O5)*O7*1</f>
        <v/>
      </c>
      <c r="P25" s="53">
        <f>INDEX(Assumptions!$B$93:$B$99,P5)*Assumptions!$B$134*INDEX(Assumptions!$B$121:$B$127,P5)*P7*1</f>
        <v/>
      </c>
      <c r="Q25" s="53">
        <f>INDEX(Assumptions!$B$93:$B$99,Q5)*Assumptions!$B$134*INDEX(Assumptions!$B$121:$B$127,Q5)*Q7*1</f>
        <v/>
      </c>
      <c r="R25" s="53">
        <f>INDEX(Assumptions!$B$93:$B$99,R5)*Assumptions!$B$134*INDEX(Assumptions!$B$121:$B$127,R5)*R7*1</f>
        <v/>
      </c>
      <c r="S25" s="53">
        <f>INDEX(Assumptions!$B$93:$B$99,S5)*Assumptions!$B$134*INDEX(Assumptions!$B$121:$B$127,S5)*S7*1</f>
        <v/>
      </c>
      <c r="T25" s="53">
        <f>INDEX(Assumptions!$B$93:$B$99,T5)*Assumptions!$B$134*INDEX(Assumptions!$B$121:$B$127,T5)*T7*1</f>
        <v/>
      </c>
      <c r="U25" s="53">
        <f>INDEX(Assumptions!$B$93:$B$99,U5)*Assumptions!$B$134*INDEX(Assumptions!$B$121:$B$127,U5)*U7*1</f>
        <v/>
      </c>
      <c r="V25" s="53">
        <f>INDEX(Assumptions!$B$93:$B$99,V5)*Assumptions!$B$134*INDEX(Assumptions!$B$121:$B$127,V5)*V7*1</f>
        <v/>
      </c>
      <c r="W25" s="53">
        <f>INDEX(Assumptions!$B$93:$B$99,W5)*Assumptions!$B$134*INDEX(Assumptions!$B$121:$B$127,W5)*W7*1</f>
        <v/>
      </c>
      <c r="X25" s="53">
        <f>INDEX(Assumptions!$B$93:$B$99,X5)*Assumptions!$B$134*INDEX(Assumptions!$B$121:$B$127,X5)*X7*1</f>
        <v/>
      </c>
      <c r="Y25" s="53">
        <f>INDEX(Assumptions!$B$93:$B$99,Y5)*Assumptions!$B$134*INDEX(Assumptions!$B$121:$B$127,Y5)*Y7*1</f>
        <v/>
      </c>
      <c r="Z25" s="53">
        <f>INDEX(Assumptions!$B$93:$B$99,Z5)*Assumptions!$B$134*INDEX(Assumptions!$B$121:$B$127,Z5)*Z7*1</f>
        <v/>
      </c>
      <c r="AA25" s="53">
        <f>INDEX(Assumptions!$B$93:$B$99,AA5)*Assumptions!$B$134*INDEX(Assumptions!$B$121:$B$127,AA5)*AA7*1</f>
        <v/>
      </c>
      <c r="AB25" s="53">
        <f>INDEX(Assumptions!$B$93:$B$99,AB5)*Assumptions!$B$134*INDEX(Assumptions!$B$121:$B$127,AB5)*AB7*1</f>
        <v/>
      </c>
      <c r="AC25" s="53">
        <f>INDEX(Assumptions!$B$93:$B$99,AC5)*Assumptions!$B$134*INDEX(Assumptions!$B$121:$B$127,AC5)*AC7*1</f>
        <v/>
      </c>
      <c r="AD25" s="53">
        <f>INDEX(Assumptions!$B$93:$B$99,AD5)*Assumptions!$B$134*INDEX(Assumptions!$B$121:$B$127,AD5)*AD7*1</f>
        <v/>
      </c>
      <c r="AE25" s="53">
        <f>INDEX(Assumptions!$B$93:$B$99,AE5)*Assumptions!$B$134*INDEX(Assumptions!$B$121:$B$127,AE5)*AE7*1</f>
        <v/>
      </c>
    </row>
    <row r="26">
      <c r="A26" s="6" t="inlineStr">
        <is>
          <t xml:space="preserve">  Raw demand</t>
        </is>
      </c>
      <c r="B26" s="23" t="inlineStr">
        <is>
          <t>accounts</t>
        </is>
      </c>
      <c r="C26" s="54">
        <f>C23+C24+C25</f>
        <v/>
      </c>
      <c r="D26" s="54">
        <f>D23+D24+D25</f>
        <v/>
      </c>
      <c r="E26" s="54">
        <f>E23+E24+E25</f>
        <v/>
      </c>
      <c r="F26" s="54">
        <f>F23+F24+F25</f>
        <v/>
      </c>
      <c r="G26" s="54">
        <f>G23+G24+G25</f>
        <v/>
      </c>
      <c r="H26" s="54">
        <f>H23+H24+H25</f>
        <v/>
      </c>
      <c r="I26" s="54">
        <f>I23+I24+I25</f>
        <v/>
      </c>
      <c r="J26" s="54">
        <f>J23+J24+J25</f>
        <v/>
      </c>
      <c r="K26" s="54">
        <f>K23+K24+K25</f>
        <v/>
      </c>
      <c r="L26" s="54">
        <f>L23+L24+L25</f>
        <v/>
      </c>
      <c r="M26" s="54">
        <f>M23+M24+M25</f>
        <v/>
      </c>
      <c r="N26" s="54">
        <f>N23+N24+N25</f>
        <v/>
      </c>
      <c r="O26" s="54">
        <f>O23+O24+O25</f>
        <v/>
      </c>
      <c r="P26" s="54">
        <f>P23+P24+P25</f>
        <v/>
      </c>
      <c r="Q26" s="54">
        <f>Q23+Q24+Q25</f>
        <v/>
      </c>
      <c r="R26" s="54">
        <f>R23+R24+R25</f>
        <v/>
      </c>
      <c r="S26" s="54">
        <f>S23+S24+S25</f>
        <v/>
      </c>
      <c r="T26" s="54">
        <f>T23+T24+T25</f>
        <v/>
      </c>
      <c r="U26" s="54">
        <f>U23+U24+U25</f>
        <v/>
      </c>
      <c r="V26" s="54">
        <f>V23+V24+V25</f>
        <v/>
      </c>
      <c r="W26" s="54">
        <f>W23+W24+W25</f>
        <v/>
      </c>
      <c r="X26" s="54">
        <f>X23+X24+X25</f>
        <v/>
      </c>
      <c r="Y26" s="54">
        <f>Y23+Y24+Y25</f>
        <v/>
      </c>
      <c r="Z26" s="54">
        <f>Z23+Z24+Z25</f>
        <v/>
      </c>
      <c r="AA26" s="54">
        <f>AA23+AA24+AA25</f>
        <v/>
      </c>
      <c r="AB26" s="54">
        <f>AB23+AB24+AB25</f>
        <v/>
      </c>
      <c r="AC26" s="54">
        <f>AC23+AC24+AC25</f>
        <v/>
      </c>
      <c r="AD26" s="54">
        <f>AD23+AD24+AD25</f>
        <v/>
      </c>
      <c r="AE26" s="54">
        <f>AE23+AE24+AE25</f>
        <v/>
      </c>
    </row>
    <row r="27">
      <c r="A27" s="6" t="inlineStr">
        <is>
          <t xml:space="preserve">  Saturation (this region's own headroom)</t>
        </is>
      </c>
      <c r="B27" s="23" t="inlineStr">
        <is>
          <t>x</t>
        </is>
      </c>
      <c r="C27" s="51" t="n">
        <v>1</v>
      </c>
      <c r="D27" s="51">
        <f>MAX(0,1-C32/Assumptions!$B$84)</f>
        <v/>
      </c>
      <c r="E27" s="51">
        <f>MAX(0,1-D32/Assumptions!$B$84)</f>
        <v/>
      </c>
      <c r="F27" s="51">
        <f>MAX(0,1-E32/Assumptions!$B$84)</f>
        <v/>
      </c>
      <c r="G27" s="51">
        <f>MAX(0,1-F32/Assumptions!$B$84)</f>
        <v/>
      </c>
      <c r="H27" s="51">
        <f>MAX(0,1-G32/Assumptions!$B$84)</f>
        <v/>
      </c>
      <c r="I27" s="51">
        <f>MAX(0,1-H32/Assumptions!$B$84)</f>
        <v/>
      </c>
      <c r="J27" s="51">
        <f>MAX(0,1-I32/Assumptions!$B$84)</f>
        <v/>
      </c>
      <c r="K27" s="51">
        <f>MAX(0,1-J32/Assumptions!$B$84)</f>
        <v/>
      </c>
      <c r="L27" s="51">
        <f>MAX(0,1-K32/Assumptions!$B$84)</f>
        <v/>
      </c>
      <c r="M27" s="51">
        <f>MAX(0,1-L32/Assumptions!$B$84)</f>
        <v/>
      </c>
      <c r="N27" s="51">
        <f>MAX(0,1-M32/Assumptions!$B$84)</f>
        <v/>
      </c>
      <c r="O27" s="51">
        <f>MAX(0,1-N32/Assumptions!$B$84)</f>
        <v/>
      </c>
      <c r="P27" s="51">
        <f>MAX(0,1-O32/Assumptions!$B$84)</f>
        <v/>
      </c>
      <c r="Q27" s="51">
        <f>MAX(0,1-P32/Assumptions!$B$84)</f>
        <v/>
      </c>
      <c r="R27" s="51">
        <f>MAX(0,1-Q32/Assumptions!$B$84)</f>
        <v/>
      </c>
      <c r="S27" s="51">
        <f>MAX(0,1-R32/Assumptions!$B$84)</f>
        <v/>
      </c>
      <c r="T27" s="51">
        <f>MAX(0,1-S32/Assumptions!$B$84)</f>
        <v/>
      </c>
      <c r="U27" s="51">
        <f>MAX(0,1-T32/Assumptions!$B$84)</f>
        <v/>
      </c>
      <c r="V27" s="51">
        <f>MAX(0,1-U32/Assumptions!$B$84)</f>
        <v/>
      </c>
      <c r="W27" s="51">
        <f>MAX(0,1-V32/Assumptions!$B$84)</f>
        <v/>
      </c>
      <c r="X27" s="51">
        <f>MAX(0,1-W32/Assumptions!$B$84)</f>
        <v/>
      </c>
      <c r="Y27" s="51">
        <f>MAX(0,1-X32/Assumptions!$B$84)</f>
        <v/>
      </c>
      <c r="Z27" s="51">
        <f>MAX(0,1-Y32/Assumptions!$B$84)</f>
        <v/>
      </c>
      <c r="AA27" s="51">
        <f>MAX(0,1-Z32/Assumptions!$B$84)</f>
        <v/>
      </c>
      <c r="AB27" s="51">
        <f>MAX(0,1-AA32/Assumptions!$B$84)</f>
        <v/>
      </c>
      <c r="AC27" s="51">
        <f>MAX(0,1-AB32/Assumptions!$B$84)</f>
        <v/>
      </c>
      <c r="AD27" s="51">
        <f>MAX(0,1-AC32/Assumptions!$B$84)</f>
        <v/>
      </c>
      <c r="AE27" s="51">
        <f>MAX(0,1-AD32/Assumptions!$B$84)</f>
        <v/>
      </c>
    </row>
    <row r="28">
      <c r="A28" s="6" t="inlineStr">
        <is>
          <t xml:space="preserve">  New customers</t>
        </is>
      </c>
      <c r="B28" s="23" t="inlineStr">
        <is>
          <t>accounts</t>
        </is>
      </c>
      <c r="C28" s="54">
        <f>C26*C27*C15</f>
        <v/>
      </c>
      <c r="D28" s="54">
        <f>D26*D27*D15</f>
        <v/>
      </c>
      <c r="E28" s="54">
        <f>E26*E27*E15</f>
        <v/>
      </c>
      <c r="F28" s="54">
        <f>F26*F27*F15</f>
        <v/>
      </c>
      <c r="G28" s="54">
        <f>G26*G27*G15</f>
        <v/>
      </c>
      <c r="H28" s="54">
        <f>H26*H27*H15</f>
        <v/>
      </c>
      <c r="I28" s="54">
        <f>I26*I27*I15</f>
        <v/>
      </c>
      <c r="J28" s="54">
        <f>J26*J27*J15</f>
        <v/>
      </c>
      <c r="K28" s="54">
        <f>K26*K27*K15</f>
        <v/>
      </c>
      <c r="L28" s="54">
        <f>L26*L27*L15</f>
        <v/>
      </c>
      <c r="M28" s="54">
        <f>M26*M27*M15</f>
        <v/>
      </c>
      <c r="N28" s="54">
        <f>N26*N27*N15</f>
        <v/>
      </c>
      <c r="O28" s="54">
        <f>O26*O27*O15</f>
        <v/>
      </c>
      <c r="P28" s="54">
        <f>P26*P27*P15</f>
        <v/>
      </c>
      <c r="Q28" s="54">
        <f>Q26*Q27*Q15</f>
        <v/>
      </c>
      <c r="R28" s="54">
        <f>R26*R27*R15</f>
        <v/>
      </c>
      <c r="S28" s="54">
        <f>S26*S27*S15</f>
        <v/>
      </c>
      <c r="T28" s="54">
        <f>T26*T27*T15</f>
        <v/>
      </c>
      <c r="U28" s="54">
        <f>U26*U27*U15</f>
        <v/>
      </c>
      <c r="V28" s="54">
        <f>V26*V27*V15</f>
        <v/>
      </c>
      <c r="W28" s="54">
        <f>W26*W27*W15</f>
        <v/>
      </c>
      <c r="X28" s="54">
        <f>X26*X27*X15</f>
        <v/>
      </c>
      <c r="Y28" s="54">
        <f>Y26*Y27*Y15</f>
        <v/>
      </c>
      <c r="Z28" s="54">
        <f>Z26*Z27*Z15</f>
        <v/>
      </c>
      <c r="AA28" s="54">
        <f>AA26*AA27*AA15</f>
        <v/>
      </c>
      <c r="AB28" s="54">
        <f>AB26*AB27*AB15</f>
        <v/>
      </c>
      <c r="AC28" s="54">
        <f>AC26*AC27*AC15</f>
        <v/>
      </c>
      <c r="AD28" s="54">
        <f>AD26*AD27*AD15</f>
        <v/>
      </c>
      <c r="AE28" s="54">
        <f>AE26*AE27*AE15</f>
        <v/>
      </c>
    </row>
    <row r="29">
      <c r="A29" s="6" t="inlineStr">
        <is>
          <t xml:space="preserve">  Paying customers</t>
        </is>
      </c>
      <c r="B29" s="23" t="inlineStr">
        <is>
          <t>accounts</t>
        </is>
      </c>
      <c r="C29" s="28">
        <f>C28*(1-Assumptions!$B$133)^(C7/2)</f>
        <v/>
      </c>
      <c r="D29" s="28">
        <f>C29*(1-Assumptions!$B$133)^D7+D28*(1-Assumptions!$B$133)^(D7/2)</f>
        <v/>
      </c>
      <c r="E29" s="28">
        <f>D29*(1-Assumptions!$B$133)^E7+E28*(1-Assumptions!$B$133)^(E7/2)</f>
        <v/>
      </c>
      <c r="F29" s="28">
        <f>E29*(1-Assumptions!$B$133)^F7+F28*(1-Assumptions!$B$133)^(F7/2)</f>
        <v/>
      </c>
      <c r="G29" s="28">
        <f>F29*(1-Assumptions!$B$133)^G7+G28*(1-Assumptions!$B$133)^(G7/2)</f>
        <v/>
      </c>
      <c r="H29" s="28">
        <f>G29*(1-Assumptions!$B$133)^H7+H28*(1-Assumptions!$B$133)^(H7/2)</f>
        <v/>
      </c>
      <c r="I29" s="28">
        <f>H29*(1-Assumptions!$B$133)^I7+I28*(1-Assumptions!$B$133)^(I7/2)</f>
        <v/>
      </c>
      <c r="J29" s="28">
        <f>I29*(1-Assumptions!$B$133)^J7+J28*(1-Assumptions!$B$133)^(J7/2)</f>
        <v/>
      </c>
      <c r="K29" s="28">
        <f>J29*(1-Assumptions!$B$133)^K7+K28*(1-Assumptions!$B$133)^(K7/2)</f>
        <v/>
      </c>
      <c r="L29" s="28">
        <f>K29*(1-Assumptions!$B$133)^L7+L28*(1-Assumptions!$B$133)^(L7/2)</f>
        <v/>
      </c>
      <c r="M29" s="28">
        <f>L29*(1-Assumptions!$B$133)^M7+M28*(1-Assumptions!$B$133)^(M7/2)</f>
        <v/>
      </c>
      <c r="N29" s="28">
        <f>M29*(1-Assumptions!$B$133)^N7+N28*(1-Assumptions!$B$133)^(N7/2)</f>
        <v/>
      </c>
      <c r="O29" s="28">
        <f>N29*(1-Assumptions!$B$133)^O7+O28*(1-Assumptions!$B$133)^(O7/2)</f>
        <v/>
      </c>
      <c r="P29" s="28">
        <f>O29*(1-Assumptions!$B$133)^P7+P28*(1-Assumptions!$B$133)^(P7/2)</f>
        <v/>
      </c>
      <c r="Q29" s="28">
        <f>P29*(1-Assumptions!$B$133)^Q7+Q28*(1-Assumptions!$B$133)^(Q7/2)</f>
        <v/>
      </c>
      <c r="R29" s="28">
        <f>Q29*(1-Assumptions!$B$133)^R7+R28*(1-Assumptions!$B$133)^(R7/2)</f>
        <v/>
      </c>
      <c r="S29" s="28">
        <f>R29*(1-Assumptions!$B$133)^S7+S28*(1-Assumptions!$B$133)^(S7/2)</f>
        <v/>
      </c>
      <c r="T29" s="28">
        <f>S29*(1-Assumptions!$B$133)^T7+T28*(1-Assumptions!$B$133)^(T7/2)</f>
        <v/>
      </c>
      <c r="U29" s="28">
        <f>T29*(1-Assumptions!$B$133)^U7+U28*(1-Assumptions!$B$133)^(U7/2)</f>
        <v/>
      </c>
      <c r="V29" s="28">
        <f>U29*(1-Assumptions!$B$133)^V7+V28*(1-Assumptions!$B$133)^(V7/2)</f>
        <v/>
      </c>
      <c r="W29" s="28">
        <f>V29*(1-Assumptions!$B$133)^W7+W28*(1-Assumptions!$B$133)^(W7/2)</f>
        <v/>
      </c>
      <c r="X29" s="28">
        <f>W29*(1-Assumptions!$B$133)^X7+X28*(1-Assumptions!$B$133)^(X7/2)</f>
        <v/>
      </c>
      <c r="Y29" s="28">
        <f>X29*(1-Assumptions!$B$133)^Y7+Y28*(1-Assumptions!$B$133)^(Y7/2)</f>
        <v/>
      </c>
      <c r="Z29" s="28">
        <f>Y29*(1-Assumptions!$B$133)^Z7+Z28*(1-Assumptions!$B$133)^(Z7/2)</f>
        <v/>
      </c>
      <c r="AA29" s="28">
        <f>Z29*(1-Assumptions!$B$133)^AA7+AA28*(1-Assumptions!$B$133)^(AA7/2)</f>
        <v/>
      </c>
      <c r="AB29" s="28">
        <f>AA29*(1-Assumptions!$B$133)^AB7+AB28*(1-Assumptions!$B$133)^(AB7/2)</f>
        <v/>
      </c>
      <c r="AC29" s="28">
        <f>AB29*(1-Assumptions!$B$133)^AC7+AC28*(1-Assumptions!$B$133)^(AC7/2)</f>
        <v/>
      </c>
      <c r="AD29" s="28">
        <f>AC29*(1-Assumptions!$B$133)^AD7+AD28*(1-Assumptions!$B$133)^(AD7/2)</f>
        <v/>
      </c>
      <c r="AE29" s="28">
        <f>AD29*(1-Assumptions!$B$133)^AE7+AE28*(1-Assumptions!$B$133)^(AE7/2)</f>
        <v/>
      </c>
    </row>
    <row r="30">
      <c r="A30" s="6" t="inlineStr">
        <is>
          <t xml:space="preserve">  Churned this period</t>
        </is>
      </c>
      <c r="B30" s="23" t="inlineStr">
        <is>
          <t>accounts</t>
        </is>
      </c>
      <c r="C30" s="54">
        <f>C28-C29</f>
        <v/>
      </c>
      <c r="D30" s="54">
        <f>C29+D28-D29</f>
        <v/>
      </c>
      <c r="E30" s="54">
        <f>D29+E28-E29</f>
        <v/>
      </c>
      <c r="F30" s="54">
        <f>E29+F28-F29</f>
        <v/>
      </c>
      <c r="G30" s="54">
        <f>F29+G28-G29</f>
        <v/>
      </c>
      <c r="H30" s="54">
        <f>G29+H28-H29</f>
        <v/>
      </c>
      <c r="I30" s="54">
        <f>H29+I28-I29</f>
        <v/>
      </c>
      <c r="J30" s="54">
        <f>I29+J28-J29</f>
        <v/>
      </c>
      <c r="K30" s="54">
        <f>J29+K28-K29</f>
        <v/>
      </c>
      <c r="L30" s="54">
        <f>K29+L28-L29</f>
        <v/>
      </c>
      <c r="M30" s="54">
        <f>L29+M28-M29</f>
        <v/>
      </c>
      <c r="N30" s="54">
        <f>M29+N28-N29</f>
        <v/>
      </c>
      <c r="O30" s="54">
        <f>N29+O28-O29</f>
        <v/>
      </c>
      <c r="P30" s="54">
        <f>O29+P28-P29</f>
        <v/>
      </c>
      <c r="Q30" s="54">
        <f>P29+Q28-Q29</f>
        <v/>
      </c>
      <c r="R30" s="54">
        <f>Q29+R28-R29</f>
        <v/>
      </c>
      <c r="S30" s="54">
        <f>R29+S28-S29</f>
        <v/>
      </c>
      <c r="T30" s="54">
        <f>S29+T28-T29</f>
        <v/>
      </c>
      <c r="U30" s="54">
        <f>T29+U28-U29</f>
        <v/>
      </c>
      <c r="V30" s="54">
        <f>U29+V28-V29</f>
        <v/>
      </c>
      <c r="W30" s="54">
        <f>V29+W28-W29</f>
        <v/>
      </c>
      <c r="X30" s="54">
        <f>W29+X28-X29</f>
        <v/>
      </c>
      <c r="Y30" s="54">
        <f>X29+Y28-Y29</f>
        <v/>
      </c>
      <c r="Z30" s="54">
        <f>Y29+Z28-Z29</f>
        <v/>
      </c>
      <c r="AA30" s="54">
        <f>Z29+AA28-AA29</f>
        <v/>
      </c>
      <c r="AB30" s="54">
        <f>AA29+AB28-AB29</f>
        <v/>
      </c>
      <c r="AC30" s="54">
        <f>AB29+AC28-AC29</f>
        <v/>
      </c>
      <c r="AD30" s="54">
        <f>AC29+AD28-AD29</f>
        <v/>
      </c>
      <c r="AE30" s="54">
        <f>AD29+AE28-AE29</f>
        <v/>
      </c>
    </row>
    <row r="31">
      <c r="A31" s="6" t="inlineStr">
        <is>
          <t xml:space="preserve">  Holders (stopped paying, still hold gold)</t>
        </is>
      </c>
      <c r="B31" s="23" t="inlineStr">
        <is>
          <t>accounts</t>
        </is>
      </c>
      <c r="C31" s="45">
        <f>C30</f>
        <v/>
      </c>
      <c r="D31" s="45">
        <f>C31+D30</f>
        <v/>
      </c>
      <c r="E31" s="45">
        <f>D31+E30</f>
        <v/>
      </c>
      <c r="F31" s="45">
        <f>E31+F30</f>
        <v/>
      </c>
      <c r="G31" s="45">
        <f>F31+G30</f>
        <v/>
      </c>
      <c r="H31" s="45">
        <f>G31+H30</f>
        <v/>
      </c>
      <c r="I31" s="45">
        <f>H31+I30</f>
        <v/>
      </c>
      <c r="J31" s="45">
        <f>I31+J30</f>
        <v/>
      </c>
      <c r="K31" s="45">
        <f>J31+K30</f>
        <v/>
      </c>
      <c r="L31" s="45">
        <f>K31+L30</f>
        <v/>
      </c>
      <c r="M31" s="45">
        <f>L31+M30</f>
        <v/>
      </c>
      <c r="N31" s="45">
        <f>M31+N30</f>
        <v/>
      </c>
      <c r="O31" s="45">
        <f>N31+O30</f>
        <v/>
      </c>
      <c r="P31" s="45">
        <f>O31+P30</f>
        <v/>
      </c>
      <c r="Q31" s="45">
        <f>P31+Q30</f>
        <v/>
      </c>
      <c r="R31" s="45">
        <f>Q31+R30</f>
        <v/>
      </c>
      <c r="S31" s="45">
        <f>R31+S30</f>
        <v/>
      </c>
      <c r="T31" s="45">
        <f>S31+T30</f>
        <v/>
      </c>
      <c r="U31" s="45">
        <f>T31+U30</f>
        <v/>
      </c>
      <c r="V31" s="45">
        <f>U31+V30</f>
        <v/>
      </c>
      <c r="W31" s="45">
        <f>V31+W30</f>
        <v/>
      </c>
      <c r="X31" s="45">
        <f>W31+X30</f>
        <v/>
      </c>
      <c r="Y31" s="45">
        <f>X31+Y30</f>
        <v/>
      </c>
      <c r="Z31" s="45">
        <f>Y31+Z30</f>
        <v/>
      </c>
      <c r="AA31" s="45">
        <f>Z31+AA30</f>
        <v/>
      </c>
      <c r="AB31" s="45">
        <f>AA31+AB30</f>
        <v/>
      </c>
      <c r="AC31" s="45">
        <f>AB31+AC30</f>
        <v/>
      </c>
      <c r="AD31" s="45">
        <f>AC31+AD30</f>
        <v/>
      </c>
      <c r="AE31" s="45">
        <f>AD31+AE30</f>
        <v/>
      </c>
    </row>
    <row r="32">
      <c r="A32" s="6" t="inlineStr">
        <is>
          <t xml:space="preserve">  Cumulative ever acquired</t>
        </is>
      </c>
      <c r="B32" s="23" t="inlineStr">
        <is>
          <t>accounts</t>
        </is>
      </c>
      <c r="C32" s="45">
        <f>C28</f>
        <v/>
      </c>
      <c r="D32" s="45">
        <f>C32+D28</f>
        <v/>
      </c>
      <c r="E32" s="45">
        <f>D32+E28</f>
        <v/>
      </c>
      <c r="F32" s="45">
        <f>E32+F28</f>
        <v/>
      </c>
      <c r="G32" s="45">
        <f>F32+G28</f>
        <v/>
      </c>
      <c r="H32" s="45">
        <f>G32+H28</f>
        <v/>
      </c>
      <c r="I32" s="45">
        <f>H32+I28</f>
        <v/>
      </c>
      <c r="J32" s="45">
        <f>I32+J28</f>
        <v/>
      </c>
      <c r="K32" s="45">
        <f>J32+K28</f>
        <v/>
      </c>
      <c r="L32" s="45">
        <f>K32+L28</f>
        <v/>
      </c>
      <c r="M32" s="45">
        <f>L32+M28</f>
        <v/>
      </c>
      <c r="N32" s="45">
        <f>M32+N28</f>
        <v/>
      </c>
      <c r="O32" s="45">
        <f>N32+O28</f>
        <v/>
      </c>
      <c r="P32" s="45">
        <f>O32+P28</f>
        <v/>
      </c>
      <c r="Q32" s="45">
        <f>P32+Q28</f>
        <v/>
      </c>
      <c r="R32" s="45">
        <f>Q32+R28</f>
        <v/>
      </c>
      <c r="S32" s="45">
        <f>R32+S28</f>
        <v/>
      </c>
      <c r="T32" s="45">
        <f>S32+T28</f>
        <v/>
      </c>
      <c r="U32" s="45">
        <f>T32+U28</f>
        <v/>
      </c>
      <c r="V32" s="45">
        <f>U32+V28</f>
        <v/>
      </c>
      <c r="W32" s="45">
        <f>V32+W28</f>
        <v/>
      </c>
      <c r="X32" s="45">
        <f>W32+X28</f>
        <v/>
      </c>
      <c r="Y32" s="45">
        <f>X32+Y28</f>
        <v/>
      </c>
      <c r="Z32" s="45">
        <f>Y32+Z28</f>
        <v/>
      </c>
      <c r="AA32" s="45">
        <f>Z32+AA28</f>
        <v/>
      </c>
      <c r="AB32" s="45">
        <f>AA32+AB28</f>
        <v/>
      </c>
      <c r="AC32" s="45">
        <f>AB32+AC28</f>
        <v/>
      </c>
      <c r="AD32" s="45">
        <f>AC32+AD28</f>
        <v/>
      </c>
      <c r="AE32" s="45">
        <f>AD32+AE28</f>
        <v/>
      </c>
    </row>
    <row r="33">
      <c r="A33" s="6" t="inlineStr">
        <is>
          <t xml:space="preserve">  SIP contributions</t>
        </is>
      </c>
      <c r="B33" s="23" t="inlineStr">
        <is>
          <t>USD</t>
        </is>
      </c>
      <c r="C33" s="55">
        <f>IF(C2&gt;=Assumptions!$B$47,C29*Assumptions!$B$186*C7,0)</f>
        <v/>
      </c>
      <c r="D33" s="55">
        <f>IF(D2&gt;=Assumptions!$B$47,D29*Assumptions!$B$186*D7,0)</f>
        <v/>
      </c>
      <c r="E33" s="55">
        <f>IF(E2&gt;=Assumptions!$B$47,E29*Assumptions!$B$186*E7,0)</f>
        <v/>
      </c>
      <c r="F33" s="55">
        <f>IF(F2&gt;=Assumptions!$B$47,F29*Assumptions!$B$186*F7,0)</f>
        <v/>
      </c>
      <c r="G33" s="55">
        <f>IF(G2&gt;=Assumptions!$B$47,G29*Assumptions!$B$186*G7,0)</f>
        <v/>
      </c>
      <c r="H33" s="55">
        <f>IF(H2&gt;=Assumptions!$B$47,H29*Assumptions!$B$186*H7,0)</f>
        <v/>
      </c>
      <c r="I33" s="55">
        <f>IF(I2&gt;=Assumptions!$B$47,I29*Assumptions!$B$186*I7,0)</f>
        <v/>
      </c>
      <c r="J33" s="55">
        <f>IF(J2&gt;=Assumptions!$B$47,J29*Assumptions!$B$186*J7,0)</f>
        <v/>
      </c>
      <c r="K33" s="55">
        <f>IF(K2&gt;=Assumptions!$B$47,K29*Assumptions!$B$186*K7,0)</f>
        <v/>
      </c>
      <c r="L33" s="55">
        <f>IF(L2&gt;=Assumptions!$B$47,L29*Assumptions!$B$186*L7,0)</f>
        <v/>
      </c>
      <c r="M33" s="55">
        <f>IF(M2&gt;=Assumptions!$B$47,M29*Assumptions!$B$186*M7,0)</f>
        <v/>
      </c>
      <c r="N33" s="55">
        <f>IF(N2&gt;=Assumptions!$B$47,N29*Assumptions!$B$186*N7,0)</f>
        <v/>
      </c>
      <c r="O33" s="55">
        <f>IF(O2&gt;=Assumptions!$B$47,O29*Assumptions!$B$186*O7,0)</f>
        <v/>
      </c>
      <c r="P33" s="55">
        <f>IF(P2&gt;=Assumptions!$B$47,P29*Assumptions!$B$186*P7,0)</f>
        <v/>
      </c>
      <c r="Q33" s="55">
        <f>IF(Q2&gt;=Assumptions!$B$47,Q29*Assumptions!$B$186*Q7,0)</f>
        <v/>
      </c>
      <c r="R33" s="55">
        <f>IF(R2&gt;=Assumptions!$B$47,R29*Assumptions!$B$186*R7,0)</f>
        <v/>
      </c>
      <c r="S33" s="55">
        <f>IF(S2&gt;=Assumptions!$B$47,S29*Assumptions!$B$186*S7,0)</f>
        <v/>
      </c>
      <c r="T33" s="55">
        <f>IF(T2&gt;=Assumptions!$B$47,T29*Assumptions!$B$186*T7,0)</f>
        <v/>
      </c>
      <c r="U33" s="55">
        <f>IF(U2&gt;=Assumptions!$B$47,U29*Assumptions!$B$186*U7,0)</f>
        <v/>
      </c>
      <c r="V33" s="55">
        <f>IF(V2&gt;=Assumptions!$B$47,V29*Assumptions!$B$186*V7,0)</f>
        <v/>
      </c>
      <c r="W33" s="55">
        <f>IF(W2&gt;=Assumptions!$B$47,W29*Assumptions!$B$186*W7,0)</f>
        <v/>
      </c>
      <c r="X33" s="55">
        <f>IF(X2&gt;=Assumptions!$B$47,X29*Assumptions!$B$186*X7,0)</f>
        <v/>
      </c>
      <c r="Y33" s="55">
        <f>IF(Y2&gt;=Assumptions!$B$47,Y29*Assumptions!$B$186*Y7,0)</f>
        <v/>
      </c>
      <c r="Z33" s="55">
        <f>IF(Z2&gt;=Assumptions!$B$47,Z29*Assumptions!$B$186*Z7,0)</f>
        <v/>
      </c>
      <c r="AA33" s="55">
        <f>IF(AA2&gt;=Assumptions!$B$47,AA29*Assumptions!$B$186*AA7,0)</f>
        <v/>
      </c>
      <c r="AB33" s="55">
        <f>IF(AB2&gt;=Assumptions!$B$47,AB29*Assumptions!$B$186*AB7,0)</f>
        <v/>
      </c>
      <c r="AC33" s="55">
        <f>IF(AC2&gt;=Assumptions!$B$47,AC29*Assumptions!$B$186*AC7,0)</f>
        <v/>
      </c>
      <c r="AD33" s="55">
        <f>IF(AD2&gt;=Assumptions!$B$47,AD29*Assumptions!$B$186*AD7,0)</f>
        <v/>
      </c>
      <c r="AE33" s="55">
        <f>IF(AE2&gt;=Assumptions!$B$47,AE29*Assumptions!$B$186*AE7,0)</f>
        <v/>
      </c>
    </row>
    <row r="34">
      <c r="A34" s="6" t="inlineStr">
        <is>
          <t xml:space="preserve">  Spot purchase volume</t>
        </is>
      </c>
      <c r="B34" s="23" t="inlineStr">
        <is>
          <t>USD</t>
        </is>
      </c>
      <c r="C34" s="55">
        <f>IF(C2&gt;=Assumptions!$B$48,C29*Assumptions!$B$35*Assumptions!$B$150*Assumptions!$B$152*Assumptions!$B$32*Assumptions!$B$151/12*C7,0)</f>
        <v/>
      </c>
      <c r="D34" s="55">
        <f>IF(D2&gt;=Assumptions!$B$48,D29*Assumptions!$B$35*Assumptions!$B$150*Assumptions!$B$152*Assumptions!$B$32*Assumptions!$B$151/12*D7,0)</f>
        <v/>
      </c>
      <c r="E34" s="55">
        <f>IF(E2&gt;=Assumptions!$B$48,E29*Assumptions!$B$35*Assumptions!$B$150*Assumptions!$B$152*Assumptions!$B$32*Assumptions!$B$151/12*E7,0)</f>
        <v/>
      </c>
      <c r="F34" s="55">
        <f>IF(F2&gt;=Assumptions!$B$48,F29*Assumptions!$B$35*Assumptions!$B$150*Assumptions!$B$152*Assumptions!$B$32*Assumptions!$B$151/12*F7,0)</f>
        <v/>
      </c>
      <c r="G34" s="55">
        <f>IF(G2&gt;=Assumptions!$B$48,G29*Assumptions!$B$35*Assumptions!$B$150*Assumptions!$B$152*Assumptions!$B$32*Assumptions!$B$151/12*G7,0)</f>
        <v/>
      </c>
      <c r="H34" s="55">
        <f>IF(H2&gt;=Assumptions!$B$48,H29*Assumptions!$B$35*Assumptions!$B$150*Assumptions!$B$152*Assumptions!$B$32*Assumptions!$B$151/12*H7,0)</f>
        <v/>
      </c>
      <c r="I34" s="55">
        <f>IF(I2&gt;=Assumptions!$B$48,I29*Assumptions!$B$35*Assumptions!$B$150*Assumptions!$B$152*Assumptions!$B$32*Assumptions!$B$151/12*I7,0)</f>
        <v/>
      </c>
      <c r="J34" s="55">
        <f>IF(J2&gt;=Assumptions!$B$48,J29*Assumptions!$B$35*Assumptions!$B$150*Assumptions!$B$152*Assumptions!$B$32*Assumptions!$B$151/12*J7,0)</f>
        <v/>
      </c>
      <c r="K34" s="55">
        <f>IF(K2&gt;=Assumptions!$B$48,K29*Assumptions!$B$35*Assumptions!$B$150*Assumptions!$B$152*Assumptions!$B$32*Assumptions!$B$151/12*K7,0)</f>
        <v/>
      </c>
      <c r="L34" s="55">
        <f>IF(L2&gt;=Assumptions!$B$48,L29*Assumptions!$B$35*Assumptions!$B$150*Assumptions!$B$152*Assumptions!$B$32*Assumptions!$B$151/12*L7,0)</f>
        <v/>
      </c>
      <c r="M34" s="55">
        <f>IF(M2&gt;=Assumptions!$B$48,M29*Assumptions!$B$35*Assumptions!$B$150*Assumptions!$B$152*Assumptions!$B$32*Assumptions!$B$151/12*M7,0)</f>
        <v/>
      </c>
      <c r="N34" s="55">
        <f>IF(N2&gt;=Assumptions!$B$48,N29*Assumptions!$B$35*Assumptions!$B$150*Assumptions!$B$152*Assumptions!$B$32*Assumptions!$B$151/12*N7,0)</f>
        <v/>
      </c>
      <c r="O34" s="55">
        <f>IF(O2&gt;=Assumptions!$B$48,O29*Assumptions!$B$35*Assumptions!$B$150*Assumptions!$B$152*Assumptions!$B$32*Assumptions!$B$151/12*O7,0)</f>
        <v/>
      </c>
      <c r="P34" s="55">
        <f>IF(P2&gt;=Assumptions!$B$48,P29*Assumptions!$B$35*Assumptions!$B$150*Assumptions!$B$152*Assumptions!$B$32*Assumptions!$B$151/12*P7,0)</f>
        <v/>
      </c>
      <c r="Q34" s="55">
        <f>IF(Q2&gt;=Assumptions!$B$48,Q29*Assumptions!$B$35*Assumptions!$B$150*Assumptions!$B$152*Assumptions!$B$32*Assumptions!$B$151/12*Q7,0)</f>
        <v/>
      </c>
      <c r="R34" s="55">
        <f>IF(R2&gt;=Assumptions!$B$48,R29*Assumptions!$B$35*Assumptions!$B$150*Assumptions!$B$152*Assumptions!$B$32*Assumptions!$B$151/12*R7,0)</f>
        <v/>
      </c>
      <c r="S34" s="55">
        <f>IF(S2&gt;=Assumptions!$B$48,S29*Assumptions!$B$35*Assumptions!$B$150*Assumptions!$B$152*Assumptions!$B$32*Assumptions!$B$151/12*S7,0)</f>
        <v/>
      </c>
      <c r="T34" s="55">
        <f>IF(T2&gt;=Assumptions!$B$48,T29*Assumptions!$B$35*Assumptions!$B$150*Assumptions!$B$152*Assumptions!$B$32*Assumptions!$B$151/12*T7,0)</f>
        <v/>
      </c>
      <c r="U34" s="55">
        <f>IF(U2&gt;=Assumptions!$B$48,U29*Assumptions!$B$35*Assumptions!$B$150*Assumptions!$B$152*Assumptions!$B$32*Assumptions!$B$151/12*U7,0)</f>
        <v/>
      </c>
      <c r="V34" s="55">
        <f>IF(V2&gt;=Assumptions!$B$48,V29*Assumptions!$B$35*Assumptions!$B$150*Assumptions!$B$152*Assumptions!$B$32*Assumptions!$B$151/12*V7,0)</f>
        <v/>
      </c>
      <c r="W34" s="55">
        <f>IF(W2&gt;=Assumptions!$B$48,W29*Assumptions!$B$35*Assumptions!$B$150*Assumptions!$B$152*Assumptions!$B$32*Assumptions!$B$151/12*W7,0)</f>
        <v/>
      </c>
      <c r="X34" s="55">
        <f>IF(X2&gt;=Assumptions!$B$48,X29*Assumptions!$B$35*Assumptions!$B$150*Assumptions!$B$152*Assumptions!$B$32*Assumptions!$B$151/12*X7,0)</f>
        <v/>
      </c>
      <c r="Y34" s="55">
        <f>IF(Y2&gt;=Assumptions!$B$48,Y29*Assumptions!$B$35*Assumptions!$B$150*Assumptions!$B$152*Assumptions!$B$32*Assumptions!$B$151/12*Y7,0)</f>
        <v/>
      </c>
      <c r="Z34" s="55">
        <f>IF(Z2&gt;=Assumptions!$B$48,Z29*Assumptions!$B$35*Assumptions!$B$150*Assumptions!$B$152*Assumptions!$B$32*Assumptions!$B$151/12*Z7,0)</f>
        <v/>
      </c>
      <c r="AA34" s="55">
        <f>IF(AA2&gt;=Assumptions!$B$48,AA29*Assumptions!$B$35*Assumptions!$B$150*Assumptions!$B$152*Assumptions!$B$32*Assumptions!$B$151/12*AA7,0)</f>
        <v/>
      </c>
      <c r="AB34" s="55">
        <f>IF(AB2&gt;=Assumptions!$B$48,AB29*Assumptions!$B$35*Assumptions!$B$150*Assumptions!$B$152*Assumptions!$B$32*Assumptions!$B$151/12*AB7,0)</f>
        <v/>
      </c>
      <c r="AC34" s="55">
        <f>IF(AC2&gt;=Assumptions!$B$48,AC29*Assumptions!$B$35*Assumptions!$B$150*Assumptions!$B$152*Assumptions!$B$32*Assumptions!$B$151/12*AC7,0)</f>
        <v/>
      </c>
      <c r="AD34" s="55">
        <f>IF(AD2&gt;=Assumptions!$B$48,AD29*Assumptions!$B$35*Assumptions!$B$150*Assumptions!$B$152*Assumptions!$B$32*Assumptions!$B$151/12*AD7,0)</f>
        <v/>
      </c>
      <c r="AE34" s="55">
        <f>IF(AE2&gt;=Assumptions!$B$48,AE29*Assumptions!$B$35*Assumptions!$B$150*Assumptions!$B$152*Assumptions!$B$32*Assumptions!$B$151/12*AE7,0)</f>
        <v/>
      </c>
    </row>
    <row r="35">
      <c r="A35" s="6" t="inlineStr">
        <is>
          <t xml:space="preserve">  Grams purchased</t>
        </is>
      </c>
      <c r="B35" s="23" t="inlineStr">
        <is>
          <t>grams</t>
        </is>
      </c>
      <c r="C35" s="54">
        <f>(C33+C34)*(1-Assumptions!$B$8)/C20/(1+Assumptions!$B$9)</f>
        <v/>
      </c>
      <c r="D35" s="54">
        <f>(D33+D34)*(1-Assumptions!$B$8)/D20/(1+Assumptions!$B$9)</f>
        <v/>
      </c>
      <c r="E35" s="54">
        <f>(E33+E34)*(1-Assumptions!$B$8)/E20/(1+Assumptions!$B$9)</f>
        <v/>
      </c>
      <c r="F35" s="54">
        <f>(F33+F34)*(1-Assumptions!$B$8)/F20/(1+Assumptions!$B$9)</f>
        <v/>
      </c>
      <c r="G35" s="54">
        <f>(G33+G34)*(1-Assumptions!$B$8)/G20/(1+Assumptions!$B$9)</f>
        <v/>
      </c>
      <c r="H35" s="54">
        <f>(H33+H34)*(1-Assumptions!$B$8)/H20/(1+Assumptions!$B$9)</f>
        <v/>
      </c>
      <c r="I35" s="54">
        <f>(I33+I34)*(1-Assumptions!$B$8)/I20/(1+Assumptions!$B$9)</f>
        <v/>
      </c>
      <c r="J35" s="54">
        <f>(J33+J34)*(1-Assumptions!$B$8)/J20/(1+Assumptions!$B$9)</f>
        <v/>
      </c>
      <c r="K35" s="54">
        <f>(K33+K34)*(1-Assumptions!$B$8)/K20/(1+Assumptions!$B$9)</f>
        <v/>
      </c>
      <c r="L35" s="54">
        <f>(L33+L34)*(1-Assumptions!$B$8)/L20/(1+Assumptions!$B$9)</f>
        <v/>
      </c>
      <c r="M35" s="54">
        <f>(M33+M34)*(1-Assumptions!$B$8)/M20/(1+Assumptions!$B$9)</f>
        <v/>
      </c>
      <c r="N35" s="54">
        <f>(N33+N34)*(1-Assumptions!$B$8)/N20/(1+Assumptions!$B$9)</f>
        <v/>
      </c>
      <c r="O35" s="54">
        <f>(O33+O34)*(1-Assumptions!$B$8)/O20/(1+Assumptions!$B$9)</f>
        <v/>
      </c>
      <c r="P35" s="54">
        <f>(P33+P34)*(1-Assumptions!$B$8)/P20/(1+Assumptions!$B$9)</f>
        <v/>
      </c>
      <c r="Q35" s="54">
        <f>(Q33+Q34)*(1-Assumptions!$B$8)/Q20/(1+Assumptions!$B$9)</f>
        <v/>
      </c>
      <c r="R35" s="54">
        <f>(R33+R34)*(1-Assumptions!$B$8)/R20/(1+Assumptions!$B$9)</f>
        <v/>
      </c>
      <c r="S35" s="54">
        <f>(S33+S34)*(1-Assumptions!$B$8)/S20/(1+Assumptions!$B$9)</f>
        <v/>
      </c>
      <c r="T35" s="54">
        <f>(T33+T34)*(1-Assumptions!$B$8)/T20/(1+Assumptions!$B$9)</f>
        <v/>
      </c>
      <c r="U35" s="54">
        <f>(U33+U34)*(1-Assumptions!$B$8)/U20/(1+Assumptions!$B$9)</f>
        <v/>
      </c>
      <c r="V35" s="54">
        <f>(V33+V34)*(1-Assumptions!$B$8)/V20/(1+Assumptions!$B$9)</f>
        <v/>
      </c>
      <c r="W35" s="54">
        <f>(W33+W34)*(1-Assumptions!$B$8)/W20/(1+Assumptions!$B$9)</f>
        <v/>
      </c>
      <c r="X35" s="54">
        <f>(X33+X34)*(1-Assumptions!$B$8)/X20/(1+Assumptions!$B$9)</f>
        <v/>
      </c>
      <c r="Y35" s="54">
        <f>(Y33+Y34)*(1-Assumptions!$B$8)/Y20/(1+Assumptions!$B$9)</f>
        <v/>
      </c>
      <c r="Z35" s="54">
        <f>(Z33+Z34)*(1-Assumptions!$B$8)/Z20/(1+Assumptions!$B$9)</f>
        <v/>
      </c>
      <c r="AA35" s="54">
        <f>(AA33+AA34)*(1-Assumptions!$B$8)/AA20/(1+Assumptions!$B$9)</f>
        <v/>
      </c>
      <c r="AB35" s="54">
        <f>(AB33+AB34)*(1-Assumptions!$B$8)/AB20/(1+Assumptions!$B$9)</f>
        <v/>
      </c>
      <c r="AC35" s="54">
        <f>(AC33+AC34)*(1-Assumptions!$B$8)/AC20/(1+Assumptions!$B$9)</f>
        <v/>
      </c>
      <c r="AD35" s="54">
        <f>(AD33+AD34)*(1-Assumptions!$B$8)/AD20/(1+Assumptions!$B$9)</f>
        <v/>
      </c>
      <c r="AE35" s="54">
        <f>(AE33+AE34)*(1-Assumptions!$B$8)/AE20/(1+Assumptions!$B$9)</f>
        <v/>
      </c>
    </row>
    <row r="36">
      <c r="A36" s="6" t="inlineStr">
        <is>
          <t xml:space="preserve">  Collateral-eligible AUM decay rate (holder-weighted)</t>
        </is>
      </c>
      <c r="B36" s="23" t="inlineStr">
        <is>
          <t>%/period</t>
        </is>
      </c>
      <c r="C36" s="56">
        <f>(Assumptions!$B$147+Assumptions!$B$148*IF(C29+C31=0,1,(C29+C31*Assumptions!$B$149)/(C29+C31)))*C7/12</f>
        <v/>
      </c>
      <c r="D36" s="56">
        <f>(Assumptions!$B$147+Assumptions!$B$148*IF(D29+D31=0,1,(D29+D31*Assumptions!$B$149)/(D29+D31)))*D7/12</f>
        <v/>
      </c>
      <c r="E36" s="56">
        <f>(Assumptions!$B$147+Assumptions!$B$148*IF(E29+E31=0,1,(E29+E31*Assumptions!$B$149)/(E29+E31)))*E7/12</f>
        <v/>
      </c>
      <c r="F36" s="56">
        <f>(Assumptions!$B$147+Assumptions!$B$148*IF(F29+F31=0,1,(F29+F31*Assumptions!$B$149)/(F29+F31)))*F7/12</f>
        <v/>
      </c>
      <c r="G36" s="56">
        <f>(Assumptions!$B$147+Assumptions!$B$148*IF(G29+G31=0,1,(G29+G31*Assumptions!$B$149)/(G29+G31)))*G7/12</f>
        <v/>
      </c>
      <c r="H36" s="56">
        <f>(Assumptions!$B$147+Assumptions!$B$148*IF(H29+H31=0,1,(H29+H31*Assumptions!$B$149)/(H29+H31)))*H7/12</f>
        <v/>
      </c>
      <c r="I36" s="56">
        <f>(Assumptions!$B$147+Assumptions!$B$148*IF(I29+I31=0,1,(I29+I31*Assumptions!$B$149)/(I29+I31)))*I7/12</f>
        <v/>
      </c>
      <c r="J36" s="56">
        <f>(Assumptions!$B$147+Assumptions!$B$148*IF(J29+J31=0,1,(J29+J31*Assumptions!$B$149)/(J29+J31)))*J7/12</f>
        <v/>
      </c>
      <c r="K36" s="56">
        <f>(Assumptions!$B$147+Assumptions!$B$148*IF(K29+K31=0,1,(K29+K31*Assumptions!$B$149)/(K29+K31)))*K7/12</f>
        <v/>
      </c>
      <c r="L36" s="56">
        <f>(Assumptions!$B$147+Assumptions!$B$148*IF(L29+L31=0,1,(L29+L31*Assumptions!$B$149)/(L29+L31)))*L7/12</f>
        <v/>
      </c>
      <c r="M36" s="56">
        <f>(Assumptions!$B$147+Assumptions!$B$148*IF(M29+M31=0,1,(M29+M31*Assumptions!$B$149)/(M29+M31)))*M7/12</f>
        <v/>
      </c>
      <c r="N36" s="56">
        <f>(Assumptions!$B$147+Assumptions!$B$148*IF(N29+N31=0,1,(N29+N31*Assumptions!$B$149)/(N29+N31)))*N7/12</f>
        <v/>
      </c>
      <c r="O36" s="56">
        <f>(Assumptions!$B$147+Assumptions!$B$148*IF(O29+O31=0,1,(O29+O31*Assumptions!$B$149)/(O29+O31)))*O7/12</f>
        <v/>
      </c>
      <c r="P36" s="56">
        <f>(Assumptions!$B$147+Assumptions!$B$148*IF(P29+P31=0,1,(P29+P31*Assumptions!$B$149)/(P29+P31)))*P7/12</f>
        <v/>
      </c>
      <c r="Q36" s="56">
        <f>(Assumptions!$B$147+Assumptions!$B$148*IF(Q29+Q31=0,1,(Q29+Q31*Assumptions!$B$149)/(Q29+Q31)))*Q7/12</f>
        <v/>
      </c>
      <c r="R36" s="56">
        <f>(Assumptions!$B$147+Assumptions!$B$148*IF(R29+R31=0,1,(R29+R31*Assumptions!$B$149)/(R29+R31)))*R7/12</f>
        <v/>
      </c>
      <c r="S36" s="56">
        <f>(Assumptions!$B$147+Assumptions!$B$148*IF(S29+S31=0,1,(S29+S31*Assumptions!$B$149)/(S29+S31)))*S7/12</f>
        <v/>
      </c>
      <c r="T36" s="56">
        <f>(Assumptions!$B$147+Assumptions!$B$148*IF(T29+T31=0,1,(T29+T31*Assumptions!$B$149)/(T29+T31)))*T7/12</f>
        <v/>
      </c>
      <c r="U36" s="56">
        <f>(Assumptions!$B$147+Assumptions!$B$148*IF(U29+U31=0,1,(U29+U31*Assumptions!$B$149)/(U29+U31)))*U7/12</f>
        <v/>
      </c>
      <c r="V36" s="56">
        <f>(Assumptions!$B$147+Assumptions!$B$148*IF(V29+V31=0,1,(V29+V31*Assumptions!$B$149)/(V29+V31)))*V7/12</f>
        <v/>
      </c>
      <c r="W36" s="56">
        <f>(Assumptions!$B$147+Assumptions!$B$148*IF(W29+W31=0,1,(W29+W31*Assumptions!$B$149)/(W29+W31)))*W7/12</f>
        <v/>
      </c>
      <c r="X36" s="56">
        <f>(Assumptions!$B$147+Assumptions!$B$148*IF(X29+X31=0,1,(X29+X31*Assumptions!$B$149)/(X29+X31)))*X7/12</f>
        <v/>
      </c>
      <c r="Y36" s="56">
        <f>(Assumptions!$B$147+Assumptions!$B$148*IF(Y29+Y31=0,1,(Y29+Y31*Assumptions!$B$149)/(Y29+Y31)))*Y7/12</f>
        <v/>
      </c>
      <c r="Z36" s="56">
        <f>(Assumptions!$B$147+Assumptions!$B$148*IF(Z29+Z31=0,1,(Z29+Z31*Assumptions!$B$149)/(Z29+Z31)))*Z7/12</f>
        <v/>
      </c>
      <c r="AA36" s="56">
        <f>(Assumptions!$B$147+Assumptions!$B$148*IF(AA29+AA31=0,1,(AA29+AA31*Assumptions!$B$149)/(AA29+AA31)))*AA7/12</f>
        <v/>
      </c>
      <c r="AB36" s="56">
        <f>(Assumptions!$B$147+Assumptions!$B$148*IF(AB29+AB31=0,1,(AB29+AB31*Assumptions!$B$149)/(AB29+AB31)))*AB7/12</f>
        <v/>
      </c>
      <c r="AC36" s="56">
        <f>(Assumptions!$B$147+Assumptions!$B$148*IF(AC29+AC31=0,1,(AC29+AC31*Assumptions!$B$149)/(AC29+AC31)))*AC7/12</f>
        <v/>
      </c>
      <c r="AD36" s="56">
        <f>(Assumptions!$B$147+Assumptions!$B$148*IF(AD29+AD31=0,1,(AD29+AD31*Assumptions!$B$149)/(AD29+AD31)))*AD7/12</f>
        <v/>
      </c>
      <c r="AE36" s="56">
        <f>(Assumptions!$B$147+Assumptions!$B$148*IF(AE29+AE31=0,1,(AE29+AE31*Assumptions!$B$149)/(AE29+AE31)))*AE7/12</f>
        <v/>
      </c>
    </row>
    <row r="37">
      <c r="A37" s="6" t="inlineStr">
        <is>
          <t xml:space="preserve">  Redemption-only decay rate (metal actually leaving)</t>
        </is>
      </c>
      <c r="B37" s="23" t="inlineStr">
        <is>
          <t>%/period</t>
        </is>
      </c>
      <c r="C37" s="56">
        <f>Assumptions!$B$148*IF(C29+C31=0,1,(C29+C31*Assumptions!$B$149)/(C29+C31))*C7/12</f>
        <v/>
      </c>
      <c r="D37" s="56">
        <f>Assumptions!$B$148*IF(D29+D31=0,1,(D29+D31*Assumptions!$B$149)/(D29+D31))*D7/12</f>
        <v/>
      </c>
      <c r="E37" s="56">
        <f>Assumptions!$B$148*IF(E29+E31=0,1,(E29+E31*Assumptions!$B$149)/(E29+E31))*E7/12</f>
        <v/>
      </c>
      <c r="F37" s="56">
        <f>Assumptions!$B$148*IF(F29+F31=0,1,(F29+F31*Assumptions!$B$149)/(F29+F31))*F7/12</f>
        <v/>
      </c>
      <c r="G37" s="56">
        <f>Assumptions!$B$148*IF(G29+G31=0,1,(G29+G31*Assumptions!$B$149)/(G29+G31))*G7/12</f>
        <v/>
      </c>
      <c r="H37" s="56">
        <f>Assumptions!$B$148*IF(H29+H31=0,1,(H29+H31*Assumptions!$B$149)/(H29+H31))*H7/12</f>
        <v/>
      </c>
      <c r="I37" s="56">
        <f>Assumptions!$B$148*IF(I29+I31=0,1,(I29+I31*Assumptions!$B$149)/(I29+I31))*I7/12</f>
        <v/>
      </c>
      <c r="J37" s="56">
        <f>Assumptions!$B$148*IF(J29+J31=0,1,(J29+J31*Assumptions!$B$149)/(J29+J31))*J7/12</f>
        <v/>
      </c>
      <c r="K37" s="56">
        <f>Assumptions!$B$148*IF(K29+K31=0,1,(K29+K31*Assumptions!$B$149)/(K29+K31))*K7/12</f>
        <v/>
      </c>
      <c r="L37" s="56">
        <f>Assumptions!$B$148*IF(L29+L31=0,1,(L29+L31*Assumptions!$B$149)/(L29+L31))*L7/12</f>
        <v/>
      </c>
      <c r="M37" s="56">
        <f>Assumptions!$B$148*IF(M29+M31=0,1,(M29+M31*Assumptions!$B$149)/(M29+M31))*M7/12</f>
        <v/>
      </c>
      <c r="N37" s="56">
        <f>Assumptions!$B$148*IF(N29+N31=0,1,(N29+N31*Assumptions!$B$149)/(N29+N31))*N7/12</f>
        <v/>
      </c>
      <c r="O37" s="56">
        <f>Assumptions!$B$148*IF(O29+O31=0,1,(O29+O31*Assumptions!$B$149)/(O29+O31))*O7/12</f>
        <v/>
      </c>
      <c r="P37" s="56">
        <f>Assumptions!$B$148*IF(P29+P31=0,1,(P29+P31*Assumptions!$B$149)/(P29+P31))*P7/12</f>
        <v/>
      </c>
      <c r="Q37" s="56">
        <f>Assumptions!$B$148*IF(Q29+Q31=0,1,(Q29+Q31*Assumptions!$B$149)/(Q29+Q31))*Q7/12</f>
        <v/>
      </c>
      <c r="R37" s="56">
        <f>Assumptions!$B$148*IF(R29+R31=0,1,(R29+R31*Assumptions!$B$149)/(R29+R31))*R7/12</f>
        <v/>
      </c>
      <c r="S37" s="56">
        <f>Assumptions!$B$148*IF(S29+S31=0,1,(S29+S31*Assumptions!$B$149)/(S29+S31))*S7/12</f>
        <v/>
      </c>
      <c r="T37" s="56">
        <f>Assumptions!$B$148*IF(T29+T31=0,1,(T29+T31*Assumptions!$B$149)/(T29+T31))*T7/12</f>
        <v/>
      </c>
      <c r="U37" s="56">
        <f>Assumptions!$B$148*IF(U29+U31=0,1,(U29+U31*Assumptions!$B$149)/(U29+U31))*U7/12</f>
        <v/>
      </c>
      <c r="V37" s="56">
        <f>Assumptions!$B$148*IF(V29+V31=0,1,(V29+V31*Assumptions!$B$149)/(V29+V31))*V7/12</f>
        <v/>
      </c>
      <c r="W37" s="56">
        <f>Assumptions!$B$148*IF(W29+W31=0,1,(W29+W31*Assumptions!$B$149)/(W29+W31))*W7/12</f>
        <v/>
      </c>
      <c r="X37" s="56">
        <f>Assumptions!$B$148*IF(X29+X31=0,1,(X29+X31*Assumptions!$B$149)/(X29+X31))*X7/12</f>
        <v/>
      </c>
      <c r="Y37" s="56">
        <f>Assumptions!$B$148*IF(Y29+Y31=0,1,(Y29+Y31*Assumptions!$B$149)/(Y29+Y31))*Y7/12</f>
        <v/>
      </c>
      <c r="Z37" s="56">
        <f>Assumptions!$B$148*IF(Z29+Z31=0,1,(Z29+Z31*Assumptions!$B$149)/(Z29+Z31))*Z7/12</f>
        <v/>
      </c>
      <c r="AA37" s="56">
        <f>Assumptions!$B$148*IF(AA29+AA31=0,1,(AA29+AA31*Assumptions!$B$149)/(AA29+AA31))*AA7/12</f>
        <v/>
      </c>
      <c r="AB37" s="56">
        <f>Assumptions!$B$148*IF(AB29+AB31=0,1,(AB29+AB31*Assumptions!$B$149)/(AB29+AB31))*AB7/12</f>
        <v/>
      </c>
      <c r="AC37" s="56">
        <f>Assumptions!$B$148*IF(AC29+AC31=0,1,(AC29+AC31*Assumptions!$B$149)/(AC29+AC31))*AC7/12</f>
        <v/>
      </c>
      <c r="AD37" s="56">
        <f>Assumptions!$B$148*IF(AD29+AD31=0,1,(AD29+AD31*Assumptions!$B$149)/(AD29+AD31))*AD7/12</f>
        <v/>
      </c>
      <c r="AE37" s="56">
        <f>Assumptions!$B$148*IF(AE29+AE31=0,1,(AE29+AE31*Assumptions!$B$149)/(AE29+AE31))*AE7/12</f>
        <v/>
      </c>
    </row>
    <row r="38">
      <c r="A38" s="6" t="inlineStr">
        <is>
          <t xml:space="preserve">  Grams held (collateral-eligible)</t>
        </is>
      </c>
      <c r="B38" s="23" t="inlineStr">
        <is>
          <t>grams</t>
        </is>
      </c>
      <c r="C38" s="45">
        <f>C35</f>
        <v/>
      </c>
      <c r="D38" s="45">
        <f>C38*(1-D36)+D35</f>
        <v/>
      </c>
      <c r="E38" s="45">
        <f>D38*(1-E36)+E35</f>
        <v/>
      </c>
      <c r="F38" s="45">
        <f>E38*(1-F36)+F35</f>
        <v/>
      </c>
      <c r="G38" s="45">
        <f>F38*(1-G36)+G35</f>
        <v/>
      </c>
      <c r="H38" s="45">
        <f>G38*(1-H36)+H35</f>
        <v/>
      </c>
      <c r="I38" s="45">
        <f>H38*(1-I36)+I35</f>
        <v/>
      </c>
      <c r="J38" s="45">
        <f>I38*(1-J36)+J35</f>
        <v/>
      </c>
      <c r="K38" s="45">
        <f>J38*(1-K36)+K35</f>
        <v/>
      </c>
      <c r="L38" s="45">
        <f>K38*(1-L36)+L35</f>
        <v/>
      </c>
      <c r="M38" s="45">
        <f>L38*(1-M36)+M35</f>
        <v/>
      </c>
      <c r="N38" s="45">
        <f>M38*(1-N36)+N35</f>
        <v/>
      </c>
      <c r="O38" s="45">
        <f>N38*(1-O36)+O35</f>
        <v/>
      </c>
      <c r="P38" s="45">
        <f>O38*(1-P36)+P35</f>
        <v/>
      </c>
      <c r="Q38" s="45">
        <f>P38*(1-Q36)+Q35</f>
        <v/>
      </c>
      <c r="R38" s="45">
        <f>Q38*(1-R36)+R35</f>
        <v/>
      </c>
      <c r="S38" s="45">
        <f>R38*(1-S36)+S35</f>
        <v/>
      </c>
      <c r="T38" s="45">
        <f>S38*(1-T36)+T35</f>
        <v/>
      </c>
      <c r="U38" s="45">
        <f>T38*(1-U36)+U35</f>
        <v/>
      </c>
      <c r="V38" s="45">
        <f>U38*(1-V36)+V35</f>
        <v/>
      </c>
      <c r="W38" s="45">
        <f>V38*(1-W36)+W35</f>
        <v/>
      </c>
      <c r="X38" s="45">
        <f>W38*(1-X36)+X35</f>
        <v/>
      </c>
      <c r="Y38" s="45">
        <f>X38*(1-Y36)+Y35</f>
        <v/>
      </c>
      <c r="Z38" s="45">
        <f>Y38*(1-Z36)+Z35</f>
        <v/>
      </c>
      <c r="AA38" s="45">
        <f>Z38*(1-AA36)+AA35</f>
        <v/>
      </c>
      <c r="AB38" s="45">
        <f>AA38*(1-AB36)+AB35</f>
        <v/>
      </c>
      <c r="AC38" s="45">
        <f>AB38*(1-AC36)+AC35</f>
        <v/>
      </c>
      <c r="AD38" s="45">
        <f>AC38*(1-AD36)+AD35</f>
        <v/>
      </c>
      <c r="AE38" s="45">
        <f>AD38*(1-AE36)+AE35</f>
        <v/>
      </c>
    </row>
    <row r="39">
      <c r="A39" s="6" t="inlineStr">
        <is>
          <t xml:space="preserve">  Grams under custody (vaulted, incl. self-custodied)</t>
        </is>
      </c>
      <c r="B39" s="23" t="inlineStr">
        <is>
          <t>grams</t>
        </is>
      </c>
      <c r="C39" s="45">
        <f>C35</f>
        <v/>
      </c>
      <c r="D39" s="45">
        <f>C39*(1-D37)+D35</f>
        <v/>
      </c>
      <c r="E39" s="45">
        <f>D39*(1-E37)+E35</f>
        <v/>
      </c>
      <c r="F39" s="45">
        <f>E39*(1-F37)+F35</f>
        <v/>
      </c>
      <c r="G39" s="45">
        <f>F39*(1-G37)+G35</f>
        <v/>
      </c>
      <c r="H39" s="45">
        <f>G39*(1-H37)+H35</f>
        <v/>
      </c>
      <c r="I39" s="45">
        <f>H39*(1-I37)+I35</f>
        <v/>
      </c>
      <c r="J39" s="45">
        <f>I39*(1-J37)+J35</f>
        <v/>
      </c>
      <c r="K39" s="45">
        <f>J39*(1-K37)+K35</f>
        <v/>
      </c>
      <c r="L39" s="45">
        <f>K39*(1-L37)+L35</f>
        <v/>
      </c>
      <c r="M39" s="45">
        <f>L39*(1-M37)+M35</f>
        <v/>
      </c>
      <c r="N39" s="45">
        <f>M39*(1-N37)+N35</f>
        <v/>
      </c>
      <c r="O39" s="45">
        <f>N39*(1-O37)+O35</f>
        <v/>
      </c>
      <c r="P39" s="45">
        <f>O39*(1-P37)+P35</f>
        <v/>
      </c>
      <c r="Q39" s="45">
        <f>P39*(1-Q37)+Q35</f>
        <v/>
      </c>
      <c r="R39" s="45">
        <f>Q39*(1-R37)+R35</f>
        <v/>
      </c>
      <c r="S39" s="45">
        <f>R39*(1-S37)+S35</f>
        <v/>
      </c>
      <c r="T39" s="45">
        <f>S39*(1-T37)+T35</f>
        <v/>
      </c>
      <c r="U39" s="45">
        <f>T39*(1-U37)+U35</f>
        <v/>
      </c>
      <c r="V39" s="45">
        <f>U39*(1-V37)+V35</f>
        <v/>
      </c>
      <c r="W39" s="45">
        <f>V39*(1-W37)+W35</f>
        <v/>
      </c>
      <c r="X39" s="45">
        <f>W39*(1-X37)+X35</f>
        <v/>
      </c>
      <c r="Y39" s="45">
        <f>X39*(1-Y37)+Y35</f>
        <v/>
      </c>
      <c r="Z39" s="45">
        <f>Y39*(1-Z37)+Z35</f>
        <v/>
      </c>
      <c r="AA39" s="45">
        <f>Z39*(1-AA37)+AA35</f>
        <v/>
      </c>
      <c r="AB39" s="45">
        <f>AA39*(1-AB37)+AB35</f>
        <v/>
      </c>
      <c r="AC39" s="45">
        <f>AB39*(1-AC37)+AC35</f>
        <v/>
      </c>
      <c r="AD39" s="45">
        <f>AC39*(1-AD37)+AD35</f>
        <v/>
      </c>
      <c r="AE39" s="45">
        <f>AD39*(1-AE37)+AE35</f>
        <v/>
      </c>
    </row>
    <row r="40">
      <c r="A40" s="6" t="inlineStr">
        <is>
          <t xml:space="preserve">  AUM</t>
        </is>
      </c>
      <c r="B40" s="23" t="inlineStr">
        <is>
          <t>USD</t>
        </is>
      </c>
      <c r="C40" s="57">
        <f>C38*C20</f>
        <v/>
      </c>
      <c r="D40" s="57">
        <f>D38*D20</f>
        <v/>
      </c>
      <c r="E40" s="57">
        <f>E38*E20</f>
        <v/>
      </c>
      <c r="F40" s="57">
        <f>F38*F20</f>
        <v/>
      </c>
      <c r="G40" s="57">
        <f>G38*G20</f>
        <v/>
      </c>
      <c r="H40" s="57">
        <f>H38*H20</f>
        <v/>
      </c>
      <c r="I40" s="57">
        <f>I38*I20</f>
        <v/>
      </c>
      <c r="J40" s="57">
        <f>J38*J20</f>
        <v/>
      </c>
      <c r="K40" s="57">
        <f>K38*K20</f>
        <v/>
      </c>
      <c r="L40" s="57">
        <f>L38*L20</f>
        <v/>
      </c>
      <c r="M40" s="57">
        <f>M38*M20</f>
        <v/>
      </c>
      <c r="N40" s="57">
        <f>N38*N20</f>
        <v/>
      </c>
      <c r="O40" s="57">
        <f>O38*O20</f>
        <v/>
      </c>
      <c r="P40" s="57">
        <f>P38*P20</f>
        <v/>
      </c>
      <c r="Q40" s="57">
        <f>Q38*Q20</f>
        <v/>
      </c>
      <c r="R40" s="57">
        <f>R38*R20</f>
        <v/>
      </c>
      <c r="S40" s="57">
        <f>S38*S20</f>
        <v/>
      </c>
      <c r="T40" s="57">
        <f>T38*T20</f>
        <v/>
      </c>
      <c r="U40" s="57">
        <f>U38*U20</f>
        <v/>
      </c>
      <c r="V40" s="57">
        <f>V38*V20</f>
        <v/>
      </c>
      <c r="W40" s="57">
        <f>W38*W20</f>
        <v/>
      </c>
      <c r="X40" s="57">
        <f>X38*X20</f>
        <v/>
      </c>
      <c r="Y40" s="57">
        <f>Y38*Y20</f>
        <v/>
      </c>
      <c r="Z40" s="57">
        <f>Z38*Z20</f>
        <v/>
      </c>
      <c r="AA40" s="57">
        <f>AA38*AA20</f>
        <v/>
      </c>
      <c r="AB40" s="57">
        <f>AB38*AB20</f>
        <v/>
      </c>
      <c r="AC40" s="57">
        <f>AC38*AC20</f>
        <v/>
      </c>
      <c r="AD40" s="57">
        <f>AD38*AD20</f>
        <v/>
      </c>
      <c r="AE40" s="57">
        <f>AE38*AE20</f>
        <v/>
      </c>
    </row>
    <row r="41">
      <c r="A41" s="6" t="inlineStr">
        <is>
          <t xml:space="preserve">  Card-eligible base</t>
        </is>
      </c>
      <c r="B41" s="23" t="inlineStr">
        <is>
          <t>accounts</t>
        </is>
      </c>
      <c r="C41" s="54">
        <f>C29+C31*Assumptions!$B$190</f>
        <v/>
      </c>
      <c r="D41" s="54">
        <f>D29+D31*Assumptions!$B$190</f>
        <v/>
      </c>
      <c r="E41" s="54">
        <f>E29+E31*Assumptions!$B$190</f>
        <v/>
      </c>
      <c r="F41" s="54">
        <f>F29+F31*Assumptions!$B$190</f>
        <v/>
      </c>
      <c r="G41" s="54">
        <f>G29+G31*Assumptions!$B$190</f>
        <v/>
      </c>
      <c r="H41" s="54">
        <f>H29+H31*Assumptions!$B$190</f>
        <v/>
      </c>
      <c r="I41" s="54">
        <f>I29+I31*Assumptions!$B$190</f>
        <v/>
      </c>
      <c r="J41" s="54">
        <f>J29+J31*Assumptions!$B$190</f>
        <v/>
      </c>
      <c r="K41" s="54">
        <f>K29+K31*Assumptions!$B$190</f>
        <v/>
      </c>
      <c r="L41" s="54">
        <f>L29+L31*Assumptions!$B$190</f>
        <v/>
      </c>
      <c r="M41" s="54">
        <f>M29+M31*Assumptions!$B$190</f>
        <v/>
      </c>
      <c r="N41" s="54">
        <f>N29+N31*Assumptions!$B$190</f>
        <v/>
      </c>
      <c r="O41" s="54">
        <f>O29+O31*Assumptions!$B$190</f>
        <v/>
      </c>
      <c r="P41" s="54">
        <f>P29+P31*Assumptions!$B$190</f>
        <v/>
      </c>
      <c r="Q41" s="54">
        <f>Q29+Q31*Assumptions!$B$190</f>
        <v/>
      </c>
      <c r="R41" s="54">
        <f>R29+R31*Assumptions!$B$190</f>
        <v/>
      </c>
      <c r="S41" s="54">
        <f>S29+S31*Assumptions!$B$190</f>
        <v/>
      </c>
      <c r="T41" s="54">
        <f>T29+T31*Assumptions!$B$190</f>
        <v/>
      </c>
      <c r="U41" s="54">
        <f>U29+U31*Assumptions!$B$190</f>
        <v/>
      </c>
      <c r="V41" s="54">
        <f>V29+V31*Assumptions!$B$190</f>
        <v/>
      </c>
      <c r="W41" s="54">
        <f>W29+W31*Assumptions!$B$190</f>
        <v/>
      </c>
      <c r="X41" s="54">
        <f>X29+X31*Assumptions!$B$190</f>
        <v/>
      </c>
      <c r="Y41" s="54">
        <f>Y29+Y31*Assumptions!$B$190</f>
        <v/>
      </c>
      <c r="Z41" s="54">
        <f>Z29+Z31*Assumptions!$B$190</f>
        <v/>
      </c>
      <c r="AA41" s="54">
        <f>AA29+AA31*Assumptions!$B$190</f>
        <v/>
      </c>
      <c r="AB41" s="54">
        <f>AB29+AB31*Assumptions!$B$190</f>
        <v/>
      </c>
      <c r="AC41" s="54">
        <f>AC29+AC31*Assumptions!$B$190</f>
        <v/>
      </c>
      <c r="AD41" s="54">
        <f>AD29+AD31*Assumptions!$B$190</f>
        <v/>
      </c>
      <c r="AE41" s="54">
        <f>AE29+AE31*Assumptions!$B$190</f>
        <v/>
      </c>
    </row>
    <row r="42">
      <c r="A42" s="6" t="inlineStr">
        <is>
          <t xml:space="preserve">  Reaches an ICS benefit tier (memo - drives discounts, not access)</t>
        </is>
      </c>
      <c r="B42" s="23" t="inlineStr">
        <is>
          <t>accounts</t>
        </is>
      </c>
      <c r="C42" s="58">
        <f>IF(C7&gt;1,C41*Assumptions!$B$145,IF(C2&gt;Assumptions!$B$146,INDEX($C$41:$AE$41,1,C2-Assumptions!$B$146)*Assumptions!$B$145,0))</f>
        <v/>
      </c>
      <c r="D42" s="58">
        <f>IF(D7&gt;1,D41*Assumptions!$B$145,IF(D2&gt;Assumptions!$B$146,INDEX($C$41:$AE$41,1,D2-Assumptions!$B$146)*Assumptions!$B$145,0))</f>
        <v/>
      </c>
      <c r="E42" s="58">
        <f>IF(E7&gt;1,E41*Assumptions!$B$145,IF(E2&gt;Assumptions!$B$146,INDEX($C$41:$AE$41,1,E2-Assumptions!$B$146)*Assumptions!$B$145,0))</f>
        <v/>
      </c>
      <c r="F42" s="58">
        <f>IF(F7&gt;1,F41*Assumptions!$B$145,IF(F2&gt;Assumptions!$B$146,INDEX($C$41:$AE$41,1,F2-Assumptions!$B$146)*Assumptions!$B$145,0))</f>
        <v/>
      </c>
      <c r="G42" s="58">
        <f>IF(G7&gt;1,G41*Assumptions!$B$145,IF(G2&gt;Assumptions!$B$146,INDEX($C$41:$AE$41,1,G2-Assumptions!$B$146)*Assumptions!$B$145,0))</f>
        <v/>
      </c>
      <c r="H42" s="58">
        <f>IF(H7&gt;1,H41*Assumptions!$B$145,IF(H2&gt;Assumptions!$B$146,INDEX($C$41:$AE$41,1,H2-Assumptions!$B$146)*Assumptions!$B$145,0))</f>
        <v/>
      </c>
      <c r="I42" s="58">
        <f>IF(I7&gt;1,I41*Assumptions!$B$145,IF(I2&gt;Assumptions!$B$146,INDEX($C$41:$AE$41,1,I2-Assumptions!$B$146)*Assumptions!$B$145,0))</f>
        <v/>
      </c>
      <c r="J42" s="58">
        <f>IF(J7&gt;1,J41*Assumptions!$B$145,IF(J2&gt;Assumptions!$B$146,INDEX($C$41:$AE$41,1,J2-Assumptions!$B$146)*Assumptions!$B$145,0))</f>
        <v/>
      </c>
      <c r="K42" s="58">
        <f>IF(K7&gt;1,K41*Assumptions!$B$145,IF(K2&gt;Assumptions!$B$146,INDEX($C$41:$AE$41,1,K2-Assumptions!$B$146)*Assumptions!$B$145,0))</f>
        <v/>
      </c>
      <c r="L42" s="58">
        <f>IF(L7&gt;1,L41*Assumptions!$B$145,IF(L2&gt;Assumptions!$B$146,INDEX($C$41:$AE$41,1,L2-Assumptions!$B$146)*Assumptions!$B$145,0))</f>
        <v/>
      </c>
      <c r="M42" s="58">
        <f>IF(M7&gt;1,M41*Assumptions!$B$145,IF(M2&gt;Assumptions!$B$146,INDEX($C$41:$AE$41,1,M2-Assumptions!$B$146)*Assumptions!$B$145,0))</f>
        <v/>
      </c>
      <c r="N42" s="58">
        <f>IF(N7&gt;1,N41*Assumptions!$B$145,IF(N2&gt;Assumptions!$B$146,INDEX($C$41:$AE$41,1,N2-Assumptions!$B$146)*Assumptions!$B$145,0))</f>
        <v/>
      </c>
      <c r="O42" s="58">
        <f>IF(O7&gt;1,O41*Assumptions!$B$145,IF(O2&gt;Assumptions!$B$146,INDEX($C$41:$AE$41,1,O2-Assumptions!$B$146)*Assumptions!$B$145,0))</f>
        <v/>
      </c>
      <c r="P42" s="58">
        <f>IF(P7&gt;1,P41*Assumptions!$B$145,IF(P2&gt;Assumptions!$B$146,INDEX($C$41:$AE$41,1,P2-Assumptions!$B$146)*Assumptions!$B$145,0))</f>
        <v/>
      </c>
      <c r="Q42" s="58">
        <f>IF(Q7&gt;1,Q41*Assumptions!$B$145,IF(Q2&gt;Assumptions!$B$146,INDEX($C$41:$AE$41,1,Q2-Assumptions!$B$146)*Assumptions!$B$145,0))</f>
        <v/>
      </c>
      <c r="R42" s="58">
        <f>IF(R7&gt;1,R41*Assumptions!$B$145,IF(R2&gt;Assumptions!$B$146,INDEX($C$41:$AE$41,1,R2-Assumptions!$B$146)*Assumptions!$B$145,0))</f>
        <v/>
      </c>
      <c r="S42" s="58">
        <f>IF(S7&gt;1,S41*Assumptions!$B$145,IF(S2&gt;Assumptions!$B$146,INDEX($C$41:$AE$41,1,S2-Assumptions!$B$146)*Assumptions!$B$145,0))</f>
        <v/>
      </c>
      <c r="T42" s="58">
        <f>IF(T7&gt;1,T41*Assumptions!$B$145,IF(T2&gt;Assumptions!$B$146,INDEX($C$41:$AE$41,1,T2-Assumptions!$B$146)*Assumptions!$B$145,0))</f>
        <v/>
      </c>
      <c r="U42" s="58">
        <f>IF(U7&gt;1,U41*Assumptions!$B$145,IF(U2&gt;Assumptions!$B$146,INDEX($C$41:$AE$41,1,U2-Assumptions!$B$146)*Assumptions!$B$145,0))</f>
        <v/>
      </c>
      <c r="V42" s="58">
        <f>IF(V7&gt;1,V41*Assumptions!$B$145,IF(V2&gt;Assumptions!$B$146,INDEX($C$41:$AE$41,1,V2-Assumptions!$B$146)*Assumptions!$B$145,0))</f>
        <v/>
      </c>
      <c r="W42" s="58">
        <f>IF(W7&gt;1,W41*Assumptions!$B$145,IF(W2&gt;Assumptions!$B$146,INDEX($C$41:$AE$41,1,W2-Assumptions!$B$146)*Assumptions!$B$145,0))</f>
        <v/>
      </c>
      <c r="X42" s="58">
        <f>IF(X7&gt;1,X41*Assumptions!$B$145,IF(X2&gt;Assumptions!$B$146,INDEX($C$41:$AE$41,1,X2-Assumptions!$B$146)*Assumptions!$B$145,0))</f>
        <v/>
      </c>
      <c r="Y42" s="58">
        <f>IF(Y7&gt;1,Y41*Assumptions!$B$145,IF(Y2&gt;Assumptions!$B$146,INDEX($C$41:$AE$41,1,Y2-Assumptions!$B$146)*Assumptions!$B$145,0))</f>
        <v/>
      </c>
      <c r="Z42" s="58">
        <f>IF(Z7&gt;1,Z41*Assumptions!$B$145,IF(Z2&gt;Assumptions!$B$146,INDEX($C$41:$AE$41,1,Z2-Assumptions!$B$146)*Assumptions!$B$145,0))</f>
        <v/>
      </c>
      <c r="AA42" s="58">
        <f>IF(AA7&gt;1,AA41*Assumptions!$B$145,IF(AA2&gt;Assumptions!$B$146,INDEX($C$41:$AE$41,1,AA2-Assumptions!$B$146)*Assumptions!$B$145,0))</f>
        <v/>
      </c>
      <c r="AB42" s="58">
        <f>IF(AB7&gt;1,AB41*Assumptions!$B$145,IF(AB2&gt;Assumptions!$B$146,INDEX($C$41:$AE$41,1,AB2-Assumptions!$B$146)*Assumptions!$B$145,0))</f>
        <v/>
      </c>
      <c r="AC42" s="58">
        <f>IF(AC7&gt;1,AC41*Assumptions!$B$145,IF(AC2&gt;Assumptions!$B$146,INDEX($C$41:$AE$41,1,AC2-Assumptions!$B$146)*Assumptions!$B$145,0))</f>
        <v/>
      </c>
      <c r="AD42" s="58">
        <f>IF(AD7&gt;1,AD41*Assumptions!$B$145,IF(AD2&gt;Assumptions!$B$146,INDEX($C$41:$AE$41,1,AD2-Assumptions!$B$146)*Assumptions!$B$145,0))</f>
        <v/>
      </c>
      <c r="AE42" s="58">
        <f>IF(AE7&gt;1,AE41*Assumptions!$B$145,IF(AE2&gt;Assumptions!$B$146,INDEX($C$41:$AE$41,1,AE2-Assumptions!$B$146)*Assumptions!$B$145,0))</f>
        <v/>
      </c>
    </row>
    <row r="43">
      <c r="A43" s="6" t="inlineStr">
        <is>
          <t xml:space="preserve">  Active cards</t>
        </is>
      </c>
      <c r="B43" s="23" t="inlineStr">
        <is>
          <t>cards</t>
        </is>
      </c>
      <c r="C43" s="28">
        <f>IF(C2&gt;=Assumptions!$B$51,C41*Assumptions!$B$154,0)</f>
        <v/>
      </c>
      <c r="D43" s="28">
        <f>IF(D2&gt;=Assumptions!$B$51,D41*Assumptions!$B$154,0)</f>
        <v/>
      </c>
      <c r="E43" s="28">
        <f>IF(E2&gt;=Assumptions!$B$51,E41*Assumptions!$B$154,0)</f>
        <v/>
      </c>
      <c r="F43" s="28">
        <f>IF(F2&gt;=Assumptions!$B$51,F41*Assumptions!$B$154,0)</f>
        <v/>
      </c>
      <c r="G43" s="28">
        <f>IF(G2&gt;=Assumptions!$B$51,G41*Assumptions!$B$154,0)</f>
        <v/>
      </c>
      <c r="H43" s="28">
        <f>IF(H2&gt;=Assumptions!$B$51,H41*Assumptions!$B$154,0)</f>
        <v/>
      </c>
      <c r="I43" s="28">
        <f>IF(I2&gt;=Assumptions!$B$51,I41*Assumptions!$B$154,0)</f>
        <v/>
      </c>
      <c r="J43" s="28">
        <f>IF(J2&gt;=Assumptions!$B$51,J41*Assumptions!$B$154,0)</f>
        <v/>
      </c>
      <c r="K43" s="28">
        <f>IF(K2&gt;=Assumptions!$B$51,K41*Assumptions!$B$154,0)</f>
        <v/>
      </c>
      <c r="L43" s="28">
        <f>IF(L2&gt;=Assumptions!$B$51,L41*Assumptions!$B$154,0)</f>
        <v/>
      </c>
      <c r="M43" s="28">
        <f>IF(M2&gt;=Assumptions!$B$51,M41*Assumptions!$B$154,0)</f>
        <v/>
      </c>
      <c r="N43" s="28">
        <f>IF(N2&gt;=Assumptions!$B$51,N41*Assumptions!$B$154,0)</f>
        <v/>
      </c>
      <c r="O43" s="28">
        <f>IF(O2&gt;=Assumptions!$B$51,O41*Assumptions!$B$154,0)</f>
        <v/>
      </c>
      <c r="P43" s="28">
        <f>IF(P2&gt;=Assumptions!$B$51,P41*Assumptions!$B$154,0)</f>
        <v/>
      </c>
      <c r="Q43" s="28">
        <f>IF(Q2&gt;=Assumptions!$B$51,Q41*Assumptions!$B$154,0)</f>
        <v/>
      </c>
      <c r="R43" s="28">
        <f>IF(R2&gt;=Assumptions!$B$51,R41*Assumptions!$B$154,0)</f>
        <v/>
      </c>
      <c r="S43" s="28">
        <f>IF(S2&gt;=Assumptions!$B$51,S41*Assumptions!$B$154,0)</f>
        <v/>
      </c>
      <c r="T43" s="28">
        <f>IF(T2&gt;=Assumptions!$B$51,T41*Assumptions!$B$154,0)</f>
        <v/>
      </c>
      <c r="U43" s="28">
        <f>IF(U2&gt;=Assumptions!$B$51,U41*Assumptions!$B$154,0)</f>
        <v/>
      </c>
      <c r="V43" s="28">
        <f>IF(V2&gt;=Assumptions!$B$51,V41*Assumptions!$B$154,0)</f>
        <v/>
      </c>
      <c r="W43" s="28">
        <f>IF(W2&gt;=Assumptions!$B$51,W41*Assumptions!$B$154,0)</f>
        <v/>
      </c>
      <c r="X43" s="28">
        <f>IF(X2&gt;=Assumptions!$B$51,X41*Assumptions!$B$154,0)</f>
        <v/>
      </c>
      <c r="Y43" s="28">
        <f>IF(Y2&gt;=Assumptions!$B$51,Y41*Assumptions!$B$154,0)</f>
        <v/>
      </c>
      <c r="Z43" s="28">
        <f>IF(Z2&gt;=Assumptions!$B$51,Z41*Assumptions!$B$154,0)</f>
        <v/>
      </c>
      <c r="AA43" s="28">
        <f>IF(AA2&gt;=Assumptions!$B$51,AA41*Assumptions!$B$154,0)</f>
        <v/>
      </c>
      <c r="AB43" s="28">
        <f>IF(AB2&gt;=Assumptions!$B$51,AB41*Assumptions!$B$154,0)</f>
        <v/>
      </c>
      <c r="AC43" s="28">
        <f>IF(AC2&gt;=Assumptions!$B$51,AC41*Assumptions!$B$154,0)</f>
        <v/>
      </c>
      <c r="AD43" s="28">
        <f>IF(AD2&gt;=Assumptions!$B$51,AD41*Assumptions!$B$154,0)</f>
        <v/>
      </c>
      <c r="AE43" s="28">
        <f>IF(AE2&gt;=Assumptions!$B$51,AE41*Assumptions!$B$154,0)</f>
        <v/>
      </c>
    </row>
    <row r="44">
      <c r="A44" s="6" t="inlineStr">
        <is>
          <t xml:space="preserve">  ...of which have a live credit line (now all of them)</t>
        </is>
      </c>
      <c r="B44" s="23" t="inlineStr">
        <is>
          <t>cards</t>
        </is>
      </c>
      <c r="C44" s="28">
        <f>C43</f>
        <v/>
      </c>
      <c r="D44" s="28">
        <f>D43</f>
        <v/>
      </c>
      <c r="E44" s="28">
        <f>E43</f>
        <v/>
      </c>
      <c r="F44" s="28">
        <f>F43</f>
        <v/>
      </c>
      <c r="G44" s="28">
        <f>G43</f>
        <v/>
      </c>
      <c r="H44" s="28">
        <f>H43</f>
        <v/>
      </c>
      <c r="I44" s="28">
        <f>I43</f>
        <v/>
      </c>
      <c r="J44" s="28">
        <f>J43</f>
        <v/>
      </c>
      <c r="K44" s="28">
        <f>K43</f>
        <v/>
      </c>
      <c r="L44" s="28">
        <f>L43</f>
        <v/>
      </c>
      <c r="M44" s="28">
        <f>M43</f>
        <v/>
      </c>
      <c r="N44" s="28">
        <f>N43</f>
        <v/>
      </c>
      <c r="O44" s="28">
        <f>O43</f>
        <v/>
      </c>
      <c r="P44" s="28">
        <f>P43</f>
        <v/>
      </c>
      <c r="Q44" s="28">
        <f>Q43</f>
        <v/>
      </c>
      <c r="R44" s="28">
        <f>R43</f>
        <v/>
      </c>
      <c r="S44" s="28">
        <f>S43</f>
        <v/>
      </c>
      <c r="T44" s="28">
        <f>T43</f>
        <v/>
      </c>
      <c r="U44" s="28">
        <f>U43</f>
        <v/>
      </c>
      <c r="V44" s="28">
        <f>V43</f>
        <v/>
      </c>
      <c r="W44" s="28">
        <f>W43</f>
        <v/>
      </c>
      <c r="X44" s="28">
        <f>X43</f>
        <v/>
      </c>
      <c r="Y44" s="28">
        <f>Y43</f>
        <v/>
      </c>
      <c r="Z44" s="28">
        <f>Z43</f>
        <v/>
      </c>
      <c r="AA44" s="28">
        <f>AA43</f>
        <v/>
      </c>
      <c r="AB44" s="28">
        <f>AB43</f>
        <v/>
      </c>
      <c r="AC44" s="28">
        <f>AC43</f>
        <v/>
      </c>
      <c r="AD44" s="28">
        <f>AD43</f>
        <v/>
      </c>
      <c r="AE44" s="28">
        <f>AE43</f>
        <v/>
      </c>
    </row>
    <row r="45">
      <c r="A45" s="6" t="inlineStr">
        <is>
          <t xml:space="preserve">  ...newly issued this period (flow, drives the issuance fee)</t>
        </is>
      </c>
      <c r="B45" s="23" t="inlineStr">
        <is>
          <t>cards</t>
        </is>
      </c>
      <c r="C45" s="54">
        <f>C43</f>
        <v/>
      </c>
      <c r="D45" s="54">
        <f>MAX(0,D43-C43)</f>
        <v/>
      </c>
      <c r="E45" s="54">
        <f>MAX(0,E43-D43)</f>
        <v/>
      </c>
      <c r="F45" s="54">
        <f>MAX(0,F43-E43)</f>
        <v/>
      </c>
      <c r="G45" s="54">
        <f>MAX(0,G43-F43)</f>
        <v/>
      </c>
      <c r="H45" s="54">
        <f>MAX(0,H43-G43)</f>
        <v/>
      </c>
      <c r="I45" s="54">
        <f>MAX(0,I43-H43)</f>
        <v/>
      </c>
      <c r="J45" s="54">
        <f>MAX(0,J43-I43)</f>
        <v/>
      </c>
      <c r="K45" s="54">
        <f>MAX(0,K43-J43)</f>
        <v/>
      </c>
      <c r="L45" s="54">
        <f>MAX(0,L43-K43)</f>
        <v/>
      </c>
      <c r="M45" s="54">
        <f>MAX(0,M43-L43)</f>
        <v/>
      </c>
      <c r="N45" s="54">
        <f>MAX(0,N43-M43)</f>
        <v/>
      </c>
      <c r="O45" s="54">
        <f>MAX(0,O43-N43)</f>
        <v/>
      </c>
      <c r="P45" s="54">
        <f>MAX(0,P43-O43)</f>
        <v/>
      </c>
      <c r="Q45" s="54">
        <f>MAX(0,Q43-P43)</f>
        <v/>
      </c>
      <c r="R45" s="54">
        <f>MAX(0,R43-Q43)</f>
        <v/>
      </c>
      <c r="S45" s="54">
        <f>MAX(0,S43-R43)</f>
        <v/>
      </c>
      <c r="T45" s="54">
        <f>MAX(0,T43-S43)</f>
        <v/>
      </c>
      <c r="U45" s="54">
        <f>MAX(0,U43-T43)</f>
        <v/>
      </c>
      <c r="V45" s="54">
        <f>MAX(0,V43-U43)</f>
        <v/>
      </c>
      <c r="W45" s="54">
        <f>MAX(0,W43-V43)</f>
        <v/>
      </c>
      <c r="X45" s="54">
        <f>MAX(0,X43-W43)</f>
        <v/>
      </c>
      <c r="Y45" s="54">
        <f>MAX(0,Y43-X43)</f>
        <v/>
      </c>
      <c r="Z45" s="54">
        <f>MAX(0,Z43-Y43)</f>
        <v/>
      </c>
      <c r="AA45" s="54">
        <f>MAX(0,AA43-Z43)</f>
        <v/>
      </c>
      <c r="AB45" s="54">
        <f>MAX(0,AB43-AA43)</f>
        <v/>
      </c>
      <c r="AC45" s="54">
        <f>MAX(0,AC43-AB43)</f>
        <v/>
      </c>
      <c r="AD45" s="54">
        <f>MAX(0,AD43-AC43)</f>
        <v/>
      </c>
      <c r="AE45" s="54">
        <f>MAX(0,AE43-AD43)</f>
        <v/>
      </c>
    </row>
    <row r="46">
      <c r="A46" s="6" t="inlineStr">
        <is>
          <t xml:space="preserve">  Credit limit per customer (gold x LTV)</t>
        </is>
      </c>
      <c r="B46" s="23" t="inlineStr">
        <is>
          <t>USD</t>
        </is>
      </c>
      <c r="C46" s="55">
        <f>IF(C41=0,0,C40/C41*Assumptions!$B$31)</f>
        <v/>
      </c>
      <c r="D46" s="55">
        <f>IF(D41=0,0,D40/D41*Assumptions!$B$31)</f>
        <v/>
      </c>
      <c r="E46" s="55">
        <f>IF(E41=0,0,E40/E41*Assumptions!$B$31)</f>
        <v/>
      </c>
      <c r="F46" s="55">
        <f>IF(F41=0,0,F40/F41*Assumptions!$B$31)</f>
        <v/>
      </c>
      <c r="G46" s="55">
        <f>IF(G41=0,0,G40/G41*Assumptions!$B$31)</f>
        <v/>
      </c>
      <c r="H46" s="55">
        <f>IF(H41=0,0,H40/H41*Assumptions!$B$31)</f>
        <v/>
      </c>
      <c r="I46" s="55">
        <f>IF(I41=0,0,I40/I41*Assumptions!$B$31)</f>
        <v/>
      </c>
      <c r="J46" s="55">
        <f>IF(J41=0,0,J40/J41*Assumptions!$B$31)</f>
        <v/>
      </c>
      <c r="K46" s="55">
        <f>IF(K41=0,0,K40/K41*Assumptions!$B$31)</f>
        <v/>
      </c>
      <c r="L46" s="55">
        <f>IF(L41=0,0,L40/L41*Assumptions!$B$31)</f>
        <v/>
      </c>
      <c r="M46" s="55">
        <f>IF(M41=0,0,M40/M41*Assumptions!$B$31)</f>
        <v/>
      </c>
      <c r="N46" s="55">
        <f>IF(N41=0,0,N40/N41*Assumptions!$B$31)</f>
        <v/>
      </c>
      <c r="O46" s="55">
        <f>IF(O41=0,0,O40/O41*Assumptions!$B$31)</f>
        <v/>
      </c>
      <c r="P46" s="55">
        <f>IF(P41=0,0,P40/P41*Assumptions!$B$31)</f>
        <v/>
      </c>
      <c r="Q46" s="55">
        <f>IF(Q41=0,0,Q40/Q41*Assumptions!$B$31)</f>
        <v/>
      </c>
      <c r="R46" s="55">
        <f>IF(R41=0,0,R40/R41*Assumptions!$B$31)</f>
        <v/>
      </c>
      <c r="S46" s="55">
        <f>IF(S41=0,0,S40/S41*Assumptions!$B$31)</f>
        <v/>
      </c>
      <c r="T46" s="55">
        <f>IF(T41=0,0,T40/T41*Assumptions!$B$31)</f>
        <v/>
      </c>
      <c r="U46" s="55">
        <f>IF(U41=0,0,U40/U41*Assumptions!$B$31)</f>
        <v/>
      </c>
      <c r="V46" s="55">
        <f>IF(V41=0,0,V40/V41*Assumptions!$B$31)</f>
        <v/>
      </c>
      <c r="W46" s="55">
        <f>IF(W41=0,0,W40/W41*Assumptions!$B$31)</f>
        <v/>
      </c>
      <c r="X46" s="55">
        <f>IF(X41=0,0,X40/X41*Assumptions!$B$31)</f>
        <v/>
      </c>
      <c r="Y46" s="55">
        <f>IF(Y41=0,0,Y40/Y41*Assumptions!$B$31)</f>
        <v/>
      </c>
      <c r="Z46" s="55">
        <f>IF(Z41=0,0,Z40/Z41*Assumptions!$B$31)</f>
        <v/>
      </c>
      <c r="AA46" s="55">
        <f>IF(AA41=0,0,AA40/AA41*Assumptions!$B$31)</f>
        <v/>
      </c>
      <c r="AB46" s="55">
        <f>IF(AB41=0,0,AB40/AB41*Assumptions!$B$31)</f>
        <v/>
      </c>
      <c r="AC46" s="55">
        <f>IF(AC41=0,0,AC40/AC41*Assumptions!$B$31)</f>
        <v/>
      </c>
      <c r="AD46" s="55">
        <f>IF(AD41=0,0,AD40/AD41*Assumptions!$B$31)</f>
        <v/>
      </c>
      <c r="AE46" s="55">
        <f>IF(AE41=0,0,AE40/AE41*Assumptions!$B$31)</f>
        <v/>
      </c>
    </row>
    <row r="47">
      <c r="A47" s="6" t="inlineStr">
        <is>
          <t xml:space="preserve">  Annual drawdown per card (limit x drawn x draws)</t>
        </is>
      </c>
      <c r="B47" s="23" t="inlineStr">
        <is>
          <t>USD/yr</t>
        </is>
      </c>
      <c r="C47" s="55">
        <f>C46*Assumptions!$B$167*Assumptions!$B$169</f>
        <v/>
      </c>
      <c r="D47" s="55">
        <f>D46*Assumptions!$B$167*Assumptions!$B$169</f>
        <v/>
      </c>
      <c r="E47" s="55">
        <f>E46*Assumptions!$B$167*Assumptions!$B$169</f>
        <v/>
      </c>
      <c r="F47" s="55">
        <f>F46*Assumptions!$B$167*Assumptions!$B$169</f>
        <v/>
      </c>
      <c r="G47" s="55">
        <f>G46*Assumptions!$B$167*Assumptions!$B$169</f>
        <v/>
      </c>
      <c r="H47" s="55">
        <f>H46*Assumptions!$B$167*Assumptions!$B$169</f>
        <v/>
      </c>
      <c r="I47" s="55">
        <f>I46*Assumptions!$B$167*Assumptions!$B$169</f>
        <v/>
      </c>
      <c r="J47" s="55">
        <f>J46*Assumptions!$B$167*Assumptions!$B$169</f>
        <v/>
      </c>
      <c r="K47" s="55">
        <f>K46*Assumptions!$B$167*Assumptions!$B$169</f>
        <v/>
      </c>
      <c r="L47" s="55">
        <f>L46*Assumptions!$B$167*Assumptions!$B$169</f>
        <v/>
      </c>
      <c r="M47" s="55">
        <f>M46*Assumptions!$B$167*Assumptions!$B$169</f>
        <v/>
      </c>
      <c r="N47" s="55">
        <f>N46*Assumptions!$B$167*Assumptions!$B$169</f>
        <v/>
      </c>
      <c r="O47" s="55">
        <f>O46*Assumptions!$B$167*Assumptions!$B$169</f>
        <v/>
      </c>
      <c r="P47" s="55">
        <f>P46*Assumptions!$B$167*Assumptions!$B$169</f>
        <v/>
      </c>
      <c r="Q47" s="55">
        <f>Q46*Assumptions!$B$167*Assumptions!$B$169</f>
        <v/>
      </c>
      <c r="R47" s="55">
        <f>R46*Assumptions!$B$167*Assumptions!$B$169</f>
        <v/>
      </c>
      <c r="S47" s="55">
        <f>S46*Assumptions!$B$167*Assumptions!$B$169</f>
        <v/>
      </c>
      <c r="T47" s="55">
        <f>T46*Assumptions!$B$167*Assumptions!$B$169</f>
        <v/>
      </c>
      <c r="U47" s="55">
        <f>U46*Assumptions!$B$167*Assumptions!$B$169</f>
        <v/>
      </c>
      <c r="V47" s="55">
        <f>V46*Assumptions!$B$167*Assumptions!$B$169</f>
        <v/>
      </c>
      <c r="W47" s="55">
        <f>W46*Assumptions!$B$167*Assumptions!$B$169</f>
        <v/>
      </c>
      <c r="X47" s="55">
        <f>X46*Assumptions!$B$167*Assumptions!$B$169</f>
        <v/>
      </c>
      <c r="Y47" s="55">
        <f>Y46*Assumptions!$B$167*Assumptions!$B$169</f>
        <v/>
      </c>
      <c r="Z47" s="55">
        <f>Z46*Assumptions!$B$167*Assumptions!$B$169</f>
        <v/>
      </c>
      <c r="AA47" s="55">
        <f>AA46*Assumptions!$B$167*Assumptions!$B$169</f>
        <v/>
      </c>
      <c r="AB47" s="55">
        <f>AB46*Assumptions!$B$167*Assumptions!$B$169</f>
        <v/>
      </c>
      <c r="AC47" s="55">
        <f>AC46*Assumptions!$B$167*Assumptions!$B$169</f>
        <v/>
      </c>
      <c r="AD47" s="55">
        <f>AD46*Assumptions!$B$167*Assumptions!$B$169</f>
        <v/>
      </c>
      <c r="AE47" s="55">
        <f>AE46*Assumptions!$B$167*Assumptions!$B$169</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C44*C48*Assumptions!$B$7*C7</f>
        <v/>
      </c>
      <c r="D49" s="45">
        <f>D44*D48*Assumptions!$B$7*D7</f>
        <v/>
      </c>
      <c r="E49" s="45">
        <f>E44*E48*Assumptions!$B$7*E7</f>
        <v/>
      </c>
      <c r="F49" s="45">
        <f>F44*F48*Assumptions!$B$7*F7</f>
        <v/>
      </c>
      <c r="G49" s="45">
        <f>G44*G48*Assumptions!$B$7*G7</f>
        <v/>
      </c>
      <c r="H49" s="45">
        <f>H44*H48*Assumptions!$B$7*H7</f>
        <v/>
      </c>
      <c r="I49" s="45">
        <f>I44*I48*Assumptions!$B$7*I7</f>
        <v/>
      </c>
      <c r="J49" s="45">
        <f>J44*J48*Assumptions!$B$7*J7</f>
        <v/>
      </c>
      <c r="K49" s="45">
        <f>K44*K48*Assumptions!$B$7*K7</f>
        <v/>
      </c>
      <c r="L49" s="45">
        <f>L44*L48*Assumptions!$B$7*L7</f>
        <v/>
      </c>
      <c r="M49" s="45">
        <f>M44*M48*Assumptions!$B$7*M7</f>
        <v/>
      </c>
      <c r="N49" s="45">
        <f>N44*N48*Assumptions!$B$7*N7</f>
        <v/>
      </c>
      <c r="O49" s="45">
        <f>O44*O48*Assumptions!$B$7*O7</f>
        <v/>
      </c>
      <c r="P49" s="45">
        <f>P44*P48*Assumptions!$B$7*P7</f>
        <v/>
      </c>
      <c r="Q49" s="45">
        <f>Q44*Q48*Assumptions!$B$7*Q7</f>
        <v/>
      </c>
      <c r="R49" s="45">
        <f>R44*R48*Assumptions!$B$7*R7</f>
        <v/>
      </c>
      <c r="S49" s="45">
        <f>S44*S48*Assumptions!$B$7*S7</f>
        <v/>
      </c>
      <c r="T49" s="45">
        <f>T44*T48*Assumptions!$B$7*T7</f>
        <v/>
      </c>
      <c r="U49" s="45">
        <f>U44*U48*Assumptions!$B$7*U7</f>
        <v/>
      </c>
      <c r="V49" s="45">
        <f>V44*V48*Assumptions!$B$7*V7</f>
        <v/>
      </c>
      <c r="W49" s="45">
        <f>W44*W48*Assumptions!$B$7*W7</f>
        <v/>
      </c>
      <c r="X49" s="45">
        <f>X44*X48*Assumptions!$B$7*X7</f>
        <v/>
      </c>
      <c r="Y49" s="45">
        <f>Y44*Y48*Assumptions!$B$7*Y7</f>
        <v/>
      </c>
      <c r="Z49" s="45">
        <f>Z44*Z48*Assumptions!$B$7*Z7</f>
        <v/>
      </c>
      <c r="AA49" s="45">
        <f>AA44*AA48*Assumptions!$B$7*AA7</f>
        <v/>
      </c>
      <c r="AB49" s="45">
        <f>AB44*AB48*Assumptions!$B$7*AB7</f>
        <v/>
      </c>
      <c r="AC49" s="45">
        <f>AC44*AC48*Assumptions!$B$7*AC7</f>
        <v/>
      </c>
      <c r="AD49" s="45">
        <f>AD44*AD48*Assumptions!$B$7*AD7</f>
        <v/>
      </c>
      <c r="AE49" s="45">
        <f>AE44*AE48*Assumptions!$B$7*AE7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IF(Assumptions!$B$155=0,0,C46*Assumptions!$B$167*Assumptions!$B$7/Assumptions!$B$155)</f>
        <v/>
      </c>
      <c r="D51" s="45">
        <f>IF(Assumptions!$B$155=0,0,D46*Assumptions!$B$167*Assumptions!$B$7/Assumptions!$B$155)</f>
        <v/>
      </c>
      <c r="E51" s="45">
        <f>IF(Assumptions!$B$155=0,0,E46*Assumptions!$B$167*Assumptions!$B$7/Assumptions!$B$155)</f>
        <v/>
      </c>
      <c r="F51" s="45">
        <f>IF(Assumptions!$B$155=0,0,F46*Assumptions!$B$167*Assumptions!$B$7/Assumptions!$B$155)</f>
        <v/>
      </c>
      <c r="G51" s="45">
        <f>IF(Assumptions!$B$155=0,0,G46*Assumptions!$B$167*Assumptions!$B$7/Assumptions!$B$155)</f>
        <v/>
      </c>
      <c r="H51" s="45">
        <f>IF(Assumptions!$B$155=0,0,H46*Assumptions!$B$167*Assumptions!$B$7/Assumptions!$B$155)</f>
        <v/>
      </c>
      <c r="I51" s="45">
        <f>IF(Assumptions!$B$155=0,0,I46*Assumptions!$B$167*Assumptions!$B$7/Assumptions!$B$155)</f>
        <v/>
      </c>
      <c r="J51" s="45">
        <f>IF(Assumptions!$B$155=0,0,J46*Assumptions!$B$167*Assumptions!$B$7/Assumptions!$B$155)</f>
        <v/>
      </c>
      <c r="K51" s="45">
        <f>IF(Assumptions!$B$155=0,0,K46*Assumptions!$B$167*Assumptions!$B$7/Assumptions!$B$155)</f>
        <v/>
      </c>
      <c r="L51" s="45">
        <f>IF(Assumptions!$B$155=0,0,L46*Assumptions!$B$167*Assumptions!$B$7/Assumptions!$B$155)</f>
        <v/>
      </c>
      <c r="M51" s="45">
        <f>IF(Assumptions!$B$155=0,0,M46*Assumptions!$B$167*Assumptions!$B$7/Assumptions!$B$155)</f>
        <v/>
      </c>
      <c r="N51" s="45">
        <f>IF(Assumptions!$B$155=0,0,N46*Assumptions!$B$167*Assumptions!$B$7/Assumptions!$B$155)</f>
        <v/>
      </c>
      <c r="O51" s="45">
        <f>IF(Assumptions!$B$155=0,0,O46*Assumptions!$B$167*Assumptions!$B$7/Assumptions!$B$155)</f>
        <v/>
      </c>
      <c r="P51" s="45">
        <f>IF(Assumptions!$B$155=0,0,P46*Assumptions!$B$167*Assumptions!$B$7/Assumptions!$B$155)</f>
        <v/>
      </c>
      <c r="Q51" s="45">
        <f>IF(Assumptions!$B$155=0,0,Q46*Assumptions!$B$167*Assumptions!$B$7/Assumptions!$B$155)</f>
        <v/>
      </c>
      <c r="R51" s="45">
        <f>IF(Assumptions!$B$155=0,0,R46*Assumptions!$B$167*Assumptions!$B$7/Assumptions!$B$155)</f>
        <v/>
      </c>
      <c r="S51" s="45">
        <f>IF(Assumptions!$B$155=0,0,S46*Assumptions!$B$167*Assumptions!$B$7/Assumptions!$B$155)</f>
        <v/>
      </c>
      <c r="T51" s="45">
        <f>IF(Assumptions!$B$155=0,0,T46*Assumptions!$B$167*Assumptions!$B$7/Assumptions!$B$155)</f>
        <v/>
      </c>
      <c r="U51" s="45">
        <f>IF(Assumptions!$B$155=0,0,U46*Assumptions!$B$167*Assumptions!$B$7/Assumptions!$B$155)</f>
        <v/>
      </c>
      <c r="V51" s="45">
        <f>IF(Assumptions!$B$155=0,0,V46*Assumptions!$B$167*Assumptions!$B$7/Assumptions!$B$155)</f>
        <v/>
      </c>
      <c r="W51" s="45">
        <f>IF(Assumptions!$B$155=0,0,W46*Assumptions!$B$167*Assumptions!$B$7/Assumptions!$B$155)</f>
        <v/>
      </c>
      <c r="X51" s="45">
        <f>IF(Assumptions!$B$155=0,0,X46*Assumptions!$B$167*Assumptions!$B$7/Assumptions!$B$155)</f>
        <v/>
      </c>
      <c r="Y51" s="45">
        <f>IF(Assumptions!$B$155=0,0,Y46*Assumptions!$B$167*Assumptions!$B$7/Assumptions!$B$155)</f>
        <v/>
      </c>
      <c r="Z51" s="45">
        <f>IF(Assumptions!$B$155=0,0,Z46*Assumptions!$B$167*Assumptions!$B$7/Assumptions!$B$155)</f>
        <v/>
      </c>
      <c r="AA51" s="45">
        <f>IF(Assumptions!$B$155=0,0,AA46*Assumptions!$B$167*Assumptions!$B$7/Assumptions!$B$155)</f>
        <v/>
      </c>
      <c r="AB51" s="45">
        <f>IF(Assumptions!$B$155=0,0,AB46*Assumptions!$B$167*Assumptions!$B$7/Assumptions!$B$155)</f>
        <v/>
      </c>
      <c r="AC51" s="45">
        <f>IF(Assumptions!$B$155=0,0,AC46*Assumptions!$B$167*Assumptions!$B$7/Assumptions!$B$155)</f>
        <v/>
      </c>
      <c r="AD51" s="45">
        <f>IF(Assumptions!$B$155=0,0,AD46*Assumptions!$B$167*Assumptions!$B$7/Assumptions!$B$155)</f>
        <v/>
      </c>
      <c r="AE51" s="45">
        <f>IF(Assumptions!$B$155=0,0,AE46*Assumptions!$B$167*Assumptions!$B$7/Assumptions!$B$155)</f>
        <v/>
      </c>
    </row>
    <row r="52">
      <c r="A52" s="6" t="inlineStr">
        <is>
          <t xml:space="preserve">  Card authorisations (memo - drives cost, not revenue)</t>
        </is>
      </c>
      <c r="B52" s="23" t="inlineStr">
        <is>
          <t>auths</t>
        </is>
      </c>
      <c r="C52" s="45">
        <f>C44*Assumptions!$B$169*Assumptions!$B$155*C7/12*(1+Assumptions!$B$16)</f>
        <v/>
      </c>
      <c r="D52" s="45">
        <f>D44*Assumptions!$B$169*Assumptions!$B$155*D7/12*(1+Assumptions!$B$16)</f>
        <v/>
      </c>
      <c r="E52" s="45">
        <f>E44*Assumptions!$B$169*Assumptions!$B$155*E7/12*(1+Assumptions!$B$16)</f>
        <v/>
      </c>
      <c r="F52" s="45">
        <f>F44*Assumptions!$B$169*Assumptions!$B$155*F7/12*(1+Assumptions!$B$16)</f>
        <v/>
      </c>
      <c r="G52" s="45">
        <f>G44*Assumptions!$B$169*Assumptions!$B$155*G7/12*(1+Assumptions!$B$16)</f>
        <v/>
      </c>
      <c r="H52" s="45">
        <f>H44*Assumptions!$B$169*Assumptions!$B$155*H7/12*(1+Assumptions!$B$16)</f>
        <v/>
      </c>
      <c r="I52" s="45">
        <f>I44*Assumptions!$B$169*Assumptions!$B$155*I7/12*(1+Assumptions!$B$16)</f>
        <v/>
      </c>
      <c r="J52" s="45">
        <f>J44*Assumptions!$B$169*Assumptions!$B$155*J7/12*(1+Assumptions!$B$16)</f>
        <v/>
      </c>
      <c r="K52" s="45">
        <f>K44*Assumptions!$B$169*Assumptions!$B$155*K7/12*(1+Assumptions!$B$16)</f>
        <v/>
      </c>
      <c r="L52" s="45">
        <f>L44*Assumptions!$B$169*Assumptions!$B$155*L7/12*(1+Assumptions!$B$16)</f>
        <v/>
      </c>
      <c r="M52" s="45">
        <f>M44*Assumptions!$B$169*Assumptions!$B$155*M7/12*(1+Assumptions!$B$16)</f>
        <v/>
      </c>
      <c r="N52" s="45">
        <f>N44*Assumptions!$B$169*Assumptions!$B$155*N7/12*(1+Assumptions!$B$16)</f>
        <v/>
      </c>
      <c r="O52" s="45">
        <f>O44*Assumptions!$B$169*Assumptions!$B$155*O7/12*(1+Assumptions!$B$16)</f>
        <v/>
      </c>
      <c r="P52" s="45">
        <f>P44*Assumptions!$B$169*Assumptions!$B$155*P7/12*(1+Assumptions!$B$16)</f>
        <v/>
      </c>
      <c r="Q52" s="45">
        <f>Q44*Assumptions!$B$169*Assumptions!$B$155*Q7/12*(1+Assumptions!$B$16)</f>
        <v/>
      </c>
      <c r="R52" s="45">
        <f>R44*Assumptions!$B$169*Assumptions!$B$155*R7/12*(1+Assumptions!$B$16)</f>
        <v/>
      </c>
      <c r="S52" s="45">
        <f>S44*Assumptions!$B$169*Assumptions!$B$155*S7/12*(1+Assumptions!$B$16)</f>
        <v/>
      </c>
      <c r="T52" s="45">
        <f>T44*Assumptions!$B$169*Assumptions!$B$155*T7/12*(1+Assumptions!$B$16)</f>
        <v/>
      </c>
      <c r="U52" s="45">
        <f>U44*Assumptions!$B$169*Assumptions!$B$155*U7/12*(1+Assumptions!$B$16)</f>
        <v/>
      </c>
      <c r="V52" s="45">
        <f>V44*Assumptions!$B$169*Assumptions!$B$155*V7/12*(1+Assumptions!$B$16)</f>
        <v/>
      </c>
      <c r="W52" s="45">
        <f>W44*Assumptions!$B$169*Assumptions!$B$155*W7/12*(1+Assumptions!$B$16)</f>
        <v/>
      </c>
      <c r="X52" s="45">
        <f>X44*Assumptions!$B$169*Assumptions!$B$155*X7/12*(1+Assumptions!$B$16)</f>
        <v/>
      </c>
      <c r="Y52" s="45">
        <f>Y44*Assumptions!$B$169*Assumptions!$B$155*Y7/12*(1+Assumptions!$B$16)</f>
        <v/>
      </c>
      <c r="Z52" s="45">
        <f>Z44*Assumptions!$B$169*Assumptions!$B$155*Z7/12*(1+Assumptions!$B$16)</f>
        <v/>
      </c>
      <c r="AA52" s="45">
        <f>AA44*Assumptions!$B$169*Assumptions!$B$155*AA7/12*(1+Assumptions!$B$16)</f>
        <v/>
      </c>
      <c r="AB52" s="45">
        <f>AB44*Assumptions!$B$169*Assumptions!$B$155*AB7/12*(1+Assumptions!$B$16)</f>
        <v/>
      </c>
      <c r="AC52" s="45">
        <f>AC44*Assumptions!$B$169*Assumptions!$B$155*AC7/12*(1+Assumptions!$B$16)</f>
        <v/>
      </c>
      <c r="AD52" s="45">
        <f>AD44*Assumptions!$B$169*Assumptions!$B$155*AD7/12*(1+Assumptions!$B$16)</f>
        <v/>
      </c>
      <c r="AE52" s="45">
        <f>AE44*Assumptions!$B$169*Assumptions!$B$155*AE7/12*(1+Assumptions!$B$16)</f>
        <v/>
      </c>
    </row>
    <row r="53">
      <c r="A53" s="6" t="inlineStr">
        <is>
          <t xml:space="preserve">  Stream 1a - Entry fee, SIP</t>
        </is>
      </c>
      <c r="B53" s="23" t="inlineStr">
        <is>
          <t>USD</t>
        </is>
      </c>
      <c r="C53" s="55">
        <f>C33*Assumptions!$B$8</f>
        <v/>
      </c>
      <c r="D53" s="55">
        <f>D33*Assumptions!$B$8</f>
        <v/>
      </c>
      <c r="E53" s="55">
        <f>E33*Assumptions!$B$8</f>
        <v/>
      </c>
      <c r="F53" s="55">
        <f>F33*Assumptions!$B$8</f>
        <v/>
      </c>
      <c r="G53" s="55">
        <f>G33*Assumptions!$B$8</f>
        <v/>
      </c>
      <c r="H53" s="55">
        <f>H33*Assumptions!$B$8</f>
        <v/>
      </c>
      <c r="I53" s="55">
        <f>I33*Assumptions!$B$8</f>
        <v/>
      </c>
      <c r="J53" s="55">
        <f>J33*Assumptions!$B$8</f>
        <v/>
      </c>
      <c r="K53" s="55">
        <f>K33*Assumptions!$B$8</f>
        <v/>
      </c>
      <c r="L53" s="55">
        <f>L33*Assumptions!$B$8</f>
        <v/>
      </c>
      <c r="M53" s="55">
        <f>M33*Assumptions!$B$8</f>
        <v/>
      </c>
      <c r="N53" s="55">
        <f>N33*Assumptions!$B$8</f>
        <v/>
      </c>
      <c r="O53" s="55">
        <f>O33*Assumptions!$B$8</f>
        <v/>
      </c>
      <c r="P53" s="55">
        <f>P33*Assumptions!$B$8</f>
        <v/>
      </c>
      <c r="Q53" s="55">
        <f>Q33*Assumptions!$B$8</f>
        <v/>
      </c>
      <c r="R53" s="55">
        <f>R33*Assumptions!$B$8</f>
        <v/>
      </c>
      <c r="S53" s="55">
        <f>S33*Assumptions!$B$8</f>
        <v/>
      </c>
      <c r="T53" s="55">
        <f>T33*Assumptions!$B$8</f>
        <v/>
      </c>
      <c r="U53" s="55">
        <f>U33*Assumptions!$B$8</f>
        <v/>
      </c>
      <c r="V53" s="55">
        <f>V33*Assumptions!$B$8</f>
        <v/>
      </c>
      <c r="W53" s="55">
        <f>W33*Assumptions!$B$8</f>
        <v/>
      </c>
      <c r="X53" s="55">
        <f>X33*Assumptions!$B$8</f>
        <v/>
      </c>
      <c r="Y53" s="55">
        <f>Y33*Assumptions!$B$8</f>
        <v/>
      </c>
      <c r="Z53" s="55">
        <f>Z33*Assumptions!$B$8</f>
        <v/>
      </c>
      <c r="AA53" s="55">
        <f>AA33*Assumptions!$B$8</f>
        <v/>
      </c>
      <c r="AB53" s="55">
        <f>AB33*Assumptions!$B$8</f>
        <v/>
      </c>
      <c r="AC53" s="55">
        <f>AC33*Assumptions!$B$8</f>
        <v/>
      </c>
      <c r="AD53" s="55">
        <f>AD33*Assumptions!$B$8</f>
        <v/>
      </c>
      <c r="AE53" s="55">
        <f>AE33*Assumptions!$B$8</f>
        <v/>
      </c>
    </row>
    <row r="54">
      <c r="A54" s="6" t="inlineStr">
        <is>
          <t xml:space="preserve">  Stream 1b - Entry fee, SPOT</t>
        </is>
      </c>
      <c r="B54" s="23" t="inlineStr">
        <is>
          <t>USD</t>
        </is>
      </c>
      <c r="C54" s="55">
        <f>C34*Assumptions!$B$8</f>
        <v/>
      </c>
      <c r="D54" s="55">
        <f>D34*Assumptions!$B$8</f>
        <v/>
      </c>
      <c r="E54" s="55">
        <f>E34*Assumptions!$B$8</f>
        <v/>
      </c>
      <c r="F54" s="55">
        <f>F34*Assumptions!$B$8</f>
        <v/>
      </c>
      <c r="G54" s="55">
        <f>G34*Assumptions!$B$8</f>
        <v/>
      </c>
      <c r="H54" s="55">
        <f>H34*Assumptions!$B$8</f>
        <v/>
      </c>
      <c r="I54" s="55">
        <f>I34*Assumptions!$B$8</f>
        <v/>
      </c>
      <c r="J54" s="55">
        <f>J34*Assumptions!$B$8</f>
        <v/>
      </c>
      <c r="K54" s="55">
        <f>K34*Assumptions!$B$8</f>
        <v/>
      </c>
      <c r="L54" s="55">
        <f>L34*Assumptions!$B$8</f>
        <v/>
      </c>
      <c r="M54" s="55">
        <f>M34*Assumptions!$B$8</f>
        <v/>
      </c>
      <c r="N54" s="55">
        <f>N34*Assumptions!$B$8</f>
        <v/>
      </c>
      <c r="O54" s="55">
        <f>O34*Assumptions!$B$8</f>
        <v/>
      </c>
      <c r="P54" s="55">
        <f>P34*Assumptions!$B$8</f>
        <v/>
      </c>
      <c r="Q54" s="55">
        <f>Q34*Assumptions!$B$8</f>
        <v/>
      </c>
      <c r="R54" s="55">
        <f>R34*Assumptions!$B$8</f>
        <v/>
      </c>
      <c r="S54" s="55">
        <f>S34*Assumptions!$B$8</f>
        <v/>
      </c>
      <c r="T54" s="55">
        <f>T34*Assumptions!$B$8</f>
        <v/>
      </c>
      <c r="U54" s="55">
        <f>U34*Assumptions!$B$8</f>
        <v/>
      </c>
      <c r="V54" s="55">
        <f>V34*Assumptions!$B$8</f>
        <v/>
      </c>
      <c r="W54" s="55">
        <f>W34*Assumptions!$B$8</f>
        <v/>
      </c>
      <c r="X54" s="55">
        <f>X34*Assumptions!$B$8</f>
        <v/>
      </c>
      <c r="Y54" s="55">
        <f>Y34*Assumptions!$B$8</f>
        <v/>
      </c>
      <c r="Z54" s="55">
        <f>Z34*Assumptions!$B$8</f>
        <v/>
      </c>
      <c r="AA54" s="55">
        <f>AA34*Assumptions!$B$8</f>
        <v/>
      </c>
      <c r="AB54" s="55">
        <f>AB34*Assumptions!$B$8</f>
        <v/>
      </c>
      <c r="AC54" s="55">
        <f>AC34*Assumptions!$B$8</f>
        <v/>
      </c>
      <c r="AD54" s="55">
        <f>AD34*Assumptions!$B$8</f>
        <v/>
      </c>
      <c r="AE54" s="55">
        <f>AE34*Assumptions!$B$8</f>
        <v/>
      </c>
    </row>
    <row r="55">
      <c r="A55" s="6" t="inlineStr">
        <is>
          <t xml:space="preserve">  Stream 2 - Card interchange</t>
        </is>
      </c>
      <c r="B55" s="23" t="inlineStr">
        <is>
          <t>USD</t>
        </is>
      </c>
      <c r="C55" s="55">
        <f>C50*IF(Assumptions!$B$189=1,MIN(Assumptions!$B$14,1%),Assumptions!$B$14)*(1-Assumptions!$B$153)</f>
        <v/>
      </c>
      <c r="D55" s="55">
        <f>D50*IF(Assumptions!$B$189=1,MIN(Assumptions!$B$14,1%),Assumptions!$B$14)*(1-Assumptions!$B$153)</f>
        <v/>
      </c>
      <c r="E55" s="55">
        <f>E50*IF(Assumptions!$B$189=1,MIN(Assumptions!$B$14,1%),Assumptions!$B$14)*(1-Assumptions!$B$153)</f>
        <v/>
      </c>
      <c r="F55" s="55">
        <f>F50*IF(Assumptions!$B$189=1,MIN(Assumptions!$B$14,1%),Assumptions!$B$14)*(1-Assumptions!$B$153)</f>
        <v/>
      </c>
      <c r="G55" s="55">
        <f>G50*IF(Assumptions!$B$189=1,MIN(Assumptions!$B$14,1%),Assumptions!$B$14)*(1-Assumptions!$B$153)</f>
        <v/>
      </c>
      <c r="H55" s="55">
        <f>H50*IF(Assumptions!$B$189=1,MIN(Assumptions!$B$14,1%),Assumptions!$B$14)*(1-Assumptions!$B$153)</f>
        <v/>
      </c>
      <c r="I55" s="55">
        <f>I50*IF(Assumptions!$B$189=1,MIN(Assumptions!$B$14,1%),Assumptions!$B$14)*(1-Assumptions!$B$153)</f>
        <v/>
      </c>
      <c r="J55" s="55">
        <f>J50*IF(Assumptions!$B$189=1,MIN(Assumptions!$B$14,1%),Assumptions!$B$14)*(1-Assumptions!$B$153)</f>
        <v/>
      </c>
      <c r="K55" s="55">
        <f>K50*IF(Assumptions!$B$189=1,MIN(Assumptions!$B$14,1%),Assumptions!$B$14)*(1-Assumptions!$B$153)</f>
        <v/>
      </c>
      <c r="L55" s="55">
        <f>L50*IF(Assumptions!$B$189=1,MIN(Assumptions!$B$14,1%),Assumptions!$B$14)*(1-Assumptions!$B$153)</f>
        <v/>
      </c>
      <c r="M55" s="55">
        <f>M50*IF(Assumptions!$B$189=1,MIN(Assumptions!$B$14,1%),Assumptions!$B$14)*(1-Assumptions!$B$153)</f>
        <v/>
      </c>
      <c r="N55" s="55">
        <f>N50*IF(Assumptions!$B$189=1,MIN(Assumptions!$B$14,1%),Assumptions!$B$14)*(1-Assumptions!$B$153)</f>
        <v/>
      </c>
      <c r="O55" s="55">
        <f>O50*IF(Assumptions!$B$189=1,MIN(Assumptions!$B$14,1%),Assumptions!$B$14)*(1-Assumptions!$B$153)</f>
        <v/>
      </c>
      <c r="P55" s="55">
        <f>P50*IF(Assumptions!$B$189=1,MIN(Assumptions!$B$14,1%),Assumptions!$B$14)*(1-Assumptions!$B$153)</f>
        <v/>
      </c>
      <c r="Q55" s="55">
        <f>Q50*IF(Assumptions!$B$189=1,MIN(Assumptions!$B$14,1%),Assumptions!$B$14)*(1-Assumptions!$B$153)</f>
        <v/>
      </c>
      <c r="R55" s="55">
        <f>R50*IF(Assumptions!$B$189=1,MIN(Assumptions!$B$14,1%),Assumptions!$B$14)*(1-Assumptions!$B$153)</f>
        <v/>
      </c>
      <c r="S55" s="55">
        <f>S50*IF(Assumptions!$B$189=1,MIN(Assumptions!$B$14,1%),Assumptions!$B$14)*(1-Assumptions!$B$153)</f>
        <v/>
      </c>
      <c r="T55" s="55">
        <f>T50*IF(Assumptions!$B$189=1,MIN(Assumptions!$B$14,1%),Assumptions!$B$14)*(1-Assumptions!$B$153)</f>
        <v/>
      </c>
      <c r="U55" s="55">
        <f>U50*IF(Assumptions!$B$189=1,MIN(Assumptions!$B$14,1%),Assumptions!$B$14)*(1-Assumptions!$B$153)</f>
        <v/>
      </c>
      <c r="V55" s="55">
        <f>V50*IF(Assumptions!$B$189=1,MIN(Assumptions!$B$14,1%),Assumptions!$B$14)*(1-Assumptions!$B$153)</f>
        <v/>
      </c>
      <c r="W55" s="55">
        <f>W50*IF(Assumptions!$B$189=1,MIN(Assumptions!$B$14,1%),Assumptions!$B$14)*(1-Assumptions!$B$153)</f>
        <v/>
      </c>
      <c r="X55" s="55">
        <f>X50*IF(Assumptions!$B$189=1,MIN(Assumptions!$B$14,1%),Assumptions!$B$14)*(1-Assumptions!$B$153)</f>
        <v/>
      </c>
      <c r="Y55" s="55">
        <f>Y50*IF(Assumptions!$B$189=1,MIN(Assumptions!$B$14,1%),Assumptions!$B$14)*(1-Assumptions!$B$153)</f>
        <v/>
      </c>
      <c r="Z55" s="55">
        <f>Z50*IF(Assumptions!$B$189=1,MIN(Assumptions!$B$14,1%),Assumptions!$B$14)*(1-Assumptions!$B$153)</f>
        <v/>
      </c>
      <c r="AA55" s="55">
        <f>AA50*IF(Assumptions!$B$189=1,MIN(Assumptions!$B$14,1%),Assumptions!$B$14)*(1-Assumptions!$B$153)</f>
        <v/>
      </c>
      <c r="AB55" s="55">
        <f>AB50*IF(Assumptions!$B$189=1,MIN(Assumptions!$B$14,1%),Assumptions!$B$14)*(1-Assumptions!$B$153)</f>
        <v/>
      </c>
      <c r="AC55" s="55">
        <f>AC50*IF(Assumptions!$B$189=1,MIN(Assumptions!$B$14,1%),Assumptions!$B$14)*(1-Assumptions!$B$153)</f>
        <v/>
      </c>
      <c r="AD55" s="55">
        <f>AD50*IF(Assumptions!$B$189=1,MIN(Assumptions!$B$14,1%),Assumptions!$B$14)*(1-Assumptions!$B$153)</f>
        <v/>
      </c>
      <c r="AE55" s="55">
        <f>AE50*IF(Assumptions!$B$189=1,MIN(Assumptions!$B$14,1%),Assumptions!$B$14)*(1-Assumptions!$B$153)</f>
        <v/>
      </c>
    </row>
    <row r="56">
      <c r="A56" s="6" t="inlineStr">
        <is>
          <t xml:space="preserve">  Family plan subscribers</t>
        </is>
      </c>
      <c r="B56" s="23" t="inlineStr">
        <is>
          <t>subscribers</t>
        </is>
      </c>
      <c r="C56" s="54">
        <f>IF(C2&gt;=Assumptions!$B$50,C28*Assumptions!$B$170*(1-Assumptions!$B$173)^(C7/2),0)</f>
        <v/>
      </c>
      <c r="D56" s="54">
        <f>IF(D2&gt;=Assumptions!$B$50,C56*(1-Assumptions!$B$173)^D7+D28*Assumptions!$B$170*(1-Assumptions!$B$173)^(D7/2),0)</f>
        <v/>
      </c>
      <c r="E56" s="54">
        <f>IF(E2&gt;=Assumptions!$B$50,D56*(1-Assumptions!$B$173)^E7+E28*Assumptions!$B$170*(1-Assumptions!$B$173)^(E7/2),0)</f>
        <v/>
      </c>
      <c r="F56" s="54">
        <f>IF(F2&gt;=Assumptions!$B$50,E56*(1-Assumptions!$B$173)^F7+F28*Assumptions!$B$170*(1-Assumptions!$B$173)^(F7/2),0)</f>
        <v/>
      </c>
      <c r="G56" s="54">
        <f>IF(G2&gt;=Assumptions!$B$50,F56*(1-Assumptions!$B$173)^G7+G28*Assumptions!$B$170*(1-Assumptions!$B$173)^(G7/2),0)</f>
        <v/>
      </c>
      <c r="H56" s="54">
        <f>IF(H2&gt;=Assumptions!$B$50,G56*(1-Assumptions!$B$173)^H7+H28*Assumptions!$B$170*(1-Assumptions!$B$173)^(H7/2),0)</f>
        <v/>
      </c>
      <c r="I56" s="54">
        <f>IF(I2&gt;=Assumptions!$B$50,H56*(1-Assumptions!$B$173)^I7+I28*Assumptions!$B$170*(1-Assumptions!$B$173)^(I7/2),0)</f>
        <v/>
      </c>
      <c r="J56" s="54">
        <f>IF(J2&gt;=Assumptions!$B$50,I56*(1-Assumptions!$B$173)^J7+J28*Assumptions!$B$170*(1-Assumptions!$B$173)^(J7/2),0)</f>
        <v/>
      </c>
      <c r="K56" s="54">
        <f>IF(K2&gt;=Assumptions!$B$50,J56*(1-Assumptions!$B$173)^K7+K28*Assumptions!$B$170*(1-Assumptions!$B$173)^(K7/2),0)</f>
        <v/>
      </c>
      <c r="L56" s="54">
        <f>IF(L2&gt;=Assumptions!$B$50,K56*(1-Assumptions!$B$173)^L7+L28*Assumptions!$B$170*(1-Assumptions!$B$173)^(L7/2),0)</f>
        <v/>
      </c>
      <c r="M56" s="54">
        <f>IF(M2&gt;=Assumptions!$B$50,L56*(1-Assumptions!$B$173)^M7+M28*Assumptions!$B$170*(1-Assumptions!$B$173)^(M7/2),0)</f>
        <v/>
      </c>
      <c r="N56" s="54">
        <f>IF(N2&gt;=Assumptions!$B$50,M56*(1-Assumptions!$B$173)^N7+N28*Assumptions!$B$170*(1-Assumptions!$B$173)^(N7/2),0)</f>
        <v/>
      </c>
      <c r="O56" s="54">
        <f>IF(O2&gt;=Assumptions!$B$50,N56*(1-Assumptions!$B$173)^O7+O28*Assumptions!$B$170*(1-Assumptions!$B$173)^(O7/2),0)</f>
        <v/>
      </c>
      <c r="P56" s="54">
        <f>IF(P2&gt;=Assumptions!$B$50,O56*(1-Assumptions!$B$173)^P7+P28*Assumptions!$B$170*(1-Assumptions!$B$173)^(P7/2),0)</f>
        <v/>
      </c>
      <c r="Q56" s="54">
        <f>IF(Q2&gt;=Assumptions!$B$50,P56*(1-Assumptions!$B$173)^Q7+Q28*Assumptions!$B$170*(1-Assumptions!$B$173)^(Q7/2),0)</f>
        <v/>
      </c>
      <c r="R56" s="54">
        <f>IF(R2&gt;=Assumptions!$B$50,Q56*(1-Assumptions!$B$173)^R7+R28*Assumptions!$B$170*(1-Assumptions!$B$173)^(R7/2),0)</f>
        <v/>
      </c>
      <c r="S56" s="54">
        <f>IF(S2&gt;=Assumptions!$B$50,R56*(1-Assumptions!$B$173)^S7+S28*Assumptions!$B$170*(1-Assumptions!$B$173)^(S7/2),0)</f>
        <v/>
      </c>
      <c r="T56" s="54">
        <f>IF(T2&gt;=Assumptions!$B$50,S56*(1-Assumptions!$B$173)^T7+T28*Assumptions!$B$170*(1-Assumptions!$B$173)^(T7/2),0)</f>
        <v/>
      </c>
      <c r="U56" s="54">
        <f>IF(U2&gt;=Assumptions!$B$50,T56*(1-Assumptions!$B$173)^U7+U28*Assumptions!$B$170*(1-Assumptions!$B$173)^(U7/2),0)</f>
        <v/>
      </c>
      <c r="V56" s="54">
        <f>IF(V2&gt;=Assumptions!$B$50,U56*(1-Assumptions!$B$173)^V7+V28*Assumptions!$B$170*(1-Assumptions!$B$173)^(V7/2),0)</f>
        <v/>
      </c>
      <c r="W56" s="54">
        <f>IF(W2&gt;=Assumptions!$B$50,V56*(1-Assumptions!$B$173)^W7+W28*Assumptions!$B$170*(1-Assumptions!$B$173)^(W7/2),0)</f>
        <v/>
      </c>
      <c r="X56" s="54">
        <f>IF(X2&gt;=Assumptions!$B$50,W56*(1-Assumptions!$B$173)^X7+X28*Assumptions!$B$170*(1-Assumptions!$B$173)^(X7/2),0)</f>
        <v/>
      </c>
      <c r="Y56" s="54">
        <f>IF(Y2&gt;=Assumptions!$B$50,X56*(1-Assumptions!$B$173)^Y7+Y28*Assumptions!$B$170*(1-Assumptions!$B$173)^(Y7/2),0)</f>
        <v/>
      </c>
      <c r="Z56" s="54">
        <f>IF(Z2&gt;=Assumptions!$B$50,Y56*(1-Assumptions!$B$173)^Z7+Z28*Assumptions!$B$170*(1-Assumptions!$B$173)^(Z7/2),0)</f>
        <v/>
      </c>
      <c r="AA56" s="54">
        <f>IF(AA2&gt;=Assumptions!$B$50,Z56*(1-Assumptions!$B$173)^AA7+AA28*Assumptions!$B$170*(1-Assumptions!$B$173)^(AA7/2),0)</f>
        <v/>
      </c>
      <c r="AB56" s="54">
        <f>IF(AB2&gt;=Assumptions!$B$50,AA56*(1-Assumptions!$B$173)^AB7+AB28*Assumptions!$B$170*(1-Assumptions!$B$173)^(AB7/2),0)</f>
        <v/>
      </c>
      <c r="AC56" s="54">
        <f>IF(AC2&gt;=Assumptions!$B$50,AB56*(1-Assumptions!$B$173)^AC7+AC28*Assumptions!$B$170*(1-Assumptions!$B$173)^(AC7/2),0)</f>
        <v/>
      </c>
      <c r="AD56" s="54">
        <f>IF(AD2&gt;=Assumptions!$B$50,AC56*(1-Assumptions!$B$173)^AD7+AD28*Assumptions!$B$170*(1-Assumptions!$B$173)^(AD7/2),0)</f>
        <v/>
      </c>
      <c r="AE56" s="54">
        <f>IF(AE2&gt;=Assumptions!$B$50,AD56*(1-Assumptions!$B$173)^AE7+AE28*Assumptions!$B$170*(1-Assumptions!$B$173)^(AE7/2),0)</f>
        <v/>
      </c>
    </row>
    <row r="57">
      <c r="A57" s="6" t="inlineStr">
        <is>
          <t xml:space="preserve">  Stream 3 - Family plan and Digital Will</t>
        </is>
      </c>
      <c r="B57" s="23" t="inlineStr">
        <is>
          <t>USD</t>
        </is>
      </c>
      <c r="C57" s="55">
        <f>C56*(Assumptions!$B$25+MAX(0,Assumptions!$B$172-1)*Assumptions!$B$26)/12*C7</f>
        <v/>
      </c>
      <c r="D57" s="55">
        <f>D56*(Assumptions!$B$25+MAX(0,Assumptions!$B$172-1)*Assumptions!$B$26)/12*D7</f>
        <v/>
      </c>
      <c r="E57" s="55">
        <f>E56*(Assumptions!$B$25+MAX(0,Assumptions!$B$172-1)*Assumptions!$B$26)/12*E7</f>
        <v/>
      </c>
      <c r="F57" s="55">
        <f>F56*(Assumptions!$B$25+MAX(0,Assumptions!$B$172-1)*Assumptions!$B$26)/12*F7</f>
        <v/>
      </c>
      <c r="G57" s="55">
        <f>G56*(Assumptions!$B$25+MAX(0,Assumptions!$B$172-1)*Assumptions!$B$26)/12*G7</f>
        <v/>
      </c>
      <c r="H57" s="55">
        <f>H56*(Assumptions!$B$25+MAX(0,Assumptions!$B$172-1)*Assumptions!$B$26)/12*H7</f>
        <v/>
      </c>
      <c r="I57" s="55">
        <f>I56*(Assumptions!$B$25+MAX(0,Assumptions!$B$172-1)*Assumptions!$B$26)/12*I7</f>
        <v/>
      </c>
      <c r="J57" s="55">
        <f>J56*(Assumptions!$B$25+MAX(0,Assumptions!$B$172-1)*Assumptions!$B$26)/12*J7</f>
        <v/>
      </c>
      <c r="K57" s="55">
        <f>K56*(Assumptions!$B$25+MAX(0,Assumptions!$B$172-1)*Assumptions!$B$26)/12*K7</f>
        <v/>
      </c>
      <c r="L57" s="55">
        <f>L56*(Assumptions!$B$25+MAX(0,Assumptions!$B$172-1)*Assumptions!$B$26)/12*L7</f>
        <v/>
      </c>
      <c r="M57" s="55">
        <f>M56*(Assumptions!$B$25+MAX(0,Assumptions!$B$172-1)*Assumptions!$B$26)/12*M7</f>
        <v/>
      </c>
      <c r="N57" s="55">
        <f>N56*(Assumptions!$B$25+MAX(0,Assumptions!$B$172-1)*Assumptions!$B$26)/12*N7</f>
        <v/>
      </c>
      <c r="O57" s="55">
        <f>O56*(Assumptions!$B$25+MAX(0,Assumptions!$B$172-1)*Assumptions!$B$26)/12*O7</f>
        <v/>
      </c>
      <c r="P57" s="55">
        <f>P56*(Assumptions!$B$25+MAX(0,Assumptions!$B$172-1)*Assumptions!$B$26)/12*P7</f>
        <v/>
      </c>
      <c r="Q57" s="55">
        <f>Q56*(Assumptions!$B$25+MAX(0,Assumptions!$B$172-1)*Assumptions!$B$26)/12*Q7</f>
        <v/>
      </c>
      <c r="R57" s="55">
        <f>R56*(Assumptions!$B$25+MAX(0,Assumptions!$B$172-1)*Assumptions!$B$26)/12*R7</f>
        <v/>
      </c>
      <c r="S57" s="55">
        <f>S56*(Assumptions!$B$25+MAX(0,Assumptions!$B$172-1)*Assumptions!$B$26)/12*S7</f>
        <v/>
      </c>
      <c r="T57" s="55">
        <f>T56*(Assumptions!$B$25+MAX(0,Assumptions!$B$172-1)*Assumptions!$B$26)/12*T7</f>
        <v/>
      </c>
      <c r="U57" s="55">
        <f>U56*(Assumptions!$B$25+MAX(0,Assumptions!$B$172-1)*Assumptions!$B$26)/12*U7</f>
        <v/>
      </c>
      <c r="V57" s="55">
        <f>V56*(Assumptions!$B$25+MAX(0,Assumptions!$B$172-1)*Assumptions!$B$26)/12*V7</f>
        <v/>
      </c>
      <c r="W57" s="55">
        <f>W56*(Assumptions!$B$25+MAX(0,Assumptions!$B$172-1)*Assumptions!$B$26)/12*W7</f>
        <v/>
      </c>
      <c r="X57" s="55">
        <f>X56*(Assumptions!$B$25+MAX(0,Assumptions!$B$172-1)*Assumptions!$B$26)/12*X7</f>
        <v/>
      </c>
      <c r="Y57" s="55">
        <f>Y56*(Assumptions!$B$25+MAX(0,Assumptions!$B$172-1)*Assumptions!$B$26)/12*Y7</f>
        <v/>
      </c>
      <c r="Z57" s="55">
        <f>Z56*(Assumptions!$B$25+MAX(0,Assumptions!$B$172-1)*Assumptions!$B$26)/12*Z7</f>
        <v/>
      </c>
      <c r="AA57" s="55">
        <f>AA56*(Assumptions!$B$25+MAX(0,Assumptions!$B$172-1)*Assumptions!$B$26)/12*AA7</f>
        <v/>
      </c>
      <c r="AB57" s="55">
        <f>AB56*(Assumptions!$B$25+MAX(0,Assumptions!$B$172-1)*Assumptions!$B$26)/12*AB7</f>
        <v/>
      </c>
      <c r="AC57" s="55">
        <f>AC56*(Assumptions!$B$25+MAX(0,Assumptions!$B$172-1)*Assumptions!$B$26)/12*AC7</f>
        <v/>
      </c>
      <c r="AD57" s="55">
        <f>AD56*(Assumptions!$B$25+MAX(0,Assumptions!$B$172-1)*Assumptions!$B$26)/12*AD7</f>
        <v/>
      </c>
      <c r="AE57" s="55">
        <f>AE56*(Assumptions!$B$25+MAX(0,Assumptions!$B$172-1)*Assumptions!$B$26)/12*AE7</f>
        <v/>
      </c>
    </row>
    <row r="58">
      <c r="A58" s="6" t="inlineStr">
        <is>
          <t xml:space="preserve">  Stream 4 - Cardholder fees (FX, ATM, events)</t>
        </is>
      </c>
      <c r="B58" s="23" t="inlineStr">
        <is>
          <t>USD</t>
        </is>
      </c>
      <c r="C58" s="55">
        <f>IF(C2&gt;=Assumptions!$B$52,C50*C17*Assumptions!$B$17+C44*(Assumptions!$B$159*MAX(0,Assumptions!$B$163-Assumptions!$B$18)+Assumptions!$B$160*MAX(0,Assumptions!$B$164-Assumptions!$B$18)+Assumptions!$B$161*MAX(0,Assumptions!$B$165-Assumptions!$B$18)+Assumptions!$B$162*MAX(0,Assumptions!$B$166-Assumptions!$B$18))*Assumptions!$B$19/Assumptions!$B$7*C7+C45*Assumptions!$B$20/Assumptions!$B$7+C43*(Assumptions!$B$157*Assumptions!$B$20+Assumptions!$B$158*Assumptions!$B$21)/12/Assumptions!$B$7*C7,0)</f>
        <v/>
      </c>
      <c r="D58" s="55">
        <f>IF(D2&gt;=Assumptions!$B$52,D50*D17*Assumptions!$B$17+D44*(Assumptions!$B$159*MAX(0,Assumptions!$B$163-Assumptions!$B$18)+Assumptions!$B$160*MAX(0,Assumptions!$B$164-Assumptions!$B$18)+Assumptions!$B$161*MAX(0,Assumptions!$B$165-Assumptions!$B$18)+Assumptions!$B$162*MAX(0,Assumptions!$B$166-Assumptions!$B$18))*Assumptions!$B$19/Assumptions!$B$7*D7+D45*Assumptions!$B$20/Assumptions!$B$7+D43*(Assumptions!$B$157*Assumptions!$B$20+Assumptions!$B$158*Assumptions!$B$21)/12/Assumptions!$B$7*D7,0)</f>
        <v/>
      </c>
      <c r="E58" s="55">
        <f>IF(E2&gt;=Assumptions!$B$52,E50*E17*Assumptions!$B$17+E44*(Assumptions!$B$159*MAX(0,Assumptions!$B$163-Assumptions!$B$18)+Assumptions!$B$160*MAX(0,Assumptions!$B$164-Assumptions!$B$18)+Assumptions!$B$161*MAX(0,Assumptions!$B$165-Assumptions!$B$18)+Assumptions!$B$162*MAX(0,Assumptions!$B$166-Assumptions!$B$18))*Assumptions!$B$19/Assumptions!$B$7*E7+E45*Assumptions!$B$20/Assumptions!$B$7+E43*(Assumptions!$B$157*Assumptions!$B$20+Assumptions!$B$158*Assumptions!$B$21)/12/Assumptions!$B$7*E7,0)</f>
        <v/>
      </c>
      <c r="F58" s="55">
        <f>IF(F2&gt;=Assumptions!$B$52,F50*F17*Assumptions!$B$17+F44*(Assumptions!$B$159*MAX(0,Assumptions!$B$163-Assumptions!$B$18)+Assumptions!$B$160*MAX(0,Assumptions!$B$164-Assumptions!$B$18)+Assumptions!$B$161*MAX(0,Assumptions!$B$165-Assumptions!$B$18)+Assumptions!$B$162*MAX(0,Assumptions!$B$166-Assumptions!$B$18))*Assumptions!$B$19/Assumptions!$B$7*F7+F45*Assumptions!$B$20/Assumptions!$B$7+F43*(Assumptions!$B$157*Assumptions!$B$20+Assumptions!$B$158*Assumptions!$B$21)/12/Assumptions!$B$7*F7,0)</f>
        <v/>
      </c>
      <c r="G58" s="55">
        <f>IF(G2&gt;=Assumptions!$B$52,G50*G17*Assumptions!$B$17+G44*(Assumptions!$B$159*MAX(0,Assumptions!$B$163-Assumptions!$B$18)+Assumptions!$B$160*MAX(0,Assumptions!$B$164-Assumptions!$B$18)+Assumptions!$B$161*MAX(0,Assumptions!$B$165-Assumptions!$B$18)+Assumptions!$B$162*MAX(0,Assumptions!$B$166-Assumptions!$B$18))*Assumptions!$B$19/Assumptions!$B$7*G7+G45*Assumptions!$B$20/Assumptions!$B$7+G43*(Assumptions!$B$157*Assumptions!$B$20+Assumptions!$B$158*Assumptions!$B$21)/12/Assumptions!$B$7*G7,0)</f>
        <v/>
      </c>
      <c r="H58" s="55">
        <f>IF(H2&gt;=Assumptions!$B$52,H50*H17*Assumptions!$B$17+H44*(Assumptions!$B$159*MAX(0,Assumptions!$B$163-Assumptions!$B$18)+Assumptions!$B$160*MAX(0,Assumptions!$B$164-Assumptions!$B$18)+Assumptions!$B$161*MAX(0,Assumptions!$B$165-Assumptions!$B$18)+Assumptions!$B$162*MAX(0,Assumptions!$B$166-Assumptions!$B$18))*Assumptions!$B$19/Assumptions!$B$7*H7+H45*Assumptions!$B$20/Assumptions!$B$7+H43*(Assumptions!$B$157*Assumptions!$B$20+Assumptions!$B$158*Assumptions!$B$21)/12/Assumptions!$B$7*H7,0)</f>
        <v/>
      </c>
      <c r="I58" s="55">
        <f>IF(I2&gt;=Assumptions!$B$52,I50*I17*Assumptions!$B$17+I44*(Assumptions!$B$159*MAX(0,Assumptions!$B$163-Assumptions!$B$18)+Assumptions!$B$160*MAX(0,Assumptions!$B$164-Assumptions!$B$18)+Assumptions!$B$161*MAX(0,Assumptions!$B$165-Assumptions!$B$18)+Assumptions!$B$162*MAX(0,Assumptions!$B$166-Assumptions!$B$18))*Assumptions!$B$19/Assumptions!$B$7*I7+I45*Assumptions!$B$20/Assumptions!$B$7+I43*(Assumptions!$B$157*Assumptions!$B$20+Assumptions!$B$158*Assumptions!$B$21)/12/Assumptions!$B$7*I7,0)</f>
        <v/>
      </c>
      <c r="J58" s="55">
        <f>IF(J2&gt;=Assumptions!$B$52,J50*J17*Assumptions!$B$17+J44*(Assumptions!$B$159*MAX(0,Assumptions!$B$163-Assumptions!$B$18)+Assumptions!$B$160*MAX(0,Assumptions!$B$164-Assumptions!$B$18)+Assumptions!$B$161*MAX(0,Assumptions!$B$165-Assumptions!$B$18)+Assumptions!$B$162*MAX(0,Assumptions!$B$166-Assumptions!$B$18))*Assumptions!$B$19/Assumptions!$B$7*J7+J45*Assumptions!$B$20/Assumptions!$B$7+J43*(Assumptions!$B$157*Assumptions!$B$20+Assumptions!$B$158*Assumptions!$B$21)/12/Assumptions!$B$7*J7,0)</f>
        <v/>
      </c>
      <c r="K58" s="55">
        <f>IF(K2&gt;=Assumptions!$B$52,K50*K17*Assumptions!$B$17+K44*(Assumptions!$B$159*MAX(0,Assumptions!$B$163-Assumptions!$B$18)+Assumptions!$B$160*MAX(0,Assumptions!$B$164-Assumptions!$B$18)+Assumptions!$B$161*MAX(0,Assumptions!$B$165-Assumptions!$B$18)+Assumptions!$B$162*MAX(0,Assumptions!$B$166-Assumptions!$B$18))*Assumptions!$B$19/Assumptions!$B$7*K7+K45*Assumptions!$B$20/Assumptions!$B$7+K43*(Assumptions!$B$157*Assumptions!$B$20+Assumptions!$B$158*Assumptions!$B$21)/12/Assumptions!$B$7*K7,0)</f>
        <v/>
      </c>
      <c r="L58" s="55">
        <f>IF(L2&gt;=Assumptions!$B$52,L50*L17*Assumptions!$B$17+L44*(Assumptions!$B$159*MAX(0,Assumptions!$B$163-Assumptions!$B$18)+Assumptions!$B$160*MAX(0,Assumptions!$B$164-Assumptions!$B$18)+Assumptions!$B$161*MAX(0,Assumptions!$B$165-Assumptions!$B$18)+Assumptions!$B$162*MAX(0,Assumptions!$B$166-Assumptions!$B$18))*Assumptions!$B$19/Assumptions!$B$7*L7+L45*Assumptions!$B$20/Assumptions!$B$7+L43*(Assumptions!$B$157*Assumptions!$B$20+Assumptions!$B$158*Assumptions!$B$21)/12/Assumptions!$B$7*L7,0)</f>
        <v/>
      </c>
      <c r="M58" s="55">
        <f>IF(M2&gt;=Assumptions!$B$52,M50*M17*Assumptions!$B$17+M44*(Assumptions!$B$159*MAX(0,Assumptions!$B$163-Assumptions!$B$18)+Assumptions!$B$160*MAX(0,Assumptions!$B$164-Assumptions!$B$18)+Assumptions!$B$161*MAX(0,Assumptions!$B$165-Assumptions!$B$18)+Assumptions!$B$162*MAX(0,Assumptions!$B$166-Assumptions!$B$18))*Assumptions!$B$19/Assumptions!$B$7*M7+M45*Assumptions!$B$20/Assumptions!$B$7+M43*(Assumptions!$B$157*Assumptions!$B$20+Assumptions!$B$158*Assumptions!$B$21)/12/Assumptions!$B$7*M7,0)</f>
        <v/>
      </c>
      <c r="N58" s="55">
        <f>IF(N2&gt;=Assumptions!$B$52,N50*N17*Assumptions!$B$17+N44*(Assumptions!$B$159*MAX(0,Assumptions!$B$163-Assumptions!$B$18)+Assumptions!$B$160*MAX(0,Assumptions!$B$164-Assumptions!$B$18)+Assumptions!$B$161*MAX(0,Assumptions!$B$165-Assumptions!$B$18)+Assumptions!$B$162*MAX(0,Assumptions!$B$166-Assumptions!$B$18))*Assumptions!$B$19/Assumptions!$B$7*N7+N45*Assumptions!$B$20/Assumptions!$B$7+N43*(Assumptions!$B$157*Assumptions!$B$20+Assumptions!$B$158*Assumptions!$B$21)/12/Assumptions!$B$7*N7,0)</f>
        <v/>
      </c>
      <c r="O58" s="55">
        <f>IF(O2&gt;=Assumptions!$B$52,O50*O17*Assumptions!$B$17+O44*(Assumptions!$B$159*MAX(0,Assumptions!$B$163-Assumptions!$B$18)+Assumptions!$B$160*MAX(0,Assumptions!$B$164-Assumptions!$B$18)+Assumptions!$B$161*MAX(0,Assumptions!$B$165-Assumptions!$B$18)+Assumptions!$B$162*MAX(0,Assumptions!$B$166-Assumptions!$B$18))*Assumptions!$B$19/Assumptions!$B$7*O7+O45*Assumptions!$B$20/Assumptions!$B$7+O43*(Assumptions!$B$157*Assumptions!$B$20+Assumptions!$B$158*Assumptions!$B$21)/12/Assumptions!$B$7*O7,0)</f>
        <v/>
      </c>
      <c r="P58" s="55">
        <f>IF(P2&gt;=Assumptions!$B$52,P50*P17*Assumptions!$B$17+P44*(Assumptions!$B$159*MAX(0,Assumptions!$B$163-Assumptions!$B$18)+Assumptions!$B$160*MAX(0,Assumptions!$B$164-Assumptions!$B$18)+Assumptions!$B$161*MAX(0,Assumptions!$B$165-Assumptions!$B$18)+Assumptions!$B$162*MAX(0,Assumptions!$B$166-Assumptions!$B$18))*Assumptions!$B$19/Assumptions!$B$7*P7+P45*Assumptions!$B$20/Assumptions!$B$7+P43*(Assumptions!$B$157*Assumptions!$B$20+Assumptions!$B$158*Assumptions!$B$21)/12/Assumptions!$B$7*P7,0)</f>
        <v/>
      </c>
      <c r="Q58" s="55">
        <f>IF(Q2&gt;=Assumptions!$B$52,Q50*Q17*Assumptions!$B$17+Q44*(Assumptions!$B$159*MAX(0,Assumptions!$B$163-Assumptions!$B$18)+Assumptions!$B$160*MAX(0,Assumptions!$B$164-Assumptions!$B$18)+Assumptions!$B$161*MAX(0,Assumptions!$B$165-Assumptions!$B$18)+Assumptions!$B$162*MAX(0,Assumptions!$B$166-Assumptions!$B$18))*Assumptions!$B$19/Assumptions!$B$7*Q7+Q45*Assumptions!$B$20/Assumptions!$B$7+Q43*(Assumptions!$B$157*Assumptions!$B$20+Assumptions!$B$158*Assumptions!$B$21)/12/Assumptions!$B$7*Q7,0)</f>
        <v/>
      </c>
      <c r="R58" s="55">
        <f>IF(R2&gt;=Assumptions!$B$52,R50*R17*Assumptions!$B$17+R44*(Assumptions!$B$159*MAX(0,Assumptions!$B$163-Assumptions!$B$18)+Assumptions!$B$160*MAX(0,Assumptions!$B$164-Assumptions!$B$18)+Assumptions!$B$161*MAX(0,Assumptions!$B$165-Assumptions!$B$18)+Assumptions!$B$162*MAX(0,Assumptions!$B$166-Assumptions!$B$18))*Assumptions!$B$19/Assumptions!$B$7*R7+R45*Assumptions!$B$20/Assumptions!$B$7+R43*(Assumptions!$B$157*Assumptions!$B$20+Assumptions!$B$158*Assumptions!$B$21)/12/Assumptions!$B$7*R7,0)</f>
        <v/>
      </c>
      <c r="S58" s="55">
        <f>IF(S2&gt;=Assumptions!$B$52,S50*S17*Assumptions!$B$17+S44*(Assumptions!$B$159*MAX(0,Assumptions!$B$163-Assumptions!$B$18)+Assumptions!$B$160*MAX(0,Assumptions!$B$164-Assumptions!$B$18)+Assumptions!$B$161*MAX(0,Assumptions!$B$165-Assumptions!$B$18)+Assumptions!$B$162*MAX(0,Assumptions!$B$166-Assumptions!$B$18))*Assumptions!$B$19/Assumptions!$B$7*S7+S45*Assumptions!$B$20/Assumptions!$B$7+S43*(Assumptions!$B$157*Assumptions!$B$20+Assumptions!$B$158*Assumptions!$B$21)/12/Assumptions!$B$7*S7,0)</f>
        <v/>
      </c>
      <c r="T58" s="55">
        <f>IF(T2&gt;=Assumptions!$B$52,T50*T17*Assumptions!$B$17+T44*(Assumptions!$B$159*MAX(0,Assumptions!$B$163-Assumptions!$B$18)+Assumptions!$B$160*MAX(0,Assumptions!$B$164-Assumptions!$B$18)+Assumptions!$B$161*MAX(0,Assumptions!$B$165-Assumptions!$B$18)+Assumptions!$B$162*MAX(0,Assumptions!$B$166-Assumptions!$B$18))*Assumptions!$B$19/Assumptions!$B$7*T7+T45*Assumptions!$B$20/Assumptions!$B$7+T43*(Assumptions!$B$157*Assumptions!$B$20+Assumptions!$B$158*Assumptions!$B$21)/12/Assumptions!$B$7*T7,0)</f>
        <v/>
      </c>
      <c r="U58" s="55">
        <f>IF(U2&gt;=Assumptions!$B$52,U50*U17*Assumptions!$B$17+U44*(Assumptions!$B$159*MAX(0,Assumptions!$B$163-Assumptions!$B$18)+Assumptions!$B$160*MAX(0,Assumptions!$B$164-Assumptions!$B$18)+Assumptions!$B$161*MAX(0,Assumptions!$B$165-Assumptions!$B$18)+Assumptions!$B$162*MAX(0,Assumptions!$B$166-Assumptions!$B$18))*Assumptions!$B$19/Assumptions!$B$7*U7+U45*Assumptions!$B$20/Assumptions!$B$7+U43*(Assumptions!$B$157*Assumptions!$B$20+Assumptions!$B$158*Assumptions!$B$21)/12/Assumptions!$B$7*U7,0)</f>
        <v/>
      </c>
      <c r="V58" s="55">
        <f>IF(V2&gt;=Assumptions!$B$52,V50*V17*Assumptions!$B$17+V44*(Assumptions!$B$159*MAX(0,Assumptions!$B$163-Assumptions!$B$18)+Assumptions!$B$160*MAX(0,Assumptions!$B$164-Assumptions!$B$18)+Assumptions!$B$161*MAX(0,Assumptions!$B$165-Assumptions!$B$18)+Assumptions!$B$162*MAX(0,Assumptions!$B$166-Assumptions!$B$18))*Assumptions!$B$19/Assumptions!$B$7*V7+V45*Assumptions!$B$20/Assumptions!$B$7+V43*(Assumptions!$B$157*Assumptions!$B$20+Assumptions!$B$158*Assumptions!$B$21)/12/Assumptions!$B$7*V7,0)</f>
        <v/>
      </c>
      <c r="W58" s="55">
        <f>IF(W2&gt;=Assumptions!$B$52,W50*W17*Assumptions!$B$17+W44*(Assumptions!$B$159*MAX(0,Assumptions!$B$163-Assumptions!$B$18)+Assumptions!$B$160*MAX(0,Assumptions!$B$164-Assumptions!$B$18)+Assumptions!$B$161*MAX(0,Assumptions!$B$165-Assumptions!$B$18)+Assumptions!$B$162*MAX(0,Assumptions!$B$166-Assumptions!$B$18))*Assumptions!$B$19/Assumptions!$B$7*W7+W45*Assumptions!$B$20/Assumptions!$B$7+W43*(Assumptions!$B$157*Assumptions!$B$20+Assumptions!$B$158*Assumptions!$B$21)/12/Assumptions!$B$7*W7,0)</f>
        <v/>
      </c>
      <c r="X58" s="55">
        <f>IF(X2&gt;=Assumptions!$B$52,X50*X17*Assumptions!$B$17+X44*(Assumptions!$B$159*MAX(0,Assumptions!$B$163-Assumptions!$B$18)+Assumptions!$B$160*MAX(0,Assumptions!$B$164-Assumptions!$B$18)+Assumptions!$B$161*MAX(0,Assumptions!$B$165-Assumptions!$B$18)+Assumptions!$B$162*MAX(0,Assumptions!$B$166-Assumptions!$B$18))*Assumptions!$B$19/Assumptions!$B$7*X7+X45*Assumptions!$B$20/Assumptions!$B$7+X43*(Assumptions!$B$157*Assumptions!$B$20+Assumptions!$B$158*Assumptions!$B$21)/12/Assumptions!$B$7*X7,0)</f>
        <v/>
      </c>
      <c r="Y58" s="55">
        <f>IF(Y2&gt;=Assumptions!$B$52,Y50*Y17*Assumptions!$B$17+Y44*(Assumptions!$B$159*MAX(0,Assumptions!$B$163-Assumptions!$B$18)+Assumptions!$B$160*MAX(0,Assumptions!$B$164-Assumptions!$B$18)+Assumptions!$B$161*MAX(0,Assumptions!$B$165-Assumptions!$B$18)+Assumptions!$B$162*MAX(0,Assumptions!$B$166-Assumptions!$B$18))*Assumptions!$B$19/Assumptions!$B$7*Y7+Y45*Assumptions!$B$20/Assumptions!$B$7+Y43*(Assumptions!$B$157*Assumptions!$B$20+Assumptions!$B$158*Assumptions!$B$21)/12/Assumptions!$B$7*Y7,0)</f>
        <v/>
      </c>
      <c r="Z58" s="55">
        <f>IF(Z2&gt;=Assumptions!$B$52,Z50*Z17*Assumptions!$B$17+Z44*(Assumptions!$B$159*MAX(0,Assumptions!$B$163-Assumptions!$B$18)+Assumptions!$B$160*MAX(0,Assumptions!$B$164-Assumptions!$B$18)+Assumptions!$B$161*MAX(0,Assumptions!$B$165-Assumptions!$B$18)+Assumptions!$B$162*MAX(0,Assumptions!$B$166-Assumptions!$B$18))*Assumptions!$B$19/Assumptions!$B$7*Z7+Z45*Assumptions!$B$20/Assumptions!$B$7+Z43*(Assumptions!$B$157*Assumptions!$B$20+Assumptions!$B$158*Assumptions!$B$21)/12/Assumptions!$B$7*Z7,0)</f>
        <v/>
      </c>
      <c r="AA58" s="55">
        <f>IF(AA2&gt;=Assumptions!$B$52,AA50*AA17*Assumptions!$B$17+AA44*(Assumptions!$B$159*MAX(0,Assumptions!$B$163-Assumptions!$B$18)+Assumptions!$B$160*MAX(0,Assumptions!$B$164-Assumptions!$B$18)+Assumptions!$B$161*MAX(0,Assumptions!$B$165-Assumptions!$B$18)+Assumptions!$B$162*MAX(0,Assumptions!$B$166-Assumptions!$B$18))*Assumptions!$B$19/Assumptions!$B$7*AA7+AA45*Assumptions!$B$20/Assumptions!$B$7+AA43*(Assumptions!$B$157*Assumptions!$B$20+Assumptions!$B$158*Assumptions!$B$21)/12/Assumptions!$B$7*AA7,0)</f>
        <v/>
      </c>
      <c r="AB58" s="55">
        <f>IF(AB2&gt;=Assumptions!$B$52,AB50*AB17*Assumptions!$B$17+AB44*(Assumptions!$B$159*MAX(0,Assumptions!$B$163-Assumptions!$B$18)+Assumptions!$B$160*MAX(0,Assumptions!$B$164-Assumptions!$B$18)+Assumptions!$B$161*MAX(0,Assumptions!$B$165-Assumptions!$B$18)+Assumptions!$B$162*MAX(0,Assumptions!$B$166-Assumptions!$B$18))*Assumptions!$B$19/Assumptions!$B$7*AB7+AB45*Assumptions!$B$20/Assumptions!$B$7+AB43*(Assumptions!$B$157*Assumptions!$B$20+Assumptions!$B$158*Assumptions!$B$21)/12/Assumptions!$B$7*AB7,0)</f>
        <v/>
      </c>
      <c r="AC58" s="55">
        <f>IF(AC2&gt;=Assumptions!$B$52,AC50*AC17*Assumptions!$B$17+AC44*(Assumptions!$B$159*MAX(0,Assumptions!$B$163-Assumptions!$B$18)+Assumptions!$B$160*MAX(0,Assumptions!$B$164-Assumptions!$B$18)+Assumptions!$B$161*MAX(0,Assumptions!$B$165-Assumptions!$B$18)+Assumptions!$B$162*MAX(0,Assumptions!$B$166-Assumptions!$B$18))*Assumptions!$B$19/Assumptions!$B$7*AC7+AC45*Assumptions!$B$20/Assumptions!$B$7+AC43*(Assumptions!$B$157*Assumptions!$B$20+Assumptions!$B$158*Assumptions!$B$21)/12/Assumptions!$B$7*AC7,0)</f>
        <v/>
      </c>
      <c r="AD58" s="55">
        <f>IF(AD2&gt;=Assumptions!$B$52,AD50*AD17*Assumptions!$B$17+AD44*(Assumptions!$B$159*MAX(0,Assumptions!$B$163-Assumptions!$B$18)+Assumptions!$B$160*MAX(0,Assumptions!$B$164-Assumptions!$B$18)+Assumptions!$B$161*MAX(0,Assumptions!$B$165-Assumptions!$B$18)+Assumptions!$B$162*MAX(0,Assumptions!$B$166-Assumptions!$B$18))*Assumptions!$B$19/Assumptions!$B$7*AD7+AD45*Assumptions!$B$20/Assumptions!$B$7+AD43*(Assumptions!$B$157*Assumptions!$B$20+Assumptions!$B$158*Assumptions!$B$21)/12/Assumptions!$B$7*AD7,0)</f>
        <v/>
      </c>
      <c r="AE58" s="55">
        <f>IF(AE2&gt;=Assumptions!$B$52,AE50*AE17*Assumptions!$B$17+AE44*(Assumptions!$B$159*MAX(0,Assumptions!$B$163-Assumptions!$B$18)+Assumptions!$B$160*MAX(0,Assumptions!$B$164-Assumptions!$B$18)+Assumptions!$B$161*MAX(0,Assumptions!$B$165-Assumptions!$B$18)+Assumptions!$B$162*MAX(0,Assumptions!$B$166-Assumptions!$B$18))*Assumptions!$B$19/Assumptions!$B$7*AE7+AE45*Assumptions!$B$20/Assumptions!$B$7+AE43*(Assumptions!$B$157*Assumptions!$B$20+Assumptions!$B$158*Assumptions!$B$21)/12/Assumptions!$B$7*AE7,0)</f>
        <v/>
      </c>
    </row>
    <row r="59">
      <c r="A59" s="6" t="inlineStr">
        <is>
          <t xml:space="preserve">  Average drawn balance outstanding</t>
        </is>
      </c>
      <c r="B59" s="23" t="inlineStr">
        <is>
          <t>USD</t>
        </is>
      </c>
      <c r="C59" s="55">
        <f>IF(C2&gt;=Assumptions!$B$53,C43*C46*(1-Assumptions!$B$189)*Assumptions!$B$167*Assumptions!$B$168,0)</f>
        <v/>
      </c>
      <c r="D59" s="55">
        <f>IF(D2&gt;=Assumptions!$B$53,D43*D46*(1-Assumptions!$B$189)*Assumptions!$B$167*Assumptions!$B$168,0)</f>
        <v/>
      </c>
      <c r="E59" s="55">
        <f>IF(E2&gt;=Assumptions!$B$53,E43*E46*(1-Assumptions!$B$189)*Assumptions!$B$167*Assumptions!$B$168,0)</f>
        <v/>
      </c>
      <c r="F59" s="55">
        <f>IF(F2&gt;=Assumptions!$B$53,F43*F46*(1-Assumptions!$B$189)*Assumptions!$B$167*Assumptions!$B$168,0)</f>
        <v/>
      </c>
      <c r="G59" s="55">
        <f>IF(G2&gt;=Assumptions!$B$53,G43*G46*(1-Assumptions!$B$189)*Assumptions!$B$167*Assumptions!$B$168,0)</f>
        <v/>
      </c>
      <c r="H59" s="55">
        <f>IF(H2&gt;=Assumptions!$B$53,H43*H46*(1-Assumptions!$B$189)*Assumptions!$B$167*Assumptions!$B$168,0)</f>
        <v/>
      </c>
      <c r="I59" s="55">
        <f>IF(I2&gt;=Assumptions!$B$53,I43*I46*(1-Assumptions!$B$189)*Assumptions!$B$167*Assumptions!$B$168,0)</f>
        <v/>
      </c>
      <c r="J59" s="55">
        <f>IF(J2&gt;=Assumptions!$B$53,J43*J46*(1-Assumptions!$B$189)*Assumptions!$B$167*Assumptions!$B$168,0)</f>
        <v/>
      </c>
      <c r="K59" s="55">
        <f>IF(K2&gt;=Assumptions!$B$53,K43*K46*(1-Assumptions!$B$189)*Assumptions!$B$167*Assumptions!$B$168,0)</f>
        <v/>
      </c>
      <c r="L59" s="55">
        <f>IF(L2&gt;=Assumptions!$B$53,L43*L46*(1-Assumptions!$B$189)*Assumptions!$B$167*Assumptions!$B$168,0)</f>
        <v/>
      </c>
      <c r="M59" s="55">
        <f>IF(M2&gt;=Assumptions!$B$53,M43*M46*(1-Assumptions!$B$189)*Assumptions!$B$167*Assumptions!$B$168,0)</f>
        <v/>
      </c>
      <c r="N59" s="55">
        <f>IF(N2&gt;=Assumptions!$B$53,N43*N46*(1-Assumptions!$B$189)*Assumptions!$B$167*Assumptions!$B$168,0)</f>
        <v/>
      </c>
      <c r="O59" s="55">
        <f>IF(O2&gt;=Assumptions!$B$53,O43*O46*(1-Assumptions!$B$189)*Assumptions!$B$167*Assumptions!$B$168,0)</f>
        <v/>
      </c>
      <c r="P59" s="55">
        <f>IF(P2&gt;=Assumptions!$B$53,P43*P46*(1-Assumptions!$B$189)*Assumptions!$B$167*Assumptions!$B$168,0)</f>
        <v/>
      </c>
      <c r="Q59" s="55">
        <f>IF(Q2&gt;=Assumptions!$B$53,Q43*Q46*(1-Assumptions!$B$189)*Assumptions!$B$167*Assumptions!$B$168,0)</f>
        <v/>
      </c>
      <c r="R59" s="55">
        <f>IF(R2&gt;=Assumptions!$B$53,R43*R46*(1-Assumptions!$B$189)*Assumptions!$B$167*Assumptions!$B$168,0)</f>
        <v/>
      </c>
      <c r="S59" s="55">
        <f>IF(S2&gt;=Assumptions!$B$53,S43*S46*(1-Assumptions!$B$189)*Assumptions!$B$167*Assumptions!$B$168,0)</f>
        <v/>
      </c>
      <c r="T59" s="55">
        <f>IF(T2&gt;=Assumptions!$B$53,T43*T46*(1-Assumptions!$B$189)*Assumptions!$B$167*Assumptions!$B$168,0)</f>
        <v/>
      </c>
      <c r="U59" s="55">
        <f>IF(U2&gt;=Assumptions!$B$53,U43*U46*(1-Assumptions!$B$189)*Assumptions!$B$167*Assumptions!$B$168,0)</f>
        <v/>
      </c>
      <c r="V59" s="55">
        <f>IF(V2&gt;=Assumptions!$B$53,V43*V46*(1-Assumptions!$B$189)*Assumptions!$B$167*Assumptions!$B$168,0)</f>
        <v/>
      </c>
      <c r="W59" s="55">
        <f>IF(W2&gt;=Assumptions!$B$53,W43*W46*(1-Assumptions!$B$189)*Assumptions!$B$167*Assumptions!$B$168,0)</f>
        <v/>
      </c>
      <c r="X59" s="55">
        <f>IF(X2&gt;=Assumptions!$B$53,X43*X46*(1-Assumptions!$B$189)*Assumptions!$B$167*Assumptions!$B$168,0)</f>
        <v/>
      </c>
      <c r="Y59" s="55">
        <f>IF(Y2&gt;=Assumptions!$B$53,Y43*Y46*(1-Assumptions!$B$189)*Assumptions!$B$167*Assumptions!$B$168,0)</f>
        <v/>
      </c>
      <c r="Z59" s="55">
        <f>IF(Z2&gt;=Assumptions!$B$53,Z43*Z46*(1-Assumptions!$B$189)*Assumptions!$B$167*Assumptions!$B$168,0)</f>
        <v/>
      </c>
      <c r="AA59" s="55">
        <f>IF(AA2&gt;=Assumptions!$B$53,AA43*AA46*(1-Assumptions!$B$189)*Assumptions!$B$167*Assumptions!$B$168,0)</f>
        <v/>
      </c>
      <c r="AB59" s="55">
        <f>IF(AB2&gt;=Assumptions!$B$53,AB43*AB46*(1-Assumptions!$B$189)*Assumptions!$B$167*Assumptions!$B$168,0)</f>
        <v/>
      </c>
      <c r="AC59" s="55">
        <f>IF(AC2&gt;=Assumptions!$B$53,AC43*AC46*(1-Assumptions!$B$189)*Assumptions!$B$167*Assumptions!$B$168,0)</f>
        <v/>
      </c>
      <c r="AD59" s="55">
        <f>IF(AD2&gt;=Assumptions!$B$53,AD43*AD46*(1-Assumptions!$B$189)*Assumptions!$B$167*Assumptions!$B$168,0)</f>
        <v/>
      </c>
      <c r="AE59" s="55">
        <f>IF(AE2&gt;=Assumptions!$B$53,AE43*AE46*(1-Assumptions!$B$189)*Assumptions!$B$167*Assumptions!$B$168,0)</f>
        <v/>
      </c>
    </row>
    <row r="60">
      <c r="A60" s="6" t="inlineStr">
        <is>
          <t xml:space="preserve">  Stream 5 - Lending revenue share</t>
        </is>
      </c>
      <c r="B60" s="23" t="inlineStr">
        <is>
          <t>USD</t>
        </is>
      </c>
      <c r="C60" s="55">
        <f>IF(C2&gt;=Assumptions!$B$53,(C59*Assumptions!$B$29*Assumptions!$B$30+C44*C47*(1-Assumptions!$B$189)*Assumptions!$B$27*Assumptions!$B$28)*C7/12,0)</f>
        <v/>
      </c>
      <c r="D60" s="55">
        <f>IF(D2&gt;=Assumptions!$B$53,(D59*Assumptions!$B$29*Assumptions!$B$30+D44*D47*(1-Assumptions!$B$189)*Assumptions!$B$27*Assumptions!$B$28)*D7/12,0)</f>
        <v/>
      </c>
      <c r="E60" s="55">
        <f>IF(E2&gt;=Assumptions!$B$53,(E59*Assumptions!$B$29*Assumptions!$B$30+E44*E47*(1-Assumptions!$B$189)*Assumptions!$B$27*Assumptions!$B$28)*E7/12,0)</f>
        <v/>
      </c>
      <c r="F60" s="55">
        <f>IF(F2&gt;=Assumptions!$B$53,(F59*Assumptions!$B$29*Assumptions!$B$30+F44*F47*(1-Assumptions!$B$189)*Assumptions!$B$27*Assumptions!$B$28)*F7/12,0)</f>
        <v/>
      </c>
      <c r="G60" s="55">
        <f>IF(G2&gt;=Assumptions!$B$53,(G59*Assumptions!$B$29*Assumptions!$B$30+G44*G47*(1-Assumptions!$B$189)*Assumptions!$B$27*Assumptions!$B$28)*G7/12,0)</f>
        <v/>
      </c>
      <c r="H60" s="55">
        <f>IF(H2&gt;=Assumptions!$B$53,(H59*Assumptions!$B$29*Assumptions!$B$30+H44*H47*(1-Assumptions!$B$189)*Assumptions!$B$27*Assumptions!$B$28)*H7/12,0)</f>
        <v/>
      </c>
      <c r="I60" s="55">
        <f>IF(I2&gt;=Assumptions!$B$53,(I59*Assumptions!$B$29*Assumptions!$B$30+I44*I47*(1-Assumptions!$B$189)*Assumptions!$B$27*Assumptions!$B$28)*I7/12,0)</f>
        <v/>
      </c>
      <c r="J60" s="55">
        <f>IF(J2&gt;=Assumptions!$B$53,(J59*Assumptions!$B$29*Assumptions!$B$30+J44*J47*(1-Assumptions!$B$189)*Assumptions!$B$27*Assumptions!$B$28)*J7/12,0)</f>
        <v/>
      </c>
      <c r="K60" s="55">
        <f>IF(K2&gt;=Assumptions!$B$53,(K59*Assumptions!$B$29*Assumptions!$B$30+K44*K47*(1-Assumptions!$B$189)*Assumptions!$B$27*Assumptions!$B$28)*K7/12,0)</f>
        <v/>
      </c>
      <c r="L60" s="55">
        <f>IF(L2&gt;=Assumptions!$B$53,(L59*Assumptions!$B$29*Assumptions!$B$30+L44*L47*(1-Assumptions!$B$189)*Assumptions!$B$27*Assumptions!$B$28)*L7/12,0)</f>
        <v/>
      </c>
      <c r="M60" s="55">
        <f>IF(M2&gt;=Assumptions!$B$53,(M59*Assumptions!$B$29*Assumptions!$B$30+M44*M47*(1-Assumptions!$B$189)*Assumptions!$B$27*Assumptions!$B$28)*M7/12,0)</f>
        <v/>
      </c>
      <c r="N60" s="55">
        <f>IF(N2&gt;=Assumptions!$B$53,(N59*Assumptions!$B$29*Assumptions!$B$30+N44*N47*(1-Assumptions!$B$189)*Assumptions!$B$27*Assumptions!$B$28)*N7/12,0)</f>
        <v/>
      </c>
      <c r="O60" s="55">
        <f>IF(O2&gt;=Assumptions!$B$53,(O59*Assumptions!$B$29*Assumptions!$B$30+O44*O47*(1-Assumptions!$B$189)*Assumptions!$B$27*Assumptions!$B$28)*O7/12,0)</f>
        <v/>
      </c>
      <c r="P60" s="55">
        <f>IF(P2&gt;=Assumptions!$B$53,(P59*Assumptions!$B$29*Assumptions!$B$30+P44*P47*(1-Assumptions!$B$189)*Assumptions!$B$27*Assumptions!$B$28)*P7/12,0)</f>
        <v/>
      </c>
      <c r="Q60" s="55">
        <f>IF(Q2&gt;=Assumptions!$B$53,(Q59*Assumptions!$B$29*Assumptions!$B$30+Q44*Q47*(1-Assumptions!$B$189)*Assumptions!$B$27*Assumptions!$B$28)*Q7/12,0)</f>
        <v/>
      </c>
      <c r="R60" s="55">
        <f>IF(R2&gt;=Assumptions!$B$53,(R59*Assumptions!$B$29*Assumptions!$B$30+R44*R47*(1-Assumptions!$B$189)*Assumptions!$B$27*Assumptions!$B$28)*R7/12,0)</f>
        <v/>
      </c>
      <c r="S60" s="55">
        <f>IF(S2&gt;=Assumptions!$B$53,(S59*Assumptions!$B$29*Assumptions!$B$30+S44*S47*(1-Assumptions!$B$189)*Assumptions!$B$27*Assumptions!$B$28)*S7/12,0)</f>
        <v/>
      </c>
      <c r="T60" s="55">
        <f>IF(T2&gt;=Assumptions!$B$53,(T59*Assumptions!$B$29*Assumptions!$B$30+T44*T47*(1-Assumptions!$B$189)*Assumptions!$B$27*Assumptions!$B$28)*T7/12,0)</f>
        <v/>
      </c>
      <c r="U60" s="55">
        <f>IF(U2&gt;=Assumptions!$B$53,(U59*Assumptions!$B$29*Assumptions!$B$30+U44*U47*(1-Assumptions!$B$189)*Assumptions!$B$27*Assumptions!$B$28)*U7/12,0)</f>
        <v/>
      </c>
      <c r="V60" s="55">
        <f>IF(V2&gt;=Assumptions!$B$53,(V59*Assumptions!$B$29*Assumptions!$B$30+V44*V47*(1-Assumptions!$B$189)*Assumptions!$B$27*Assumptions!$B$28)*V7/12,0)</f>
        <v/>
      </c>
      <c r="W60" s="55">
        <f>IF(W2&gt;=Assumptions!$B$53,(W59*Assumptions!$B$29*Assumptions!$B$30+W44*W47*(1-Assumptions!$B$189)*Assumptions!$B$27*Assumptions!$B$28)*W7/12,0)</f>
        <v/>
      </c>
      <c r="X60" s="55">
        <f>IF(X2&gt;=Assumptions!$B$53,(X59*Assumptions!$B$29*Assumptions!$B$30+X44*X47*(1-Assumptions!$B$189)*Assumptions!$B$27*Assumptions!$B$28)*X7/12,0)</f>
        <v/>
      </c>
      <c r="Y60" s="55">
        <f>IF(Y2&gt;=Assumptions!$B$53,(Y59*Assumptions!$B$29*Assumptions!$B$30+Y44*Y47*(1-Assumptions!$B$189)*Assumptions!$B$27*Assumptions!$B$28)*Y7/12,0)</f>
        <v/>
      </c>
      <c r="Z60" s="55">
        <f>IF(Z2&gt;=Assumptions!$B$53,(Z59*Assumptions!$B$29*Assumptions!$B$30+Z44*Z47*(1-Assumptions!$B$189)*Assumptions!$B$27*Assumptions!$B$28)*Z7/12,0)</f>
        <v/>
      </c>
      <c r="AA60" s="55">
        <f>IF(AA2&gt;=Assumptions!$B$53,(AA59*Assumptions!$B$29*Assumptions!$B$30+AA44*AA47*(1-Assumptions!$B$189)*Assumptions!$B$27*Assumptions!$B$28)*AA7/12,0)</f>
        <v/>
      </c>
      <c r="AB60" s="55">
        <f>IF(AB2&gt;=Assumptions!$B$53,(AB59*Assumptions!$B$29*Assumptions!$B$30+AB44*AB47*(1-Assumptions!$B$189)*Assumptions!$B$27*Assumptions!$B$28)*AB7/12,0)</f>
        <v/>
      </c>
      <c r="AC60" s="55">
        <f>IF(AC2&gt;=Assumptions!$B$53,(AC59*Assumptions!$B$29*Assumptions!$B$30+AC44*AC47*(1-Assumptions!$B$189)*Assumptions!$B$27*Assumptions!$B$28)*AC7/12,0)</f>
        <v/>
      </c>
      <c r="AD60" s="55">
        <f>IF(AD2&gt;=Assumptions!$B$53,(AD59*Assumptions!$B$29*Assumptions!$B$30+AD44*AD47*(1-Assumptions!$B$189)*Assumptions!$B$27*Assumptions!$B$28)*AD7/12,0)</f>
        <v/>
      </c>
      <c r="AE60" s="55">
        <f>IF(AE2&gt;=Assumptions!$B$53,(AE59*Assumptions!$B$29*Assumptions!$B$30+AE44*AE47*(1-Assumptions!$B$189)*Assumptions!$B$27*Assumptions!$B$28)*AE7/12,0)</f>
        <v/>
      </c>
    </row>
    <row r="61">
      <c r="A61" s="6" t="inlineStr">
        <is>
          <t xml:space="preserve">  Redemption events (memo - drives cost, not revenue)</t>
        </is>
      </c>
      <c r="B61" s="23" t="inlineStr">
        <is>
          <t>events</t>
        </is>
      </c>
      <c r="C61" s="45">
        <f>IF(C2&gt;=Assumptions!$B$49,(C29+C31*Assumptions!$B$149)*Assumptions!$B$148*C7/12,0)</f>
        <v/>
      </c>
      <c r="D61" s="45">
        <f>IF(D2&gt;=Assumptions!$B$49,(D29+D31*Assumptions!$B$149)*Assumptions!$B$148*D7/12,0)</f>
        <v/>
      </c>
      <c r="E61" s="45">
        <f>IF(E2&gt;=Assumptions!$B$49,(E29+E31*Assumptions!$B$149)*Assumptions!$B$148*E7/12,0)</f>
        <v/>
      </c>
      <c r="F61" s="45">
        <f>IF(F2&gt;=Assumptions!$B$49,(F29+F31*Assumptions!$B$149)*Assumptions!$B$148*F7/12,0)</f>
        <v/>
      </c>
      <c r="G61" s="45">
        <f>IF(G2&gt;=Assumptions!$B$49,(G29+G31*Assumptions!$B$149)*Assumptions!$B$148*G7/12,0)</f>
        <v/>
      </c>
      <c r="H61" s="45">
        <f>IF(H2&gt;=Assumptions!$B$49,(H29+H31*Assumptions!$B$149)*Assumptions!$B$148*H7/12,0)</f>
        <v/>
      </c>
      <c r="I61" s="45">
        <f>IF(I2&gt;=Assumptions!$B$49,(I29+I31*Assumptions!$B$149)*Assumptions!$B$148*I7/12,0)</f>
        <v/>
      </c>
      <c r="J61" s="45">
        <f>IF(J2&gt;=Assumptions!$B$49,(J29+J31*Assumptions!$B$149)*Assumptions!$B$148*J7/12,0)</f>
        <v/>
      </c>
      <c r="K61" s="45">
        <f>IF(K2&gt;=Assumptions!$B$49,(K29+K31*Assumptions!$B$149)*Assumptions!$B$148*K7/12,0)</f>
        <v/>
      </c>
      <c r="L61" s="45">
        <f>IF(L2&gt;=Assumptions!$B$49,(L29+L31*Assumptions!$B$149)*Assumptions!$B$148*L7/12,0)</f>
        <v/>
      </c>
      <c r="M61" s="45">
        <f>IF(M2&gt;=Assumptions!$B$49,(M29+M31*Assumptions!$B$149)*Assumptions!$B$148*M7/12,0)</f>
        <v/>
      </c>
      <c r="N61" s="45">
        <f>IF(N2&gt;=Assumptions!$B$49,(N29+N31*Assumptions!$B$149)*Assumptions!$B$148*N7/12,0)</f>
        <v/>
      </c>
      <c r="O61" s="45">
        <f>IF(O2&gt;=Assumptions!$B$49,(O29+O31*Assumptions!$B$149)*Assumptions!$B$148*O7/12,0)</f>
        <v/>
      </c>
      <c r="P61" s="45">
        <f>IF(P2&gt;=Assumptions!$B$49,(P29+P31*Assumptions!$B$149)*Assumptions!$B$148*P7/12,0)</f>
        <v/>
      </c>
      <c r="Q61" s="45">
        <f>IF(Q2&gt;=Assumptions!$B$49,(Q29+Q31*Assumptions!$B$149)*Assumptions!$B$148*Q7/12,0)</f>
        <v/>
      </c>
      <c r="R61" s="45">
        <f>IF(R2&gt;=Assumptions!$B$49,(R29+R31*Assumptions!$B$149)*Assumptions!$B$148*R7/12,0)</f>
        <v/>
      </c>
      <c r="S61" s="45">
        <f>IF(S2&gt;=Assumptions!$B$49,(S29+S31*Assumptions!$B$149)*Assumptions!$B$148*S7/12,0)</f>
        <v/>
      </c>
      <c r="T61" s="45">
        <f>IF(T2&gt;=Assumptions!$B$49,(T29+T31*Assumptions!$B$149)*Assumptions!$B$148*T7/12,0)</f>
        <v/>
      </c>
      <c r="U61" s="45">
        <f>IF(U2&gt;=Assumptions!$B$49,(U29+U31*Assumptions!$B$149)*Assumptions!$B$148*U7/12,0)</f>
        <v/>
      </c>
      <c r="V61" s="45">
        <f>IF(V2&gt;=Assumptions!$B$49,(V29+V31*Assumptions!$B$149)*Assumptions!$B$148*V7/12,0)</f>
        <v/>
      </c>
      <c r="W61" s="45">
        <f>IF(W2&gt;=Assumptions!$B$49,(W29+W31*Assumptions!$B$149)*Assumptions!$B$148*W7/12,0)</f>
        <v/>
      </c>
      <c r="X61" s="45">
        <f>IF(X2&gt;=Assumptions!$B$49,(X29+X31*Assumptions!$B$149)*Assumptions!$B$148*X7/12,0)</f>
        <v/>
      </c>
      <c r="Y61" s="45">
        <f>IF(Y2&gt;=Assumptions!$B$49,(Y29+Y31*Assumptions!$B$149)*Assumptions!$B$148*Y7/12,0)</f>
        <v/>
      </c>
      <c r="Z61" s="45">
        <f>IF(Z2&gt;=Assumptions!$B$49,(Z29+Z31*Assumptions!$B$149)*Assumptions!$B$148*Z7/12,0)</f>
        <v/>
      </c>
      <c r="AA61" s="45">
        <f>IF(AA2&gt;=Assumptions!$B$49,(AA29+AA31*Assumptions!$B$149)*Assumptions!$B$148*AA7/12,0)</f>
        <v/>
      </c>
      <c r="AB61" s="45">
        <f>IF(AB2&gt;=Assumptions!$B$49,(AB29+AB31*Assumptions!$B$149)*Assumptions!$B$148*AB7/12,0)</f>
        <v/>
      </c>
      <c r="AC61" s="45">
        <f>IF(AC2&gt;=Assumptions!$B$49,(AC29+AC31*Assumptions!$B$149)*Assumptions!$B$148*AC7/12,0)</f>
        <v/>
      </c>
      <c r="AD61" s="45">
        <f>IF(AD2&gt;=Assumptions!$B$49,(AD29+AD31*Assumptions!$B$149)*Assumptions!$B$148*AD7/12,0)</f>
        <v/>
      </c>
      <c r="AE61" s="45">
        <f>IF(AE2&gt;=Assumptions!$B$49,(AE29+AE31*Assumptions!$B$149)*Assumptions!$B$148*AE7/12,0)</f>
        <v/>
      </c>
    </row>
    <row r="62">
      <c r="A62" s="3" t="inlineStr">
        <is>
          <t xml:space="preserve">  SUBTOTAL - UAE</t>
        </is>
      </c>
      <c r="B62" s="23" t="inlineStr">
        <is>
          <t>USD</t>
        </is>
      </c>
      <c r="C62" s="57">
        <f>C53+C54+C55+C57+C58+C60</f>
        <v/>
      </c>
      <c r="D62" s="57">
        <f>D53+D54+D55+D57+D58+D60</f>
        <v/>
      </c>
      <c r="E62" s="57">
        <f>E53+E54+E55+E57+E58+E60</f>
        <v/>
      </c>
      <c r="F62" s="57">
        <f>F53+F54+F55+F57+F58+F60</f>
        <v/>
      </c>
      <c r="G62" s="57">
        <f>G53+G54+G55+G57+G58+G60</f>
        <v/>
      </c>
      <c r="H62" s="57">
        <f>H53+H54+H55+H57+H58+H60</f>
        <v/>
      </c>
      <c r="I62" s="57">
        <f>I53+I54+I55+I57+I58+I60</f>
        <v/>
      </c>
      <c r="J62" s="57">
        <f>J53+J54+J55+J57+J58+J60</f>
        <v/>
      </c>
      <c r="K62" s="57">
        <f>K53+K54+K55+K57+K58+K60</f>
        <v/>
      </c>
      <c r="L62" s="57">
        <f>L53+L54+L55+L57+L58+L60</f>
        <v/>
      </c>
      <c r="M62" s="57">
        <f>M53+M54+M55+M57+M58+M60</f>
        <v/>
      </c>
      <c r="N62" s="57">
        <f>N53+N54+N55+N57+N58+N60</f>
        <v/>
      </c>
      <c r="O62" s="57">
        <f>O53+O54+O55+O57+O58+O60</f>
        <v/>
      </c>
      <c r="P62" s="57">
        <f>P53+P54+P55+P57+P58+P60</f>
        <v/>
      </c>
      <c r="Q62" s="57">
        <f>Q53+Q54+Q55+Q57+Q58+Q60</f>
        <v/>
      </c>
      <c r="R62" s="57">
        <f>R53+R54+R55+R57+R58+R60</f>
        <v/>
      </c>
      <c r="S62" s="57">
        <f>S53+S54+S55+S57+S58+S60</f>
        <v/>
      </c>
      <c r="T62" s="57">
        <f>T53+T54+T55+T57+T58+T60</f>
        <v/>
      </c>
      <c r="U62" s="57">
        <f>U53+U54+U55+U57+U58+U60</f>
        <v/>
      </c>
      <c r="V62" s="57">
        <f>V53+V54+V55+V57+V58+V60</f>
        <v/>
      </c>
      <c r="W62" s="57">
        <f>W53+W54+W55+W57+W58+W60</f>
        <v/>
      </c>
      <c r="X62" s="57">
        <f>X53+X54+X55+X57+X58+X60</f>
        <v/>
      </c>
      <c r="Y62" s="57">
        <f>Y53+Y54+Y55+Y57+Y58+Y60</f>
        <v/>
      </c>
      <c r="Z62" s="57">
        <f>Z53+Z54+Z55+Z57+Z58+Z60</f>
        <v/>
      </c>
      <c r="AA62" s="57">
        <f>AA53+AA54+AA55+AA57+AA58+AA60</f>
        <v/>
      </c>
      <c r="AB62" s="57">
        <f>AB53+AB54+AB55+AB57+AB58+AB60</f>
        <v/>
      </c>
      <c r="AC62" s="57">
        <f>AC53+AC54+AC55+AC57+AC58+AC60</f>
        <v/>
      </c>
      <c r="AD62" s="57">
        <f>AD53+AD54+AD55+AD57+AD58+AD60</f>
        <v/>
      </c>
      <c r="AE62" s="57">
        <f>AE53+AE54+AE55+AE57+AE58+AE60</f>
        <v/>
      </c>
    </row>
    <row r="64">
      <c r="A64" s="46" t="inlineStr">
        <is>
          <t>REGION: OMAN AND BAHRAIN</t>
        </is>
      </c>
      <c r="B64" s="47" t="n"/>
      <c r="C64" s="47" t="n"/>
      <c r="D64" s="47" t="n"/>
      <c r="E64" s="47" t="n"/>
      <c r="F64" s="47" t="n"/>
      <c r="G64" s="47" t="n"/>
      <c r="H64" s="47" t="n"/>
      <c r="I64" s="47" t="n"/>
      <c r="J64" s="47" t="n"/>
      <c r="K64" s="47" t="n"/>
      <c r="L64" s="47" t="n"/>
      <c r="M64" s="47" t="n"/>
      <c r="N64" s="47" t="n"/>
      <c r="O64" s="47" t="n"/>
      <c r="P64" s="47" t="n"/>
      <c r="Q64" s="47" t="n"/>
      <c r="R64" s="47" t="n"/>
      <c r="S64" s="47" t="n"/>
      <c r="T64" s="47" t="n"/>
      <c r="U64" s="47" t="n"/>
      <c r="V64" s="47" t="n"/>
      <c r="W64" s="47" t="n"/>
      <c r="X64" s="47" t="n"/>
      <c r="Y64" s="47" t="n"/>
      <c r="Z64" s="47" t="n"/>
      <c r="AA64" s="47" t="n"/>
      <c r="AB64" s="47" t="n"/>
      <c r="AC64" s="47" t="n"/>
      <c r="AD64" s="47" t="n"/>
      <c r="AE64" s="47" t="n"/>
    </row>
    <row r="65">
      <c r="A65" s="6" t="inlineStr">
        <is>
          <t xml:space="preserve">  Direct-driven (this market's budget at its own CAC)</t>
        </is>
      </c>
      <c r="B65" s="23" t="inlineStr">
        <is>
          <t>accounts</t>
        </is>
      </c>
      <c r="C65" s="53">
        <f>INDEX(Assumptions!$B$114:$B$120,C5)*Assumptions!$B$139/12*C7/Assumptions!$B$136*(1+Assumptions!$B$143)*IF(C2&gt;=Assumptions!$B$56,1,0)</f>
        <v/>
      </c>
      <c r="D65" s="53">
        <f>INDEX(Assumptions!$B$114:$B$120,D5)*Assumptions!$B$139/12*D7/Assumptions!$B$136*(1+Assumptions!$B$143)*IF(D2&gt;=Assumptions!$B$56,1,0)</f>
        <v/>
      </c>
      <c r="E65" s="53">
        <f>INDEX(Assumptions!$B$114:$B$120,E5)*Assumptions!$B$139/12*E7/Assumptions!$B$136*(1+Assumptions!$B$143)*IF(E2&gt;=Assumptions!$B$56,1,0)</f>
        <v/>
      </c>
      <c r="F65" s="53">
        <f>INDEX(Assumptions!$B$114:$B$120,F5)*Assumptions!$B$139/12*F7/Assumptions!$B$136*(1+Assumptions!$B$143)*IF(F2&gt;=Assumptions!$B$56,1,0)</f>
        <v/>
      </c>
      <c r="G65" s="53">
        <f>INDEX(Assumptions!$B$114:$B$120,G5)*Assumptions!$B$139/12*G7/Assumptions!$B$136*(1+Assumptions!$B$143)*IF(G2&gt;=Assumptions!$B$56,1,0)</f>
        <v/>
      </c>
      <c r="H65" s="53">
        <f>INDEX(Assumptions!$B$114:$B$120,H5)*Assumptions!$B$139/12*H7/Assumptions!$B$136*(1+Assumptions!$B$143)*IF(H2&gt;=Assumptions!$B$56,1,0)</f>
        <v/>
      </c>
      <c r="I65" s="53">
        <f>INDEX(Assumptions!$B$114:$B$120,I5)*Assumptions!$B$139/12*I7/Assumptions!$B$136*(1+Assumptions!$B$143)*IF(I2&gt;=Assumptions!$B$56,1,0)</f>
        <v/>
      </c>
      <c r="J65" s="53">
        <f>INDEX(Assumptions!$B$114:$B$120,J5)*Assumptions!$B$139/12*J7/Assumptions!$B$136*(1+Assumptions!$B$143)*IF(J2&gt;=Assumptions!$B$56,1,0)</f>
        <v/>
      </c>
      <c r="K65" s="53">
        <f>INDEX(Assumptions!$B$114:$B$120,K5)*Assumptions!$B$139/12*K7/Assumptions!$B$136*(1+Assumptions!$B$143)*IF(K2&gt;=Assumptions!$B$56,1,0)</f>
        <v/>
      </c>
      <c r="L65" s="53">
        <f>INDEX(Assumptions!$B$114:$B$120,L5)*Assumptions!$B$139/12*L7/Assumptions!$B$136*(1+Assumptions!$B$143)*IF(L2&gt;=Assumptions!$B$56,1,0)</f>
        <v/>
      </c>
      <c r="M65" s="53">
        <f>INDEX(Assumptions!$B$114:$B$120,M5)*Assumptions!$B$139/12*M7/Assumptions!$B$136*(1+Assumptions!$B$143)*IF(M2&gt;=Assumptions!$B$56,1,0)</f>
        <v/>
      </c>
      <c r="N65" s="53">
        <f>INDEX(Assumptions!$B$114:$B$120,N5)*Assumptions!$B$139/12*N7/Assumptions!$B$136*(1+Assumptions!$B$143)*IF(N2&gt;=Assumptions!$B$56,1,0)</f>
        <v/>
      </c>
      <c r="O65" s="53">
        <f>INDEX(Assumptions!$B$114:$B$120,O5)*Assumptions!$B$139/12*O7/Assumptions!$B$136*(1+Assumptions!$B$143)*IF(O2&gt;=Assumptions!$B$56,1,0)</f>
        <v/>
      </c>
      <c r="P65" s="53">
        <f>INDEX(Assumptions!$B$114:$B$120,P5)*Assumptions!$B$139/12*P7/Assumptions!$B$136*(1+Assumptions!$B$143)*IF(P2&gt;=Assumptions!$B$56,1,0)</f>
        <v/>
      </c>
      <c r="Q65" s="53">
        <f>INDEX(Assumptions!$B$114:$B$120,Q5)*Assumptions!$B$139/12*Q7/Assumptions!$B$136*(1+Assumptions!$B$143)*IF(Q2&gt;=Assumptions!$B$56,1,0)</f>
        <v/>
      </c>
      <c r="R65" s="53">
        <f>INDEX(Assumptions!$B$114:$B$120,R5)*Assumptions!$B$139/12*R7/Assumptions!$B$136*(1+Assumptions!$B$143)*IF(R2&gt;=Assumptions!$B$56,1,0)</f>
        <v/>
      </c>
      <c r="S65" s="53">
        <f>INDEX(Assumptions!$B$114:$B$120,S5)*Assumptions!$B$139/12*S7/Assumptions!$B$136*(1+Assumptions!$B$143)*IF(S2&gt;=Assumptions!$B$56,1,0)</f>
        <v/>
      </c>
      <c r="T65" s="53">
        <f>INDEX(Assumptions!$B$114:$B$120,T5)*Assumptions!$B$139/12*T7/Assumptions!$B$136*(1+Assumptions!$B$143)*IF(T2&gt;=Assumptions!$B$56,1,0)</f>
        <v/>
      </c>
      <c r="U65" s="53">
        <f>INDEX(Assumptions!$B$114:$B$120,U5)*Assumptions!$B$139/12*U7/Assumptions!$B$136*(1+Assumptions!$B$143)*IF(U2&gt;=Assumptions!$B$56,1,0)</f>
        <v/>
      </c>
      <c r="V65" s="53">
        <f>INDEX(Assumptions!$B$114:$B$120,V5)*Assumptions!$B$139/12*V7/Assumptions!$B$136*(1+Assumptions!$B$143)*IF(V2&gt;=Assumptions!$B$56,1,0)</f>
        <v/>
      </c>
      <c r="W65" s="53">
        <f>INDEX(Assumptions!$B$114:$B$120,W5)*Assumptions!$B$139/12*W7/Assumptions!$B$136*(1+Assumptions!$B$143)*IF(W2&gt;=Assumptions!$B$56,1,0)</f>
        <v/>
      </c>
      <c r="X65" s="53">
        <f>INDEX(Assumptions!$B$114:$B$120,X5)*Assumptions!$B$139/12*X7/Assumptions!$B$136*(1+Assumptions!$B$143)*IF(X2&gt;=Assumptions!$B$56,1,0)</f>
        <v/>
      </c>
      <c r="Y65" s="53">
        <f>INDEX(Assumptions!$B$114:$B$120,Y5)*Assumptions!$B$139/12*Y7/Assumptions!$B$136*(1+Assumptions!$B$143)*IF(Y2&gt;=Assumptions!$B$56,1,0)</f>
        <v/>
      </c>
      <c r="Z65" s="53">
        <f>INDEX(Assumptions!$B$114:$B$120,Z5)*Assumptions!$B$139/12*Z7/Assumptions!$B$136*(1+Assumptions!$B$143)*IF(Z2&gt;=Assumptions!$B$56,1,0)</f>
        <v/>
      </c>
      <c r="AA65" s="53">
        <f>INDEX(Assumptions!$B$114:$B$120,AA5)*Assumptions!$B$139/12*AA7/Assumptions!$B$136*(1+Assumptions!$B$143)*IF(AA2&gt;=Assumptions!$B$56,1,0)</f>
        <v/>
      </c>
      <c r="AB65" s="53">
        <f>INDEX(Assumptions!$B$114:$B$120,AB5)*Assumptions!$B$139/12*AB7/Assumptions!$B$136*(1+Assumptions!$B$143)*IF(AB2&gt;=Assumptions!$B$56,1,0)</f>
        <v/>
      </c>
      <c r="AC65" s="53">
        <f>INDEX(Assumptions!$B$114:$B$120,AC5)*Assumptions!$B$139/12*AC7/Assumptions!$B$136*(1+Assumptions!$B$143)*IF(AC2&gt;=Assumptions!$B$56,1,0)</f>
        <v/>
      </c>
      <c r="AD65" s="53">
        <f>INDEX(Assumptions!$B$114:$B$120,AD5)*Assumptions!$B$139/12*AD7/Assumptions!$B$136*(1+Assumptions!$B$143)*IF(AD2&gt;=Assumptions!$B$56,1,0)</f>
        <v/>
      </c>
      <c r="AE65" s="53">
        <f>INDEX(Assumptions!$B$114:$B$120,AE5)*Assumptions!$B$139/12*AE7/Assumptions!$B$136*(1+Assumptions!$B$143)*IF(AE2&gt;=Assumptions!$B$56,1,0)</f>
        <v/>
      </c>
    </row>
    <row r="66">
      <c r="A66" s="6" t="inlineStr">
        <is>
          <t xml:space="preserve">  Referral-driven (from this market's own base)</t>
        </is>
      </c>
      <c r="B66" s="23" t="inlineStr">
        <is>
          <t>accounts</t>
        </is>
      </c>
      <c r="C66" s="54" t="n">
        <v>0</v>
      </c>
      <c r="D66" s="54">
        <f>IF(D2&gt;=Assumptions!$B$55,C71*Assumptions!$B$141/12*Assumptions!$B$142*D7,0)</f>
        <v/>
      </c>
      <c r="E66" s="54">
        <f>IF(E2&gt;=Assumptions!$B$55,D71*Assumptions!$B$141/12*Assumptions!$B$142*E7,0)</f>
        <v/>
      </c>
      <c r="F66" s="54">
        <f>IF(F2&gt;=Assumptions!$B$55,E71*Assumptions!$B$141/12*Assumptions!$B$142*F7,0)</f>
        <v/>
      </c>
      <c r="G66" s="54">
        <f>IF(G2&gt;=Assumptions!$B$55,F71*Assumptions!$B$141/12*Assumptions!$B$142*G7,0)</f>
        <v/>
      </c>
      <c r="H66" s="54">
        <f>IF(H2&gt;=Assumptions!$B$55,G71*Assumptions!$B$141/12*Assumptions!$B$142*H7,0)</f>
        <v/>
      </c>
      <c r="I66" s="54">
        <f>IF(I2&gt;=Assumptions!$B$55,H71*Assumptions!$B$141/12*Assumptions!$B$142*I7,0)</f>
        <v/>
      </c>
      <c r="J66" s="54">
        <f>IF(J2&gt;=Assumptions!$B$55,I71*Assumptions!$B$141/12*Assumptions!$B$142*J7,0)</f>
        <v/>
      </c>
      <c r="K66" s="54">
        <f>IF(K2&gt;=Assumptions!$B$55,J71*Assumptions!$B$141/12*Assumptions!$B$142*K7,0)</f>
        <v/>
      </c>
      <c r="L66" s="54">
        <f>IF(L2&gt;=Assumptions!$B$55,K71*Assumptions!$B$141/12*Assumptions!$B$142*L7,0)</f>
        <v/>
      </c>
      <c r="M66" s="54">
        <f>IF(M2&gt;=Assumptions!$B$55,L71*Assumptions!$B$141/12*Assumptions!$B$142*M7,0)</f>
        <v/>
      </c>
      <c r="N66" s="54">
        <f>IF(N2&gt;=Assumptions!$B$55,M71*Assumptions!$B$141/12*Assumptions!$B$142*N7,0)</f>
        <v/>
      </c>
      <c r="O66" s="54">
        <f>IF(O2&gt;=Assumptions!$B$55,N71*Assumptions!$B$141/12*Assumptions!$B$142*O7,0)</f>
        <v/>
      </c>
      <c r="P66" s="54">
        <f>IF(P2&gt;=Assumptions!$B$55,O71*Assumptions!$B$141/12*Assumptions!$B$142*P7,0)</f>
        <v/>
      </c>
      <c r="Q66" s="54">
        <f>IF(Q2&gt;=Assumptions!$B$55,P71*Assumptions!$B$141/12*Assumptions!$B$142*Q7,0)</f>
        <v/>
      </c>
      <c r="R66" s="54">
        <f>IF(R2&gt;=Assumptions!$B$55,Q71*Assumptions!$B$141/12*Assumptions!$B$142*R7,0)</f>
        <v/>
      </c>
      <c r="S66" s="54">
        <f>IF(S2&gt;=Assumptions!$B$55,R71*Assumptions!$B$141/12*Assumptions!$B$142*S7,0)</f>
        <v/>
      </c>
      <c r="T66" s="54">
        <f>IF(T2&gt;=Assumptions!$B$55,S71*Assumptions!$B$141/12*Assumptions!$B$142*T7,0)</f>
        <v/>
      </c>
      <c r="U66" s="54">
        <f>IF(U2&gt;=Assumptions!$B$55,T71*Assumptions!$B$141/12*Assumptions!$B$142*U7,0)</f>
        <v/>
      </c>
      <c r="V66" s="54">
        <f>IF(V2&gt;=Assumptions!$B$55,U71*Assumptions!$B$141/12*Assumptions!$B$142*V7,0)</f>
        <v/>
      </c>
      <c r="W66" s="54">
        <f>IF(W2&gt;=Assumptions!$B$55,V71*Assumptions!$B$141/12*Assumptions!$B$142*W7,0)</f>
        <v/>
      </c>
      <c r="X66" s="54">
        <f>IF(X2&gt;=Assumptions!$B$55,W71*Assumptions!$B$141/12*Assumptions!$B$142*X7,0)</f>
        <v/>
      </c>
      <c r="Y66" s="54">
        <f>IF(Y2&gt;=Assumptions!$B$55,X71*Assumptions!$B$141/12*Assumptions!$B$142*Y7,0)</f>
        <v/>
      </c>
      <c r="Z66" s="54">
        <f>IF(Z2&gt;=Assumptions!$B$55,Y71*Assumptions!$B$141/12*Assumptions!$B$142*Z7,0)</f>
        <v/>
      </c>
      <c r="AA66" s="54">
        <f>IF(AA2&gt;=Assumptions!$B$55,Z71*Assumptions!$B$141/12*Assumptions!$B$142*AA7,0)</f>
        <v/>
      </c>
      <c r="AB66" s="54">
        <f>IF(AB2&gt;=Assumptions!$B$55,AA71*Assumptions!$B$141/12*Assumptions!$B$142*AB7,0)</f>
        <v/>
      </c>
      <c r="AC66" s="54">
        <f>IF(AC2&gt;=Assumptions!$B$55,AB71*Assumptions!$B$141/12*Assumptions!$B$142*AC7,0)</f>
        <v/>
      </c>
      <c r="AD66" s="54">
        <f>IF(AD2&gt;=Assumptions!$B$55,AC71*Assumptions!$B$141/12*Assumptions!$B$142*AD7,0)</f>
        <v/>
      </c>
      <c r="AE66" s="54">
        <f>IF(AE2&gt;=Assumptions!$B$55,AD71*Assumptions!$B$141/12*Assumptions!$B$142*AE7,0)</f>
        <v/>
      </c>
    </row>
    <row r="67">
      <c r="A67" s="6" t="inlineStr">
        <is>
          <t xml:space="preserve">  Agent-driven (this market's own agents)</t>
        </is>
      </c>
      <c r="B67" s="23" t="inlineStr">
        <is>
          <t>accounts</t>
        </is>
      </c>
      <c r="C67" s="53">
        <f>INDEX(Assumptions!$B$100:$B$106,C5)*Assumptions!$B$134*INDEX(Assumptions!$B$121:$B$127,C5)*C7*IF(C2&gt;=Assumptions!$B$56,1,0)</f>
        <v/>
      </c>
      <c r="D67" s="53">
        <f>INDEX(Assumptions!$B$100:$B$106,D5)*Assumptions!$B$134*INDEX(Assumptions!$B$121:$B$127,D5)*D7*IF(D2&gt;=Assumptions!$B$56,1,0)</f>
        <v/>
      </c>
      <c r="E67" s="53">
        <f>INDEX(Assumptions!$B$100:$B$106,E5)*Assumptions!$B$134*INDEX(Assumptions!$B$121:$B$127,E5)*E7*IF(E2&gt;=Assumptions!$B$56,1,0)</f>
        <v/>
      </c>
      <c r="F67" s="53">
        <f>INDEX(Assumptions!$B$100:$B$106,F5)*Assumptions!$B$134*INDEX(Assumptions!$B$121:$B$127,F5)*F7*IF(F2&gt;=Assumptions!$B$56,1,0)</f>
        <v/>
      </c>
      <c r="G67" s="53">
        <f>INDEX(Assumptions!$B$100:$B$106,G5)*Assumptions!$B$134*INDEX(Assumptions!$B$121:$B$127,G5)*G7*IF(G2&gt;=Assumptions!$B$56,1,0)</f>
        <v/>
      </c>
      <c r="H67" s="53">
        <f>INDEX(Assumptions!$B$100:$B$106,H5)*Assumptions!$B$134*INDEX(Assumptions!$B$121:$B$127,H5)*H7*IF(H2&gt;=Assumptions!$B$56,1,0)</f>
        <v/>
      </c>
      <c r="I67" s="53">
        <f>INDEX(Assumptions!$B$100:$B$106,I5)*Assumptions!$B$134*INDEX(Assumptions!$B$121:$B$127,I5)*I7*IF(I2&gt;=Assumptions!$B$56,1,0)</f>
        <v/>
      </c>
      <c r="J67" s="53">
        <f>INDEX(Assumptions!$B$100:$B$106,J5)*Assumptions!$B$134*INDEX(Assumptions!$B$121:$B$127,J5)*J7*IF(J2&gt;=Assumptions!$B$56,1,0)</f>
        <v/>
      </c>
      <c r="K67" s="53">
        <f>INDEX(Assumptions!$B$100:$B$106,K5)*Assumptions!$B$134*INDEX(Assumptions!$B$121:$B$127,K5)*K7*IF(K2&gt;=Assumptions!$B$56,1,0)</f>
        <v/>
      </c>
      <c r="L67" s="53">
        <f>INDEX(Assumptions!$B$100:$B$106,L5)*Assumptions!$B$134*INDEX(Assumptions!$B$121:$B$127,L5)*L7*IF(L2&gt;=Assumptions!$B$56,1,0)</f>
        <v/>
      </c>
      <c r="M67" s="53">
        <f>INDEX(Assumptions!$B$100:$B$106,M5)*Assumptions!$B$134*INDEX(Assumptions!$B$121:$B$127,M5)*M7*IF(M2&gt;=Assumptions!$B$56,1,0)</f>
        <v/>
      </c>
      <c r="N67" s="53">
        <f>INDEX(Assumptions!$B$100:$B$106,N5)*Assumptions!$B$134*INDEX(Assumptions!$B$121:$B$127,N5)*N7*IF(N2&gt;=Assumptions!$B$56,1,0)</f>
        <v/>
      </c>
      <c r="O67" s="53">
        <f>INDEX(Assumptions!$B$100:$B$106,O5)*Assumptions!$B$134*INDEX(Assumptions!$B$121:$B$127,O5)*O7*IF(O2&gt;=Assumptions!$B$56,1,0)</f>
        <v/>
      </c>
      <c r="P67" s="53">
        <f>INDEX(Assumptions!$B$100:$B$106,P5)*Assumptions!$B$134*INDEX(Assumptions!$B$121:$B$127,P5)*P7*IF(P2&gt;=Assumptions!$B$56,1,0)</f>
        <v/>
      </c>
      <c r="Q67" s="53">
        <f>INDEX(Assumptions!$B$100:$B$106,Q5)*Assumptions!$B$134*INDEX(Assumptions!$B$121:$B$127,Q5)*Q7*IF(Q2&gt;=Assumptions!$B$56,1,0)</f>
        <v/>
      </c>
      <c r="R67" s="53">
        <f>INDEX(Assumptions!$B$100:$B$106,R5)*Assumptions!$B$134*INDEX(Assumptions!$B$121:$B$127,R5)*R7*IF(R2&gt;=Assumptions!$B$56,1,0)</f>
        <v/>
      </c>
      <c r="S67" s="53">
        <f>INDEX(Assumptions!$B$100:$B$106,S5)*Assumptions!$B$134*INDEX(Assumptions!$B$121:$B$127,S5)*S7*IF(S2&gt;=Assumptions!$B$56,1,0)</f>
        <v/>
      </c>
      <c r="T67" s="53">
        <f>INDEX(Assumptions!$B$100:$B$106,T5)*Assumptions!$B$134*INDEX(Assumptions!$B$121:$B$127,T5)*T7*IF(T2&gt;=Assumptions!$B$56,1,0)</f>
        <v/>
      </c>
      <c r="U67" s="53">
        <f>INDEX(Assumptions!$B$100:$B$106,U5)*Assumptions!$B$134*INDEX(Assumptions!$B$121:$B$127,U5)*U7*IF(U2&gt;=Assumptions!$B$56,1,0)</f>
        <v/>
      </c>
      <c r="V67" s="53">
        <f>INDEX(Assumptions!$B$100:$B$106,V5)*Assumptions!$B$134*INDEX(Assumptions!$B$121:$B$127,V5)*V7*IF(V2&gt;=Assumptions!$B$56,1,0)</f>
        <v/>
      </c>
      <c r="W67" s="53">
        <f>INDEX(Assumptions!$B$100:$B$106,W5)*Assumptions!$B$134*INDEX(Assumptions!$B$121:$B$127,W5)*W7*IF(W2&gt;=Assumptions!$B$56,1,0)</f>
        <v/>
      </c>
      <c r="X67" s="53">
        <f>INDEX(Assumptions!$B$100:$B$106,X5)*Assumptions!$B$134*INDEX(Assumptions!$B$121:$B$127,X5)*X7*IF(X2&gt;=Assumptions!$B$56,1,0)</f>
        <v/>
      </c>
      <c r="Y67" s="53">
        <f>INDEX(Assumptions!$B$100:$B$106,Y5)*Assumptions!$B$134*INDEX(Assumptions!$B$121:$B$127,Y5)*Y7*IF(Y2&gt;=Assumptions!$B$56,1,0)</f>
        <v/>
      </c>
      <c r="Z67" s="53">
        <f>INDEX(Assumptions!$B$100:$B$106,Z5)*Assumptions!$B$134*INDEX(Assumptions!$B$121:$B$127,Z5)*Z7*IF(Z2&gt;=Assumptions!$B$56,1,0)</f>
        <v/>
      </c>
      <c r="AA67" s="53">
        <f>INDEX(Assumptions!$B$100:$B$106,AA5)*Assumptions!$B$134*INDEX(Assumptions!$B$121:$B$127,AA5)*AA7*IF(AA2&gt;=Assumptions!$B$56,1,0)</f>
        <v/>
      </c>
      <c r="AB67" s="53">
        <f>INDEX(Assumptions!$B$100:$B$106,AB5)*Assumptions!$B$134*INDEX(Assumptions!$B$121:$B$127,AB5)*AB7*IF(AB2&gt;=Assumptions!$B$56,1,0)</f>
        <v/>
      </c>
      <c r="AC67" s="53">
        <f>INDEX(Assumptions!$B$100:$B$106,AC5)*Assumptions!$B$134*INDEX(Assumptions!$B$121:$B$127,AC5)*AC7*IF(AC2&gt;=Assumptions!$B$56,1,0)</f>
        <v/>
      </c>
      <c r="AD67" s="53">
        <f>INDEX(Assumptions!$B$100:$B$106,AD5)*Assumptions!$B$134*INDEX(Assumptions!$B$121:$B$127,AD5)*AD7*IF(AD2&gt;=Assumptions!$B$56,1,0)</f>
        <v/>
      </c>
      <c r="AE67" s="53">
        <f>INDEX(Assumptions!$B$100:$B$106,AE5)*Assumptions!$B$134*INDEX(Assumptions!$B$121:$B$127,AE5)*AE7*IF(AE2&gt;=Assumptions!$B$56,1,0)</f>
        <v/>
      </c>
    </row>
    <row r="68">
      <c r="A68" s="6" t="inlineStr">
        <is>
          <t xml:space="preserve">  Raw demand</t>
        </is>
      </c>
      <c r="B68" s="23" t="inlineStr">
        <is>
          <t>accounts</t>
        </is>
      </c>
      <c r="C68" s="54">
        <f>C65+C66+C67</f>
        <v/>
      </c>
      <c r="D68" s="54">
        <f>D65+D66+D67</f>
        <v/>
      </c>
      <c r="E68" s="54">
        <f>E65+E66+E67</f>
        <v/>
      </c>
      <c r="F68" s="54">
        <f>F65+F66+F67</f>
        <v/>
      </c>
      <c r="G68" s="54">
        <f>G65+G66+G67</f>
        <v/>
      </c>
      <c r="H68" s="54">
        <f>H65+H66+H67</f>
        <v/>
      </c>
      <c r="I68" s="54">
        <f>I65+I66+I67</f>
        <v/>
      </c>
      <c r="J68" s="54">
        <f>J65+J66+J67</f>
        <v/>
      </c>
      <c r="K68" s="54">
        <f>K65+K66+K67</f>
        <v/>
      </c>
      <c r="L68" s="54">
        <f>L65+L66+L67</f>
        <v/>
      </c>
      <c r="M68" s="54">
        <f>M65+M66+M67</f>
        <v/>
      </c>
      <c r="N68" s="54">
        <f>N65+N66+N67</f>
        <v/>
      </c>
      <c r="O68" s="54">
        <f>O65+O66+O67</f>
        <v/>
      </c>
      <c r="P68" s="54">
        <f>P65+P66+P67</f>
        <v/>
      </c>
      <c r="Q68" s="54">
        <f>Q65+Q66+Q67</f>
        <v/>
      </c>
      <c r="R68" s="54">
        <f>R65+R66+R67</f>
        <v/>
      </c>
      <c r="S68" s="54">
        <f>S65+S66+S67</f>
        <v/>
      </c>
      <c r="T68" s="54">
        <f>T65+T66+T67</f>
        <v/>
      </c>
      <c r="U68" s="54">
        <f>U65+U66+U67</f>
        <v/>
      </c>
      <c r="V68" s="54">
        <f>V65+V66+V67</f>
        <v/>
      </c>
      <c r="W68" s="54">
        <f>W65+W66+W67</f>
        <v/>
      </c>
      <c r="X68" s="54">
        <f>X65+X66+X67</f>
        <v/>
      </c>
      <c r="Y68" s="54">
        <f>Y65+Y66+Y67</f>
        <v/>
      </c>
      <c r="Z68" s="54">
        <f>Z65+Z66+Z67</f>
        <v/>
      </c>
      <c r="AA68" s="54">
        <f>AA65+AA66+AA67</f>
        <v/>
      </c>
      <c r="AB68" s="54">
        <f>AB65+AB66+AB67</f>
        <v/>
      </c>
      <c r="AC68" s="54">
        <f>AC65+AC66+AC67</f>
        <v/>
      </c>
      <c r="AD68" s="54">
        <f>AD65+AD66+AD67</f>
        <v/>
      </c>
      <c r="AE68" s="54">
        <f>AE65+AE66+AE67</f>
        <v/>
      </c>
    </row>
    <row r="69">
      <c r="A69" s="6" t="inlineStr">
        <is>
          <t xml:space="preserve">  Saturation (this region's own headroom)</t>
        </is>
      </c>
      <c r="B69" s="23" t="inlineStr">
        <is>
          <t>x</t>
        </is>
      </c>
      <c r="C69" s="51" t="n">
        <v>1</v>
      </c>
      <c r="D69" s="51">
        <f>MAX(0,1-C74/Assumptions!$B$85)</f>
        <v/>
      </c>
      <c r="E69" s="51">
        <f>MAX(0,1-D74/Assumptions!$B$85)</f>
        <v/>
      </c>
      <c r="F69" s="51">
        <f>MAX(0,1-E74/Assumptions!$B$85)</f>
        <v/>
      </c>
      <c r="G69" s="51">
        <f>MAX(0,1-F74/Assumptions!$B$85)</f>
        <v/>
      </c>
      <c r="H69" s="51">
        <f>MAX(0,1-G74/Assumptions!$B$85)</f>
        <v/>
      </c>
      <c r="I69" s="51">
        <f>MAX(0,1-H74/Assumptions!$B$85)</f>
        <v/>
      </c>
      <c r="J69" s="51">
        <f>MAX(0,1-I74/Assumptions!$B$85)</f>
        <v/>
      </c>
      <c r="K69" s="51">
        <f>MAX(0,1-J74/Assumptions!$B$85)</f>
        <v/>
      </c>
      <c r="L69" s="51">
        <f>MAX(0,1-K74/Assumptions!$B$85)</f>
        <v/>
      </c>
      <c r="M69" s="51">
        <f>MAX(0,1-L74/Assumptions!$B$85)</f>
        <v/>
      </c>
      <c r="N69" s="51">
        <f>MAX(0,1-M74/Assumptions!$B$85)</f>
        <v/>
      </c>
      <c r="O69" s="51">
        <f>MAX(0,1-N74/Assumptions!$B$85)</f>
        <v/>
      </c>
      <c r="P69" s="51">
        <f>MAX(0,1-O74/Assumptions!$B$85)</f>
        <v/>
      </c>
      <c r="Q69" s="51">
        <f>MAX(0,1-P74/Assumptions!$B$85)</f>
        <v/>
      </c>
      <c r="R69" s="51">
        <f>MAX(0,1-Q74/Assumptions!$B$85)</f>
        <v/>
      </c>
      <c r="S69" s="51">
        <f>MAX(0,1-R74/Assumptions!$B$85)</f>
        <v/>
      </c>
      <c r="T69" s="51">
        <f>MAX(0,1-S74/Assumptions!$B$85)</f>
        <v/>
      </c>
      <c r="U69" s="51">
        <f>MAX(0,1-T74/Assumptions!$B$85)</f>
        <v/>
      </c>
      <c r="V69" s="51">
        <f>MAX(0,1-U74/Assumptions!$B$85)</f>
        <v/>
      </c>
      <c r="W69" s="51">
        <f>MAX(0,1-V74/Assumptions!$B$85)</f>
        <v/>
      </c>
      <c r="X69" s="51">
        <f>MAX(0,1-W74/Assumptions!$B$85)</f>
        <v/>
      </c>
      <c r="Y69" s="51">
        <f>MAX(0,1-X74/Assumptions!$B$85)</f>
        <v/>
      </c>
      <c r="Z69" s="51">
        <f>MAX(0,1-Y74/Assumptions!$B$85)</f>
        <v/>
      </c>
      <c r="AA69" s="51">
        <f>MAX(0,1-Z74/Assumptions!$B$85)</f>
        <v/>
      </c>
      <c r="AB69" s="51">
        <f>MAX(0,1-AA74/Assumptions!$B$85)</f>
        <v/>
      </c>
      <c r="AC69" s="51">
        <f>MAX(0,1-AB74/Assumptions!$B$85)</f>
        <v/>
      </c>
      <c r="AD69" s="51">
        <f>MAX(0,1-AC74/Assumptions!$B$85)</f>
        <v/>
      </c>
      <c r="AE69" s="51">
        <f>MAX(0,1-AD74/Assumptions!$B$85)</f>
        <v/>
      </c>
    </row>
    <row r="70">
      <c r="A70" s="6" t="inlineStr">
        <is>
          <t xml:space="preserve">  New customers</t>
        </is>
      </c>
      <c r="B70" s="23" t="inlineStr">
        <is>
          <t>accounts</t>
        </is>
      </c>
      <c r="C70" s="54">
        <f>C68*C69*C15</f>
        <v/>
      </c>
      <c r="D70" s="54">
        <f>D68*D69*D15</f>
        <v/>
      </c>
      <c r="E70" s="54">
        <f>E68*E69*E15</f>
        <v/>
      </c>
      <c r="F70" s="54">
        <f>F68*F69*F15</f>
        <v/>
      </c>
      <c r="G70" s="54">
        <f>G68*G69*G15</f>
        <v/>
      </c>
      <c r="H70" s="54">
        <f>H68*H69*H15</f>
        <v/>
      </c>
      <c r="I70" s="54">
        <f>I68*I69*I15</f>
        <v/>
      </c>
      <c r="J70" s="54">
        <f>J68*J69*J15</f>
        <v/>
      </c>
      <c r="K70" s="54">
        <f>K68*K69*K15</f>
        <v/>
      </c>
      <c r="L70" s="54">
        <f>L68*L69*L15</f>
        <v/>
      </c>
      <c r="M70" s="54">
        <f>M68*M69*M15</f>
        <v/>
      </c>
      <c r="N70" s="54">
        <f>N68*N69*N15</f>
        <v/>
      </c>
      <c r="O70" s="54">
        <f>O68*O69*O15</f>
        <v/>
      </c>
      <c r="P70" s="54">
        <f>P68*P69*P15</f>
        <v/>
      </c>
      <c r="Q70" s="54">
        <f>Q68*Q69*Q15</f>
        <v/>
      </c>
      <c r="R70" s="54">
        <f>R68*R69*R15</f>
        <v/>
      </c>
      <c r="S70" s="54">
        <f>S68*S69*S15</f>
        <v/>
      </c>
      <c r="T70" s="54">
        <f>T68*T69*T15</f>
        <v/>
      </c>
      <c r="U70" s="54">
        <f>U68*U69*U15</f>
        <v/>
      </c>
      <c r="V70" s="54">
        <f>V68*V69*V15</f>
        <v/>
      </c>
      <c r="W70" s="54">
        <f>W68*W69*W15</f>
        <v/>
      </c>
      <c r="X70" s="54">
        <f>X68*X69*X15</f>
        <v/>
      </c>
      <c r="Y70" s="54">
        <f>Y68*Y69*Y15</f>
        <v/>
      </c>
      <c r="Z70" s="54">
        <f>Z68*Z69*Z15</f>
        <v/>
      </c>
      <c r="AA70" s="54">
        <f>AA68*AA69*AA15</f>
        <v/>
      </c>
      <c r="AB70" s="54">
        <f>AB68*AB69*AB15</f>
        <v/>
      </c>
      <c r="AC70" s="54">
        <f>AC68*AC69*AC15</f>
        <v/>
      </c>
      <c r="AD70" s="54">
        <f>AD68*AD69*AD15</f>
        <v/>
      </c>
      <c r="AE70" s="54">
        <f>AE68*AE69*AE15</f>
        <v/>
      </c>
    </row>
    <row r="71">
      <c r="A71" s="6" t="inlineStr">
        <is>
          <t xml:space="preserve">  Paying customers</t>
        </is>
      </c>
      <c r="B71" s="23" t="inlineStr">
        <is>
          <t>accounts</t>
        </is>
      </c>
      <c r="C71" s="28">
        <f>C70*(1-Assumptions!$B$133)^(C7/2)</f>
        <v/>
      </c>
      <c r="D71" s="28">
        <f>C71*(1-Assumptions!$B$133)^D7+D70*(1-Assumptions!$B$133)^(D7/2)</f>
        <v/>
      </c>
      <c r="E71" s="28">
        <f>D71*(1-Assumptions!$B$133)^E7+E70*(1-Assumptions!$B$133)^(E7/2)</f>
        <v/>
      </c>
      <c r="F71" s="28">
        <f>E71*(1-Assumptions!$B$133)^F7+F70*(1-Assumptions!$B$133)^(F7/2)</f>
        <v/>
      </c>
      <c r="G71" s="28">
        <f>F71*(1-Assumptions!$B$133)^G7+G70*(1-Assumptions!$B$133)^(G7/2)</f>
        <v/>
      </c>
      <c r="H71" s="28">
        <f>G71*(1-Assumptions!$B$133)^H7+H70*(1-Assumptions!$B$133)^(H7/2)</f>
        <v/>
      </c>
      <c r="I71" s="28">
        <f>H71*(1-Assumptions!$B$133)^I7+I70*(1-Assumptions!$B$133)^(I7/2)</f>
        <v/>
      </c>
      <c r="J71" s="28">
        <f>I71*(1-Assumptions!$B$133)^J7+J70*(1-Assumptions!$B$133)^(J7/2)</f>
        <v/>
      </c>
      <c r="K71" s="28">
        <f>J71*(1-Assumptions!$B$133)^K7+K70*(1-Assumptions!$B$133)^(K7/2)</f>
        <v/>
      </c>
      <c r="L71" s="28">
        <f>K71*(1-Assumptions!$B$133)^L7+L70*(1-Assumptions!$B$133)^(L7/2)</f>
        <v/>
      </c>
      <c r="M71" s="28">
        <f>L71*(1-Assumptions!$B$133)^M7+M70*(1-Assumptions!$B$133)^(M7/2)</f>
        <v/>
      </c>
      <c r="N71" s="28">
        <f>M71*(1-Assumptions!$B$133)^N7+N70*(1-Assumptions!$B$133)^(N7/2)</f>
        <v/>
      </c>
      <c r="O71" s="28">
        <f>N71*(1-Assumptions!$B$133)^O7+O70*(1-Assumptions!$B$133)^(O7/2)</f>
        <v/>
      </c>
      <c r="P71" s="28">
        <f>O71*(1-Assumptions!$B$133)^P7+P70*(1-Assumptions!$B$133)^(P7/2)</f>
        <v/>
      </c>
      <c r="Q71" s="28">
        <f>P71*(1-Assumptions!$B$133)^Q7+Q70*(1-Assumptions!$B$133)^(Q7/2)</f>
        <v/>
      </c>
      <c r="R71" s="28">
        <f>Q71*(1-Assumptions!$B$133)^R7+R70*(1-Assumptions!$B$133)^(R7/2)</f>
        <v/>
      </c>
      <c r="S71" s="28">
        <f>R71*(1-Assumptions!$B$133)^S7+S70*(1-Assumptions!$B$133)^(S7/2)</f>
        <v/>
      </c>
      <c r="T71" s="28">
        <f>S71*(1-Assumptions!$B$133)^T7+T70*(1-Assumptions!$B$133)^(T7/2)</f>
        <v/>
      </c>
      <c r="U71" s="28">
        <f>T71*(1-Assumptions!$B$133)^U7+U70*(1-Assumptions!$B$133)^(U7/2)</f>
        <v/>
      </c>
      <c r="V71" s="28">
        <f>U71*(1-Assumptions!$B$133)^V7+V70*(1-Assumptions!$B$133)^(V7/2)</f>
        <v/>
      </c>
      <c r="W71" s="28">
        <f>V71*(1-Assumptions!$B$133)^W7+W70*(1-Assumptions!$B$133)^(W7/2)</f>
        <v/>
      </c>
      <c r="X71" s="28">
        <f>W71*(1-Assumptions!$B$133)^X7+X70*(1-Assumptions!$B$133)^(X7/2)</f>
        <v/>
      </c>
      <c r="Y71" s="28">
        <f>X71*(1-Assumptions!$B$133)^Y7+Y70*(1-Assumptions!$B$133)^(Y7/2)</f>
        <v/>
      </c>
      <c r="Z71" s="28">
        <f>Y71*(1-Assumptions!$B$133)^Z7+Z70*(1-Assumptions!$B$133)^(Z7/2)</f>
        <v/>
      </c>
      <c r="AA71" s="28">
        <f>Z71*(1-Assumptions!$B$133)^AA7+AA70*(1-Assumptions!$B$133)^(AA7/2)</f>
        <v/>
      </c>
      <c r="AB71" s="28">
        <f>AA71*(1-Assumptions!$B$133)^AB7+AB70*(1-Assumptions!$B$133)^(AB7/2)</f>
        <v/>
      </c>
      <c r="AC71" s="28">
        <f>AB71*(1-Assumptions!$B$133)^AC7+AC70*(1-Assumptions!$B$133)^(AC7/2)</f>
        <v/>
      </c>
      <c r="AD71" s="28">
        <f>AC71*(1-Assumptions!$B$133)^AD7+AD70*(1-Assumptions!$B$133)^(AD7/2)</f>
        <v/>
      </c>
      <c r="AE71" s="28">
        <f>AD71*(1-Assumptions!$B$133)^AE7+AE70*(1-Assumptions!$B$133)^(AE7/2)</f>
        <v/>
      </c>
    </row>
    <row r="72">
      <c r="A72" s="6" t="inlineStr">
        <is>
          <t xml:space="preserve">  Churned this period</t>
        </is>
      </c>
      <c r="B72" s="23" t="inlineStr">
        <is>
          <t>accounts</t>
        </is>
      </c>
      <c r="C72" s="54">
        <f>C70-C71</f>
        <v/>
      </c>
      <c r="D72" s="54">
        <f>C71+D70-D71</f>
        <v/>
      </c>
      <c r="E72" s="54">
        <f>D71+E70-E71</f>
        <v/>
      </c>
      <c r="F72" s="54">
        <f>E71+F70-F71</f>
        <v/>
      </c>
      <c r="G72" s="54">
        <f>F71+G70-G71</f>
        <v/>
      </c>
      <c r="H72" s="54">
        <f>G71+H70-H71</f>
        <v/>
      </c>
      <c r="I72" s="54">
        <f>H71+I70-I71</f>
        <v/>
      </c>
      <c r="J72" s="54">
        <f>I71+J70-J71</f>
        <v/>
      </c>
      <c r="K72" s="54">
        <f>J71+K70-K71</f>
        <v/>
      </c>
      <c r="L72" s="54">
        <f>K71+L70-L71</f>
        <v/>
      </c>
      <c r="M72" s="54">
        <f>L71+M70-M71</f>
        <v/>
      </c>
      <c r="N72" s="54">
        <f>M71+N70-N71</f>
        <v/>
      </c>
      <c r="O72" s="54">
        <f>N71+O70-O71</f>
        <v/>
      </c>
      <c r="P72" s="54">
        <f>O71+P70-P71</f>
        <v/>
      </c>
      <c r="Q72" s="54">
        <f>P71+Q70-Q71</f>
        <v/>
      </c>
      <c r="R72" s="54">
        <f>Q71+R70-R71</f>
        <v/>
      </c>
      <c r="S72" s="54">
        <f>R71+S70-S71</f>
        <v/>
      </c>
      <c r="T72" s="54">
        <f>S71+T70-T71</f>
        <v/>
      </c>
      <c r="U72" s="54">
        <f>T71+U70-U71</f>
        <v/>
      </c>
      <c r="V72" s="54">
        <f>U71+V70-V71</f>
        <v/>
      </c>
      <c r="W72" s="54">
        <f>V71+W70-W71</f>
        <v/>
      </c>
      <c r="X72" s="54">
        <f>W71+X70-X71</f>
        <v/>
      </c>
      <c r="Y72" s="54">
        <f>X71+Y70-Y71</f>
        <v/>
      </c>
      <c r="Z72" s="54">
        <f>Y71+Z70-Z71</f>
        <v/>
      </c>
      <c r="AA72" s="54">
        <f>Z71+AA70-AA71</f>
        <v/>
      </c>
      <c r="AB72" s="54">
        <f>AA71+AB70-AB71</f>
        <v/>
      </c>
      <c r="AC72" s="54">
        <f>AB71+AC70-AC71</f>
        <v/>
      </c>
      <c r="AD72" s="54">
        <f>AC71+AD70-AD71</f>
        <v/>
      </c>
      <c r="AE72" s="54">
        <f>AD71+AE70-AE71</f>
        <v/>
      </c>
    </row>
    <row r="73">
      <c r="A73" s="6" t="inlineStr">
        <is>
          <t xml:space="preserve">  Holders (stopped paying, still hold gold)</t>
        </is>
      </c>
      <c r="B73" s="23" t="inlineStr">
        <is>
          <t>accounts</t>
        </is>
      </c>
      <c r="C73" s="45">
        <f>C72</f>
        <v/>
      </c>
      <c r="D73" s="45">
        <f>C73+D72</f>
        <v/>
      </c>
      <c r="E73" s="45">
        <f>D73+E72</f>
        <v/>
      </c>
      <c r="F73" s="45">
        <f>E73+F72</f>
        <v/>
      </c>
      <c r="G73" s="45">
        <f>F73+G72</f>
        <v/>
      </c>
      <c r="H73" s="45">
        <f>G73+H72</f>
        <v/>
      </c>
      <c r="I73" s="45">
        <f>H73+I72</f>
        <v/>
      </c>
      <c r="J73" s="45">
        <f>I73+J72</f>
        <v/>
      </c>
      <c r="K73" s="45">
        <f>J73+K72</f>
        <v/>
      </c>
      <c r="L73" s="45">
        <f>K73+L72</f>
        <v/>
      </c>
      <c r="M73" s="45">
        <f>L73+M72</f>
        <v/>
      </c>
      <c r="N73" s="45">
        <f>M73+N72</f>
        <v/>
      </c>
      <c r="O73" s="45">
        <f>N73+O72</f>
        <v/>
      </c>
      <c r="P73" s="45">
        <f>O73+P72</f>
        <v/>
      </c>
      <c r="Q73" s="45">
        <f>P73+Q72</f>
        <v/>
      </c>
      <c r="R73" s="45">
        <f>Q73+R72</f>
        <v/>
      </c>
      <c r="S73" s="45">
        <f>R73+S72</f>
        <v/>
      </c>
      <c r="T73" s="45">
        <f>S73+T72</f>
        <v/>
      </c>
      <c r="U73" s="45">
        <f>T73+U72</f>
        <v/>
      </c>
      <c r="V73" s="45">
        <f>U73+V72</f>
        <v/>
      </c>
      <c r="W73" s="45">
        <f>V73+W72</f>
        <v/>
      </c>
      <c r="X73" s="45">
        <f>W73+X72</f>
        <v/>
      </c>
      <c r="Y73" s="45">
        <f>X73+Y72</f>
        <v/>
      </c>
      <c r="Z73" s="45">
        <f>Y73+Z72</f>
        <v/>
      </c>
      <c r="AA73" s="45">
        <f>Z73+AA72</f>
        <v/>
      </c>
      <c r="AB73" s="45">
        <f>AA73+AB72</f>
        <v/>
      </c>
      <c r="AC73" s="45">
        <f>AB73+AC72</f>
        <v/>
      </c>
      <c r="AD73" s="45">
        <f>AC73+AD72</f>
        <v/>
      </c>
      <c r="AE73" s="45">
        <f>AD73+AE72</f>
        <v/>
      </c>
    </row>
    <row r="74">
      <c r="A74" s="6" t="inlineStr">
        <is>
          <t xml:space="preserve">  Cumulative ever acquired</t>
        </is>
      </c>
      <c r="B74" s="23" t="inlineStr">
        <is>
          <t>accounts</t>
        </is>
      </c>
      <c r="C74" s="45">
        <f>C70</f>
        <v/>
      </c>
      <c r="D74" s="45">
        <f>C74+D70</f>
        <v/>
      </c>
      <c r="E74" s="45">
        <f>D74+E70</f>
        <v/>
      </c>
      <c r="F74" s="45">
        <f>E74+F70</f>
        <v/>
      </c>
      <c r="G74" s="45">
        <f>F74+G70</f>
        <v/>
      </c>
      <c r="H74" s="45">
        <f>G74+H70</f>
        <v/>
      </c>
      <c r="I74" s="45">
        <f>H74+I70</f>
        <v/>
      </c>
      <c r="J74" s="45">
        <f>I74+J70</f>
        <v/>
      </c>
      <c r="K74" s="45">
        <f>J74+K70</f>
        <v/>
      </c>
      <c r="L74" s="45">
        <f>K74+L70</f>
        <v/>
      </c>
      <c r="M74" s="45">
        <f>L74+M70</f>
        <v/>
      </c>
      <c r="N74" s="45">
        <f>M74+N70</f>
        <v/>
      </c>
      <c r="O74" s="45">
        <f>N74+O70</f>
        <v/>
      </c>
      <c r="P74" s="45">
        <f>O74+P70</f>
        <v/>
      </c>
      <c r="Q74" s="45">
        <f>P74+Q70</f>
        <v/>
      </c>
      <c r="R74" s="45">
        <f>Q74+R70</f>
        <v/>
      </c>
      <c r="S74" s="45">
        <f>R74+S70</f>
        <v/>
      </c>
      <c r="T74" s="45">
        <f>S74+T70</f>
        <v/>
      </c>
      <c r="U74" s="45">
        <f>T74+U70</f>
        <v/>
      </c>
      <c r="V74" s="45">
        <f>U74+V70</f>
        <v/>
      </c>
      <c r="W74" s="45">
        <f>V74+W70</f>
        <v/>
      </c>
      <c r="X74" s="45">
        <f>W74+X70</f>
        <v/>
      </c>
      <c r="Y74" s="45">
        <f>X74+Y70</f>
        <v/>
      </c>
      <c r="Z74" s="45">
        <f>Y74+Z70</f>
        <v/>
      </c>
      <c r="AA74" s="45">
        <f>Z74+AA70</f>
        <v/>
      </c>
      <c r="AB74" s="45">
        <f>AA74+AB70</f>
        <v/>
      </c>
      <c r="AC74" s="45">
        <f>AB74+AC70</f>
        <v/>
      </c>
      <c r="AD74" s="45">
        <f>AC74+AD70</f>
        <v/>
      </c>
      <c r="AE74" s="45">
        <f>AD74+AE70</f>
        <v/>
      </c>
    </row>
    <row r="75">
      <c r="A75" s="6" t="inlineStr">
        <is>
          <t xml:space="preserve">  SIP contributions</t>
        </is>
      </c>
      <c r="B75" s="23" t="inlineStr">
        <is>
          <t>USD</t>
        </is>
      </c>
      <c r="C75" s="55">
        <f>IF(C2&gt;=Assumptions!$B$47,C71*Assumptions!$B$187*C7,0)</f>
        <v/>
      </c>
      <c r="D75" s="55">
        <f>IF(D2&gt;=Assumptions!$B$47,D71*Assumptions!$B$187*D7,0)</f>
        <v/>
      </c>
      <c r="E75" s="55">
        <f>IF(E2&gt;=Assumptions!$B$47,E71*Assumptions!$B$187*E7,0)</f>
        <v/>
      </c>
      <c r="F75" s="55">
        <f>IF(F2&gt;=Assumptions!$B$47,F71*Assumptions!$B$187*F7,0)</f>
        <v/>
      </c>
      <c r="G75" s="55">
        <f>IF(G2&gt;=Assumptions!$B$47,G71*Assumptions!$B$187*G7,0)</f>
        <v/>
      </c>
      <c r="H75" s="55">
        <f>IF(H2&gt;=Assumptions!$B$47,H71*Assumptions!$B$187*H7,0)</f>
        <v/>
      </c>
      <c r="I75" s="55">
        <f>IF(I2&gt;=Assumptions!$B$47,I71*Assumptions!$B$187*I7,0)</f>
        <v/>
      </c>
      <c r="J75" s="55">
        <f>IF(J2&gt;=Assumptions!$B$47,J71*Assumptions!$B$187*J7,0)</f>
        <v/>
      </c>
      <c r="K75" s="55">
        <f>IF(K2&gt;=Assumptions!$B$47,K71*Assumptions!$B$187*K7,0)</f>
        <v/>
      </c>
      <c r="L75" s="55">
        <f>IF(L2&gt;=Assumptions!$B$47,L71*Assumptions!$B$187*L7,0)</f>
        <v/>
      </c>
      <c r="M75" s="55">
        <f>IF(M2&gt;=Assumptions!$B$47,M71*Assumptions!$B$187*M7,0)</f>
        <v/>
      </c>
      <c r="N75" s="55">
        <f>IF(N2&gt;=Assumptions!$B$47,N71*Assumptions!$B$187*N7,0)</f>
        <v/>
      </c>
      <c r="O75" s="55">
        <f>IF(O2&gt;=Assumptions!$B$47,O71*Assumptions!$B$187*O7,0)</f>
        <v/>
      </c>
      <c r="P75" s="55">
        <f>IF(P2&gt;=Assumptions!$B$47,P71*Assumptions!$B$187*P7,0)</f>
        <v/>
      </c>
      <c r="Q75" s="55">
        <f>IF(Q2&gt;=Assumptions!$B$47,Q71*Assumptions!$B$187*Q7,0)</f>
        <v/>
      </c>
      <c r="R75" s="55">
        <f>IF(R2&gt;=Assumptions!$B$47,R71*Assumptions!$B$187*R7,0)</f>
        <v/>
      </c>
      <c r="S75" s="55">
        <f>IF(S2&gt;=Assumptions!$B$47,S71*Assumptions!$B$187*S7,0)</f>
        <v/>
      </c>
      <c r="T75" s="55">
        <f>IF(T2&gt;=Assumptions!$B$47,T71*Assumptions!$B$187*T7,0)</f>
        <v/>
      </c>
      <c r="U75" s="55">
        <f>IF(U2&gt;=Assumptions!$B$47,U71*Assumptions!$B$187*U7,0)</f>
        <v/>
      </c>
      <c r="V75" s="55">
        <f>IF(V2&gt;=Assumptions!$B$47,V71*Assumptions!$B$187*V7,0)</f>
        <v/>
      </c>
      <c r="W75" s="55">
        <f>IF(W2&gt;=Assumptions!$B$47,W71*Assumptions!$B$187*W7,0)</f>
        <v/>
      </c>
      <c r="X75" s="55">
        <f>IF(X2&gt;=Assumptions!$B$47,X71*Assumptions!$B$187*X7,0)</f>
        <v/>
      </c>
      <c r="Y75" s="55">
        <f>IF(Y2&gt;=Assumptions!$B$47,Y71*Assumptions!$B$187*Y7,0)</f>
        <v/>
      </c>
      <c r="Z75" s="55">
        <f>IF(Z2&gt;=Assumptions!$B$47,Z71*Assumptions!$B$187*Z7,0)</f>
        <v/>
      </c>
      <c r="AA75" s="55">
        <f>IF(AA2&gt;=Assumptions!$B$47,AA71*Assumptions!$B$187*AA7,0)</f>
        <v/>
      </c>
      <c r="AB75" s="55">
        <f>IF(AB2&gt;=Assumptions!$B$47,AB71*Assumptions!$B$187*AB7,0)</f>
        <v/>
      </c>
      <c r="AC75" s="55">
        <f>IF(AC2&gt;=Assumptions!$B$47,AC71*Assumptions!$B$187*AC7,0)</f>
        <v/>
      </c>
      <c r="AD75" s="55">
        <f>IF(AD2&gt;=Assumptions!$B$47,AD71*Assumptions!$B$187*AD7,0)</f>
        <v/>
      </c>
      <c r="AE75" s="55">
        <f>IF(AE2&gt;=Assumptions!$B$47,AE71*Assumptions!$B$187*AE7,0)</f>
        <v/>
      </c>
    </row>
    <row r="76">
      <c r="A76" s="6" t="inlineStr">
        <is>
          <t xml:space="preserve">  Spot purchase volume</t>
        </is>
      </c>
      <c r="B76" s="23" t="inlineStr">
        <is>
          <t>USD</t>
        </is>
      </c>
      <c r="C76" s="55">
        <f>IF(C2&gt;=Assumptions!$B$48,C71*Assumptions!$B$36*Assumptions!$B$150*Assumptions!$B$152*Assumptions!$B$33*Assumptions!$B$151/12*C7,0)</f>
        <v/>
      </c>
      <c r="D76" s="55">
        <f>IF(D2&gt;=Assumptions!$B$48,D71*Assumptions!$B$36*Assumptions!$B$150*Assumptions!$B$152*Assumptions!$B$33*Assumptions!$B$151/12*D7,0)</f>
        <v/>
      </c>
      <c r="E76" s="55">
        <f>IF(E2&gt;=Assumptions!$B$48,E71*Assumptions!$B$36*Assumptions!$B$150*Assumptions!$B$152*Assumptions!$B$33*Assumptions!$B$151/12*E7,0)</f>
        <v/>
      </c>
      <c r="F76" s="55">
        <f>IF(F2&gt;=Assumptions!$B$48,F71*Assumptions!$B$36*Assumptions!$B$150*Assumptions!$B$152*Assumptions!$B$33*Assumptions!$B$151/12*F7,0)</f>
        <v/>
      </c>
      <c r="G76" s="55">
        <f>IF(G2&gt;=Assumptions!$B$48,G71*Assumptions!$B$36*Assumptions!$B$150*Assumptions!$B$152*Assumptions!$B$33*Assumptions!$B$151/12*G7,0)</f>
        <v/>
      </c>
      <c r="H76" s="55">
        <f>IF(H2&gt;=Assumptions!$B$48,H71*Assumptions!$B$36*Assumptions!$B$150*Assumptions!$B$152*Assumptions!$B$33*Assumptions!$B$151/12*H7,0)</f>
        <v/>
      </c>
      <c r="I76" s="55">
        <f>IF(I2&gt;=Assumptions!$B$48,I71*Assumptions!$B$36*Assumptions!$B$150*Assumptions!$B$152*Assumptions!$B$33*Assumptions!$B$151/12*I7,0)</f>
        <v/>
      </c>
      <c r="J76" s="55">
        <f>IF(J2&gt;=Assumptions!$B$48,J71*Assumptions!$B$36*Assumptions!$B$150*Assumptions!$B$152*Assumptions!$B$33*Assumptions!$B$151/12*J7,0)</f>
        <v/>
      </c>
      <c r="K76" s="55">
        <f>IF(K2&gt;=Assumptions!$B$48,K71*Assumptions!$B$36*Assumptions!$B$150*Assumptions!$B$152*Assumptions!$B$33*Assumptions!$B$151/12*K7,0)</f>
        <v/>
      </c>
      <c r="L76" s="55">
        <f>IF(L2&gt;=Assumptions!$B$48,L71*Assumptions!$B$36*Assumptions!$B$150*Assumptions!$B$152*Assumptions!$B$33*Assumptions!$B$151/12*L7,0)</f>
        <v/>
      </c>
      <c r="M76" s="55">
        <f>IF(M2&gt;=Assumptions!$B$48,M71*Assumptions!$B$36*Assumptions!$B$150*Assumptions!$B$152*Assumptions!$B$33*Assumptions!$B$151/12*M7,0)</f>
        <v/>
      </c>
      <c r="N76" s="55">
        <f>IF(N2&gt;=Assumptions!$B$48,N71*Assumptions!$B$36*Assumptions!$B$150*Assumptions!$B$152*Assumptions!$B$33*Assumptions!$B$151/12*N7,0)</f>
        <v/>
      </c>
      <c r="O76" s="55">
        <f>IF(O2&gt;=Assumptions!$B$48,O71*Assumptions!$B$36*Assumptions!$B$150*Assumptions!$B$152*Assumptions!$B$33*Assumptions!$B$151/12*O7,0)</f>
        <v/>
      </c>
      <c r="P76" s="55">
        <f>IF(P2&gt;=Assumptions!$B$48,P71*Assumptions!$B$36*Assumptions!$B$150*Assumptions!$B$152*Assumptions!$B$33*Assumptions!$B$151/12*P7,0)</f>
        <v/>
      </c>
      <c r="Q76" s="55">
        <f>IF(Q2&gt;=Assumptions!$B$48,Q71*Assumptions!$B$36*Assumptions!$B$150*Assumptions!$B$152*Assumptions!$B$33*Assumptions!$B$151/12*Q7,0)</f>
        <v/>
      </c>
      <c r="R76" s="55">
        <f>IF(R2&gt;=Assumptions!$B$48,R71*Assumptions!$B$36*Assumptions!$B$150*Assumptions!$B$152*Assumptions!$B$33*Assumptions!$B$151/12*R7,0)</f>
        <v/>
      </c>
      <c r="S76" s="55">
        <f>IF(S2&gt;=Assumptions!$B$48,S71*Assumptions!$B$36*Assumptions!$B$150*Assumptions!$B$152*Assumptions!$B$33*Assumptions!$B$151/12*S7,0)</f>
        <v/>
      </c>
      <c r="T76" s="55">
        <f>IF(T2&gt;=Assumptions!$B$48,T71*Assumptions!$B$36*Assumptions!$B$150*Assumptions!$B$152*Assumptions!$B$33*Assumptions!$B$151/12*T7,0)</f>
        <v/>
      </c>
      <c r="U76" s="55">
        <f>IF(U2&gt;=Assumptions!$B$48,U71*Assumptions!$B$36*Assumptions!$B$150*Assumptions!$B$152*Assumptions!$B$33*Assumptions!$B$151/12*U7,0)</f>
        <v/>
      </c>
      <c r="V76" s="55">
        <f>IF(V2&gt;=Assumptions!$B$48,V71*Assumptions!$B$36*Assumptions!$B$150*Assumptions!$B$152*Assumptions!$B$33*Assumptions!$B$151/12*V7,0)</f>
        <v/>
      </c>
      <c r="W76" s="55">
        <f>IF(W2&gt;=Assumptions!$B$48,W71*Assumptions!$B$36*Assumptions!$B$150*Assumptions!$B$152*Assumptions!$B$33*Assumptions!$B$151/12*W7,0)</f>
        <v/>
      </c>
      <c r="X76" s="55">
        <f>IF(X2&gt;=Assumptions!$B$48,X71*Assumptions!$B$36*Assumptions!$B$150*Assumptions!$B$152*Assumptions!$B$33*Assumptions!$B$151/12*X7,0)</f>
        <v/>
      </c>
      <c r="Y76" s="55">
        <f>IF(Y2&gt;=Assumptions!$B$48,Y71*Assumptions!$B$36*Assumptions!$B$150*Assumptions!$B$152*Assumptions!$B$33*Assumptions!$B$151/12*Y7,0)</f>
        <v/>
      </c>
      <c r="Z76" s="55">
        <f>IF(Z2&gt;=Assumptions!$B$48,Z71*Assumptions!$B$36*Assumptions!$B$150*Assumptions!$B$152*Assumptions!$B$33*Assumptions!$B$151/12*Z7,0)</f>
        <v/>
      </c>
      <c r="AA76" s="55">
        <f>IF(AA2&gt;=Assumptions!$B$48,AA71*Assumptions!$B$36*Assumptions!$B$150*Assumptions!$B$152*Assumptions!$B$33*Assumptions!$B$151/12*AA7,0)</f>
        <v/>
      </c>
      <c r="AB76" s="55">
        <f>IF(AB2&gt;=Assumptions!$B$48,AB71*Assumptions!$B$36*Assumptions!$B$150*Assumptions!$B$152*Assumptions!$B$33*Assumptions!$B$151/12*AB7,0)</f>
        <v/>
      </c>
      <c r="AC76" s="55">
        <f>IF(AC2&gt;=Assumptions!$B$48,AC71*Assumptions!$B$36*Assumptions!$B$150*Assumptions!$B$152*Assumptions!$B$33*Assumptions!$B$151/12*AC7,0)</f>
        <v/>
      </c>
      <c r="AD76" s="55">
        <f>IF(AD2&gt;=Assumptions!$B$48,AD71*Assumptions!$B$36*Assumptions!$B$150*Assumptions!$B$152*Assumptions!$B$33*Assumptions!$B$151/12*AD7,0)</f>
        <v/>
      </c>
      <c r="AE76" s="55">
        <f>IF(AE2&gt;=Assumptions!$B$48,AE71*Assumptions!$B$36*Assumptions!$B$150*Assumptions!$B$152*Assumptions!$B$33*Assumptions!$B$151/12*AE7,0)</f>
        <v/>
      </c>
    </row>
    <row r="77">
      <c r="A77" s="6" t="inlineStr">
        <is>
          <t xml:space="preserve">  Grams purchased</t>
        </is>
      </c>
      <c r="B77" s="23" t="inlineStr">
        <is>
          <t>grams</t>
        </is>
      </c>
      <c r="C77" s="54">
        <f>(C75+C76)*(1-Assumptions!$B$8)/C20/(1+Assumptions!$B$9)</f>
        <v/>
      </c>
      <c r="D77" s="54">
        <f>(D75+D76)*(1-Assumptions!$B$8)/D20/(1+Assumptions!$B$9)</f>
        <v/>
      </c>
      <c r="E77" s="54">
        <f>(E75+E76)*(1-Assumptions!$B$8)/E20/(1+Assumptions!$B$9)</f>
        <v/>
      </c>
      <c r="F77" s="54">
        <f>(F75+F76)*(1-Assumptions!$B$8)/F20/(1+Assumptions!$B$9)</f>
        <v/>
      </c>
      <c r="G77" s="54">
        <f>(G75+G76)*(1-Assumptions!$B$8)/G20/(1+Assumptions!$B$9)</f>
        <v/>
      </c>
      <c r="H77" s="54">
        <f>(H75+H76)*(1-Assumptions!$B$8)/H20/(1+Assumptions!$B$9)</f>
        <v/>
      </c>
      <c r="I77" s="54">
        <f>(I75+I76)*(1-Assumptions!$B$8)/I20/(1+Assumptions!$B$9)</f>
        <v/>
      </c>
      <c r="J77" s="54">
        <f>(J75+J76)*(1-Assumptions!$B$8)/J20/(1+Assumptions!$B$9)</f>
        <v/>
      </c>
      <c r="K77" s="54">
        <f>(K75+K76)*(1-Assumptions!$B$8)/K20/(1+Assumptions!$B$9)</f>
        <v/>
      </c>
      <c r="L77" s="54">
        <f>(L75+L76)*(1-Assumptions!$B$8)/L20/(1+Assumptions!$B$9)</f>
        <v/>
      </c>
      <c r="M77" s="54">
        <f>(M75+M76)*(1-Assumptions!$B$8)/M20/(1+Assumptions!$B$9)</f>
        <v/>
      </c>
      <c r="N77" s="54">
        <f>(N75+N76)*(1-Assumptions!$B$8)/N20/(1+Assumptions!$B$9)</f>
        <v/>
      </c>
      <c r="O77" s="54">
        <f>(O75+O76)*(1-Assumptions!$B$8)/O20/(1+Assumptions!$B$9)</f>
        <v/>
      </c>
      <c r="P77" s="54">
        <f>(P75+P76)*(1-Assumptions!$B$8)/P20/(1+Assumptions!$B$9)</f>
        <v/>
      </c>
      <c r="Q77" s="54">
        <f>(Q75+Q76)*(1-Assumptions!$B$8)/Q20/(1+Assumptions!$B$9)</f>
        <v/>
      </c>
      <c r="R77" s="54">
        <f>(R75+R76)*(1-Assumptions!$B$8)/R20/(1+Assumptions!$B$9)</f>
        <v/>
      </c>
      <c r="S77" s="54">
        <f>(S75+S76)*(1-Assumptions!$B$8)/S20/(1+Assumptions!$B$9)</f>
        <v/>
      </c>
      <c r="T77" s="54">
        <f>(T75+T76)*(1-Assumptions!$B$8)/T20/(1+Assumptions!$B$9)</f>
        <v/>
      </c>
      <c r="U77" s="54">
        <f>(U75+U76)*(1-Assumptions!$B$8)/U20/(1+Assumptions!$B$9)</f>
        <v/>
      </c>
      <c r="V77" s="54">
        <f>(V75+V76)*(1-Assumptions!$B$8)/V20/(1+Assumptions!$B$9)</f>
        <v/>
      </c>
      <c r="W77" s="54">
        <f>(W75+W76)*(1-Assumptions!$B$8)/W20/(1+Assumptions!$B$9)</f>
        <v/>
      </c>
      <c r="X77" s="54">
        <f>(X75+X76)*(1-Assumptions!$B$8)/X20/(1+Assumptions!$B$9)</f>
        <v/>
      </c>
      <c r="Y77" s="54">
        <f>(Y75+Y76)*(1-Assumptions!$B$8)/Y20/(1+Assumptions!$B$9)</f>
        <v/>
      </c>
      <c r="Z77" s="54">
        <f>(Z75+Z76)*(1-Assumptions!$B$8)/Z20/(1+Assumptions!$B$9)</f>
        <v/>
      </c>
      <c r="AA77" s="54">
        <f>(AA75+AA76)*(1-Assumptions!$B$8)/AA20/(1+Assumptions!$B$9)</f>
        <v/>
      </c>
      <c r="AB77" s="54">
        <f>(AB75+AB76)*(1-Assumptions!$B$8)/AB20/(1+Assumptions!$B$9)</f>
        <v/>
      </c>
      <c r="AC77" s="54">
        <f>(AC75+AC76)*(1-Assumptions!$B$8)/AC20/(1+Assumptions!$B$9)</f>
        <v/>
      </c>
      <c r="AD77" s="54">
        <f>(AD75+AD76)*(1-Assumptions!$B$8)/AD20/(1+Assumptions!$B$9)</f>
        <v/>
      </c>
      <c r="AE77" s="54">
        <f>(AE75+AE76)*(1-Assumptions!$B$8)/AE20/(1+Assumptions!$B$9)</f>
        <v/>
      </c>
    </row>
    <row r="78">
      <c r="A78" s="6" t="inlineStr">
        <is>
          <t xml:space="preserve">  Collateral-eligible AUM decay rate (holder-weighted)</t>
        </is>
      </c>
      <c r="B78" s="23" t="inlineStr">
        <is>
          <t>%/period</t>
        </is>
      </c>
      <c r="C78" s="56">
        <f>(Assumptions!$B$147+Assumptions!$B$148*IF(C71+C73=0,1,(C71+C73*Assumptions!$B$149)/(C71+C73)))*C7/12</f>
        <v/>
      </c>
      <c r="D78" s="56">
        <f>(Assumptions!$B$147+Assumptions!$B$148*IF(D71+D73=0,1,(D71+D73*Assumptions!$B$149)/(D71+D73)))*D7/12</f>
        <v/>
      </c>
      <c r="E78" s="56">
        <f>(Assumptions!$B$147+Assumptions!$B$148*IF(E71+E73=0,1,(E71+E73*Assumptions!$B$149)/(E71+E73)))*E7/12</f>
        <v/>
      </c>
      <c r="F78" s="56">
        <f>(Assumptions!$B$147+Assumptions!$B$148*IF(F71+F73=0,1,(F71+F73*Assumptions!$B$149)/(F71+F73)))*F7/12</f>
        <v/>
      </c>
      <c r="G78" s="56">
        <f>(Assumptions!$B$147+Assumptions!$B$148*IF(G71+G73=0,1,(G71+G73*Assumptions!$B$149)/(G71+G73)))*G7/12</f>
        <v/>
      </c>
      <c r="H78" s="56">
        <f>(Assumptions!$B$147+Assumptions!$B$148*IF(H71+H73=0,1,(H71+H73*Assumptions!$B$149)/(H71+H73)))*H7/12</f>
        <v/>
      </c>
      <c r="I78" s="56">
        <f>(Assumptions!$B$147+Assumptions!$B$148*IF(I71+I73=0,1,(I71+I73*Assumptions!$B$149)/(I71+I73)))*I7/12</f>
        <v/>
      </c>
      <c r="J78" s="56">
        <f>(Assumptions!$B$147+Assumptions!$B$148*IF(J71+J73=0,1,(J71+J73*Assumptions!$B$149)/(J71+J73)))*J7/12</f>
        <v/>
      </c>
      <c r="K78" s="56">
        <f>(Assumptions!$B$147+Assumptions!$B$148*IF(K71+K73=0,1,(K71+K73*Assumptions!$B$149)/(K71+K73)))*K7/12</f>
        <v/>
      </c>
      <c r="L78" s="56">
        <f>(Assumptions!$B$147+Assumptions!$B$148*IF(L71+L73=0,1,(L71+L73*Assumptions!$B$149)/(L71+L73)))*L7/12</f>
        <v/>
      </c>
      <c r="M78" s="56">
        <f>(Assumptions!$B$147+Assumptions!$B$148*IF(M71+M73=0,1,(M71+M73*Assumptions!$B$149)/(M71+M73)))*M7/12</f>
        <v/>
      </c>
      <c r="N78" s="56">
        <f>(Assumptions!$B$147+Assumptions!$B$148*IF(N71+N73=0,1,(N71+N73*Assumptions!$B$149)/(N71+N73)))*N7/12</f>
        <v/>
      </c>
      <c r="O78" s="56">
        <f>(Assumptions!$B$147+Assumptions!$B$148*IF(O71+O73=0,1,(O71+O73*Assumptions!$B$149)/(O71+O73)))*O7/12</f>
        <v/>
      </c>
      <c r="P78" s="56">
        <f>(Assumptions!$B$147+Assumptions!$B$148*IF(P71+P73=0,1,(P71+P73*Assumptions!$B$149)/(P71+P73)))*P7/12</f>
        <v/>
      </c>
      <c r="Q78" s="56">
        <f>(Assumptions!$B$147+Assumptions!$B$148*IF(Q71+Q73=0,1,(Q71+Q73*Assumptions!$B$149)/(Q71+Q73)))*Q7/12</f>
        <v/>
      </c>
      <c r="R78" s="56">
        <f>(Assumptions!$B$147+Assumptions!$B$148*IF(R71+R73=0,1,(R71+R73*Assumptions!$B$149)/(R71+R73)))*R7/12</f>
        <v/>
      </c>
      <c r="S78" s="56">
        <f>(Assumptions!$B$147+Assumptions!$B$148*IF(S71+S73=0,1,(S71+S73*Assumptions!$B$149)/(S71+S73)))*S7/12</f>
        <v/>
      </c>
      <c r="T78" s="56">
        <f>(Assumptions!$B$147+Assumptions!$B$148*IF(T71+T73=0,1,(T71+T73*Assumptions!$B$149)/(T71+T73)))*T7/12</f>
        <v/>
      </c>
      <c r="U78" s="56">
        <f>(Assumptions!$B$147+Assumptions!$B$148*IF(U71+U73=0,1,(U71+U73*Assumptions!$B$149)/(U71+U73)))*U7/12</f>
        <v/>
      </c>
      <c r="V78" s="56">
        <f>(Assumptions!$B$147+Assumptions!$B$148*IF(V71+V73=0,1,(V71+V73*Assumptions!$B$149)/(V71+V73)))*V7/12</f>
        <v/>
      </c>
      <c r="W78" s="56">
        <f>(Assumptions!$B$147+Assumptions!$B$148*IF(W71+W73=0,1,(W71+W73*Assumptions!$B$149)/(W71+W73)))*W7/12</f>
        <v/>
      </c>
      <c r="X78" s="56">
        <f>(Assumptions!$B$147+Assumptions!$B$148*IF(X71+X73=0,1,(X71+X73*Assumptions!$B$149)/(X71+X73)))*X7/12</f>
        <v/>
      </c>
      <c r="Y78" s="56">
        <f>(Assumptions!$B$147+Assumptions!$B$148*IF(Y71+Y73=0,1,(Y71+Y73*Assumptions!$B$149)/(Y71+Y73)))*Y7/12</f>
        <v/>
      </c>
      <c r="Z78" s="56">
        <f>(Assumptions!$B$147+Assumptions!$B$148*IF(Z71+Z73=0,1,(Z71+Z73*Assumptions!$B$149)/(Z71+Z73)))*Z7/12</f>
        <v/>
      </c>
      <c r="AA78" s="56">
        <f>(Assumptions!$B$147+Assumptions!$B$148*IF(AA71+AA73=0,1,(AA71+AA73*Assumptions!$B$149)/(AA71+AA73)))*AA7/12</f>
        <v/>
      </c>
      <c r="AB78" s="56">
        <f>(Assumptions!$B$147+Assumptions!$B$148*IF(AB71+AB73=0,1,(AB71+AB73*Assumptions!$B$149)/(AB71+AB73)))*AB7/12</f>
        <v/>
      </c>
      <c r="AC78" s="56">
        <f>(Assumptions!$B$147+Assumptions!$B$148*IF(AC71+AC73=0,1,(AC71+AC73*Assumptions!$B$149)/(AC71+AC73)))*AC7/12</f>
        <v/>
      </c>
      <c r="AD78" s="56">
        <f>(Assumptions!$B$147+Assumptions!$B$148*IF(AD71+AD73=0,1,(AD71+AD73*Assumptions!$B$149)/(AD71+AD73)))*AD7/12</f>
        <v/>
      </c>
      <c r="AE78" s="56">
        <f>(Assumptions!$B$147+Assumptions!$B$148*IF(AE71+AE73=0,1,(AE71+AE73*Assumptions!$B$149)/(AE71+AE73)))*AE7/12</f>
        <v/>
      </c>
    </row>
    <row r="79">
      <c r="A79" s="6" t="inlineStr">
        <is>
          <t xml:space="preserve">  Redemption-only decay rate (metal actually leaving)</t>
        </is>
      </c>
      <c r="B79" s="23" t="inlineStr">
        <is>
          <t>%/period</t>
        </is>
      </c>
      <c r="C79" s="56">
        <f>Assumptions!$B$148*IF(C71+C73=0,1,(C71+C73*Assumptions!$B$149)/(C71+C73))*C7/12</f>
        <v/>
      </c>
      <c r="D79" s="56">
        <f>Assumptions!$B$148*IF(D71+D73=0,1,(D71+D73*Assumptions!$B$149)/(D71+D73))*D7/12</f>
        <v/>
      </c>
      <c r="E79" s="56">
        <f>Assumptions!$B$148*IF(E71+E73=0,1,(E71+E73*Assumptions!$B$149)/(E71+E73))*E7/12</f>
        <v/>
      </c>
      <c r="F79" s="56">
        <f>Assumptions!$B$148*IF(F71+F73=0,1,(F71+F73*Assumptions!$B$149)/(F71+F73))*F7/12</f>
        <v/>
      </c>
      <c r="G79" s="56">
        <f>Assumptions!$B$148*IF(G71+G73=0,1,(G71+G73*Assumptions!$B$149)/(G71+G73))*G7/12</f>
        <v/>
      </c>
      <c r="H79" s="56">
        <f>Assumptions!$B$148*IF(H71+H73=0,1,(H71+H73*Assumptions!$B$149)/(H71+H73))*H7/12</f>
        <v/>
      </c>
      <c r="I79" s="56">
        <f>Assumptions!$B$148*IF(I71+I73=0,1,(I71+I73*Assumptions!$B$149)/(I71+I73))*I7/12</f>
        <v/>
      </c>
      <c r="J79" s="56">
        <f>Assumptions!$B$148*IF(J71+J73=0,1,(J71+J73*Assumptions!$B$149)/(J71+J73))*J7/12</f>
        <v/>
      </c>
      <c r="K79" s="56">
        <f>Assumptions!$B$148*IF(K71+K73=0,1,(K71+K73*Assumptions!$B$149)/(K71+K73))*K7/12</f>
        <v/>
      </c>
      <c r="L79" s="56">
        <f>Assumptions!$B$148*IF(L71+L73=0,1,(L71+L73*Assumptions!$B$149)/(L71+L73))*L7/12</f>
        <v/>
      </c>
      <c r="M79" s="56">
        <f>Assumptions!$B$148*IF(M71+M73=0,1,(M71+M73*Assumptions!$B$149)/(M71+M73))*M7/12</f>
        <v/>
      </c>
      <c r="N79" s="56">
        <f>Assumptions!$B$148*IF(N71+N73=0,1,(N71+N73*Assumptions!$B$149)/(N71+N73))*N7/12</f>
        <v/>
      </c>
      <c r="O79" s="56">
        <f>Assumptions!$B$148*IF(O71+O73=0,1,(O71+O73*Assumptions!$B$149)/(O71+O73))*O7/12</f>
        <v/>
      </c>
      <c r="P79" s="56">
        <f>Assumptions!$B$148*IF(P71+P73=0,1,(P71+P73*Assumptions!$B$149)/(P71+P73))*P7/12</f>
        <v/>
      </c>
      <c r="Q79" s="56">
        <f>Assumptions!$B$148*IF(Q71+Q73=0,1,(Q71+Q73*Assumptions!$B$149)/(Q71+Q73))*Q7/12</f>
        <v/>
      </c>
      <c r="R79" s="56">
        <f>Assumptions!$B$148*IF(R71+R73=0,1,(R71+R73*Assumptions!$B$149)/(R71+R73))*R7/12</f>
        <v/>
      </c>
      <c r="S79" s="56">
        <f>Assumptions!$B$148*IF(S71+S73=0,1,(S71+S73*Assumptions!$B$149)/(S71+S73))*S7/12</f>
        <v/>
      </c>
      <c r="T79" s="56">
        <f>Assumptions!$B$148*IF(T71+T73=0,1,(T71+T73*Assumptions!$B$149)/(T71+T73))*T7/12</f>
        <v/>
      </c>
      <c r="U79" s="56">
        <f>Assumptions!$B$148*IF(U71+U73=0,1,(U71+U73*Assumptions!$B$149)/(U71+U73))*U7/12</f>
        <v/>
      </c>
      <c r="V79" s="56">
        <f>Assumptions!$B$148*IF(V71+V73=0,1,(V71+V73*Assumptions!$B$149)/(V71+V73))*V7/12</f>
        <v/>
      </c>
      <c r="W79" s="56">
        <f>Assumptions!$B$148*IF(W71+W73=0,1,(W71+W73*Assumptions!$B$149)/(W71+W73))*W7/12</f>
        <v/>
      </c>
      <c r="X79" s="56">
        <f>Assumptions!$B$148*IF(X71+X73=0,1,(X71+X73*Assumptions!$B$149)/(X71+X73))*X7/12</f>
        <v/>
      </c>
      <c r="Y79" s="56">
        <f>Assumptions!$B$148*IF(Y71+Y73=0,1,(Y71+Y73*Assumptions!$B$149)/(Y71+Y73))*Y7/12</f>
        <v/>
      </c>
      <c r="Z79" s="56">
        <f>Assumptions!$B$148*IF(Z71+Z73=0,1,(Z71+Z73*Assumptions!$B$149)/(Z71+Z73))*Z7/12</f>
        <v/>
      </c>
      <c r="AA79" s="56">
        <f>Assumptions!$B$148*IF(AA71+AA73=0,1,(AA71+AA73*Assumptions!$B$149)/(AA71+AA73))*AA7/12</f>
        <v/>
      </c>
      <c r="AB79" s="56">
        <f>Assumptions!$B$148*IF(AB71+AB73=0,1,(AB71+AB73*Assumptions!$B$149)/(AB71+AB73))*AB7/12</f>
        <v/>
      </c>
      <c r="AC79" s="56">
        <f>Assumptions!$B$148*IF(AC71+AC73=0,1,(AC71+AC73*Assumptions!$B$149)/(AC71+AC73))*AC7/12</f>
        <v/>
      </c>
      <c r="AD79" s="56">
        <f>Assumptions!$B$148*IF(AD71+AD73=0,1,(AD71+AD73*Assumptions!$B$149)/(AD71+AD73))*AD7/12</f>
        <v/>
      </c>
      <c r="AE79" s="56">
        <f>Assumptions!$B$148*IF(AE71+AE73=0,1,(AE71+AE73*Assumptions!$B$149)/(AE71+AE73))*AE7/12</f>
        <v/>
      </c>
    </row>
    <row r="80">
      <c r="A80" s="6" t="inlineStr">
        <is>
          <t xml:space="preserve">  Grams held (collateral-eligible)</t>
        </is>
      </c>
      <c r="B80" s="23" t="inlineStr">
        <is>
          <t>grams</t>
        </is>
      </c>
      <c r="C80" s="45">
        <f>C77</f>
        <v/>
      </c>
      <c r="D80" s="45">
        <f>C80*(1-D78)+D77</f>
        <v/>
      </c>
      <c r="E80" s="45">
        <f>D80*(1-E78)+E77</f>
        <v/>
      </c>
      <c r="F80" s="45">
        <f>E80*(1-F78)+F77</f>
        <v/>
      </c>
      <c r="G80" s="45">
        <f>F80*(1-G78)+G77</f>
        <v/>
      </c>
      <c r="H80" s="45">
        <f>G80*(1-H78)+H77</f>
        <v/>
      </c>
      <c r="I80" s="45">
        <f>H80*(1-I78)+I77</f>
        <v/>
      </c>
      <c r="J80" s="45">
        <f>I80*(1-J78)+J77</f>
        <v/>
      </c>
      <c r="K80" s="45">
        <f>J80*(1-K78)+K77</f>
        <v/>
      </c>
      <c r="L80" s="45">
        <f>K80*(1-L78)+L77</f>
        <v/>
      </c>
      <c r="M80" s="45">
        <f>L80*(1-M78)+M77</f>
        <v/>
      </c>
      <c r="N80" s="45">
        <f>M80*(1-N78)+N77</f>
        <v/>
      </c>
      <c r="O80" s="45">
        <f>N80*(1-O78)+O77</f>
        <v/>
      </c>
      <c r="P80" s="45">
        <f>O80*(1-P78)+P77</f>
        <v/>
      </c>
      <c r="Q80" s="45">
        <f>P80*(1-Q78)+Q77</f>
        <v/>
      </c>
      <c r="R80" s="45">
        <f>Q80*(1-R78)+R77</f>
        <v/>
      </c>
      <c r="S80" s="45">
        <f>R80*(1-S78)+S77</f>
        <v/>
      </c>
      <c r="T80" s="45">
        <f>S80*(1-T78)+T77</f>
        <v/>
      </c>
      <c r="U80" s="45">
        <f>T80*(1-U78)+U77</f>
        <v/>
      </c>
      <c r="V80" s="45">
        <f>U80*(1-V78)+V77</f>
        <v/>
      </c>
      <c r="W80" s="45">
        <f>V80*(1-W78)+W77</f>
        <v/>
      </c>
      <c r="X80" s="45">
        <f>W80*(1-X78)+X77</f>
        <v/>
      </c>
      <c r="Y80" s="45">
        <f>X80*(1-Y78)+Y77</f>
        <v/>
      </c>
      <c r="Z80" s="45">
        <f>Y80*(1-Z78)+Z77</f>
        <v/>
      </c>
      <c r="AA80" s="45">
        <f>Z80*(1-AA78)+AA77</f>
        <v/>
      </c>
      <c r="AB80" s="45">
        <f>AA80*(1-AB78)+AB77</f>
        <v/>
      </c>
      <c r="AC80" s="45">
        <f>AB80*(1-AC78)+AC77</f>
        <v/>
      </c>
      <c r="AD80" s="45">
        <f>AC80*(1-AD78)+AD77</f>
        <v/>
      </c>
      <c r="AE80" s="45">
        <f>AD80*(1-AE78)+AE77</f>
        <v/>
      </c>
    </row>
    <row r="81">
      <c r="A81" s="6" t="inlineStr">
        <is>
          <t xml:space="preserve">  Grams under custody (vaulted, incl. self-custodied)</t>
        </is>
      </c>
      <c r="B81" s="23" t="inlineStr">
        <is>
          <t>grams</t>
        </is>
      </c>
      <c r="C81" s="45">
        <f>C77</f>
        <v/>
      </c>
      <c r="D81" s="45">
        <f>C81*(1-D79)+D77</f>
        <v/>
      </c>
      <c r="E81" s="45">
        <f>D81*(1-E79)+E77</f>
        <v/>
      </c>
      <c r="F81" s="45">
        <f>E81*(1-F79)+F77</f>
        <v/>
      </c>
      <c r="G81" s="45">
        <f>F81*(1-G79)+G77</f>
        <v/>
      </c>
      <c r="H81" s="45">
        <f>G81*(1-H79)+H77</f>
        <v/>
      </c>
      <c r="I81" s="45">
        <f>H81*(1-I79)+I77</f>
        <v/>
      </c>
      <c r="J81" s="45">
        <f>I81*(1-J79)+J77</f>
        <v/>
      </c>
      <c r="K81" s="45">
        <f>J81*(1-K79)+K77</f>
        <v/>
      </c>
      <c r="L81" s="45">
        <f>K81*(1-L79)+L77</f>
        <v/>
      </c>
      <c r="M81" s="45">
        <f>L81*(1-M79)+M77</f>
        <v/>
      </c>
      <c r="N81" s="45">
        <f>M81*(1-N79)+N77</f>
        <v/>
      </c>
      <c r="O81" s="45">
        <f>N81*(1-O79)+O77</f>
        <v/>
      </c>
      <c r="P81" s="45">
        <f>O81*(1-P79)+P77</f>
        <v/>
      </c>
      <c r="Q81" s="45">
        <f>P81*(1-Q79)+Q77</f>
        <v/>
      </c>
      <c r="R81" s="45">
        <f>Q81*(1-R79)+R77</f>
        <v/>
      </c>
      <c r="S81" s="45">
        <f>R81*(1-S79)+S77</f>
        <v/>
      </c>
      <c r="T81" s="45">
        <f>S81*(1-T79)+T77</f>
        <v/>
      </c>
      <c r="U81" s="45">
        <f>T81*(1-U79)+U77</f>
        <v/>
      </c>
      <c r="V81" s="45">
        <f>U81*(1-V79)+V77</f>
        <v/>
      </c>
      <c r="W81" s="45">
        <f>V81*(1-W79)+W77</f>
        <v/>
      </c>
      <c r="X81" s="45">
        <f>W81*(1-X79)+X77</f>
        <v/>
      </c>
      <c r="Y81" s="45">
        <f>X81*(1-Y79)+Y77</f>
        <v/>
      </c>
      <c r="Z81" s="45">
        <f>Y81*(1-Z79)+Z77</f>
        <v/>
      </c>
      <c r="AA81" s="45">
        <f>Z81*(1-AA79)+AA77</f>
        <v/>
      </c>
      <c r="AB81" s="45">
        <f>AA81*(1-AB79)+AB77</f>
        <v/>
      </c>
      <c r="AC81" s="45">
        <f>AB81*(1-AC79)+AC77</f>
        <v/>
      </c>
      <c r="AD81" s="45">
        <f>AC81*(1-AD79)+AD77</f>
        <v/>
      </c>
      <c r="AE81" s="45">
        <f>AD81*(1-AE79)+AE77</f>
        <v/>
      </c>
    </row>
    <row r="82">
      <c r="A82" s="6" t="inlineStr">
        <is>
          <t xml:space="preserve">  AUM</t>
        </is>
      </c>
      <c r="B82" s="23" t="inlineStr">
        <is>
          <t>USD</t>
        </is>
      </c>
      <c r="C82" s="57">
        <f>C80*C20</f>
        <v/>
      </c>
      <c r="D82" s="57">
        <f>D80*D20</f>
        <v/>
      </c>
      <c r="E82" s="57">
        <f>E80*E20</f>
        <v/>
      </c>
      <c r="F82" s="57">
        <f>F80*F20</f>
        <v/>
      </c>
      <c r="G82" s="57">
        <f>G80*G20</f>
        <v/>
      </c>
      <c r="H82" s="57">
        <f>H80*H20</f>
        <v/>
      </c>
      <c r="I82" s="57">
        <f>I80*I20</f>
        <v/>
      </c>
      <c r="J82" s="57">
        <f>J80*J20</f>
        <v/>
      </c>
      <c r="K82" s="57">
        <f>K80*K20</f>
        <v/>
      </c>
      <c r="L82" s="57">
        <f>L80*L20</f>
        <v/>
      </c>
      <c r="M82" s="57">
        <f>M80*M20</f>
        <v/>
      </c>
      <c r="N82" s="57">
        <f>N80*N20</f>
        <v/>
      </c>
      <c r="O82" s="57">
        <f>O80*O20</f>
        <v/>
      </c>
      <c r="P82" s="57">
        <f>P80*P20</f>
        <v/>
      </c>
      <c r="Q82" s="57">
        <f>Q80*Q20</f>
        <v/>
      </c>
      <c r="R82" s="57">
        <f>R80*R20</f>
        <v/>
      </c>
      <c r="S82" s="57">
        <f>S80*S20</f>
        <v/>
      </c>
      <c r="T82" s="57">
        <f>T80*T20</f>
        <v/>
      </c>
      <c r="U82" s="57">
        <f>U80*U20</f>
        <v/>
      </c>
      <c r="V82" s="57">
        <f>V80*V20</f>
        <v/>
      </c>
      <c r="W82" s="57">
        <f>W80*W20</f>
        <v/>
      </c>
      <c r="X82" s="57">
        <f>X80*X20</f>
        <v/>
      </c>
      <c r="Y82" s="57">
        <f>Y80*Y20</f>
        <v/>
      </c>
      <c r="Z82" s="57">
        <f>Z80*Z20</f>
        <v/>
      </c>
      <c r="AA82" s="57">
        <f>AA80*AA20</f>
        <v/>
      </c>
      <c r="AB82" s="57">
        <f>AB80*AB20</f>
        <v/>
      </c>
      <c r="AC82" s="57">
        <f>AC80*AC20</f>
        <v/>
      </c>
      <c r="AD82" s="57">
        <f>AD80*AD20</f>
        <v/>
      </c>
      <c r="AE82" s="57">
        <f>AE80*AE20</f>
        <v/>
      </c>
    </row>
    <row r="83">
      <c r="A83" s="6" t="inlineStr">
        <is>
          <t xml:space="preserve">  Card-eligible base</t>
        </is>
      </c>
      <c r="B83" s="23" t="inlineStr">
        <is>
          <t>accounts</t>
        </is>
      </c>
      <c r="C83" s="54">
        <f>C71+C73*Assumptions!$B$190</f>
        <v/>
      </c>
      <c r="D83" s="54">
        <f>D71+D73*Assumptions!$B$190</f>
        <v/>
      </c>
      <c r="E83" s="54">
        <f>E71+E73*Assumptions!$B$190</f>
        <v/>
      </c>
      <c r="F83" s="54">
        <f>F71+F73*Assumptions!$B$190</f>
        <v/>
      </c>
      <c r="G83" s="54">
        <f>G71+G73*Assumptions!$B$190</f>
        <v/>
      </c>
      <c r="H83" s="54">
        <f>H71+H73*Assumptions!$B$190</f>
        <v/>
      </c>
      <c r="I83" s="54">
        <f>I71+I73*Assumptions!$B$190</f>
        <v/>
      </c>
      <c r="J83" s="54">
        <f>J71+J73*Assumptions!$B$190</f>
        <v/>
      </c>
      <c r="K83" s="54">
        <f>K71+K73*Assumptions!$B$190</f>
        <v/>
      </c>
      <c r="L83" s="54">
        <f>L71+L73*Assumptions!$B$190</f>
        <v/>
      </c>
      <c r="M83" s="54">
        <f>M71+M73*Assumptions!$B$190</f>
        <v/>
      </c>
      <c r="N83" s="54">
        <f>N71+N73*Assumptions!$B$190</f>
        <v/>
      </c>
      <c r="O83" s="54">
        <f>O71+O73*Assumptions!$B$190</f>
        <v/>
      </c>
      <c r="P83" s="54">
        <f>P71+P73*Assumptions!$B$190</f>
        <v/>
      </c>
      <c r="Q83" s="54">
        <f>Q71+Q73*Assumptions!$B$190</f>
        <v/>
      </c>
      <c r="R83" s="54">
        <f>R71+R73*Assumptions!$B$190</f>
        <v/>
      </c>
      <c r="S83" s="54">
        <f>S71+S73*Assumptions!$B$190</f>
        <v/>
      </c>
      <c r="T83" s="54">
        <f>T71+T73*Assumptions!$B$190</f>
        <v/>
      </c>
      <c r="U83" s="54">
        <f>U71+U73*Assumptions!$B$190</f>
        <v/>
      </c>
      <c r="V83" s="54">
        <f>V71+V73*Assumptions!$B$190</f>
        <v/>
      </c>
      <c r="W83" s="54">
        <f>W71+W73*Assumptions!$B$190</f>
        <v/>
      </c>
      <c r="X83" s="54">
        <f>X71+X73*Assumptions!$B$190</f>
        <v/>
      </c>
      <c r="Y83" s="54">
        <f>Y71+Y73*Assumptions!$B$190</f>
        <v/>
      </c>
      <c r="Z83" s="54">
        <f>Z71+Z73*Assumptions!$B$190</f>
        <v/>
      </c>
      <c r="AA83" s="54">
        <f>AA71+AA73*Assumptions!$B$190</f>
        <v/>
      </c>
      <c r="AB83" s="54">
        <f>AB71+AB73*Assumptions!$B$190</f>
        <v/>
      </c>
      <c r="AC83" s="54">
        <f>AC71+AC73*Assumptions!$B$190</f>
        <v/>
      </c>
      <c r="AD83" s="54">
        <f>AD71+AD73*Assumptions!$B$190</f>
        <v/>
      </c>
      <c r="AE83" s="54">
        <f>AE71+AE73*Assumptions!$B$190</f>
        <v/>
      </c>
    </row>
    <row r="84">
      <c r="A84" s="6" t="inlineStr">
        <is>
          <t xml:space="preserve">  Reaches an ICS benefit tier (memo - drives discounts, not access)</t>
        </is>
      </c>
      <c r="B84" s="23" t="inlineStr">
        <is>
          <t>accounts</t>
        </is>
      </c>
      <c r="C84" s="58">
        <f>IF(C7&gt;1,C83*Assumptions!$B$145,IF(C2&gt;Assumptions!$B$146,INDEX($C$83:$AE$83,1,C2-Assumptions!$B$146)*Assumptions!$B$145,0))</f>
        <v/>
      </c>
      <c r="D84" s="58">
        <f>IF(D7&gt;1,D83*Assumptions!$B$145,IF(D2&gt;Assumptions!$B$146,INDEX($C$83:$AE$83,1,D2-Assumptions!$B$146)*Assumptions!$B$145,0))</f>
        <v/>
      </c>
      <c r="E84" s="58">
        <f>IF(E7&gt;1,E83*Assumptions!$B$145,IF(E2&gt;Assumptions!$B$146,INDEX($C$83:$AE$83,1,E2-Assumptions!$B$146)*Assumptions!$B$145,0))</f>
        <v/>
      </c>
      <c r="F84" s="58">
        <f>IF(F7&gt;1,F83*Assumptions!$B$145,IF(F2&gt;Assumptions!$B$146,INDEX($C$83:$AE$83,1,F2-Assumptions!$B$146)*Assumptions!$B$145,0))</f>
        <v/>
      </c>
      <c r="G84" s="58">
        <f>IF(G7&gt;1,G83*Assumptions!$B$145,IF(G2&gt;Assumptions!$B$146,INDEX($C$83:$AE$83,1,G2-Assumptions!$B$146)*Assumptions!$B$145,0))</f>
        <v/>
      </c>
      <c r="H84" s="58">
        <f>IF(H7&gt;1,H83*Assumptions!$B$145,IF(H2&gt;Assumptions!$B$146,INDEX($C$83:$AE$83,1,H2-Assumptions!$B$146)*Assumptions!$B$145,0))</f>
        <v/>
      </c>
      <c r="I84" s="58">
        <f>IF(I7&gt;1,I83*Assumptions!$B$145,IF(I2&gt;Assumptions!$B$146,INDEX($C$83:$AE$83,1,I2-Assumptions!$B$146)*Assumptions!$B$145,0))</f>
        <v/>
      </c>
      <c r="J84" s="58">
        <f>IF(J7&gt;1,J83*Assumptions!$B$145,IF(J2&gt;Assumptions!$B$146,INDEX($C$83:$AE$83,1,J2-Assumptions!$B$146)*Assumptions!$B$145,0))</f>
        <v/>
      </c>
      <c r="K84" s="58">
        <f>IF(K7&gt;1,K83*Assumptions!$B$145,IF(K2&gt;Assumptions!$B$146,INDEX($C$83:$AE$83,1,K2-Assumptions!$B$146)*Assumptions!$B$145,0))</f>
        <v/>
      </c>
      <c r="L84" s="58">
        <f>IF(L7&gt;1,L83*Assumptions!$B$145,IF(L2&gt;Assumptions!$B$146,INDEX($C$83:$AE$83,1,L2-Assumptions!$B$146)*Assumptions!$B$145,0))</f>
        <v/>
      </c>
      <c r="M84" s="58">
        <f>IF(M7&gt;1,M83*Assumptions!$B$145,IF(M2&gt;Assumptions!$B$146,INDEX($C$83:$AE$83,1,M2-Assumptions!$B$146)*Assumptions!$B$145,0))</f>
        <v/>
      </c>
      <c r="N84" s="58">
        <f>IF(N7&gt;1,N83*Assumptions!$B$145,IF(N2&gt;Assumptions!$B$146,INDEX($C$83:$AE$83,1,N2-Assumptions!$B$146)*Assumptions!$B$145,0))</f>
        <v/>
      </c>
      <c r="O84" s="58">
        <f>IF(O7&gt;1,O83*Assumptions!$B$145,IF(O2&gt;Assumptions!$B$146,INDEX($C$83:$AE$83,1,O2-Assumptions!$B$146)*Assumptions!$B$145,0))</f>
        <v/>
      </c>
      <c r="P84" s="58">
        <f>IF(P7&gt;1,P83*Assumptions!$B$145,IF(P2&gt;Assumptions!$B$146,INDEX($C$83:$AE$83,1,P2-Assumptions!$B$146)*Assumptions!$B$145,0))</f>
        <v/>
      </c>
      <c r="Q84" s="58">
        <f>IF(Q7&gt;1,Q83*Assumptions!$B$145,IF(Q2&gt;Assumptions!$B$146,INDEX($C$83:$AE$83,1,Q2-Assumptions!$B$146)*Assumptions!$B$145,0))</f>
        <v/>
      </c>
      <c r="R84" s="58">
        <f>IF(R7&gt;1,R83*Assumptions!$B$145,IF(R2&gt;Assumptions!$B$146,INDEX($C$83:$AE$83,1,R2-Assumptions!$B$146)*Assumptions!$B$145,0))</f>
        <v/>
      </c>
      <c r="S84" s="58">
        <f>IF(S7&gt;1,S83*Assumptions!$B$145,IF(S2&gt;Assumptions!$B$146,INDEX($C$83:$AE$83,1,S2-Assumptions!$B$146)*Assumptions!$B$145,0))</f>
        <v/>
      </c>
      <c r="T84" s="58">
        <f>IF(T7&gt;1,T83*Assumptions!$B$145,IF(T2&gt;Assumptions!$B$146,INDEX($C$83:$AE$83,1,T2-Assumptions!$B$146)*Assumptions!$B$145,0))</f>
        <v/>
      </c>
      <c r="U84" s="58">
        <f>IF(U7&gt;1,U83*Assumptions!$B$145,IF(U2&gt;Assumptions!$B$146,INDEX($C$83:$AE$83,1,U2-Assumptions!$B$146)*Assumptions!$B$145,0))</f>
        <v/>
      </c>
      <c r="V84" s="58">
        <f>IF(V7&gt;1,V83*Assumptions!$B$145,IF(V2&gt;Assumptions!$B$146,INDEX($C$83:$AE$83,1,V2-Assumptions!$B$146)*Assumptions!$B$145,0))</f>
        <v/>
      </c>
      <c r="W84" s="58">
        <f>IF(W7&gt;1,W83*Assumptions!$B$145,IF(W2&gt;Assumptions!$B$146,INDEX($C$83:$AE$83,1,W2-Assumptions!$B$146)*Assumptions!$B$145,0))</f>
        <v/>
      </c>
      <c r="X84" s="58">
        <f>IF(X7&gt;1,X83*Assumptions!$B$145,IF(X2&gt;Assumptions!$B$146,INDEX($C$83:$AE$83,1,X2-Assumptions!$B$146)*Assumptions!$B$145,0))</f>
        <v/>
      </c>
      <c r="Y84" s="58">
        <f>IF(Y7&gt;1,Y83*Assumptions!$B$145,IF(Y2&gt;Assumptions!$B$146,INDEX($C$83:$AE$83,1,Y2-Assumptions!$B$146)*Assumptions!$B$145,0))</f>
        <v/>
      </c>
      <c r="Z84" s="58">
        <f>IF(Z7&gt;1,Z83*Assumptions!$B$145,IF(Z2&gt;Assumptions!$B$146,INDEX($C$83:$AE$83,1,Z2-Assumptions!$B$146)*Assumptions!$B$145,0))</f>
        <v/>
      </c>
      <c r="AA84" s="58">
        <f>IF(AA7&gt;1,AA83*Assumptions!$B$145,IF(AA2&gt;Assumptions!$B$146,INDEX($C$83:$AE$83,1,AA2-Assumptions!$B$146)*Assumptions!$B$145,0))</f>
        <v/>
      </c>
      <c r="AB84" s="58">
        <f>IF(AB7&gt;1,AB83*Assumptions!$B$145,IF(AB2&gt;Assumptions!$B$146,INDEX($C$83:$AE$83,1,AB2-Assumptions!$B$146)*Assumptions!$B$145,0))</f>
        <v/>
      </c>
      <c r="AC84" s="58">
        <f>IF(AC7&gt;1,AC83*Assumptions!$B$145,IF(AC2&gt;Assumptions!$B$146,INDEX($C$83:$AE$83,1,AC2-Assumptions!$B$146)*Assumptions!$B$145,0))</f>
        <v/>
      </c>
      <c r="AD84" s="58">
        <f>IF(AD7&gt;1,AD83*Assumptions!$B$145,IF(AD2&gt;Assumptions!$B$146,INDEX($C$83:$AE$83,1,AD2-Assumptions!$B$146)*Assumptions!$B$145,0))</f>
        <v/>
      </c>
      <c r="AE84" s="58">
        <f>IF(AE7&gt;1,AE83*Assumptions!$B$145,IF(AE2&gt;Assumptions!$B$146,INDEX($C$83:$AE$83,1,AE2-Assumptions!$B$146)*Assumptions!$B$145,0))</f>
        <v/>
      </c>
    </row>
    <row r="85">
      <c r="A85" s="6" t="inlineStr">
        <is>
          <t xml:space="preserve">  Active cards</t>
        </is>
      </c>
      <c r="B85" s="23" t="inlineStr">
        <is>
          <t>cards</t>
        </is>
      </c>
      <c r="C85" s="28">
        <f>IF(C2&gt;=Assumptions!$B$51,C83*Assumptions!$B$154,0)</f>
        <v/>
      </c>
      <c r="D85" s="28">
        <f>IF(D2&gt;=Assumptions!$B$51,D83*Assumptions!$B$154,0)</f>
        <v/>
      </c>
      <c r="E85" s="28">
        <f>IF(E2&gt;=Assumptions!$B$51,E83*Assumptions!$B$154,0)</f>
        <v/>
      </c>
      <c r="F85" s="28">
        <f>IF(F2&gt;=Assumptions!$B$51,F83*Assumptions!$B$154,0)</f>
        <v/>
      </c>
      <c r="G85" s="28">
        <f>IF(G2&gt;=Assumptions!$B$51,G83*Assumptions!$B$154,0)</f>
        <v/>
      </c>
      <c r="H85" s="28">
        <f>IF(H2&gt;=Assumptions!$B$51,H83*Assumptions!$B$154,0)</f>
        <v/>
      </c>
      <c r="I85" s="28">
        <f>IF(I2&gt;=Assumptions!$B$51,I83*Assumptions!$B$154,0)</f>
        <v/>
      </c>
      <c r="J85" s="28">
        <f>IF(J2&gt;=Assumptions!$B$51,J83*Assumptions!$B$154,0)</f>
        <v/>
      </c>
      <c r="K85" s="28">
        <f>IF(K2&gt;=Assumptions!$B$51,K83*Assumptions!$B$154,0)</f>
        <v/>
      </c>
      <c r="L85" s="28">
        <f>IF(L2&gt;=Assumptions!$B$51,L83*Assumptions!$B$154,0)</f>
        <v/>
      </c>
      <c r="M85" s="28">
        <f>IF(M2&gt;=Assumptions!$B$51,M83*Assumptions!$B$154,0)</f>
        <v/>
      </c>
      <c r="N85" s="28">
        <f>IF(N2&gt;=Assumptions!$B$51,N83*Assumptions!$B$154,0)</f>
        <v/>
      </c>
      <c r="O85" s="28">
        <f>IF(O2&gt;=Assumptions!$B$51,O83*Assumptions!$B$154,0)</f>
        <v/>
      </c>
      <c r="P85" s="28">
        <f>IF(P2&gt;=Assumptions!$B$51,P83*Assumptions!$B$154,0)</f>
        <v/>
      </c>
      <c r="Q85" s="28">
        <f>IF(Q2&gt;=Assumptions!$B$51,Q83*Assumptions!$B$154,0)</f>
        <v/>
      </c>
      <c r="R85" s="28">
        <f>IF(R2&gt;=Assumptions!$B$51,R83*Assumptions!$B$154,0)</f>
        <v/>
      </c>
      <c r="S85" s="28">
        <f>IF(S2&gt;=Assumptions!$B$51,S83*Assumptions!$B$154,0)</f>
        <v/>
      </c>
      <c r="T85" s="28">
        <f>IF(T2&gt;=Assumptions!$B$51,T83*Assumptions!$B$154,0)</f>
        <v/>
      </c>
      <c r="U85" s="28">
        <f>IF(U2&gt;=Assumptions!$B$51,U83*Assumptions!$B$154,0)</f>
        <v/>
      </c>
      <c r="V85" s="28">
        <f>IF(V2&gt;=Assumptions!$B$51,V83*Assumptions!$B$154,0)</f>
        <v/>
      </c>
      <c r="W85" s="28">
        <f>IF(W2&gt;=Assumptions!$B$51,W83*Assumptions!$B$154,0)</f>
        <v/>
      </c>
      <c r="X85" s="28">
        <f>IF(X2&gt;=Assumptions!$B$51,X83*Assumptions!$B$154,0)</f>
        <v/>
      </c>
      <c r="Y85" s="28">
        <f>IF(Y2&gt;=Assumptions!$B$51,Y83*Assumptions!$B$154,0)</f>
        <v/>
      </c>
      <c r="Z85" s="28">
        <f>IF(Z2&gt;=Assumptions!$B$51,Z83*Assumptions!$B$154,0)</f>
        <v/>
      </c>
      <c r="AA85" s="28">
        <f>IF(AA2&gt;=Assumptions!$B$51,AA83*Assumptions!$B$154,0)</f>
        <v/>
      </c>
      <c r="AB85" s="28">
        <f>IF(AB2&gt;=Assumptions!$B$51,AB83*Assumptions!$B$154,0)</f>
        <v/>
      </c>
      <c r="AC85" s="28">
        <f>IF(AC2&gt;=Assumptions!$B$51,AC83*Assumptions!$B$154,0)</f>
        <v/>
      </c>
      <c r="AD85" s="28">
        <f>IF(AD2&gt;=Assumptions!$B$51,AD83*Assumptions!$B$154,0)</f>
        <v/>
      </c>
      <c r="AE85" s="28">
        <f>IF(AE2&gt;=Assumptions!$B$51,AE83*Assumptions!$B$154,0)</f>
        <v/>
      </c>
    </row>
    <row r="86">
      <c r="A86" s="6" t="inlineStr">
        <is>
          <t xml:space="preserve">  ...of which have a live credit line (now all of them)</t>
        </is>
      </c>
      <c r="B86" s="23" t="inlineStr">
        <is>
          <t>cards</t>
        </is>
      </c>
      <c r="C86" s="28">
        <f>C85</f>
        <v/>
      </c>
      <c r="D86" s="28">
        <f>D85</f>
        <v/>
      </c>
      <c r="E86" s="28">
        <f>E85</f>
        <v/>
      </c>
      <c r="F86" s="28">
        <f>F85</f>
        <v/>
      </c>
      <c r="G86" s="28">
        <f>G85</f>
        <v/>
      </c>
      <c r="H86" s="28">
        <f>H85</f>
        <v/>
      </c>
      <c r="I86" s="28">
        <f>I85</f>
        <v/>
      </c>
      <c r="J86" s="28">
        <f>J85</f>
        <v/>
      </c>
      <c r="K86" s="28">
        <f>K85</f>
        <v/>
      </c>
      <c r="L86" s="28">
        <f>L85</f>
        <v/>
      </c>
      <c r="M86" s="28">
        <f>M85</f>
        <v/>
      </c>
      <c r="N86" s="28">
        <f>N85</f>
        <v/>
      </c>
      <c r="O86" s="28">
        <f>O85</f>
        <v/>
      </c>
      <c r="P86" s="28">
        <f>P85</f>
        <v/>
      </c>
      <c r="Q86" s="28">
        <f>Q85</f>
        <v/>
      </c>
      <c r="R86" s="28">
        <f>R85</f>
        <v/>
      </c>
      <c r="S86" s="28">
        <f>S85</f>
        <v/>
      </c>
      <c r="T86" s="28">
        <f>T85</f>
        <v/>
      </c>
      <c r="U86" s="28">
        <f>U85</f>
        <v/>
      </c>
      <c r="V86" s="28">
        <f>V85</f>
        <v/>
      </c>
      <c r="W86" s="28">
        <f>W85</f>
        <v/>
      </c>
      <c r="X86" s="28">
        <f>X85</f>
        <v/>
      </c>
      <c r="Y86" s="28">
        <f>Y85</f>
        <v/>
      </c>
      <c r="Z86" s="28">
        <f>Z85</f>
        <v/>
      </c>
      <c r="AA86" s="28">
        <f>AA85</f>
        <v/>
      </c>
      <c r="AB86" s="28">
        <f>AB85</f>
        <v/>
      </c>
      <c r="AC86" s="28">
        <f>AC85</f>
        <v/>
      </c>
      <c r="AD86" s="28">
        <f>AD85</f>
        <v/>
      </c>
      <c r="AE86" s="28">
        <f>AE85</f>
        <v/>
      </c>
    </row>
    <row r="87">
      <c r="A87" s="6" t="inlineStr">
        <is>
          <t xml:space="preserve">  ...newly issued this period (flow, drives the issuance fee)</t>
        </is>
      </c>
      <c r="B87" s="23" t="inlineStr">
        <is>
          <t>cards</t>
        </is>
      </c>
      <c r="C87" s="54">
        <f>C85</f>
        <v/>
      </c>
      <c r="D87" s="54">
        <f>MAX(0,D85-C85)</f>
        <v/>
      </c>
      <c r="E87" s="54">
        <f>MAX(0,E85-D85)</f>
        <v/>
      </c>
      <c r="F87" s="54">
        <f>MAX(0,F85-E85)</f>
        <v/>
      </c>
      <c r="G87" s="54">
        <f>MAX(0,G85-F85)</f>
        <v/>
      </c>
      <c r="H87" s="54">
        <f>MAX(0,H85-G85)</f>
        <v/>
      </c>
      <c r="I87" s="54">
        <f>MAX(0,I85-H85)</f>
        <v/>
      </c>
      <c r="J87" s="54">
        <f>MAX(0,J85-I85)</f>
        <v/>
      </c>
      <c r="K87" s="54">
        <f>MAX(0,K85-J85)</f>
        <v/>
      </c>
      <c r="L87" s="54">
        <f>MAX(0,L85-K85)</f>
        <v/>
      </c>
      <c r="M87" s="54">
        <f>MAX(0,M85-L85)</f>
        <v/>
      </c>
      <c r="N87" s="54">
        <f>MAX(0,N85-M85)</f>
        <v/>
      </c>
      <c r="O87" s="54">
        <f>MAX(0,O85-N85)</f>
        <v/>
      </c>
      <c r="P87" s="54">
        <f>MAX(0,P85-O85)</f>
        <v/>
      </c>
      <c r="Q87" s="54">
        <f>MAX(0,Q85-P85)</f>
        <v/>
      </c>
      <c r="R87" s="54">
        <f>MAX(0,R85-Q85)</f>
        <v/>
      </c>
      <c r="S87" s="54">
        <f>MAX(0,S85-R85)</f>
        <v/>
      </c>
      <c r="T87" s="54">
        <f>MAX(0,T85-S85)</f>
        <v/>
      </c>
      <c r="U87" s="54">
        <f>MAX(0,U85-T85)</f>
        <v/>
      </c>
      <c r="V87" s="54">
        <f>MAX(0,V85-U85)</f>
        <v/>
      </c>
      <c r="W87" s="54">
        <f>MAX(0,W85-V85)</f>
        <v/>
      </c>
      <c r="X87" s="54">
        <f>MAX(0,X85-W85)</f>
        <v/>
      </c>
      <c r="Y87" s="54">
        <f>MAX(0,Y85-X85)</f>
        <v/>
      </c>
      <c r="Z87" s="54">
        <f>MAX(0,Z85-Y85)</f>
        <v/>
      </c>
      <c r="AA87" s="54">
        <f>MAX(0,AA85-Z85)</f>
        <v/>
      </c>
      <c r="AB87" s="54">
        <f>MAX(0,AB85-AA85)</f>
        <v/>
      </c>
      <c r="AC87" s="54">
        <f>MAX(0,AC85-AB85)</f>
        <v/>
      </c>
      <c r="AD87" s="54">
        <f>MAX(0,AD85-AC85)</f>
        <v/>
      </c>
      <c r="AE87" s="54">
        <f>MAX(0,AE85-AD85)</f>
        <v/>
      </c>
    </row>
    <row r="88">
      <c r="A88" s="6" t="inlineStr">
        <is>
          <t xml:space="preserve">  Credit limit per customer (gold x LTV)</t>
        </is>
      </c>
      <c r="B88" s="23" t="inlineStr">
        <is>
          <t>USD</t>
        </is>
      </c>
      <c r="C88" s="55">
        <f>IF(C83=0,0,C82/C83*Assumptions!$B$31)</f>
        <v/>
      </c>
      <c r="D88" s="55">
        <f>IF(D83=0,0,D82/D83*Assumptions!$B$31)</f>
        <v/>
      </c>
      <c r="E88" s="55">
        <f>IF(E83=0,0,E82/E83*Assumptions!$B$31)</f>
        <v/>
      </c>
      <c r="F88" s="55">
        <f>IF(F83=0,0,F82/F83*Assumptions!$B$31)</f>
        <v/>
      </c>
      <c r="G88" s="55">
        <f>IF(G83=0,0,G82/G83*Assumptions!$B$31)</f>
        <v/>
      </c>
      <c r="H88" s="55">
        <f>IF(H83=0,0,H82/H83*Assumptions!$B$31)</f>
        <v/>
      </c>
      <c r="I88" s="55">
        <f>IF(I83=0,0,I82/I83*Assumptions!$B$31)</f>
        <v/>
      </c>
      <c r="J88" s="55">
        <f>IF(J83=0,0,J82/J83*Assumptions!$B$31)</f>
        <v/>
      </c>
      <c r="K88" s="55">
        <f>IF(K83=0,0,K82/K83*Assumptions!$B$31)</f>
        <v/>
      </c>
      <c r="L88" s="55">
        <f>IF(L83=0,0,L82/L83*Assumptions!$B$31)</f>
        <v/>
      </c>
      <c r="M88" s="55">
        <f>IF(M83=0,0,M82/M83*Assumptions!$B$31)</f>
        <v/>
      </c>
      <c r="N88" s="55">
        <f>IF(N83=0,0,N82/N83*Assumptions!$B$31)</f>
        <v/>
      </c>
      <c r="O88" s="55">
        <f>IF(O83=0,0,O82/O83*Assumptions!$B$31)</f>
        <v/>
      </c>
      <c r="P88" s="55">
        <f>IF(P83=0,0,P82/P83*Assumptions!$B$31)</f>
        <v/>
      </c>
      <c r="Q88" s="55">
        <f>IF(Q83=0,0,Q82/Q83*Assumptions!$B$31)</f>
        <v/>
      </c>
      <c r="R88" s="55">
        <f>IF(R83=0,0,R82/R83*Assumptions!$B$31)</f>
        <v/>
      </c>
      <c r="S88" s="55">
        <f>IF(S83=0,0,S82/S83*Assumptions!$B$31)</f>
        <v/>
      </c>
      <c r="T88" s="55">
        <f>IF(T83=0,0,T82/T83*Assumptions!$B$31)</f>
        <v/>
      </c>
      <c r="U88" s="55">
        <f>IF(U83=0,0,U82/U83*Assumptions!$B$31)</f>
        <v/>
      </c>
      <c r="V88" s="55">
        <f>IF(V83=0,0,V82/V83*Assumptions!$B$31)</f>
        <v/>
      </c>
      <c r="W88" s="55">
        <f>IF(W83=0,0,W82/W83*Assumptions!$B$31)</f>
        <v/>
      </c>
      <c r="X88" s="55">
        <f>IF(X83=0,0,X82/X83*Assumptions!$B$31)</f>
        <v/>
      </c>
      <c r="Y88" s="55">
        <f>IF(Y83=0,0,Y82/Y83*Assumptions!$B$31)</f>
        <v/>
      </c>
      <c r="Z88" s="55">
        <f>IF(Z83=0,0,Z82/Z83*Assumptions!$B$31)</f>
        <v/>
      </c>
      <c r="AA88" s="55">
        <f>IF(AA83=0,0,AA82/AA83*Assumptions!$B$31)</f>
        <v/>
      </c>
      <c r="AB88" s="55">
        <f>IF(AB83=0,0,AB82/AB83*Assumptions!$B$31)</f>
        <v/>
      </c>
      <c r="AC88" s="55">
        <f>IF(AC83=0,0,AC82/AC83*Assumptions!$B$31)</f>
        <v/>
      </c>
      <c r="AD88" s="55">
        <f>IF(AD83=0,0,AD82/AD83*Assumptions!$B$31)</f>
        <v/>
      </c>
      <c r="AE88" s="55">
        <f>IF(AE83=0,0,AE82/AE83*Assumptions!$B$31)</f>
        <v/>
      </c>
    </row>
    <row r="89">
      <c r="A89" s="6" t="inlineStr">
        <is>
          <t xml:space="preserve">  Annual drawdown per card (limit x drawn x draws)</t>
        </is>
      </c>
      <c r="B89" s="23" t="inlineStr">
        <is>
          <t>USD/yr</t>
        </is>
      </c>
      <c r="C89" s="55">
        <f>C88*Assumptions!$B$167*Assumptions!$B$169</f>
        <v/>
      </c>
      <c r="D89" s="55">
        <f>D88*Assumptions!$B$167*Assumptions!$B$169</f>
        <v/>
      </c>
      <c r="E89" s="55">
        <f>E88*Assumptions!$B$167*Assumptions!$B$169</f>
        <v/>
      </c>
      <c r="F89" s="55">
        <f>F88*Assumptions!$B$167*Assumptions!$B$169</f>
        <v/>
      </c>
      <c r="G89" s="55">
        <f>G88*Assumptions!$B$167*Assumptions!$B$169</f>
        <v/>
      </c>
      <c r="H89" s="55">
        <f>H88*Assumptions!$B$167*Assumptions!$B$169</f>
        <v/>
      </c>
      <c r="I89" s="55">
        <f>I88*Assumptions!$B$167*Assumptions!$B$169</f>
        <v/>
      </c>
      <c r="J89" s="55">
        <f>J88*Assumptions!$B$167*Assumptions!$B$169</f>
        <v/>
      </c>
      <c r="K89" s="55">
        <f>K88*Assumptions!$B$167*Assumptions!$B$169</f>
        <v/>
      </c>
      <c r="L89" s="55">
        <f>L88*Assumptions!$B$167*Assumptions!$B$169</f>
        <v/>
      </c>
      <c r="M89" s="55">
        <f>M88*Assumptions!$B$167*Assumptions!$B$169</f>
        <v/>
      </c>
      <c r="N89" s="55">
        <f>N88*Assumptions!$B$167*Assumptions!$B$169</f>
        <v/>
      </c>
      <c r="O89" s="55">
        <f>O88*Assumptions!$B$167*Assumptions!$B$169</f>
        <v/>
      </c>
      <c r="P89" s="55">
        <f>P88*Assumptions!$B$167*Assumptions!$B$169</f>
        <v/>
      </c>
      <c r="Q89" s="55">
        <f>Q88*Assumptions!$B$167*Assumptions!$B$169</f>
        <v/>
      </c>
      <c r="R89" s="55">
        <f>R88*Assumptions!$B$167*Assumptions!$B$169</f>
        <v/>
      </c>
      <c r="S89" s="55">
        <f>S88*Assumptions!$B$167*Assumptions!$B$169</f>
        <v/>
      </c>
      <c r="T89" s="55">
        <f>T88*Assumptions!$B$167*Assumptions!$B$169</f>
        <v/>
      </c>
      <c r="U89" s="55">
        <f>U88*Assumptions!$B$167*Assumptions!$B$169</f>
        <v/>
      </c>
      <c r="V89" s="55">
        <f>V88*Assumptions!$B$167*Assumptions!$B$169</f>
        <v/>
      </c>
      <c r="W89" s="55">
        <f>W88*Assumptions!$B$167*Assumptions!$B$169</f>
        <v/>
      </c>
      <c r="X89" s="55">
        <f>X88*Assumptions!$B$167*Assumptions!$B$169</f>
        <v/>
      </c>
      <c r="Y89" s="55">
        <f>Y88*Assumptions!$B$167*Assumptions!$B$169</f>
        <v/>
      </c>
      <c r="Z89" s="55">
        <f>Z88*Assumptions!$B$167*Assumptions!$B$169</f>
        <v/>
      </c>
      <c r="AA89" s="55">
        <f>AA88*Assumptions!$B$167*Assumptions!$B$169</f>
        <v/>
      </c>
      <c r="AB89" s="55">
        <f>AB88*Assumptions!$B$167*Assumptions!$B$169</f>
        <v/>
      </c>
      <c r="AC89" s="55">
        <f>AC88*Assumptions!$B$167*Assumptions!$B$169</f>
        <v/>
      </c>
      <c r="AD89" s="55">
        <f>AD88*Assumptions!$B$167*Assumptions!$B$169</f>
        <v/>
      </c>
      <c r="AE89" s="55">
        <f>AE88*Assumptions!$B$167*Assumptions!$B$169</f>
        <v/>
      </c>
    </row>
    <row r="90">
      <c r="A90" s="6" t="inlineStr">
        <is>
          <t xml:space="preserve">  Card spend per card per month</t>
        </is>
      </c>
      <c r="B90" s="23" t="inlineStr">
        <is>
          <t>USD</t>
        </is>
      </c>
      <c r="C90" s="55">
        <f>C89/12*C16</f>
        <v/>
      </c>
      <c r="D90" s="55">
        <f>D89/12*D16</f>
        <v/>
      </c>
      <c r="E90" s="55">
        <f>E89/12*E16</f>
        <v/>
      </c>
      <c r="F90" s="55">
        <f>F89/12*F16</f>
        <v/>
      </c>
      <c r="G90" s="55">
        <f>G89/12*G16</f>
        <v/>
      </c>
      <c r="H90" s="55">
        <f>H89/12*H16</f>
        <v/>
      </c>
      <c r="I90" s="55">
        <f>I89/12*I16</f>
        <v/>
      </c>
      <c r="J90" s="55">
        <f>J89/12*J16</f>
        <v/>
      </c>
      <c r="K90" s="55">
        <f>K89/12*K16</f>
        <v/>
      </c>
      <c r="L90" s="55">
        <f>L89/12*L16</f>
        <v/>
      </c>
      <c r="M90" s="55">
        <f>M89/12*M16</f>
        <v/>
      </c>
      <c r="N90" s="55">
        <f>N89/12*N16</f>
        <v/>
      </c>
      <c r="O90" s="55">
        <f>O89/12*O16</f>
        <v/>
      </c>
      <c r="P90" s="55">
        <f>P89/12*P16</f>
        <v/>
      </c>
      <c r="Q90" s="55">
        <f>Q89/12*Q16</f>
        <v/>
      </c>
      <c r="R90" s="55">
        <f>R89/12*R16</f>
        <v/>
      </c>
      <c r="S90" s="55">
        <f>S89/12*S16</f>
        <v/>
      </c>
      <c r="T90" s="55">
        <f>T89/12*T16</f>
        <v/>
      </c>
      <c r="U90" s="55">
        <f>U89/12*U16</f>
        <v/>
      </c>
      <c r="V90" s="55">
        <f>V89/12*V16</f>
        <v/>
      </c>
      <c r="W90" s="55">
        <f>W89/12*W16</f>
        <v/>
      </c>
      <c r="X90" s="55">
        <f>X89/12*X16</f>
        <v/>
      </c>
      <c r="Y90" s="55">
        <f>Y89/12*Y16</f>
        <v/>
      </c>
      <c r="Z90" s="55">
        <f>Z89/12*Z16</f>
        <v/>
      </c>
      <c r="AA90" s="55">
        <f>AA89/12*AA16</f>
        <v/>
      </c>
      <c r="AB90" s="55">
        <f>AB89/12*AB16</f>
        <v/>
      </c>
      <c r="AC90" s="55">
        <f>AC89/12*AC16</f>
        <v/>
      </c>
      <c r="AD90" s="55">
        <f>AD89/12*AD16</f>
        <v/>
      </c>
      <c r="AE90" s="55">
        <f>AE89/12*AE16</f>
        <v/>
      </c>
    </row>
    <row r="91">
      <c r="A91" s="6" t="inlineStr">
        <is>
          <t xml:space="preserve">  Card spend</t>
        </is>
      </c>
      <c r="B91" s="23" t="inlineStr">
        <is>
          <t>AED</t>
        </is>
      </c>
      <c r="C91" s="45">
        <f>C86*C90*Assumptions!$B$7*C7</f>
        <v/>
      </c>
      <c r="D91" s="45">
        <f>D86*D90*Assumptions!$B$7*D7</f>
        <v/>
      </c>
      <c r="E91" s="45">
        <f>E86*E90*Assumptions!$B$7*E7</f>
        <v/>
      </c>
      <c r="F91" s="45">
        <f>F86*F90*Assumptions!$B$7*F7</f>
        <v/>
      </c>
      <c r="G91" s="45">
        <f>G86*G90*Assumptions!$B$7*G7</f>
        <v/>
      </c>
      <c r="H91" s="45">
        <f>H86*H90*Assumptions!$B$7*H7</f>
        <v/>
      </c>
      <c r="I91" s="45">
        <f>I86*I90*Assumptions!$B$7*I7</f>
        <v/>
      </c>
      <c r="J91" s="45">
        <f>J86*J90*Assumptions!$B$7*J7</f>
        <v/>
      </c>
      <c r="K91" s="45">
        <f>K86*K90*Assumptions!$B$7*K7</f>
        <v/>
      </c>
      <c r="L91" s="45">
        <f>L86*L90*Assumptions!$B$7*L7</f>
        <v/>
      </c>
      <c r="M91" s="45">
        <f>M86*M90*Assumptions!$B$7*M7</f>
        <v/>
      </c>
      <c r="N91" s="45">
        <f>N86*N90*Assumptions!$B$7*N7</f>
        <v/>
      </c>
      <c r="O91" s="45">
        <f>O86*O90*Assumptions!$B$7*O7</f>
        <v/>
      </c>
      <c r="P91" s="45">
        <f>P86*P90*Assumptions!$B$7*P7</f>
        <v/>
      </c>
      <c r="Q91" s="45">
        <f>Q86*Q90*Assumptions!$B$7*Q7</f>
        <v/>
      </c>
      <c r="R91" s="45">
        <f>R86*R90*Assumptions!$B$7*R7</f>
        <v/>
      </c>
      <c r="S91" s="45">
        <f>S86*S90*Assumptions!$B$7*S7</f>
        <v/>
      </c>
      <c r="T91" s="45">
        <f>T86*T90*Assumptions!$B$7*T7</f>
        <v/>
      </c>
      <c r="U91" s="45">
        <f>U86*U90*Assumptions!$B$7*U7</f>
        <v/>
      </c>
      <c r="V91" s="45">
        <f>V86*V90*Assumptions!$B$7*V7</f>
        <v/>
      </c>
      <c r="W91" s="45">
        <f>W86*W90*Assumptions!$B$7*W7</f>
        <v/>
      </c>
      <c r="X91" s="45">
        <f>X86*X90*Assumptions!$B$7*X7</f>
        <v/>
      </c>
      <c r="Y91" s="45">
        <f>Y86*Y90*Assumptions!$B$7*Y7</f>
        <v/>
      </c>
      <c r="Z91" s="45">
        <f>Z86*Z90*Assumptions!$B$7*Z7</f>
        <v/>
      </c>
      <c r="AA91" s="45">
        <f>AA86*AA90*Assumptions!$B$7*AA7</f>
        <v/>
      </c>
      <c r="AB91" s="45">
        <f>AB86*AB90*Assumptions!$B$7*AB7</f>
        <v/>
      </c>
      <c r="AC91" s="45">
        <f>AC86*AC90*Assumptions!$B$7*AC7</f>
        <v/>
      </c>
      <c r="AD91" s="45">
        <f>AD86*AD90*Assumptions!$B$7*AD7</f>
        <v/>
      </c>
      <c r="AE91" s="45">
        <f>AE86*AE90*Assumptions!$B$7*AE7</f>
        <v/>
      </c>
    </row>
    <row r="92">
      <c r="A92" s="6" t="inlineStr">
        <is>
          <t xml:space="preserve">  Card spend</t>
        </is>
      </c>
      <c r="B92" s="23" t="inlineStr">
        <is>
          <t>USD</t>
        </is>
      </c>
      <c r="C92" s="55">
        <f>C91/Assumptions!$B$7</f>
        <v/>
      </c>
      <c r="D92" s="55">
        <f>D91/Assumptions!$B$7</f>
        <v/>
      </c>
      <c r="E92" s="55">
        <f>E91/Assumptions!$B$7</f>
        <v/>
      </c>
      <c r="F92" s="55">
        <f>F91/Assumptions!$B$7</f>
        <v/>
      </c>
      <c r="G92" s="55">
        <f>G91/Assumptions!$B$7</f>
        <v/>
      </c>
      <c r="H92" s="55">
        <f>H91/Assumptions!$B$7</f>
        <v/>
      </c>
      <c r="I92" s="55">
        <f>I91/Assumptions!$B$7</f>
        <v/>
      </c>
      <c r="J92" s="55">
        <f>J91/Assumptions!$B$7</f>
        <v/>
      </c>
      <c r="K92" s="55">
        <f>K91/Assumptions!$B$7</f>
        <v/>
      </c>
      <c r="L92" s="55">
        <f>L91/Assumptions!$B$7</f>
        <v/>
      </c>
      <c r="M92" s="55">
        <f>M91/Assumptions!$B$7</f>
        <v/>
      </c>
      <c r="N92" s="55">
        <f>N91/Assumptions!$B$7</f>
        <v/>
      </c>
      <c r="O92" s="55">
        <f>O91/Assumptions!$B$7</f>
        <v/>
      </c>
      <c r="P92" s="55">
        <f>P91/Assumptions!$B$7</f>
        <v/>
      </c>
      <c r="Q92" s="55">
        <f>Q91/Assumptions!$B$7</f>
        <v/>
      </c>
      <c r="R92" s="55">
        <f>R91/Assumptions!$B$7</f>
        <v/>
      </c>
      <c r="S92" s="55">
        <f>S91/Assumptions!$B$7</f>
        <v/>
      </c>
      <c r="T92" s="55">
        <f>T91/Assumptions!$B$7</f>
        <v/>
      </c>
      <c r="U92" s="55">
        <f>U91/Assumptions!$B$7</f>
        <v/>
      </c>
      <c r="V92" s="55">
        <f>V91/Assumptions!$B$7</f>
        <v/>
      </c>
      <c r="W92" s="55">
        <f>W91/Assumptions!$B$7</f>
        <v/>
      </c>
      <c r="X92" s="55">
        <f>X91/Assumptions!$B$7</f>
        <v/>
      </c>
      <c r="Y92" s="55">
        <f>Y91/Assumptions!$B$7</f>
        <v/>
      </c>
      <c r="Z92" s="55">
        <f>Z91/Assumptions!$B$7</f>
        <v/>
      </c>
      <c r="AA92" s="55">
        <f>AA91/Assumptions!$B$7</f>
        <v/>
      </c>
      <c r="AB92" s="55">
        <f>AB91/Assumptions!$B$7</f>
        <v/>
      </c>
      <c r="AC92" s="55">
        <f>AC91/Assumptions!$B$7</f>
        <v/>
      </c>
      <c r="AD92" s="55">
        <f>AD91/Assumptions!$B$7</f>
        <v/>
      </c>
      <c r="AE92" s="55">
        <f>AE91/Assumptions!$B$7</f>
        <v/>
      </c>
    </row>
    <row r="93">
      <c r="A93" s="6" t="inlineStr">
        <is>
          <t xml:space="preserve">  Average transaction size (derived)</t>
        </is>
      </c>
      <c r="B93" s="23" t="inlineStr">
        <is>
          <t>AED</t>
        </is>
      </c>
      <c r="C93" s="45">
        <f>IF(Assumptions!$B$155=0,0,C88*Assumptions!$B$167*Assumptions!$B$7/Assumptions!$B$155)</f>
        <v/>
      </c>
      <c r="D93" s="45">
        <f>IF(Assumptions!$B$155=0,0,D88*Assumptions!$B$167*Assumptions!$B$7/Assumptions!$B$155)</f>
        <v/>
      </c>
      <c r="E93" s="45">
        <f>IF(Assumptions!$B$155=0,0,E88*Assumptions!$B$167*Assumptions!$B$7/Assumptions!$B$155)</f>
        <v/>
      </c>
      <c r="F93" s="45">
        <f>IF(Assumptions!$B$155=0,0,F88*Assumptions!$B$167*Assumptions!$B$7/Assumptions!$B$155)</f>
        <v/>
      </c>
      <c r="G93" s="45">
        <f>IF(Assumptions!$B$155=0,0,G88*Assumptions!$B$167*Assumptions!$B$7/Assumptions!$B$155)</f>
        <v/>
      </c>
      <c r="H93" s="45">
        <f>IF(Assumptions!$B$155=0,0,H88*Assumptions!$B$167*Assumptions!$B$7/Assumptions!$B$155)</f>
        <v/>
      </c>
      <c r="I93" s="45">
        <f>IF(Assumptions!$B$155=0,0,I88*Assumptions!$B$167*Assumptions!$B$7/Assumptions!$B$155)</f>
        <v/>
      </c>
      <c r="J93" s="45">
        <f>IF(Assumptions!$B$155=0,0,J88*Assumptions!$B$167*Assumptions!$B$7/Assumptions!$B$155)</f>
        <v/>
      </c>
      <c r="K93" s="45">
        <f>IF(Assumptions!$B$155=0,0,K88*Assumptions!$B$167*Assumptions!$B$7/Assumptions!$B$155)</f>
        <v/>
      </c>
      <c r="L93" s="45">
        <f>IF(Assumptions!$B$155=0,0,L88*Assumptions!$B$167*Assumptions!$B$7/Assumptions!$B$155)</f>
        <v/>
      </c>
      <c r="M93" s="45">
        <f>IF(Assumptions!$B$155=0,0,M88*Assumptions!$B$167*Assumptions!$B$7/Assumptions!$B$155)</f>
        <v/>
      </c>
      <c r="N93" s="45">
        <f>IF(Assumptions!$B$155=0,0,N88*Assumptions!$B$167*Assumptions!$B$7/Assumptions!$B$155)</f>
        <v/>
      </c>
      <c r="O93" s="45">
        <f>IF(Assumptions!$B$155=0,0,O88*Assumptions!$B$167*Assumptions!$B$7/Assumptions!$B$155)</f>
        <v/>
      </c>
      <c r="P93" s="45">
        <f>IF(Assumptions!$B$155=0,0,P88*Assumptions!$B$167*Assumptions!$B$7/Assumptions!$B$155)</f>
        <v/>
      </c>
      <c r="Q93" s="45">
        <f>IF(Assumptions!$B$155=0,0,Q88*Assumptions!$B$167*Assumptions!$B$7/Assumptions!$B$155)</f>
        <v/>
      </c>
      <c r="R93" s="45">
        <f>IF(Assumptions!$B$155=0,0,R88*Assumptions!$B$167*Assumptions!$B$7/Assumptions!$B$155)</f>
        <v/>
      </c>
      <c r="S93" s="45">
        <f>IF(Assumptions!$B$155=0,0,S88*Assumptions!$B$167*Assumptions!$B$7/Assumptions!$B$155)</f>
        <v/>
      </c>
      <c r="T93" s="45">
        <f>IF(Assumptions!$B$155=0,0,T88*Assumptions!$B$167*Assumptions!$B$7/Assumptions!$B$155)</f>
        <v/>
      </c>
      <c r="U93" s="45">
        <f>IF(Assumptions!$B$155=0,0,U88*Assumptions!$B$167*Assumptions!$B$7/Assumptions!$B$155)</f>
        <v/>
      </c>
      <c r="V93" s="45">
        <f>IF(Assumptions!$B$155=0,0,V88*Assumptions!$B$167*Assumptions!$B$7/Assumptions!$B$155)</f>
        <v/>
      </c>
      <c r="W93" s="45">
        <f>IF(Assumptions!$B$155=0,0,W88*Assumptions!$B$167*Assumptions!$B$7/Assumptions!$B$155)</f>
        <v/>
      </c>
      <c r="X93" s="45">
        <f>IF(Assumptions!$B$155=0,0,X88*Assumptions!$B$167*Assumptions!$B$7/Assumptions!$B$155)</f>
        <v/>
      </c>
      <c r="Y93" s="45">
        <f>IF(Assumptions!$B$155=0,0,Y88*Assumptions!$B$167*Assumptions!$B$7/Assumptions!$B$155)</f>
        <v/>
      </c>
      <c r="Z93" s="45">
        <f>IF(Assumptions!$B$155=0,0,Z88*Assumptions!$B$167*Assumptions!$B$7/Assumptions!$B$155)</f>
        <v/>
      </c>
      <c r="AA93" s="45">
        <f>IF(Assumptions!$B$155=0,0,AA88*Assumptions!$B$167*Assumptions!$B$7/Assumptions!$B$155)</f>
        <v/>
      </c>
      <c r="AB93" s="45">
        <f>IF(Assumptions!$B$155=0,0,AB88*Assumptions!$B$167*Assumptions!$B$7/Assumptions!$B$155)</f>
        <v/>
      </c>
      <c r="AC93" s="45">
        <f>IF(Assumptions!$B$155=0,0,AC88*Assumptions!$B$167*Assumptions!$B$7/Assumptions!$B$155)</f>
        <v/>
      </c>
      <c r="AD93" s="45">
        <f>IF(Assumptions!$B$155=0,0,AD88*Assumptions!$B$167*Assumptions!$B$7/Assumptions!$B$155)</f>
        <v/>
      </c>
      <c r="AE93" s="45">
        <f>IF(Assumptions!$B$155=0,0,AE88*Assumptions!$B$167*Assumptions!$B$7/Assumptions!$B$155)</f>
        <v/>
      </c>
    </row>
    <row r="94">
      <c r="A94" s="6" t="inlineStr">
        <is>
          <t xml:space="preserve">  Card authorisations (memo - drives cost, not revenue)</t>
        </is>
      </c>
      <c r="B94" s="23" t="inlineStr">
        <is>
          <t>auths</t>
        </is>
      </c>
      <c r="C94" s="45">
        <f>C86*Assumptions!$B$169*Assumptions!$B$155*C7/12*(1+Assumptions!$B$16)</f>
        <v/>
      </c>
      <c r="D94" s="45">
        <f>D86*Assumptions!$B$169*Assumptions!$B$155*D7/12*(1+Assumptions!$B$16)</f>
        <v/>
      </c>
      <c r="E94" s="45">
        <f>E86*Assumptions!$B$169*Assumptions!$B$155*E7/12*(1+Assumptions!$B$16)</f>
        <v/>
      </c>
      <c r="F94" s="45">
        <f>F86*Assumptions!$B$169*Assumptions!$B$155*F7/12*(1+Assumptions!$B$16)</f>
        <v/>
      </c>
      <c r="G94" s="45">
        <f>G86*Assumptions!$B$169*Assumptions!$B$155*G7/12*(1+Assumptions!$B$16)</f>
        <v/>
      </c>
      <c r="H94" s="45">
        <f>H86*Assumptions!$B$169*Assumptions!$B$155*H7/12*(1+Assumptions!$B$16)</f>
        <v/>
      </c>
      <c r="I94" s="45">
        <f>I86*Assumptions!$B$169*Assumptions!$B$155*I7/12*(1+Assumptions!$B$16)</f>
        <v/>
      </c>
      <c r="J94" s="45">
        <f>J86*Assumptions!$B$169*Assumptions!$B$155*J7/12*(1+Assumptions!$B$16)</f>
        <v/>
      </c>
      <c r="K94" s="45">
        <f>K86*Assumptions!$B$169*Assumptions!$B$155*K7/12*(1+Assumptions!$B$16)</f>
        <v/>
      </c>
      <c r="L94" s="45">
        <f>L86*Assumptions!$B$169*Assumptions!$B$155*L7/12*(1+Assumptions!$B$16)</f>
        <v/>
      </c>
      <c r="M94" s="45">
        <f>M86*Assumptions!$B$169*Assumptions!$B$155*M7/12*(1+Assumptions!$B$16)</f>
        <v/>
      </c>
      <c r="N94" s="45">
        <f>N86*Assumptions!$B$169*Assumptions!$B$155*N7/12*(1+Assumptions!$B$16)</f>
        <v/>
      </c>
      <c r="O94" s="45">
        <f>O86*Assumptions!$B$169*Assumptions!$B$155*O7/12*(1+Assumptions!$B$16)</f>
        <v/>
      </c>
      <c r="P94" s="45">
        <f>P86*Assumptions!$B$169*Assumptions!$B$155*P7/12*(1+Assumptions!$B$16)</f>
        <v/>
      </c>
      <c r="Q94" s="45">
        <f>Q86*Assumptions!$B$169*Assumptions!$B$155*Q7/12*(1+Assumptions!$B$16)</f>
        <v/>
      </c>
      <c r="R94" s="45">
        <f>R86*Assumptions!$B$169*Assumptions!$B$155*R7/12*(1+Assumptions!$B$16)</f>
        <v/>
      </c>
      <c r="S94" s="45">
        <f>S86*Assumptions!$B$169*Assumptions!$B$155*S7/12*(1+Assumptions!$B$16)</f>
        <v/>
      </c>
      <c r="T94" s="45">
        <f>T86*Assumptions!$B$169*Assumptions!$B$155*T7/12*(1+Assumptions!$B$16)</f>
        <v/>
      </c>
      <c r="U94" s="45">
        <f>U86*Assumptions!$B$169*Assumptions!$B$155*U7/12*(1+Assumptions!$B$16)</f>
        <v/>
      </c>
      <c r="V94" s="45">
        <f>V86*Assumptions!$B$169*Assumptions!$B$155*V7/12*(1+Assumptions!$B$16)</f>
        <v/>
      </c>
      <c r="W94" s="45">
        <f>W86*Assumptions!$B$169*Assumptions!$B$155*W7/12*(1+Assumptions!$B$16)</f>
        <v/>
      </c>
      <c r="X94" s="45">
        <f>X86*Assumptions!$B$169*Assumptions!$B$155*X7/12*(1+Assumptions!$B$16)</f>
        <v/>
      </c>
      <c r="Y94" s="45">
        <f>Y86*Assumptions!$B$169*Assumptions!$B$155*Y7/12*(1+Assumptions!$B$16)</f>
        <v/>
      </c>
      <c r="Z94" s="45">
        <f>Z86*Assumptions!$B$169*Assumptions!$B$155*Z7/12*(1+Assumptions!$B$16)</f>
        <v/>
      </c>
      <c r="AA94" s="45">
        <f>AA86*Assumptions!$B$169*Assumptions!$B$155*AA7/12*(1+Assumptions!$B$16)</f>
        <v/>
      </c>
      <c r="AB94" s="45">
        <f>AB86*Assumptions!$B$169*Assumptions!$B$155*AB7/12*(1+Assumptions!$B$16)</f>
        <v/>
      </c>
      <c r="AC94" s="45">
        <f>AC86*Assumptions!$B$169*Assumptions!$B$155*AC7/12*(1+Assumptions!$B$16)</f>
        <v/>
      </c>
      <c r="AD94" s="45">
        <f>AD86*Assumptions!$B$169*Assumptions!$B$155*AD7/12*(1+Assumptions!$B$16)</f>
        <v/>
      </c>
      <c r="AE94" s="45">
        <f>AE86*Assumptions!$B$169*Assumptions!$B$155*AE7/12*(1+Assumptions!$B$16)</f>
        <v/>
      </c>
    </row>
    <row r="95">
      <c r="A95" s="6" t="inlineStr">
        <is>
          <t xml:space="preserve">  Stream 1a - Entry fee, SIP</t>
        </is>
      </c>
      <c r="B95" s="23" t="inlineStr">
        <is>
          <t>USD</t>
        </is>
      </c>
      <c r="C95" s="55">
        <f>C75*Assumptions!$B$8</f>
        <v/>
      </c>
      <c r="D95" s="55">
        <f>D75*Assumptions!$B$8</f>
        <v/>
      </c>
      <c r="E95" s="55">
        <f>E75*Assumptions!$B$8</f>
        <v/>
      </c>
      <c r="F95" s="55">
        <f>F75*Assumptions!$B$8</f>
        <v/>
      </c>
      <c r="G95" s="55">
        <f>G75*Assumptions!$B$8</f>
        <v/>
      </c>
      <c r="H95" s="55">
        <f>H75*Assumptions!$B$8</f>
        <v/>
      </c>
      <c r="I95" s="55">
        <f>I75*Assumptions!$B$8</f>
        <v/>
      </c>
      <c r="J95" s="55">
        <f>J75*Assumptions!$B$8</f>
        <v/>
      </c>
      <c r="K95" s="55">
        <f>K75*Assumptions!$B$8</f>
        <v/>
      </c>
      <c r="L95" s="55">
        <f>L75*Assumptions!$B$8</f>
        <v/>
      </c>
      <c r="M95" s="55">
        <f>M75*Assumptions!$B$8</f>
        <v/>
      </c>
      <c r="N95" s="55">
        <f>N75*Assumptions!$B$8</f>
        <v/>
      </c>
      <c r="O95" s="55">
        <f>O75*Assumptions!$B$8</f>
        <v/>
      </c>
      <c r="P95" s="55">
        <f>P75*Assumptions!$B$8</f>
        <v/>
      </c>
      <c r="Q95" s="55">
        <f>Q75*Assumptions!$B$8</f>
        <v/>
      </c>
      <c r="R95" s="55">
        <f>R75*Assumptions!$B$8</f>
        <v/>
      </c>
      <c r="S95" s="55">
        <f>S75*Assumptions!$B$8</f>
        <v/>
      </c>
      <c r="T95" s="55">
        <f>T75*Assumptions!$B$8</f>
        <v/>
      </c>
      <c r="U95" s="55">
        <f>U75*Assumptions!$B$8</f>
        <v/>
      </c>
      <c r="V95" s="55">
        <f>V75*Assumptions!$B$8</f>
        <v/>
      </c>
      <c r="W95" s="55">
        <f>W75*Assumptions!$B$8</f>
        <v/>
      </c>
      <c r="X95" s="55">
        <f>X75*Assumptions!$B$8</f>
        <v/>
      </c>
      <c r="Y95" s="55">
        <f>Y75*Assumptions!$B$8</f>
        <v/>
      </c>
      <c r="Z95" s="55">
        <f>Z75*Assumptions!$B$8</f>
        <v/>
      </c>
      <c r="AA95" s="55">
        <f>AA75*Assumptions!$B$8</f>
        <v/>
      </c>
      <c r="AB95" s="55">
        <f>AB75*Assumptions!$B$8</f>
        <v/>
      </c>
      <c r="AC95" s="55">
        <f>AC75*Assumptions!$B$8</f>
        <v/>
      </c>
      <c r="AD95" s="55">
        <f>AD75*Assumptions!$B$8</f>
        <v/>
      </c>
      <c r="AE95" s="55">
        <f>AE75*Assumptions!$B$8</f>
        <v/>
      </c>
    </row>
    <row r="96">
      <c r="A96" s="6" t="inlineStr">
        <is>
          <t xml:space="preserve">  Stream 1b - Entry fee, SPOT</t>
        </is>
      </c>
      <c r="B96" s="23" t="inlineStr">
        <is>
          <t>USD</t>
        </is>
      </c>
      <c r="C96" s="55">
        <f>C76*Assumptions!$B$8</f>
        <v/>
      </c>
      <c r="D96" s="55">
        <f>D76*Assumptions!$B$8</f>
        <v/>
      </c>
      <c r="E96" s="55">
        <f>E76*Assumptions!$B$8</f>
        <v/>
      </c>
      <c r="F96" s="55">
        <f>F76*Assumptions!$B$8</f>
        <v/>
      </c>
      <c r="G96" s="55">
        <f>G76*Assumptions!$B$8</f>
        <v/>
      </c>
      <c r="H96" s="55">
        <f>H76*Assumptions!$B$8</f>
        <v/>
      </c>
      <c r="I96" s="55">
        <f>I76*Assumptions!$B$8</f>
        <v/>
      </c>
      <c r="J96" s="55">
        <f>J76*Assumptions!$B$8</f>
        <v/>
      </c>
      <c r="K96" s="55">
        <f>K76*Assumptions!$B$8</f>
        <v/>
      </c>
      <c r="L96" s="55">
        <f>L76*Assumptions!$B$8</f>
        <v/>
      </c>
      <c r="M96" s="55">
        <f>M76*Assumptions!$B$8</f>
        <v/>
      </c>
      <c r="N96" s="55">
        <f>N76*Assumptions!$B$8</f>
        <v/>
      </c>
      <c r="O96" s="55">
        <f>O76*Assumptions!$B$8</f>
        <v/>
      </c>
      <c r="P96" s="55">
        <f>P76*Assumptions!$B$8</f>
        <v/>
      </c>
      <c r="Q96" s="55">
        <f>Q76*Assumptions!$B$8</f>
        <v/>
      </c>
      <c r="R96" s="55">
        <f>R76*Assumptions!$B$8</f>
        <v/>
      </c>
      <c r="S96" s="55">
        <f>S76*Assumptions!$B$8</f>
        <v/>
      </c>
      <c r="T96" s="55">
        <f>T76*Assumptions!$B$8</f>
        <v/>
      </c>
      <c r="U96" s="55">
        <f>U76*Assumptions!$B$8</f>
        <v/>
      </c>
      <c r="V96" s="55">
        <f>V76*Assumptions!$B$8</f>
        <v/>
      </c>
      <c r="W96" s="55">
        <f>W76*Assumptions!$B$8</f>
        <v/>
      </c>
      <c r="X96" s="55">
        <f>X76*Assumptions!$B$8</f>
        <v/>
      </c>
      <c r="Y96" s="55">
        <f>Y76*Assumptions!$B$8</f>
        <v/>
      </c>
      <c r="Z96" s="55">
        <f>Z76*Assumptions!$B$8</f>
        <v/>
      </c>
      <c r="AA96" s="55">
        <f>AA76*Assumptions!$B$8</f>
        <v/>
      </c>
      <c r="AB96" s="55">
        <f>AB76*Assumptions!$B$8</f>
        <v/>
      </c>
      <c r="AC96" s="55">
        <f>AC76*Assumptions!$B$8</f>
        <v/>
      </c>
      <c r="AD96" s="55">
        <f>AD76*Assumptions!$B$8</f>
        <v/>
      </c>
      <c r="AE96" s="55">
        <f>AE76*Assumptions!$B$8</f>
        <v/>
      </c>
    </row>
    <row r="97">
      <c r="A97" s="6" t="inlineStr">
        <is>
          <t xml:space="preserve">  Stream 2 - Card interchange</t>
        </is>
      </c>
      <c r="B97" s="23" t="inlineStr">
        <is>
          <t>USD</t>
        </is>
      </c>
      <c r="C97" s="55">
        <f>C92*IF(Assumptions!$B$189=1,MIN(Assumptions!$B$14,1%),Assumptions!$B$14)*(1-Assumptions!$B$153)</f>
        <v/>
      </c>
      <c r="D97" s="55">
        <f>D92*IF(Assumptions!$B$189=1,MIN(Assumptions!$B$14,1%),Assumptions!$B$14)*(1-Assumptions!$B$153)</f>
        <v/>
      </c>
      <c r="E97" s="55">
        <f>E92*IF(Assumptions!$B$189=1,MIN(Assumptions!$B$14,1%),Assumptions!$B$14)*(1-Assumptions!$B$153)</f>
        <v/>
      </c>
      <c r="F97" s="55">
        <f>F92*IF(Assumptions!$B$189=1,MIN(Assumptions!$B$14,1%),Assumptions!$B$14)*(1-Assumptions!$B$153)</f>
        <v/>
      </c>
      <c r="G97" s="55">
        <f>G92*IF(Assumptions!$B$189=1,MIN(Assumptions!$B$14,1%),Assumptions!$B$14)*(1-Assumptions!$B$153)</f>
        <v/>
      </c>
      <c r="H97" s="55">
        <f>H92*IF(Assumptions!$B$189=1,MIN(Assumptions!$B$14,1%),Assumptions!$B$14)*(1-Assumptions!$B$153)</f>
        <v/>
      </c>
      <c r="I97" s="55">
        <f>I92*IF(Assumptions!$B$189=1,MIN(Assumptions!$B$14,1%),Assumptions!$B$14)*(1-Assumptions!$B$153)</f>
        <v/>
      </c>
      <c r="J97" s="55">
        <f>J92*IF(Assumptions!$B$189=1,MIN(Assumptions!$B$14,1%),Assumptions!$B$14)*(1-Assumptions!$B$153)</f>
        <v/>
      </c>
      <c r="K97" s="55">
        <f>K92*IF(Assumptions!$B$189=1,MIN(Assumptions!$B$14,1%),Assumptions!$B$14)*(1-Assumptions!$B$153)</f>
        <v/>
      </c>
      <c r="L97" s="55">
        <f>L92*IF(Assumptions!$B$189=1,MIN(Assumptions!$B$14,1%),Assumptions!$B$14)*(1-Assumptions!$B$153)</f>
        <v/>
      </c>
      <c r="M97" s="55">
        <f>M92*IF(Assumptions!$B$189=1,MIN(Assumptions!$B$14,1%),Assumptions!$B$14)*(1-Assumptions!$B$153)</f>
        <v/>
      </c>
      <c r="N97" s="55">
        <f>N92*IF(Assumptions!$B$189=1,MIN(Assumptions!$B$14,1%),Assumptions!$B$14)*(1-Assumptions!$B$153)</f>
        <v/>
      </c>
      <c r="O97" s="55">
        <f>O92*IF(Assumptions!$B$189=1,MIN(Assumptions!$B$14,1%),Assumptions!$B$14)*(1-Assumptions!$B$153)</f>
        <v/>
      </c>
      <c r="P97" s="55">
        <f>P92*IF(Assumptions!$B$189=1,MIN(Assumptions!$B$14,1%),Assumptions!$B$14)*(1-Assumptions!$B$153)</f>
        <v/>
      </c>
      <c r="Q97" s="55">
        <f>Q92*IF(Assumptions!$B$189=1,MIN(Assumptions!$B$14,1%),Assumptions!$B$14)*(1-Assumptions!$B$153)</f>
        <v/>
      </c>
      <c r="R97" s="55">
        <f>R92*IF(Assumptions!$B$189=1,MIN(Assumptions!$B$14,1%),Assumptions!$B$14)*(1-Assumptions!$B$153)</f>
        <v/>
      </c>
      <c r="S97" s="55">
        <f>S92*IF(Assumptions!$B$189=1,MIN(Assumptions!$B$14,1%),Assumptions!$B$14)*(1-Assumptions!$B$153)</f>
        <v/>
      </c>
      <c r="T97" s="55">
        <f>T92*IF(Assumptions!$B$189=1,MIN(Assumptions!$B$14,1%),Assumptions!$B$14)*(1-Assumptions!$B$153)</f>
        <v/>
      </c>
      <c r="U97" s="55">
        <f>U92*IF(Assumptions!$B$189=1,MIN(Assumptions!$B$14,1%),Assumptions!$B$14)*(1-Assumptions!$B$153)</f>
        <v/>
      </c>
      <c r="V97" s="55">
        <f>V92*IF(Assumptions!$B$189=1,MIN(Assumptions!$B$14,1%),Assumptions!$B$14)*(1-Assumptions!$B$153)</f>
        <v/>
      </c>
      <c r="W97" s="55">
        <f>W92*IF(Assumptions!$B$189=1,MIN(Assumptions!$B$14,1%),Assumptions!$B$14)*(1-Assumptions!$B$153)</f>
        <v/>
      </c>
      <c r="X97" s="55">
        <f>X92*IF(Assumptions!$B$189=1,MIN(Assumptions!$B$14,1%),Assumptions!$B$14)*(1-Assumptions!$B$153)</f>
        <v/>
      </c>
      <c r="Y97" s="55">
        <f>Y92*IF(Assumptions!$B$189=1,MIN(Assumptions!$B$14,1%),Assumptions!$B$14)*(1-Assumptions!$B$153)</f>
        <v/>
      </c>
      <c r="Z97" s="55">
        <f>Z92*IF(Assumptions!$B$189=1,MIN(Assumptions!$B$14,1%),Assumptions!$B$14)*(1-Assumptions!$B$153)</f>
        <v/>
      </c>
      <c r="AA97" s="55">
        <f>AA92*IF(Assumptions!$B$189=1,MIN(Assumptions!$B$14,1%),Assumptions!$B$14)*(1-Assumptions!$B$153)</f>
        <v/>
      </c>
      <c r="AB97" s="55">
        <f>AB92*IF(Assumptions!$B$189=1,MIN(Assumptions!$B$14,1%),Assumptions!$B$14)*(1-Assumptions!$B$153)</f>
        <v/>
      </c>
      <c r="AC97" s="55">
        <f>AC92*IF(Assumptions!$B$189=1,MIN(Assumptions!$B$14,1%),Assumptions!$B$14)*(1-Assumptions!$B$153)</f>
        <v/>
      </c>
      <c r="AD97" s="55">
        <f>AD92*IF(Assumptions!$B$189=1,MIN(Assumptions!$B$14,1%),Assumptions!$B$14)*(1-Assumptions!$B$153)</f>
        <v/>
      </c>
      <c r="AE97" s="55">
        <f>AE92*IF(Assumptions!$B$189=1,MIN(Assumptions!$B$14,1%),Assumptions!$B$14)*(1-Assumptions!$B$153)</f>
        <v/>
      </c>
    </row>
    <row r="98">
      <c r="A98" s="6" t="inlineStr">
        <is>
          <t xml:space="preserve">  Family plan subscribers</t>
        </is>
      </c>
      <c r="B98" s="23" t="inlineStr">
        <is>
          <t>subscribers</t>
        </is>
      </c>
      <c r="C98" s="54">
        <f>IF(C2&gt;=Assumptions!$B$50,C70*Assumptions!$B$170*(1-Assumptions!$B$173)^(C7/2),0)</f>
        <v/>
      </c>
      <c r="D98" s="54">
        <f>IF(D2&gt;=Assumptions!$B$50,C98*(1-Assumptions!$B$173)^D7+D70*Assumptions!$B$170*(1-Assumptions!$B$173)^(D7/2),0)</f>
        <v/>
      </c>
      <c r="E98" s="54">
        <f>IF(E2&gt;=Assumptions!$B$50,D98*(1-Assumptions!$B$173)^E7+E70*Assumptions!$B$170*(1-Assumptions!$B$173)^(E7/2),0)</f>
        <v/>
      </c>
      <c r="F98" s="54">
        <f>IF(F2&gt;=Assumptions!$B$50,E98*(1-Assumptions!$B$173)^F7+F70*Assumptions!$B$170*(1-Assumptions!$B$173)^(F7/2),0)</f>
        <v/>
      </c>
      <c r="G98" s="54">
        <f>IF(G2&gt;=Assumptions!$B$50,F98*(1-Assumptions!$B$173)^G7+G70*Assumptions!$B$170*(1-Assumptions!$B$173)^(G7/2),0)</f>
        <v/>
      </c>
      <c r="H98" s="54">
        <f>IF(H2&gt;=Assumptions!$B$50,G98*(1-Assumptions!$B$173)^H7+H70*Assumptions!$B$170*(1-Assumptions!$B$173)^(H7/2),0)</f>
        <v/>
      </c>
      <c r="I98" s="54">
        <f>IF(I2&gt;=Assumptions!$B$50,H98*(1-Assumptions!$B$173)^I7+I70*Assumptions!$B$170*(1-Assumptions!$B$173)^(I7/2),0)</f>
        <v/>
      </c>
      <c r="J98" s="54">
        <f>IF(J2&gt;=Assumptions!$B$50,I98*(1-Assumptions!$B$173)^J7+J70*Assumptions!$B$170*(1-Assumptions!$B$173)^(J7/2),0)</f>
        <v/>
      </c>
      <c r="K98" s="54">
        <f>IF(K2&gt;=Assumptions!$B$50,J98*(1-Assumptions!$B$173)^K7+K70*Assumptions!$B$170*(1-Assumptions!$B$173)^(K7/2),0)</f>
        <v/>
      </c>
      <c r="L98" s="54">
        <f>IF(L2&gt;=Assumptions!$B$50,K98*(1-Assumptions!$B$173)^L7+L70*Assumptions!$B$170*(1-Assumptions!$B$173)^(L7/2),0)</f>
        <v/>
      </c>
      <c r="M98" s="54">
        <f>IF(M2&gt;=Assumptions!$B$50,L98*(1-Assumptions!$B$173)^M7+M70*Assumptions!$B$170*(1-Assumptions!$B$173)^(M7/2),0)</f>
        <v/>
      </c>
      <c r="N98" s="54">
        <f>IF(N2&gt;=Assumptions!$B$50,M98*(1-Assumptions!$B$173)^N7+N70*Assumptions!$B$170*(1-Assumptions!$B$173)^(N7/2),0)</f>
        <v/>
      </c>
      <c r="O98" s="54">
        <f>IF(O2&gt;=Assumptions!$B$50,N98*(1-Assumptions!$B$173)^O7+O70*Assumptions!$B$170*(1-Assumptions!$B$173)^(O7/2),0)</f>
        <v/>
      </c>
      <c r="P98" s="54">
        <f>IF(P2&gt;=Assumptions!$B$50,O98*(1-Assumptions!$B$173)^P7+P70*Assumptions!$B$170*(1-Assumptions!$B$173)^(P7/2),0)</f>
        <v/>
      </c>
      <c r="Q98" s="54">
        <f>IF(Q2&gt;=Assumptions!$B$50,P98*(1-Assumptions!$B$173)^Q7+Q70*Assumptions!$B$170*(1-Assumptions!$B$173)^(Q7/2),0)</f>
        <v/>
      </c>
      <c r="R98" s="54">
        <f>IF(R2&gt;=Assumptions!$B$50,Q98*(1-Assumptions!$B$173)^R7+R70*Assumptions!$B$170*(1-Assumptions!$B$173)^(R7/2),0)</f>
        <v/>
      </c>
      <c r="S98" s="54">
        <f>IF(S2&gt;=Assumptions!$B$50,R98*(1-Assumptions!$B$173)^S7+S70*Assumptions!$B$170*(1-Assumptions!$B$173)^(S7/2),0)</f>
        <v/>
      </c>
      <c r="T98" s="54">
        <f>IF(T2&gt;=Assumptions!$B$50,S98*(1-Assumptions!$B$173)^T7+T70*Assumptions!$B$170*(1-Assumptions!$B$173)^(T7/2),0)</f>
        <v/>
      </c>
      <c r="U98" s="54">
        <f>IF(U2&gt;=Assumptions!$B$50,T98*(1-Assumptions!$B$173)^U7+U70*Assumptions!$B$170*(1-Assumptions!$B$173)^(U7/2),0)</f>
        <v/>
      </c>
      <c r="V98" s="54">
        <f>IF(V2&gt;=Assumptions!$B$50,U98*(1-Assumptions!$B$173)^V7+V70*Assumptions!$B$170*(1-Assumptions!$B$173)^(V7/2),0)</f>
        <v/>
      </c>
      <c r="W98" s="54">
        <f>IF(W2&gt;=Assumptions!$B$50,V98*(1-Assumptions!$B$173)^W7+W70*Assumptions!$B$170*(1-Assumptions!$B$173)^(W7/2),0)</f>
        <v/>
      </c>
      <c r="X98" s="54">
        <f>IF(X2&gt;=Assumptions!$B$50,W98*(1-Assumptions!$B$173)^X7+X70*Assumptions!$B$170*(1-Assumptions!$B$173)^(X7/2),0)</f>
        <v/>
      </c>
      <c r="Y98" s="54">
        <f>IF(Y2&gt;=Assumptions!$B$50,X98*(1-Assumptions!$B$173)^Y7+Y70*Assumptions!$B$170*(1-Assumptions!$B$173)^(Y7/2),0)</f>
        <v/>
      </c>
      <c r="Z98" s="54">
        <f>IF(Z2&gt;=Assumptions!$B$50,Y98*(1-Assumptions!$B$173)^Z7+Z70*Assumptions!$B$170*(1-Assumptions!$B$173)^(Z7/2),0)</f>
        <v/>
      </c>
      <c r="AA98" s="54">
        <f>IF(AA2&gt;=Assumptions!$B$50,Z98*(1-Assumptions!$B$173)^AA7+AA70*Assumptions!$B$170*(1-Assumptions!$B$173)^(AA7/2),0)</f>
        <v/>
      </c>
      <c r="AB98" s="54">
        <f>IF(AB2&gt;=Assumptions!$B$50,AA98*(1-Assumptions!$B$173)^AB7+AB70*Assumptions!$B$170*(1-Assumptions!$B$173)^(AB7/2),0)</f>
        <v/>
      </c>
      <c r="AC98" s="54">
        <f>IF(AC2&gt;=Assumptions!$B$50,AB98*(1-Assumptions!$B$173)^AC7+AC70*Assumptions!$B$170*(1-Assumptions!$B$173)^(AC7/2),0)</f>
        <v/>
      </c>
      <c r="AD98" s="54">
        <f>IF(AD2&gt;=Assumptions!$B$50,AC98*(1-Assumptions!$B$173)^AD7+AD70*Assumptions!$B$170*(1-Assumptions!$B$173)^(AD7/2),0)</f>
        <v/>
      </c>
      <c r="AE98" s="54">
        <f>IF(AE2&gt;=Assumptions!$B$50,AD98*(1-Assumptions!$B$173)^AE7+AE70*Assumptions!$B$170*(1-Assumptions!$B$173)^(AE7/2),0)</f>
        <v/>
      </c>
    </row>
    <row r="99">
      <c r="A99" s="6" t="inlineStr">
        <is>
          <t xml:space="preserve">  Stream 3 - Family plan and Digital Will</t>
        </is>
      </c>
      <c r="B99" s="23" t="inlineStr">
        <is>
          <t>USD</t>
        </is>
      </c>
      <c r="C99" s="55">
        <f>C98*(Assumptions!$B$25+MAX(0,Assumptions!$B$172-1)*Assumptions!$B$26)/12*C7</f>
        <v/>
      </c>
      <c r="D99" s="55">
        <f>D98*(Assumptions!$B$25+MAX(0,Assumptions!$B$172-1)*Assumptions!$B$26)/12*D7</f>
        <v/>
      </c>
      <c r="E99" s="55">
        <f>E98*(Assumptions!$B$25+MAX(0,Assumptions!$B$172-1)*Assumptions!$B$26)/12*E7</f>
        <v/>
      </c>
      <c r="F99" s="55">
        <f>F98*(Assumptions!$B$25+MAX(0,Assumptions!$B$172-1)*Assumptions!$B$26)/12*F7</f>
        <v/>
      </c>
      <c r="G99" s="55">
        <f>G98*(Assumptions!$B$25+MAX(0,Assumptions!$B$172-1)*Assumptions!$B$26)/12*G7</f>
        <v/>
      </c>
      <c r="H99" s="55">
        <f>H98*(Assumptions!$B$25+MAX(0,Assumptions!$B$172-1)*Assumptions!$B$26)/12*H7</f>
        <v/>
      </c>
      <c r="I99" s="55">
        <f>I98*(Assumptions!$B$25+MAX(0,Assumptions!$B$172-1)*Assumptions!$B$26)/12*I7</f>
        <v/>
      </c>
      <c r="J99" s="55">
        <f>J98*(Assumptions!$B$25+MAX(0,Assumptions!$B$172-1)*Assumptions!$B$26)/12*J7</f>
        <v/>
      </c>
      <c r="K99" s="55">
        <f>K98*(Assumptions!$B$25+MAX(0,Assumptions!$B$172-1)*Assumptions!$B$26)/12*K7</f>
        <v/>
      </c>
      <c r="L99" s="55">
        <f>L98*(Assumptions!$B$25+MAX(0,Assumptions!$B$172-1)*Assumptions!$B$26)/12*L7</f>
        <v/>
      </c>
      <c r="M99" s="55">
        <f>M98*(Assumptions!$B$25+MAX(0,Assumptions!$B$172-1)*Assumptions!$B$26)/12*M7</f>
        <v/>
      </c>
      <c r="N99" s="55">
        <f>N98*(Assumptions!$B$25+MAX(0,Assumptions!$B$172-1)*Assumptions!$B$26)/12*N7</f>
        <v/>
      </c>
      <c r="O99" s="55">
        <f>O98*(Assumptions!$B$25+MAX(0,Assumptions!$B$172-1)*Assumptions!$B$26)/12*O7</f>
        <v/>
      </c>
      <c r="P99" s="55">
        <f>P98*(Assumptions!$B$25+MAX(0,Assumptions!$B$172-1)*Assumptions!$B$26)/12*P7</f>
        <v/>
      </c>
      <c r="Q99" s="55">
        <f>Q98*(Assumptions!$B$25+MAX(0,Assumptions!$B$172-1)*Assumptions!$B$26)/12*Q7</f>
        <v/>
      </c>
      <c r="R99" s="55">
        <f>R98*(Assumptions!$B$25+MAX(0,Assumptions!$B$172-1)*Assumptions!$B$26)/12*R7</f>
        <v/>
      </c>
      <c r="S99" s="55">
        <f>S98*(Assumptions!$B$25+MAX(0,Assumptions!$B$172-1)*Assumptions!$B$26)/12*S7</f>
        <v/>
      </c>
      <c r="T99" s="55">
        <f>T98*(Assumptions!$B$25+MAX(0,Assumptions!$B$172-1)*Assumptions!$B$26)/12*T7</f>
        <v/>
      </c>
      <c r="U99" s="55">
        <f>U98*(Assumptions!$B$25+MAX(0,Assumptions!$B$172-1)*Assumptions!$B$26)/12*U7</f>
        <v/>
      </c>
      <c r="V99" s="55">
        <f>V98*(Assumptions!$B$25+MAX(0,Assumptions!$B$172-1)*Assumptions!$B$26)/12*V7</f>
        <v/>
      </c>
      <c r="W99" s="55">
        <f>W98*(Assumptions!$B$25+MAX(0,Assumptions!$B$172-1)*Assumptions!$B$26)/12*W7</f>
        <v/>
      </c>
      <c r="X99" s="55">
        <f>X98*(Assumptions!$B$25+MAX(0,Assumptions!$B$172-1)*Assumptions!$B$26)/12*X7</f>
        <v/>
      </c>
      <c r="Y99" s="55">
        <f>Y98*(Assumptions!$B$25+MAX(0,Assumptions!$B$172-1)*Assumptions!$B$26)/12*Y7</f>
        <v/>
      </c>
      <c r="Z99" s="55">
        <f>Z98*(Assumptions!$B$25+MAX(0,Assumptions!$B$172-1)*Assumptions!$B$26)/12*Z7</f>
        <v/>
      </c>
      <c r="AA99" s="55">
        <f>AA98*(Assumptions!$B$25+MAX(0,Assumptions!$B$172-1)*Assumptions!$B$26)/12*AA7</f>
        <v/>
      </c>
      <c r="AB99" s="55">
        <f>AB98*(Assumptions!$B$25+MAX(0,Assumptions!$B$172-1)*Assumptions!$B$26)/12*AB7</f>
        <v/>
      </c>
      <c r="AC99" s="55">
        <f>AC98*(Assumptions!$B$25+MAX(0,Assumptions!$B$172-1)*Assumptions!$B$26)/12*AC7</f>
        <v/>
      </c>
      <c r="AD99" s="55">
        <f>AD98*(Assumptions!$B$25+MAX(0,Assumptions!$B$172-1)*Assumptions!$B$26)/12*AD7</f>
        <v/>
      </c>
      <c r="AE99" s="55">
        <f>AE98*(Assumptions!$B$25+MAX(0,Assumptions!$B$172-1)*Assumptions!$B$26)/12*AE7</f>
        <v/>
      </c>
    </row>
    <row r="100">
      <c r="A100" s="6" t="inlineStr">
        <is>
          <t xml:space="preserve">  Stream 4 - Cardholder fees (FX, ATM, events)</t>
        </is>
      </c>
      <c r="B100" s="23" t="inlineStr">
        <is>
          <t>USD</t>
        </is>
      </c>
      <c r="C100" s="55">
        <f>IF(C2&gt;=Assumptions!$B$52,C92*C17*Assumptions!$B$17+C86*(Assumptions!$B$159*MAX(0,Assumptions!$B$163-Assumptions!$B$18)+Assumptions!$B$160*MAX(0,Assumptions!$B$164-Assumptions!$B$18)+Assumptions!$B$161*MAX(0,Assumptions!$B$165-Assumptions!$B$18)+Assumptions!$B$162*MAX(0,Assumptions!$B$166-Assumptions!$B$18))*Assumptions!$B$19/Assumptions!$B$7*C7+C87*Assumptions!$B$20/Assumptions!$B$7+C85*(Assumptions!$B$157*Assumptions!$B$20+Assumptions!$B$158*Assumptions!$B$21)/12/Assumptions!$B$7*C7,0)</f>
        <v/>
      </c>
      <c r="D100" s="55">
        <f>IF(D2&gt;=Assumptions!$B$52,D92*D17*Assumptions!$B$17+D86*(Assumptions!$B$159*MAX(0,Assumptions!$B$163-Assumptions!$B$18)+Assumptions!$B$160*MAX(0,Assumptions!$B$164-Assumptions!$B$18)+Assumptions!$B$161*MAX(0,Assumptions!$B$165-Assumptions!$B$18)+Assumptions!$B$162*MAX(0,Assumptions!$B$166-Assumptions!$B$18))*Assumptions!$B$19/Assumptions!$B$7*D7+D87*Assumptions!$B$20/Assumptions!$B$7+D85*(Assumptions!$B$157*Assumptions!$B$20+Assumptions!$B$158*Assumptions!$B$21)/12/Assumptions!$B$7*D7,0)</f>
        <v/>
      </c>
      <c r="E100" s="55">
        <f>IF(E2&gt;=Assumptions!$B$52,E92*E17*Assumptions!$B$17+E86*(Assumptions!$B$159*MAX(0,Assumptions!$B$163-Assumptions!$B$18)+Assumptions!$B$160*MAX(0,Assumptions!$B$164-Assumptions!$B$18)+Assumptions!$B$161*MAX(0,Assumptions!$B$165-Assumptions!$B$18)+Assumptions!$B$162*MAX(0,Assumptions!$B$166-Assumptions!$B$18))*Assumptions!$B$19/Assumptions!$B$7*E7+E87*Assumptions!$B$20/Assumptions!$B$7+E85*(Assumptions!$B$157*Assumptions!$B$20+Assumptions!$B$158*Assumptions!$B$21)/12/Assumptions!$B$7*E7,0)</f>
        <v/>
      </c>
      <c r="F100" s="55">
        <f>IF(F2&gt;=Assumptions!$B$52,F92*F17*Assumptions!$B$17+F86*(Assumptions!$B$159*MAX(0,Assumptions!$B$163-Assumptions!$B$18)+Assumptions!$B$160*MAX(0,Assumptions!$B$164-Assumptions!$B$18)+Assumptions!$B$161*MAX(0,Assumptions!$B$165-Assumptions!$B$18)+Assumptions!$B$162*MAX(0,Assumptions!$B$166-Assumptions!$B$18))*Assumptions!$B$19/Assumptions!$B$7*F7+F87*Assumptions!$B$20/Assumptions!$B$7+F85*(Assumptions!$B$157*Assumptions!$B$20+Assumptions!$B$158*Assumptions!$B$21)/12/Assumptions!$B$7*F7,0)</f>
        <v/>
      </c>
      <c r="G100" s="55">
        <f>IF(G2&gt;=Assumptions!$B$52,G92*G17*Assumptions!$B$17+G86*(Assumptions!$B$159*MAX(0,Assumptions!$B$163-Assumptions!$B$18)+Assumptions!$B$160*MAX(0,Assumptions!$B$164-Assumptions!$B$18)+Assumptions!$B$161*MAX(0,Assumptions!$B$165-Assumptions!$B$18)+Assumptions!$B$162*MAX(0,Assumptions!$B$166-Assumptions!$B$18))*Assumptions!$B$19/Assumptions!$B$7*G7+G87*Assumptions!$B$20/Assumptions!$B$7+G85*(Assumptions!$B$157*Assumptions!$B$20+Assumptions!$B$158*Assumptions!$B$21)/12/Assumptions!$B$7*G7,0)</f>
        <v/>
      </c>
      <c r="H100" s="55">
        <f>IF(H2&gt;=Assumptions!$B$52,H92*H17*Assumptions!$B$17+H86*(Assumptions!$B$159*MAX(0,Assumptions!$B$163-Assumptions!$B$18)+Assumptions!$B$160*MAX(0,Assumptions!$B$164-Assumptions!$B$18)+Assumptions!$B$161*MAX(0,Assumptions!$B$165-Assumptions!$B$18)+Assumptions!$B$162*MAX(0,Assumptions!$B$166-Assumptions!$B$18))*Assumptions!$B$19/Assumptions!$B$7*H7+H87*Assumptions!$B$20/Assumptions!$B$7+H85*(Assumptions!$B$157*Assumptions!$B$20+Assumptions!$B$158*Assumptions!$B$21)/12/Assumptions!$B$7*H7,0)</f>
        <v/>
      </c>
      <c r="I100" s="55">
        <f>IF(I2&gt;=Assumptions!$B$52,I92*I17*Assumptions!$B$17+I86*(Assumptions!$B$159*MAX(0,Assumptions!$B$163-Assumptions!$B$18)+Assumptions!$B$160*MAX(0,Assumptions!$B$164-Assumptions!$B$18)+Assumptions!$B$161*MAX(0,Assumptions!$B$165-Assumptions!$B$18)+Assumptions!$B$162*MAX(0,Assumptions!$B$166-Assumptions!$B$18))*Assumptions!$B$19/Assumptions!$B$7*I7+I87*Assumptions!$B$20/Assumptions!$B$7+I85*(Assumptions!$B$157*Assumptions!$B$20+Assumptions!$B$158*Assumptions!$B$21)/12/Assumptions!$B$7*I7,0)</f>
        <v/>
      </c>
      <c r="J100" s="55">
        <f>IF(J2&gt;=Assumptions!$B$52,J92*J17*Assumptions!$B$17+J86*(Assumptions!$B$159*MAX(0,Assumptions!$B$163-Assumptions!$B$18)+Assumptions!$B$160*MAX(0,Assumptions!$B$164-Assumptions!$B$18)+Assumptions!$B$161*MAX(0,Assumptions!$B$165-Assumptions!$B$18)+Assumptions!$B$162*MAX(0,Assumptions!$B$166-Assumptions!$B$18))*Assumptions!$B$19/Assumptions!$B$7*J7+J87*Assumptions!$B$20/Assumptions!$B$7+J85*(Assumptions!$B$157*Assumptions!$B$20+Assumptions!$B$158*Assumptions!$B$21)/12/Assumptions!$B$7*J7,0)</f>
        <v/>
      </c>
      <c r="K100" s="55">
        <f>IF(K2&gt;=Assumptions!$B$52,K92*K17*Assumptions!$B$17+K86*(Assumptions!$B$159*MAX(0,Assumptions!$B$163-Assumptions!$B$18)+Assumptions!$B$160*MAX(0,Assumptions!$B$164-Assumptions!$B$18)+Assumptions!$B$161*MAX(0,Assumptions!$B$165-Assumptions!$B$18)+Assumptions!$B$162*MAX(0,Assumptions!$B$166-Assumptions!$B$18))*Assumptions!$B$19/Assumptions!$B$7*K7+K87*Assumptions!$B$20/Assumptions!$B$7+K85*(Assumptions!$B$157*Assumptions!$B$20+Assumptions!$B$158*Assumptions!$B$21)/12/Assumptions!$B$7*K7,0)</f>
        <v/>
      </c>
      <c r="L100" s="55">
        <f>IF(L2&gt;=Assumptions!$B$52,L92*L17*Assumptions!$B$17+L86*(Assumptions!$B$159*MAX(0,Assumptions!$B$163-Assumptions!$B$18)+Assumptions!$B$160*MAX(0,Assumptions!$B$164-Assumptions!$B$18)+Assumptions!$B$161*MAX(0,Assumptions!$B$165-Assumptions!$B$18)+Assumptions!$B$162*MAX(0,Assumptions!$B$166-Assumptions!$B$18))*Assumptions!$B$19/Assumptions!$B$7*L7+L87*Assumptions!$B$20/Assumptions!$B$7+L85*(Assumptions!$B$157*Assumptions!$B$20+Assumptions!$B$158*Assumptions!$B$21)/12/Assumptions!$B$7*L7,0)</f>
        <v/>
      </c>
      <c r="M100" s="55">
        <f>IF(M2&gt;=Assumptions!$B$52,M92*M17*Assumptions!$B$17+M86*(Assumptions!$B$159*MAX(0,Assumptions!$B$163-Assumptions!$B$18)+Assumptions!$B$160*MAX(0,Assumptions!$B$164-Assumptions!$B$18)+Assumptions!$B$161*MAX(0,Assumptions!$B$165-Assumptions!$B$18)+Assumptions!$B$162*MAX(0,Assumptions!$B$166-Assumptions!$B$18))*Assumptions!$B$19/Assumptions!$B$7*M7+M87*Assumptions!$B$20/Assumptions!$B$7+M85*(Assumptions!$B$157*Assumptions!$B$20+Assumptions!$B$158*Assumptions!$B$21)/12/Assumptions!$B$7*M7,0)</f>
        <v/>
      </c>
      <c r="N100" s="55">
        <f>IF(N2&gt;=Assumptions!$B$52,N92*N17*Assumptions!$B$17+N86*(Assumptions!$B$159*MAX(0,Assumptions!$B$163-Assumptions!$B$18)+Assumptions!$B$160*MAX(0,Assumptions!$B$164-Assumptions!$B$18)+Assumptions!$B$161*MAX(0,Assumptions!$B$165-Assumptions!$B$18)+Assumptions!$B$162*MAX(0,Assumptions!$B$166-Assumptions!$B$18))*Assumptions!$B$19/Assumptions!$B$7*N7+N87*Assumptions!$B$20/Assumptions!$B$7+N85*(Assumptions!$B$157*Assumptions!$B$20+Assumptions!$B$158*Assumptions!$B$21)/12/Assumptions!$B$7*N7,0)</f>
        <v/>
      </c>
      <c r="O100" s="55">
        <f>IF(O2&gt;=Assumptions!$B$52,O92*O17*Assumptions!$B$17+O86*(Assumptions!$B$159*MAX(0,Assumptions!$B$163-Assumptions!$B$18)+Assumptions!$B$160*MAX(0,Assumptions!$B$164-Assumptions!$B$18)+Assumptions!$B$161*MAX(0,Assumptions!$B$165-Assumptions!$B$18)+Assumptions!$B$162*MAX(0,Assumptions!$B$166-Assumptions!$B$18))*Assumptions!$B$19/Assumptions!$B$7*O7+O87*Assumptions!$B$20/Assumptions!$B$7+O85*(Assumptions!$B$157*Assumptions!$B$20+Assumptions!$B$158*Assumptions!$B$21)/12/Assumptions!$B$7*O7,0)</f>
        <v/>
      </c>
      <c r="P100" s="55">
        <f>IF(P2&gt;=Assumptions!$B$52,P92*P17*Assumptions!$B$17+P86*(Assumptions!$B$159*MAX(0,Assumptions!$B$163-Assumptions!$B$18)+Assumptions!$B$160*MAX(0,Assumptions!$B$164-Assumptions!$B$18)+Assumptions!$B$161*MAX(0,Assumptions!$B$165-Assumptions!$B$18)+Assumptions!$B$162*MAX(0,Assumptions!$B$166-Assumptions!$B$18))*Assumptions!$B$19/Assumptions!$B$7*P7+P87*Assumptions!$B$20/Assumptions!$B$7+P85*(Assumptions!$B$157*Assumptions!$B$20+Assumptions!$B$158*Assumptions!$B$21)/12/Assumptions!$B$7*P7,0)</f>
        <v/>
      </c>
      <c r="Q100" s="55">
        <f>IF(Q2&gt;=Assumptions!$B$52,Q92*Q17*Assumptions!$B$17+Q86*(Assumptions!$B$159*MAX(0,Assumptions!$B$163-Assumptions!$B$18)+Assumptions!$B$160*MAX(0,Assumptions!$B$164-Assumptions!$B$18)+Assumptions!$B$161*MAX(0,Assumptions!$B$165-Assumptions!$B$18)+Assumptions!$B$162*MAX(0,Assumptions!$B$166-Assumptions!$B$18))*Assumptions!$B$19/Assumptions!$B$7*Q7+Q87*Assumptions!$B$20/Assumptions!$B$7+Q85*(Assumptions!$B$157*Assumptions!$B$20+Assumptions!$B$158*Assumptions!$B$21)/12/Assumptions!$B$7*Q7,0)</f>
        <v/>
      </c>
      <c r="R100" s="55">
        <f>IF(R2&gt;=Assumptions!$B$52,R92*R17*Assumptions!$B$17+R86*(Assumptions!$B$159*MAX(0,Assumptions!$B$163-Assumptions!$B$18)+Assumptions!$B$160*MAX(0,Assumptions!$B$164-Assumptions!$B$18)+Assumptions!$B$161*MAX(0,Assumptions!$B$165-Assumptions!$B$18)+Assumptions!$B$162*MAX(0,Assumptions!$B$166-Assumptions!$B$18))*Assumptions!$B$19/Assumptions!$B$7*R7+R87*Assumptions!$B$20/Assumptions!$B$7+R85*(Assumptions!$B$157*Assumptions!$B$20+Assumptions!$B$158*Assumptions!$B$21)/12/Assumptions!$B$7*R7,0)</f>
        <v/>
      </c>
      <c r="S100" s="55">
        <f>IF(S2&gt;=Assumptions!$B$52,S92*S17*Assumptions!$B$17+S86*(Assumptions!$B$159*MAX(0,Assumptions!$B$163-Assumptions!$B$18)+Assumptions!$B$160*MAX(0,Assumptions!$B$164-Assumptions!$B$18)+Assumptions!$B$161*MAX(0,Assumptions!$B$165-Assumptions!$B$18)+Assumptions!$B$162*MAX(0,Assumptions!$B$166-Assumptions!$B$18))*Assumptions!$B$19/Assumptions!$B$7*S7+S87*Assumptions!$B$20/Assumptions!$B$7+S85*(Assumptions!$B$157*Assumptions!$B$20+Assumptions!$B$158*Assumptions!$B$21)/12/Assumptions!$B$7*S7,0)</f>
        <v/>
      </c>
      <c r="T100" s="55">
        <f>IF(T2&gt;=Assumptions!$B$52,T92*T17*Assumptions!$B$17+T86*(Assumptions!$B$159*MAX(0,Assumptions!$B$163-Assumptions!$B$18)+Assumptions!$B$160*MAX(0,Assumptions!$B$164-Assumptions!$B$18)+Assumptions!$B$161*MAX(0,Assumptions!$B$165-Assumptions!$B$18)+Assumptions!$B$162*MAX(0,Assumptions!$B$166-Assumptions!$B$18))*Assumptions!$B$19/Assumptions!$B$7*T7+T87*Assumptions!$B$20/Assumptions!$B$7+T85*(Assumptions!$B$157*Assumptions!$B$20+Assumptions!$B$158*Assumptions!$B$21)/12/Assumptions!$B$7*T7,0)</f>
        <v/>
      </c>
      <c r="U100" s="55">
        <f>IF(U2&gt;=Assumptions!$B$52,U92*U17*Assumptions!$B$17+U86*(Assumptions!$B$159*MAX(0,Assumptions!$B$163-Assumptions!$B$18)+Assumptions!$B$160*MAX(0,Assumptions!$B$164-Assumptions!$B$18)+Assumptions!$B$161*MAX(0,Assumptions!$B$165-Assumptions!$B$18)+Assumptions!$B$162*MAX(0,Assumptions!$B$166-Assumptions!$B$18))*Assumptions!$B$19/Assumptions!$B$7*U7+U87*Assumptions!$B$20/Assumptions!$B$7+U85*(Assumptions!$B$157*Assumptions!$B$20+Assumptions!$B$158*Assumptions!$B$21)/12/Assumptions!$B$7*U7,0)</f>
        <v/>
      </c>
      <c r="V100" s="55">
        <f>IF(V2&gt;=Assumptions!$B$52,V92*V17*Assumptions!$B$17+V86*(Assumptions!$B$159*MAX(0,Assumptions!$B$163-Assumptions!$B$18)+Assumptions!$B$160*MAX(0,Assumptions!$B$164-Assumptions!$B$18)+Assumptions!$B$161*MAX(0,Assumptions!$B$165-Assumptions!$B$18)+Assumptions!$B$162*MAX(0,Assumptions!$B$166-Assumptions!$B$18))*Assumptions!$B$19/Assumptions!$B$7*V7+V87*Assumptions!$B$20/Assumptions!$B$7+V85*(Assumptions!$B$157*Assumptions!$B$20+Assumptions!$B$158*Assumptions!$B$21)/12/Assumptions!$B$7*V7,0)</f>
        <v/>
      </c>
      <c r="W100" s="55">
        <f>IF(W2&gt;=Assumptions!$B$52,W92*W17*Assumptions!$B$17+W86*(Assumptions!$B$159*MAX(0,Assumptions!$B$163-Assumptions!$B$18)+Assumptions!$B$160*MAX(0,Assumptions!$B$164-Assumptions!$B$18)+Assumptions!$B$161*MAX(0,Assumptions!$B$165-Assumptions!$B$18)+Assumptions!$B$162*MAX(0,Assumptions!$B$166-Assumptions!$B$18))*Assumptions!$B$19/Assumptions!$B$7*W7+W87*Assumptions!$B$20/Assumptions!$B$7+W85*(Assumptions!$B$157*Assumptions!$B$20+Assumptions!$B$158*Assumptions!$B$21)/12/Assumptions!$B$7*W7,0)</f>
        <v/>
      </c>
      <c r="X100" s="55">
        <f>IF(X2&gt;=Assumptions!$B$52,X92*X17*Assumptions!$B$17+X86*(Assumptions!$B$159*MAX(0,Assumptions!$B$163-Assumptions!$B$18)+Assumptions!$B$160*MAX(0,Assumptions!$B$164-Assumptions!$B$18)+Assumptions!$B$161*MAX(0,Assumptions!$B$165-Assumptions!$B$18)+Assumptions!$B$162*MAX(0,Assumptions!$B$166-Assumptions!$B$18))*Assumptions!$B$19/Assumptions!$B$7*X7+X87*Assumptions!$B$20/Assumptions!$B$7+X85*(Assumptions!$B$157*Assumptions!$B$20+Assumptions!$B$158*Assumptions!$B$21)/12/Assumptions!$B$7*X7,0)</f>
        <v/>
      </c>
      <c r="Y100" s="55">
        <f>IF(Y2&gt;=Assumptions!$B$52,Y92*Y17*Assumptions!$B$17+Y86*(Assumptions!$B$159*MAX(0,Assumptions!$B$163-Assumptions!$B$18)+Assumptions!$B$160*MAX(0,Assumptions!$B$164-Assumptions!$B$18)+Assumptions!$B$161*MAX(0,Assumptions!$B$165-Assumptions!$B$18)+Assumptions!$B$162*MAX(0,Assumptions!$B$166-Assumptions!$B$18))*Assumptions!$B$19/Assumptions!$B$7*Y7+Y87*Assumptions!$B$20/Assumptions!$B$7+Y85*(Assumptions!$B$157*Assumptions!$B$20+Assumptions!$B$158*Assumptions!$B$21)/12/Assumptions!$B$7*Y7,0)</f>
        <v/>
      </c>
      <c r="Z100" s="55">
        <f>IF(Z2&gt;=Assumptions!$B$52,Z92*Z17*Assumptions!$B$17+Z86*(Assumptions!$B$159*MAX(0,Assumptions!$B$163-Assumptions!$B$18)+Assumptions!$B$160*MAX(0,Assumptions!$B$164-Assumptions!$B$18)+Assumptions!$B$161*MAX(0,Assumptions!$B$165-Assumptions!$B$18)+Assumptions!$B$162*MAX(0,Assumptions!$B$166-Assumptions!$B$18))*Assumptions!$B$19/Assumptions!$B$7*Z7+Z87*Assumptions!$B$20/Assumptions!$B$7+Z85*(Assumptions!$B$157*Assumptions!$B$20+Assumptions!$B$158*Assumptions!$B$21)/12/Assumptions!$B$7*Z7,0)</f>
        <v/>
      </c>
      <c r="AA100" s="55">
        <f>IF(AA2&gt;=Assumptions!$B$52,AA92*AA17*Assumptions!$B$17+AA86*(Assumptions!$B$159*MAX(0,Assumptions!$B$163-Assumptions!$B$18)+Assumptions!$B$160*MAX(0,Assumptions!$B$164-Assumptions!$B$18)+Assumptions!$B$161*MAX(0,Assumptions!$B$165-Assumptions!$B$18)+Assumptions!$B$162*MAX(0,Assumptions!$B$166-Assumptions!$B$18))*Assumptions!$B$19/Assumptions!$B$7*AA7+AA87*Assumptions!$B$20/Assumptions!$B$7+AA85*(Assumptions!$B$157*Assumptions!$B$20+Assumptions!$B$158*Assumptions!$B$21)/12/Assumptions!$B$7*AA7,0)</f>
        <v/>
      </c>
      <c r="AB100" s="55">
        <f>IF(AB2&gt;=Assumptions!$B$52,AB92*AB17*Assumptions!$B$17+AB86*(Assumptions!$B$159*MAX(0,Assumptions!$B$163-Assumptions!$B$18)+Assumptions!$B$160*MAX(0,Assumptions!$B$164-Assumptions!$B$18)+Assumptions!$B$161*MAX(0,Assumptions!$B$165-Assumptions!$B$18)+Assumptions!$B$162*MAX(0,Assumptions!$B$166-Assumptions!$B$18))*Assumptions!$B$19/Assumptions!$B$7*AB7+AB87*Assumptions!$B$20/Assumptions!$B$7+AB85*(Assumptions!$B$157*Assumptions!$B$20+Assumptions!$B$158*Assumptions!$B$21)/12/Assumptions!$B$7*AB7,0)</f>
        <v/>
      </c>
      <c r="AC100" s="55">
        <f>IF(AC2&gt;=Assumptions!$B$52,AC92*AC17*Assumptions!$B$17+AC86*(Assumptions!$B$159*MAX(0,Assumptions!$B$163-Assumptions!$B$18)+Assumptions!$B$160*MAX(0,Assumptions!$B$164-Assumptions!$B$18)+Assumptions!$B$161*MAX(0,Assumptions!$B$165-Assumptions!$B$18)+Assumptions!$B$162*MAX(0,Assumptions!$B$166-Assumptions!$B$18))*Assumptions!$B$19/Assumptions!$B$7*AC7+AC87*Assumptions!$B$20/Assumptions!$B$7+AC85*(Assumptions!$B$157*Assumptions!$B$20+Assumptions!$B$158*Assumptions!$B$21)/12/Assumptions!$B$7*AC7,0)</f>
        <v/>
      </c>
      <c r="AD100" s="55">
        <f>IF(AD2&gt;=Assumptions!$B$52,AD92*AD17*Assumptions!$B$17+AD86*(Assumptions!$B$159*MAX(0,Assumptions!$B$163-Assumptions!$B$18)+Assumptions!$B$160*MAX(0,Assumptions!$B$164-Assumptions!$B$18)+Assumptions!$B$161*MAX(0,Assumptions!$B$165-Assumptions!$B$18)+Assumptions!$B$162*MAX(0,Assumptions!$B$166-Assumptions!$B$18))*Assumptions!$B$19/Assumptions!$B$7*AD7+AD87*Assumptions!$B$20/Assumptions!$B$7+AD85*(Assumptions!$B$157*Assumptions!$B$20+Assumptions!$B$158*Assumptions!$B$21)/12/Assumptions!$B$7*AD7,0)</f>
        <v/>
      </c>
      <c r="AE100" s="55">
        <f>IF(AE2&gt;=Assumptions!$B$52,AE92*AE17*Assumptions!$B$17+AE86*(Assumptions!$B$159*MAX(0,Assumptions!$B$163-Assumptions!$B$18)+Assumptions!$B$160*MAX(0,Assumptions!$B$164-Assumptions!$B$18)+Assumptions!$B$161*MAX(0,Assumptions!$B$165-Assumptions!$B$18)+Assumptions!$B$162*MAX(0,Assumptions!$B$166-Assumptions!$B$18))*Assumptions!$B$19/Assumptions!$B$7*AE7+AE87*Assumptions!$B$20/Assumptions!$B$7+AE85*(Assumptions!$B$157*Assumptions!$B$20+Assumptions!$B$158*Assumptions!$B$21)/12/Assumptions!$B$7*AE7,0)</f>
        <v/>
      </c>
    </row>
    <row r="101">
      <c r="A101" s="6" t="inlineStr">
        <is>
          <t xml:space="preserve">  Average drawn balance outstanding</t>
        </is>
      </c>
      <c r="B101" s="23" t="inlineStr">
        <is>
          <t>USD</t>
        </is>
      </c>
      <c r="C101" s="55">
        <f>IF(C2&gt;=Assumptions!$B$53,C85*C88*(1-Assumptions!$B$189)*Assumptions!$B$167*Assumptions!$B$168,0)</f>
        <v/>
      </c>
      <c r="D101" s="55">
        <f>IF(D2&gt;=Assumptions!$B$53,D85*D88*(1-Assumptions!$B$189)*Assumptions!$B$167*Assumptions!$B$168,0)</f>
        <v/>
      </c>
      <c r="E101" s="55">
        <f>IF(E2&gt;=Assumptions!$B$53,E85*E88*(1-Assumptions!$B$189)*Assumptions!$B$167*Assumptions!$B$168,0)</f>
        <v/>
      </c>
      <c r="F101" s="55">
        <f>IF(F2&gt;=Assumptions!$B$53,F85*F88*(1-Assumptions!$B$189)*Assumptions!$B$167*Assumptions!$B$168,0)</f>
        <v/>
      </c>
      <c r="G101" s="55">
        <f>IF(G2&gt;=Assumptions!$B$53,G85*G88*(1-Assumptions!$B$189)*Assumptions!$B$167*Assumptions!$B$168,0)</f>
        <v/>
      </c>
      <c r="H101" s="55">
        <f>IF(H2&gt;=Assumptions!$B$53,H85*H88*(1-Assumptions!$B$189)*Assumptions!$B$167*Assumptions!$B$168,0)</f>
        <v/>
      </c>
      <c r="I101" s="55">
        <f>IF(I2&gt;=Assumptions!$B$53,I85*I88*(1-Assumptions!$B$189)*Assumptions!$B$167*Assumptions!$B$168,0)</f>
        <v/>
      </c>
      <c r="J101" s="55">
        <f>IF(J2&gt;=Assumptions!$B$53,J85*J88*(1-Assumptions!$B$189)*Assumptions!$B$167*Assumptions!$B$168,0)</f>
        <v/>
      </c>
      <c r="K101" s="55">
        <f>IF(K2&gt;=Assumptions!$B$53,K85*K88*(1-Assumptions!$B$189)*Assumptions!$B$167*Assumptions!$B$168,0)</f>
        <v/>
      </c>
      <c r="L101" s="55">
        <f>IF(L2&gt;=Assumptions!$B$53,L85*L88*(1-Assumptions!$B$189)*Assumptions!$B$167*Assumptions!$B$168,0)</f>
        <v/>
      </c>
      <c r="M101" s="55">
        <f>IF(M2&gt;=Assumptions!$B$53,M85*M88*(1-Assumptions!$B$189)*Assumptions!$B$167*Assumptions!$B$168,0)</f>
        <v/>
      </c>
      <c r="N101" s="55">
        <f>IF(N2&gt;=Assumptions!$B$53,N85*N88*(1-Assumptions!$B$189)*Assumptions!$B$167*Assumptions!$B$168,0)</f>
        <v/>
      </c>
      <c r="O101" s="55">
        <f>IF(O2&gt;=Assumptions!$B$53,O85*O88*(1-Assumptions!$B$189)*Assumptions!$B$167*Assumptions!$B$168,0)</f>
        <v/>
      </c>
      <c r="P101" s="55">
        <f>IF(P2&gt;=Assumptions!$B$53,P85*P88*(1-Assumptions!$B$189)*Assumptions!$B$167*Assumptions!$B$168,0)</f>
        <v/>
      </c>
      <c r="Q101" s="55">
        <f>IF(Q2&gt;=Assumptions!$B$53,Q85*Q88*(1-Assumptions!$B$189)*Assumptions!$B$167*Assumptions!$B$168,0)</f>
        <v/>
      </c>
      <c r="R101" s="55">
        <f>IF(R2&gt;=Assumptions!$B$53,R85*R88*(1-Assumptions!$B$189)*Assumptions!$B$167*Assumptions!$B$168,0)</f>
        <v/>
      </c>
      <c r="S101" s="55">
        <f>IF(S2&gt;=Assumptions!$B$53,S85*S88*(1-Assumptions!$B$189)*Assumptions!$B$167*Assumptions!$B$168,0)</f>
        <v/>
      </c>
      <c r="T101" s="55">
        <f>IF(T2&gt;=Assumptions!$B$53,T85*T88*(1-Assumptions!$B$189)*Assumptions!$B$167*Assumptions!$B$168,0)</f>
        <v/>
      </c>
      <c r="U101" s="55">
        <f>IF(U2&gt;=Assumptions!$B$53,U85*U88*(1-Assumptions!$B$189)*Assumptions!$B$167*Assumptions!$B$168,0)</f>
        <v/>
      </c>
      <c r="V101" s="55">
        <f>IF(V2&gt;=Assumptions!$B$53,V85*V88*(1-Assumptions!$B$189)*Assumptions!$B$167*Assumptions!$B$168,0)</f>
        <v/>
      </c>
      <c r="W101" s="55">
        <f>IF(W2&gt;=Assumptions!$B$53,W85*W88*(1-Assumptions!$B$189)*Assumptions!$B$167*Assumptions!$B$168,0)</f>
        <v/>
      </c>
      <c r="X101" s="55">
        <f>IF(X2&gt;=Assumptions!$B$53,X85*X88*(1-Assumptions!$B$189)*Assumptions!$B$167*Assumptions!$B$168,0)</f>
        <v/>
      </c>
      <c r="Y101" s="55">
        <f>IF(Y2&gt;=Assumptions!$B$53,Y85*Y88*(1-Assumptions!$B$189)*Assumptions!$B$167*Assumptions!$B$168,0)</f>
        <v/>
      </c>
      <c r="Z101" s="55">
        <f>IF(Z2&gt;=Assumptions!$B$53,Z85*Z88*(1-Assumptions!$B$189)*Assumptions!$B$167*Assumptions!$B$168,0)</f>
        <v/>
      </c>
      <c r="AA101" s="55">
        <f>IF(AA2&gt;=Assumptions!$B$53,AA85*AA88*(1-Assumptions!$B$189)*Assumptions!$B$167*Assumptions!$B$168,0)</f>
        <v/>
      </c>
      <c r="AB101" s="55">
        <f>IF(AB2&gt;=Assumptions!$B$53,AB85*AB88*(1-Assumptions!$B$189)*Assumptions!$B$167*Assumptions!$B$168,0)</f>
        <v/>
      </c>
      <c r="AC101" s="55">
        <f>IF(AC2&gt;=Assumptions!$B$53,AC85*AC88*(1-Assumptions!$B$189)*Assumptions!$B$167*Assumptions!$B$168,0)</f>
        <v/>
      </c>
      <c r="AD101" s="55">
        <f>IF(AD2&gt;=Assumptions!$B$53,AD85*AD88*(1-Assumptions!$B$189)*Assumptions!$B$167*Assumptions!$B$168,0)</f>
        <v/>
      </c>
      <c r="AE101" s="55">
        <f>IF(AE2&gt;=Assumptions!$B$53,AE85*AE88*(1-Assumptions!$B$189)*Assumptions!$B$167*Assumptions!$B$168,0)</f>
        <v/>
      </c>
    </row>
    <row r="102">
      <c r="A102" s="6" t="inlineStr">
        <is>
          <t xml:space="preserve">  Stream 5 - Lending revenue share</t>
        </is>
      </c>
      <c r="B102" s="23" t="inlineStr">
        <is>
          <t>USD</t>
        </is>
      </c>
      <c r="C102" s="55">
        <f>IF(C2&gt;=Assumptions!$B$53,(C101*Assumptions!$B$29*Assumptions!$B$30+C86*C89*(1-Assumptions!$B$189)*Assumptions!$B$27*Assumptions!$B$28)*C7/12,0)</f>
        <v/>
      </c>
      <c r="D102" s="55">
        <f>IF(D2&gt;=Assumptions!$B$53,(D101*Assumptions!$B$29*Assumptions!$B$30+D86*D89*(1-Assumptions!$B$189)*Assumptions!$B$27*Assumptions!$B$28)*D7/12,0)</f>
        <v/>
      </c>
      <c r="E102" s="55">
        <f>IF(E2&gt;=Assumptions!$B$53,(E101*Assumptions!$B$29*Assumptions!$B$30+E86*E89*(1-Assumptions!$B$189)*Assumptions!$B$27*Assumptions!$B$28)*E7/12,0)</f>
        <v/>
      </c>
      <c r="F102" s="55">
        <f>IF(F2&gt;=Assumptions!$B$53,(F101*Assumptions!$B$29*Assumptions!$B$30+F86*F89*(1-Assumptions!$B$189)*Assumptions!$B$27*Assumptions!$B$28)*F7/12,0)</f>
        <v/>
      </c>
      <c r="G102" s="55">
        <f>IF(G2&gt;=Assumptions!$B$53,(G101*Assumptions!$B$29*Assumptions!$B$30+G86*G89*(1-Assumptions!$B$189)*Assumptions!$B$27*Assumptions!$B$28)*G7/12,0)</f>
        <v/>
      </c>
      <c r="H102" s="55">
        <f>IF(H2&gt;=Assumptions!$B$53,(H101*Assumptions!$B$29*Assumptions!$B$30+H86*H89*(1-Assumptions!$B$189)*Assumptions!$B$27*Assumptions!$B$28)*H7/12,0)</f>
        <v/>
      </c>
      <c r="I102" s="55">
        <f>IF(I2&gt;=Assumptions!$B$53,(I101*Assumptions!$B$29*Assumptions!$B$30+I86*I89*(1-Assumptions!$B$189)*Assumptions!$B$27*Assumptions!$B$28)*I7/12,0)</f>
        <v/>
      </c>
      <c r="J102" s="55">
        <f>IF(J2&gt;=Assumptions!$B$53,(J101*Assumptions!$B$29*Assumptions!$B$30+J86*J89*(1-Assumptions!$B$189)*Assumptions!$B$27*Assumptions!$B$28)*J7/12,0)</f>
        <v/>
      </c>
      <c r="K102" s="55">
        <f>IF(K2&gt;=Assumptions!$B$53,(K101*Assumptions!$B$29*Assumptions!$B$30+K86*K89*(1-Assumptions!$B$189)*Assumptions!$B$27*Assumptions!$B$28)*K7/12,0)</f>
        <v/>
      </c>
      <c r="L102" s="55">
        <f>IF(L2&gt;=Assumptions!$B$53,(L101*Assumptions!$B$29*Assumptions!$B$30+L86*L89*(1-Assumptions!$B$189)*Assumptions!$B$27*Assumptions!$B$28)*L7/12,0)</f>
        <v/>
      </c>
      <c r="M102" s="55">
        <f>IF(M2&gt;=Assumptions!$B$53,(M101*Assumptions!$B$29*Assumptions!$B$30+M86*M89*(1-Assumptions!$B$189)*Assumptions!$B$27*Assumptions!$B$28)*M7/12,0)</f>
        <v/>
      </c>
      <c r="N102" s="55">
        <f>IF(N2&gt;=Assumptions!$B$53,(N101*Assumptions!$B$29*Assumptions!$B$30+N86*N89*(1-Assumptions!$B$189)*Assumptions!$B$27*Assumptions!$B$28)*N7/12,0)</f>
        <v/>
      </c>
      <c r="O102" s="55">
        <f>IF(O2&gt;=Assumptions!$B$53,(O101*Assumptions!$B$29*Assumptions!$B$30+O86*O89*(1-Assumptions!$B$189)*Assumptions!$B$27*Assumptions!$B$28)*O7/12,0)</f>
        <v/>
      </c>
      <c r="P102" s="55">
        <f>IF(P2&gt;=Assumptions!$B$53,(P101*Assumptions!$B$29*Assumptions!$B$30+P86*P89*(1-Assumptions!$B$189)*Assumptions!$B$27*Assumptions!$B$28)*P7/12,0)</f>
        <v/>
      </c>
      <c r="Q102" s="55">
        <f>IF(Q2&gt;=Assumptions!$B$53,(Q101*Assumptions!$B$29*Assumptions!$B$30+Q86*Q89*(1-Assumptions!$B$189)*Assumptions!$B$27*Assumptions!$B$28)*Q7/12,0)</f>
        <v/>
      </c>
      <c r="R102" s="55">
        <f>IF(R2&gt;=Assumptions!$B$53,(R101*Assumptions!$B$29*Assumptions!$B$30+R86*R89*(1-Assumptions!$B$189)*Assumptions!$B$27*Assumptions!$B$28)*R7/12,0)</f>
        <v/>
      </c>
      <c r="S102" s="55">
        <f>IF(S2&gt;=Assumptions!$B$53,(S101*Assumptions!$B$29*Assumptions!$B$30+S86*S89*(1-Assumptions!$B$189)*Assumptions!$B$27*Assumptions!$B$28)*S7/12,0)</f>
        <v/>
      </c>
      <c r="T102" s="55">
        <f>IF(T2&gt;=Assumptions!$B$53,(T101*Assumptions!$B$29*Assumptions!$B$30+T86*T89*(1-Assumptions!$B$189)*Assumptions!$B$27*Assumptions!$B$28)*T7/12,0)</f>
        <v/>
      </c>
      <c r="U102" s="55">
        <f>IF(U2&gt;=Assumptions!$B$53,(U101*Assumptions!$B$29*Assumptions!$B$30+U86*U89*(1-Assumptions!$B$189)*Assumptions!$B$27*Assumptions!$B$28)*U7/12,0)</f>
        <v/>
      </c>
      <c r="V102" s="55">
        <f>IF(V2&gt;=Assumptions!$B$53,(V101*Assumptions!$B$29*Assumptions!$B$30+V86*V89*(1-Assumptions!$B$189)*Assumptions!$B$27*Assumptions!$B$28)*V7/12,0)</f>
        <v/>
      </c>
      <c r="W102" s="55">
        <f>IF(W2&gt;=Assumptions!$B$53,(W101*Assumptions!$B$29*Assumptions!$B$30+W86*W89*(1-Assumptions!$B$189)*Assumptions!$B$27*Assumptions!$B$28)*W7/12,0)</f>
        <v/>
      </c>
      <c r="X102" s="55">
        <f>IF(X2&gt;=Assumptions!$B$53,(X101*Assumptions!$B$29*Assumptions!$B$30+X86*X89*(1-Assumptions!$B$189)*Assumptions!$B$27*Assumptions!$B$28)*X7/12,0)</f>
        <v/>
      </c>
      <c r="Y102" s="55">
        <f>IF(Y2&gt;=Assumptions!$B$53,(Y101*Assumptions!$B$29*Assumptions!$B$30+Y86*Y89*(1-Assumptions!$B$189)*Assumptions!$B$27*Assumptions!$B$28)*Y7/12,0)</f>
        <v/>
      </c>
      <c r="Z102" s="55">
        <f>IF(Z2&gt;=Assumptions!$B$53,(Z101*Assumptions!$B$29*Assumptions!$B$30+Z86*Z89*(1-Assumptions!$B$189)*Assumptions!$B$27*Assumptions!$B$28)*Z7/12,0)</f>
        <v/>
      </c>
      <c r="AA102" s="55">
        <f>IF(AA2&gt;=Assumptions!$B$53,(AA101*Assumptions!$B$29*Assumptions!$B$30+AA86*AA89*(1-Assumptions!$B$189)*Assumptions!$B$27*Assumptions!$B$28)*AA7/12,0)</f>
        <v/>
      </c>
      <c r="AB102" s="55">
        <f>IF(AB2&gt;=Assumptions!$B$53,(AB101*Assumptions!$B$29*Assumptions!$B$30+AB86*AB89*(1-Assumptions!$B$189)*Assumptions!$B$27*Assumptions!$B$28)*AB7/12,0)</f>
        <v/>
      </c>
      <c r="AC102" s="55">
        <f>IF(AC2&gt;=Assumptions!$B$53,(AC101*Assumptions!$B$29*Assumptions!$B$30+AC86*AC89*(1-Assumptions!$B$189)*Assumptions!$B$27*Assumptions!$B$28)*AC7/12,0)</f>
        <v/>
      </c>
      <c r="AD102" s="55">
        <f>IF(AD2&gt;=Assumptions!$B$53,(AD101*Assumptions!$B$29*Assumptions!$B$30+AD86*AD89*(1-Assumptions!$B$189)*Assumptions!$B$27*Assumptions!$B$28)*AD7/12,0)</f>
        <v/>
      </c>
      <c r="AE102" s="55">
        <f>IF(AE2&gt;=Assumptions!$B$53,(AE101*Assumptions!$B$29*Assumptions!$B$30+AE86*AE89*(1-Assumptions!$B$189)*Assumptions!$B$27*Assumptions!$B$28)*AE7/12,0)</f>
        <v/>
      </c>
    </row>
    <row r="103">
      <c r="A103" s="6" t="inlineStr">
        <is>
          <t xml:space="preserve">  Redemption events (memo - drives cost, not revenue)</t>
        </is>
      </c>
      <c r="B103" s="23" t="inlineStr">
        <is>
          <t>events</t>
        </is>
      </c>
      <c r="C103" s="45">
        <f>IF(C2&gt;=Assumptions!$B$49,(C71+C73*Assumptions!$B$149)*Assumptions!$B$148*C7/12,0)</f>
        <v/>
      </c>
      <c r="D103" s="45">
        <f>IF(D2&gt;=Assumptions!$B$49,(D71+D73*Assumptions!$B$149)*Assumptions!$B$148*D7/12,0)</f>
        <v/>
      </c>
      <c r="E103" s="45">
        <f>IF(E2&gt;=Assumptions!$B$49,(E71+E73*Assumptions!$B$149)*Assumptions!$B$148*E7/12,0)</f>
        <v/>
      </c>
      <c r="F103" s="45">
        <f>IF(F2&gt;=Assumptions!$B$49,(F71+F73*Assumptions!$B$149)*Assumptions!$B$148*F7/12,0)</f>
        <v/>
      </c>
      <c r="G103" s="45">
        <f>IF(G2&gt;=Assumptions!$B$49,(G71+G73*Assumptions!$B$149)*Assumptions!$B$148*G7/12,0)</f>
        <v/>
      </c>
      <c r="H103" s="45">
        <f>IF(H2&gt;=Assumptions!$B$49,(H71+H73*Assumptions!$B$149)*Assumptions!$B$148*H7/12,0)</f>
        <v/>
      </c>
      <c r="I103" s="45">
        <f>IF(I2&gt;=Assumptions!$B$49,(I71+I73*Assumptions!$B$149)*Assumptions!$B$148*I7/12,0)</f>
        <v/>
      </c>
      <c r="J103" s="45">
        <f>IF(J2&gt;=Assumptions!$B$49,(J71+J73*Assumptions!$B$149)*Assumptions!$B$148*J7/12,0)</f>
        <v/>
      </c>
      <c r="K103" s="45">
        <f>IF(K2&gt;=Assumptions!$B$49,(K71+K73*Assumptions!$B$149)*Assumptions!$B$148*K7/12,0)</f>
        <v/>
      </c>
      <c r="L103" s="45">
        <f>IF(L2&gt;=Assumptions!$B$49,(L71+L73*Assumptions!$B$149)*Assumptions!$B$148*L7/12,0)</f>
        <v/>
      </c>
      <c r="M103" s="45">
        <f>IF(M2&gt;=Assumptions!$B$49,(M71+M73*Assumptions!$B$149)*Assumptions!$B$148*M7/12,0)</f>
        <v/>
      </c>
      <c r="N103" s="45">
        <f>IF(N2&gt;=Assumptions!$B$49,(N71+N73*Assumptions!$B$149)*Assumptions!$B$148*N7/12,0)</f>
        <v/>
      </c>
      <c r="O103" s="45">
        <f>IF(O2&gt;=Assumptions!$B$49,(O71+O73*Assumptions!$B$149)*Assumptions!$B$148*O7/12,0)</f>
        <v/>
      </c>
      <c r="P103" s="45">
        <f>IF(P2&gt;=Assumptions!$B$49,(P71+P73*Assumptions!$B$149)*Assumptions!$B$148*P7/12,0)</f>
        <v/>
      </c>
      <c r="Q103" s="45">
        <f>IF(Q2&gt;=Assumptions!$B$49,(Q71+Q73*Assumptions!$B$149)*Assumptions!$B$148*Q7/12,0)</f>
        <v/>
      </c>
      <c r="R103" s="45">
        <f>IF(R2&gt;=Assumptions!$B$49,(R71+R73*Assumptions!$B$149)*Assumptions!$B$148*R7/12,0)</f>
        <v/>
      </c>
      <c r="S103" s="45">
        <f>IF(S2&gt;=Assumptions!$B$49,(S71+S73*Assumptions!$B$149)*Assumptions!$B$148*S7/12,0)</f>
        <v/>
      </c>
      <c r="T103" s="45">
        <f>IF(T2&gt;=Assumptions!$B$49,(T71+T73*Assumptions!$B$149)*Assumptions!$B$148*T7/12,0)</f>
        <v/>
      </c>
      <c r="U103" s="45">
        <f>IF(U2&gt;=Assumptions!$B$49,(U71+U73*Assumptions!$B$149)*Assumptions!$B$148*U7/12,0)</f>
        <v/>
      </c>
      <c r="V103" s="45">
        <f>IF(V2&gt;=Assumptions!$B$49,(V71+V73*Assumptions!$B$149)*Assumptions!$B$148*V7/12,0)</f>
        <v/>
      </c>
      <c r="W103" s="45">
        <f>IF(W2&gt;=Assumptions!$B$49,(W71+W73*Assumptions!$B$149)*Assumptions!$B$148*W7/12,0)</f>
        <v/>
      </c>
      <c r="X103" s="45">
        <f>IF(X2&gt;=Assumptions!$B$49,(X71+X73*Assumptions!$B$149)*Assumptions!$B$148*X7/12,0)</f>
        <v/>
      </c>
      <c r="Y103" s="45">
        <f>IF(Y2&gt;=Assumptions!$B$49,(Y71+Y73*Assumptions!$B$149)*Assumptions!$B$148*Y7/12,0)</f>
        <v/>
      </c>
      <c r="Z103" s="45">
        <f>IF(Z2&gt;=Assumptions!$B$49,(Z71+Z73*Assumptions!$B$149)*Assumptions!$B$148*Z7/12,0)</f>
        <v/>
      </c>
      <c r="AA103" s="45">
        <f>IF(AA2&gt;=Assumptions!$B$49,(AA71+AA73*Assumptions!$B$149)*Assumptions!$B$148*AA7/12,0)</f>
        <v/>
      </c>
      <c r="AB103" s="45">
        <f>IF(AB2&gt;=Assumptions!$B$49,(AB71+AB73*Assumptions!$B$149)*Assumptions!$B$148*AB7/12,0)</f>
        <v/>
      </c>
      <c r="AC103" s="45">
        <f>IF(AC2&gt;=Assumptions!$B$49,(AC71+AC73*Assumptions!$B$149)*Assumptions!$B$148*AC7/12,0)</f>
        <v/>
      </c>
      <c r="AD103" s="45">
        <f>IF(AD2&gt;=Assumptions!$B$49,(AD71+AD73*Assumptions!$B$149)*Assumptions!$B$148*AD7/12,0)</f>
        <v/>
      </c>
      <c r="AE103" s="45">
        <f>IF(AE2&gt;=Assumptions!$B$49,(AE71+AE73*Assumptions!$B$149)*Assumptions!$B$148*AE7/12,0)</f>
        <v/>
      </c>
    </row>
    <row r="104">
      <c r="A104" s="3" t="inlineStr">
        <is>
          <t xml:space="preserve">  SUBTOTAL - Oman and Bahrain</t>
        </is>
      </c>
      <c r="B104" s="23" t="inlineStr">
        <is>
          <t>USD</t>
        </is>
      </c>
      <c r="C104" s="57">
        <f>C95+C96+C97+C99+C100+C102</f>
        <v/>
      </c>
      <c r="D104" s="57">
        <f>D95+D96+D97+D99+D100+D102</f>
        <v/>
      </c>
      <c r="E104" s="57">
        <f>E95+E96+E97+E99+E100+E102</f>
        <v/>
      </c>
      <c r="F104" s="57">
        <f>F95+F96+F97+F99+F100+F102</f>
        <v/>
      </c>
      <c r="G104" s="57">
        <f>G95+G96+G97+G99+G100+G102</f>
        <v/>
      </c>
      <c r="H104" s="57">
        <f>H95+H96+H97+H99+H100+H102</f>
        <v/>
      </c>
      <c r="I104" s="57">
        <f>I95+I96+I97+I99+I100+I102</f>
        <v/>
      </c>
      <c r="J104" s="57">
        <f>J95+J96+J97+J99+J100+J102</f>
        <v/>
      </c>
      <c r="K104" s="57">
        <f>K95+K96+K97+K99+K100+K102</f>
        <v/>
      </c>
      <c r="L104" s="57">
        <f>L95+L96+L97+L99+L100+L102</f>
        <v/>
      </c>
      <c r="M104" s="57">
        <f>M95+M96+M97+M99+M100+M102</f>
        <v/>
      </c>
      <c r="N104" s="57">
        <f>N95+N96+N97+N99+N100+N102</f>
        <v/>
      </c>
      <c r="O104" s="57">
        <f>O95+O96+O97+O99+O100+O102</f>
        <v/>
      </c>
      <c r="P104" s="57">
        <f>P95+P96+P97+P99+P100+P102</f>
        <v/>
      </c>
      <c r="Q104" s="57">
        <f>Q95+Q96+Q97+Q99+Q100+Q102</f>
        <v/>
      </c>
      <c r="R104" s="57">
        <f>R95+R96+R97+R99+R100+R102</f>
        <v/>
      </c>
      <c r="S104" s="57">
        <f>S95+S96+S97+S99+S100+S102</f>
        <v/>
      </c>
      <c r="T104" s="57">
        <f>T95+T96+T97+T99+T100+T102</f>
        <v/>
      </c>
      <c r="U104" s="57">
        <f>U95+U96+U97+U99+U100+U102</f>
        <v/>
      </c>
      <c r="V104" s="57">
        <f>V95+V96+V97+V99+V100+V102</f>
        <v/>
      </c>
      <c r="W104" s="57">
        <f>W95+W96+W97+W99+W100+W102</f>
        <v/>
      </c>
      <c r="X104" s="57">
        <f>X95+X96+X97+X99+X100+X102</f>
        <v/>
      </c>
      <c r="Y104" s="57">
        <f>Y95+Y96+Y97+Y99+Y100+Y102</f>
        <v/>
      </c>
      <c r="Z104" s="57">
        <f>Z95+Z96+Z97+Z99+Z100+Z102</f>
        <v/>
      </c>
      <c r="AA104" s="57">
        <f>AA95+AA96+AA97+AA99+AA100+AA102</f>
        <v/>
      </c>
      <c r="AB104" s="57">
        <f>AB95+AB96+AB97+AB99+AB100+AB102</f>
        <v/>
      </c>
      <c r="AC104" s="57">
        <f>AC95+AC96+AC97+AC99+AC100+AC102</f>
        <v/>
      </c>
      <c r="AD104" s="57">
        <f>AD95+AD96+AD97+AD99+AD100+AD102</f>
        <v/>
      </c>
      <c r="AE104" s="57">
        <f>AE95+AE96+AE97+AE99+AE100+AE102</f>
        <v/>
      </c>
    </row>
    <row r="106">
      <c r="A106" s="46" t="inlineStr">
        <is>
          <t>REGION: INDIA</t>
        </is>
      </c>
      <c r="B106" s="47" t="n"/>
      <c r="C106" s="47" t="n"/>
      <c r="D106" s="47" t="n"/>
      <c r="E106" s="47" t="n"/>
      <c r="F106" s="47" t="n"/>
      <c r="G106" s="47" t="n"/>
      <c r="H106" s="47" t="n"/>
      <c r="I106" s="47" t="n"/>
      <c r="J106" s="47" t="n"/>
      <c r="K106" s="47" t="n"/>
      <c r="L106" s="47" t="n"/>
      <c r="M106" s="47" t="n"/>
      <c r="N106" s="47" t="n"/>
      <c r="O106" s="47" t="n"/>
      <c r="P106" s="47" t="n"/>
      <c r="Q106" s="47" t="n"/>
      <c r="R106" s="47" t="n"/>
      <c r="S106" s="47" t="n"/>
      <c r="T106" s="47" t="n"/>
      <c r="U106" s="47" t="n"/>
      <c r="V106" s="47" t="n"/>
      <c r="W106" s="47" t="n"/>
      <c r="X106" s="47" t="n"/>
      <c r="Y106" s="47" t="n"/>
      <c r="Z106" s="47" t="n"/>
      <c r="AA106" s="47" t="n"/>
      <c r="AB106" s="47" t="n"/>
      <c r="AC106" s="47" t="n"/>
      <c r="AD106" s="47" t="n"/>
      <c r="AE106" s="47" t="n"/>
    </row>
    <row r="107">
      <c r="A107" s="6" t="inlineStr">
        <is>
          <t xml:space="preserve">  Direct-driven (this market's budget at its own CAC)</t>
        </is>
      </c>
      <c r="B107" s="23" t="inlineStr">
        <is>
          <t>accounts</t>
        </is>
      </c>
      <c r="C107" s="53">
        <f>INDEX(Assumptions!$B$114:$B$120,C5)*Assumptions!$B$140/12*C7/Assumptions!$B$137*(1+Assumptions!$B$143)*IF(C2&gt;=Assumptions!$B$57,1,0)</f>
        <v/>
      </c>
      <c r="D107" s="53">
        <f>INDEX(Assumptions!$B$114:$B$120,D5)*Assumptions!$B$140/12*D7/Assumptions!$B$137*(1+Assumptions!$B$143)*IF(D2&gt;=Assumptions!$B$57,1,0)</f>
        <v/>
      </c>
      <c r="E107" s="53">
        <f>INDEX(Assumptions!$B$114:$B$120,E5)*Assumptions!$B$140/12*E7/Assumptions!$B$137*(1+Assumptions!$B$143)*IF(E2&gt;=Assumptions!$B$57,1,0)</f>
        <v/>
      </c>
      <c r="F107" s="53">
        <f>INDEX(Assumptions!$B$114:$B$120,F5)*Assumptions!$B$140/12*F7/Assumptions!$B$137*(1+Assumptions!$B$143)*IF(F2&gt;=Assumptions!$B$57,1,0)</f>
        <v/>
      </c>
      <c r="G107" s="53">
        <f>INDEX(Assumptions!$B$114:$B$120,G5)*Assumptions!$B$140/12*G7/Assumptions!$B$137*(1+Assumptions!$B$143)*IF(G2&gt;=Assumptions!$B$57,1,0)</f>
        <v/>
      </c>
      <c r="H107" s="53">
        <f>INDEX(Assumptions!$B$114:$B$120,H5)*Assumptions!$B$140/12*H7/Assumptions!$B$137*(1+Assumptions!$B$143)*IF(H2&gt;=Assumptions!$B$57,1,0)</f>
        <v/>
      </c>
      <c r="I107" s="53">
        <f>INDEX(Assumptions!$B$114:$B$120,I5)*Assumptions!$B$140/12*I7/Assumptions!$B$137*(1+Assumptions!$B$143)*IF(I2&gt;=Assumptions!$B$57,1,0)</f>
        <v/>
      </c>
      <c r="J107" s="53">
        <f>INDEX(Assumptions!$B$114:$B$120,J5)*Assumptions!$B$140/12*J7/Assumptions!$B$137*(1+Assumptions!$B$143)*IF(J2&gt;=Assumptions!$B$57,1,0)</f>
        <v/>
      </c>
      <c r="K107" s="53">
        <f>INDEX(Assumptions!$B$114:$B$120,K5)*Assumptions!$B$140/12*K7/Assumptions!$B$137*(1+Assumptions!$B$143)*IF(K2&gt;=Assumptions!$B$57,1,0)</f>
        <v/>
      </c>
      <c r="L107" s="53">
        <f>INDEX(Assumptions!$B$114:$B$120,L5)*Assumptions!$B$140/12*L7/Assumptions!$B$137*(1+Assumptions!$B$143)*IF(L2&gt;=Assumptions!$B$57,1,0)</f>
        <v/>
      </c>
      <c r="M107" s="53">
        <f>INDEX(Assumptions!$B$114:$B$120,M5)*Assumptions!$B$140/12*M7/Assumptions!$B$137*(1+Assumptions!$B$143)*IF(M2&gt;=Assumptions!$B$57,1,0)</f>
        <v/>
      </c>
      <c r="N107" s="53">
        <f>INDEX(Assumptions!$B$114:$B$120,N5)*Assumptions!$B$140/12*N7/Assumptions!$B$137*(1+Assumptions!$B$143)*IF(N2&gt;=Assumptions!$B$57,1,0)</f>
        <v/>
      </c>
      <c r="O107" s="53">
        <f>INDEX(Assumptions!$B$114:$B$120,O5)*Assumptions!$B$140/12*O7/Assumptions!$B$137*(1+Assumptions!$B$143)*IF(O2&gt;=Assumptions!$B$57,1,0)</f>
        <v/>
      </c>
      <c r="P107" s="53">
        <f>INDEX(Assumptions!$B$114:$B$120,P5)*Assumptions!$B$140/12*P7/Assumptions!$B$137*(1+Assumptions!$B$143)*IF(P2&gt;=Assumptions!$B$57,1,0)</f>
        <v/>
      </c>
      <c r="Q107" s="53">
        <f>INDEX(Assumptions!$B$114:$B$120,Q5)*Assumptions!$B$140/12*Q7/Assumptions!$B$137*(1+Assumptions!$B$143)*IF(Q2&gt;=Assumptions!$B$57,1,0)</f>
        <v/>
      </c>
      <c r="R107" s="53">
        <f>INDEX(Assumptions!$B$114:$B$120,R5)*Assumptions!$B$140/12*R7/Assumptions!$B$137*(1+Assumptions!$B$143)*IF(R2&gt;=Assumptions!$B$57,1,0)</f>
        <v/>
      </c>
      <c r="S107" s="53">
        <f>INDEX(Assumptions!$B$114:$B$120,S5)*Assumptions!$B$140/12*S7/Assumptions!$B$137*(1+Assumptions!$B$143)*IF(S2&gt;=Assumptions!$B$57,1,0)</f>
        <v/>
      </c>
      <c r="T107" s="53">
        <f>INDEX(Assumptions!$B$114:$B$120,T5)*Assumptions!$B$140/12*T7/Assumptions!$B$137*(1+Assumptions!$B$143)*IF(T2&gt;=Assumptions!$B$57,1,0)</f>
        <v/>
      </c>
      <c r="U107" s="53">
        <f>INDEX(Assumptions!$B$114:$B$120,U5)*Assumptions!$B$140/12*U7/Assumptions!$B$137*(1+Assumptions!$B$143)*IF(U2&gt;=Assumptions!$B$57,1,0)</f>
        <v/>
      </c>
      <c r="V107" s="53">
        <f>INDEX(Assumptions!$B$114:$B$120,V5)*Assumptions!$B$140/12*V7/Assumptions!$B$137*(1+Assumptions!$B$143)*IF(V2&gt;=Assumptions!$B$57,1,0)</f>
        <v/>
      </c>
      <c r="W107" s="53">
        <f>INDEX(Assumptions!$B$114:$B$120,W5)*Assumptions!$B$140/12*W7/Assumptions!$B$137*(1+Assumptions!$B$143)*IF(W2&gt;=Assumptions!$B$57,1,0)</f>
        <v/>
      </c>
      <c r="X107" s="53">
        <f>INDEX(Assumptions!$B$114:$B$120,X5)*Assumptions!$B$140/12*X7/Assumptions!$B$137*(1+Assumptions!$B$143)*IF(X2&gt;=Assumptions!$B$57,1,0)</f>
        <v/>
      </c>
      <c r="Y107" s="53">
        <f>INDEX(Assumptions!$B$114:$B$120,Y5)*Assumptions!$B$140/12*Y7/Assumptions!$B$137*(1+Assumptions!$B$143)*IF(Y2&gt;=Assumptions!$B$57,1,0)</f>
        <v/>
      </c>
      <c r="Z107" s="53">
        <f>INDEX(Assumptions!$B$114:$B$120,Z5)*Assumptions!$B$140/12*Z7/Assumptions!$B$137*(1+Assumptions!$B$143)*IF(Z2&gt;=Assumptions!$B$57,1,0)</f>
        <v/>
      </c>
      <c r="AA107" s="53">
        <f>INDEX(Assumptions!$B$114:$B$120,AA5)*Assumptions!$B$140/12*AA7/Assumptions!$B$137*(1+Assumptions!$B$143)*IF(AA2&gt;=Assumptions!$B$57,1,0)</f>
        <v/>
      </c>
      <c r="AB107" s="53">
        <f>INDEX(Assumptions!$B$114:$B$120,AB5)*Assumptions!$B$140/12*AB7/Assumptions!$B$137*(1+Assumptions!$B$143)*IF(AB2&gt;=Assumptions!$B$57,1,0)</f>
        <v/>
      </c>
      <c r="AC107" s="53">
        <f>INDEX(Assumptions!$B$114:$B$120,AC5)*Assumptions!$B$140/12*AC7/Assumptions!$B$137*(1+Assumptions!$B$143)*IF(AC2&gt;=Assumptions!$B$57,1,0)</f>
        <v/>
      </c>
      <c r="AD107" s="53">
        <f>INDEX(Assumptions!$B$114:$B$120,AD5)*Assumptions!$B$140/12*AD7/Assumptions!$B$137*(1+Assumptions!$B$143)*IF(AD2&gt;=Assumptions!$B$57,1,0)</f>
        <v/>
      </c>
      <c r="AE107" s="53">
        <f>INDEX(Assumptions!$B$114:$B$120,AE5)*Assumptions!$B$140/12*AE7/Assumptions!$B$137*(1+Assumptions!$B$143)*IF(AE2&gt;=Assumptions!$B$57,1,0)</f>
        <v/>
      </c>
    </row>
    <row r="108">
      <c r="A108" s="6" t="inlineStr">
        <is>
          <t xml:space="preserve">  Referral-driven (from this market's own base)</t>
        </is>
      </c>
      <c r="B108" s="23" t="inlineStr">
        <is>
          <t>accounts</t>
        </is>
      </c>
      <c r="C108" s="54" t="n">
        <v>0</v>
      </c>
      <c r="D108" s="54">
        <f>IF(D2&gt;=Assumptions!$B$55,C113*Assumptions!$B$141/12*Assumptions!$B$142*D7,0)</f>
        <v/>
      </c>
      <c r="E108" s="54">
        <f>IF(E2&gt;=Assumptions!$B$55,D113*Assumptions!$B$141/12*Assumptions!$B$142*E7,0)</f>
        <v/>
      </c>
      <c r="F108" s="54">
        <f>IF(F2&gt;=Assumptions!$B$55,E113*Assumptions!$B$141/12*Assumptions!$B$142*F7,0)</f>
        <v/>
      </c>
      <c r="G108" s="54">
        <f>IF(G2&gt;=Assumptions!$B$55,F113*Assumptions!$B$141/12*Assumptions!$B$142*G7,0)</f>
        <v/>
      </c>
      <c r="H108" s="54">
        <f>IF(H2&gt;=Assumptions!$B$55,G113*Assumptions!$B$141/12*Assumptions!$B$142*H7,0)</f>
        <v/>
      </c>
      <c r="I108" s="54">
        <f>IF(I2&gt;=Assumptions!$B$55,H113*Assumptions!$B$141/12*Assumptions!$B$142*I7,0)</f>
        <v/>
      </c>
      <c r="J108" s="54">
        <f>IF(J2&gt;=Assumptions!$B$55,I113*Assumptions!$B$141/12*Assumptions!$B$142*J7,0)</f>
        <v/>
      </c>
      <c r="K108" s="54">
        <f>IF(K2&gt;=Assumptions!$B$55,J113*Assumptions!$B$141/12*Assumptions!$B$142*K7,0)</f>
        <v/>
      </c>
      <c r="L108" s="54">
        <f>IF(L2&gt;=Assumptions!$B$55,K113*Assumptions!$B$141/12*Assumptions!$B$142*L7,0)</f>
        <v/>
      </c>
      <c r="M108" s="54">
        <f>IF(M2&gt;=Assumptions!$B$55,L113*Assumptions!$B$141/12*Assumptions!$B$142*M7,0)</f>
        <v/>
      </c>
      <c r="N108" s="54">
        <f>IF(N2&gt;=Assumptions!$B$55,M113*Assumptions!$B$141/12*Assumptions!$B$142*N7,0)</f>
        <v/>
      </c>
      <c r="O108" s="54">
        <f>IF(O2&gt;=Assumptions!$B$55,N113*Assumptions!$B$141/12*Assumptions!$B$142*O7,0)</f>
        <v/>
      </c>
      <c r="P108" s="54">
        <f>IF(P2&gt;=Assumptions!$B$55,O113*Assumptions!$B$141/12*Assumptions!$B$142*P7,0)</f>
        <v/>
      </c>
      <c r="Q108" s="54">
        <f>IF(Q2&gt;=Assumptions!$B$55,P113*Assumptions!$B$141/12*Assumptions!$B$142*Q7,0)</f>
        <v/>
      </c>
      <c r="R108" s="54">
        <f>IF(R2&gt;=Assumptions!$B$55,Q113*Assumptions!$B$141/12*Assumptions!$B$142*R7,0)</f>
        <v/>
      </c>
      <c r="S108" s="54">
        <f>IF(S2&gt;=Assumptions!$B$55,R113*Assumptions!$B$141/12*Assumptions!$B$142*S7,0)</f>
        <v/>
      </c>
      <c r="T108" s="54">
        <f>IF(T2&gt;=Assumptions!$B$55,S113*Assumptions!$B$141/12*Assumptions!$B$142*T7,0)</f>
        <v/>
      </c>
      <c r="U108" s="54">
        <f>IF(U2&gt;=Assumptions!$B$55,T113*Assumptions!$B$141/12*Assumptions!$B$142*U7,0)</f>
        <v/>
      </c>
      <c r="V108" s="54">
        <f>IF(V2&gt;=Assumptions!$B$55,U113*Assumptions!$B$141/12*Assumptions!$B$142*V7,0)</f>
        <v/>
      </c>
      <c r="W108" s="54">
        <f>IF(W2&gt;=Assumptions!$B$55,V113*Assumptions!$B$141/12*Assumptions!$B$142*W7,0)</f>
        <v/>
      </c>
      <c r="X108" s="54">
        <f>IF(X2&gt;=Assumptions!$B$55,W113*Assumptions!$B$141/12*Assumptions!$B$142*X7,0)</f>
        <v/>
      </c>
      <c r="Y108" s="54">
        <f>IF(Y2&gt;=Assumptions!$B$55,X113*Assumptions!$B$141/12*Assumptions!$B$142*Y7,0)</f>
        <v/>
      </c>
      <c r="Z108" s="54">
        <f>IF(Z2&gt;=Assumptions!$B$55,Y113*Assumptions!$B$141/12*Assumptions!$B$142*Z7,0)</f>
        <v/>
      </c>
      <c r="AA108" s="54">
        <f>IF(AA2&gt;=Assumptions!$B$55,Z113*Assumptions!$B$141/12*Assumptions!$B$142*AA7,0)</f>
        <v/>
      </c>
      <c r="AB108" s="54">
        <f>IF(AB2&gt;=Assumptions!$B$55,AA113*Assumptions!$B$141/12*Assumptions!$B$142*AB7,0)</f>
        <v/>
      </c>
      <c r="AC108" s="54">
        <f>IF(AC2&gt;=Assumptions!$B$55,AB113*Assumptions!$B$141/12*Assumptions!$B$142*AC7,0)</f>
        <v/>
      </c>
      <c r="AD108" s="54">
        <f>IF(AD2&gt;=Assumptions!$B$55,AC113*Assumptions!$B$141/12*Assumptions!$B$142*AD7,0)</f>
        <v/>
      </c>
      <c r="AE108" s="54">
        <f>IF(AE2&gt;=Assumptions!$B$55,AD113*Assumptions!$B$141/12*Assumptions!$B$142*AE7,0)</f>
        <v/>
      </c>
    </row>
    <row r="109">
      <c r="A109" s="6" t="inlineStr">
        <is>
          <t xml:space="preserve">  Agent-driven (this market's own agents)</t>
        </is>
      </c>
      <c r="B109" s="23" t="inlineStr">
        <is>
          <t>accounts</t>
        </is>
      </c>
      <c r="C109" s="53">
        <f>INDEX(Assumptions!$B$107:$B$113,C5)*Assumptions!$B$134*INDEX(Assumptions!$B$121:$B$127,C5)*C7*IF(C2&gt;=Assumptions!$B$57,1,0)</f>
        <v/>
      </c>
      <c r="D109" s="53">
        <f>INDEX(Assumptions!$B$107:$B$113,D5)*Assumptions!$B$134*INDEX(Assumptions!$B$121:$B$127,D5)*D7*IF(D2&gt;=Assumptions!$B$57,1,0)</f>
        <v/>
      </c>
      <c r="E109" s="53">
        <f>INDEX(Assumptions!$B$107:$B$113,E5)*Assumptions!$B$134*INDEX(Assumptions!$B$121:$B$127,E5)*E7*IF(E2&gt;=Assumptions!$B$57,1,0)</f>
        <v/>
      </c>
      <c r="F109" s="53">
        <f>INDEX(Assumptions!$B$107:$B$113,F5)*Assumptions!$B$134*INDEX(Assumptions!$B$121:$B$127,F5)*F7*IF(F2&gt;=Assumptions!$B$57,1,0)</f>
        <v/>
      </c>
      <c r="G109" s="53">
        <f>INDEX(Assumptions!$B$107:$B$113,G5)*Assumptions!$B$134*INDEX(Assumptions!$B$121:$B$127,G5)*G7*IF(G2&gt;=Assumptions!$B$57,1,0)</f>
        <v/>
      </c>
      <c r="H109" s="53">
        <f>INDEX(Assumptions!$B$107:$B$113,H5)*Assumptions!$B$134*INDEX(Assumptions!$B$121:$B$127,H5)*H7*IF(H2&gt;=Assumptions!$B$57,1,0)</f>
        <v/>
      </c>
      <c r="I109" s="53">
        <f>INDEX(Assumptions!$B$107:$B$113,I5)*Assumptions!$B$134*INDEX(Assumptions!$B$121:$B$127,I5)*I7*IF(I2&gt;=Assumptions!$B$57,1,0)</f>
        <v/>
      </c>
      <c r="J109" s="53">
        <f>INDEX(Assumptions!$B$107:$B$113,J5)*Assumptions!$B$134*INDEX(Assumptions!$B$121:$B$127,J5)*J7*IF(J2&gt;=Assumptions!$B$57,1,0)</f>
        <v/>
      </c>
      <c r="K109" s="53">
        <f>INDEX(Assumptions!$B$107:$B$113,K5)*Assumptions!$B$134*INDEX(Assumptions!$B$121:$B$127,K5)*K7*IF(K2&gt;=Assumptions!$B$57,1,0)</f>
        <v/>
      </c>
      <c r="L109" s="53">
        <f>INDEX(Assumptions!$B$107:$B$113,L5)*Assumptions!$B$134*INDEX(Assumptions!$B$121:$B$127,L5)*L7*IF(L2&gt;=Assumptions!$B$57,1,0)</f>
        <v/>
      </c>
      <c r="M109" s="53">
        <f>INDEX(Assumptions!$B$107:$B$113,M5)*Assumptions!$B$134*INDEX(Assumptions!$B$121:$B$127,M5)*M7*IF(M2&gt;=Assumptions!$B$57,1,0)</f>
        <v/>
      </c>
      <c r="N109" s="53">
        <f>INDEX(Assumptions!$B$107:$B$113,N5)*Assumptions!$B$134*INDEX(Assumptions!$B$121:$B$127,N5)*N7*IF(N2&gt;=Assumptions!$B$57,1,0)</f>
        <v/>
      </c>
      <c r="O109" s="53">
        <f>INDEX(Assumptions!$B$107:$B$113,O5)*Assumptions!$B$134*INDEX(Assumptions!$B$121:$B$127,O5)*O7*IF(O2&gt;=Assumptions!$B$57,1,0)</f>
        <v/>
      </c>
      <c r="P109" s="53">
        <f>INDEX(Assumptions!$B$107:$B$113,P5)*Assumptions!$B$134*INDEX(Assumptions!$B$121:$B$127,P5)*P7*IF(P2&gt;=Assumptions!$B$57,1,0)</f>
        <v/>
      </c>
      <c r="Q109" s="53">
        <f>INDEX(Assumptions!$B$107:$B$113,Q5)*Assumptions!$B$134*INDEX(Assumptions!$B$121:$B$127,Q5)*Q7*IF(Q2&gt;=Assumptions!$B$57,1,0)</f>
        <v/>
      </c>
      <c r="R109" s="53">
        <f>INDEX(Assumptions!$B$107:$B$113,R5)*Assumptions!$B$134*INDEX(Assumptions!$B$121:$B$127,R5)*R7*IF(R2&gt;=Assumptions!$B$57,1,0)</f>
        <v/>
      </c>
      <c r="S109" s="53">
        <f>INDEX(Assumptions!$B$107:$B$113,S5)*Assumptions!$B$134*INDEX(Assumptions!$B$121:$B$127,S5)*S7*IF(S2&gt;=Assumptions!$B$57,1,0)</f>
        <v/>
      </c>
      <c r="T109" s="53">
        <f>INDEX(Assumptions!$B$107:$B$113,T5)*Assumptions!$B$134*INDEX(Assumptions!$B$121:$B$127,T5)*T7*IF(T2&gt;=Assumptions!$B$57,1,0)</f>
        <v/>
      </c>
      <c r="U109" s="53">
        <f>INDEX(Assumptions!$B$107:$B$113,U5)*Assumptions!$B$134*INDEX(Assumptions!$B$121:$B$127,U5)*U7*IF(U2&gt;=Assumptions!$B$57,1,0)</f>
        <v/>
      </c>
      <c r="V109" s="53">
        <f>INDEX(Assumptions!$B$107:$B$113,V5)*Assumptions!$B$134*INDEX(Assumptions!$B$121:$B$127,V5)*V7*IF(V2&gt;=Assumptions!$B$57,1,0)</f>
        <v/>
      </c>
      <c r="W109" s="53">
        <f>INDEX(Assumptions!$B$107:$B$113,W5)*Assumptions!$B$134*INDEX(Assumptions!$B$121:$B$127,W5)*W7*IF(W2&gt;=Assumptions!$B$57,1,0)</f>
        <v/>
      </c>
      <c r="X109" s="53">
        <f>INDEX(Assumptions!$B$107:$B$113,X5)*Assumptions!$B$134*INDEX(Assumptions!$B$121:$B$127,X5)*X7*IF(X2&gt;=Assumptions!$B$57,1,0)</f>
        <v/>
      </c>
      <c r="Y109" s="53">
        <f>INDEX(Assumptions!$B$107:$B$113,Y5)*Assumptions!$B$134*INDEX(Assumptions!$B$121:$B$127,Y5)*Y7*IF(Y2&gt;=Assumptions!$B$57,1,0)</f>
        <v/>
      </c>
      <c r="Z109" s="53">
        <f>INDEX(Assumptions!$B$107:$B$113,Z5)*Assumptions!$B$134*INDEX(Assumptions!$B$121:$B$127,Z5)*Z7*IF(Z2&gt;=Assumptions!$B$57,1,0)</f>
        <v/>
      </c>
      <c r="AA109" s="53">
        <f>INDEX(Assumptions!$B$107:$B$113,AA5)*Assumptions!$B$134*INDEX(Assumptions!$B$121:$B$127,AA5)*AA7*IF(AA2&gt;=Assumptions!$B$57,1,0)</f>
        <v/>
      </c>
      <c r="AB109" s="53">
        <f>INDEX(Assumptions!$B$107:$B$113,AB5)*Assumptions!$B$134*INDEX(Assumptions!$B$121:$B$127,AB5)*AB7*IF(AB2&gt;=Assumptions!$B$57,1,0)</f>
        <v/>
      </c>
      <c r="AC109" s="53">
        <f>INDEX(Assumptions!$B$107:$B$113,AC5)*Assumptions!$B$134*INDEX(Assumptions!$B$121:$B$127,AC5)*AC7*IF(AC2&gt;=Assumptions!$B$57,1,0)</f>
        <v/>
      </c>
      <c r="AD109" s="53">
        <f>INDEX(Assumptions!$B$107:$B$113,AD5)*Assumptions!$B$134*INDEX(Assumptions!$B$121:$B$127,AD5)*AD7*IF(AD2&gt;=Assumptions!$B$57,1,0)</f>
        <v/>
      </c>
      <c r="AE109" s="53">
        <f>INDEX(Assumptions!$B$107:$B$113,AE5)*Assumptions!$B$134*INDEX(Assumptions!$B$121:$B$127,AE5)*AE7*IF(AE2&gt;=Assumptions!$B$57,1,0)</f>
        <v/>
      </c>
    </row>
    <row r="110">
      <c r="A110" s="6" t="inlineStr">
        <is>
          <t xml:space="preserve">  Raw demand</t>
        </is>
      </c>
      <c r="B110" s="23" t="inlineStr">
        <is>
          <t>accounts</t>
        </is>
      </c>
      <c r="C110" s="54">
        <f>C107+C108+C109</f>
        <v/>
      </c>
      <c r="D110" s="54">
        <f>D107+D108+D109</f>
        <v/>
      </c>
      <c r="E110" s="54">
        <f>E107+E108+E109</f>
        <v/>
      </c>
      <c r="F110" s="54">
        <f>F107+F108+F109</f>
        <v/>
      </c>
      <c r="G110" s="54">
        <f>G107+G108+G109</f>
        <v/>
      </c>
      <c r="H110" s="54">
        <f>H107+H108+H109</f>
        <v/>
      </c>
      <c r="I110" s="54">
        <f>I107+I108+I109</f>
        <v/>
      </c>
      <c r="J110" s="54">
        <f>J107+J108+J109</f>
        <v/>
      </c>
      <c r="K110" s="54">
        <f>K107+K108+K109</f>
        <v/>
      </c>
      <c r="L110" s="54">
        <f>L107+L108+L109</f>
        <v/>
      </c>
      <c r="M110" s="54">
        <f>M107+M108+M109</f>
        <v/>
      </c>
      <c r="N110" s="54">
        <f>N107+N108+N109</f>
        <v/>
      </c>
      <c r="O110" s="54">
        <f>O107+O108+O109</f>
        <v/>
      </c>
      <c r="P110" s="54">
        <f>P107+P108+P109</f>
        <v/>
      </c>
      <c r="Q110" s="54">
        <f>Q107+Q108+Q109</f>
        <v/>
      </c>
      <c r="R110" s="54">
        <f>R107+R108+R109</f>
        <v/>
      </c>
      <c r="S110" s="54">
        <f>S107+S108+S109</f>
        <v/>
      </c>
      <c r="T110" s="54">
        <f>T107+T108+T109</f>
        <v/>
      </c>
      <c r="U110" s="54">
        <f>U107+U108+U109</f>
        <v/>
      </c>
      <c r="V110" s="54">
        <f>V107+V108+V109</f>
        <v/>
      </c>
      <c r="W110" s="54">
        <f>W107+W108+W109</f>
        <v/>
      </c>
      <c r="X110" s="54">
        <f>X107+X108+X109</f>
        <v/>
      </c>
      <c r="Y110" s="54">
        <f>Y107+Y108+Y109</f>
        <v/>
      </c>
      <c r="Z110" s="54">
        <f>Z107+Z108+Z109</f>
        <v/>
      </c>
      <c r="AA110" s="54">
        <f>AA107+AA108+AA109</f>
        <v/>
      </c>
      <c r="AB110" s="54">
        <f>AB107+AB108+AB109</f>
        <v/>
      </c>
      <c r="AC110" s="54">
        <f>AC107+AC108+AC109</f>
        <v/>
      </c>
      <c r="AD110" s="54">
        <f>AD107+AD108+AD109</f>
        <v/>
      </c>
      <c r="AE110" s="54">
        <f>AE107+AE108+AE109</f>
        <v/>
      </c>
    </row>
    <row r="111">
      <c r="A111" s="6" t="inlineStr">
        <is>
          <t xml:space="preserve">  Saturation (this region's own headroom)</t>
        </is>
      </c>
      <c r="B111" s="23" t="inlineStr">
        <is>
          <t>x</t>
        </is>
      </c>
      <c r="C111" s="51" t="n">
        <v>1</v>
      </c>
      <c r="D111" s="51">
        <f>MAX(0,1-C116/Assumptions!$B$86)</f>
        <v/>
      </c>
      <c r="E111" s="51">
        <f>MAX(0,1-D116/Assumptions!$B$86)</f>
        <v/>
      </c>
      <c r="F111" s="51">
        <f>MAX(0,1-E116/Assumptions!$B$86)</f>
        <v/>
      </c>
      <c r="G111" s="51">
        <f>MAX(0,1-F116/Assumptions!$B$86)</f>
        <v/>
      </c>
      <c r="H111" s="51">
        <f>MAX(0,1-G116/Assumptions!$B$86)</f>
        <v/>
      </c>
      <c r="I111" s="51">
        <f>MAX(0,1-H116/Assumptions!$B$86)</f>
        <v/>
      </c>
      <c r="J111" s="51">
        <f>MAX(0,1-I116/Assumptions!$B$86)</f>
        <v/>
      </c>
      <c r="K111" s="51">
        <f>MAX(0,1-J116/Assumptions!$B$86)</f>
        <v/>
      </c>
      <c r="L111" s="51">
        <f>MAX(0,1-K116/Assumptions!$B$86)</f>
        <v/>
      </c>
      <c r="M111" s="51">
        <f>MAX(0,1-L116/Assumptions!$B$86)</f>
        <v/>
      </c>
      <c r="N111" s="51">
        <f>MAX(0,1-M116/Assumptions!$B$86)</f>
        <v/>
      </c>
      <c r="O111" s="51">
        <f>MAX(0,1-N116/Assumptions!$B$86)</f>
        <v/>
      </c>
      <c r="P111" s="51">
        <f>MAX(0,1-O116/Assumptions!$B$86)</f>
        <v/>
      </c>
      <c r="Q111" s="51">
        <f>MAX(0,1-P116/Assumptions!$B$86)</f>
        <v/>
      </c>
      <c r="R111" s="51">
        <f>MAX(0,1-Q116/Assumptions!$B$86)</f>
        <v/>
      </c>
      <c r="S111" s="51">
        <f>MAX(0,1-R116/Assumptions!$B$86)</f>
        <v/>
      </c>
      <c r="T111" s="51">
        <f>MAX(0,1-S116/Assumptions!$B$86)</f>
        <v/>
      </c>
      <c r="U111" s="51">
        <f>MAX(0,1-T116/Assumptions!$B$86)</f>
        <v/>
      </c>
      <c r="V111" s="51">
        <f>MAX(0,1-U116/Assumptions!$B$86)</f>
        <v/>
      </c>
      <c r="W111" s="51">
        <f>MAX(0,1-V116/Assumptions!$B$86)</f>
        <v/>
      </c>
      <c r="X111" s="51">
        <f>MAX(0,1-W116/Assumptions!$B$86)</f>
        <v/>
      </c>
      <c r="Y111" s="51">
        <f>MAX(0,1-X116/Assumptions!$B$86)</f>
        <v/>
      </c>
      <c r="Z111" s="51">
        <f>MAX(0,1-Y116/Assumptions!$B$86)</f>
        <v/>
      </c>
      <c r="AA111" s="51">
        <f>MAX(0,1-Z116/Assumptions!$B$86)</f>
        <v/>
      </c>
      <c r="AB111" s="51">
        <f>MAX(0,1-AA116/Assumptions!$B$86)</f>
        <v/>
      </c>
      <c r="AC111" s="51">
        <f>MAX(0,1-AB116/Assumptions!$B$86)</f>
        <v/>
      </c>
      <c r="AD111" s="51">
        <f>MAX(0,1-AC116/Assumptions!$B$86)</f>
        <v/>
      </c>
      <c r="AE111" s="51">
        <f>MAX(0,1-AD116/Assumptions!$B$86)</f>
        <v/>
      </c>
    </row>
    <row r="112">
      <c r="A112" s="6" t="inlineStr">
        <is>
          <t xml:space="preserve">  New customers</t>
        </is>
      </c>
      <c r="B112" s="23" t="inlineStr">
        <is>
          <t>accounts</t>
        </is>
      </c>
      <c r="C112" s="54">
        <f>C110*C111*C15</f>
        <v/>
      </c>
      <c r="D112" s="54">
        <f>D110*D111*D15</f>
        <v/>
      </c>
      <c r="E112" s="54">
        <f>E110*E111*E15</f>
        <v/>
      </c>
      <c r="F112" s="54">
        <f>F110*F111*F15</f>
        <v/>
      </c>
      <c r="G112" s="54">
        <f>G110*G111*G15</f>
        <v/>
      </c>
      <c r="H112" s="54">
        <f>H110*H111*H15</f>
        <v/>
      </c>
      <c r="I112" s="54">
        <f>I110*I111*I15</f>
        <v/>
      </c>
      <c r="J112" s="54">
        <f>J110*J111*J15</f>
        <v/>
      </c>
      <c r="K112" s="54">
        <f>K110*K111*K15</f>
        <v/>
      </c>
      <c r="L112" s="54">
        <f>L110*L111*L15</f>
        <v/>
      </c>
      <c r="M112" s="54">
        <f>M110*M111*M15</f>
        <v/>
      </c>
      <c r="N112" s="54">
        <f>N110*N111*N15</f>
        <v/>
      </c>
      <c r="O112" s="54">
        <f>O110*O111*O15</f>
        <v/>
      </c>
      <c r="P112" s="54">
        <f>P110*P111*P15</f>
        <v/>
      </c>
      <c r="Q112" s="54">
        <f>Q110*Q111*Q15</f>
        <v/>
      </c>
      <c r="R112" s="54">
        <f>R110*R111*R15</f>
        <v/>
      </c>
      <c r="S112" s="54">
        <f>S110*S111*S15</f>
        <v/>
      </c>
      <c r="T112" s="54">
        <f>T110*T111*T15</f>
        <v/>
      </c>
      <c r="U112" s="54">
        <f>U110*U111*U15</f>
        <v/>
      </c>
      <c r="V112" s="54">
        <f>V110*V111*V15</f>
        <v/>
      </c>
      <c r="W112" s="54">
        <f>W110*W111*W15</f>
        <v/>
      </c>
      <c r="X112" s="54">
        <f>X110*X111*X15</f>
        <v/>
      </c>
      <c r="Y112" s="54">
        <f>Y110*Y111*Y15</f>
        <v/>
      </c>
      <c r="Z112" s="54">
        <f>Z110*Z111*Z15</f>
        <v/>
      </c>
      <c r="AA112" s="54">
        <f>AA110*AA111*AA15</f>
        <v/>
      </c>
      <c r="AB112" s="54">
        <f>AB110*AB111*AB15</f>
        <v/>
      </c>
      <c r="AC112" s="54">
        <f>AC110*AC111*AC15</f>
        <v/>
      </c>
      <c r="AD112" s="54">
        <f>AD110*AD111*AD15</f>
        <v/>
      </c>
      <c r="AE112" s="54">
        <f>AE110*AE111*AE15</f>
        <v/>
      </c>
    </row>
    <row r="113">
      <c r="A113" s="6" t="inlineStr">
        <is>
          <t xml:space="preserve">  Paying customers</t>
        </is>
      </c>
      <c r="B113" s="23" t="inlineStr">
        <is>
          <t>accounts</t>
        </is>
      </c>
      <c r="C113" s="28">
        <f>C112*(1-Assumptions!$B$133)^(C7/2)</f>
        <v/>
      </c>
      <c r="D113" s="28">
        <f>C113*(1-Assumptions!$B$133)^D7+D112*(1-Assumptions!$B$133)^(D7/2)</f>
        <v/>
      </c>
      <c r="E113" s="28">
        <f>D113*(1-Assumptions!$B$133)^E7+E112*(1-Assumptions!$B$133)^(E7/2)</f>
        <v/>
      </c>
      <c r="F113" s="28">
        <f>E113*(1-Assumptions!$B$133)^F7+F112*(1-Assumptions!$B$133)^(F7/2)</f>
        <v/>
      </c>
      <c r="G113" s="28">
        <f>F113*(1-Assumptions!$B$133)^G7+G112*(1-Assumptions!$B$133)^(G7/2)</f>
        <v/>
      </c>
      <c r="H113" s="28">
        <f>G113*(1-Assumptions!$B$133)^H7+H112*(1-Assumptions!$B$133)^(H7/2)</f>
        <v/>
      </c>
      <c r="I113" s="28">
        <f>H113*(1-Assumptions!$B$133)^I7+I112*(1-Assumptions!$B$133)^(I7/2)</f>
        <v/>
      </c>
      <c r="J113" s="28">
        <f>I113*(1-Assumptions!$B$133)^J7+J112*(1-Assumptions!$B$133)^(J7/2)</f>
        <v/>
      </c>
      <c r="K113" s="28">
        <f>J113*(1-Assumptions!$B$133)^K7+K112*(1-Assumptions!$B$133)^(K7/2)</f>
        <v/>
      </c>
      <c r="L113" s="28">
        <f>K113*(1-Assumptions!$B$133)^L7+L112*(1-Assumptions!$B$133)^(L7/2)</f>
        <v/>
      </c>
      <c r="M113" s="28">
        <f>L113*(1-Assumptions!$B$133)^M7+M112*(1-Assumptions!$B$133)^(M7/2)</f>
        <v/>
      </c>
      <c r="N113" s="28">
        <f>M113*(1-Assumptions!$B$133)^N7+N112*(1-Assumptions!$B$133)^(N7/2)</f>
        <v/>
      </c>
      <c r="O113" s="28">
        <f>N113*(1-Assumptions!$B$133)^O7+O112*(1-Assumptions!$B$133)^(O7/2)</f>
        <v/>
      </c>
      <c r="P113" s="28">
        <f>O113*(1-Assumptions!$B$133)^P7+P112*(1-Assumptions!$B$133)^(P7/2)</f>
        <v/>
      </c>
      <c r="Q113" s="28">
        <f>P113*(1-Assumptions!$B$133)^Q7+Q112*(1-Assumptions!$B$133)^(Q7/2)</f>
        <v/>
      </c>
      <c r="R113" s="28">
        <f>Q113*(1-Assumptions!$B$133)^R7+R112*(1-Assumptions!$B$133)^(R7/2)</f>
        <v/>
      </c>
      <c r="S113" s="28">
        <f>R113*(1-Assumptions!$B$133)^S7+S112*(1-Assumptions!$B$133)^(S7/2)</f>
        <v/>
      </c>
      <c r="T113" s="28">
        <f>S113*(1-Assumptions!$B$133)^T7+T112*(1-Assumptions!$B$133)^(T7/2)</f>
        <v/>
      </c>
      <c r="U113" s="28">
        <f>T113*(1-Assumptions!$B$133)^U7+U112*(1-Assumptions!$B$133)^(U7/2)</f>
        <v/>
      </c>
      <c r="V113" s="28">
        <f>U113*(1-Assumptions!$B$133)^V7+V112*(1-Assumptions!$B$133)^(V7/2)</f>
        <v/>
      </c>
      <c r="W113" s="28">
        <f>V113*(1-Assumptions!$B$133)^W7+W112*(1-Assumptions!$B$133)^(W7/2)</f>
        <v/>
      </c>
      <c r="X113" s="28">
        <f>W113*(1-Assumptions!$B$133)^X7+X112*(1-Assumptions!$B$133)^(X7/2)</f>
        <v/>
      </c>
      <c r="Y113" s="28">
        <f>X113*(1-Assumptions!$B$133)^Y7+Y112*(1-Assumptions!$B$133)^(Y7/2)</f>
        <v/>
      </c>
      <c r="Z113" s="28">
        <f>Y113*(1-Assumptions!$B$133)^Z7+Z112*(1-Assumptions!$B$133)^(Z7/2)</f>
        <v/>
      </c>
      <c r="AA113" s="28">
        <f>Z113*(1-Assumptions!$B$133)^AA7+AA112*(1-Assumptions!$B$133)^(AA7/2)</f>
        <v/>
      </c>
      <c r="AB113" s="28">
        <f>AA113*(1-Assumptions!$B$133)^AB7+AB112*(1-Assumptions!$B$133)^(AB7/2)</f>
        <v/>
      </c>
      <c r="AC113" s="28">
        <f>AB113*(1-Assumptions!$B$133)^AC7+AC112*(1-Assumptions!$B$133)^(AC7/2)</f>
        <v/>
      </c>
      <c r="AD113" s="28">
        <f>AC113*(1-Assumptions!$B$133)^AD7+AD112*(1-Assumptions!$B$133)^(AD7/2)</f>
        <v/>
      </c>
      <c r="AE113" s="28">
        <f>AD113*(1-Assumptions!$B$133)^AE7+AE112*(1-Assumptions!$B$133)^(AE7/2)</f>
        <v/>
      </c>
    </row>
    <row r="114">
      <c r="A114" s="6" t="inlineStr">
        <is>
          <t xml:space="preserve">  Churned this period</t>
        </is>
      </c>
      <c r="B114" s="23" t="inlineStr">
        <is>
          <t>accounts</t>
        </is>
      </c>
      <c r="C114" s="54">
        <f>C112-C113</f>
        <v/>
      </c>
      <c r="D114" s="54">
        <f>C113+D112-D113</f>
        <v/>
      </c>
      <c r="E114" s="54">
        <f>D113+E112-E113</f>
        <v/>
      </c>
      <c r="F114" s="54">
        <f>E113+F112-F113</f>
        <v/>
      </c>
      <c r="G114" s="54">
        <f>F113+G112-G113</f>
        <v/>
      </c>
      <c r="H114" s="54">
        <f>G113+H112-H113</f>
        <v/>
      </c>
      <c r="I114" s="54">
        <f>H113+I112-I113</f>
        <v/>
      </c>
      <c r="J114" s="54">
        <f>I113+J112-J113</f>
        <v/>
      </c>
      <c r="K114" s="54">
        <f>J113+K112-K113</f>
        <v/>
      </c>
      <c r="L114" s="54">
        <f>K113+L112-L113</f>
        <v/>
      </c>
      <c r="M114" s="54">
        <f>L113+M112-M113</f>
        <v/>
      </c>
      <c r="N114" s="54">
        <f>M113+N112-N113</f>
        <v/>
      </c>
      <c r="O114" s="54">
        <f>N113+O112-O113</f>
        <v/>
      </c>
      <c r="P114" s="54">
        <f>O113+P112-P113</f>
        <v/>
      </c>
      <c r="Q114" s="54">
        <f>P113+Q112-Q113</f>
        <v/>
      </c>
      <c r="R114" s="54">
        <f>Q113+R112-R113</f>
        <v/>
      </c>
      <c r="S114" s="54">
        <f>R113+S112-S113</f>
        <v/>
      </c>
      <c r="T114" s="54">
        <f>S113+T112-T113</f>
        <v/>
      </c>
      <c r="U114" s="54">
        <f>T113+U112-U113</f>
        <v/>
      </c>
      <c r="V114" s="54">
        <f>U113+V112-V113</f>
        <v/>
      </c>
      <c r="W114" s="54">
        <f>V113+W112-W113</f>
        <v/>
      </c>
      <c r="X114" s="54">
        <f>W113+X112-X113</f>
        <v/>
      </c>
      <c r="Y114" s="54">
        <f>X113+Y112-Y113</f>
        <v/>
      </c>
      <c r="Z114" s="54">
        <f>Y113+Z112-Z113</f>
        <v/>
      </c>
      <c r="AA114" s="54">
        <f>Z113+AA112-AA113</f>
        <v/>
      </c>
      <c r="AB114" s="54">
        <f>AA113+AB112-AB113</f>
        <v/>
      </c>
      <c r="AC114" s="54">
        <f>AB113+AC112-AC113</f>
        <v/>
      </c>
      <c r="AD114" s="54">
        <f>AC113+AD112-AD113</f>
        <v/>
      </c>
      <c r="AE114" s="54">
        <f>AD113+AE112-AE113</f>
        <v/>
      </c>
    </row>
    <row r="115">
      <c r="A115" s="6" t="inlineStr">
        <is>
          <t xml:space="preserve">  Holders (stopped paying, still hold gold)</t>
        </is>
      </c>
      <c r="B115" s="23" t="inlineStr">
        <is>
          <t>accounts</t>
        </is>
      </c>
      <c r="C115" s="45">
        <f>C114</f>
        <v/>
      </c>
      <c r="D115" s="45">
        <f>C115+D114</f>
        <v/>
      </c>
      <c r="E115" s="45">
        <f>D115+E114</f>
        <v/>
      </c>
      <c r="F115" s="45">
        <f>E115+F114</f>
        <v/>
      </c>
      <c r="G115" s="45">
        <f>F115+G114</f>
        <v/>
      </c>
      <c r="H115" s="45">
        <f>G115+H114</f>
        <v/>
      </c>
      <c r="I115" s="45">
        <f>H115+I114</f>
        <v/>
      </c>
      <c r="J115" s="45">
        <f>I115+J114</f>
        <v/>
      </c>
      <c r="K115" s="45">
        <f>J115+K114</f>
        <v/>
      </c>
      <c r="L115" s="45">
        <f>K115+L114</f>
        <v/>
      </c>
      <c r="M115" s="45">
        <f>L115+M114</f>
        <v/>
      </c>
      <c r="N115" s="45">
        <f>M115+N114</f>
        <v/>
      </c>
      <c r="O115" s="45">
        <f>N115+O114</f>
        <v/>
      </c>
      <c r="P115" s="45">
        <f>O115+P114</f>
        <v/>
      </c>
      <c r="Q115" s="45">
        <f>P115+Q114</f>
        <v/>
      </c>
      <c r="R115" s="45">
        <f>Q115+R114</f>
        <v/>
      </c>
      <c r="S115" s="45">
        <f>R115+S114</f>
        <v/>
      </c>
      <c r="T115" s="45">
        <f>S115+T114</f>
        <v/>
      </c>
      <c r="U115" s="45">
        <f>T115+U114</f>
        <v/>
      </c>
      <c r="V115" s="45">
        <f>U115+V114</f>
        <v/>
      </c>
      <c r="W115" s="45">
        <f>V115+W114</f>
        <v/>
      </c>
      <c r="X115" s="45">
        <f>W115+X114</f>
        <v/>
      </c>
      <c r="Y115" s="45">
        <f>X115+Y114</f>
        <v/>
      </c>
      <c r="Z115" s="45">
        <f>Y115+Z114</f>
        <v/>
      </c>
      <c r="AA115" s="45">
        <f>Z115+AA114</f>
        <v/>
      </c>
      <c r="AB115" s="45">
        <f>AA115+AB114</f>
        <v/>
      </c>
      <c r="AC115" s="45">
        <f>AB115+AC114</f>
        <v/>
      </c>
      <c r="AD115" s="45">
        <f>AC115+AD114</f>
        <v/>
      </c>
      <c r="AE115" s="45">
        <f>AD115+AE114</f>
        <v/>
      </c>
    </row>
    <row r="116">
      <c r="A116" s="6" t="inlineStr">
        <is>
          <t xml:space="preserve">  Cumulative ever acquired</t>
        </is>
      </c>
      <c r="B116" s="23" t="inlineStr">
        <is>
          <t>accounts</t>
        </is>
      </c>
      <c r="C116" s="45">
        <f>C112</f>
        <v/>
      </c>
      <c r="D116" s="45">
        <f>C116+D112</f>
        <v/>
      </c>
      <c r="E116" s="45">
        <f>D116+E112</f>
        <v/>
      </c>
      <c r="F116" s="45">
        <f>E116+F112</f>
        <v/>
      </c>
      <c r="G116" s="45">
        <f>F116+G112</f>
        <v/>
      </c>
      <c r="H116" s="45">
        <f>G116+H112</f>
        <v/>
      </c>
      <c r="I116" s="45">
        <f>H116+I112</f>
        <v/>
      </c>
      <c r="J116" s="45">
        <f>I116+J112</f>
        <v/>
      </c>
      <c r="K116" s="45">
        <f>J116+K112</f>
        <v/>
      </c>
      <c r="L116" s="45">
        <f>K116+L112</f>
        <v/>
      </c>
      <c r="M116" s="45">
        <f>L116+M112</f>
        <v/>
      </c>
      <c r="N116" s="45">
        <f>M116+N112</f>
        <v/>
      </c>
      <c r="O116" s="45">
        <f>N116+O112</f>
        <v/>
      </c>
      <c r="P116" s="45">
        <f>O116+P112</f>
        <v/>
      </c>
      <c r="Q116" s="45">
        <f>P116+Q112</f>
        <v/>
      </c>
      <c r="R116" s="45">
        <f>Q116+R112</f>
        <v/>
      </c>
      <c r="S116" s="45">
        <f>R116+S112</f>
        <v/>
      </c>
      <c r="T116" s="45">
        <f>S116+T112</f>
        <v/>
      </c>
      <c r="U116" s="45">
        <f>T116+U112</f>
        <v/>
      </c>
      <c r="V116" s="45">
        <f>U116+V112</f>
        <v/>
      </c>
      <c r="W116" s="45">
        <f>V116+W112</f>
        <v/>
      </c>
      <c r="X116" s="45">
        <f>W116+X112</f>
        <v/>
      </c>
      <c r="Y116" s="45">
        <f>X116+Y112</f>
        <v/>
      </c>
      <c r="Z116" s="45">
        <f>Y116+Z112</f>
        <v/>
      </c>
      <c r="AA116" s="45">
        <f>Z116+AA112</f>
        <v/>
      </c>
      <c r="AB116" s="45">
        <f>AA116+AB112</f>
        <v/>
      </c>
      <c r="AC116" s="45">
        <f>AB116+AC112</f>
        <v/>
      </c>
      <c r="AD116" s="45">
        <f>AC116+AD112</f>
        <v/>
      </c>
      <c r="AE116" s="45">
        <f>AD116+AE112</f>
        <v/>
      </c>
    </row>
    <row r="117">
      <c r="A117" s="6" t="inlineStr">
        <is>
          <t xml:space="preserve">  SIP contributions</t>
        </is>
      </c>
      <c r="B117" s="23" t="inlineStr">
        <is>
          <t>USD</t>
        </is>
      </c>
      <c r="C117" s="55">
        <f>IF(C2&gt;=Assumptions!$B$47,C113*Assumptions!$B$188*C7,0)</f>
        <v/>
      </c>
      <c r="D117" s="55">
        <f>IF(D2&gt;=Assumptions!$B$47,D113*Assumptions!$B$188*D7,0)</f>
        <v/>
      </c>
      <c r="E117" s="55">
        <f>IF(E2&gt;=Assumptions!$B$47,E113*Assumptions!$B$188*E7,0)</f>
        <v/>
      </c>
      <c r="F117" s="55">
        <f>IF(F2&gt;=Assumptions!$B$47,F113*Assumptions!$B$188*F7,0)</f>
        <v/>
      </c>
      <c r="G117" s="55">
        <f>IF(G2&gt;=Assumptions!$B$47,G113*Assumptions!$B$188*G7,0)</f>
        <v/>
      </c>
      <c r="H117" s="55">
        <f>IF(H2&gt;=Assumptions!$B$47,H113*Assumptions!$B$188*H7,0)</f>
        <v/>
      </c>
      <c r="I117" s="55">
        <f>IF(I2&gt;=Assumptions!$B$47,I113*Assumptions!$B$188*I7,0)</f>
        <v/>
      </c>
      <c r="J117" s="55">
        <f>IF(J2&gt;=Assumptions!$B$47,J113*Assumptions!$B$188*J7,0)</f>
        <v/>
      </c>
      <c r="K117" s="55">
        <f>IF(K2&gt;=Assumptions!$B$47,K113*Assumptions!$B$188*K7,0)</f>
        <v/>
      </c>
      <c r="L117" s="55">
        <f>IF(L2&gt;=Assumptions!$B$47,L113*Assumptions!$B$188*L7,0)</f>
        <v/>
      </c>
      <c r="M117" s="55">
        <f>IF(M2&gt;=Assumptions!$B$47,M113*Assumptions!$B$188*M7,0)</f>
        <v/>
      </c>
      <c r="N117" s="55">
        <f>IF(N2&gt;=Assumptions!$B$47,N113*Assumptions!$B$188*N7,0)</f>
        <v/>
      </c>
      <c r="O117" s="55">
        <f>IF(O2&gt;=Assumptions!$B$47,O113*Assumptions!$B$188*O7,0)</f>
        <v/>
      </c>
      <c r="P117" s="55">
        <f>IF(P2&gt;=Assumptions!$B$47,P113*Assumptions!$B$188*P7,0)</f>
        <v/>
      </c>
      <c r="Q117" s="55">
        <f>IF(Q2&gt;=Assumptions!$B$47,Q113*Assumptions!$B$188*Q7,0)</f>
        <v/>
      </c>
      <c r="R117" s="55">
        <f>IF(R2&gt;=Assumptions!$B$47,R113*Assumptions!$B$188*R7,0)</f>
        <v/>
      </c>
      <c r="S117" s="55">
        <f>IF(S2&gt;=Assumptions!$B$47,S113*Assumptions!$B$188*S7,0)</f>
        <v/>
      </c>
      <c r="T117" s="55">
        <f>IF(T2&gt;=Assumptions!$B$47,T113*Assumptions!$B$188*T7,0)</f>
        <v/>
      </c>
      <c r="U117" s="55">
        <f>IF(U2&gt;=Assumptions!$B$47,U113*Assumptions!$B$188*U7,0)</f>
        <v/>
      </c>
      <c r="V117" s="55">
        <f>IF(V2&gt;=Assumptions!$B$47,V113*Assumptions!$B$188*V7,0)</f>
        <v/>
      </c>
      <c r="W117" s="55">
        <f>IF(W2&gt;=Assumptions!$B$47,W113*Assumptions!$B$188*W7,0)</f>
        <v/>
      </c>
      <c r="X117" s="55">
        <f>IF(X2&gt;=Assumptions!$B$47,X113*Assumptions!$B$188*X7,0)</f>
        <v/>
      </c>
      <c r="Y117" s="55">
        <f>IF(Y2&gt;=Assumptions!$B$47,Y113*Assumptions!$B$188*Y7,0)</f>
        <v/>
      </c>
      <c r="Z117" s="55">
        <f>IF(Z2&gt;=Assumptions!$B$47,Z113*Assumptions!$B$188*Z7,0)</f>
        <v/>
      </c>
      <c r="AA117" s="55">
        <f>IF(AA2&gt;=Assumptions!$B$47,AA113*Assumptions!$B$188*AA7,0)</f>
        <v/>
      </c>
      <c r="AB117" s="55">
        <f>IF(AB2&gt;=Assumptions!$B$47,AB113*Assumptions!$B$188*AB7,0)</f>
        <v/>
      </c>
      <c r="AC117" s="55">
        <f>IF(AC2&gt;=Assumptions!$B$47,AC113*Assumptions!$B$188*AC7,0)</f>
        <v/>
      </c>
      <c r="AD117" s="55">
        <f>IF(AD2&gt;=Assumptions!$B$47,AD113*Assumptions!$B$188*AD7,0)</f>
        <v/>
      </c>
      <c r="AE117" s="55">
        <f>IF(AE2&gt;=Assumptions!$B$47,AE113*Assumptions!$B$188*AE7,0)</f>
        <v/>
      </c>
    </row>
    <row r="118">
      <c r="A118" s="6" t="inlineStr">
        <is>
          <t xml:space="preserve">  Spot purchase volume</t>
        </is>
      </c>
      <c r="B118" s="23" t="inlineStr">
        <is>
          <t>USD</t>
        </is>
      </c>
      <c r="C118" s="55">
        <f>IF(C2&gt;=Assumptions!$B$48,C113*Assumptions!$B$37*Assumptions!$B$150*Assumptions!$B$152*Assumptions!$B$34*Assumptions!$B$151/12*C7,0)</f>
        <v/>
      </c>
      <c r="D118" s="55">
        <f>IF(D2&gt;=Assumptions!$B$48,D113*Assumptions!$B$37*Assumptions!$B$150*Assumptions!$B$152*Assumptions!$B$34*Assumptions!$B$151/12*D7,0)</f>
        <v/>
      </c>
      <c r="E118" s="55">
        <f>IF(E2&gt;=Assumptions!$B$48,E113*Assumptions!$B$37*Assumptions!$B$150*Assumptions!$B$152*Assumptions!$B$34*Assumptions!$B$151/12*E7,0)</f>
        <v/>
      </c>
      <c r="F118" s="55">
        <f>IF(F2&gt;=Assumptions!$B$48,F113*Assumptions!$B$37*Assumptions!$B$150*Assumptions!$B$152*Assumptions!$B$34*Assumptions!$B$151/12*F7,0)</f>
        <v/>
      </c>
      <c r="G118" s="55">
        <f>IF(G2&gt;=Assumptions!$B$48,G113*Assumptions!$B$37*Assumptions!$B$150*Assumptions!$B$152*Assumptions!$B$34*Assumptions!$B$151/12*G7,0)</f>
        <v/>
      </c>
      <c r="H118" s="55">
        <f>IF(H2&gt;=Assumptions!$B$48,H113*Assumptions!$B$37*Assumptions!$B$150*Assumptions!$B$152*Assumptions!$B$34*Assumptions!$B$151/12*H7,0)</f>
        <v/>
      </c>
      <c r="I118" s="55">
        <f>IF(I2&gt;=Assumptions!$B$48,I113*Assumptions!$B$37*Assumptions!$B$150*Assumptions!$B$152*Assumptions!$B$34*Assumptions!$B$151/12*I7,0)</f>
        <v/>
      </c>
      <c r="J118" s="55">
        <f>IF(J2&gt;=Assumptions!$B$48,J113*Assumptions!$B$37*Assumptions!$B$150*Assumptions!$B$152*Assumptions!$B$34*Assumptions!$B$151/12*J7,0)</f>
        <v/>
      </c>
      <c r="K118" s="55">
        <f>IF(K2&gt;=Assumptions!$B$48,K113*Assumptions!$B$37*Assumptions!$B$150*Assumptions!$B$152*Assumptions!$B$34*Assumptions!$B$151/12*K7,0)</f>
        <v/>
      </c>
      <c r="L118" s="55">
        <f>IF(L2&gt;=Assumptions!$B$48,L113*Assumptions!$B$37*Assumptions!$B$150*Assumptions!$B$152*Assumptions!$B$34*Assumptions!$B$151/12*L7,0)</f>
        <v/>
      </c>
      <c r="M118" s="55">
        <f>IF(M2&gt;=Assumptions!$B$48,M113*Assumptions!$B$37*Assumptions!$B$150*Assumptions!$B$152*Assumptions!$B$34*Assumptions!$B$151/12*M7,0)</f>
        <v/>
      </c>
      <c r="N118" s="55">
        <f>IF(N2&gt;=Assumptions!$B$48,N113*Assumptions!$B$37*Assumptions!$B$150*Assumptions!$B$152*Assumptions!$B$34*Assumptions!$B$151/12*N7,0)</f>
        <v/>
      </c>
      <c r="O118" s="55">
        <f>IF(O2&gt;=Assumptions!$B$48,O113*Assumptions!$B$37*Assumptions!$B$150*Assumptions!$B$152*Assumptions!$B$34*Assumptions!$B$151/12*O7,0)</f>
        <v/>
      </c>
      <c r="P118" s="55">
        <f>IF(P2&gt;=Assumptions!$B$48,P113*Assumptions!$B$37*Assumptions!$B$150*Assumptions!$B$152*Assumptions!$B$34*Assumptions!$B$151/12*P7,0)</f>
        <v/>
      </c>
      <c r="Q118" s="55">
        <f>IF(Q2&gt;=Assumptions!$B$48,Q113*Assumptions!$B$37*Assumptions!$B$150*Assumptions!$B$152*Assumptions!$B$34*Assumptions!$B$151/12*Q7,0)</f>
        <v/>
      </c>
      <c r="R118" s="55">
        <f>IF(R2&gt;=Assumptions!$B$48,R113*Assumptions!$B$37*Assumptions!$B$150*Assumptions!$B$152*Assumptions!$B$34*Assumptions!$B$151/12*R7,0)</f>
        <v/>
      </c>
      <c r="S118" s="55">
        <f>IF(S2&gt;=Assumptions!$B$48,S113*Assumptions!$B$37*Assumptions!$B$150*Assumptions!$B$152*Assumptions!$B$34*Assumptions!$B$151/12*S7,0)</f>
        <v/>
      </c>
      <c r="T118" s="55">
        <f>IF(T2&gt;=Assumptions!$B$48,T113*Assumptions!$B$37*Assumptions!$B$150*Assumptions!$B$152*Assumptions!$B$34*Assumptions!$B$151/12*T7,0)</f>
        <v/>
      </c>
      <c r="U118" s="55">
        <f>IF(U2&gt;=Assumptions!$B$48,U113*Assumptions!$B$37*Assumptions!$B$150*Assumptions!$B$152*Assumptions!$B$34*Assumptions!$B$151/12*U7,0)</f>
        <v/>
      </c>
      <c r="V118" s="55">
        <f>IF(V2&gt;=Assumptions!$B$48,V113*Assumptions!$B$37*Assumptions!$B$150*Assumptions!$B$152*Assumptions!$B$34*Assumptions!$B$151/12*V7,0)</f>
        <v/>
      </c>
      <c r="W118" s="55">
        <f>IF(W2&gt;=Assumptions!$B$48,W113*Assumptions!$B$37*Assumptions!$B$150*Assumptions!$B$152*Assumptions!$B$34*Assumptions!$B$151/12*W7,0)</f>
        <v/>
      </c>
      <c r="X118" s="55">
        <f>IF(X2&gt;=Assumptions!$B$48,X113*Assumptions!$B$37*Assumptions!$B$150*Assumptions!$B$152*Assumptions!$B$34*Assumptions!$B$151/12*X7,0)</f>
        <v/>
      </c>
      <c r="Y118" s="55">
        <f>IF(Y2&gt;=Assumptions!$B$48,Y113*Assumptions!$B$37*Assumptions!$B$150*Assumptions!$B$152*Assumptions!$B$34*Assumptions!$B$151/12*Y7,0)</f>
        <v/>
      </c>
      <c r="Z118" s="55">
        <f>IF(Z2&gt;=Assumptions!$B$48,Z113*Assumptions!$B$37*Assumptions!$B$150*Assumptions!$B$152*Assumptions!$B$34*Assumptions!$B$151/12*Z7,0)</f>
        <v/>
      </c>
      <c r="AA118" s="55">
        <f>IF(AA2&gt;=Assumptions!$B$48,AA113*Assumptions!$B$37*Assumptions!$B$150*Assumptions!$B$152*Assumptions!$B$34*Assumptions!$B$151/12*AA7,0)</f>
        <v/>
      </c>
      <c r="AB118" s="55">
        <f>IF(AB2&gt;=Assumptions!$B$48,AB113*Assumptions!$B$37*Assumptions!$B$150*Assumptions!$B$152*Assumptions!$B$34*Assumptions!$B$151/12*AB7,0)</f>
        <v/>
      </c>
      <c r="AC118" s="55">
        <f>IF(AC2&gt;=Assumptions!$B$48,AC113*Assumptions!$B$37*Assumptions!$B$150*Assumptions!$B$152*Assumptions!$B$34*Assumptions!$B$151/12*AC7,0)</f>
        <v/>
      </c>
      <c r="AD118" s="55">
        <f>IF(AD2&gt;=Assumptions!$B$48,AD113*Assumptions!$B$37*Assumptions!$B$150*Assumptions!$B$152*Assumptions!$B$34*Assumptions!$B$151/12*AD7,0)</f>
        <v/>
      </c>
      <c r="AE118" s="55">
        <f>IF(AE2&gt;=Assumptions!$B$48,AE113*Assumptions!$B$37*Assumptions!$B$150*Assumptions!$B$152*Assumptions!$B$34*Assumptions!$B$151/12*AE7,0)</f>
        <v/>
      </c>
    </row>
    <row r="119">
      <c r="A119" s="6" t="inlineStr">
        <is>
          <t xml:space="preserve">  Grams purchased</t>
        </is>
      </c>
      <c r="B119" s="23" t="inlineStr">
        <is>
          <t>grams</t>
        </is>
      </c>
      <c r="C119" s="54">
        <f>(C117+C118)*(1-Assumptions!$B$8)/C20/(1+Assumptions!$B$9)</f>
        <v/>
      </c>
      <c r="D119" s="54">
        <f>(D117+D118)*(1-Assumptions!$B$8)/D20/(1+Assumptions!$B$9)</f>
        <v/>
      </c>
      <c r="E119" s="54">
        <f>(E117+E118)*(1-Assumptions!$B$8)/E20/(1+Assumptions!$B$9)</f>
        <v/>
      </c>
      <c r="F119" s="54">
        <f>(F117+F118)*(1-Assumptions!$B$8)/F20/(1+Assumptions!$B$9)</f>
        <v/>
      </c>
      <c r="G119" s="54">
        <f>(G117+G118)*(1-Assumptions!$B$8)/G20/(1+Assumptions!$B$9)</f>
        <v/>
      </c>
      <c r="H119" s="54">
        <f>(H117+H118)*(1-Assumptions!$B$8)/H20/(1+Assumptions!$B$9)</f>
        <v/>
      </c>
      <c r="I119" s="54">
        <f>(I117+I118)*(1-Assumptions!$B$8)/I20/(1+Assumptions!$B$9)</f>
        <v/>
      </c>
      <c r="J119" s="54">
        <f>(J117+J118)*(1-Assumptions!$B$8)/J20/(1+Assumptions!$B$9)</f>
        <v/>
      </c>
      <c r="K119" s="54">
        <f>(K117+K118)*(1-Assumptions!$B$8)/K20/(1+Assumptions!$B$9)</f>
        <v/>
      </c>
      <c r="L119" s="54">
        <f>(L117+L118)*(1-Assumptions!$B$8)/L20/(1+Assumptions!$B$9)</f>
        <v/>
      </c>
      <c r="M119" s="54">
        <f>(M117+M118)*(1-Assumptions!$B$8)/M20/(1+Assumptions!$B$9)</f>
        <v/>
      </c>
      <c r="N119" s="54">
        <f>(N117+N118)*(1-Assumptions!$B$8)/N20/(1+Assumptions!$B$9)</f>
        <v/>
      </c>
      <c r="O119" s="54">
        <f>(O117+O118)*(1-Assumptions!$B$8)/O20/(1+Assumptions!$B$9)</f>
        <v/>
      </c>
      <c r="P119" s="54">
        <f>(P117+P118)*(1-Assumptions!$B$8)/P20/(1+Assumptions!$B$9)</f>
        <v/>
      </c>
      <c r="Q119" s="54">
        <f>(Q117+Q118)*(1-Assumptions!$B$8)/Q20/(1+Assumptions!$B$9)</f>
        <v/>
      </c>
      <c r="R119" s="54">
        <f>(R117+R118)*(1-Assumptions!$B$8)/R20/(1+Assumptions!$B$9)</f>
        <v/>
      </c>
      <c r="S119" s="54">
        <f>(S117+S118)*(1-Assumptions!$B$8)/S20/(1+Assumptions!$B$9)</f>
        <v/>
      </c>
      <c r="T119" s="54">
        <f>(T117+T118)*(1-Assumptions!$B$8)/T20/(1+Assumptions!$B$9)</f>
        <v/>
      </c>
      <c r="U119" s="54">
        <f>(U117+U118)*(1-Assumptions!$B$8)/U20/(1+Assumptions!$B$9)</f>
        <v/>
      </c>
      <c r="V119" s="54">
        <f>(V117+V118)*(1-Assumptions!$B$8)/V20/(1+Assumptions!$B$9)</f>
        <v/>
      </c>
      <c r="W119" s="54">
        <f>(W117+W118)*(1-Assumptions!$B$8)/W20/(1+Assumptions!$B$9)</f>
        <v/>
      </c>
      <c r="X119" s="54">
        <f>(X117+X118)*(1-Assumptions!$B$8)/X20/(1+Assumptions!$B$9)</f>
        <v/>
      </c>
      <c r="Y119" s="54">
        <f>(Y117+Y118)*(1-Assumptions!$B$8)/Y20/(1+Assumptions!$B$9)</f>
        <v/>
      </c>
      <c r="Z119" s="54">
        <f>(Z117+Z118)*(1-Assumptions!$B$8)/Z20/(1+Assumptions!$B$9)</f>
        <v/>
      </c>
      <c r="AA119" s="54">
        <f>(AA117+AA118)*(1-Assumptions!$B$8)/AA20/(1+Assumptions!$B$9)</f>
        <v/>
      </c>
      <c r="AB119" s="54">
        <f>(AB117+AB118)*(1-Assumptions!$B$8)/AB20/(1+Assumptions!$B$9)</f>
        <v/>
      </c>
      <c r="AC119" s="54">
        <f>(AC117+AC118)*(1-Assumptions!$B$8)/AC20/(1+Assumptions!$B$9)</f>
        <v/>
      </c>
      <c r="AD119" s="54">
        <f>(AD117+AD118)*(1-Assumptions!$B$8)/AD20/(1+Assumptions!$B$9)</f>
        <v/>
      </c>
      <c r="AE119" s="54">
        <f>(AE117+AE118)*(1-Assumptions!$B$8)/AE20/(1+Assumptions!$B$9)</f>
        <v/>
      </c>
    </row>
    <row r="120">
      <c r="A120" s="6" t="inlineStr">
        <is>
          <t xml:space="preserve">  Collateral-eligible AUM decay rate (holder-weighted)</t>
        </is>
      </c>
      <c r="B120" s="23" t="inlineStr">
        <is>
          <t>%/period</t>
        </is>
      </c>
      <c r="C120" s="56">
        <f>(Assumptions!$B$147+Assumptions!$B$148*IF(C113+C115=0,1,(C113+C115*Assumptions!$B$149)/(C113+C115)))*C7/12</f>
        <v/>
      </c>
      <c r="D120" s="56">
        <f>(Assumptions!$B$147+Assumptions!$B$148*IF(D113+D115=0,1,(D113+D115*Assumptions!$B$149)/(D113+D115)))*D7/12</f>
        <v/>
      </c>
      <c r="E120" s="56">
        <f>(Assumptions!$B$147+Assumptions!$B$148*IF(E113+E115=0,1,(E113+E115*Assumptions!$B$149)/(E113+E115)))*E7/12</f>
        <v/>
      </c>
      <c r="F120" s="56">
        <f>(Assumptions!$B$147+Assumptions!$B$148*IF(F113+F115=0,1,(F113+F115*Assumptions!$B$149)/(F113+F115)))*F7/12</f>
        <v/>
      </c>
      <c r="G120" s="56">
        <f>(Assumptions!$B$147+Assumptions!$B$148*IF(G113+G115=0,1,(G113+G115*Assumptions!$B$149)/(G113+G115)))*G7/12</f>
        <v/>
      </c>
      <c r="H120" s="56">
        <f>(Assumptions!$B$147+Assumptions!$B$148*IF(H113+H115=0,1,(H113+H115*Assumptions!$B$149)/(H113+H115)))*H7/12</f>
        <v/>
      </c>
      <c r="I120" s="56">
        <f>(Assumptions!$B$147+Assumptions!$B$148*IF(I113+I115=0,1,(I113+I115*Assumptions!$B$149)/(I113+I115)))*I7/12</f>
        <v/>
      </c>
      <c r="J120" s="56">
        <f>(Assumptions!$B$147+Assumptions!$B$148*IF(J113+J115=0,1,(J113+J115*Assumptions!$B$149)/(J113+J115)))*J7/12</f>
        <v/>
      </c>
      <c r="K120" s="56">
        <f>(Assumptions!$B$147+Assumptions!$B$148*IF(K113+K115=0,1,(K113+K115*Assumptions!$B$149)/(K113+K115)))*K7/12</f>
        <v/>
      </c>
      <c r="L120" s="56">
        <f>(Assumptions!$B$147+Assumptions!$B$148*IF(L113+L115=0,1,(L113+L115*Assumptions!$B$149)/(L113+L115)))*L7/12</f>
        <v/>
      </c>
      <c r="M120" s="56">
        <f>(Assumptions!$B$147+Assumptions!$B$148*IF(M113+M115=0,1,(M113+M115*Assumptions!$B$149)/(M113+M115)))*M7/12</f>
        <v/>
      </c>
      <c r="N120" s="56">
        <f>(Assumptions!$B$147+Assumptions!$B$148*IF(N113+N115=0,1,(N113+N115*Assumptions!$B$149)/(N113+N115)))*N7/12</f>
        <v/>
      </c>
      <c r="O120" s="56">
        <f>(Assumptions!$B$147+Assumptions!$B$148*IF(O113+O115=0,1,(O113+O115*Assumptions!$B$149)/(O113+O115)))*O7/12</f>
        <v/>
      </c>
      <c r="P120" s="56">
        <f>(Assumptions!$B$147+Assumptions!$B$148*IF(P113+P115=0,1,(P113+P115*Assumptions!$B$149)/(P113+P115)))*P7/12</f>
        <v/>
      </c>
      <c r="Q120" s="56">
        <f>(Assumptions!$B$147+Assumptions!$B$148*IF(Q113+Q115=0,1,(Q113+Q115*Assumptions!$B$149)/(Q113+Q115)))*Q7/12</f>
        <v/>
      </c>
      <c r="R120" s="56">
        <f>(Assumptions!$B$147+Assumptions!$B$148*IF(R113+R115=0,1,(R113+R115*Assumptions!$B$149)/(R113+R115)))*R7/12</f>
        <v/>
      </c>
      <c r="S120" s="56">
        <f>(Assumptions!$B$147+Assumptions!$B$148*IF(S113+S115=0,1,(S113+S115*Assumptions!$B$149)/(S113+S115)))*S7/12</f>
        <v/>
      </c>
      <c r="T120" s="56">
        <f>(Assumptions!$B$147+Assumptions!$B$148*IF(T113+T115=0,1,(T113+T115*Assumptions!$B$149)/(T113+T115)))*T7/12</f>
        <v/>
      </c>
      <c r="U120" s="56">
        <f>(Assumptions!$B$147+Assumptions!$B$148*IF(U113+U115=0,1,(U113+U115*Assumptions!$B$149)/(U113+U115)))*U7/12</f>
        <v/>
      </c>
      <c r="V120" s="56">
        <f>(Assumptions!$B$147+Assumptions!$B$148*IF(V113+V115=0,1,(V113+V115*Assumptions!$B$149)/(V113+V115)))*V7/12</f>
        <v/>
      </c>
      <c r="W120" s="56">
        <f>(Assumptions!$B$147+Assumptions!$B$148*IF(W113+W115=0,1,(W113+W115*Assumptions!$B$149)/(W113+W115)))*W7/12</f>
        <v/>
      </c>
      <c r="X120" s="56">
        <f>(Assumptions!$B$147+Assumptions!$B$148*IF(X113+X115=0,1,(X113+X115*Assumptions!$B$149)/(X113+X115)))*X7/12</f>
        <v/>
      </c>
      <c r="Y120" s="56">
        <f>(Assumptions!$B$147+Assumptions!$B$148*IF(Y113+Y115=0,1,(Y113+Y115*Assumptions!$B$149)/(Y113+Y115)))*Y7/12</f>
        <v/>
      </c>
      <c r="Z120" s="56">
        <f>(Assumptions!$B$147+Assumptions!$B$148*IF(Z113+Z115=0,1,(Z113+Z115*Assumptions!$B$149)/(Z113+Z115)))*Z7/12</f>
        <v/>
      </c>
      <c r="AA120" s="56">
        <f>(Assumptions!$B$147+Assumptions!$B$148*IF(AA113+AA115=0,1,(AA113+AA115*Assumptions!$B$149)/(AA113+AA115)))*AA7/12</f>
        <v/>
      </c>
      <c r="AB120" s="56">
        <f>(Assumptions!$B$147+Assumptions!$B$148*IF(AB113+AB115=0,1,(AB113+AB115*Assumptions!$B$149)/(AB113+AB115)))*AB7/12</f>
        <v/>
      </c>
      <c r="AC120" s="56">
        <f>(Assumptions!$B$147+Assumptions!$B$148*IF(AC113+AC115=0,1,(AC113+AC115*Assumptions!$B$149)/(AC113+AC115)))*AC7/12</f>
        <v/>
      </c>
      <c r="AD120" s="56">
        <f>(Assumptions!$B$147+Assumptions!$B$148*IF(AD113+AD115=0,1,(AD113+AD115*Assumptions!$B$149)/(AD113+AD115)))*AD7/12</f>
        <v/>
      </c>
      <c r="AE120" s="56">
        <f>(Assumptions!$B$147+Assumptions!$B$148*IF(AE113+AE115=0,1,(AE113+AE115*Assumptions!$B$149)/(AE113+AE115)))*AE7/12</f>
        <v/>
      </c>
    </row>
    <row r="121">
      <c r="A121" s="6" t="inlineStr">
        <is>
          <t xml:space="preserve">  Redemption-only decay rate (metal actually leaving)</t>
        </is>
      </c>
      <c r="B121" s="23" t="inlineStr">
        <is>
          <t>%/period</t>
        </is>
      </c>
      <c r="C121" s="56">
        <f>Assumptions!$B$148*IF(C113+C115=0,1,(C113+C115*Assumptions!$B$149)/(C113+C115))*C7/12</f>
        <v/>
      </c>
      <c r="D121" s="56">
        <f>Assumptions!$B$148*IF(D113+D115=0,1,(D113+D115*Assumptions!$B$149)/(D113+D115))*D7/12</f>
        <v/>
      </c>
      <c r="E121" s="56">
        <f>Assumptions!$B$148*IF(E113+E115=0,1,(E113+E115*Assumptions!$B$149)/(E113+E115))*E7/12</f>
        <v/>
      </c>
      <c r="F121" s="56">
        <f>Assumptions!$B$148*IF(F113+F115=0,1,(F113+F115*Assumptions!$B$149)/(F113+F115))*F7/12</f>
        <v/>
      </c>
      <c r="G121" s="56">
        <f>Assumptions!$B$148*IF(G113+G115=0,1,(G113+G115*Assumptions!$B$149)/(G113+G115))*G7/12</f>
        <v/>
      </c>
      <c r="H121" s="56">
        <f>Assumptions!$B$148*IF(H113+H115=0,1,(H113+H115*Assumptions!$B$149)/(H113+H115))*H7/12</f>
        <v/>
      </c>
      <c r="I121" s="56">
        <f>Assumptions!$B$148*IF(I113+I115=0,1,(I113+I115*Assumptions!$B$149)/(I113+I115))*I7/12</f>
        <v/>
      </c>
      <c r="J121" s="56">
        <f>Assumptions!$B$148*IF(J113+J115=0,1,(J113+J115*Assumptions!$B$149)/(J113+J115))*J7/12</f>
        <v/>
      </c>
      <c r="K121" s="56">
        <f>Assumptions!$B$148*IF(K113+K115=0,1,(K113+K115*Assumptions!$B$149)/(K113+K115))*K7/12</f>
        <v/>
      </c>
      <c r="L121" s="56">
        <f>Assumptions!$B$148*IF(L113+L115=0,1,(L113+L115*Assumptions!$B$149)/(L113+L115))*L7/12</f>
        <v/>
      </c>
      <c r="M121" s="56">
        <f>Assumptions!$B$148*IF(M113+M115=0,1,(M113+M115*Assumptions!$B$149)/(M113+M115))*M7/12</f>
        <v/>
      </c>
      <c r="N121" s="56">
        <f>Assumptions!$B$148*IF(N113+N115=0,1,(N113+N115*Assumptions!$B$149)/(N113+N115))*N7/12</f>
        <v/>
      </c>
      <c r="O121" s="56">
        <f>Assumptions!$B$148*IF(O113+O115=0,1,(O113+O115*Assumptions!$B$149)/(O113+O115))*O7/12</f>
        <v/>
      </c>
      <c r="P121" s="56">
        <f>Assumptions!$B$148*IF(P113+P115=0,1,(P113+P115*Assumptions!$B$149)/(P113+P115))*P7/12</f>
        <v/>
      </c>
      <c r="Q121" s="56">
        <f>Assumptions!$B$148*IF(Q113+Q115=0,1,(Q113+Q115*Assumptions!$B$149)/(Q113+Q115))*Q7/12</f>
        <v/>
      </c>
      <c r="R121" s="56">
        <f>Assumptions!$B$148*IF(R113+R115=0,1,(R113+R115*Assumptions!$B$149)/(R113+R115))*R7/12</f>
        <v/>
      </c>
      <c r="S121" s="56">
        <f>Assumptions!$B$148*IF(S113+S115=0,1,(S113+S115*Assumptions!$B$149)/(S113+S115))*S7/12</f>
        <v/>
      </c>
      <c r="T121" s="56">
        <f>Assumptions!$B$148*IF(T113+T115=0,1,(T113+T115*Assumptions!$B$149)/(T113+T115))*T7/12</f>
        <v/>
      </c>
      <c r="U121" s="56">
        <f>Assumptions!$B$148*IF(U113+U115=0,1,(U113+U115*Assumptions!$B$149)/(U113+U115))*U7/12</f>
        <v/>
      </c>
      <c r="V121" s="56">
        <f>Assumptions!$B$148*IF(V113+V115=0,1,(V113+V115*Assumptions!$B$149)/(V113+V115))*V7/12</f>
        <v/>
      </c>
      <c r="W121" s="56">
        <f>Assumptions!$B$148*IF(W113+W115=0,1,(W113+W115*Assumptions!$B$149)/(W113+W115))*W7/12</f>
        <v/>
      </c>
      <c r="X121" s="56">
        <f>Assumptions!$B$148*IF(X113+X115=0,1,(X113+X115*Assumptions!$B$149)/(X113+X115))*X7/12</f>
        <v/>
      </c>
      <c r="Y121" s="56">
        <f>Assumptions!$B$148*IF(Y113+Y115=0,1,(Y113+Y115*Assumptions!$B$149)/(Y113+Y115))*Y7/12</f>
        <v/>
      </c>
      <c r="Z121" s="56">
        <f>Assumptions!$B$148*IF(Z113+Z115=0,1,(Z113+Z115*Assumptions!$B$149)/(Z113+Z115))*Z7/12</f>
        <v/>
      </c>
      <c r="AA121" s="56">
        <f>Assumptions!$B$148*IF(AA113+AA115=0,1,(AA113+AA115*Assumptions!$B$149)/(AA113+AA115))*AA7/12</f>
        <v/>
      </c>
      <c r="AB121" s="56">
        <f>Assumptions!$B$148*IF(AB113+AB115=0,1,(AB113+AB115*Assumptions!$B$149)/(AB113+AB115))*AB7/12</f>
        <v/>
      </c>
      <c r="AC121" s="56">
        <f>Assumptions!$B$148*IF(AC113+AC115=0,1,(AC113+AC115*Assumptions!$B$149)/(AC113+AC115))*AC7/12</f>
        <v/>
      </c>
      <c r="AD121" s="56">
        <f>Assumptions!$B$148*IF(AD113+AD115=0,1,(AD113+AD115*Assumptions!$B$149)/(AD113+AD115))*AD7/12</f>
        <v/>
      </c>
      <c r="AE121" s="56">
        <f>Assumptions!$B$148*IF(AE113+AE115=0,1,(AE113+AE115*Assumptions!$B$149)/(AE113+AE115))*AE7/12</f>
        <v/>
      </c>
    </row>
    <row r="122">
      <c r="A122" s="6" t="inlineStr">
        <is>
          <t xml:space="preserve">  Grams held (collateral-eligible)</t>
        </is>
      </c>
      <c r="B122" s="23" t="inlineStr">
        <is>
          <t>grams</t>
        </is>
      </c>
      <c r="C122" s="45">
        <f>C119</f>
        <v/>
      </c>
      <c r="D122" s="45">
        <f>C122*(1-D120)+D119</f>
        <v/>
      </c>
      <c r="E122" s="45">
        <f>D122*(1-E120)+E119</f>
        <v/>
      </c>
      <c r="F122" s="45">
        <f>E122*(1-F120)+F119</f>
        <v/>
      </c>
      <c r="G122" s="45">
        <f>F122*(1-G120)+G119</f>
        <v/>
      </c>
      <c r="H122" s="45">
        <f>G122*(1-H120)+H119</f>
        <v/>
      </c>
      <c r="I122" s="45">
        <f>H122*(1-I120)+I119</f>
        <v/>
      </c>
      <c r="J122" s="45">
        <f>I122*(1-J120)+J119</f>
        <v/>
      </c>
      <c r="K122" s="45">
        <f>J122*(1-K120)+K119</f>
        <v/>
      </c>
      <c r="L122" s="45">
        <f>K122*(1-L120)+L119</f>
        <v/>
      </c>
      <c r="M122" s="45">
        <f>L122*(1-M120)+M119</f>
        <v/>
      </c>
      <c r="N122" s="45">
        <f>M122*(1-N120)+N119</f>
        <v/>
      </c>
      <c r="O122" s="45">
        <f>N122*(1-O120)+O119</f>
        <v/>
      </c>
      <c r="P122" s="45">
        <f>O122*(1-P120)+P119</f>
        <v/>
      </c>
      <c r="Q122" s="45">
        <f>P122*(1-Q120)+Q119</f>
        <v/>
      </c>
      <c r="R122" s="45">
        <f>Q122*(1-R120)+R119</f>
        <v/>
      </c>
      <c r="S122" s="45">
        <f>R122*(1-S120)+S119</f>
        <v/>
      </c>
      <c r="T122" s="45">
        <f>S122*(1-T120)+T119</f>
        <v/>
      </c>
      <c r="U122" s="45">
        <f>T122*(1-U120)+U119</f>
        <v/>
      </c>
      <c r="V122" s="45">
        <f>U122*(1-V120)+V119</f>
        <v/>
      </c>
      <c r="W122" s="45">
        <f>V122*(1-W120)+W119</f>
        <v/>
      </c>
      <c r="X122" s="45">
        <f>W122*(1-X120)+X119</f>
        <v/>
      </c>
      <c r="Y122" s="45">
        <f>X122*(1-Y120)+Y119</f>
        <v/>
      </c>
      <c r="Z122" s="45">
        <f>Y122*(1-Z120)+Z119</f>
        <v/>
      </c>
      <c r="AA122" s="45">
        <f>Z122*(1-AA120)+AA119</f>
        <v/>
      </c>
      <c r="AB122" s="45">
        <f>AA122*(1-AB120)+AB119</f>
        <v/>
      </c>
      <c r="AC122" s="45">
        <f>AB122*(1-AC120)+AC119</f>
        <v/>
      </c>
      <c r="AD122" s="45">
        <f>AC122*(1-AD120)+AD119</f>
        <v/>
      </c>
      <c r="AE122" s="45">
        <f>AD122*(1-AE120)+AE119</f>
        <v/>
      </c>
    </row>
    <row r="123">
      <c r="A123" s="6" t="inlineStr">
        <is>
          <t xml:space="preserve">  Grams under custody (vaulted, incl. self-custodied)</t>
        </is>
      </c>
      <c r="B123" s="23" t="inlineStr">
        <is>
          <t>grams</t>
        </is>
      </c>
      <c r="C123" s="45">
        <f>C119</f>
        <v/>
      </c>
      <c r="D123" s="45">
        <f>C123*(1-D121)+D119</f>
        <v/>
      </c>
      <c r="E123" s="45">
        <f>D123*(1-E121)+E119</f>
        <v/>
      </c>
      <c r="F123" s="45">
        <f>E123*(1-F121)+F119</f>
        <v/>
      </c>
      <c r="G123" s="45">
        <f>F123*(1-G121)+G119</f>
        <v/>
      </c>
      <c r="H123" s="45">
        <f>G123*(1-H121)+H119</f>
        <v/>
      </c>
      <c r="I123" s="45">
        <f>H123*(1-I121)+I119</f>
        <v/>
      </c>
      <c r="J123" s="45">
        <f>I123*(1-J121)+J119</f>
        <v/>
      </c>
      <c r="K123" s="45">
        <f>J123*(1-K121)+K119</f>
        <v/>
      </c>
      <c r="L123" s="45">
        <f>K123*(1-L121)+L119</f>
        <v/>
      </c>
      <c r="M123" s="45">
        <f>L123*(1-M121)+M119</f>
        <v/>
      </c>
      <c r="N123" s="45">
        <f>M123*(1-N121)+N119</f>
        <v/>
      </c>
      <c r="O123" s="45">
        <f>N123*(1-O121)+O119</f>
        <v/>
      </c>
      <c r="P123" s="45">
        <f>O123*(1-P121)+P119</f>
        <v/>
      </c>
      <c r="Q123" s="45">
        <f>P123*(1-Q121)+Q119</f>
        <v/>
      </c>
      <c r="R123" s="45">
        <f>Q123*(1-R121)+R119</f>
        <v/>
      </c>
      <c r="S123" s="45">
        <f>R123*(1-S121)+S119</f>
        <v/>
      </c>
      <c r="T123" s="45">
        <f>S123*(1-T121)+T119</f>
        <v/>
      </c>
      <c r="U123" s="45">
        <f>T123*(1-U121)+U119</f>
        <v/>
      </c>
      <c r="V123" s="45">
        <f>U123*(1-V121)+V119</f>
        <v/>
      </c>
      <c r="W123" s="45">
        <f>V123*(1-W121)+W119</f>
        <v/>
      </c>
      <c r="X123" s="45">
        <f>W123*(1-X121)+X119</f>
        <v/>
      </c>
      <c r="Y123" s="45">
        <f>X123*(1-Y121)+Y119</f>
        <v/>
      </c>
      <c r="Z123" s="45">
        <f>Y123*(1-Z121)+Z119</f>
        <v/>
      </c>
      <c r="AA123" s="45">
        <f>Z123*(1-AA121)+AA119</f>
        <v/>
      </c>
      <c r="AB123" s="45">
        <f>AA123*(1-AB121)+AB119</f>
        <v/>
      </c>
      <c r="AC123" s="45">
        <f>AB123*(1-AC121)+AC119</f>
        <v/>
      </c>
      <c r="AD123" s="45">
        <f>AC123*(1-AD121)+AD119</f>
        <v/>
      </c>
      <c r="AE123" s="45">
        <f>AD123*(1-AE121)+AE119</f>
        <v/>
      </c>
    </row>
    <row r="124">
      <c r="A124" s="6" t="inlineStr">
        <is>
          <t xml:space="preserve">  AUM</t>
        </is>
      </c>
      <c r="B124" s="23" t="inlineStr">
        <is>
          <t>USD</t>
        </is>
      </c>
      <c r="C124" s="57">
        <f>C122*C20</f>
        <v/>
      </c>
      <c r="D124" s="57">
        <f>D122*D20</f>
        <v/>
      </c>
      <c r="E124" s="57">
        <f>E122*E20</f>
        <v/>
      </c>
      <c r="F124" s="57">
        <f>F122*F20</f>
        <v/>
      </c>
      <c r="G124" s="57">
        <f>G122*G20</f>
        <v/>
      </c>
      <c r="H124" s="57">
        <f>H122*H20</f>
        <v/>
      </c>
      <c r="I124" s="57">
        <f>I122*I20</f>
        <v/>
      </c>
      <c r="J124" s="57">
        <f>J122*J20</f>
        <v/>
      </c>
      <c r="K124" s="57">
        <f>K122*K20</f>
        <v/>
      </c>
      <c r="L124" s="57">
        <f>L122*L20</f>
        <v/>
      </c>
      <c r="M124" s="57">
        <f>M122*M20</f>
        <v/>
      </c>
      <c r="N124" s="57">
        <f>N122*N20</f>
        <v/>
      </c>
      <c r="O124" s="57">
        <f>O122*O20</f>
        <v/>
      </c>
      <c r="P124" s="57">
        <f>P122*P20</f>
        <v/>
      </c>
      <c r="Q124" s="57">
        <f>Q122*Q20</f>
        <v/>
      </c>
      <c r="R124" s="57">
        <f>R122*R20</f>
        <v/>
      </c>
      <c r="S124" s="57">
        <f>S122*S20</f>
        <v/>
      </c>
      <c r="T124" s="57">
        <f>T122*T20</f>
        <v/>
      </c>
      <c r="U124" s="57">
        <f>U122*U20</f>
        <v/>
      </c>
      <c r="V124" s="57">
        <f>V122*V20</f>
        <v/>
      </c>
      <c r="W124" s="57">
        <f>W122*W20</f>
        <v/>
      </c>
      <c r="X124" s="57">
        <f>X122*X20</f>
        <v/>
      </c>
      <c r="Y124" s="57">
        <f>Y122*Y20</f>
        <v/>
      </c>
      <c r="Z124" s="57">
        <f>Z122*Z20</f>
        <v/>
      </c>
      <c r="AA124" s="57">
        <f>AA122*AA20</f>
        <v/>
      </c>
      <c r="AB124" s="57">
        <f>AB122*AB20</f>
        <v/>
      </c>
      <c r="AC124" s="57">
        <f>AC122*AC20</f>
        <v/>
      </c>
      <c r="AD124" s="57">
        <f>AD122*AD20</f>
        <v/>
      </c>
      <c r="AE124" s="57">
        <f>AE122*AE20</f>
        <v/>
      </c>
    </row>
    <row r="125">
      <c r="A125" s="6" t="inlineStr">
        <is>
          <t xml:space="preserve">  Card-eligible base</t>
        </is>
      </c>
      <c r="B125" s="23" t="inlineStr">
        <is>
          <t>accounts</t>
        </is>
      </c>
      <c r="C125" s="54">
        <f>C113+C115*Assumptions!$B$190</f>
        <v/>
      </c>
      <c r="D125" s="54">
        <f>D113+D115*Assumptions!$B$190</f>
        <v/>
      </c>
      <c r="E125" s="54">
        <f>E113+E115*Assumptions!$B$190</f>
        <v/>
      </c>
      <c r="F125" s="54">
        <f>F113+F115*Assumptions!$B$190</f>
        <v/>
      </c>
      <c r="G125" s="54">
        <f>G113+G115*Assumptions!$B$190</f>
        <v/>
      </c>
      <c r="H125" s="54">
        <f>H113+H115*Assumptions!$B$190</f>
        <v/>
      </c>
      <c r="I125" s="54">
        <f>I113+I115*Assumptions!$B$190</f>
        <v/>
      </c>
      <c r="J125" s="54">
        <f>J113+J115*Assumptions!$B$190</f>
        <v/>
      </c>
      <c r="K125" s="54">
        <f>K113+K115*Assumptions!$B$190</f>
        <v/>
      </c>
      <c r="L125" s="54">
        <f>L113+L115*Assumptions!$B$190</f>
        <v/>
      </c>
      <c r="M125" s="54">
        <f>M113+M115*Assumptions!$B$190</f>
        <v/>
      </c>
      <c r="N125" s="54">
        <f>N113+N115*Assumptions!$B$190</f>
        <v/>
      </c>
      <c r="O125" s="54">
        <f>O113+O115*Assumptions!$B$190</f>
        <v/>
      </c>
      <c r="P125" s="54">
        <f>P113+P115*Assumptions!$B$190</f>
        <v/>
      </c>
      <c r="Q125" s="54">
        <f>Q113+Q115*Assumptions!$B$190</f>
        <v/>
      </c>
      <c r="R125" s="54">
        <f>R113+R115*Assumptions!$B$190</f>
        <v/>
      </c>
      <c r="S125" s="54">
        <f>S113+S115*Assumptions!$B$190</f>
        <v/>
      </c>
      <c r="T125" s="54">
        <f>T113+T115*Assumptions!$B$190</f>
        <v/>
      </c>
      <c r="U125" s="54">
        <f>U113+U115*Assumptions!$B$190</f>
        <v/>
      </c>
      <c r="V125" s="54">
        <f>V113+V115*Assumptions!$B$190</f>
        <v/>
      </c>
      <c r="W125" s="54">
        <f>W113+W115*Assumptions!$B$190</f>
        <v/>
      </c>
      <c r="X125" s="54">
        <f>X113+X115*Assumptions!$B$190</f>
        <v/>
      </c>
      <c r="Y125" s="54">
        <f>Y113+Y115*Assumptions!$B$190</f>
        <v/>
      </c>
      <c r="Z125" s="54">
        <f>Z113+Z115*Assumptions!$B$190</f>
        <v/>
      </c>
      <c r="AA125" s="54">
        <f>AA113+AA115*Assumptions!$B$190</f>
        <v/>
      </c>
      <c r="AB125" s="54">
        <f>AB113+AB115*Assumptions!$B$190</f>
        <v/>
      </c>
      <c r="AC125" s="54">
        <f>AC113+AC115*Assumptions!$B$190</f>
        <v/>
      </c>
      <c r="AD125" s="54">
        <f>AD113+AD115*Assumptions!$B$190</f>
        <v/>
      </c>
      <c r="AE125" s="54">
        <f>AE113+AE115*Assumptions!$B$190</f>
        <v/>
      </c>
    </row>
    <row r="126">
      <c r="A126" s="6" t="inlineStr">
        <is>
          <t xml:space="preserve">  Reaches an ICS benefit tier (memo - drives discounts, not access)</t>
        </is>
      </c>
      <c r="B126" s="23" t="inlineStr">
        <is>
          <t>accounts</t>
        </is>
      </c>
      <c r="C126" s="58">
        <f>IF(C7&gt;1,C125*Assumptions!$B$145,IF(C2&gt;Assumptions!$B$146,INDEX($C$125:$AE$125,1,C2-Assumptions!$B$146)*Assumptions!$B$145,0))</f>
        <v/>
      </c>
      <c r="D126" s="58">
        <f>IF(D7&gt;1,D125*Assumptions!$B$145,IF(D2&gt;Assumptions!$B$146,INDEX($C$125:$AE$125,1,D2-Assumptions!$B$146)*Assumptions!$B$145,0))</f>
        <v/>
      </c>
      <c r="E126" s="58">
        <f>IF(E7&gt;1,E125*Assumptions!$B$145,IF(E2&gt;Assumptions!$B$146,INDEX($C$125:$AE$125,1,E2-Assumptions!$B$146)*Assumptions!$B$145,0))</f>
        <v/>
      </c>
      <c r="F126" s="58">
        <f>IF(F7&gt;1,F125*Assumptions!$B$145,IF(F2&gt;Assumptions!$B$146,INDEX($C$125:$AE$125,1,F2-Assumptions!$B$146)*Assumptions!$B$145,0))</f>
        <v/>
      </c>
      <c r="G126" s="58">
        <f>IF(G7&gt;1,G125*Assumptions!$B$145,IF(G2&gt;Assumptions!$B$146,INDEX($C$125:$AE$125,1,G2-Assumptions!$B$146)*Assumptions!$B$145,0))</f>
        <v/>
      </c>
      <c r="H126" s="58">
        <f>IF(H7&gt;1,H125*Assumptions!$B$145,IF(H2&gt;Assumptions!$B$146,INDEX($C$125:$AE$125,1,H2-Assumptions!$B$146)*Assumptions!$B$145,0))</f>
        <v/>
      </c>
      <c r="I126" s="58">
        <f>IF(I7&gt;1,I125*Assumptions!$B$145,IF(I2&gt;Assumptions!$B$146,INDEX($C$125:$AE$125,1,I2-Assumptions!$B$146)*Assumptions!$B$145,0))</f>
        <v/>
      </c>
      <c r="J126" s="58">
        <f>IF(J7&gt;1,J125*Assumptions!$B$145,IF(J2&gt;Assumptions!$B$146,INDEX($C$125:$AE$125,1,J2-Assumptions!$B$146)*Assumptions!$B$145,0))</f>
        <v/>
      </c>
      <c r="K126" s="58">
        <f>IF(K7&gt;1,K125*Assumptions!$B$145,IF(K2&gt;Assumptions!$B$146,INDEX($C$125:$AE$125,1,K2-Assumptions!$B$146)*Assumptions!$B$145,0))</f>
        <v/>
      </c>
      <c r="L126" s="58">
        <f>IF(L7&gt;1,L125*Assumptions!$B$145,IF(L2&gt;Assumptions!$B$146,INDEX($C$125:$AE$125,1,L2-Assumptions!$B$146)*Assumptions!$B$145,0))</f>
        <v/>
      </c>
      <c r="M126" s="58">
        <f>IF(M7&gt;1,M125*Assumptions!$B$145,IF(M2&gt;Assumptions!$B$146,INDEX($C$125:$AE$125,1,M2-Assumptions!$B$146)*Assumptions!$B$145,0))</f>
        <v/>
      </c>
      <c r="N126" s="58">
        <f>IF(N7&gt;1,N125*Assumptions!$B$145,IF(N2&gt;Assumptions!$B$146,INDEX($C$125:$AE$125,1,N2-Assumptions!$B$146)*Assumptions!$B$145,0))</f>
        <v/>
      </c>
      <c r="O126" s="58">
        <f>IF(O7&gt;1,O125*Assumptions!$B$145,IF(O2&gt;Assumptions!$B$146,INDEX($C$125:$AE$125,1,O2-Assumptions!$B$146)*Assumptions!$B$145,0))</f>
        <v/>
      </c>
      <c r="P126" s="58">
        <f>IF(P7&gt;1,P125*Assumptions!$B$145,IF(P2&gt;Assumptions!$B$146,INDEX($C$125:$AE$125,1,P2-Assumptions!$B$146)*Assumptions!$B$145,0))</f>
        <v/>
      </c>
      <c r="Q126" s="58">
        <f>IF(Q7&gt;1,Q125*Assumptions!$B$145,IF(Q2&gt;Assumptions!$B$146,INDEX($C$125:$AE$125,1,Q2-Assumptions!$B$146)*Assumptions!$B$145,0))</f>
        <v/>
      </c>
      <c r="R126" s="58">
        <f>IF(R7&gt;1,R125*Assumptions!$B$145,IF(R2&gt;Assumptions!$B$146,INDEX($C$125:$AE$125,1,R2-Assumptions!$B$146)*Assumptions!$B$145,0))</f>
        <v/>
      </c>
      <c r="S126" s="58">
        <f>IF(S7&gt;1,S125*Assumptions!$B$145,IF(S2&gt;Assumptions!$B$146,INDEX($C$125:$AE$125,1,S2-Assumptions!$B$146)*Assumptions!$B$145,0))</f>
        <v/>
      </c>
      <c r="T126" s="58">
        <f>IF(T7&gt;1,T125*Assumptions!$B$145,IF(T2&gt;Assumptions!$B$146,INDEX($C$125:$AE$125,1,T2-Assumptions!$B$146)*Assumptions!$B$145,0))</f>
        <v/>
      </c>
      <c r="U126" s="58">
        <f>IF(U7&gt;1,U125*Assumptions!$B$145,IF(U2&gt;Assumptions!$B$146,INDEX($C$125:$AE$125,1,U2-Assumptions!$B$146)*Assumptions!$B$145,0))</f>
        <v/>
      </c>
      <c r="V126" s="58">
        <f>IF(V7&gt;1,V125*Assumptions!$B$145,IF(V2&gt;Assumptions!$B$146,INDEX($C$125:$AE$125,1,V2-Assumptions!$B$146)*Assumptions!$B$145,0))</f>
        <v/>
      </c>
      <c r="W126" s="58">
        <f>IF(W7&gt;1,W125*Assumptions!$B$145,IF(W2&gt;Assumptions!$B$146,INDEX($C$125:$AE$125,1,W2-Assumptions!$B$146)*Assumptions!$B$145,0))</f>
        <v/>
      </c>
      <c r="X126" s="58">
        <f>IF(X7&gt;1,X125*Assumptions!$B$145,IF(X2&gt;Assumptions!$B$146,INDEX($C$125:$AE$125,1,X2-Assumptions!$B$146)*Assumptions!$B$145,0))</f>
        <v/>
      </c>
      <c r="Y126" s="58">
        <f>IF(Y7&gt;1,Y125*Assumptions!$B$145,IF(Y2&gt;Assumptions!$B$146,INDEX($C$125:$AE$125,1,Y2-Assumptions!$B$146)*Assumptions!$B$145,0))</f>
        <v/>
      </c>
      <c r="Z126" s="58">
        <f>IF(Z7&gt;1,Z125*Assumptions!$B$145,IF(Z2&gt;Assumptions!$B$146,INDEX($C$125:$AE$125,1,Z2-Assumptions!$B$146)*Assumptions!$B$145,0))</f>
        <v/>
      </c>
      <c r="AA126" s="58">
        <f>IF(AA7&gt;1,AA125*Assumptions!$B$145,IF(AA2&gt;Assumptions!$B$146,INDEX($C$125:$AE$125,1,AA2-Assumptions!$B$146)*Assumptions!$B$145,0))</f>
        <v/>
      </c>
      <c r="AB126" s="58">
        <f>IF(AB7&gt;1,AB125*Assumptions!$B$145,IF(AB2&gt;Assumptions!$B$146,INDEX($C$125:$AE$125,1,AB2-Assumptions!$B$146)*Assumptions!$B$145,0))</f>
        <v/>
      </c>
      <c r="AC126" s="58">
        <f>IF(AC7&gt;1,AC125*Assumptions!$B$145,IF(AC2&gt;Assumptions!$B$146,INDEX($C$125:$AE$125,1,AC2-Assumptions!$B$146)*Assumptions!$B$145,0))</f>
        <v/>
      </c>
      <c r="AD126" s="58">
        <f>IF(AD7&gt;1,AD125*Assumptions!$B$145,IF(AD2&gt;Assumptions!$B$146,INDEX($C$125:$AE$125,1,AD2-Assumptions!$B$146)*Assumptions!$B$145,0))</f>
        <v/>
      </c>
      <c r="AE126" s="58">
        <f>IF(AE7&gt;1,AE125*Assumptions!$B$145,IF(AE2&gt;Assumptions!$B$146,INDEX($C$125:$AE$125,1,AE2-Assumptions!$B$146)*Assumptions!$B$145,0))</f>
        <v/>
      </c>
    </row>
    <row r="127">
      <c r="A127" s="6" t="inlineStr">
        <is>
          <t xml:space="preserve">  Active cards</t>
        </is>
      </c>
      <c r="B127" s="23" t="inlineStr">
        <is>
          <t>cards</t>
        </is>
      </c>
      <c r="C127" s="28">
        <f>IF(C2&gt;=Assumptions!$B$51,C125*Assumptions!$B$154,0)</f>
        <v/>
      </c>
      <c r="D127" s="28">
        <f>IF(D2&gt;=Assumptions!$B$51,D125*Assumptions!$B$154,0)</f>
        <v/>
      </c>
      <c r="E127" s="28">
        <f>IF(E2&gt;=Assumptions!$B$51,E125*Assumptions!$B$154,0)</f>
        <v/>
      </c>
      <c r="F127" s="28">
        <f>IF(F2&gt;=Assumptions!$B$51,F125*Assumptions!$B$154,0)</f>
        <v/>
      </c>
      <c r="G127" s="28">
        <f>IF(G2&gt;=Assumptions!$B$51,G125*Assumptions!$B$154,0)</f>
        <v/>
      </c>
      <c r="H127" s="28">
        <f>IF(H2&gt;=Assumptions!$B$51,H125*Assumptions!$B$154,0)</f>
        <v/>
      </c>
      <c r="I127" s="28">
        <f>IF(I2&gt;=Assumptions!$B$51,I125*Assumptions!$B$154,0)</f>
        <v/>
      </c>
      <c r="J127" s="28">
        <f>IF(J2&gt;=Assumptions!$B$51,J125*Assumptions!$B$154,0)</f>
        <v/>
      </c>
      <c r="K127" s="28">
        <f>IF(K2&gt;=Assumptions!$B$51,K125*Assumptions!$B$154,0)</f>
        <v/>
      </c>
      <c r="L127" s="28">
        <f>IF(L2&gt;=Assumptions!$B$51,L125*Assumptions!$B$154,0)</f>
        <v/>
      </c>
      <c r="M127" s="28">
        <f>IF(M2&gt;=Assumptions!$B$51,M125*Assumptions!$B$154,0)</f>
        <v/>
      </c>
      <c r="N127" s="28">
        <f>IF(N2&gt;=Assumptions!$B$51,N125*Assumptions!$B$154,0)</f>
        <v/>
      </c>
      <c r="O127" s="28">
        <f>IF(O2&gt;=Assumptions!$B$51,O125*Assumptions!$B$154,0)</f>
        <v/>
      </c>
      <c r="P127" s="28">
        <f>IF(P2&gt;=Assumptions!$B$51,P125*Assumptions!$B$154,0)</f>
        <v/>
      </c>
      <c r="Q127" s="28">
        <f>IF(Q2&gt;=Assumptions!$B$51,Q125*Assumptions!$B$154,0)</f>
        <v/>
      </c>
      <c r="R127" s="28">
        <f>IF(R2&gt;=Assumptions!$B$51,R125*Assumptions!$B$154,0)</f>
        <v/>
      </c>
      <c r="S127" s="28">
        <f>IF(S2&gt;=Assumptions!$B$51,S125*Assumptions!$B$154,0)</f>
        <v/>
      </c>
      <c r="T127" s="28">
        <f>IF(T2&gt;=Assumptions!$B$51,T125*Assumptions!$B$154,0)</f>
        <v/>
      </c>
      <c r="U127" s="28">
        <f>IF(U2&gt;=Assumptions!$B$51,U125*Assumptions!$B$154,0)</f>
        <v/>
      </c>
      <c r="V127" s="28">
        <f>IF(V2&gt;=Assumptions!$B$51,V125*Assumptions!$B$154,0)</f>
        <v/>
      </c>
      <c r="W127" s="28">
        <f>IF(W2&gt;=Assumptions!$B$51,W125*Assumptions!$B$154,0)</f>
        <v/>
      </c>
      <c r="X127" s="28">
        <f>IF(X2&gt;=Assumptions!$B$51,X125*Assumptions!$B$154,0)</f>
        <v/>
      </c>
      <c r="Y127" s="28">
        <f>IF(Y2&gt;=Assumptions!$B$51,Y125*Assumptions!$B$154,0)</f>
        <v/>
      </c>
      <c r="Z127" s="28">
        <f>IF(Z2&gt;=Assumptions!$B$51,Z125*Assumptions!$B$154,0)</f>
        <v/>
      </c>
      <c r="AA127" s="28">
        <f>IF(AA2&gt;=Assumptions!$B$51,AA125*Assumptions!$B$154,0)</f>
        <v/>
      </c>
      <c r="AB127" s="28">
        <f>IF(AB2&gt;=Assumptions!$B$51,AB125*Assumptions!$B$154,0)</f>
        <v/>
      </c>
      <c r="AC127" s="28">
        <f>IF(AC2&gt;=Assumptions!$B$51,AC125*Assumptions!$B$154,0)</f>
        <v/>
      </c>
      <c r="AD127" s="28">
        <f>IF(AD2&gt;=Assumptions!$B$51,AD125*Assumptions!$B$154,0)</f>
        <v/>
      </c>
      <c r="AE127" s="28">
        <f>IF(AE2&gt;=Assumptions!$B$51,AE125*Assumptions!$B$154,0)</f>
        <v/>
      </c>
    </row>
    <row r="128">
      <c r="A128" s="6" t="inlineStr">
        <is>
          <t xml:space="preserve">  ...of which have a live credit line (now all of them)</t>
        </is>
      </c>
      <c r="B128" s="23" t="inlineStr">
        <is>
          <t>cards</t>
        </is>
      </c>
      <c r="C128" s="28">
        <f>C127</f>
        <v/>
      </c>
      <c r="D128" s="28">
        <f>D127</f>
        <v/>
      </c>
      <c r="E128" s="28">
        <f>E127</f>
        <v/>
      </c>
      <c r="F128" s="28">
        <f>F127</f>
        <v/>
      </c>
      <c r="G128" s="28">
        <f>G127</f>
        <v/>
      </c>
      <c r="H128" s="28">
        <f>H127</f>
        <v/>
      </c>
      <c r="I128" s="28">
        <f>I127</f>
        <v/>
      </c>
      <c r="J128" s="28">
        <f>J127</f>
        <v/>
      </c>
      <c r="K128" s="28">
        <f>K127</f>
        <v/>
      </c>
      <c r="L128" s="28">
        <f>L127</f>
        <v/>
      </c>
      <c r="M128" s="28">
        <f>M127</f>
        <v/>
      </c>
      <c r="N128" s="28">
        <f>N127</f>
        <v/>
      </c>
      <c r="O128" s="28">
        <f>O127</f>
        <v/>
      </c>
      <c r="P128" s="28">
        <f>P127</f>
        <v/>
      </c>
      <c r="Q128" s="28">
        <f>Q127</f>
        <v/>
      </c>
      <c r="R128" s="28">
        <f>R127</f>
        <v/>
      </c>
      <c r="S128" s="28">
        <f>S127</f>
        <v/>
      </c>
      <c r="T128" s="28">
        <f>T127</f>
        <v/>
      </c>
      <c r="U128" s="28">
        <f>U127</f>
        <v/>
      </c>
      <c r="V128" s="28">
        <f>V127</f>
        <v/>
      </c>
      <c r="W128" s="28">
        <f>W127</f>
        <v/>
      </c>
      <c r="X128" s="28">
        <f>X127</f>
        <v/>
      </c>
      <c r="Y128" s="28">
        <f>Y127</f>
        <v/>
      </c>
      <c r="Z128" s="28">
        <f>Z127</f>
        <v/>
      </c>
      <c r="AA128" s="28">
        <f>AA127</f>
        <v/>
      </c>
      <c r="AB128" s="28">
        <f>AB127</f>
        <v/>
      </c>
      <c r="AC128" s="28">
        <f>AC127</f>
        <v/>
      </c>
      <c r="AD128" s="28">
        <f>AD127</f>
        <v/>
      </c>
      <c r="AE128" s="28">
        <f>AE127</f>
        <v/>
      </c>
    </row>
    <row r="129">
      <c r="A129" s="6" t="inlineStr">
        <is>
          <t xml:space="preserve">  ...newly issued this period (flow, drives the issuance fee)</t>
        </is>
      </c>
      <c r="B129" s="23" t="inlineStr">
        <is>
          <t>cards</t>
        </is>
      </c>
      <c r="C129" s="54">
        <f>C127</f>
        <v/>
      </c>
      <c r="D129" s="54">
        <f>MAX(0,D127-C127)</f>
        <v/>
      </c>
      <c r="E129" s="54">
        <f>MAX(0,E127-D127)</f>
        <v/>
      </c>
      <c r="F129" s="54">
        <f>MAX(0,F127-E127)</f>
        <v/>
      </c>
      <c r="G129" s="54">
        <f>MAX(0,G127-F127)</f>
        <v/>
      </c>
      <c r="H129" s="54">
        <f>MAX(0,H127-G127)</f>
        <v/>
      </c>
      <c r="I129" s="54">
        <f>MAX(0,I127-H127)</f>
        <v/>
      </c>
      <c r="J129" s="54">
        <f>MAX(0,J127-I127)</f>
        <v/>
      </c>
      <c r="K129" s="54">
        <f>MAX(0,K127-J127)</f>
        <v/>
      </c>
      <c r="L129" s="54">
        <f>MAX(0,L127-K127)</f>
        <v/>
      </c>
      <c r="M129" s="54">
        <f>MAX(0,M127-L127)</f>
        <v/>
      </c>
      <c r="N129" s="54">
        <f>MAX(0,N127-M127)</f>
        <v/>
      </c>
      <c r="O129" s="54">
        <f>MAX(0,O127-N127)</f>
        <v/>
      </c>
      <c r="P129" s="54">
        <f>MAX(0,P127-O127)</f>
        <v/>
      </c>
      <c r="Q129" s="54">
        <f>MAX(0,Q127-P127)</f>
        <v/>
      </c>
      <c r="R129" s="54">
        <f>MAX(0,R127-Q127)</f>
        <v/>
      </c>
      <c r="S129" s="54">
        <f>MAX(0,S127-R127)</f>
        <v/>
      </c>
      <c r="T129" s="54">
        <f>MAX(0,T127-S127)</f>
        <v/>
      </c>
      <c r="U129" s="54">
        <f>MAX(0,U127-T127)</f>
        <v/>
      </c>
      <c r="V129" s="54">
        <f>MAX(0,V127-U127)</f>
        <v/>
      </c>
      <c r="W129" s="54">
        <f>MAX(0,W127-V127)</f>
        <v/>
      </c>
      <c r="X129" s="54">
        <f>MAX(0,X127-W127)</f>
        <v/>
      </c>
      <c r="Y129" s="54">
        <f>MAX(0,Y127-X127)</f>
        <v/>
      </c>
      <c r="Z129" s="54">
        <f>MAX(0,Z127-Y127)</f>
        <v/>
      </c>
      <c r="AA129" s="54">
        <f>MAX(0,AA127-Z127)</f>
        <v/>
      </c>
      <c r="AB129" s="54">
        <f>MAX(0,AB127-AA127)</f>
        <v/>
      </c>
      <c r="AC129" s="54">
        <f>MAX(0,AC127-AB127)</f>
        <v/>
      </c>
      <c r="AD129" s="54">
        <f>MAX(0,AD127-AC127)</f>
        <v/>
      </c>
      <c r="AE129" s="54">
        <f>MAX(0,AE127-AD127)</f>
        <v/>
      </c>
    </row>
    <row r="130">
      <c r="A130" s="6" t="inlineStr">
        <is>
          <t xml:space="preserve">  Credit limit per customer (gold x LTV)</t>
        </is>
      </c>
      <c r="B130" s="23" t="inlineStr">
        <is>
          <t>USD</t>
        </is>
      </c>
      <c r="C130" s="55">
        <f>IF(C125=0,0,C124/C125*Assumptions!$B$31)</f>
        <v/>
      </c>
      <c r="D130" s="55">
        <f>IF(D125=0,0,D124/D125*Assumptions!$B$31)</f>
        <v/>
      </c>
      <c r="E130" s="55">
        <f>IF(E125=0,0,E124/E125*Assumptions!$B$31)</f>
        <v/>
      </c>
      <c r="F130" s="55">
        <f>IF(F125=0,0,F124/F125*Assumptions!$B$31)</f>
        <v/>
      </c>
      <c r="G130" s="55">
        <f>IF(G125=0,0,G124/G125*Assumptions!$B$31)</f>
        <v/>
      </c>
      <c r="H130" s="55">
        <f>IF(H125=0,0,H124/H125*Assumptions!$B$31)</f>
        <v/>
      </c>
      <c r="I130" s="55">
        <f>IF(I125=0,0,I124/I125*Assumptions!$B$31)</f>
        <v/>
      </c>
      <c r="J130" s="55">
        <f>IF(J125=0,0,J124/J125*Assumptions!$B$31)</f>
        <v/>
      </c>
      <c r="K130" s="55">
        <f>IF(K125=0,0,K124/K125*Assumptions!$B$31)</f>
        <v/>
      </c>
      <c r="L130" s="55">
        <f>IF(L125=0,0,L124/L125*Assumptions!$B$31)</f>
        <v/>
      </c>
      <c r="M130" s="55">
        <f>IF(M125=0,0,M124/M125*Assumptions!$B$31)</f>
        <v/>
      </c>
      <c r="N130" s="55">
        <f>IF(N125=0,0,N124/N125*Assumptions!$B$31)</f>
        <v/>
      </c>
      <c r="O130" s="55">
        <f>IF(O125=0,0,O124/O125*Assumptions!$B$31)</f>
        <v/>
      </c>
      <c r="P130" s="55">
        <f>IF(P125=0,0,P124/P125*Assumptions!$B$31)</f>
        <v/>
      </c>
      <c r="Q130" s="55">
        <f>IF(Q125=0,0,Q124/Q125*Assumptions!$B$31)</f>
        <v/>
      </c>
      <c r="R130" s="55">
        <f>IF(R125=0,0,R124/R125*Assumptions!$B$31)</f>
        <v/>
      </c>
      <c r="S130" s="55">
        <f>IF(S125=0,0,S124/S125*Assumptions!$B$31)</f>
        <v/>
      </c>
      <c r="T130" s="55">
        <f>IF(T125=0,0,T124/T125*Assumptions!$B$31)</f>
        <v/>
      </c>
      <c r="U130" s="55">
        <f>IF(U125=0,0,U124/U125*Assumptions!$B$31)</f>
        <v/>
      </c>
      <c r="V130" s="55">
        <f>IF(V125=0,0,V124/V125*Assumptions!$B$31)</f>
        <v/>
      </c>
      <c r="W130" s="55">
        <f>IF(W125=0,0,W124/W125*Assumptions!$B$31)</f>
        <v/>
      </c>
      <c r="X130" s="55">
        <f>IF(X125=0,0,X124/X125*Assumptions!$B$31)</f>
        <v/>
      </c>
      <c r="Y130" s="55">
        <f>IF(Y125=0,0,Y124/Y125*Assumptions!$B$31)</f>
        <v/>
      </c>
      <c r="Z130" s="55">
        <f>IF(Z125=0,0,Z124/Z125*Assumptions!$B$31)</f>
        <v/>
      </c>
      <c r="AA130" s="55">
        <f>IF(AA125=0,0,AA124/AA125*Assumptions!$B$31)</f>
        <v/>
      </c>
      <c r="AB130" s="55">
        <f>IF(AB125=0,0,AB124/AB125*Assumptions!$B$31)</f>
        <v/>
      </c>
      <c r="AC130" s="55">
        <f>IF(AC125=0,0,AC124/AC125*Assumptions!$B$31)</f>
        <v/>
      </c>
      <c r="AD130" s="55">
        <f>IF(AD125=0,0,AD124/AD125*Assumptions!$B$31)</f>
        <v/>
      </c>
      <c r="AE130" s="55">
        <f>IF(AE125=0,0,AE124/AE125*Assumptions!$B$31)</f>
        <v/>
      </c>
    </row>
    <row r="131">
      <c r="A131" s="6" t="inlineStr">
        <is>
          <t xml:space="preserve">  Annual drawdown per card (limit x drawn x draws)</t>
        </is>
      </c>
      <c r="B131" s="23" t="inlineStr">
        <is>
          <t>USD/yr</t>
        </is>
      </c>
      <c r="C131" s="55">
        <f>C130*Assumptions!$B$167*Assumptions!$B$169</f>
        <v/>
      </c>
      <c r="D131" s="55">
        <f>D130*Assumptions!$B$167*Assumptions!$B$169</f>
        <v/>
      </c>
      <c r="E131" s="55">
        <f>E130*Assumptions!$B$167*Assumptions!$B$169</f>
        <v/>
      </c>
      <c r="F131" s="55">
        <f>F130*Assumptions!$B$167*Assumptions!$B$169</f>
        <v/>
      </c>
      <c r="G131" s="55">
        <f>G130*Assumptions!$B$167*Assumptions!$B$169</f>
        <v/>
      </c>
      <c r="H131" s="55">
        <f>H130*Assumptions!$B$167*Assumptions!$B$169</f>
        <v/>
      </c>
      <c r="I131" s="55">
        <f>I130*Assumptions!$B$167*Assumptions!$B$169</f>
        <v/>
      </c>
      <c r="J131" s="55">
        <f>J130*Assumptions!$B$167*Assumptions!$B$169</f>
        <v/>
      </c>
      <c r="K131" s="55">
        <f>K130*Assumptions!$B$167*Assumptions!$B$169</f>
        <v/>
      </c>
      <c r="L131" s="55">
        <f>L130*Assumptions!$B$167*Assumptions!$B$169</f>
        <v/>
      </c>
      <c r="M131" s="55">
        <f>M130*Assumptions!$B$167*Assumptions!$B$169</f>
        <v/>
      </c>
      <c r="N131" s="55">
        <f>N130*Assumptions!$B$167*Assumptions!$B$169</f>
        <v/>
      </c>
      <c r="O131" s="55">
        <f>O130*Assumptions!$B$167*Assumptions!$B$169</f>
        <v/>
      </c>
      <c r="P131" s="55">
        <f>P130*Assumptions!$B$167*Assumptions!$B$169</f>
        <v/>
      </c>
      <c r="Q131" s="55">
        <f>Q130*Assumptions!$B$167*Assumptions!$B$169</f>
        <v/>
      </c>
      <c r="R131" s="55">
        <f>R130*Assumptions!$B$167*Assumptions!$B$169</f>
        <v/>
      </c>
      <c r="S131" s="55">
        <f>S130*Assumptions!$B$167*Assumptions!$B$169</f>
        <v/>
      </c>
      <c r="T131" s="55">
        <f>T130*Assumptions!$B$167*Assumptions!$B$169</f>
        <v/>
      </c>
      <c r="U131" s="55">
        <f>U130*Assumptions!$B$167*Assumptions!$B$169</f>
        <v/>
      </c>
      <c r="V131" s="55">
        <f>V130*Assumptions!$B$167*Assumptions!$B$169</f>
        <v/>
      </c>
      <c r="W131" s="55">
        <f>W130*Assumptions!$B$167*Assumptions!$B$169</f>
        <v/>
      </c>
      <c r="X131" s="55">
        <f>X130*Assumptions!$B$167*Assumptions!$B$169</f>
        <v/>
      </c>
      <c r="Y131" s="55">
        <f>Y130*Assumptions!$B$167*Assumptions!$B$169</f>
        <v/>
      </c>
      <c r="Z131" s="55">
        <f>Z130*Assumptions!$B$167*Assumptions!$B$169</f>
        <v/>
      </c>
      <c r="AA131" s="55">
        <f>AA130*Assumptions!$B$167*Assumptions!$B$169</f>
        <v/>
      </c>
      <c r="AB131" s="55">
        <f>AB130*Assumptions!$B$167*Assumptions!$B$169</f>
        <v/>
      </c>
      <c r="AC131" s="55">
        <f>AC130*Assumptions!$B$167*Assumptions!$B$169</f>
        <v/>
      </c>
      <c r="AD131" s="55">
        <f>AD130*Assumptions!$B$167*Assumptions!$B$169</f>
        <v/>
      </c>
      <c r="AE131" s="55">
        <f>AE130*Assumptions!$B$167*Assumptions!$B$169</f>
        <v/>
      </c>
    </row>
    <row r="132">
      <c r="A132" s="6" t="inlineStr">
        <is>
          <t xml:space="preserve">  Card spend per card per month</t>
        </is>
      </c>
      <c r="B132" s="23" t="inlineStr">
        <is>
          <t>USD</t>
        </is>
      </c>
      <c r="C132" s="55">
        <f>C131/12*C16</f>
        <v/>
      </c>
      <c r="D132" s="55">
        <f>D131/12*D16</f>
        <v/>
      </c>
      <c r="E132" s="55">
        <f>E131/12*E16</f>
        <v/>
      </c>
      <c r="F132" s="55">
        <f>F131/12*F16</f>
        <v/>
      </c>
      <c r="G132" s="55">
        <f>G131/12*G16</f>
        <v/>
      </c>
      <c r="H132" s="55">
        <f>H131/12*H16</f>
        <v/>
      </c>
      <c r="I132" s="55">
        <f>I131/12*I16</f>
        <v/>
      </c>
      <c r="J132" s="55">
        <f>J131/12*J16</f>
        <v/>
      </c>
      <c r="K132" s="55">
        <f>K131/12*K16</f>
        <v/>
      </c>
      <c r="L132" s="55">
        <f>L131/12*L16</f>
        <v/>
      </c>
      <c r="M132" s="55">
        <f>M131/12*M16</f>
        <v/>
      </c>
      <c r="N132" s="55">
        <f>N131/12*N16</f>
        <v/>
      </c>
      <c r="O132" s="55">
        <f>O131/12*O16</f>
        <v/>
      </c>
      <c r="P132" s="55">
        <f>P131/12*P16</f>
        <v/>
      </c>
      <c r="Q132" s="55">
        <f>Q131/12*Q16</f>
        <v/>
      </c>
      <c r="R132" s="55">
        <f>R131/12*R16</f>
        <v/>
      </c>
      <c r="S132" s="55">
        <f>S131/12*S16</f>
        <v/>
      </c>
      <c r="T132" s="55">
        <f>T131/12*T16</f>
        <v/>
      </c>
      <c r="U132" s="55">
        <f>U131/12*U16</f>
        <v/>
      </c>
      <c r="V132" s="55">
        <f>V131/12*V16</f>
        <v/>
      </c>
      <c r="W132" s="55">
        <f>W131/12*W16</f>
        <v/>
      </c>
      <c r="X132" s="55">
        <f>X131/12*X16</f>
        <v/>
      </c>
      <c r="Y132" s="55">
        <f>Y131/12*Y16</f>
        <v/>
      </c>
      <c r="Z132" s="55">
        <f>Z131/12*Z16</f>
        <v/>
      </c>
      <c r="AA132" s="55">
        <f>AA131/12*AA16</f>
        <v/>
      </c>
      <c r="AB132" s="55">
        <f>AB131/12*AB16</f>
        <v/>
      </c>
      <c r="AC132" s="55">
        <f>AC131/12*AC16</f>
        <v/>
      </c>
      <c r="AD132" s="55">
        <f>AD131/12*AD16</f>
        <v/>
      </c>
      <c r="AE132" s="55">
        <f>AE131/12*AE16</f>
        <v/>
      </c>
    </row>
    <row r="133">
      <c r="A133" s="6" t="inlineStr">
        <is>
          <t xml:space="preserve">  Card spend</t>
        </is>
      </c>
      <c r="B133" s="23" t="inlineStr">
        <is>
          <t>AED</t>
        </is>
      </c>
      <c r="C133" s="45">
        <f>C128*C132*Assumptions!$B$7*C7</f>
        <v/>
      </c>
      <c r="D133" s="45">
        <f>D128*D132*Assumptions!$B$7*D7</f>
        <v/>
      </c>
      <c r="E133" s="45">
        <f>E128*E132*Assumptions!$B$7*E7</f>
        <v/>
      </c>
      <c r="F133" s="45">
        <f>F128*F132*Assumptions!$B$7*F7</f>
        <v/>
      </c>
      <c r="G133" s="45">
        <f>G128*G132*Assumptions!$B$7*G7</f>
        <v/>
      </c>
      <c r="H133" s="45">
        <f>H128*H132*Assumptions!$B$7*H7</f>
        <v/>
      </c>
      <c r="I133" s="45">
        <f>I128*I132*Assumptions!$B$7*I7</f>
        <v/>
      </c>
      <c r="J133" s="45">
        <f>J128*J132*Assumptions!$B$7*J7</f>
        <v/>
      </c>
      <c r="K133" s="45">
        <f>K128*K132*Assumptions!$B$7*K7</f>
        <v/>
      </c>
      <c r="L133" s="45">
        <f>L128*L132*Assumptions!$B$7*L7</f>
        <v/>
      </c>
      <c r="M133" s="45">
        <f>M128*M132*Assumptions!$B$7*M7</f>
        <v/>
      </c>
      <c r="N133" s="45">
        <f>N128*N132*Assumptions!$B$7*N7</f>
        <v/>
      </c>
      <c r="O133" s="45">
        <f>O128*O132*Assumptions!$B$7*O7</f>
        <v/>
      </c>
      <c r="P133" s="45">
        <f>P128*P132*Assumptions!$B$7*P7</f>
        <v/>
      </c>
      <c r="Q133" s="45">
        <f>Q128*Q132*Assumptions!$B$7*Q7</f>
        <v/>
      </c>
      <c r="R133" s="45">
        <f>R128*R132*Assumptions!$B$7*R7</f>
        <v/>
      </c>
      <c r="S133" s="45">
        <f>S128*S132*Assumptions!$B$7*S7</f>
        <v/>
      </c>
      <c r="T133" s="45">
        <f>T128*T132*Assumptions!$B$7*T7</f>
        <v/>
      </c>
      <c r="U133" s="45">
        <f>U128*U132*Assumptions!$B$7*U7</f>
        <v/>
      </c>
      <c r="V133" s="45">
        <f>V128*V132*Assumptions!$B$7*V7</f>
        <v/>
      </c>
      <c r="W133" s="45">
        <f>W128*W132*Assumptions!$B$7*W7</f>
        <v/>
      </c>
      <c r="X133" s="45">
        <f>X128*X132*Assumptions!$B$7*X7</f>
        <v/>
      </c>
      <c r="Y133" s="45">
        <f>Y128*Y132*Assumptions!$B$7*Y7</f>
        <v/>
      </c>
      <c r="Z133" s="45">
        <f>Z128*Z132*Assumptions!$B$7*Z7</f>
        <v/>
      </c>
      <c r="AA133" s="45">
        <f>AA128*AA132*Assumptions!$B$7*AA7</f>
        <v/>
      </c>
      <c r="AB133" s="45">
        <f>AB128*AB132*Assumptions!$B$7*AB7</f>
        <v/>
      </c>
      <c r="AC133" s="45">
        <f>AC128*AC132*Assumptions!$B$7*AC7</f>
        <v/>
      </c>
      <c r="AD133" s="45">
        <f>AD128*AD132*Assumptions!$B$7*AD7</f>
        <v/>
      </c>
      <c r="AE133" s="45">
        <f>AE128*AE132*Assumptions!$B$7*AE7</f>
        <v/>
      </c>
    </row>
    <row r="134">
      <c r="A134" s="6" t="inlineStr">
        <is>
          <t xml:space="preserve">  Card spend</t>
        </is>
      </c>
      <c r="B134" s="23" t="inlineStr">
        <is>
          <t>USD</t>
        </is>
      </c>
      <c r="C134" s="55">
        <f>C133/Assumptions!$B$7</f>
        <v/>
      </c>
      <c r="D134" s="55">
        <f>D133/Assumptions!$B$7</f>
        <v/>
      </c>
      <c r="E134" s="55">
        <f>E133/Assumptions!$B$7</f>
        <v/>
      </c>
      <c r="F134" s="55">
        <f>F133/Assumptions!$B$7</f>
        <v/>
      </c>
      <c r="G134" s="55">
        <f>G133/Assumptions!$B$7</f>
        <v/>
      </c>
      <c r="H134" s="55">
        <f>H133/Assumptions!$B$7</f>
        <v/>
      </c>
      <c r="I134" s="55">
        <f>I133/Assumptions!$B$7</f>
        <v/>
      </c>
      <c r="J134" s="55">
        <f>J133/Assumptions!$B$7</f>
        <v/>
      </c>
      <c r="K134" s="55">
        <f>K133/Assumptions!$B$7</f>
        <v/>
      </c>
      <c r="L134" s="55">
        <f>L133/Assumptions!$B$7</f>
        <v/>
      </c>
      <c r="M134" s="55">
        <f>M133/Assumptions!$B$7</f>
        <v/>
      </c>
      <c r="N134" s="55">
        <f>N133/Assumptions!$B$7</f>
        <v/>
      </c>
      <c r="O134" s="55">
        <f>O133/Assumptions!$B$7</f>
        <v/>
      </c>
      <c r="P134" s="55">
        <f>P133/Assumptions!$B$7</f>
        <v/>
      </c>
      <c r="Q134" s="55">
        <f>Q133/Assumptions!$B$7</f>
        <v/>
      </c>
      <c r="R134" s="55">
        <f>R133/Assumptions!$B$7</f>
        <v/>
      </c>
      <c r="S134" s="55">
        <f>S133/Assumptions!$B$7</f>
        <v/>
      </c>
      <c r="T134" s="55">
        <f>T133/Assumptions!$B$7</f>
        <v/>
      </c>
      <c r="U134" s="55">
        <f>U133/Assumptions!$B$7</f>
        <v/>
      </c>
      <c r="V134" s="55">
        <f>V133/Assumptions!$B$7</f>
        <v/>
      </c>
      <c r="W134" s="55">
        <f>W133/Assumptions!$B$7</f>
        <v/>
      </c>
      <c r="X134" s="55">
        <f>X133/Assumptions!$B$7</f>
        <v/>
      </c>
      <c r="Y134" s="55">
        <f>Y133/Assumptions!$B$7</f>
        <v/>
      </c>
      <c r="Z134" s="55">
        <f>Z133/Assumptions!$B$7</f>
        <v/>
      </c>
      <c r="AA134" s="55">
        <f>AA133/Assumptions!$B$7</f>
        <v/>
      </c>
      <c r="AB134" s="55">
        <f>AB133/Assumptions!$B$7</f>
        <v/>
      </c>
      <c r="AC134" s="55">
        <f>AC133/Assumptions!$B$7</f>
        <v/>
      </c>
      <c r="AD134" s="55">
        <f>AD133/Assumptions!$B$7</f>
        <v/>
      </c>
      <c r="AE134" s="55">
        <f>AE133/Assumptions!$B$7</f>
        <v/>
      </c>
    </row>
    <row r="135">
      <c r="A135" s="6" t="inlineStr">
        <is>
          <t xml:space="preserve">  Average transaction size (derived)</t>
        </is>
      </c>
      <c r="B135" s="23" t="inlineStr">
        <is>
          <t>AED</t>
        </is>
      </c>
      <c r="C135" s="45">
        <f>IF(Assumptions!$B$155=0,0,C130*Assumptions!$B$167*Assumptions!$B$7/Assumptions!$B$155)</f>
        <v/>
      </c>
      <c r="D135" s="45">
        <f>IF(Assumptions!$B$155=0,0,D130*Assumptions!$B$167*Assumptions!$B$7/Assumptions!$B$155)</f>
        <v/>
      </c>
      <c r="E135" s="45">
        <f>IF(Assumptions!$B$155=0,0,E130*Assumptions!$B$167*Assumptions!$B$7/Assumptions!$B$155)</f>
        <v/>
      </c>
      <c r="F135" s="45">
        <f>IF(Assumptions!$B$155=0,0,F130*Assumptions!$B$167*Assumptions!$B$7/Assumptions!$B$155)</f>
        <v/>
      </c>
      <c r="G135" s="45">
        <f>IF(Assumptions!$B$155=0,0,G130*Assumptions!$B$167*Assumptions!$B$7/Assumptions!$B$155)</f>
        <v/>
      </c>
      <c r="H135" s="45">
        <f>IF(Assumptions!$B$155=0,0,H130*Assumptions!$B$167*Assumptions!$B$7/Assumptions!$B$155)</f>
        <v/>
      </c>
      <c r="I135" s="45">
        <f>IF(Assumptions!$B$155=0,0,I130*Assumptions!$B$167*Assumptions!$B$7/Assumptions!$B$155)</f>
        <v/>
      </c>
      <c r="J135" s="45">
        <f>IF(Assumptions!$B$155=0,0,J130*Assumptions!$B$167*Assumptions!$B$7/Assumptions!$B$155)</f>
        <v/>
      </c>
      <c r="K135" s="45">
        <f>IF(Assumptions!$B$155=0,0,K130*Assumptions!$B$167*Assumptions!$B$7/Assumptions!$B$155)</f>
        <v/>
      </c>
      <c r="L135" s="45">
        <f>IF(Assumptions!$B$155=0,0,L130*Assumptions!$B$167*Assumptions!$B$7/Assumptions!$B$155)</f>
        <v/>
      </c>
      <c r="M135" s="45">
        <f>IF(Assumptions!$B$155=0,0,M130*Assumptions!$B$167*Assumptions!$B$7/Assumptions!$B$155)</f>
        <v/>
      </c>
      <c r="N135" s="45">
        <f>IF(Assumptions!$B$155=0,0,N130*Assumptions!$B$167*Assumptions!$B$7/Assumptions!$B$155)</f>
        <v/>
      </c>
      <c r="O135" s="45">
        <f>IF(Assumptions!$B$155=0,0,O130*Assumptions!$B$167*Assumptions!$B$7/Assumptions!$B$155)</f>
        <v/>
      </c>
      <c r="P135" s="45">
        <f>IF(Assumptions!$B$155=0,0,P130*Assumptions!$B$167*Assumptions!$B$7/Assumptions!$B$155)</f>
        <v/>
      </c>
      <c r="Q135" s="45">
        <f>IF(Assumptions!$B$155=0,0,Q130*Assumptions!$B$167*Assumptions!$B$7/Assumptions!$B$155)</f>
        <v/>
      </c>
      <c r="R135" s="45">
        <f>IF(Assumptions!$B$155=0,0,R130*Assumptions!$B$167*Assumptions!$B$7/Assumptions!$B$155)</f>
        <v/>
      </c>
      <c r="S135" s="45">
        <f>IF(Assumptions!$B$155=0,0,S130*Assumptions!$B$167*Assumptions!$B$7/Assumptions!$B$155)</f>
        <v/>
      </c>
      <c r="T135" s="45">
        <f>IF(Assumptions!$B$155=0,0,T130*Assumptions!$B$167*Assumptions!$B$7/Assumptions!$B$155)</f>
        <v/>
      </c>
      <c r="U135" s="45">
        <f>IF(Assumptions!$B$155=0,0,U130*Assumptions!$B$167*Assumptions!$B$7/Assumptions!$B$155)</f>
        <v/>
      </c>
      <c r="V135" s="45">
        <f>IF(Assumptions!$B$155=0,0,V130*Assumptions!$B$167*Assumptions!$B$7/Assumptions!$B$155)</f>
        <v/>
      </c>
      <c r="W135" s="45">
        <f>IF(Assumptions!$B$155=0,0,W130*Assumptions!$B$167*Assumptions!$B$7/Assumptions!$B$155)</f>
        <v/>
      </c>
      <c r="X135" s="45">
        <f>IF(Assumptions!$B$155=0,0,X130*Assumptions!$B$167*Assumptions!$B$7/Assumptions!$B$155)</f>
        <v/>
      </c>
      <c r="Y135" s="45">
        <f>IF(Assumptions!$B$155=0,0,Y130*Assumptions!$B$167*Assumptions!$B$7/Assumptions!$B$155)</f>
        <v/>
      </c>
      <c r="Z135" s="45">
        <f>IF(Assumptions!$B$155=0,0,Z130*Assumptions!$B$167*Assumptions!$B$7/Assumptions!$B$155)</f>
        <v/>
      </c>
      <c r="AA135" s="45">
        <f>IF(Assumptions!$B$155=0,0,AA130*Assumptions!$B$167*Assumptions!$B$7/Assumptions!$B$155)</f>
        <v/>
      </c>
      <c r="AB135" s="45">
        <f>IF(Assumptions!$B$155=0,0,AB130*Assumptions!$B$167*Assumptions!$B$7/Assumptions!$B$155)</f>
        <v/>
      </c>
      <c r="AC135" s="45">
        <f>IF(Assumptions!$B$155=0,0,AC130*Assumptions!$B$167*Assumptions!$B$7/Assumptions!$B$155)</f>
        <v/>
      </c>
      <c r="AD135" s="45">
        <f>IF(Assumptions!$B$155=0,0,AD130*Assumptions!$B$167*Assumptions!$B$7/Assumptions!$B$155)</f>
        <v/>
      </c>
      <c r="AE135" s="45">
        <f>IF(Assumptions!$B$155=0,0,AE130*Assumptions!$B$167*Assumptions!$B$7/Assumptions!$B$155)</f>
        <v/>
      </c>
    </row>
    <row r="136">
      <c r="A136" s="6" t="inlineStr">
        <is>
          <t xml:space="preserve">  Card authorisations (memo - drives cost, not revenue)</t>
        </is>
      </c>
      <c r="B136" s="23" t="inlineStr">
        <is>
          <t>auths</t>
        </is>
      </c>
      <c r="C136" s="45">
        <f>C128*Assumptions!$B$169*Assumptions!$B$155*C7/12*(1+Assumptions!$B$16)</f>
        <v/>
      </c>
      <c r="D136" s="45">
        <f>D128*Assumptions!$B$169*Assumptions!$B$155*D7/12*(1+Assumptions!$B$16)</f>
        <v/>
      </c>
      <c r="E136" s="45">
        <f>E128*Assumptions!$B$169*Assumptions!$B$155*E7/12*(1+Assumptions!$B$16)</f>
        <v/>
      </c>
      <c r="F136" s="45">
        <f>F128*Assumptions!$B$169*Assumptions!$B$155*F7/12*(1+Assumptions!$B$16)</f>
        <v/>
      </c>
      <c r="G136" s="45">
        <f>G128*Assumptions!$B$169*Assumptions!$B$155*G7/12*(1+Assumptions!$B$16)</f>
        <v/>
      </c>
      <c r="H136" s="45">
        <f>H128*Assumptions!$B$169*Assumptions!$B$155*H7/12*(1+Assumptions!$B$16)</f>
        <v/>
      </c>
      <c r="I136" s="45">
        <f>I128*Assumptions!$B$169*Assumptions!$B$155*I7/12*(1+Assumptions!$B$16)</f>
        <v/>
      </c>
      <c r="J136" s="45">
        <f>J128*Assumptions!$B$169*Assumptions!$B$155*J7/12*(1+Assumptions!$B$16)</f>
        <v/>
      </c>
      <c r="K136" s="45">
        <f>K128*Assumptions!$B$169*Assumptions!$B$155*K7/12*(1+Assumptions!$B$16)</f>
        <v/>
      </c>
      <c r="L136" s="45">
        <f>L128*Assumptions!$B$169*Assumptions!$B$155*L7/12*(1+Assumptions!$B$16)</f>
        <v/>
      </c>
      <c r="M136" s="45">
        <f>M128*Assumptions!$B$169*Assumptions!$B$155*M7/12*(1+Assumptions!$B$16)</f>
        <v/>
      </c>
      <c r="N136" s="45">
        <f>N128*Assumptions!$B$169*Assumptions!$B$155*N7/12*(1+Assumptions!$B$16)</f>
        <v/>
      </c>
      <c r="O136" s="45">
        <f>O128*Assumptions!$B$169*Assumptions!$B$155*O7/12*(1+Assumptions!$B$16)</f>
        <v/>
      </c>
      <c r="P136" s="45">
        <f>P128*Assumptions!$B$169*Assumptions!$B$155*P7/12*(1+Assumptions!$B$16)</f>
        <v/>
      </c>
      <c r="Q136" s="45">
        <f>Q128*Assumptions!$B$169*Assumptions!$B$155*Q7/12*(1+Assumptions!$B$16)</f>
        <v/>
      </c>
      <c r="R136" s="45">
        <f>R128*Assumptions!$B$169*Assumptions!$B$155*R7/12*(1+Assumptions!$B$16)</f>
        <v/>
      </c>
      <c r="S136" s="45">
        <f>S128*Assumptions!$B$169*Assumptions!$B$155*S7/12*(1+Assumptions!$B$16)</f>
        <v/>
      </c>
      <c r="T136" s="45">
        <f>T128*Assumptions!$B$169*Assumptions!$B$155*T7/12*(1+Assumptions!$B$16)</f>
        <v/>
      </c>
      <c r="U136" s="45">
        <f>U128*Assumptions!$B$169*Assumptions!$B$155*U7/12*(1+Assumptions!$B$16)</f>
        <v/>
      </c>
      <c r="V136" s="45">
        <f>V128*Assumptions!$B$169*Assumptions!$B$155*V7/12*(1+Assumptions!$B$16)</f>
        <v/>
      </c>
      <c r="W136" s="45">
        <f>W128*Assumptions!$B$169*Assumptions!$B$155*W7/12*(1+Assumptions!$B$16)</f>
        <v/>
      </c>
      <c r="X136" s="45">
        <f>X128*Assumptions!$B$169*Assumptions!$B$155*X7/12*(1+Assumptions!$B$16)</f>
        <v/>
      </c>
      <c r="Y136" s="45">
        <f>Y128*Assumptions!$B$169*Assumptions!$B$155*Y7/12*(1+Assumptions!$B$16)</f>
        <v/>
      </c>
      <c r="Z136" s="45">
        <f>Z128*Assumptions!$B$169*Assumptions!$B$155*Z7/12*(1+Assumptions!$B$16)</f>
        <v/>
      </c>
      <c r="AA136" s="45">
        <f>AA128*Assumptions!$B$169*Assumptions!$B$155*AA7/12*(1+Assumptions!$B$16)</f>
        <v/>
      </c>
      <c r="AB136" s="45">
        <f>AB128*Assumptions!$B$169*Assumptions!$B$155*AB7/12*(1+Assumptions!$B$16)</f>
        <v/>
      </c>
      <c r="AC136" s="45">
        <f>AC128*Assumptions!$B$169*Assumptions!$B$155*AC7/12*(1+Assumptions!$B$16)</f>
        <v/>
      </c>
      <c r="AD136" s="45">
        <f>AD128*Assumptions!$B$169*Assumptions!$B$155*AD7/12*(1+Assumptions!$B$16)</f>
        <v/>
      </c>
      <c r="AE136" s="45">
        <f>AE128*Assumptions!$B$169*Assumptions!$B$155*AE7/12*(1+Assumptions!$B$16)</f>
        <v/>
      </c>
    </row>
    <row r="137">
      <c r="A137" s="6" t="inlineStr">
        <is>
          <t xml:space="preserve">  Stream 1a - Entry fee, SIP</t>
        </is>
      </c>
      <c r="B137" s="23" t="inlineStr">
        <is>
          <t>USD</t>
        </is>
      </c>
      <c r="C137" s="55">
        <f>C117*Assumptions!$B$8</f>
        <v/>
      </c>
      <c r="D137" s="55">
        <f>D117*Assumptions!$B$8</f>
        <v/>
      </c>
      <c r="E137" s="55">
        <f>E117*Assumptions!$B$8</f>
        <v/>
      </c>
      <c r="F137" s="55">
        <f>F117*Assumptions!$B$8</f>
        <v/>
      </c>
      <c r="G137" s="55">
        <f>G117*Assumptions!$B$8</f>
        <v/>
      </c>
      <c r="H137" s="55">
        <f>H117*Assumptions!$B$8</f>
        <v/>
      </c>
      <c r="I137" s="55">
        <f>I117*Assumptions!$B$8</f>
        <v/>
      </c>
      <c r="J137" s="55">
        <f>J117*Assumptions!$B$8</f>
        <v/>
      </c>
      <c r="K137" s="55">
        <f>K117*Assumptions!$B$8</f>
        <v/>
      </c>
      <c r="L137" s="55">
        <f>L117*Assumptions!$B$8</f>
        <v/>
      </c>
      <c r="M137" s="55">
        <f>M117*Assumptions!$B$8</f>
        <v/>
      </c>
      <c r="N137" s="55">
        <f>N117*Assumptions!$B$8</f>
        <v/>
      </c>
      <c r="O137" s="55">
        <f>O117*Assumptions!$B$8</f>
        <v/>
      </c>
      <c r="P137" s="55">
        <f>P117*Assumptions!$B$8</f>
        <v/>
      </c>
      <c r="Q137" s="55">
        <f>Q117*Assumptions!$B$8</f>
        <v/>
      </c>
      <c r="R137" s="55">
        <f>R117*Assumptions!$B$8</f>
        <v/>
      </c>
      <c r="S137" s="55">
        <f>S117*Assumptions!$B$8</f>
        <v/>
      </c>
      <c r="T137" s="55">
        <f>T117*Assumptions!$B$8</f>
        <v/>
      </c>
      <c r="U137" s="55">
        <f>U117*Assumptions!$B$8</f>
        <v/>
      </c>
      <c r="V137" s="55">
        <f>V117*Assumptions!$B$8</f>
        <v/>
      </c>
      <c r="W137" s="55">
        <f>W117*Assumptions!$B$8</f>
        <v/>
      </c>
      <c r="X137" s="55">
        <f>X117*Assumptions!$B$8</f>
        <v/>
      </c>
      <c r="Y137" s="55">
        <f>Y117*Assumptions!$B$8</f>
        <v/>
      </c>
      <c r="Z137" s="55">
        <f>Z117*Assumptions!$B$8</f>
        <v/>
      </c>
      <c r="AA137" s="55">
        <f>AA117*Assumptions!$B$8</f>
        <v/>
      </c>
      <c r="AB137" s="55">
        <f>AB117*Assumptions!$B$8</f>
        <v/>
      </c>
      <c r="AC137" s="55">
        <f>AC117*Assumptions!$B$8</f>
        <v/>
      </c>
      <c r="AD137" s="55">
        <f>AD117*Assumptions!$B$8</f>
        <v/>
      </c>
      <c r="AE137" s="55">
        <f>AE117*Assumptions!$B$8</f>
        <v/>
      </c>
    </row>
    <row r="138">
      <c r="A138" s="6" t="inlineStr">
        <is>
          <t xml:space="preserve">  Stream 1b - Entry fee, SPOT</t>
        </is>
      </c>
      <c r="B138" s="23" t="inlineStr">
        <is>
          <t>USD</t>
        </is>
      </c>
      <c r="C138" s="55">
        <f>C118*Assumptions!$B$8</f>
        <v/>
      </c>
      <c r="D138" s="55">
        <f>D118*Assumptions!$B$8</f>
        <v/>
      </c>
      <c r="E138" s="55">
        <f>E118*Assumptions!$B$8</f>
        <v/>
      </c>
      <c r="F138" s="55">
        <f>F118*Assumptions!$B$8</f>
        <v/>
      </c>
      <c r="G138" s="55">
        <f>G118*Assumptions!$B$8</f>
        <v/>
      </c>
      <c r="H138" s="55">
        <f>H118*Assumptions!$B$8</f>
        <v/>
      </c>
      <c r="I138" s="55">
        <f>I118*Assumptions!$B$8</f>
        <v/>
      </c>
      <c r="J138" s="55">
        <f>J118*Assumptions!$B$8</f>
        <v/>
      </c>
      <c r="K138" s="55">
        <f>K118*Assumptions!$B$8</f>
        <v/>
      </c>
      <c r="L138" s="55">
        <f>L118*Assumptions!$B$8</f>
        <v/>
      </c>
      <c r="M138" s="55">
        <f>M118*Assumptions!$B$8</f>
        <v/>
      </c>
      <c r="N138" s="55">
        <f>N118*Assumptions!$B$8</f>
        <v/>
      </c>
      <c r="O138" s="55">
        <f>O118*Assumptions!$B$8</f>
        <v/>
      </c>
      <c r="P138" s="55">
        <f>P118*Assumptions!$B$8</f>
        <v/>
      </c>
      <c r="Q138" s="55">
        <f>Q118*Assumptions!$B$8</f>
        <v/>
      </c>
      <c r="R138" s="55">
        <f>R118*Assumptions!$B$8</f>
        <v/>
      </c>
      <c r="S138" s="55">
        <f>S118*Assumptions!$B$8</f>
        <v/>
      </c>
      <c r="T138" s="55">
        <f>T118*Assumptions!$B$8</f>
        <v/>
      </c>
      <c r="U138" s="55">
        <f>U118*Assumptions!$B$8</f>
        <v/>
      </c>
      <c r="V138" s="55">
        <f>V118*Assumptions!$B$8</f>
        <v/>
      </c>
      <c r="W138" s="55">
        <f>W118*Assumptions!$B$8</f>
        <v/>
      </c>
      <c r="X138" s="55">
        <f>X118*Assumptions!$B$8</f>
        <v/>
      </c>
      <c r="Y138" s="55">
        <f>Y118*Assumptions!$B$8</f>
        <v/>
      </c>
      <c r="Z138" s="55">
        <f>Z118*Assumptions!$B$8</f>
        <v/>
      </c>
      <c r="AA138" s="55">
        <f>AA118*Assumptions!$B$8</f>
        <v/>
      </c>
      <c r="AB138" s="55">
        <f>AB118*Assumptions!$B$8</f>
        <v/>
      </c>
      <c r="AC138" s="55">
        <f>AC118*Assumptions!$B$8</f>
        <v/>
      </c>
      <c r="AD138" s="55">
        <f>AD118*Assumptions!$B$8</f>
        <v/>
      </c>
      <c r="AE138" s="55">
        <f>AE118*Assumptions!$B$8</f>
        <v/>
      </c>
    </row>
    <row r="139">
      <c r="A139" s="6" t="inlineStr">
        <is>
          <t xml:space="preserve">  Stream 2 - Card interchange</t>
        </is>
      </c>
      <c r="B139" s="23" t="inlineStr">
        <is>
          <t>USD</t>
        </is>
      </c>
      <c r="C139" s="55">
        <f>C134*IF(Assumptions!$B$189=1,MIN(Assumptions!$B$14,1%),Assumptions!$B$14)*(1-Assumptions!$B$153)</f>
        <v/>
      </c>
      <c r="D139" s="55">
        <f>D134*IF(Assumptions!$B$189=1,MIN(Assumptions!$B$14,1%),Assumptions!$B$14)*(1-Assumptions!$B$153)</f>
        <v/>
      </c>
      <c r="E139" s="55">
        <f>E134*IF(Assumptions!$B$189=1,MIN(Assumptions!$B$14,1%),Assumptions!$B$14)*(1-Assumptions!$B$153)</f>
        <v/>
      </c>
      <c r="F139" s="55">
        <f>F134*IF(Assumptions!$B$189=1,MIN(Assumptions!$B$14,1%),Assumptions!$B$14)*(1-Assumptions!$B$153)</f>
        <v/>
      </c>
      <c r="G139" s="55">
        <f>G134*IF(Assumptions!$B$189=1,MIN(Assumptions!$B$14,1%),Assumptions!$B$14)*(1-Assumptions!$B$153)</f>
        <v/>
      </c>
      <c r="H139" s="55">
        <f>H134*IF(Assumptions!$B$189=1,MIN(Assumptions!$B$14,1%),Assumptions!$B$14)*(1-Assumptions!$B$153)</f>
        <v/>
      </c>
      <c r="I139" s="55">
        <f>I134*IF(Assumptions!$B$189=1,MIN(Assumptions!$B$14,1%),Assumptions!$B$14)*(1-Assumptions!$B$153)</f>
        <v/>
      </c>
      <c r="J139" s="55">
        <f>J134*IF(Assumptions!$B$189=1,MIN(Assumptions!$B$14,1%),Assumptions!$B$14)*(1-Assumptions!$B$153)</f>
        <v/>
      </c>
      <c r="K139" s="55">
        <f>K134*IF(Assumptions!$B$189=1,MIN(Assumptions!$B$14,1%),Assumptions!$B$14)*(1-Assumptions!$B$153)</f>
        <v/>
      </c>
      <c r="L139" s="55">
        <f>L134*IF(Assumptions!$B$189=1,MIN(Assumptions!$B$14,1%),Assumptions!$B$14)*(1-Assumptions!$B$153)</f>
        <v/>
      </c>
      <c r="M139" s="55">
        <f>M134*IF(Assumptions!$B$189=1,MIN(Assumptions!$B$14,1%),Assumptions!$B$14)*(1-Assumptions!$B$153)</f>
        <v/>
      </c>
      <c r="N139" s="55">
        <f>N134*IF(Assumptions!$B$189=1,MIN(Assumptions!$B$14,1%),Assumptions!$B$14)*(1-Assumptions!$B$153)</f>
        <v/>
      </c>
      <c r="O139" s="55">
        <f>O134*IF(Assumptions!$B$189=1,MIN(Assumptions!$B$14,1%),Assumptions!$B$14)*(1-Assumptions!$B$153)</f>
        <v/>
      </c>
      <c r="P139" s="55">
        <f>P134*IF(Assumptions!$B$189=1,MIN(Assumptions!$B$14,1%),Assumptions!$B$14)*(1-Assumptions!$B$153)</f>
        <v/>
      </c>
      <c r="Q139" s="55">
        <f>Q134*IF(Assumptions!$B$189=1,MIN(Assumptions!$B$14,1%),Assumptions!$B$14)*(1-Assumptions!$B$153)</f>
        <v/>
      </c>
      <c r="R139" s="55">
        <f>R134*IF(Assumptions!$B$189=1,MIN(Assumptions!$B$14,1%),Assumptions!$B$14)*(1-Assumptions!$B$153)</f>
        <v/>
      </c>
      <c r="S139" s="55">
        <f>S134*IF(Assumptions!$B$189=1,MIN(Assumptions!$B$14,1%),Assumptions!$B$14)*(1-Assumptions!$B$153)</f>
        <v/>
      </c>
      <c r="T139" s="55">
        <f>T134*IF(Assumptions!$B$189=1,MIN(Assumptions!$B$14,1%),Assumptions!$B$14)*(1-Assumptions!$B$153)</f>
        <v/>
      </c>
      <c r="U139" s="55">
        <f>U134*IF(Assumptions!$B$189=1,MIN(Assumptions!$B$14,1%),Assumptions!$B$14)*(1-Assumptions!$B$153)</f>
        <v/>
      </c>
      <c r="V139" s="55">
        <f>V134*IF(Assumptions!$B$189=1,MIN(Assumptions!$B$14,1%),Assumptions!$B$14)*(1-Assumptions!$B$153)</f>
        <v/>
      </c>
      <c r="W139" s="55">
        <f>W134*IF(Assumptions!$B$189=1,MIN(Assumptions!$B$14,1%),Assumptions!$B$14)*(1-Assumptions!$B$153)</f>
        <v/>
      </c>
      <c r="X139" s="55">
        <f>X134*IF(Assumptions!$B$189=1,MIN(Assumptions!$B$14,1%),Assumptions!$B$14)*(1-Assumptions!$B$153)</f>
        <v/>
      </c>
      <c r="Y139" s="55">
        <f>Y134*IF(Assumptions!$B$189=1,MIN(Assumptions!$B$14,1%),Assumptions!$B$14)*(1-Assumptions!$B$153)</f>
        <v/>
      </c>
      <c r="Z139" s="55">
        <f>Z134*IF(Assumptions!$B$189=1,MIN(Assumptions!$B$14,1%),Assumptions!$B$14)*(1-Assumptions!$B$153)</f>
        <v/>
      </c>
      <c r="AA139" s="55">
        <f>AA134*IF(Assumptions!$B$189=1,MIN(Assumptions!$B$14,1%),Assumptions!$B$14)*(1-Assumptions!$B$153)</f>
        <v/>
      </c>
      <c r="AB139" s="55">
        <f>AB134*IF(Assumptions!$B$189=1,MIN(Assumptions!$B$14,1%),Assumptions!$B$14)*(1-Assumptions!$B$153)</f>
        <v/>
      </c>
      <c r="AC139" s="55">
        <f>AC134*IF(Assumptions!$B$189=1,MIN(Assumptions!$B$14,1%),Assumptions!$B$14)*(1-Assumptions!$B$153)</f>
        <v/>
      </c>
      <c r="AD139" s="55">
        <f>AD134*IF(Assumptions!$B$189=1,MIN(Assumptions!$B$14,1%),Assumptions!$B$14)*(1-Assumptions!$B$153)</f>
        <v/>
      </c>
      <c r="AE139" s="55">
        <f>AE134*IF(Assumptions!$B$189=1,MIN(Assumptions!$B$14,1%),Assumptions!$B$14)*(1-Assumptions!$B$153)</f>
        <v/>
      </c>
    </row>
    <row r="140">
      <c r="A140" s="6" t="inlineStr">
        <is>
          <t xml:space="preserve">  Family plan subscribers</t>
        </is>
      </c>
      <c r="B140" s="23" t="inlineStr">
        <is>
          <t>subscribers</t>
        </is>
      </c>
      <c r="C140" s="54">
        <f>IF(C2&gt;=Assumptions!$B$50,C112*Assumptions!$B$170*(1-Assumptions!$B$173)^(C7/2),0)</f>
        <v/>
      </c>
      <c r="D140" s="54">
        <f>IF(D2&gt;=Assumptions!$B$50,C140*(1-Assumptions!$B$173)^D7+D112*Assumptions!$B$170*(1-Assumptions!$B$173)^(D7/2),0)</f>
        <v/>
      </c>
      <c r="E140" s="54">
        <f>IF(E2&gt;=Assumptions!$B$50,D140*(1-Assumptions!$B$173)^E7+E112*Assumptions!$B$170*(1-Assumptions!$B$173)^(E7/2),0)</f>
        <v/>
      </c>
      <c r="F140" s="54">
        <f>IF(F2&gt;=Assumptions!$B$50,E140*(1-Assumptions!$B$173)^F7+F112*Assumptions!$B$170*(1-Assumptions!$B$173)^(F7/2),0)</f>
        <v/>
      </c>
      <c r="G140" s="54">
        <f>IF(G2&gt;=Assumptions!$B$50,F140*(1-Assumptions!$B$173)^G7+G112*Assumptions!$B$170*(1-Assumptions!$B$173)^(G7/2),0)</f>
        <v/>
      </c>
      <c r="H140" s="54">
        <f>IF(H2&gt;=Assumptions!$B$50,G140*(1-Assumptions!$B$173)^H7+H112*Assumptions!$B$170*(1-Assumptions!$B$173)^(H7/2),0)</f>
        <v/>
      </c>
      <c r="I140" s="54">
        <f>IF(I2&gt;=Assumptions!$B$50,H140*(1-Assumptions!$B$173)^I7+I112*Assumptions!$B$170*(1-Assumptions!$B$173)^(I7/2),0)</f>
        <v/>
      </c>
      <c r="J140" s="54">
        <f>IF(J2&gt;=Assumptions!$B$50,I140*(1-Assumptions!$B$173)^J7+J112*Assumptions!$B$170*(1-Assumptions!$B$173)^(J7/2),0)</f>
        <v/>
      </c>
      <c r="K140" s="54">
        <f>IF(K2&gt;=Assumptions!$B$50,J140*(1-Assumptions!$B$173)^K7+K112*Assumptions!$B$170*(1-Assumptions!$B$173)^(K7/2),0)</f>
        <v/>
      </c>
      <c r="L140" s="54">
        <f>IF(L2&gt;=Assumptions!$B$50,K140*(1-Assumptions!$B$173)^L7+L112*Assumptions!$B$170*(1-Assumptions!$B$173)^(L7/2),0)</f>
        <v/>
      </c>
      <c r="M140" s="54">
        <f>IF(M2&gt;=Assumptions!$B$50,L140*(1-Assumptions!$B$173)^M7+M112*Assumptions!$B$170*(1-Assumptions!$B$173)^(M7/2),0)</f>
        <v/>
      </c>
      <c r="N140" s="54">
        <f>IF(N2&gt;=Assumptions!$B$50,M140*(1-Assumptions!$B$173)^N7+N112*Assumptions!$B$170*(1-Assumptions!$B$173)^(N7/2),0)</f>
        <v/>
      </c>
      <c r="O140" s="54">
        <f>IF(O2&gt;=Assumptions!$B$50,N140*(1-Assumptions!$B$173)^O7+O112*Assumptions!$B$170*(1-Assumptions!$B$173)^(O7/2),0)</f>
        <v/>
      </c>
      <c r="P140" s="54">
        <f>IF(P2&gt;=Assumptions!$B$50,O140*(1-Assumptions!$B$173)^P7+P112*Assumptions!$B$170*(1-Assumptions!$B$173)^(P7/2),0)</f>
        <v/>
      </c>
      <c r="Q140" s="54">
        <f>IF(Q2&gt;=Assumptions!$B$50,P140*(1-Assumptions!$B$173)^Q7+Q112*Assumptions!$B$170*(1-Assumptions!$B$173)^(Q7/2),0)</f>
        <v/>
      </c>
      <c r="R140" s="54">
        <f>IF(R2&gt;=Assumptions!$B$50,Q140*(1-Assumptions!$B$173)^R7+R112*Assumptions!$B$170*(1-Assumptions!$B$173)^(R7/2),0)</f>
        <v/>
      </c>
      <c r="S140" s="54">
        <f>IF(S2&gt;=Assumptions!$B$50,R140*(1-Assumptions!$B$173)^S7+S112*Assumptions!$B$170*(1-Assumptions!$B$173)^(S7/2),0)</f>
        <v/>
      </c>
      <c r="T140" s="54">
        <f>IF(T2&gt;=Assumptions!$B$50,S140*(1-Assumptions!$B$173)^T7+T112*Assumptions!$B$170*(1-Assumptions!$B$173)^(T7/2),0)</f>
        <v/>
      </c>
      <c r="U140" s="54">
        <f>IF(U2&gt;=Assumptions!$B$50,T140*(1-Assumptions!$B$173)^U7+U112*Assumptions!$B$170*(1-Assumptions!$B$173)^(U7/2),0)</f>
        <v/>
      </c>
      <c r="V140" s="54">
        <f>IF(V2&gt;=Assumptions!$B$50,U140*(1-Assumptions!$B$173)^V7+V112*Assumptions!$B$170*(1-Assumptions!$B$173)^(V7/2),0)</f>
        <v/>
      </c>
      <c r="W140" s="54">
        <f>IF(W2&gt;=Assumptions!$B$50,V140*(1-Assumptions!$B$173)^W7+W112*Assumptions!$B$170*(1-Assumptions!$B$173)^(W7/2),0)</f>
        <v/>
      </c>
      <c r="X140" s="54">
        <f>IF(X2&gt;=Assumptions!$B$50,W140*(1-Assumptions!$B$173)^X7+X112*Assumptions!$B$170*(1-Assumptions!$B$173)^(X7/2),0)</f>
        <v/>
      </c>
      <c r="Y140" s="54">
        <f>IF(Y2&gt;=Assumptions!$B$50,X140*(1-Assumptions!$B$173)^Y7+Y112*Assumptions!$B$170*(1-Assumptions!$B$173)^(Y7/2),0)</f>
        <v/>
      </c>
      <c r="Z140" s="54">
        <f>IF(Z2&gt;=Assumptions!$B$50,Y140*(1-Assumptions!$B$173)^Z7+Z112*Assumptions!$B$170*(1-Assumptions!$B$173)^(Z7/2),0)</f>
        <v/>
      </c>
      <c r="AA140" s="54">
        <f>IF(AA2&gt;=Assumptions!$B$50,Z140*(1-Assumptions!$B$173)^AA7+AA112*Assumptions!$B$170*(1-Assumptions!$B$173)^(AA7/2),0)</f>
        <v/>
      </c>
      <c r="AB140" s="54">
        <f>IF(AB2&gt;=Assumptions!$B$50,AA140*(1-Assumptions!$B$173)^AB7+AB112*Assumptions!$B$170*(1-Assumptions!$B$173)^(AB7/2),0)</f>
        <v/>
      </c>
      <c r="AC140" s="54">
        <f>IF(AC2&gt;=Assumptions!$B$50,AB140*(1-Assumptions!$B$173)^AC7+AC112*Assumptions!$B$170*(1-Assumptions!$B$173)^(AC7/2),0)</f>
        <v/>
      </c>
      <c r="AD140" s="54">
        <f>IF(AD2&gt;=Assumptions!$B$50,AC140*(1-Assumptions!$B$173)^AD7+AD112*Assumptions!$B$170*(1-Assumptions!$B$173)^(AD7/2),0)</f>
        <v/>
      </c>
      <c r="AE140" s="54">
        <f>IF(AE2&gt;=Assumptions!$B$50,AD140*(1-Assumptions!$B$173)^AE7+AE112*Assumptions!$B$170*(1-Assumptions!$B$173)^(AE7/2),0)</f>
        <v/>
      </c>
    </row>
    <row r="141">
      <c r="A141" s="6" t="inlineStr">
        <is>
          <t xml:space="preserve">  Stream 3 - Family plan and Digital Will</t>
        </is>
      </c>
      <c r="B141" s="23" t="inlineStr">
        <is>
          <t>USD</t>
        </is>
      </c>
      <c r="C141" s="55">
        <f>C140*(Assumptions!$B$25+MAX(0,Assumptions!$B$172-1)*Assumptions!$B$26)/12*C7</f>
        <v/>
      </c>
      <c r="D141" s="55">
        <f>D140*(Assumptions!$B$25+MAX(0,Assumptions!$B$172-1)*Assumptions!$B$26)/12*D7</f>
        <v/>
      </c>
      <c r="E141" s="55">
        <f>E140*(Assumptions!$B$25+MAX(0,Assumptions!$B$172-1)*Assumptions!$B$26)/12*E7</f>
        <v/>
      </c>
      <c r="F141" s="55">
        <f>F140*(Assumptions!$B$25+MAX(0,Assumptions!$B$172-1)*Assumptions!$B$26)/12*F7</f>
        <v/>
      </c>
      <c r="G141" s="55">
        <f>G140*(Assumptions!$B$25+MAX(0,Assumptions!$B$172-1)*Assumptions!$B$26)/12*G7</f>
        <v/>
      </c>
      <c r="H141" s="55">
        <f>H140*(Assumptions!$B$25+MAX(0,Assumptions!$B$172-1)*Assumptions!$B$26)/12*H7</f>
        <v/>
      </c>
      <c r="I141" s="55">
        <f>I140*(Assumptions!$B$25+MAX(0,Assumptions!$B$172-1)*Assumptions!$B$26)/12*I7</f>
        <v/>
      </c>
      <c r="J141" s="55">
        <f>J140*(Assumptions!$B$25+MAX(0,Assumptions!$B$172-1)*Assumptions!$B$26)/12*J7</f>
        <v/>
      </c>
      <c r="K141" s="55">
        <f>K140*(Assumptions!$B$25+MAX(0,Assumptions!$B$172-1)*Assumptions!$B$26)/12*K7</f>
        <v/>
      </c>
      <c r="L141" s="55">
        <f>L140*(Assumptions!$B$25+MAX(0,Assumptions!$B$172-1)*Assumptions!$B$26)/12*L7</f>
        <v/>
      </c>
      <c r="M141" s="55">
        <f>M140*(Assumptions!$B$25+MAX(0,Assumptions!$B$172-1)*Assumptions!$B$26)/12*M7</f>
        <v/>
      </c>
      <c r="N141" s="55">
        <f>N140*(Assumptions!$B$25+MAX(0,Assumptions!$B$172-1)*Assumptions!$B$26)/12*N7</f>
        <v/>
      </c>
      <c r="O141" s="55">
        <f>O140*(Assumptions!$B$25+MAX(0,Assumptions!$B$172-1)*Assumptions!$B$26)/12*O7</f>
        <v/>
      </c>
      <c r="P141" s="55">
        <f>P140*(Assumptions!$B$25+MAX(0,Assumptions!$B$172-1)*Assumptions!$B$26)/12*P7</f>
        <v/>
      </c>
      <c r="Q141" s="55">
        <f>Q140*(Assumptions!$B$25+MAX(0,Assumptions!$B$172-1)*Assumptions!$B$26)/12*Q7</f>
        <v/>
      </c>
      <c r="R141" s="55">
        <f>R140*(Assumptions!$B$25+MAX(0,Assumptions!$B$172-1)*Assumptions!$B$26)/12*R7</f>
        <v/>
      </c>
      <c r="S141" s="55">
        <f>S140*(Assumptions!$B$25+MAX(0,Assumptions!$B$172-1)*Assumptions!$B$26)/12*S7</f>
        <v/>
      </c>
      <c r="T141" s="55">
        <f>T140*(Assumptions!$B$25+MAX(0,Assumptions!$B$172-1)*Assumptions!$B$26)/12*T7</f>
        <v/>
      </c>
      <c r="U141" s="55">
        <f>U140*(Assumptions!$B$25+MAX(0,Assumptions!$B$172-1)*Assumptions!$B$26)/12*U7</f>
        <v/>
      </c>
      <c r="V141" s="55">
        <f>V140*(Assumptions!$B$25+MAX(0,Assumptions!$B$172-1)*Assumptions!$B$26)/12*V7</f>
        <v/>
      </c>
      <c r="W141" s="55">
        <f>W140*(Assumptions!$B$25+MAX(0,Assumptions!$B$172-1)*Assumptions!$B$26)/12*W7</f>
        <v/>
      </c>
      <c r="X141" s="55">
        <f>X140*(Assumptions!$B$25+MAX(0,Assumptions!$B$172-1)*Assumptions!$B$26)/12*X7</f>
        <v/>
      </c>
      <c r="Y141" s="55">
        <f>Y140*(Assumptions!$B$25+MAX(0,Assumptions!$B$172-1)*Assumptions!$B$26)/12*Y7</f>
        <v/>
      </c>
      <c r="Z141" s="55">
        <f>Z140*(Assumptions!$B$25+MAX(0,Assumptions!$B$172-1)*Assumptions!$B$26)/12*Z7</f>
        <v/>
      </c>
      <c r="AA141" s="55">
        <f>AA140*(Assumptions!$B$25+MAX(0,Assumptions!$B$172-1)*Assumptions!$B$26)/12*AA7</f>
        <v/>
      </c>
      <c r="AB141" s="55">
        <f>AB140*(Assumptions!$B$25+MAX(0,Assumptions!$B$172-1)*Assumptions!$B$26)/12*AB7</f>
        <v/>
      </c>
      <c r="AC141" s="55">
        <f>AC140*(Assumptions!$B$25+MAX(0,Assumptions!$B$172-1)*Assumptions!$B$26)/12*AC7</f>
        <v/>
      </c>
      <c r="AD141" s="55">
        <f>AD140*(Assumptions!$B$25+MAX(0,Assumptions!$B$172-1)*Assumptions!$B$26)/12*AD7</f>
        <v/>
      </c>
      <c r="AE141" s="55">
        <f>AE140*(Assumptions!$B$25+MAX(0,Assumptions!$B$172-1)*Assumptions!$B$26)/12*AE7</f>
        <v/>
      </c>
    </row>
    <row r="142">
      <c r="A142" s="6" t="inlineStr">
        <is>
          <t xml:space="preserve">  Stream 4 - Cardholder fees (FX, ATM, events)</t>
        </is>
      </c>
      <c r="B142" s="23" t="inlineStr">
        <is>
          <t>USD</t>
        </is>
      </c>
      <c r="C142" s="55">
        <f>IF(C2&gt;=Assumptions!$B$52,C134*C17*Assumptions!$B$17+C128*(Assumptions!$B$159*MAX(0,Assumptions!$B$163-Assumptions!$B$18)+Assumptions!$B$160*MAX(0,Assumptions!$B$164-Assumptions!$B$18)+Assumptions!$B$161*MAX(0,Assumptions!$B$165-Assumptions!$B$18)+Assumptions!$B$162*MAX(0,Assumptions!$B$166-Assumptions!$B$18))*Assumptions!$B$19/Assumptions!$B$7*C7+C129*Assumptions!$B$20/Assumptions!$B$7+C127*(Assumptions!$B$157*Assumptions!$B$20+Assumptions!$B$158*Assumptions!$B$21)/12/Assumptions!$B$7*C7,0)</f>
        <v/>
      </c>
      <c r="D142" s="55">
        <f>IF(D2&gt;=Assumptions!$B$52,D134*D17*Assumptions!$B$17+D128*(Assumptions!$B$159*MAX(0,Assumptions!$B$163-Assumptions!$B$18)+Assumptions!$B$160*MAX(0,Assumptions!$B$164-Assumptions!$B$18)+Assumptions!$B$161*MAX(0,Assumptions!$B$165-Assumptions!$B$18)+Assumptions!$B$162*MAX(0,Assumptions!$B$166-Assumptions!$B$18))*Assumptions!$B$19/Assumptions!$B$7*D7+D129*Assumptions!$B$20/Assumptions!$B$7+D127*(Assumptions!$B$157*Assumptions!$B$20+Assumptions!$B$158*Assumptions!$B$21)/12/Assumptions!$B$7*D7,0)</f>
        <v/>
      </c>
      <c r="E142" s="55">
        <f>IF(E2&gt;=Assumptions!$B$52,E134*E17*Assumptions!$B$17+E128*(Assumptions!$B$159*MAX(0,Assumptions!$B$163-Assumptions!$B$18)+Assumptions!$B$160*MAX(0,Assumptions!$B$164-Assumptions!$B$18)+Assumptions!$B$161*MAX(0,Assumptions!$B$165-Assumptions!$B$18)+Assumptions!$B$162*MAX(0,Assumptions!$B$166-Assumptions!$B$18))*Assumptions!$B$19/Assumptions!$B$7*E7+E129*Assumptions!$B$20/Assumptions!$B$7+E127*(Assumptions!$B$157*Assumptions!$B$20+Assumptions!$B$158*Assumptions!$B$21)/12/Assumptions!$B$7*E7,0)</f>
        <v/>
      </c>
      <c r="F142" s="55">
        <f>IF(F2&gt;=Assumptions!$B$52,F134*F17*Assumptions!$B$17+F128*(Assumptions!$B$159*MAX(0,Assumptions!$B$163-Assumptions!$B$18)+Assumptions!$B$160*MAX(0,Assumptions!$B$164-Assumptions!$B$18)+Assumptions!$B$161*MAX(0,Assumptions!$B$165-Assumptions!$B$18)+Assumptions!$B$162*MAX(0,Assumptions!$B$166-Assumptions!$B$18))*Assumptions!$B$19/Assumptions!$B$7*F7+F129*Assumptions!$B$20/Assumptions!$B$7+F127*(Assumptions!$B$157*Assumptions!$B$20+Assumptions!$B$158*Assumptions!$B$21)/12/Assumptions!$B$7*F7,0)</f>
        <v/>
      </c>
      <c r="G142" s="55">
        <f>IF(G2&gt;=Assumptions!$B$52,G134*G17*Assumptions!$B$17+G128*(Assumptions!$B$159*MAX(0,Assumptions!$B$163-Assumptions!$B$18)+Assumptions!$B$160*MAX(0,Assumptions!$B$164-Assumptions!$B$18)+Assumptions!$B$161*MAX(0,Assumptions!$B$165-Assumptions!$B$18)+Assumptions!$B$162*MAX(0,Assumptions!$B$166-Assumptions!$B$18))*Assumptions!$B$19/Assumptions!$B$7*G7+G129*Assumptions!$B$20/Assumptions!$B$7+G127*(Assumptions!$B$157*Assumptions!$B$20+Assumptions!$B$158*Assumptions!$B$21)/12/Assumptions!$B$7*G7,0)</f>
        <v/>
      </c>
      <c r="H142" s="55">
        <f>IF(H2&gt;=Assumptions!$B$52,H134*H17*Assumptions!$B$17+H128*(Assumptions!$B$159*MAX(0,Assumptions!$B$163-Assumptions!$B$18)+Assumptions!$B$160*MAX(0,Assumptions!$B$164-Assumptions!$B$18)+Assumptions!$B$161*MAX(0,Assumptions!$B$165-Assumptions!$B$18)+Assumptions!$B$162*MAX(0,Assumptions!$B$166-Assumptions!$B$18))*Assumptions!$B$19/Assumptions!$B$7*H7+H129*Assumptions!$B$20/Assumptions!$B$7+H127*(Assumptions!$B$157*Assumptions!$B$20+Assumptions!$B$158*Assumptions!$B$21)/12/Assumptions!$B$7*H7,0)</f>
        <v/>
      </c>
      <c r="I142" s="55">
        <f>IF(I2&gt;=Assumptions!$B$52,I134*I17*Assumptions!$B$17+I128*(Assumptions!$B$159*MAX(0,Assumptions!$B$163-Assumptions!$B$18)+Assumptions!$B$160*MAX(0,Assumptions!$B$164-Assumptions!$B$18)+Assumptions!$B$161*MAX(0,Assumptions!$B$165-Assumptions!$B$18)+Assumptions!$B$162*MAX(0,Assumptions!$B$166-Assumptions!$B$18))*Assumptions!$B$19/Assumptions!$B$7*I7+I129*Assumptions!$B$20/Assumptions!$B$7+I127*(Assumptions!$B$157*Assumptions!$B$20+Assumptions!$B$158*Assumptions!$B$21)/12/Assumptions!$B$7*I7,0)</f>
        <v/>
      </c>
      <c r="J142" s="55">
        <f>IF(J2&gt;=Assumptions!$B$52,J134*J17*Assumptions!$B$17+J128*(Assumptions!$B$159*MAX(0,Assumptions!$B$163-Assumptions!$B$18)+Assumptions!$B$160*MAX(0,Assumptions!$B$164-Assumptions!$B$18)+Assumptions!$B$161*MAX(0,Assumptions!$B$165-Assumptions!$B$18)+Assumptions!$B$162*MAX(0,Assumptions!$B$166-Assumptions!$B$18))*Assumptions!$B$19/Assumptions!$B$7*J7+J129*Assumptions!$B$20/Assumptions!$B$7+J127*(Assumptions!$B$157*Assumptions!$B$20+Assumptions!$B$158*Assumptions!$B$21)/12/Assumptions!$B$7*J7,0)</f>
        <v/>
      </c>
      <c r="K142" s="55">
        <f>IF(K2&gt;=Assumptions!$B$52,K134*K17*Assumptions!$B$17+K128*(Assumptions!$B$159*MAX(0,Assumptions!$B$163-Assumptions!$B$18)+Assumptions!$B$160*MAX(0,Assumptions!$B$164-Assumptions!$B$18)+Assumptions!$B$161*MAX(0,Assumptions!$B$165-Assumptions!$B$18)+Assumptions!$B$162*MAX(0,Assumptions!$B$166-Assumptions!$B$18))*Assumptions!$B$19/Assumptions!$B$7*K7+K129*Assumptions!$B$20/Assumptions!$B$7+K127*(Assumptions!$B$157*Assumptions!$B$20+Assumptions!$B$158*Assumptions!$B$21)/12/Assumptions!$B$7*K7,0)</f>
        <v/>
      </c>
      <c r="L142" s="55">
        <f>IF(L2&gt;=Assumptions!$B$52,L134*L17*Assumptions!$B$17+L128*(Assumptions!$B$159*MAX(0,Assumptions!$B$163-Assumptions!$B$18)+Assumptions!$B$160*MAX(0,Assumptions!$B$164-Assumptions!$B$18)+Assumptions!$B$161*MAX(0,Assumptions!$B$165-Assumptions!$B$18)+Assumptions!$B$162*MAX(0,Assumptions!$B$166-Assumptions!$B$18))*Assumptions!$B$19/Assumptions!$B$7*L7+L129*Assumptions!$B$20/Assumptions!$B$7+L127*(Assumptions!$B$157*Assumptions!$B$20+Assumptions!$B$158*Assumptions!$B$21)/12/Assumptions!$B$7*L7,0)</f>
        <v/>
      </c>
      <c r="M142" s="55">
        <f>IF(M2&gt;=Assumptions!$B$52,M134*M17*Assumptions!$B$17+M128*(Assumptions!$B$159*MAX(0,Assumptions!$B$163-Assumptions!$B$18)+Assumptions!$B$160*MAX(0,Assumptions!$B$164-Assumptions!$B$18)+Assumptions!$B$161*MAX(0,Assumptions!$B$165-Assumptions!$B$18)+Assumptions!$B$162*MAX(0,Assumptions!$B$166-Assumptions!$B$18))*Assumptions!$B$19/Assumptions!$B$7*M7+M129*Assumptions!$B$20/Assumptions!$B$7+M127*(Assumptions!$B$157*Assumptions!$B$20+Assumptions!$B$158*Assumptions!$B$21)/12/Assumptions!$B$7*M7,0)</f>
        <v/>
      </c>
      <c r="N142" s="55">
        <f>IF(N2&gt;=Assumptions!$B$52,N134*N17*Assumptions!$B$17+N128*(Assumptions!$B$159*MAX(0,Assumptions!$B$163-Assumptions!$B$18)+Assumptions!$B$160*MAX(0,Assumptions!$B$164-Assumptions!$B$18)+Assumptions!$B$161*MAX(0,Assumptions!$B$165-Assumptions!$B$18)+Assumptions!$B$162*MAX(0,Assumptions!$B$166-Assumptions!$B$18))*Assumptions!$B$19/Assumptions!$B$7*N7+N129*Assumptions!$B$20/Assumptions!$B$7+N127*(Assumptions!$B$157*Assumptions!$B$20+Assumptions!$B$158*Assumptions!$B$21)/12/Assumptions!$B$7*N7,0)</f>
        <v/>
      </c>
      <c r="O142" s="55">
        <f>IF(O2&gt;=Assumptions!$B$52,O134*O17*Assumptions!$B$17+O128*(Assumptions!$B$159*MAX(0,Assumptions!$B$163-Assumptions!$B$18)+Assumptions!$B$160*MAX(0,Assumptions!$B$164-Assumptions!$B$18)+Assumptions!$B$161*MAX(0,Assumptions!$B$165-Assumptions!$B$18)+Assumptions!$B$162*MAX(0,Assumptions!$B$166-Assumptions!$B$18))*Assumptions!$B$19/Assumptions!$B$7*O7+O129*Assumptions!$B$20/Assumptions!$B$7+O127*(Assumptions!$B$157*Assumptions!$B$20+Assumptions!$B$158*Assumptions!$B$21)/12/Assumptions!$B$7*O7,0)</f>
        <v/>
      </c>
      <c r="P142" s="55">
        <f>IF(P2&gt;=Assumptions!$B$52,P134*P17*Assumptions!$B$17+P128*(Assumptions!$B$159*MAX(0,Assumptions!$B$163-Assumptions!$B$18)+Assumptions!$B$160*MAX(0,Assumptions!$B$164-Assumptions!$B$18)+Assumptions!$B$161*MAX(0,Assumptions!$B$165-Assumptions!$B$18)+Assumptions!$B$162*MAX(0,Assumptions!$B$166-Assumptions!$B$18))*Assumptions!$B$19/Assumptions!$B$7*P7+P129*Assumptions!$B$20/Assumptions!$B$7+P127*(Assumptions!$B$157*Assumptions!$B$20+Assumptions!$B$158*Assumptions!$B$21)/12/Assumptions!$B$7*P7,0)</f>
        <v/>
      </c>
      <c r="Q142" s="55">
        <f>IF(Q2&gt;=Assumptions!$B$52,Q134*Q17*Assumptions!$B$17+Q128*(Assumptions!$B$159*MAX(0,Assumptions!$B$163-Assumptions!$B$18)+Assumptions!$B$160*MAX(0,Assumptions!$B$164-Assumptions!$B$18)+Assumptions!$B$161*MAX(0,Assumptions!$B$165-Assumptions!$B$18)+Assumptions!$B$162*MAX(0,Assumptions!$B$166-Assumptions!$B$18))*Assumptions!$B$19/Assumptions!$B$7*Q7+Q129*Assumptions!$B$20/Assumptions!$B$7+Q127*(Assumptions!$B$157*Assumptions!$B$20+Assumptions!$B$158*Assumptions!$B$21)/12/Assumptions!$B$7*Q7,0)</f>
        <v/>
      </c>
      <c r="R142" s="55">
        <f>IF(R2&gt;=Assumptions!$B$52,R134*R17*Assumptions!$B$17+R128*(Assumptions!$B$159*MAX(0,Assumptions!$B$163-Assumptions!$B$18)+Assumptions!$B$160*MAX(0,Assumptions!$B$164-Assumptions!$B$18)+Assumptions!$B$161*MAX(0,Assumptions!$B$165-Assumptions!$B$18)+Assumptions!$B$162*MAX(0,Assumptions!$B$166-Assumptions!$B$18))*Assumptions!$B$19/Assumptions!$B$7*R7+R129*Assumptions!$B$20/Assumptions!$B$7+R127*(Assumptions!$B$157*Assumptions!$B$20+Assumptions!$B$158*Assumptions!$B$21)/12/Assumptions!$B$7*R7,0)</f>
        <v/>
      </c>
      <c r="S142" s="55">
        <f>IF(S2&gt;=Assumptions!$B$52,S134*S17*Assumptions!$B$17+S128*(Assumptions!$B$159*MAX(0,Assumptions!$B$163-Assumptions!$B$18)+Assumptions!$B$160*MAX(0,Assumptions!$B$164-Assumptions!$B$18)+Assumptions!$B$161*MAX(0,Assumptions!$B$165-Assumptions!$B$18)+Assumptions!$B$162*MAX(0,Assumptions!$B$166-Assumptions!$B$18))*Assumptions!$B$19/Assumptions!$B$7*S7+S129*Assumptions!$B$20/Assumptions!$B$7+S127*(Assumptions!$B$157*Assumptions!$B$20+Assumptions!$B$158*Assumptions!$B$21)/12/Assumptions!$B$7*S7,0)</f>
        <v/>
      </c>
      <c r="T142" s="55">
        <f>IF(T2&gt;=Assumptions!$B$52,T134*T17*Assumptions!$B$17+T128*(Assumptions!$B$159*MAX(0,Assumptions!$B$163-Assumptions!$B$18)+Assumptions!$B$160*MAX(0,Assumptions!$B$164-Assumptions!$B$18)+Assumptions!$B$161*MAX(0,Assumptions!$B$165-Assumptions!$B$18)+Assumptions!$B$162*MAX(0,Assumptions!$B$166-Assumptions!$B$18))*Assumptions!$B$19/Assumptions!$B$7*T7+T129*Assumptions!$B$20/Assumptions!$B$7+T127*(Assumptions!$B$157*Assumptions!$B$20+Assumptions!$B$158*Assumptions!$B$21)/12/Assumptions!$B$7*T7,0)</f>
        <v/>
      </c>
      <c r="U142" s="55">
        <f>IF(U2&gt;=Assumptions!$B$52,U134*U17*Assumptions!$B$17+U128*(Assumptions!$B$159*MAX(0,Assumptions!$B$163-Assumptions!$B$18)+Assumptions!$B$160*MAX(0,Assumptions!$B$164-Assumptions!$B$18)+Assumptions!$B$161*MAX(0,Assumptions!$B$165-Assumptions!$B$18)+Assumptions!$B$162*MAX(0,Assumptions!$B$166-Assumptions!$B$18))*Assumptions!$B$19/Assumptions!$B$7*U7+U129*Assumptions!$B$20/Assumptions!$B$7+U127*(Assumptions!$B$157*Assumptions!$B$20+Assumptions!$B$158*Assumptions!$B$21)/12/Assumptions!$B$7*U7,0)</f>
        <v/>
      </c>
      <c r="V142" s="55">
        <f>IF(V2&gt;=Assumptions!$B$52,V134*V17*Assumptions!$B$17+V128*(Assumptions!$B$159*MAX(0,Assumptions!$B$163-Assumptions!$B$18)+Assumptions!$B$160*MAX(0,Assumptions!$B$164-Assumptions!$B$18)+Assumptions!$B$161*MAX(0,Assumptions!$B$165-Assumptions!$B$18)+Assumptions!$B$162*MAX(0,Assumptions!$B$166-Assumptions!$B$18))*Assumptions!$B$19/Assumptions!$B$7*V7+V129*Assumptions!$B$20/Assumptions!$B$7+V127*(Assumptions!$B$157*Assumptions!$B$20+Assumptions!$B$158*Assumptions!$B$21)/12/Assumptions!$B$7*V7,0)</f>
        <v/>
      </c>
      <c r="W142" s="55">
        <f>IF(W2&gt;=Assumptions!$B$52,W134*W17*Assumptions!$B$17+W128*(Assumptions!$B$159*MAX(0,Assumptions!$B$163-Assumptions!$B$18)+Assumptions!$B$160*MAX(0,Assumptions!$B$164-Assumptions!$B$18)+Assumptions!$B$161*MAX(0,Assumptions!$B$165-Assumptions!$B$18)+Assumptions!$B$162*MAX(0,Assumptions!$B$166-Assumptions!$B$18))*Assumptions!$B$19/Assumptions!$B$7*W7+W129*Assumptions!$B$20/Assumptions!$B$7+W127*(Assumptions!$B$157*Assumptions!$B$20+Assumptions!$B$158*Assumptions!$B$21)/12/Assumptions!$B$7*W7,0)</f>
        <v/>
      </c>
      <c r="X142" s="55">
        <f>IF(X2&gt;=Assumptions!$B$52,X134*X17*Assumptions!$B$17+X128*(Assumptions!$B$159*MAX(0,Assumptions!$B$163-Assumptions!$B$18)+Assumptions!$B$160*MAX(0,Assumptions!$B$164-Assumptions!$B$18)+Assumptions!$B$161*MAX(0,Assumptions!$B$165-Assumptions!$B$18)+Assumptions!$B$162*MAX(0,Assumptions!$B$166-Assumptions!$B$18))*Assumptions!$B$19/Assumptions!$B$7*X7+X129*Assumptions!$B$20/Assumptions!$B$7+X127*(Assumptions!$B$157*Assumptions!$B$20+Assumptions!$B$158*Assumptions!$B$21)/12/Assumptions!$B$7*X7,0)</f>
        <v/>
      </c>
      <c r="Y142" s="55">
        <f>IF(Y2&gt;=Assumptions!$B$52,Y134*Y17*Assumptions!$B$17+Y128*(Assumptions!$B$159*MAX(0,Assumptions!$B$163-Assumptions!$B$18)+Assumptions!$B$160*MAX(0,Assumptions!$B$164-Assumptions!$B$18)+Assumptions!$B$161*MAX(0,Assumptions!$B$165-Assumptions!$B$18)+Assumptions!$B$162*MAX(0,Assumptions!$B$166-Assumptions!$B$18))*Assumptions!$B$19/Assumptions!$B$7*Y7+Y129*Assumptions!$B$20/Assumptions!$B$7+Y127*(Assumptions!$B$157*Assumptions!$B$20+Assumptions!$B$158*Assumptions!$B$21)/12/Assumptions!$B$7*Y7,0)</f>
        <v/>
      </c>
      <c r="Z142" s="55">
        <f>IF(Z2&gt;=Assumptions!$B$52,Z134*Z17*Assumptions!$B$17+Z128*(Assumptions!$B$159*MAX(0,Assumptions!$B$163-Assumptions!$B$18)+Assumptions!$B$160*MAX(0,Assumptions!$B$164-Assumptions!$B$18)+Assumptions!$B$161*MAX(0,Assumptions!$B$165-Assumptions!$B$18)+Assumptions!$B$162*MAX(0,Assumptions!$B$166-Assumptions!$B$18))*Assumptions!$B$19/Assumptions!$B$7*Z7+Z129*Assumptions!$B$20/Assumptions!$B$7+Z127*(Assumptions!$B$157*Assumptions!$B$20+Assumptions!$B$158*Assumptions!$B$21)/12/Assumptions!$B$7*Z7,0)</f>
        <v/>
      </c>
      <c r="AA142" s="55">
        <f>IF(AA2&gt;=Assumptions!$B$52,AA134*AA17*Assumptions!$B$17+AA128*(Assumptions!$B$159*MAX(0,Assumptions!$B$163-Assumptions!$B$18)+Assumptions!$B$160*MAX(0,Assumptions!$B$164-Assumptions!$B$18)+Assumptions!$B$161*MAX(0,Assumptions!$B$165-Assumptions!$B$18)+Assumptions!$B$162*MAX(0,Assumptions!$B$166-Assumptions!$B$18))*Assumptions!$B$19/Assumptions!$B$7*AA7+AA129*Assumptions!$B$20/Assumptions!$B$7+AA127*(Assumptions!$B$157*Assumptions!$B$20+Assumptions!$B$158*Assumptions!$B$21)/12/Assumptions!$B$7*AA7,0)</f>
        <v/>
      </c>
      <c r="AB142" s="55">
        <f>IF(AB2&gt;=Assumptions!$B$52,AB134*AB17*Assumptions!$B$17+AB128*(Assumptions!$B$159*MAX(0,Assumptions!$B$163-Assumptions!$B$18)+Assumptions!$B$160*MAX(0,Assumptions!$B$164-Assumptions!$B$18)+Assumptions!$B$161*MAX(0,Assumptions!$B$165-Assumptions!$B$18)+Assumptions!$B$162*MAX(0,Assumptions!$B$166-Assumptions!$B$18))*Assumptions!$B$19/Assumptions!$B$7*AB7+AB129*Assumptions!$B$20/Assumptions!$B$7+AB127*(Assumptions!$B$157*Assumptions!$B$20+Assumptions!$B$158*Assumptions!$B$21)/12/Assumptions!$B$7*AB7,0)</f>
        <v/>
      </c>
      <c r="AC142" s="55">
        <f>IF(AC2&gt;=Assumptions!$B$52,AC134*AC17*Assumptions!$B$17+AC128*(Assumptions!$B$159*MAX(0,Assumptions!$B$163-Assumptions!$B$18)+Assumptions!$B$160*MAX(0,Assumptions!$B$164-Assumptions!$B$18)+Assumptions!$B$161*MAX(0,Assumptions!$B$165-Assumptions!$B$18)+Assumptions!$B$162*MAX(0,Assumptions!$B$166-Assumptions!$B$18))*Assumptions!$B$19/Assumptions!$B$7*AC7+AC129*Assumptions!$B$20/Assumptions!$B$7+AC127*(Assumptions!$B$157*Assumptions!$B$20+Assumptions!$B$158*Assumptions!$B$21)/12/Assumptions!$B$7*AC7,0)</f>
        <v/>
      </c>
      <c r="AD142" s="55">
        <f>IF(AD2&gt;=Assumptions!$B$52,AD134*AD17*Assumptions!$B$17+AD128*(Assumptions!$B$159*MAX(0,Assumptions!$B$163-Assumptions!$B$18)+Assumptions!$B$160*MAX(0,Assumptions!$B$164-Assumptions!$B$18)+Assumptions!$B$161*MAX(0,Assumptions!$B$165-Assumptions!$B$18)+Assumptions!$B$162*MAX(0,Assumptions!$B$166-Assumptions!$B$18))*Assumptions!$B$19/Assumptions!$B$7*AD7+AD129*Assumptions!$B$20/Assumptions!$B$7+AD127*(Assumptions!$B$157*Assumptions!$B$20+Assumptions!$B$158*Assumptions!$B$21)/12/Assumptions!$B$7*AD7,0)</f>
        <v/>
      </c>
      <c r="AE142" s="55">
        <f>IF(AE2&gt;=Assumptions!$B$52,AE134*AE17*Assumptions!$B$17+AE128*(Assumptions!$B$159*MAX(0,Assumptions!$B$163-Assumptions!$B$18)+Assumptions!$B$160*MAX(0,Assumptions!$B$164-Assumptions!$B$18)+Assumptions!$B$161*MAX(0,Assumptions!$B$165-Assumptions!$B$18)+Assumptions!$B$162*MAX(0,Assumptions!$B$166-Assumptions!$B$18))*Assumptions!$B$19/Assumptions!$B$7*AE7+AE129*Assumptions!$B$20/Assumptions!$B$7+AE127*(Assumptions!$B$157*Assumptions!$B$20+Assumptions!$B$158*Assumptions!$B$21)/12/Assumptions!$B$7*AE7,0)</f>
        <v/>
      </c>
    </row>
    <row r="143">
      <c r="A143" s="6" t="inlineStr">
        <is>
          <t xml:space="preserve">  Average drawn balance outstanding</t>
        </is>
      </c>
      <c r="B143" s="23" t="inlineStr">
        <is>
          <t>USD</t>
        </is>
      </c>
      <c r="C143" s="55">
        <f>IF(C2&gt;=Assumptions!$B$53,C127*C130*(1-Assumptions!$B$189)*Assumptions!$B$167*Assumptions!$B$168,0)</f>
        <v/>
      </c>
      <c r="D143" s="55">
        <f>IF(D2&gt;=Assumptions!$B$53,D127*D130*(1-Assumptions!$B$189)*Assumptions!$B$167*Assumptions!$B$168,0)</f>
        <v/>
      </c>
      <c r="E143" s="55">
        <f>IF(E2&gt;=Assumptions!$B$53,E127*E130*(1-Assumptions!$B$189)*Assumptions!$B$167*Assumptions!$B$168,0)</f>
        <v/>
      </c>
      <c r="F143" s="55">
        <f>IF(F2&gt;=Assumptions!$B$53,F127*F130*(1-Assumptions!$B$189)*Assumptions!$B$167*Assumptions!$B$168,0)</f>
        <v/>
      </c>
      <c r="G143" s="55">
        <f>IF(G2&gt;=Assumptions!$B$53,G127*G130*(1-Assumptions!$B$189)*Assumptions!$B$167*Assumptions!$B$168,0)</f>
        <v/>
      </c>
      <c r="H143" s="55">
        <f>IF(H2&gt;=Assumptions!$B$53,H127*H130*(1-Assumptions!$B$189)*Assumptions!$B$167*Assumptions!$B$168,0)</f>
        <v/>
      </c>
      <c r="I143" s="55">
        <f>IF(I2&gt;=Assumptions!$B$53,I127*I130*(1-Assumptions!$B$189)*Assumptions!$B$167*Assumptions!$B$168,0)</f>
        <v/>
      </c>
      <c r="J143" s="55">
        <f>IF(J2&gt;=Assumptions!$B$53,J127*J130*(1-Assumptions!$B$189)*Assumptions!$B$167*Assumptions!$B$168,0)</f>
        <v/>
      </c>
      <c r="K143" s="55">
        <f>IF(K2&gt;=Assumptions!$B$53,K127*K130*(1-Assumptions!$B$189)*Assumptions!$B$167*Assumptions!$B$168,0)</f>
        <v/>
      </c>
      <c r="L143" s="55">
        <f>IF(L2&gt;=Assumptions!$B$53,L127*L130*(1-Assumptions!$B$189)*Assumptions!$B$167*Assumptions!$B$168,0)</f>
        <v/>
      </c>
      <c r="M143" s="55">
        <f>IF(M2&gt;=Assumptions!$B$53,M127*M130*(1-Assumptions!$B$189)*Assumptions!$B$167*Assumptions!$B$168,0)</f>
        <v/>
      </c>
      <c r="N143" s="55">
        <f>IF(N2&gt;=Assumptions!$B$53,N127*N130*(1-Assumptions!$B$189)*Assumptions!$B$167*Assumptions!$B$168,0)</f>
        <v/>
      </c>
      <c r="O143" s="55">
        <f>IF(O2&gt;=Assumptions!$B$53,O127*O130*(1-Assumptions!$B$189)*Assumptions!$B$167*Assumptions!$B$168,0)</f>
        <v/>
      </c>
      <c r="P143" s="55">
        <f>IF(P2&gt;=Assumptions!$B$53,P127*P130*(1-Assumptions!$B$189)*Assumptions!$B$167*Assumptions!$B$168,0)</f>
        <v/>
      </c>
      <c r="Q143" s="55">
        <f>IF(Q2&gt;=Assumptions!$B$53,Q127*Q130*(1-Assumptions!$B$189)*Assumptions!$B$167*Assumptions!$B$168,0)</f>
        <v/>
      </c>
      <c r="R143" s="55">
        <f>IF(R2&gt;=Assumptions!$B$53,R127*R130*(1-Assumptions!$B$189)*Assumptions!$B$167*Assumptions!$B$168,0)</f>
        <v/>
      </c>
      <c r="S143" s="55">
        <f>IF(S2&gt;=Assumptions!$B$53,S127*S130*(1-Assumptions!$B$189)*Assumptions!$B$167*Assumptions!$B$168,0)</f>
        <v/>
      </c>
      <c r="T143" s="55">
        <f>IF(T2&gt;=Assumptions!$B$53,T127*T130*(1-Assumptions!$B$189)*Assumptions!$B$167*Assumptions!$B$168,0)</f>
        <v/>
      </c>
      <c r="U143" s="55">
        <f>IF(U2&gt;=Assumptions!$B$53,U127*U130*(1-Assumptions!$B$189)*Assumptions!$B$167*Assumptions!$B$168,0)</f>
        <v/>
      </c>
      <c r="V143" s="55">
        <f>IF(V2&gt;=Assumptions!$B$53,V127*V130*(1-Assumptions!$B$189)*Assumptions!$B$167*Assumptions!$B$168,0)</f>
        <v/>
      </c>
      <c r="W143" s="55">
        <f>IF(W2&gt;=Assumptions!$B$53,W127*W130*(1-Assumptions!$B$189)*Assumptions!$B$167*Assumptions!$B$168,0)</f>
        <v/>
      </c>
      <c r="X143" s="55">
        <f>IF(X2&gt;=Assumptions!$B$53,X127*X130*(1-Assumptions!$B$189)*Assumptions!$B$167*Assumptions!$B$168,0)</f>
        <v/>
      </c>
      <c r="Y143" s="55">
        <f>IF(Y2&gt;=Assumptions!$B$53,Y127*Y130*(1-Assumptions!$B$189)*Assumptions!$B$167*Assumptions!$B$168,0)</f>
        <v/>
      </c>
      <c r="Z143" s="55">
        <f>IF(Z2&gt;=Assumptions!$B$53,Z127*Z130*(1-Assumptions!$B$189)*Assumptions!$B$167*Assumptions!$B$168,0)</f>
        <v/>
      </c>
      <c r="AA143" s="55">
        <f>IF(AA2&gt;=Assumptions!$B$53,AA127*AA130*(1-Assumptions!$B$189)*Assumptions!$B$167*Assumptions!$B$168,0)</f>
        <v/>
      </c>
      <c r="AB143" s="55">
        <f>IF(AB2&gt;=Assumptions!$B$53,AB127*AB130*(1-Assumptions!$B$189)*Assumptions!$B$167*Assumptions!$B$168,0)</f>
        <v/>
      </c>
      <c r="AC143" s="55">
        <f>IF(AC2&gt;=Assumptions!$B$53,AC127*AC130*(1-Assumptions!$B$189)*Assumptions!$B$167*Assumptions!$B$168,0)</f>
        <v/>
      </c>
      <c r="AD143" s="55">
        <f>IF(AD2&gt;=Assumptions!$B$53,AD127*AD130*(1-Assumptions!$B$189)*Assumptions!$B$167*Assumptions!$B$168,0)</f>
        <v/>
      </c>
      <c r="AE143" s="55">
        <f>IF(AE2&gt;=Assumptions!$B$53,AE127*AE130*(1-Assumptions!$B$189)*Assumptions!$B$167*Assumptions!$B$168,0)</f>
        <v/>
      </c>
    </row>
    <row r="144">
      <c r="A144" s="6" t="inlineStr">
        <is>
          <t xml:space="preserve">  Stream 5 - Lending revenue share</t>
        </is>
      </c>
      <c r="B144" s="23" t="inlineStr">
        <is>
          <t>USD</t>
        </is>
      </c>
      <c r="C144" s="55">
        <f>IF(C2&gt;=Assumptions!$B$53,(C143*Assumptions!$B$29*Assumptions!$B$30+C128*C131*(1-Assumptions!$B$189)*Assumptions!$B$27*Assumptions!$B$28)*C7/12,0)</f>
        <v/>
      </c>
      <c r="D144" s="55">
        <f>IF(D2&gt;=Assumptions!$B$53,(D143*Assumptions!$B$29*Assumptions!$B$30+D128*D131*(1-Assumptions!$B$189)*Assumptions!$B$27*Assumptions!$B$28)*D7/12,0)</f>
        <v/>
      </c>
      <c r="E144" s="55">
        <f>IF(E2&gt;=Assumptions!$B$53,(E143*Assumptions!$B$29*Assumptions!$B$30+E128*E131*(1-Assumptions!$B$189)*Assumptions!$B$27*Assumptions!$B$28)*E7/12,0)</f>
        <v/>
      </c>
      <c r="F144" s="55">
        <f>IF(F2&gt;=Assumptions!$B$53,(F143*Assumptions!$B$29*Assumptions!$B$30+F128*F131*(1-Assumptions!$B$189)*Assumptions!$B$27*Assumptions!$B$28)*F7/12,0)</f>
        <v/>
      </c>
      <c r="G144" s="55">
        <f>IF(G2&gt;=Assumptions!$B$53,(G143*Assumptions!$B$29*Assumptions!$B$30+G128*G131*(1-Assumptions!$B$189)*Assumptions!$B$27*Assumptions!$B$28)*G7/12,0)</f>
        <v/>
      </c>
      <c r="H144" s="55">
        <f>IF(H2&gt;=Assumptions!$B$53,(H143*Assumptions!$B$29*Assumptions!$B$30+H128*H131*(1-Assumptions!$B$189)*Assumptions!$B$27*Assumptions!$B$28)*H7/12,0)</f>
        <v/>
      </c>
      <c r="I144" s="55">
        <f>IF(I2&gt;=Assumptions!$B$53,(I143*Assumptions!$B$29*Assumptions!$B$30+I128*I131*(1-Assumptions!$B$189)*Assumptions!$B$27*Assumptions!$B$28)*I7/12,0)</f>
        <v/>
      </c>
      <c r="J144" s="55">
        <f>IF(J2&gt;=Assumptions!$B$53,(J143*Assumptions!$B$29*Assumptions!$B$30+J128*J131*(1-Assumptions!$B$189)*Assumptions!$B$27*Assumptions!$B$28)*J7/12,0)</f>
        <v/>
      </c>
      <c r="K144" s="55">
        <f>IF(K2&gt;=Assumptions!$B$53,(K143*Assumptions!$B$29*Assumptions!$B$30+K128*K131*(1-Assumptions!$B$189)*Assumptions!$B$27*Assumptions!$B$28)*K7/12,0)</f>
        <v/>
      </c>
      <c r="L144" s="55">
        <f>IF(L2&gt;=Assumptions!$B$53,(L143*Assumptions!$B$29*Assumptions!$B$30+L128*L131*(1-Assumptions!$B$189)*Assumptions!$B$27*Assumptions!$B$28)*L7/12,0)</f>
        <v/>
      </c>
      <c r="M144" s="55">
        <f>IF(M2&gt;=Assumptions!$B$53,(M143*Assumptions!$B$29*Assumptions!$B$30+M128*M131*(1-Assumptions!$B$189)*Assumptions!$B$27*Assumptions!$B$28)*M7/12,0)</f>
        <v/>
      </c>
      <c r="N144" s="55">
        <f>IF(N2&gt;=Assumptions!$B$53,(N143*Assumptions!$B$29*Assumptions!$B$30+N128*N131*(1-Assumptions!$B$189)*Assumptions!$B$27*Assumptions!$B$28)*N7/12,0)</f>
        <v/>
      </c>
      <c r="O144" s="55">
        <f>IF(O2&gt;=Assumptions!$B$53,(O143*Assumptions!$B$29*Assumptions!$B$30+O128*O131*(1-Assumptions!$B$189)*Assumptions!$B$27*Assumptions!$B$28)*O7/12,0)</f>
        <v/>
      </c>
      <c r="P144" s="55">
        <f>IF(P2&gt;=Assumptions!$B$53,(P143*Assumptions!$B$29*Assumptions!$B$30+P128*P131*(1-Assumptions!$B$189)*Assumptions!$B$27*Assumptions!$B$28)*P7/12,0)</f>
        <v/>
      </c>
      <c r="Q144" s="55">
        <f>IF(Q2&gt;=Assumptions!$B$53,(Q143*Assumptions!$B$29*Assumptions!$B$30+Q128*Q131*(1-Assumptions!$B$189)*Assumptions!$B$27*Assumptions!$B$28)*Q7/12,0)</f>
        <v/>
      </c>
      <c r="R144" s="55">
        <f>IF(R2&gt;=Assumptions!$B$53,(R143*Assumptions!$B$29*Assumptions!$B$30+R128*R131*(1-Assumptions!$B$189)*Assumptions!$B$27*Assumptions!$B$28)*R7/12,0)</f>
        <v/>
      </c>
      <c r="S144" s="55">
        <f>IF(S2&gt;=Assumptions!$B$53,(S143*Assumptions!$B$29*Assumptions!$B$30+S128*S131*(1-Assumptions!$B$189)*Assumptions!$B$27*Assumptions!$B$28)*S7/12,0)</f>
        <v/>
      </c>
      <c r="T144" s="55">
        <f>IF(T2&gt;=Assumptions!$B$53,(T143*Assumptions!$B$29*Assumptions!$B$30+T128*T131*(1-Assumptions!$B$189)*Assumptions!$B$27*Assumptions!$B$28)*T7/12,0)</f>
        <v/>
      </c>
      <c r="U144" s="55">
        <f>IF(U2&gt;=Assumptions!$B$53,(U143*Assumptions!$B$29*Assumptions!$B$30+U128*U131*(1-Assumptions!$B$189)*Assumptions!$B$27*Assumptions!$B$28)*U7/12,0)</f>
        <v/>
      </c>
      <c r="V144" s="55">
        <f>IF(V2&gt;=Assumptions!$B$53,(V143*Assumptions!$B$29*Assumptions!$B$30+V128*V131*(1-Assumptions!$B$189)*Assumptions!$B$27*Assumptions!$B$28)*V7/12,0)</f>
        <v/>
      </c>
      <c r="W144" s="55">
        <f>IF(W2&gt;=Assumptions!$B$53,(W143*Assumptions!$B$29*Assumptions!$B$30+W128*W131*(1-Assumptions!$B$189)*Assumptions!$B$27*Assumptions!$B$28)*W7/12,0)</f>
        <v/>
      </c>
      <c r="X144" s="55">
        <f>IF(X2&gt;=Assumptions!$B$53,(X143*Assumptions!$B$29*Assumptions!$B$30+X128*X131*(1-Assumptions!$B$189)*Assumptions!$B$27*Assumptions!$B$28)*X7/12,0)</f>
        <v/>
      </c>
      <c r="Y144" s="55">
        <f>IF(Y2&gt;=Assumptions!$B$53,(Y143*Assumptions!$B$29*Assumptions!$B$30+Y128*Y131*(1-Assumptions!$B$189)*Assumptions!$B$27*Assumptions!$B$28)*Y7/12,0)</f>
        <v/>
      </c>
      <c r="Z144" s="55">
        <f>IF(Z2&gt;=Assumptions!$B$53,(Z143*Assumptions!$B$29*Assumptions!$B$30+Z128*Z131*(1-Assumptions!$B$189)*Assumptions!$B$27*Assumptions!$B$28)*Z7/12,0)</f>
        <v/>
      </c>
      <c r="AA144" s="55">
        <f>IF(AA2&gt;=Assumptions!$B$53,(AA143*Assumptions!$B$29*Assumptions!$B$30+AA128*AA131*(1-Assumptions!$B$189)*Assumptions!$B$27*Assumptions!$B$28)*AA7/12,0)</f>
        <v/>
      </c>
      <c r="AB144" s="55">
        <f>IF(AB2&gt;=Assumptions!$B$53,(AB143*Assumptions!$B$29*Assumptions!$B$30+AB128*AB131*(1-Assumptions!$B$189)*Assumptions!$B$27*Assumptions!$B$28)*AB7/12,0)</f>
        <v/>
      </c>
      <c r="AC144" s="55">
        <f>IF(AC2&gt;=Assumptions!$B$53,(AC143*Assumptions!$B$29*Assumptions!$B$30+AC128*AC131*(1-Assumptions!$B$189)*Assumptions!$B$27*Assumptions!$B$28)*AC7/12,0)</f>
        <v/>
      </c>
      <c r="AD144" s="55">
        <f>IF(AD2&gt;=Assumptions!$B$53,(AD143*Assumptions!$B$29*Assumptions!$B$30+AD128*AD131*(1-Assumptions!$B$189)*Assumptions!$B$27*Assumptions!$B$28)*AD7/12,0)</f>
        <v/>
      </c>
      <c r="AE144" s="55">
        <f>IF(AE2&gt;=Assumptions!$B$53,(AE143*Assumptions!$B$29*Assumptions!$B$30+AE128*AE131*(1-Assumptions!$B$189)*Assumptions!$B$27*Assumptions!$B$28)*AE7/12,0)</f>
        <v/>
      </c>
    </row>
    <row r="145">
      <c r="A145" s="6" t="inlineStr">
        <is>
          <t xml:space="preserve">  Redemption events (memo - drives cost, not revenue)</t>
        </is>
      </c>
      <c r="B145" s="23" t="inlineStr">
        <is>
          <t>events</t>
        </is>
      </c>
      <c r="C145" s="45">
        <f>IF(C2&gt;=Assumptions!$B$49,(C113+C115*Assumptions!$B$149)*Assumptions!$B$148*C7/12,0)</f>
        <v/>
      </c>
      <c r="D145" s="45">
        <f>IF(D2&gt;=Assumptions!$B$49,(D113+D115*Assumptions!$B$149)*Assumptions!$B$148*D7/12,0)</f>
        <v/>
      </c>
      <c r="E145" s="45">
        <f>IF(E2&gt;=Assumptions!$B$49,(E113+E115*Assumptions!$B$149)*Assumptions!$B$148*E7/12,0)</f>
        <v/>
      </c>
      <c r="F145" s="45">
        <f>IF(F2&gt;=Assumptions!$B$49,(F113+F115*Assumptions!$B$149)*Assumptions!$B$148*F7/12,0)</f>
        <v/>
      </c>
      <c r="G145" s="45">
        <f>IF(G2&gt;=Assumptions!$B$49,(G113+G115*Assumptions!$B$149)*Assumptions!$B$148*G7/12,0)</f>
        <v/>
      </c>
      <c r="H145" s="45">
        <f>IF(H2&gt;=Assumptions!$B$49,(H113+H115*Assumptions!$B$149)*Assumptions!$B$148*H7/12,0)</f>
        <v/>
      </c>
      <c r="I145" s="45">
        <f>IF(I2&gt;=Assumptions!$B$49,(I113+I115*Assumptions!$B$149)*Assumptions!$B$148*I7/12,0)</f>
        <v/>
      </c>
      <c r="J145" s="45">
        <f>IF(J2&gt;=Assumptions!$B$49,(J113+J115*Assumptions!$B$149)*Assumptions!$B$148*J7/12,0)</f>
        <v/>
      </c>
      <c r="K145" s="45">
        <f>IF(K2&gt;=Assumptions!$B$49,(K113+K115*Assumptions!$B$149)*Assumptions!$B$148*K7/12,0)</f>
        <v/>
      </c>
      <c r="L145" s="45">
        <f>IF(L2&gt;=Assumptions!$B$49,(L113+L115*Assumptions!$B$149)*Assumptions!$B$148*L7/12,0)</f>
        <v/>
      </c>
      <c r="M145" s="45">
        <f>IF(M2&gt;=Assumptions!$B$49,(M113+M115*Assumptions!$B$149)*Assumptions!$B$148*M7/12,0)</f>
        <v/>
      </c>
      <c r="N145" s="45">
        <f>IF(N2&gt;=Assumptions!$B$49,(N113+N115*Assumptions!$B$149)*Assumptions!$B$148*N7/12,0)</f>
        <v/>
      </c>
      <c r="O145" s="45">
        <f>IF(O2&gt;=Assumptions!$B$49,(O113+O115*Assumptions!$B$149)*Assumptions!$B$148*O7/12,0)</f>
        <v/>
      </c>
      <c r="P145" s="45">
        <f>IF(P2&gt;=Assumptions!$B$49,(P113+P115*Assumptions!$B$149)*Assumptions!$B$148*P7/12,0)</f>
        <v/>
      </c>
      <c r="Q145" s="45">
        <f>IF(Q2&gt;=Assumptions!$B$49,(Q113+Q115*Assumptions!$B$149)*Assumptions!$B$148*Q7/12,0)</f>
        <v/>
      </c>
      <c r="R145" s="45">
        <f>IF(R2&gt;=Assumptions!$B$49,(R113+R115*Assumptions!$B$149)*Assumptions!$B$148*R7/12,0)</f>
        <v/>
      </c>
      <c r="S145" s="45">
        <f>IF(S2&gt;=Assumptions!$B$49,(S113+S115*Assumptions!$B$149)*Assumptions!$B$148*S7/12,0)</f>
        <v/>
      </c>
      <c r="T145" s="45">
        <f>IF(T2&gt;=Assumptions!$B$49,(T113+T115*Assumptions!$B$149)*Assumptions!$B$148*T7/12,0)</f>
        <v/>
      </c>
      <c r="U145" s="45">
        <f>IF(U2&gt;=Assumptions!$B$49,(U113+U115*Assumptions!$B$149)*Assumptions!$B$148*U7/12,0)</f>
        <v/>
      </c>
      <c r="V145" s="45">
        <f>IF(V2&gt;=Assumptions!$B$49,(V113+V115*Assumptions!$B$149)*Assumptions!$B$148*V7/12,0)</f>
        <v/>
      </c>
      <c r="W145" s="45">
        <f>IF(W2&gt;=Assumptions!$B$49,(W113+W115*Assumptions!$B$149)*Assumptions!$B$148*W7/12,0)</f>
        <v/>
      </c>
      <c r="X145" s="45">
        <f>IF(X2&gt;=Assumptions!$B$49,(X113+X115*Assumptions!$B$149)*Assumptions!$B$148*X7/12,0)</f>
        <v/>
      </c>
      <c r="Y145" s="45">
        <f>IF(Y2&gt;=Assumptions!$B$49,(Y113+Y115*Assumptions!$B$149)*Assumptions!$B$148*Y7/12,0)</f>
        <v/>
      </c>
      <c r="Z145" s="45">
        <f>IF(Z2&gt;=Assumptions!$B$49,(Z113+Z115*Assumptions!$B$149)*Assumptions!$B$148*Z7/12,0)</f>
        <v/>
      </c>
      <c r="AA145" s="45">
        <f>IF(AA2&gt;=Assumptions!$B$49,(AA113+AA115*Assumptions!$B$149)*Assumptions!$B$148*AA7/12,0)</f>
        <v/>
      </c>
      <c r="AB145" s="45">
        <f>IF(AB2&gt;=Assumptions!$B$49,(AB113+AB115*Assumptions!$B$149)*Assumptions!$B$148*AB7/12,0)</f>
        <v/>
      </c>
      <c r="AC145" s="45">
        <f>IF(AC2&gt;=Assumptions!$B$49,(AC113+AC115*Assumptions!$B$149)*Assumptions!$B$148*AC7/12,0)</f>
        <v/>
      </c>
      <c r="AD145" s="45">
        <f>IF(AD2&gt;=Assumptions!$B$49,(AD113+AD115*Assumptions!$B$149)*Assumptions!$B$148*AD7/12,0)</f>
        <v/>
      </c>
      <c r="AE145" s="45">
        <f>IF(AE2&gt;=Assumptions!$B$49,(AE113+AE115*Assumptions!$B$149)*Assumptions!$B$148*AE7/12,0)</f>
        <v/>
      </c>
    </row>
    <row r="146">
      <c r="A146" s="3" t="inlineStr">
        <is>
          <t xml:space="preserve">  SUBTOTAL - India</t>
        </is>
      </c>
      <c r="B146" s="23" t="inlineStr">
        <is>
          <t>USD</t>
        </is>
      </c>
      <c r="C146" s="57">
        <f>C137+C138+C139+C141+C142+C144</f>
        <v/>
      </c>
      <c r="D146" s="57">
        <f>D137+D138+D139+D141+D142+D144</f>
        <v/>
      </c>
      <c r="E146" s="57">
        <f>E137+E138+E139+E141+E142+E144</f>
        <v/>
      </c>
      <c r="F146" s="57">
        <f>F137+F138+F139+F141+F142+F144</f>
        <v/>
      </c>
      <c r="G146" s="57">
        <f>G137+G138+G139+G141+G142+G144</f>
        <v/>
      </c>
      <c r="H146" s="57">
        <f>H137+H138+H139+H141+H142+H144</f>
        <v/>
      </c>
      <c r="I146" s="57">
        <f>I137+I138+I139+I141+I142+I144</f>
        <v/>
      </c>
      <c r="J146" s="57">
        <f>J137+J138+J139+J141+J142+J144</f>
        <v/>
      </c>
      <c r="K146" s="57">
        <f>K137+K138+K139+K141+K142+K144</f>
        <v/>
      </c>
      <c r="L146" s="57">
        <f>L137+L138+L139+L141+L142+L144</f>
        <v/>
      </c>
      <c r="M146" s="57">
        <f>M137+M138+M139+M141+M142+M144</f>
        <v/>
      </c>
      <c r="N146" s="57">
        <f>N137+N138+N139+N141+N142+N144</f>
        <v/>
      </c>
      <c r="O146" s="57">
        <f>O137+O138+O139+O141+O142+O144</f>
        <v/>
      </c>
      <c r="P146" s="57">
        <f>P137+P138+P139+P141+P142+P144</f>
        <v/>
      </c>
      <c r="Q146" s="57">
        <f>Q137+Q138+Q139+Q141+Q142+Q144</f>
        <v/>
      </c>
      <c r="R146" s="57">
        <f>R137+R138+R139+R141+R142+R144</f>
        <v/>
      </c>
      <c r="S146" s="57">
        <f>S137+S138+S139+S141+S142+S144</f>
        <v/>
      </c>
      <c r="T146" s="57">
        <f>T137+T138+T139+T141+T142+T144</f>
        <v/>
      </c>
      <c r="U146" s="57">
        <f>U137+U138+U139+U141+U142+U144</f>
        <v/>
      </c>
      <c r="V146" s="57">
        <f>V137+V138+V139+V141+V142+V144</f>
        <v/>
      </c>
      <c r="W146" s="57">
        <f>W137+W138+W139+W141+W142+W144</f>
        <v/>
      </c>
      <c r="X146" s="57">
        <f>X137+X138+X139+X141+X142+X144</f>
        <v/>
      </c>
      <c r="Y146" s="57">
        <f>Y137+Y138+Y139+Y141+Y142+Y144</f>
        <v/>
      </c>
      <c r="Z146" s="57">
        <f>Z137+Z138+Z139+Z141+Z142+Z144</f>
        <v/>
      </c>
      <c r="AA146" s="57">
        <f>AA137+AA138+AA139+AA141+AA142+AA144</f>
        <v/>
      </c>
      <c r="AB146" s="57">
        <f>AB137+AB138+AB139+AB141+AB142+AB144</f>
        <v/>
      </c>
      <c r="AC146" s="57">
        <f>AC137+AC138+AC139+AC141+AC142+AC144</f>
        <v/>
      </c>
      <c r="AD146" s="57">
        <f>AD137+AD138+AD139+AD141+AD142+AD144</f>
        <v/>
      </c>
      <c r="AE146" s="57">
        <f>AE137+AE138+AE139+AE141+AE142+AE144</f>
        <v/>
      </c>
    </row>
    <row r="148">
      <c r="A148" s="46" t="inlineStr">
        <is>
          <t>NON-REGIONAL</t>
        </is>
      </c>
      <c r="B148" s="47" t="n"/>
      <c r="C148" s="47" t="n"/>
      <c r="D148" s="47" t="n"/>
      <c r="E148" s="47" t="n"/>
      <c r="F148" s="47" t="n"/>
      <c r="G148" s="47" t="n"/>
      <c r="H148" s="47" t="n"/>
      <c r="I148" s="47" t="n"/>
      <c r="J148" s="47" t="n"/>
      <c r="K148" s="47" t="n"/>
      <c r="L148" s="47" t="n"/>
      <c r="M148" s="47" t="n"/>
      <c r="N148" s="47" t="n"/>
      <c r="O148" s="47" t="n"/>
      <c r="P148" s="47" t="n"/>
      <c r="Q148" s="47" t="n"/>
      <c r="R148" s="47" t="n"/>
      <c r="S148" s="47" t="n"/>
      <c r="T148" s="47" t="n"/>
      <c r="U148" s="47" t="n"/>
      <c r="V148" s="47" t="n"/>
      <c r="W148" s="47" t="n"/>
      <c r="X148" s="47" t="n"/>
      <c r="Y148" s="47" t="n"/>
      <c r="Z148" s="47" t="n"/>
      <c r="AA148" s="47" t="n"/>
      <c r="AB148" s="47" t="n"/>
      <c r="AC148" s="47" t="n"/>
      <c r="AD148" s="47" t="n"/>
      <c r="AE148" s="47" t="n"/>
    </row>
    <row r="149">
      <c r="A149" s="6" t="inlineStr">
        <is>
          <t xml:space="preserve">  Partner AUM</t>
        </is>
      </c>
      <c r="B149" s="23" t="inlineStr">
        <is>
          <t>USD</t>
        </is>
      </c>
      <c r="C149" s="59">
        <f>IF(C2&gt;=Assumptions!$B$54,INDEX(Assumptions!$B$174:$B$180,C5)*Assumptions!$B$185,0)</f>
        <v/>
      </c>
      <c r="D149" s="59">
        <f>IF(D2&gt;=Assumptions!$B$54,INDEX(Assumptions!$B$174:$B$180,D5)*Assumptions!$B$185,0)</f>
        <v/>
      </c>
      <c r="E149" s="59">
        <f>IF(E2&gt;=Assumptions!$B$54,INDEX(Assumptions!$B$174:$B$180,E5)*Assumptions!$B$185,0)</f>
        <v/>
      </c>
      <c r="F149" s="59">
        <f>IF(F2&gt;=Assumptions!$B$54,INDEX(Assumptions!$B$174:$B$180,F5)*Assumptions!$B$185,0)</f>
        <v/>
      </c>
      <c r="G149" s="59">
        <f>IF(G2&gt;=Assumptions!$B$54,INDEX(Assumptions!$B$174:$B$180,G5)*Assumptions!$B$185,0)</f>
        <v/>
      </c>
      <c r="H149" s="59">
        <f>IF(H2&gt;=Assumptions!$B$54,INDEX(Assumptions!$B$174:$B$180,H5)*Assumptions!$B$185,0)</f>
        <v/>
      </c>
      <c r="I149" s="59">
        <f>IF(I2&gt;=Assumptions!$B$54,INDEX(Assumptions!$B$174:$B$180,I5)*Assumptions!$B$185,0)</f>
        <v/>
      </c>
      <c r="J149" s="59">
        <f>IF(J2&gt;=Assumptions!$B$54,INDEX(Assumptions!$B$174:$B$180,J5)*Assumptions!$B$185,0)</f>
        <v/>
      </c>
      <c r="K149" s="59">
        <f>IF(K2&gt;=Assumptions!$B$54,INDEX(Assumptions!$B$174:$B$180,K5)*Assumptions!$B$185,0)</f>
        <v/>
      </c>
      <c r="L149" s="59">
        <f>IF(L2&gt;=Assumptions!$B$54,INDEX(Assumptions!$B$174:$B$180,L5)*Assumptions!$B$185,0)</f>
        <v/>
      </c>
      <c r="M149" s="59">
        <f>IF(M2&gt;=Assumptions!$B$54,INDEX(Assumptions!$B$174:$B$180,M5)*Assumptions!$B$185,0)</f>
        <v/>
      </c>
      <c r="N149" s="59">
        <f>IF(N2&gt;=Assumptions!$B$54,INDEX(Assumptions!$B$174:$B$180,N5)*Assumptions!$B$185,0)</f>
        <v/>
      </c>
      <c r="O149" s="59">
        <f>IF(O2&gt;=Assumptions!$B$54,INDEX(Assumptions!$B$174:$B$180,O5)*Assumptions!$B$185,0)</f>
        <v/>
      </c>
      <c r="P149" s="59">
        <f>IF(P2&gt;=Assumptions!$B$54,INDEX(Assumptions!$B$174:$B$180,P5)*Assumptions!$B$185,0)</f>
        <v/>
      </c>
      <c r="Q149" s="59">
        <f>IF(Q2&gt;=Assumptions!$B$54,INDEX(Assumptions!$B$174:$B$180,Q5)*Assumptions!$B$185,0)</f>
        <v/>
      </c>
      <c r="R149" s="59">
        <f>IF(R2&gt;=Assumptions!$B$54,INDEX(Assumptions!$B$174:$B$180,R5)*Assumptions!$B$185,0)</f>
        <v/>
      </c>
      <c r="S149" s="59">
        <f>IF(S2&gt;=Assumptions!$B$54,INDEX(Assumptions!$B$174:$B$180,S5)*Assumptions!$B$185,0)</f>
        <v/>
      </c>
      <c r="T149" s="59">
        <f>IF(T2&gt;=Assumptions!$B$54,INDEX(Assumptions!$B$174:$B$180,T5)*Assumptions!$B$185,0)</f>
        <v/>
      </c>
      <c r="U149" s="59">
        <f>IF(U2&gt;=Assumptions!$B$54,INDEX(Assumptions!$B$174:$B$180,U5)*Assumptions!$B$185,0)</f>
        <v/>
      </c>
      <c r="V149" s="59">
        <f>IF(V2&gt;=Assumptions!$B$54,INDEX(Assumptions!$B$174:$B$180,V5)*Assumptions!$B$185,0)</f>
        <v/>
      </c>
      <c r="W149" s="59">
        <f>IF(W2&gt;=Assumptions!$B$54,INDEX(Assumptions!$B$174:$B$180,W5)*Assumptions!$B$185,0)</f>
        <v/>
      </c>
      <c r="X149" s="59">
        <f>IF(X2&gt;=Assumptions!$B$54,INDEX(Assumptions!$B$174:$B$180,X5)*Assumptions!$B$185,0)</f>
        <v/>
      </c>
      <c r="Y149" s="59">
        <f>IF(Y2&gt;=Assumptions!$B$54,INDEX(Assumptions!$B$174:$B$180,Y5)*Assumptions!$B$185,0)</f>
        <v/>
      </c>
      <c r="Z149" s="59">
        <f>IF(Z2&gt;=Assumptions!$B$54,INDEX(Assumptions!$B$174:$B$180,Z5)*Assumptions!$B$185,0)</f>
        <v/>
      </c>
      <c r="AA149" s="59">
        <f>IF(AA2&gt;=Assumptions!$B$54,INDEX(Assumptions!$B$174:$B$180,AA5)*Assumptions!$B$185,0)</f>
        <v/>
      </c>
      <c r="AB149" s="59">
        <f>IF(AB2&gt;=Assumptions!$B$54,INDEX(Assumptions!$B$174:$B$180,AB5)*Assumptions!$B$185,0)</f>
        <v/>
      </c>
      <c r="AC149" s="59">
        <f>IF(AC2&gt;=Assumptions!$B$54,INDEX(Assumptions!$B$174:$B$180,AC5)*Assumptions!$B$185,0)</f>
        <v/>
      </c>
      <c r="AD149" s="59">
        <f>IF(AD2&gt;=Assumptions!$B$54,INDEX(Assumptions!$B$174:$B$180,AD5)*Assumptions!$B$185,0)</f>
        <v/>
      </c>
      <c r="AE149" s="59">
        <f>IF(AE2&gt;=Assumptions!$B$54,INDEX(Assumptions!$B$174:$B$180,AE5)*Assumptions!$B$185,0)</f>
        <v/>
      </c>
    </row>
    <row r="150">
      <c r="A150" s="6" t="inlineStr">
        <is>
          <t>Stream 6 - B2B platform fee</t>
        </is>
      </c>
      <c r="B150" s="23" t="inlineStr">
        <is>
          <t>USD</t>
        </is>
      </c>
      <c r="C150" s="57">
        <f>C149*Assumptions!$B$181*C7/12</f>
        <v/>
      </c>
      <c r="D150" s="57">
        <f>D149*Assumptions!$B$181*D7/12</f>
        <v/>
      </c>
      <c r="E150" s="57">
        <f>E149*Assumptions!$B$181*E7/12</f>
        <v/>
      </c>
      <c r="F150" s="57">
        <f>F149*Assumptions!$B$181*F7/12</f>
        <v/>
      </c>
      <c r="G150" s="57">
        <f>G149*Assumptions!$B$181*G7/12</f>
        <v/>
      </c>
      <c r="H150" s="57">
        <f>H149*Assumptions!$B$181*H7/12</f>
        <v/>
      </c>
      <c r="I150" s="57">
        <f>I149*Assumptions!$B$181*I7/12</f>
        <v/>
      </c>
      <c r="J150" s="57">
        <f>J149*Assumptions!$B$181*J7/12</f>
        <v/>
      </c>
      <c r="K150" s="57">
        <f>K149*Assumptions!$B$181*K7/12</f>
        <v/>
      </c>
      <c r="L150" s="57">
        <f>L149*Assumptions!$B$181*L7/12</f>
        <v/>
      </c>
      <c r="M150" s="57">
        <f>M149*Assumptions!$B$181*M7/12</f>
        <v/>
      </c>
      <c r="N150" s="57">
        <f>N149*Assumptions!$B$181*N7/12</f>
        <v/>
      </c>
      <c r="O150" s="57">
        <f>O149*Assumptions!$B$181*O7/12</f>
        <v/>
      </c>
      <c r="P150" s="57">
        <f>P149*Assumptions!$B$181*P7/12</f>
        <v/>
      </c>
      <c r="Q150" s="57">
        <f>Q149*Assumptions!$B$181*Q7/12</f>
        <v/>
      </c>
      <c r="R150" s="57">
        <f>R149*Assumptions!$B$181*R7/12</f>
        <v/>
      </c>
      <c r="S150" s="57">
        <f>S149*Assumptions!$B$181*S7/12</f>
        <v/>
      </c>
      <c r="T150" s="57">
        <f>T149*Assumptions!$B$181*T7/12</f>
        <v/>
      </c>
      <c r="U150" s="57">
        <f>U149*Assumptions!$B$181*U7/12</f>
        <v/>
      </c>
      <c r="V150" s="57">
        <f>V149*Assumptions!$B$181*V7/12</f>
        <v/>
      </c>
      <c r="W150" s="57">
        <f>W149*Assumptions!$B$181*W7/12</f>
        <v/>
      </c>
      <c r="X150" s="57">
        <f>X149*Assumptions!$B$181*X7/12</f>
        <v/>
      </c>
      <c r="Y150" s="57">
        <f>Y149*Assumptions!$B$181*Y7/12</f>
        <v/>
      </c>
      <c r="Z150" s="57">
        <f>Z149*Assumptions!$B$181*Z7/12</f>
        <v/>
      </c>
      <c r="AA150" s="57">
        <f>AA149*Assumptions!$B$181*AA7/12</f>
        <v/>
      </c>
      <c r="AB150" s="57">
        <f>AB149*Assumptions!$B$181*AB7/12</f>
        <v/>
      </c>
      <c r="AC150" s="57">
        <f>AC149*Assumptions!$B$181*AC7/12</f>
        <v/>
      </c>
      <c r="AD150" s="57">
        <f>AD149*Assumptions!$B$181*AD7/12</f>
        <v/>
      </c>
      <c r="AE150" s="57">
        <f>AE149*Assumptions!$B$181*AE7/12</f>
        <v/>
      </c>
    </row>
    <row r="151">
      <c r="A151" s="9" t="inlineStr">
        <is>
          <t>Stream 6 is NOT regional: partners are institutions with their own customer books, not retail customers of a region. It is reported separately rather than allocated, because any allocation would be invented.</t>
        </is>
      </c>
    </row>
    <row r="153">
      <c r="A153" s="46" t="inlineStr">
        <is>
          <t>WHOLE-BOOK TOTALS</t>
        </is>
      </c>
      <c r="B153" s="47" t="n"/>
      <c r="C153" s="47" t="n"/>
      <c r="D153" s="47" t="n"/>
      <c r="E153" s="47" t="n"/>
      <c r="F153" s="47" t="n"/>
      <c r="G153" s="47" t="n"/>
      <c r="H153" s="47" t="n"/>
      <c r="I153" s="47" t="n"/>
      <c r="J153" s="47" t="n"/>
      <c r="K153" s="47" t="n"/>
      <c r="L153" s="47" t="n"/>
      <c r="M153" s="47" t="n"/>
      <c r="N153" s="47" t="n"/>
      <c r="O153" s="47" t="n"/>
      <c r="P153" s="47" t="n"/>
      <c r="Q153" s="47" t="n"/>
      <c r="R153" s="47" t="n"/>
      <c r="S153" s="47" t="n"/>
      <c r="T153" s="47" t="n"/>
      <c r="U153" s="47" t="n"/>
      <c r="V153" s="47" t="n"/>
      <c r="W153" s="47" t="n"/>
      <c r="X153" s="47" t="n"/>
      <c r="Y153" s="47" t="n"/>
      <c r="Z153" s="47" t="n"/>
      <c r="AA153" s="47" t="n"/>
      <c r="AB153" s="47" t="n"/>
      <c r="AC153" s="47" t="n"/>
      <c r="AD153" s="47" t="n"/>
      <c r="AE153" s="47" t="n"/>
    </row>
    <row r="154">
      <c r="A154" s="3" t="inlineStr">
        <is>
          <t>PAYING CUSTOMERS</t>
        </is>
      </c>
      <c r="B154" s="23" t="inlineStr">
        <is>
          <t>-</t>
        </is>
      </c>
      <c r="C154" s="45">
        <f>C29+C71+C113</f>
        <v/>
      </c>
      <c r="D154" s="45">
        <f>D29+D71+D113</f>
        <v/>
      </c>
      <c r="E154" s="45">
        <f>E29+E71+E113</f>
        <v/>
      </c>
      <c r="F154" s="45">
        <f>F29+F71+F113</f>
        <v/>
      </c>
      <c r="G154" s="45">
        <f>G29+G71+G113</f>
        <v/>
      </c>
      <c r="H154" s="45">
        <f>H29+H71+H113</f>
        <v/>
      </c>
      <c r="I154" s="45">
        <f>I29+I71+I113</f>
        <v/>
      </c>
      <c r="J154" s="45">
        <f>J29+J71+J113</f>
        <v/>
      </c>
      <c r="K154" s="45">
        <f>K29+K71+K113</f>
        <v/>
      </c>
      <c r="L154" s="45">
        <f>L29+L71+L113</f>
        <v/>
      </c>
      <c r="M154" s="45">
        <f>M29+M71+M113</f>
        <v/>
      </c>
      <c r="N154" s="45">
        <f>N29+N71+N113</f>
        <v/>
      </c>
      <c r="O154" s="45">
        <f>O29+O71+O113</f>
        <v/>
      </c>
      <c r="P154" s="45">
        <f>P29+P71+P113</f>
        <v/>
      </c>
      <c r="Q154" s="45">
        <f>Q29+Q71+Q113</f>
        <v/>
      </c>
      <c r="R154" s="45">
        <f>R29+R71+R113</f>
        <v/>
      </c>
      <c r="S154" s="45">
        <f>S29+S71+S113</f>
        <v/>
      </c>
      <c r="T154" s="45">
        <f>T29+T71+T113</f>
        <v/>
      </c>
      <c r="U154" s="45">
        <f>U29+U71+U113</f>
        <v/>
      </c>
      <c r="V154" s="45">
        <f>V29+V71+V113</f>
        <v/>
      </c>
      <c r="W154" s="45">
        <f>W29+W71+W113</f>
        <v/>
      </c>
      <c r="X154" s="45">
        <f>X29+X71+X113</f>
        <v/>
      </c>
      <c r="Y154" s="45">
        <f>Y29+Y71+Y113</f>
        <v/>
      </c>
      <c r="Z154" s="45">
        <f>Z29+Z71+Z113</f>
        <v/>
      </c>
      <c r="AA154" s="45">
        <f>AA29+AA71+AA113</f>
        <v/>
      </c>
      <c r="AB154" s="45">
        <f>AB29+AB71+AB113</f>
        <v/>
      </c>
      <c r="AC154" s="45">
        <f>AC29+AC71+AC113</f>
        <v/>
      </c>
      <c r="AD154" s="45">
        <f>AD29+AD71+AD113</f>
        <v/>
      </c>
      <c r="AE154" s="45">
        <f>AE29+AE71+AE113</f>
        <v/>
      </c>
    </row>
    <row r="155">
      <c r="A155" s="3" t="inlineStr">
        <is>
          <t>HOLDERS (stopped paying, still hold gold)</t>
        </is>
      </c>
      <c r="B155" s="23" t="inlineStr">
        <is>
          <t>-</t>
        </is>
      </c>
      <c r="C155" s="45">
        <f>C31+C73+C115</f>
        <v/>
      </c>
      <c r="D155" s="45">
        <f>D31+D73+D115</f>
        <v/>
      </c>
      <c r="E155" s="45">
        <f>E31+E73+E115</f>
        <v/>
      </c>
      <c r="F155" s="45">
        <f>F31+F73+F115</f>
        <v/>
      </c>
      <c r="G155" s="45">
        <f>G31+G73+G115</f>
        <v/>
      </c>
      <c r="H155" s="45">
        <f>H31+H73+H115</f>
        <v/>
      </c>
      <c r="I155" s="45">
        <f>I31+I73+I115</f>
        <v/>
      </c>
      <c r="J155" s="45">
        <f>J31+J73+J115</f>
        <v/>
      </c>
      <c r="K155" s="45">
        <f>K31+K73+K115</f>
        <v/>
      </c>
      <c r="L155" s="45">
        <f>L31+L73+L115</f>
        <v/>
      </c>
      <c r="M155" s="45">
        <f>M31+M73+M115</f>
        <v/>
      </c>
      <c r="N155" s="45">
        <f>N31+N73+N115</f>
        <v/>
      </c>
      <c r="O155" s="45">
        <f>O31+O73+O115</f>
        <v/>
      </c>
      <c r="P155" s="45">
        <f>P31+P73+P115</f>
        <v/>
      </c>
      <c r="Q155" s="45">
        <f>Q31+Q73+Q115</f>
        <v/>
      </c>
      <c r="R155" s="45">
        <f>R31+R73+R115</f>
        <v/>
      </c>
      <c r="S155" s="45">
        <f>S31+S73+S115</f>
        <v/>
      </c>
      <c r="T155" s="45">
        <f>T31+T73+T115</f>
        <v/>
      </c>
      <c r="U155" s="45">
        <f>U31+U73+U115</f>
        <v/>
      </c>
      <c r="V155" s="45">
        <f>V31+V73+V115</f>
        <v/>
      </c>
      <c r="W155" s="45">
        <f>W31+W73+W115</f>
        <v/>
      </c>
      <c r="X155" s="45">
        <f>X31+X73+X115</f>
        <v/>
      </c>
      <c r="Y155" s="45">
        <f>Y31+Y73+Y115</f>
        <v/>
      </c>
      <c r="Z155" s="45">
        <f>Z31+Z73+Z115</f>
        <v/>
      </c>
      <c r="AA155" s="45">
        <f>AA31+AA73+AA115</f>
        <v/>
      </c>
      <c r="AB155" s="45">
        <f>AB31+AB73+AB115</f>
        <v/>
      </c>
      <c r="AC155" s="45">
        <f>AC31+AC73+AC115</f>
        <v/>
      </c>
      <c r="AD155" s="45">
        <f>AD31+AD73+AD115</f>
        <v/>
      </c>
      <c r="AE155" s="45">
        <f>AE31+AE73+AE115</f>
        <v/>
      </c>
    </row>
    <row r="156">
      <c r="A156" s="6" t="inlineStr">
        <is>
          <t>Cumulative ever acquired</t>
        </is>
      </c>
      <c r="B156" s="23" t="inlineStr">
        <is>
          <t>-</t>
        </is>
      </c>
      <c r="C156" s="45">
        <f>C32+C74+C116</f>
        <v/>
      </c>
      <c r="D156" s="45">
        <f>D32+D74+D116</f>
        <v/>
      </c>
      <c r="E156" s="45">
        <f>E32+E74+E116</f>
        <v/>
      </c>
      <c r="F156" s="45">
        <f>F32+F74+F116</f>
        <v/>
      </c>
      <c r="G156" s="45">
        <f>G32+G74+G116</f>
        <v/>
      </c>
      <c r="H156" s="45">
        <f>H32+H74+H116</f>
        <v/>
      </c>
      <c r="I156" s="45">
        <f>I32+I74+I116</f>
        <v/>
      </c>
      <c r="J156" s="45">
        <f>J32+J74+J116</f>
        <v/>
      </c>
      <c r="K156" s="45">
        <f>K32+K74+K116</f>
        <v/>
      </c>
      <c r="L156" s="45">
        <f>L32+L74+L116</f>
        <v/>
      </c>
      <c r="M156" s="45">
        <f>M32+M74+M116</f>
        <v/>
      </c>
      <c r="N156" s="45">
        <f>N32+N74+N116</f>
        <v/>
      </c>
      <c r="O156" s="45">
        <f>O32+O74+O116</f>
        <v/>
      </c>
      <c r="P156" s="45">
        <f>P32+P74+P116</f>
        <v/>
      </c>
      <c r="Q156" s="45">
        <f>Q32+Q74+Q116</f>
        <v/>
      </c>
      <c r="R156" s="45">
        <f>R32+R74+R116</f>
        <v/>
      </c>
      <c r="S156" s="45">
        <f>S32+S74+S116</f>
        <v/>
      </c>
      <c r="T156" s="45">
        <f>T32+T74+T116</f>
        <v/>
      </c>
      <c r="U156" s="45">
        <f>U32+U74+U116</f>
        <v/>
      </c>
      <c r="V156" s="45">
        <f>V32+V74+V116</f>
        <v/>
      </c>
      <c r="W156" s="45">
        <f>W32+W74+W116</f>
        <v/>
      </c>
      <c r="X156" s="45">
        <f>X32+X74+X116</f>
        <v/>
      </c>
      <c r="Y156" s="45">
        <f>Y32+Y74+Y116</f>
        <v/>
      </c>
      <c r="Z156" s="45">
        <f>Z32+Z74+Z116</f>
        <v/>
      </c>
      <c r="AA156" s="45">
        <f>AA32+AA74+AA116</f>
        <v/>
      </c>
      <c r="AB156" s="45">
        <f>AB32+AB74+AB116</f>
        <v/>
      </c>
      <c r="AC156" s="45">
        <f>AC32+AC74+AC116</f>
        <v/>
      </c>
      <c r="AD156" s="45">
        <f>AD32+AD74+AD116</f>
        <v/>
      </c>
      <c r="AE156" s="45">
        <f>AE32+AE74+AE116</f>
        <v/>
      </c>
    </row>
    <row r="157">
      <c r="A157" s="3" t="inlineStr">
        <is>
          <t>NEW CUSTOMERS</t>
        </is>
      </c>
      <c r="B157" s="23" t="inlineStr">
        <is>
          <t>-</t>
        </is>
      </c>
      <c r="C157" s="45">
        <f>C28+C70+C112</f>
        <v/>
      </c>
      <c r="D157" s="45">
        <f>D28+D70+D112</f>
        <v/>
      </c>
      <c r="E157" s="45">
        <f>E28+E70+E112</f>
        <v/>
      </c>
      <c r="F157" s="45">
        <f>F28+F70+F112</f>
        <v/>
      </c>
      <c r="G157" s="45">
        <f>G28+G70+G112</f>
        <v/>
      </c>
      <c r="H157" s="45">
        <f>H28+H70+H112</f>
        <v/>
      </c>
      <c r="I157" s="45">
        <f>I28+I70+I112</f>
        <v/>
      </c>
      <c r="J157" s="45">
        <f>J28+J70+J112</f>
        <v/>
      </c>
      <c r="K157" s="45">
        <f>K28+K70+K112</f>
        <v/>
      </c>
      <c r="L157" s="45">
        <f>L28+L70+L112</f>
        <v/>
      </c>
      <c r="M157" s="45">
        <f>M28+M70+M112</f>
        <v/>
      </c>
      <c r="N157" s="45">
        <f>N28+N70+N112</f>
        <v/>
      </c>
      <c r="O157" s="45">
        <f>O28+O70+O112</f>
        <v/>
      </c>
      <c r="P157" s="45">
        <f>P28+P70+P112</f>
        <v/>
      </c>
      <c r="Q157" s="45">
        <f>Q28+Q70+Q112</f>
        <v/>
      </c>
      <c r="R157" s="45">
        <f>R28+R70+R112</f>
        <v/>
      </c>
      <c r="S157" s="45">
        <f>S28+S70+S112</f>
        <v/>
      </c>
      <c r="T157" s="45">
        <f>T28+T70+T112</f>
        <v/>
      </c>
      <c r="U157" s="45">
        <f>U28+U70+U112</f>
        <v/>
      </c>
      <c r="V157" s="45">
        <f>V28+V70+V112</f>
        <v/>
      </c>
      <c r="W157" s="45">
        <f>W28+W70+W112</f>
        <v/>
      </c>
      <c r="X157" s="45">
        <f>X28+X70+X112</f>
        <v/>
      </c>
      <c r="Y157" s="45">
        <f>Y28+Y70+Y112</f>
        <v/>
      </c>
      <c r="Z157" s="45">
        <f>Z28+Z70+Z112</f>
        <v/>
      </c>
      <c r="AA157" s="45">
        <f>AA28+AA70+AA112</f>
        <v/>
      </c>
      <c r="AB157" s="45">
        <f>AB28+AB70+AB112</f>
        <v/>
      </c>
      <c r="AC157" s="45">
        <f>AC28+AC70+AC112</f>
        <v/>
      </c>
      <c r="AD157" s="45">
        <f>AD28+AD70+AD112</f>
        <v/>
      </c>
      <c r="AE157" s="45">
        <f>AE28+AE70+AE112</f>
        <v/>
      </c>
    </row>
    <row r="158">
      <c r="A158" s="3" t="inlineStr">
        <is>
          <t>ACTIVE CARDS</t>
        </is>
      </c>
      <c r="B158" s="23" t="inlineStr">
        <is>
          <t>-</t>
        </is>
      </c>
      <c r="C158" s="45">
        <f>C43+C85+C127</f>
        <v/>
      </c>
      <c r="D158" s="45">
        <f>D43+D85+D127</f>
        <v/>
      </c>
      <c r="E158" s="45">
        <f>E43+E85+E127</f>
        <v/>
      </c>
      <c r="F158" s="45">
        <f>F43+F85+F127</f>
        <v/>
      </c>
      <c r="G158" s="45">
        <f>G43+G85+G127</f>
        <v/>
      </c>
      <c r="H158" s="45">
        <f>H43+H85+H127</f>
        <v/>
      </c>
      <c r="I158" s="45">
        <f>I43+I85+I127</f>
        <v/>
      </c>
      <c r="J158" s="45">
        <f>J43+J85+J127</f>
        <v/>
      </c>
      <c r="K158" s="45">
        <f>K43+K85+K127</f>
        <v/>
      </c>
      <c r="L158" s="45">
        <f>L43+L85+L127</f>
        <v/>
      </c>
      <c r="M158" s="45">
        <f>M43+M85+M127</f>
        <v/>
      </c>
      <c r="N158" s="45">
        <f>N43+N85+N127</f>
        <v/>
      </c>
      <c r="O158" s="45">
        <f>O43+O85+O127</f>
        <v/>
      </c>
      <c r="P158" s="45">
        <f>P43+P85+P127</f>
        <v/>
      </c>
      <c r="Q158" s="45">
        <f>Q43+Q85+Q127</f>
        <v/>
      </c>
      <c r="R158" s="45">
        <f>R43+R85+R127</f>
        <v/>
      </c>
      <c r="S158" s="45">
        <f>S43+S85+S127</f>
        <v/>
      </c>
      <c r="T158" s="45">
        <f>T43+T85+T127</f>
        <v/>
      </c>
      <c r="U158" s="45">
        <f>U43+U85+U127</f>
        <v/>
      </c>
      <c r="V158" s="45">
        <f>V43+V85+V127</f>
        <v/>
      </c>
      <c r="W158" s="45">
        <f>W43+W85+W127</f>
        <v/>
      </c>
      <c r="X158" s="45">
        <f>X43+X85+X127</f>
        <v/>
      </c>
      <c r="Y158" s="45">
        <f>Y43+Y85+Y127</f>
        <v/>
      </c>
      <c r="Z158" s="45">
        <f>Z43+Z85+Z127</f>
        <v/>
      </c>
      <c r="AA158" s="45">
        <f>AA43+AA85+AA127</f>
        <v/>
      </c>
      <c r="AB158" s="45">
        <f>AB43+AB85+AB127</f>
        <v/>
      </c>
      <c r="AC158" s="45">
        <f>AC43+AC85+AC127</f>
        <v/>
      </c>
      <c r="AD158" s="45">
        <f>AD43+AD85+AD127</f>
        <v/>
      </c>
      <c r="AE158" s="45">
        <f>AE43+AE85+AE127</f>
        <v/>
      </c>
    </row>
    <row r="159">
      <c r="A159" s="6" t="inlineStr">
        <is>
          <t>GRAMS HELD</t>
        </is>
      </c>
      <c r="B159" s="23" t="inlineStr">
        <is>
          <t>-</t>
        </is>
      </c>
      <c r="C159" s="45">
        <f>C38+C80+C122</f>
        <v/>
      </c>
      <c r="D159" s="45">
        <f>D38+D80+D122</f>
        <v/>
      </c>
      <c r="E159" s="45">
        <f>E38+E80+E122</f>
        <v/>
      </c>
      <c r="F159" s="45">
        <f>F38+F80+F122</f>
        <v/>
      </c>
      <c r="G159" s="45">
        <f>G38+G80+G122</f>
        <v/>
      </c>
      <c r="H159" s="45">
        <f>H38+H80+H122</f>
        <v/>
      </c>
      <c r="I159" s="45">
        <f>I38+I80+I122</f>
        <v/>
      </c>
      <c r="J159" s="45">
        <f>J38+J80+J122</f>
        <v/>
      </c>
      <c r="K159" s="45">
        <f>K38+K80+K122</f>
        <v/>
      </c>
      <c r="L159" s="45">
        <f>L38+L80+L122</f>
        <v/>
      </c>
      <c r="M159" s="45">
        <f>M38+M80+M122</f>
        <v/>
      </c>
      <c r="N159" s="45">
        <f>N38+N80+N122</f>
        <v/>
      </c>
      <c r="O159" s="45">
        <f>O38+O80+O122</f>
        <v/>
      </c>
      <c r="P159" s="45">
        <f>P38+P80+P122</f>
        <v/>
      </c>
      <c r="Q159" s="45">
        <f>Q38+Q80+Q122</f>
        <v/>
      </c>
      <c r="R159" s="45">
        <f>R38+R80+R122</f>
        <v/>
      </c>
      <c r="S159" s="45">
        <f>S38+S80+S122</f>
        <v/>
      </c>
      <c r="T159" s="45">
        <f>T38+T80+T122</f>
        <v/>
      </c>
      <c r="U159" s="45">
        <f>U38+U80+U122</f>
        <v/>
      </c>
      <c r="V159" s="45">
        <f>V38+V80+V122</f>
        <v/>
      </c>
      <c r="W159" s="45">
        <f>W38+W80+W122</f>
        <v/>
      </c>
      <c r="X159" s="45">
        <f>X38+X80+X122</f>
        <v/>
      </c>
      <c r="Y159" s="45">
        <f>Y38+Y80+Y122</f>
        <v/>
      </c>
      <c r="Z159" s="45">
        <f>Z38+Z80+Z122</f>
        <v/>
      </c>
      <c r="AA159" s="45">
        <f>AA38+AA80+AA122</f>
        <v/>
      </c>
      <c r="AB159" s="45">
        <f>AB38+AB80+AB122</f>
        <v/>
      </c>
      <c r="AC159" s="45">
        <f>AC38+AC80+AC122</f>
        <v/>
      </c>
      <c r="AD159" s="45">
        <f>AD38+AD80+AD122</f>
        <v/>
      </c>
      <c r="AE159" s="45">
        <f>AE38+AE80+AE122</f>
        <v/>
      </c>
    </row>
    <row r="160">
      <c r="A160" s="3" t="inlineStr">
        <is>
          <t>GRAMS UNDER CUSTODY</t>
        </is>
      </c>
      <c r="B160" s="23" t="inlineStr">
        <is>
          <t>-</t>
        </is>
      </c>
      <c r="C160" s="45">
        <f>C39+C81+C123</f>
        <v/>
      </c>
      <c r="D160" s="45">
        <f>D39+D81+D123</f>
        <v/>
      </c>
      <c r="E160" s="45">
        <f>E39+E81+E123</f>
        <v/>
      </c>
      <c r="F160" s="45">
        <f>F39+F81+F123</f>
        <v/>
      </c>
      <c r="G160" s="45">
        <f>G39+G81+G123</f>
        <v/>
      </c>
      <c r="H160" s="45">
        <f>H39+H81+H123</f>
        <v/>
      </c>
      <c r="I160" s="45">
        <f>I39+I81+I123</f>
        <v/>
      </c>
      <c r="J160" s="45">
        <f>J39+J81+J123</f>
        <v/>
      </c>
      <c r="K160" s="45">
        <f>K39+K81+K123</f>
        <v/>
      </c>
      <c r="L160" s="45">
        <f>L39+L81+L123</f>
        <v/>
      </c>
      <c r="M160" s="45">
        <f>M39+M81+M123</f>
        <v/>
      </c>
      <c r="N160" s="45">
        <f>N39+N81+N123</f>
        <v/>
      </c>
      <c r="O160" s="45">
        <f>O39+O81+O123</f>
        <v/>
      </c>
      <c r="P160" s="45">
        <f>P39+P81+P123</f>
        <v/>
      </c>
      <c r="Q160" s="45">
        <f>Q39+Q81+Q123</f>
        <v/>
      </c>
      <c r="R160" s="45">
        <f>R39+R81+R123</f>
        <v/>
      </c>
      <c r="S160" s="45">
        <f>S39+S81+S123</f>
        <v/>
      </c>
      <c r="T160" s="45">
        <f>T39+T81+T123</f>
        <v/>
      </c>
      <c r="U160" s="45">
        <f>U39+U81+U123</f>
        <v/>
      </c>
      <c r="V160" s="45">
        <f>V39+V81+V123</f>
        <v/>
      </c>
      <c r="W160" s="45">
        <f>W39+W81+W123</f>
        <v/>
      </c>
      <c r="X160" s="45">
        <f>X39+X81+X123</f>
        <v/>
      </c>
      <c r="Y160" s="45">
        <f>Y39+Y81+Y123</f>
        <v/>
      </c>
      <c r="Z160" s="45">
        <f>Z39+Z81+Z123</f>
        <v/>
      </c>
      <c r="AA160" s="45">
        <f>AA39+AA81+AA123</f>
        <v/>
      </c>
      <c r="AB160" s="45">
        <f>AB39+AB81+AB123</f>
        <v/>
      </c>
      <c r="AC160" s="45">
        <f>AC39+AC81+AC123</f>
        <v/>
      </c>
      <c r="AD160" s="45">
        <f>AD39+AD81+AD123</f>
        <v/>
      </c>
      <c r="AE160" s="45">
        <f>AE39+AE81+AE123</f>
        <v/>
      </c>
    </row>
    <row r="161">
      <c r="A161" s="6" t="inlineStr">
        <is>
          <t>Grams purchased</t>
        </is>
      </c>
      <c r="B161" s="23" t="inlineStr">
        <is>
          <t>-</t>
        </is>
      </c>
      <c r="C161" s="54">
        <f>C35+C77+C119</f>
        <v/>
      </c>
      <c r="D161" s="54">
        <f>D35+D77+D119</f>
        <v/>
      </c>
      <c r="E161" s="54">
        <f>E35+E77+E119</f>
        <v/>
      </c>
      <c r="F161" s="54">
        <f>F35+F77+F119</f>
        <v/>
      </c>
      <c r="G161" s="54">
        <f>G35+G77+G119</f>
        <v/>
      </c>
      <c r="H161" s="54">
        <f>H35+H77+H119</f>
        <v/>
      </c>
      <c r="I161" s="54">
        <f>I35+I77+I119</f>
        <v/>
      </c>
      <c r="J161" s="54">
        <f>J35+J77+J119</f>
        <v/>
      </c>
      <c r="K161" s="54">
        <f>K35+K77+K119</f>
        <v/>
      </c>
      <c r="L161" s="54">
        <f>L35+L77+L119</f>
        <v/>
      </c>
      <c r="M161" s="54">
        <f>M35+M77+M119</f>
        <v/>
      </c>
      <c r="N161" s="54">
        <f>N35+N77+N119</f>
        <v/>
      </c>
      <c r="O161" s="54">
        <f>O35+O77+O119</f>
        <v/>
      </c>
      <c r="P161" s="54">
        <f>P35+P77+P119</f>
        <v/>
      </c>
      <c r="Q161" s="54">
        <f>Q35+Q77+Q119</f>
        <v/>
      </c>
      <c r="R161" s="54">
        <f>R35+R77+R119</f>
        <v/>
      </c>
      <c r="S161" s="54">
        <f>S35+S77+S119</f>
        <v/>
      </c>
      <c r="T161" s="54">
        <f>T35+T77+T119</f>
        <v/>
      </c>
      <c r="U161" s="54">
        <f>U35+U77+U119</f>
        <v/>
      </c>
      <c r="V161" s="54">
        <f>V35+V77+V119</f>
        <v/>
      </c>
      <c r="W161" s="54">
        <f>W35+W77+W119</f>
        <v/>
      </c>
      <c r="X161" s="54">
        <f>X35+X77+X119</f>
        <v/>
      </c>
      <c r="Y161" s="54">
        <f>Y35+Y77+Y119</f>
        <v/>
      </c>
      <c r="Z161" s="54">
        <f>Z35+Z77+Z119</f>
        <v/>
      </c>
      <c r="AA161" s="54">
        <f>AA35+AA77+AA119</f>
        <v/>
      </c>
      <c r="AB161" s="54">
        <f>AB35+AB77+AB119</f>
        <v/>
      </c>
      <c r="AC161" s="54">
        <f>AC35+AC77+AC119</f>
        <v/>
      </c>
      <c r="AD161" s="54">
        <f>AD35+AD77+AD119</f>
        <v/>
      </c>
      <c r="AE161" s="54">
        <f>AE35+AE77+AE119</f>
        <v/>
      </c>
    </row>
    <row r="162">
      <c r="A162" s="3" t="inlineStr">
        <is>
          <t>COLLATERAL-ELIGIBLE AUM</t>
        </is>
      </c>
      <c r="B162" s="23" t="inlineStr">
        <is>
          <t>-</t>
        </is>
      </c>
      <c r="C162" s="55">
        <f>C40+C82+C124</f>
        <v/>
      </c>
      <c r="D162" s="55">
        <f>D40+D82+D124</f>
        <v/>
      </c>
      <c r="E162" s="55">
        <f>E40+E82+E124</f>
        <v/>
      </c>
      <c r="F162" s="55">
        <f>F40+F82+F124</f>
        <v/>
      </c>
      <c r="G162" s="55">
        <f>G40+G82+G124</f>
        <v/>
      </c>
      <c r="H162" s="55">
        <f>H40+H82+H124</f>
        <v/>
      </c>
      <c r="I162" s="55">
        <f>I40+I82+I124</f>
        <v/>
      </c>
      <c r="J162" s="55">
        <f>J40+J82+J124</f>
        <v/>
      </c>
      <c r="K162" s="55">
        <f>K40+K82+K124</f>
        <v/>
      </c>
      <c r="L162" s="55">
        <f>L40+L82+L124</f>
        <v/>
      </c>
      <c r="M162" s="55">
        <f>M40+M82+M124</f>
        <v/>
      </c>
      <c r="N162" s="55">
        <f>N40+N82+N124</f>
        <v/>
      </c>
      <c r="O162" s="55">
        <f>O40+O82+O124</f>
        <v/>
      </c>
      <c r="P162" s="55">
        <f>P40+P82+P124</f>
        <v/>
      </c>
      <c r="Q162" s="55">
        <f>Q40+Q82+Q124</f>
        <v/>
      </c>
      <c r="R162" s="55">
        <f>R40+R82+R124</f>
        <v/>
      </c>
      <c r="S162" s="55">
        <f>S40+S82+S124</f>
        <v/>
      </c>
      <c r="T162" s="55">
        <f>T40+T82+T124</f>
        <v/>
      </c>
      <c r="U162" s="55">
        <f>U40+U82+U124</f>
        <v/>
      </c>
      <c r="V162" s="55">
        <f>V40+V82+V124</f>
        <v/>
      </c>
      <c r="W162" s="55">
        <f>W40+W82+W124</f>
        <v/>
      </c>
      <c r="X162" s="55">
        <f>X40+X82+X124</f>
        <v/>
      </c>
      <c r="Y162" s="55">
        <f>Y40+Y82+Y124</f>
        <v/>
      </c>
      <c r="Z162" s="55">
        <f>Z40+Z82+Z124</f>
        <v/>
      </c>
      <c r="AA162" s="55">
        <f>AA40+AA82+AA124</f>
        <v/>
      </c>
      <c r="AB162" s="55">
        <f>AB40+AB82+AB124</f>
        <v/>
      </c>
      <c r="AC162" s="55">
        <f>AC40+AC82+AC124</f>
        <v/>
      </c>
      <c r="AD162" s="55">
        <f>AD40+AD82+AD124</f>
        <v/>
      </c>
      <c r="AE162" s="55">
        <f>AE40+AE82+AE124</f>
        <v/>
      </c>
    </row>
    <row r="163">
      <c r="A163" s="6" t="inlineStr">
        <is>
          <t>Reaches an ICS benefit tier (memo - drives discounts, not access)</t>
        </is>
      </c>
      <c r="B163" s="23" t="inlineStr">
        <is>
          <t>-</t>
        </is>
      </c>
      <c r="C163" s="45">
        <f>C42+C84+C126</f>
        <v/>
      </c>
      <c r="D163" s="45">
        <f>D42+D84+D126</f>
        <v/>
      </c>
      <c r="E163" s="45">
        <f>E42+E84+E126</f>
        <v/>
      </c>
      <c r="F163" s="45">
        <f>F42+F84+F126</f>
        <v/>
      </c>
      <c r="G163" s="45">
        <f>G42+G84+G126</f>
        <v/>
      </c>
      <c r="H163" s="45">
        <f>H42+H84+H126</f>
        <v/>
      </c>
      <c r="I163" s="45">
        <f>I42+I84+I126</f>
        <v/>
      </c>
      <c r="J163" s="45">
        <f>J42+J84+J126</f>
        <v/>
      </c>
      <c r="K163" s="45">
        <f>K42+K84+K126</f>
        <v/>
      </c>
      <c r="L163" s="45">
        <f>L42+L84+L126</f>
        <v/>
      </c>
      <c r="M163" s="45">
        <f>M42+M84+M126</f>
        <v/>
      </c>
      <c r="N163" s="45">
        <f>N42+N84+N126</f>
        <v/>
      </c>
      <c r="O163" s="45">
        <f>O42+O84+O126</f>
        <v/>
      </c>
      <c r="P163" s="45">
        <f>P42+P84+P126</f>
        <v/>
      </c>
      <c r="Q163" s="45">
        <f>Q42+Q84+Q126</f>
        <v/>
      </c>
      <c r="R163" s="45">
        <f>R42+R84+R126</f>
        <v/>
      </c>
      <c r="S163" s="45">
        <f>S42+S84+S126</f>
        <v/>
      </c>
      <c r="T163" s="45">
        <f>T42+T84+T126</f>
        <v/>
      </c>
      <c r="U163" s="45">
        <f>U42+U84+U126</f>
        <v/>
      </c>
      <c r="V163" s="45">
        <f>V42+V84+V126</f>
        <v/>
      </c>
      <c r="W163" s="45">
        <f>W42+W84+W126</f>
        <v/>
      </c>
      <c r="X163" s="45">
        <f>X42+X84+X126</f>
        <v/>
      </c>
      <c r="Y163" s="45">
        <f>Y42+Y84+Y126</f>
        <v/>
      </c>
      <c r="Z163" s="45">
        <f>Z42+Z84+Z126</f>
        <v/>
      </c>
      <c r="AA163" s="45">
        <f>AA42+AA84+AA126</f>
        <v/>
      </c>
      <c r="AB163" s="45">
        <f>AB42+AB84+AB126</f>
        <v/>
      </c>
      <c r="AC163" s="45">
        <f>AC42+AC84+AC126</f>
        <v/>
      </c>
      <c r="AD163" s="45">
        <f>AD42+AD84+AD126</f>
        <v/>
      </c>
      <c r="AE163" s="45">
        <f>AE42+AE84+AE126</f>
        <v/>
      </c>
    </row>
    <row r="164">
      <c r="A164" s="6" t="inlineStr">
        <is>
          <t>SIP contributions</t>
        </is>
      </c>
      <c r="B164" s="23" t="inlineStr">
        <is>
          <t>-</t>
        </is>
      </c>
      <c r="C164" s="55">
        <f>C33+C75+C117</f>
        <v/>
      </c>
      <c r="D164" s="55">
        <f>D33+D75+D117</f>
        <v/>
      </c>
      <c r="E164" s="55">
        <f>E33+E75+E117</f>
        <v/>
      </c>
      <c r="F164" s="55">
        <f>F33+F75+F117</f>
        <v/>
      </c>
      <c r="G164" s="55">
        <f>G33+G75+G117</f>
        <v/>
      </c>
      <c r="H164" s="55">
        <f>H33+H75+H117</f>
        <v/>
      </c>
      <c r="I164" s="55">
        <f>I33+I75+I117</f>
        <v/>
      </c>
      <c r="J164" s="55">
        <f>J33+J75+J117</f>
        <v/>
      </c>
      <c r="K164" s="55">
        <f>K33+K75+K117</f>
        <v/>
      </c>
      <c r="L164" s="55">
        <f>L33+L75+L117</f>
        <v/>
      </c>
      <c r="M164" s="55">
        <f>M33+M75+M117</f>
        <v/>
      </c>
      <c r="N164" s="55">
        <f>N33+N75+N117</f>
        <v/>
      </c>
      <c r="O164" s="55">
        <f>O33+O75+O117</f>
        <v/>
      </c>
      <c r="P164" s="55">
        <f>P33+P75+P117</f>
        <v/>
      </c>
      <c r="Q164" s="55">
        <f>Q33+Q75+Q117</f>
        <v/>
      </c>
      <c r="R164" s="55">
        <f>R33+R75+R117</f>
        <v/>
      </c>
      <c r="S164" s="55">
        <f>S33+S75+S117</f>
        <v/>
      </c>
      <c r="T164" s="55">
        <f>T33+T75+T117</f>
        <v/>
      </c>
      <c r="U164" s="55">
        <f>U33+U75+U117</f>
        <v/>
      </c>
      <c r="V164" s="55">
        <f>V33+V75+V117</f>
        <v/>
      </c>
      <c r="W164" s="55">
        <f>W33+W75+W117</f>
        <v/>
      </c>
      <c r="X164" s="55">
        <f>X33+X75+X117</f>
        <v/>
      </c>
      <c r="Y164" s="55">
        <f>Y33+Y75+Y117</f>
        <v/>
      </c>
      <c r="Z164" s="55">
        <f>Z33+Z75+Z117</f>
        <v/>
      </c>
      <c r="AA164" s="55">
        <f>AA33+AA75+AA117</f>
        <v/>
      </c>
      <c r="AB164" s="55">
        <f>AB33+AB75+AB117</f>
        <v/>
      </c>
      <c r="AC164" s="55">
        <f>AC33+AC75+AC117</f>
        <v/>
      </c>
      <c r="AD164" s="55">
        <f>AD33+AD75+AD117</f>
        <v/>
      </c>
      <c r="AE164" s="55">
        <f>AE33+AE75+AE117</f>
        <v/>
      </c>
    </row>
    <row r="165">
      <c r="A165" s="6" t="inlineStr">
        <is>
          <t>Spot purchase volume</t>
        </is>
      </c>
      <c r="B165" s="23" t="inlineStr">
        <is>
          <t>-</t>
        </is>
      </c>
      <c r="C165" s="55">
        <f>C34+C76+C118</f>
        <v/>
      </c>
      <c r="D165" s="55">
        <f>D34+D76+D118</f>
        <v/>
      </c>
      <c r="E165" s="55">
        <f>E34+E76+E118</f>
        <v/>
      </c>
      <c r="F165" s="55">
        <f>F34+F76+F118</f>
        <v/>
      </c>
      <c r="G165" s="55">
        <f>G34+G76+G118</f>
        <v/>
      </c>
      <c r="H165" s="55">
        <f>H34+H76+H118</f>
        <v/>
      </c>
      <c r="I165" s="55">
        <f>I34+I76+I118</f>
        <v/>
      </c>
      <c r="J165" s="55">
        <f>J34+J76+J118</f>
        <v/>
      </c>
      <c r="K165" s="55">
        <f>K34+K76+K118</f>
        <v/>
      </c>
      <c r="L165" s="55">
        <f>L34+L76+L118</f>
        <v/>
      </c>
      <c r="M165" s="55">
        <f>M34+M76+M118</f>
        <v/>
      </c>
      <c r="N165" s="55">
        <f>N34+N76+N118</f>
        <v/>
      </c>
      <c r="O165" s="55">
        <f>O34+O76+O118</f>
        <v/>
      </c>
      <c r="P165" s="55">
        <f>P34+P76+P118</f>
        <v/>
      </c>
      <c r="Q165" s="55">
        <f>Q34+Q76+Q118</f>
        <v/>
      </c>
      <c r="R165" s="55">
        <f>R34+R76+R118</f>
        <v/>
      </c>
      <c r="S165" s="55">
        <f>S34+S76+S118</f>
        <v/>
      </c>
      <c r="T165" s="55">
        <f>T34+T76+T118</f>
        <v/>
      </c>
      <c r="U165" s="55">
        <f>U34+U76+U118</f>
        <v/>
      </c>
      <c r="V165" s="55">
        <f>V34+V76+V118</f>
        <v/>
      </c>
      <c r="W165" s="55">
        <f>W34+W76+W118</f>
        <v/>
      </c>
      <c r="X165" s="55">
        <f>X34+X76+X118</f>
        <v/>
      </c>
      <c r="Y165" s="55">
        <f>Y34+Y76+Y118</f>
        <v/>
      </c>
      <c r="Z165" s="55">
        <f>Z34+Z76+Z118</f>
        <v/>
      </c>
      <c r="AA165" s="55">
        <f>AA34+AA76+AA118</f>
        <v/>
      </c>
      <c r="AB165" s="55">
        <f>AB34+AB76+AB118</f>
        <v/>
      </c>
      <c r="AC165" s="55">
        <f>AC34+AC76+AC118</f>
        <v/>
      </c>
      <c r="AD165" s="55">
        <f>AD34+AD76+AD118</f>
        <v/>
      </c>
      <c r="AE165" s="55">
        <f>AE34+AE76+AE118</f>
        <v/>
      </c>
    </row>
    <row r="166">
      <c r="A166" s="6" t="inlineStr">
        <is>
          <t>Card spend</t>
        </is>
      </c>
      <c r="B166" s="23" t="inlineStr">
        <is>
          <t>-</t>
        </is>
      </c>
      <c r="C166" s="55">
        <f>C50+C92+C134</f>
        <v/>
      </c>
      <c r="D166" s="55">
        <f>D50+D92+D134</f>
        <v/>
      </c>
      <c r="E166" s="55">
        <f>E50+E92+E134</f>
        <v/>
      </c>
      <c r="F166" s="55">
        <f>F50+F92+F134</f>
        <v/>
      </c>
      <c r="G166" s="55">
        <f>G50+G92+G134</f>
        <v/>
      </c>
      <c r="H166" s="55">
        <f>H50+H92+H134</f>
        <v/>
      </c>
      <c r="I166" s="55">
        <f>I50+I92+I134</f>
        <v/>
      </c>
      <c r="J166" s="55">
        <f>J50+J92+J134</f>
        <v/>
      </c>
      <c r="K166" s="55">
        <f>K50+K92+K134</f>
        <v/>
      </c>
      <c r="L166" s="55">
        <f>L50+L92+L134</f>
        <v/>
      </c>
      <c r="M166" s="55">
        <f>M50+M92+M134</f>
        <v/>
      </c>
      <c r="N166" s="55">
        <f>N50+N92+N134</f>
        <v/>
      </c>
      <c r="O166" s="55">
        <f>O50+O92+O134</f>
        <v/>
      </c>
      <c r="P166" s="55">
        <f>P50+P92+P134</f>
        <v/>
      </c>
      <c r="Q166" s="55">
        <f>Q50+Q92+Q134</f>
        <v/>
      </c>
      <c r="R166" s="55">
        <f>R50+R92+R134</f>
        <v/>
      </c>
      <c r="S166" s="55">
        <f>S50+S92+S134</f>
        <v/>
      </c>
      <c r="T166" s="55">
        <f>T50+T92+T134</f>
        <v/>
      </c>
      <c r="U166" s="55">
        <f>U50+U92+U134</f>
        <v/>
      </c>
      <c r="V166" s="55">
        <f>V50+V92+V134</f>
        <v/>
      </c>
      <c r="W166" s="55">
        <f>W50+W92+W134</f>
        <v/>
      </c>
      <c r="X166" s="55">
        <f>X50+X92+X134</f>
        <v/>
      </c>
      <c r="Y166" s="55">
        <f>Y50+Y92+Y134</f>
        <v/>
      </c>
      <c r="Z166" s="55">
        <f>Z50+Z92+Z134</f>
        <v/>
      </c>
      <c r="AA166" s="55">
        <f>AA50+AA92+AA134</f>
        <v/>
      </c>
      <c r="AB166" s="55">
        <f>AB50+AB92+AB134</f>
        <v/>
      </c>
      <c r="AC166" s="55">
        <f>AC50+AC92+AC134</f>
        <v/>
      </c>
      <c r="AD166" s="55">
        <f>AD50+AD92+AD134</f>
        <v/>
      </c>
      <c r="AE166" s="55">
        <f>AE50+AE92+AE134</f>
        <v/>
      </c>
    </row>
    <row r="167">
      <c r="A167" s="6" t="inlineStr">
        <is>
          <t>GOLD UNDER CUSTODY (comparable headline)</t>
        </is>
      </c>
      <c r="B167" s="23" t="inlineStr">
        <is>
          <t>USD</t>
        </is>
      </c>
      <c r="C167" s="57">
        <f>C160*C20</f>
        <v/>
      </c>
      <c r="D167" s="57">
        <f>D160*D20</f>
        <v/>
      </c>
      <c r="E167" s="57">
        <f>E160*E20</f>
        <v/>
      </c>
      <c r="F167" s="57">
        <f>F160*F20</f>
        <v/>
      </c>
      <c r="G167" s="57">
        <f>G160*G20</f>
        <v/>
      </c>
      <c r="H167" s="57">
        <f>H160*H20</f>
        <v/>
      </c>
      <c r="I167" s="57">
        <f>I160*I20</f>
        <v/>
      </c>
      <c r="J167" s="57">
        <f>J160*J20</f>
        <v/>
      </c>
      <c r="K167" s="57">
        <f>K160*K20</f>
        <v/>
      </c>
      <c r="L167" s="57">
        <f>L160*L20</f>
        <v/>
      </c>
      <c r="M167" s="57">
        <f>M160*M20</f>
        <v/>
      </c>
      <c r="N167" s="57">
        <f>N160*N20</f>
        <v/>
      </c>
      <c r="O167" s="57">
        <f>O160*O20</f>
        <v/>
      </c>
      <c r="P167" s="57">
        <f>P160*P20</f>
        <v/>
      </c>
      <c r="Q167" s="57">
        <f>Q160*Q20</f>
        <v/>
      </c>
      <c r="R167" s="57">
        <f>R160*R20</f>
        <v/>
      </c>
      <c r="S167" s="57">
        <f>S160*S20</f>
        <v/>
      </c>
      <c r="T167" s="57">
        <f>T160*T20</f>
        <v/>
      </c>
      <c r="U167" s="57">
        <f>U160*U20</f>
        <v/>
      </c>
      <c r="V167" s="57">
        <f>V160*V20</f>
        <v/>
      </c>
      <c r="W167" s="57">
        <f>W160*W20</f>
        <v/>
      </c>
      <c r="X167" s="57">
        <f>X160*X20</f>
        <v/>
      </c>
      <c r="Y167" s="57">
        <f>Y160*Y20</f>
        <v/>
      </c>
      <c r="Z167" s="57">
        <f>Z160*Z20</f>
        <v/>
      </c>
      <c r="AA167" s="57">
        <f>AA160*AA20</f>
        <v/>
      </c>
      <c r="AB167" s="57">
        <f>AB160*AB20</f>
        <v/>
      </c>
      <c r="AC167" s="57">
        <f>AC160*AC20</f>
        <v/>
      </c>
      <c r="AD167" s="57">
        <f>AD160*AD20</f>
        <v/>
      </c>
      <c r="AE167" s="57">
        <f>AE160*AE20</f>
        <v/>
      </c>
    </row>
    <row r="168">
      <c r="A168"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69">
      <c r="A169" s="6" t="inlineStr">
        <is>
          <t xml:space="preserve">  Gold under custody at the CONSTANT M1 price (memo)</t>
        </is>
      </c>
      <c r="B169" s="23" t="inlineStr">
        <is>
          <t>USD</t>
        </is>
      </c>
      <c r="C169" s="55">
        <f>C160*Assumptions!$B$6</f>
        <v/>
      </c>
      <c r="D169" s="55">
        <f>D160*Assumptions!$B$6</f>
        <v/>
      </c>
      <c r="E169" s="55">
        <f>E160*Assumptions!$B$6</f>
        <v/>
      </c>
      <c r="F169" s="55">
        <f>F160*Assumptions!$B$6</f>
        <v/>
      </c>
      <c r="G169" s="55">
        <f>G160*Assumptions!$B$6</f>
        <v/>
      </c>
      <c r="H169" s="55">
        <f>H160*Assumptions!$B$6</f>
        <v/>
      </c>
      <c r="I169" s="55">
        <f>I160*Assumptions!$B$6</f>
        <v/>
      </c>
      <c r="J169" s="55">
        <f>J160*Assumptions!$B$6</f>
        <v/>
      </c>
      <c r="K169" s="55">
        <f>K160*Assumptions!$B$6</f>
        <v/>
      </c>
      <c r="L169" s="55">
        <f>L160*Assumptions!$B$6</f>
        <v/>
      </c>
      <c r="M169" s="55">
        <f>M160*Assumptions!$B$6</f>
        <v/>
      </c>
      <c r="N169" s="55">
        <f>N160*Assumptions!$B$6</f>
        <v/>
      </c>
      <c r="O169" s="55">
        <f>O160*Assumptions!$B$6</f>
        <v/>
      </c>
      <c r="P169" s="55">
        <f>P160*Assumptions!$B$6</f>
        <v/>
      </c>
      <c r="Q169" s="55">
        <f>Q160*Assumptions!$B$6</f>
        <v/>
      </c>
      <c r="R169" s="55">
        <f>R160*Assumptions!$B$6</f>
        <v/>
      </c>
      <c r="S169" s="55">
        <f>S160*Assumptions!$B$6</f>
        <v/>
      </c>
      <c r="T169" s="55">
        <f>T160*Assumptions!$B$6</f>
        <v/>
      </c>
      <c r="U169" s="55">
        <f>U160*Assumptions!$B$6</f>
        <v/>
      </c>
      <c r="V169" s="55">
        <f>V160*Assumptions!$B$6</f>
        <v/>
      </c>
      <c r="W169" s="55">
        <f>W160*Assumptions!$B$6</f>
        <v/>
      </c>
      <c r="X169" s="55">
        <f>X160*Assumptions!$B$6</f>
        <v/>
      </c>
      <c r="Y169" s="55">
        <f>Y160*Assumptions!$B$6</f>
        <v/>
      </c>
      <c r="Z169" s="55">
        <f>Z160*Assumptions!$B$6</f>
        <v/>
      </c>
      <c r="AA169" s="55">
        <f>AA160*Assumptions!$B$6</f>
        <v/>
      </c>
      <c r="AB169" s="55">
        <f>AB160*Assumptions!$B$6</f>
        <v/>
      </c>
      <c r="AC169" s="55">
        <f>AC160*Assumptions!$B$6</f>
        <v/>
      </c>
      <c r="AD169" s="55">
        <f>AD160*Assumptions!$B$6</f>
        <v/>
      </c>
      <c r="AE169" s="55">
        <f>AE160*Assumptions!$B$6</f>
        <v/>
      </c>
    </row>
    <row r="170">
      <c r="A170" s="6" t="inlineStr">
        <is>
          <t xml:space="preserve">  of which is the metal moving, not the business</t>
        </is>
      </c>
      <c r="B170" s="23" t="inlineStr">
        <is>
          <t>USD</t>
        </is>
      </c>
      <c r="C170" s="55">
        <f>C167-C169</f>
        <v/>
      </c>
      <c r="D170" s="55">
        <f>D167-D169</f>
        <v/>
      </c>
      <c r="E170" s="55">
        <f>E167-E169</f>
        <v/>
      </c>
      <c r="F170" s="55">
        <f>F167-F169</f>
        <v/>
      </c>
      <c r="G170" s="55">
        <f>G167-G169</f>
        <v/>
      </c>
      <c r="H170" s="55">
        <f>H167-H169</f>
        <v/>
      </c>
      <c r="I170" s="55">
        <f>I167-I169</f>
        <v/>
      </c>
      <c r="J170" s="55">
        <f>J167-J169</f>
        <v/>
      </c>
      <c r="K170" s="55">
        <f>K167-K169</f>
        <v/>
      </c>
      <c r="L170" s="55">
        <f>L167-L169</f>
        <v/>
      </c>
      <c r="M170" s="55">
        <f>M167-M169</f>
        <v/>
      </c>
      <c r="N170" s="55">
        <f>N167-N169</f>
        <v/>
      </c>
      <c r="O170" s="55">
        <f>O167-O169</f>
        <v/>
      </c>
      <c r="P170" s="55">
        <f>P167-P169</f>
        <v/>
      </c>
      <c r="Q170" s="55">
        <f>Q167-Q169</f>
        <v/>
      </c>
      <c r="R170" s="55">
        <f>R167-R169</f>
        <v/>
      </c>
      <c r="S170" s="55">
        <f>S167-S169</f>
        <v/>
      </c>
      <c r="T170" s="55">
        <f>T167-T169</f>
        <v/>
      </c>
      <c r="U170" s="55">
        <f>U167-U169</f>
        <v/>
      </c>
      <c r="V170" s="55">
        <f>V167-V169</f>
        <v/>
      </c>
      <c r="W170" s="55">
        <f>W167-W169</f>
        <v/>
      </c>
      <c r="X170" s="55">
        <f>X167-X169</f>
        <v/>
      </c>
      <c r="Y170" s="55">
        <f>Y167-Y169</f>
        <v/>
      </c>
      <c r="Z170" s="55">
        <f>Z167-Z169</f>
        <v/>
      </c>
      <c r="AA170" s="55">
        <f>AA167-AA169</f>
        <v/>
      </c>
      <c r="AB170" s="55">
        <f>AB167-AB169</f>
        <v/>
      </c>
      <c r="AC170" s="55">
        <f>AC167-AC169</f>
        <v/>
      </c>
      <c r="AD170" s="55">
        <f>AD167-AD169</f>
        <v/>
      </c>
      <c r="AE170" s="55">
        <f>AE167-AE169</f>
        <v/>
      </c>
    </row>
    <row r="171">
      <c r="A171"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72">
      <c r="A172" s="6" t="inlineStr">
        <is>
          <t>CHECK: paying + holders = cumulative ever acquired</t>
        </is>
      </c>
      <c r="B172" s="23" t="inlineStr">
        <is>
          <t>delta</t>
        </is>
      </c>
      <c r="C172" s="60">
        <f>C154+C155-C156</f>
        <v/>
      </c>
      <c r="D172" s="60">
        <f>D154+D155-D156</f>
        <v/>
      </c>
      <c r="E172" s="60">
        <f>E154+E155-E156</f>
        <v/>
      </c>
      <c r="F172" s="60">
        <f>F154+F155-F156</f>
        <v/>
      </c>
      <c r="G172" s="60">
        <f>G154+G155-G156</f>
        <v/>
      </c>
      <c r="H172" s="60">
        <f>H154+H155-H156</f>
        <v/>
      </c>
      <c r="I172" s="60">
        <f>I154+I155-I156</f>
        <v/>
      </c>
      <c r="J172" s="60">
        <f>J154+J155-J156</f>
        <v/>
      </c>
      <c r="K172" s="60">
        <f>K154+K155-K156</f>
        <v/>
      </c>
      <c r="L172" s="60">
        <f>L154+L155-L156</f>
        <v/>
      </c>
      <c r="M172" s="60">
        <f>M154+M155-M156</f>
        <v/>
      </c>
      <c r="N172" s="60">
        <f>N154+N155-N156</f>
        <v/>
      </c>
      <c r="O172" s="60">
        <f>O154+O155-O156</f>
        <v/>
      </c>
      <c r="P172" s="60">
        <f>P154+P155-P156</f>
        <v/>
      </c>
      <c r="Q172" s="60">
        <f>Q154+Q155-Q156</f>
        <v/>
      </c>
      <c r="R172" s="60">
        <f>R154+R155-R156</f>
        <v/>
      </c>
      <c r="S172" s="60">
        <f>S154+S155-S156</f>
        <v/>
      </c>
      <c r="T172" s="60">
        <f>T154+T155-T156</f>
        <v/>
      </c>
      <c r="U172" s="60">
        <f>U154+U155-U156</f>
        <v/>
      </c>
      <c r="V172" s="60">
        <f>V154+V155-V156</f>
        <v/>
      </c>
      <c r="W172" s="60">
        <f>W154+W155-W156</f>
        <v/>
      </c>
      <c r="X172" s="60">
        <f>X154+X155-X156</f>
        <v/>
      </c>
      <c r="Y172" s="60">
        <f>Y154+Y155-Y156</f>
        <v/>
      </c>
      <c r="Z172" s="60">
        <f>Z154+Z155-Z156</f>
        <v/>
      </c>
      <c r="AA172" s="60">
        <f>AA154+AA155-AA156</f>
        <v/>
      </c>
      <c r="AB172" s="60">
        <f>AB154+AB155-AB156</f>
        <v/>
      </c>
      <c r="AC172" s="60">
        <f>AC154+AC155-AC156</f>
        <v/>
      </c>
      <c r="AD172" s="60">
        <f>AD154+AD155-AD156</f>
        <v/>
      </c>
      <c r="AE172" s="60">
        <f>AE154+AE155-AE156</f>
        <v/>
      </c>
    </row>
    <row r="173">
      <c r="A173" s="6" t="inlineStr">
        <is>
          <t>CHECK: custody &gt;= collateral-eligible (must be &gt;= 0)</t>
        </is>
      </c>
      <c r="B173" s="23" t="inlineStr">
        <is>
          <t>grams</t>
        </is>
      </c>
      <c r="C173" s="60">
        <f>C160-C159</f>
        <v/>
      </c>
      <c r="D173" s="60">
        <f>D160-D159</f>
        <v/>
      </c>
      <c r="E173" s="60">
        <f>E160-E159</f>
        <v/>
      </c>
      <c r="F173" s="60">
        <f>F160-F159</f>
        <v/>
      </c>
      <c r="G173" s="60">
        <f>G160-G159</f>
        <v/>
      </c>
      <c r="H173" s="60">
        <f>H160-H159</f>
        <v/>
      </c>
      <c r="I173" s="60">
        <f>I160-I159</f>
        <v/>
      </c>
      <c r="J173" s="60">
        <f>J160-J159</f>
        <v/>
      </c>
      <c r="K173" s="60">
        <f>K160-K159</f>
        <v/>
      </c>
      <c r="L173" s="60">
        <f>L160-L159</f>
        <v/>
      </c>
      <c r="M173" s="60">
        <f>M160-M159</f>
        <v/>
      </c>
      <c r="N173" s="60">
        <f>N160-N159</f>
        <v/>
      </c>
      <c r="O173" s="60">
        <f>O160-O159</f>
        <v/>
      </c>
      <c r="P173" s="60">
        <f>P160-P159</f>
        <v/>
      </c>
      <c r="Q173" s="60">
        <f>Q160-Q159</f>
        <v/>
      </c>
      <c r="R173" s="60">
        <f>R160-R159</f>
        <v/>
      </c>
      <c r="S173" s="60">
        <f>S160-S159</f>
        <v/>
      </c>
      <c r="T173" s="60">
        <f>T160-T159</f>
        <v/>
      </c>
      <c r="U173" s="60">
        <f>U160-U159</f>
        <v/>
      </c>
      <c r="V173" s="60">
        <f>V160-V159</f>
        <v/>
      </c>
      <c r="W173" s="60">
        <f>W160-W159</f>
        <v/>
      </c>
      <c r="X173" s="60">
        <f>X160-X159</f>
        <v/>
      </c>
      <c r="Y173" s="60">
        <f>Y160-Y159</f>
        <v/>
      </c>
      <c r="Z173" s="60">
        <f>Z160-Z159</f>
        <v/>
      </c>
      <c r="AA173" s="60">
        <f>AA160-AA159</f>
        <v/>
      </c>
      <c r="AB173" s="60">
        <f>AB160-AB159</f>
        <v/>
      </c>
      <c r="AC173" s="60">
        <f>AC160-AC159</f>
        <v/>
      </c>
      <c r="AD173" s="60">
        <f>AD160-AD159</f>
        <v/>
      </c>
      <c r="AE173" s="60">
        <f>AE160-AE159</f>
        <v/>
      </c>
    </row>
    <row r="174">
      <c r="A174" s="6" t="inlineStr">
        <is>
          <t xml:space="preserve">  Collateral-eligible AUM per paying customer (memo)</t>
        </is>
      </c>
      <c r="B174" s="23" t="inlineStr">
        <is>
          <t>USD</t>
        </is>
      </c>
      <c r="C174" s="55">
        <f>IF(C154=0,0,C162/C154)</f>
        <v/>
      </c>
      <c r="D174" s="55">
        <f>IF(D154=0,0,D162/D154)</f>
        <v/>
      </c>
      <c r="E174" s="55">
        <f>IF(E154=0,0,E162/E154)</f>
        <v/>
      </c>
      <c r="F174" s="55">
        <f>IF(F154=0,0,F162/F154)</f>
        <v/>
      </c>
      <c r="G174" s="55">
        <f>IF(G154=0,0,G162/G154)</f>
        <v/>
      </c>
      <c r="H174" s="55">
        <f>IF(H154=0,0,H162/H154)</f>
        <v/>
      </c>
      <c r="I174" s="55">
        <f>IF(I154=0,0,I162/I154)</f>
        <v/>
      </c>
      <c r="J174" s="55">
        <f>IF(J154=0,0,J162/J154)</f>
        <v/>
      </c>
      <c r="K174" s="55">
        <f>IF(K154=0,0,K162/K154)</f>
        <v/>
      </c>
      <c r="L174" s="55">
        <f>IF(L154=0,0,L162/L154)</f>
        <v/>
      </c>
      <c r="M174" s="55">
        <f>IF(M154=0,0,M162/M154)</f>
        <v/>
      </c>
      <c r="N174" s="55">
        <f>IF(N154=0,0,N162/N154)</f>
        <v/>
      </c>
      <c r="O174" s="55">
        <f>IF(O154=0,0,O162/O154)</f>
        <v/>
      </c>
      <c r="P174" s="55">
        <f>IF(P154=0,0,P162/P154)</f>
        <v/>
      </c>
      <c r="Q174" s="55">
        <f>IF(Q154=0,0,Q162/Q154)</f>
        <v/>
      </c>
      <c r="R174" s="55">
        <f>IF(R154=0,0,R162/R154)</f>
        <v/>
      </c>
      <c r="S174" s="55">
        <f>IF(S154=0,0,S162/S154)</f>
        <v/>
      </c>
      <c r="T174" s="55">
        <f>IF(T154=0,0,T162/T154)</f>
        <v/>
      </c>
      <c r="U174" s="55">
        <f>IF(U154=0,0,U162/U154)</f>
        <v/>
      </c>
      <c r="V174" s="55">
        <f>IF(V154=0,0,V162/V154)</f>
        <v/>
      </c>
      <c r="W174" s="55">
        <f>IF(W154=0,0,W162/W154)</f>
        <v/>
      </c>
      <c r="X174" s="55">
        <f>IF(X154=0,0,X162/X154)</f>
        <v/>
      </c>
      <c r="Y174" s="55">
        <f>IF(Y154=0,0,Y162/Y154)</f>
        <v/>
      </c>
      <c r="Z174" s="55">
        <f>IF(Z154=0,0,Z162/Z154)</f>
        <v/>
      </c>
      <c r="AA174" s="55">
        <f>IF(AA154=0,0,AA162/AA154)</f>
        <v/>
      </c>
      <c r="AB174" s="55">
        <f>IF(AB154=0,0,AB162/AB154)</f>
        <v/>
      </c>
      <c r="AC174" s="55">
        <f>IF(AC154=0,0,AC162/AC154)</f>
        <v/>
      </c>
      <c r="AD174" s="55">
        <f>IF(AD154=0,0,AD162/AD154)</f>
        <v/>
      </c>
      <c r="AE174" s="55">
        <f>IF(AE154=0,0,AE162/AE154)</f>
        <v/>
      </c>
    </row>
    <row r="175">
      <c r="A175" s="6" t="inlineStr">
        <is>
          <t xml:space="preserve">  Total credit capacity across cardholders (memo)</t>
        </is>
      </c>
      <c r="B175" s="23" t="inlineStr">
        <is>
          <t>USD</t>
        </is>
      </c>
      <c r="C175" s="55">
        <f>C43*C46+C85*C88+C127*C130</f>
        <v/>
      </c>
      <c r="D175" s="55">
        <f>D43*D46+D85*D88+D127*D130</f>
        <v/>
      </c>
      <c r="E175" s="55">
        <f>E43*E46+E85*E88+E127*E130</f>
        <v/>
      </c>
      <c r="F175" s="55">
        <f>F43*F46+F85*F88+F127*F130</f>
        <v/>
      </c>
      <c r="G175" s="55">
        <f>G43*G46+G85*G88+G127*G130</f>
        <v/>
      </c>
      <c r="H175" s="55">
        <f>H43*H46+H85*H88+H127*H130</f>
        <v/>
      </c>
      <c r="I175" s="55">
        <f>I43*I46+I85*I88+I127*I130</f>
        <v/>
      </c>
      <c r="J175" s="55">
        <f>J43*J46+J85*J88+J127*J130</f>
        <v/>
      </c>
      <c r="K175" s="55">
        <f>K43*K46+K85*K88+K127*K130</f>
        <v/>
      </c>
      <c r="L175" s="55">
        <f>L43*L46+L85*L88+L127*L130</f>
        <v/>
      </c>
      <c r="M175" s="55">
        <f>M43*M46+M85*M88+M127*M130</f>
        <v/>
      </c>
      <c r="N175" s="55">
        <f>N43*N46+N85*N88+N127*N130</f>
        <v/>
      </c>
      <c r="O175" s="55">
        <f>O43*O46+O85*O88+O127*O130</f>
        <v/>
      </c>
      <c r="P175" s="55">
        <f>P43*P46+P85*P88+P127*P130</f>
        <v/>
      </c>
      <c r="Q175" s="55">
        <f>Q43*Q46+Q85*Q88+Q127*Q130</f>
        <v/>
      </c>
      <c r="R175" s="55">
        <f>R43*R46+R85*R88+R127*R130</f>
        <v/>
      </c>
      <c r="S175" s="55">
        <f>S43*S46+S85*S88+S127*S130</f>
        <v/>
      </c>
      <c r="T175" s="55">
        <f>T43*T46+T85*T88+T127*T130</f>
        <v/>
      </c>
      <c r="U175" s="55">
        <f>U43*U46+U85*U88+U127*U130</f>
        <v/>
      </c>
      <c r="V175" s="55">
        <f>V43*V46+V85*V88+V127*V130</f>
        <v/>
      </c>
      <c r="W175" s="55">
        <f>W43*W46+W85*W88+W127*W130</f>
        <v/>
      </c>
      <c r="X175" s="55">
        <f>X43*X46+X85*X88+X127*X130</f>
        <v/>
      </c>
      <c r="Y175" s="55">
        <f>Y43*Y46+Y85*Y88+Y127*Y130</f>
        <v/>
      </c>
      <c r="Z175" s="55">
        <f>Z43*Z46+Z85*Z88+Z127*Z130</f>
        <v/>
      </c>
      <c r="AA175" s="55">
        <f>AA43*AA46+AA85*AA88+AA127*AA130</f>
        <v/>
      </c>
      <c r="AB175" s="55">
        <f>AB43*AB46+AB85*AB88+AB127*AB130</f>
        <v/>
      </c>
      <c r="AC175" s="55">
        <f>AC43*AC46+AC85*AC88+AC127*AC130</f>
        <v/>
      </c>
      <c r="AD175" s="55">
        <f>AD43*AD46+AD85*AD88+AD127*AD130</f>
        <v/>
      </c>
      <c r="AE175" s="55">
        <f>AE43*AE46+AE85*AE88+AE127*AE130</f>
        <v/>
      </c>
    </row>
    <row r="176">
      <c r="A176" s="6" t="inlineStr">
        <is>
          <t xml:space="preserve">  CHECK: card spend vs credit capacity (must be &lt;= 1.00)</t>
        </is>
      </c>
      <c r="B176" s="23" t="inlineStr">
        <is>
          <t>x</t>
        </is>
      </c>
      <c r="C176" s="61">
        <f>IF(C175=0,0,((C50+C92+C134)/C7)/C175)</f>
        <v/>
      </c>
      <c r="D176" s="61">
        <f>IF(D175=0,0,((D50+D92+D134)/D7)/D175)</f>
        <v/>
      </c>
      <c r="E176" s="61">
        <f>IF(E175=0,0,((E50+E92+E134)/E7)/E175)</f>
        <v/>
      </c>
      <c r="F176" s="61">
        <f>IF(F175=0,0,((F50+F92+F134)/F7)/F175)</f>
        <v/>
      </c>
      <c r="G176" s="61">
        <f>IF(G175=0,0,((G50+G92+G134)/G7)/G175)</f>
        <v/>
      </c>
      <c r="H176" s="61">
        <f>IF(H175=0,0,((H50+H92+H134)/H7)/H175)</f>
        <v/>
      </c>
      <c r="I176" s="61">
        <f>IF(I175=0,0,((I50+I92+I134)/I7)/I175)</f>
        <v/>
      </c>
      <c r="J176" s="61">
        <f>IF(J175=0,0,((J50+J92+J134)/J7)/J175)</f>
        <v/>
      </c>
      <c r="K176" s="61">
        <f>IF(K175=0,0,((K50+K92+K134)/K7)/K175)</f>
        <v/>
      </c>
      <c r="L176" s="61">
        <f>IF(L175=0,0,((L50+L92+L134)/L7)/L175)</f>
        <v/>
      </c>
      <c r="M176" s="61">
        <f>IF(M175=0,0,((M50+M92+M134)/M7)/M175)</f>
        <v/>
      </c>
      <c r="N176" s="61">
        <f>IF(N175=0,0,((N50+N92+N134)/N7)/N175)</f>
        <v/>
      </c>
      <c r="O176" s="61">
        <f>IF(O175=0,0,((O50+O92+O134)/O7)/O175)</f>
        <v/>
      </c>
      <c r="P176" s="61">
        <f>IF(P175=0,0,((P50+P92+P134)/P7)/P175)</f>
        <v/>
      </c>
      <c r="Q176" s="61">
        <f>IF(Q175=0,0,((Q50+Q92+Q134)/Q7)/Q175)</f>
        <v/>
      </c>
      <c r="R176" s="61">
        <f>IF(R175=0,0,((R50+R92+R134)/R7)/R175)</f>
        <v/>
      </c>
      <c r="S176" s="61">
        <f>IF(S175=0,0,((S50+S92+S134)/S7)/S175)</f>
        <v/>
      </c>
      <c r="T176" s="61">
        <f>IF(T175=0,0,((T50+T92+T134)/T7)/T175)</f>
        <v/>
      </c>
      <c r="U176" s="61">
        <f>IF(U175=0,0,((U50+U92+U134)/U7)/U175)</f>
        <v/>
      </c>
      <c r="V176" s="61">
        <f>IF(V175=0,0,((V50+V92+V134)/V7)/V175)</f>
        <v/>
      </c>
      <c r="W176" s="61">
        <f>IF(W175=0,0,((W50+W92+W134)/W7)/W175)</f>
        <v/>
      </c>
      <c r="X176" s="61">
        <f>IF(X175=0,0,((X50+X92+X134)/X7)/X175)</f>
        <v/>
      </c>
      <c r="Y176" s="61">
        <f>IF(Y175=0,0,((Y50+Y92+Y134)/Y7)/Y175)</f>
        <v/>
      </c>
      <c r="Z176" s="61">
        <f>IF(Z175=0,0,((Z50+Z92+Z134)/Z7)/Z175)</f>
        <v/>
      </c>
      <c r="AA176" s="61">
        <f>IF(AA175=0,0,((AA50+AA92+AA134)/AA7)/AA175)</f>
        <v/>
      </c>
      <c r="AB176" s="61">
        <f>IF(AB175=0,0,((AB50+AB92+AB134)/AB7)/AB175)</f>
        <v/>
      </c>
      <c r="AC176" s="61">
        <f>IF(AC175=0,0,((AC50+AC92+AC134)/AC7)/AC175)</f>
        <v/>
      </c>
      <c r="AD176" s="61">
        <f>IF(AD175=0,0,((AD50+AD92+AD134)/AD7)/AD175)</f>
        <v/>
      </c>
      <c r="AE176" s="61">
        <f>IF(AE175=0,0,((AE50+AE92+AE134)/AE7)/AE175)</f>
        <v/>
      </c>
    </row>
    <row r="178" ht="18" customHeight="1">
      <c r="A178" s="12" t="inlineStr">
        <is>
          <t>SERVICING LOAD - reported, not capped</t>
        </is>
      </c>
      <c r="B178" s="13" t="n"/>
      <c r="C178" s="13" t="n"/>
      <c r="D178" s="13" t="n"/>
      <c r="E178" s="13" t="n"/>
      <c r="F178" s="13" t="n"/>
      <c r="G178" s="13" t="n"/>
      <c r="H178" s="13" t="n"/>
    </row>
    <row r="179">
      <c r="A179" s="6" t="inlineStr">
        <is>
          <t xml:space="preserve">  Paying customers per agent - UAE</t>
        </is>
      </c>
      <c r="B179" s="23" t="inlineStr">
        <is>
          <t>customers</t>
        </is>
      </c>
      <c r="C179" s="54">
        <f>IF(C25=0,0,C29/(C25/Assumptions!$B$134/C7))</f>
        <v/>
      </c>
      <c r="D179" s="54">
        <f>IF(D25=0,0,D29/(D25/Assumptions!$B$134/D7))</f>
        <v/>
      </c>
      <c r="E179" s="54">
        <f>IF(E25=0,0,E29/(E25/Assumptions!$B$134/E7))</f>
        <v/>
      </c>
      <c r="F179" s="54">
        <f>IF(F25=0,0,F29/(F25/Assumptions!$B$134/F7))</f>
        <v/>
      </c>
      <c r="G179" s="54">
        <f>IF(G25=0,0,G29/(G25/Assumptions!$B$134/G7))</f>
        <v/>
      </c>
      <c r="H179" s="54">
        <f>IF(H25=0,0,H29/(H25/Assumptions!$B$134/H7))</f>
        <v/>
      </c>
      <c r="I179" s="54">
        <f>IF(I25=0,0,I29/(I25/Assumptions!$B$134/I7))</f>
        <v/>
      </c>
      <c r="J179" s="54">
        <f>IF(J25=0,0,J29/(J25/Assumptions!$B$134/J7))</f>
        <v/>
      </c>
      <c r="K179" s="54">
        <f>IF(K25=0,0,K29/(K25/Assumptions!$B$134/K7))</f>
        <v/>
      </c>
      <c r="L179" s="54">
        <f>IF(L25=0,0,L29/(L25/Assumptions!$B$134/L7))</f>
        <v/>
      </c>
      <c r="M179" s="54">
        <f>IF(M25=0,0,M29/(M25/Assumptions!$B$134/M7))</f>
        <v/>
      </c>
      <c r="N179" s="54">
        <f>IF(N25=0,0,N29/(N25/Assumptions!$B$134/N7))</f>
        <v/>
      </c>
      <c r="O179" s="54">
        <f>IF(O25=0,0,O29/(O25/Assumptions!$B$134/O7))</f>
        <v/>
      </c>
      <c r="P179" s="54">
        <f>IF(P25=0,0,P29/(P25/Assumptions!$B$134/P7))</f>
        <v/>
      </c>
      <c r="Q179" s="54">
        <f>IF(Q25=0,0,Q29/(Q25/Assumptions!$B$134/Q7))</f>
        <v/>
      </c>
      <c r="R179" s="54">
        <f>IF(R25=0,0,R29/(R25/Assumptions!$B$134/R7))</f>
        <v/>
      </c>
      <c r="S179" s="54">
        <f>IF(S25=0,0,S29/(S25/Assumptions!$B$134/S7))</f>
        <v/>
      </c>
      <c r="T179" s="54">
        <f>IF(T25=0,0,T29/(T25/Assumptions!$B$134/T7))</f>
        <v/>
      </c>
      <c r="U179" s="54">
        <f>IF(U25=0,0,U29/(U25/Assumptions!$B$134/U7))</f>
        <v/>
      </c>
      <c r="V179" s="54">
        <f>IF(V25=0,0,V29/(V25/Assumptions!$B$134/V7))</f>
        <v/>
      </c>
      <c r="W179" s="54">
        <f>IF(W25=0,0,W29/(W25/Assumptions!$B$134/W7))</f>
        <v/>
      </c>
      <c r="X179" s="54">
        <f>IF(X25=0,0,X29/(X25/Assumptions!$B$134/X7))</f>
        <v/>
      </c>
      <c r="Y179" s="54">
        <f>IF(Y25=0,0,Y29/(Y25/Assumptions!$B$134/Y7))</f>
        <v/>
      </c>
      <c r="Z179" s="54">
        <f>IF(Z25=0,0,Z29/(Z25/Assumptions!$B$134/Z7))</f>
        <v/>
      </c>
      <c r="AA179" s="54">
        <f>IF(AA25=0,0,AA29/(AA25/Assumptions!$B$134/AA7))</f>
        <v/>
      </c>
      <c r="AB179" s="54">
        <f>IF(AB25=0,0,AB29/(AB25/Assumptions!$B$134/AB7))</f>
        <v/>
      </c>
      <c r="AC179" s="54">
        <f>IF(AC25=0,0,AC29/(AC25/Assumptions!$B$134/AC7))</f>
        <v/>
      </c>
      <c r="AD179" s="54">
        <f>IF(AD25=0,0,AD29/(AD25/Assumptions!$B$134/AD7))</f>
        <v/>
      </c>
      <c r="AE179" s="54">
        <f>IF(AE25=0,0,AE29/(AE25/Assumptions!$B$134/AE7))</f>
        <v/>
      </c>
    </row>
    <row r="180">
      <c r="A180" s="6" t="inlineStr">
        <is>
          <t xml:space="preserve">  Paying customers per agent - Oman and Bahrain</t>
        </is>
      </c>
      <c r="B180" s="23" t="inlineStr">
        <is>
          <t>customers</t>
        </is>
      </c>
      <c r="C180" s="54">
        <f>IF(C67=0,0,C71/(C67/Assumptions!$B$134/C7))</f>
        <v/>
      </c>
      <c r="D180" s="54">
        <f>IF(D67=0,0,D71/(D67/Assumptions!$B$134/D7))</f>
        <v/>
      </c>
      <c r="E180" s="54">
        <f>IF(E67=0,0,E71/(E67/Assumptions!$B$134/E7))</f>
        <v/>
      </c>
      <c r="F180" s="54">
        <f>IF(F67=0,0,F71/(F67/Assumptions!$B$134/F7))</f>
        <v/>
      </c>
      <c r="G180" s="54">
        <f>IF(G67=0,0,G71/(G67/Assumptions!$B$134/G7))</f>
        <v/>
      </c>
      <c r="H180" s="54">
        <f>IF(H67=0,0,H71/(H67/Assumptions!$B$134/H7))</f>
        <v/>
      </c>
      <c r="I180" s="54">
        <f>IF(I67=0,0,I71/(I67/Assumptions!$B$134/I7))</f>
        <v/>
      </c>
      <c r="J180" s="54">
        <f>IF(J67=0,0,J71/(J67/Assumptions!$B$134/J7))</f>
        <v/>
      </c>
      <c r="K180" s="54">
        <f>IF(K67=0,0,K71/(K67/Assumptions!$B$134/K7))</f>
        <v/>
      </c>
      <c r="L180" s="54">
        <f>IF(L67=0,0,L71/(L67/Assumptions!$B$134/L7))</f>
        <v/>
      </c>
      <c r="M180" s="54">
        <f>IF(M67=0,0,M71/(M67/Assumptions!$B$134/M7))</f>
        <v/>
      </c>
      <c r="N180" s="54">
        <f>IF(N67=0,0,N71/(N67/Assumptions!$B$134/N7))</f>
        <v/>
      </c>
      <c r="O180" s="54">
        <f>IF(O67=0,0,O71/(O67/Assumptions!$B$134/O7))</f>
        <v/>
      </c>
      <c r="P180" s="54">
        <f>IF(P67=0,0,P71/(P67/Assumptions!$B$134/P7))</f>
        <v/>
      </c>
      <c r="Q180" s="54">
        <f>IF(Q67=0,0,Q71/(Q67/Assumptions!$B$134/Q7))</f>
        <v/>
      </c>
      <c r="R180" s="54">
        <f>IF(R67=0,0,R71/(R67/Assumptions!$B$134/R7))</f>
        <v/>
      </c>
      <c r="S180" s="54">
        <f>IF(S67=0,0,S71/(S67/Assumptions!$B$134/S7))</f>
        <v/>
      </c>
      <c r="T180" s="54">
        <f>IF(T67=0,0,T71/(T67/Assumptions!$B$134/T7))</f>
        <v/>
      </c>
      <c r="U180" s="54">
        <f>IF(U67=0,0,U71/(U67/Assumptions!$B$134/U7))</f>
        <v/>
      </c>
      <c r="V180" s="54">
        <f>IF(V67=0,0,V71/(V67/Assumptions!$B$134/V7))</f>
        <v/>
      </c>
      <c r="W180" s="54">
        <f>IF(W67=0,0,W71/(W67/Assumptions!$B$134/W7))</f>
        <v/>
      </c>
      <c r="X180" s="54">
        <f>IF(X67=0,0,X71/(X67/Assumptions!$B$134/X7))</f>
        <v/>
      </c>
      <c r="Y180" s="54">
        <f>IF(Y67=0,0,Y71/(Y67/Assumptions!$B$134/Y7))</f>
        <v/>
      </c>
      <c r="Z180" s="54">
        <f>IF(Z67=0,0,Z71/(Z67/Assumptions!$B$134/Z7))</f>
        <v/>
      </c>
      <c r="AA180" s="54">
        <f>IF(AA67=0,0,AA71/(AA67/Assumptions!$B$134/AA7))</f>
        <v/>
      </c>
      <c r="AB180" s="54">
        <f>IF(AB67=0,0,AB71/(AB67/Assumptions!$B$134/AB7))</f>
        <v/>
      </c>
      <c r="AC180" s="54">
        <f>IF(AC67=0,0,AC71/(AC67/Assumptions!$B$134/AC7))</f>
        <v/>
      </c>
      <c r="AD180" s="54">
        <f>IF(AD67=0,0,AD71/(AD67/Assumptions!$B$134/AD7))</f>
        <v/>
      </c>
      <c r="AE180" s="54">
        <f>IF(AE67=0,0,AE71/(AE67/Assumptions!$B$134/AE7))</f>
        <v/>
      </c>
    </row>
    <row r="181">
      <c r="A181" s="6" t="inlineStr">
        <is>
          <t xml:space="preserve">  Paying customers per agent - India</t>
        </is>
      </c>
      <c r="B181" s="23" t="inlineStr">
        <is>
          <t>customers</t>
        </is>
      </c>
      <c r="C181" s="54">
        <f>IF(C109=0,0,C113/(C109/Assumptions!$B$134/C7))</f>
        <v/>
      </c>
      <c r="D181" s="54">
        <f>IF(D109=0,0,D113/(D109/Assumptions!$B$134/D7))</f>
        <v/>
      </c>
      <c r="E181" s="54">
        <f>IF(E109=0,0,E113/(E109/Assumptions!$B$134/E7))</f>
        <v/>
      </c>
      <c r="F181" s="54">
        <f>IF(F109=0,0,F113/(F109/Assumptions!$B$134/F7))</f>
        <v/>
      </c>
      <c r="G181" s="54">
        <f>IF(G109=0,0,G113/(G109/Assumptions!$B$134/G7))</f>
        <v/>
      </c>
      <c r="H181" s="54">
        <f>IF(H109=0,0,H113/(H109/Assumptions!$B$134/H7))</f>
        <v/>
      </c>
      <c r="I181" s="54">
        <f>IF(I109=0,0,I113/(I109/Assumptions!$B$134/I7))</f>
        <v/>
      </c>
      <c r="J181" s="54">
        <f>IF(J109=0,0,J113/(J109/Assumptions!$B$134/J7))</f>
        <v/>
      </c>
      <c r="K181" s="54">
        <f>IF(K109=0,0,K113/(K109/Assumptions!$B$134/K7))</f>
        <v/>
      </c>
      <c r="L181" s="54">
        <f>IF(L109=0,0,L113/(L109/Assumptions!$B$134/L7))</f>
        <v/>
      </c>
      <c r="M181" s="54">
        <f>IF(M109=0,0,M113/(M109/Assumptions!$B$134/M7))</f>
        <v/>
      </c>
      <c r="N181" s="54">
        <f>IF(N109=0,0,N113/(N109/Assumptions!$B$134/N7))</f>
        <v/>
      </c>
      <c r="O181" s="54">
        <f>IF(O109=0,0,O113/(O109/Assumptions!$B$134/O7))</f>
        <v/>
      </c>
      <c r="P181" s="54">
        <f>IF(P109=0,0,P113/(P109/Assumptions!$B$134/P7))</f>
        <v/>
      </c>
      <c r="Q181" s="54">
        <f>IF(Q109=0,0,Q113/(Q109/Assumptions!$B$134/Q7))</f>
        <v/>
      </c>
      <c r="R181" s="54">
        <f>IF(R109=0,0,R113/(R109/Assumptions!$B$134/R7))</f>
        <v/>
      </c>
      <c r="S181" s="54">
        <f>IF(S109=0,0,S113/(S109/Assumptions!$B$134/S7))</f>
        <v/>
      </c>
      <c r="T181" s="54">
        <f>IF(T109=0,0,T113/(T109/Assumptions!$B$134/T7))</f>
        <v/>
      </c>
      <c r="U181" s="54">
        <f>IF(U109=0,0,U113/(U109/Assumptions!$B$134/U7))</f>
        <v/>
      </c>
      <c r="V181" s="54">
        <f>IF(V109=0,0,V113/(V109/Assumptions!$B$134/V7))</f>
        <v/>
      </c>
      <c r="W181" s="54">
        <f>IF(W109=0,0,W113/(W109/Assumptions!$B$134/W7))</f>
        <v/>
      </c>
      <c r="X181" s="54">
        <f>IF(X109=0,0,X113/(X109/Assumptions!$B$134/X7))</f>
        <v/>
      </c>
      <c r="Y181" s="54">
        <f>IF(Y109=0,0,Y113/(Y109/Assumptions!$B$134/Y7))</f>
        <v/>
      </c>
      <c r="Z181" s="54">
        <f>IF(Z109=0,0,Z113/(Z109/Assumptions!$B$134/Z7))</f>
        <v/>
      </c>
      <c r="AA181" s="54">
        <f>IF(AA109=0,0,AA113/(AA109/Assumptions!$B$134/AA7))</f>
        <v/>
      </c>
      <c r="AB181" s="54">
        <f>IF(AB109=0,0,AB113/(AB109/Assumptions!$B$134/AB7))</f>
        <v/>
      </c>
      <c r="AC181" s="54">
        <f>IF(AC109=0,0,AC113/(AC109/Assumptions!$B$134/AC7))</f>
        <v/>
      </c>
      <c r="AD181" s="54">
        <f>IF(AD109=0,0,AD113/(AD109/Assumptions!$B$134/AD7))</f>
        <v/>
      </c>
      <c r="AE181" s="54">
        <f>IF(AE109=0,0,AE113/(AE109/Assumptions!$B$134/AE7))</f>
        <v/>
      </c>
    </row>
    <row r="182">
      <c r="A182" s="9" t="inlineStr">
        <is>
          <t>Blank where a region has no agents, which is UAE and Oman &amp; Bahrain by design. Compare against 345-550 (microfinance loan officer, heavy weekly servicing) and ~2,335 (Bank Mitra, on-demand servicing). Aurumix's servicing is lighter than either, so a high number here is not automatically wrong - but it should be a decision rather than an accident.</t>
        </is>
      </c>
    </row>
    <row r="184">
      <c r="A184" s="6" t="inlineStr">
        <is>
          <t>Stream 1a - Entry fee, SIP</t>
        </is>
      </c>
      <c r="B184" s="23" t="inlineStr">
        <is>
          <t>USD</t>
        </is>
      </c>
      <c r="C184" s="55">
        <f>C53+C95+C137</f>
        <v/>
      </c>
      <c r="D184" s="55">
        <f>D53+D95+D137</f>
        <v/>
      </c>
      <c r="E184" s="55">
        <f>E53+E95+E137</f>
        <v/>
      </c>
      <c r="F184" s="55">
        <f>F53+F95+F137</f>
        <v/>
      </c>
      <c r="G184" s="55">
        <f>G53+G95+G137</f>
        <v/>
      </c>
      <c r="H184" s="55">
        <f>H53+H95+H137</f>
        <v/>
      </c>
      <c r="I184" s="55">
        <f>I53+I95+I137</f>
        <v/>
      </c>
      <c r="J184" s="55">
        <f>J53+J95+J137</f>
        <v/>
      </c>
      <c r="K184" s="55">
        <f>K53+K95+K137</f>
        <v/>
      </c>
      <c r="L184" s="55">
        <f>L53+L95+L137</f>
        <v/>
      </c>
      <c r="M184" s="55">
        <f>M53+M95+M137</f>
        <v/>
      </c>
      <c r="N184" s="55">
        <f>N53+N95+N137</f>
        <v/>
      </c>
      <c r="O184" s="55">
        <f>O53+O95+O137</f>
        <v/>
      </c>
      <c r="P184" s="55">
        <f>P53+P95+P137</f>
        <v/>
      </c>
      <c r="Q184" s="55">
        <f>Q53+Q95+Q137</f>
        <v/>
      </c>
      <c r="R184" s="55">
        <f>R53+R95+R137</f>
        <v/>
      </c>
      <c r="S184" s="55">
        <f>S53+S95+S137</f>
        <v/>
      </c>
      <c r="T184" s="55">
        <f>T53+T95+T137</f>
        <v/>
      </c>
      <c r="U184" s="55">
        <f>U53+U95+U137</f>
        <v/>
      </c>
      <c r="V184" s="55">
        <f>V53+V95+V137</f>
        <v/>
      </c>
      <c r="W184" s="55">
        <f>W53+W95+W137</f>
        <v/>
      </c>
      <c r="X184" s="55">
        <f>X53+X95+X137</f>
        <v/>
      </c>
      <c r="Y184" s="55">
        <f>Y53+Y95+Y137</f>
        <v/>
      </c>
      <c r="Z184" s="55">
        <f>Z53+Z95+Z137</f>
        <v/>
      </c>
      <c r="AA184" s="55">
        <f>AA53+AA95+AA137</f>
        <v/>
      </c>
      <c r="AB184" s="55">
        <f>AB53+AB95+AB137</f>
        <v/>
      </c>
      <c r="AC184" s="55">
        <f>AC53+AC95+AC137</f>
        <v/>
      </c>
      <c r="AD184" s="55">
        <f>AD53+AD95+AD137</f>
        <v/>
      </c>
      <c r="AE184" s="55">
        <f>AE53+AE95+AE137</f>
        <v/>
      </c>
    </row>
    <row r="185">
      <c r="A185" s="6" t="inlineStr">
        <is>
          <t>Stream 1b - Entry fee, SPOT</t>
        </is>
      </c>
      <c r="B185" s="23" t="inlineStr">
        <is>
          <t>USD</t>
        </is>
      </c>
      <c r="C185" s="55">
        <f>C54+C96+C138</f>
        <v/>
      </c>
      <c r="D185" s="55">
        <f>D54+D96+D138</f>
        <v/>
      </c>
      <c r="E185" s="55">
        <f>E54+E96+E138</f>
        <v/>
      </c>
      <c r="F185" s="55">
        <f>F54+F96+F138</f>
        <v/>
      </c>
      <c r="G185" s="55">
        <f>G54+G96+G138</f>
        <v/>
      </c>
      <c r="H185" s="55">
        <f>H54+H96+H138</f>
        <v/>
      </c>
      <c r="I185" s="55">
        <f>I54+I96+I138</f>
        <v/>
      </c>
      <c r="J185" s="55">
        <f>J54+J96+J138</f>
        <v/>
      </c>
      <c r="K185" s="55">
        <f>K54+K96+K138</f>
        <v/>
      </c>
      <c r="L185" s="55">
        <f>L54+L96+L138</f>
        <v/>
      </c>
      <c r="M185" s="55">
        <f>M54+M96+M138</f>
        <v/>
      </c>
      <c r="N185" s="55">
        <f>N54+N96+N138</f>
        <v/>
      </c>
      <c r="O185" s="55">
        <f>O54+O96+O138</f>
        <v/>
      </c>
      <c r="P185" s="55">
        <f>P54+P96+P138</f>
        <v/>
      </c>
      <c r="Q185" s="55">
        <f>Q54+Q96+Q138</f>
        <v/>
      </c>
      <c r="R185" s="55">
        <f>R54+R96+R138</f>
        <v/>
      </c>
      <c r="S185" s="55">
        <f>S54+S96+S138</f>
        <v/>
      </c>
      <c r="T185" s="55">
        <f>T54+T96+T138</f>
        <v/>
      </c>
      <c r="U185" s="55">
        <f>U54+U96+U138</f>
        <v/>
      </c>
      <c r="V185" s="55">
        <f>V54+V96+V138</f>
        <v/>
      </c>
      <c r="W185" s="55">
        <f>W54+W96+W138</f>
        <v/>
      </c>
      <c r="X185" s="55">
        <f>X54+X96+X138</f>
        <v/>
      </c>
      <c r="Y185" s="55">
        <f>Y54+Y96+Y138</f>
        <v/>
      </c>
      <c r="Z185" s="55">
        <f>Z54+Z96+Z138</f>
        <v/>
      </c>
      <c r="AA185" s="55">
        <f>AA54+AA96+AA138</f>
        <v/>
      </c>
      <c r="AB185" s="55">
        <f>AB54+AB96+AB138</f>
        <v/>
      </c>
      <c r="AC185" s="55">
        <f>AC54+AC96+AC138</f>
        <v/>
      </c>
      <c r="AD185" s="55">
        <f>AD54+AD96+AD138</f>
        <v/>
      </c>
      <c r="AE185" s="55">
        <f>AE54+AE96+AE138</f>
        <v/>
      </c>
    </row>
    <row r="186">
      <c r="A186" s="6" t="inlineStr">
        <is>
          <t>Stream 2 - Card interchange</t>
        </is>
      </c>
      <c r="B186" s="23" t="inlineStr">
        <is>
          <t>USD</t>
        </is>
      </c>
      <c r="C186" s="55">
        <f>C55+C97+C139</f>
        <v/>
      </c>
      <c r="D186" s="55">
        <f>D55+D97+D139</f>
        <v/>
      </c>
      <c r="E186" s="55">
        <f>E55+E97+E139</f>
        <v/>
      </c>
      <c r="F186" s="55">
        <f>F55+F97+F139</f>
        <v/>
      </c>
      <c r="G186" s="55">
        <f>G55+G97+G139</f>
        <v/>
      </c>
      <c r="H186" s="55">
        <f>H55+H97+H139</f>
        <v/>
      </c>
      <c r="I186" s="55">
        <f>I55+I97+I139</f>
        <v/>
      </c>
      <c r="J186" s="55">
        <f>J55+J97+J139</f>
        <v/>
      </c>
      <c r="K186" s="55">
        <f>K55+K97+K139</f>
        <v/>
      </c>
      <c r="L186" s="55">
        <f>L55+L97+L139</f>
        <v/>
      </c>
      <c r="M186" s="55">
        <f>M55+M97+M139</f>
        <v/>
      </c>
      <c r="N186" s="55">
        <f>N55+N97+N139</f>
        <v/>
      </c>
      <c r="O186" s="55">
        <f>O55+O97+O139</f>
        <v/>
      </c>
      <c r="P186" s="55">
        <f>P55+P97+P139</f>
        <v/>
      </c>
      <c r="Q186" s="55">
        <f>Q55+Q97+Q139</f>
        <v/>
      </c>
      <c r="R186" s="55">
        <f>R55+R97+R139</f>
        <v/>
      </c>
      <c r="S186" s="55">
        <f>S55+S97+S139</f>
        <v/>
      </c>
      <c r="T186" s="55">
        <f>T55+T97+T139</f>
        <v/>
      </c>
      <c r="U186" s="55">
        <f>U55+U97+U139</f>
        <v/>
      </c>
      <c r="V186" s="55">
        <f>V55+V97+V139</f>
        <v/>
      </c>
      <c r="W186" s="55">
        <f>W55+W97+W139</f>
        <v/>
      </c>
      <c r="X186" s="55">
        <f>X55+X97+X139</f>
        <v/>
      </c>
      <c r="Y186" s="55">
        <f>Y55+Y97+Y139</f>
        <v/>
      </c>
      <c r="Z186" s="55">
        <f>Z55+Z97+Z139</f>
        <v/>
      </c>
      <c r="AA186" s="55">
        <f>AA55+AA97+AA139</f>
        <v/>
      </c>
      <c r="AB186" s="55">
        <f>AB55+AB97+AB139</f>
        <v/>
      </c>
      <c r="AC186" s="55">
        <f>AC55+AC97+AC139</f>
        <v/>
      </c>
      <c r="AD186" s="55">
        <f>AD55+AD97+AD139</f>
        <v/>
      </c>
      <c r="AE186" s="55">
        <f>AE55+AE97+AE139</f>
        <v/>
      </c>
    </row>
    <row r="187">
      <c r="A187" s="6" t="inlineStr">
        <is>
          <t>Stream 3 - Family plan and Digital Will</t>
        </is>
      </c>
      <c r="B187" s="23" t="inlineStr">
        <is>
          <t>USD</t>
        </is>
      </c>
      <c r="C187" s="55">
        <f>C57+C99+C141</f>
        <v/>
      </c>
      <c r="D187" s="55">
        <f>D57+D99+D141</f>
        <v/>
      </c>
      <c r="E187" s="55">
        <f>E57+E99+E141</f>
        <v/>
      </c>
      <c r="F187" s="55">
        <f>F57+F99+F141</f>
        <v/>
      </c>
      <c r="G187" s="55">
        <f>G57+G99+G141</f>
        <v/>
      </c>
      <c r="H187" s="55">
        <f>H57+H99+H141</f>
        <v/>
      </c>
      <c r="I187" s="55">
        <f>I57+I99+I141</f>
        <v/>
      </c>
      <c r="J187" s="55">
        <f>J57+J99+J141</f>
        <v/>
      </c>
      <c r="K187" s="55">
        <f>K57+K99+K141</f>
        <v/>
      </c>
      <c r="L187" s="55">
        <f>L57+L99+L141</f>
        <v/>
      </c>
      <c r="M187" s="55">
        <f>M57+M99+M141</f>
        <v/>
      </c>
      <c r="N187" s="55">
        <f>N57+N99+N141</f>
        <v/>
      </c>
      <c r="O187" s="55">
        <f>O57+O99+O141</f>
        <v/>
      </c>
      <c r="P187" s="55">
        <f>P57+P99+P141</f>
        <v/>
      </c>
      <c r="Q187" s="55">
        <f>Q57+Q99+Q141</f>
        <v/>
      </c>
      <c r="R187" s="55">
        <f>R57+R99+R141</f>
        <v/>
      </c>
      <c r="S187" s="55">
        <f>S57+S99+S141</f>
        <v/>
      </c>
      <c r="T187" s="55">
        <f>T57+T99+T141</f>
        <v/>
      </c>
      <c r="U187" s="55">
        <f>U57+U99+U141</f>
        <v/>
      </c>
      <c r="V187" s="55">
        <f>V57+V99+V141</f>
        <v/>
      </c>
      <c r="W187" s="55">
        <f>W57+W99+W141</f>
        <v/>
      </c>
      <c r="X187" s="55">
        <f>X57+X99+X141</f>
        <v/>
      </c>
      <c r="Y187" s="55">
        <f>Y57+Y99+Y141</f>
        <v/>
      </c>
      <c r="Z187" s="55">
        <f>Z57+Z99+Z141</f>
        <v/>
      </c>
      <c r="AA187" s="55">
        <f>AA57+AA99+AA141</f>
        <v/>
      </c>
      <c r="AB187" s="55">
        <f>AB57+AB99+AB141</f>
        <v/>
      </c>
      <c r="AC187" s="55">
        <f>AC57+AC99+AC141</f>
        <v/>
      </c>
      <c r="AD187" s="55">
        <f>AD57+AD99+AD141</f>
        <v/>
      </c>
      <c r="AE187" s="55">
        <f>AE57+AE99+AE141</f>
        <v/>
      </c>
    </row>
    <row r="188">
      <c r="A188" s="6" t="inlineStr">
        <is>
          <t>Stream 4 - Cardholder fees</t>
        </is>
      </c>
      <c r="B188" s="23" t="inlineStr">
        <is>
          <t>USD</t>
        </is>
      </c>
      <c r="C188" s="55">
        <f>C58+C100+C142</f>
        <v/>
      </c>
      <c r="D188" s="55">
        <f>D58+D100+D142</f>
        <v/>
      </c>
      <c r="E188" s="55">
        <f>E58+E100+E142</f>
        <v/>
      </c>
      <c r="F188" s="55">
        <f>F58+F100+F142</f>
        <v/>
      </c>
      <c r="G188" s="55">
        <f>G58+G100+G142</f>
        <v/>
      </c>
      <c r="H188" s="55">
        <f>H58+H100+H142</f>
        <v/>
      </c>
      <c r="I188" s="55">
        <f>I58+I100+I142</f>
        <v/>
      </c>
      <c r="J188" s="55">
        <f>J58+J100+J142</f>
        <v/>
      </c>
      <c r="K188" s="55">
        <f>K58+K100+K142</f>
        <v/>
      </c>
      <c r="L188" s="55">
        <f>L58+L100+L142</f>
        <v/>
      </c>
      <c r="M188" s="55">
        <f>M58+M100+M142</f>
        <v/>
      </c>
      <c r="N188" s="55">
        <f>N58+N100+N142</f>
        <v/>
      </c>
      <c r="O188" s="55">
        <f>O58+O100+O142</f>
        <v/>
      </c>
      <c r="P188" s="55">
        <f>P58+P100+P142</f>
        <v/>
      </c>
      <c r="Q188" s="55">
        <f>Q58+Q100+Q142</f>
        <v/>
      </c>
      <c r="R188" s="55">
        <f>R58+R100+R142</f>
        <v/>
      </c>
      <c r="S188" s="55">
        <f>S58+S100+S142</f>
        <v/>
      </c>
      <c r="T188" s="55">
        <f>T58+T100+T142</f>
        <v/>
      </c>
      <c r="U188" s="55">
        <f>U58+U100+U142</f>
        <v/>
      </c>
      <c r="V188" s="55">
        <f>V58+V100+V142</f>
        <v/>
      </c>
      <c r="W188" s="55">
        <f>W58+W100+W142</f>
        <v/>
      </c>
      <c r="X188" s="55">
        <f>X58+X100+X142</f>
        <v/>
      </c>
      <c r="Y188" s="55">
        <f>Y58+Y100+Y142</f>
        <v/>
      </c>
      <c r="Z188" s="55">
        <f>Z58+Z100+Z142</f>
        <v/>
      </c>
      <c r="AA188" s="55">
        <f>AA58+AA100+AA142</f>
        <v/>
      </c>
      <c r="AB188" s="55">
        <f>AB58+AB100+AB142</f>
        <v/>
      </c>
      <c r="AC188" s="55">
        <f>AC58+AC100+AC142</f>
        <v/>
      </c>
      <c r="AD188" s="55">
        <f>AD58+AD100+AD142</f>
        <v/>
      </c>
      <c r="AE188" s="55">
        <f>AE58+AE100+AE142</f>
        <v/>
      </c>
    </row>
    <row r="189">
      <c r="A189" s="6" t="inlineStr">
        <is>
          <t>Stream 5 - Lending revenue share</t>
        </is>
      </c>
      <c r="B189" s="23" t="inlineStr">
        <is>
          <t>USD</t>
        </is>
      </c>
      <c r="C189" s="55">
        <f>C60+C102+C144</f>
        <v/>
      </c>
      <c r="D189" s="55">
        <f>D60+D102+D144</f>
        <v/>
      </c>
      <c r="E189" s="55">
        <f>E60+E102+E144</f>
        <v/>
      </c>
      <c r="F189" s="55">
        <f>F60+F102+F144</f>
        <v/>
      </c>
      <c r="G189" s="55">
        <f>G60+G102+G144</f>
        <v/>
      </c>
      <c r="H189" s="55">
        <f>H60+H102+H144</f>
        <v/>
      </c>
      <c r="I189" s="55">
        <f>I60+I102+I144</f>
        <v/>
      </c>
      <c r="J189" s="55">
        <f>J60+J102+J144</f>
        <v/>
      </c>
      <c r="K189" s="55">
        <f>K60+K102+K144</f>
        <v/>
      </c>
      <c r="L189" s="55">
        <f>L60+L102+L144</f>
        <v/>
      </c>
      <c r="M189" s="55">
        <f>M60+M102+M144</f>
        <v/>
      </c>
      <c r="N189" s="55">
        <f>N60+N102+N144</f>
        <v/>
      </c>
      <c r="O189" s="55">
        <f>O60+O102+O144</f>
        <v/>
      </c>
      <c r="P189" s="55">
        <f>P60+P102+P144</f>
        <v/>
      </c>
      <c r="Q189" s="55">
        <f>Q60+Q102+Q144</f>
        <v/>
      </c>
      <c r="R189" s="55">
        <f>R60+R102+R144</f>
        <v/>
      </c>
      <c r="S189" s="55">
        <f>S60+S102+S144</f>
        <v/>
      </c>
      <c r="T189" s="55">
        <f>T60+T102+T144</f>
        <v/>
      </c>
      <c r="U189" s="55">
        <f>U60+U102+U144</f>
        <v/>
      </c>
      <c r="V189" s="55">
        <f>V60+V102+V144</f>
        <v/>
      </c>
      <c r="W189" s="55">
        <f>W60+W102+W144</f>
        <v/>
      </c>
      <c r="X189" s="55">
        <f>X60+X102+X144</f>
        <v/>
      </c>
      <c r="Y189" s="55">
        <f>Y60+Y102+Y144</f>
        <v/>
      </c>
      <c r="Z189" s="55">
        <f>Z60+Z102+Z144</f>
        <v/>
      </c>
      <c r="AA189" s="55">
        <f>AA60+AA102+AA144</f>
        <v/>
      </c>
      <c r="AB189" s="55">
        <f>AB60+AB102+AB144</f>
        <v/>
      </c>
      <c r="AC189" s="55">
        <f>AC60+AC102+AC144</f>
        <v/>
      </c>
      <c r="AD189" s="55">
        <f>AD60+AD102+AD144</f>
        <v/>
      </c>
      <c r="AE189" s="55">
        <f>AE60+AE102+AE144</f>
        <v/>
      </c>
    </row>
    <row r="190">
      <c r="A190" s="6" t="inlineStr">
        <is>
          <t>Redemption events (memo - drives cost, not revenue)</t>
        </is>
      </c>
      <c r="B190" s="23" t="inlineStr">
        <is>
          <t>events</t>
        </is>
      </c>
      <c r="C190" s="45">
        <f>C61+C103+C145</f>
        <v/>
      </c>
      <c r="D190" s="45">
        <f>D61+D103+D145</f>
        <v/>
      </c>
      <c r="E190" s="45">
        <f>E61+E103+E145</f>
        <v/>
      </c>
      <c r="F190" s="45">
        <f>F61+F103+F145</f>
        <v/>
      </c>
      <c r="G190" s="45">
        <f>G61+G103+G145</f>
        <v/>
      </c>
      <c r="H190" s="45">
        <f>H61+H103+H145</f>
        <v/>
      </c>
      <c r="I190" s="45">
        <f>I61+I103+I145</f>
        <v/>
      </c>
      <c r="J190" s="45">
        <f>J61+J103+J145</f>
        <v/>
      </c>
      <c r="K190" s="45">
        <f>K61+K103+K145</f>
        <v/>
      </c>
      <c r="L190" s="45">
        <f>L61+L103+L145</f>
        <v/>
      </c>
      <c r="M190" s="45">
        <f>M61+M103+M145</f>
        <v/>
      </c>
      <c r="N190" s="45">
        <f>N61+N103+N145</f>
        <v/>
      </c>
      <c r="O190" s="45">
        <f>O61+O103+O145</f>
        <v/>
      </c>
      <c r="P190" s="45">
        <f>P61+P103+P145</f>
        <v/>
      </c>
      <c r="Q190" s="45">
        <f>Q61+Q103+Q145</f>
        <v/>
      </c>
      <c r="R190" s="45">
        <f>R61+R103+R145</f>
        <v/>
      </c>
      <c r="S190" s="45">
        <f>S61+S103+S145</f>
        <v/>
      </c>
      <c r="T190" s="45">
        <f>T61+T103+T145</f>
        <v/>
      </c>
      <c r="U190" s="45">
        <f>U61+U103+U145</f>
        <v/>
      </c>
      <c r="V190" s="45">
        <f>V61+V103+V145</f>
        <v/>
      </c>
      <c r="W190" s="45">
        <f>W61+W103+W145</f>
        <v/>
      </c>
      <c r="X190" s="45">
        <f>X61+X103+X145</f>
        <v/>
      </c>
      <c r="Y190" s="45">
        <f>Y61+Y103+Y145</f>
        <v/>
      </c>
      <c r="Z190" s="45">
        <f>Z61+Z103+Z145</f>
        <v/>
      </c>
      <c r="AA190" s="45">
        <f>AA61+AA103+AA145</f>
        <v/>
      </c>
      <c r="AB190" s="45">
        <f>AB61+AB103+AB145</f>
        <v/>
      </c>
      <c r="AC190" s="45">
        <f>AC61+AC103+AC145</f>
        <v/>
      </c>
      <c r="AD190" s="45">
        <f>AD61+AD103+AD145</f>
        <v/>
      </c>
      <c r="AE190" s="45">
        <f>AE61+AE103+AE145</f>
        <v/>
      </c>
    </row>
    <row r="191">
      <c r="A191" s="6" t="inlineStr">
        <is>
          <t>Card authorisations (memo - drives cost, not revenue)</t>
        </is>
      </c>
      <c r="B191" s="23" t="inlineStr">
        <is>
          <t>events</t>
        </is>
      </c>
      <c r="C191" s="45">
        <f>C52+C94+C136</f>
        <v/>
      </c>
      <c r="D191" s="45">
        <f>D52+D94+D136</f>
        <v/>
      </c>
      <c r="E191" s="45">
        <f>E52+E94+E136</f>
        <v/>
      </c>
      <c r="F191" s="45">
        <f>F52+F94+F136</f>
        <v/>
      </c>
      <c r="G191" s="45">
        <f>G52+G94+G136</f>
        <v/>
      </c>
      <c r="H191" s="45">
        <f>H52+H94+H136</f>
        <v/>
      </c>
      <c r="I191" s="45">
        <f>I52+I94+I136</f>
        <v/>
      </c>
      <c r="J191" s="45">
        <f>J52+J94+J136</f>
        <v/>
      </c>
      <c r="K191" s="45">
        <f>K52+K94+K136</f>
        <v/>
      </c>
      <c r="L191" s="45">
        <f>L52+L94+L136</f>
        <v/>
      </c>
      <c r="M191" s="45">
        <f>M52+M94+M136</f>
        <v/>
      </c>
      <c r="N191" s="45">
        <f>N52+N94+N136</f>
        <v/>
      </c>
      <c r="O191" s="45">
        <f>O52+O94+O136</f>
        <v/>
      </c>
      <c r="P191" s="45">
        <f>P52+P94+P136</f>
        <v/>
      </c>
      <c r="Q191" s="45">
        <f>Q52+Q94+Q136</f>
        <v/>
      </c>
      <c r="R191" s="45">
        <f>R52+R94+R136</f>
        <v/>
      </c>
      <c r="S191" s="45">
        <f>S52+S94+S136</f>
        <v/>
      </c>
      <c r="T191" s="45">
        <f>T52+T94+T136</f>
        <v/>
      </c>
      <c r="U191" s="45">
        <f>U52+U94+U136</f>
        <v/>
      </c>
      <c r="V191" s="45">
        <f>V52+V94+V136</f>
        <v/>
      </c>
      <c r="W191" s="45">
        <f>W52+W94+W136</f>
        <v/>
      </c>
      <c r="X191" s="45">
        <f>X52+X94+X136</f>
        <v/>
      </c>
      <c r="Y191" s="45">
        <f>Y52+Y94+Y136</f>
        <v/>
      </c>
      <c r="Z191" s="45">
        <f>Z52+Z94+Z136</f>
        <v/>
      </c>
      <c r="AA191" s="45">
        <f>AA52+AA94+AA136</f>
        <v/>
      </c>
      <c r="AB191" s="45">
        <f>AB52+AB94+AB136</f>
        <v/>
      </c>
      <c r="AC191" s="45">
        <f>AC52+AC94+AC136</f>
        <v/>
      </c>
      <c r="AD191" s="45">
        <f>AD52+AD94+AD136</f>
        <v/>
      </c>
      <c r="AE191" s="45">
        <f>AE52+AE94+AE136</f>
        <v/>
      </c>
    </row>
    <row r="192">
      <c r="A192" s="3" t="inlineStr">
        <is>
          <t>TOTAL NET REVENUE</t>
        </is>
      </c>
      <c r="B192" s="23" t="inlineStr">
        <is>
          <t>USD</t>
        </is>
      </c>
      <c r="C192" s="57">
        <f>C62+C104+C146+C150</f>
        <v/>
      </c>
      <c r="D192" s="57">
        <f>D62+D104+D146+D150</f>
        <v/>
      </c>
      <c r="E192" s="57">
        <f>E62+E104+E146+E150</f>
        <v/>
      </c>
      <c r="F192" s="57">
        <f>F62+F104+F146+F150</f>
        <v/>
      </c>
      <c r="G192" s="57">
        <f>G62+G104+G146+G150</f>
        <v/>
      </c>
      <c r="H192" s="57">
        <f>H62+H104+H146+H150</f>
        <v/>
      </c>
      <c r="I192" s="57">
        <f>I62+I104+I146+I150</f>
        <v/>
      </c>
      <c r="J192" s="57">
        <f>J62+J104+J146+J150</f>
        <v/>
      </c>
      <c r="K192" s="57">
        <f>K62+K104+K146+K150</f>
        <v/>
      </c>
      <c r="L192" s="57">
        <f>L62+L104+L146+L150</f>
        <v/>
      </c>
      <c r="M192" s="57">
        <f>M62+M104+M146+M150</f>
        <v/>
      </c>
      <c r="N192" s="57">
        <f>N62+N104+N146+N150</f>
        <v/>
      </c>
      <c r="O192" s="57">
        <f>O62+O104+O146+O150</f>
        <v/>
      </c>
      <c r="P192" s="57">
        <f>P62+P104+P146+P150</f>
        <v/>
      </c>
      <c r="Q192" s="57">
        <f>Q62+Q104+Q146+Q150</f>
        <v/>
      </c>
      <c r="R192" s="57">
        <f>R62+R104+R146+R150</f>
        <v/>
      </c>
      <c r="S192" s="57">
        <f>S62+S104+S146+S150</f>
        <v/>
      </c>
      <c r="T192" s="57">
        <f>T62+T104+T146+T150</f>
        <v/>
      </c>
      <c r="U192" s="57">
        <f>U62+U104+U146+U150</f>
        <v/>
      </c>
      <c r="V192" s="57">
        <f>V62+V104+V146+V150</f>
        <v/>
      </c>
      <c r="W192" s="57">
        <f>W62+W104+W146+W150</f>
        <v/>
      </c>
      <c r="X192" s="57">
        <f>X62+X104+X146+X150</f>
        <v/>
      </c>
      <c r="Y192" s="57">
        <f>Y62+Y104+Y146+Y150</f>
        <v/>
      </c>
      <c r="Z192" s="57">
        <f>Z62+Z104+Z146+Z150</f>
        <v/>
      </c>
      <c r="AA192" s="57">
        <f>AA62+AA104+AA146+AA150</f>
        <v/>
      </c>
      <c r="AB192" s="57">
        <f>AB62+AB104+AB146+AB150</f>
        <v/>
      </c>
      <c r="AC192" s="57">
        <f>AC62+AC104+AC146+AC150</f>
        <v/>
      </c>
      <c r="AD192" s="57">
        <f>AD62+AD104+AD146+AD150</f>
        <v/>
      </c>
      <c r="AE192" s="57">
        <f>AE62+AE104+AE146+AE150</f>
        <v/>
      </c>
    </row>
    <row r="193">
      <c r="A193" s="6" t="inlineStr">
        <is>
          <t>Net revenue per paying customer (annualised)</t>
        </is>
      </c>
      <c r="B193" s="23" t="inlineStr">
        <is>
          <t>USD</t>
        </is>
      </c>
      <c r="C193" s="55">
        <f>IF(C154=0,0,C192/C154/C7*12)</f>
        <v/>
      </c>
      <c r="D193" s="55">
        <f>IF(D154=0,0,D192/D154/D7*12)</f>
        <v/>
      </c>
      <c r="E193" s="55">
        <f>IF(E154=0,0,E192/E154/E7*12)</f>
        <v/>
      </c>
      <c r="F193" s="55">
        <f>IF(F154=0,0,F192/F154/F7*12)</f>
        <v/>
      </c>
      <c r="G193" s="55">
        <f>IF(G154=0,0,G192/G154/G7*12)</f>
        <v/>
      </c>
      <c r="H193" s="55">
        <f>IF(H154=0,0,H192/H154/H7*12)</f>
        <v/>
      </c>
      <c r="I193" s="55">
        <f>IF(I154=0,0,I192/I154/I7*12)</f>
        <v/>
      </c>
      <c r="J193" s="55">
        <f>IF(J154=0,0,J192/J154/J7*12)</f>
        <v/>
      </c>
      <c r="K193" s="55">
        <f>IF(K154=0,0,K192/K154/K7*12)</f>
        <v/>
      </c>
      <c r="L193" s="55">
        <f>IF(L154=0,0,L192/L154/L7*12)</f>
        <v/>
      </c>
      <c r="M193" s="55">
        <f>IF(M154=0,0,M192/M154/M7*12)</f>
        <v/>
      </c>
      <c r="N193" s="55">
        <f>IF(N154=0,0,N192/N154/N7*12)</f>
        <v/>
      </c>
      <c r="O193" s="55">
        <f>IF(O154=0,0,O192/O154/O7*12)</f>
        <v/>
      </c>
      <c r="P193" s="55">
        <f>IF(P154=0,0,P192/P154/P7*12)</f>
        <v/>
      </c>
      <c r="Q193" s="55">
        <f>IF(Q154=0,0,Q192/Q154/Q7*12)</f>
        <v/>
      </c>
      <c r="R193" s="55">
        <f>IF(R154=0,0,R192/R154/R7*12)</f>
        <v/>
      </c>
      <c r="S193" s="55">
        <f>IF(S154=0,0,S192/S154/S7*12)</f>
        <v/>
      </c>
      <c r="T193" s="55">
        <f>IF(T154=0,0,T192/T154/T7*12)</f>
        <v/>
      </c>
      <c r="U193" s="55">
        <f>IF(U154=0,0,U192/U154/U7*12)</f>
        <v/>
      </c>
      <c r="V193" s="55">
        <f>IF(V154=0,0,V192/V154/V7*12)</f>
        <v/>
      </c>
      <c r="W193" s="55">
        <f>IF(W154=0,0,W192/W154/W7*12)</f>
        <v/>
      </c>
      <c r="X193" s="55">
        <f>IF(X154=0,0,X192/X154/X7*12)</f>
        <v/>
      </c>
      <c r="Y193" s="55">
        <f>IF(Y154=0,0,Y192/Y154/Y7*12)</f>
        <v/>
      </c>
      <c r="Z193" s="55">
        <f>IF(Z154=0,0,Z192/Z154/Z7*12)</f>
        <v/>
      </c>
      <c r="AA193" s="55">
        <f>IF(AA154=0,0,AA192/AA154/AA7*12)</f>
        <v/>
      </c>
      <c r="AB193" s="55">
        <f>IF(AB154=0,0,AB192/AB154/AB7*12)</f>
        <v/>
      </c>
      <c r="AC193" s="55">
        <f>IF(AC154=0,0,AC192/AC154/AC7*12)</f>
        <v/>
      </c>
      <c r="AD193" s="55">
        <f>IF(AD154=0,0,AD192/AD154/AD7*12)</f>
        <v/>
      </c>
      <c r="AE193" s="55">
        <f>IF(AE154=0,0,AE192/AE154/AE7*12)</f>
        <v/>
      </c>
    </row>
    <row r="194">
      <c r="A194" s="6" t="inlineStr">
        <is>
          <t>CHECK: regional subtotals + B2B = sum of streams</t>
        </is>
      </c>
      <c r="B194" s="23" t="inlineStr">
        <is>
          <t>delta</t>
        </is>
      </c>
      <c r="C194" s="60">
        <f>C192-(C184+C185+C186+C187+C188+C189+C150)</f>
        <v/>
      </c>
      <c r="D194" s="60">
        <f>D192-(D184+D185+D186+D187+D188+D189+D150)</f>
        <v/>
      </c>
      <c r="E194" s="60">
        <f>E192-(E184+E185+E186+E187+E188+E189+E150)</f>
        <v/>
      </c>
      <c r="F194" s="60">
        <f>F192-(F184+F185+F186+F187+F188+F189+F150)</f>
        <v/>
      </c>
      <c r="G194" s="60">
        <f>G192-(G184+G185+G186+G187+G188+G189+G150)</f>
        <v/>
      </c>
      <c r="H194" s="60">
        <f>H192-(H184+H185+H186+H187+H188+H189+H150)</f>
        <v/>
      </c>
      <c r="I194" s="60">
        <f>I192-(I184+I185+I186+I187+I188+I189+I150)</f>
        <v/>
      </c>
      <c r="J194" s="60">
        <f>J192-(J184+J185+J186+J187+J188+J189+J150)</f>
        <v/>
      </c>
      <c r="K194" s="60">
        <f>K192-(K184+K185+K186+K187+K188+K189+K150)</f>
        <v/>
      </c>
      <c r="L194" s="60">
        <f>L192-(L184+L185+L186+L187+L188+L189+L150)</f>
        <v/>
      </c>
      <c r="M194" s="60">
        <f>M192-(M184+M185+M186+M187+M188+M189+M150)</f>
        <v/>
      </c>
      <c r="N194" s="60">
        <f>N192-(N184+N185+N186+N187+N188+N189+N150)</f>
        <v/>
      </c>
      <c r="O194" s="60">
        <f>O192-(O184+O185+O186+O187+O188+O189+O150)</f>
        <v/>
      </c>
      <c r="P194" s="60">
        <f>P192-(P184+P185+P186+P187+P188+P189+P150)</f>
        <v/>
      </c>
      <c r="Q194" s="60">
        <f>Q192-(Q184+Q185+Q186+Q187+Q188+Q189+Q150)</f>
        <v/>
      </c>
      <c r="R194" s="60">
        <f>R192-(R184+R185+R186+R187+R188+R189+R150)</f>
        <v/>
      </c>
      <c r="S194" s="60">
        <f>S192-(S184+S185+S186+S187+S188+S189+S150)</f>
        <v/>
      </c>
      <c r="T194" s="60">
        <f>T192-(T184+T185+T186+T187+T188+T189+T150)</f>
        <v/>
      </c>
      <c r="U194" s="60">
        <f>U192-(U184+U185+U186+U187+U188+U189+U150)</f>
        <v/>
      </c>
      <c r="V194" s="60">
        <f>V192-(V184+V185+V186+V187+V188+V189+V150)</f>
        <v/>
      </c>
      <c r="W194" s="60">
        <f>W192-(W184+W185+W186+W187+W188+W189+W150)</f>
        <v/>
      </c>
      <c r="X194" s="60">
        <f>X192-(X184+X185+X186+X187+X188+X189+X150)</f>
        <v/>
      </c>
      <c r="Y194" s="60">
        <f>Y192-(Y184+Y185+Y186+Y187+Y188+Y189+Y150)</f>
        <v/>
      </c>
      <c r="Z194" s="60">
        <f>Z192-(Z184+Z185+Z186+Z187+Z188+Z189+Z150)</f>
        <v/>
      </c>
      <c r="AA194" s="60">
        <f>AA192-(AA184+AA185+AA186+AA187+AA188+AA189+AA150)</f>
        <v/>
      </c>
      <c r="AB194" s="60">
        <f>AB192-(AB184+AB185+AB186+AB187+AB188+AB189+AB150)</f>
        <v/>
      </c>
      <c r="AC194" s="60">
        <f>AC192-(AC184+AC185+AC186+AC187+AC188+AC189+AC150)</f>
        <v/>
      </c>
      <c r="AD194" s="60">
        <f>AD192-(AD184+AD185+AD186+AD187+AD188+AD189+AD150)</f>
        <v/>
      </c>
      <c r="AE194" s="60">
        <f>AE192-(AE184+AE185+AE186+AE187+AE188+AE189+AE150)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2" t="inlineStr">
        <is>
          <t>Y1</t>
        </is>
      </c>
      <c r="E4" s="62" t="inlineStr">
        <is>
          <t>Y2</t>
        </is>
      </c>
      <c r="F4" s="62" t="inlineStr">
        <is>
          <t>Y3</t>
        </is>
      </c>
      <c r="G4" s="62" t="inlineStr">
        <is>
          <t>Y4</t>
        </is>
      </c>
      <c r="H4" s="62" t="inlineStr">
        <is>
          <t>Y5</t>
        </is>
      </c>
      <c r="I4" s="62" t="inlineStr">
        <is>
          <t>Y6</t>
        </is>
      </c>
      <c r="J4" s="62"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SUM(Model!C62:N62)</f>
        <v/>
      </c>
      <c r="E7" s="36">
        <f>SUM(Model!O62:Z62)</f>
        <v/>
      </c>
      <c r="F7" s="36">
        <f>Model!AA62</f>
        <v/>
      </c>
      <c r="G7" s="36">
        <f>Model!AB62</f>
        <v/>
      </c>
      <c r="H7" s="36">
        <f>Model!AC62</f>
        <v/>
      </c>
      <c r="I7" s="36">
        <f>Model!AD62</f>
        <v/>
      </c>
      <c r="J7" s="36">
        <f>Model!AE62</f>
        <v/>
      </c>
    </row>
    <row r="8">
      <c r="A8" s="6" t="inlineStr">
        <is>
          <t xml:space="preserve">  Oman and Bahrain</t>
        </is>
      </c>
      <c r="D8" s="36">
        <f>SUM(Model!C104:N104)</f>
        <v/>
      </c>
      <c r="E8" s="36">
        <f>SUM(Model!O104:Z104)</f>
        <v/>
      </c>
      <c r="F8" s="36">
        <f>Model!AA104</f>
        <v/>
      </c>
      <c r="G8" s="36">
        <f>Model!AB104</f>
        <v/>
      </c>
      <c r="H8" s="36">
        <f>Model!AC104</f>
        <v/>
      </c>
      <c r="I8" s="36">
        <f>Model!AD104</f>
        <v/>
      </c>
      <c r="J8" s="36">
        <f>Model!AE104</f>
        <v/>
      </c>
    </row>
    <row r="9">
      <c r="A9" s="6" t="inlineStr">
        <is>
          <t xml:space="preserve">  India</t>
        </is>
      </c>
      <c r="D9" s="36">
        <f>SUM(Model!C146:N146)</f>
        <v/>
      </c>
      <c r="E9" s="36">
        <f>SUM(Model!O146:Z146)</f>
        <v/>
      </c>
      <c r="F9" s="36">
        <f>Model!AA146</f>
        <v/>
      </c>
      <c r="G9" s="36">
        <f>Model!AB146</f>
        <v/>
      </c>
      <c r="H9" s="36">
        <f>Model!AC146</f>
        <v/>
      </c>
      <c r="I9" s="36">
        <f>Model!AD146</f>
        <v/>
      </c>
      <c r="J9" s="36">
        <f>Model!AE146</f>
        <v/>
      </c>
    </row>
    <row r="10">
      <c r="A10" s="6" t="inlineStr">
        <is>
          <t xml:space="preserve">  Non-regional: B2B platform fee</t>
        </is>
      </c>
      <c r="D10" s="36">
        <f>SUM(Model!C150:N150)</f>
        <v/>
      </c>
      <c r="E10" s="36">
        <f>SUM(Model!O150:Z150)</f>
        <v/>
      </c>
      <c r="F10" s="36">
        <f>Model!AA150</f>
        <v/>
      </c>
      <c r="G10" s="36">
        <f>Model!AB150</f>
        <v/>
      </c>
      <c r="H10" s="36">
        <f>Model!AC150</f>
        <v/>
      </c>
      <c r="I10" s="36">
        <f>Model!AD150</f>
        <v/>
      </c>
      <c r="J10" s="36">
        <f>Model!AE150</f>
        <v/>
      </c>
    </row>
    <row r="11">
      <c r="A11" s="3" t="inlineStr">
        <is>
          <t>TOTAL REVENUE</t>
        </is>
      </c>
      <c r="D11" s="63">
        <f>SUM(Model!C192:N192)</f>
        <v/>
      </c>
      <c r="E11" s="63">
        <f>SUM(Model!O192:Z192)</f>
        <v/>
      </c>
      <c r="F11" s="63">
        <f>Model!AA192</f>
        <v/>
      </c>
      <c r="G11" s="63">
        <f>Model!AB192</f>
        <v/>
      </c>
      <c r="H11" s="63">
        <f>Model!AC192</f>
        <v/>
      </c>
      <c r="I11" s="63">
        <f>Model!AD192</f>
        <v/>
      </c>
      <c r="J11" s="63">
        <f>Model!AE192</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SUM(Model!C184:N184)</f>
        <v/>
      </c>
      <c r="E14" s="36">
        <f>SUM(Model!O184:Z184)</f>
        <v/>
      </c>
      <c r="F14" s="36">
        <f>Model!AA184</f>
        <v/>
      </c>
      <c r="G14" s="36">
        <f>Model!AB184</f>
        <v/>
      </c>
      <c r="H14" s="36">
        <f>Model!AC184</f>
        <v/>
      </c>
      <c r="I14" s="36">
        <f>Model!AD184</f>
        <v/>
      </c>
      <c r="J14" s="36">
        <f>Model!AE184</f>
        <v/>
      </c>
    </row>
    <row r="15">
      <c r="A15" s="6" t="inlineStr">
        <is>
          <t>Stream 1b: Entry fee - SPOT</t>
        </is>
      </c>
      <c r="D15" s="36">
        <f>SUM(Model!C185:N185)</f>
        <v/>
      </c>
      <c r="E15" s="36">
        <f>SUM(Model!O185:Z185)</f>
        <v/>
      </c>
      <c r="F15" s="36">
        <f>Model!AA185</f>
        <v/>
      </c>
      <c r="G15" s="36">
        <f>Model!AB185</f>
        <v/>
      </c>
      <c r="H15" s="36">
        <f>Model!AC185</f>
        <v/>
      </c>
      <c r="I15" s="36">
        <f>Model!AD185</f>
        <v/>
      </c>
      <c r="J15" s="36">
        <f>Model!AE185</f>
        <v/>
      </c>
    </row>
    <row r="16">
      <c r="A16" s="6" t="inlineStr">
        <is>
          <t>Stream 2: Card interchange</t>
        </is>
      </c>
      <c r="D16" s="36">
        <f>SUM(Model!C186:N186)</f>
        <v/>
      </c>
      <c r="E16" s="36">
        <f>SUM(Model!O186:Z186)</f>
        <v/>
      </c>
      <c r="F16" s="36">
        <f>Model!AA186</f>
        <v/>
      </c>
      <c r="G16" s="36">
        <f>Model!AB186</f>
        <v/>
      </c>
      <c r="H16" s="36">
        <f>Model!AC186</f>
        <v/>
      </c>
      <c r="I16" s="36">
        <f>Model!AD186</f>
        <v/>
      </c>
      <c r="J16" s="36">
        <f>Model!AE186</f>
        <v/>
      </c>
    </row>
    <row r="17">
      <c r="A17" s="6" t="inlineStr">
        <is>
          <t>Stream 3: Family plan and Digital Will</t>
        </is>
      </c>
      <c r="D17" s="36">
        <f>SUM(Model!C187:N187)</f>
        <v/>
      </c>
      <c r="E17" s="36">
        <f>SUM(Model!O187:Z187)</f>
        <v/>
      </c>
      <c r="F17" s="36">
        <f>Model!AA187</f>
        <v/>
      </c>
      <c r="G17" s="36">
        <f>Model!AB187</f>
        <v/>
      </c>
      <c r="H17" s="36">
        <f>Model!AC187</f>
        <v/>
      </c>
      <c r="I17" s="36">
        <f>Model!AD187</f>
        <v/>
      </c>
      <c r="J17" s="36">
        <f>Model!AE187</f>
        <v/>
      </c>
    </row>
    <row r="18">
      <c r="A18" s="6" t="inlineStr">
        <is>
          <t>Stream 4: Cardholder fees</t>
        </is>
      </c>
      <c r="D18" s="36">
        <f>SUM(Model!C188:N188)</f>
        <v/>
      </c>
      <c r="E18" s="36">
        <f>SUM(Model!O188:Z188)</f>
        <v/>
      </c>
      <c r="F18" s="36">
        <f>Model!AA188</f>
        <v/>
      </c>
      <c r="G18" s="36">
        <f>Model!AB188</f>
        <v/>
      </c>
      <c r="H18" s="36">
        <f>Model!AC188</f>
        <v/>
      </c>
      <c r="I18" s="36">
        <f>Model!AD188</f>
        <v/>
      </c>
      <c r="J18" s="36">
        <f>Model!AE188</f>
        <v/>
      </c>
    </row>
    <row r="19">
      <c r="A19" s="6" t="inlineStr">
        <is>
          <t>Stream 5: Lending revenue share</t>
        </is>
      </c>
      <c r="D19" s="36">
        <f>SUM(Model!C189:N189)</f>
        <v/>
      </c>
      <c r="E19" s="36">
        <f>SUM(Model!O189:Z189)</f>
        <v/>
      </c>
      <c r="F19" s="36">
        <f>Model!AA189</f>
        <v/>
      </c>
      <c r="G19" s="36">
        <f>Model!AB189</f>
        <v/>
      </c>
      <c r="H19" s="36">
        <f>Model!AC189</f>
        <v/>
      </c>
      <c r="I19" s="36">
        <f>Model!AD189</f>
        <v/>
      </c>
      <c r="J19" s="36">
        <f>Model!AE189</f>
        <v/>
      </c>
    </row>
    <row r="20">
      <c r="A20" s="6" t="inlineStr">
        <is>
          <t>Stream 6: B2B platform fee</t>
        </is>
      </c>
      <c r="D20" s="36">
        <f>SUM(Model!C150:N150)</f>
        <v/>
      </c>
      <c r="E20" s="36">
        <f>SUM(Model!O150:Z150)</f>
        <v/>
      </c>
      <c r="F20" s="36">
        <f>Model!AA150</f>
        <v/>
      </c>
      <c r="G20" s="36">
        <f>Model!AB150</f>
        <v/>
      </c>
      <c r="H20" s="36">
        <f>Model!AC150</f>
        <v/>
      </c>
      <c r="I20" s="36">
        <f>Model!AD150</f>
        <v/>
      </c>
      <c r="J20" s="36">
        <f>Model!AE150</f>
        <v/>
      </c>
    </row>
    <row r="21">
      <c r="A21" s="3" t="inlineStr">
        <is>
          <t>Total by stream (reconciles to the regional total above)</t>
        </is>
      </c>
      <c r="D21" s="63">
        <f>SUM(Model!C192:N192)</f>
        <v/>
      </c>
      <c r="E21" s="63">
        <f>SUM(Model!O192:Z192)</f>
        <v/>
      </c>
      <c r="F21" s="63">
        <f>Model!AA192</f>
        <v/>
      </c>
      <c r="G21" s="63">
        <f>Model!AB192</f>
        <v/>
      </c>
      <c r="H21" s="63">
        <f>Model!AC192</f>
        <v/>
      </c>
      <c r="I21" s="63">
        <f>Model!AD192</f>
        <v/>
      </c>
      <c r="J21" s="63">
        <f>Model!AE192</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4">
        <f>IF(D$11=0,0,D14/D$11)</f>
        <v/>
      </c>
      <c r="E24" s="64">
        <f>IF(E$11=0,0,E14/E$11)</f>
        <v/>
      </c>
      <c r="F24" s="64">
        <f>IF(F$11=0,0,F14/F$11)</f>
        <v/>
      </c>
      <c r="G24" s="64">
        <f>IF(G$11=0,0,G14/G$11)</f>
        <v/>
      </c>
      <c r="H24" s="64">
        <f>IF(H$11=0,0,H14/H$11)</f>
        <v/>
      </c>
      <c r="I24" s="64">
        <f>IF(I$11=0,0,I14/I$11)</f>
        <v/>
      </c>
      <c r="J24" s="64">
        <f>IF(J$11=0,0,J14/J$11)</f>
        <v/>
      </c>
    </row>
    <row r="25">
      <c r="A25" t="inlineStr">
        <is>
          <t>Stream 1b: Spot entry fee - share</t>
        </is>
      </c>
      <c r="D25" s="64">
        <f>IF(D$11=0,0,D15/D$11)</f>
        <v/>
      </c>
      <c r="E25" s="64">
        <f>IF(E$11=0,0,E15/E$11)</f>
        <v/>
      </c>
      <c r="F25" s="64">
        <f>IF(F$11=0,0,F15/F$11)</f>
        <v/>
      </c>
      <c r="G25" s="64">
        <f>IF(G$11=0,0,G15/G$11)</f>
        <v/>
      </c>
      <c r="H25" s="64">
        <f>IF(H$11=0,0,H15/H$11)</f>
        <v/>
      </c>
      <c r="I25" s="64">
        <f>IF(I$11=0,0,I15/I$11)</f>
        <v/>
      </c>
      <c r="J25" s="64">
        <f>IF(J$11=0,0,J15/J$11)</f>
        <v/>
      </c>
    </row>
    <row r="26">
      <c r="A26" t="inlineStr">
        <is>
          <t>Stream 2: Card interchange - share</t>
        </is>
      </c>
      <c r="D26" s="64">
        <f>IF(D$11=0,0,D16/D$11)</f>
        <v/>
      </c>
      <c r="E26" s="64">
        <f>IF(E$11=0,0,E16/E$11)</f>
        <v/>
      </c>
      <c r="F26" s="64">
        <f>IF(F$11=0,0,F16/F$11)</f>
        <v/>
      </c>
      <c r="G26" s="64">
        <f>IF(G$11=0,0,G16/G$11)</f>
        <v/>
      </c>
      <c r="H26" s="64">
        <f>IF(H$11=0,0,H16/H$11)</f>
        <v/>
      </c>
      <c r="I26" s="64">
        <f>IF(I$11=0,0,I16/I$11)</f>
        <v/>
      </c>
      <c r="J26" s="64">
        <f>IF(J$11=0,0,J16/J$11)</f>
        <v/>
      </c>
    </row>
    <row r="27">
      <c r="A27" t="inlineStr">
        <is>
          <t>Stream 3: Family and Will - share</t>
        </is>
      </c>
      <c r="D27" s="64">
        <f>IF(D$11=0,0,D17/D$11)</f>
        <v/>
      </c>
      <c r="E27" s="64">
        <f>IF(E$11=0,0,E17/E$11)</f>
        <v/>
      </c>
      <c r="F27" s="64">
        <f>IF(F$11=0,0,F17/F$11)</f>
        <v/>
      </c>
      <c r="G27" s="64">
        <f>IF(G$11=0,0,G17/G$11)</f>
        <v/>
      </c>
      <c r="H27" s="64">
        <f>IF(H$11=0,0,H17/H$11)</f>
        <v/>
      </c>
      <c r="I27" s="64">
        <f>IF(I$11=0,0,I17/I$11)</f>
        <v/>
      </c>
      <c r="J27" s="64">
        <f>IF(J$11=0,0,J17/J$11)</f>
        <v/>
      </c>
    </row>
    <row r="28">
      <c r="A28" t="inlineStr">
        <is>
          <t>Stream 4: Cardholder fees - share</t>
        </is>
      </c>
      <c r="D28" s="64">
        <f>IF(D$11=0,0,D18/D$11)</f>
        <v/>
      </c>
      <c r="E28" s="64">
        <f>IF(E$11=0,0,E18/E$11)</f>
        <v/>
      </c>
      <c r="F28" s="64">
        <f>IF(F$11=0,0,F18/F$11)</f>
        <v/>
      </c>
      <c r="G28" s="64">
        <f>IF(G$11=0,0,G18/G$11)</f>
        <v/>
      </c>
      <c r="H28" s="64">
        <f>IF(H$11=0,0,H18/H$11)</f>
        <v/>
      </c>
      <c r="I28" s="64">
        <f>IF(I$11=0,0,I18/I$11)</f>
        <v/>
      </c>
      <c r="J28" s="64">
        <f>IF(J$11=0,0,J18/J$11)</f>
        <v/>
      </c>
    </row>
    <row r="29">
      <c r="A29" t="inlineStr">
        <is>
          <t>Stream 5: Lending - share</t>
        </is>
      </c>
      <c r="D29" s="64">
        <f>IF(D$11=0,0,D19/D$11)</f>
        <v/>
      </c>
      <c r="E29" s="64">
        <f>IF(E$11=0,0,E19/E$11)</f>
        <v/>
      </c>
      <c r="F29" s="64">
        <f>IF(F$11=0,0,F19/F$11)</f>
        <v/>
      </c>
      <c r="G29" s="64">
        <f>IF(G$11=0,0,G19/G$11)</f>
        <v/>
      </c>
      <c r="H29" s="64">
        <f>IF(H$11=0,0,H19/H$11)</f>
        <v/>
      </c>
      <c r="I29" s="64">
        <f>IF(I$11=0,0,I19/I$11)</f>
        <v/>
      </c>
      <c r="J29" s="64">
        <f>IF(J$11=0,0,J19/J$11)</f>
        <v/>
      </c>
    </row>
    <row r="30">
      <c r="A30" t="inlineStr">
        <is>
          <t>Stream 6: B2B platform - share</t>
        </is>
      </c>
      <c r="D30" s="64">
        <f>IF(D$11=0,0,D20/D$11)</f>
        <v/>
      </c>
      <c r="E30" s="64">
        <f>IF(E$11=0,0,E20/E$11)</f>
        <v/>
      </c>
      <c r="F30" s="64">
        <f>IF(F$11=0,0,F20/F$11)</f>
        <v/>
      </c>
      <c r="G30" s="64">
        <f>IF(G$11=0,0,G20/G$11)</f>
        <v/>
      </c>
      <c r="H30" s="64">
        <f>IF(H$11=0,0,H20/H$11)</f>
        <v/>
      </c>
      <c r="I30" s="64">
        <f>IF(I$11=0,0,I20/I$11)</f>
        <v/>
      </c>
      <c r="J30" s="64">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SUM(Model!C157:N157)</f>
        <v/>
      </c>
      <c r="E34" s="37">
        <f>SUM(Model!O157:Z157)</f>
        <v/>
      </c>
      <c r="F34" s="37">
        <f>Model!AA157</f>
        <v/>
      </c>
      <c r="G34" s="37">
        <f>Model!AB157</f>
        <v/>
      </c>
      <c r="H34" s="37">
        <f>Model!AC157</f>
        <v/>
      </c>
      <c r="I34" s="37">
        <f>Model!AD157</f>
        <v/>
      </c>
      <c r="J34" s="37">
        <f>Model!AE157</f>
        <v/>
      </c>
    </row>
    <row r="35">
      <c r="A35" s="3" t="inlineStr">
        <is>
          <t>Paying customers</t>
        </is>
      </c>
      <c r="D35" s="65">
        <f>Model!N154</f>
        <v/>
      </c>
      <c r="E35" s="65">
        <f>Model!Z154</f>
        <v/>
      </c>
      <c r="F35" s="65">
        <f>Model!AA154</f>
        <v/>
      </c>
      <c r="G35" s="65">
        <f>Model!AB154</f>
        <v/>
      </c>
      <c r="H35" s="65">
        <f>Model!AC154</f>
        <v/>
      </c>
      <c r="I35" s="65">
        <f>Model!AD154</f>
        <v/>
      </c>
      <c r="J35" s="65">
        <f>Model!AE154</f>
        <v/>
      </c>
    </row>
    <row r="36">
      <c r="A36" s="6" t="inlineStr">
        <is>
          <t>Holders (stopped paying, still hold gold)</t>
        </is>
      </c>
      <c r="D36" s="37">
        <f>Model!N155</f>
        <v/>
      </c>
      <c r="E36" s="37">
        <f>Model!Z155</f>
        <v/>
      </c>
      <c r="F36" s="37">
        <f>Model!AA155</f>
        <v/>
      </c>
      <c r="G36" s="37">
        <f>Model!AB155</f>
        <v/>
      </c>
      <c r="H36" s="37">
        <f>Model!AC155</f>
        <v/>
      </c>
      <c r="I36" s="37">
        <f>Model!AD155</f>
        <v/>
      </c>
      <c r="J36" s="37">
        <f>Model!AE155</f>
        <v/>
      </c>
    </row>
    <row r="37">
      <c r="A37" s="6" t="inlineStr">
        <is>
          <t>Cumulative ever acquired</t>
        </is>
      </c>
      <c r="D37" s="37">
        <f>Model!N156</f>
        <v/>
      </c>
      <c r="E37" s="37">
        <f>Model!Z156</f>
        <v/>
      </c>
      <c r="F37" s="37">
        <f>Model!AA156</f>
        <v/>
      </c>
      <c r="G37" s="37">
        <f>Model!AB156</f>
        <v/>
      </c>
      <c r="H37" s="37">
        <f>Model!AC156</f>
        <v/>
      </c>
      <c r="I37" s="37">
        <f>Model!AD156</f>
        <v/>
      </c>
      <c r="J37" s="37">
        <f>Model!AE156</f>
        <v/>
      </c>
    </row>
    <row r="38">
      <c r="A38" s="6" t="inlineStr">
        <is>
          <t>Active cards</t>
        </is>
      </c>
      <c r="D38" s="37">
        <f>Model!N158</f>
        <v/>
      </c>
      <c r="E38" s="37">
        <f>Model!Z158</f>
        <v/>
      </c>
      <c r="F38" s="37">
        <f>Model!AA158</f>
        <v/>
      </c>
      <c r="G38" s="37">
        <f>Model!AB158</f>
        <v/>
      </c>
      <c r="H38" s="37">
        <f>Model!AC158</f>
        <v/>
      </c>
      <c r="I38" s="37">
        <f>Model!AD158</f>
        <v/>
      </c>
      <c r="J38" s="37">
        <f>Model!AE158</f>
        <v/>
      </c>
    </row>
    <row r="39">
      <c r="A39" s="6" t="inlineStr">
        <is>
          <t>Grams under custody</t>
        </is>
      </c>
      <c r="D39" s="37">
        <f>Model!N160</f>
        <v/>
      </c>
      <c r="E39" s="37">
        <f>Model!Z160</f>
        <v/>
      </c>
      <c r="F39" s="37">
        <f>Model!AA160</f>
        <v/>
      </c>
      <c r="G39" s="37">
        <f>Model!AB160</f>
        <v/>
      </c>
      <c r="H39" s="37">
        <f>Model!AC160</f>
        <v/>
      </c>
      <c r="I39" s="37">
        <f>Model!AD160</f>
        <v/>
      </c>
      <c r="J39" s="37">
        <f>Model!AE160</f>
        <v/>
      </c>
    </row>
    <row r="40">
      <c r="A40" s="3" t="inlineStr">
        <is>
          <t>Gold under custody (comparable headline)</t>
        </is>
      </c>
      <c r="D40" s="63">
        <f>Model!N167</f>
        <v/>
      </c>
      <c r="E40" s="63">
        <f>Model!Z167</f>
        <v/>
      </c>
      <c r="F40" s="63">
        <f>Model!AA167</f>
        <v/>
      </c>
      <c r="G40" s="63">
        <f>Model!AB167</f>
        <v/>
      </c>
      <c r="H40" s="63">
        <f>Model!AC167</f>
        <v/>
      </c>
      <c r="I40" s="63">
        <f>Model!AD167</f>
        <v/>
      </c>
      <c r="J40" s="63">
        <f>Model!AE167</f>
        <v/>
      </c>
    </row>
    <row r="41">
      <c r="A41" s="6" t="inlineStr">
        <is>
          <t>Grams held (collateral-eligible)</t>
        </is>
      </c>
      <c r="D41" s="37">
        <f>Model!N159</f>
        <v/>
      </c>
      <c r="E41" s="37">
        <f>Model!Z159</f>
        <v/>
      </c>
      <c r="F41" s="37">
        <f>Model!AA159</f>
        <v/>
      </c>
      <c r="G41" s="37">
        <f>Model!AB159</f>
        <v/>
      </c>
      <c r="H41" s="37">
        <f>Model!AC159</f>
        <v/>
      </c>
      <c r="I41" s="37">
        <f>Model!AD159</f>
        <v/>
      </c>
      <c r="J41" s="37">
        <f>Model!AE159</f>
        <v/>
      </c>
    </row>
    <row r="42">
      <c r="A42" s="3" t="inlineStr">
        <is>
          <t>Collateral-eligible AUM</t>
        </is>
      </c>
      <c r="D42" s="63">
        <f>Model!N162</f>
        <v/>
      </c>
      <c r="E42" s="63">
        <f>Model!Z162</f>
        <v/>
      </c>
      <c r="F42" s="63">
        <f>Model!AA162</f>
        <v/>
      </c>
      <c r="G42" s="63">
        <f>Model!AB162</f>
        <v/>
      </c>
      <c r="H42" s="63">
        <f>Model!AC162</f>
        <v/>
      </c>
      <c r="I42" s="63">
        <f>Model!AD162</f>
        <v/>
      </c>
      <c r="J42" s="63">
        <f>Model!AE162</f>
        <v/>
      </c>
    </row>
    <row r="43">
      <c r="A43" s="6" t="inlineStr">
        <is>
          <t>Net revenue per paying customer (annualised)</t>
        </is>
      </c>
      <c r="D43" s="36">
        <f>Model!N193</f>
        <v/>
      </c>
      <c r="E43" s="36">
        <f>Model!Z193</f>
        <v/>
      </c>
      <c r="F43" s="36">
        <f>Model!AA193</f>
        <v/>
      </c>
      <c r="G43" s="36">
        <f>Model!AB193</f>
        <v/>
      </c>
      <c r="H43" s="36">
        <f>Model!AC193</f>
        <v/>
      </c>
      <c r="I43" s="36">
        <f>Model!AD193</f>
        <v/>
      </c>
      <c r="J43" s="36">
        <f>Model!AE193</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2026-08-25T21:30:09Z</dcterms:created>
  <dcterms:modified xmlns:dcterms="http://purl.org/dc/terms/" xmlns:xsi="http://www.w3.org/2001/XMLSchema-instance" xsi:type="dcterms:W3CDTF">2026-08-25T21:30:09Z</dcterms:modified>
</cp:coreProperties>
</file>