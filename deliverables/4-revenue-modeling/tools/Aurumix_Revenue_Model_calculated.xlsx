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lockApex\Desktop\Aurumix\Aurumix\deliverables\4-revenue-modeling\tools\"/>
    </mc:Choice>
  </mc:AlternateContent>
  <xr:revisionPtr revIDLastSave="0" documentId="13_ncr:1_{96D0A3A9-C602-4DC3-A9DD-3D22BC64B56D}" xr6:coauthVersionLast="47" xr6:coauthVersionMax="47" xr10:uidLastSave="{00000000-0000-0000-0000-000000000000}"/>
  <bookViews>
    <workbookView xWindow="28680" yWindow="-120" windowWidth="29040" windowHeight="15720" activeTab="4" xr2:uid="{00000000-000D-0000-FFFF-FFFF00000000}"/>
  </bookViews>
  <sheets>
    <sheet name="Cover" sheetId="1" r:id="rId1"/>
    <sheet name="Assumptions" sheetId="2" r:id="rId2"/>
    <sheet name="Scenario Parameters" sheetId="3" r:id="rId3"/>
    <sheet name="Model" sheetId="4" r:id="rId4"/>
    <sheet name="Summary" sheetId="5"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Parameters'!$B$79</definedName>
    <definedName name="aum_per_partner_user">'Scenario Parameters'!$B$78</definedName>
    <definedName name="b2b_fee">'Scenario Parameters'!$B$75</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Parameters'!$B$77</definedName>
    <definedName name="partner_users">'Scenario Parameters'!$B$76</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Parameters'!$B$90</definedName>
    <definedName name="sw_prepaid_vs_credit">'Scenario Parameters'!$B$89</definedName>
    <definedName name="ticket_gulf">'Scenario Parameters'!$B$84</definedName>
    <definedName name="ticket_india">'Scenario Parameters'!$B$85</definedName>
    <definedName name="ticket_uae">'Scenario Parameters'!$B$83</definedName>
    <definedName name="txn_fee">Assumptions!$B$15</definedName>
    <definedName name="xchk_uae_obs">Assumptions!$B$89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E180" i="4" l="1"/>
  <c r="A1" i="5"/>
  <c r="N146" i="4"/>
  <c r="M146" i="4"/>
  <c r="L146" i="4"/>
  <c r="K146" i="4"/>
  <c r="J146" i="4"/>
  <c r="I146" i="4"/>
  <c r="H146" i="4"/>
  <c r="G146" i="4"/>
  <c r="F146" i="4"/>
  <c r="E146" i="4"/>
  <c r="D146" i="4"/>
  <c r="C146" i="4"/>
  <c r="N141" i="4"/>
  <c r="M141" i="4"/>
  <c r="L141" i="4"/>
  <c r="K141" i="4"/>
  <c r="J141" i="4"/>
  <c r="I141" i="4"/>
  <c r="H141" i="4"/>
  <c r="G141" i="4"/>
  <c r="F141" i="4"/>
  <c r="E141" i="4"/>
  <c r="D141" i="4"/>
  <c r="C141" i="4"/>
  <c r="N140" i="4"/>
  <c r="M140" i="4"/>
  <c r="L140" i="4"/>
  <c r="K140" i="4"/>
  <c r="J140" i="4"/>
  <c r="I140" i="4"/>
  <c r="H140" i="4"/>
  <c r="G140" i="4"/>
  <c r="F140" i="4"/>
  <c r="E140" i="4"/>
  <c r="D140" i="4"/>
  <c r="C140" i="4"/>
  <c r="N139" i="4"/>
  <c r="M139" i="4"/>
  <c r="L139" i="4"/>
  <c r="K139" i="4"/>
  <c r="J139" i="4"/>
  <c r="I139" i="4"/>
  <c r="H139" i="4"/>
  <c r="G139" i="4"/>
  <c r="F139" i="4"/>
  <c r="E139" i="4"/>
  <c r="D139" i="4"/>
  <c r="C139" i="4"/>
  <c r="H137" i="4"/>
  <c r="G137" i="4"/>
  <c r="F137" i="4"/>
  <c r="E137" i="4"/>
  <c r="D137" i="4"/>
  <c r="C137" i="4"/>
  <c r="N125" i="4"/>
  <c r="M125" i="4"/>
  <c r="L125" i="4"/>
  <c r="K125" i="4"/>
  <c r="J125" i="4"/>
  <c r="I125" i="4"/>
  <c r="H125" i="4"/>
  <c r="G125" i="4"/>
  <c r="F125" i="4"/>
  <c r="E125" i="4"/>
  <c r="D125" i="4"/>
  <c r="C125" i="4"/>
  <c r="N107" i="4"/>
  <c r="M107" i="4"/>
  <c r="L107" i="4"/>
  <c r="K107" i="4"/>
  <c r="J107" i="4"/>
  <c r="I107" i="4"/>
  <c r="H107" i="4"/>
  <c r="G107" i="4"/>
  <c r="F107" i="4"/>
  <c r="E107" i="4"/>
  <c r="D107" i="4"/>
  <c r="N101" i="4"/>
  <c r="M101" i="4"/>
  <c r="L101" i="4"/>
  <c r="K101" i="4"/>
  <c r="J101" i="4"/>
  <c r="I101" i="4"/>
  <c r="H101" i="4"/>
  <c r="G101" i="4"/>
  <c r="F101" i="4"/>
  <c r="E101" i="4"/>
  <c r="D101" i="4"/>
  <c r="C101" i="4"/>
  <c r="N100" i="4"/>
  <c r="M100" i="4"/>
  <c r="L100" i="4"/>
  <c r="K100" i="4"/>
  <c r="J100" i="4"/>
  <c r="I100" i="4"/>
  <c r="H100" i="4"/>
  <c r="G100" i="4"/>
  <c r="F100" i="4"/>
  <c r="E100" i="4"/>
  <c r="D100" i="4"/>
  <c r="C100" i="4"/>
  <c r="N99" i="4"/>
  <c r="M99" i="4"/>
  <c r="L99" i="4"/>
  <c r="K99" i="4"/>
  <c r="J99" i="4"/>
  <c r="I99" i="4"/>
  <c r="H99" i="4"/>
  <c r="G99" i="4"/>
  <c r="F99" i="4"/>
  <c r="E99" i="4"/>
  <c r="D99" i="4"/>
  <c r="C99" i="4"/>
  <c r="H97" i="4"/>
  <c r="G97" i="4"/>
  <c r="F97" i="4"/>
  <c r="E97" i="4"/>
  <c r="D97" i="4"/>
  <c r="C97" i="4"/>
  <c r="N85" i="4"/>
  <c r="M85" i="4"/>
  <c r="L85" i="4"/>
  <c r="K85" i="4"/>
  <c r="J85" i="4"/>
  <c r="I85" i="4"/>
  <c r="H85" i="4"/>
  <c r="G85" i="4"/>
  <c r="F85" i="4"/>
  <c r="E85" i="4"/>
  <c r="D85" i="4"/>
  <c r="C85" i="4"/>
  <c r="N67" i="4"/>
  <c r="M67" i="4"/>
  <c r="L67" i="4"/>
  <c r="K67" i="4"/>
  <c r="J67" i="4"/>
  <c r="I67" i="4"/>
  <c r="H67" i="4"/>
  <c r="G67" i="4"/>
  <c r="F67" i="4"/>
  <c r="E67" i="4"/>
  <c r="D67" i="4"/>
  <c r="N61" i="4"/>
  <c r="N180" i="4" s="1"/>
  <c r="M61" i="4"/>
  <c r="M180" i="4" s="1"/>
  <c r="L61" i="4"/>
  <c r="L180" i="4" s="1"/>
  <c r="K61" i="4"/>
  <c r="K180" i="4" s="1"/>
  <c r="J61" i="4"/>
  <c r="J180" i="4" s="1"/>
  <c r="I61" i="4"/>
  <c r="H61" i="4"/>
  <c r="H180" i="4" s="1"/>
  <c r="G61" i="4"/>
  <c r="G180" i="4" s="1"/>
  <c r="F61" i="4"/>
  <c r="F180" i="4" s="1"/>
  <c r="E61" i="4"/>
  <c r="D61" i="4"/>
  <c r="D180" i="4" s="1"/>
  <c r="C61" i="4"/>
  <c r="C180" i="4" s="1"/>
  <c r="N60" i="4"/>
  <c r="M60" i="4"/>
  <c r="L60" i="4"/>
  <c r="K60" i="4"/>
  <c r="J60" i="4"/>
  <c r="I60" i="4"/>
  <c r="H60" i="4"/>
  <c r="G60" i="4"/>
  <c r="F60" i="4"/>
  <c r="E60" i="4"/>
  <c r="D60" i="4"/>
  <c r="C60" i="4"/>
  <c r="N59" i="4"/>
  <c r="N179" i="4" s="1"/>
  <c r="M59" i="4"/>
  <c r="M179" i="4" s="1"/>
  <c r="L59" i="4"/>
  <c r="L179" i="4" s="1"/>
  <c r="K59" i="4"/>
  <c r="K179" i="4" s="1"/>
  <c r="J59" i="4"/>
  <c r="J179" i="4" s="1"/>
  <c r="I59" i="4"/>
  <c r="I179" i="4" s="1"/>
  <c r="H59" i="4"/>
  <c r="H179" i="4" s="1"/>
  <c r="G59" i="4"/>
  <c r="G179" i="4" s="1"/>
  <c r="F59" i="4"/>
  <c r="F179" i="4" s="1"/>
  <c r="E59" i="4"/>
  <c r="E179" i="4" s="1"/>
  <c r="D59" i="4"/>
  <c r="C59" i="4"/>
  <c r="C179" i="4" s="1"/>
  <c r="H57" i="4"/>
  <c r="G57" i="4"/>
  <c r="F57" i="4"/>
  <c r="E57" i="4"/>
  <c r="D57" i="4"/>
  <c r="C57" i="4"/>
  <c r="N45" i="4"/>
  <c r="M45" i="4"/>
  <c r="L45" i="4"/>
  <c r="K45" i="4"/>
  <c r="J45" i="4"/>
  <c r="I45" i="4"/>
  <c r="H45" i="4"/>
  <c r="G45" i="4"/>
  <c r="F45" i="4"/>
  <c r="E45" i="4"/>
  <c r="D45" i="4"/>
  <c r="C45" i="4"/>
  <c r="N27" i="4"/>
  <c r="M27" i="4"/>
  <c r="L27" i="4"/>
  <c r="K27" i="4"/>
  <c r="J27" i="4"/>
  <c r="I27" i="4"/>
  <c r="H27" i="4"/>
  <c r="G27" i="4"/>
  <c r="F27" i="4"/>
  <c r="E27" i="4"/>
  <c r="D27"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D23" i="4"/>
  <c r="C23" i="4"/>
  <c r="AE16" i="4"/>
  <c r="AD16" i="4"/>
  <c r="AC16" i="4"/>
  <c r="AB16" i="4"/>
  <c r="AA16" i="4"/>
  <c r="AE15" i="4"/>
  <c r="AD15" i="4"/>
  <c r="AC15" i="4"/>
  <c r="AB15" i="4"/>
  <c r="AA15" i="4"/>
  <c r="A1" i="4"/>
  <c r="B90" i="3"/>
  <c r="B179" i="2" s="1"/>
  <c r="B89" i="3"/>
  <c r="B178" i="2" s="1"/>
  <c r="B83" i="3"/>
  <c r="B175" i="2" s="1"/>
  <c r="B78" i="3"/>
  <c r="B173" i="2" s="1"/>
  <c r="B68" i="3"/>
  <c r="B62" i="3"/>
  <c r="B53" i="3"/>
  <c r="B151" i="2" s="1"/>
  <c r="B51" i="3"/>
  <c r="B149" i="2" s="1"/>
  <c r="B47" i="3"/>
  <c r="B145" i="2" s="1"/>
  <c r="B38" i="3"/>
  <c r="B36" i="3"/>
  <c r="B137" i="2" s="1"/>
  <c r="B26" i="3"/>
  <c r="B133" i="2" s="1"/>
  <c r="B24" i="3"/>
  <c r="B131" i="2" s="1"/>
  <c r="B20" i="3"/>
  <c r="B127" i="2" s="1"/>
  <c r="B14" i="3"/>
  <c r="B15" i="3" s="1"/>
  <c r="C6" i="3"/>
  <c r="A1" i="3"/>
  <c r="B163" i="2"/>
  <c r="B157" i="2"/>
  <c r="B139" i="2"/>
  <c r="B121" i="2"/>
  <c r="F79" i="2"/>
  <c r="B84" i="2" s="1"/>
  <c r="I77" i="2"/>
  <c r="I79" i="2" s="1"/>
  <c r="B86" i="2" s="1"/>
  <c r="H77" i="2"/>
  <c r="H79" i="2" s="1"/>
  <c r="B85" i="2" s="1"/>
  <c r="G77" i="2"/>
  <c r="G79" i="2" s="1"/>
  <c r="F77" i="2"/>
  <c r="A1" i="2"/>
  <c r="C5" i="1"/>
  <c r="M12" i="4" l="1"/>
  <c r="M11" i="4"/>
  <c r="L12" i="4"/>
  <c r="L11" i="4"/>
  <c r="K12" i="4"/>
  <c r="K11" i="4"/>
  <c r="J12" i="4"/>
  <c r="J11" i="4"/>
  <c r="H12" i="4"/>
  <c r="H11" i="4"/>
  <c r="F12" i="4"/>
  <c r="F11" i="4"/>
  <c r="E12" i="4"/>
  <c r="E11" i="4"/>
  <c r="D12" i="4"/>
  <c r="D11" i="4"/>
  <c r="N12" i="4"/>
  <c r="N11" i="4"/>
  <c r="I12" i="4"/>
  <c r="C12" i="4"/>
  <c r="G12" i="4"/>
  <c r="I11" i="4"/>
  <c r="G11" i="4"/>
  <c r="C11" i="4"/>
  <c r="M13" i="4"/>
  <c r="L13" i="4"/>
  <c r="K13" i="4"/>
  <c r="J13" i="4"/>
  <c r="H13" i="4"/>
  <c r="F13" i="4"/>
  <c r="E13" i="4"/>
  <c r="D13" i="4"/>
  <c r="N13" i="4"/>
  <c r="C13" i="4"/>
  <c r="I13" i="4"/>
  <c r="G13" i="4"/>
  <c r="B90" i="2"/>
  <c r="B87" i="2"/>
  <c r="E155" i="4"/>
  <c r="H58" i="4"/>
  <c r="G155" i="4"/>
  <c r="B71" i="3"/>
  <c r="B166" i="2" s="1"/>
  <c r="B56" i="3"/>
  <c r="B154" i="2" s="1"/>
  <c r="B44" i="3"/>
  <c r="B142" i="2" s="1"/>
  <c r="B23" i="3"/>
  <c r="B130" i="2" s="1"/>
  <c r="B85" i="3"/>
  <c r="B177" i="2" s="1"/>
  <c r="B70" i="3"/>
  <c r="B165" i="2" s="1"/>
  <c r="B55" i="3"/>
  <c r="B153" i="2" s="1"/>
  <c r="B40" i="3"/>
  <c r="B141" i="2" s="1"/>
  <c r="B22" i="3"/>
  <c r="B129" i="2" s="1"/>
  <c r="B84" i="3"/>
  <c r="B176" i="2" s="1"/>
  <c r="B54" i="3"/>
  <c r="B152" i="2" s="1"/>
  <c r="B39" i="3"/>
  <c r="B140" i="2" s="1"/>
  <c r="B21" i="3"/>
  <c r="B128" i="2" s="1"/>
  <c r="B69" i="3"/>
  <c r="B164" i="2" s="1"/>
  <c r="B52" i="3"/>
  <c r="B150" i="2" s="1"/>
  <c r="B37" i="3"/>
  <c r="B138" i="2" s="1"/>
  <c r="B19" i="3"/>
  <c r="B126" i="2" s="1"/>
  <c r="B77" i="3"/>
  <c r="B172" i="2" s="1"/>
  <c r="B65" i="3"/>
  <c r="B160" i="2" s="1"/>
  <c r="B50" i="3"/>
  <c r="B148" i="2" s="1"/>
  <c r="B35" i="3"/>
  <c r="B136" i="2" s="1"/>
  <c r="B17" i="3"/>
  <c r="B124" i="2" s="1"/>
  <c r="AB26" i="4" s="1"/>
  <c r="B76" i="3"/>
  <c r="B64" i="3"/>
  <c r="B159" i="2" s="1"/>
  <c r="B49" i="3"/>
  <c r="B147" i="2" s="1"/>
  <c r="B31" i="3"/>
  <c r="B135" i="2" s="1"/>
  <c r="B16" i="3"/>
  <c r="B123" i="2" s="1"/>
  <c r="B75" i="3"/>
  <c r="B170" i="2" s="1"/>
  <c r="E147" i="4" s="1"/>
  <c r="B63" i="3"/>
  <c r="B158" i="2" s="1"/>
  <c r="B48" i="3"/>
  <c r="B146" i="2" s="1"/>
  <c r="B30" i="3"/>
  <c r="B134" i="2" s="1"/>
  <c r="B73" i="3"/>
  <c r="B168" i="2" s="1"/>
  <c r="B61" i="3"/>
  <c r="B156" i="2" s="1"/>
  <c r="B46" i="3"/>
  <c r="B144" i="2" s="1"/>
  <c r="B25" i="3"/>
  <c r="B132" i="2" s="1"/>
  <c r="B10" i="3"/>
  <c r="B120" i="2" s="1"/>
  <c r="B72" i="3"/>
  <c r="B167" i="2" s="1"/>
  <c r="B57" i="3"/>
  <c r="B155" i="2" s="1"/>
  <c r="B45" i="3"/>
  <c r="B143" i="2" s="1"/>
  <c r="B66" i="3"/>
  <c r="B161" i="2" s="1"/>
  <c r="E98" i="4" s="1"/>
  <c r="M155" i="4"/>
  <c r="B67" i="3"/>
  <c r="B162" i="2" s="1"/>
  <c r="B122" i="2"/>
  <c r="B18" i="3"/>
  <c r="B125" i="2" s="1"/>
  <c r="B74" i="3"/>
  <c r="B169" i="2" s="1"/>
  <c r="L155" i="4"/>
  <c r="F155" i="4"/>
  <c r="H155" i="4"/>
  <c r="C58" i="4"/>
  <c r="I155" i="4"/>
  <c r="J155" i="4"/>
  <c r="K155" i="4"/>
  <c r="C155" i="4"/>
  <c r="D155" i="4"/>
  <c r="D58" i="4"/>
  <c r="I180" i="4"/>
  <c r="E180" i="4"/>
  <c r="D19" i="5" s="1"/>
  <c r="N155" i="4"/>
  <c r="D38" i="5" s="1"/>
  <c r="D179" i="4"/>
  <c r="D18" i="5" s="1"/>
  <c r="M147" i="4"/>
  <c r="G138" i="4"/>
  <c r="I147" i="4"/>
  <c r="J147" i="4"/>
  <c r="K147" i="4"/>
  <c r="V17" i="4" l="1"/>
  <c r="J17" i="4"/>
  <c r="P15" i="4"/>
  <c r="D15" i="4"/>
  <c r="X15" i="4"/>
  <c r="L15" i="4"/>
  <c r="M26" i="4"/>
  <c r="M28" i="4" s="1"/>
  <c r="I26" i="4"/>
  <c r="H178" i="4"/>
  <c r="Q17" i="4"/>
  <c r="E17" i="4"/>
  <c r="T26" i="4"/>
  <c r="R17" i="4"/>
  <c r="F17" i="4"/>
  <c r="K26" i="4"/>
  <c r="K28" i="4" s="1"/>
  <c r="T17" i="4"/>
  <c r="H17" i="4"/>
  <c r="F147" i="4"/>
  <c r="W17" i="4"/>
  <c r="K17" i="4"/>
  <c r="P16" i="4"/>
  <c r="D16" i="4"/>
  <c r="X16" i="4"/>
  <c r="L16" i="4"/>
  <c r="AC26" i="4"/>
  <c r="W26" i="4"/>
  <c r="W15" i="4"/>
  <c r="K15" i="4"/>
  <c r="Z16" i="4"/>
  <c r="N16" i="4"/>
  <c r="X17" i="4"/>
  <c r="L17" i="4"/>
  <c r="Q15" i="4"/>
  <c r="E15" i="4"/>
  <c r="M15" i="4"/>
  <c r="Y15" i="4"/>
  <c r="O26" i="4"/>
  <c r="J26" i="4"/>
  <c r="U16" i="4"/>
  <c r="I16" i="4"/>
  <c r="U26" i="4"/>
  <c r="H147" i="4"/>
  <c r="Y17" i="4"/>
  <c r="M17" i="4"/>
  <c r="Q16" i="4"/>
  <c r="E16" i="4"/>
  <c r="Y16" i="4"/>
  <c r="M16" i="4"/>
  <c r="AD26" i="4"/>
  <c r="X26" i="4"/>
  <c r="Y26" i="4"/>
  <c r="N147" i="4"/>
  <c r="AE20" i="4"/>
  <c r="S20" i="4"/>
  <c r="U20" i="4"/>
  <c r="H20" i="4"/>
  <c r="T20" i="4"/>
  <c r="G20" i="4"/>
  <c r="R20" i="4"/>
  <c r="F20" i="4"/>
  <c r="Q20" i="4"/>
  <c r="AD20" i="4"/>
  <c r="E20" i="4"/>
  <c r="AB20" i="4"/>
  <c r="O20" i="4"/>
  <c r="C20" i="4"/>
  <c r="Z20" i="4"/>
  <c r="M20" i="4"/>
  <c r="Y20" i="4"/>
  <c r="L20" i="4"/>
  <c r="X20" i="4"/>
  <c r="K20" i="4"/>
  <c r="V20" i="4"/>
  <c r="I20" i="4"/>
  <c r="N20" i="4"/>
  <c r="J20" i="4"/>
  <c r="D20" i="4"/>
  <c r="P20" i="4"/>
  <c r="W20" i="4"/>
  <c r="AC20" i="4"/>
  <c r="AA20" i="4"/>
  <c r="S17" i="4"/>
  <c r="G17" i="4"/>
  <c r="O15" i="4"/>
  <c r="C15" i="4"/>
  <c r="C14" i="4"/>
  <c r="R15" i="4"/>
  <c r="F15" i="4"/>
  <c r="C26" i="4"/>
  <c r="C28" i="4" s="1"/>
  <c r="C30" i="4" s="1"/>
  <c r="Q26" i="4"/>
  <c r="N26" i="4"/>
  <c r="V16" i="4"/>
  <c r="J16" i="4"/>
  <c r="C138" i="4"/>
  <c r="D138" i="4"/>
  <c r="H98" i="4"/>
  <c r="G98" i="4"/>
  <c r="G58" i="4"/>
  <c r="G178" i="4" s="1"/>
  <c r="H124" i="4"/>
  <c r="G124" i="4"/>
  <c r="F124" i="4"/>
  <c r="E124" i="4"/>
  <c r="J124" i="4"/>
  <c r="I124" i="4"/>
  <c r="D124" i="4"/>
  <c r="C124" i="4"/>
  <c r="D84" i="4"/>
  <c r="G44" i="4"/>
  <c r="J84" i="4"/>
  <c r="I84" i="4"/>
  <c r="H84" i="4"/>
  <c r="F84" i="4"/>
  <c r="C84" i="4"/>
  <c r="F44" i="4"/>
  <c r="G84" i="4"/>
  <c r="E44" i="4"/>
  <c r="E84" i="4"/>
  <c r="D44" i="4"/>
  <c r="D160" i="4" s="1"/>
  <c r="J44" i="4"/>
  <c r="I44" i="4"/>
  <c r="C44" i="4"/>
  <c r="H44" i="4"/>
  <c r="Q146" i="4"/>
  <c r="Q147" i="4" s="1"/>
  <c r="S146" i="4"/>
  <c r="S147" i="4" s="1"/>
  <c r="U17" i="4"/>
  <c r="I17" i="4"/>
  <c r="S15" i="4"/>
  <c r="G15" i="4"/>
  <c r="R16" i="4"/>
  <c r="F16" i="4"/>
  <c r="F26" i="4"/>
  <c r="F28" i="4" s="1"/>
  <c r="AE26" i="4"/>
  <c r="Z26" i="4"/>
  <c r="Z15" i="4"/>
  <c r="N15" i="4"/>
  <c r="H26" i="4"/>
  <c r="H28" i="4" s="1"/>
  <c r="AD17" i="4"/>
  <c r="AC17" i="4"/>
  <c r="AB17" i="4"/>
  <c r="AE17" i="4"/>
  <c r="C17" i="4"/>
  <c r="AA17" i="4"/>
  <c r="O17" i="4"/>
  <c r="U15" i="4"/>
  <c r="I15" i="4"/>
  <c r="T15" i="4"/>
  <c r="H15" i="4"/>
  <c r="L26" i="4"/>
  <c r="E26" i="4"/>
  <c r="D26" i="4"/>
  <c r="D28" i="4" s="1"/>
  <c r="V106" i="4"/>
  <c r="J106" i="4"/>
  <c r="U106" i="4"/>
  <c r="I106" i="4"/>
  <c r="I108" i="4" s="1"/>
  <c r="T106" i="4"/>
  <c r="H106" i="4"/>
  <c r="H108" i="4" s="1"/>
  <c r="AC106" i="4"/>
  <c r="Q106" i="4"/>
  <c r="E106" i="4"/>
  <c r="AE106" i="4"/>
  <c r="N106" i="4"/>
  <c r="AD106" i="4"/>
  <c r="M106" i="4"/>
  <c r="M108" i="4" s="1"/>
  <c r="AB106" i="4"/>
  <c r="L106" i="4"/>
  <c r="Y106" i="4"/>
  <c r="X106" i="4"/>
  <c r="D106" i="4"/>
  <c r="D108" i="4" s="1"/>
  <c r="S106" i="4"/>
  <c r="R106" i="4"/>
  <c r="P106" i="4"/>
  <c r="O106" i="4"/>
  <c r="G106" i="4"/>
  <c r="C106" i="4"/>
  <c r="C108" i="4" s="1"/>
  <c r="C110" i="4" s="1"/>
  <c r="W106" i="4"/>
  <c r="AA106" i="4"/>
  <c r="Z106" i="4"/>
  <c r="F106" i="4"/>
  <c r="F108" i="4" s="1"/>
  <c r="K106" i="4"/>
  <c r="K108" i="4" s="1"/>
  <c r="E138" i="4"/>
  <c r="H138" i="4"/>
  <c r="D98" i="4"/>
  <c r="D178" i="4" s="1"/>
  <c r="F98" i="4"/>
  <c r="AA66" i="4"/>
  <c r="O66" i="4"/>
  <c r="C66" i="4"/>
  <c r="C68" i="4" s="1"/>
  <c r="C70" i="4" s="1"/>
  <c r="Z66" i="4"/>
  <c r="N66" i="4"/>
  <c r="Y66" i="4"/>
  <c r="M66" i="4"/>
  <c r="M68" i="4" s="1"/>
  <c r="V66" i="4"/>
  <c r="J66" i="4"/>
  <c r="T66" i="4"/>
  <c r="H66" i="4"/>
  <c r="H68" i="4" s="1"/>
  <c r="R66" i="4"/>
  <c r="Q66" i="4"/>
  <c r="P66" i="4"/>
  <c r="AD66" i="4"/>
  <c r="I66" i="4"/>
  <c r="I68" i="4" s="1"/>
  <c r="AC66" i="4"/>
  <c r="G66" i="4"/>
  <c r="G68" i="4" s="1"/>
  <c r="AB66" i="4"/>
  <c r="F66" i="4"/>
  <c r="F68" i="4" s="1"/>
  <c r="X66" i="4"/>
  <c r="E66" i="4"/>
  <c r="S66" i="4"/>
  <c r="L66" i="4"/>
  <c r="K66" i="4"/>
  <c r="K68" i="4" s="1"/>
  <c r="D66" i="4"/>
  <c r="D68" i="4" s="1"/>
  <c r="AE66" i="4"/>
  <c r="U66" i="4"/>
  <c r="W66" i="4"/>
  <c r="C98" i="4"/>
  <c r="C178" i="4" s="1"/>
  <c r="D147" i="4"/>
  <c r="F58" i="4"/>
  <c r="Z21" i="4"/>
  <c r="N21" i="4"/>
  <c r="AE21" i="4"/>
  <c r="R21" i="4"/>
  <c r="E21" i="4"/>
  <c r="AD21" i="4"/>
  <c r="Q21" i="4"/>
  <c r="D21" i="4"/>
  <c r="AC21" i="4"/>
  <c r="P21" i="4"/>
  <c r="C21" i="4"/>
  <c r="O21" i="4"/>
  <c r="AB21" i="4"/>
  <c r="Y21" i="4"/>
  <c r="L21" i="4"/>
  <c r="W21" i="4"/>
  <c r="J21" i="4"/>
  <c r="V21" i="4"/>
  <c r="I21" i="4"/>
  <c r="U21" i="4"/>
  <c r="H21" i="4"/>
  <c r="S21" i="4"/>
  <c r="F21" i="4"/>
  <c r="AA21" i="4"/>
  <c r="X21" i="4"/>
  <c r="T21" i="4"/>
  <c r="M21" i="4"/>
  <c r="K21" i="4"/>
  <c r="G21" i="4"/>
  <c r="Z17" i="4"/>
  <c r="N17" i="4"/>
  <c r="S16" i="4"/>
  <c r="G16" i="4"/>
  <c r="T16" i="4"/>
  <c r="H16" i="4"/>
  <c r="AA26" i="4"/>
  <c r="S26" i="4"/>
  <c r="P26" i="4"/>
  <c r="W16" i="4"/>
  <c r="K16" i="4"/>
  <c r="V26" i="4"/>
  <c r="G147" i="4"/>
  <c r="F138" i="4"/>
  <c r="L147" i="4"/>
  <c r="C147" i="4"/>
  <c r="E58" i="4"/>
  <c r="E178" i="4" s="1"/>
  <c r="AE146" i="4"/>
  <c r="AE147" i="4" s="1"/>
  <c r="B79" i="3"/>
  <c r="B174" i="2" s="1"/>
  <c r="Y146" i="4" s="1"/>
  <c r="Y147" i="4" s="1"/>
  <c r="B171" i="2"/>
  <c r="P17" i="4"/>
  <c r="D17" i="4"/>
  <c r="O16" i="4"/>
  <c r="C16" i="4"/>
  <c r="D14" i="4"/>
  <c r="V15" i="4"/>
  <c r="J15" i="4"/>
  <c r="R26" i="4"/>
  <c r="G26" i="4"/>
  <c r="G28" i="4" s="1"/>
  <c r="F178" i="4" l="1"/>
  <c r="Z146" i="4"/>
  <c r="Z147" i="4" s="1"/>
  <c r="C154" i="4"/>
  <c r="C31" i="4"/>
  <c r="C34" i="4"/>
  <c r="R146" i="4"/>
  <c r="R147" i="4" s="1"/>
  <c r="D10" i="5"/>
  <c r="D20" i="5"/>
  <c r="N68" i="4"/>
  <c r="P146" i="4"/>
  <c r="P147" i="4" s="1"/>
  <c r="H160" i="4"/>
  <c r="E160" i="4"/>
  <c r="AD146" i="4"/>
  <c r="AD147" i="4" s="1"/>
  <c r="AA146" i="4"/>
  <c r="AA147" i="4" s="1"/>
  <c r="I28" i="4"/>
  <c r="O146" i="4"/>
  <c r="O147" i="4" s="1"/>
  <c r="J10" i="5"/>
  <c r="J20" i="5"/>
  <c r="C71" i="4"/>
  <c r="C74" i="4"/>
  <c r="L108" i="4"/>
  <c r="T146" i="4"/>
  <c r="T147" i="4" s="1"/>
  <c r="J108" i="4"/>
  <c r="V146" i="4"/>
  <c r="V147" i="4" s="1"/>
  <c r="C160" i="4"/>
  <c r="F160" i="4"/>
  <c r="J28" i="4"/>
  <c r="L68" i="4"/>
  <c r="U146" i="4"/>
  <c r="U147" i="4" s="1"/>
  <c r="G108" i="4"/>
  <c r="N108" i="4"/>
  <c r="E28" i="4"/>
  <c r="W146" i="4"/>
  <c r="W147" i="4" s="1"/>
  <c r="I160" i="4"/>
  <c r="AC146" i="4"/>
  <c r="AC147" i="4" s="1"/>
  <c r="E68" i="4"/>
  <c r="L28" i="4"/>
  <c r="AB146" i="4"/>
  <c r="AB147" i="4" s="1"/>
  <c r="X146" i="4"/>
  <c r="X147" i="4" s="1"/>
  <c r="J160" i="4"/>
  <c r="G160" i="4"/>
  <c r="N28" i="4"/>
  <c r="C111" i="4"/>
  <c r="C114" i="4"/>
  <c r="J68" i="4"/>
  <c r="E108" i="4"/>
  <c r="C75" i="4" l="1"/>
  <c r="C87" i="4"/>
  <c r="C76" i="4"/>
  <c r="C95" i="4" s="1"/>
  <c r="C83" i="4"/>
  <c r="C79" i="4"/>
  <c r="C78" i="4"/>
  <c r="F20" i="5"/>
  <c r="F10" i="5"/>
  <c r="C151" i="4"/>
  <c r="C36" i="4"/>
  <c r="D31" i="4"/>
  <c r="C43" i="4"/>
  <c r="C62" i="4"/>
  <c r="D32" i="4"/>
  <c r="C35" i="4"/>
  <c r="C39" i="4"/>
  <c r="D109" i="4"/>
  <c r="D110" i="4" s="1"/>
  <c r="D112" i="4" s="1"/>
  <c r="I20" i="5"/>
  <c r="I10" i="5"/>
  <c r="G20" i="5"/>
  <c r="G10" i="5"/>
  <c r="C115" i="4"/>
  <c r="D111" i="4"/>
  <c r="C116" i="4"/>
  <c r="C135" i="4" s="1"/>
  <c r="C112" i="4"/>
  <c r="C113" i="4" s="1"/>
  <c r="C142" i="4" s="1"/>
  <c r="C72" i="4"/>
  <c r="C73" i="4" s="1"/>
  <c r="C102" i="4" s="1"/>
  <c r="C153" i="4"/>
  <c r="D29" i="4"/>
  <c r="D30" i="4" s="1"/>
  <c r="D34" i="4"/>
  <c r="H20" i="5"/>
  <c r="H10" i="5"/>
  <c r="E20" i="5"/>
  <c r="E10" i="5"/>
  <c r="D74" i="4"/>
  <c r="D69" i="4"/>
  <c r="D70" i="4" s="1"/>
  <c r="D71" i="4" s="1"/>
  <c r="C32" i="4"/>
  <c r="C33" i="4" s="1"/>
  <c r="D87" i="4" l="1"/>
  <c r="D76" i="4"/>
  <c r="D95" i="4" s="1"/>
  <c r="E71" i="4"/>
  <c r="E72" i="4" s="1"/>
  <c r="D75" i="4"/>
  <c r="D72" i="4"/>
  <c r="D73" i="4" s="1"/>
  <c r="C119" i="4"/>
  <c r="D115" i="4"/>
  <c r="D116" i="4"/>
  <c r="D135" i="4" s="1"/>
  <c r="D119" i="4"/>
  <c r="D118" i="4"/>
  <c r="C181" i="4"/>
  <c r="D151" i="4"/>
  <c r="D36" i="4"/>
  <c r="D35" i="4"/>
  <c r="C88" i="4"/>
  <c r="C89" i="4" s="1"/>
  <c r="C92" i="4"/>
  <c r="C161" i="4"/>
  <c r="C54" i="4"/>
  <c r="C37" i="4"/>
  <c r="C118" i="4"/>
  <c r="C134" i="4"/>
  <c r="C117" i="4"/>
  <c r="C46" i="4"/>
  <c r="K44" i="4"/>
  <c r="C123" i="4"/>
  <c r="D114" i="4"/>
  <c r="D153" i="4"/>
  <c r="E29" i="4"/>
  <c r="E30" i="4" s="1"/>
  <c r="D154" i="4"/>
  <c r="C94" i="4"/>
  <c r="C77" i="4"/>
  <c r="D113" i="4"/>
  <c r="C86" i="4"/>
  <c r="K84" i="4"/>
  <c r="C162" i="4"/>
  <c r="C55" i="4"/>
  <c r="C176" i="4" s="1"/>
  <c r="C152" i="4"/>
  <c r="C169" i="4" s="1"/>
  <c r="D33" i="4"/>
  <c r="D39" i="4" s="1"/>
  <c r="E74" i="4"/>
  <c r="E69" i="4"/>
  <c r="E70" i="4" s="1"/>
  <c r="C38" i="4"/>
  <c r="E73" i="4" l="1"/>
  <c r="D102" i="4"/>
  <c r="D79" i="4"/>
  <c r="D78" i="4"/>
  <c r="D83" i="4"/>
  <c r="D162" i="4"/>
  <c r="D55" i="4"/>
  <c r="D176" i="4" s="1"/>
  <c r="E109" i="4"/>
  <c r="E110" i="4" s="1"/>
  <c r="C90" i="4"/>
  <c r="C91" i="4" s="1"/>
  <c r="C96" i="4" s="1"/>
  <c r="C103" i="4" s="1"/>
  <c r="C93" i="4"/>
  <c r="D77" i="4"/>
  <c r="D94" i="4"/>
  <c r="C158" i="4"/>
  <c r="C40" i="4"/>
  <c r="C41" i="4"/>
  <c r="D152" i="4"/>
  <c r="C175" i="4"/>
  <c r="C126" i="4"/>
  <c r="K124" i="4"/>
  <c r="K160" i="4" s="1"/>
  <c r="E87" i="4"/>
  <c r="E76" i="4"/>
  <c r="E95" i="4" s="1"/>
  <c r="E75" i="4"/>
  <c r="E83" i="4"/>
  <c r="E102" i="4"/>
  <c r="F71" i="4"/>
  <c r="F72" i="4" s="1"/>
  <c r="E79" i="4"/>
  <c r="E78" i="4"/>
  <c r="D161" i="4"/>
  <c r="D54" i="4"/>
  <c r="D37" i="4"/>
  <c r="D158" i="4" s="1"/>
  <c r="F69" i="4"/>
  <c r="F70" i="4" s="1"/>
  <c r="F74" i="4" s="1"/>
  <c r="C53" i="4"/>
  <c r="C81" i="4"/>
  <c r="D81" i="4" s="1"/>
  <c r="C80" i="4"/>
  <c r="D62" i="4"/>
  <c r="D123" i="4"/>
  <c r="C120" i="4"/>
  <c r="C121" i="4"/>
  <c r="D121" i="4" s="1"/>
  <c r="D43" i="4"/>
  <c r="D169" i="4"/>
  <c r="D38" i="4"/>
  <c r="D142" i="4"/>
  <c r="E34" i="4"/>
  <c r="E31" i="4"/>
  <c r="D134" i="4"/>
  <c r="D117" i="4"/>
  <c r="D88" i="4"/>
  <c r="D89" i="4" s="1"/>
  <c r="D92" i="4"/>
  <c r="G69" i="4" l="1"/>
  <c r="G70" i="4" s="1"/>
  <c r="G74" i="4" s="1"/>
  <c r="E111" i="4"/>
  <c r="E112" i="4"/>
  <c r="E113" i="4" s="1"/>
  <c r="E151" i="4"/>
  <c r="E62" i="4"/>
  <c r="E43" i="4"/>
  <c r="E35" i="4"/>
  <c r="E36" i="4"/>
  <c r="D175" i="4"/>
  <c r="D181" i="4"/>
  <c r="E114" i="4"/>
  <c r="C133" i="4"/>
  <c r="C182" i="4" s="1"/>
  <c r="D126" i="4"/>
  <c r="L124" i="4"/>
  <c r="C82" i="4"/>
  <c r="D80" i="4"/>
  <c r="C156" i="4"/>
  <c r="D40" i="4"/>
  <c r="C42" i="4"/>
  <c r="E154" i="4"/>
  <c r="E77" i="4"/>
  <c r="E81" i="4" s="1"/>
  <c r="E94" i="4"/>
  <c r="E153" i="4"/>
  <c r="F34" i="4"/>
  <c r="F29" i="4"/>
  <c r="F30" i="4" s="1"/>
  <c r="F87" i="4"/>
  <c r="F76" i="4"/>
  <c r="F95" i="4" s="1"/>
  <c r="F83" i="4"/>
  <c r="G71" i="4"/>
  <c r="F75" i="4"/>
  <c r="G72" i="4"/>
  <c r="F79" i="4"/>
  <c r="F78" i="4"/>
  <c r="D86" i="4"/>
  <c r="L84" i="4"/>
  <c r="E86" i="4"/>
  <c r="M84" i="4"/>
  <c r="F73" i="4"/>
  <c r="F102" i="4" s="1"/>
  <c r="D120" i="4"/>
  <c r="C122" i="4"/>
  <c r="C127" i="4" s="1"/>
  <c r="C157" i="4"/>
  <c r="D41" i="4"/>
  <c r="D46" i="4"/>
  <c r="L44" i="4"/>
  <c r="E88" i="4"/>
  <c r="E89" i="4" s="1"/>
  <c r="E92" i="4"/>
  <c r="E32" i="4"/>
  <c r="E33" i="4" s="1"/>
  <c r="E39" i="4" s="1"/>
  <c r="H69" i="4" l="1"/>
  <c r="H70" i="4" s="1"/>
  <c r="H71" i="4" s="1"/>
  <c r="L160" i="4"/>
  <c r="D157" i="4"/>
  <c r="E41" i="4"/>
  <c r="C128" i="4"/>
  <c r="C129" i="4" s="1"/>
  <c r="C130" i="4" s="1"/>
  <c r="C131" i="4" s="1"/>
  <c r="C136" i="4" s="1"/>
  <c r="C143" i="4" s="1"/>
  <c r="C132" i="4"/>
  <c r="C159" i="4"/>
  <c r="C171" i="4" s="1"/>
  <c r="C47" i="4"/>
  <c r="G29" i="4"/>
  <c r="G30" i="4" s="1"/>
  <c r="D122" i="4"/>
  <c r="D127" i="4" s="1"/>
  <c r="D53" i="4"/>
  <c r="G102" i="4"/>
  <c r="G87" i="4"/>
  <c r="G76" i="4"/>
  <c r="G95" i="4" s="1"/>
  <c r="G83" i="4"/>
  <c r="G75" i="4"/>
  <c r="G78" i="4"/>
  <c r="E169" i="4"/>
  <c r="E142" i="4"/>
  <c r="E181" i="4" s="1"/>
  <c r="E115" i="4"/>
  <c r="F112" i="4"/>
  <c r="F113" i="4" s="1"/>
  <c r="E116" i="4"/>
  <c r="E135" i="4" s="1"/>
  <c r="E123" i="4"/>
  <c r="F111" i="4"/>
  <c r="E119" i="4"/>
  <c r="E118" i="4"/>
  <c r="F88" i="4"/>
  <c r="F89" i="4" s="1"/>
  <c r="F92" i="4"/>
  <c r="E162" i="4"/>
  <c r="E55" i="4"/>
  <c r="E176" i="4" s="1"/>
  <c r="D133" i="4"/>
  <c r="F114" i="4"/>
  <c r="F109" i="4"/>
  <c r="F110" i="4" s="1"/>
  <c r="F86" i="4"/>
  <c r="N84" i="4"/>
  <c r="G73" i="4"/>
  <c r="E93" i="4"/>
  <c r="E90" i="4"/>
  <c r="E91" i="4" s="1"/>
  <c r="E96" i="4" s="1"/>
  <c r="E103" i="4" s="1"/>
  <c r="D82" i="4"/>
  <c r="E80" i="4"/>
  <c r="D93" i="4"/>
  <c r="D90" i="4"/>
  <c r="D91" i="4" s="1"/>
  <c r="D96" i="4" s="1"/>
  <c r="D103" i="4" s="1"/>
  <c r="E161" i="4"/>
  <c r="E54" i="4"/>
  <c r="E37" i="4"/>
  <c r="E46" i="4"/>
  <c r="M44" i="4"/>
  <c r="C164" i="4"/>
  <c r="C166" i="4"/>
  <c r="C170" i="4"/>
  <c r="F94" i="4"/>
  <c r="F77" i="4"/>
  <c r="F81" i="4" s="1"/>
  <c r="D156" i="4"/>
  <c r="E40" i="4"/>
  <c r="D42" i="4"/>
  <c r="E152" i="4"/>
  <c r="E38" i="4"/>
  <c r="F154" i="4"/>
  <c r="F31" i="4"/>
  <c r="H76" i="4" l="1"/>
  <c r="H95" i="4" s="1"/>
  <c r="H75" i="4"/>
  <c r="H87" i="4"/>
  <c r="E42" i="4"/>
  <c r="G86" i="4"/>
  <c r="O84" i="4"/>
  <c r="O85" i="4" s="1"/>
  <c r="C48" i="4"/>
  <c r="C49" i="4" s="1"/>
  <c r="C50" i="4" s="1"/>
  <c r="C51" i="4" s="1"/>
  <c r="C172" i="4"/>
  <c r="C173" i="4" s="1"/>
  <c r="C52" i="4"/>
  <c r="E175" i="4"/>
  <c r="G88" i="4"/>
  <c r="G89" i="4" s="1"/>
  <c r="G92" i="4"/>
  <c r="F80" i="4"/>
  <c r="E82" i="4"/>
  <c r="F151" i="4"/>
  <c r="F62" i="4"/>
  <c r="F181" i="4" s="1"/>
  <c r="F43" i="4"/>
  <c r="F35" i="4"/>
  <c r="F36" i="4"/>
  <c r="G31" i="4"/>
  <c r="F32" i="4"/>
  <c r="F33" i="4" s="1"/>
  <c r="F39" i="4" s="1"/>
  <c r="D182" i="4"/>
  <c r="D170" i="4"/>
  <c r="D164" i="4"/>
  <c r="D166" i="4"/>
  <c r="E121" i="4"/>
  <c r="D128" i="4"/>
  <c r="D129" i="4" s="1"/>
  <c r="D130" i="4" s="1"/>
  <c r="D131" i="4" s="1"/>
  <c r="D136" i="4" s="1"/>
  <c r="D143" i="4" s="1"/>
  <c r="D132" i="4"/>
  <c r="F142" i="4"/>
  <c r="F123" i="4"/>
  <c r="F116" i="4"/>
  <c r="F135" i="4" s="1"/>
  <c r="G111" i="4"/>
  <c r="F115" i="4"/>
  <c r="F119" i="4"/>
  <c r="F118" i="4"/>
  <c r="H72" i="4"/>
  <c r="H73" i="4" s="1"/>
  <c r="H74" i="4"/>
  <c r="G109" i="4"/>
  <c r="G110" i="4" s="1"/>
  <c r="G114" i="4" s="1"/>
  <c r="F153" i="4"/>
  <c r="E134" i="4"/>
  <c r="E117" i="4"/>
  <c r="E120" i="4" s="1"/>
  <c r="C167" i="4"/>
  <c r="G79" i="4"/>
  <c r="G81" i="4" s="1"/>
  <c r="E53" i="4"/>
  <c r="F90" i="4"/>
  <c r="F91" i="4" s="1"/>
  <c r="F96" i="4" s="1"/>
  <c r="F103" i="4" s="1"/>
  <c r="F93" i="4"/>
  <c r="E126" i="4"/>
  <c r="M124" i="4"/>
  <c r="G94" i="4"/>
  <c r="G77" i="4"/>
  <c r="G154" i="4"/>
  <c r="M160" i="4"/>
  <c r="D159" i="4"/>
  <c r="D171" i="4" s="1"/>
  <c r="D47" i="4"/>
  <c r="E158" i="4"/>
  <c r="G34" i="4"/>
  <c r="H83" i="4" l="1"/>
  <c r="H102" i="4"/>
  <c r="H78" i="4"/>
  <c r="H79" i="4"/>
  <c r="F41" i="4"/>
  <c r="E122" i="4"/>
  <c r="E127" i="4" s="1"/>
  <c r="F120" i="4"/>
  <c r="E156" i="4"/>
  <c r="H81" i="4"/>
  <c r="H114" i="4"/>
  <c r="H109" i="4"/>
  <c r="H110" i="4" s="1"/>
  <c r="F162" i="4"/>
  <c r="F55" i="4"/>
  <c r="F176" i="4" s="1"/>
  <c r="F161" i="4"/>
  <c r="F37" i="4"/>
  <c r="F158" i="4" s="1"/>
  <c r="F54" i="4"/>
  <c r="H88" i="4"/>
  <c r="H89" i="4" s="1"/>
  <c r="H92" i="4"/>
  <c r="F121" i="4"/>
  <c r="E182" i="4"/>
  <c r="H112" i="4"/>
  <c r="G115" i="4"/>
  <c r="G116" i="4"/>
  <c r="G135" i="4" s="1"/>
  <c r="H111" i="4"/>
  <c r="G119" i="4"/>
  <c r="G118" i="4"/>
  <c r="D48" i="4"/>
  <c r="D49" i="4" s="1"/>
  <c r="D50" i="4" s="1"/>
  <c r="D51" i="4" s="1"/>
  <c r="D172" i="4"/>
  <c r="D173" i="4" s="1"/>
  <c r="D52" i="4"/>
  <c r="F46" i="4"/>
  <c r="N44" i="4"/>
  <c r="F134" i="4"/>
  <c r="F117" i="4"/>
  <c r="F38" i="4"/>
  <c r="F40" i="4" s="1"/>
  <c r="G151" i="4"/>
  <c r="G43" i="4"/>
  <c r="G35" i="4"/>
  <c r="G62" i="4"/>
  <c r="G36" i="4"/>
  <c r="G32" i="4"/>
  <c r="F169" i="4"/>
  <c r="H94" i="4"/>
  <c r="H77" i="4"/>
  <c r="F126" i="4"/>
  <c r="N124" i="4"/>
  <c r="G103" i="4"/>
  <c r="E157" i="4"/>
  <c r="G112" i="4"/>
  <c r="G113" i="4" s="1"/>
  <c r="E133" i="4"/>
  <c r="G80" i="4"/>
  <c r="F82" i="4"/>
  <c r="E159" i="4"/>
  <c r="E171" i="4" s="1"/>
  <c r="E47" i="4"/>
  <c r="G153" i="4"/>
  <c r="H29" i="4"/>
  <c r="H30" i="4" s="1"/>
  <c r="H154" i="4" s="1"/>
  <c r="D167" i="4"/>
  <c r="C163" i="4"/>
  <c r="C56" i="4"/>
  <c r="F152" i="4"/>
  <c r="G33" i="4"/>
  <c r="G39" i="4" s="1"/>
  <c r="G93" i="4"/>
  <c r="G90" i="4"/>
  <c r="G91" i="4" s="1"/>
  <c r="G96" i="4" s="1"/>
  <c r="I69" i="4"/>
  <c r="I70" i="4" s="1"/>
  <c r="I74" i="4" s="1"/>
  <c r="J69" i="4" l="1"/>
  <c r="J70" i="4" s="1"/>
  <c r="J74" i="4" s="1"/>
  <c r="G162" i="4"/>
  <c r="G55" i="4"/>
  <c r="G176" i="4" s="1"/>
  <c r="D163" i="4"/>
  <c r="D56" i="4"/>
  <c r="I109" i="4"/>
  <c r="I110" i="4" s="1"/>
  <c r="I137" i="4" s="1"/>
  <c r="G121" i="4"/>
  <c r="G161" i="4"/>
  <c r="G54" i="4"/>
  <c r="G37" i="4"/>
  <c r="F122" i="4"/>
  <c r="F127" i="4" s="1"/>
  <c r="I97" i="4"/>
  <c r="I71" i="4"/>
  <c r="F133" i="4"/>
  <c r="F175" i="4"/>
  <c r="H80" i="4"/>
  <c r="G82" i="4"/>
  <c r="E48" i="4"/>
  <c r="E49" i="4" s="1"/>
  <c r="E50" i="4" s="1"/>
  <c r="E51" i="4" s="1"/>
  <c r="E172" i="4"/>
  <c r="E173" i="4" s="1"/>
  <c r="E52" i="4"/>
  <c r="G46" i="4"/>
  <c r="O44" i="4"/>
  <c r="F156" i="4"/>
  <c r="F42" i="4"/>
  <c r="F53" i="4"/>
  <c r="H34" i="4"/>
  <c r="G181" i="4"/>
  <c r="E128" i="4"/>
  <c r="E129" i="4" s="1"/>
  <c r="E130" i="4" s="1"/>
  <c r="E131" i="4" s="1"/>
  <c r="E136" i="4" s="1"/>
  <c r="E143" i="4" s="1"/>
  <c r="E132" i="4"/>
  <c r="G38" i="4"/>
  <c r="G40" i="4" s="1"/>
  <c r="G117" i="4"/>
  <c r="G120" i="4" s="1"/>
  <c r="G134" i="4"/>
  <c r="C177" i="4"/>
  <c r="C63" i="4"/>
  <c r="H113" i="4"/>
  <c r="G142" i="4"/>
  <c r="H86" i="4"/>
  <c r="P84" i="4"/>
  <c r="P85" i="4" s="1"/>
  <c r="F157" i="4"/>
  <c r="G41" i="4"/>
  <c r="G152" i="4"/>
  <c r="G169" i="4" s="1"/>
  <c r="H142" i="4"/>
  <c r="H115" i="4"/>
  <c r="H123" i="4"/>
  <c r="H116" i="4"/>
  <c r="H135" i="4" s="1"/>
  <c r="H119" i="4"/>
  <c r="H118" i="4"/>
  <c r="E166" i="4"/>
  <c r="E164" i="4"/>
  <c r="E167" i="4" s="1"/>
  <c r="E170" i="4"/>
  <c r="H31" i="4"/>
  <c r="N160" i="4"/>
  <c r="G123" i="4"/>
  <c r="G122" i="4" l="1"/>
  <c r="G127" i="4" s="1"/>
  <c r="G156" i="4"/>
  <c r="G42" i="4"/>
  <c r="K69" i="4"/>
  <c r="K70" i="4" s="1"/>
  <c r="K74" i="4" s="1"/>
  <c r="I114" i="4"/>
  <c r="F159" i="4"/>
  <c r="F171" i="4" s="1"/>
  <c r="F47" i="4"/>
  <c r="H117" i="4"/>
  <c r="H120" i="4" s="1"/>
  <c r="H134" i="4"/>
  <c r="H151" i="4"/>
  <c r="H35" i="4"/>
  <c r="H36" i="4"/>
  <c r="H39" i="4"/>
  <c r="H38" i="4"/>
  <c r="I83" i="4"/>
  <c r="I75" i="4"/>
  <c r="J71" i="4"/>
  <c r="I87" i="4"/>
  <c r="I76" i="4"/>
  <c r="I95" i="4" s="1"/>
  <c r="I72" i="4"/>
  <c r="I73" i="4" s="1"/>
  <c r="I138" i="4"/>
  <c r="O45" i="4"/>
  <c r="D177" i="4"/>
  <c r="D63" i="4"/>
  <c r="D183" i="4" s="1"/>
  <c r="F166" i="4"/>
  <c r="F164" i="4"/>
  <c r="F167" i="4" s="1"/>
  <c r="F170" i="4"/>
  <c r="I111" i="4"/>
  <c r="H153" i="4"/>
  <c r="I29" i="4"/>
  <c r="I30" i="4" s="1"/>
  <c r="F128" i="4"/>
  <c r="F129" i="4" s="1"/>
  <c r="F130" i="4" s="1"/>
  <c r="F131" i="4" s="1"/>
  <c r="F136" i="4" s="1"/>
  <c r="F143" i="4" s="1"/>
  <c r="F132" i="4"/>
  <c r="C183" i="4"/>
  <c r="G53" i="4"/>
  <c r="I98" i="4"/>
  <c r="J97" i="4"/>
  <c r="F182" i="4"/>
  <c r="G126" i="4"/>
  <c r="O124" i="4"/>
  <c r="O125" i="4" s="1"/>
  <c r="H82" i="4"/>
  <c r="H32" i="4"/>
  <c r="H33" i="4" s="1"/>
  <c r="G157" i="4"/>
  <c r="H90" i="4"/>
  <c r="H91" i="4" s="1"/>
  <c r="H96" i="4" s="1"/>
  <c r="H103" i="4" s="1"/>
  <c r="H93" i="4"/>
  <c r="I112" i="4"/>
  <c r="I113" i="4" s="1"/>
  <c r="E163" i="4"/>
  <c r="E56" i="4"/>
  <c r="G158" i="4"/>
  <c r="H126" i="4"/>
  <c r="P124" i="4"/>
  <c r="P125" i="4" s="1"/>
  <c r="G175" i="4"/>
  <c r="H122" i="4" l="1"/>
  <c r="H127" i="4" s="1"/>
  <c r="L69" i="4"/>
  <c r="L70" i="4" s="1"/>
  <c r="L74" i="4" s="1"/>
  <c r="H40" i="4"/>
  <c r="H41" i="4"/>
  <c r="I94" i="4"/>
  <c r="I77" i="4"/>
  <c r="K97" i="4"/>
  <c r="J98" i="4"/>
  <c r="I34" i="4"/>
  <c r="J109" i="4"/>
  <c r="J110" i="4" s="1"/>
  <c r="J137" i="4" s="1"/>
  <c r="E177" i="4"/>
  <c r="E63" i="4"/>
  <c r="I86" i="4"/>
  <c r="Q84" i="4"/>
  <c r="Q85" i="4" s="1"/>
  <c r="I154" i="4"/>
  <c r="I57" i="4"/>
  <c r="O160" i="4"/>
  <c r="F48" i="4"/>
  <c r="F49" i="4" s="1"/>
  <c r="F50" i="4" s="1"/>
  <c r="F51" i="4" s="1"/>
  <c r="F172" i="4"/>
  <c r="F173" i="4" s="1"/>
  <c r="F52" i="4"/>
  <c r="I31" i="4"/>
  <c r="I32" i="4" s="1"/>
  <c r="I33" i="4" s="1"/>
  <c r="H162" i="4"/>
  <c r="H55" i="4"/>
  <c r="H176" i="4" s="1"/>
  <c r="I88" i="4"/>
  <c r="I89" i="4" s="1"/>
  <c r="I92" i="4"/>
  <c r="G159" i="4"/>
  <c r="G171" i="4" s="1"/>
  <c r="G47" i="4"/>
  <c r="H152" i="4"/>
  <c r="H169" i="4" s="1"/>
  <c r="H121" i="4"/>
  <c r="D185" i="4"/>
  <c r="D184" i="4"/>
  <c r="J75" i="4"/>
  <c r="K71" i="4"/>
  <c r="J87" i="4"/>
  <c r="J76" i="4"/>
  <c r="J95" i="4" s="1"/>
  <c r="H43" i="4"/>
  <c r="G133" i="4"/>
  <c r="G182" i="4" s="1"/>
  <c r="G130" i="4"/>
  <c r="G131" i="4" s="1"/>
  <c r="G136" i="4" s="1"/>
  <c r="G143" i="4" s="1"/>
  <c r="I142" i="4"/>
  <c r="I116" i="4"/>
  <c r="I135" i="4" s="1"/>
  <c r="J111" i="4"/>
  <c r="I115" i="4"/>
  <c r="I123" i="4"/>
  <c r="J112" i="4"/>
  <c r="J113" i="4" s="1"/>
  <c r="I119" i="4"/>
  <c r="I118" i="4"/>
  <c r="I79" i="4"/>
  <c r="H62" i="4"/>
  <c r="H181" i="4" s="1"/>
  <c r="I78" i="4"/>
  <c r="G166" i="4"/>
  <c r="G170" i="4"/>
  <c r="G164" i="4"/>
  <c r="G167" i="4" s="1"/>
  <c r="H161" i="4"/>
  <c r="H54" i="4"/>
  <c r="H37" i="4"/>
  <c r="H158" i="4" s="1"/>
  <c r="I102" i="4"/>
  <c r="H133" i="4"/>
  <c r="C185" i="4"/>
  <c r="C184" i="4"/>
  <c r="O155" i="4"/>
  <c r="J72" i="4"/>
  <c r="J73" i="4" s="1"/>
  <c r="G128" i="4"/>
  <c r="G129" i="4" s="1"/>
  <c r="G132" i="4"/>
  <c r="I152" i="4" l="1"/>
  <c r="M69" i="4"/>
  <c r="M70" i="4" s="1"/>
  <c r="M74" i="4" s="1"/>
  <c r="J78" i="4"/>
  <c r="J83" i="4"/>
  <c r="J79" i="4"/>
  <c r="J102" i="4"/>
  <c r="J88" i="4"/>
  <c r="J89" i="4" s="1"/>
  <c r="J92" i="4"/>
  <c r="K98" i="4"/>
  <c r="L97" i="4"/>
  <c r="G48" i="4"/>
  <c r="G49" i="4" s="1"/>
  <c r="G50" i="4" s="1"/>
  <c r="G51" i="4" s="1"/>
  <c r="G172" i="4"/>
  <c r="G173" i="4" s="1"/>
  <c r="G52" i="4"/>
  <c r="I134" i="4"/>
  <c r="I117" i="4"/>
  <c r="I120" i="4" s="1"/>
  <c r="H157" i="4"/>
  <c r="J142" i="4"/>
  <c r="J116" i="4"/>
  <c r="J135" i="4" s="1"/>
  <c r="J123" i="4"/>
  <c r="J115" i="4"/>
  <c r="J119" i="4"/>
  <c r="J118" i="4"/>
  <c r="I90" i="4"/>
  <c r="I91" i="4" s="1"/>
  <c r="I96" i="4" s="1"/>
  <c r="I103" i="4" s="1"/>
  <c r="I93" i="4"/>
  <c r="H156" i="4"/>
  <c r="H42" i="4"/>
  <c r="I126" i="4"/>
  <c r="Q124" i="4"/>
  <c r="Q125" i="4" s="1"/>
  <c r="I58" i="4"/>
  <c r="I178" i="4" s="1"/>
  <c r="K87" i="4"/>
  <c r="K76" i="4"/>
  <c r="K95" i="4" s="1"/>
  <c r="K75" i="4"/>
  <c r="L71" i="4"/>
  <c r="L72" i="4" s="1"/>
  <c r="J94" i="4"/>
  <c r="J77" i="4"/>
  <c r="J114" i="4"/>
  <c r="H175" i="4"/>
  <c r="K72" i="4"/>
  <c r="K73" i="4" s="1"/>
  <c r="I151" i="4"/>
  <c r="I43" i="4"/>
  <c r="I35" i="4"/>
  <c r="I62" i="4"/>
  <c r="I181" i="4" s="1"/>
  <c r="I36" i="4"/>
  <c r="I39" i="4"/>
  <c r="I38" i="4"/>
  <c r="H128" i="4"/>
  <c r="H129" i="4" s="1"/>
  <c r="H130" i="4" s="1"/>
  <c r="H131" i="4" s="1"/>
  <c r="H136" i="4" s="1"/>
  <c r="H143" i="4" s="1"/>
  <c r="H132" i="4"/>
  <c r="E183" i="4"/>
  <c r="J138" i="4"/>
  <c r="I81" i="4"/>
  <c r="H46" i="4"/>
  <c r="P44" i="4"/>
  <c r="F163" i="4"/>
  <c r="F56" i="4"/>
  <c r="I153" i="4"/>
  <c r="J29" i="4"/>
  <c r="J30" i="4" s="1"/>
  <c r="J154" i="4" s="1"/>
  <c r="J34" i="4"/>
  <c r="I80" i="4"/>
  <c r="I122" i="4" l="1"/>
  <c r="I127" i="4" s="1"/>
  <c r="L73" i="4"/>
  <c r="K79" i="4"/>
  <c r="K102" i="4"/>
  <c r="K78" i="4"/>
  <c r="K83" i="4"/>
  <c r="N69" i="4"/>
  <c r="N70" i="4" s="1"/>
  <c r="N74" i="4"/>
  <c r="K94" i="4"/>
  <c r="K77" i="4"/>
  <c r="L87" i="4"/>
  <c r="L102" i="4"/>
  <c r="L76" i="4"/>
  <c r="L95" i="4" s="1"/>
  <c r="L75" i="4"/>
  <c r="M71" i="4"/>
  <c r="L79" i="4"/>
  <c r="L78" i="4"/>
  <c r="I169" i="4"/>
  <c r="H170" i="4"/>
  <c r="H166" i="4"/>
  <c r="H164" i="4"/>
  <c r="H167" i="4" s="1"/>
  <c r="K109" i="4"/>
  <c r="K110" i="4" s="1"/>
  <c r="K114" i="4" s="1"/>
  <c r="K88" i="4"/>
  <c r="K89" i="4" s="1"/>
  <c r="K92" i="4"/>
  <c r="I82" i="4"/>
  <c r="J80" i="4"/>
  <c r="I161" i="4"/>
  <c r="I54" i="4"/>
  <c r="I37" i="4"/>
  <c r="J31" i="4"/>
  <c r="J32" i="4" s="1"/>
  <c r="J33" i="4" s="1"/>
  <c r="J57" i="4"/>
  <c r="J134" i="4"/>
  <c r="J117" i="4"/>
  <c r="J120" i="4" s="1"/>
  <c r="P160" i="4"/>
  <c r="P45" i="4"/>
  <c r="J126" i="4"/>
  <c r="R124" i="4"/>
  <c r="R125" i="4" s="1"/>
  <c r="E185" i="4"/>
  <c r="E184" i="4"/>
  <c r="F177" i="4"/>
  <c r="F63" i="4"/>
  <c r="I162" i="4"/>
  <c r="I55" i="4"/>
  <c r="I176" i="4" s="1"/>
  <c r="M97" i="4"/>
  <c r="L98" i="4"/>
  <c r="H53" i="4"/>
  <c r="H182" i="4" s="1"/>
  <c r="J81" i="4"/>
  <c r="I133" i="4"/>
  <c r="I46" i="4"/>
  <c r="Q44" i="4"/>
  <c r="J153" i="4"/>
  <c r="K29" i="4"/>
  <c r="K30" i="4" s="1"/>
  <c r="K154" i="4" s="1"/>
  <c r="J86" i="4"/>
  <c r="R84" i="4"/>
  <c r="R85" i="4" s="1"/>
  <c r="I121" i="4"/>
  <c r="J121" i="4" s="1"/>
  <c r="G163" i="4"/>
  <c r="G56" i="4"/>
  <c r="H159" i="4"/>
  <c r="H171" i="4" s="1"/>
  <c r="H47" i="4"/>
  <c r="J122" i="4" l="1"/>
  <c r="J127" i="4" s="1"/>
  <c r="L109" i="4"/>
  <c r="L110" i="4" s="1"/>
  <c r="L114" i="4" s="1"/>
  <c r="J152" i="4"/>
  <c r="L88" i="4"/>
  <c r="L89" i="4" s="1"/>
  <c r="L92" i="4"/>
  <c r="I158" i="4"/>
  <c r="I41" i="4"/>
  <c r="I40" i="4"/>
  <c r="G177" i="4"/>
  <c r="G63" i="4"/>
  <c r="G183" i="4" s="1"/>
  <c r="J90" i="4"/>
  <c r="J91" i="4" s="1"/>
  <c r="J96" i="4" s="1"/>
  <c r="J103" i="4" s="1"/>
  <c r="J93" i="4"/>
  <c r="K81" i="4"/>
  <c r="L81" i="4" s="1"/>
  <c r="I175" i="4"/>
  <c r="K80" i="4"/>
  <c r="J82" i="4"/>
  <c r="N97" i="4"/>
  <c r="M98" i="4"/>
  <c r="L94" i="4"/>
  <c r="L77" i="4"/>
  <c r="Q160" i="4"/>
  <c r="Q45" i="4"/>
  <c r="F183" i="4"/>
  <c r="J151" i="4"/>
  <c r="K32" i="4"/>
  <c r="K33" i="4" s="1"/>
  <c r="J62" i="4"/>
  <c r="J181" i="4" s="1"/>
  <c r="J43" i="4"/>
  <c r="J35" i="4"/>
  <c r="J36" i="4"/>
  <c r="K31" i="4"/>
  <c r="J39" i="4"/>
  <c r="J38" i="4"/>
  <c r="K137" i="4"/>
  <c r="K111" i="4"/>
  <c r="K112" i="4"/>
  <c r="K113" i="4" s="1"/>
  <c r="I128" i="4"/>
  <c r="I129" i="4" s="1"/>
  <c r="I130" i="4" s="1"/>
  <c r="I131" i="4" s="1"/>
  <c r="I136" i="4" s="1"/>
  <c r="I143" i="4" s="1"/>
  <c r="I132" i="4"/>
  <c r="O69" i="4"/>
  <c r="J133" i="4"/>
  <c r="K86" i="4"/>
  <c r="S84" i="4"/>
  <c r="S85" i="4" s="1"/>
  <c r="M87" i="4"/>
  <c r="M75" i="4"/>
  <c r="N71" i="4"/>
  <c r="M76" i="4"/>
  <c r="M95" i="4" s="1"/>
  <c r="K34" i="4"/>
  <c r="P155" i="4"/>
  <c r="M72" i="4"/>
  <c r="M73" i="4" s="1"/>
  <c r="H48" i="4"/>
  <c r="H49" i="4" s="1"/>
  <c r="H50" i="4" s="1"/>
  <c r="H51" i="4" s="1"/>
  <c r="H172" i="4"/>
  <c r="H173" i="4" s="1"/>
  <c r="H52" i="4"/>
  <c r="I53" i="4"/>
  <c r="I182" i="4" s="1"/>
  <c r="K57" i="4"/>
  <c r="J58" i="4"/>
  <c r="J178" i="4" s="1"/>
  <c r="L83" i="4"/>
  <c r="M79" i="4" l="1"/>
  <c r="M102" i="4"/>
  <c r="M78" i="4"/>
  <c r="M83" i="4"/>
  <c r="M109" i="4"/>
  <c r="M110" i="4" s="1"/>
  <c r="M114" i="4" s="1"/>
  <c r="K152" i="4"/>
  <c r="O71" i="4"/>
  <c r="N76" i="4"/>
  <c r="N95" i="4" s="1"/>
  <c r="N75" i="4"/>
  <c r="N87" i="4"/>
  <c r="O67" i="4"/>
  <c r="O68" i="4" s="1"/>
  <c r="O70" i="4" s="1"/>
  <c r="O74" i="4" s="1"/>
  <c r="I157" i="4"/>
  <c r="J41" i="4"/>
  <c r="L113" i="4"/>
  <c r="N98" i="4"/>
  <c r="O97" i="4"/>
  <c r="M94" i="4"/>
  <c r="M77" i="4"/>
  <c r="K142" i="4"/>
  <c r="K116" i="4"/>
  <c r="K135" i="4" s="1"/>
  <c r="L111" i="4"/>
  <c r="K123" i="4"/>
  <c r="K115" i="4"/>
  <c r="L112" i="4"/>
  <c r="K119" i="4"/>
  <c r="K118" i="4"/>
  <c r="I156" i="4"/>
  <c r="I42" i="4"/>
  <c r="K93" i="4"/>
  <c r="K90" i="4"/>
  <c r="K91" i="4" s="1"/>
  <c r="K96" i="4" s="1"/>
  <c r="K103" i="4" s="1"/>
  <c r="M81" i="4"/>
  <c r="N72" i="4"/>
  <c r="N73" i="4" s="1"/>
  <c r="J162" i="4"/>
  <c r="J55" i="4"/>
  <c r="J176" i="4" s="1"/>
  <c r="H163" i="4"/>
  <c r="H56" i="4"/>
  <c r="L86" i="4"/>
  <c r="T84" i="4"/>
  <c r="T85" i="4" s="1"/>
  <c r="Q155" i="4"/>
  <c r="K151" i="4"/>
  <c r="K62" i="4"/>
  <c r="K181" i="4" s="1"/>
  <c r="K36" i="4"/>
  <c r="K43" i="4"/>
  <c r="K35" i="4"/>
  <c r="K39" i="4"/>
  <c r="K38" i="4"/>
  <c r="J161" i="4"/>
  <c r="J54" i="4"/>
  <c r="J37" i="4"/>
  <c r="J158" i="4" s="1"/>
  <c r="G185" i="4"/>
  <c r="G184" i="4"/>
  <c r="J128" i="4"/>
  <c r="J129" i="4" s="1"/>
  <c r="J130" i="4" s="1"/>
  <c r="J131" i="4" s="1"/>
  <c r="J136" i="4" s="1"/>
  <c r="J143" i="4" s="1"/>
  <c r="J132" i="4"/>
  <c r="L80" i="4"/>
  <c r="K82" i="4"/>
  <c r="M88" i="4"/>
  <c r="M89" i="4" s="1"/>
  <c r="M92" i="4"/>
  <c r="J169" i="4"/>
  <c r="K138" i="4"/>
  <c r="L137" i="4"/>
  <c r="K153" i="4"/>
  <c r="L29" i="4"/>
  <c r="L30" i="4" s="1"/>
  <c r="L154" i="4" s="1"/>
  <c r="F185" i="4"/>
  <c r="F184" i="4"/>
  <c r="K58" i="4"/>
  <c r="J46" i="4"/>
  <c r="R44" i="4"/>
  <c r="N83" i="4" l="1"/>
  <c r="N79" i="4"/>
  <c r="N78" i="4"/>
  <c r="N102" i="4"/>
  <c r="N109" i="4"/>
  <c r="N110" i="4" s="1"/>
  <c r="N114" i="4"/>
  <c r="J157" i="4"/>
  <c r="K41" i="4"/>
  <c r="O98" i="4"/>
  <c r="K120" i="4"/>
  <c r="K162" i="4"/>
  <c r="K55" i="4"/>
  <c r="K176" i="4" s="1"/>
  <c r="K134" i="4"/>
  <c r="K117" i="4"/>
  <c r="I170" i="4"/>
  <c r="I166" i="4"/>
  <c r="I164" i="4"/>
  <c r="I167" i="4" s="1"/>
  <c r="O76" i="4"/>
  <c r="O95" i="4" s="1"/>
  <c r="P67" i="4"/>
  <c r="P68" i="4" s="1"/>
  <c r="O75" i="4"/>
  <c r="K161" i="4"/>
  <c r="K37" i="4"/>
  <c r="K158" i="4" s="1"/>
  <c r="K54" i="4"/>
  <c r="K121" i="4"/>
  <c r="L32" i="4"/>
  <c r="L33" i="4" s="1"/>
  <c r="K126" i="4"/>
  <c r="S124" i="4"/>
  <c r="S125" i="4" s="1"/>
  <c r="M80" i="4"/>
  <c r="L82" i="4"/>
  <c r="L93" i="4"/>
  <c r="L90" i="4"/>
  <c r="L91" i="4" s="1"/>
  <c r="L96" i="4" s="1"/>
  <c r="L103" i="4" s="1"/>
  <c r="H177" i="4"/>
  <c r="H63" i="4"/>
  <c r="K46" i="4"/>
  <c r="S44" i="4"/>
  <c r="R160" i="4"/>
  <c r="R45" i="4"/>
  <c r="K178" i="4"/>
  <c r="J175" i="4"/>
  <c r="O72" i="4"/>
  <c r="O73" i="4" s="1"/>
  <c r="L57" i="4"/>
  <c r="N88" i="4"/>
  <c r="N89" i="4" s="1"/>
  <c r="N92" i="4"/>
  <c r="M137" i="4"/>
  <c r="L138" i="4"/>
  <c r="N81" i="4"/>
  <c r="J53" i="4"/>
  <c r="J182" i="4" s="1"/>
  <c r="K169" i="4"/>
  <c r="L142" i="4"/>
  <c r="L116" i="4"/>
  <c r="L135" i="4" s="1"/>
  <c r="M111" i="4"/>
  <c r="L123" i="4"/>
  <c r="L115" i="4"/>
  <c r="M112" i="4"/>
  <c r="M113" i="4" s="1"/>
  <c r="L119" i="4"/>
  <c r="L118" i="4"/>
  <c r="J40" i="4"/>
  <c r="N77" i="4"/>
  <c r="N94" i="4"/>
  <c r="L34" i="4"/>
  <c r="L31" i="4"/>
  <c r="P69" i="4"/>
  <c r="M86" i="4"/>
  <c r="U84" i="4"/>
  <c r="U85" i="4" s="1"/>
  <c r="I159" i="4"/>
  <c r="I171" i="4" s="1"/>
  <c r="I47" i="4"/>
  <c r="O79" i="4" l="1"/>
  <c r="O78" i="4"/>
  <c r="O83" i="4"/>
  <c r="O102" i="4"/>
  <c r="L120" i="4"/>
  <c r="K122" i="4"/>
  <c r="K127" i="4" s="1"/>
  <c r="S160" i="4"/>
  <c r="S45" i="4"/>
  <c r="J164" i="4"/>
  <c r="J167" i="4" s="1"/>
  <c r="J170" i="4"/>
  <c r="J166" i="4"/>
  <c r="J156" i="4"/>
  <c r="J42" i="4"/>
  <c r="K40" i="4"/>
  <c r="L152" i="4"/>
  <c r="L134" i="4"/>
  <c r="L117" i="4"/>
  <c r="L121" i="4" s="1"/>
  <c r="L126" i="4"/>
  <c r="T124" i="4"/>
  <c r="T125" i="4" s="1"/>
  <c r="R155" i="4"/>
  <c r="K157" i="4"/>
  <c r="M138" i="4"/>
  <c r="N137" i="4"/>
  <c r="O109" i="4"/>
  <c r="H183" i="4"/>
  <c r="M123" i="4"/>
  <c r="M142" i="4"/>
  <c r="M116" i="4"/>
  <c r="M135" i="4" s="1"/>
  <c r="N111" i="4"/>
  <c r="M115" i="4"/>
  <c r="M119" i="4"/>
  <c r="M118" i="4"/>
  <c r="L151" i="4"/>
  <c r="L43" i="4"/>
  <c r="L62" i="4"/>
  <c r="L181" i="4" s="1"/>
  <c r="L36" i="4"/>
  <c r="L35" i="4"/>
  <c r="L39" i="4"/>
  <c r="L38" i="4"/>
  <c r="L153" i="4"/>
  <c r="M29" i="4"/>
  <c r="M30" i="4" s="1"/>
  <c r="M154" i="4" s="1"/>
  <c r="M57" i="4"/>
  <c r="L58" i="4"/>
  <c r="L178" i="4" s="1"/>
  <c r="O77" i="4"/>
  <c r="O81" i="4" s="1"/>
  <c r="O94" i="4"/>
  <c r="I48" i="4"/>
  <c r="I49" i="4" s="1"/>
  <c r="I50" i="4" s="1"/>
  <c r="I51" i="4" s="1"/>
  <c r="I172" i="4"/>
  <c r="I173" i="4" s="1"/>
  <c r="I52" i="4"/>
  <c r="K133" i="4"/>
  <c r="N86" i="4"/>
  <c r="V84" i="4"/>
  <c r="V85" i="4" s="1"/>
  <c r="K175" i="4"/>
  <c r="M93" i="4"/>
  <c r="M90" i="4"/>
  <c r="M91" i="4" s="1"/>
  <c r="M96" i="4" s="1"/>
  <c r="M103" i="4" s="1"/>
  <c r="K53" i="4"/>
  <c r="M82" i="4"/>
  <c r="N80" i="4"/>
  <c r="P70" i="4"/>
  <c r="L162" i="4" l="1"/>
  <c r="L55" i="4"/>
  <c r="L176" i="4" s="1"/>
  <c r="M126" i="4"/>
  <c r="U124" i="4"/>
  <c r="U125" i="4" s="1"/>
  <c r="L169" i="4"/>
  <c r="N82" i="4"/>
  <c r="O80" i="4"/>
  <c r="N93" i="4"/>
  <c r="N90" i="4"/>
  <c r="N91" i="4" s="1"/>
  <c r="N96" i="4" s="1"/>
  <c r="N103" i="4" s="1"/>
  <c r="D8" i="5" s="1"/>
  <c r="M34" i="4"/>
  <c r="K128" i="4"/>
  <c r="K129" i="4" s="1"/>
  <c r="K130" i="4" s="1"/>
  <c r="K131" i="4" s="1"/>
  <c r="K136" i="4" s="1"/>
  <c r="K143" i="4" s="1"/>
  <c r="K132" i="4"/>
  <c r="L133" i="4"/>
  <c r="O137" i="4"/>
  <c r="N138" i="4"/>
  <c r="M58" i="4"/>
  <c r="M178" i="4" s="1"/>
  <c r="L46" i="4"/>
  <c r="T44" i="4"/>
  <c r="P74" i="4"/>
  <c r="P97" i="4"/>
  <c r="P71" i="4"/>
  <c r="P72" i="4"/>
  <c r="P73" i="4" s="1"/>
  <c r="N115" i="4"/>
  <c r="N116" i="4"/>
  <c r="N135" i="4" s="1"/>
  <c r="O111" i="4"/>
  <c r="O107" i="4"/>
  <c r="O108" i="4" s="1"/>
  <c r="O110" i="4" s="1"/>
  <c r="O114" i="4" s="1"/>
  <c r="O86" i="4"/>
  <c r="W84" i="4"/>
  <c r="W85" i="4" s="1"/>
  <c r="K166" i="4"/>
  <c r="K164" i="4"/>
  <c r="K167" i="4" s="1"/>
  <c r="N112" i="4"/>
  <c r="N113" i="4" s="1"/>
  <c r="N119" i="4" s="1"/>
  <c r="S155" i="4"/>
  <c r="L122" i="4"/>
  <c r="L127" i="4" s="1"/>
  <c r="M134" i="4"/>
  <c r="M117" i="4"/>
  <c r="M121" i="4" s="1"/>
  <c r="K182" i="4"/>
  <c r="L161" i="4"/>
  <c r="L54" i="4"/>
  <c r="L37" i="4"/>
  <c r="L158" i="4" s="1"/>
  <c r="K156" i="4"/>
  <c r="K170" i="4" s="1"/>
  <c r="K42" i="4"/>
  <c r="I163" i="4"/>
  <c r="I56" i="4"/>
  <c r="M32" i="4"/>
  <c r="M33" i="4" s="1"/>
  <c r="H185" i="4"/>
  <c r="H184" i="4"/>
  <c r="J159" i="4"/>
  <c r="J171" i="4" s="1"/>
  <c r="J47" i="4"/>
  <c r="M31" i="4"/>
  <c r="J48" i="4" l="1"/>
  <c r="J49" i="4" s="1"/>
  <c r="J50" i="4" s="1"/>
  <c r="J51" i="4" s="1"/>
  <c r="J172" i="4"/>
  <c r="J173" i="4" s="1"/>
  <c r="J52" i="4"/>
  <c r="L175" i="4"/>
  <c r="N142" i="4"/>
  <c r="O115" i="4"/>
  <c r="O116" i="4"/>
  <c r="O135" i="4" s="1"/>
  <c r="P107" i="4"/>
  <c r="P108" i="4" s="1"/>
  <c r="O138" i="4"/>
  <c r="L128" i="4"/>
  <c r="L129" i="4" s="1"/>
  <c r="L130" i="4" s="1"/>
  <c r="L131" i="4" s="1"/>
  <c r="L136" i="4" s="1"/>
  <c r="L143" i="4" s="1"/>
  <c r="L132" i="4"/>
  <c r="P102" i="4"/>
  <c r="P75" i="4"/>
  <c r="P76" i="4"/>
  <c r="P95" i="4" s="1"/>
  <c r="P83" i="4"/>
  <c r="Q67" i="4"/>
  <c r="Q68" i="4" s="1"/>
  <c r="P79" i="4"/>
  <c r="P78" i="4"/>
  <c r="L41" i="4"/>
  <c r="N117" i="4"/>
  <c r="N121" i="4" s="1"/>
  <c r="N134" i="4"/>
  <c r="M133" i="4"/>
  <c r="P98" i="4"/>
  <c r="M120" i="4"/>
  <c r="M153" i="4"/>
  <c r="N29" i="4"/>
  <c r="N30" i="4" s="1"/>
  <c r="P109" i="4"/>
  <c r="L53" i="4"/>
  <c r="L182" i="4" s="1"/>
  <c r="O93" i="4"/>
  <c r="M152" i="4"/>
  <c r="N118" i="4"/>
  <c r="I177" i="4"/>
  <c r="I63" i="4"/>
  <c r="Q69" i="4"/>
  <c r="T160" i="4"/>
  <c r="T45" i="4"/>
  <c r="L40" i="4"/>
  <c r="O112" i="4"/>
  <c r="O113" i="4" s="1"/>
  <c r="M151" i="4"/>
  <c r="M62" i="4"/>
  <c r="M181" i="4" s="1"/>
  <c r="M36" i="4"/>
  <c r="M35" i="4"/>
  <c r="M43" i="4"/>
  <c r="M39" i="4"/>
  <c r="M38" i="4"/>
  <c r="K159" i="4"/>
  <c r="K171" i="4" s="1"/>
  <c r="K47" i="4"/>
  <c r="N123" i="4"/>
  <c r="O82" i="4"/>
  <c r="O87" i="4" s="1"/>
  <c r="O123" i="4" l="1"/>
  <c r="O119" i="4"/>
  <c r="O121" i="4" s="1"/>
  <c r="O118" i="4"/>
  <c r="O142" i="4"/>
  <c r="I183" i="4"/>
  <c r="P77" i="4"/>
  <c r="P80" i="4" s="1"/>
  <c r="P94" i="4"/>
  <c r="L157" i="4"/>
  <c r="N154" i="4"/>
  <c r="D34" i="5" s="1"/>
  <c r="N57" i="4"/>
  <c r="M162" i="4"/>
  <c r="M55" i="4"/>
  <c r="M176" i="4" s="1"/>
  <c r="N34" i="4"/>
  <c r="M161" i="4"/>
  <c r="M37" i="4"/>
  <c r="M158" i="4" s="1"/>
  <c r="M54" i="4"/>
  <c r="O134" i="4"/>
  <c r="O117" i="4"/>
  <c r="M169" i="4"/>
  <c r="L156" i="4"/>
  <c r="L42" i="4"/>
  <c r="P86" i="4"/>
  <c r="X84" i="4"/>
  <c r="X85" i="4" s="1"/>
  <c r="M46" i="4"/>
  <c r="U44" i="4"/>
  <c r="P81" i="4"/>
  <c r="N126" i="4"/>
  <c r="V124" i="4"/>
  <c r="V125" i="4" s="1"/>
  <c r="N120" i="4"/>
  <c r="M122" i="4"/>
  <c r="M127" i="4" s="1"/>
  <c r="K48" i="4"/>
  <c r="K49" i="4" s="1"/>
  <c r="K50" i="4" s="1"/>
  <c r="K51" i="4" s="1"/>
  <c r="K172" i="4"/>
  <c r="K173" i="4" s="1"/>
  <c r="K52" i="4"/>
  <c r="J163" i="4"/>
  <c r="J56" i="4"/>
  <c r="N31" i="4"/>
  <c r="O88" i="4"/>
  <c r="O89" i="4" s="1"/>
  <c r="O90" i="4" s="1"/>
  <c r="O91" i="4" s="1"/>
  <c r="O92" i="4"/>
  <c r="O100" i="4"/>
  <c r="O101" i="4" s="1"/>
  <c r="Q70" i="4"/>
  <c r="T155" i="4"/>
  <c r="P110" i="4"/>
  <c r="P82" i="4" l="1"/>
  <c r="P87" i="4" s="1"/>
  <c r="O96" i="4"/>
  <c r="O99" i="4"/>
  <c r="N133" i="4"/>
  <c r="U160" i="4"/>
  <c r="U45" i="4"/>
  <c r="M175" i="4"/>
  <c r="I185" i="4"/>
  <c r="I184" i="4"/>
  <c r="N153" i="4"/>
  <c r="D37" i="5" s="1"/>
  <c r="O29" i="4"/>
  <c r="O126" i="4"/>
  <c r="W124" i="4"/>
  <c r="W125" i="4" s="1"/>
  <c r="K163" i="4"/>
  <c r="K56" i="4"/>
  <c r="N58" i="4"/>
  <c r="N178" i="4" s="1"/>
  <c r="D17" i="5" s="1"/>
  <c r="P111" i="4"/>
  <c r="P112" i="4" s="1"/>
  <c r="P113" i="4" s="1"/>
  <c r="P114" i="4"/>
  <c r="P137" i="4"/>
  <c r="M128" i="4"/>
  <c r="M129" i="4" s="1"/>
  <c r="M130" i="4" s="1"/>
  <c r="M131" i="4" s="1"/>
  <c r="M136" i="4" s="1"/>
  <c r="M143" i="4" s="1"/>
  <c r="M132" i="4"/>
  <c r="L164" i="4"/>
  <c r="L167" i="4" s="1"/>
  <c r="L170" i="4"/>
  <c r="L166" i="4"/>
  <c r="N151" i="4"/>
  <c r="N62" i="4"/>
  <c r="N181" i="4" s="1"/>
  <c r="N36" i="4"/>
  <c r="O27" i="4"/>
  <c r="O28" i="4" s="1"/>
  <c r="O30" i="4" s="1"/>
  <c r="O154" i="4" s="1"/>
  <c r="N35" i="4"/>
  <c r="N43" i="4"/>
  <c r="N39" i="4"/>
  <c r="N38" i="4"/>
  <c r="N32" i="4"/>
  <c r="N33" i="4" s="1"/>
  <c r="M53" i="4"/>
  <c r="M182" i="4" s="1"/>
  <c r="J177" i="4"/>
  <c r="J63" i="4"/>
  <c r="J183" i="4" s="1"/>
  <c r="P93" i="4"/>
  <c r="M40" i="4"/>
  <c r="L159" i="4"/>
  <c r="L171" i="4" s="1"/>
  <c r="L47" i="4"/>
  <c r="Q97" i="4"/>
  <c r="Q74" i="4"/>
  <c r="Q71" i="4"/>
  <c r="Q72" i="4"/>
  <c r="Q73" i="4" s="1"/>
  <c r="O120" i="4"/>
  <c r="N122" i="4"/>
  <c r="N127" i="4" s="1"/>
  <c r="M41" i="4"/>
  <c r="L48" i="4" l="1"/>
  <c r="L49" i="4" s="1"/>
  <c r="L50" i="4" s="1"/>
  <c r="L51" i="4" s="1"/>
  <c r="L172" i="4"/>
  <c r="L173" i="4" s="1"/>
  <c r="L52" i="4"/>
  <c r="N46" i="4"/>
  <c r="V44" i="4"/>
  <c r="U155" i="4"/>
  <c r="Q137" i="4"/>
  <c r="P138" i="4"/>
  <c r="O133" i="4"/>
  <c r="Q109" i="4"/>
  <c r="O34" i="4"/>
  <c r="M156" i="4"/>
  <c r="M42" i="4"/>
  <c r="N40" i="4"/>
  <c r="M157" i="4"/>
  <c r="N41" i="4"/>
  <c r="O31" i="4"/>
  <c r="Q98" i="4"/>
  <c r="K177" i="4"/>
  <c r="K63" i="4"/>
  <c r="K183" i="4" s="1"/>
  <c r="N128" i="4"/>
  <c r="N129" i="4" s="1"/>
  <c r="N130" i="4" s="1"/>
  <c r="N131" i="4" s="1"/>
  <c r="N136" i="4" s="1"/>
  <c r="N143" i="4" s="1"/>
  <c r="D9" i="5" s="1"/>
  <c r="N132" i="4"/>
  <c r="N162" i="4"/>
  <c r="N55" i="4"/>
  <c r="N176" i="4" s="1"/>
  <c r="D15" i="5" s="1"/>
  <c r="J185" i="4"/>
  <c r="J184" i="4"/>
  <c r="P115" i="4"/>
  <c r="P116" i="4"/>
  <c r="P135" i="4" s="1"/>
  <c r="P123" i="4"/>
  <c r="Q107" i="4"/>
  <c r="Q108" i="4" s="1"/>
  <c r="Q110" i="4" s="1"/>
  <c r="P142" i="4"/>
  <c r="P119" i="4"/>
  <c r="P118" i="4"/>
  <c r="O122" i="4"/>
  <c r="O127" i="4" s="1"/>
  <c r="Q102" i="4"/>
  <c r="R67" i="4"/>
  <c r="R68" i="4" s="1"/>
  <c r="Q75" i="4"/>
  <c r="Q83" i="4"/>
  <c r="Q76" i="4"/>
  <c r="Q95" i="4" s="1"/>
  <c r="Q79" i="4"/>
  <c r="Q78" i="4"/>
  <c r="N152" i="4"/>
  <c r="D36" i="5" s="1"/>
  <c r="N161" i="4"/>
  <c r="N54" i="4"/>
  <c r="N37" i="4"/>
  <c r="N158" i="4" s="1"/>
  <c r="O103" i="4"/>
  <c r="D35" i="5"/>
  <c r="R69" i="4"/>
  <c r="O57" i="4"/>
  <c r="P88" i="4"/>
  <c r="P89" i="4" s="1"/>
  <c r="P90" i="4" s="1"/>
  <c r="P91" i="4" s="1"/>
  <c r="P92" i="4"/>
  <c r="P100" i="4"/>
  <c r="P96" i="4" l="1"/>
  <c r="P99" i="4"/>
  <c r="O58" i="4"/>
  <c r="O178" i="4" s="1"/>
  <c r="N175" i="4"/>
  <c r="D14" i="5" s="1"/>
  <c r="P134" i="4"/>
  <c r="P117" i="4"/>
  <c r="P120" i="4" s="1"/>
  <c r="O128" i="4"/>
  <c r="O129" i="4" s="1"/>
  <c r="O130" i="4" s="1"/>
  <c r="O131" i="4" s="1"/>
  <c r="O132" i="4"/>
  <c r="O140" i="4"/>
  <c r="N169" i="4"/>
  <c r="Q86" i="4"/>
  <c r="Y84" i="4"/>
  <c r="Y85" i="4" s="1"/>
  <c r="N53" i="4"/>
  <c r="N182" i="4" s="1"/>
  <c r="Q138" i="4"/>
  <c r="M159" i="4"/>
  <c r="M171" i="4" s="1"/>
  <c r="M47" i="4"/>
  <c r="O153" i="4"/>
  <c r="P29" i="4"/>
  <c r="P126" i="4"/>
  <c r="X124" i="4"/>
  <c r="X125" i="4" s="1"/>
  <c r="R70" i="4"/>
  <c r="L163" i="4"/>
  <c r="L56" i="4"/>
  <c r="O151" i="4"/>
  <c r="O62" i="4"/>
  <c r="O181" i="4" s="1"/>
  <c r="O36" i="4"/>
  <c r="O35" i="4"/>
  <c r="P27" i="4"/>
  <c r="P28" i="4" s="1"/>
  <c r="P30" i="4" s="1"/>
  <c r="P154" i="4" s="1"/>
  <c r="O32" i="4"/>
  <c r="O33" i="4" s="1"/>
  <c r="O39" i="4" s="1"/>
  <c r="N157" i="4"/>
  <c r="M170" i="4"/>
  <c r="M164" i="4"/>
  <c r="M167" i="4" s="1"/>
  <c r="M166" i="4"/>
  <c r="N156" i="4"/>
  <c r="D41" i="5" s="1"/>
  <c r="N42" i="4"/>
  <c r="V160" i="4"/>
  <c r="V45" i="4"/>
  <c r="K185" i="4"/>
  <c r="K184" i="4"/>
  <c r="Q114" i="4"/>
  <c r="Q94" i="4"/>
  <c r="Q77" i="4"/>
  <c r="Q81" i="4" s="1"/>
  <c r="Q111" i="4"/>
  <c r="P101" i="4"/>
  <c r="P122" i="4" l="1"/>
  <c r="P127" i="4" s="1"/>
  <c r="M48" i="4"/>
  <c r="M49" i="4" s="1"/>
  <c r="M50" i="4" s="1"/>
  <c r="M51" i="4" s="1"/>
  <c r="M172" i="4"/>
  <c r="M173" i="4" s="1"/>
  <c r="M52" i="4"/>
  <c r="R109" i="4"/>
  <c r="L177" i="4"/>
  <c r="L63" i="4"/>
  <c r="L183" i="4" s="1"/>
  <c r="O38" i="4"/>
  <c r="R97" i="4"/>
  <c r="R71" i="4"/>
  <c r="R74" i="4"/>
  <c r="Q80" i="4"/>
  <c r="O152" i="4"/>
  <c r="O169" i="4" s="1"/>
  <c r="O162" i="4"/>
  <c r="O55" i="4"/>
  <c r="O176" i="4" s="1"/>
  <c r="N170" i="4"/>
  <c r="D39" i="5"/>
  <c r="N164" i="4"/>
  <c r="N166" i="4"/>
  <c r="V155" i="4"/>
  <c r="P121" i="4"/>
  <c r="P57" i="4"/>
  <c r="O161" i="4"/>
  <c r="O54" i="4"/>
  <c r="O37" i="4"/>
  <c r="O158" i="4" s="1"/>
  <c r="P34" i="4"/>
  <c r="O141" i="4"/>
  <c r="P103" i="4"/>
  <c r="O139" i="4"/>
  <c r="O136" i="4"/>
  <c r="N159" i="4"/>
  <c r="N47" i="4"/>
  <c r="O43" i="4"/>
  <c r="Q93" i="4"/>
  <c r="P133" i="4"/>
  <c r="Q115" i="4"/>
  <c r="Q123" i="4"/>
  <c r="R107" i="4"/>
  <c r="R108" i="4" s="1"/>
  <c r="Q116" i="4"/>
  <c r="Q135" i="4" s="1"/>
  <c r="P31" i="4"/>
  <c r="Q112" i="4"/>
  <c r="Q113" i="4" s="1"/>
  <c r="Q118" i="4" s="1"/>
  <c r="Q134" i="4" l="1"/>
  <c r="Q117" i="4"/>
  <c r="Q120" i="4" s="1"/>
  <c r="L185" i="4"/>
  <c r="L184" i="4"/>
  <c r="Q126" i="4"/>
  <c r="Y124" i="4"/>
  <c r="Y125" i="4" s="1"/>
  <c r="Q142" i="4"/>
  <c r="Q121" i="4"/>
  <c r="O143" i="4"/>
  <c r="D40" i="5"/>
  <c r="N167" i="4"/>
  <c r="M163" i="4"/>
  <c r="M56" i="4"/>
  <c r="Q119" i="4"/>
  <c r="O175" i="4"/>
  <c r="O46" i="4"/>
  <c r="W44" i="4"/>
  <c r="P128" i="4"/>
  <c r="P129" i="4" s="1"/>
  <c r="P130" i="4" s="1"/>
  <c r="P131" i="4" s="1"/>
  <c r="P132" i="4"/>
  <c r="P140" i="4"/>
  <c r="P141" i="4" s="1"/>
  <c r="P153" i="4"/>
  <c r="Q29" i="4"/>
  <c r="P151" i="4"/>
  <c r="P36" i="4"/>
  <c r="P35" i="4"/>
  <c r="P43" i="4"/>
  <c r="P62" i="4"/>
  <c r="P181" i="4" s="1"/>
  <c r="Q27" i="4"/>
  <c r="Q28" i="4" s="1"/>
  <c r="Q30" i="4" s="1"/>
  <c r="Q154" i="4" s="1"/>
  <c r="P32" i="4"/>
  <c r="P33" i="4" s="1"/>
  <c r="Q82" i="4"/>
  <c r="Q87" i="4" s="1"/>
  <c r="S69" i="4"/>
  <c r="R102" i="4"/>
  <c r="R76" i="4"/>
  <c r="R95" i="4" s="1"/>
  <c r="R75" i="4"/>
  <c r="S67" i="4"/>
  <c r="S68" i="4" s="1"/>
  <c r="R72" i="4"/>
  <c r="R73" i="4" s="1"/>
  <c r="R83" i="4" s="1"/>
  <c r="N48" i="4"/>
  <c r="N49" i="4" s="1"/>
  <c r="N50" i="4" s="1"/>
  <c r="N51" i="4" s="1"/>
  <c r="N172" i="4"/>
  <c r="N173" i="4" s="1"/>
  <c r="N52" i="4"/>
  <c r="P58" i="4"/>
  <c r="P178" i="4" s="1"/>
  <c r="R98" i="4"/>
  <c r="R110" i="4"/>
  <c r="D42" i="5"/>
  <c r="N171" i="4"/>
  <c r="O40" i="4"/>
  <c r="O41" i="4"/>
  <c r="R86" i="4" l="1"/>
  <c r="Z84" i="4"/>
  <c r="Z85" i="4" s="1"/>
  <c r="Q122" i="4"/>
  <c r="Q127" i="4" s="1"/>
  <c r="W160" i="4"/>
  <c r="W45" i="4"/>
  <c r="N163" i="4"/>
  <c r="N56" i="4"/>
  <c r="Q31" i="4"/>
  <c r="O53" i="4"/>
  <c r="O182" i="4" s="1"/>
  <c r="Q57" i="4"/>
  <c r="P136" i="4"/>
  <c r="P139" i="4"/>
  <c r="P161" i="4"/>
  <c r="P54" i="4"/>
  <c r="P37" i="4"/>
  <c r="P158" i="4" s="1"/>
  <c r="P169" i="4"/>
  <c r="P46" i="4"/>
  <c r="X44" i="4"/>
  <c r="R78" i="4"/>
  <c r="R80" i="4" s="1"/>
  <c r="Q133" i="4"/>
  <c r="R79" i="4"/>
  <c r="R81" i="4" s="1"/>
  <c r="P152" i="4"/>
  <c r="P38" i="4"/>
  <c r="P40" i="4" s="1"/>
  <c r="R94" i="4"/>
  <c r="R77" i="4"/>
  <c r="P39" i="4"/>
  <c r="O157" i="4"/>
  <c r="P162" i="4"/>
  <c r="P55" i="4"/>
  <c r="P176" i="4" s="1"/>
  <c r="O156" i="4"/>
  <c r="O42" i="4"/>
  <c r="Q88" i="4"/>
  <c r="Q89" i="4" s="1"/>
  <c r="Q90" i="4" s="1"/>
  <c r="Q91" i="4" s="1"/>
  <c r="Q92" i="4"/>
  <c r="Q100" i="4"/>
  <c r="M177" i="4"/>
  <c r="M63" i="4"/>
  <c r="M183" i="4" s="1"/>
  <c r="R137" i="4"/>
  <c r="R111" i="4"/>
  <c r="R114" i="4"/>
  <c r="R112" i="4"/>
  <c r="R113" i="4" s="1"/>
  <c r="Q34" i="4"/>
  <c r="S70" i="4"/>
  <c r="P156" i="4" l="1"/>
  <c r="P42" i="4"/>
  <c r="Q96" i="4"/>
  <c r="Q99" i="4"/>
  <c r="O159" i="4"/>
  <c r="O171" i="4" s="1"/>
  <c r="O47" i="4"/>
  <c r="R142" i="4"/>
  <c r="R123" i="4"/>
  <c r="R115" i="4"/>
  <c r="R116" i="4"/>
  <c r="R135" i="4" s="1"/>
  <c r="S107" i="4"/>
  <c r="S108" i="4" s="1"/>
  <c r="S110" i="4" s="1"/>
  <c r="S114" i="4" s="1"/>
  <c r="R119" i="4"/>
  <c r="R118" i="4"/>
  <c r="P41" i="4"/>
  <c r="Q153" i="4"/>
  <c r="R29" i="4"/>
  <c r="P143" i="4"/>
  <c r="S109" i="4"/>
  <c r="R82" i="4"/>
  <c r="R87" i="4" s="1"/>
  <c r="Q58" i="4"/>
  <c r="Q178" i="4" s="1"/>
  <c r="Q128" i="4"/>
  <c r="Q129" i="4" s="1"/>
  <c r="Q130" i="4" s="1"/>
  <c r="Q131" i="4" s="1"/>
  <c r="Q132" i="4"/>
  <c r="Q140" i="4"/>
  <c r="N177" i="4"/>
  <c r="D16" i="5" s="1"/>
  <c r="N63" i="4"/>
  <c r="W155" i="4"/>
  <c r="R138" i="4"/>
  <c r="S137" i="4"/>
  <c r="O170" i="4"/>
  <c r="O164" i="4"/>
  <c r="O167" i="4" s="1"/>
  <c r="O166" i="4"/>
  <c r="M185" i="4"/>
  <c r="M184" i="4"/>
  <c r="X160" i="4"/>
  <c r="X45" i="4"/>
  <c r="P53" i="4"/>
  <c r="P182" i="4" s="1"/>
  <c r="Q151" i="4"/>
  <c r="Q43" i="4"/>
  <c r="Q36" i="4"/>
  <c r="Q62" i="4"/>
  <c r="Q181" i="4" s="1"/>
  <c r="Q35" i="4"/>
  <c r="R27" i="4"/>
  <c r="R28" i="4" s="1"/>
  <c r="R30" i="4" s="1"/>
  <c r="R154" i="4" s="1"/>
  <c r="Q32" i="4"/>
  <c r="Q33" i="4" s="1"/>
  <c r="S97" i="4"/>
  <c r="S71" i="4"/>
  <c r="S72" i="4"/>
  <c r="S73" i="4" s="1"/>
  <c r="S74" i="4"/>
  <c r="P175" i="4"/>
  <c r="Q101" i="4"/>
  <c r="R93" i="4"/>
  <c r="T109" i="4" l="1"/>
  <c r="Q161" i="4"/>
  <c r="Q54" i="4"/>
  <c r="Q37" i="4"/>
  <c r="Q158" i="4" s="1"/>
  <c r="Q141" i="4"/>
  <c r="R34" i="4"/>
  <c r="R31" i="4"/>
  <c r="R32" i="4" s="1"/>
  <c r="R33" i="4" s="1"/>
  <c r="O48" i="4"/>
  <c r="O49" i="4" s="1"/>
  <c r="O50" i="4" s="1"/>
  <c r="O51" i="4" s="1"/>
  <c r="O52" i="4"/>
  <c r="O172" i="4"/>
  <c r="O173" i="4" s="1"/>
  <c r="O60" i="4"/>
  <c r="R126" i="4"/>
  <c r="Z124" i="4"/>
  <c r="Z125" i="4" s="1"/>
  <c r="N183" i="4"/>
  <c r="D7" i="5"/>
  <c r="Q136" i="4"/>
  <c r="Q139" i="4"/>
  <c r="P157" i="4"/>
  <c r="Q41" i="4"/>
  <c r="R120" i="4"/>
  <c r="S138" i="4"/>
  <c r="R88" i="4"/>
  <c r="R89" i="4" s="1"/>
  <c r="R90" i="4" s="1"/>
  <c r="R91" i="4" s="1"/>
  <c r="R92" i="4"/>
  <c r="R100" i="4"/>
  <c r="R101" i="4" s="1"/>
  <c r="T69" i="4"/>
  <c r="Q46" i="4"/>
  <c r="Y44" i="4"/>
  <c r="R121" i="4"/>
  <c r="T97" i="4"/>
  <c r="S98" i="4"/>
  <c r="Q169" i="4"/>
  <c r="S111" i="4"/>
  <c r="P159" i="4"/>
  <c r="P171" i="4" s="1"/>
  <c r="P47" i="4"/>
  <c r="X155" i="4"/>
  <c r="Q162" i="4"/>
  <c r="Q55" i="4"/>
  <c r="Q176" i="4" s="1"/>
  <c r="S102" i="4"/>
  <c r="S76" i="4"/>
  <c r="S95" i="4" s="1"/>
  <c r="S83" i="4"/>
  <c r="S86" i="4" s="1"/>
  <c r="S75" i="4"/>
  <c r="T67" i="4"/>
  <c r="T68" i="4" s="1"/>
  <c r="T70" i="4" s="1"/>
  <c r="T74" i="4" s="1"/>
  <c r="S79" i="4"/>
  <c r="S78" i="4"/>
  <c r="R57" i="4"/>
  <c r="Q103" i="4"/>
  <c r="Q152" i="4"/>
  <c r="Q38" i="4"/>
  <c r="Q39" i="4"/>
  <c r="R134" i="4"/>
  <c r="R117" i="4"/>
  <c r="R152" i="4" l="1"/>
  <c r="U69" i="4"/>
  <c r="R58" i="4"/>
  <c r="R178" i="4" s="1"/>
  <c r="P170" i="4"/>
  <c r="P164" i="4"/>
  <c r="P166" i="4"/>
  <c r="R122" i="4"/>
  <c r="R127" i="4" s="1"/>
  <c r="Q157" i="4"/>
  <c r="T71" i="4"/>
  <c r="S81" i="4"/>
  <c r="T72" i="4"/>
  <c r="T73" i="4" s="1"/>
  <c r="P48" i="4"/>
  <c r="P49" i="4" s="1"/>
  <c r="P50" i="4" s="1"/>
  <c r="P51" i="4" s="1"/>
  <c r="P52" i="4"/>
  <c r="P172" i="4"/>
  <c r="P173" i="4" s="1"/>
  <c r="P60" i="4"/>
  <c r="P61" i="4" s="1"/>
  <c r="P180" i="4" s="1"/>
  <c r="S123" i="4"/>
  <c r="S126" i="4" s="1"/>
  <c r="S115" i="4"/>
  <c r="T107" i="4"/>
  <c r="T108" i="4" s="1"/>
  <c r="T110" i="4" s="1"/>
  <c r="T111" i="4" s="1"/>
  <c r="S116" i="4"/>
  <c r="S135" i="4" s="1"/>
  <c r="S112" i="4"/>
  <c r="S113" i="4" s="1"/>
  <c r="S142" i="4" s="1"/>
  <c r="N185" i="4"/>
  <c r="D21" i="5"/>
  <c r="D11" i="5"/>
  <c r="N184" i="4"/>
  <c r="D43" i="5" s="1"/>
  <c r="Q175" i="4"/>
  <c r="S80" i="4"/>
  <c r="Y160" i="4"/>
  <c r="Y45" i="4"/>
  <c r="Q53" i="4"/>
  <c r="Q182" i="4" s="1"/>
  <c r="O163" i="4"/>
  <c r="O59" i="4"/>
  <c r="O179" i="4" s="1"/>
  <c r="O56" i="4"/>
  <c r="Q143" i="4"/>
  <c r="S94" i="4"/>
  <c r="S77" i="4"/>
  <c r="Q40" i="4"/>
  <c r="R133" i="4"/>
  <c r="T98" i="4"/>
  <c r="R151" i="4"/>
  <c r="R62" i="4"/>
  <c r="R181" i="4" s="1"/>
  <c r="S27" i="4"/>
  <c r="S28" i="4" s="1"/>
  <c r="R35" i="4"/>
  <c r="R43" i="4"/>
  <c r="R36" i="4"/>
  <c r="R39" i="4"/>
  <c r="R38" i="4"/>
  <c r="R153" i="4"/>
  <c r="S29" i="4"/>
  <c r="S93" i="4"/>
  <c r="R99" i="4"/>
  <c r="R96" i="4"/>
  <c r="R103" i="4" s="1"/>
  <c r="O61" i="4"/>
  <c r="O180" i="4" s="1"/>
  <c r="T115" i="4" l="1"/>
  <c r="U107" i="4"/>
  <c r="U108" i="4" s="1"/>
  <c r="T116" i="4"/>
  <c r="T135" i="4" s="1"/>
  <c r="T112" i="4"/>
  <c r="T113" i="4" s="1"/>
  <c r="R169" i="4"/>
  <c r="S133" i="4"/>
  <c r="S118" i="4"/>
  <c r="S120" i="4" s="1"/>
  <c r="Q156" i="4"/>
  <c r="Q170" i="4" s="1"/>
  <c r="Q42" i="4"/>
  <c r="D26" i="5"/>
  <c r="D24" i="5"/>
  <c r="D31" i="5" s="1"/>
  <c r="D29" i="5"/>
  <c r="D30" i="5"/>
  <c r="D27" i="5"/>
  <c r="D25" i="5"/>
  <c r="D28" i="5"/>
  <c r="P163" i="4"/>
  <c r="P59" i="4"/>
  <c r="P179" i="4" s="1"/>
  <c r="P56" i="4"/>
  <c r="Y155" i="4"/>
  <c r="R162" i="4"/>
  <c r="R55" i="4"/>
  <c r="R176" i="4" s="1"/>
  <c r="S82" i="4"/>
  <c r="S87" i="4" s="1"/>
  <c r="S119" i="4"/>
  <c r="S121" i="4" s="1"/>
  <c r="T114" i="4"/>
  <c r="T137" i="4"/>
  <c r="R46" i="4"/>
  <c r="Z44" i="4"/>
  <c r="S30" i="4"/>
  <c r="T102" i="4"/>
  <c r="T76" i="4"/>
  <c r="T95" i="4" s="1"/>
  <c r="U67" i="4"/>
  <c r="U68" i="4" s="1"/>
  <c r="U70" i="4" s="1"/>
  <c r="U71" i="4"/>
  <c r="T75" i="4"/>
  <c r="T83" i="4"/>
  <c r="T86" i="4" s="1"/>
  <c r="T79" i="4"/>
  <c r="T78" i="4"/>
  <c r="O177" i="4"/>
  <c r="O63" i="4"/>
  <c r="Q166" i="4"/>
  <c r="Q164" i="4"/>
  <c r="Q167" i="4" s="1"/>
  <c r="R128" i="4"/>
  <c r="R129" i="4" s="1"/>
  <c r="R130" i="4" s="1"/>
  <c r="R131" i="4" s="1"/>
  <c r="R132" i="4"/>
  <c r="R140" i="4"/>
  <c r="R141" i="4" s="1"/>
  <c r="P167" i="4"/>
  <c r="R161" i="4"/>
  <c r="R37" i="4"/>
  <c r="R158" i="4" s="1"/>
  <c r="R54" i="4"/>
  <c r="S117" i="4"/>
  <c r="S134" i="4"/>
  <c r="T142" i="4" l="1"/>
  <c r="T123" i="4"/>
  <c r="T126" i="4" s="1"/>
  <c r="T119" i="4"/>
  <c r="T118" i="4"/>
  <c r="T120" i="4" s="1"/>
  <c r="R41" i="4"/>
  <c r="R53" i="4"/>
  <c r="R182" i="4" s="1"/>
  <c r="S154" i="4"/>
  <c r="S57" i="4"/>
  <c r="S31" i="4"/>
  <c r="S34" i="4"/>
  <c r="Q159" i="4"/>
  <c r="Q171" i="4" s="1"/>
  <c r="Q47" i="4"/>
  <c r="T94" i="4"/>
  <c r="T77" i="4"/>
  <c r="T81" i="4" s="1"/>
  <c r="U110" i="4"/>
  <c r="Z160" i="4"/>
  <c r="Z45" i="4"/>
  <c r="T93" i="4"/>
  <c r="T138" i="4"/>
  <c r="S122" i="4"/>
  <c r="S127" i="4" s="1"/>
  <c r="O183" i="4"/>
  <c r="S88" i="4"/>
  <c r="S89" i="4" s="1"/>
  <c r="S90" i="4" s="1"/>
  <c r="S91" i="4" s="1"/>
  <c r="S92" i="4"/>
  <c r="S100" i="4"/>
  <c r="S101" i="4" s="1"/>
  <c r="R40" i="4"/>
  <c r="P177" i="4"/>
  <c r="P63" i="4"/>
  <c r="P183" i="4" s="1"/>
  <c r="U76" i="4"/>
  <c r="U95" i="4" s="1"/>
  <c r="V67" i="4"/>
  <c r="V68" i="4" s="1"/>
  <c r="U75" i="4"/>
  <c r="U102" i="4"/>
  <c r="U79" i="4"/>
  <c r="U109" i="4"/>
  <c r="R139" i="4"/>
  <c r="R136" i="4"/>
  <c r="U97" i="4"/>
  <c r="U74" i="4"/>
  <c r="U72" i="4"/>
  <c r="U73" i="4" s="1"/>
  <c r="R175" i="4"/>
  <c r="T134" i="4"/>
  <c r="T117" i="4"/>
  <c r="T121" i="4" s="1"/>
  <c r="T122" i="4" l="1"/>
  <c r="T127" i="4" s="1"/>
  <c r="S96" i="4"/>
  <c r="S99" i="4"/>
  <c r="U77" i="4"/>
  <c r="U94" i="4"/>
  <c r="R157" i="4"/>
  <c r="Z155" i="4"/>
  <c r="E38" i="5" s="1"/>
  <c r="U111" i="4"/>
  <c r="V69" i="4"/>
  <c r="V70" i="4" s="1"/>
  <c r="T80" i="4"/>
  <c r="Q48" i="4"/>
  <c r="Q49" i="4" s="1"/>
  <c r="Q50" i="4" s="1"/>
  <c r="Q51" i="4" s="1"/>
  <c r="Q52" i="4"/>
  <c r="Q60" i="4"/>
  <c r="Q61" i="4" s="1"/>
  <c r="Q180" i="4" s="1"/>
  <c r="Q172" i="4"/>
  <c r="Q173" i="4" s="1"/>
  <c r="U137" i="4"/>
  <c r="T133" i="4"/>
  <c r="O185" i="4"/>
  <c r="O184" i="4"/>
  <c r="U98" i="4"/>
  <c r="S151" i="4"/>
  <c r="S35" i="4"/>
  <c r="S62" i="4"/>
  <c r="S181" i="4" s="1"/>
  <c r="T27" i="4"/>
  <c r="T28" i="4" s="1"/>
  <c r="T30" i="4" s="1"/>
  <c r="T154" i="4" s="1"/>
  <c r="S36" i="4"/>
  <c r="S39" i="4"/>
  <c r="S38" i="4"/>
  <c r="S128" i="4"/>
  <c r="S129" i="4" s="1"/>
  <c r="S130" i="4" s="1"/>
  <c r="S131" i="4" s="1"/>
  <c r="S132" i="4"/>
  <c r="S140" i="4"/>
  <c r="S141" i="4" s="1"/>
  <c r="R143" i="4"/>
  <c r="S153" i="4"/>
  <c r="T29" i="4"/>
  <c r="P185" i="4"/>
  <c r="P184" i="4"/>
  <c r="U114" i="4"/>
  <c r="S58" i="4"/>
  <c r="S178" i="4" s="1"/>
  <c r="U81" i="4"/>
  <c r="U83" i="4"/>
  <c r="U86" i="4" s="1"/>
  <c r="U78" i="4"/>
  <c r="R156" i="4"/>
  <c r="R42" i="4"/>
  <c r="S32" i="4"/>
  <c r="S33" i="4" s="1"/>
  <c r="V71" i="4" l="1"/>
  <c r="V72" i="4"/>
  <c r="V73" i="4" s="1"/>
  <c r="V74" i="4"/>
  <c r="V97" i="4"/>
  <c r="U138" i="4"/>
  <c r="S136" i="4"/>
  <c r="S139" i="4"/>
  <c r="S161" i="4"/>
  <c r="S54" i="4"/>
  <c r="S37" i="4"/>
  <c r="S40" i="4" s="1"/>
  <c r="S103" i="4"/>
  <c r="R164" i="4"/>
  <c r="R166" i="4"/>
  <c r="R170" i="4"/>
  <c r="S152" i="4"/>
  <c r="S169" i="4" s="1"/>
  <c r="S162" i="4"/>
  <c r="S55" i="4"/>
  <c r="S176" i="4" s="1"/>
  <c r="U93" i="4"/>
  <c r="T57" i="4"/>
  <c r="U80" i="4"/>
  <c r="T82" i="4"/>
  <c r="T87" i="4" s="1"/>
  <c r="V109" i="4"/>
  <c r="T31" i="4"/>
  <c r="U116" i="4"/>
  <c r="U135" i="4" s="1"/>
  <c r="V107" i="4"/>
  <c r="V108" i="4" s="1"/>
  <c r="U115" i="4"/>
  <c r="Q163" i="4"/>
  <c r="Q56" i="4"/>
  <c r="Q59" i="4"/>
  <c r="Q179" i="4" s="1"/>
  <c r="R159" i="4"/>
  <c r="R171" i="4" s="1"/>
  <c r="R47" i="4"/>
  <c r="T128" i="4"/>
  <c r="T129" i="4" s="1"/>
  <c r="T130" i="4" s="1"/>
  <c r="T131" i="4" s="1"/>
  <c r="T132" i="4"/>
  <c r="T140" i="4"/>
  <c r="T141" i="4" s="1"/>
  <c r="T34" i="4"/>
  <c r="S43" i="4"/>
  <c r="S46" i="4" s="1"/>
  <c r="U112" i="4"/>
  <c r="U113" i="4" s="1"/>
  <c r="U118" i="4" s="1"/>
  <c r="S156" i="4" l="1"/>
  <c r="S42" i="4"/>
  <c r="T151" i="4"/>
  <c r="T35" i="4"/>
  <c r="U27" i="4"/>
  <c r="U28" i="4" s="1"/>
  <c r="U30" i="4" s="1"/>
  <c r="U154" i="4" s="1"/>
  <c r="T36" i="4"/>
  <c r="U31" i="4"/>
  <c r="S53" i="4"/>
  <c r="S182" i="4" s="1"/>
  <c r="Q177" i="4"/>
  <c r="Q63" i="4"/>
  <c r="S175" i="4"/>
  <c r="R167" i="4"/>
  <c r="V98" i="4"/>
  <c r="W97" i="4"/>
  <c r="T88" i="4"/>
  <c r="T89" i="4" s="1"/>
  <c r="T90" i="4" s="1"/>
  <c r="T91" i="4" s="1"/>
  <c r="T92" i="4"/>
  <c r="T100" i="4"/>
  <c r="T101" i="4" s="1"/>
  <c r="T153" i="4"/>
  <c r="U29" i="4"/>
  <c r="U82" i="4"/>
  <c r="U87" i="4" s="1"/>
  <c r="T58" i="4"/>
  <c r="T178" i="4" s="1"/>
  <c r="T139" i="4"/>
  <c r="T136" i="4"/>
  <c r="S158" i="4"/>
  <c r="S41" i="4"/>
  <c r="S143" i="4"/>
  <c r="U119" i="4"/>
  <c r="U134" i="4"/>
  <c r="U117" i="4"/>
  <c r="U120" i="4" s="1"/>
  <c r="V110" i="4"/>
  <c r="U123" i="4"/>
  <c r="U126" i="4" s="1"/>
  <c r="U142" i="4"/>
  <c r="W69" i="4"/>
  <c r="R48" i="4"/>
  <c r="R49" i="4" s="1"/>
  <c r="R50" i="4" s="1"/>
  <c r="R51" i="4" s="1"/>
  <c r="R52" i="4"/>
  <c r="R60" i="4"/>
  <c r="R61" i="4" s="1"/>
  <c r="R180" i="4" s="1"/>
  <c r="R172" i="4"/>
  <c r="R173" i="4" s="1"/>
  <c r="T32" i="4"/>
  <c r="T33" i="4" s="1"/>
  <c r="T39" i="4" s="1"/>
  <c r="W67" i="4"/>
  <c r="W68" i="4" s="1"/>
  <c r="W70" i="4" s="1"/>
  <c r="W74" i="4" s="1"/>
  <c r="V75" i="4"/>
  <c r="V102" i="4"/>
  <c r="V83" i="4"/>
  <c r="V86" i="4" s="1"/>
  <c r="V76" i="4"/>
  <c r="V95" i="4" s="1"/>
  <c r="V79" i="4"/>
  <c r="V78" i="4"/>
  <c r="U122" i="4" l="1"/>
  <c r="U127" i="4" s="1"/>
  <c r="X69" i="4"/>
  <c r="T162" i="4"/>
  <c r="T55" i="4"/>
  <c r="T176" i="4" s="1"/>
  <c r="W98" i="4"/>
  <c r="S157" i="4"/>
  <c r="T43" i="4"/>
  <c r="T46" i="4" s="1"/>
  <c r="Q183" i="4"/>
  <c r="T62" i="4"/>
  <c r="T181" i="4" s="1"/>
  <c r="V81" i="4"/>
  <c r="T96" i="4"/>
  <c r="T99" i="4"/>
  <c r="T38" i="4"/>
  <c r="U151" i="4"/>
  <c r="U35" i="4"/>
  <c r="V27" i="4"/>
  <c r="V28" i="4" s="1"/>
  <c r="U36" i="4"/>
  <c r="U38" i="4"/>
  <c r="U133" i="4"/>
  <c r="V114" i="4"/>
  <c r="V111" i="4"/>
  <c r="V112" i="4" s="1"/>
  <c r="V113" i="4" s="1"/>
  <c r="V137" i="4"/>
  <c r="U121" i="4"/>
  <c r="U34" i="4"/>
  <c r="R163" i="4"/>
  <c r="R59" i="4"/>
  <c r="R179" i="4" s="1"/>
  <c r="R56" i="4"/>
  <c r="W71" i="4"/>
  <c r="T143" i="4"/>
  <c r="S159" i="4"/>
  <c r="S171" i="4" s="1"/>
  <c r="S47" i="4"/>
  <c r="V94" i="4"/>
  <c r="V77" i="4"/>
  <c r="V80" i="4" s="1"/>
  <c r="U57" i="4"/>
  <c r="U88" i="4"/>
  <c r="U89" i="4" s="1"/>
  <c r="U90" i="4" s="1"/>
  <c r="U91" i="4" s="1"/>
  <c r="U92" i="4"/>
  <c r="U100" i="4"/>
  <c r="U101" i="4" s="1"/>
  <c r="U32" i="4"/>
  <c r="T152" i="4"/>
  <c r="T169" i="4" s="1"/>
  <c r="U33" i="4"/>
  <c r="T161" i="4"/>
  <c r="T54" i="4"/>
  <c r="T37" i="4"/>
  <c r="T158" i="4" s="1"/>
  <c r="V93" i="4"/>
  <c r="U152" i="4" l="1"/>
  <c r="R177" i="4"/>
  <c r="R63" i="4"/>
  <c r="U153" i="4"/>
  <c r="U169" i="4" s="1"/>
  <c r="V29" i="4"/>
  <c r="V30" i="4" s="1"/>
  <c r="U62" i="4"/>
  <c r="U181" i="4" s="1"/>
  <c r="Q185" i="4"/>
  <c r="Q184" i="4"/>
  <c r="U162" i="4"/>
  <c r="U55" i="4"/>
  <c r="U176" i="4" s="1"/>
  <c r="T53" i="4"/>
  <c r="T182" i="4" s="1"/>
  <c r="U161" i="4"/>
  <c r="U37" i="4"/>
  <c r="U158" i="4" s="1"/>
  <c r="U54" i="4"/>
  <c r="T41" i="4"/>
  <c r="W75" i="4"/>
  <c r="X67" i="4"/>
  <c r="X68" i="4" s="1"/>
  <c r="X70" i="4" s="1"/>
  <c r="W83" i="4"/>
  <c r="W86" i="4" s="1"/>
  <c r="W76" i="4"/>
  <c r="W95" i="4" s="1"/>
  <c r="X71" i="4"/>
  <c r="W79" i="4"/>
  <c r="W78" i="4"/>
  <c r="T103" i="4"/>
  <c r="U99" i="4"/>
  <c r="U96" i="4"/>
  <c r="V138" i="4"/>
  <c r="V82" i="4"/>
  <c r="V87" i="4" s="1"/>
  <c r="U43" i="4"/>
  <c r="U46" i="4" s="1"/>
  <c r="S48" i="4"/>
  <c r="S49" i="4" s="1"/>
  <c r="S50" i="4" s="1"/>
  <c r="S51" i="4" s="1"/>
  <c r="S52" i="4"/>
  <c r="S172" i="4"/>
  <c r="S173" i="4" s="1"/>
  <c r="S60" i="4"/>
  <c r="S61" i="4" s="1"/>
  <c r="S180" i="4" s="1"/>
  <c r="T175" i="4"/>
  <c r="S166" i="4"/>
  <c r="S164" i="4"/>
  <c r="S167" i="4" s="1"/>
  <c r="S170" i="4"/>
  <c r="U128" i="4"/>
  <c r="U129" i="4" s="1"/>
  <c r="U130" i="4" s="1"/>
  <c r="U131" i="4" s="1"/>
  <c r="U132" i="4"/>
  <c r="U140" i="4"/>
  <c r="U141" i="4" s="1"/>
  <c r="U39" i="4"/>
  <c r="U58" i="4"/>
  <c r="U178" i="4" s="1"/>
  <c r="V142" i="4"/>
  <c r="V116" i="4"/>
  <c r="V135" i="4" s="1"/>
  <c r="V123" i="4"/>
  <c r="V126" i="4" s="1"/>
  <c r="V115" i="4"/>
  <c r="W107" i="4"/>
  <c r="W108" i="4" s="1"/>
  <c r="V119" i="4"/>
  <c r="V118" i="4"/>
  <c r="W109" i="4"/>
  <c r="W72" i="4"/>
  <c r="W73" i="4" s="1"/>
  <c r="T40" i="4"/>
  <c r="V154" i="4" l="1"/>
  <c r="V31" i="4"/>
  <c r="V57" i="4"/>
  <c r="V34" i="4"/>
  <c r="V134" i="4"/>
  <c r="V117" i="4"/>
  <c r="V121" i="4" s="1"/>
  <c r="W93" i="4"/>
  <c r="U175" i="4"/>
  <c r="S163" i="4"/>
  <c r="S56" i="4"/>
  <c r="S59" i="4"/>
  <c r="S179" i="4" s="1"/>
  <c r="T157" i="4"/>
  <c r="U41" i="4"/>
  <c r="V133" i="4"/>
  <c r="X97" i="4"/>
  <c r="X74" i="4"/>
  <c r="T156" i="4"/>
  <c r="T42" i="4"/>
  <c r="U40" i="4"/>
  <c r="X72" i="4"/>
  <c r="U53" i="4"/>
  <c r="U182" i="4" s="1"/>
  <c r="X73" i="4"/>
  <c r="W102" i="4"/>
  <c r="W110" i="4"/>
  <c r="U136" i="4"/>
  <c r="U139" i="4"/>
  <c r="X76" i="4"/>
  <c r="X95" i="4" s="1"/>
  <c r="X75" i="4"/>
  <c r="Y67" i="4"/>
  <c r="Y68" i="4" s="1"/>
  <c r="X79" i="4"/>
  <c r="X78" i="4"/>
  <c r="R183" i="4"/>
  <c r="V88" i="4"/>
  <c r="V89" i="4" s="1"/>
  <c r="V90" i="4" s="1"/>
  <c r="V91" i="4" s="1"/>
  <c r="V92" i="4"/>
  <c r="V100" i="4"/>
  <c r="U103" i="4"/>
  <c r="W94" i="4"/>
  <c r="W77" i="4"/>
  <c r="W81" i="4" s="1"/>
  <c r="U157" i="4" l="1"/>
  <c r="V99" i="4"/>
  <c r="V96" i="4"/>
  <c r="X98" i="4"/>
  <c r="V120" i="4"/>
  <c r="R185" i="4"/>
  <c r="R184" i="4"/>
  <c r="V58" i="4"/>
  <c r="V178" i="4" s="1"/>
  <c r="V151" i="4"/>
  <c r="V43" i="4"/>
  <c r="V46" i="4" s="1"/>
  <c r="W27" i="4"/>
  <c r="W28" i="4" s="1"/>
  <c r="V62" i="4"/>
  <c r="V181" i="4" s="1"/>
  <c r="V36" i="4"/>
  <c r="V35" i="4"/>
  <c r="U143" i="4"/>
  <c r="W114" i="4"/>
  <c r="W137" i="4"/>
  <c r="W111" i="4"/>
  <c r="W112" i="4"/>
  <c r="W113" i="4" s="1"/>
  <c r="X81" i="4"/>
  <c r="S177" i="4"/>
  <c r="S63" i="4"/>
  <c r="U156" i="4"/>
  <c r="U42" i="4"/>
  <c r="W80" i="4"/>
  <c r="Y69" i="4"/>
  <c r="Y70" i="4" s="1"/>
  <c r="V153" i="4"/>
  <c r="W29" i="4"/>
  <c r="T170" i="4"/>
  <c r="T164" i="4"/>
  <c r="T167" i="4" s="1"/>
  <c r="T166" i="4"/>
  <c r="X94" i="4"/>
  <c r="X77" i="4"/>
  <c r="V32" i="4"/>
  <c r="V33" i="4" s="1"/>
  <c r="V101" i="4"/>
  <c r="X83" i="4"/>
  <c r="X86" i="4" s="1"/>
  <c r="X102" i="4"/>
  <c r="T159" i="4"/>
  <c r="T171" i="4" s="1"/>
  <c r="T47" i="4"/>
  <c r="Y71" i="4" l="1"/>
  <c r="Y72" i="4"/>
  <c r="Y73" i="4" s="1"/>
  <c r="Y97" i="4"/>
  <c r="Y74" i="4"/>
  <c r="X109" i="4"/>
  <c r="V162" i="4"/>
  <c r="V55" i="4"/>
  <c r="V176" i="4" s="1"/>
  <c r="W30" i="4"/>
  <c r="W142" i="4"/>
  <c r="W116" i="4"/>
  <c r="W135" i="4" s="1"/>
  <c r="W123" i="4"/>
  <c r="W126" i="4" s="1"/>
  <c r="W115" i="4"/>
  <c r="X107" i="4"/>
  <c r="X108" i="4" s="1"/>
  <c r="X110" i="4" s="1"/>
  <c r="X111" i="4" s="1"/>
  <c r="W119" i="4"/>
  <c r="W118" i="4"/>
  <c r="X80" i="4"/>
  <c r="W82" i="4"/>
  <c r="W87" i="4" s="1"/>
  <c r="V53" i="4"/>
  <c r="V182" i="4" s="1"/>
  <c r="V152" i="4"/>
  <c r="U159" i="4"/>
  <c r="U171" i="4" s="1"/>
  <c r="U47" i="4"/>
  <c r="U166" i="4"/>
  <c r="U170" i="4"/>
  <c r="U164" i="4"/>
  <c r="U167" i="4" s="1"/>
  <c r="V161" i="4"/>
  <c r="V37" i="4"/>
  <c r="V158" i="4" s="1"/>
  <c r="V54" i="4"/>
  <c r="T48" i="4"/>
  <c r="T49" i="4" s="1"/>
  <c r="T50" i="4" s="1"/>
  <c r="T51" i="4" s="1"/>
  <c r="T52" i="4"/>
  <c r="T172" i="4"/>
  <c r="T60" i="4"/>
  <c r="V122" i="4"/>
  <c r="V127" i="4" s="1"/>
  <c r="X93" i="4"/>
  <c r="W138" i="4"/>
  <c r="X137" i="4"/>
  <c r="V103" i="4"/>
  <c r="V169" i="4"/>
  <c r="V38" i="4"/>
  <c r="S183" i="4"/>
  <c r="V39" i="4"/>
  <c r="X116" i="4" l="1"/>
  <c r="X135" i="4" s="1"/>
  <c r="X115" i="4"/>
  <c r="Y107" i="4"/>
  <c r="Y108" i="4" s="1"/>
  <c r="X119" i="4"/>
  <c r="X118" i="4"/>
  <c r="W121" i="4"/>
  <c r="T163" i="4"/>
  <c r="T59" i="4"/>
  <c r="T179" i="4" s="1"/>
  <c r="T56" i="4"/>
  <c r="W88" i="4"/>
  <c r="W89" i="4" s="1"/>
  <c r="W90" i="4" s="1"/>
  <c r="W91" i="4" s="1"/>
  <c r="W92" i="4"/>
  <c r="W100" i="4"/>
  <c r="W101" i="4" s="1"/>
  <c r="X112" i="4"/>
  <c r="X113" i="4" s="1"/>
  <c r="X82" i="4"/>
  <c r="X87" i="4" s="1"/>
  <c r="X114" i="4"/>
  <c r="V40" i="4"/>
  <c r="Y98" i="4"/>
  <c r="V175" i="4"/>
  <c r="W154" i="4"/>
  <c r="W57" i="4"/>
  <c r="W31" i="4"/>
  <c r="W32" i="4"/>
  <c r="W33" i="4" s="1"/>
  <c r="W34" i="4"/>
  <c r="W134" i="4"/>
  <c r="W117" i="4"/>
  <c r="W120" i="4" s="1"/>
  <c r="V128" i="4"/>
  <c r="V129" i="4" s="1"/>
  <c r="V130" i="4" s="1"/>
  <c r="V131" i="4" s="1"/>
  <c r="V132" i="4"/>
  <c r="V140" i="4"/>
  <c r="U48" i="4"/>
  <c r="U49" i="4" s="1"/>
  <c r="U50" i="4" s="1"/>
  <c r="U51" i="4" s="1"/>
  <c r="U52" i="4"/>
  <c r="U60" i="4"/>
  <c r="U61" i="4" s="1"/>
  <c r="U180" i="4" s="1"/>
  <c r="U172" i="4"/>
  <c r="U173" i="4" s="1"/>
  <c r="Z69" i="4"/>
  <c r="W133" i="4"/>
  <c r="X138" i="4"/>
  <c r="V41" i="4"/>
  <c r="S185" i="4"/>
  <c r="S184" i="4"/>
  <c r="T61" i="4"/>
  <c r="T180" i="4" s="1"/>
  <c r="T173" i="4"/>
  <c r="Y75" i="4"/>
  <c r="Y83" i="4"/>
  <c r="Y86" i="4" s="1"/>
  <c r="Y102" i="4"/>
  <c r="Y76" i="4"/>
  <c r="Y95" i="4" s="1"/>
  <c r="Z67" i="4"/>
  <c r="Z68" i="4" s="1"/>
  <c r="Y79" i="4"/>
  <c r="Y78" i="4"/>
  <c r="W122" i="4" l="1"/>
  <c r="W127" i="4" s="1"/>
  <c r="V136" i="4"/>
  <c r="V139" i="4"/>
  <c r="Y109" i="4"/>
  <c r="Y110" i="4"/>
  <c r="Y114" i="4" s="1"/>
  <c r="X121" i="4"/>
  <c r="Y93" i="4"/>
  <c r="X88" i="4"/>
  <c r="X89" i="4" s="1"/>
  <c r="X90" i="4" s="1"/>
  <c r="X91" i="4" s="1"/>
  <c r="X92" i="4"/>
  <c r="X100" i="4"/>
  <c r="W151" i="4"/>
  <c r="W36" i="4"/>
  <c r="W62" i="4"/>
  <c r="W181" i="4" s="1"/>
  <c r="X27" i="4"/>
  <c r="X28" i="4" s="1"/>
  <c r="X30" i="4" s="1"/>
  <c r="X154" i="4" s="1"/>
  <c r="X31" i="4"/>
  <c r="W35" i="4"/>
  <c r="W43" i="4"/>
  <c r="W46" i="4" s="1"/>
  <c r="W39" i="4"/>
  <c r="W38" i="4"/>
  <c r="W99" i="4"/>
  <c r="W96" i="4"/>
  <c r="W103" i="4" s="1"/>
  <c r="T177" i="4"/>
  <c r="T63" i="4"/>
  <c r="V156" i="4"/>
  <c r="V42" i="4"/>
  <c r="Y77" i="4"/>
  <c r="Y80" i="4" s="1"/>
  <c r="Y94" i="4"/>
  <c r="W152" i="4"/>
  <c r="X134" i="4"/>
  <c r="X117" i="4"/>
  <c r="X120" i="4" s="1"/>
  <c r="X142" i="4"/>
  <c r="W153" i="4"/>
  <c r="X29" i="4"/>
  <c r="W58" i="4"/>
  <c r="W178" i="4" s="1"/>
  <c r="X123" i="4"/>
  <c r="X126" i="4" s="1"/>
  <c r="Z70" i="4"/>
  <c r="U163" i="4"/>
  <c r="U59" i="4"/>
  <c r="U179" i="4" s="1"/>
  <c r="U56" i="4"/>
  <c r="V157" i="4"/>
  <c r="V141" i="4"/>
  <c r="X122" i="4" l="1"/>
  <c r="X127" i="4" s="1"/>
  <c r="Z109" i="4"/>
  <c r="Z97" i="4"/>
  <c r="Z71" i="4"/>
  <c r="Z74" i="4"/>
  <c r="X133" i="4"/>
  <c r="W161" i="4"/>
  <c r="W54" i="4"/>
  <c r="W37" i="4"/>
  <c r="X34" i="4"/>
  <c r="W53" i="4"/>
  <c r="W182" i="4" s="1"/>
  <c r="X151" i="4"/>
  <c r="X43" i="4"/>
  <c r="X46" i="4" s="1"/>
  <c r="X62" i="4"/>
  <c r="X181" i="4" s="1"/>
  <c r="X36" i="4"/>
  <c r="Y27" i="4"/>
  <c r="Y28" i="4" s="1"/>
  <c r="X35" i="4"/>
  <c r="X32" i="4"/>
  <c r="X33" i="4" s="1"/>
  <c r="X38" i="4" s="1"/>
  <c r="X96" i="4"/>
  <c r="X99" i="4"/>
  <c r="T183" i="4"/>
  <c r="V143" i="4"/>
  <c r="V159" i="4"/>
  <c r="V171" i="4" s="1"/>
  <c r="V47" i="4"/>
  <c r="U177" i="4"/>
  <c r="U63" i="4"/>
  <c r="U183" i="4" s="1"/>
  <c r="Y81" i="4"/>
  <c r="X101" i="4"/>
  <c r="Y82" i="4"/>
  <c r="Y87" i="4" s="1"/>
  <c r="X57" i="4"/>
  <c r="Y137" i="4"/>
  <c r="Y111" i="4"/>
  <c r="Y112" i="4" s="1"/>
  <c r="Y113" i="4" s="1"/>
  <c r="W162" i="4"/>
  <c r="W55" i="4"/>
  <c r="W176" i="4" s="1"/>
  <c r="V164" i="4"/>
  <c r="V166" i="4"/>
  <c r="V170" i="4"/>
  <c r="W169" i="4"/>
  <c r="W128" i="4"/>
  <c r="W129" i="4" s="1"/>
  <c r="W130" i="4" s="1"/>
  <c r="W131" i="4" s="1"/>
  <c r="W132" i="4"/>
  <c r="W140" i="4"/>
  <c r="W141" i="4" s="1"/>
  <c r="Y88" i="4" l="1"/>
  <c r="Y89" i="4" s="1"/>
  <c r="Y90" i="4" s="1"/>
  <c r="Y91" i="4" s="1"/>
  <c r="Y92" i="4"/>
  <c r="Y100" i="4"/>
  <c r="Y101" i="4" s="1"/>
  <c r="X161" i="4"/>
  <c r="X54" i="4"/>
  <c r="X37" i="4"/>
  <c r="X158" i="4" s="1"/>
  <c r="Y138" i="4"/>
  <c r="Z137" i="4"/>
  <c r="T185" i="4"/>
  <c r="T184" i="4"/>
  <c r="X53" i="4"/>
  <c r="X182" i="4" s="1"/>
  <c r="X103" i="4"/>
  <c r="X58" i="4"/>
  <c r="X178" i="4" s="1"/>
  <c r="AA69" i="4"/>
  <c r="Z98" i="4"/>
  <c r="U185" i="4"/>
  <c r="U184" i="4"/>
  <c r="X153" i="4"/>
  <c r="Y29" i="4"/>
  <c r="Y30" i="4" s="1"/>
  <c r="X128" i="4"/>
  <c r="X129" i="4" s="1"/>
  <c r="X130" i="4" s="1"/>
  <c r="X131" i="4" s="1"/>
  <c r="X132" i="4"/>
  <c r="X140" i="4"/>
  <c r="X141" i="4" s="1"/>
  <c r="Y123" i="4"/>
  <c r="Y126" i="4" s="1"/>
  <c r="Y142" i="4"/>
  <c r="Y115" i="4"/>
  <c r="Z107" i="4"/>
  <c r="Z108" i="4" s="1"/>
  <c r="Z110" i="4" s="1"/>
  <c r="Z114" i="4" s="1"/>
  <c r="Y116" i="4"/>
  <c r="Y135" i="4" s="1"/>
  <c r="Y119" i="4"/>
  <c r="Y118" i="4"/>
  <c r="W175" i="4"/>
  <c r="W136" i="4"/>
  <c r="W139" i="4"/>
  <c r="X162" i="4"/>
  <c r="X55" i="4"/>
  <c r="X176" i="4" s="1"/>
  <c r="Z76" i="4"/>
  <c r="Z95" i="4" s="1"/>
  <c r="AA67" i="4"/>
  <c r="AA68" i="4" s="1"/>
  <c r="Z75" i="4"/>
  <c r="Z72" i="4"/>
  <c r="Z73" i="4" s="1"/>
  <c r="Z79" i="4" s="1"/>
  <c r="X169" i="4"/>
  <c r="X152" i="4"/>
  <c r="V167" i="4"/>
  <c r="V48" i="4"/>
  <c r="V49" i="4" s="1"/>
  <c r="V50" i="4" s="1"/>
  <c r="V51" i="4" s="1"/>
  <c r="V52" i="4"/>
  <c r="V172" i="4"/>
  <c r="V173" i="4" s="1"/>
  <c r="V60" i="4"/>
  <c r="V61" i="4" s="1"/>
  <c r="V180" i="4" s="1"/>
  <c r="X39" i="4"/>
  <c r="W158" i="4"/>
  <c r="W41" i="4"/>
  <c r="W40" i="4"/>
  <c r="Y154" i="4" l="1"/>
  <c r="Y31" i="4"/>
  <c r="Y32" i="4" s="1"/>
  <c r="Y33" i="4" s="1"/>
  <c r="Y34" i="4"/>
  <c r="Y57" i="4"/>
  <c r="Z78" i="4"/>
  <c r="Z94" i="4"/>
  <c r="Z77" i="4"/>
  <c r="Z81" i="4" s="1"/>
  <c r="W157" i="4"/>
  <c r="X41" i="4"/>
  <c r="Y133" i="4"/>
  <c r="V163" i="4"/>
  <c r="V59" i="4"/>
  <c r="V179" i="4" s="1"/>
  <c r="V56" i="4"/>
  <c r="X175" i="4"/>
  <c r="Y96" i="4"/>
  <c r="Y99" i="4"/>
  <c r="Y134" i="4"/>
  <c r="Y117" i="4"/>
  <c r="Y121" i="4" s="1"/>
  <c r="Z138" i="4"/>
  <c r="AA70" i="4"/>
  <c r="X136" i="4"/>
  <c r="X139" i="4"/>
  <c r="AA109" i="4"/>
  <c r="W143" i="4"/>
  <c r="Z111" i="4"/>
  <c r="Z83" i="4"/>
  <c r="Z86" i="4" s="1"/>
  <c r="W156" i="4"/>
  <c r="W42" i="4"/>
  <c r="X40" i="4"/>
  <c r="Z102" i="4"/>
  <c r="Y152" i="4" l="1"/>
  <c r="W166" i="4"/>
  <c r="W170" i="4"/>
  <c r="W164" i="4"/>
  <c r="W167" i="4" s="1"/>
  <c r="Z115" i="4"/>
  <c r="Z116" i="4"/>
  <c r="Z135" i="4" s="1"/>
  <c r="AA111" i="4"/>
  <c r="AA107" i="4"/>
  <c r="AA108" i="4" s="1"/>
  <c r="AA110" i="4" s="1"/>
  <c r="Y120" i="4"/>
  <c r="V177" i="4"/>
  <c r="V63" i="4"/>
  <c r="V183" i="4" s="1"/>
  <c r="Z80" i="4"/>
  <c r="Z93" i="4"/>
  <c r="X157" i="4"/>
  <c r="Y103" i="4"/>
  <c r="X156" i="4"/>
  <c r="X42" i="4"/>
  <c r="Y58" i="4"/>
  <c r="Y178" i="4" s="1"/>
  <c r="Z112" i="4"/>
  <c r="Z113" i="4" s="1"/>
  <c r="Y153" i="4"/>
  <c r="Z34" i="4"/>
  <c r="Z29" i="4"/>
  <c r="Y151" i="4"/>
  <c r="Y62" i="4"/>
  <c r="Y181" i="4" s="1"/>
  <c r="Y35" i="4"/>
  <c r="Z27" i="4"/>
  <c r="Z28" i="4" s="1"/>
  <c r="Z30" i="4" s="1"/>
  <c r="Z154" i="4" s="1"/>
  <c r="E34" i="5" s="1"/>
  <c r="Y43" i="4"/>
  <c r="Y46" i="4" s="1"/>
  <c r="Y36" i="4"/>
  <c r="Y39" i="4"/>
  <c r="Y38" i="4"/>
  <c r="X143" i="4"/>
  <c r="W159" i="4"/>
  <c r="W171" i="4" s="1"/>
  <c r="W47" i="4"/>
  <c r="AA71" i="4"/>
  <c r="AA72" i="4"/>
  <c r="AA73" i="4" s="1"/>
  <c r="AA74" i="4"/>
  <c r="AA97" i="4"/>
  <c r="V185" i="4" l="1"/>
  <c r="V184" i="4"/>
  <c r="Z117" i="4"/>
  <c r="Z134" i="4"/>
  <c r="AA113" i="4"/>
  <c r="AA123" i="4" s="1"/>
  <c r="Z142" i="4"/>
  <c r="AA98" i="4"/>
  <c r="Z119" i="4"/>
  <c r="Z121" i="4" s="1"/>
  <c r="AA142" i="4"/>
  <c r="AA115" i="4"/>
  <c r="AB107" i="4"/>
  <c r="AB108" i="4" s="1"/>
  <c r="AA116" i="4"/>
  <c r="AA135" i="4" s="1"/>
  <c r="AA119" i="4"/>
  <c r="AA118" i="4"/>
  <c r="Z82" i="4"/>
  <c r="Z87" i="4" s="1"/>
  <c r="Y162" i="4"/>
  <c r="Y55" i="4"/>
  <c r="Y176" i="4" s="1"/>
  <c r="Y53" i="4"/>
  <c r="Y182" i="4" s="1"/>
  <c r="Z57" i="4"/>
  <c r="X159" i="4"/>
  <c r="X171" i="4" s="1"/>
  <c r="X47" i="4"/>
  <c r="AA102" i="4"/>
  <c r="AA83" i="4"/>
  <c r="AB67" i="4"/>
  <c r="AB68" i="4" s="1"/>
  <c r="AB70" i="4" s="1"/>
  <c r="AB74" i="4" s="1"/>
  <c r="AA76" i="4"/>
  <c r="AA95" i="4" s="1"/>
  <c r="AA75" i="4"/>
  <c r="AA79" i="4"/>
  <c r="AA78" i="4"/>
  <c r="W48" i="4"/>
  <c r="W49" i="4" s="1"/>
  <c r="W50" i="4" s="1"/>
  <c r="W51" i="4" s="1"/>
  <c r="W52" i="4"/>
  <c r="W172" i="4"/>
  <c r="W173" i="4" s="1"/>
  <c r="W60" i="4"/>
  <c r="W61" i="4" s="1"/>
  <c r="W180" i="4" s="1"/>
  <c r="Z153" i="4"/>
  <c r="E37" i="5" s="1"/>
  <c r="AA29" i="4"/>
  <c r="Z120" i="4"/>
  <c r="Y122" i="4"/>
  <c r="Y127" i="4" s="1"/>
  <c r="AB69" i="4"/>
  <c r="Z118" i="4"/>
  <c r="Y169" i="4"/>
  <c r="AA114" i="4"/>
  <c r="AA137" i="4"/>
  <c r="Z31" i="4"/>
  <c r="Y161" i="4"/>
  <c r="Y54" i="4"/>
  <c r="Y37" i="4"/>
  <c r="Y158" i="4" s="1"/>
  <c r="AA112" i="4"/>
  <c r="X164" i="4"/>
  <c r="X166" i="4"/>
  <c r="X170" i="4"/>
  <c r="Z123" i="4"/>
  <c r="Z126" i="4" s="1"/>
  <c r="AC69" i="4" l="1"/>
  <c r="AA124" i="4"/>
  <c r="AA125" i="4" s="1"/>
  <c r="AA126" i="4"/>
  <c r="Z122" i="4"/>
  <c r="Z127" i="4" s="1"/>
  <c r="Z151" i="4"/>
  <c r="AA31" i="4"/>
  <c r="Z62" i="4"/>
  <c r="Z181" i="4" s="1"/>
  <c r="Z35" i="4"/>
  <c r="Z43" i="4"/>
  <c r="Z46" i="4" s="1"/>
  <c r="Z36" i="4"/>
  <c r="AA27" i="4"/>
  <c r="AA28" i="4" s="1"/>
  <c r="AA30" i="4" s="1"/>
  <c r="AA32" i="4" s="1"/>
  <c r="Z38" i="4"/>
  <c r="Z88" i="4"/>
  <c r="Z89" i="4" s="1"/>
  <c r="Z90" i="4" s="1"/>
  <c r="Z91" i="4" s="1"/>
  <c r="Z92" i="4"/>
  <c r="Z100" i="4"/>
  <c r="Z101" i="4" s="1"/>
  <c r="AA121" i="4"/>
  <c r="Z133" i="4"/>
  <c r="Z58" i="4"/>
  <c r="Z178" i="4" s="1"/>
  <c r="E17" i="5" s="1"/>
  <c r="AA57" i="4"/>
  <c r="Z32" i="4"/>
  <c r="Z33" i="4" s="1"/>
  <c r="AB97" i="4"/>
  <c r="AB109" i="4"/>
  <c r="AB110" i="4" s="1"/>
  <c r="AB71" i="4"/>
  <c r="AA84" i="4"/>
  <c r="AA85" i="4" s="1"/>
  <c r="W163" i="4"/>
  <c r="W59" i="4"/>
  <c r="W179" i="4" s="1"/>
  <c r="W56" i="4"/>
  <c r="Y175" i="4"/>
  <c r="AA77" i="4"/>
  <c r="AA80" i="4" s="1"/>
  <c r="AA94" i="4"/>
  <c r="AA134" i="4"/>
  <c r="AA117" i="4"/>
  <c r="AA120" i="4" s="1"/>
  <c r="Y41" i="4"/>
  <c r="AA138" i="4"/>
  <c r="AB72" i="4"/>
  <c r="AB73" i="4" s="1"/>
  <c r="X48" i="4"/>
  <c r="X49" i="4" s="1"/>
  <c r="X50" i="4" s="1"/>
  <c r="X51" i="4" s="1"/>
  <c r="X52" i="4"/>
  <c r="X172" i="4"/>
  <c r="X173" i="4" s="1"/>
  <c r="X60" i="4"/>
  <c r="X61" i="4" s="1"/>
  <c r="X180" i="4" s="1"/>
  <c r="X167" i="4"/>
  <c r="AA81" i="4"/>
  <c r="Y128" i="4"/>
  <c r="Y129" i="4" s="1"/>
  <c r="Y130" i="4" s="1"/>
  <c r="Y131" i="4" s="1"/>
  <c r="Y132" i="4"/>
  <c r="Y140" i="4"/>
  <c r="Y141" i="4" s="1"/>
  <c r="Y40" i="4"/>
  <c r="AB111" i="4" l="1"/>
  <c r="AB112" i="4"/>
  <c r="AB113" i="4" s="1"/>
  <c r="AB114" i="4"/>
  <c r="AB137" i="4"/>
  <c r="AA122" i="4"/>
  <c r="AA127" i="4" s="1"/>
  <c r="Z53" i="4"/>
  <c r="Z182" i="4" s="1"/>
  <c r="Y157" i="4"/>
  <c r="Z41" i="4"/>
  <c r="AB98" i="4"/>
  <c r="Y156" i="4"/>
  <c r="Y42" i="4"/>
  <c r="Z161" i="4"/>
  <c r="Z54" i="4"/>
  <c r="Z37" i="4"/>
  <c r="Z158" i="4" s="1"/>
  <c r="AB76" i="4"/>
  <c r="AB95" i="4" s="1"/>
  <c r="AB83" i="4"/>
  <c r="AC71" i="4"/>
  <c r="AB75" i="4"/>
  <c r="AC67" i="4"/>
  <c r="AC68" i="4" s="1"/>
  <c r="AC70" i="4" s="1"/>
  <c r="AC74" i="4" s="1"/>
  <c r="AB102" i="4"/>
  <c r="AB79" i="4"/>
  <c r="AB78" i="4"/>
  <c r="Z128" i="4"/>
  <c r="Z129" i="4" s="1"/>
  <c r="Z130" i="4" s="1"/>
  <c r="Z131" i="4" s="1"/>
  <c r="Z132" i="4"/>
  <c r="Z140" i="4"/>
  <c r="Z141" i="4" s="1"/>
  <c r="AA82" i="4"/>
  <c r="AA87" i="4" s="1"/>
  <c r="Z152" i="4"/>
  <c r="E36" i="5" s="1"/>
  <c r="AA33" i="4"/>
  <c r="Z39" i="4"/>
  <c r="AA133" i="4"/>
  <c r="AA151" i="4"/>
  <c r="AA36" i="4"/>
  <c r="AA62" i="4"/>
  <c r="AA181" i="4" s="1"/>
  <c r="AA43" i="4"/>
  <c r="AB27" i="4"/>
  <c r="AB28" i="4" s="1"/>
  <c r="AA35" i="4"/>
  <c r="AA39" i="4"/>
  <c r="AA38" i="4"/>
  <c r="E35" i="5"/>
  <c r="AA140" i="4"/>
  <c r="Z162" i="4"/>
  <c r="Z55" i="4"/>
  <c r="Z176" i="4" s="1"/>
  <c r="E15" i="5" s="1"/>
  <c r="AA86" i="4"/>
  <c r="Y139" i="4"/>
  <c r="Y136" i="4"/>
  <c r="Y143" i="4" s="1"/>
  <c r="Z96" i="4"/>
  <c r="Z99" i="4"/>
  <c r="AA154" i="4"/>
  <c r="F34" i="5" s="1"/>
  <c r="AA34" i="4"/>
  <c r="AA58" i="4"/>
  <c r="AA178" i="4" s="1"/>
  <c r="F17" i="5" s="1"/>
  <c r="X163" i="4"/>
  <c r="X56" i="4"/>
  <c r="X59" i="4"/>
  <c r="X179" i="4" s="1"/>
  <c r="W177" i="4"/>
  <c r="W63" i="4"/>
  <c r="W183" i="4" s="1"/>
  <c r="AA88" i="4" l="1"/>
  <c r="AA89" i="4" s="1"/>
  <c r="AA92" i="4"/>
  <c r="Y170" i="4"/>
  <c r="Y164" i="4"/>
  <c r="Y166" i="4"/>
  <c r="Z175" i="4"/>
  <c r="E14" i="5" s="1"/>
  <c r="Z40" i="4"/>
  <c r="AB30" i="4"/>
  <c r="Z157" i="4"/>
  <c r="AA41" i="4"/>
  <c r="AA44" i="4"/>
  <c r="AA100" i="4"/>
  <c r="AA101" i="4" s="1"/>
  <c r="Y159" i="4"/>
  <c r="Y171" i="4" s="1"/>
  <c r="Y47" i="4"/>
  <c r="AB138" i="4"/>
  <c r="AA162" i="4"/>
  <c r="AA55" i="4"/>
  <c r="AA176" i="4" s="1"/>
  <c r="F15" i="5" s="1"/>
  <c r="AA128" i="4"/>
  <c r="AA129" i="4" s="1"/>
  <c r="AA130" i="4" s="1"/>
  <c r="AA131" i="4" s="1"/>
  <c r="AA132" i="4"/>
  <c r="Z169" i="4"/>
  <c r="AD69" i="4"/>
  <c r="AC109" i="4"/>
  <c r="Z103" i="4"/>
  <c r="E8" i="5" s="1"/>
  <c r="F35" i="5"/>
  <c r="AA169" i="4"/>
  <c r="W185" i="4"/>
  <c r="W184" i="4"/>
  <c r="AC72" i="4"/>
  <c r="AC73" i="4" s="1"/>
  <c r="AC102" i="4" s="1"/>
  <c r="AA161" i="4"/>
  <c r="AA54" i="4"/>
  <c r="AA37" i="4"/>
  <c r="AA158" i="4" s="1"/>
  <c r="AD67" i="4"/>
  <c r="AD68" i="4" s="1"/>
  <c r="AD70" i="4" s="1"/>
  <c r="AD74" i="4" s="1"/>
  <c r="AC75" i="4"/>
  <c r="AD71" i="4"/>
  <c r="AC76" i="4"/>
  <c r="AC95" i="4" s="1"/>
  <c r="AB84" i="4"/>
  <c r="AB85" i="4" s="1"/>
  <c r="AB86" i="4"/>
  <c r="AA153" i="4"/>
  <c r="F37" i="5" s="1"/>
  <c r="AB29" i="4"/>
  <c r="Z139" i="4"/>
  <c r="Z136" i="4"/>
  <c r="Z143" i="4" s="1"/>
  <c r="E9" i="5" s="1"/>
  <c r="AA93" i="4"/>
  <c r="AA90" i="4"/>
  <c r="AA91" i="4" s="1"/>
  <c r="X177" i="4"/>
  <c r="X63" i="4"/>
  <c r="X183" i="4" s="1"/>
  <c r="AA152" i="4"/>
  <c r="F36" i="5" s="1"/>
  <c r="AB77" i="4"/>
  <c r="AB94" i="4"/>
  <c r="AC97" i="4"/>
  <c r="AB115" i="4"/>
  <c r="AC107" i="4"/>
  <c r="AC108" i="4" s="1"/>
  <c r="AC110" i="4" s="1"/>
  <c r="AC137" i="4" s="1"/>
  <c r="AB142" i="4"/>
  <c r="AB123" i="4"/>
  <c r="AB116" i="4"/>
  <c r="AB135" i="4" s="1"/>
  <c r="AB119" i="4"/>
  <c r="AB118" i="4"/>
  <c r="AE69" i="4" l="1"/>
  <c r="AC138" i="4"/>
  <c r="AB124" i="4"/>
  <c r="AB125" i="4" s="1"/>
  <c r="AA139" i="4"/>
  <c r="AA136" i="4"/>
  <c r="AC83" i="4"/>
  <c r="AB154" i="4"/>
  <c r="G34" i="5" s="1"/>
  <c r="AB31" i="4"/>
  <c r="AB32" i="4"/>
  <c r="AB33" i="4" s="1"/>
  <c r="AB57" i="4"/>
  <c r="AA141" i="4"/>
  <c r="AB34" i="4"/>
  <c r="E39" i="5"/>
  <c r="Z166" i="4"/>
  <c r="Z164" i="4"/>
  <c r="AD76" i="4"/>
  <c r="AD95" i="4" s="1"/>
  <c r="AE71" i="4"/>
  <c r="AD75" i="4"/>
  <c r="AE67" i="4"/>
  <c r="AE68" i="4" s="1"/>
  <c r="AE70" i="4" s="1"/>
  <c r="AE72" i="4" s="1"/>
  <c r="AD72" i="4"/>
  <c r="Y48" i="4"/>
  <c r="Y49" i="4" s="1"/>
  <c r="Y50" i="4" s="1"/>
  <c r="Y51" i="4" s="1"/>
  <c r="Y52" i="4"/>
  <c r="Y172" i="4"/>
  <c r="Y173" i="4" s="1"/>
  <c r="Y60" i="4"/>
  <c r="Y61" i="4" s="1"/>
  <c r="Y180" i="4" s="1"/>
  <c r="Y167" i="4"/>
  <c r="AA99" i="4"/>
  <c r="AA96" i="4"/>
  <c r="AA103" i="4" s="1"/>
  <c r="F8" i="5" s="1"/>
  <c r="AA157" i="4"/>
  <c r="AB134" i="4"/>
  <c r="AB117" i="4"/>
  <c r="AB120" i="4" s="1"/>
  <c r="AC77" i="4"/>
  <c r="AC94" i="4"/>
  <c r="AB80" i="4"/>
  <c r="AB81" i="4"/>
  <c r="AC81" i="4" s="1"/>
  <c r="AA175" i="4"/>
  <c r="F14" i="5" s="1"/>
  <c r="AC114" i="4"/>
  <c r="AA160" i="4"/>
  <c r="AA45" i="4"/>
  <c r="AC111" i="4"/>
  <c r="AC112" i="4" s="1"/>
  <c r="AC113" i="4" s="1"/>
  <c r="AD73" i="4"/>
  <c r="Z156" i="4"/>
  <c r="E41" i="5" s="1"/>
  <c r="AA40" i="4"/>
  <c r="Z42" i="4"/>
  <c r="AD97" i="4"/>
  <c r="AC98" i="4"/>
  <c r="AB93" i="4"/>
  <c r="AC78" i="4"/>
  <c r="X185" i="4"/>
  <c r="X184" i="4"/>
  <c r="AC79" i="4"/>
  <c r="AB122" i="4" l="1"/>
  <c r="AB127" i="4" s="1"/>
  <c r="AB82" i="4"/>
  <c r="AB87" i="4" s="1"/>
  <c r="AC80" i="4"/>
  <c r="AB152" i="4"/>
  <c r="G36" i="5" s="1"/>
  <c r="Y163" i="4"/>
  <c r="Y56" i="4"/>
  <c r="Y59" i="4"/>
  <c r="Y179" i="4" s="1"/>
  <c r="E40" i="5"/>
  <c r="Z167" i="4"/>
  <c r="AE76" i="4"/>
  <c r="AE95" i="4" s="1"/>
  <c r="AE75" i="4"/>
  <c r="AA156" i="4"/>
  <c r="F41" i="5" s="1"/>
  <c r="AA42" i="4"/>
  <c r="AE73" i="4"/>
  <c r="AE102" i="4" s="1"/>
  <c r="AD102" i="4"/>
  <c r="AB121" i="4"/>
  <c r="Z170" i="4"/>
  <c r="AE97" i="4"/>
  <c r="AE98" i="4" s="1"/>
  <c r="AD98" i="4"/>
  <c r="AC84" i="4"/>
  <c r="AC85" i="4" s="1"/>
  <c r="AC86" i="4" s="1"/>
  <c r="AC142" i="4"/>
  <c r="AC115" i="4"/>
  <c r="AD107" i="4"/>
  <c r="AD108" i="4" s="1"/>
  <c r="AD110" i="4" s="1"/>
  <c r="AD137" i="4" s="1"/>
  <c r="AC123" i="4"/>
  <c r="AC116" i="4"/>
  <c r="AC135" i="4" s="1"/>
  <c r="AC119" i="4"/>
  <c r="AC118" i="4"/>
  <c r="AB140" i="4"/>
  <c r="AB126" i="4"/>
  <c r="AD109" i="4"/>
  <c r="F39" i="5"/>
  <c r="AA170" i="4"/>
  <c r="AA164" i="4"/>
  <c r="AA166" i="4"/>
  <c r="AD83" i="4"/>
  <c r="AB153" i="4"/>
  <c r="G37" i="5" s="1"/>
  <c r="AC29" i="4"/>
  <c r="AB151" i="4"/>
  <c r="AB36" i="4"/>
  <c r="AB35" i="4"/>
  <c r="AB62" i="4"/>
  <c r="AB181" i="4" s="1"/>
  <c r="AB43" i="4"/>
  <c r="AC27" i="4"/>
  <c r="AC28" i="4" s="1"/>
  <c r="AB39" i="4"/>
  <c r="AB38" i="4"/>
  <c r="AA155" i="4"/>
  <c r="F38" i="5" s="1"/>
  <c r="AA46" i="4"/>
  <c r="AE74" i="4"/>
  <c r="AD77" i="4"/>
  <c r="AD94" i="4"/>
  <c r="Z159" i="4"/>
  <c r="Z47" i="4"/>
  <c r="AA143" i="4"/>
  <c r="F9" i="5" s="1"/>
  <c r="AD78" i="4"/>
  <c r="AD79" i="4"/>
  <c r="AD81" i="4" s="1"/>
  <c r="AB58" i="4"/>
  <c r="AB178" i="4" s="1"/>
  <c r="G17" i="5" s="1"/>
  <c r="AC93" i="4" l="1"/>
  <c r="AA167" i="4"/>
  <c r="F40" i="5"/>
  <c r="AB162" i="4"/>
  <c r="AB55" i="4"/>
  <c r="AB176" i="4" s="1"/>
  <c r="G15" i="5" s="1"/>
  <c r="AA53" i="4"/>
  <c r="AA182" i="4" s="1"/>
  <c r="AE83" i="4"/>
  <c r="AC82" i="4"/>
  <c r="AC87" i="4" s="1"/>
  <c r="AD80" i="4"/>
  <c r="E42" i="5"/>
  <c r="Z171" i="4"/>
  <c r="AC134" i="4"/>
  <c r="AC117" i="4"/>
  <c r="AC120" i="4" s="1"/>
  <c r="AB133" i="4"/>
  <c r="AE78" i="4"/>
  <c r="G35" i="5"/>
  <c r="AB169" i="4"/>
  <c r="AE79" i="4"/>
  <c r="AE81" i="4" s="1"/>
  <c r="AB88" i="4"/>
  <c r="AB89" i="4" s="1"/>
  <c r="AB90" i="4" s="1"/>
  <c r="AB91" i="4" s="1"/>
  <c r="AB92" i="4"/>
  <c r="AB100" i="4"/>
  <c r="AB101" i="4" s="1"/>
  <c r="AD114" i="4"/>
  <c r="AB41" i="4"/>
  <c r="AE94" i="4"/>
  <c r="AE77" i="4"/>
  <c r="AB44" i="4"/>
  <c r="AB161" i="4"/>
  <c r="AB54" i="4"/>
  <c r="AB37" i="4"/>
  <c r="AA159" i="4"/>
  <c r="AA47" i="4"/>
  <c r="Y177" i="4"/>
  <c r="Y63" i="4"/>
  <c r="Y183" i="4" s="1"/>
  <c r="AD84" i="4"/>
  <c r="AD85" i="4" s="1"/>
  <c r="AD86" i="4" s="1"/>
  <c r="AD138" i="4"/>
  <c r="AD112" i="4"/>
  <c r="AD113" i="4" s="1"/>
  <c r="AC30" i="4"/>
  <c r="AD111" i="4"/>
  <c r="Z48" i="4"/>
  <c r="Z49" i="4" s="1"/>
  <c r="Z50" i="4" s="1"/>
  <c r="Z51" i="4" s="1"/>
  <c r="Z52" i="4"/>
  <c r="Z172" i="4"/>
  <c r="Z173" i="4" s="1"/>
  <c r="Z60" i="4"/>
  <c r="Z61" i="4" s="1"/>
  <c r="Z180" i="4" s="1"/>
  <c r="E19" i="5" s="1"/>
  <c r="AC124" i="4"/>
  <c r="AC125" i="4" s="1"/>
  <c r="AC126" i="4"/>
  <c r="AC121" i="4"/>
  <c r="AB128" i="4"/>
  <c r="AB129" i="4" s="1"/>
  <c r="AB130" i="4" s="1"/>
  <c r="AB131" i="4" s="1"/>
  <c r="AB132" i="4"/>
  <c r="AD93" i="4" l="1"/>
  <c r="AB136" i="4"/>
  <c r="AB139" i="4"/>
  <c r="AC122" i="4"/>
  <c r="AC127" i="4" s="1"/>
  <c r="AB141" i="4"/>
  <c r="AB160" i="4"/>
  <c r="AB45" i="4"/>
  <c r="AC133" i="4"/>
  <c r="AC88" i="4"/>
  <c r="AC89" i="4" s="1"/>
  <c r="AC90" i="4" s="1"/>
  <c r="AC91" i="4" s="1"/>
  <c r="AC92" i="4"/>
  <c r="AA48" i="4"/>
  <c r="AA49" i="4" s="1"/>
  <c r="AA50" i="4" s="1"/>
  <c r="AA51" i="4" s="1"/>
  <c r="AA52" i="4"/>
  <c r="AA172" i="4"/>
  <c r="AA173" i="4" s="1"/>
  <c r="AA60" i="4"/>
  <c r="AA61" i="4" s="1"/>
  <c r="AA180" i="4" s="1"/>
  <c r="F19" i="5" s="1"/>
  <c r="F42" i="5"/>
  <c r="AA171" i="4"/>
  <c r="AE84" i="4"/>
  <c r="AE85" i="4" s="1"/>
  <c r="AD100" i="4"/>
  <c r="Y185" i="4"/>
  <c r="Y184" i="4"/>
  <c r="AB157" i="4"/>
  <c r="Z163" i="4"/>
  <c r="Z59" i="4"/>
  <c r="Z179" i="4" s="1"/>
  <c r="E18" i="5" s="1"/>
  <c r="Z56" i="4"/>
  <c r="AB158" i="4"/>
  <c r="AB40" i="4"/>
  <c r="AE109" i="4"/>
  <c r="AD142" i="4"/>
  <c r="AD116" i="4"/>
  <c r="AD135" i="4" s="1"/>
  <c r="AD123" i="4"/>
  <c r="AD115" i="4"/>
  <c r="AE107" i="4"/>
  <c r="AE108" i="4" s="1"/>
  <c r="AE110" i="4" s="1"/>
  <c r="AE137" i="4" s="1"/>
  <c r="AE138" i="4" s="1"/>
  <c r="AD119" i="4"/>
  <c r="AD118" i="4"/>
  <c r="AC154" i="4"/>
  <c r="H34" i="5" s="1"/>
  <c r="AC57" i="4"/>
  <c r="AC34" i="4"/>
  <c r="AC31" i="4"/>
  <c r="AB96" i="4"/>
  <c r="AB99" i="4"/>
  <c r="AC100" i="4"/>
  <c r="AC101" i="4" s="1"/>
  <c r="AB175" i="4"/>
  <c r="G14" i="5" s="1"/>
  <c r="AD82" i="4"/>
  <c r="AD87" i="4" s="1"/>
  <c r="AE80" i="4"/>
  <c r="AE82" i="4" s="1"/>
  <c r="AE87" i="4" s="1"/>
  <c r="AE88" i="4" l="1"/>
  <c r="AE89" i="4" s="1"/>
  <c r="AE92" i="4"/>
  <c r="AB156" i="4"/>
  <c r="G41" i="5" s="1"/>
  <c r="AB42" i="4"/>
  <c r="AD88" i="4"/>
  <c r="AD89" i="4" s="1"/>
  <c r="AD90" i="4" s="1"/>
  <c r="AD91" i="4" s="1"/>
  <c r="AD92" i="4"/>
  <c r="AE100" i="4"/>
  <c r="AE101" i="4" s="1"/>
  <c r="AD134" i="4"/>
  <c r="AD117" i="4"/>
  <c r="AD120" i="4" s="1"/>
  <c r="AE111" i="4"/>
  <c r="AA163" i="4"/>
  <c r="AA59" i="4"/>
  <c r="AA179" i="4" s="1"/>
  <c r="F18" i="5" s="1"/>
  <c r="AA56" i="4"/>
  <c r="AE86" i="4"/>
  <c r="Z177" i="4"/>
  <c r="E16" i="5" s="1"/>
  <c r="Z63" i="4"/>
  <c r="AD124" i="4"/>
  <c r="AD125" i="4" s="1"/>
  <c r="AB103" i="4"/>
  <c r="G8" i="5" s="1"/>
  <c r="AC151" i="4"/>
  <c r="AC36" i="4"/>
  <c r="AD27" i="4"/>
  <c r="AD28" i="4" s="1"/>
  <c r="AD30" i="4" s="1"/>
  <c r="AD154" i="4" s="1"/>
  <c r="I34" i="5" s="1"/>
  <c r="AD31" i="4"/>
  <c r="AC35" i="4"/>
  <c r="AC39" i="4"/>
  <c r="AC38" i="4"/>
  <c r="AC128" i="4"/>
  <c r="AC129" i="4" s="1"/>
  <c r="AC130" i="4" s="1"/>
  <c r="AC131" i="4" s="1"/>
  <c r="AC132" i="4"/>
  <c r="AC58" i="4"/>
  <c r="AC178" i="4" s="1"/>
  <c r="H17" i="5" s="1"/>
  <c r="AB143" i="4"/>
  <c r="G9" i="5" s="1"/>
  <c r="AE112" i="4"/>
  <c r="AE113" i="4" s="1"/>
  <c r="AC99" i="4"/>
  <c r="AC96" i="4"/>
  <c r="AB155" i="4"/>
  <c r="G38" i="5" s="1"/>
  <c r="AB46" i="4"/>
  <c r="AC153" i="4"/>
  <c r="H37" i="5" s="1"/>
  <c r="AD34" i="4"/>
  <c r="AD29" i="4"/>
  <c r="G39" i="5"/>
  <c r="AB164" i="4"/>
  <c r="AB166" i="4"/>
  <c r="AC32" i="4"/>
  <c r="AC33" i="4" s="1"/>
  <c r="AE114" i="4"/>
  <c r="AC140" i="4"/>
  <c r="AD122" i="4" l="1"/>
  <c r="AD127" i="4" s="1"/>
  <c r="Z183" i="4"/>
  <c r="E7" i="5"/>
  <c r="AC103" i="4"/>
  <c r="H8" i="5" s="1"/>
  <c r="AD153" i="4"/>
  <c r="I37" i="5" s="1"/>
  <c r="AE29" i="4"/>
  <c r="AC169" i="4"/>
  <c r="H35" i="5"/>
  <c r="AD140" i="4"/>
  <c r="AC152" i="4"/>
  <c r="H36" i="5" s="1"/>
  <c r="AE90" i="4"/>
  <c r="AE91" i="4" s="1"/>
  <c r="AE93" i="4"/>
  <c r="G40" i="5"/>
  <c r="AB167" i="4"/>
  <c r="AA177" i="4"/>
  <c r="F16" i="5" s="1"/>
  <c r="AA63" i="4"/>
  <c r="AC136" i="4"/>
  <c r="AC139" i="4"/>
  <c r="AD99" i="4"/>
  <c r="AD96" i="4"/>
  <c r="AB170" i="4"/>
  <c r="AD57" i="4"/>
  <c r="AC43" i="4"/>
  <c r="AD121" i="4"/>
  <c r="AB53" i="4"/>
  <c r="AB182" i="4" s="1"/>
  <c r="AD126" i="4"/>
  <c r="AC141" i="4"/>
  <c r="AC161" i="4"/>
  <c r="AC54" i="4"/>
  <c r="AC37" i="4"/>
  <c r="AC158" i="4" s="1"/>
  <c r="AD151" i="4"/>
  <c r="AE27" i="4"/>
  <c r="AE28" i="4" s="1"/>
  <c r="AE30" i="4" s="1"/>
  <c r="AE154" i="4" s="1"/>
  <c r="J34" i="5" s="1"/>
  <c r="AE31" i="4"/>
  <c r="AD35" i="4"/>
  <c r="AD36" i="4"/>
  <c r="AB159" i="4"/>
  <c r="AB47" i="4"/>
  <c r="AC62" i="4"/>
  <c r="AC181" i="4" s="1"/>
  <c r="AD101" i="4"/>
  <c r="AD32" i="4"/>
  <c r="AD33" i="4" s="1"/>
  <c r="AC162" i="4"/>
  <c r="AC55" i="4"/>
  <c r="AC176" i="4" s="1"/>
  <c r="H15" i="5" s="1"/>
  <c r="AE142" i="4"/>
  <c r="AE123" i="4"/>
  <c r="AE116" i="4"/>
  <c r="AE135" i="4" s="1"/>
  <c r="AE115" i="4"/>
  <c r="AE119" i="4"/>
  <c r="AE118" i="4"/>
  <c r="AD152" i="4" l="1"/>
  <c r="I36" i="5" s="1"/>
  <c r="AD39" i="4"/>
  <c r="AD38" i="4"/>
  <c r="AD62" i="4"/>
  <c r="AD181" i="4" s="1"/>
  <c r="AD43" i="4"/>
  <c r="AE151" i="4"/>
  <c r="AE35" i="4"/>
  <c r="AE36" i="4"/>
  <c r="AC143" i="4"/>
  <c r="H9" i="5" s="1"/>
  <c r="AD58" i="4"/>
  <c r="AD178" i="4" s="1"/>
  <c r="I17" i="5" s="1"/>
  <c r="AE57" i="4"/>
  <c r="AE58" i="4" s="1"/>
  <c r="AE178" i="4" s="1"/>
  <c r="J17" i="5" s="1"/>
  <c r="I35" i="5"/>
  <c r="AD169" i="4"/>
  <c r="Z185" i="4"/>
  <c r="E21" i="5"/>
  <c r="E11" i="5"/>
  <c r="Z184" i="4"/>
  <c r="E43" i="5" s="1"/>
  <c r="AD162" i="4"/>
  <c r="AD55" i="4"/>
  <c r="AD176" i="4" s="1"/>
  <c r="I15" i="5" s="1"/>
  <c r="AE124" i="4"/>
  <c r="AE125" i="4" s="1"/>
  <c r="AE126" i="4"/>
  <c r="AE34" i="4"/>
  <c r="AE153" i="4" s="1"/>
  <c r="J37" i="5" s="1"/>
  <c r="AE121" i="4"/>
  <c r="G42" i="5"/>
  <c r="AB171" i="4"/>
  <c r="AC40" i="4"/>
  <c r="AD161" i="4"/>
  <c r="AD37" i="4"/>
  <c r="AD158" i="4" s="1"/>
  <c r="AD54" i="4"/>
  <c r="AE32" i="4"/>
  <c r="AE33" i="4" s="1"/>
  <c r="AE96" i="4"/>
  <c r="AE99" i="4"/>
  <c r="AB48" i="4"/>
  <c r="AB49" i="4" s="1"/>
  <c r="AB50" i="4" s="1"/>
  <c r="AB51" i="4" s="1"/>
  <c r="AB52" i="4"/>
  <c r="AB172" i="4"/>
  <c r="AB173" i="4" s="1"/>
  <c r="AB60" i="4"/>
  <c r="AB61" i="4" s="1"/>
  <c r="AB180" i="4" s="1"/>
  <c r="G19" i="5" s="1"/>
  <c r="AD133" i="4"/>
  <c r="AD130" i="4"/>
  <c r="AD131" i="4" s="1"/>
  <c r="F7" i="5"/>
  <c r="AA183" i="4"/>
  <c r="AC44" i="4"/>
  <c r="AD103" i="4"/>
  <c r="I8" i="5" s="1"/>
  <c r="AE117" i="4"/>
  <c r="AE120" i="4" s="1"/>
  <c r="AE122" i="4" s="1"/>
  <c r="AE127" i="4" s="1"/>
  <c r="AE134" i="4"/>
  <c r="AC175" i="4"/>
  <c r="H14" i="5" s="1"/>
  <c r="AC41" i="4"/>
  <c r="AD128" i="4"/>
  <c r="AD129" i="4" s="1"/>
  <c r="AD132" i="4"/>
  <c r="AE128" i="4" l="1"/>
  <c r="AE129" i="4" s="1"/>
  <c r="AE132" i="4"/>
  <c r="AE152" i="4"/>
  <c r="J36" i="5" s="1"/>
  <c r="AE62" i="4"/>
  <c r="AE181" i="4" s="1"/>
  <c r="AE39" i="4"/>
  <c r="AE38" i="4"/>
  <c r="AE43" i="4"/>
  <c r="AC157" i="4"/>
  <c r="AD41" i="4"/>
  <c r="AE161" i="4"/>
  <c r="AE54" i="4"/>
  <c r="AE37" i="4"/>
  <c r="AE158" i="4" s="1"/>
  <c r="AC156" i="4"/>
  <c r="H41" i="5" s="1"/>
  <c r="AC42" i="4"/>
  <c r="AD40" i="4"/>
  <c r="AD141" i="4"/>
  <c r="AD139" i="4"/>
  <c r="AD136" i="4"/>
  <c r="AE169" i="4"/>
  <c r="J35" i="5"/>
  <c r="AE140" i="4"/>
  <c r="AE141" i="4" s="1"/>
  <c r="AB163" i="4"/>
  <c r="AB59" i="4"/>
  <c r="AB179" i="4" s="1"/>
  <c r="G18" i="5" s="1"/>
  <c r="AB56" i="4"/>
  <c r="AC160" i="4"/>
  <c r="AC45" i="4"/>
  <c r="F21" i="5"/>
  <c r="AA185" i="4"/>
  <c r="F11" i="5"/>
  <c r="AA184" i="4"/>
  <c r="F43" i="5" s="1"/>
  <c r="AD44" i="4"/>
  <c r="AE130" i="4"/>
  <c r="AE131" i="4" s="1"/>
  <c r="AE133" i="4"/>
  <c r="AE103" i="4"/>
  <c r="J8" i="5" s="1"/>
  <c r="AD175" i="4"/>
  <c r="I14" i="5" s="1"/>
  <c r="E26" i="5"/>
  <c r="E24" i="5"/>
  <c r="E29" i="5"/>
  <c r="E27" i="5"/>
  <c r="E25" i="5"/>
  <c r="E30" i="5"/>
  <c r="E28" i="5"/>
  <c r="AE162" i="4"/>
  <c r="AE55" i="4"/>
  <c r="AE176" i="4" s="1"/>
  <c r="J15" i="5" s="1"/>
  <c r="AE136" i="4" l="1"/>
  <c r="AE139" i="4"/>
  <c r="AE44" i="4"/>
  <c r="AE175" i="4"/>
  <c r="J14" i="5" s="1"/>
  <c r="AD160" i="4"/>
  <c r="AD45" i="4"/>
  <c r="AD157" i="4"/>
  <c r="AE41" i="4"/>
  <c r="AE157" i="4" s="1"/>
  <c r="F24" i="5"/>
  <c r="F29" i="5"/>
  <c r="F27" i="5"/>
  <c r="F30" i="5"/>
  <c r="F28" i="5"/>
  <c r="F26" i="5"/>
  <c r="F25" i="5"/>
  <c r="E31" i="5"/>
  <c r="AC159" i="4"/>
  <c r="AC47" i="4"/>
  <c r="AC166" i="4"/>
  <c r="H39" i="5"/>
  <c r="AC170" i="4"/>
  <c r="AC164" i="4"/>
  <c r="AD143" i="4"/>
  <c r="I9" i="5" s="1"/>
  <c r="AC155" i="4"/>
  <c r="H38" i="5" s="1"/>
  <c r="AC46" i="4"/>
  <c r="AB177" i="4"/>
  <c r="G16" i="5" s="1"/>
  <c r="AB63" i="4"/>
  <c r="AD156" i="4"/>
  <c r="I41" i="5" s="1"/>
  <c r="AE40" i="4"/>
  <c r="AD42" i="4"/>
  <c r="H40" i="5" l="1"/>
  <c r="AC167" i="4"/>
  <c r="H42" i="5"/>
  <c r="AC171" i="4"/>
  <c r="AE166" i="4"/>
  <c r="J39" i="5"/>
  <c r="AE170" i="4"/>
  <c r="AE164" i="4"/>
  <c r="I39" i="5"/>
  <c r="AD170" i="4"/>
  <c r="AD164" i="4"/>
  <c r="AD166" i="4"/>
  <c r="AB183" i="4"/>
  <c r="G7" i="5"/>
  <c r="AE156" i="4"/>
  <c r="J41" i="5" s="1"/>
  <c r="AE42" i="4"/>
  <c r="AD172" i="4"/>
  <c r="AD155" i="4"/>
  <c r="I38" i="5" s="1"/>
  <c r="AD60" i="4"/>
  <c r="AD46" i="4"/>
  <c r="AC53" i="4"/>
  <c r="AC182" i="4" s="1"/>
  <c r="AC50" i="4"/>
  <c r="AC51" i="4" s="1"/>
  <c r="F31" i="5"/>
  <c r="AD159" i="4"/>
  <c r="AD47" i="4"/>
  <c r="AC48" i="4"/>
  <c r="AC49" i="4" s="1"/>
  <c r="AC52" i="4"/>
  <c r="AC60" i="4"/>
  <c r="AC61" i="4" s="1"/>
  <c r="AC180" i="4" s="1"/>
  <c r="H19" i="5" s="1"/>
  <c r="AE160" i="4"/>
  <c r="AE45" i="4"/>
  <c r="AC172" i="4"/>
  <c r="AE143" i="4"/>
  <c r="J9" i="5" s="1"/>
  <c r="I42" i="5" l="1"/>
  <c r="AD171" i="4"/>
  <c r="AD53" i="4"/>
  <c r="AD182" i="4" s="1"/>
  <c r="AC173" i="4"/>
  <c r="AE159" i="4"/>
  <c r="AE47" i="4"/>
  <c r="AD167" i="4"/>
  <c r="I40" i="5"/>
  <c r="AD61" i="4"/>
  <c r="AD180" i="4" s="1"/>
  <c r="I19" i="5" s="1"/>
  <c r="AC163" i="4"/>
  <c r="AC56" i="4"/>
  <c r="AC59" i="4"/>
  <c r="AC179" i="4" s="1"/>
  <c r="H18" i="5" s="1"/>
  <c r="J40" i="5"/>
  <c r="AE167" i="4"/>
  <c r="AE155" i="4"/>
  <c r="J38" i="5" s="1"/>
  <c r="AE60" i="4"/>
  <c r="AE46" i="4"/>
  <c r="AD48" i="4"/>
  <c r="AD49" i="4" s="1"/>
  <c r="AD50" i="4" s="1"/>
  <c r="AD51" i="4" s="1"/>
  <c r="AD52" i="4"/>
  <c r="G11" i="5"/>
  <c r="AB185" i="4"/>
  <c r="G21" i="5"/>
  <c r="AB184" i="4"/>
  <c r="G43" i="5" s="1"/>
  <c r="AD163" i="4" l="1"/>
  <c r="AD56" i="4"/>
  <c r="AD59" i="4"/>
  <c r="AD179" i="4" s="1"/>
  <c r="I18" i="5" s="1"/>
  <c r="AD173" i="4"/>
  <c r="J42" i="5"/>
  <c r="AE171" i="4"/>
  <c r="AE53" i="4"/>
  <c r="AE182" i="4" s="1"/>
  <c r="AE48" i="4"/>
  <c r="AE49" i="4" s="1"/>
  <c r="AE50" i="4" s="1"/>
  <c r="AE51" i="4" s="1"/>
  <c r="AE52" i="4"/>
  <c r="AE172" i="4"/>
  <c r="G24" i="5"/>
  <c r="G29" i="5"/>
  <c r="G27" i="5"/>
  <c r="G25" i="5"/>
  <c r="G26" i="5"/>
  <c r="G30" i="5"/>
  <c r="G28" i="5"/>
  <c r="AC177" i="4"/>
  <c r="H16" i="5" s="1"/>
  <c r="AC63" i="4"/>
  <c r="AE163" i="4" l="1"/>
  <c r="AE56" i="4"/>
  <c r="AE59" i="4"/>
  <c r="AE179" i="4" s="1"/>
  <c r="J18" i="5" s="1"/>
  <c r="H7" i="5"/>
  <c r="AC183" i="4"/>
  <c r="AE173" i="4"/>
  <c r="AE61" i="4"/>
  <c r="J19" i="5" s="1"/>
  <c r="AD177" i="4"/>
  <c r="I16" i="5" s="1"/>
  <c r="AD63" i="4"/>
  <c r="G31" i="5"/>
  <c r="I7" i="5" l="1"/>
  <c r="AD183" i="4"/>
  <c r="H11" i="5"/>
  <c r="AC185" i="4"/>
  <c r="H21" i="5"/>
  <c r="AC184" i="4"/>
  <c r="H43" i="5" s="1"/>
  <c r="AE177" i="4"/>
  <c r="J16" i="5" s="1"/>
  <c r="AE63" i="4"/>
  <c r="H29" i="5" l="1"/>
  <c r="H27" i="5"/>
  <c r="H25" i="5"/>
  <c r="H30" i="5"/>
  <c r="H28" i="5"/>
  <c r="H26" i="5"/>
  <c r="H24" i="5"/>
  <c r="H31" i="5" s="1"/>
  <c r="J7" i="5"/>
  <c r="AE183" i="4"/>
  <c r="I11" i="5"/>
  <c r="AD185" i="4"/>
  <c r="I21" i="5"/>
  <c r="AD184" i="4"/>
  <c r="I43" i="5" s="1"/>
  <c r="I27" i="5" l="1"/>
  <c r="I25" i="5"/>
  <c r="I30" i="5"/>
  <c r="I26" i="5"/>
  <c r="I24" i="5"/>
  <c r="I29" i="5"/>
  <c r="I28" i="5"/>
  <c r="J21" i="5"/>
  <c r="AE185" i="4"/>
  <c r="J11" i="5"/>
  <c r="AE184" i="4"/>
  <c r="J43" i="5" s="1"/>
  <c r="J27" i="5" l="1"/>
  <c r="J25" i="5"/>
  <c r="J30" i="5"/>
  <c r="J28" i="5"/>
  <c r="J26" i="5"/>
  <c r="J24" i="5"/>
  <c r="J29" i="5"/>
  <c r="I31" i="5"/>
  <c r="J31" i="5" l="1"/>
</calcChain>
</file>

<file path=xl/sharedStrings.xml><?xml version="1.0" encoding="utf-8"?>
<sst xmlns="http://schemas.openxmlformats.org/spreadsheetml/2006/main" count="1204" uniqueCount="574">
  <si>
    <t>Aurumix Revenue Model</t>
  </si>
  <si>
    <t>Hybrid Monthly + Annual View  |  7-Year Projection</t>
  </si>
  <si>
    <t>Date</t>
  </si>
  <si>
    <t>Scope</t>
  </si>
  <si>
    <t>REVENUE ONLY. Six revenue streams, reported net of cost of revenue. Operating costs, tax, cash and funding are added in a later build.</t>
  </si>
  <si>
    <t>Periods</t>
  </si>
  <si>
    <t>24 monthly (M1-M24) + 5 annual (Y3-Y7) = 29 total.  M1 = January 2027</t>
  </si>
  <si>
    <t>Engine</t>
  </si>
  <si>
    <t>Rolling customer balance: opening + new - churned = closing, by region. Customers who stop paying keep their gold and move to a HOLDERS balance.</t>
  </si>
  <si>
    <t>Metal</t>
  </si>
  <si>
    <t>100 g bars throughout. One entry fee, one fabrication premium.</t>
  </si>
  <si>
    <t>Prepared by</t>
  </si>
  <si>
    <t>Tokenomics.net: Custom Data Room Engagement</t>
  </si>
  <si>
    <t>COLOR LEGEND</t>
  </si>
  <si>
    <t>BLUE text</t>
  </si>
  <si>
    <t>Hardcoded inputs (Assumptions &amp; Scenario Parameters)</t>
  </si>
  <si>
    <t>BLACK text</t>
  </si>
  <si>
    <t>In-sheet formulas</t>
  </si>
  <si>
    <t>GREEN text</t>
  </si>
  <si>
    <t>Cross-sheet references</t>
  </si>
  <si>
    <t>SHEETS</t>
  </si>
  <si>
    <t>Cover: This page</t>
  </si>
  <si>
    <t>Assumptions: Fixed inputs, activation calendar, seasonality, market ceilings</t>
  </si>
  <si>
    <t>Scenario Parameters: Base / Aggressive / Conservative, plus structural switches</t>
  </si>
  <si>
    <t>Model: Customer engine, AUM and the six revenue streams (29 periods)</t>
  </si>
  <si>
    <t>Summary: Annual revenue by stream (Y1-Y7), revenue mix, key metrics</t>
  </si>
  <si>
    <t>SIMPLIFIED BUILD - cohort and archetype detail moves to the Phase 5 simulation.</t>
  </si>
  <si>
    <t>Kept as inputs rather than engines: card eligibility (% who qualify, months to qualify), the holders balance, and the fabrication premium inside stream 1.</t>
  </si>
  <si>
    <t>Inputs and Assumptions</t>
  </si>
  <si>
    <t>PRICING AND METAL</t>
  </si>
  <si>
    <t>Parameter</t>
  </si>
  <si>
    <t>Value</t>
  </si>
  <si>
    <t>Unit</t>
  </si>
  <si>
    <t>Source</t>
  </si>
  <si>
    <t>Gold price at M1</t>
  </si>
  <si>
    <t>USD/g</t>
  </si>
  <si>
    <t>USD 4,400/oz verified 2026-08-17. THE STARTING PRICE - it no longer holds for the whole horizon; see the appreciation rate below and the live 'Gold price (this period)' row on the Model. CITED.</t>
  </si>
  <si>
    <t>AED/USD peg</t>
  </si>
  <si>
    <t>AED/USD</t>
  </si>
  <si>
    <t>CBUAE peg. CITED.</t>
  </si>
  <si>
    <t>Entry fee charged</t>
  </si>
  <si>
    <t>% of contribution</t>
  </si>
  <si>
    <t>Decision 9, client-stated. A SINGLE RATE throughout. CLIENT INPUT.</t>
  </si>
  <si>
    <t>Fabrication premium paid</t>
  </si>
  <si>
    <t>% over spot</t>
  </si>
  <si>
    <t>100 g bars. OBSERVED (D28): goldtrade.ae 19 Aug 2026 measured 100 g at +1.71% (PAMP 1.75, Valcambi 1.67), less the published 25 bp bulk gradient. THE ENTRY FEE IS A MARGIN, NOT A FEE - this is netted off stream 1, because it is cost OF REVENUE. Reporting stream 1 gross would read ~43% high.</t>
  </si>
  <si>
    <t>Bar denomination</t>
  </si>
  <si>
    <t>grams</t>
  </si>
  <si>
    <t>100 g throughout, by agreement. OBSERVED.</t>
  </si>
  <si>
    <t>CARD ECONOMICS</t>
  </si>
  <si>
    <t>Interchange - Gold</t>
  </si>
  <si>
    <t>% of spend</t>
  </si>
  <si>
    <t>Visa UAE IRF schedule, 18 Oct 2025. CITED, PRIMARY. The live model reads the FLAT GOLD RATE: replacing the full 1.80/2.05/2.10 ladder with it moves stream 2 by only ~2% of gross profit at Y7, because Sovereign is 1.2% of tiered accounts.</t>
  </si>
  <si>
    <t>Per-transaction processor fee</t>
  </si>
  <si>
    <t>USD/authorised txn</t>
  </si>
  <si>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</si>
  <si>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Decline uplift on authorised txns</t>
  </si>
  <si>
    <t>% uplift</t>
  </si>
  <si>
    <t>The processor fee is charged per AUTHORISATION, not per settled transaction, so declined attempts are billable to Aurumix and chargeable to nobody. ASSUMPTION.</t>
  </si>
  <si>
    <t>FX margin on foreign spend</t>
  </si>
  <si>
    <t>% of foreign spend</t>
  </si>
  <si>
    <t>Market rate ~2%, converged across four comparables. CITED.</t>
  </si>
  <si>
    <t>Free ATM allowance (Gold)</t>
  </si>
  <si>
    <t>AED/month</t>
  </si>
  <si>
    <t>Monthly and NOT rolling. Set deliberately ABOVE the median draw - that is the finding. CITED.</t>
  </si>
  <si>
    <t>ATM fee over the allowance</t>
  </si>
  <si>
    <t>% of the excess</t>
  </si>
  <si>
    <t>Sector converged. CITED.</t>
  </si>
  <si>
    <t>Card issuance fee</t>
  </si>
  <si>
    <t>AED one-off</t>
  </si>
  <si>
    <t>Charged at base level, waived at upper tiers. CITED structure, ASSUMPTION rate.</t>
  </si>
  <si>
    <t>Card replacement fee</t>
  </si>
  <si>
    <t>AED per event</t>
  </si>
  <si>
    <t>Market-normal UAE replacement is AED 75-150. ASSUMPTION.</t>
  </si>
  <si>
    <t>OTHER STREAM PRICING</t>
  </si>
  <si>
    <t>Family plan / Digital Will price</t>
  </si>
  <si>
    <t>USD/yr</t>
  </si>
  <si>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</si>
  <si>
    <t>Additional beneficiary fee</t>
  </si>
  <si>
    <t>USD/yr each</t>
  </si>
  <si>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</si>
  <si>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Credit origination fee - gross</t>
  </si>
  <si>
    <t>% of draw</t>
  </si>
  <si>
    <t>Finance House UAE gold loan Key Facts Statement carries a 1% processing fee - the one gross rate with a real UAE anchor. CITED.</t>
  </si>
  <si>
    <t>Credit origination - Aurumix share</t>
  </si>
  <si>
    <t>% of gross</t>
  </si>
  <si>
    <t>ASSUMPTION.</t>
  </si>
  <si>
    <t>Credit servicing fee - gross</t>
  </si>
  <si>
    <t>%/yr of drawn</t>
  </si>
  <si>
    <t>Credit servicing - Aurumix share</t>
  </si>
  <si>
    <t>The highest of the heads: servicing is where Aurumix does the actual work. ASSUMPTION.</t>
  </si>
  <si>
    <t>LTV against collateral</t>
  </si>
  <si>
    <t>% of collateral</t>
  </si>
  <si>
    <t>_draft_ics-scoring.md sec 6.2, settled 2026-08-13. CITED.</t>
  </si>
  <si>
    <t>Spot ticket - UAE</t>
  </si>
  <si>
    <t>USD/purchase</t>
  </si>
  <si>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</si>
  <si>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Spot ticket - Oman and Bahrain</t>
  </si>
  <si>
    <t>INFERRED - THE WEAKEST OF THE THREE. No GCC platform outside the UAE publishes an average ticket; this is a CONFIRMED NEGATIVE, not a gap in the search. Taken as the UAE figure scaled by the regional income gap (SIP 26.00/33.60 = 0.77x). Do not present this as sourced.</t>
  </si>
  <si>
    <t>Spot ticket - India</t>
  </si>
  <si>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</si>
  <si>
    <t>Spot attach rate - UAE</t>
  </si>
  <si>
    <t>% of customers/yr</t>
  </si>
  <si>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</si>
  <si>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Spot attach rate - Oman and Bahrain</t>
  </si>
  <si>
    <t>Spot attach rate - India</t>
  </si>
  <si>
    <t>SIP RULES</t>
  </si>
  <si>
    <t>SIP hard floor</t>
  </si>
  <si>
    <t>USD/month</t>
  </si>
  <si>
    <t>Rejected outright below; never partially credited. CITED.</t>
  </si>
  <si>
    <t>Confirmed SIP gate</t>
  </si>
  <si>
    <t>consecutive payments</t>
  </si>
  <si>
    <t>Client's own figure. The gate is why eligibility is NOT universal - see the two eligibility parameters on the Scenario sheet. CLIENT INPUT.</t>
  </si>
  <si>
    <t>Cost per redemption event (memo - for the cost build)</t>
  </si>
  <si>
    <t>USD</t>
  </si>
  <si>
    <t>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</si>
  <si>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ACTIVATION CALENDAR - the single source of every activation period</t>
  </si>
  <si>
    <t>Stream 1a - Entry fee, SIP</t>
  </si>
  <si>
    <t>period # (from)</t>
  </si>
  <si>
    <t>M1. The core product - live at launch.</t>
  </si>
  <si>
    <t>Stream 1b - Entry fee, SPOT</t>
  </si>
  <si>
    <t>M1. A sub-stream of 1: the same fee on the same gold through a different rail, so it needs no additional build.</t>
  </si>
  <si>
    <t>Stream 0 - Redemption cost</t>
  </si>
  <si>
    <t>M1. A mandatory cost from day one. VARA Annex 2 III.E.4 forbids charging any fee on redemption, so there is no offsetting revenue and there can never be an exit fee.</t>
  </si>
  <si>
    <t>Stream 3 - Family plan and Digital Will</t>
  </si>
  <si>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</si>
  <si>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Stream 2 - Card interchange</t>
  </si>
  <si>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</si>
  <si>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Stream 4 - Cardholder fees</t>
  </si>
  <si>
    <t>M13, necessarily with stream 2 - FX, ATM and issuance fees cannot exist before the card does.</t>
  </si>
  <si>
    <t>Stream 5 - Lending revenue share</t>
  </si>
  <si>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</si>
  <si>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Stream 6 - B2B platform fee</t>
  </si>
  <si>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</si>
  <si>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Referral channel begins</t>
  </si>
  <si>
    <t>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</si>
  <si>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Region opens - Oman and Bahrain</t>
  </si>
  <si>
    <t>M13 (client decision 2026-08-20). THE ONLY STAGED REGION, and the reason is regulatory: it requires local authorisation in a second and third jurisdiction. These customers are also NOT UAE-resident, so the VAT and reporting treatment differs.</t>
  </si>
  <si>
    <t>Region opens - India</t>
  </si>
  <si>
    <t>M1 (client decision 2026-08-20, moved earlier from M13). The India payment route is ASSUMED SOLVED in this model. That is a live assumption, not a settled fact - if the route is not solved, this region does not open at all and roughly a quarter of terminal revenue goes with it.</t>
  </si>
  <si>
    <t>SEASONALITY VECTORS (raw - the Model normalises to exactly 12.000)</t>
  </si>
  <si>
    <t>Vector</t>
  </si>
  <si>
    <t>Jan</t>
  </si>
  <si>
    <t>Feb</t>
  </si>
  <si>
    <t>Mar</t>
  </si>
  <si>
    <t>Apr</t>
  </si>
  <si>
    <t>May</t>
  </si>
  <si>
    <t>Jun</t>
  </si>
  <si>
    <t>Jul</t>
  </si>
  <si>
    <t>Aug</t>
  </si>
  <si>
    <t>Sep</t>
  </si>
  <si>
    <t>Oct</t>
  </si>
  <si>
    <t>Nov</t>
  </si>
  <si>
    <t>Dec</t>
  </si>
  <si>
    <t>Acquisition seasonality</t>
  </si>
  <si>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</si>
  <si>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Card spend seasonality</t>
  </si>
  <si>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</si>
  <si>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Foreign-spend share vector</t>
  </si>
  <si>
    <t>The one seasonality vector the brief itself tabulates. Raw mean 39.75, rescaled on the Model to the foreign-spend-share parameter. THE SUMMER TRAVEL SEASON IS THE LARGEST STREAM-4 MONTH on the weakest total-spend base.</t>
  </si>
  <si>
    <t>REGION KEY - who each region is</t>
  </si>
  <si>
    <t>UAE</t>
  </si>
  <si>
    <t>opens M1</t>
  </si>
  <si>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</si>
  <si>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Oman and Bahrain</t>
  </si>
  <si>
    <t>opens M13</t>
  </si>
  <si>
    <t>Expatriate workers in Oman and Bahrain. ~600,000 addressable. NOT UAE-resident, so VAT and reporting treatment differ. Requires local authorisation in a second and third jurisdiction, which is why it is the only staged region.</t>
  </si>
  <si>
    <t>India</t>
  </si>
  <si>
    <t>India-resident retail investors. ~12.5m addressable, sized BEHAVIOURALLY from gold ETF folios intersected with active digital-gold holders rather than demographically. The payment route is ASSUMED SOLVED in this model - if it is not, this region does not open at all.</t>
  </si>
  <si>
    <t>MARKET SIZING - how each region's reachable SIP account ceiling is derived</t>
  </si>
  <si>
    <t>Funnel step</t>
  </si>
  <si>
    <t>UAE - Indian</t>
  </si>
  <si>
    <t>UAE - other South Asian</t>
  </si>
  <si>
    <t>Source population</t>
  </si>
  <si>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</si>
  <si>
    <t xml:space="preserve">  x Economically active</t>
  </si>
  <si>
    <t>Oman and Bahrain is 100% because the source counts EXPAT WORKERS, who are working-age and economically active by definition - applying a labour-force filter would double-count.</t>
  </si>
  <si>
    <t xml:space="preserve">  x Payment capable (IBAN able to carry a direct debit)</t>
  </si>
  <si>
    <t>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</si>
  <si>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</si>
  <si>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Discretionary capacity for a RECURRING USD 240/year commitment, tested after remittance obligations rather than before them.</t>
  </si>
  <si>
    <t xml:space="preserve">  = Addressable base</t>
  </si>
  <si>
    <t>Population x the three filters. The UAE-Indian column reproduces the brief's worked figure of ~640,000.</t>
  </si>
  <si>
    <t xml:space="preserve">  x Penetration ceiling</t>
  </si>
  <si>
    <t>The share of the addressable base the product could ever reach. 'base x ceiling' is the INVARIANT - changing one without the other silently re-scales the whole model.</t>
  </si>
  <si>
    <t xml:space="preserve">  = REACHABLE SIP ACCOUNTS</t>
  </si>
  <si>
    <t>This is what the acquisition engine saturates against.</t>
  </si>
  <si>
    <t xml:space="preserve">  Feeds model region</t>
  </si>
  <si>
    <t>MARKET CEILINGS AND ACQUISITION DRIVERS</t>
  </si>
  <si>
    <t>Reachable SIP ceiling - UAE</t>
  </si>
  <si>
    <t>accounts</t>
  </si>
  <si>
    <t>DERIVED from the market sizing funnel above - the sum of its source populations (UAE - Indian, UAE - other South Asian), not a typed number. Change any filter and this follows.</t>
  </si>
  <si>
    <t>Reachable SIP ceiling - Oman and Bahrain</t>
  </si>
  <si>
    <t>DERIVED from the market sizing funnel above - the sum of its source populations (Oman and Bahrain), not a typed number. Change any filter and this follows.</t>
  </si>
  <si>
    <t>Reachable SIP ceiling - India</t>
  </si>
  <si>
    <t>DERIVED from the market sizing funnel above - the sum of its source populations (India), not a typed number. Change any filter and this follows.</t>
  </si>
  <si>
    <t>Total reachable SIP accounts</t>
  </si>
  <si>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</si>
  <si>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CROSS-CHECK vs observed market evidence (memo - feeds nothing)</t>
  </si>
  <si>
    <t xml:space="preserve">  O Gold active users, UAE (observed)</t>
  </si>
  <si>
    <t>users</t>
  </si>
  <si>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</si>
  <si>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</si>
  <si>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x observed</t>
  </si>
  <si>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</si>
  <si>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</si>
  <si>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n/a</t>
  </si>
  <si>
    <t>-</t>
  </si>
  <si>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</si>
  <si>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Active agents - Y1</t>
  </si>
  <si>
    <t>agents</t>
  </si>
  <si>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</si>
  <si>
    <t>Active agents - Y2</t>
  </si>
  <si>
    <t>Active agents - Y3</t>
  </si>
  <si>
    <t>Active agents - Y4</t>
  </si>
  <si>
    <t>Active agents - Y5</t>
  </si>
  <si>
    <t>Active agents - Y6</t>
  </si>
  <si>
    <t>Active agents - Y7</t>
  </si>
  <si>
    <t>Marketing spend - Y1</t>
  </si>
  <si>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</si>
  <si>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Marketing spend - Y2</t>
  </si>
  <si>
    <t>Marketing spend - Y3</t>
  </si>
  <si>
    <t>Marketing spend - Y4</t>
  </si>
  <si>
    <t>Marketing spend - Y5</t>
  </si>
  <si>
    <t>Marketing spend - Y6</t>
  </si>
  <si>
    <t>Marketing spend - Y7</t>
  </si>
  <si>
    <t>Agent blended ramp - Y1</t>
  </si>
  <si>
    <t>x productivity</t>
  </si>
  <si>
    <t>Six months to full productivity, which happens to match the six-payment gate.</t>
  </si>
  <si>
    <t>Agent blended ramp - Y2</t>
  </si>
  <si>
    <t>Agent blended ramp - Y3</t>
  </si>
  <si>
    <t>Agent blended ramp - Y4</t>
  </si>
  <si>
    <t>Agent blended ramp - Y5</t>
  </si>
  <si>
    <t>Agent blended ramp - Y6</t>
  </si>
  <si>
    <t>Agent blended ramp - Y7</t>
  </si>
  <si>
    <t>Share of salesforce deployed - UAE</t>
  </si>
  <si>
    <t>% of salesforce</t>
  </si>
  <si>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</si>
  <si>
    <t>Share of salesforce deployed - Oman and Bahrain</t>
  </si>
  <si>
    <t>Share of salesforce deployed - India</t>
  </si>
  <si>
    <t>SCENARIO-LINKED INPUTS (live values - move with the scenario switch)</t>
  </si>
  <si>
    <t>Gold price appreciation</t>
  </si>
  <si>
    <t>%/yr</t>
  </si>
  <si>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</si>
  <si>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Persistency - customers still paying after 12 months</t>
  </si>
  <si>
    <t>%</t>
  </si>
  <si>
    <t>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</si>
  <si>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Monthly churn rate (derived)</t>
  </si>
  <si>
    <t>%/month</t>
  </si>
  <si>
    <t>DERIVED, not typed: the monthly rate that reproduces the persistency above over twelve months. Change persistency and this follows. Base 55% implies ~4.9%/month.</t>
  </si>
  <si>
    <t>Agent productivity</t>
  </si>
  <si>
    <t>accounts/agent/month</t>
  </si>
  <si>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</si>
  <si>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Marketing CAC - UAE</t>
  </si>
  <si>
    <t>USD per customer</t>
  </si>
  <si>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</si>
  <si>
    <t>Marketing CAC - Oman and Bahrain</t>
  </si>
  <si>
    <t>Marketing CAC - India</t>
  </si>
  <si>
    <t>Marketing spend share - UAE</t>
  </si>
  <si>
    <t>% of budget</t>
  </si>
  <si>
    <t>How the marketing budget is split across markets. Defaults to each region's share of the addressable ceiling, so spend follows the opportunity. Does not vary by scenario - it is a management decision, not an uncertainty. Must sum to 100%.</t>
  </si>
  <si>
    <t>Marketing spend share - Oman and Bahrain</t>
  </si>
  <si>
    <t>Marketing spend share - India</t>
  </si>
  <si>
    <t>Referral rate</t>
  </si>
  <si>
    <t>referrals/customer/yr</t>
  </si>
  <si>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</si>
  <si>
    <t>Referral conversion</t>
  </si>
  <si>
    <t>The M7 survival of the referred cohort, uplifted ~1.1x. DERIVED.</t>
  </si>
  <si>
    <t>Organic share of direct</t>
  </si>
  <si>
    <t>% of direct</t>
  </si>
  <si>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</si>
  <si>
    <t>Seasonality amplitude</t>
  </si>
  <si>
    <t>x deviation from 1.0</t>
  </si>
  <si>
    <t>Festival TIMING is sourced; how hard a Dubai savings signup responds to Dhanteras is the open question. Applied to the deviation from 1.0, then renormalised, so the vectors stay at exactly 12.000.</t>
  </si>
  <si>
    <t>Customers who EVER clear the six-payment gate</t>
  </si>
  <si>
    <t>% of customers</t>
  </si>
  <si>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</si>
  <si>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Average months to clear the gate</t>
  </si>
  <si>
    <t>months</t>
  </si>
  <si>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</si>
  <si>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Gold moved out of Aurumix's control</t>
  </si>
  <si>
    <t>% of AUM/yr</t>
  </si>
  <si>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</si>
  <si>
    <t>Redemption rate</t>
  </si>
  <si>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</si>
  <si>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Holder redemption multiplier</t>
  </si>
  <si>
    <t>x the paying rate</t>
  </si>
  <si>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</si>
  <si>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Spot attach scenario multiplier</t>
  </si>
  <si>
    <t>x the regional attach</t>
  </si>
  <si>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</si>
  <si>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Spot ticket scenario multiplier</t>
  </si>
  <si>
    <t>x the observed ticket</t>
  </si>
  <si>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</si>
  <si>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Spot frequency</t>
  </si>
  <si>
    <t>events/attacher/yr</t>
  </si>
  <si>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</si>
  <si>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Programme manager share of interchange</t>
  </si>
  <si>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</si>
  <si>
    <t>Facility take-up - customers who take AND use the card</t>
  </si>
  <si>
    <t>% of gate-cleared</t>
  </si>
  <si>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</si>
  <si>
    <t>Transactions per drawdown event</t>
  </si>
  <si>
    <t>transactions/draw</t>
  </si>
  <si>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</si>
  <si>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Foreign spend share (mean)</t>
  </si>
  <si>
    <t>% of card spend</t>
  </si>
  <si>
    <t>Applied through the seasonal vector, not as a constant. ASSUMPTION.</t>
  </si>
  <si>
    <t>Card issuance events</t>
  </si>
  <si>
    <t>events/card/yr</t>
  </si>
  <si>
    <t>1.00 at activation plus reissues - a tier upgrade forces a physical reissue. ASSUMPTION.</t>
  </si>
  <si>
    <t>Card replacement events</t>
  </si>
  <si>
    <t>Industry-normal loss/theft/damage is 8-15% annually. ASSUMPTION.</t>
  </si>
  <si>
    <t>ATM AED 0-500 - share of cardholders</t>
  </si>
  <si>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</si>
  <si>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ATM AED 500-1,500 - share of cardholders</t>
  </si>
  <si>
    <t>ATM AED 1,500-3,000 - share of cardholders</t>
  </si>
  <si>
    <t>ATM AED 3,000+ - share of cardholders</t>
  </si>
  <si>
    <t>ATM AED 0-500 - midpoint draw</t>
  </si>
  <si>
    <t>Raising the allowance at the top tier waives revenue from only the top ~3% of cardholders.</t>
  </si>
  <si>
    <t>ATM AED 500-1,500 - midpoint draw</t>
  </si>
  <si>
    <t>ATM AED 1,500-3,000 - midpoint draw</t>
  </si>
  <si>
    <t>ATM AED 3,000+ - midpoint draw</t>
  </si>
  <si>
    <t>Drawn as % of permitted limit</t>
  </si>
  <si>
    <t>Revolving facilities draw 40-55% of permitted. This now drives CARD SPEND as well as the loan balance, because the card is the drawdown mechanism. TRIANGULATED.</t>
  </si>
  <si>
    <t>Facility turnover, peak -&gt; average</t>
  </si>
  <si>
    <t>x peak drawn</t>
  </si>
  <si>
    <t>AN ARITHMETIC CORRECTION, not a sensitivity, derived from Manappuram's 71-day realised tenor. It cuts the lending stream by 1.88x. DERIVED.</t>
  </si>
  <si>
    <t>Draw events per borrower per year</t>
  </si>
  <si>
    <t>events/yr</t>
  </si>
  <si>
    <t>MOVES WITH facility turnover - do not flex independently. DERIVED.</t>
  </si>
  <si>
    <t>Family plan attach rate</t>
  </si>
  <si>
    <t>% of NEW customers</t>
  </si>
  <si>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</si>
  <si>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Family plan cancellation rate (incremental)</t>
  </si>
  <si>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</si>
  <si>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Beneficiaries named per plan</t>
  </si>
  <si>
    <t>beneficiaries</t>
  </si>
  <si>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</si>
  <si>
    <t>Family plan monthly churn, combined (derived)</t>
  </si>
  <si>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</si>
  <si>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B2B partners - Y1</t>
  </si>
  <si>
    <t>partners</t>
  </si>
  <si>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</si>
  <si>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B2B partners - Y2</t>
  </si>
  <si>
    <t>B2B partners - Y3</t>
  </si>
  <si>
    <t>B2B partners - Y4</t>
  </si>
  <si>
    <t>B2B partners - Y5</t>
  </si>
  <si>
    <t>B2B partners - Y6</t>
  </si>
  <si>
    <t>B2B partners - Y7</t>
  </si>
  <si>
    <t>B2B platform fee</t>
  </si>
  <si>
    <t>% of partner AUM/yr</t>
  </si>
  <si>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</si>
  <si>
    <t>Average partner user base</t>
  </si>
  <si>
    <t>active users</t>
  </si>
  <si>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</si>
  <si>
    <t>Partner users adopting gold (mature)</t>
  </si>
  <si>
    <t>% of partner users</t>
  </si>
  <si>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</si>
  <si>
    <t>AUM per adopting partner user</t>
  </si>
  <si>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</si>
  <si>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AUM per partner (derived)</t>
  </si>
  <si>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</si>
  <si>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Average monthly ticket - UAE</t>
  </si>
  <si>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</si>
  <si>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Average monthly ticket - Oman and Bahrain</t>
  </si>
  <si>
    <t>Average monthly ticket - India</t>
  </si>
  <si>
    <t>Prepaid instead of credit</t>
  </si>
  <si>
    <t>1/0 switch</t>
  </si>
  <si>
    <t>ON (Prepaid) caps interchange at 1.00% and removes the credit stream entirely. 'NOT A PRODUCT CHOICE, IT IS THE BUSINESS MODEL.' Worth ~USD 2.3m of Y10 revenue on the ten-year run.</t>
  </si>
  <si>
    <t>Holders keep the card</t>
  </si>
  <si>
    <t>NOBODY HAS DECIDED THIS. It determines whether the card streams - the majority of revenue - decay with churn or are immune to it. Worth a 42% swing in terminal revenue. Default ON because nothing in the design revokes the card; report both.</t>
  </si>
  <si>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</si>
  <si>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Scenario Parameters</t>
  </si>
  <si>
    <t>SCENARIO SELECTOR</t>
  </si>
  <si>
    <t>Select Scenario:</t>
  </si>
  <si>
    <t>Base</t>
  </si>
  <si>
    <t>&lt;- index</t>
  </si>
  <si>
    <t>One switch, three columns. Every parameter below resolves through it.</t>
  </si>
  <si>
    <t>GROUP A0: THE METAL</t>
  </si>
  <si>
    <t>Active Value</t>
  </si>
  <si>
    <t>Aggressive</t>
  </si>
  <si>
    <t>Conservative</t>
  </si>
  <si>
    <t>GROUP A: CUSTOMERS AND CHURN</t>
  </si>
  <si>
    <t>GROUP B: CARD ELIGIBILITY - the two cells that replace the archetype engine</t>
  </si>
  <si>
    <t>GROUP C: AUM, LEAKAGE AND SPOT</t>
  </si>
  <si>
    <t>GROUP D: CARD</t>
  </si>
  <si>
    <t>GROUP E: CREDIT, B2B AND FAMILY</t>
  </si>
  <si>
    <t>GROUP F: REGIONS</t>
  </si>
  <si>
    <t>STRUCTURAL SWITCHES - the two that move revenue</t>
  </si>
  <si>
    <t>Switch</t>
  </si>
  <si>
    <t>Active (1/0)</t>
  </si>
  <si>
    <t>State</t>
  </si>
  <si>
    <t>ON value</t>
  </si>
  <si>
    <t>Credit</t>
  </si>
  <si>
    <t>Prepaid</t>
  </si>
  <si>
    <t>ON</t>
  </si>
  <si>
    <t>Period #</t>
  </si>
  <si>
    <t>1..29</t>
  </si>
  <si>
    <t>Period</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</si>
  <si>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</si>
  <si>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</si>
  <si>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</si>
  <si>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</si>
  <si>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</si>
  <si>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</si>
  <si>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</si>
  <si>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</si>
  <si>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</si>
  <si>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</si>
  <si>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</si>
  <si>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</si>
  <si>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</si>
  <si>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</si>
  <si>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</si>
  <si>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</si>
  <si>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</si>
  <si>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</si>
  <si>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</si>
  <si>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</si>
  <si>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</si>
  <si>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</si>
  <si>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</si>
  <si>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</si>
  <si>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Y3</t>
  </si>
  <si>
    <t>Y4</t>
  </si>
  <si>
    <t>Y5</t>
  </si>
  <si>
    <t>Y6</t>
  </si>
  <si>
    <t>Y7</t>
  </si>
  <si>
    <t>Period type</t>
  </si>
  <si>
    <t>Monthly</t>
  </si>
  <si>
    <t>Annual</t>
  </si>
  <si>
    <t>Model year</t>
  </si>
  <si>
    <t>1..7</t>
  </si>
  <si>
    <t>Calendar month</t>
  </si>
  <si>
    <t>0 = annual</t>
  </si>
  <si>
    <t>Months in period</t>
  </si>
  <si>
    <t>Financial-year end</t>
  </si>
  <si>
    <t>1/0</t>
  </si>
  <si>
    <t>SEASONALITY - normalised to EXACTLY 12.000 by construction</t>
  </si>
  <si>
    <t>Acquisition seasonality - normalised</t>
  </si>
  <si>
    <t>Jan..Dec</t>
  </si>
  <si>
    <t>Card spend seasonality - normalised</t>
  </si>
  <si>
    <t>Foreign-spend share - rescaled to the mean</t>
  </si>
  <si>
    <t>Seasonality sum check (must be exactly 12.000)</t>
  </si>
  <si>
    <t>acq | spend</t>
  </si>
  <si>
    <t>Acquisition seasonality applied</t>
  </si>
  <si>
    <t>multiplier</t>
  </si>
  <si>
    <t>Card spend seasonality applied</t>
  </si>
  <si>
    <t>Foreign-spend share applied</t>
  </si>
  <si>
    <t>ACQUISITION - all channels, then split across regions</t>
  </si>
  <si>
    <t>Agent-driven new customers (routed by region below)</t>
  </si>
  <si>
    <t>Gold price (this period)</t>
  </si>
  <si>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</si>
  <si>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Open-region salesforce share (renormalisation base)</t>
  </si>
  <si>
    <t>x</t>
  </si>
  <si>
    <t>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</si>
  <si>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</si>
  <si>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</si>
  <si>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</si>
  <si>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</si>
  <si>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</si>
  <si>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</si>
  <si>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</si>
  <si>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</si>
  <si>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</si>
  <si>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</si>
  <si>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</si>
  <si>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</si>
  <si>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</si>
  <si>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</si>
  <si>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</si>
  <si>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</si>
  <si>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</si>
  <si>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</si>
  <si>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</si>
  <si>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</si>
  <si>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</si>
  <si>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cards</t>
  </si>
  <si>
    <t xml:space="preserve">  ...of which have a live credit line</t>
  </si>
  <si>
    <t xml:space="preserve">  Credit limit per customer (gold x LTV)</t>
  </si>
  <si>
    <t xml:space="preserve">  Annual drawdown per card (limit x drawn x draws)</t>
  </si>
  <si>
    <t xml:space="preserve">  Card spend per card per month</t>
  </si>
  <si>
    <t xml:space="preserve">  Card spend</t>
  </si>
  <si>
    <t>AED</t>
  </si>
  <si>
    <t xml:space="preserve">  Average transaction size (derived)</t>
  </si>
  <si>
    <t xml:space="preserve">  Card authorisations (memo - drives cost, not revenue)</t>
  </si>
  <si>
    <t>auths</t>
  </si>
  <si>
    <t xml:space="preserve">  Stream 1a - Entry fee, SIP</t>
  </si>
  <si>
    <t xml:space="preserve">  Stream 1b - Entry fee, SPOT</t>
  </si>
  <si>
    <t xml:space="preserve">  Stream 2 - Card interchange</t>
  </si>
  <si>
    <t xml:space="preserve">  Family plan subscribers</t>
  </si>
  <si>
    <t>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</si>
  <si>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</si>
  <si>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</si>
  <si>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</si>
  <si>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</si>
  <si>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</si>
  <si>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events</t>
  </si>
  <si>
    <t xml:space="preserve">  SUBTOTAL - UAE</t>
  </si>
  <si>
    <t>REGION: OMAN AND BAHRAIN</t>
  </si>
  <si>
    <t xml:space="preserve">  SUBTOTAL - Oman and Bahrain</t>
  </si>
  <si>
    <t>REGION: INDIA</t>
  </si>
  <si>
    <t xml:space="preserve">  SUBTOTAL - India</t>
  </si>
  <si>
    <t>NON-REGIONAL</t>
  </si>
  <si>
    <t xml:space="preserve">  Partner AUM</t>
  </si>
  <si>
    <t>Stream 6 is NOT regional: partners are institutions with their own customer books, not retail customers of a region. It is reported separately rather than allocated, because any allocation would be invented.</t>
  </si>
  <si>
    <t>WHOLE-BOOK TOTALS</t>
  </si>
  <si>
    <t>PAYING CUSTOMERS</t>
  </si>
  <si>
    <t>HOLDERS (stopped paying, still hold gold)</t>
  </si>
  <si>
    <t>Cumulative ever acquired</t>
  </si>
  <si>
    <t>NEW CUSTOMERS</t>
  </si>
  <si>
    <t>ACTIVE CARDS</t>
  </si>
  <si>
    <t>GRAMS HELD</t>
  </si>
  <si>
    <t>GRAMS UNDER CUSTODY</t>
  </si>
  <si>
    <t>Grams purchased</t>
  </si>
  <si>
    <t>COLLATERAL-ELIGIBLE AUM</t>
  </si>
  <si>
    <t>Cleared the six-payment gate</t>
  </si>
  <si>
    <t>SIP contributions</t>
  </si>
  <si>
    <t>Spot purchase volume</t>
  </si>
  <si>
    <t>Card spend</t>
  </si>
  <si>
    <t>GOLD UNDER CUSTODY (comparable headline)</t>
  </si>
  <si>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</si>
  <si>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</si>
  <si>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</si>
  <si>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</si>
  <si>
    <t>CHECK: paying + holders = cumulative ever acquired</t>
  </si>
  <si>
    <t>delta</t>
  </si>
  <si>
    <t>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</si>
  <si>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</si>
  <si>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</si>
  <si>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</si>
  <si>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Redemption events (memo - drives cost, not revenue)</t>
  </si>
  <si>
    <t>Card authorisations (memo - drives cost, not revenue)</t>
  </si>
  <si>
    <t>TOTAL NET REVENUE</t>
  </si>
  <si>
    <t>Net revenue per paying customer (annualised)</t>
  </si>
  <si>
    <t>CHECK: regional subtotals + B2B = sum of streams</t>
  </si>
  <si>
    <t>Summary</t>
  </si>
  <si>
    <t>Y1</t>
  </si>
  <si>
    <t>Y2</t>
  </si>
  <si>
    <t>REVENUE BY REGION</t>
  </si>
  <si>
    <t xml:space="preserve">  UAE</t>
  </si>
  <si>
    <t xml:space="preserve">  Oman and Bahrain</t>
  </si>
  <si>
    <t xml:space="preserve">  India</t>
  </si>
  <si>
    <t xml:space="preserve">  Non-regional: B2B platform fee</t>
  </si>
  <si>
    <t>TOTAL REVENUE</t>
  </si>
  <si>
    <t>REVENUE BY STREAM</t>
  </si>
  <si>
    <t>Stream 1a: Entry fee - SIP</t>
  </si>
  <si>
    <t>Stream 1b: Entry fee - SPOT</t>
  </si>
  <si>
    <t>Stream 2: Card interchange</t>
  </si>
  <si>
    <t>Stream 3: Family plan and Digital Will</t>
  </si>
  <si>
    <t>Stream 4: Cardholder fees</t>
  </si>
  <si>
    <t>Stream 5: Lending revenue share</t>
  </si>
  <si>
    <t>Stream 6: B2B platform fee</t>
  </si>
  <si>
    <t>Total by stream (reconciles to the regional total above)</t>
  </si>
  <si>
    <t>REVENUE MIX (% of total)</t>
  </si>
  <si>
    <t>Stream 1a: SIP entry fee - share</t>
  </si>
  <si>
    <t>Stream 1b: Spot entry fee - share</t>
  </si>
  <si>
    <t>Stream 2: Card interchange - share</t>
  </si>
  <si>
    <t>Stream 3: Family and Will - share</t>
  </si>
  <si>
    <t>Stream 4: Cardholder fees - share</t>
  </si>
  <si>
    <t>Stream 5: Lending - share</t>
  </si>
  <si>
    <t>Stream 6: B2B platform - share</t>
  </si>
  <si>
    <t>CHECK: mix sums to 100%</t>
  </si>
  <si>
    <t>CUSTOMERS AND AUM (year end)</t>
  </si>
  <si>
    <t>New customers in year</t>
  </si>
  <si>
    <t>Paying customers</t>
  </si>
  <si>
    <t>Holders (stopped paying, still hold gold)</t>
  </si>
  <si>
    <t>Active cards</t>
  </si>
  <si>
    <t>Grams under custody</t>
  </si>
  <si>
    <t>Gold under custody (comparable headline)</t>
  </si>
  <si>
    <t>Grams held (collateral-eligible)</t>
  </si>
  <si>
    <t>Collateral-eligible AUM</t>
  </si>
  <si>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</sst>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mmmm\ yyyy"/>
    <numFmt numFmtId="165" formatCode="#,##0.00;\(#,##0.00\);\-"/>
    <numFmt numFmtId="166" formatCode="#,##0;\(#,##0\);\-"/>
    <numFmt numFmtId="167" formatCode="\$#,##0.00;&quot;($&quot;#,##0.00\);\-"/>
    <numFmt numFmtId="168" formatCode="0.0%"/>
    <numFmt numFmtId="169" formatCode="\$#,##0;&quot;($&quot;#,##0\);\-"/>
    <numFmt numFmtId="170" formatCode="0.00\x"/>
    <numFmt numFmtId="171" formatCode="#,##0.000"/>
  </numFmts>
  <fonts count="16" x14ac:knownFonts="1">
    <font>
      <sz val="11"/>
      <color theme="1"/>
      <name val="Calibri"/>
      <family val="2"/>
      <charset val="1"/>
    </font>
    <font>
      <b/>
      <sz val="24"/>
      <color rgb="FFB8956E"/>
      <name val="Cambria"/>
      <charset val="1"/>
    </font>
    <font>
      <sz val="16"/>
      <color rgb="FF1A1714"/>
      <name val="Cambria"/>
      <charset val="1"/>
    </font>
    <font>
      <b/>
      <sz val="11"/>
      <color rgb="FF000000"/>
      <name val="Cambria"/>
      <charset val="1"/>
    </font>
    <font>
      <sz val="11"/>
      <color rgb="FF0000FF"/>
      <name val="Cambria"/>
      <charset val="1"/>
    </font>
    <font>
      <sz val="11"/>
      <color rgb="FF000000"/>
      <name val="Cambria"/>
      <charset val="1"/>
    </font>
    <font>
      <sz val="11"/>
      <color rgb="FF009B73"/>
      <name val="Cambria"/>
      <charset val="1"/>
    </font>
    <font>
      <b/>
      <sz val="11"/>
      <color rgb="FFC00000"/>
      <name val="Cambria"/>
      <charset val="1"/>
    </font>
    <font>
      <i/>
      <sz val="9"/>
      <color rgb="FF96734A"/>
      <name val="Cambria"/>
      <charset val="1"/>
    </font>
    <font>
      <b/>
      <sz val="18"/>
      <color rgb="FFB8956E"/>
      <name val="Cambria"/>
      <charset val="1"/>
    </font>
    <font>
      <b/>
      <sz val="14"/>
      <color rgb="FF1A1714"/>
      <name val="Cambria"/>
      <charset val="1"/>
    </font>
    <font>
      <b/>
      <sz val="11"/>
      <color rgb="FFFFFFFF"/>
      <name val="Cambria"/>
      <charset val="1"/>
    </font>
    <font>
      <b/>
      <sz val="10"/>
      <color rgb="FF1A1714"/>
      <name val="Cambria"/>
      <charset val="1"/>
    </font>
    <font>
      <sz val="9"/>
      <color rgb="FF96734A"/>
      <name val="Cambria"/>
      <charset val="1"/>
    </font>
    <font>
      <b/>
      <sz val="11"/>
      <color rgb="FF0000FF"/>
      <name val="Cambria"/>
      <charset val="1"/>
    </font>
    <font>
      <b/>
      <sz val="11"/>
      <color rgb="FF1A1714"/>
      <name val="Cambria"/>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left/>
      <right/>
      <top/>
      <bottom/>
      <diagonal/>
    </border>
    <border>
      <left style="thin">
        <color rgb="FFD4CFC8"/>
      </left>
      <right style="thin">
        <color rgb="FFD4CFC8"/>
      </right>
      <top style="thin">
        <color rgb="FFD4CFC8"/>
      </top>
      <bottom style="thin">
        <color rgb="FFD4CFC8"/>
      </bottom>
      <diagonal/>
    </border>
    <border>
      <left/>
      <right/>
      <top style="thin">
        <color rgb="FFB8956E"/>
      </top>
      <bottom style="double">
        <color rgb="FFB8956E"/>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164" fontId="0" fillId="0" borderId="0" xfId="0" applyNumberForma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2" borderId="0" xfId="0" applyFont="1" applyFill="1"/>
    <xf numFmtId="0" fontId="0" fillId="2" borderId="0" xfId="0" applyFill="1"/>
    <xf numFmtId="0" fontId="12" fillId="3" borderId="1" xfId="0" applyFont="1" applyFill="1" applyBorder="1"/>
    <xf numFmtId="165" fontId="4" fillId="0" borderId="0" xfId="0" applyNumberFormat="1" applyFont="1"/>
    <xf numFmtId="10"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12" fillId="3" borderId="0" xfId="0" applyFont="1" applyFill="1" applyAlignment="1">
      <alignment horizontal="center"/>
    </xf>
    <xf numFmtId="165" fontId="4" fillId="0" borderId="0" xfId="0" applyNumberFormat="1" applyFont="1" applyAlignment="1">
      <alignment horizontal="center"/>
    </xf>
    <xf numFmtId="0" fontId="13" fillId="0" borderId="0" xfId="0" applyFont="1"/>
    <xf numFmtId="0" fontId="12" fillId="3" borderId="0" xfId="0" applyFont="1" applyFill="1"/>
    <xf numFmtId="0" fontId="12" fillId="3" borderId="0" xfId="0" applyFont="1" applyFill="1" applyAlignment="1">
      <alignment horizontal="center" wrapText="1"/>
    </xf>
    <xf numFmtId="166" fontId="4" fillId="0" borderId="0" xfId="0" applyNumberFormat="1" applyFont="1" applyAlignment="1">
      <alignment horizontal="center"/>
    </xf>
    <xf numFmtId="168" fontId="4" fillId="0" borderId="0" xfId="0" applyNumberFormat="1" applyFont="1" applyAlignment="1">
      <alignment horizontal="center"/>
    </xf>
    <xf numFmtId="166" fontId="3" fillId="0" borderId="0" xfId="0" applyNumberFormat="1" applyFont="1" applyAlignment="1">
      <alignment horizontal="center"/>
    </xf>
    <xf numFmtId="10" fontId="4" fillId="0" borderId="0" xfId="0" applyNumberFormat="1" applyFont="1" applyAlignment="1">
      <alignment horizontal="center"/>
    </xf>
    <xf numFmtId="0" fontId="13" fillId="0" borderId="0" xfId="0" applyFont="1" applyAlignment="1">
      <alignment horizontal="center"/>
    </xf>
    <xf numFmtId="166" fontId="3" fillId="0" borderId="0" xfId="0" applyNumberFormat="1" applyFont="1"/>
    <xf numFmtId="170" fontId="3" fillId="0" borderId="0" xfId="0" applyNumberFormat="1" applyFont="1"/>
    <xf numFmtId="10" fontId="6" fillId="0" borderId="0" xfId="0" applyNumberFormat="1" applyFont="1"/>
    <xf numFmtId="168" fontId="6" fillId="0" borderId="0" xfId="0" applyNumberFormat="1" applyFont="1"/>
    <xf numFmtId="165" fontId="6" fillId="0" borderId="0" xfId="0" applyNumberFormat="1" applyFont="1"/>
    <xf numFmtId="169" fontId="6" fillId="0" borderId="0" xfId="0" applyNumberFormat="1" applyFont="1"/>
    <xf numFmtId="166" fontId="6" fillId="0" borderId="0" xfId="0" applyNumberFormat="1" applyFont="1"/>
    <xf numFmtId="0" fontId="14" fillId="0" borderId="0" xfId="0" applyFont="1"/>
    <xf numFmtId="10" fontId="3" fillId="0" borderId="0" xfId="0" applyNumberFormat="1" applyFont="1"/>
    <xf numFmtId="168" fontId="3" fillId="0" borderId="0" xfId="0" applyNumberFormat="1" applyFont="1"/>
    <xf numFmtId="165" fontId="3" fillId="0" borderId="0" xfId="0" applyNumberFormat="1" applyFont="1"/>
    <xf numFmtId="169" fontId="3" fillId="0" borderId="0" xfId="0" applyNumberFormat="1" applyFont="1"/>
    <xf numFmtId="0" fontId="3" fillId="0" borderId="0" xfId="0" applyFont="1" applyAlignment="1">
      <alignment horizontal="center"/>
    </xf>
    <xf numFmtId="0" fontId="5" fillId="0" borderId="0" xfId="0" applyFont="1" applyAlignment="1">
      <alignment horizontal="center"/>
    </xf>
    <xf numFmtId="166" fontId="5" fillId="0" borderId="0" xfId="0" applyNumberFormat="1" applyFont="1" applyAlignment="1">
      <alignment horizontal="center"/>
    </xf>
    <xf numFmtId="0" fontId="15" fillId="4" borderId="0" xfId="0" applyFont="1" applyFill="1"/>
    <xf numFmtId="0" fontId="0" fillId="4" borderId="0" xfId="0" applyFill="1"/>
    <xf numFmtId="171" fontId="6" fillId="0" borderId="0" xfId="0" applyNumberFormat="1" applyFont="1" applyAlignment="1">
      <alignment horizontal="center"/>
    </xf>
    <xf numFmtId="168" fontId="6" fillId="0" borderId="0" xfId="0" applyNumberFormat="1" applyFont="1" applyAlignment="1">
      <alignment horizontal="center"/>
    </xf>
    <xf numFmtId="171" fontId="3" fillId="0" borderId="0" xfId="0" applyNumberFormat="1" applyFont="1"/>
    <xf numFmtId="171" fontId="5" fillId="0" borderId="0" xfId="0" applyNumberFormat="1" applyFont="1" applyAlignment="1">
      <alignment horizontal="center"/>
    </xf>
    <xf numFmtId="168" fontId="5" fillId="0" borderId="0" xfId="0" applyNumberFormat="1" applyFont="1" applyAlignment="1">
      <alignment horizontal="center"/>
    </xf>
    <xf numFmtId="165" fontId="6" fillId="0" borderId="0" xfId="0" applyNumberFormat="1" applyFont="1" applyAlignment="1">
      <alignment horizontal="center"/>
    </xf>
    <xf numFmtId="165" fontId="5" fillId="0" borderId="0" xfId="0" applyNumberFormat="1" applyFont="1" applyAlignment="1">
      <alignment horizontal="center"/>
    </xf>
    <xf numFmtId="169" fontId="5" fillId="0" borderId="0" xfId="0" applyNumberFormat="1" applyFont="1" applyAlignment="1">
      <alignment horizontal="center"/>
    </xf>
    <xf numFmtId="10" fontId="5" fillId="0" borderId="0" xfId="0" applyNumberFormat="1" applyFont="1" applyAlignment="1">
      <alignment horizontal="center"/>
    </xf>
    <xf numFmtId="169" fontId="3" fillId="0" borderId="0" xfId="0" applyNumberFormat="1" applyFont="1" applyAlignment="1">
      <alignment horizontal="center"/>
    </xf>
    <xf numFmtId="169" fontId="6" fillId="0" borderId="0" xfId="0" applyNumberFormat="1" applyFont="1" applyAlignment="1">
      <alignment horizontal="center"/>
    </xf>
    <xf numFmtId="171" fontId="3" fillId="0" borderId="0" xfId="0" applyNumberFormat="1" applyFont="1" applyAlignment="1">
      <alignment horizontal="center"/>
    </xf>
    <xf numFmtId="170" fontId="3" fillId="0" borderId="0" xfId="0" applyNumberFormat="1" applyFont="1" applyAlignment="1">
      <alignment horizontal="center"/>
    </xf>
    <xf numFmtId="0" fontId="12" fillId="3" borderId="1" xfId="0" applyFont="1" applyFill="1" applyBorder="1" applyAlignment="1">
      <alignment horizontal="center"/>
    </xf>
    <xf numFmtId="169" fontId="6" fillId="0" borderId="2" xfId="0" applyNumberFormat="1" applyFont="1" applyBorder="1"/>
    <xf numFmtId="168" fontId="5" fillId="0" borderId="0" xfId="0" applyNumberFormat="1" applyFont="1"/>
    <xf numFmtId="166" fontId="6" fillId="0" borderId="2" xfId="0" applyNumberFormat="1" applyFont="1"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5"/>
  <sheetViews>
    <sheetView showGridLines="0" zoomScaleNormal="100" workbookViewId="0"/>
  </sheetViews>
  <sheetFormatPr defaultColWidth="8.7109375" defaultRowHeight="15" x14ac:dyDescent="0.25"/>
  <cols>
    <col min="1" max="1" width="3" customWidth="1"/>
    <col min="2" max="2" width="30" customWidth="1"/>
    <col min="3" max="3" width="104" customWidth="1"/>
  </cols>
  <sheetData>
    <row r="2" spans="2:3" ht="30" x14ac:dyDescent="0.4">
      <c r="B2" s="1" t="s">
        <v>0</v>
      </c>
    </row>
    <row r="3" spans="2:3" ht="20.25" x14ac:dyDescent="0.3">
      <c r="B3" s="2" t="s">
        <v>1</v>
      </c>
    </row>
    <row r="5" spans="2:3" x14ac:dyDescent="0.25">
      <c r="B5" s="3" t="s">
        <v>2</v>
      </c>
      <c r="C5" s="4">
        <f ca="1">TODAY()</f>
        <v>46255</v>
      </c>
    </row>
    <row r="6" spans="2:3" x14ac:dyDescent="0.25">
      <c r="B6" s="3" t="s">
        <v>3</v>
      </c>
      <c r="C6" t="s">
        <v>4</v>
      </c>
    </row>
    <row r="7" spans="2:3" x14ac:dyDescent="0.25">
      <c r="B7" s="3" t="s">
        <v>5</v>
      </c>
      <c r="C7" t="s">
        <v>6</v>
      </c>
    </row>
    <row r="8" spans="2:3" x14ac:dyDescent="0.25">
      <c r="B8" s="3" t="s">
        <v>7</v>
      </c>
      <c r="C8" t="s">
        <v>8</v>
      </c>
    </row>
    <row r="9" spans="2:3" x14ac:dyDescent="0.25">
      <c r="B9" s="3" t="s">
        <v>9</v>
      </c>
      <c r="C9" t="s">
        <v>10</v>
      </c>
    </row>
    <row r="10" spans="2:3" x14ac:dyDescent="0.25">
      <c r="B10" s="3" t="s">
        <v>11</v>
      </c>
      <c r="C10" t="s">
        <v>12</v>
      </c>
    </row>
    <row r="12" spans="2:3" x14ac:dyDescent="0.25">
      <c r="B12" s="3" t="s">
        <v>13</v>
      </c>
    </row>
    <row r="13" spans="2:3" x14ac:dyDescent="0.25">
      <c r="B13" s="5" t="s">
        <v>14</v>
      </c>
      <c r="C13" t="s">
        <v>15</v>
      </c>
    </row>
    <row r="14" spans="2:3" x14ac:dyDescent="0.25">
      <c r="B14" s="6" t="s">
        <v>16</v>
      </c>
      <c r="C14" t="s">
        <v>17</v>
      </c>
    </row>
    <row r="15" spans="2:3" x14ac:dyDescent="0.25">
      <c r="B15" s="7" t="s">
        <v>18</v>
      </c>
      <c r="C15" t="s">
        <v>19</v>
      </c>
    </row>
    <row r="17" spans="2:2" x14ac:dyDescent="0.25">
      <c r="B17" s="3" t="s">
        <v>20</v>
      </c>
    </row>
    <row r="18" spans="2:2" x14ac:dyDescent="0.25">
      <c r="B18" t="s">
        <v>21</v>
      </c>
    </row>
    <row r="19" spans="2:2" x14ac:dyDescent="0.25">
      <c r="B19" t="s">
        <v>22</v>
      </c>
    </row>
    <row r="20" spans="2:2" x14ac:dyDescent="0.25">
      <c r="B20" t="s">
        <v>23</v>
      </c>
    </row>
    <row r="21" spans="2:2" x14ac:dyDescent="0.25">
      <c r="B21" t="s">
        <v>24</v>
      </c>
    </row>
    <row r="22" spans="2:2" x14ac:dyDescent="0.25">
      <c r="B22" t="s">
        <v>25</v>
      </c>
    </row>
    <row r="24" spans="2:2" x14ac:dyDescent="0.25">
      <c r="B24" s="8" t="s">
        <v>26</v>
      </c>
    </row>
    <row r="25" spans="2:2" x14ac:dyDescent="0.25">
      <c r="B25" s="9" t="s">
        <v>27</v>
      </c>
    </row>
  </sheetData>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80"/>
  <sheetViews>
    <sheetView showGridLines="0" zoomScaleNormal="100" workbookViewId="0">
      <pane xSplit="1" ySplit="5" topLeftCell="B163" activePane="bottomRight" state="frozen"/>
      <selection pane="topRight" activeCell="B1" sqref="B1"/>
      <selection pane="bottomLeft" activeCell="A6" sqref="A6"/>
      <selection pane="bottomRight"/>
    </sheetView>
  </sheetViews>
  <sheetFormatPr defaultColWidth="8.7109375" defaultRowHeight="15" x14ac:dyDescent="0.25"/>
  <cols>
    <col min="1" max="1" width="54" customWidth="1"/>
    <col min="2" max="2" width="16" customWidth="1"/>
    <col min="3" max="3" width="24" customWidth="1"/>
    <col min="4" max="4" width="120" customWidth="1"/>
    <col min="6" max="9" width="15" customWidth="1"/>
    <col min="10" max="17" width="8" customWidth="1"/>
  </cols>
  <sheetData>
    <row r="1" spans="1:4" ht="22.5" x14ac:dyDescent="0.3">
      <c r="A1" s="10" t="str">
        <f>Cover!$B$2</f>
        <v>Aurumix Revenue Model</v>
      </c>
    </row>
    <row r="2" spans="1:4" ht="18" x14ac:dyDescent="0.25">
      <c r="A2" s="11" t="s">
        <v>28</v>
      </c>
    </row>
    <row r="4" spans="1:4" ht="18" customHeight="1" x14ac:dyDescent="0.25">
      <c r="A4" s="12" t="s">
        <v>29</v>
      </c>
      <c r="B4" s="13"/>
      <c r="C4" s="13"/>
      <c r="D4" s="13"/>
    </row>
    <row r="5" spans="1:4" x14ac:dyDescent="0.25">
      <c r="A5" s="14" t="s">
        <v>30</v>
      </c>
      <c r="B5" s="14" t="s">
        <v>31</v>
      </c>
      <c r="C5" s="14" t="s">
        <v>32</v>
      </c>
      <c r="D5" s="14" t="s">
        <v>33</v>
      </c>
    </row>
    <row r="6" spans="1:4" x14ac:dyDescent="0.25">
      <c r="A6" t="s">
        <v>34</v>
      </c>
      <c r="B6" s="15">
        <v>141.46</v>
      </c>
      <c r="C6" t="s">
        <v>35</v>
      </c>
      <c r="D6" t="s">
        <v>36</v>
      </c>
    </row>
    <row r="7" spans="1:4" x14ac:dyDescent="0.25">
      <c r="A7" t="s">
        <v>37</v>
      </c>
      <c r="B7" s="15">
        <v>3.6724999999999999</v>
      </c>
      <c r="C7" t="s">
        <v>38</v>
      </c>
      <c r="D7" t="s">
        <v>39</v>
      </c>
    </row>
    <row r="8" spans="1:4" x14ac:dyDescent="0.25">
      <c r="A8" t="s">
        <v>40</v>
      </c>
      <c r="B8" s="16">
        <v>0.05</v>
      </c>
      <c r="C8" t="s">
        <v>41</v>
      </c>
      <c r="D8" t="s">
        <v>42</v>
      </c>
    </row>
    <row r="9" spans="1:4" x14ac:dyDescent="0.25">
      <c r="A9" t="s">
        <v>43</v>
      </c>
      <c r="B9" s="16">
        <v>1.4999999999999999E-2</v>
      </c>
      <c r="C9" t="s">
        <v>44</v>
      </c>
      <c r="D9" t="s">
        <v>45</v>
      </c>
    </row>
    <row r="10" spans="1:4" x14ac:dyDescent="0.25">
      <c r="A10" t="s">
        <v>46</v>
      </c>
      <c r="B10" s="17">
        <v>100</v>
      </c>
      <c r="C10" t="s">
        <v>47</v>
      </c>
      <c r="D10" t="s">
        <v>48</v>
      </c>
    </row>
    <row r="12" spans="1:4" ht="18" customHeight="1" x14ac:dyDescent="0.25">
      <c r="A12" s="12" t="s">
        <v>49</v>
      </c>
      <c r="B12" s="13"/>
      <c r="C12" s="13"/>
      <c r="D12" s="13"/>
    </row>
    <row r="13" spans="1:4" x14ac:dyDescent="0.25">
      <c r="A13" s="14" t="s">
        <v>30</v>
      </c>
      <c r="B13" s="14" t="s">
        <v>31</v>
      </c>
      <c r="C13" s="14" t="s">
        <v>32</v>
      </c>
      <c r="D13" s="14" t="s">
        <v>33</v>
      </c>
    </row>
    <row r="14" spans="1:4" x14ac:dyDescent="0.25">
      <c r="A14" t="s">
        <v>50</v>
      </c>
      <c r="B14" s="16">
        <v>1.7999999999999999E-2</v>
      </c>
      <c r="C14" t="s">
        <v>51</v>
      </c>
      <c r="D14" t="s">
        <v>52</v>
      </c>
    </row>
    <row r="15" spans="1:4" x14ac:dyDescent="0.25">
      <c r="A15" t="s">
        <v>53</v>
      </c>
      <c r="B15" s="18">
        <v>0.1</v>
      </c>
      <c r="C15" t="s">
        <v>54</v>
      </c>
      <c r="D15" t="s">
        <v>55</v>
      </c>
    </row>
    <row r="16" spans="1:4" x14ac:dyDescent="0.25">
      <c r="A16" t="s">
        <v>56</v>
      </c>
      <c r="B16" s="19">
        <v>0.06</v>
      </c>
      <c r="C16" t="s">
        <v>57</v>
      </c>
      <c r="D16" t="s">
        <v>58</v>
      </c>
    </row>
    <row r="17" spans="1:4" x14ac:dyDescent="0.25">
      <c r="A17" t="s">
        <v>59</v>
      </c>
      <c r="B17" s="16">
        <v>0.02</v>
      </c>
      <c r="C17" t="s">
        <v>60</v>
      </c>
      <c r="D17" t="s">
        <v>61</v>
      </c>
    </row>
    <row r="18" spans="1:4" x14ac:dyDescent="0.25">
      <c r="A18" t="s">
        <v>62</v>
      </c>
      <c r="B18" s="17">
        <v>1000</v>
      </c>
      <c r="C18" t="s">
        <v>63</v>
      </c>
      <c r="D18" t="s">
        <v>64</v>
      </c>
    </row>
    <row r="19" spans="1:4" x14ac:dyDescent="0.25">
      <c r="A19" t="s">
        <v>65</v>
      </c>
      <c r="B19" s="16">
        <v>0.02</v>
      </c>
      <c r="C19" t="s">
        <v>66</v>
      </c>
      <c r="D19" t="s">
        <v>67</v>
      </c>
    </row>
    <row r="20" spans="1:4" x14ac:dyDescent="0.25">
      <c r="A20" t="s">
        <v>68</v>
      </c>
      <c r="B20" s="17">
        <v>75</v>
      </c>
      <c r="C20" t="s">
        <v>69</v>
      </c>
      <c r="D20" t="s">
        <v>70</v>
      </c>
    </row>
    <row r="21" spans="1:4" x14ac:dyDescent="0.25">
      <c r="A21" t="s">
        <v>71</v>
      </c>
      <c r="B21" s="17">
        <v>100</v>
      </c>
      <c r="C21" t="s">
        <v>72</v>
      </c>
      <c r="D21" t="s">
        <v>73</v>
      </c>
    </row>
    <row r="23" spans="1:4" ht="18" customHeight="1" x14ac:dyDescent="0.25">
      <c r="A23" s="12" t="s">
        <v>74</v>
      </c>
      <c r="B23" s="13"/>
      <c r="C23" s="13"/>
      <c r="D23" s="13"/>
    </row>
    <row r="24" spans="1:4" x14ac:dyDescent="0.25">
      <c r="A24" s="14" t="s">
        <v>30</v>
      </c>
      <c r="B24" s="14" t="s">
        <v>31</v>
      </c>
      <c r="C24" s="14" t="s">
        <v>32</v>
      </c>
      <c r="D24" s="14" t="s">
        <v>33</v>
      </c>
    </row>
    <row r="25" spans="1:4" x14ac:dyDescent="0.25">
      <c r="A25" t="s">
        <v>75</v>
      </c>
      <c r="B25" s="20">
        <v>50</v>
      </c>
      <c r="C25" t="s">
        <v>76</v>
      </c>
      <c r="D25" t="s">
        <v>77</v>
      </c>
    </row>
    <row r="26" spans="1:4" x14ac:dyDescent="0.25">
      <c r="A26" t="s">
        <v>78</v>
      </c>
      <c r="B26" s="20">
        <v>6</v>
      </c>
      <c r="C26" t="s">
        <v>79</v>
      </c>
      <c r="D26" t="s">
        <v>80</v>
      </c>
    </row>
    <row r="27" spans="1:4" x14ac:dyDescent="0.25">
      <c r="A27" t="s">
        <v>81</v>
      </c>
      <c r="B27" s="16">
        <v>0.01</v>
      </c>
      <c r="C27" t="s">
        <v>82</v>
      </c>
      <c r="D27" t="s">
        <v>83</v>
      </c>
    </row>
    <row r="28" spans="1:4" x14ac:dyDescent="0.25">
      <c r="A28" t="s">
        <v>84</v>
      </c>
      <c r="B28" s="19">
        <v>0.5</v>
      </c>
      <c r="C28" t="s">
        <v>85</v>
      </c>
      <c r="D28" t="s">
        <v>86</v>
      </c>
    </row>
    <row r="29" spans="1:4" x14ac:dyDescent="0.25">
      <c r="A29" t="s">
        <v>87</v>
      </c>
      <c r="B29" s="16">
        <v>5.0000000000000001E-3</v>
      </c>
      <c r="C29" t="s">
        <v>88</v>
      </c>
      <c r="D29" t="s">
        <v>86</v>
      </c>
    </row>
    <row r="30" spans="1:4" x14ac:dyDescent="0.25">
      <c r="A30" t="s">
        <v>89</v>
      </c>
      <c r="B30" s="19">
        <v>0.7</v>
      </c>
      <c r="C30" t="s">
        <v>85</v>
      </c>
      <c r="D30" t="s">
        <v>90</v>
      </c>
    </row>
    <row r="31" spans="1:4" x14ac:dyDescent="0.25">
      <c r="A31" t="s">
        <v>91</v>
      </c>
      <c r="B31" s="19">
        <v>0.5</v>
      </c>
      <c r="C31" t="s">
        <v>92</v>
      </c>
      <c r="D31" t="s">
        <v>93</v>
      </c>
    </row>
    <row r="32" spans="1:4" x14ac:dyDescent="0.25">
      <c r="A32" t="s">
        <v>94</v>
      </c>
      <c r="B32" s="20">
        <v>190</v>
      </c>
      <c r="C32" t="s">
        <v>95</v>
      </c>
      <c r="D32" t="s">
        <v>96</v>
      </c>
    </row>
    <row r="33" spans="1:4" x14ac:dyDescent="0.25">
      <c r="A33" t="s">
        <v>97</v>
      </c>
      <c r="B33" s="20">
        <v>145</v>
      </c>
      <c r="C33" t="s">
        <v>95</v>
      </c>
      <c r="D33" t="s">
        <v>98</v>
      </c>
    </row>
    <row r="34" spans="1:4" x14ac:dyDescent="0.25">
      <c r="A34" t="s">
        <v>99</v>
      </c>
      <c r="B34" s="20">
        <v>40</v>
      </c>
      <c r="C34" t="s">
        <v>95</v>
      </c>
      <c r="D34" t="s">
        <v>100</v>
      </c>
    </row>
    <row r="35" spans="1:4" x14ac:dyDescent="0.25">
      <c r="A35" t="s">
        <v>101</v>
      </c>
      <c r="B35" s="19">
        <v>0.12</v>
      </c>
      <c r="C35" t="s">
        <v>102</v>
      </c>
      <c r="D35" t="s">
        <v>103</v>
      </c>
    </row>
    <row r="36" spans="1:4" x14ac:dyDescent="0.25">
      <c r="A36" t="s">
        <v>104</v>
      </c>
      <c r="B36" s="19">
        <v>0.1</v>
      </c>
      <c r="C36" t="s">
        <v>102</v>
      </c>
      <c r="D36" t="s">
        <v>103</v>
      </c>
    </row>
    <row r="37" spans="1:4" x14ac:dyDescent="0.25">
      <c r="A37" t="s">
        <v>105</v>
      </c>
      <c r="B37" s="19">
        <v>0.35</v>
      </c>
      <c r="C37" t="s">
        <v>102</v>
      </c>
      <c r="D37" t="s">
        <v>103</v>
      </c>
    </row>
    <row r="39" spans="1:4" ht="18" customHeight="1" x14ac:dyDescent="0.25">
      <c r="A39" s="12" t="s">
        <v>106</v>
      </c>
      <c r="B39" s="13"/>
      <c r="C39" s="13"/>
      <c r="D39" s="13"/>
    </row>
    <row r="40" spans="1:4" x14ac:dyDescent="0.25">
      <c r="A40" s="14" t="s">
        <v>30</v>
      </c>
      <c r="B40" s="14" t="s">
        <v>31</v>
      </c>
      <c r="C40" s="14" t="s">
        <v>32</v>
      </c>
      <c r="D40" s="14" t="s">
        <v>33</v>
      </c>
    </row>
    <row r="41" spans="1:4" x14ac:dyDescent="0.25">
      <c r="A41" t="s">
        <v>107</v>
      </c>
      <c r="B41" s="18">
        <v>20</v>
      </c>
      <c r="C41" t="s">
        <v>108</v>
      </c>
      <c r="D41" t="s">
        <v>109</v>
      </c>
    </row>
    <row r="42" spans="1:4" x14ac:dyDescent="0.25">
      <c r="A42" t="s">
        <v>110</v>
      </c>
      <c r="B42" s="17">
        <v>6</v>
      </c>
      <c r="C42" t="s">
        <v>111</v>
      </c>
      <c r="D42" t="s">
        <v>112</v>
      </c>
    </row>
    <row r="43" spans="1:4" x14ac:dyDescent="0.25">
      <c r="A43" t="s">
        <v>113</v>
      </c>
      <c r="B43" s="18">
        <v>3.2</v>
      </c>
      <c r="C43" t="s">
        <v>114</v>
      </c>
      <c r="D43" t="s">
        <v>115</v>
      </c>
    </row>
    <row r="45" spans="1:4" ht="18" customHeight="1" x14ac:dyDescent="0.25">
      <c r="A45" s="12" t="s">
        <v>116</v>
      </c>
      <c r="B45" s="13"/>
      <c r="C45" s="13"/>
      <c r="D45" s="13"/>
    </row>
    <row r="46" spans="1:4" x14ac:dyDescent="0.25">
      <c r="A46" s="14" t="s">
        <v>30</v>
      </c>
      <c r="B46" s="14" t="s">
        <v>31</v>
      </c>
      <c r="C46" s="14" t="s">
        <v>32</v>
      </c>
      <c r="D46" s="14" t="s">
        <v>33</v>
      </c>
    </row>
    <row r="47" spans="1:4" x14ac:dyDescent="0.25">
      <c r="A47" t="s">
        <v>117</v>
      </c>
      <c r="B47" s="17">
        <v>1</v>
      </c>
      <c r="C47" t="s">
        <v>118</v>
      </c>
      <c r="D47" t="s">
        <v>119</v>
      </c>
    </row>
    <row r="48" spans="1:4" x14ac:dyDescent="0.25">
      <c r="A48" t="s">
        <v>120</v>
      </c>
      <c r="B48" s="17">
        <v>1</v>
      </c>
      <c r="C48" t="s">
        <v>118</v>
      </c>
      <c r="D48" t="s">
        <v>121</v>
      </c>
    </row>
    <row r="49" spans="1:17" x14ac:dyDescent="0.25">
      <c r="A49" t="s">
        <v>122</v>
      </c>
      <c r="B49" s="17">
        <v>1</v>
      </c>
      <c r="C49" t="s">
        <v>118</v>
      </c>
      <c r="D49" t="s">
        <v>123</v>
      </c>
    </row>
    <row r="50" spans="1:17" x14ac:dyDescent="0.25">
      <c r="A50" t="s">
        <v>124</v>
      </c>
      <c r="B50" s="17">
        <v>7</v>
      </c>
      <c r="C50" t="s">
        <v>118</v>
      </c>
      <c r="D50" t="s">
        <v>125</v>
      </c>
    </row>
    <row r="51" spans="1:17" x14ac:dyDescent="0.25">
      <c r="A51" t="s">
        <v>126</v>
      </c>
      <c r="B51" s="17">
        <v>13</v>
      </c>
      <c r="C51" t="s">
        <v>118</v>
      </c>
      <c r="D51" t="s">
        <v>127</v>
      </c>
    </row>
    <row r="52" spans="1:17" x14ac:dyDescent="0.25">
      <c r="A52" t="s">
        <v>128</v>
      </c>
      <c r="B52" s="17">
        <v>13</v>
      </c>
      <c r="C52" t="s">
        <v>118</v>
      </c>
      <c r="D52" t="s">
        <v>129</v>
      </c>
    </row>
    <row r="53" spans="1:17" x14ac:dyDescent="0.25">
      <c r="A53" t="s">
        <v>130</v>
      </c>
      <c r="B53" s="17">
        <v>13</v>
      </c>
      <c r="C53" t="s">
        <v>118</v>
      </c>
      <c r="D53" t="s">
        <v>131</v>
      </c>
    </row>
    <row r="54" spans="1:17" x14ac:dyDescent="0.25">
      <c r="A54" t="s">
        <v>132</v>
      </c>
      <c r="B54" s="17">
        <v>13</v>
      </c>
      <c r="C54" t="s">
        <v>118</v>
      </c>
      <c r="D54" t="s">
        <v>133</v>
      </c>
    </row>
    <row r="55" spans="1:17" x14ac:dyDescent="0.25">
      <c r="A55" t="s">
        <v>134</v>
      </c>
      <c r="B55" s="17">
        <v>13</v>
      </c>
      <c r="C55" t="s">
        <v>118</v>
      </c>
      <c r="D55" t="s">
        <v>135</v>
      </c>
    </row>
    <row r="56" spans="1:17" x14ac:dyDescent="0.25">
      <c r="A56" t="s">
        <v>136</v>
      </c>
      <c r="B56" s="17">
        <v>13</v>
      </c>
      <c r="C56" t="s">
        <v>118</v>
      </c>
      <c r="D56" t="s">
        <v>137</v>
      </c>
    </row>
    <row r="57" spans="1:17" x14ac:dyDescent="0.25">
      <c r="A57" t="s">
        <v>138</v>
      </c>
      <c r="B57" s="17">
        <v>1</v>
      </c>
      <c r="C57" t="s">
        <v>118</v>
      </c>
      <c r="D57" t="s">
        <v>139</v>
      </c>
    </row>
    <row r="59" spans="1:17" ht="18" customHeight="1" x14ac:dyDescent="0.25">
      <c r="A59" s="12" t="s">
        <v>140</v>
      </c>
      <c r="B59" s="13"/>
      <c r="C59" s="13"/>
      <c r="D59" s="13"/>
    </row>
    <row r="60" spans="1:17" x14ac:dyDescent="0.25">
      <c r="A6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spans="1:17" x14ac:dyDescent="0.25">
      <c r="A61" t="s">
        <v>154</v>
      </c>
      <c r="D61" t="s">
        <v>155</v>
      </c>
      <c r="F61" s="22">
        <v>1.01</v>
      </c>
      <c r="G61" s="22">
        <v>0.96</v>
      </c>
      <c r="H61" s="22">
        <v>0.92</v>
      </c>
      <c r="I61" s="22">
        <v>1.1499999999999999</v>
      </c>
      <c r="J61" s="22">
        <v>1.04</v>
      </c>
      <c r="K61" s="22">
        <v>0.88</v>
      </c>
      <c r="L61" s="22">
        <v>0.85</v>
      </c>
      <c r="M61" s="22">
        <v>0.85</v>
      </c>
      <c r="N61" s="22">
        <v>0.93</v>
      </c>
      <c r="O61" s="22">
        <v>1.25</v>
      </c>
      <c r="P61" s="22">
        <v>1.1499999999999999</v>
      </c>
      <c r="Q61" s="22">
        <v>1.01</v>
      </c>
    </row>
    <row r="62" spans="1:17" x14ac:dyDescent="0.25">
      <c r="A62" t="s">
        <v>156</v>
      </c>
      <c r="D62" t="s">
        <v>157</v>
      </c>
      <c r="F62" s="22">
        <v>1.1000000000000001</v>
      </c>
      <c r="G62" s="22">
        <v>1</v>
      </c>
      <c r="H62" s="22">
        <v>0.98</v>
      </c>
      <c r="I62" s="22">
        <v>0.98</v>
      </c>
      <c r="J62" s="22">
        <v>1</v>
      </c>
      <c r="K62" s="22">
        <v>0.95</v>
      </c>
      <c r="L62" s="22">
        <v>0.88</v>
      </c>
      <c r="M62" s="22">
        <v>0.9</v>
      </c>
      <c r="N62" s="22">
        <v>1</v>
      </c>
      <c r="O62" s="22">
        <v>1.02</v>
      </c>
      <c r="P62" s="22">
        <v>1.05</v>
      </c>
      <c r="Q62" s="22">
        <v>1.1399999999999999</v>
      </c>
    </row>
    <row r="63" spans="1:17" x14ac:dyDescent="0.25">
      <c r="A63" t="s">
        <v>158</v>
      </c>
      <c r="D63" t="s">
        <v>159</v>
      </c>
      <c r="F63" s="22">
        <v>30</v>
      </c>
      <c r="G63" s="22">
        <v>30</v>
      </c>
      <c r="H63" s="22">
        <v>30</v>
      </c>
      <c r="I63" s="22">
        <v>32</v>
      </c>
      <c r="J63" s="22">
        <v>34</v>
      </c>
      <c r="K63" s="22">
        <v>55</v>
      </c>
      <c r="L63" s="22">
        <v>60</v>
      </c>
      <c r="M63" s="22">
        <v>56</v>
      </c>
      <c r="N63" s="22">
        <v>36</v>
      </c>
      <c r="O63" s="22">
        <v>42</v>
      </c>
      <c r="P63" s="22">
        <v>40</v>
      </c>
      <c r="Q63" s="22">
        <v>32</v>
      </c>
    </row>
    <row r="65" spans="1:9" ht="18" customHeight="1" x14ac:dyDescent="0.25">
      <c r="A65" s="12" t="s">
        <v>160</v>
      </c>
      <c r="B65" s="13"/>
      <c r="C65" s="13"/>
      <c r="D65" s="13"/>
    </row>
    <row r="66" spans="1:9" x14ac:dyDescent="0.25">
      <c r="A66" s="14" t="s">
        <v>30</v>
      </c>
      <c r="B66" s="14" t="s">
        <v>31</v>
      </c>
      <c r="C66" s="14" t="s">
        <v>32</v>
      </c>
      <c r="D66" s="14" t="s">
        <v>33</v>
      </c>
    </row>
    <row r="67" spans="1:9" x14ac:dyDescent="0.25">
      <c r="A67" s="3" t="s">
        <v>161</v>
      </c>
      <c r="B67" s="23" t="s">
        <v>162</v>
      </c>
      <c r="D67" t="s">
        <v>163</v>
      </c>
    </row>
    <row r="68" spans="1:9" x14ac:dyDescent="0.25">
      <c r="A68" s="3" t="s">
        <v>164</v>
      </c>
      <c r="B68" s="23" t="s">
        <v>165</v>
      </c>
      <c r="D68" t="s">
        <v>166</v>
      </c>
    </row>
    <row r="69" spans="1:9" x14ac:dyDescent="0.25">
      <c r="A69" s="3" t="s">
        <v>167</v>
      </c>
      <c r="B69" s="23" t="s">
        <v>162</v>
      </c>
      <c r="D69" t="s">
        <v>168</v>
      </c>
    </row>
    <row r="71" spans="1:9" ht="18" customHeight="1" x14ac:dyDescent="0.25">
      <c r="A71" s="12" t="s">
        <v>169</v>
      </c>
      <c r="B71" s="13"/>
      <c r="C71" s="13"/>
      <c r="D71" s="13"/>
    </row>
    <row r="72" spans="1:9" ht="26.25" x14ac:dyDescent="0.25">
      <c r="A72" s="24" t="s">
        <v>170</v>
      </c>
      <c r="F72" s="25" t="s">
        <v>171</v>
      </c>
      <c r="G72" s="25" t="s">
        <v>172</v>
      </c>
      <c r="H72" s="25" t="s">
        <v>164</v>
      </c>
      <c r="I72" s="25" t="s">
        <v>167</v>
      </c>
    </row>
    <row r="73" spans="1:9" x14ac:dyDescent="0.25">
      <c r="A73" t="s">
        <v>173</v>
      </c>
      <c r="D73" t="s">
        <v>174</v>
      </c>
      <c r="F73" s="26">
        <v>4360000</v>
      </c>
      <c r="G73" s="26">
        <v>3460000</v>
      </c>
      <c r="H73" s="26">
        <v>2630000</v>
      </c>
      <c r="I73" s="26">
        <v>12500000</v>
      </c>
    </row>
    <row r="74" spans="1:9" x14ac:dyDescent="0.25">
      <c r="A74" t="s">
        <v>175</v>
      </c>
      <c r="D74" t="s">
        <v>176</v>
      </c>
      <c r="F74" s="27">
        <v>0.8</v>
      </c>
      <c r="G74" s="27">
        <v>0.8</v>
      </c>
      <c r="H74" s="27">
        <v>1</v>
      </c>
      <c r="I74" s="27">
        <v>1</v>
      </c>
    </row>
    <row r="75" spans="1:9" x14ac:dyDescent="0.25">
      <c r="A75" t="s">
        <v>177</v>
      </c>
      <c r="D75" t="s">
        <v>178</v>
      </c>
      <c r="F75" s="27">
        <v>0.56999999999999995</v>
      </c>
      <c r="G75" s="27">
        <v>0.56999999999999995</v>
      </c>
      <c r="H75" s="27">
        <v>0.56999999999999995</v>
      </c>
      <c r="I75" s="27">
        <v>1</v>
      </c>
    </row>
    <row r="76" spans="1:9" x14ac:dyDescent="0.25">
      <c r="A76" t="s">
        <v>179</v>
      </c>
      <c r="D76" t="s">
        <v>180</v>
      </c>
      <c r="F76" s="27">
        <v>0.4</v>
      </c>
      <c r="G76" s="27">
        <v>0.4</v>
      </c>
      <c r="H76" s="27">
        <v>0.4</v>
      </c>
      <c r="I76" s="27">
        <v>1</v>
      </c>
    </row>
    <row r="77" spans="1:9" x14ac:dyDescent="0.25">
      <c r="A77" t="s">
        <v>181</v>
      </c>
      <c r="D77" t="s">
        <v>182</v>
      </c>
      <c r="F77" s="28">
        <f>F73*F74*F75*F76</f>
        <v>795264</v>
      </c>
      <c r="G77" s="28">
        <f>G73*G74*G75*G76</f>
        <v>631104</v>
      </c>
      <c r="H77" s="28">
        <f>H73*H74*H75*H76</f>
        <v>599639.99999999988</v>
      </c>
      <c r="I77" s="28">
        <f>I73*I74*I75*I76</f>
        <v>12500000</v>
      </c>
    </row>
    <row r="78" spans="1:9" x14ac:dyDescent="0.25">
      <c r="A78" t="s">
        <v>183</v>
      </c>
      <c r="D78" t="s">
        <v>184</v>
      </c>
      <c r="F78" s="29">
        <v>0.1</v>
      </c>
      <c r="G78" s="29">
        <v>0.1</v>
      </c>
      <c r="H78" s="29">
        <v>0.06</v>
      </c>
      <c r="I78" s="29">
        <v>0.01</v>
      </c>
    </row>
    <row r="79" spans="1:9" x14ac:dyDescent="0.25">
      <c r="A79" t="s">
        <v>185</v>
      </c>
      <c r="D79" t="s">
        <v>186</v>
      </c>
      <c r="F79" s="28">
        <f>F77*F78</f>
        <v>79526.400000000009</v>
      </c>
      <c r="G79" s="28">
        <f>G77*G78</f>
        <v>63110.400000000001</v>
      </c>
      <c r="H79" s="28">
        <f>H77*H78</f>
        <v>35978.399999999994</v>
      </c>
      <c r="I79" s="28">
        <f>I77*I78</f>
        <v>125000</v>
      </c>
    </row>
    <row r="80" spans="1:9" x14ac:dyDescent="0.25">
      <c r="A80" t="s">
        <v>187</v>
      </c>
      <c r="F80" s="30" t="s">
        <v>161</v>
      </c>
      <c r="G80" s="30" t="s">
        <v>161</v>
      </c>
      <c r="H80" s="30" t="s">
        <v>164</v>
      </c>
      <c r="I80" s="30" t="s">
        <v>167</v>
      </c>
    </row>
    <row r="82" spans="1:4" ht="18" customHeight="1" x14ac:dyDescent="0.25">
      <c r="A82" s="12" t="s">
        <v>188</v>
      </c>
      <c r="B82" s="13"/>
      <c r="C82" s="13"/>
      <c r="D82" s="13"/>
    </row>
    <row r="83" spans="1:4" x14ac:dyDescent="0.25">
      <c r="A83" s="14" t="s">
        <v>30</v>
      </c>
      <c r="B83" s="14" t="s">
        <v>31</v>
      </c>
      <c r="C83" s="14" t="s">
        <v>32</v>
      </c>
      <c r="D83" s="14" t="s">
        <v>33</v>
      </c>
    </row>
    <row r="84" spans="1:4" x14ac:dyDescent="0.25">
      <c r="A84" t="s">
        <v>189</v>
      </c>
      <c r="B84" s="31">
        <f>F79+G79</f>
        <v>142636.80000000002</v>
      </c>
      <c r="C84" t="s">
        <v>190</v>
      </c>
      <c r="D84" t="s">
        <v>191</v>
      </c>
    </row>
    <row r="85" spans="1:4" x14ac:dyDescent="0.25">
      <c r="A85" t="s">
        <v>192</v>
      </c>
      <c r="B85" s="31">
        <f>H79</f>
        <v>35978.399999999994</v>
      </c>
      <c r="C85" t="s">
        <v>190</v>
      </c>
      <c r="D85" t="s">
        <v>193</v>
      </c>
    </row>
    <row r="86" spans="1:4" x14ac:dyDescent="0.25">
      <c r="A86" t="s">
        <v>194</v>
      </c>
      <c r="B86" s="31">
        <f>I79</f>
        <v>125000</v>
      </c>
      <c r="C86" t="s">
        <v>190</v>
      </c>
      <c r="D86" t="s">
        <v>195</v>
      </c>
    </row>
    <row r="87" spans="1:4" x14ac:dyDescent="0.25">
      <c r="A87" s="3" t="s">
        <v>196</v>
      </c>
      <c r="B87" s="31">
        <f>$B$84+$B$85+$B$86</f>
        <v>303615.2</v>
      </c>
      <c r="C87" t="s">
        <v>190</v>
      </c>
      <c r="D87" t="s">
        <v>197</v>
      </c>
    </row>
    <row r="88" spans="1:4" x14ac:dyDescent="0.25">
      <c r="A88" s="3" t="s">
        <v>198</v>
      </c>
    </row>
    <row r="89" spans="1:4" x14ac:dyDescent="0.25">
      <c r="A89" t="s">
        <v>199</v>
      </c>
      <c r="B89" s="17">
        <v>75000</v>
      </c>
      <c r="C89" t="s">
        <v>200</v>
      </c>
      <c r="D89" t="s">
        <v>201</v>
      </c>
    </row>
    <row r="90" spans="1:4" x14ac:dyDescent="0.25">
      <c r="A90" t="s">
        <v>202</v>
      </c>
      <c r="B90" s="32">
        <f>$B$84/$B$89</f>
        <v>1.9018240000000002</v>
      </c>
      <c r="C90" t="s">
        <v>203</v>
      </c>
      <c r="D90" t="s">
        <v>204</v>
      </c>
    </row>
    <row r="91" spans="1:4" x14ac:dyDescent="0.25">
      <c r="A91" t="s">
        <v>205</v>
      </c>
      <c r="B91" s="23" t="s">
        <v>206</v>
      </c>
      <c r="C91" t="s">
        <v>207</v>
      </c>
      <c r="D91" t="s">
        <v>208</v>
      </c>
    </row>
    <row r="93" spans="1:4" x14ac:dyDescent="0.25">
      <c r="A93" t="s">
        <v>209</v>
      </c>
      <c r="B93" s="17">
        <v>8</v>
      </c>
      <c r="C93" t="s">
        <v>210</v>
      </c>
      <c r="D93" t="s">
        <v>211</v>
      </c>
    </row>
    <row r="94" spans="1:4" x14ac:dyDescent="0.25">
      <c r="A94" t="s">
        <v>212</v>
      </c>
      <c r="B94" s="17">
        <v>23</v>
      </c>
      <c r="C94" t="s">
        <v>210</v>
      </c>
      <c r="D94" t="s">
        <v>211</v>
      </c>
    </row>
    <row r="95" spans="1:4" x14ac:dyDescent="0.25">
      <c r="A95" t="s">
        <v>213</v>
      </c>
      <c r="B95" s="17">
        <v>60</v>
      </c>
      <c r="C95" t="s">
        <v>210</v>
      </c>
      <c r="D95" t="s">
        <v>211</v>
      </c>
    </row>
    <row r="96" spans="1:4" x14ac:dyDescent="0.25">
      <c r="A96" t="s">
        <v>214</v>
      </c>
      <c r="B96" s="17">
        <v>90</v>
      </c>
      <c r="C96" t="s">
        <v>210</v>
      </c>
      <c r="D96" t="s">
        <v>211</v>
      </c>
    </row>
    <row r="97" spans="1:4" x14ac:dyDescent="0.25">
      <c r="A97" t="s">
        <v>215</v>
      </c>
      <c r="B97" s="17">
        <v>135</v>
      </c>
      <c r="C97" t="s">
        <v>210</v>
      </c>
      <c r="D97" t="s">
        <v>211</v>
      </c>
    </row>
    <row r="98" spans="1:4" x14ac:dyDescent="0.25">
      <c r="A98" t="s">
        <v>216</v>
      </c>
      <c r="B98" s="17">
        <v>159</v>
      </c>
      <c r="C98" t="s">
        <v>210</v>
      </c>
      <c r="D98" t="s">
        <v>211</v>
      </c>
    </row>
    <row r="99" spans="1:4" x14ac:dyDescent="0.25">
      <c r="A99" t="s">
        <v>217</v>
      </c>
      <c r="B99" s="17">
        <v>186</v>
      </c>
      <c r="C99" t="s">
        <v>210</v>
      </c>
      <c r="D99" t="s">
        <v>211</v>
      </c>
    </row>
    <row r="100" spans="1:4" x14ac:dyDescent="0.25">
      <c r="A100" t="s">
        <v>218</v>
      </c>
      <c r="B100" s="20">
        <v>90000</v>
      </c>
      <c r="C100" t="s">
        <v>76</v>
      </c>
      <c r="D100" t="s">
        <v>219</v>
      </c>
    </row>
    <row r="101" spans="1:4" x14ac:dyDescent="0.25">
      <c r="A101" t="s">
        <v>220</v>
      </c>
      <c r="B101" s="20">
        <v>270000</v>
      </c>
      <c r="C101" t="s">
        <v>76</v>
      </c>
      <c r="D101" t="s">
        <v>219</v>
      </c>
    </row>
    <row r="102" spans="1:4" x14ac:dyDescent="0.25">
      <c r="A102" t="s">
        <v>221</v>
      </c>
      <c r="B102" s="20">
        <v>375000</v>
      </c>
      <c r="C102" t="s">
        <v>76</v>
      </c>
      <c r="D102" t="s">
        <v>219</v>
      </c>
    </row>
    <row r="103" spans="1:4" x14ac:dyDescent="0.25">
      <c r="A103" t="s">
        <v>222</v>
      </c>
      <c r="B103" s="20">
        <v>600000</v>
      </c>
      <c r="C103" t="s">
        <v>76</v>
      </c>
      <c r="D103" t="s">
        <v>219</v>
      </c>
    </row>
    <row r="104" spans="1:4" x14ac:dyDescent="0.25">
      <c r="A104" t="s">
        <v>223</v>
      </c>
      <c r="B104" s="20">
        <v>900000</v>
      </c>
      <c r="C104" t="s">
        <v>76</v>
      </c>
      <c r="D104" t="s">
        <v>219</v>
      </c>
    </row>
    <row r="105" spans="1:4" x14ac:dyDescent="0.25">
      <c r="A105" t="s">
        <v>224</v>
      </c>
      <c r="B105" s="20">
        <v>1275000</v>
      </c>
      <c r="C105" t="s">
        <v>76</v>
      </c>
      <c r="D105" t="s">
        <v>219</v>
      </c>
    </row>
    <row r="106" spans="1:4" x14ac:dyDescent="0.25">
      <c r="A106" t="s">
        <v>225</v>
      </c>
      <c r="B106" s="20">
        <v>1650000</v>
      </c>
      <c r="C106" t="s">
        <v>76</v>
      </c>
      <c r="D106" t="s">
        <v>219</v>
      </c>
    </row>
    <row r="107" spans="1:4" x14ac:dyDescent="0.25">
      <c r="A107" t="s">
        <v>226</v>
      </c>
      <c r="B107" s="15">
        <v>0.6</v>
      </c>
      <c r="C107" t="s">
        <v>227</v>
      </c>
      <c r="D107" t="s">
        <v>228</v>
      </c>
    </row>
    <row r="108" spans="1:4" x14ac:dyDescent="0.25">
      <c r="A108" t="s">
        <v>229</v>
      </c>
      <c r="B108" s="15">
        <v>0.85</v>
      </c>
      <c r="C108" t="s">
        <v>227</v>
      </c>
      <c r="D108" t="s">
        <v>228</v>
      </c>
    </row>
    <row r="109" spans="1:4" x14ac:dyDescent="0.25">
      <c r="A109" t="s">
        <v>230</v>
      </c>
      <c r="B109" s="15">
        <v>1</v>
      </c>
      <c r="C109" t="s">
        <v>227</v>
      </c>
      <c r="D109" t="s">
        <v>228</v>
      </c>
    </row>
    <row r="110" spans="1:4" x14ac:dyDescent="0.25">
      <c r="A110" t="s">
        <v>231</v>
      </c>
      <c r="B110" s="15">
        <v>1</v>
      </c>
      <c r="C110" t="s">
        <v>227</v>
      </c>
      <c r="D110" t="s">
        <v>228</v>
      </c>
    </row>
    <row r="111" spans="1:4" x14ac:dyDescent="0.25">
      <c r="A111" t="s">
        <v>232</v>
      </c>
      <c r="B111" s="15">
        <v>1</v>
      </c>
      <c r="C111" t="s">
        <v>227</v>
      </c>
      <c r="D111" t="s">
        <v>228</v>
      </c>
    </row>
    <row r="112" spans="1:4" x14ac:dyDescent="0.25">
      <c r="A112" t="s">
        <v>233</v>
      </c>
      <c r="B112" s="15">
        <v>1</v>
      </c>
      <c r="C112" t="s">
        <v>227</v>
      </c>
      <c r="D112" t="s">
        <v>228</v>
      </c>
    </row>
    <row r="113" spans="1:4" x14ac:dyDescent="0.25">
      <c r="A113" t="s">
        <v>234</v>
      </c>
      <c r="B113" s="15">
        <v>1</v>
      </c>
      <c r="C113" t="s">
        <v>227</v>
      </c>
      <c r="D113" t="s">
        <v>228</v>
      </c>
    </row>
    <row r="114" spans="1:4" x14ac:dyDescent="0.25">
      <c r="A114" t="s">
        <v>235</v>
      </c>
      <c r="B114" s="19">
        <v>0.45</v>
      </c>
      <c r="C114" t="s">
        <v>236</v>
      </c>
      <c r="D114" t="s">
        <v>237</v>
      </c>
    </row>
    <row r="115" spans="1:4" x14ac:dyDescent="0.25">
      <c r="A115" t="s">
        <v>238</v>
      </c>
      <c r="B115" s="19">
        <v>0.1</v>
      </c>
      <c r="C115" t="s">
        <v>236</v>
      </c>
      <c r="D115" t="s">
        <v>237</v>
      </c>
    </row>
    <row r="116" spans="1:4" x14ac:dyDescent="0.25">
      <c r="A116" t="s">
        <v>239</v>
      </c>
      <c r="B116" s="19">
        <v>0.45</v>
      </c>
      <c r="C116" t="s">
        <v>236</v>
      </c>
      <c r="D116" t="s">
        <v>237</v>
      </c>
    </row>
    <row r="118" spans="1:4" ht="18" customHeight="1" x14ac:dyDescent="0.25">
      <c r="A118" s="12" t="s">
        <v>240</v>
      </c>
      <c r="B118" s="13"/>
      <c r="C118" s="13"/>
      <c r="D118" s="13"/>
    </row>
    <row r="119" spans="1:4" x14ac:dyDescent="0.25">
      <c r="A119" s="14" t="s">
        <v>30</v>
      </c>
      <c r="B119" s="14" t="s">
        <v>31</v>
      </c>
      <c r="C119" s="14" t="s">
        <v>32</v>
      </c>
      <c r="D119" s="14" t="s">
        <v>33</v>
      </c>
    </row>
    <row r="120" spans="1:4" x14ac:dyDescent="0.25">
      <c r="A120" t="s">
        <v>241</v>
      </c>
      <c r="B120" s="33">
        <f>'Scenario Parameters'!$B$10</f>
        <v>8.1000000000000003E-2</v>
      </c>
      <c r="C120" t="s">
        <v>242</v>
      </c>
      <c r="D120" t="s">
        <v>243</v>
      </c>
    </row>
    <row r="121" spans="1:4" x14ac:dyDescent="0.25">
      <c r="A121" t="s">
        <v>244</v>
      </c>
      <c r="B121" s="34">
        <f>'Scenario Parameters'!$B$14</f>
        <v>0.55000000000000004</v>
      </c>
      <c r="C121" t="s">
        <v>245</v>
      </c>
      <c r="D121" t="s">
        <v>246</v>
      </c>
    </row>
    <row r="122" spans="1:4" x14ac:dyDescent="0.25">
      <c r="A122" t="s">
        <v>247</v>
      </c>
      <c r="B122" s="33">
        <f>'Scenario Parameters'!$B$15</f>
        <v>4.8599101001747691E-2</v>
      </c>
      <c r="C122" t="s">
        <v>248</v>
      </c>
      <c r="D122" t="s">
        <v>249</v>
      </c>
    </row>
    <row r="123" spans="1:4" x14ac:dyDescent="0.25">
      <c r="A123" t="s">
        <v>250</v>
      </c>
      <c r="B123" s="35">
        <f>'Scenario Parameters'!$B$16</f>
        <v>6</v>
      </c>
      <c r="C123" t="s">
        <v>251</v>
      </c>
      <c r="D123" t="s">
        <v>252</v>
      </c>
    </row>
    <row r="124" spans="1:4" x14ac:dyDescent="0.25">
      <c r="A124" t="s">
        <v>253</v>
      </c>
      <c r="B124" s="36">
        <f>'Scenario Parameters'!$B$17</f>
        <v>85</v>
      </c>
      <c r="C124" t="s">
        <v>254</v>
      </c>
      <c r="D124" t="s">
        <v>255</v>
      </c>
    </row>
    <row r="125" spans="1:4" x14ac:dyDescent="0.25">
      <c r="A125" t="s">
        <v>256</v>
      </c>
      <c r="B125" s="36">
        <f>'Scenario Parameters'!$B$18</f>
        <v>75</v>
      </c>
      <c r="C125" t="s">
        <v>254</v>
      </c>
      <c r="D125" t="s">
        <v>255</v>
      </c>
    </row>
    <row r="126" spans="1:4" x14ac:dyDescent="0.25">
      <c r="A126" t="s">
        <v>257</v>
      </c>
      <c r="B126" s="36">
        <f>'Scenario Parameters'!$B$19</f>
        <v>15</v>
      </c>
      <c r="C126" t="s">
        <v>254</v>
      </c>
      <c r="D126" t="s">
        <v>255</v>
      </c>
    </row>
    <row r="127" spans="1:4" x14ac:dyDescent="0.25">
      <c r="A127" t="s">
        <v>258</v>
      </c>
      <c r="B127" s="34">
        <f>'Scenario Parameters'!$B$20</f>
        <v>0.57999999999999996</v>
      </c>
      <c r="C127" t="s">
        <v>259</v>
      </c>
      <c r="D127" t="s">
        <v>260</v>
      </c>
    </row>
    <row r="128" spans="1:4" x14ac:dyDescent="0.25">
      <c r="A128" t="s">
        <v>261</v>
      </c>
      <c r="B128" s="34">
        <f>'Scenario Parameters'!$B$21</f>
        <v>0.16</v>
      </c>
      <c r="C128" t="s">
        <v>259</v>
      </c>
      <c r="D128" t="s">
        <v>260</v>
      </c>
    </row>
    <row r="129" spans="1:4" x14ac:dyDescent="0.25">
      <c r="A129" t="s">
        <v>262</v>
      </c>
      <c r="B129" s="34">
        <f>'Scenario Parameters'!$B$22</f>
        <v>0.26</v>
      </c>
      <c r="C129" t="s">
        <v>259</v>
      </c>
      <c r="D129" t="s">
        <v>260</v>
      </c>
    </row>
    <row r="130" spans="1:4" x14ac:dyDescent="0.25">
      <c r="A130" t="s">
        <v>263</v>
      </c>
      <c r="B130" s="35">
        <f>'Scenario Parameters'!$B$23</f>
        <v>0.6</v>
      </c>
      <c r="C130" t="s">
        <v>264</v>
      </c>
      <c r="D130" t="s">
        <v>265</v>
      </c>
    </row>
    <row r="131" spans="1:4" x14ac:dyDescent="0.25">
      <c r="A131" t="s">
        <v>266</v>
      </c>
      <c r="B131" s="34">
        <f>'Scenario Parameters'!$B$24</f>
        <v>0.62</v>
      </c>
      <c r="C131" t="s">
        <v>245</v>
      </c>
      <c r="D131" t="s">
        <v>267</v>
      </c>
    </row>
    <row r="132" spans="1:4" x14ac:dyDescent="0.25">
      <c r="A132" t="s">
        <v>268</v>
      </c>
      <c r="B132" s="34">
        <f>'Scenario Parameters'!$B$25</f>
        <v>0.25</v>
      </c>
      <c r="C132" t="s">
        <v>269</v>
      </c>
      <c r="D132" t="s">
        <v>270</v>
      </c>
    </row>
    <row r="133" spans="1:4" x14ac:dyDescent="0.25">
      <c r="A133" t="s">
        <v>271</v>
      </c>
      <c r="B133" s="35">
        <f>'Scenario Parameters'!$B$26</f>
        <v>1</v>
      </c>
      <c r="C133" t="s">
        <v>272</v>
      </c>
      <c r="D133" t="s">
        <v>273</v>
      </c>
    </row>
    <row r="134" spans="1:4" x14ac:dyDescent="0.25">
      <c r="A134" t="s">
        <v>274</v>
      </c>
      <c r="B134" s="34">
        <f>'Scenario Parameters'!$B$30</f>
        <v>0.55000000000000004</v>
      </c>
      <c r="C134" t="s">
        <v>275</v>
      </c>
      <c r="D134" t="s">
        <v>276</v>
      </c>
    </row>
    <row r="135" spans="1:4" x14ac:dyDescent="0.25">
      <c r="A135" t="s">
        <v>277</v>
      </c>
      <c r="B135" s="37">
        <f>'Scenario Parameters'!$B$31</f>
        <v>8</v>
      </c>
      <c r="C135" t="s">
        <v>278</v>
      </c>
      <c r="D135" t="s">
        <v>279</v>
      </c>
    </row>
    <row r="136" spans="1:4" x14ac:dyDescent="0.25">
      <c r="A136" t="s">
        <v>280</v>
      </c>
      <c r="B136" s="34">
        <f>'Scenario Parameters'!$B$35</f>
        <v>0.06</v>
      </c>
      <c r="C136" t="s">
        <v>281</v>
      </c>
      <c r="D136" t="s">
        <v>282</v>
      </c>
    </row>
    <row r="137" spans="1:4" x14ac:dyDescent="0.25">
      <c r="A137" t="s">
        <v>283</v>
      </c>
      <c r="B137" s="34">
        <f>'Scenario Parameters'!$B$36</f>
        <v>0.06</v>
      </c>
      <c r="C137" t="s">
        <v>281</v>
      </c>
      <c r="D137" t="s">
        <v>284</v>
      </c>
    </row>
    <row r="138" spans="1:4" x14ac:dyDescent="0.25">
      <c r="A138" t="s">
        <v>285</v>
      </c>
      <c r="B138" s="35">
        <f>'Scenario Parameters'!$B$37</f>
        <v>1.6</v>
      </c>
      <c r="C138" t="s">
        <v>286</v>
      </c>
      <c r="D138" t="s">
        <v>287</v>
      </c>
    </row>
    <row r="139" spans="1:4" x14ac:dyDescent="0.25">
      <c r="A139" t="s">
        <v>288</v>
      </c>
      <c r="B139" s="35">
        <f>'Scenario Parameters'!$B$38</f>
        <v>1</v>
      </c>
      <c r="C139" t="s">
        <v>289</v>
      </c>
      <c r="D139" t="s">
        <v>290</v>
      </c>
    </row>
    <row r="140" spans="1:4" x14ac:dyDescent="0.25">
      <c r="A140" t="s">
        <v>291</v>
      </c>
      <c r="B140" s="35">
        <f>'Scenario Parameters'!$B$39</f>
        <v>1</v>
      </c>
      <c r="C140" t="s">
        <v>292</v>
      </c>
      <c r="D140" t="s">
        <v>293</v>
      </c>
    </row>
    <row r="141" spans="1:4" x14ac:dyDescent="0.25">
      <c r="A141" t="s">
        <v>294</v>
      </c>
      <c r="B141" s="35">
        <f>'Scenario Parameters'!$B$40</f>
        <v>1.7</v>
      </c>
      <c r="C141" t="s">
        <v>295</v>
      </c>
      <c r="D141" t="s">
        <v>296</v>
      </c>
    </row>
    <row r="142" spans="1:4" x14ac:dyDescent="0.25">
      <c r="A142" t="s">
        <v>297</v>
      </c>
      <c r="B142" s="34">
        <f>'Scenario Parameters'!$B$44</f>
        <v>0.6</v>
      </c>
      <c r="C142" t="s">
        <v>245</v>
      </c>
      <c r="D142" t="s">
        <v>298</v>
      </c>
    </row>
    <row r="143" spans="1:4" x14ac:dyDescent="0.25">
      <c r="A143" t="s">
        <v>299</v>
      </c>
      <c r="B143" s="34">
        <f>'Scenario Parameters'!$B$45</f>
        <v>0.18</v>
      </c>
      <c r="C143" t="s">
        <v>300</v>
      </c>
      <c r="D143" t="s">
        <v>301</v>
      </c>
    </row>
    <row r="144" spans="1:4" x14ac:dyDescent="0.25">
      <c r="A144" t="s">
        <v>302</v>
      </c>
      <c r="B144" s="37">
        <f>'Scenario Parameters'!$B$46</f>
        <v>4</v>
      </c>
      <c r="C144" t="s">
        <v>303</v>
      </c>
      <c r="D144" t="s">
        <v>304</v>
      </c>
    </row>
    <row r="145" spans="1:4" x14ac:dyDescent="0.25">
      <c r="A145" t="s">
        <v>305</v>
      </c>
      <c r="B145" s="34">
        <f>'Scenario Parameters'!$B$47</f>
        <v>0.34</v>
      </c>
      <c r="C145" t="s">
        <v>306</v>
      </c>
      <c r="D145" t="s">
        <v>307</v>
      </c>
    </row>
    <row r="146" spans="1:4" x14ac:dyDescent="0.25">
      <c r="A146" t="s">
        <v>308</v>
      </c>
      <c r="B146" s="35">
        <f>'Scenario Parameters'!$B$48</f>
        <v>1.06</v>
      </c>
      <c r="C146" t="s">
        <v>309</v>
      </c>
      <c r="D146" t="s">
        <v>310</v>
      </c>
    </row>
    <row r="147" spans="1:4" x14ac:dyDescent="0.25">
      <c r="A147" t="s">
        <v>311</v>
      </c>
      <c r="B147" s="35">
        <f>'Scenario Parameters'!$B$49</f>
        <v>0.11</v>
      </c>
      <c r="C147" t="s">
        <v>309</v>
      </c>
      <c r="D147" t="s">
        <v>312</v>
      </c>
    </row>
    <row r="148" spans="1:4" x14ac:dyDescent="0.25">
      <c r="A148" t="s">
        <v>313</v>
      </c>
      <c r="B148" s="34">
        <f>'Scenario Parameters'!$B$50</f>
        <v>0.6</v>
      </c>
      <c r="C148" t="s">
        <v>245</v>
      </c>
      <c r="D148" t="s">
        <v>314</v>
      </c>
    </row>
    <row r="149" spans="1:4" x14ac:dyDescent="0.25">
      <c r="A149" t="s">
        <v>315</v>
      </c>
      <c r="B149" s="34">
        <f>'Scenario Parameters'!$B$51</f>
        <v>0.25</v>
      </c>
      <c r="C149" t="s">
        <v>245</v>
      </c>
      <c r="D149" t="s">
        <v>314</v>
      </c>
    </row>
    <row r="150" spans="1:4" x14ac:dyDescent="0.25">
      <c r="A150" t="s">
        <v>316</v>
      </c>
      <c r="B150" s="34">
        <f>'Scenario Parameters'!$B$52</f>
        <v>0.12</v>
      </c>
      <c r="C150" t="s">
        <v>245</v>
      </c>
      <c r="D150" t="s">
        <v>314</v>
      </c>
    </row>
    <row r="151" spans="1:4" x14ac:dyDescent="0.25">
      <c r="A151" t="s">
        <v>317</v>
      </c>
      <c r="B151" s="34">
        <f>'Scenario Parameters'!$B$53</f>
        <v>0.03</v>
      </c>
      <c r="C151" t="s">
        <v>245</v>
      </c>
      <c r="D151" t="s">
        <v>314</v>
      </c>
    </row>
    <row r="152" spans="1:4" x14ac:dyDescent="0.25">
      <c r="A152" t="s">
        <v>318</v>
      </c>
      <c r="B152" s="37">
        <f>'Scenario Parameters'!$B$54</f>
        <v>250</v>
      </c>
      <c r="C152" t="s">
        <v>63</v>
      </c>
      <c r="D152" t="s">
        <v>319</v>
      </c>
    </row>
    <row r="153" spans="1:4" x14ac:dyDescent="0.25">
      <c r="A153" t="s">
        <v>320</v>
      </c>
      <c r="B153" s="37">
        <f>'Scenario Parameters'!$B$55</f>
        <v>1000</v>
      </c>
      <c r="C153" t="s">
        <v>63</v>
      </c>
      <c r="D153" t="s">
        <v>319</v>
      </c>
    </row>
    <row r="154" spans="1:4" x14ac:dyDescent="0.25">
      <c r="A154" t="s">
        <v>321</v>
      </c>
      <c r="B154" s="37">
        <f>'Scenario Parameters'!$B$56</f>
        <v>2250</v>
      </c>
      <c r="C154" t="s">
        <v>63</v>
      </c>
      <c r="D154" t="s">
        <v>319</v>
      </c>
    </row>
    <row r="155" spans="1:4" x14ac:dyDescent="0.25">
      <c r="A155" t="s">
        <v>322</v>
      </c>
      <c r="B155" s="37">
        <f>'Scenario Parameters'!$B$57</f>
        <v>4000</v>
      </c>
      <c r="C155" t="s">
        <v>63</v>
      </c>
      <c r="D155" t="s">
        <v>319</v>
      </c>
    </row>
    <row r="156" spans="1:4" x14ac:dyDescent="0.25">
      <c r="A156" t="s">
        <v>323</v>
      </c>
      <c r="B156" s="34">
        <f>'Scenario Parameters'!$B$61</f>
        <v>0.5</v>
      </c>
      <c r="C156" t="s">
        <v>245</v>
      </c>
      <c r="D156" t="s">
        <v>324</v>
      </c>
    </row>
    <row r="157" spans="1:4" x14ac:dyDescent="0.25">
      <c r="A157" t="s">
        <v>325</v>
      </c>
      <c r="B157" s="35">
        <f>'Scenario Parameters'!$B$62</f>
        <v>0.42</v>
      </c>
      <c r="C157" t="s">
        <v>326</v>
      </c>
      <c r="D157" t="s">
        <v>327</v>
      </c>
    </row>
    <row r="158" spans="1:4" x14ac:dyDescent="0.25">
      <c r="A158" t="s">
        <v>328</v>
      </c>
      <c r="B158" s="35">
        <f>'Scenario Parameters'!$B$63</f>
        <v>2.1</v>
      </c>
      <c r="C158" t="s">
        <v>329</v>
      </c>
      <c r="D158" t="s">
        <v>330</v>
      </c>
    </row>
    <row r="159" spans="1:4" x14ac:dyDescent="0.25">
      <c r="A159" t="s">
        <v>331</v>
      </c>
      <c r="B159" s="34">
        <f>'Scenario Parameters'!$B$64</f>
        <v>0.15</v>
      </c>
      <c r="C159" t="s">
        <v>332</v>
      </c>
      <c r="D159" t="s">
        <v>333</v>
      </c>
    </row>
    <row r="160" spans="1:4" x14ac:dyDescent="0.25">
      <c r="A160" t="s">
        <v>334</v>
      </c>
      <c r="B160" s="34">
        <f>'Scenario Parameters'!$B$65</f>
        <v>0.25</v>
      </c>
      <c r="C160" t="s">
        <v>242</v>
      </c>
      <c r="D160" t="s">
        <v>335</v>
      </c>
    </row>
    <row r="161" spans="1:4" x14ac:dyDescent="0.25">
      <c r="A161" t="s">
        <v>336</v>
      </c>
      <c r="B161" s="35">
        <f>'Scenario Parameters'!$B$66</f>
        <v>2.5</v>
      </c>
      <c r="C161" t="s">
        <v>337</v>
      </c>
      <c r="D161" t="s">
        <v>338</v>
      </c>
    </row>
    <row r="162" spans="1:4" x14ac:dyDescent="0.25">
      <c r="A162" t="s">
        <v>339</v>
      </c>
      <c r="B162" s="33">
        <f>'Scenario Parameters'!$B$67</f>
        <v>7.1136289102987749E-2</v>
      </c>
      <c r="C162" t="s">
        <v>248</v>
      </c>
      <c r="D162" t="s">
        <v>340</v>
      </c>
    </row>
    <row r="163" spans="1:4" x14ac:dyDescent="0.25">
      <c r="A163" t="s">
        <v>341</v>
      </c>
      <c r="B163" s="37">
        <f>'Scenario Parameters'!$B$68</f>
        <v>0</v>
      </c>
      <c r="C163" t="s">
        <v>342</v>
      </c>
      <c r="D163" t="s">
        <v>343</v>
      </c>
    </row>
    <row r="164" spans="1:4" x14ac:dyDescent="0.25">
      <c r="A164" t="s">
        <v>344</v>
      </c>
      <c r="B164" s="37">
        <f>'Scenario Parameters'!$B$69</f>
        <v>1</v>
      </c>
      <c r="C164" t="s">
        <v>342</v>
      </c>
      <c r="D164" t="s">
        <v>343</v>
      </c>
    </row>
    <row r="165" spans="1:4" x14ac:dyDescent="0.25">
      <c r="A165" t="s">
        <v>345</v>
      </c>
      <c r="B165" s="37">
        <f>'Scenario Parameters'!$B$70</f>
        <v>3</v>
      </c>
      <c r="C165" t="s">
        <v>342</v>
      </c>
      <c r="D165" t="s">
        <v>343</v>
      </c>
    </row>
    <row r="166" spans="1:4" x14ac:dyDescent="0.25">
      <c r="A166" t="s">
        <v>346</v>
      </c>
      <c r="B166" s="37">
        <f>'Scenario Parameters'!$B$71</f>
        <v>5</v>
      </c>
      <c r="C166" t="s">
        <v>342</v>
      </c>
      <c r="D166" t="s">
        <v>343</v>
      </c>
    </row>
    <row r="167" spans="1:4" x14ac:dyDescent="0.25">
      <c r="A167" t="s">
        <v>347</v>
      </c>
      <c r="B167" s="37">
        <f>'Scenario Parameters'!$B$72</f>
        <v>7</v>
      </c>
      <c r="C167" t="s">
        <v>342</v>
      </c>
      <c r="D167" t="s">
        <v>343</v>
      </c>
    </row>
    <row r="168" spans="1:4" x14ac:dyDescent="0.25">
      <c r="A168" t="s">
        <v>348</v>
      </c>
      <c r="B168" s="37">
        <f>'Scenario Parameters'!$B$73</f>
        <v>9</v>
      </c>
      <c r="C168" t="s">
        <v>342</v>
      </c>
      <c r="D168" t="s">
        <v>343</v>
      </c>
    </row>
    <row r="169" spans="1:4" x14ac:dyDescent="0.25">
      <c r="A169" t="s">
        <v>349</v>
      </c>
      <c r="B169" s="37">
        <f>'Scenario Parameters'!$B$74</f>
        <v>11</v>
      </c>
      <c r="C169" t="s">
        <v>342</v>
      </c>
      <c r="D169" t="s">
        <v>343</v>
      </c>
    </row>
    <row r="170" spans="1:4" x14ac:dyDescent="0.25">
      <c r="A170" t="s">
        <v>350</v>
      </c>
      <c r="B170" s="33">
        <f>'Scenario Parameters'!$B$75</f>
        <v>7.4999999999999997E-3</v>
      </c>
      <c r="C170" t="s">
        <v>351</v>
      </c>
      <c r="D170" t="s">
        <v>352</v>
      </c>
    </row>
    <row r="171" spans="1:4" x14ac:dyDescent="0.25">
      <c r="A171" t="s">
        <v>353</v>
      </c>
      <c r="B171" s="37">
        <f>'Scenario Parameters'!$B$76</f>
        <v>900000</v>
      </c>
      <c r="C171" t="s">
        <v>354</v>
      </c>
      <c r="D171" t="s">
        <v>355</v>
      </c>
    </row>
    <row r="172" spans="1:4" x14ac:dyDescent="0.25">
      <c r="A172" t="s">
        <v>356</v>
      </c>
      <c r="B172" s="34">
        <f>'Scenario Parameters'!$B$77</f>
        <v>0.06</v>
      </c>
      <c r="C172" t="s">
        <v>357</v>
      </c>
      <c r="D172" t="s">
        <v>358</v>
      </c>
    </row>
    <row r="173" spans="1:4" x14ac:dyDescent="0.25">
      <c r="A173" t="s">
        <v>359</v>
      </c>
      <c r="B173" s="36">
        <f>'Scenario Parameters'!$B$78</f>
        <v>350</v>
      </c>
      <c r="C173" t="s">
        <v>114</v>
      </c>
      <c r="D173" t="s">
        <v>360</v>
      </c>
    </row>
    <row r="174" spans="1:4" x14ac:dyDescent="0.25">
      <c r="A174" t="s">
        <v>361</v>
      </c>
      <c r="B174" s="36">
        <f>'Scenario Parameters'!$B$79</f>
        <v>18900000</v>
      </c>
      <c r="C174" t="s">
        <v>114</v>
      </c>
      <c r="D174" t="s">
        <v>362</v>
      </c>
    </row>
    <row r="175" spans="1:4" x14ac:dyDescent="0.25">
      <c r="A175" t="s">
        <v>363</v>
      </c>
      <c r="B175" s="36">
        <f>'Scenario Parameters'!$B$83</f>
        <v>33.6</v>
      </c>
      <c r="C175" t="s">
        <v>108</v>
      </c>
      <c r="D175" t="s">
        <v>364</v>
      </c>
    </row>
    <row r="176" spans="1:4" x14ac:dyDescent="0.25">
      <c r="A176" t="s">
        <v>365</v>
      </c>
      <c r="B176" s="36">
        <f>'Scenario Parameters'!$B$84</f>
        <v>26</v>
      </c>
      <c r="C176" t="s">
        <v>108</v>
      </c>
      <c r="D176" t="s">
        <v>364</v>
      </c>
    </row>
    <row r="177" spans="1:4" x14ac:dyDescent="0.25">
      <c r="A177" t="s">
        <v>366</v>
      </c>
      <c r="B177" s="36">
        <f>'Scenario Parameters'!$B$85</f>
        <v>30</v>
      </c>
      <c r="C177" t="s">
        <v>108</v>
      </c>
      <c r="D177" t="s">
        <v>364</v>
      </c>
    </row>
    <row r="178" spans="1:4" x14ac:dyDescent="0.25">
      <c r="A178" t="s">
        <v>367</v>
      </c>
      <c r="B178" s="37">
        <f>'Scenario Parameters'!$B$89</f>
        <v>0</v>
      </c>
      <c r="C178" t="s">
        <v>368</v>
      </c>
      <c r="D178" t="s">
        <v>369</v>
      </c>
    </row>
    <row r="179" spans="1:4" x14ac:dyDescent="0.25">
      <c r="A179" t="s">
        <v>370</v>
      </c>
      <c r="B179" s="37">
        <f>'Scenario Parameters'!$B$90</f>
        <v>1</v>
      </c>
      <c r="C179" t="s">
        <v>368</v>
      </c>
      <c r="D179" t="s">
        <v>371</v>
      </c>
    </row>
    <row r="180" spans="1:4" x14ac:dyDescent="0.25">
      <c r="A180" s="9" t="s">
        <v>372</v>
      </c>
    </row>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0"/>
  <sheetViews>
    <sheetView showGridLines="0"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50" customWidth="1"/>
    <col min="2" max="2" width="15" customWidth="1"/>
    <col min="3" max="5" width="14" customWidth="1"/>
    <col min="6" max="6" width="24" customWidth="1"/>
    <col min="7" max="7" width="118" customWidth="1"/>
  </cols>
  <sheetData>
    <row r="1" spans="1:7" ht="22.5" x14ac:dyDescent="0.3">
      <c r="A1" s="10" t="str">
        <f>Cover!$B$2</f>
        <v>Aurumix Revenue Model</v>
      </c>
    </row>
    <row r="2" spans="1:7" ht="18" x14ac:dyDescent="0.25">
      <c r="A2" s="11" t="s">
        <v>373</v>
      </c>
    </row>
    <row r="4" spans="1:7" ht="18" customHeight="1" x14ac:dyDescent="0.25">
      <c r="A4" s="12" t="s">
        <v>374</v>
      </c>
      <c r="B4" s="13"/>
      <c r="C4" s="13"/>
      <c r="D4" s="13"/>
      <c r="E4" s="13"/>
    </row>
    <row r="6" spans="1:7" x14ac:dyDescent="0.25">
      <c r="A6" s="3" t="s">
        <v>375</v>
      </c>
      <c r="B6" s="38" t="s">
        <v>376</v>
      </c>
      <c r="C6">
        <f>IF($B$6="Base",1,IF($B$6="Aggressive",2,3))</f>
        <v>1</v>
      </c>
      <c r="D6" s="23" t="s">
        <v>377</v>
      </c>
      <c r="G6" s="9" t="s">
        <v>378</v>
      </c>
    </row>
    <row r="8" spans="1:7" ht="18" customHeight="1" x14ac:dyDescent="0.25">
      <c r="A8" s="12" t="s">
        <v>379</v>
      </c>
      <c r="B8" s="13"/>
      <c r="C8" s="13"/>
      <c r="D8" s="13"/>
      <c r="E8" s="13"/>
    </row>
    <row r="9" spans="1:7" x14ac:dyDescent="0.25">
      <c r="A9" s="14" t="s">
        <v>30</v>
      </c>
      <c r="B9" s="14" t="s">
        <v>380</v>
      </c>
      <c r="C9" s="14" t="s">
        <v>376</v>
      </c>
      <c r="D9" s="14" t="s">
        <v>381</v>
      </c>
      <c r="E9" s="14" t="s">
        <v>382</v>
      </c>
      <c r="F9" s="14" t="s">
        <v>32</v>
      </c>
    </row>
    <row r="10" spans="1:7" x14ac:dyDescent="0.25">
      <c r="A10" t="s">
        <v>241</v>
      </c>
      <c r="B10" s="39">
        <f>CHOOSE($C$6,C10,D10,E10)</f>
        <v>8.1000000000000003E-2</v>
      </c>
      <c r="C10" s="16">
        <v>8.1000000000000003E-2</v>
      </c>
      <c r="D10" s="16">
        <v>0.12</v>
      </c>
      <c r="E10" s="16">
        <v>0</v>
      </c>
      <c r="F10" s="23" t="s">
        <v>242</v>
      </c>
      <c r="G10" s="9" t="s">
        <v>243</v>
      </c>
    </row>
    <row r="12" spans="1:7" ht="18" customHeight="1" x14ac:dyDescent="0.25">
      <c r="A12" s="12" t="s">
        <v>383</v>
      </c>
      <c r="B12" s="13"/>
      <c r="C12" s="13"/>
      <c r="D12" s="13"/>
      <c r="E12" s="13"/>
    </row>
    <row r="13" spans="1:7" x14ac:dyDescent="0.25">
      <c r="A13" s="14" t="s">
        <v>30</v>
      </c>
      <c r="B13" s="14" t="s">
        <v>380</v>
      </c>
      <c r="C13" s="14" t="s">
        <v>376</v>
      </c>
      <c r="D13" s="14" t="s">
        <v>381</v>
      </c>
      <c r="E13" s="14" t="s">
        <v>382</v>
      </c>
      <c r="F13" s="14" t="s">
        <v>32</v>
      </c>
    </row>
    <row r="14" spans="1:7" x14ac:dyDescent="0.25">
      <c r="A14" t="s">
        <v>244</v>
      </c>
      <c r="B14" s="40">
        <f>CHOOSE($C$6,C14,D14,E14)</f>
        <v>0.55000000000000004</v>
      </c>
      <c r="C14" s="19">
        <v>0.55000000000000004</v>
      </c>
      <c r="D14" s="19">
        <v>0.65</v>
      </c>
      <c r="E14" s="19">
        <v>0.45</v>
      </c>
      <c r="F14" s="23" t="s">
        <v>245</v>
      </c>
      <c r="G14" s="9" t="s">
        <v>246</v>
      </c>
    </row>
    <row r="15" spans="1:7" x14ac:dyDescent="0.25">
      <c r="A15" t="s">
        <v>247</v>
      </c>
      <c r="B15" s="39">
        <f>1-'Scenario Parameters'!$B$14^(1/12)</f>
        <v>4.8599101001747691E-2</v>
      </c>
      <c r="F15" s="23" t="s">
        <v>248</v>
      </c>
      <c r="G15" s="9" t="s">
        <v>249</v>
      </c>
    </row>
    <row r="16" spans="1:7" x14ac:dyDescent="0.25">
      <c r="A16" t="s">
        <v>250</v>
      </c>
      <c r="B16" s="41">
        <f t="shared" ref="B16:B26" si="0">CHOOSE($C$6,C16,D16,E16)</f>
        <v>6</v>
      </c>
      <c r="C16" s="15">
        <v>6</v>
      </c>
      <c r="D16" s="15">
        <v>8</v>
      </c>
      <c r="E16" s="15">
        <v>3</v>
      </c>
      <c r="F16" s="23" t="s">
        <v>251</v>
      </c>
      <c r="G16" s="9" t="s">
        <v>252</v>
      </c>
    </row>
    <row r="17" spans="1:7" x14ac:dyDescent="0.25">
      <c r="A17" t="s">
        <v>253</v>
      </c>
      <c r="B17" s="42">
        <f t="shared" si="0"/>
        <v>85</v>
      </c>
      <c r="C17" s="20">
        <v>85</v>
      </c>
      <c r="D17" s="20">
        <v>55</v>
      </c>
      <c r="E17" s="20">
        <v>140</v>
      </c>
      <c r="F17" s="23" t="s">
        <v>254</v>
      </c>
      <c r="G17" s="9" t="s">
        <v>255</v>
      </c>
    </row>
    <row r="18" spans="1:7" x14ac:dyDescent="0.25">
      <c r="A18" t="s">
        <v>256</v>
      </c>
      <c r="B18" s="42">
        <f t="shared" si="0"/>
        <v>75</v>
      </c>
      <c r="C18" s="20">
        <v>75</v>
      </c>
      <c r="D18" s="20">
        <v>50</v>
      </c>
      <c r="E18" s="20">
        <v>125</v>
      </c>
      <c r="F18" s="23" t="s">
        <v>254</v>
      </c>
      <c r="G18" s="9" t="s">
        <v>255</v>
      </c>
    </row>
    <row r="19" spans="1:7" x14ac:dyDescent="0.25">
      <c r="A19" t="s">
        <v>257</v>
      </c>
      <c r="B19" s="42">
        <f t="shared" si="0"/>
        <v>15</v>
      </c>
      <c r="C19" s="20">
        <v>15</v>
      </c>
      <c r="D19" s="20">
        <v>9</v>
      </c>
      <c r="E19" s="20">
        <v>26</v>
      </c>
      <c r="F19" s="23" t="s">
        <v>254</v>
      </c>
      <c r="G19" s="9" t="s">
        <v>255</v>
      </c>
    </row>
    <row r="20" spans="1:7" x14ac:dyDescent="0.25">
      <c r="A20" t="s">
        <v>258</v>
      </c>
      <c r="B20" s="40">
        <f t="shared" si="0"/>
        <v>0.57999999999999996</v>
      </c>
      <c r="C20" s="19">
        <v>0.57999999999999996</v>
      </c>
      <c r="D20" s="19">
        <v>0.57999999999999996</v>
      </c>
      <c r="E20" s="19">
        <v>0.57999999999999996</v>
      </c>
      <c r="F20" s="23" t="s">
        <v>259</v>
      </c>
      <c r="G20" s="9" t="s">
        <v>260</v>
      </c>
    </row>
    <row r="21" spans="1:7" x14ac:dyDescent="0.25">
      <c r="A21" t="s">
        <v>261</v>
      </c>
      <c r="B21" s="40">
        <f t="shared" si="0"/>
        <v>0.16</v>
      </c>
      <c r="C21" s="19">
        <v>0.16</v>
      </c>
      <c r="D21" s="19">
        <v>0.16</v>
      </c>
      <c r="E21" s="19">
        <v>0.16</v>
      </c>
      <c r="F21" s="23" t="s">
        <v>259</v>
      </c>
      <c r="G21" s="9" t="s">
        <v>260</v>
      </c>
    </row>
    <row r="22" spans="1:7" x14ac:dyDescent="0.25">
      <c r="A22" t="s">
        <v>262</v>
      </c>
      <c r="B22" s="40">
        <f t="shared" si="0"/>
        <v>0.26</v>
      </c>
      <c r="C22" s="19">
        <v>0.26</v>
      </c>
      <c r="D22" s="19">
        <v>0.26</v>
      </c>
      <c r="E22" s="19">
        <v>0.26</v>
      </c>
      <c r="F22" s="23" t="s">
        <v>259</v>
      </c>
      <c r="G22" s="9" t="s">
        <v>260</v>
      </c>
    </row>
    <row r="23" spans="1:7" x14ac:dyDescent="0.25">
      <c r="A23" t="s">
        <v>263</v>
      </c>
      <c r="B23" s="41">
        <f t="shared" si="0"/>
        <v>0.6</v>
      </c>
      <c r="C23" s="15">
        <v>0.6</v>
      </c>
      <c r="D23" s="15">
        <v>1.1000000000000001</v>
      </c>
      <c r="E23" s="15">
        <v>0.25</v>
      </c>
      <c r="F23" s="23" t="s">
        <v>264</v>
      </c>
      <c r="G23" s="9" t="s">
        <v>265</v>
      </c>
    </row>
    <row r="24" spans="1:7" x14ac:dyDescent="0.25">
      <c r="A24" t="s">
        <v>266</v>
      </c>
      <c r="B24" s="40">
        <f t="shared" si="0"/>
        <v>0.62</v>
      </c>
      <c r="C24" s="19">
        <v>0.62</v>
      </c>
      <c r="D24" s="19">
        <v>0.72</v>
      </c>
      <c r="E24" s="19">
        <v>0.48</v>
      </c>
      <c r="F24" s="23" t="s">
        <v>245</v>
      </c>
      <c r="G24" s="9" t="s">
        <v>267</v>
      </c>
    </row>
    <row r="25" spans="1:7" x14ac:dyDescent="0.25">
      <c r="A25" t="s">
        <v>268</v>
      </c>
      <c r="B25" s="40">
        <f t="shared" si="0"/>
        <v>0.25</v>
      </c>
      <c r="C25" s="19">
        <v>0.25</v>
      </c>
      <c r="D25" s="19">
        <v>0.4</v>
      </c>
      <c r="E25" s="19">
        <v>0.1</v>
      </c>
      <c r="F25" s="23" t="s">
        <v>269</v>
      </c>
      <c r="G25" s="9" t="s">
        <v>270</v>
      </c>
    </row>
    <row r="26" spans="1:7" x14ac:dyDescent="0.25">
      <c r="A26" t="s">
        <v>271</v>
      </c>
      <c r="B26" s="41">
        <f t="shared" si="0"/>
        <v>1</v>
      </c>
      <c r="C26" s="15">
        <v>1</v>
      </c>
      <c r="D26" s="15">
        <v>1.4</v>
      </c>
      <c r="E26" s="15">
        <v>0.6</v>
      </c>
      <c r="F26" s="23" t="s">
        <v>272</v>
      </c>
      <c r="G26" s="9" t="s">
        <v>273</v>
      </c>
    </row>
    <row r="28" spans="1:7" ht="18" customHeight="1" x14ac:dyDescent="0.25">
      <c r="A28" s="12" t="s">
        <v>384</v>
      </c>
      <c r="B28" s="13"/>
      <c r="C28" s="13"/>
      <c r="D28" s="13"/>
      <c r="E28" s="13"/>
    </row>
    <row r="29" spans="1:7" x14ac:dyDescent="0.25">
      <c r="A29" s="14" t="s">
        <v>30</v>
      </c>
      <c r="B29" s="14" t="s">
        <v>380</v>
      </c>
      <c r="C29" s="14" t="s">
        <v>376</v>
      </c>
      <c r="D29" s="14" t="s">
        <v>381</v>
      </c>
      <c r="E29" s="14" t="s">
        <v>382</v>
      </c>
      <c r="F29" s="14" t="s">
        <v>32</v>
      </c>
    </row>
    <row r="30" spans="1:7" x14ac:dyDescent="0.25">
      <c r="A30" t="s">
        <v>274</v>
      </c>
      <c r="B30" s="40">
        <f>CHOOSE($C$6,C30,D30,E30)</f>
        <v>0.55000000000000004</v>
      </c>
      <c r="C30" s="19">
        <v>0.55000000000000004</v>
      </c>
      <c r="D30" s="19">
        <v>0.65</v>
      </c>
      <c r="E30" s="19">
        <v>0.45</v>
      </c>
      <c r="F30" s="23" t="s">
        <v>275</v>
      </c>
      <c r="G30" s="9" t="s">
        <v>276</v>
      </c>
    </row>
    <row r="31" spans="1:7" x14ac:dyDescent="0.25">
      <c r="A31" t="s">
        <v>277</v>
      </c>
      <c r="B31" s="31">
        <f>CHOOSE($C$6,C31,D31,E31)</f>
        <v>8</v>
      </c>
      <c r="C31" s="17">
        <v>8</v>
      </c>
      <c r="D31" s="17">
        <v>6</v>
      </c>
      <c r="E31" s="17">
        <v>11</v>
      </c>
      <c r="F31" s="23" t="s">
        <v>278</v>
      </c>
      <c r="G31" s="9" t="s">
        <v>279</v>
      </c>
    </row>
    <row r="33" spans="1:7" ht="18" customHeight="1" x14ac:dyDescent="0.25">
      <c r="A33" s="12" t="s">
        <v>385</v>
      </c>
      <c r="B33" s="13"/>
      <c r="C33" s="13"/>
      <c r="D33" s="13"/>
      <c r="E33" s="13"/>
    </row>
    <row r="34" spans="1:7" x14ac:dyDescent="0.25">
      <c r="A34" s="14" t="s">
        <v>30</v>
      </c>
      <c r="B34" s="14" t="s">
        <v>380</v>
      </c>
      <c r="C34" s="14" t="s">
        <v>376</v>
      </c>
      <c r="D34" s="14" t="s">
        <v>381</v>
      </c>
      <c r="E34" s="14" t="s">
        <v>382</v>
      </c>
      <c r="F34" s="14" t="s">
        <v>32</v>
      </c>
    </row>
    <row r="35" spans="1:7" x14ac:dyDescent="0.25">
      <c r="A35" t="s">
        <v>280</v>
      </c>
      <c r="B35" s="40">
        <f t="shared" ref="B35:B40" si="1">CHOOSE($C$6,C35,D35,E35)</f>
        <v>0.06</v>
      </c>
      <c r="C35" s="19">
        <v>0.06</v>
      </c>
      <c r="D35" s="19">
        <v>0.03</v>
      </c>
      <c r="E35" s="19">
        <v>0.18</v>
      </c>
      <c r="F35" s="23" t="s">
        <v>281</v>
      </c>
      <c r="G35" s="9" t="s">
        <v>282</v>
      </c>
    </row>
    <row r="36" spans="1:7" x14ac:dyDescent="0.25">
      <c r="A36" t="s">
        <v>283</v>
      </c>
      <c r="B36" s="40">
        <f t="shared" si="1"/>
        <v>0.06</v>
      </c>
      <c r="C36" s="19">
        <v>0.06</v>
      </c>
      <c r="D36" s="19">
        <v>3.5000000000000003E-2</v>
      </c>
      <c r="E36" s="19">
        <v>0.12</v>
      </c>
      <c r="F36" s="23" t="s">
        <v>281</v>
      </c>
      <c r="G36" s="9" t="s">
        <v>284</v>
      </c>
    </row>
    <row r="37" spans="1:7" x14ac:dyDescent="0.25">
      <c r="A37" t="s">
        <v>285</v>
      </c>
      <c r="B37" s="41">
        <f t="shared" si="1"/>
        <v>1.6</v>
      </c>
      <c r="C37" s="15">
        <v>1.6</v>
      </c>
      <c r="D37" s="15">
        <v>1.3</v>
      </c>
      <c r="E37" s="15">
        <v>2.8</v>
      </c>
      <c r="F37" s="23" t="s">
        <v>286</v>
      </c>
      <c r="G37" s="9" t="s">
        <v>287</v>
      </c>
    </row>
    <row r="38" spans="1:7" x14ac:dyDescent="0.25">
      <c r="A38" t="s">
        <v>288</v>
      </c>
      <c r="B38" s="41">
        <f t="shared" si="1"/>
        <v>1</v>
      </c>
      <c r="C38" s="15">
        <v>1</v>
      </c>
      <c r="D38" s="15">
        <v>1.7</v>
      </c>
      <c r="E38" s="15">
        <v>0.5</v>
      </c>
      <c r="F38" s="23" t="s">
        <v>289</v>
      </c>
      <c r="G38" s="9" t="s">
        <v>290</v>
      </c>
    </row>
    <row r="39" spans="1:7" x14ac:dyDescent="0.25">
      <c r="A39" t="s">
        <v>291</v>
      </c>
      <c r="B39" s="41">
        <f t="shared" si="1"/>
        <v>1</v>
      </c>
      <c r="C39" s="15">
        <v>1</v>
      </c>
      <c r="D39" s="15">
        <v>1.35</v>
      </c>
      <c r="E39" s="15">
        <v>0.7</v>
      </c>
      <c r="F39" s="23" t="s">
        <v>292</v>
      </c>
      <c r="G39" s="9" t="s">
        <v>293</v>
      </c>
    </row>
    <row r="40" spans="1:7" x14ac:dyDescent="0.25">
      <c r="A40" t="s">
        <v>294</v>
      </c>
      <c r="B40" s="41">
        <f t="shared" si="1"/>
        <v>1.7</v>
      </c>
      <c r="C40" s="15">
        <v>1.7</v>
      </c>
      <c r="D40" s="15">
        <v>2.4</v>
      </c>
      <c r="E40" s="15">
        <v>1.2</v>
      </c>
      <c r="F40" s="23" t="s">
        <v>295</v>
      </c>
      <c r="G40" s="9" t="s">
        <v>296</v>
      </c>
    </row>
    <row r="42" spans="1:7" ht="18" customHeight="1" x14ac:dyDescent="0.25">
      <c r="A42" s="12" t="s">
        <v>386</v>
      </c>
      <c r="B42" s="13"/>
      <c r="C42" s="13"/>
      <c r="D42" s="13"/>
      <c r="E42" s="13"/>
    </row>
    <row r="43" spans="1:7" x14ac:dyDescent="0.25">
      <c r="A43" s="14" t="s">
        <v>30</v>
      </c>
      <c r="B43" s="14" t="s">
        <v>380</v>
      </c>
      <c r="C43" s="14" t="s">
        <v>376</v>
      </c>
      <c r="D43" s="14" t="s">
        <v>381</v>
      </c>
      <c r="E43" s="14" t="s">
        <v>382</v>
      </c>
      <c r="F43" s="14" t="s">
        <v>32</v>
      </c>
    </row>
    <row r="44" spans="1:7" x14ac:dyDescent="0.25">
      <c r="A44" t="s">
        <v>297</v>
      </c>
      <c r="B44" s="40">
        <f t="shared" ref="B44:B57" si="2">CHOOSE($C$6,C44,D44,E44)</f>
        <v>0.6</v>
      </c>
      <c r="C44" s="19">
        <v>0.6</v>
      </c>
      <c r="D44" s="19">
        <v>0.36</v>
      </c>
      <c r="E44" s="19">
        <v>0.85</v>
      </c>
      <c r="F44" s="23" t="s">
        <v>245</v>
      </c>
      <c r="G44" s="9" t="s">
        <v>298</v>
      </c>
    </row>
    <row r="45" spans="1:7" x14ac:dyDescent="0.25">
      <c r="A45" t="s">
        <v>299</v>
      </c>
      <c r="B45" s="40">
        <f t="shared" si="2"/>
        <v>0.18</v>
      </c>
      <c r="C45" s="19">
        <v>0.18</v>
      </c>
      <c r="D45" s="19">
        <v>0.3</v>
      </c>
      <c r="E45" s="19">
        <v>0.08</v>
      </c>
      <c r="F45" s="23" t="s">
        <v>300</v>
      </c>
      <c r="G45" s="9" t="s">
        <v>301</v>
      </c>
    </row>
    <row r="46" spans="1:7" x14ac:dyDescent="0.25">
      <c r="A46" t="s">
        <v>302</v>
      </c>
      <c r="B46" s="31">
        <f t="shared" si="2"/>
        <v>4</v>
      </c>
      <c r="C46" s="17">
        <v>4</v>
      </c>
      <c r="D46" s="17">
        <v>6</v>
      </c>
      <c r="E46" s="17">
        <v>2</v>
      </c>
      <c r="F46" s="23" t="s">
        <v>303</v>
      </c>
      <c r="G46" s="9" t="s">
        <v>304</v>
      </c>
    </row>
    <row r="47" spans="1:7" x14ac:dyDescent="0.25">
      <c r="A47" t="s">
        <v>305</v>
      </c>
      <c r="B47" s="40">
        <f t="shared" si="2"/>
        <v>0.34</v>
      </c>
      <c r="C47" s="19">
        <v>0.34</v>
      </c>
      <c r="D47" s="19">
        <v>0.45</v>
      </c>
      <c r="E47" s="19">
        <v>0.24</v>
      </c>
      <c r="F47" s="23" t="s">
        <v>306</v>
      </c>
      <c r="G47" s="9" t="s">
        <v>307</v>
      </c>
    </row>
    <row r="48" spans="1:7" x14ac:dyDescent="0.25">
      <c r="A48" t="s">
        <v>308</v>
      </c>
      <c r="B48" s="41">
        <f t="shared" si="2"/>
        <v>1.06</v>
      </c>
      <c r="C48" s="15">
        <v>1.06</v>
      </c>
      <c r="D48" s="15">
        <v>1.04</v>
      </c>
      <c r="E48" s="15">
        <v>1.1000000000000001</v>
      </c>
      <c r="F48" s="23" t="s">
        <v>309</v>
      </c>
      <c r="G48" s="9" t="s">
        <v>310</v>
      </c>
    </row>
    <row r="49" spans="1:7" x14ac:dyDescent="0.25">
      <c r="A49" t="s">
        <v>311</v>
      </c>
      <c r="B49" s="41">
        <f t="shared" si="2"/>
        <v>0.11</v>
      </c>
      <c r="C49" s="15">
        <v>0.11</v>
      </c>
      <c r="D49" s="15">
        <v>7.0000000000000007E-2</v>
      </c>
      <c r="E49" s="15">
        <v>0.18</v>
      </c>
      <c r="F49" s="23" t="s">
        <v>309</v>
      </c>
      <c r="G49" s="9" t="s">
        <v>312</v>
      </c>
    </row>
    <row r="50" spans="1:7" x14ac:dyDescent="0.25">
      <c r="A50" t="s">
        <v>313</v>
      </c>
      <c r="B50" s="40">
        <f t="shared" si="2"/>
        <v>0.6</v>
      </c>
      <c r="C50" s="19">
        <v>0.6</v>
      </c>
      <c r="D50" s="19">
        <v>0.42</v>
      </c>
      <c r="E50" s="19">
        <v>0.74</v>
      </c>
      <c r="F50" s="23" t="s">
        <v>245</v>
      </c>
      <c r="G50" s="9" t="s">
        <v>314</v>
      </c>
    </row>
    <row r="51" spans="1:7" x14ac:dyDescent="0.25">
      <c r="A51" t="s">
        <v>315</v>
      </c>
      <c r="B51" s="40">
        <f t="shared" si="2"/>
        <v>0.25</v>
      </c>
      <c r="C51" s="19">
        <v>0.25</v>
      </c>
      <c r="D51" s="19">
        <v>0.3</v>
      </c>
      <c r="E51" s="19">
        <v>0.18</v>
      </c>
      <c r="F51" s="23" t="s">
        <v>245</v>
      </c>
      <c r="G51" s="9" t="s">
        <v>314</v>
      </c>
    </row>
    <row r="52" spans="1:7" x14ac:dyDescent="0.25">
      <c r="A52" t="s">
        <v>316</v>
      </c>
      <c r="B52" s="40">
        <f t="shared" si="2"/>
        <v>0.12</v>
      </c>
      <c r="C52" s="19">
        <v>0.12</v>
      </c>
      <c r="D52" s="19">
        <v>0.2</v>
      </c>
      <c r="E52" s="19">
        <v>0.06</v>
      </c>
      <c r="F52" s="23" t="s">
        <v>245</v>
      </c>
      <c r="G52" s="9" t="s">
        <v>314</v>
      </c>
    </row>
    <row r="53" spans="1:7" x14ac:dyDescent="0.25">
      <c r="A53" t="s">
        <v>317</v>
      </c>
      <c r="B53" s="40">
        <f t="shared" si="2"/>
        <v>0.03</v>
      </c>
      <c r="C53" s="19">
        <v>0.03</v>
      </c>
      <c r="D53" s="19">
        <v>0.08</v>
      </c>
      <c r="E53" s="19">
        <v>0.02</v>
      </c>
      <c r="F53" s="23" t="s">
        <v>245</v>
      </c>
      <c r="G53" s="9" t="s">
        <v>314</v>
      </c>
    </row>
    <row r="54" spans="1:7" x14ac:dyDescent="0.25">
      <c r="A54" t="s">
        <v>318</v>
      </c>
      <c r="B54" s="31">
        <f t="shared" si="2"/>
        <v>250</v>
      </c>
      <c r="C54" s="17">
        <v>250</v>
      </c>
      <c r="D54" s="17">
        <v>300</v>
      </c>
      <c r="E54" s="17">
        <v>200</v>
      </c>
      <c r="F54" s="23" t="s">
        <v>63</v>
      </c>
      <c r="G54" s="9" t="s">
        <v>319</v>
      </c>
    </row>
    <row r="55" spans="1:7" x14ac:dyDescent="0.25">
      <c r="A55" t="s">
        <v>320</v>
      </c>
      <c r="B55" s="31">
        <f t="shared" si="2"/>
        <v>1000</v>
      </c>
      <c r="C55" s="17">
        <v>1000</v>
      </c>
      <c r="D55" s="17">
        <v>1100</v>
      </c>
      <c r="E55" s="17">
        <v>900</v>
      </c>
      <c r="F55" s="23" t="s">
        <v>63</v>
      </c>
      <c r="G55" s="9" t="s">
        <v>319</v>
      </c>
    </row>
    <row r="56" spans="1:7" x14ac:dyDescent="0.25">
      <c r="A56" t="s">
        <v>321</v>
      </c>
      <c r="B56" s="31">
        <f t="shared" si="2"/>
        <v>2250</v>
      </c>
      <c r="C56" s="17">
        <v>2250</v>
      </c>
      <c r="D56" s="17">
        <v>2400</v>
      </c>
      <c r="E56" s="17">
        <v>2100</v>
      </c>
      <c r="F56" s="23" t="s">
        <v>63</v>
      </c>
      <c r="G56" s="9" t="s">
        <v>319</v>
      </c>
    </row>
    <row r="57" spans="1:7" x14ac:dyDescent="0.25">
      <c r="A57" t="s">
        <v>322</v>
      </c>
      <c r="B57" s="31">
        <f t="shared" si="2"/>
        <v>4000</v>
      </c>
      <c r="C57" s="17">
        <v>4000</v>
      </c>
      <c r="D57" s="17">
        <v>4500</v>
      </c>
      <c r="E57" s="17">
        <v>3600</v>
      </c>
      <c r="F57" s="23" t="s">
        <v>63</v>
      </c>
      <c r="G57" s="9" t="s">
        <v>319</v>
      </c>
    </row>
    <row r="59" spans="1:7" ht="18" customHeight="1" x14ac:dyDescent="0.25">
      <c r="A59" s="12" t="s">
        <v>387</v>
      </c>
      <c r="B59" s="13"/>
      <c r="C59" s="13"/>
      <c r="D59" s="13"/>
      <c r="E59" s="13"/>
    </row>
    <row r="60" spans="1:7" x14ac:dyDescent="0.25">
      <c r="A60" s="14" t="s">
        <v>30</v>
      </c>
      <c r="B60" s="14" t="s">
        <v>380</v>
      </c>
      <c r="C60" s="14" t="s">
        <v>376</v>
      </c>
      <c r="D60" s="14" t="s">
        <v>381</v>
      </c>
      <c r="E60" s="14" t="s">
        <v>382</v>
      </c>
      <c r="F60" s="14" t="s">
        <v>32</v>
      </c>
    </row>
    <row r="61" spans="1:7" x14ac:dyDescent="0.25">
      <c r="A61" t="s">
        <v>323</v>
      </c>
      <c r="B61" s="40">
        <f t="shared" ref="B61:B66" si="3">CHOOSE($C$6,C61,D61,E61)</f>
        <v>0.5</v>
      </c>
      <c r="C61" s="19">
        <v>0.5</v>
      </c>
      <c r="D61" s="19">
        <v>0.7</v>
      </c>
      <c r="E61" s="19">
        <v>0.3</v>
      </c>
      <c r="F61" s="23" t="s">
        <v>245</v>
      </c>
      <c r="G61" s="9" t="s">
        <v>324</v>
      </c>
    </row>
    <row r="62" spans="1:7" x14ac:dyDescent="0.25">
      <c r="A62" t="s">
        <v>325</v>
      </c>
      <c r="B62" s="41">
        <f t="shared" si="3"/>
        <v>0.42</v>
      </c>
      <c r="C62" s="15">
        <v>0.42</v>
      </c>
      <c r="D62" s="15">
        <v>0.55000000000000004</v>
      </c>
      <c r="E62" s="15">
        <v>0.3</v>
      </c>
      <c r="F62" s="23" t="s">
        <v>326</v>
      </c>
      <c r="G62" s="9" t="s">
        <v>327</v>
      </c>
    </row>
    <row r="63" spans="1:7" x14ac:dyDescent="0.25">
      <c r="A63" t="s">
        <v>328</v>
      </c>
      <c r="B63" s="41">
        <f t="shared" si="3"/>
        <v>2.1</v>
      </c>
      <c r="C63" s="15">
        <v>2.1</v>
      </c>
      <c r="D63" s="15">
        <v>3.2</v>
      </c>
      <c r="E63" s="15">
        <v>1.3</v>
      </c>
      <c r="F63" s="23" t="s">
        <v>329</v>
      </c>
      <c r="G63" s="9" t="s">
        <v>330</v>
      </c>
    </row>
    <row r="64" spans="1:7" x14ac:dyDescent="0.25">
      <c r="A64" t="s">
        <v>331</v>
      </c>
      <c r="B64" s="40">
        <f t="shared" si="3"/>
        <v>0.15</v>
      </c>
      <c r="C64" s="19">
        <v>0.15</v>
      </c>
      <c r="D64" s="19">
        <v>0.25</v>
      </c>
      <c r="E64" s="19">
        <v>0.08</v>
      </c>
      <c r="F64" s="23" t="s">
        <v>332</v>
      </c>
      <c r="G64" s="9" t="s">
        <v>333</v>
      </c>
    </row>
    <row r="65" spans="1:7" x14ac:dyDescent="0.25">
      <c r="A65" t="s">
        <v>334</v>
      </c>
      <c r="B65" s="40">
        <f t="shared" si="3"/>
        <v>0.25</v>
      </c>
      <c r="C65" s="19">
        <v>0.25</v>
      </c>
      <c r="D65" s="19">
        <v>0.15</v>
      </c>
      <c r="E65" s="19">
        <v>0.4</v>
      </c>
      <c r="F65" s="23" t="s">
        <v>242</v>
      </c>
      <c r="G65" s="9" t="s">
        <v>335</v>
      </c>
    </row>
    <row r="66" spans="1:7" x14ac:dyDescent="0.25">
      <c r="A66" t="s">
        <v>336</v>
      </c>
      <c r="B66" s="41">
        <f t="shared" si="3"/>
        <v>2.5</v>
      </c>
      <c r="C66" s="15">
        <v>2.5</v>
      </c>
      <c r="D66" s="15">
        <v>3.5</v>
      </c>
      <c r="E66" s="15">
        <v>1.6</v>
      </c>
      <c r="F66" s="23" t="s">
        <v>337</v>
      </c>
      <c r="G66" s="9" t="s">
        <v>338</v>
      </c>
    </row>
    <row r="67" spans="1:7" x14ac:dyDescent="0.25">
      <c r="A67" t="s">
        <v>339</v>
      </c>
      <c r="B67" s="39">
        <f>1-(1-'Scenario Parameters'!$B$15)*(1-'Scenario Parameters'!$B$65)^(1/12)</f>
        <v>7.1136289102987749E-2</v>
      </c>
      <c r="F67" s="23" t="s">
        <v>248</v>
      </c>
      <c r="G67" s="9" t="s">
        <v>340</v>
      </c>
    </row>
    <row r="68" spans="1:7" x14ac:dyDescent="0.25">
      <c r="A68" t="s">
        <v>341</v>
      </c>
      <c r="B68" s="31">
        <f t="shared" ref="B68:B78" si="4">CHOOSE($C$6,C68,D68,E68)</f>
        <v>0</v>
      </c>
      <c r="C68" s="17">
        <v>0</v>
      </c>
      <c r="D68" s="17">
        <v>0</v>
      </c>
      <c r="E68" s="17">
        <v>0</v>
      </c>
      <c r="F68" s="23" t="s">
        <v>342</v>
      </c>
      <c r="G68" s="9" t="s">
        <v>343</v>
      </c>
    </row>
    <row r="69" spans="1:7" x14ac:dyDescent="0.25">
      <c r="A69" t="s">
        <v>344</v>
      </c>
      <c r="B69" s="31">
        <f t="shared" si="4"/>
        <v>1</v>
      </c>
      <c r="C69" s="17">
        <v>1</v>
      </c>
      <c r="D69" s="17">
        <v>2</v>
      </c>
      <c r="E69" s="17">
        <v>1</v>
      </c>
      <c r="F69" s="23" t="s">
        <v>342</v>
      </c>
      <c r="G69" s="9" t="s">
        <v>343</v>
      </c>
    </row>
    <row r="70" spans="1:7" x14ac:dyDescent="0.25">
      <c r="A70" t="s">
        <v>345</v>
      </c>
      <c r="B70" s="31">
        <f t="shared" si="4"/>
        <v>3</v>
      </c>
      <c r="C70" s="17">
        <v>3</v>
      </c>
      <c r="D70" s="17">
        <v>5</v>
      </c>
      <c r="E70" s="17">
        <v>1</v>
      </c>
      <c r="F70" s="23" t="s">
        <v>342</v>
      </c>
      <c r="G70" s="9" t="s">
        <v>343</v>
      </c>
    </row>
    <row r="71" spans="1:7" x14ac:dyDescent="0.25">
      <c r="A71" t="s">
        <v>346</v>
      </c>
      <c r="B71" s="31">
        <f t="shared" si="4"/>
        <v>5</v>
      </c>
      <c r="C71" s="17">
        <v>5</v>
      </c>
      <c r="D71" s="17">
        <v>8</v>
      </c>
      <c r="E71" s="17">
        <v>2</v>
      </c>
      <c r="F71" s="23" t="s">
        <v>342</v>
      </c>
      <c r="G71" s="9" t="s">
        <v>343</v>
      </c>
    </row>
    <row r="72" spans="1:7" x14ac:dyDescent="0.25">
      <c r="A72" t="s">
        <v>347</v>
      </c>
      <c r="B72" s="31">
        <f t="shared" si="4"/>
        <v>7</v>
      </c>
      <c r="C72" s="17">
        <v>7</v>
      </c>
      <c r="D72" s="17">
        <v>11</v>
      </c>
      <c r="E72" s="17">
        <v>3</v>
      </c>
      <c r="F72" s="23" t="s">
        <v>342</v>
      </c>
      <c r="G72" s="9" t="s">
        <v>343</v>
      </c>
    </row>
    <row r="73" spans="1:7" x14ac:dyDescent="0.25">
      <c r="A73" t="s">
        <v>348</v>
      </c>
      <c r="B73" s="31">
        <f t="shared" si="4"/>
        <v>9</v>
      </c>
      <c r="C73" s="17">
        <v>9</v>
      </c>
      <c r="D73" s="17">
        <v>14</v>
      </c>
      <c r="E73" s="17">
        <v>4</v>
      </c>
      <c r="F73" s="23" t="s">
        <v>342</v>
      </c>
      <c r="G73" s="9" t="s">
        <v>343</v>
      </c>
    </row>
    <row r="74" spans="1:7" x14ac:dyDescent="0.25">
      <c r="A74" t="s">
        <v>349</v>
      </c>
      <c r="B74" s="31">
        <f t="shared" si="4"/>
        <v>11</v>
      </c>
      <c r="C74" s="17">
        <v>11</v>
      </c>
      <c r="D74" s="17">
        <v>17</v>
      </c>
      <c r="E74" s="17">
        <v>5</v>
      </c>
      <c r="F74" s="23" t="s">
        <v>342</v>
      </c>
      <c r="G74" s="9" t="s">
        <v>343</v>
      </c>
    </row>
    <row r="75" spans="1:7" x14ac:dyDescent="0.25">
      <c r="A75" t="s">
        <v>350</v>
      </c>
      <c r="B75" s="39">
        <f t="shared" si="4"/>
        <v>7.4999999999999997E-3</v>
      </c>
      <c r="C75" s="16">
        <v>7.4999999999999997E-3</v>
      </c>
      <c r="D75" s="16">
        <v>8.9999999999999993E-3</v>
      </c>
      <c r="E75" s="16">
        <v>5.0000000000000001E-3</v>
      </c>
      <c r="F75" s="23" t="s">
        <v>351</v>
      </c>
      <c r="G75" s="9" t="s">
        <v>352</v>
      </c>
    </row>
    <row r="76" spans="1:7" x14ac:dyDescent="0.25">
      <c r="A76" t="s">
        <v>353</v>
      </c>
      <c r="B76" s="31">
        <f t="shared" si="4"/>
        <v>900000</v>
      </c>
      <c r="C76" s="17">
        <v>900000</v>
      </c>
      <c r="D76" s="17">
        <v>1400000</v>
      </c>
      <c r="E76" s="17">
        <v>500000</v>
      </c>
      <c r="F76" s="23" t="s">
        <v>354</v>
      </c>
      <c r="G76" s="9" t="s">
        <v>355</v>
      </c>
    </row>
    <row r="77" spans="1:7" x14ac:dyDescent="0.25">
      <c r="A77" t="s">
        <v>356</v>
      </c>
      <c r="B77" s="40">
        <f t="shared" si="4"/>
        <v>0.06</v>
      </c>
      <c r="C77" s="19">
        <v>0.06</v>
      </c>
      <c r="D77" s="19">
        <v>0.1</v>
      </c>
      <c r="E77" s="19">
        <v>0.03</v>
      </c>
      <c r="F77" s="23" t="s">
        <v>357</v>
      </c>
      <c r="G77" s="9" t="s">
        <v>358</v>
      </c>
    </row>
    <row r="78" spans="1:7" x14ac:dyDescent="0.25">
      <c r="A78" t="s">
        <v>359</v>
      </c>
      <c r="B78" s="42">
        <f t="shared" si="4"/>
        <v>350</v>
      </c>
      <c r="C78" s="20">
        <v>350</v>
      </c>
      <c r="D78" s="20">
        <v>500</v>
      </c>
      <c r="E78" s="20">
        <v>220</v>
      </c>
      <c r="F78" s="23" t="s">
        <v>114</v>
      </c>
      <c r="G78" s="9" t="s">
        <v>360</v>
      </c>
    </row>
    <row r="79" spans="1:7" x14ac:dyDescent="0.25">
      <c r="A79" t="s">
        <v>361</v>
      </c>
      <c r="B79" s="42">
        <f>'Scenario Parameters'!$B$76*'Scenario Parameters'!$B$77*'Scenario Parameters'!$B$78</f>
        <v>18900000</v>
      </c>
      <c r="F79" s="23" t="s">
        <v>114</v>
      </c>
      <c r="G79" s="9" t="s">
        <v>362</v>
      </c>
    </row>
    <row r="81" spans="1:7" ht="18" customHeight="1" x14ac:dyDescent="0.25">
      <c r="A81" s="12" t="s">
        <v>388</v>
      </c>
      <c r="B81" s="13"/>
      <c r="C81" s="13"/>
      <c r="D81" s="13"/>
      <c r="E81" s="13"/>
    </row>
    <row r="82" spans="1:7" x14ac:dyDescent="0.25">
      <c r="A82" s="14" t="s">
        <v>30</v>
      </c>
      <c r="B82" s="14" t="s">
        <v>380</v>
      </c>
      <c r="C82" s="14" t="s">
        <v>376</v>
      </c>
      <c r="D82" s="14" t="s">
        <v>381</v>
      </c>
      <c r="E82" s="14" t="s">
        <v>382</v>
      </c>
      <c r="F82" s="14" t="s">
        <v>32</v>
      </c>
    </row>
    <row r="83" spans="1:7" x14ac:dyDescent="0.25">
      <c r="A83" t="s">
        <v>363</v>
      </c>
      <c r="B83" s="42">
        <f>CHOOSE($C$6,C83,D83,E83)</f>
        <v>33.6</v>
      </c>
      <c r="C83" s="20">
        <v>33.6</v>
      </c>
      <c r="D83" s="20">
        <v>41</v>
      </c>
      <c r="E83" s="20">
        <v>26.5</v>
      </c>
      <c r="F83" s="23" t="s">
        <v>108</v>
      </c>
      <c r="G83" s="9" t="s">
        <v>364</v>
      </c>
    </row>
    <row r="84" spans="1:7" x14ac:dyDescent="0.25">
      <c r="A84" t="s">
        <v>365</v>
      </c>
      <c r="B84" s="42">
        <f>CHOOSE($C$6,C84,D84,E84)</f>
        <v>26</v>
      </c>
      <c r="C84" s="20">
        <v>26</v>
      </c>
      <c r="D84" s="20">
        <v>32</v>
      </c>
      <c r="E84" s="20">
        <v>21</v>
      </c>
      <c r="F84" s="23" t="s">
        <v>108</v>
      </c>
      <c r="G84" s="9" t="s">
        <v>364</v>
      </c>
    </row>
    <row r="85" spans="1:7" x14ac:dyDescent="0.25">
      <c r="A85" t="s">
        <v>366</v>
      </c>
      <c r="B85" s="42">
        <f>CHOOSE($C$6,C85,D85,E85)</f>
        <v>30</v>
      </c>
      <c r="C85" s="20">
        <v>30</v>
      </c>
      <c r="D85" s="20">
        <v>36</v>
      </c>
      <c r="E85" s="20">
        <v>24</v>
      </c>
      <c r="F85" s="23" t="s">
        <v>108</v>
      </c>
      <c r="G85" s="9" t="s">
        <v>364</v>
      </c>
    </row>
    <row r="87" spans="1:7" ht="18" customHeight="1" x14ac:dyDescent="0.25">
      <c r="A87" s="12" t="s">
        <v>389</v>
      </c>
      <c r="B87" s="13"/>
      <c r="C87" s="13"/>
      <c r="D87" s="13"/>
      <c r="E87" s="13"/>
    </row>
    <row r="88" spans="1:7" x14ac:dyDescent="0.25">
      <c r="A88" s="14" t="s">
        <v>390</v>
      </c>
      <c r="B88" s="14" t="s">
        <v>391</v>
      </c>
      <c r="C88" s="14" t="s">
        <v>392</v>
      </c>
      <c r="D88" s="14" t="s">
        <v>393</v>
      </c>
    </row>
    <row r="89" spans="1:7" x14ac:dyDescent="0.25">
      <c r="A89" t="s">
        <v>367</v>
      </c>
      <c r="B89" s="31">
        <f>IF($C$89="Prepaid",1,0)</f>
        <v>0</v>
      </c>
      <c r="C89" s="38" t="s">
        <v>394</v>
      </c>
      <c r="D89" s="23" t="s">
        <v>395</v>
      </c>
      <c r="G89" s="9" t="s">
        <v>369</v>
      </c>
    </row>
    <row r="90" spans="1:7" x14ac:dyDescent="0.25">
      <c r="A90" t="s">
        <v>370</v>
      </c>
      <c r="B90" s="31">
        <f>IF($C$90="ON",1,0)</f>
        <v>1</v>
      </c>
      <c r="C90" s="38" t="s">
        <v>396</v>
      </c>
      <c r="D90" s="23" t="s">
        <v>396</v>
      </c>
      <c r="G90" s="9" t="s">
        <v>371</v>
      </c>
    </row>
  </sheetData>
  <dataValidations count="3">
    <dataValidation type="list" sqref="B6" xr:uid="{00000000-0002-0000-0200-000000000000}">
      <formula1>"Base,Aggressive,Conservative"</formula1>
      <formula2>0</formula2>
    </dataValidation>
    <dataValidation type="list" sqref="C89" xr:uid="{00000000-0002-0000-0200-000001000000}">
      <formula1>"Credit,Prepaid"</formula1>
      <formula2>0</formula2>
    </dataValidation>
    <dataValidation type="list" sqref="C90" xr:uid="{00000000-0002-0000-0200-000002000000}">
      <formula1>"ON,OFF"</formula1>
      <formula2>0</formula2>
    </dataValidation>
  </dataValidations>
  <pageMargins left="0.75" right="0.75" top="1" bottom="1"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85"/>
  <sheetViews>
    <sheetView showGridLines="0" zoomScaleNormal="100" workbookViewId="0">
      <pane xSplit="2" ySplit="7" topLeftCell="C138" activePane="bottomRight" state="frozen"/>
      <selection pane="topRight" activeCell="C1" sqref="C1"/>
      <selection pane="bottomLeft" activeCell="A8" sqref="A8"/>
      <selection pane="bottomRight" activeCell="T146" sqref="T146"/>
    </sheetView>
  </sheetViews>
  <sheetFormatPr defaultColWidth="8.7109375" defaultRowHeight="15" x14ac:dyDescent="0.25"/>
  <cols>
    <col min="1" max="1" width="52" customWidth="1"/>
    <col min="2" max="2" width="18" customWidth="1"/>
    <col min="3" max="31" width="13" customWidth="1"/>
  </cols>
  <sheetData>
    <row r="1" spans="1:31" ht="22.5" x14ac:dyDescent="0.3">
      <c r="A1" s="10" t="str">
        <f>Cover!$B$2</f>
        <v>Aurumix Revenue Model</v>
      </c>
    </row>
    <row r="2" spans="1:31" x14ac:dyDescent="0.25">
      <c r="A2" s="3" t="s">
        <v>397</v>
      </c>
      <c r="B2" s="23" t="s">
        <v>398</v>
      </c>
      <c r="C2" s="28">
        <v>1</v>
      </c>
      <c r="D2" s="28">
        <v>2</v>
      </c>
      <c r="E2" s="28">
        <v>3</v>
      </c>
      <c r="F2" s="28">
        <v>4</v>
      </c>
      <c r="G2" s="28">
        <v>5</v>
      </c>
      <c r="H2" s="28">
        <v>6</v>
      </c>
      <c r="I2" s="28">
        <v>7</v>
      </c>
      <c r="J2" s="28">
        <v>8</v>
      </c>
      <c r="K2" s="28">
        <v>9</v>
      </c>
      <c r="L2" s="28">
        <v>10</v>
      </c>
      <c r="M2" s="28">
        <v>11</v>
      </c>
      <c r="N2" s="28">
        <v>12</v>
      </c>
      <c r="O2" s="28">
        <v>13</v>
      </c>
      <c r="P2" s="28">
        <v>14</v>
      </c>
      <c r="Q2" s="28">
        <v>15</v>
      </c>
      <c r="R2" s="28">
        <v>16</v>
      </c>
      <c r="S2" s="28">
        <v>17</v>
      </c>
      <c r="T2" s="28">
        <v>18</v>
      </c>
      <c r="U2" s="28">
        <v>19</v>
      </c>
      <c r="V2" s="28">
        <v>20</v>
      </c>
      <c r="W2" s="28">
        <v>21</v>
      </c>
      <c r="X2" s="28">
        <v>22</v>
      </c>
      <c r="Y2" s="28">
        <v>23</v>
      </c>
      <c r="Z2" s="28">
        <v>24</v>
      </c>
      <c r="AA2" s="28">
        <v>25</v>
      </c>
      <c r="AB2" s="28">
        <v>26</v>
      </c>
      <c r="AC2" s="28">
        <v>27</v>
      </c>
      <c r="AD2" s="28">
        <v>28</v>
      </c>
      <c r="AE2" s="28">
        <v>29</v>
      </c>
    </row>
    <row r="3" spans="1:31" x14ac:dyDescent="0.25">
      <c r="A3" s="3" t="s">
        <v>399</v>
      </c>
      <c r="B3" s="23" t="s">
        <v>207</v>
      </c>
      <c r="C3" s="43" t="s">
        <v>400</v>
      </c>
      <c r="D3" s="43" t="s">
        <v>401</v>
      </c>
      <c r="E3" s="43" t="s">
        <v>402</v>
      </c>
      <c r="F3" s="43" t="s">
        <v>403</v>
      </c>
      <c r="G3" s="43" t="s">
        <v>404</v>
      </c>
      <c r="H3" s="43" t="s">
        <v>405</v>
      </c>
      <c r="I3" s="43" t="s">
        <v>406</v>
      </c>
      <c r="J3" s="43" t="s">
        <v>407</v>
      </c>
      <c r="K3" s="43" t="s">
        <v>408</v>
      </c>
      <c r="L3" s="43" t="s">
        <v>409</v>
      </c>
      <c r="M3" s="43" t="s">
        <v>410</v>
      </c>
      <c r="N3" s="43" t="s">
        <v>411</v>
      </c>
      <c r="O3" s="43" t="s">
        <v>412</v>
      </c>
      <c r="P3" s="43" t="s">
        <v>413</v>
      </c>
      <c r="Q3" s="43" t="s">
        <v>414</v>
      </c>
      <c r="R3" s="43" t="s">
        <v>415</v>
      </c>
      <c r="S3" s="43" t="s">
        <v>416</v>
      </c>
      <c r="T3" s="43" t="s">
        <v>417</v>
      </c>
      <c r="U3" s="43" t="s">
        <v>418</v>
      </c>
      <c r="V3" s="43" t="s">
        <v>419</v>
      </c>
      <c r="W3" s="43" t="s">
        <v>420</v>
      </c>
      <c r="X3" s="43" t="s">
        <v>421</v>
      </c>
      <c r="Y3" s="43" t="s">
        <v>422</v>
      </c>
      <c r="Z3" s="43" t="s">
        <v>423</v>
      </c>
      <c r="AA3" s="43" t="s">
        <v>424</v>
      </c>
      <c r="AB3" s="43" t="s">
        <v>425</v>
      </c>
      <c r="AC3" s="43" t="s">
        <v>426</v>
      </c>
      <c r="AD3" s="43" t="s">
        <v>427</v>
      </c>
      <c r="AE3" s="43" t="s">
        <v>428</v>
      </c>
    </row>
    <row r="4" spans="1:31" x14ac:dyDescent="0.25">
      <c r="A4" s="6" t="s">
        <v>429</v>
      </c>
      <c r="B4" s="23" t="s">
        <v>207</v>
      </c>
      <c r="C4" s="44" t="s">
        <v>430</v>
      </c>
      <c r="D4" s="44" t="s">
        <v>430</v>
      </c>
      <c r="E4" s="44" t="s">
        <v>430</v>
      </c>
      <c r="F4" s="44" t="s">
        <v>430</v>
      </c>
      <c r="G4" s="44" t="s">
        <v>430</v>
      </c>
      <c r="H4" s="44" t="s">
        <v>430</v>
      </c>
      <c r="I4" s="44" t="s">
        <v>430</v>
      </c>
      <c r="J4" s="44" t="s">
        <v>430</v>
      </c>
      <c r="K4" s="44" t="s">
        <v>430</v>
      </c>
      <c r="L4" s="44" t="s">
        <v>430</v>
      </c>
      <c r="M4" s="44" t="s">
        <v>430</v>
      </c>
      <c r="N4" s="44" t="s">
        <v>430</v>
      </c>
      <c r="O4" s="44" t="s">
        <v>430</v>
      </c>
      <c r="P4" s="44" t="s">
        <v>430</v>
      </c>
      <c r="Q4" s="44" t="s">
        <v>430</v>
      </c>
      <c r="R4" s="44" t="s">
        <v>430</v>
      </c>
      <c r="S4" s="44" t="s">
        <v>430</v>
      </c>
      <c r="T4" s="44" t="s">
        <v>430</v>
      </c>
      <c r="U4" s="44" t="s">
        <v>430</v>
      </c>
      <c r="V4" s="44" t="s">
        <v>430</v>
      </c>
      <c r="W4" s="44" t="s">
        <v>430</v>
      </c>
      <c r="X4" s="44" t="s">
        <v>430</v>
      </c>
      <c r="Y4" s="44" t="s">
        <v>430</v>
      </c>
      <c r="Z4" s="44" t="s">
        <v>430</v>
      </c>
      <c r="AA4" s="44" t="s">
        <v>431</v>
      </c>
      <c r="AB4" s="44" t="s">
        <v>431</v>
      </c>
      <c r="AC4" s="44" t="s">
        <v>431</v>
      </c>
      <c r="AD4" s="44" t="s">
        <v>431</v>
      </c>
      <c r="AE4" s="44" t="s">
        <v>431</v>
      </c>
    </row>
    <row r="5" spans="1:31" x14ac:dyDescent="0.25">
      <c r="A5" s="6" t="s">
        <v>432</v>
      </c>
      <c r="B5" s="23" t="s">
        <v>433</v>
      </c>
      <c r="C5" s="45">
        <v>1</v>
      </c>
      <c r="D5" s="45">
        <v>1</v>
      </c>
      <c r="E5" s="45">
        <v>1</v>
      </c>
      <c r="F5" s="45">
        <v>1</v>
      </c>
      <c r="G5" s="45">
        <v>1</v>
      </c>
      <c r="H5" s="45">
        <v>1</v>
      </c>
      <c r="I5" s="45">
        <v>1</v>
      </c>
      <c r="J5" s="45">
        <v>1</v>
      </c>
      <c r="K5" s="45">
        <v>1</v>
      </c>
      <c r="L5" s="45">
        <v>1</v>
      </c>
      <c r="M5" s="45">
        <v>1</v>
      </c>
      <c r="N5" s="45">
        <v>1</v>
      </c>
      <c r="O5" s="45">
        <v>2</v>
      </c>
      <c r="P5" s="45">
        <v>2</v>
      </c>
      <c r="Q5" s="45">
        <v>2</v>
      </c>
      <c r="R5" s="45">
        <v>2</v>
      </c>
      <c r="S5" s="45">
        <v>2</v>
      </c>
      <c r="T5" s="45">
        <v>2</v>
      </c>
      <c r="U5" s="45">
        <v>2</v>
      </c>
      <c r="V5" s="45">
        <v>2</v>
      </c>
      <c r="W5" s="45">
        <v>2</v>
      </c>
      <c r="X5" s="45">
        <v>2</v>
      </c>
      <c r="Y5" s="45">
        <v>2</v>
      </c>
      <c r="Z5" s="45">
        <v>2</v>
      </c>
      <c r="AA5" s="45">
        <v>3</v>
      </c>
      <c r="AB5" s="45">
        <v>4</v>
      </c>
      <c r="AC5" s="45">
        <v>5</v>
      </c>
      <c r="AD5" s="45">
        <v>6</v>
      </c>
      <c r="AE5" s="45">
        <v>7</v>
      </c>
    </row>
    <row r="6" spans="1:31" x14ac:dyDescent="0.25">
      <c r="A6" s="6" t="s">
        <v>434</v>
      </c>
      <c r="B6" s="23" t="s">
        <v>435</v>
      </c>
      <c r="C6" s="45">
        <v>1</v>
      </c>
      <c r="D6" s="45">
        <v>2</v>
      </c>
      <c r="E6" s="45">
        <v>3</v>
      </c>
      <c r="F6" s="45">
        <v>4</v>
      </c>
      <c r="G6" s="45">
        <v>5</v>
      </c>
      <c r="H6" s="45">
        <v>6</v>
      </c>
      <c r="I6" s="45">
        <v>7</v>
      </c>
      <c r="J6" s="45">
        <v>8</v>
      </c>
      <c r="K6" s="45">
        <v>9</v>
      </c>
      <c r="L6" s="45">
        <v>10</v>
      </c>
      <c r="M6" s="45">
        <v>11</v>
      </c>
      <c r="N6" s="45">
        <v>12</v>
      </c>
      <c r="O6" s="45">
        <v>1</v>
      </c>
      <c r="P6" s="45">
        <v>2</v>
      </c>
      <c r="Q6" s="45">
        <v>3</v>
      </c>
      <c r="R6" s="45">
        <v>4</v>
      </c>
      <c r="S6" s="45">
        <v>5</v>
      </c>
      <c r="T6" s="45">
        <v>6</v>
      </c>
      <c r="U6" s="45">
        <v>7</v>
      </c>
      <c r="V6" s="45">
        <v>8</v>
      </c>
      <c r="W6" s="45">
        <v>9</v>
      </c>
      <c r="X6" s="45">
        <v>10</v>
      </c>
      <c r="Y6" s="45">
        <v>11</v>
      </c>
      <c r="Z6" s="45">
        <v>12</v>
      </c>
      <c r="AA6" s="45">
        <v>0</v>
      </c>
      <c r="AB6" s="45">
        <v>0</v>
      </c>
      <c r="AC6" s="45">
        <v>0</v>
      </c>
      <c r="AD6" s="45">
        <v>0</v>
      </c>
      <c r="AE6" s="45">
        <v>0</v>
      </c>
    </row>
    <row r="7" spans="1:31" x14ac:dyDescent="0.25">
      <c r="A7" s="6" t="s">
        <v>436</v>
      </c>
      <c r="B7" s="23" t="s">
        <v>278</v>
      </c>
      <c r="C7" s="45">
        <v>1</v>
      </c>
      <c r="D7" s="45">
        <v>1</v>
      </c>
      <c r="E7" s="45">
        <v>1</v>
      </c>
      <c r="F7" s="45">
        <v>1</v>
      </c>
      <c r="G7" s="45">
        <v>1</v>
      </c>
      <c r="H7" s="45">
        <v>1</v>
      </c>
      <c r="I7" s="45">
        <v>1</v>
      </c>
      <c r="J7" s="45">
        <v>1</v>
      </c>
      <c r="K7" s="45">
        <v>1</v>
      </c>
      <c r="L7" s="45">
        <v>1</v>
      </c>
      <c r="M7" s="45">
        <v>1</v>
      </c>
      <c r="N7" s="45">
        <v>1</v>
      </c>
      <c r="O7" s="45">
        <v>1</v>
      </c>
      <c r="P7" s="45">
        <v>1</v>
      </c>
      <c r="Q7" s="45">
        <v>1</v>
      </c>
      <c r="R7" s="45">
        <v>1</v>
      </c>
      <c r="S7" s="45">
        <v>1</v>
      </c>
      <c r="T7" s="45">
        <v>1</v>
      </c>
      <c r="U7" s="45">
        <v>1</v>
      </c>
      <c r="V7" s="45">
        <v>1</v>
      </c>
      <c r="W7" s="45">
        <v>1</v>
      </c>
      <c r="X7" s="45">
        <v>1</v>
      </c>
      <c r="Y7" s="45">
        <v>1</v>
      </c>
      <c r="Z7" s="45">
        <v>1</v>
      </c>
      <c r="AA7" s="45">
        <v>12</v>
      </c>
      <c r="AB7" s="45">
        <v>12</v>
      </c>
      <c r="AC7" s="45">
        <v>12</v>
      </c>
      <c r="AD7" s="45">
        <v>12</v>
      </c>
      <c r="AE7" s="45">
        <v>12</v>
      </c>
    </row>
    <row r="8" spans="1:31" x14ac:dyDescent="0.25">
      <c r="A8" s="6" t="s">
        <v>437</v>
      </c>
      <c r="B8" s="23" t="s">
        <v>438</v>
      </c>
      <c r="C8" s="45">
        <v>0</v>
      </c>
      <c r="D8" s="45">
        <v>0</v>
      </c>
      <c r="E8" s="45">
        <v>0</v>
      </c>
      <c r="F8" s="45">
        <v>0</v>
      </c>
      <c r="G8" s="45">
        <v>0</v>
      </c>
      <c r="H8" s="45">
        <v>0</v>
      </c>
      <c r="I8" s="45">
        <v>0</v>
      </c>
      <c r="J8" s="45">
        <v>0</v>
      </c>
      <c r="K8" s="45">
        <v>0</v>
      </c>
      <c r="L8" s="45">
        <v>0</v>
      </c>
      <c r="M8" s="45">
        <v>0</v>
      </c>
      <c r="N8" s="45">
        <v>1</v>
      </c>
      <c r="O8" s="45">
        <v>0</v>
      </c>
      <c r="P8" s="45">
        <v>0</v>
      </c>
      <c r="Q8" s="45">
        <v>0</v>
      </c>
      <c r="R8" s="45">
        <v>0</v>
      </c>
      <c r="S8" s="45">
        <v>0</v>
      </c>
      <c r="T8" s="45">
        <v>0</v>
      </c>
      <c r="U8" s="45">
        <v>0</v>
      </c>
      <c r="V8" s="45">
        <v>0</v>
      </c>
      <c r="W8" s="45">
        <v>0</v>
      </c>
      <c r="X8" s="45">
        <v>0</v>
      </c>
      <c r="Y8" s="45">
        <v>0</v>
      </c>
      <c r="Z8" s="45">
        <v>1</v>
      </c>
      <c r="AA8" s="45">
        <v>1</v>
      </c>
      <c r="AB8" s="45">
        <v>1</v>
      </c>
      <c r="AC8" s="45">
        <v>1</v>
      </c>
      <c r="AD8" s="45">
        <v>1</v>
      </c>
      <c r="AE8" s="45">
        <v>1</v>
      </c>
    </row>
    <row r="10" spans="1:31" x14ac:dyDescent="0.25">
      <c r="A10" s="46" t="s">
        <v>439</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spans="1:31" x14ac:dyDescent="0.25">
      <c r="A11" t="s">
        <v>440</v>
      </c>
      <c r="B11" s="23" t="s">
        <v>441</v>
      </c>
      <c r="C11" s="48">
        <f>(1+(Assumptions!$F$61-1)*Assumptions!$B$133)*12/SUMPRODUCT(1+(Assumptions!$F$61:$Q$61-1)*Assumptions!$B$133)</f>
        <v>1.01</v>
      </c>
      <c r="D11" s="48">
        <f>(1+(Assumptions!$G$61-1)*Assumptions!$B$133)*12/SUMPRODUCT(1+(Assumptions!$F$61:$Q$61-1)*Assumptions!$B$133)</f>
        <v>0.96</v>
      </c>
      <c r="E11" s="48">
        <f>(1+(Assumptions!$H$61-1)*Assumptions!$B$133)*12/SUMPRODUCT(1+(Assumptions!$F$61:$Q$61-1)*Assumptions!$B$133)</f>
        <v>0.92</v>
      </c>
      <c r="F11" s="48">
        <f>(1+(Assumptions!$I$61-1)*Assumptions!$B$133)*12/SUMPRODUCT(1+(Assumptions!$F$61:$Q$61-1)*Assumptions!$B$133)</f>
        <v>1.1499999999999999</v>
      </c>
      <c r="G11" s="48">
        <f>(1+(Assumptions!$J$61-1)*Assumptions!$B$133)*12/SUMPRODUCT(1+(Assumptions!$F$61:$Q$61-1)*Assumptions!$B$133)</f>
        <v>1.04</v>
      </c>
      <c r="H11" s="48">
        <f>(1+(Assumptions!$K$61-1)*Assumptions!$B$133)*12/SUMPRODUCT(1+(Assumptions!$F$61:$Q$61-1)*Assumptions!$B$133)</f>
        <v>0.88</v>
      </c>
      <c r="I11" s="48">
        <f>(1+(Assumptions!$L$61-1)*Assumptions!$B$133)*12/SUMPRODUCT(1+(Assumptions!$F$61:$Q$61-1)*Assumptions!$B$133)</f>
        <v>0.85</v>
      </c>
      <c r="J11" s="48">
        <f>(1+(Assumptions!$M$61-1)*Assumptions!$B$133)*12/SUMPRODUCT(1+(Assumptions!$F$61:$Q$61-1)*Assumptions!$B$133)</f>
        <v>0.85</v>
      </c>
      <c r="K11" s="48">
        <f>(1+(Assumptions!$N$61-1)*Assumptions!$B$133)*12/SUMPRODUCT(1+(Assumptions!$F$61:$Q$61-1)*Assumptions!$B$133)</f>
        <v>0.93</v>
      </c>
      <c r="L11" s="48">
        <f>(1+(Assumptions!$O$61-1)*Assumptions!$B$133)*12/SUMPRODUCT(1+(Assumptions!$F$61:$Q$61-1)*Assumptions!$B$133)</f>
        <v>1.25</v>
      </c>
      <c r="M11" s="48">
        <f>(1+(Assumptions!$P$61-1)*Assumptions!$B$133)*12/SUMPRODUCT(1+(Assumptions!$F$61:$Q$61-1)*Assumptions!$B$133)</f>
        <v>1.1499999999999999</v>
      </c>
      <c r="N11" s="48">
        <f>(1+(Assumptions!$Q$61-1)*Assumptions!$B$133)*12/SUMPRODUCT(1+(Assumptions!$F$61:$Q$61-1)*Assumptions!$B$133)</f>
        <v>1.01</v>
      </c>
    </row>
    <row r="12" spans="1:31" x14ac:dyDescent="0.25">
      <c r="A12" t="s">
        <v>442</v>
      </c>
      <c r="B12" s="23" t="s">
        <v>441</v>
      </c>
      <c r="C12" s="48">
        <f>(1+(Assumptions!$F$62-1)*Assumptions!$B$133)*12/SUMPRODUCT(1+(Assumptions!$F$62:$Q$62-1)*Assumptions!$B$133)</f>
        <v>1.0999999999999999</v>
      </c>
      <c r="D12" s="48">
        <f>(1+(Assumptions!$G$62-1)*Assumptions!$B$133)*12/SUMPRODUCT(1+(Assumptions!$F$62:$Q$62-1)*Assumptions!$B$133)</f>
        <v>0.99999999999999989</v>
      </c>
      <c r="E12" s="48">
        <f>(1+(Assumptions!$H$62-1)*Assumptions!$B$133)*12/SUMPRODUCT(1+(Assumptions!$F$62:$Q$62-1)*Assumptions!$B$133)</f>
        <v>0.97999999999999987</v>
      </c>
      <c r="F12" s="48">
        <f>(1+(Assumptions!$I$62-1)*Assumptions!$B$133)*12/SUMPRODUCT(1+(Assumptions!$F$62:$Q$62-1)*Assumptions!$B$133)</f>
        <v>0.97999999999999987</v>
      </c>
      <c r="G12" s="48">
        <f>(1+(Assumptions!$J$62-1)*Assumptions!$B$133)*12/SUMPRODUCT(1+(Assumptions!$F$62:$Q$62-1)*Assumptions!$B$133)</f>
        <v>0.99999999999999989</v>
      </c>
      <c r="H12" s="48">
        <f>(1+(Assumptions!$K$62-1)*Assumptions!$B$133)*12/SUMPRODUCT(1+(Assumptions!$F$62:$Q$62-1)*Assumptions!$B$133)</f>
        <v>0.94999999999999973</v>
      </c>
      <c r="I12" s="48">
        <f>(1+(Assumptions!$L$62-1)*Assumptions!$B$133)*12/SUMPRODUCT(1+(Assumptions!$F$62:$Q$62-1)*Assumptions!$B$133)</f>
        <v>0.87999999999999989</v>
      </c>
      <c r="J12" s="48">
        <f>(1+(Assumptions!$M$62-1)*Assumptions!$B$133)*12/SUMPRODUCT(1+(Assumptions!$F$62:$Q$62-1)*Assumptions!$B$133)</f>
        <v>0.89999999999999991</v>
      </c>
      <c r="K12" s="48">
        <f>(1+(Assumptions!$N$62-1)*Assumptions!$B$133)*12/SUMPRODUCT(1+(Assumptions!$F$62:$Q$62-1)*Assumptions!$B$133)</f>
        <v>0.99999999999999989</v>
      </c>
      <c r="L12" s="48">
        <f>(1+(Assumptions!$O$62-1)*Assumptions!$B$133)*12/SUMPRODUCT(1+(Assumptions!$F$62:$Q$62-1)*Assumptions!$B$133)</f>
        <v>1.0199999999999998</v>
      </c>
      <c r="M12" s="48">
        <f>(1+(Assumptions!$P$62-1)*Assumptions!$B$133)*12/SUMPRODUCT(1+(Assumptions!$F$62:$Q$62-1)*Assumptions!$B$133)</f>
        <v>1.05</v>
      </c>
      <c r="N12" s="48">
        <f>(1+(Assumptions!$Q$62-1)*Assumptions!$B$133)*12/SUMPRODUCT(1+(Assumptions!$F$62:$Q$62-1)*Assumptions!$B$133)</f>
        <v>1.1399999999999999</v>
      </c>
    </row>
    <row r="13" spans="1:31" x14ac:dyDescent="0.25">
      <c r="A13" t="s">
        <v>443</v>
      </c>
      <c r="B13" s="23" t="s">
        <v>441</v>
      </c>
      <c r="C13" s="49">
        <f>Assumptions!$F$63/AVERAGE(Assumptions!$F$63:$Q$63)*Assumptions!$B$145</f>
        <v>0.25660377358490571</v>
      </c>
      <c r="D13" s="49">
        <f>Assumptions!$G$63/AVERAGE(Assumptions!$F$63:$Q$63)*Assumptions!$B$145</f>
        <v>0.25660377358490571</v>
      </c>
      <c r="E13" s="49">
        <f>Assumptions!$H$63/AVERAGE(Assumptions!$F$63:$Q$63)*Assumptions!$B$145</f>
        <v>0.25660377358490571</v>
      </c>
      <c r="F13" s="49">
        <f>Assumptions!$I$63/AVERAGE(Assumptions!$F$63:$Q$63)*Assumptions!$B$145</f>
        <v>0.2737106918238994</v>
      </c>
      <c r="G13" s="49">
        <f>Assumptions!$J$63/AVERAGE(Assumptions!$F$63:$Q$63)*Assumptions!$B$145</f>
        <v>0.29081761006289314</v>
      </c>
      <c r="H13" s="49">
        <f>Assumptions!$K$63/AVERAGE(Assumptions!$F$63:$Q$63)*Assumptions!$B$145</f>
        <v>0.47044025157232705</v>
      </c>
      <c r="I13" s="49">
        <f>Assumptions!$L$63/AVERAGE(Assumptions!$F$63:$Q$63)*Assumptions!$B$145</f>
        <v>0.51320754716981143</v>
      </c>
      <c r="J13" s="49">
        <f>Assumptions!$M$63/AVERAGE(Assumptions!$F$63:$Q$63)*Assumptions!$B$145</f>
        <v>0.47899371069182389</v>
      </c>
      <c r="K13" s="49">
        <f>Assumptions!$N$63/AVERAGE(Assumptions!$F$63:$Q$63)*Assumptions!$B$145</f>
        <v>0.30792452830188682</v>
      </c>
      <c r="L13" s="49">
        <f>Assumptions!$O$63/AVERAGE(Assumptions!$F$63:$Q$63)*Assumptions!$B$145</f>
        <v>0.35924528301886793</v>
      </c>
      <c r="M13" s="49">
        <f>Assumptions!$P$63/AVERAGE(Assumptions!$F$63:$Q$63)*Assumptions!$B$145</f>
        <v>0.34213836477987425</v>
      </c>
      <c r="N13" s="49">
        <f>Assumptions!$Q$63/AVERAGE(Assumptions!$F$63:$Q$63)*Assumptions!$B$145</f>
        <v>0.2737106918238994</v>
      </c>
    </row>
    <row r="14" spans="1:31" x14ac:dyDescent="0.25">
      <c r="A14" s="3" t="s">
        <v>444</v>
      </c>
      <c r="B14" s="23" t="s">
        <v>445</v>
      </c>
      <c r="C14" s="50">
        <f>SUM($C$11:$N$11)</f>
        <v>12</v>
      </c>
      <c r="D14" s="50">
        <f>SUM($C$12:$N$12)</f>
        <v>12</v>
      </c>
    </row>
    <row r="15" spans="1:31" x14ac:dyDescent="0.25">
      <c r="A15" s="6" t="s">
        <v>446</v>
      </c>
      <c r="B15" s="23" t="s">
        <v>447</v>
      </c>
      <c r="C15" s="51">
        <f t="shared" ref="C15:AE15" si="0">IF(C7=1,INDEX($C$11:$N$11,1,C6),1)</f>
        <v>1.01</v>
      </c>
      <c r="D15" s="51">
        <f t="shared" si="0"/>
        <v>0.96</v>
      </c>
      <c r="E15" s="51">
        <f t="shared" si="0"/>
        <v>0.92</v>
      </c>
      <c r="F15" s="51">
        <f t="shared" si="0"/>
        <v>1.1499999999999999</v>
      </c>
      <c r="G15" s="51">
        <f t="shared" si="0"/>
        <v>1.04</v>
      </c>
      <c r="H15" s="51">
        <f t="shared" si="0"/>
        <v>0.88</v>
      </c>
      <c r="I15" s="51">
        <f t="shared" si="0"/>
        <v>0.85</v>
      </c>
      <c r="J15" s="51">
        <f t="shared" si="0"/>
        <v>0.85</v>
      </c>
      <c r="K15" s="51">
        <f t="shared" si="0"/>
        <v>0.93</v>
      </c>
      <c r="L15" s="51">
        <f t="shared" si="0"/>
        <v>1.25</v>
      </c>
      <c r="M15" s="51">
        <f t="shared" si="0"/>
        <v>1.1499999999999999</v>
      </c>
      <c r="N15" s="51">
        <f t="shared" si="0"/>
        <v>1.01</v>
      </c>
      <c r="O15" s="51">
        <f t="shared" si="0"/>
        <v>1.01</v>
      </c>
      <c r="P15" s="51">
        <f t="shared" si="0"/>
        <v>0.96</v>
      </c>
      <c r="Q15" s="51">
        <f t="shared" si="0"/>
        <v>0.92</v>
      </c>
      <c r="R15" s="51">
        <f t="shared" si="0"/>
        <v>1.1499999999999999</v>
      </c>
      <c r="S15" s="51">
        <f t="shared" si="0"/>
        <v>1.04</v>
      </c>
      <c r="T15" s="51">
        <f t="shared" si="0"/>
        <v>0.88</v>
      </c>
      <c r="U15" s="51">
        <f t="shared" si="0"/>
        <v>0.85</v>
      </c>
      <c r="V15" s="51">
        <f t="shared" si="0"/>
        <v>0.85</v>
      </c>
      <c r="W15" s="51">
        <f t="shared" si="0"/>
        <v>0.93</v>
      </c>
      <c r="X15" s="51">
        <f t="shared" si="0"/>
        <v>1.25</v>
      </c>
      <c r="Y15" s="51">
        <f t="shared" si="0"/>
        <v>1.1499999999999999</v>
      </c>
      <c r="Z15" s="51">
        <f t="shared" si="0"/>
        <v>1.01</v>
      </c>
      <c r="AA15" s="51">
        <f t="shared" si="0"/>
        <v>1</v>
      </c>
      <c r="AB15" s="51">
        <f t="shared" si="0"/>
        <v>1</v>
      </c>
      <c r="AC15" s="51">
        <f t="shared" si="0"/>
        <v>1</v>
      </c>
      <c r="AD15" s="51">
        <f t="shared" si="0"/>
        <v>1</v>
      </c>
      <c r="AE15" s="51">
        <f t="shared" si="0"/>
        <v>1</v>
      </c>
    </row>
    <row r="16" spans="1:31" x14ac:dyDescent="0.25">
      <c r="A16" s="6" t="s">
        <v>448</v>
      </c>
      <c r="B16" s="23" t="s">
        <v>447</v>
      </c>
      <c r="C16" s="51">
        <f t="shared" ref="C16:AE16" si="1">IF(C7=1,INDEX($C$12:$N$12,1,C6),1)</f>
        <v>1.0999999999999999</v>
      </c>
      <c r="D16" s="51">
        <f t="shared" si="1"/>
        <v>0.99999999999999989</v>
      </c>
      <c r="E16" s="51">
        <f t="shared" si="1"/>
        <v>0.97999999999999987</v>
      </c>
      <c r="F16" s="51">
        <f t="shared" si="1"/>
        <v>0.97999999999999987</v>
      </c>
      <c r="G16" s="51">
        <f t="shared" si="1"/>
        <v>0.99999999999999989</v>
      </c>
      <c r="H16" s="51">
        <f t="shared" si="1"/>
        <v>0.94999999999999973</v>
      </c>
      <c r="I16" s="51">
        <f t="shared" si="1"/>
        <v>0.87999999999999989</v>
      </c>
      <c r="J16" s="51">
        <f t="shared" si="1"/>
        <v>0.89999999999999991</v>
      </c>
      <c r="K16" s="51">
        <f t="shared" si="1"/>
        <v>0.99999999999999989</v>
      </c>
      <c r="L16" s="51">
        <f t="shared" si="1"/>
        <v>1.0199999999999998</v>
      </c>
      <c r="M16" s="51">
        <f t="shared" si="1"/>
        <v>1.05</v>
      </c>
      <c r="N16" s="51">
        <f t="shared" si="1"/>
        <v>1.1399999999999999</v>
      </c>
      <c r="O16" s="51">
        <f t="shared" si="1"/>
        <v>1.0999999999999999</v>
      </c>
      <c r="P16" s="51">
        <f t="shared" si="1"/>
        <v>0.99999999999999989</v>
      </c>
      <c r="Q16" s="51">
        <f t="shared" si="1"/>
        <v>0.97999999999999987</v>
      </c>
      <c r="R16" s="51">
        <f t="shared" si="1"/>
        <v>0.97999999999999987</v>
      </c>
      <c r="S16" s="51">
        <f t="shared" si="1"/>
        <v>0.99999999999999989</v>
      </c>
      <c r="T16" s="51">
        <f t="shared" si="1"/>
        <v>0.94999999999999973</v>
      </c>
      <c r="U16" s="51">
        <f t="shared" si="1"/>
        <v>0.87999999999999989</v>
      </c>
      <c r="V16" s="51">
        <f t="shared" si="1"/>
        <v>0.89999999999999991</v>
      </c>
      <c r="W16" s="51">
        <f t="shared" si="1"/>
        <v>0.99999999999999989</v>
      </c>
      <c r="X16" s="51">
        <f t="shared" si="1"/>
        <v>1.0199999999999998</v>
      </c>
      <c r="Y16" s="51">
        <f t="shared" si="1"/>
        <v>1.05</v>
      </c>
      <c r="Z16" s="51">
        <f t="shared" si="1"/>
        <v>1.1399999999999999</v>
      </c>
      <c r="AA16" s="51">
        <f t="shared" si="1"/>
        <v>1</v>
      </c>
      <c r="AB16" s="51">
        <f t="shared" si="1"/>
        <v>1</v>
      </c>
      <c r="AC16" s="51">
        <f t="shared" si="1"/>
        <v>1</v>
      </c>
      <c r="AD16" s="51">
        <f t="shared" si="1"/>
        <v>1</v>
      </c>
      <c r="AE16" s="51">
        <f t="shared" si="1"/>
        <v>1</v>
      </c>
    </row>
    <row r="17" spans="1:31" x14ac:dyDescent="0.25">
      <c r="A17" s="6" t="s">
        <v>449</v>
      </c>
      <c r="B17" s="23" t="s">
        <v>245</v>
      </c>
      <c r="C17" s="52">
        <f t="shared" ref="C17:AE17" si="2">IF(C7=1,INDEX($C$13:$N$13,1,C6),AVERAGE($C$13:$N$13))</f>
        <v>0.25660377358490571</v>
      </c>
      <c r="D17" s="52">
        <f t="shared" si="2"/>
        <v>0.25660377358490571</v>
      </c>
      <c r="E17" s="52">
        <f t="shared" si="2"/>
        <v>0.25660377358490571</v>
      </c>
      <c r="F17" s="52">
        <f t="shared" si="2"/>
        <v>0.2737106918238994</v>
      </c>
      <c r="G17" s="52">
        <f t="shared" si="2"/>
        <v>0.29081761006289314</v>
      </c>
      <c r="H17" s="52">
        <f t="shared" si="2"/>
        <v>0.47044025157232705</v>
      </c>
      <c r="I17" s="52">
        <f t="shared" si="2"/>
        <v>0.51320754716981143</v>
      </c>
      <c r="J17" s="52">
        <f t="shared" si="2"/>
        <v>0.47899371069182389</v>
      </c>
      <c r="K17" s="52">
        <f t="shared" si="2"/>
        <v>0.30792452830188682</v>
      </c>
      <c r="L17" s="52">
        <f t="shared" si="2"/>
        <v>0.35924528301886793</v>
      </c>
      <c r="M17" s="52">
        <f t="shared" si="2"/>
        <v>0.34213836477987425</v>
      </c>
      <c r="N17" s="52">
        <f t="shared" si="2"/>
        <v>0.2737106918238994</v>
      </c>
      <c r="O17" s="52">
        <f t="shared" si="2"/>
        <v>0.25660377358490571</v>
      </c>
      <c r="P17" s="52">
        <f t="shared" si="2"/>
        <v>0.25660377358490571</v>
      </c>
      <c r="Q17" s="52">
        <f t="shared" si="2"/>
        <v>0.25660377358490571</v>
      </c>
      <c r="R17" s="52">
        <f t="shared" si="2"/>
        <v>0.2737106918238994</v>
      </c>
      <c r="S17" s="52">
        <f t="shared" si="2"/>
        <v>0.29081761006289314</v>
      </c>
      <c r="T17" s="52">
        <f t="shared" si="2"/>
        <v>0.47044025157232705</v>
      </c>
      <c r="U17" s="52">
        <f t="shared" si="2"/>
        <v>0.51320754716981143</v>
      </c>
      <c r="V17" s="52">
        <f t="shared" si="2"/>
        <v>0.47899371069182389</v>
      </c>
      <c r="W17" s="52">
        <f t="shared" si="2"/>
        <v>0.30792452830188682</v>
      </c>
      <c r="X17" s="52">
        <f t="shared" si="2"/>
        <v>0.35924528301886793</v>
      </c>
      <c r="Y17" s="52">
        <f t="shared" si="2"/>
        <v>0.34213836477987425</v>
      </c>
      <c r="Z17" s="52">
        <f t="shared" si="2"/>
        <v>0.2737106918238994</v>
      </c>
      <c r="AA17" s="52">
        <f t="shared" si="2"/>
        <v>0.34000000000000008</v>
      </c>
      <c r="AB17" s="52">
        <f t="shared" si="2"/>
        <v>0.34000000000000008</v>
      </c>
      <c r="AC17" s="52">
        <f t="shared" si="2"/>
        <v>0.34000000000000008</v>
      </c>
      <c r="AD17" s="52">
        <f t="shared" si="2"/>
        <v>0.34000000000000008</v>
      </c>
      <c r="AE17" s="52">
        <f t="shared" si="2"/>
        <v>0.34000000000000008</v>
      </c>
    </row>
    <row r="19" spans="1:31" x14ac:dyDescent="0.25">
      <c r="A19" s="46" t="s">
        <v>450</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spans="1:31" x14ac:dyDescent="0.25">
      <c r="A20" t="s">
        <v>451</v>
      </c>
      <c r="B20" s="23" t="s">
        <v>190</v>
      </c>
      <c r="C20" s="53">
        <f>INDEX(Assumptions!$B$93:$B$99,C5)*Assumptions!$B$123*INDEX(Assumptions!$B$107:$B$113,C5)*C7</f>
        <v>28.799999999999997</v>
      </c>
      <c r="D20" s="53">
        <f>INDEX(Assumptions!$B$93:$B$99,D5)*Assumptions!$B$123*INDEX(Assumptions!$B$107:$B$113,D5)*D7</f>
        <v>28.799999999999997</v>
      </c>
      <c r="E20" s="53">
        <f>INDEX(Assumptions!$B$93:$B$99,E5)*Assumptions!$B$123*INDEX(Assumptions!$B$107:$B$113,E5)*E7</f>
        <v>28.799999999999997</v>
      </c>
      <c r="F20" s="53">
        <f>INDEX(Assumptions!$B$93:$B$99,F5)*Assumptions!$B$123*INDEX(Assumptions!$B$107:$B$113,F5)*F7</f>
        <v>28.799999999999997</v>
      </c>
      <c r="G20" s="53">
        <f>INDEX(Assumptions!$B$93:$B$99,G5)*Assumptions!$B$123*INDEX(Assumptions!$B$107:$B$113,G5)*G7</f>
        <v>28.799999999999997</v>
      </c>
      <c r="H20" s="53">
        <f>INDEX(Assumptions!$B$93:$B$99,H5)*Assumptions!$B$123*INDEX(Assumptions!$B$107:$B$113,H5)*H7</f>
        <v>28.799999999999997</v>
      </c>
      <c r="I20" s="53">
        <f>INDEX(Assumptions!$B$93:$B$99,I5)*Assumptions!$B$123*INDEX(Assumptions!$B$107:$B$113,I5)*I7</f>
        <v>28.799999999999997</v>
      </c>
      <c r="J20" s="53">
        <f>INDEX(Assumptions!$B$93:$B$99,J5)*Assumptions!$B$123*INDEX(Assumptions!$B$107:$B$113,J5)*J7</f>
        <v>28.799999999999997</v>
      </c>
      <c r="K20" s="53">
        <f>INDEX(Assumptions!$B$93:$B$99,K5)*Assumptions!$B$123*INDEX(Assumptions!$B$107:$B$113,K5)*K7</f>
        <v>28.799999999999997</v>
      </c>
      <c r="L20" s="53">
        <f>INDEX(Assumptions!$B$93:$B$99,L5)*Assumptions!$B$123*INDEX(Assumptions!$B$107:$B$113,L5)*L7</f>
        <v>28.799999999999997</v>
      </c>
      <c r="M20" s="53">
        <f>INDEX(Assumptions!$B$93:$B$99,M5)*Assumptions!$B$123*INDEX(Assumptions!$B$107:$B$113,M5)*M7</f>
        <v>28.799999999999997</v>
      </c>
      <c r="N20" s="53">
        <f>INDEX(Assumptions!$B$93:$B$99,N5)*Assumptions!$B$123*INDEX(Assumptions!$B$107:$B$113,N5)*N7</f>
        <v>28.799999999999997</v>
      </c>
      <c r="O20" s="53">
        <f>INDEX(Assumptions!$B$93:$B$99,O5)*Assumptions!$B$123*INDEX(Assumptions!$B$107:$B$113,O5)*O7</f>
        <v>117.3</v>
      </c>
      <c r="P20" s="53">
        <f>INDEX(Assumptions!$B$93:$B$99,P5)*Assumptions!$B$123*INDEX(Assumptions!$B$107:$B$113,P5)*P7</f>
        <v>117.3</v>
      </c>
      <c r="Q20" s="53">
        <f>INDEX(Assumptions!$B$93:$B$99,Q5)*Assumptions!$B$123*INDEX(Assumptions!$B$107:$B$113,Q5)*Q7</f>
        <v>117.3</v>
      </c>
      <c r="R20" s="53">
        <f>INDEX(Assumptions!$B$93:$B$99,R5)*Assumptions!$B$123*INDEX(Assumptions!$B$107:$B$113,R5)*R7</f>
        <v>117.3</v>
      </c>
      <c r="S20" s="53">
        <f>INDEX(Assumptions!$B$93:$B$99,S5)*Assumptions!$B$123*INDEX(Assumptions!$B$107:$B$113,S5)*S7</f>
        <v>117.3</v>
      </c>
      <c r="T20" s="53">
        <f>INDEX(Assumptions!$B$93:$B$99,T5)*Assumptions!$B$123*INDEX(Assumptions!$B$107:$B$113,T5)*T7</f>
        <v>117.3</v>
      </c>
      <c r="U20" s="53">
        <f>INDEX(Assumptions!$B$93:$B$99,U5)*Assumptions!$B$123*INDEX(Assumptions!$B$107:$B$113,U5)*U7</f>
        <v>117.3</v>
      </c>
      <c r="V20" s="53">
        <f>INDEX(Assumptions!$B$93:$B$99,V5)*Assumptions!$B$123*INDEX(Assumptions!$B$107:$B$113,V5)*V7</f>
        <v>117.3</v>
      </c>
      <c r="W20" s="53">
        <f>INDEX(Assumptions!$B$93:$B$99,W5)*Assumptions!$B$123*INDEX(Assumptions!$B$107:$B$113,W5)*W7</f>
        <v>117.3</v>
      </c>
      <c r="X20" s="53">
        <f>INDEX(Assumptions!$B$93:$B$99,X5)*Assumptions!$B$123*INDEX(Assumptions!$B$107:$B$113,X5)*X7</f>
        <v>117.3</v>
      </c>
      <c r="Y20" s="53">
        <f>INDEX(Assumptions!$B$93:$B$99,Y5)*Assumptions!$B$123*INDEX(Assumptions!$B$107:$B$113,Y5)*Y7</f>
        <v>117.3</v>
      </c>
      <c r="Z20" s="53">
        <f>INDEX(Assumptions!$B$93:$B$99,Z5)*Assumptions!$B$123*INDEX(Assumptions!$B$107:$B$113,Z5)*Z7</f>
        <v>117.3</v>
      </c>
      <c r="AA20" s="53">
        <f>INDEX(Assumptions!$B$93:$B$99,AA5)*Assumptions!$B$123*INDEX(Assumptions!$B$107:$B$113,AA5)*AA7</f>
        <v>4320</v>
      </c>
      <c r="AB20" s="53">
        <f>INDEX(Assumptions!$B$93:$B$99,AB5)*Assumptions!$B$123*INDEX(Assumptions!$B$107:$B$113,AB5)*AB7</f>
        <v>6480</v>
      </c>
      <c r="AC20" s="53">
        <f>INDEX(Assumptions!$B$93:$B$99,AC5)*Assumptions!$B$123*INDEX(Assumptions!$B$107:$B$113,AC5)*AC7</f>
        <v>9720</v>
      </c>
      <c r="AD20" s="53">
        <f>INDEX(Assumptions!$B$93:$B$99,AD5)*Assumptions!$B$123*INDEX(Assumptions!$B$107:$B$113,AD5)*AD7</f>
        <v>11448</v>
      </c>
      <c r="AE20" s="53">
        <f>INDEX(Assumptions!$B$93:$B$99,AE5)*Assumptions!$B$123*INDEX(Assumptions!$B$107:$B$113,AE5)*AE7</f>
        <v>13392</v>
      </c>
    </row>
    <row r="21" spans="1:31" x14ac:dyDescent="0.25">
      <c r="A21" s="6" t="s">
        <v>452</v>
      </c>
      <c r="B21" s="23" t="s">
        <v>35</v>
      </c>
      <c r="C21" s="53">
        <f>Assumptions!$B$6*(1+Assumptions!$B$120)^(C5-1)</f>
        <v>141.46</v>
      </c>
      <c r="D21" s="53">
        <f>Assumptions!$B$6*(1+Assumptions!$B$120)^(D5-1)</f>
        <v>141.46</v>
      </c>
      <c r="E21" s="53">
        <f>Assumptions!$B$6*(1+Assumptions!$B$120)^(E5-1)</f>
        <v>141.46</v>
      </c>
      <c r="F21" s="53">
        <f>Assumptions!$B$6*(1+Assumptions!$B$120)^(F5-1)</f>
        <v>141.46</v>
      </c>
      <c r="G21" s="53">
        <f>Assumptions!$B$6*(1+Assumptions!$B$120)^(G5-1)</f>
        <v>141.46</v>
      </c>
      <c r="H21" s="53">
        <f>Assumptions!$B$6*(1+Assumptions!$B$120)^(H5-1)</f>
        <v>141.46</v>
      </c>
      <c r="I21" s="53">
        <f>Assumptions!$B$6*(1+Assumptions!$B$120)^(I5-1)</f>
        <v>141.46</v>
      </c>
      <c r="J21" s="53">
        <f>Assumptions!$B$6*(1+Assumptions!$B$120)^(J5-1)</f>
        <v>141.46</v>
      </c>
      <c r="K21" s="53">
        <f>Assumptions!$B$6*(1+Assumptions!$B$120)^(K5-1)</f>
        <v>141.46</v>
      </c>
      <c r="L21" s="53">
        <f>Assumptions!$B$6*(1+Assumptions!$B$120)^(L5-1)</f>
        <v>141.46</v>
      </c>
      <c r="M21" s="53">
        <f>Assumptions!$B$6*(1+Assumptions!$B$120)^(M5-1)</f>
        <v>141.46</v>
      </c>
      <c r="N21" s="53">
        <f>Assumptions!$B$6*(1+Assumptions!$B$120)^(N5-1)</f>
        <v>141.46</v>
      </c>
      <c r="O21" s="53">
        <f>Assumptions!$B$6*(1+Assumptions!$B$120)^(O5-1)</f>
        <v>152.91826</v>
      </c>
      <c r="P21" s="53">
        <f>Assumptions!$B$6*(1+Assumptions!$B$120)^(P5-1)</f>
        <v>152.91826</v>
      </c>
      <c r="Q21" s="53">
        <f>Assumptions!$B$6*(1+Assumptions!$B$120)^(Q5-1)</f>
        <v>152.91826</v>
      </c>
      <c r="R21" s="53">
        <f>Assumptions!$B$6*(1+Assumptions!$B$120)^(R5-1)</f>
        <v>152.91826</v>
      </c>
      <c r="S21" s="53">
        <f>Assumptions!$B$6*(1+Assumptions!$B$120)^(S5-1)</f>
        <v>152.91826</v>
      </c>
      <c r="T21" s="53">
        <f>Assumptions!$B$6*(1+Assumptions!$B$120)^(T5-1)</f>
        <v>152.91826</v>
      </c>
      <c r="U21" s="53">
        <f>Assumptions!$B$6*(1+Assumptions!$B$120)^(U5-1)</f>
        <v>152.91826</v>
      </c>
      <c r="V21" s="53">
        <f>Assumptions!$B$6*(1+Assumptions!$B$120)^(V5-1)</f>
        <v>152.91826</v>
      </c>
      <c r="W21" s="53">
        <f>Assumptions!$B$6*(1+Assumptions!$B$120)^(W5-1)</f>
        <v>152.91826</v>
      </c>
      <c r="X21" s="53">
        <f>Assumptions!$B$6*(1+Assumptions!$B$120)^(X5-1)</f>
        <v>152.91826</v>
      </c>
      <c r="Y21" s="53">
        <f>Assumptions!$B$6*(1+Assumptions!$B$120)^(Y5-1)</f>
        <v>152.91826</v>
      </c>
      <c r="Z21" s="53">
        <f>Assumptions!$B$6*(1+Assumptions!$B$120)^(Z5-1)</f>
        <v>152.91826</v>
      </c>
      <c r="AA21" s="53">
        <f>Assumptions!$B$6*(1+Assumptions!$B$120)^(AA5-1)</f>
        <v>165.30463906</v>
      </c>
      <c r="AB21" s="53">
        <f>Assumptions!$B$6*(1+Assumptions!$B$120)^(AB5-1)</f>
        <v>178.69431482386</v>
      </c>
      <c r="AC21" s="53">
        <f>Assumptions!$B$6*(1+Assumptions!$B$120)^(AC5-1)</f>
        <v>193.16855432459266</v>
      </c>
      <c r="AD21" s="53">
        <f>Assumptions!$B$6*(1+Assumptions!$B$120)^(AD5-1)</f>
        <v>208.81520722488466</v>
      </c>
      <c r="AE21" s="53">
        <f>Assumptions!$B$6*(1+Assumptions!$B$120)^(AE5-1)</f>
        <v>225.72923901010031</v>
      </c>
    </row>
    <row r="22" spans="1:31" x14ac:dyDescent="0.25">
      <c r="A22" s="9" t="s">
        <v>453</v>
      </c>
    </row>
    <row r="23" spans="1:31" x14ac:dyDescent="0.25">
      <c r="A23" s="6" t="s">
        <v>454</v>
      </c>
      <c r="B23" s="23" t="s">
        <v>455</v>
      </c>
      <c r="C23" s="48">
        <f>Assumptions!$B$114*1+Assumptions!$B$115*IF(C2&gt;=Assumptions!$B$56,1,0)+Assumptions!$B$116*IF(C2&gt;=Assumptions!$B$57,1,0)</f>
        <v>0.9</v>
      </c>
      <c r="D23" s="48">
        <f>Assumptions!$B$114*1+Assumptions!$B$115*IF(D2&gt;=Assumptions!$B$56,1,0)+Assumptions!$B$116*IF(D2&gt;=Assumptions!$B$57,1,0)</f>
        <v>0.9</v>
      </c>
      <c r="E23" s="48">
        <f>Assumptions!$B$114*1+Assumptions!$B$115*IF(E2&gt;=Assumptions!$B$56,1,0)+Assumptions!$B$116*IF(E2&gt;=Assumptions!$B$57,1,0)</f>
        <v>0.9</v>
      </c>
      <c r="F23" s="48">
        <f>Assumptions!$B$114*1+Assumptions!$B$115*IF(F2&gt;=Assumptions!$B$56,1,0)+Assumptions!$B$116*IF(F2&gt;=Assumptions!$B$57,1,0)</f>
        <v>0.9</v>
      </c>
      <c r="G23" s="48">
        <f>Assumptions!$B$114*1+Assumptions!$B$115*IF(G2&gt;=Assumptions!$B$56,1,0)+Assumptions!$B$116*IF(G2&gt;=Assumptions!$B$57,1,0)</f>
        <v>0.9</v>
      </c>
      <c r="H23" s="48">
        <f>Assumptions!$B$114*1+Assumptions!$B$115*IF(H2&gt;=Assumptions!$B$56,1,0)+Assumptions!$B$116*IF(H2&gt;=Assumptions!$B$57,1,0)</f>
        <v>0.9</v>
      </c>
      <c r="I23" s="48">
        <f>Assumptions!$B$114*1+Assumptions!$B$115*IF(I2&gt;=Assumptions!$B$56,1,0)+Assumptions!$B$116*IF(I2&gt;=Assumptions!$B$57,1,0)</f>
        <v>0.9</v>
      </c>
      <c r="J23" s="48">
        <f>Assumptions!$B$114*1+Assumptions!$B$115*IF(J2&gt;=Assumptions!$B$56,1,0)+Assumptions!$B$116*IF(J2&gt;=Assumptions!$B$57,1,0)</f>
        <v>0.9</v>
      </c>
      <c r="K23" s="48">
        <f>Assumptions!$B$114*1+Assumptions!$B$115*IF(K2&gt;=Assumptions!$B$56,1,0)+Assumptions!$B$116*IF(K2&gt;=Assumptions!$B$57,1,0)</f>
        <v>0.9</v>
      </c>
      <c r="L23" s="48">
        <f>Assumptions!$B$114*1+Assumptions!$B$115*IF(L2&gt;=Assumptions!$B$56,1,0)+Assumptions!$B$116*IF(L2&gt;=Assumptions!$B$57,1,0)</f>
        <v>0.9</v>
      </c>
      <c r="M23" s="48">
        <f>Assumptions!$B$114*1+Assumptions!$B$115*IF(M2&gt;=Assumptions!$B$56,1,0)+Assumptions!$B$116*IF(M2&gt;=Assumptions!$B$57,1,0)</f>
        <v>0.9</v>
      </c>
      <c r="N23" s="48">
        <f>Assumptions!$B$114*1+Assumptions!$B$115*IF(N2&gt;=Assumptions!$B$56,1,0)+Assumptions!$B$116*IF(N2&gt;=Assumptions!$B$57,1,0)</f>
        <v>0.9</v>
      </c>
      <c r="O23" s="48">
        <f>Assumptions!$B$114*1+Assumptions!$B$115*IF(O2&gt;=Assumptions!$B$56,1,0)+Assumptions!$B$116*IF(O2&gt;=Assumptions!$B$57,1,0)</f>
        <v>1</v>
      </c>
      <c r="P23" s="48">
        <f>Assumptions!$B$114*1+Assumptions!$B$115*IF(P2&gt;=Assumptions!$B$56,1,0)+Assumptions!$B$116*IF(P2&gt;=Assumptions!$B$57,1,0)</f>
        <v>1</v>
      </c>
      <c r="Q23" s="48">
        <f>Assumptions!$B$114*1+Assumptions!$B$115*IF(Q2&gt;=Assumptions!$B$56,1,0)+Assumptions!$B$116*IF(Q2&gt;=Assumptions!$B$57,1,0)</f>
        <v>1</v>
      </c>
      <c r="R23" s="48">
        <f>Assumptions!$B$114*1+Assumptions!$B$115*IF(R2&gt;=Assumptions!$B$56,1,0)+Assumptions!$B$116*IF(R2&gt;=Assumptions!$B$57,1,0)</f>
        <v>1</v>
      </c>
      <c r="S23" s="48">
        <f>Assumptions!$B$114*1+Assumptions!$B$115*IF(S2&gt;=Assumptions!$B$56,1,0)+Assumptions!$B$116*IF(S2&gt;=Assumptions!$B$57,1,0)</f>
        <v>1</v>
      </c>
      <c r="T23" s="48">
        <f>Assumptions!$B$114*1+Assumptions!$B$115*IF(T2&gt;=Assumptions!$B$56,1,0)+Assumptions!$B$116*IF(T2&gt;=Assumptions!$B$57,1,0)</f>
        <v>1</v>
      </c>
      <c r="U23" s="48">
        <f>Assumptions!$B$114*1+Assumptions!$B$115*IF(U2&gt;=Assumptions!$B$56,1,0)+Assumptions!$B$116*IF(U2&gt;=Assumptions!$B$57,1,0)</f>
        <v>1</v>
      </c>
      <c r="V23" s="48">
        <f>Assumptions!$B$114*1+Assumptions!$B$115*IF(V2&gt;=Assumptions!$B$56,1,0)+Assumptions!$B$116*IF(V2&gt;=Assumptions!$B$57,1,0)</f>
        <v>1</v>
      </c>
      <c r="W23" s="48">
        <f>Assumptions!$B$114*1+Assumptions!$B$115*IF(W2&gt;=Assumptions!$B$56,1,0)+Assumptions!$B$116*IF(W2&gt;=Assumptions!$B$57,1,0)</f>
        <v>1</v>
      </c>
      <c r="X23" s="48">
        <f>Assumptions!$B$114*1+Assumptions!$B$115*IF(X2&gt;=Assumptions!$B$56,1,0)+Assumptions!$B$116*IF(X2&gt;=Assumptions!$B$57,1,0)</f>
        <v>1</v>
      </c>
      <c r="Y23" s="48">
        <f>Assumptions!$B$114*1+Assumptions!$B$115*IF(Y2&gt;=Assumptions!$B$56,1,0)+Assumptions!$B$116*IF(Y2&gt;=Assumptions!$B$57,1,0)</f>
        <v>1</v>
      </c>
      <c r="Z23" s="48">
        <f>Assumptions!$B$114*1+Assumptions!$B$115*IF(Z2&gt;=Assumptions!$B$56,1,0)+Assumptions!$B$116*IF(Z2&gt;=Assumptions!$B$57,1,0)</f>
        <v>1</v>
      </c>
      <c r="AA23" s="48">
        <f>Assumptions!$B$114*1+Assumptions!$B$115*IF(AA2&gt;=Assumptions!$B$56,1,0)+Assumptions!$B$116*IF(AA2&gt;=Assumptions!$B$57,1,0)</f>
        <v>1</v>
      </c>
      <c r="AB23" s="48">
        <f>Assumptions!$B$114*1+Assumptions!$B$115*IF(AB2&gt;=Assumptions!$B$56,1,0)+Assumptions!$B$116*IF(AB2&gt;=Assumptions!$B$57,1,0)</f>
        <v>1</v>
      </c>
      <c r="AC23" s="48">
        <f>Assumptions!$B$114*1+Assumptions!$B$115*IF(AC2&gt;=Assumptions!$B$56,1,0)+Assumptions!$B$116*IF(AC2&gt;=Assumptions!$B$57,1,0)</f>
        <v>1</v>
      </c>
      <c r="AD23" s="48">
        <f>Assumptions!$B$114*1+Assumptions!$B$115*IF(AD2&gt;=Assumptions!$B$56,1,0)+Assumptions!$B$116*IF(AD2&gt;=Assumptions!$B$57,1,0)</f>
        <v>1</v>
      </c>
      <c r="AE23" s="48">
        <f>Assumptions!$B$114*1+Assumptions!$B$115*IF(AE2&gt;=Assumptions!$B$56,1,0)+Assumptions!$B$116*IF(AE2&gt;=Assumptions!$B$57,1,0)</f>
        <v>1</v>
      </c>
    </row>
    <row r="25" spans="1:31" x14ac:dyDescent="0.25">
      <c r="A25" s="46" t="s">
        <v>456</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spans="1:31" x14ac:dyDescent="0.25">
      <c r="A26" s="6" t="s">
        <v>457</v>
      </c>
      <c r="B26" s="23" t="s">
        <v>190</v>
      </c>
      <c r="C26" s="53">
        <f>INDEX(Assumptions!$B$100:$B$106,C5)*Assumptions!$B$127/12*C7/Assumptions!$B$124*(1+Assumptions!$B$132)*1</f>
        <v>63.970588235294123</v>
      </c>
      <c r="D26" s="53">
        <f>INDEX(Assumptions!$B$100:$B$106,D5)*Assumptions!$B$127/12*D7/Assumptions!$B$124*(1+Assumptions!$B$132)*1</f>
        <v>63.970588235294123</v>
      </c>
      <c r="E26" s="53">
        <f>INDEX(Assumptions!$B$100:$B$106,E5)*Assumptions!$B$127/12*E7/Assumptions!$B$124*(1+Assumptions!$B$132)*1</f>
        <v>63.970588235294123</v>
      </c>
      <c r="F26" s="53">
        <f>INDEX(Assumptions!$B$100:$B$106,F5)*Assumptions!$B$127/12*F7/Assumptions!$B$124*(1+Assumptions!$B$132)*1</f>
        <v>63.970588235294123</v>
      </c>
      <c r="G26" s="53">
        <f>INDEX(Assumptions!$B$100:$B$106,G5)*Assumptions!$B$127/12*G7/Assumptions!$B$124*(1+Assumptions!$B$132)*1</f>
        <v>63.970588235294123</v>
      </c>
      <c r="H26" s="53">
        <f>INDEX(Assumptions!$B$100:$B$106,H5)*Assumptions!$B$127/12*H7/Assumptions!$B$124*(1+Assumptions!$B$132)*1</f>
        <v>63.970588235294123</v>
      </c>
      <c r="I26" s="53">
        <f>INDEX(Assumptions!$B$100:$B$106,I5)*Assumptions!$B$127/12*I7/Assumptions!$B$124*(1+Assumptions!$B$132)*1</f>
        <v>63.970588235294123</v>
      </c>
      <c r="J26" s="53">
        <f>INDEX(Assumptions!$B$100:$B$106,J5)*Assumptions!$B$127/12*J7/Assumptions!$B$124*(1+Assumptions!$B$132)*1</f>
        <v>63.970588235294123</v>
      </c>
      <c r="K26" s="53">
        <f>INDEX(Assumptions!$B$100:$B$106,K5)*Assumptions!$B$127/12*K7/Assumptions!$B$124*(1+Assumptions!$B$132)*1</f>
        <v>63.970588235294123</v>
      </c>
      <c r="L26" s="53">
        <f>INDEX(Assumptions!$B$100:$B$106,L5)*Assumptions!$B$127/12*L7/Assumptions!$B$124*(1+Assumptions!$B$132)*1</f>
        <v>63.970588235294123</v>
      </c>
      <c r="M26" s="53">
        <f>INDEX(Assumptions!$B$100:$B$106,M5)*Assumptions!$B$127/12*M7/Assumptions!$B$124*(1+Assumptions!$B$132)*1</f>
        <v>63.970588235294123</v>
      </c>
      <c r="N26" s="53">
        <f>INDEX(Assumptions!$B$100:$B$106,N5)*Assumptions!$B$127/12*N7/Assumptions!$B$124*(1+Assumptions!$B$132)*1</f>
        <v>63.970588235294123</v>
      </c>
      <c r="O26" s="53">
        <f>INDEX(Assumptions!$B$100:$B$106,O5)*Assumptions!$B$127/12*O7/Assumptions!$B$124*(1+Assumptions!$B$132)*1</f>
        <v>191.91176470588235</v>
      </c>
      <c r="P26" s="53">
        <f>INDEX(Assumptions!$B$100:$B$106,P5)*Assumptions!$B$127/12*P7/Assumptions!$B$124*(1+Assumptions!$B$132)*1</f>
        <v>191.91176470588235</v>
      </c>
      <c r="Q26" s="53">
        <f>INDEX(Assumptions!$B$100:$B$106,Q5)*Assumptions!$B$127/12*Q7/Assumptions!$B$124*(1+Assumptions!$B$132)*1</f>
        <v>191.91176470588235</v>
      </c>
      <c r="R26" s="53">
        <f>INDEX(Assumptions!$B$100:$B$106,R5)*Assumptions!$B$127/12*R7/Assumptions!$B$124*(1+Assumptions!$B$132)*1</f>
        <v>191.91176470588235</v>
      </c>
      <c r="S26" s="53">
        <f>INDEX(Assumptions!$B$100:$B$106,S5)*Assumptions!$B$127/12*S7/Assumptions!$B$124*(1+Assumptions!$B$132)*1</f>
        <v>191.91176470588235</v>
      </c>
      <c r="T26" s="53">
        <f>INDEX(Assumptions!$B$100:$B$106,T5)*Assumptions!$B$127/12*T7/Assumptions!$B$124*(1+Assumptions!$B$132)*1</f>
        <v>191.91176470588235</v>
      </c>
      <c r="U26" s="53">
        <f>INDEX(Assumptions!$B$100:$B$106,U5)*Assumptions!$B$127/12*U7/Assumptions!$B$124*(1+Assumptions!$B$132)*1</f>
        <v>191.91176470588235</v>
      </c>
      <c r="V26" s="53">
        <f>INDEX(Assumptions!$B$100:$B$106,V5)*Assumptions!$B$127/12*V7/Assumptions!$B$124*(1+Assumptions!$B$132)*1</f>
        <v>191.91176470588235</v>
      </c>
      <c r="W26" s="53">
        <f>INDEX(Assumptions!$B$100:$B$106,W5)*Assumptions!$B$127/12*W7/Assumptions!$B$124*(1+Assumptions!$B$132)*1</f>
        <v>191.91176470588235</v>
      </c>
      <c r="X26" s="53">
        <f>INDEX(Assumptions!$B$100:$B$106,X5)*Assumptions!$B$127/12*X7/Assumptions!$B$124*(1+Assumptions!$B$132)*1</f>
        <v>191.91176470588235</v>
      </c>
      <c r="Y26" s="53">
        <f>INDEX(Assumptions!$B$100:$B$106,Y5)*Assumptions!$B$127/12*Y7/Assumptions!$B$124*(1+Assumptions!$B$132)*1</f>
        <v>191.91176470588235</v>
      </c>
      <c r="Z26" s="53">
        <f>INDEX(Assumptions!$B$100:$B$106,Z5)*Assumptions!$B$127/12*Z7/Assumptions!$B$124*(1+Assumptions!$B$132)*1</f>
        <v>191.91176470588235</v>
      </c>
      <c r="AA26" s="53">
        <f>INDEX(Assumptions!$B$100:$B$106,AA5)*Assumptions!$B$127/12*AA7/Assumptions!$B$124*(1+Assumptions!$B$132)*1</f>
        <v>3198.5294117647049</v>
      </c>
      <c r="AB26" s="53">
        <f>INDEX(Assumptions!$B$100:$B$106,AB5)*Assumptions!$B$127/12*AB7/Assumptions!$B$124*(1+Assumptions!$B$132)*1</f>
        <v>5117.6470588235297</v>
      </c>
      <c r="AC26" s="53">
        <f>INDEX(Assumptions!$B$100:$B$106,AC5)*Assumptions!$B$127/12*AC7/Assumptions!$B$124*(1+Assumptions!$B$132)*1</f>
        <v>7676.4705882352928</v>
      </c>
      <c r="AD26" s="53">
        <f>INDEX(Assumptions!$B$100:$B$106,AD5)*Assumptions!$B$127/12*AD7/Assumptions!$B$124*(1+Assumptions!$B$132)*1</f>
        <v>10875</v>
      </c>
      <c r="AE26" s="53">
        <f>INDEX(Assumptions!$B$100:$B$106,AE5)*Assumptions!$B$127/12*AE7/Assumptions!$B$124*(1+Assumptions!$B$132)*1</f>
        <v>14073.529411764703</v>
      </c>
    </row>
    <row r="27" spans="1:31" x14ac:dyDescent="0.25">
      <c r="A27" s="6" t="s">
        <v>458</v>
      </c>
      <c r="B27" s="23" t="s">
        <v>190</v>
      </c>
      <c r="C27" s="54">
        <v>0</v>
      </c>
      <c r="D27" s="54">
        <f>IF(D2&gt;=Assumptions!$B$55,C31*Assumptions!$B$130/12*Assumptions!$B$131*D7,0)</f>
        <v>0</v>
      </c>
      <c r="E27" s="54">
        <f>IF(E2&gt;=Assumptions!$B$55,D31*Assumptions!$B$130/12*Assumptions!$B$131*E7,0)</f>
        <v>0</v>
      </c>
      <c r="F27" s="54">
        <f>IF(F2&gt;=Assumptions!$B$55,E31*Assumptions!$B$130/12*Assumptions!$B$131*F7,0)</f>
        <v>0</v>
      </c>
      <c r="G27" s="54">
        <f>IF(G2&gt;=Assumptions!$B$55,F31*Assumptions!$B$130/12*Assumptions!$B$131*G7,0)</f>
        <v>0</v>
      </c>
      <c r="H27" s="54">
        <f>IF(H2&gt;=Assumptions!$B$55,G31*Assumptions!$B$130/12*Assumptions!$B$131*H7,0)</f>
        <v>0</v>
      </c>
      <c r="I27" s="54">
        <f>IF(I2&gt;=Assumptions!$B$55,H31*Assumptions!$B$130/12*Assumptions!$B$131*I7,0)</f>
        <v>0</v>
      </c>
      <c r="J27" s="54">
        <f>IF(J2&gt;=Assumptions!$B$55,I31*Assumptions!$B$130/12*Assumptions!$B$131*J7,0)</f>
        <v>0</v>
      </c>
      <c r="K27" s="54">
        <f>IF(K2&gt;=Assumptions!$B$55,J31*Assumptions!$B$130/12*Assumptions!$B$131*K7,0)</f>
        <v>0</v>
      </c>
      <c r="L27" s="54">
        <f>IF(L2&gt;=Assumptions!$B$55,K31*Assumptions!$B$130/12*Assumptions!$B$131*L7,0)</f>
        <v>0</v>
      </c>
      <c r="M27" s="54">
        <f>IF(M2&gt;=Assumptions!$B$55,L31*Assumptions!$B$130/12*Assumptions!$B$131*M7,0)</f>
        <v>0</v>
      </c>
      <c r="N27" s="54">
        <f>IF(N2&gt;=Assumptions!$B$55,M31*Assumptions!$B$130/12*Assumptions!$B$131*N7,0)</f>
        <v>0</v>
      </c>
      <c r="O27" s="54">
        <f>IF(O2&gt;=Assumptions!$B$55,N31*Assumptions!$B$130/12*Assumptions!$B$131*O7,0)</f>
        <v>21.985181867277682</v>
      </c>
      <c r="P27" s="54">
        <f>IF(P2&gt;=Assumptions!$B$55,O31*Assumptions!$B$130/12*Assumptions!$B$131*P7,0)</f>
        <v>29.007573301770517</v>
      </c>
      <c r="Q27" s="54">
        <f>IF(Q2&gt;=Assumptions!$B$55,P31*Assumptions!$B$130/12*Assumptions!$B$131*Q7,0)</f>
        <v>35.475746072333358</v>
      </c>
      <c r="R27" s="54">
        <f>IF(R2&gt;=Assumptions!$B$55,Q31*Assumptions!$B$130/12*Assumptions!$B$131*R7,0)</f>
        <v>41.465502383877087</v>
      </c>
      <c r="S27" s="54">
        <f>IF(S2&gt;=Assumptions!$B$55,R31*Assumptions!$B$130/12*Assumptions!$B$131*S7,0)</f>
        <v>49.280967330417049</v>
      </c>
      <c r="T27" s="54">
        <f>IF(T2&gt;=Assumptions!$B$55,S31*Assumptions!$B$130/12*Assumptions!$B$131*T7,0)</f>
        <v>55.998019370566112</v>
      </c>
      <c r="U27" s="54">
        <f>IF(U2&gt;=Assumptions!$B$55,T31*Assumptions!$B$130/12*Assumptions!$B$131*U7,0)</f>
        <v>61.146038083280025</v>
      </c>
      <c r="V27" s="54">
        <f>IF(V2&gt;=Assumptions!$B$55,U31*Assumptions!$B$130/12*Assumptions!$B$131*V7,0)</f>
        <v>65.891383133957703</v>
      </c>
      <c r="W27" s="54">
        <f>IF(W2&gt;=Assumptions!$B$55,V31*Assumptions!$B$130/12*Assumptions!$B$131*W7,0)</f>
        <v>70.511559617818094</v>
      </c>
      <c r="X27" s="54">
        <f>IF(X2&gt;=Assumptions!$B$55,W31*Assumptions!$B$130/12*Assumptions!$B$131*X7,0)</f>
        <v>75.754667777573886</v>
      </c>
      <c r="Y27" s="54">
        <f>IF(Y2&gt;=Assumptions!$B$55,X31*Assumptions!$B$130/12*Assumptions!$B$131*Y7,0)</f>
        <v>83.895646901683037</v>
      </c>
      <c r="Z27" s="54">
        <f>IF(Z2&gt;=Assumptions!$B$55,Y31*Assumptions!$B$130/12*Assumptions!$B$131*Z7,0)</f>
        <v>90.940175256523617</v>
      </c>
      <c r="AA27" s="54">
        <f>IF(AA2&gt;=Assumptions!$B$55,Z31*Assumptions!$B$130/12*Assumptions!$B$131*AA7,0)</f>
        <v>1157.6563819244166</v>
      </c>
      <c r="AB27" s="54">
        <f>IF(AB2&gt;=Assumptions!$B$55,AA31*Assumptions!$B$130/12*Assumptions!$B$131*AB7,0)</f>
        <v>2320.0349040523365</v>
      </c>
      <c r="AC27" s="54">
        <f>IF(AC2&gt;=Assumptions!$B$55,AB31*Assumptions!$B$130/12*Assumptions!$B$131*AC7,0)</f>
        <v>3920.1934311482546</v>
      </c>
      <c r="AD27" s="54">
        <f>IF(AD2&gt;=Assumptions!$B$55,AC31*Assumptions!$B$130/12*Assumptions!$B$131*AD7,0)</f>
        <v>5938.7119581629322</v>
      </c>
      <c r="AE27" s="54">
        <f>IF(AE2&gt;=Assumptions!$B$55,AD31*Assumptions!$B$130/12*Assumptions!$B$131*AE7,0)</f>
        <v>7886.2109406708823</v>
      </c>
    </row>
    <row r="28" spans="1:31" x14ac:dyDescent="0.25">
      <c r="A28" s="6" t="s">
        <v>459</v>
      </c>
      <c r="B28" s="23" t="s">
        <v>190</v>
      </c>
      <c r="C28" s="54">
        <f>C26+C27+IF(C23=0,0,C20*Assumptions!$B$114/C23*1)</f>
        <v>78.370588235294122</v>
      </c>
      <c r="D28" s="54">
        <f>D26+D27+IF(D23=0,0,D20*Assumptions!$B$114/D23*1)</f>
        <v>78.370588235294122</v>
      </c>
      <c r="E28" s="54">
        <f>E26+E27+IF(E23=0,0,E20*Assumptions!$B$114/E23*1)</f>
        <v>78.370588235294122</v>
      </c>
      <c r="F28" s="54">
        <f>F26+F27+IF(F23=0,0,F20*Assumptions!$B$114/F23*1)</f>
        <v>78.370588235294122</v>
      </c>
      <c r="G28" s="54">
        <f>G26+G27+IF(G23=0,0,G20*Assumptions!$B$114/G23*1)</f>
        <v>78.370588235294122</v>
      </c>
      <c r="H28" s="54">
        <f>H26+H27+IF(H23=0,0,H20*Assumptions!$B$114/H23*1)</f>
        <v>78.370588235294122</v>
      </c>
      <c r="I28" s="54">
        <f>I26+I27+IF(I23=0,0,I20*Assumptions!$B$114/I23*1)</f>
        <v>78.370588235294122</v>
      </c>
      <c r="J28" s="54">
        <f>J26+J27+IF(J23=0,0,J20*Assumptions!$B$114/J23*1)</f>
        <v>78.370588235294122</v>
      </c>
      <c r="K28" s="54">
        <f>K26+K27+IF(K23=0,0,K20*Assumptions!$B$114/K23*1)</f>
        <v>78.370588235294122</v>
      </c>
      <c r="L28" s="54">
        <f>L26+L27+IF(L23=0,0,L20*Assumptions!$B$114/L23*1)</f>
        <v>78.370588235294122</v>
      </c>
      <c r="M28" s="54">
        <f>M26+M27+IF(M23=0,0,M20*Assumptions!$B$114/M23*1)</f>
        <v>78.370588235294122</v>
      </c>
      <c r="N28" s="54">
        <f>N26+N27+IF(N23=0,0,N20*Assumptions!$B$114/N23*1)</f>
        <v>78.370588235294122</v>
      </c>
      <c r="O28" s="54">
        <f>O26+O27+IF(O23=0,0,O20*Assumptions!$B$114/O23*1)</f>
        <v>266.68194657316002</v>
      </c>
      <c r="P28" s="54">
        <f>P26+P27+IF(P23=0,0,P20*Assumptions!$B$114/P23*1)</f>
        <v>273.70433800765284</v>
      </c>
      <c r="Q28" s="54">
        <f>Q26+Q27+IF(Q23=0,0,Q20*Assumptions!$B$114/Q23*1)</f>
        <v>280.17251077821572</v>
      </c>
      <c r="R28" s="54">
        <f>R26+R27+IF(R23=0,0,R20*Assumptions!$B$114/R23*1)</f>
        <v>286.16226708975944</v>
      </c>
      <c r="S28" s="54">
        <f>S26+S27+IF(S23=0,0,S20*Assumptions!$B$114/S23*1)</f>
        <v>293.97773203629936</v>
      </c>
      <c r="T28" s="54">
        <f>T26+T27+IF(T23=0,0,T20*Assumptions!$B$114/T23*1)</f>
        <v>300.69478407644846</v>
      </c>
      <c r="U28" s="54">
        <f>U26+U27+IF(U23=0,0,U20*Assumptions!$B$114/U23*1)</f>
        <v>305.84280278916236</v>
      </c>
      <c r="V28" s="54">
        <f>V26+V27+IF(V23=0,0,V20*Assumptions!$B$114/V23*1)</f>
        <v>310.58814783984008</v>
      </c>
      <c r="W28" s="54">
        <f>W26+W27+IF(W23=0,0,W20*Assumptions!$B$114/W23*1)</f>
        <v>315.20832432370048</v>
      </c>
      <c r="X28" s="54">
        <f>X26+X27+IF(X23=0,0,X20*Assumptions!$B$114/X23*1)</f>
        <v>320.45143248345619</v>
      </c>
      <c r="Y28" s="54">
        <f>Y26+Y27+IF(Y23=0,0,Y20*Assumptions!$B$114/Y23*1)</f>
        <v>328.5924116075654</v>
      </c>
      <c r="Z28" s="54">
        <f>Z26+Z27+IF(Z23=0,0,Z20*Assumptions!$B$114/Z23*1)</f>
        <v>335.6369399624059</v>
      </c>
      <c r="AA28" s="54">
        <f>AA26+AA27+IF(AA23=0,0,AA20*Assumptions!$B$114/AA23*1)</f>
        <v>6300.1857936891211</v>
      </c>
      <c r="AB28" s="54">
        <f>AB26+AB27+IF(AB23=0,0,AB20*Assumptions!$B$114/AB23*1)</f>
        <v>10353.681962875866</v>
      </c>
      <c r="AC28" s="54">
        <f>AC26+AC27+IF(AC23=0,0,AC20*Assumptions!$B$114/AC23*1)</f>
        <v>15970.664019383548</v>
      </c>
      <c r="AD28" s="54">
        <f>AD26+AD27+IF(AD23=0,0,AD20*Assumptions!$B$114/AD23*1)</f>
        <v>21965.311958162929</v>
      </c>
      <c r="AE28" s="54">
        <f>AE26+AE27+IF(AE23=0,0,AE20*Assumptions!$B$114/AE23*1)</f>
        <v>27986.140352435585</v>
      </c>
    </row>
    <row r="29" spans="1:31" x14ac:dyDescent="0.25">
      <c r="A29" s="6" t="s">
        <v>460</v>
      </c>
      <c r="B29" s="23" t="s">
        <v>455</v>
      </c>
      <c r="C29" s="51">
        <v>1</v>
      </c>
      <c r="D29" s="51">
        <f>MAX(0,1-C34/Assumptions!$B$84)</f>
        <v>0.99944506400790223</v>
      </c>
      <c r="E29" s="51">
        <f>MAX(0,1-D34/Assumptions!$B$84)</f>
        <v>0.99891789280333121</v>
      </c>
      <c r="F29" s="51">
        <f>MAX(0,1-E34/Assumptions!$B$84)</f>
        <v>0.99841295354341275</v>
      </c>
      <c r="G29" s="51">
        <f>MAX(0,1-F34/Assumptions!$B$84)</f>
        <v>0.99778209851833111</v>
      </c>
      <c r="H29" s="51">
        <f>MAX(0,1-G34/Assumptions!$B$84)</f>
        <v>0.99721194663052104</v>
      </c>
      <c r="I29" s="51">
        <f>MAX(0,1-H34/Assumptions!$B$84)</f>
        <v>0.99672978609109242</v>
      </c>
      <c r="J29" s="51">
        <f>MAX(0,1-I34/Assumptions!$B$84)</f>
        <v>0.99626428802397049</v>
      </c>
      <c r="K29" s="51">
        <f>MAX(0,1-J34/Assumptions!$B$84)</f>
        <v>0.99579900735624149</v>
      </c>
      <c r="L29" s="51">
        <f>MAX(0,1-K34/Assumptions!$B$84)</f>
        <v>0.99529017331626946</v>
      </c>
      <c r="M29" s="51">
        <f>MAX(0,1-L34/Assumptions!$B$84)</f>
        <v>0.99460660606409823</v>
      </c>
      <c r="N29" s="51">
        <f>MAX(0,1-M34/Assumptions!$B$84)</f>
        <v>0.99397815610940943</v>
      </c>
      <c r="O29" s="51">
        <f>MAX(0,1-N34/Assumptions!$B$84)</f>
        <v>0.99342656185522538</v>
      </c>
      <c r="P29" s="51">
        <f>MAX(0,1-O34/Assumptions!$B$84)</f>
        <v>0.99155062087375379</v>
      </c>
      <c r="Q29" s="51">
        <f>MAX(0,1-P34/Assumptions!$B$84)</f>
        <v>0.98972405130660257</v>
      </c>
      <c r="R29" s="51">
        <f>MAX(0,1-Q34/Assumptions!$B$84)</f>
        <v>0.98793552271764384</v>
      </c>
      <c r="S29" s="51">
        <f>MAX(0,1-R34/Assumptions!$B$84)</f>
        <v>0.98565619263412196</v>
      </c>
      <c r="T29" s="51">
        <f>MAX(0,1-S34/Assumptions!$B$84)</f>
        <v>0.98354347410032683</v>
      </c>
      <c r="U29" s="51">
        <f>MAX(0,1-T34/Assumptions!$B$84)</f>
        <v>0.98171886204042735</v>
      </c>
      <c r="V29" s="51">
        <f>MAX(0,1-U34/Assumptions!$B$84)</f>
        <v>0.97992960498285298</v>
      </c>
      <c r="W29" s="51">
        <f>MAX(0,1-V34/Assumptions!$B$84)</f>
        <v>0.97811589812129074</v>
      </c>
      <c r="X29" s="51">
        <f>MAX(0,1-W34/Assumptions!$B$84)</f>
        <v>0.97610569770937528</v>
      </c>
      <c r="Y29" s="51">
        <f>MAX(0,1-X34/Assumptions!$B$84)</f>
        <v>0.97336451810945579</v>
      </c>
      <c r="Z29" s="51">
        <f>MAX(0,1-Y34/Assumptions!$B$84)</f>
        <v>0.97078582717180406</v>
      </c>
      <c r="AA29" s="51">
        <f>MAX(0,1-Z34/Assumptions!$B$84)</f>
        <v>0.96847863926353128</v>
      </c>
      <c r="AB29" s="51">
        <f>MAX(0,1-AA34/Assumptions!$B$84)</f>
        <v>0.92570149223990572</v>
      </c>
      <c r="AC29" s="51">
        <f>MAX(0,1-AB34/Assumptions!$B$84)</f>
        <v>0.85850691942832003</v>
      </c>
      <c r="AD29" s="51">
        <f>MAX(0,1-AC34/Assumptions!$B$84)</f>
        <v>0.76238217764705685</v>
      </c>
      <c r="AE29" s="51">
        <f>MAX(0,1-AD34/Assumptions!$B$84)</f>
        <v>0.6449793589960412</v>
      </c>
    </row>
    <row r="30" spans="1:31" x14ac:dyDescent="0.25">
      <c r="A30" s="6" t="s">
        <v>461</v>
      </c>
      <c r="B30" s="23" t="s">
        <v>190</v>
      </c>
      <c r="C30" s="54">
        <f t="shared" ref="C30:AE30" si="3">C28*C29*C15</f>
        <v>79.154294117647069</v>
      </c>
      <c r="D30" s="54">
        <f t="shared" si="3"/>
        <v>75.194013672154057</v>
      </c>
      <c r="E30" s="54">
        <f t="shared" si="3"/>
        <v>72.022920229136943</v>
      </c>
      <c r="F30" s="54">
        <f t="shared" si="3"/>
        <v>89.983142041574837</v>
      </c>
      <c r="G30" s="54">
        <f t="shared" si="3"/>
        <v>81.324640791188912</v>
      </c>
      <c r="H30" s="54">
        <f t="shared" si="3"/>
        <v>68.773836430373052</v>
      </c>
      <c r="I30" s="54">
        <f t="shared" si="3"/>
        <v>66.397154700458117</v>
      </c>
      <c r="J30" s="54">
        <f t="shared" si="3"/>
        <v>66.366145546716794</v>
      </c>
      <c r="K30" s="54">
        <f t="shared" si="3"/>
        <v>72.578459192686481</v>
      </c>
      <c r="L30" s="54">
        <f t="shared" si="3"/>
        <v>97.501845434504844</v>
      </c>
      <c r="M30" s="54">
        <f t="shared" si="3"/>
        <v>89.64009049694576</v>
      </c>
      <c r="N30" s="54">
        <f t="shared" si="3"/>
        <v>78.677639315200693</v>
      </c>
      <c r="O30" s="54">
        <f t="shared" si="3"/>
        <v>267.57821858596361</v>
      </c>
      <c r="P30" s="54">
        <f t="shared" si="3"/>
        <v>260.53603803583485</v>
      </c>
      <c r="Q30" s="54">
        <f t="shared" si="3"/>
        <v>255.1099946375858</v>
      </c>
      <c r="R30" s="54">
        <f t="shared" si="3"/>
        <v>325.11634925729555</v>
      </c>
      <c r="S30" s="54">
        <f t="shared" si="3"/>
        <v>301.35141096123749</v>
      </c>
      <c r="T30" s="54">
        <f t="shared" si="3"/>
        <v>260.25682546547006</v>
      </c>
      <c r="U30" s="54">
        <f t="shared" si="3"/>
        <v>255.21390106981661</v>
      </c>
      <c r="V30" s="54">
        <f t="shared" si="3"/>
        <v>258.70134287129287</v>
      </c>
      <c r="W30" s="54">
        <f t="shared" si="3"/>
        <v>286.72855411430055</v>
      </c>
      <c r="X30" s="54">
        <f t="shared" si="3"/>
        <v>390.99308635779096</v>
      </c>
      <c r="Y30" s="54">
        <f t="shared" si="3"/>
        <v>367.81622353564507</v>
      </c>
      <c r="Z30" s="54">
        <f t="shared" si="3"/>
        <v>329.08990023472552</v>
      </c>
      <c r="AA30" s="54">
        <f t="shared" si="3"/>
        <v>6101.5953645794707</v>
      </c>
      <c r="AB30" s="54">
        <f t="shared" si="3"/>
        <v>9584.4188432115843</v>
      </c>
      <c r="AC30" s="54">
        <f t="shared" si="3"/>
        <v>13710.925568505681</v>
      </c>
      <c r="AD30" s="54">
        <f t="shared" si="3"/>
        <v>16745.962363361192</v>
      </c>
      <c r="AE30" s="54">
        <f t="shared" si="3"/>
        <v>18050.482865287147</v>
      </c>
    </row>
    <row r="31" spans="1:31" x14ac:dyDescent="0.25">
      <c r="A31" s="6" t="s">
        <v>462</v>
      </c>
      <c r="B31" s="23" t="s">
        <v>190</v>
      </c>
      <c r="C31" s="28">
        <f>C30*(1-Assumptions!$B$122)^(C7/2)</f>
        <v>77.206925590737612</v>
      </c>
      <c r="D31" s="28">
        <f>C31*(1-Assumptions!$B$122)^D7+D30*(1-Assumptions!$B$122)^(D7/2)</f>
        <v>146.7988151103076</v>
      </c>
      <c r="E31" s="28">
        <f>D31*(1-Assumptions!$B$122)^E7+E30*(1-Assumptions!$B$122)^(E7/2)</f>
        <v>209.91552374430938</v>
      </c>
      <c r="F31" s="28">
        <f>E31*(1-Assumptions!$B$122)^F7+F30*(1-Assumptions!$B$122)^(F7/2)</f>
        <v>287.48317820700811</v>
      </c>
      <c r="G31" s="28">
        <f>F31*(1-Assumptions!$B$122)^G7+G30*(1-Assumptions!$B$122)^(G7/2)</f>
        <v>352.83563118858444</v>
      </c>
      <c r="H31" s="28">
        <f>G31*(1-Assumptions!$B$122)^H7+H30*(1-Assumptions!$B$122)^(H7/2)</f>
        <v>402.76998654736929</v>
      </c>
      <c r="I31" s="28">
        <f>H31*(1-Assumptions!$B$122)^I7+I30*(1-Assumptions!$B$122)^(I7/2)</f>
        <v>447.95936695848883</v>
      </c>
      <c r="J31" s="28">
        <f>I31*(1-Assumptions!$B$122)^J7+J30*(1-Assumptions!$B$122)^(J7/2)</f>
        <v>490.92233784597397</v>
      </c>
      <c r="K31" s="28">
        <f>J31*(1-Assumptions!$B$122)^K7+K30*(1-Assumptions!$B$122)^(K7/2)</f>
        <v>537.85682413308621</v>
      </c>
      <c r="L31" s="28">
        <f>K31*(1-Assumptions!$B$122)^L7+L30*(1-Assumptions!$B$122)^(L7/2)</f>
        <v>606.82055308239171</v>
      </c>
      <c r="M31" s="28">
        <f>L31*(1-Assumptions!$B$122)^M7+M30*(1-Assumptions!$B$122)^(M7/2)</f>
        <v>664.76436820886147</v>
      </c>
      <c r="N31" s="28">
        <f>M31*(1-Assumptions!$B$122)^N7+N30*(1-Assumptions!$B$122)^(N7/2)</f>
        <v>709.19941507347369</v>
      </c>
      <c r="O31" s="28">
        <f>N31*(1-Assumptions!$B$122)^O7+O30*(1-Assumptions!$B$122)^(O7/2)</f>
        <v>935.72817102485544</v>
      </c>
      <c r="P31" s="28">
        <f>O31*(1-Assumptions!$B$122)^P7+P30*(1-Assumptions!$B$122)^(P7/2)</f>
        <v>1144.3789055591405</v>
      </c>
      <c r="Q31" s="28">
        <f>P31*(1-Assumptions!$B$122)^Q7+Q30*(1-Assumptions!$B$122)^(Q7/2)</f>
        <v>1337.5968510928094</v>
      </c>
      <c r="R31" s="28">
        <f>Q31*(1-Assumptions!$B$122)^R7+R30*(1-Assumptions!$B$122)^(R7/2)</f>
        <v>1589.7086235618403</v>
      </c>
      <c r="S31" s="28">
        <f>R31*(1-Assumptions!$B$122)^S7+S30*(1-Assumptions!$B$122)^(S7/2)</f>
        <v>1806.387721631165</v>
      </c>
      <c r="T31" s="28">
        <f>S31*(1-Assumptions!$B$122)^T7+T30*(1-Assumptions!$B$122)^(T7/2)</f>
        <v>1972.45284139613</v>
      </c>
      <c r="U31" s="28">
        <f>T31*(1-Assumptions!$B$122)^U7+U30*(1-Assumptions!$B$122)^(U7/2)</f>
        <v>2125.5284881921839</v>
      </c>
      <c r="V31" s="28">
        <f>U31*(1-Assumptions!$B$122)^V7+V30*(1-Assumptions!$B$122)^(V7/2)</f>
        <v>2274.5664392844546</v>
      </c>
      <c r="W31" s="28">
        <f>V31*(1-Assumptions!$B$122)^W7+W30*(1-Assumptions!$B$122)^(W7/2)</f>
        <v>2443.6989605668996</v>
      </c>
      <c r="X31" s="28">
        <f>W31*(1-Assumptions!$B$122)^X7+X30*(1-Assumptions!$B$122)^(X7/2)</f>
        <v>2706.3111903768722</v>
      </c>
      <c r="Y31" s="28">
        <f>X31*(1-Assumptions!$B$122)^Y7+Y30*(1-Assumptions!$B$122)^(Y7/2)</f>
        <v>2933.5540405330198</v>
      </c>
      <c r="Z31" s="28">
        <f>Y31*(1-Assumptions!$B$122)^Z7+Z30*(1-Assumptions!$B$122)^(Z7/2)</f>
        <v>3111.9795213021953</v>
      </c>
      <c r="AA31" s="28">
        <f>Z31*(1-Assumptions!$B$122)^AA7+AA30*(1-Assumptions!$B$122)^(AA7/2)</f>
        <v>6236.6529678826255</v>
      </c>
      <c r="AB31" s="28">
        <f>AA31*(1-Assumptions!$B$122)^AB7+AB30*(1-Assumptions!$B$122)^(AB7/2)</f>
        <v>10538.154384807138</v>
      </c>
      <c r="AC31" s="28">
        <f>AB31*(1-Assumptions!$B$122)^AC7+AC30*(1-Assumptions!$B$122)^(AC7/2)</f>
        <v>15964.279457427236</v>
      </c>
      <c r="AD31" s="28">
        <f>AC31*(1-Assumptions!$B$122)^AD7+AD30*(1-Assumptions!$B$122)^(AD7/2)</f>
        <v>21199.491775996998</v>
      </c>
      <c r="AE31" s="28">
        <f>AD31*(1-Assumptions!$B$122)^AE7+AE30*(1-Assumptions!$B$122)^(AE7/2)</f>
        <v>25046.316848487222</v>
      </c>
    </row>
    <row r="32" spans="1:31" x14ac:dyDescent="0.25">
      <c r="A32" s="6" t="s">
        <v>463</v>
      </c>
      <c r="B32" s="23" t="s">
        <v>190</v>
      </c>
      <c r="C32" s="54">
        <f>C30-C31</f>
        <v>1.9473685269094574</v>
      </c>
      <c r="D32" s="54">
        <f t="shared" ref="D32:AE32" si="4">C31+D30-D31</f>
        <v>5.6021241525840537</v>
      </c>
      <c r="E32" s="54">
        <f t="shared" si="4"/>
        <v>8.9062115951351757</v>
      </c>
      <c r="F32" s="54">
        <f t="shared" si="4"/>
        <v>12.415487578876082</v>
      </c>
      <c r="G32" s="54">
        <f t="shared" si="4"/>
        <v>15.972187809612592</v>
      </c>
      <c r="H32" s="54">
        <f t="shared" si="4"/>
        <v>18.839481071588239</v>
      </c>
      <c r="I32" s="54">
        <f t="shared" si="4"/>
        <v>21.207774289338602</v>
      </c>
      <c r="J32" s="54">
        <f t="shared" si="4"/>
        <v>23.403174659231695</v>
      </c>
      <c r="K32" s="54">
        <f t="shared" si="4"/>
        <v>25.643972905574287</v>
      </c>
      <c r="L32" s="54">
        <f t="shared" si="4"/>
        <v>28.538116485199339</v>
      </c>
      <c r="M32" s="54">
        <f t="shared" si="4"/>
        <v>31.696275370475973</v>
      </c>
      <c r="N32" s="54">
        <f t="shared" si="4"/>
        <v>34.242592450588518</v>
      </c>
      <c r="O32" s="54">
        <f t="shared" si="4"/>
        <v>41.049462634581801</v>
      </c>
      <c r="P32" s="54">
        <f t="shared" si="4"/>
        <v>51.885303501549743</v>
      </c>
      <c r="Q32" s="54">
        <f t="shared" si="4"/>
        <v>61.892049103916861</v>
      </c>
      <c r="R32" s="54">
        <f t="shared" si="4"/>
        <v>73.004576788264558</v>
      </c>
      <c r="S32" s="54">
        <f t="shared" si="4"/>
        <v>84.672312891912725</v>
      </c>
      <c r="T32" s="54">
        <f t="shared" si="4"/>
        <v>94.191705700505054</v>
      </c>
      <c r="U32" s="54">
        <f t="shared" si="4"/>
        <v>102.13825427376287</v>
      </c>
      <c r="V32" s="54">
        <f t="shared" si="4"/>
        <v>109.66339177902228</v>
      </c>
      <c r="W32" s="54">
        <f t="shared" si="4"/>
        <v>117.59603283185561</v>
      </c>
      <c r="X32" s="54">
        <f t="shared" si="4"/>
        <v>128.38085654781844</v>
      </c>
      <c r="Y32" s="54">
        <f t="shared" si="4"/>
        <v>140.5733733794973</v>
      </c>
      <c r="Z32" s="54">
        <f t="shared" si="4"/>
        <v>150.66441946555005</v>
      </c>
      <c r="AA32" s="54">
        <f t="shared" si="4"/>
        <v>2976.9219179990405</v>
      </c>
      <c r="AB32" s="54">
        <f t="shared" si="4"/>
        <v>5282.9174262870729</v>
      </c>
      <c r="AC32" s="54">
        <f t="shared" si="4"/>
        <v>8284.8004958855836</v>
      </c>
      <c r="AD32" s="54">
        <f t="shared" si="4"/>
        <v>11510.750044791428</v>
      </c>
      <c r="AE32" s="54">
        <f t="shared" si="4"/>
        <v>14203.657792796927</v>
      </c>
    </row>
    <row r="33" spans="1:31" x14ac:dyDescent="0.25">
      <c r="A33" s="6" t="s">
        <v>464</v>
      </c>
      <c r="B33" s="23" t="s">
        <v>190</v>
      </c>
      <c r="C33" s="45">
        <f>C32</f>
        <v>1.9473685269094574</v>
      </c>
      <c r="D33" s="45">
        <f t="shared" ref="D33:AE33" si="5">C33+D32</f>
        <v>7.5494926794935111</v>
      </c>
      <c r="E33" s="45">
        <f t="shared" si="5"/>
        <v>16.455704274628687</v>
      </c>
      <c r="F33" s="45">
        <f t="shared" si="5"/>
        <v>28.871191853504769</v>
      </c>
      <c r="G33" s="45">
        <f t="shared" si="5"/>
        <v>44.843379663117361</v>
      </c>
      <c r="H33" s="45">
        <f t="shared" si="5"/>
        <v>63.682860734705599</v>
      </c>
      <c r="I33" s="45">
        <f t="shared" si="5"/>
        <v>84.890635024044201</v>
      </c>
      <c r="J33" s="45">
        <f t="shared" si="5"/>
        <v>108.2938096832759</v>
      </c>
      <c r="K33" s="45">
        <f t="shared" si="5"/>
        <v>133.93778258885018</v>
      </c>
      <c r="L33" s="45">
        <f t="shared" si="5"/>
        <v>162.47589907404952</v>
      </c>
      <c r="M33" s="45">
        <f t="shared" si="5"/>
        <v>194.1721744445255</v>
      </c>
      <c r="N33" s="45">
        <f t="shared" si="5"/>
        <v>228.41476689511401</v>
      </c>
      <c r="O33" s="45">
        <f t="shared" si="5"/>
        <v>269.46422952969579</v>
      </c>
      <c r="P33" s="45">
        <f t="shared" si="5"/>
        <v>321.34953303124553</v>
      </c>
      <c r="Q33" s="45">
        <f t="shared" si="5"/>
        <v>383.24158213516239</v>
      </c>
      <c r="R33" s="45">
        <f t="shared" si="5"/>
        <v>456.24615892342695</v>
      </c>
      <c r="S33" s="45">
        <f t="shared" si="5"/>
        <v>540.91847181533967</v>
      </c>
      <c r="T33" s="45">
        <f t="shared" si="5"/>
        <v>635.11017751584473</v>
      </c>
      <c r="U33" s="45">
        <f t="shared" si="5"/>
        <v>737.24843178960759</v>
      </c>
      <c r="V33" s="45">
        <f t="shared" si="5"/>
        <v>846.91182356862987</v>
      </c>
      <c r="W33" s="45">
        <f t="shared" si="5"/>
        <v>964.50785640048548</v>
      </c>
      <c r="X33" s="45">
        <f t="shared" si="5"/>
        <v>1092.8887129483039</v>
      </c>
      <c r="Y33" s="45">
        <f t="shared" si="5"/>
        <v>1233.4620863278012</v>
      </c>
      <c r="Z33" s="45">
        <f t="shared" si="5"/>
        <v>1384.1265057933513</v>
      </c>
      <c r="AA33" s="45">
        <f t="shared" si="5"/>
        <v>4361.048423792392</v>
      </c>
      <c r="AB33" s="45">
        <f t="shared" si="5"/>
        <v>9643.9658500794649</v>
      </c>
      <c r="AC33" s="45">
        <f t="shared" si="5"/>
        <v>17928.76634596505</v>
      </c>
      <c r="AD33" s="45">
        <f t="shared" si="5"/>
        <v>29439.516390756478</v>
      </c>
      <c r="AE33" s="45">
        <f t="shared" si="5"/>
        <v>43643.174183553405</v>
      </c>
    </row>
    <row r="34" spans="1:31" x14ac:dyDescent="0.25">
      <c r="A34" s="6" t="s">
        <v>465</v>
      </c>
      <c r="B34" s="23" t="s">
        <v>190</v>
      </c>
      <c r="C34" s="45">
        <f>C30</f>
        <v>79.154294117647069</v>
      </c>
      <c r="D34" s="45">
        <f t="shared" ref="D34:AE34" si="6">C34+D30</f>
        <v>154.34830778980114</v>
      </c>
      <c r="E34" s="45">
        <f t="shared" si="6"/>
        <v>226.3712280189381</v>
      </c>
      <c r="F34" s="45">
        <f t="shared" si="6"/>
        <v>316.35437006051291</v>
      </c>
      <c r="G34" s="45">
        <f t="shared" si="6"/>
        <v>397.67901085170183</v>
      </c>
      <c r="H34" s="45">
        <f t="shared" si="6"/>
        <v>466.45284728207491</v>
      </c>
      <c r="I34" s="45">
        <f t="shared" si="6"/>
        <v>532.85000198253306</v>
      </c>
      <c r="J34" s="45">
        <f t="shared" si="6"/>
        <v>599.21614752924984</v>
      </c>
      <c r="K34" s="45">
        <f t="shared" si="6"/>
        <v>671.79460672193636</v>
      </c>
      <c r="L34" s="45">
        <f t="shared" si="6"/>
        <v>769.29645215644121</v>
      </c>
      <c r="M34" s="45">
        <f t="shared" si="6"/>
        <v>858.93654265338694</v>
      </c>
      <c r="N34" s="45">
        <f t="shared" si="6"/>
        <v>937.61418196858767</v>
      </c>
      <c r="O34" s="45">
        <f t="shared" si="6"/>
        <v>1205.1924005545513</v>
      </c>
      <c r="P34" s="45">
        <f t="shared" si="6"/>
        <v>1465.7284385903863</v>
      </c>
      <c r="Q34" s="45">
        <f t="shared" si="6"/>
        <v>1720.838433227972</v>
      </c>
      <c r="R34" s="45">
        <f t="shared" si="6"/>
        <v>2045.9547824852675</v>
      </c>
      <c r="S34" s="45">
        <f t="shared" si="6"/>
        <v>2347.3061934465049</v>
      </c>
      <c r="T34" s="45">
        <f t="shared" si="6"/>
        <v>2607.5630189119752</v>
      </c>
      <c r="U34" s="45">
        <f t="shared" si="6"/>
        <v>2862.7769199817917</v>
      </c>
      <c r="V34" s="45">
        <f t="shared" si="6"/>
        <v>3121.4782628530847</v>
      </c>
      <c r="W34" s="45">
        <f t="shared" si="6"/>
        <v>3408.2068169673853</v>
      </c>
      <c r="X34" s="45">
        <f t="shared" si="6"/>
        <v>3799.1999033251764</v>
      </c>
      <c r="Y34" s="45">
        <f t="shared" si="6"/>
        <v>4167.0161268608217</v>
      </c>
      <c r="Z34" s="45">
        <f t="shared" si="6"/>
        <v>4496.1060270955477</v>
      </c>
      <c r="AA34" s="45">
        <f t="shared" si="6"/>
        <v>10597.701391675018</v>
      </c>
      <c r="AB34" s="45">
        <f t="shared" si="6"/>
        <v>20182.120234886603</v>
      </c>
      <c r="AC34" s="45">
        <f t="shared" si="6"/>
        <v>33893.045803392284</v>
      </c>
      <c r="AD34" s="45">
        <f t="shared" si="6"/>
        <v>50639.008166753476</v>
      </c>
      <c r="AE34" s="45">
        <f t="shared" si="6"/>
        <v>68689.49103204062</v>
      </c>
    </row>
    <row r="35" spans="1:31" x14ac:dyDescent="0.25">
      <c r="A35" s="6" t="s">
        <v>466</v>
      </c>
      <c r="B35" s="23" t="s">
        <v>114</v>
      </c>
      <c r="C35" s="55">
        <f>IF(C2&gt;=Assumptions!$B$47,C31*Assumptions!$B$175*C7,0)</f>
        <v>2594.1526998487839</v>
      </c>
      <c r="D35" s="55">
        <f>IF(D2&gt;=Assumptions!$B$47,D31*Assumptions!$B$175*D7,0)</f>
        <v>4932.4401877063356</v>
      </c>
      <c r="E35" s="55">
        <f>IF(E2&gt;=Assumptions!$B$47,E31*Assumptions!$B$175*E7,0)</f>
        <v>7053.1615978087957</v>
      </c>
      <c r="F35" s="55">
        <f>IF(F2&gt;=Assumptions!$B$47,F31*Assumptions!$B$175*F7,0)</f>
        <v>9659.4347877554737</v>
      </c>
      <c r="G35" s="55">
        <f>IF(G2&gt;=Assumptions!$B$47,G31*Assumptions!$B$175*G7,0)</f>
        <v>11855.277207936439</v>
      </c>
      <c r="H35" s="55">
        <f>IF(H2&gt;=Assumptions!$B$47,H31*Assumptions!$B$175*H7,0)</f>
        <v>13533.071547991609</v>
      </c>
      <c r="I35" s="55">
        <f>IF(I2&gt;=Assumptions!$B$47,I31*Assumptions!$B$175*I7,0)</f>
        <v>15051.434729805225</v>
      </c>
      <c r="J35" s="55">
        <f>IF(J2&gt;=Assumptions!$B$47,J31*Assumptions!$B$175*J7,0)</f>
        <v>16494.990551624727</v>
      </c>
      <c r="K35" s="55">
        <f>IF(K2&gt;=Assumptions!$B$47,K31*Assumptions!$B$175*K7,0)</f>
        <v>18071.989290871697</v>
      </c>
      <c r="L35" s="55">
        <f>IF(L2&gt;=Assumptions!$B$47,L31*Assumptions!$B$175*L7,0)</f>
        <v>20389.170583568361</v>
      </c>
      <c r="M35" s="55">
        <f>IF(M2&gt;=Assumptions!$B$47,M31*Assumptions!$B$175*M7,0)</f>
        <v>22336.082771817746</v>
      </c>
      <c r="N35" s="55">
        <f>IF(N2&gt;=Assumptions!$B$47,N31*Assumptions!$B$175*N7,0)</f>
        <v>23829.100346468716</v>
      </c>
      <c r="O35" s="55">
        <f>IF(O2&gt;=Assumptions!$B$47,O31*Assumptions!$B$175*O7,0)</f>
        <v>31440.466546435146</v>
      </c>
      <c r="P35" s="55">
        <f>IF(P2&gt;=Assumptions!$B$47,P31*Assumptions!$B$175*P7,0)</f>
        <v>38451.131226787125</v>
      </c>
      <c r="Q35" s="55">
        <f>IF(Q2&gt;=Assumptions!$B$47,Q31*Assumptions!$B$175*Q7,0)</f>
        <v>44943.254196718401</v>
      </c>
      <c r="R35" s="55">
        <f>IF(R2&gt;=Assumptions!$B$47,R31*Assumptions!$B$175*R7,0)</f>
        <v>53414.209751677838</v>
      </c>
      <c r="S35" s="55">
        <f>IF(S2&gt;=Assumptions!$B$47,S31*Assumptions!$B$175*S7,0)</f>
        <v>60694.62744680715</v>
      </c>
      <c r="T35" s="55">
        <f>IF(T2&gt;=Assumptions!$B$47,T31*Assumptions!$B$175*T7,0)</f>
        <v>66274.415470909968</v>
      </c>
      <c r="U35" s="55">
        <f>IF(U2&gt;=Assumptions!$B$47,U31*Assumptions!$B$175*U7,0)</f>
        <v>71417.757203257381</v>
      </c>
      <c r="V35" s="55">
        <f>IF(V2&gt;=Assumptions!$B$47,V31*Assumptions!$B$175*V7,0)</f>
        <v>76425.432359957675</v>
      </c>
      <c r="W35" s="55">
        <f>IF(W2&gt;=Assumptions!$B$47,W31*Assumptions!$B$175*W7,0)</f>
        <v>82108.285075047825</v>
      </c>
      <c r="X35" s="55">
        <f>IF(X2&gt;=Assumptions!$B$47,X31*Assumptions!$B$175*X7,0)</f>
        <v>90932.055996662908</v>
      </c>
      <c r="Y35" s="55">
        <f>IF(Y2&gt;=Assumptions!$B$47,Y31*Assumptions!$B$175*Y7,0)</f>
        <v>98567.415761909477</v>
      </c>
      <c r="Z35" s="55">
        <f>IF(Z2&gt;=Assumptions!$B$47,Z31*Assumptions!$B$175*Z7,0)</f>
        <v>104562.51191575377</v>
      </c>
      <c r="AA35" s="55">
        <f>IF(AA2&gt;=Assumptions!$B$47,AA31*Assumptions!$B$175*AA7,0)</f>
        <v>2514618.4766502748</v>
      </c>
      <c r="AB35" s="55">
        <f>IF(AB2&gt;=Assumptions!$B$47,AB31*Assumptions!$B$175*AB7,0)</f>
        <v>4248983.8479542378</v>
      </c>
      <c r="AC35" s="55">
        <f>IF(AC2&gt;=Assumptions!$B$47,AC31*Assumptions!$B$175*AC7,0)</f>
        <v>6436797.4772346616</v>
      </c>
      <c r="AD35" s="55">
        <f>IF(AD2&gt;=Assumptions!$B$47,AD31*Assumptions!$B$175*AD7,0)</f>
        <v>8547635.0840819888</v>
      </c>
      <c r="AE35" s="55">
        <f>IF(AE2&gt;=Assumptions!$B$47,AE31*Assumptions!$B$175*AE7,0)</f>
        <v>10098674.953310048</v>
      </c>
    </row>
    <row r="36" spans="1:31" x14ac:dyDescent="0.25">
      <c r="A36" s="6" t="s">
        <v>467</v>
      </c>
      <c r="B36" s="23" t="s">
        <v>114</v>
      </c>
      <c r="C36" s="55">
        <f>IF(C2&gt;=Assumptions!$B$48,C31*Assumptions!$B$35*Assumptions!$B$139*Assumptions!$B$141*Assumptions!$B$32*Assumptions!$B$140/12*C7,0)</f>
        <v>249.37836965808251</v>
      </c>
      <c r="D36" s="55">
        <f>IF(D2&gt;=Assumptions!$B$48,D31*Assumptions!$B$35*Assumptions!$B$139*Assumptions!$B$141*Assumptions!$B$32*Assumptions!$B$140/12*D7,0)</f>
        <v>474.16017280629353</v>
      </c>
      <c r="E36" s="55">
        <f>IF(E2&gt;=Assumptions!$B$48,E31*Assumptions!$B$35*Assumptions!$B$139*Assumptions!$B$141*Assumptions!$B$32*Assumptions!$B$140/12*E7,0)</f>
        <v>678.02714169411922</v>
      </c>
      <c r="F36" s="55">
        <f>IF(F2&gt;=Assumptions!$B$48,F31*Assumptions!$B$35*Assumptions!$B$139*Assumptions!$B$141*Assumptions!$B$32*Assumptions!$B$140/12*F7,0)</f>
        <v>928.57066560863598</v>
      </c>
      <c r="G36" s="55">
        <f>IF(G2&gt;=Assumptions!$B$48,G31*Assumptions!$B$35*Assumptions!$B$139*Assumptions!$B$141*Assumptions!$B$32*Assumptions!$B$140/12*G7,0)</f>
        <v>1139.6590887391278</v>
      </c>
      <c r="H36" s="55">
        <f>IF(H2&gt;=Assumptions!$B$48,H31*Assumptions!$B$35*Assumptions!$B$139*Assumptions!$B$141*Assumptions!$B$32*Assumptions!$B$140/12*H7,0)</f>
        <v>1300.9470565480028</v>
      </c>
      <c r="I36" s="55">
        <f>IF(I2&gt;=Assumptions!$B$48,I31*Assumptions!$B$35*Assumptions!$B$139*Assumptions!$B$141*Assumptions!$B$32*Assumptions!$B$140/12*I7,0)</f>
        <v>1446.908755275919</v>
      </c>
      <c r="J36" s="55">
        <f>IF(J2&gt;=Assumptions!$B$48,J31*Assumptions!$B$35*Assumptions!$B$139*Assumptions!$B$141*Assumptions!$B$32*Assumptions!$B$140/12*J7,0)</f>
        <v>1585.6791512424959</v>
      </c>
      <c r="K36" s="55">
        <f>IF(K2&gt;=Assumptions!$B$48,K31*Assumptions!$B$35*Assumptions!$B$139*Assumptions!$B$141*Assumptions!$B$32*Assumptions!$B$140/12*K7,0)</f>
        <v>1737.2775419498682</v>
      </c>
      <c r="L36" s="55">
        <f>IF(L2&gt;=Assumptions!$B$48,L31*Assumptions!$B$35*Assumptions!$B$139*Assumptions!$B$141*Assumptions!$B$32*Assumptions!$B$140/12*L7,0)</f>
        <v>1960.0303864561249</v>
      </c>
      <c r="M36" s="55">
        <f>IF(M2&gt;=Assumptions!$B$48,M31*Assumptions!$B$35*Assumptions!$B$139*Assumptions!$B$141*Assumptions!$B$32*Assumptions!$B$140/12*M7,0)</f>
        <v>2147.1889093146224</v>
      </c>
      <c r="N36" s="55">
        <f>IF(N2&gt;=Assumptions!$B$48,N31*Assumptions!$B$35*Assumptions!$B$139*Assumptions!$B$141*Assumptions!$B$32*Assumptions!$B$140/12*N7,0)</f>
        <v>2290.71411068732</v>
      </c>
      <c r="O36" s="55">
        <f>IF(O2&gt;=Assumptions!$B$48,O31*Assumptions!$B$35*Assumptions!$B$139*Assumptions!$B$141*Assumptions!$B$32*Assumptions!$B$140/12*O7,0)</f>
        <v>3022.4019924102827</v>
      </c>
      <c r="P36" s="55">
        <f>IF(P2&gt;=Assumptions!$B$48,P31*Assumptions!$B$35*Assumptions!$B$139*Assumptions!$B$141*Assumptions!$B$32*Assumptions!$B$140/12*P7,0)</f>
        <v>3696.3438649560235</v>
      </c>
      <c r="Q36" s="55">
        <f>IF(Q2&gt;=Assumptions!$B$48,Q31*Assumptions!$B$35*Assumptions!$B$139*Assumptions!$B$141*Assumptions!$B$32*Assumptions!$B$140/12*Q7,0)</f>
        <v>4320.4378290297745</v>
      </c>
      <c r="R36" s="55">
        <f>IF(R2&gt;=Assumptions!$B$48,R31*Assumptions!$B$35*Assumptions!$B$139*Assumptions!$B$141*Assumptions!$B$32*Assumptions!$B$140/12*R7,0)</f>
        <v>5134.7588541047435</v>
      </c>
      <c r="S36" s="55">
        <f>IF(S2&gt;=Assumptions!$B$48,S31*Assumptions!$B$35*Assumptions!$B$139*Assumptions!$B$141*Assumptions!$B$32*Assumptions!$B$140/12*S7,0)</f>
        <v>5834.6323408686631</v>
      </c>
      <c r="T36" s="55">
        <f>IF(T2&gt;=Assumptions!$B$48,T31*Assumptions!$B$35*Assumptions!$B$139*Assumptions!$B$141*Assumptions!$B$32*Assumptions!$B$140/12*T7,0)</f>
        <v>6371.0226777094986</v>
      </c>
      <c r="U36" s="55">
        <f>IF(U2&gt;=Assumptions!$B$48,U31*Assumptions!$B$35*Assumptions!$B$139*Assumptions!$B$141*Assumptions!$B$32*Assumptions!$B$140/12*U7,0)</f>
        <v>6865.4570168607543</v>
      </c>
      <c r="V36" s="55">
        <f>IF(V2&gt;=Assumptions!$B$48,V31*Assumptions!$B$35*Assumptions!$B$139*Assumptions!$B$141*Assumptions!$B$32*Assumptions!$B$140/12*V7,0)</f>
        <v>7346.849598888788</v>
      </c>
      <c r="W36" s="55">
        <f>IF(W2&gt;=Assumptions!$B$48,W31*Assumptions!$B$35*Assumptions!$B$139*Assumptions!$B$141*Assumptions!$B$32*Assumptions!$B$140/12*W7,0)</f>
        <v>7893.1476426310846</v>
      </c>
      <c r="X36" s="55">
        <f>IF(X2&gt;=Assumptions!$B$48,X31*Assumptions!$B$35*Assumptions!$B$139*Assumptions!$B$141*Assumptions!$B$32*Assumptions!$B$140/12*X7,0)</f>
        <v>8741.3851449172962</v>
      </c>
      <c r="Y36" s="55">
        <f>IF(Y2&gt;=Assumptions!$B$48,Y31*Assumptions!$B$35*Assumptions!$B$139*Assumptions!$B$141*Assumptions!$B$32*Assumptions!$B$140/12*Y7,0)</f>
        <v>9475.3795509216525</v>
      </c>
      <c r="Z36" s="55">
        <f>IF(Z2&gt;=Assumptions!$B$48,Z31*Assumptions!$B$35*Assumptions!$B$139*Assumptions!$B$141*Assumptions!$B$32*Assumptions!$B$140/12*Z7,0)</f>
        <v>10051.693853806088</v>
      </c>
      <c r="AA36" s="55">
        <f>IF(AA2&gt;=Assumptions!$B$48,AA31*Assumptions!$B$35*Assumptions!$B$139*Assumptions!$B$141*Assumptions!$B$32*Assumptions!$B$140/12*AA7,0)</f>
        <v>241732.66903513053</v>
      </c>
      <c r="AB36" s="55">
        <f>IF(AB2&gt;=Assumptions!$B$48,AB31*Assumptions!$B$35*Assumptions!$B$139*Assumptions!$B$141*Assumptions!$B$32*Assumptions!$B$140/12*AB7,0)</f>
        <v>408458.86395512463</v>
      </c>
      <c r="AC36" s="55">
        <f>IF(AC2&gt;=Assumptions!$B$48,AC31*Assumptions!$B$35*Assumptions!$B$139*Assumptions!$B$141*Assumptions!$B$32*Assumptions!$B$140/12*AC7,0)</f>
        <v>618775.47176987957</v>
      </c>
      <c r="AD36" s="55">
        <f>IF(AD2&gt;=Assumptions!$B$48,AD31*Assumptions!$B$35*Assumptions!$B$139*Assumptions!$B$141*Assumptions!$B$32*Assumptions!$B$140/12*AD7,0)</f>
        <v>821692.30123764358</v>
      </c>
      <c r="AE36" s="55">
        <f>IF(AE2&gt;=Assumptions!$B$48,AE31*Assumptions!$B$35*Assumptions!$B$139*Assumptions!$B$141*Assumptions!$B$32*Assumptions!$B$140/12*AE7,0)</f>
        <v>970795.24104736466</v>
      </c>
    </row>
    <row r="37" spans="1:31" x14ac:dyDescent="0.25">
      <c r="A37" s="6" t="s">
        <v>468</v>
      </c>
      <c r="B37" s="23" t="s">
        <v>47</v>
      </c>
      <c r="C37" s="54">
        <f>(C35+C36)*(1-Assumptions!$B$8)/C21/(1+Assumptions!$B$9)</f>
        <v>18.814032381738386</v>
      </c>
      <c r="D37" s="54">
        <f>(D35+D36)*(1-Assumptions!$B$8)/D21/(1+Assumptions!$B$9)</f>
        <v>35.772408238691625</v>
      </c>
      <c r="E37" s="54">
        <f>(E35+E36)*(1-Assumptions!$B$8)/E21/(1+Assumptions!$B$9)</f>
        <v>51.152891154997739</v>
      </c>
      <c r="F37" s="54">
        <f>(F35+F36)*(1-Assumptions!$B$8)/F21/(1+Assumptions!$B$9)</f>
        <v>70.054827110491672</v>
      </c>
      <c r="G37" s="54">
        <f>(G35+G36)*(1-Assumptions!$B$8)/G21/(1+Assumptions!$B$9)</f>
        <v>85.980123412782447</v>
      </c>
      <c r="H37" s="54">
        <f>(H35+H36)*(1-Assumptions!$B$8)/H21/(1+Assumptions!$B$9)</f>
        <v>98.148288010624114</v>
      </c>
      <c r="I37" s="54">
        <f>(I35+I36)*(1-Assumptions!$B$8)/I21/(1+Assumptions!$B$9)</f>
        <v>109.16018182533512</v>
      </c>
      <c r="J37" s="54">
        <f>(J35+J36)*(1-Assumptions!$B$8)/J21/(1+Assumptions!$B$9)</f>
        <v>119.62953699403521</v>
      </c>
      <c r="K37" s="54">
        <f>(K35+K36)*(1-Assumptions!$B$8)/K21/(1+Assumptions!$B$9)</f>
        <v>131.06668383118267</v>
      </c>
      <c r="L37" s="54">
        <f>(L35+L36)*(1-Assumptions!$B$8)/L21/(1+Assumptions!$B$9)</f>
        <v>147.87198749649684</v>
      </c>
      <c r="M37" s="54">
        <f>(M35+M36)*(1-Assumptions!$B$8)/M21/(1+Assumptions!$B$9)</f>
        <v>161.99192305628878</v>
      </c>
      <c r="N37" s="54">
        <f>(N35+N36)*(1-Assumptions!$B$8)/N21/(1+Assumptions!$B$9)</f>
        <v>172.81999844199188</v>
      </c>
      <c r="O37" s="54">
        <f>(O35+O36)*(1-Assumptions!$B$8)/O21/(1+Assumptions!$B$9)</f>
        <v>210.93548154260193</v>
      </c>
      <c r="P37" s="54">
        <f>(P35+P36)*(1-Assumptions!$B$8)/P21/(1+Assumptions!$B$9)</f>
        <v>257.97034115894019</v>
      </c>
      <c r="Q37" s="54">
        <f>(Q35+Q36)*(1-Assumptions!$B$8)/Q21/(1+Assumptions!$B$9)</f>
        <v>301.52628149060524</v>
      </c>
      <c r="R37" s="54">
        <f>(R35+R36)*(1-Assumptions!$B$8)/R21/(1+Assumptions!$B$9)</f>
        <v>358.35829721379264</v>
      </c>
      <c r="S37" s="54">
        <f>(S35+S36)*(1-Assumptions!$B$8)/S21/(1+Assumptions!$B$9)</f>
        <v>407.20294174491852</v>
      </c>
      <c r="T37" s="54">
        <f>(T35+T36)*(1-Assumptions!$B$8)/T21/(1+Assumptions!$B$9)</f>
        <v>444.63798654717903</v>
      </c>
      <c r="U37" s="54">
        <f>(U35+U36)*(1-Assumptions!$B$8)/U21/(1+Assumptions!$B$9)</f>
        <v>479.14489386194577</v>
      </c>
      <c r="V37" s="54">
        <f>(V35+V36)*(1-Assumptions!$B$8)/V21/(1+Assumptions!$B$9)</f>
        <v>512.74160811640616</v>
      </c>
      <c r="W37" s="54">
        <f>(W35+W36)*(1-Assumptions!$B$8)/W21/(1+Assumptions!$B$9)</f>
        <v>550.86811849190622</v>
      </c>
      <c r="X37" s="54">
        <f>(X35+X36)*(1-Assumptions!$B$8)/X21/(1+Assumptions!$B$9)</f>
        <v>610.06718812478107</v>
      </c>
      <c r="Y37" s="54">
        <f>(Y35+Y36)*(1-Assumptions!$B$8)/Y21/(1+Assumptions!$B$9)</f>
        <v>661.29315471324151</v>
      </c>
      <c r="Z37" s="54">
        <f>(Z35+Z36)*(1-Assumptions!$B$8)/Z21/(1+Assumptions!$B$9)</f>
        <v>701.51452013851781</v>
      </c>
      <c r="AA37" s="54">
        <f>(AA35+AA36)*(1-Assumptions!$B$8)/AA21/(1+Assumptions!$B$9)</f>
        <v>15606.55564390697</v>
      </c>
      <c r="AB37" s="54">
        <f>(AB35+AB36)*(1-Assumptions!$B$8)/AB21/(1+Assumptions!$B$9)</f>
        <v>24394.636382828765</v>
      </c>
      <c r="AC37" s="54">
        <f>(AC35+AC36)*(1-Assumptions!$B$8)/AC21/(1+Assumptions!$B$9)</f>
        <v>34186.403947692619</v>
      </c>
      <c r="AD37" s="54">
        <f>(AD35+AD36)*(1-Assumptions!$B$8)/AD21/(1+Assumptions!$B$9)</f>
        <v>41995.606137240022</v>
      </c>
      <c r="AE37" s="54">
        <f>(AE35+AE36)*(1-Assumptions!$B$8)/AE21/(1+Assumptions!$B$9)</f>
        <v>45898.297943477126</v>
      </c>
    </row>
    <row r="38" spans="1:31" x14ac:dyDescent="0.25">
      <c r="A38" s="6" t="s">
        <v>469</v>
      </c>
      <c r="B38" s="23" t="s">
        <v>470</v>
      </c>
      <c r="C38" s="56">
        <f>(Assumptions!$B$136+Assumptions!$B$137*IF(C31+C33=0,1,(C31+C33*Assumptions!$B$138)/(C31+C33)))*C7/12</f>
        <v>1.0073806552706356E-2</v>
      </c>
      <c r="D38" s="56">
        <f>(Assumptions!$B$136+Assumptions!$B$137*IF(D31+D33=0,1,(D31+D33*Assumptions!$B$138)/(D31+D33)))*D7/12</f>
        <v>1.0146736160329819E-2</v>
      </c>
      <c r="E38" s="56">
        <f>(Assumptions!$B$136+Assumptions!$B$137*IF(E31+E33=0,1,(E31+E33*Assumptions!$B$138)/(E31+E33)))*E7/12</f>
        <v>1.0218080333158576E-2</v>
      </c>
      <c r="F38" s="56">
        <f>(Assumptions!$B$136+Assumptions!$B$137*IF(F31+F33=0,1,(F31+F33*Assumptions!$B$138)/(F31+F33)))*F7/12</f>
        <v>1.0273786562657398E-2</v>
      </c>
      <c r="G38" s="56">
        <f>(Assumptions!$B$136+Assumptions!$B$137*IF(G31+G33=0,1,(G31+G33*Assumptions!$B$138)/(G31+G33)))*G7/12</f>
        <v>1.0338288255900734E-2</v>
      </c>
      <c r="H38" s="56">
        <f>(Assumptions!$B$136+Assumptions!$B$137*IF(H31+H33=0,1,(H31+H33*Assumptions!$B$138)/(H31+H33)))*H7/12</f>
        <v>1.0409577481019396E-2</v>
      </c>
      <c r="I38" s="56">
        <f>(Assumptions!$B$136+Assumptions!$B$137*IF(I31+I33=0,1,(I31+I33*Assumptions!$B$138)/(I31+I33)))*I7/12</f>
        <v>1.0477942956037522E-2</v>
      </c>
      <c r="J38" s="56">
        <f>(Assumptions!$B$136+Assumptions!$B$137*IF(J31+J33=0,1,(J31+J33*Assumptions!$B$138)/(J31+J33)))*J7/12</f>
        <v>1.0542177360188662E-2</v>
      </c>
      <c r="K38" s="56">
        <f>(Assumptions!$B$136+Assumptions!$B$137*IF(K31+K33=0,1,(K31+K33*Assumptions!$B$138)/(K31+K33)))*K7/12</f>
        <v>1.0598119341456496E-2</v>
      </c>
      <c r="L38" s="56">
        <f>(Assumptions!$B$136+Assumptions!$B$137*IF(L31+L33=0,1,(L31+L33*Assumptions!$B$138)/(L31+L33)))*L7/12</f>
        <v>1.0633601904513951E-2</v>
      </c>
      <c r="M38" s="56">
        <f>(Assumptions!$B$136+Assumptions!$B$137*IF(M31+M33=0,1,(M31+M33*Assumptions!$B$138)/(M31+M33)))*M7/12</f>
        <v>1.0678183421483143E-2</v>
      </c>
      <c r="N38" s="56">
        <f>(Assumptions!$B$136+Assumptions!$B$137*IF(N31+N33=0,1,(N31+N33*Assumptions!$B$138)/(N31+N33)))*N7/12</f>
        <v>1.0730838242278528E-2</v>
      </c>
      <c r="O38" s="56">
        <f>(Assumptions!$B$136+Assumptions!$B$137*IF(O31+O33=0,1,(O31+O33*Assumptions!$B$138)/(O31+O33)))*O7/12</f>
        <v>1.0670758202770877E-2</v>
      </c>
      <c r="P38" s="56">
        <f>(Assumptions!$B$136+Assumptions!$B$137*IF(P31+P33=0,1,(P31+P33*Assumptions!$B$138)/(P31+P33)))*P7/12</f>
        <v>1.0657726611363888E-2</v>
      </c>
      <c r="Q38" s="56">
        <f>(Assumptions!$B$136+Assumptions!$B$137*IF(Q31+Q33=0,1,(Q31+Q33*Assumptions!$B$138)/(Q31+Q33)))*Q7/12</f>
        <v>1.0668118937957945E-2</v>
      </c>
      <c r="R38" s="56">
        <f>(Assumptions!$B$136+Assumptions!$B$137*IF(R31+R33=0,1,(R31+R33*Assumptions!$B$138)/(R31+R33)))*R7/12</f>
        <v>1.0668997422859776E-2</v>
      </c>
      <c r="S38" s="56">
        <f>(Assumptions!$B$136+Assumptions!$B$137*IF(S31+S33=0,1,(S31+S33*Assumptions!$B$138)/(S31+S33)))*S7/12</f>
        <v>1.0691326687577711E-2</v>
      </c>
      <c r="T38" s="56">
        <f>(Assumptions!$B$136+Assumptions!$B$137*IF(T31+T33=0,1,(T31+T33*Assumptions!$B$138)/(T31+T33)))*T7/12</f>
        <v>1.0730693953982578E-2</v>
      </c>
      <c r="U38" s="56">
        <f>(Assumptions!$B$136+Assumptions!$B$137*IF(U31+U33=0,1,(U31+U33*Assumptions!$B$138)/(U31+U33)))*U7/12</f>
        <v>1.0772587371349526E-2</v>
      </c>
      <c r="V38" s="56">
        <f>(Assumptions!$B$136+Assumptions!$B$137*IF(V31+V33=0,1,(V31+V33*Assumptions!$B$138)/(V31+V33)))*V7/12</f>
        <v>1.0813952639344543E-2</v>
      </c>
      <c r="W38" s="56">
        <f>(Assumptions!$B$136+Assumptions!$B$137*IF(W31+W33=0,1,(W31+W33*Assumptions!$B$138)/(W31+W33)))*W7/12</f>
        <v>1.0848987084585468E-2</v>
      </c>
      <c r="X38" s="56">
        <f>(Assumptions!$B$136+Assumptions!$B$137*IF(X31+X33=0,1,(X31+X33*Assumptions!$B$138)/(X31+X33)))*X7/12</f>
        <v>1.0862988582405289E-2</v>
      </c>
      <c r="Y38" s="56">
        <f>(Assumptions!$B$136+Assumptions!$B$137*IF(Y31+Y33=0,1,(Y31+Y33*Assumptions!$B$138)/(Y31+Y33)))*Y7/12</f>
        <v>1.0888018223671012E-2</v>
      </c>
      <c r="Z38" s="56">
        <f>(Assumptions!$B$136+Assumptions!$B$137*IF(Z31+Z33=0,1,(Z31+Z33*Assumptions!$B$138)/(Z31+Z33)))*Z7/12</f>
        <v>1.0923550177054535E-2</v>
      </c>
      <c r="AA38" s="56">
        <f>(Assumptions!$B$136+Assumptions!$B$137*IF(AA31+AA33=0,1,(AA31+AA33*Assumptions!$B$138)/(AA31+AA33)))*AA7/12</f>
        <v>0.13481432033741345</v>
      </c>
      <c r="AB38" s="56">
        <f>(Assumptions!$B$136+Assumptions!$B$137*IF(AB31+AB33=0,1,(AB31+AB33*Assumptions!$B$138)/(AB31+AB33)))*AB7/12</f>
        <v>0.13720249243202526</v>
      </c>
      <c r="AC38" s="56">
        <f>(Assumptions!$B$136+Assumptions!$B$137*IF(AC31+AC33=0,1,(AC31+AC33*Assumptions!$B$138)/(AC31+AC33)))*AC7/12</f>
        <v>0.13904330440524001</v>
      </c>
      <c r="AD38" s="56">
        <f>(Assumptions!$B$136+Assumptions!$B$137*IF(AD31+AD33=0,1,(AD31+AD33*Assumptions!$B$138)/(AD31+AD33)))*AD7/12</f>
        <v>0.14092897606875027</v>
      </c>
      <c r="AE38" s="56">
        <f>(Assumptions!$B$136+Assumptions!$B$137*IF(AE31+AE33=0,1,(AE31+AE33*Assumptions!$B$138)/(AE31+AE33)))*AE7/12</f>
        <v>0.14287328450104617</v>
      </c>
    </row>
    <row r="39" spans="1:31" x14ac:dyDescent="0.25">
      <c r="A39" s="6" t="s">
        <v>471</v>
      </c>
      <c r="B39" s="23" t="s">
        <v>470</v>
      </c>
      <c r="C39" s="56">
        <f>Assumptions!$B$137*IF(C31+C33=0,1,(C31+C33*Assumptions!$B$138)/(C31+C33))*C7/12</f>
        <v>5.0738065527063548E-3</v>
      </c>
      <c r="D39" s="56">
        <f>Assumptions!$B$137*IF(D31+D33=0,1,(D31+D33*Assumptions!$B$138)/(D31+D33))*D7/12</f>
        <v>5.1467361603298187E-3</v>
      </c>
      <c r="E39" s="56">
        <f>Assumptions!$B$137*IF(E31+E33=0,1,(E31+E33*Assumptions!$B$138)/(E31+E33))*E7/12</f>
        <v>5.2180803331585762E-3</v>
      </c>
      <c r="F39" s="56">
        <f>Assumptions!$B$137*IF(F31+F33=0,1,(F31+F33*Assumptions!$B$138)/(F31+F33))*F7/12</f>
        <v>5.273786562657398E-3</v>
      </c>
      <c r="G39" s="56">
        <f>Assumptions!$B$137*IF(G31+G33=0,1,(G31+G33*Assumptions!$B$138)/(G31+G33))*G7/12</f>
        <v>5.3382882559007347E-3</v>
      </c>
      <c r="H39" s="56">
        <f>Assumptions!$B$137*IF(H31+H33=0,1,(H31+H33*Assumptions!$B$138)/(H31+H33))*H7/12</f>
        <v>5.4095774810193958E-3</v>
      </c>
      <c r="I39" s="56">
        <f>Assumptions!$B$137*IF(I31+I33=0,1,(I31+I33*Assumptions!$B$138)/(I31+I33))*I7/12</f>
        <v>5.477942956037523E-3</v>
      </c>
      <c r="J39" s="56">
        <f>Assumptions!$B$137*IF(J31+J33=0,1,(J31+J33*Assumptions!$B$138)/(J31+J33))*J7/12</f>
        <v>5.5421773601886616E-3</v>
      </c>
      <c r="K39" s="56">
        <f>Assumptions!$B$137*IF(K31+K33=0,1,(K31+K33*Assumptions!$B$138)/(K31+K33))*K7/12</f>
        <v>5.5981193414564962E-3</v>
      </c>
      <c r="L39" s="56">
        <f>Assumptions!$B$137*IF(L31+L33=0,1,(L31+L33*Assumptions!$B$138)/(L31+L33))*L7/12</f>
        <v>5.6336019045139527E-3</v>
      </c>
      <c r="M39" s="56">
        <f>Assumptions!$B$137*IF(M31+M33=0,1,(M31+M33*Assumptions!$B$138)/(M31+M33))*M7/12</f>
        <v>5.6781834214831434E-3</v>
      </c>
      <c r="N39" s="56">
        <f>Assumptions!$B$137*IF(N31+N33=0,1,(N31+N33*Assumptions!$B$138)/(N31+N33))*N7/12</f>
        <v>5.7308382422785265E-3</v>
      </c>
      <c r="O39" s="56">
        <f>Assumptions!$B$137*IF(O31+O33=0,1,(O31+O33*Assumptions!$B$138)/(O31+O33))*O7/12</f>
        <v>5.6707582027708753E-3</v>
      </c>
      <c r="P39" s="56">
        <f>Assumptions!$B$137*IF(P31+P33=0,1,(P31+P33*Assumptions!$B$138)/(P31+P33))*P7/12</f>
        <v>5.6577266113638858E-3</v>
      </c>
      <c r="Q39" s="56">
        <f>Assumptions!$B$137*IF(Q31+Q33=0,1,(Q31+Q33*Assumptions!$B$138)/(Q31+Q33))*Q7/12</f>
        <v>5.6681189379579446E-3</v>
      </c>
      <c r="R39" s="56">
        <f>Assumptions!$B$137*IF(R31+R33=0,1,(R31+R33*Assumptions!$B$138)/(R31+R33))*R7/12</f>
        <v>5.668997422859777E-3</v>
      </c>
      <c r="S39" s="56">
        <f>Assumptions!$B$137*IF(S31+S33=0,1,(S31+S33*Assumptions!$B$138)/(S31+S33))*S7/12</f>
        <v>5.6913266875777109E-3</v>
      </c>
      <c r="T39" s="56">
        <f>Assumptions!$B$137*IF(T31+T33=0,1,(T31+T33*Assumptions!$B$138)/(T31+T33))*T7/12</f>
        <v>5.7306939539825763E-3</v>
      </c>
      <c r="U39" s="56">
        <f>Assumptions!$B$137*IF(U31+U33=0,1,(U31+U33*Assumptions!$B$138)/(U31+U33))*U7/12</f>
        <v>5.7725873713495258E-3</v>
      </c>
      <c r="V39" s="56">
        <f>Assumptions!$B$137*IF(V31+V33=0,1,(V31+V33*Assumptions!$B$138)/(V31+V33))*V7/12</f>
        <v>5.8139526393445433E-3</v>
      </c>
      <c r="W39" s="56">
        <f>Assumptions!$B$137*IF(W31+W33=0,1,(W31+W33*Assumptions!$B$138)/(W31+W33))*W7/12</f>
        <v>5.848987084585467E-3</v>
      </c>
      <c r="X39" s="56">
        <f>Assumptions!$B$137*IF(X31+X33=0,1,(X31+X33*Assumptions!$B$138)/(X31+X33))*X7/12</f>
        <v>5.8629885824052911E-3</v>
      </c>
      <c r="Y39" s="56">
        <f>Assumptions!$B$137*IF(Y31+Y33=0,1,(Y31+Y33*Assumptions!$B$138)/(Y31+Y33))*Y7/12</f>
        <v>5.8880182236710115E-3</v>
      </c>
      <c r="Z39" s="56">
        <f>Assumptions!$B$137*IF(Z31+Z33=0,1,(Z31+Z33*Assumptions!$B$138)/(Z31+Z33))*Z7/12</f>
        <v>5.9235501770545347E-3</v>
      </c>
      <c r="AA39" s="56">
        <f>Assumptions!$B$137*IF(AA31+AA33=0,1,(AA31+AA33*Assumptions!$B$138)/(AA31+AA33))*AA7/12</f>
        <v>7.4814320337413448E-2</v>
      </c>
      <c r="AB39" s="56">
        <f>Assumptions!$B$137*IF(AB31+AB33=0,1,(AB31+AB33*Assumptions!$B$138)/(AB31+AB33))*AB7/12</f>
        <v>7.7202492432025274E-2</v>
      </c>
      <c r="AC39" s="56">
        <f>Assumptions!$B$137*IF(AC31+AC33=0,1,(AC31+AC33*Assumptions!$B$138)/(AC31+AC33))*AC7/12</f>
        <v>7.9043304405240017E-2</v>
      </c>
      <c r="AD39" s="56">
        <f>Assumptions!$B$137*IF(AD31+AD33=0,1,(AD31+AD33*Assumptions!$B$138)/(AD31+AD33))*AD7/12</f>
        <v>8.0928976068750269E-2</v>
      </c>
      <c r="AE39" s="56">
        <f>Assumptions!$B$137*IF(AE31+AE33=0,1,(AE31+AE33*Assumptions!$B$138)/(AE31+AE33))*AE7/12</f>
        <v>8.2873284501046168E-2</v>
      </c>
    </row>
    <row r="40" spans="1:31" x14ac:dyDescent="0.25">
      <c r="A40" s="6" t="s">
        <v>472</v>
      </c>
      <c r="B40" s="23" t="s">
        <v>47</v>
      </c>
      <c r="C40" s="45">
        <f>C37</f>
        <v>18.814032381738386</v>
      </c>
      <c r="D40" s="45">
        <f t="shared" ref="D40:AE40" si="7">C40*(1-D38)+D37</f>
        <v>54.395539597740608</v>
      </c>
      <c r="E40" s="45">
        <f t="shared" si="7"/>
        <v>104.99261275936313</v>
      </c>
      <c r="F40" s="45">
        <f t="shared" si="7"/>
        <v>173.96876817570936</v>
      </c>
      <c r="G40" s="45">
        <f t="shared" si="7"/>
        <v>258.15035231556732</v>
      </c>
      <c r="H40" s="45">
        <f t="shared" si="7"/>
        <v>353.61140423201005</v>
      </c>
      <c r="I40" s="45">
        <f t="shared" si="7"/>
        <v>459.06646593519781</v>
      </c>
      <c r="J40" s="45">
        <f t="shared" si="7"/>
        <v>573.85644282522912</v>
      </c>
      <c r="K40" s="45">
        <f t="shared" si="7"/>
        <v>698.84132759048634</v>
      </c>
      <c r="L40" s="45">
        <f t="shared" si="7"/>
        <v>839.28211461496403</v>
      </c>
      <c r="M40" s="45">
        <f t="shared" si="7"/>
        <v>992.31202930902396</v>
      </c>
      <c r="N40" s="45">
        <f t="shared" si="7"/>
        <v>1154.4836878786336</v>
      </c>
      <c r="O40" s="45">
        <f t="shared" si="7"/>
        <v>1353.0999531388395</v>
      </c>
      <c r="P40" s="45">
        <f t="shared" si="7"/>
        <v>1596.6493249193768</v>
      </c>
      <c r="Q40" s="45">
        <f t="shared" si="7"/>
        <v>1881.1423615095318</v>
      </c>
      <c r="R40" s="45">
        <f t="shared" si="7"/>
        <v>2219.430755716347</v>
      </c>
      <c r="S40" s="45">
        <f t="shared" si="7"/>
        <v>2602.9050381914444</v>
      </c>
      <c r="T40" s="45">
        <f t="shared" si="7"/>
        <v>3019.6120473825117</v>
      </c>
      <c r="U40" s="45">
        <f t="shared" si="7"/>
        <v>3466.2279066364499</v>
      </c>
      <c r="V40" s="45">
        <f t="shared" si="7"/>
        <v>3941.4858903333147</v>
      </c>
      <c r="W40" s="45">
        <f t="shared" si="7"/>
        <v>4449.5928793069188</v>
      </c>
      <c r="X40" s="45">
        <f t="shared" si="7"/>
        <v>5011.3241907874362</v>
      </c>
      <c r="Y40" s="45">
        <f t="shared" si="7"/>
        <v>5618.0539563866605</v>
      </c>
      <c r="Z40" s="45">
        <f t="shared" si="7"/>
        <v>6258.1993822351888</v>
      </c>
      <c r="AA40" s="45">
        <f t="shared" si="7"/>
        <v>21021.060129890102</v>
      </c>
      <c r="AB40" s="45">
        <f t="shared" si="7"/>
        <v>42531.554669334473</v>
      </c>
      <c r="AC40" s="45">
        <f t="shared" si="7"/>
        <v>70804.230714310717</v>
      </c>
      <c r="AD40" s="45">
        <f t="shared" si="7"/>
        <v>102821.46911564737</v>
      </c>
      <c r="AE40" s="45">
        <f t="shared" si="7"/>
        <v>134029.3260493491</v>
      </c>
    </row>
    <row r="41" spans="1:31" x14ac:dyDescent="0.25">
      <c r="A41" s="6" t="s">
        <v>473</v>
      </c>
      <c r="B41" s="23" t="s">
        <v>47</v>
      </c>
      <c r="C41" s="45">
        <f>C37</f>
        <v>18.814032381738386</v>
      </c>
      <c r="D41" s="45">
        <f t="shared" ref="D41:AE41" si="8">C41*(1-D39)+D37</f>
        <v>54.489609759649298</v>
      </c>
      <c r="E41" s="45">
        <f t="shared" si="8"/>
        <v>105.35816975359873</v>
      </c>
      <c r="F41" s="45">
        <f t="shared" si="8"/>
        <v>174.85736036417768</v>
      </c>
      <c r="G41" s="45">
        <f t="shared" si="8"/>
        <v>259.9040447836702</v>
      </c>
      <c r="H41" s="45">
        <f t="shared" si="8"/>
        <v>356.64636172640672</v>
      </c>
      <c r="I41" s="45">
        <f t="shared" si="8"/>
        <v>463.85285512672624</v>
      </c>
      <c r="J41" s="45">
        <f t="shared" si="8"/>
        <v>580.91163732861924</v>
      </c>
      <c r="K41" s="45">
        <f t="shared" si="8"/>
        <v>708.72630848719541</v>
      </c>
      <c r="L41" s="45">
        <f t="shared" si="8"/>
        <v>852.60561410241962</v>
      </c>
      <c r="M41" s="45">
        <f t="shared" si="8"/>
        <v>1009.7562860956485</v>
      </c>
      <c r="N41" s="45">
        <f t="shared" si="8"/>
        <v>1176.7895345979025</v>
      </c>
      <c r="O41" s="45">
        <f t="shared" si="8"/>
        <v>1381.0517272342486</v>
      </c>
      <c r="P41" s="45">
        <f t="shared" si="8"/>
        <v>1631.2084552843453</v>
      </c>
      <c r="Q41" s="45">
        <f t="shared" si="8"/>
        <v>1923.4888532377963</v>
      </c>
      <c r="R41" s="45">
        <f t="shared" si="8"/>
        <v>2270.9428970996842</v>
      </c>
      <c r="S41" s="45">
        <f t="shared" si="8"/>
        <v>2665.221160928374</v>
      </c>
      <c r="T41" s="45">
        <f t="shared" si="8"/>
        <v>3094.5855806825944</v>
      </c>
      <c r="U41" s="45">
        <f t="shared" si="8"/>
        <v>3555.8667089019309</v>
      </c>
      <c r="V41" s="45">
        <f t="shared" si="8"/>
        <v>4047.934676380959</v>
      </c>
      <c r="W41" s="45">
        <f t="shared" si="8"/>
        <v>4575.1264772314671</v>
      </c>
      <c r="X41" s="45">
        <f t="shared" si="8"/>
        <v>5158.3697510571792</v>
      </c>
      <c r="Y41" s="45">
        <f t="shared" si="8"/>
        <v>5789.2903306717626</v>
      </c>
      <c r="Z41" s="45">
        <f t="shared" si="8"/>
        <v>6456.5116990470096</v>
      </c>
      <c r="AA41" s="45">
        <f t="shared" si="8"/>
        <v>21580.027808439219</v>
      </c>
      <c r="AB41" s="45">
        <f t="shared" si="8"/>
        <v>44308.632257704056</v>
      </c>
      <c r="AC41" s="45">
        <f t="shared" si="8"/>
        <v>74992.735498071139</v>
      </c>
      <c r="AD41" s="45">
        <f t="shared" si="8"/>
        <v>110919.25633885764</v>
      </c>
      <c r="AE41" s="45">
        <f t="shared" si="8"/>
        <v>147625.31119512016</v>
      </c>
    </row>
    <row r="42" spans="1:31" x14ac:dyDescent="0.25">
      <c r="A42" s="6" t="s">
        <v>474</v>
      </c>
      <c r="B42" s="23" t="s">
        <v>114</v>
      </c>
      <c r="C42" s="57">
        <f t="shared" ref="C42:AE42" si="9">C40*C21</f>
        <v>2661.4330207207122</v>
      </c>
      <c r="D42" s="57">
        <f t="shared" si="9"/>
        <v>7694.7930314963869</v>
      </c>
      <c r="E42" s="57">
        <f t="shared" si="9"/>
        <v>14852.255000939509</v>
      </c>
      <c r="F42" s="57">
        <f t="shared" si="9"/>
        <v>24609.621946135849</v>
      </c>
      <c r="G42" s="57">
        <f t="shared" si="9"/>
        <v>36517.948838560158</v>
      </c>
      <c r="H42" s="57">
        <f t="shared" si="9"/>
        <v>50021.869242660141</v>
      </c>
      <c r="I42" s="57">
        <f t="shared" si="9"/>
        <v>64939.542271193088</v>
      </c>
      <c r="J42" s="57">
        <f t="shared" si="9"/>
        <v>81177.732402056921</v>
      </c>
      <c r="K42" s="57">
        <f t="shared" si="9"/>
        <v>98858.094200950203</v>
      </c>
      <c r="L42" s="57">
        <f t="shared" si="9"/>
        <v>118724.84793343281</v>
      </c>
      <c r="M42" s="57">
        <f t="shared" si="9"/>
        <v>140372.45966605455</v>
      </c>
      <c r="N42" s="57">
        <f t="shared" si="9"/>
        <v>163313.26248731153</v>
      </c>
      <c r="O42" s="57">
        <f t="shared" si="9"/>
        <v>206913.69044007288</v>
      </c>
      <c r="P42" s="57">
        <f t="shared" si="9"/>
        <v>244156.83659684574</v>
      </c>
      <c r="Q42" s="57">
        <f t="shared" si="9"/>
        <v>287661.01673432859</v>
      </c>
      <c r="R42" s="57">
        <f t="shared" si="9"/>
        <v>339391.48935462884</v>
      </c>
      <c r="S42" s="57">
        <f t="shared" si="9"/>
        <v>398031.70938546926</v>
      </c>
      <c r="T42" s="57">
        <f t="shared" si="9"/>
        <v>461753.82016077125</v>
      </c>
      <c r="U42" s="57">
        <f t="shared" si="9"/>
        <v>530049.54024628841</v>
      </c>
      <c r="V42" s="57">
        <f t="shared" si="9"/>
        <v>602725.16416432138</v>
      </c>
      <c r="W42" s="57">
        <f t="shared" si="9"/>
        <v>680424.00081200409</v>
      </c>
      <c r="X42" s="57">
        <f t="shared" si="9"/>
        <v>766322.9755511228</v>
      </c>
      <c r="Y42" s="57">
        <f t="shared" si="9"/>
        <v>859103.03559676406</v>
      </c>
      <c r="Z42" s="57">
        <f t="shared" si="9"/>
        <v>956992.96026447997</v>
      </c>
      <c r="AA42" s="57">
        <f t="shared" si="9"/>
        <v>3474878.7574300398</v>
      </c>
      <c r="AB42" s="57">
        <f t="shared" si="9"/>
        <v>7600147.0200302666</v>
      </c>
      <c r="AC42" s="57">
        <f t="shared" si="9"/>
        <v>13677150.887148323</v>
      </c>
      <c r="AD42" s="57">
        <f t="shared" si="9"/>
        <v>21470686.380550984</v>
      </c>
      <c r="AE42" s="57">
        <f t="shared" si="9"/>
        <v>30254337.774156187</v>
      </c>
    </row>
    <row r="43" spans="1:31" x14ac:dyDescent="0.25">
      <c r="A43" s="6" t="s">
        <v>475</v>
      </c>
      <c r="B43" s="23" t="s">
        <v>190</v>
      </c>
      <c r="C43" s="54">
        <f>C31+C33*Assumptions!$B$179</f>
        <v>79.154294117647069</v>
      </c>
      <c r="D43" s="54">
        <f>D31+D33*Assumptions!$B$179</f>
        <v>154.34830778980111</v>
      </c>
      <c r="E43" s="54">
        <f>E31+E33*Assumptions!$B$179</f>
        <v>226.37122801893807</v>
      </c>
      <c r="F43" s="54">
        <f>F31+F33*Assumptions!$B$179</f>
        <v>316.35437006051291</v>
      </c>
      <c r="G43" s="54">
        <f>G31+G33*Assumptions!$B$179</f>
        <v>397.67901085170183</v>
      </c>
      <c r="H43" s="54">
        <f>H31+H33*Assumptions!$B$179</f>
        <v>466.45284728207491</v>
      </c>
      <c r="I43" s="54">
        <f>I31+I33*Assumptions!$B$179</f>
        <v>532.85000198253306</v>
      </c>
      <c r="J43" s="54">
        <f>J31+J33*Assumptions!$B$179</f>
        <v>599.21614752924984</v>
      </c>
      <c r="K43" s="54">
        <f>K31+K33*Assumptions!$B$179</f>
        <v>671.79460672193636</v>
      </c>
      <c r="L43" s="54">
        <f>L31+L33*Assumptions!$B$179</f>
        <v>769.29645215644121</v>
      </c>
      <c r="M43" s="54">
        <f>M31+M33*Assumptions!$B$179</f>
        <v>858.93654265338694</v>
      </c>
      <c r="N43" s="54">
        <f>N31+N33*Assumptions!$B$179</f>
        <v>937.61418196858767</v>
      </c>
      <c r="O43" s="54">
        <f>O31+O33*Assumptions!$B$179</f>
        <v>1205.1924005545511</v>
      </c>
      <c r="P43" s="54">
        <f>P31+P33*Assumptions!$B$179</f>
        <v>1465.7284385903861</v>
      </c>
      <c r="Q43" s="54">
        <f>Q31+Q33*Assumptions!$B$179</f>
        <v>1720.8384332279718</v>
      </c>
      <c r="R43" s="54">
        <f>R31+R33*Assumptions!$B$179</f>
        <v>2045.9547824852673</v>
      </c>
      <c r="S43" s="54">
        <f>S31+S33*Assumptions!$B$179</f>
        <v>2347.3061934465049</v>
      </c>
      <c r="T43" s="54">
        <f>T31+T33*Assumptions!$B$179</f>
        <v>2607.5630189119747</v>
      </c>
      <c r="U43" s="54">
        <f>U31+U33*Assumptions!$B$179</f>
        <v>2862.7769199817913</v>
      </c>
      <c r="V43" s="54">
        <f>V31+V33*Assumptions!$B$179</f>
        <v>3121.4782628530847</v>
      </c>
      <c r="W43" s="54">
        <f>W31+W33*Assumptions!$B$179</f>
        <v>3408.2068169673848</v>
      </c>
      <c r="X43" s="54">
        <f>X31+X33*Assumptions!$B$179</f>
        <v>3799.1999033251759</v>
      </c>
      <c r="Y43" s="54">
        <f>Y31+Y33*Assumptions!$B$179</f>
        <v>4167.0161268608208</v>
      </c>
      <c r="Z43" s="54">
        <f>Z31+Z33*Assumptions!$B$179</f>
        <v>4496.1060270955468</v>
      </c>
      <c r="AA43" s="54">
        <f>AA31+AA33*Assumptions!$B$179</f>
        <v>10597.701391675018</v>
      </c>
      <c r="AB43" s="54">
        <f>AB31+AB33*Assumptions!$B$179</f>
        <v>20182.120234886603</v>
      </c>
      <c r="AC43" s="54">
        <f>AC31+AC33*Assumptions!$B$179</f>
        <v>33893.045803392284</v>
      </c>
      <c r="AD43" s="54">
        <f>AD31+AD33*Assumptions!$B$179</f>
        <v>50639.008166753476</v>
      </c>
      <c r="AE43" s="54">
        <f>AE31+AE33*Assumptions!$B$179</f>
        <v>68689.49103204062</v>
      </c>
    </row>
    <row r="44" spans="1:31" x14ac:dyDescent="0.25">
      <c r="A44" s="6" t="s">
        <v>476</v>
      </c>
      <c r="B44" s="23" t="s">
        <v>190</v>
      </c>
      <c r="C44" s="45">
        <f>IF(C7&gt;1,C43*Assumptions!$B$134,IF(C2&gt;Assumptions!$B$135,INDEX($C$43:$AE$43,1,C2-Assumptions!$B$135)*Assumptions!$B$134,0))</f>
        <v>0</v>
      </c>
      <c r="D44" s="45">
        <f>IF(D7&gt;1,D43*Assumptions!$B$134,IF(D2&gt;Assumptions!$B$135,INDEX($C$43:$AE$43,1,D2-Assumptions!$B$135)*Assumptions!$B$134,0))</f>
        <v>0</v>
      </c>
      <c r="E44" s="45">
        <f>IF(E7&gt;1,E43*Assumptions!$B$134,IF(E2&gt;Assumptions!$B$135,INDEX($C$43:$AE$43,1,E2-Assumptions!$B$135)*Assumptions!$B$134,0))</f>
        <v>0</v>
      </c>
      <c r="F44" s="45">
        <f>IF(F7&gt;1,F43*Assumptions!$B$134,IF(F2&gt;Assumptions!$B$135,INDEX($C$43:$AE$43,1,F2-Assumptions!$B$135)*Assumptions!$B$134,0))</f>
        <v>0</v>
      </c>
      <c r="G44" s="45">
        <f>IF(G7&gt;1,G43*Assumptions!$B$134,IF(G2&gt;Assumptions!$B$135,INDEX($C$43:$AE$43,1,G2-Assumptions!$B$135)*Assumptions!$B$134,0))</f>
        <v>0</v>
      </c>
      <c r="H44" s="45">
        <f>IF(H7&gt;1,H43*Assumptions!$B$134,IF(H2&gt;Assumptions!$B$135,INDEX($C$43:$AE$43,1,H2-Assumptions!$B$135)*Assumptions!$B$134,0))</f>
        <v>0</v>
      </c>
      <c r="I44" s="45">
        <f>IF(I7&gt;1,I43*Assumptions!$B$134,IF(I2&gt;Assumptions!$B$135,INDEX($C$43:$AE$43,1,I2-Assumptions!$B$135)*Assumptions!$B$134,0))</f>
        <v>0</v>
      </c>
      <c r="J44" s="45">
        <f>IF(J7&gt;1,J43*Assumptions!$B$134,IF(J2&gt;Assumptions!$B$135,INDEX($C$43:$AE$43,1,J2-Assumptions!$B$135)*Assumptions!$B$134,0))</f>
        <v>0</v>
      </c>
      <c r="K44" s="45">
        <f>IF(K7&gt;1,K43*Assumptions!$B$134,IF(K2&gt;Assumptions!$B$135,INDEX($C$43:$AE$43,1,K2-Assumptions!$B$135)*Assumptions!$B$134,0))</f>
        <v>43.534861764705894</v>
      </c>
      <c r="L44" s="45">
        <f>IF(L7&gt;1,L43*Assumptions!$B$134,IF(L2&gt;Assumptions!$B$135,INDEX($C$43:$AE$43,1,L2-Assumptions!$B$135)*Assumptions!$B$134,0))</f>
        <v>84.891569284390613</v>
      </c>
      <c r="M44" s="45">
        <f>IF(M7&gt;1,M43*Assumptions!$B$134,IF(M2&gt;Assumptions!$B$135,INDEX($C$43:$AE$43,1,M2-Assumptions!$B$135)*Assumptions!$B$134,0))</f>
        <v>124.50417541041595</v>
      </c>
      <c r="N44" s="45">
        <f>IF(N7&gt;1,N43*Assumptions!$B$134,IF(N2&gt;Assumptions!$B$135,INDEX($C$43:$AE$43,1,N2-Assumptions!$B$135)*Assumptions!$B$134,0))</f>
        <v>173.9949035332821</v>
      </c>
      <c r="O44" s="45">
        <f>IF(O7&gt;1,O43*Assumptions!$B$134,IF(O2&gt;Assumptions!$B$135,INDEX($C$43:$AE$43,1,O2-Assumptions!$B$135)*Assumptions!$B$134,0))</f>
        <v>218.72345596843601</v>
      </c>
      <c r="P44" s="45">
        <f>IF(P7&gt;1,P43*Assumptions!$B$134,IF(P2&gt;Assumptions!$B$135,INDEX($C$43:$AE$43,1,P2-Assumptions!$B$135)*Assumptions!$B$134,0))</f>
        <v>256.54906600514124</v>
      </c>
      <c r="Q44" s="45">
        <f>IF(Q7&gt;1,Q43*Assumptions!$B$134,IF(Q2&gt;Assumptions!$B$135,INDEX($C$43:$AE$43,1,Q2-Assumptions!$B$135)*Assumptions!$B$134,0))</f>
        <v>293.06750109039319</v>
      </c>
      <c r="R44" s="45">
        <f>IF(R7&gt;1,R43*Assumptions!$B$134,IF(R2&gt;Assumptions!$B$135,INDEX($C$43:$AE$43,1,R2-Assumptions!$B$135)*Assumptions!$B$134,0))</f>
        <v>329.56888114108745</v>
      </c>
      <c r="S44" s="45">
        <f>IF(S7&gt;1,S43*Assumptions!$B$134,IF(S2&gt;Assumptions!$B$135,INDEX($C$43:$AE$43,1,S2-Assumptions!$B$135)*Assumptions!$B$134,0))</f>
        <v>369.48703369706504</v>
      </c>
      <c r="T44" s="45">
        <f>IF(T7&gt;1,T43*Assumptions!$B$134,IF(T2&gt;Assumptions!$B$135,INDEX($C$43:$AE$43,1,T2-Assumptions!$B$135)*Assumptions!$B$134,0))</f>
        <v>423.1130486860427</v>
      </c>
      <c r="U44" s="45">
        <f>IF(U7&gt;1,U43*Assumptions!$B$134,IF(U2&gt;Assumptions!$B$135,INDEX($C$43:$AE$43,1,U2-Assumptions!$B$135)*Assumptions!$B$134,0))</f>
        <v>472.41509845936287</v>
      </c>
      <c r="V44" s="45">
        <f>IF(V7&gt;1,V43*Assumptions!$B$134,IF(V2&gt;Assumptions!$B$135,INDEX($C$43:$AE$43,1,V2-Assumptions!$B$135)*Assumptions!$B$134,0))</f>
        <v>515.68780008272324</v>
      </c>
      <c r="W44" s="45">
        <f>IF(W7&gt;1,W43*Assumptions!$B$134,IF(W2&gt;Assumptions!$B$135,INDEX($C$43:$AE$43,1,W2-Assumptions!$B$135)*Assumptions!$B$134,0))</f>
        <v>662.85582030500314</v>
      </c>
      <c r="X44" s="45">
        <f>IF(X7&gt;1,X43*Assumptions!$B$134,IF(X2&gt;Assumptions!$B$135,INDEX($C$43:$AE$43,1,X2-Assumptions!$B$135)*Assumptions!$B$134,0))</f>
        <v>806.15064122471244</v>
      </c>
      <c r="Y44" s="45">
        <f>IF(Y7&gt;1,Y43*Assumptions!$B$134,IF(Y2&gt;Assumptions!$B$135,INDEX($C$43:$AE$43,1,Y2-Assumptions!$B$135)*Assumptions!$B$134,0))</f>
        <v>946.46113827538454</v>
      </c>
      <c r="Z44" s="45">
        <f>IF(Z7&gt;1,Z43*Assumptions!$B$134,IF(Z2&gt;Assumptions!$B$135,INDEX($C$43:$AE$43,1,Z2-Assumptions!$B$135)*Assumptions!$B$134,0))</f>
        <v>1125.2751303668972</v>
      </c>
      <c r="AA44" s="45">
        <f>IF(AA7&gt;1,AA43*Assumptions!$B$134,IF(AA2&gt;Assumptions!$B$135,INDEX($C$43:$AE$43,1,AA2-Assumptions!$B$135)*Assumptions!$B$134,0))</f>
        <v>5828.735765421261</v>
      </c>
      <c r="AB44" s="45">
        <f>IF(AB7&gt;1,AB43*Assumptions!$B$134,IF(AB2&gt;Assumptions!$B$135,INDEX($C$43:$AE$43,1,AB2-Assumptions!$B$135)*Assumptions!$B$134,0))</f>
        <v>11100.166129187632</v>
      </c>
      <c r="AC44" s="45">
        <f>IF(AC7&gt;1,AC43*Assumptions!$B$134,IF(AC2&gt;Assumptions!$B$135,INDEX($C$43:$AE$43,1,AC2-Assumptions!$B$135)*Assumptions!$B$134,0))</f>
        <v>18641.175191865757</v>
      </c>
      <c r="AD44" s="45">
        <f>IF(AD7&gt;1,AD43*Assumptions!$B$134,IF(AD2&gt;Assumptions!$B$135,INDEX($C$43:$AE$43,1,AD2-Assumptions!$B$135)*Assumptions!$B$134,0))</f>
        <v>27851.454491714416</v>
      </c>
      <c r="AE44" s="45">
        <f>IF(AE7&gt;1,AE43*Assumptions!$B$134,IF(AE2&gt;Assumptions!$B$135,INDEX($C$43:$AE$43,1,AE2-Assumptions!$B$135)*Assumptions!$B$134,0))</f>
        <v>37779.220067622344</v>
      </c>
    </row>
    <row r="45" spans="1:31" x14ac:dyDescent="0.25">
      <c r="A45" s="6" t="s">
        <v>477</v>
      </c>
      <c r="B45" s="23" t="s">
        <v>478</v>
      </c>
      <c r="C45" s="28">
        <f>IF(C2&gt;=Assumptions!$B$51,C44*Assumptions!$B$143,0)</f>
        <v>0</v>
      </c>
      <c r="D45" s="28">
        <f>IF(D2&gt;=Assumptions!$B$51,D44*Assumptions!$B$143,0)</f>
        <v>0</v>
      </c>
      <c r="E45" s="28">
        <f>IF(E2&gt;=Assumptions!$B$51,E44*Assumptions!$B$143,0)</f>
        <v>0</v>
      </c>
      <c r="F45" s="28">
        <f>IF(F2&gt;=Assumptions!$B$51,F44*Assumptions!$B$143,0)</f>
        <v>0</v>
      </c>
      <c r="G45" s="28">
        <f>IF(G2&gt;=Assumptions!$B$51,G44*Assumptions!$B$143,0)</f>
        <v>0</v>
      </c>
      <c r="H45" s="28">
        <f>IF(H2&gt;=Assumptions!$B$51,H44*Assumptions!$B$143,0)</f>
        <v>0</v>
      </c>
      <c r="I45" s="28">
        <f>IF(I2&gt;=Assumptions!$B$51,I44*Assumptions!$B$143,0)</f>
        <v>0</v>
      </c>
      <c r="J45" s="28">
        <f>IF(J2&gt;=Assumptions!$B$51,J44*Assumptions!$B$143,0)</f>
        <v>0</v>
      </c>
      <c r="K45" s="28">
        <f>IF(K2&gt;=Assumptions!$B$51,K44*Assumptions!$B$143,0)</f>
        <v>0</v>
      </c>
      <c r="L45" s="28">
        <f>IF(L2&gt;=Assumptions!$B$51,L44*Assumptions!$B$143,0)</f>
        <v>0</v>
      </c>
      <c r="M45" s="28">
        <f>IF(M2&gt;=Assumptions!$B$51,M44*Assumptions!$B$143,0)</f>
        <v>0</v>
      </c>
      <c r="N45" s="28">
        <f>IF(N2&gt;=Assumptions!$B$51,N44*Assumptions!$B$143,0)</f>
        <v>0</v>
      </c>
      <c r="O45" s="28">
        <f>IF(O2&gt;=Assumptions!$B$51,O44*Assumptions!$B$143,0)</f>
        <v>39.370222074318484</v>
      </c>
      <c r="P45" s="28">
        <f>IF(P2&gt;=Assumptions!$B$51,P44*Assumptions!$B$143,0)</f>
        <v>46.178831880925422</v>
      </c>
      <c r="Q45" s="28">
        <f>IF(Q2&gt;=Assumptions!$B$51,Q44*Assumptions!$B$143,0)</f>
        <v>52.752150196270776</v>
      </c>
      <c r="R45" s="28">
        <f>IF(R2&gt;=Assumptions!$B$51,R44*Assumptions!$B$143,0)</f>
        <v>59.32239860539574</v>
      </c>
      <c r="S45" s="28">
        <f>IF(S2&gt;=Assumptions!$B$51,S44*Assumptions!$B$143,0)</f>
        <v>66.50766606547171</v>
      </c>
      <c r="T45" s="28">
        <f>IF(T2&gt;=Assumptions!$B$51,T44*Assumptions!$B$143,0)</f>
        <v>76.16034876348769</v>
      </c>
      <c r="U45" s="28">
        <f>IF(U2&gt;=Assumptions!$B$51,U44*Assumptions!$B$143,0)</f>
        <v>85.034717722685315</v>
      </c>
      <c r="V45" s="28">
        <f>IF(V2&gt;=Assumptions!$B$51,V44*Assumptions!$B$143,0)</f>
        <v>92.823804014890186</v>
      </c>
      <c r="W45" s="28">
        <f>IF(W2&gt;=Assumptions!$B$51,W44*Assumptions!$B$143,0)</f>
        <v>119.31404765490056</v>
      </c>
      <c r="X45" s="28">
        <f>IF(X2&gt;=Assumptions!$B$51,X44*Assumptions!$B$143,0)</f>
        <v>145.10711542044822</v>
      </c>
      <c r="Y45" s="28">
        <f>IF(Y2&gt;=Assumptions!$B$51,Y44*Assumptions!$B$143,0)</f>
        <v>170.3630048895692</v>
      </c>
      <c r="Z45" s="28">
        <f>IF(Z2&gt;=Assumptions!$B$51,Z44*Assumptions!$B$143,0)</f>
        <v>202.54952346604148</v>
      </c>
      <c r="AA45" s="28">
        <f>IF(AA2&gt;=Assumptions!$B$51,AA44*Assumptions!$B$143,0)</f>
        <v>1049.1724377758269</v>
      </c>
      <c r="AB45" s="28">
        <f>IF(AB2&gt;=Assumptions!$B$51,AB44*Assumptions!$B$143,0)</f>
        <v>1998.0299032537737</v>
      </c>
      <c r="AC45" s="28">
        <f>IF(AC2&gt;=Assumptions!$B$51,AC44*Assumptions!$B$143,0)</f>
        <v>3355.4115345358364</v>
      </c>
      <c r="AD45" s="28">
        <f>IF(AD2&gt;=Assumptions!$B$51,AD44*Assumptions!$B$143,0)</f>
        <v>5013.2618085085951</v>
      </c>
      <c r="AE45" s="28">
        <f>IF(AE2&gt;=Assumptions!$B$51,AE44*Assumptions!$B$143,0)</f>
        <v>6800.2596121720217</v>
      </c>
    </row>
    <row r="46" spans="1:31" x14ac:dyDescent="0.25">
      <c r="A46" s="6" t="s">
        <v>479</v>
      </c>
      <c r="B46" s="23" t="s">
        <v>478</v>
      </c>
      <c r="C46" s="28">
        <f t="shared" ref="C46:AE46" si="10">IF(C43=0,0,C45*C31/C43)</f>
        <v>0</v>
      </c>
      <c r="D46" s="28">
        <f t="shared" si="10"/>
        <v>0</v>
      </c>
      <c r="E46" s="28">
        <f t="shared" si="10"/>
        <v>0</v>
      </c>
      <c r="F46" s="28">
        <f t="shared" si="10"/>
        <v>0</v>
      </c>
      <c r="G46" s="28">
        <f t="shared" si="10"/>
        <v>0</v>
      </c>
      <c r="H46" s="28">
        <f t="shared" si="10"/>
        <v>0</v>
      </c>
      <c r="I46" s="28">
        <f t="shared" si="10"/>
        <v>0</v>
      </c>
      <c r="J46" s="28">
        <f t="shared" si="10"/>
        <v>0</v>
      </c>
      <c r="K46" s="28">
        <f t="shared" si="10"/>
        <v>0</v>
      </c>
      <c r="L46" s="28">
        <f t="shared" si="10"/>
        <v>0</v>
      </c>
      <c r="M46" s="28">
        <f t="shared" si="10"/>
        <v>0</v>
      </c>
      <c r="N46" s="28">
        <f t="shared" si="10"/>
        <v>0</v>
      </c>
      <c r="O46" s="28">
        <f t="shared" si="10"/>
        <v>30.56758894056512</v>
      </c>
      <c r="P46" s="28">
        <f t="shared" si="10"/>
        <v>36.054483010997508</v>
      </c>
      <c r="Q46" s="28">
        <f t="shared" si="10"/>
        <v>41.003913341560626</v>
      </c>
      <c r="R46" s="28">
        <f t="shared" si="10"/>
        <v>46.093554677105672</v>
      </c>
      <c r="S46" s="28">
        <f t="shared" si="10"/>
        <v>51.181491238949327</v>
      </c>
      <c r="T46" s="28">
        <f t="shared" si="10"/>
        <v>57.610379971926072</v>
      </c>
      <c r="U46" s="28">
        <f t="shared" si="10"/>
        <v>63.135801376412545</v>
      </c>
      <c r="V46" s="28">
        <f t="shared" si="10"/>
        <v>67.639077257583338</v>
      </c>
      <c r="W46" s="28">
        <f t="shared" si="10"/>
        <v>85.54868583202537</v>
      </c>
      <c r="X46" s="28">
        <f t="shared" si="10"/>
        <v>103.36518747591037</v>
      </c>
      <c r="Y46" s="28">
        <f t="shared" si="10"/>
        <v>119.93452056247219</v>
      </c>
      <c r="Z46" s="28">
        <f t="shared" si="10"/>
        <v>140.19464071291671</v>
      </c>
      <c r="AA46" s="28">
        <f t="shared" si="10"/>
        <v>617.42864382037988</v>
      </c>
      <c r="AB46" s="28">
        <f t="shared" si="10"/>
        <v>1043.2772840959067</v>
      </c>
      <c r="AC46" s="28">
        <f t="shared" si="10"/>
        <v>1580.4636662852963</v>
      </c>
      <c r="AD46" s="28">
        <f t="shared" si="10"/>
        <v>2098.7496858237032</v>
      </c>
      <c r="AE46" s="28">
        <f t="shared" si="10"/>
        <v>2479.5853680002351</v>
      </c>
    </row>
    <row r="47" spans="1:31" x14ac:dyDescent="0.25">
      <c r="A47" s="6" t="s">
        <v>480</v>
      </c>
      <c r="B47" s="23" t="s">
        <v>114</v>
      </c>
      <c r="C47" s="55">
        <f>IF(C31=0,0,C42/C31*Assumptions!$B$31)</f>
        <v>17.235714285714284</v>
      </c>
      <c r="D47" s="55">
        <f>IF(D31=0,0,D42/D31*Assumptions!$B$31)</f>
        <v>26.208634673632631</v>
      </c>
      <c r="E47" s="55">
        <f>IF(E31=0,0,E42/E31*Assumptions!$B$31)</f>
        <v>35.376742834490202</v>
      </c>
      <c r="F47" s="55">
        <f>IF(F31=0,0,F42/F31*Assumptions!$B$31)</f>
        <v>42.801846876089549</v>
      </c>
      <c r="G47" s="55">
        <f>IF(G31=0,0,G42/G31*Assumptions!$B$31)</f>
        <v>51.749236203191103</v>
      </c>
      <c r="H47" s="55">
        <f>IF(H31=0,0,H42/H31*Assumptions!$B$31)</f>
        <v>62.097314737200669</v>
      </c>
      <c r="I47" s="55">
        <f>IF(I31=0,0,I42/I31*Assumptions!$B$31)</f>
        <v>72.483741898415147</v>
      </c>
      <c r="J47" s="55">
        <f>IF(J31=0,0,J42/J31*Assumptions!$B$31)</f>
        <v>82.678792696866736</v>
      </c>
      <c r="K47" s="55">
        <f>IF(K31=0,0,K42/K31*Assumptions!$B$31)</f>
        <v>91.900009226701712</v>
      </c>
      <c r="L47" s="55">
        <f>IF(L31=0,0,L42/L31*Assumptions!$B$31)</f>
        <v>97.825335126142988</v>
      </c>
      <c r="M47" s="55">
        <f>IF(M31=0,0,M42/M31*Assumptions!$B$31)</f>
        <v>105.58061350691341</v>
      </c>
      <c r="N47" s="55">
        <f>IF(N31=0,0,N42/N31*Assumptions!$B$31)</f>
        <v>115.13916891089943</v>
      </c>
      <c r="O47" s="55">
        <f>IF(O31=0,0,O42/O31*Assumptions!$B$31)</f>
        <v>110.56292673835546</v>
      </c>
      <c r="P47" s="55">
        <f>IF(P31=0,0,P42/P31*Assumptions!$B$31)</f>
        <v>106.67657163671299</v>
      </c>
      <c r="Q47" s="55">
        <f>IF(Q31=0,0,Q42/Q31*Assumptions!$B$31)</f>
        <v>107.52904228927838</v>
      </c>
      <c r="R47" s="55">
        <f>IF(R31=0,0,R42/R31*Assumptions!$B$31)</f>
        <v>106.74644533103219</v>
      </c>
      <c r="S47" s="55">
        <f>IF(S31=0,0,S42/S31*Assumptions!$B$31)</f>
        <v>110.17338764516383</v>
      </c>
      <c r="T47" s="55">
        <f>IF(T31=0,0,T42/T31*Assumptions!$B$31)</f>
        <v>117.05066161022521</v>
      </c>
      <c r="U47" s="55">
        <f>IF(U31=0,0,U42/U31*Assumptions!$B$31)</f>
        <v>124.68652930102787</v>
      </c>
      <c r="V47" s="55">
        <f>IF(V31=0,0,V42/V31*Assumptions!$B$31)</f>
        <v>132.49231892165128</v>
      </c>
      <c r="W47" s="55">
        <f>IF(W31=0,0,W42/W31*Assumptions!$B$31)</f>
        <v>139.22009457624773</v>
      </c>
      <c r="X47" s="55">
        <f>IF(X31=0,0,X42/X31*Assumptions!$B$31)</f>
        <v>141.58072033179729</v>
      </c>
      <c r="Y47" s="55">
        <f>IF(Y31=0,0,Y42/Y31*Assumptions!$B$31)</f>
        <v>146.42700010405588</v>
      </c>
      <c r="Z47" s="55">
        <f>IF(Z31=0,0,Z42/Z31*Assumptions!$B$31)</f>
        <v>153.75952086343264</v>
      </c>
      <c r="AA47" s="55">
        <f>IF(AA31=0,0,AA42/AA31*Assumptions!$B$31)</f>
        <v>278.58522634856325</v>
      </c>
      <c r="AB47" s="55">
        <f>IF(AB31=0,0,AB42/AB31*Assumptions!$B$31)</f>
        <v>360.60142708610351</v>
      </c>
      <c r="AC47" s="55">
        <f>IF(AC31=0,0,AC42/AC31*Assumptions!$B$31)</f>
        <v>428.36730976872099</v>
      </c>
      <c r="AD47" s="55">
        <f>IF(AD31=0,0,AD42/AD31*Assumptions!$B$31)</f>
        <v>506.39625250028507</v>
      </c>
      <c r="AE47" s="55">
        <f>IF(AE31=0,0,AE42/AE31*Assumptions!$B$31)</f>
        <v>603.96780007962582</v>
      </c>
    </row>
    <row r="48" spans="1:31" x14ac:dyDescent="0.25">
      <c r="A48" s="6" t="s">
        <v>481</v>
      </c>
      <c r="B48" s="23" t="s">
        <v>76</v>
      </c>
      <c r="C48" s="55">
        <f>C47*Assumptions!$B$156*Assumptions!$B$158</f>
        <v>18.0975</v>
      </c>
      <c r="D48" s="55">
        <f>D47*Assumptions!$B$156*Assumptions!$B$158</f>
        <v>27.519066407314263</v>
      </c>
      <c r="E48" s="55">
        <f>E47*Assumptions!$B$156*Assumptions!$B$158</f>
        <v>37.145579976214712</v>
      </c>
      <c r="F48" s="55">
        <f>F47*Assumptions!$B$156*Assumptions!$B$158</f>
        <v>44.941939219894032</v>
      </c>
      <c r="G48" s="55">
        <f>G47*Assumptions!$B$156*Assumptions!$B$158</f>
        <v>54.336698013350663</v>
      </c>
      <c r="H48" s="55">
        <f>H47*Assumptions!$B$156*Assumptions!$B$158</f>
        <v>65.202180474060711</v>
      </c>
      <c r="I48" s="55">
        <f>I47*Assumptions!$B$156*Assumptions!$B$158</f>
        <v>76.107928993335904</v>
      </c>
      <c r="J48" s="55">
        <f>J47*Assumptions!$B$156*Assumptions!$B$158</f>
        <v>86.81273233171008</v>
      </c>
      <c r="K48" s="55">
        <f>K47*Assumptions!$B$156*Assumptions!$B$158</f>
        <v>96.495009688036802</v>
      </c>
      <c r="L48" s="55">
        <f>L47*Assumptions!$B$156*Assumptions!$B$158</f>
        <v>102.71660188245015</v>
      </c>
      <c r="M48" s="55">
        <f>M47*Assumptions!$B$156*Assumptions!$B$158</f>
        <v>110.85964418225909</v>
      </c>
      <c r="N48" s="55">
        <f>N47*Assumptions!$B$156*Assumptions!$B$158</f>
        <v>120.89612735644441</v>
      </c>
      <c r="O48" s="55">
        <f>O47*Assumptions!$B$156*Assumptions!$B$158</f>
        <v>116.09107307527323</v>
      </c>
      <c r="P48" s="55">
        <f>P47*Assumptions!$B$156*Assumptions!$B$158</f>
        <v>112.01040021854865</v>
      </c>
      <c r="Q48" s="55">
        <f>Q47*Assumptions!$B$156*Assumptions!$B$158</f>
        <v>112.90549440374231</v>
      </c>
      <c r="R48" s="55">
        <f>R47*Assumptions!$B$156*Assumptions!$B$158</f>
        <v>112.0837675975838</v>
      </c>
      <c r="S48" s="55">
        <f>S47*Assumptions!$B$156*Assumptions!$B$158</f>
        <v>115.68205702742202</v>
      </c>
      <c r="T48" s="55">
        <f>T47*Assumptions!$B$156*Assumptions!$B$158</f>
        <v>122.90319469073647</v>
      </c>
      <c r="U48" s="55">
        <f>U47*Assumptions!$B$156*Assumptions!$B$158</f>
        <v>130.92085576607928</v>
      </c>
      <c r="V48" s="55">
        <f>V47*Assumptions!$B$156*Assumptions!$B$158</f>
        <v>139.11693486773385</v>
      </c>
      <c r="W48" s="55">
        <f>W47*Assumptions!$B$156*Assumptions!$B$158</f>
        <v>146.18109930506012</v>
      </c>
      <c r="X48" s="55">
        <f>X47*Assumptions!$B$156*Assumptions!$B$158</f>
        <v>148.65975634838716</v>
      </c>
      <c r="Y48" s="55">
        <f>Y47*Assumptions!$B$156*Assumptions!$B$158</f>
        <v>153.74835010925867</v>
      </c>
      <c r="Z48" s="55">
        <f>Z47*Assumptions!$B$156*Assumptions!$B$158</f>
        <v>161.44749690660427</v>
      </c>
      <c r="AA48" s="55">
        <f>AA47*Assumptions!$B$156*Assumptions!$B$158</f>
        <v>292.51448766599145</v>
      </c>
      <c r="AB48" s="55">
        <f>AB47*Assumptions!$B$156*Assumptions!$B$158</f>
        <v>378.63149844040868</v>
      </c>
      <c r="AC48" s="55">
        <f>AC47*Assumptions!$B$156*Assumptions!$B$158</f>
        <v>449.78567525715704</v>
      </c>
      <c r="AD48" s="55">
        <f>AD47*Assumptions!$B$156*Assumptions!$B$158</f>
        <v>531.71606512529934</v>
      </c>
      <c r="AE48" s="55">
        <f>AE47*Assumptions!$B$156*Assumptions!$B$158</f>
        <v>634.16619008360715</v>
      </c>
    </row>
    <row r="49" spans="1:31" x14ac:dyDescent="0.25">
      <c r="A49" s="6" t="s">
        <v>482</v>
      </c>
      <c r="B49" s="23" t="s">
        <v>114</v>
      </c>
      <c r="C49" s="55">
        <f t="shared" ref="C49:AE49" si="11">C48/12*C16</f>
        <v>1.6589374999999997</v>
      </c>
      <c r="D49" s="55">
        <f t="shared" si="11"/>
        <v>2.2932555339428546</v>
      </c>
      <c r="E49" s="55">
        <f t="shared" si="11"/>
        <v>3.0335556980575342</v>
      </c>
      <c r="F49" s="55">
        <f t="shared" si="11"/>
        <v>3.6702583696246789</v>
      </c>
      <c r="G49" s="55">
        <f t="shared" si="11"/>
        <v>4.5280581677792213</v>
      </c>
      <c r="H49" s="55">
        <f t="shared" si="11"/>
        <v>5.1618392875298049</v>
      </c>
      <c r="I49" s="55">
        <f t="shared" si="11"/>
        <v>5.5812481261779654</v>
      </c>
      <c r="J49" s="55">
        <f t="shared" si="11"/>
        <v>6.5109549248782557</v>
      </c>
      <c r="K49" s="55">
        <f t="shared" si="11"/>
        <v>8.0412508073363984</v>
      </c>
      <c r="L49" s="55">
        <f t="shared" si="11"/>
        <v>8.7309111600082598</v>
      </c>
      <c r="M49" s="55">
        <f t="shared" si="11"/>
        <v>9.7002188659476705</v>
      </c>
      <c r="N49" s="55">
        <f t="shared" si="11"/>
        <v>11.485132098862218</v>
      </c>
      <c r="O49" s="55">
        <f t="shared" si="11"/>
        <v>10.64168169856671</v>
      </c>
      <c r="P49" s="55">
        <f t="shared" si="11"/>
        <v>9.3342000182123854</v>
      </c>
      <c r="Q49" s="55">
        <f t="shared" si="11"/>
        <v>9.22061537630562</v>
      </c>
      <c r="R49" s="55">
        <f t="shared" si="11"/>
        <v>9.1535076871360097</v>
      </c>
      <c r="S49" s="55">
        <f t="shared" si="11"/>
        <v>9.6401714189518337</v>
      </c>
      <c r="T49" s="55">
        <f t="shared" si="11"/>
        <v>9.7298362463499686</v>
      </c>
      <c r="U49" s="55">
        <f t="shared" si="11"/>
        <v>9.6008627561791471</v>
      </c>
      <c r="V49" s="55">
        <f t="shared" si="11"/>
        <v>10.433770115080037</v>
      </c>
      <c r="W49" s="55">
        <f t="shared" si="11"/>
        <v>12.181758275421675</v>
      </c>
      <c r="X49" s="55">
        <f t="shared" si="11"/>
        <v>12.636079289612905</v>
      </c>
      <c r="Y49" s="55">
        <f t="shared" si="11"/>
        <v>13.452980634560133</v>
      </c>
      <c r="Z49" s="55">
        <f t="shared" si="11"/>
        <v>15.337512206127403</v>
      </c>
      <c r="AA49" s="55">
        <f t="shared" si="11"/>
        <v>24.376207305499289</v>
      </c>
      <c r="AB49" s="55">
        <f t="shared" si="11"/>
        <v>31.552624870034055</v>
      </c>
      <c r="AC49" s="55">
        <f t="shared" si="11"/>
        <v>37.482139604763084</v>
      </c>
      <c r="AD49" s="55">
        <f t="shared" si="11"/>
        <v>44.309672093774942</v>
      </c>
      <c r="AE49" s="55">
        <f t="shared" si="11"/>
        <v>52.847182506967265</v>
      </c>
    </row>
    <row r="50" spans="1:31" x14ac:dyDescent="0.25">
      <c r="A50" s="6" t="s">
        <v>483</v>
      </c>
      <c r="B50" s="23" t="s">
        <v>484</v>
      </c>
      <c r="C50" s="45">
        <f>C46*C49*Assumptions!$B$7*C7</f>
        <v>0</v>
      </c>
      <c r="D50" s="45">
        <f>D46*D49*Assumptions!$B$7*D7</f>
        <v>0</v>
      </c>
      <c r="E50" s="45">
        <f>E46*E49*Assumptions!$B$7*E7</f>
        <v>0</v>
      </c>
      <c r="F50" s="45">
        <f>F46*F49*Assumptions!$B$7*F7</f>
        <v>0</v>
      </c>
      <c r="G50" s="45">
        <f>G46*G49*Assumptions!$B$7*G7</f>
        <v>0</v>
      </c>
      <c r="H50" s="45">
        <f>H46*H49*Assumptions!$B$7*H7</f>
        <v>0</v>
      </c>
      <c r="I50" s="45">
        <f>I46*I49*Assumptions!$B$7*I7</f>
        <v>0</v>
      </c>
      <c r="J50" s="45">
        <f>J46*J49*Assumptions!$B$7*J7</f>
        <v>0</v>
      </c>
      <c r="K50" s="45">
        <f>K46*K49*Assumptions!$B$7*K7</f>
        <v>0</v>
      </c>
      <c r="L50" s="45">
        <f>L46*L49*Assumptions!$B$7*L7</f>
        <v>0</v>
      </c>
      <c r="M50" s="45">
        <f>M46*M49*Assumptions!$B$7*M7</f>
        <v>0</v>
      </c>
      <c r="N50" s="45">
        <f>N46*N49*Assumptions!$B$7*N7</f>
        <v>0</v>
      </c>
      <c r="O50" s="45">
        <f>O46*O49*Assumptions!$B$7*O7</f>
        <v>1194.6295514786029</v>
      </c>
      <c r="P50" s="45">
        <f>P46*P49*Assumptions!$B$7*P7</f>
        <v>1235.942253828805</v>
      </c>
      <c r="Q50" s="45">
        <f>Q46*Q49*Assumptions!$B$7*Q7</f>
        <v>1388.503625099057</v>
      </c>
      <c r="R50" s="45">
        <f>R46*R49*Assumptions!$B$7*R7</f>
        <v>1549.4927791936811</v>
      </c>
      <c r="S50" s="45">
        <f>S46*S49*Assumptions!$B$7*S7</f>
        <v>1812.005436779817</v>
      </c>
      <c r="T50" s="45">
        <f>T46*T49*Assumptions!$B$7*T7</f>
        <v>2058.5815459138471</v>
      </c>
      <c r="U50" s="45">
        <f>U46*U49*Assumptions!$B$7*U7</f>
        <v>2226.1158573499474</v>
      </c>
      <c r="V50" s="45">
        <f>V46*V49*Assumptions!$B$7*V7</f>
        <v>2591.7955657067237</v>
      </c>
      <c r="W50" s="45">
        <f>W46*W49*Assumptions!$B$7*W7</f>
        <v>3827.234954048572</v>
      </c>
      <c r="X50" s="45">
        <f>X46*X49*Assumptions!$B$7*X7</f>
        <v>4796.7650131257215</v>
      </c>
      <c r="Y50" s="45">
        <f>Y46*Y49*Assumptions!$B$7*Y7</f>
        <v>5925.4934838862009</v>
      </c>
      <c r="Z50" s="45">
        <f>Z46*Z49*Assumptions!$B$7*Z7</f>
        <v>7896.7454308595015</v>
      </c>
      <c r="AA50" s="45">
        <f>AA46*AA49*Assumptions!$B$7*AA7</f>
        <v>663278.55900049827</v>
      </c>
      <c r="AB50" s="45">
        <f>AB46*AB49*Assumptions!$B$7*AB7</f>
        <v>1450702.2879169032</v>
      </c>
      <c r="AC50" s="45">
        <f>AC46*AC49*Assumptions!$B$7*AC7</f>
        <v>2610669.7715028888</v>
      </c>
      <c r="AD50" s="45">
        <f>AD46*AD49*Assumptions!$B$7*AD7</f>
        <v>4098285.700700508</v>
      </c>
      <c r="AE50" s="45">
        <f>AE46*AE49*Assumptions!$B$7*AE7</f>
        <v>5774893.1583437175</v>
      </c>
    </row>
    <row r="51" spans="1:31" x14ac:dyDescent="0.25">
      <c r="A51" s="6" t="s">
        <v>483</v>
      </c>
      <c r="B51" s="23" t="s">
        <v>114</v>
      </c>
      <c r="C51" s="55">
        <f>C50/Assumptions!$B$7</f>
        <v>0</v>
      </c>
      <c r="D51" s="55">
        <f>D50/Assumptions!$B$7</f>
        <v>0</v>
      </c>
      <c r="E51" s="55">
        <f>E50/Assumptions!$B$7</f>
        <v>0</v>
      </c>
      <c r="F51" s="55">
        <f>F50/Assumptions!$B$7</f>
        <v>0</v>
      </c>
      <c r="G51" s="55">
        <f>G50/Assumptions!$B$7</f>
        <v>0</v>
      </c>
      <c r="H51" s="55">
        <f>H50/Assumptions!$B$7</f>
        <v>0</v>
      </c>
      <c r="I51" s="55">
        <f>I50/Assumptions!$B$7</f>
        <v>0</v>
      </c>
      <c r="J51" s="55">
        <f>J50/Assumptions!$B$7</f>
        <v>0</v>
      </c>
      <c r="K51" s="55">
        <f>K50/Assumptions!$B$7</f>
        <v>0</v>
      </c>
      <c r="L51" s="55">
        <f>L50/Assumptions!$B$7</f>
        <v>0</v>
      </c>
      <c r="M51" s="55">
        <f>M50/Assumptions!$B$7</f>
        <v>0</v>
      </c>
      <c r="N51" s="55">
        <f>N50/Assumptions!$B$7</f>
        <v>0</v>
      </c>
      <c r="O51" s="55">
        <f>O50/Assumptions!$B$7</f>
        <v>325.29055179812195</v>
      </c>
      <c r="P51" s="55">
        <f>P50/Assumptions!$B$7</f>
        <v>336.5397559778911</v>
      </c>
      <c r="Q51" s="55">
        <f>Q50/Assumptions!$B$7</f>
        <v>378.08131384589706</v>
      </c>
      <c r="R51" s="55">
        <f>R50/Assumptions!$B$7</f>
        <v>421.91770706431072</v>
      </c>
      <c r="S51" s="55">
        <f>S50/Assumptions!$B$7</f>
        <v>493.39834902105298</v>
      </c>
      <c r="T51" s="55">
        <f>T50/Assumptions!$B$7</f>
        <v>560.53956321684063</v>
      </c>
      <c r="U51" s="55">
        <f>U50/Assumptions!$B$7</f>
        <v>606.15816401632333</v>
      </c>
      <c r="V51" s="55">
        <f>V50/Assumptions!$B$7</f>
        <v>705.73058290176277</v>
      </c>
      <c r="W51" s="55">
        <f>W50/Assumptions!$B$7</f>
        <v>1042.1334115857242</v>
      </c>
      <c r="X51" s="55">
        <f>X50/Assumptions!$B$7</f>
        <v>1306.1307047313062</v>
      </c>
      <c r="Y51" s="55">
        <f>Y50/Assumptions!$B$7</f>
        <v>1613.4767825421923</v>
      </c>
      <c r="Z51" s="55">
        <f>Z50/Assumptions!$B$7</f>
        <v>2150.2370131680059</v>
      </c>
      <c r="AA51" s="55">
        <f>AA50/Assumptions!$B$7</f>
        <v>180606.82341742635</v>
      </c>
      <c r="AB51" s="55">
        <f>AB50/Assumptions!$B$7</f>
        <v>395017.64136607305</v>
      </c>
      <c r="AC51" s="55">
        <f>AC50/Assumptions!$B$7</f>
        <v>710869.91735953407</v>
      </c>
      <c r="AD51" s="55">
        <f>AD50/Assumptions!$B$7</f>
        <v>1115938.9246291376</v>
      </c>
      <c r="AE51" s="55">
        <f>AE50/Assumptions!$B$7</f>
        <v>1572469.2058117678</v>
      </c>
    </row>
    <row r="52" spans="1:31" x14ac:dyDescent="0.25">
      <c r="A52" s="6" t="s">
        <v>485</v>
      </c>
      <c r="B52" s="23" t="s">
        <v>484</v>
      </c>
      <c r="C52" s="45">
        <f>IF(Assumptions!$B$144=0,0,C47*Assumptions!$B$156*Assumptions!$B$7/Assumptions!$B$144)</f>
        <v>7.9122700892857134</v>
      </c>
      <c r="D52" s="45">
        <f>IF(Assumptions!$B$144=0,0,D47*Assumptions!$B$156*Assumptions!$B$7/Assumptions!$B$144)</f>
        <v>12.03140135486448</v>
      </c>
      <c r="E52" s="45">
        <f>IF(Assumptions!$B$144=0,0,E47*Assumptions!$B$156*Assumptions!$B$7/Assumptions!$B$144)</f>
        <v>16.240136007458158</v>
      </c>
      <c r="F52" s="45">
        <f>IF(Assumptions!$B$144=0,0,F47*Assumptions!$B$156*Assumptions!$B$7/Assumptions!$B$144)</f>
        <v>19.648722831554856</v>
      </c>
      <c r="G52" s="45">
        <f>IF(Assumptions!$B$144=0,0,G47*Assumptions!$B$156*Assumptions!$B$7/Assumptions!$B$144)</f>
        <v>23.756133744527414</v>
      </c>
      <c r="H52" s="45">
        <f>IF(Assumptions!$B$144=0,0,H47*Assumptions!$B$156*Assumptions!$B$7/Assumptions!$B$144)</f>
        <v>28.506548546546181</v>
      </c>
      <c r="I52" s="45">
        <f>IF(Assumptions!$B$144=0,0,I47*Assumptions!$B$156*Assumptions!$B$7/Assumptions!$B$144)</f>
        <v>33.274567765241201</v>
      </c>
      <c r="J52" s="45">
        <f>IF(Assumptions!$B$144=0,0,J47*Assumptions!$B$156*Assumptions!$B$7/Assumptions!$B$144)</f>
        <v>37.954733272405385</v>
      </c>
      <c r="K52" s="45">
        <f>IF(Assumptions!$B$144=0,0,K47*Assumptions!$B$156*Assumptions!$B$7/Assumptions!$B$144)</f>
        <v>42.18784798563275</v>
      </c>
      <c r="L52" s="45">
        <f>IF(Assumptions!$B$144=0,0,L47*Assumptions!$B$156*Assumptions!$B$7/Assumptions!$B$144)</f>
        <v>44.907942906345014</v>
      </c>
      <c r="M52" s="45">
        <f>IF(Assumptions!$B$144=0,0,M47*Assumptions!$B$156*Assumptions!$B$7/Assumptions!$B$144)</f>
        <v>48.468100388017433</v>
      </c>
      <c r="N52" s="45">
        <f>IF(Assumptions!$B$144=0,0,N47*Assumptions!$B$156*Assumptions!$B$7/Assumptions!$B$144)</f>
        <v>52.856074728159768</v>
      </c>
      <c r="O52" s="45">
        <f>IF(Assumptions!$B$144=0,0,O47*Assumptions!$B$156*Assumptions!$B$7/Assumptions!$B$144)</f>
        <v>50.755293555826299</v>
      </c>
      <c r="P52" s="45">
        <f>IF(Assumptions!$B$144=0,0,P47*Assumptions!$B$156*Assumptions!$B$7/Assumptions!$B$144)</f>
        <v>48.971213666978556</v>
      </c>
      <c r="Q52" s="45">
        <f>IF(Assumptions!$B$144=0,0,Q47*Assumptions!$B$156*Assumptions!$B$7/Assumptions!$B$144)</f>
        <v>49.362550975921856</v>
      </c>
      <c r="R52" s="45">
        <f>IF(Assumptions!$B$144=0,0,R47*Assumptions!$B$156*Assumptions!$B$7/Assumptions!$B$144)</f>
        <v>49.003290059776965</v>
      </c>
      <c r="S52" s="45">
        <f>IF(Assumptions!$B$144=0,0,S47*Assumptions!$B$156*Assumptions!$B$7/Assumptions!$B$144)</f>
        <v>50.576470765858019</v>
      </c>
      <c r="T52" s="45">
        <f>IF(Assumptions!$B$144=0,0,T47*Assumptions!$B$156*Assumptions!$B$7/Assumptions!$B$144)</f>
        <v>53.733569345444003</v>
      </c>
      <c r="U52" s="45">
        <f>IF(Assumptions!$B$144=0,0,U47*Assumptions!$B$156*Assumptions!$B$7/Assumptions!$B$144)</f>
        <v>57.238909857253105</v>
      </c>
      <c r="V52" s="45">
        <f>IF(Assumptions!$B$144=0,0,V47*Assumptions!$B$156*Assumptions!$B$7/Assumptions!$B$144)</f>
        <v>60.822255154970534</v>
      </c>
      <c r="W52" s="45">
        <f>IF(Assumptions!$B$144=0,0,W47*Assumptions!$B$156*Assumptions!$B$7/Assumptions!$B$144)</f>
        <v>63.910724666408726</v>
      </c>
      <c r="X52" s="45">
        <f>IF(Assumptions!$B$144=0,0,X47*Assumptions!$B$156*Assumptions!$B$7/Assumptions!$B$144)</f>
        <v>64.994399427315699</v>
      </c>
      <c r="Y52" s="45">
        <f>IF(Assumptions!$B$144=0,0,Y47*Assumptions!$B$156*Assumptions!$B$7/Assumptions!$B$144)</f>
        <v>67.219144735268145</v>
      </c>
      <c r="Z52" s="45">
        <f>IF(Assumptions!$B$144=0,0,Z47*Assumptions!$B$156*Assumptions!$B$7/Assumptions!$B$144)</f>
        <v>70.585230046369546</v>
      </c>
      <c r="AA52" s="45">
        <f>IF(Assumptions!$B$144=0,0,AA47*Assumptions!$B$156*Assumptions!$B$7/Assumptions!$B$144)</f>
        <v>127.88803047063732</v>
      </c>
      <c r="AB52" s="45">
        <f>IF(Assumptions!$B$144=0,0,AB47*Assumptions!$B$156*Assumptions!$B$7/Assumptions!$B$144)</f>
        <v>165.5385926217144</v>
      </c>
      <c r="AC52" s="45">
        <f>IF(Assumptions!$B$144=0,0,AC47*Assumptions!$B$156*Assumptions!$B$7/Assumptions!$B$144)</f>
        <v>196.64736814070346</v>
      </c>
      <c r="AD52" s="45">
        <f>IF(Assumptions!$B$144=0,0,AD47*Assumptions!$B$156*Assumptions!$B$7/Assumptions!$B$144)</f>
        <v>232.46752966341211</v>
      </c>
      <c r="AE52" s="45">
        <f>IF(Assumptions!$B$144=0,0,AE47*Assumptions!$B$156*Assumptions!$B$7/Assumptions!$B$144)</f>
        <v>277.25896822405321</v>
      </c>
    </row>
    <row r="53" spans="1:31" x14ac:dyDescent="0.25">
      <c r="A53" s="6" t="s">
        <v>486</v>
      </c>
      <c r="B53" s="23" t="s">
        <v>487</v>
      </c>
      <c r="C53" s="45">
        <f>C46*Assumptions!$B$158*Assumptions!$B$144*C7/12*(1+Assumptions!$B$16)</f>
        <v>0</v>
      </c>
      <c r="D53" s="45">
        <f>D46*Assumptions!$B$158*Assumptions!$B$144*D7/12*(1+Assumptions!$B$16)</f>
        <v>0</v>
      </c>
      <c r="E53" s="45">
        <f>E46*Assumptions!$B$158*Assumptions!$B$144*E7/12*(1+Assumptions!$B$16)</f>
        <v>0</v>
      </c>
      <c r="F53" s="45">
        <f>F46*Assumptions!$B$158*Assumptions!$B$144*F7/12*(1+Assumptions!$B$16)</f>
        <v>0</v>
      </c>
      <c r="G53" s="45">
        <f>G46*Assumptions!$B$158*Assumptions!$B$144*G7/12*(1+Assumptions!$B$16)</f>
        <v>0</v>
      </c>
      <c r="H53" s="45">
        <f>H46*Assumptions!$B$158*Assumptions!$B$144*H7/12*(1+Assumptions!$B$16)</f>
        <v>0</v>
      </c>
      <c r="I53" s="45">
        <f>I46*Assumptions!$B$158*Assumptions!$B$144*I7/12*(1+Assumptions!$B$16)</f>
        <v>0</v>
      </c>
      <c r="J53" s="45">
        <f>J46*Assumptions!$B$158*Assumptions!$B$144*J7/12*(1+Assumptions!$B$16)</f>
        <v>0</v>
      </c>
      <c r="K53" s="45">
        <f>K46*Assumptions!$B$158*Assumptions!$B$144*K7/12*(1+Assumptions!$B$16)</f>
        <v>0</v>
      </c>
      <c r="L53" s="45">
        <f>L46*Assumptions!$B$158*Assumptions!$B$144*L7/12*(1+Assumptions!$B$16)</f>
        <v>0</v>
      </c>
      <c r="M53" s="45">
        <f>M46*Assumptions!$B$158*Assumptions!$B$144*M7/12*(1+Assumptions!$B$16)</f>
        <v>0</v>
      </c>
      <c r="N53" s="45">
        <f>N46*Assumptions!$B$158*Assumptions!$B$144*N7/12*(1+Assumptions!$B$16)</f>
        <v>0</v>
      </c>
      <c r="O53" s="45">
        <f>O46*Assumptions!$B$158*Assumptions!$B$144*O7/12*(1+Assumptions!$B$16)</f>
        <v>22.681150993899323</v>
      </c>
      <c r="P53" s="45">
        <f>P46*Assumptions!$B$158*Assumptions!$B$144*P7/12*(1+Assumptions!$B$16)</f>
        <v>26.752426394160157</v>
      </c>
      <c r="Q53" s="45">
        <f>Q46*Assumptions!$B$158*Assumptions!$B$144*Q7/12*(1+Assumptions!$B$16)</f>
        <v>30.424903699437991</v>
      </c>
      <c r="R53" s="45">
        <f>R46*Assumptions!$B$158*Assumptions!$B$144*R7/12*(1+Assumptions!$B$16)</f>
        <v>34.20141757041241</v>
      </c>
      <c r="S53" s="45">
        <f>S46*Assumptions!$B$158*Assumptions!$B$144*S7/12*(1+Assumptions!$B$16)</f>
        <v>37.9766664993004</v>
      </c>
      <c r="T53" s="45">
        <f>T46*Assumptions!$B$158*Assumptions!$B$144*T7/12*(1+Assumptions!$B$16)</f>
        <v>42.746901939169149</v>
      </c>
      <c r="U53" s="45">
        <f>U46*Assumptions!$B$158*Assumptions!$B$144*U7/12*(1+Assumptions!$B$16)</f>
        <v>46.846764621298107</v>
      </c>
      <c r="V53" s="45">
        <f>V46*Assumptions!$B$158*Assumptions!$B$144*V7/12*(1+Assumptions!$B$16)</f>
        <v>50.188195325126848</v>
      </c>
      <c r="W53" s="45">
        <f>W46*Assumptions!$B$158*Assumptions!$B$144*W7/12*(1+Assumptions!$B$16)</f>
        <v>63.477124887362827</v>
      </c>
      <c r="X53" s="45">
        <f>X46*Assumptions!$B$158*Assumptions!$B$144*X7/12*(1+Assumptions!$B$16)</f>
        <v>76.696969107125497</v>
      </c>
      <c r="Y53" s="45">
        <f>Y46*Assumptions!$B$158*Assumptions!$B$144*Y7/12*(1+Assumptions!$B$16)</f>
        <v>88.991414257354378</v>
      </c>
      <c r="Z53" s="45">
        <f>Z46*Assumptions!$B$158*Assumptions!$B$144*Z7/12*(1+Assumptions!$B$16)</f>
        <v>104.02442340898421</v>
      </c>
      <c r="AA53" s="45">
        <f>AA46*Assumptions!$B$158*Assumptions!$B$144*AA7/12*(1+Assumptions!$B$16)</f>
        <v>5497.5846445766629</v>
      </c>
      <c r="AB53" s="45">
        <f>AB46*Assumptions!$B$158*Assumptions!$B$144*AB7/12*(1+Assumptions!$B$16)</f>
        <v>9289.3409375899537</v>
      </c>
      <c r="AC53" s="45">
        <f>AC46*Assumptions!$B$158*Assumptions!$B$144*AC7/12*(1+Assumptions!$B$16)</f>
        <v>14072.448484604281</v>
      </c>
      <c r="AD53" s="45">
        <f>AD46*Assumptions!$B$158*Assumptions!$B$144*AD7/12*(1+Assumptions!$B$16)</f>
        <v>18687.267202574254</v>
      </c>
      <c r="AE53" s="45">
        <f>AE46*Assumptions!$B$158*Assumptions!$B$144*AE7/12*(1+Assumptions!$B$16)</f>
        <v>22078.228116674094</v>
      </c>
    </row>
    <row r="54" spans="1:31" x14ac:dyDescent="0.25">
      <c r="A54" s="6" t="s">
        <v>488</v>
      </c>
      <c r="B54" s="23" t="s">
        <v>114</v>
      </c>
      <c r="C54" s="55">
        <f>C35*Assumptions!$B$8</f>
        <v>129.70763499243921</v>
      </c>
      <c r="D54" s="55">
        <f>D35*Assumptions!$B$8</f>
        <v>246.6220093853168</v>
      </c>
      <c r="E54" s="55">
        <f>E35*Assumptions!$B$8</f>
        <v>352.65807989043981</v>
      </c>
      <c r="F54" s="55">
        <f>F35*Assumptions!$B$8</f>
        <v>482.97173938777371</v>
      </c>
      <c r="G54" s="55">
        <f>G35*Assumptions!$B$8</f>
        <v>592.763860396822</v>
      </c>
      <c r="H54" s="55">
        <f>H35*Assumptions!$B$8</f>
        <v>676.65357739958051</v>
      </c>
      <c r="I54" s="55">
        <f>I35*Assumptions!$B$8</f>
        <v>752.57173649026129</v>
      </c>
      <c r="J54" s="55">
        <f>J35*Assumptions!$B$8</f>
        <v>824.74952758123641</v>
      </c>
      <c r="K54" s="55">
        <f>K35*Assumptions!$B$8</f>
        <v>903.59946454358487</v>
      </c>
      <c r="L54" s="55">
        <f>L35*Assumptions!$B$8</f>
        <v>1019.4585291784181</v>
      </c>
      <c r="M54" s="55">
        <f>M35*Assumptions!$B$8</f>
        <v>1116.8041385908873</v>
      </c>
      <c r="N54" s="55">
        <f>N35*Assumptions!$B$8</f>
        <v>1191.4550173234359</v>
      </c>
      <c r="O54" s="55">
        <f>O35*Assumptions!$B$8</f>
        <v>1572.0233273217573</v>
      </c>
      <c r="P54" s="55">
        <f>P35*Assumptions!$B$8</f>
        <v>1922.5565613393564</v>
      </c>
      <c r="Q54" s="55">
        <f>Q35*Assumptions!$B$8</f>
        <v>2247.1627098359199</v>
      </c>
      <c r="R54" s="55">
        <f>R35*Assumptions!$B$8</f>
        <v>2670.7104875838922</v>
      </c>
      <c r="S54" s="55">
        <f>S35*Assumptions!$B$8</f>
        <v>3034.7313723403577</v>
      </c>
      <c r="T54" s="55">
        <f>T35*Assumptions!$B$8</f>
        <v>3313.7207735454986</v>
      </c>
      <c r="U54" s="55">
        <f>U35*Assumptions!$B$8</f>
        <v>3570.8878601628694</v>
      </c>
      <c r="V54" s="55">
        <f>V35*Assumptions!$B$8</f>
        <v>3821.2716179978838</v>
      </c>
      <c r="W54" s="55">
        <f>W35*Assumptions!$B$8</f>
        <v>4105.4142537523912</v>
      </c>
      <c r="X54" s="55">
        <f>X35*Assumptions!$B$8</f>
        <v>4546.6027998331456</v>
      </c>
      <c r="Y54" s="55">
        <f>Y35*Assumptions!$B$8</f>
        <v>4928.3707880954744</v>
      </c>
      <c r="Z54" s="55">
        <f>Z35*Assumptions!$B$8</f>
        <v>5228.1255957876892</v>
      </c>
      <c r="AA54" s="55">
        <f>AA35*Assumptions!$B$8</f>
        <v>125730.92383251374</v>
      </c>
      <c r="AB54" s="55">
        <f>AB35*Assumptions!$B$8</f>
        <v>212449.19239771191</v>
      </c>
      <c r="AC54" s="55">
        <f>AC35*Assumptions!$B$8</f>
        <v>321839.87386173313</v>
      </c>
      <c r="AD54" s="55">
        <f>AD35*Assumptions!$B$8</f>
        <v>427381.75420409947</v>
      </c>
      <c r="AE54" s="55">
        <f>AE35*Assumptions!$B$8</f>
        <v>504933.74766550242</v>
      </c>
    </row>
    <row r="55" spans="1:31" x14ac:dyDescent="0.25">
      <c r="A55" s="6" t="s">
        <v>489</v>
      </c>
      <c r="B55" s="23" t="s">
        <v>114</v>
      </c>
      <c r="C55" s="55">
        <f>C36*Assumptions!$B$8</f>
        <v>12.468918482904126</v>
      </c>
      <c r="D55" s="55">
        <f>D36*Assumptions!$B$8</f>
        <v>23.708008640314677</v>
      </c>
      <c r="E55" s="55">
        <f>E36*Assumptions!$B$8</f>
        <v>33.901357084705964</v>
      </c>
      <c r="F55" s="55">
        <f>F36*Assumptions!$B$8</f>
        <v>46.4285332804318</v>
      </c>
      <c r="G55" s="55">
        <f>G36*Assumptions!$B$8</f>
        <v>56.982954436956391</v>
      </c>
      <c r="H55" s="55">
        <f>H36*Assumptions!$B$8</f>
        <v>65.047352827400147</v>
      </c>
      <c r="I55" s="55">
        <f>I36*Assumptions!$B$8</f>
        <v>72.345437763795957</v>
      </c>
      <c r="J55" s="55">
        <f>J36*Assumptions!$B$8</f>
        <v>79.283957562124797</v>
      </c>
      <c r="K55" s="55">
        <f>K36*Assumptions!$B$8</f>
        <v>86.863877097493415</v>
      </c>
      <c r="L55" s="55">
        <f>L36*Assumptions!$B$8</f>
        <v>98.001519322806246</v>
      </c>
      <c r="M55" s="55">
        <f>M36*Assumptions!$B$8</f>
        <v>107.35944546573113</v>
      </c>
      <c r="N55" s="55">
        <f>N36*Assumptions!$B$8</f>
        <v>114.535705534366</v>
      </c>
      <c r="O55" s="55">
        <f>O36*Assumptions!$B$8</f>
        <v>151.12009962051414</v>
      </c>
      <c r="P55" s="55">
        <f>P36*Assumptions!$B$8</f>
        <v>184.81719324780119</v>
      </c>
      <c r="Q55" s="55">
        <f>Q36*Assumptions!$B$8</f>
        <v>216.02189145148873</v>
      </c>
      <c r="R55" s="55">
        <f>R36*Assumptions!$B$8</f>
        <v>256.73794270523717</v>
      </c>
      <c r="S55" s="55">
        <f>S36*Assumptions!$B$8</f>
        <v>291.73161704343318</v>
      </c>
      <c r="T55" s="55">
        <f>T36*Assumptions!$B$8</f>
        <v>318.55113388547494</v>
      </c>
      <c r="U55" s="55">
        <f>U36*Assumptions!$B$8</f>
        <v>343.27285084303776</v>
      </c>
      <c r="V55" s="55">
        <f>V36*Assumptions!$B$8</f>
        <v>367.34247994443945</v>
      </c>
      <c r="W55" s="55">
        <f>W36*Assumptions!$B$8</f>
        <v>394.65738213155424</v>
      </c>
      <c r="X55" s="55">
        <f>X36*Assumptions!$B$8</f>
        <v>437.06925724586483</v>
      </c>
      <c r="Y55" s="55">
        <f>Y36*Assumptions!$B$8</f>
        <v>473.76897754608262</v>
      </c>
      <c r="Z55" s="55">
        <f>Z36*Assumptions!$B$8</f>
        <v>502.58469269030439</v>
      </c>
      <c r="AA55" s="55">
        <f>AA36*Assumptions!$B$8</f>
        <v>12086.633451756526</v>
      </c>
      <c r="AB55" s="55">
        <f>AB36*Assumptions!$B$8</f>
        <v>20422.943197756234</v>
      </c>
      <c r="AC55" s="55">
        <f>AC36*Assumptions!$B$8</f>
        <v>30938.773588493979</v>
      </c>
      <c r="AD55" s="55">
        <f>AD36*Assumptions!$B$8</f>
        <v>41084.615061882185</v>
      </c>
      <c r="AE55" s="55">
        <f>AE36*Assumptions!$B$8</f>
        <v>48539.762052368234</v>
      </c>
    </row>
    <row r="56" spans="1:31" x14ac:dyDescent="0.25">
      <c r="A56" s="6" t="s">
        <v>490</v>
      </c>
      <c r="B56" s="23" t="s">
        <v>114</v>
      </c>
      <c r="C56" s="55">
        <f>C51*IF(Assumptions!$B$178=1,MIN(Assumptions!$B$14,1%),Assumptions!$B$14)*(1-Assumptions!$B$142)</f>
        <v>0</v>
      </c>
      <c r="D56" s="55">
        <f>D51*IF(Assumptions!$B$178=1,MIN(Assumptions!$B$14,1%),Assumptions!$B$14)*(1-Assumptions!$B$142)</f>
        <v>0</v>
      </c>
      <c r="E56" s="55">
        <f>E51*IF(Assumptions!$B$178=1,MIN(Assumptions!$B$14,1%),Assumptions!$B$14)*(1-Assumptions!$B$142)</f>
        <v>0</v>
      </c>
      <c r="F56" s="55">
        <f>F51*IF(Assumptions!$B$178=1,MIN(Assumptions!$B$14,1%),Assumptions!$B$14)*(1-Assumptions!$B$142)</f>
        <v>0</v>
      </c>
      <c r="G56" s="55">
        <f>G51*IF(Assumptions!$B$178=1,MIN(Assumptions!$B$14,1%),Assumptions!$B$14)*(1-Assumptions!$B$142)</f>
        <v>0</v>
      </c>
      <c r="H56" s="55">
        <f>H51*IF(Assumptions!$B$178=1,MIN(Assumptions!$B$14,1%),Assumptions!$B$14)*(1-Assumptions!$B$142)</f>
        <v>0</v>
      </c>
      <c r="I56" s="55">
        <f>I51*IF(Assumptions!$B$178=1,MIN(Assumptions!$B$14,1%),Assumptions!$B$14)*(1-Assumptions!$B$142)</f>
        <v>0</v>
      </c>
      <c r="J56" s="55">
        <f>J51*IF(Assumptions!$B$178=1,MIN(Assumptions!$B$14,1%),Assumptions!$B$14)*(1-Assumptions!$B$142)</f>
        <v>0</v>
      </c>
      <c r="K56" s="55">
        <f>K51*IF(Assumptions!$B$178=1,MIN(Assumptions!$B$14,1%),Assumptions!$B$14)*(1-Assumptions!$B$142)</f>
        <v>0</v>
      </c>
      <c r="L56" s="55">
        <f>L51*IF(Assumptions!$B$178=1,MIN(Assumptions!$B$14,1%),Assumptions!$B$14)*(1-Assumptions!$B$142)</f>
        <v>0</v>
      </c>
      <c r="M56" s="55">
        <f>M51*IF(Assumptions!$B$178=1,MIN(Assumptions!$B$14,1%),Assumptions!$B$14)*(1-Assumptions!$B$142)</f>
        <v>0</v>
      </c>
      <c r="N56" s="55">
        <f>N51*IF(Assumptions!$B$178=1,MIN(Assumptions!$B$14,1%),Assumptions!$B$14)*(1-Assumptions!$B$142)</f>
        <v>0</v>
      </c>
      <c r="O56" s="55">
        <f>O51*IF(Assumptions!$B$178=1,MIN(Assumptions!$B$14,1%),Assumptions!$B$14)*(1-Assumptions!$B$142)</f>
        <v>2.342091972946478</v>
      </c>
      <c r="P56" s="55">
        <f>P51*IF(Assumptions!$B$178=1,MIN(Assumptions!$B$14,1%),Assumptions!$B$14)*(1-Assumptions!$B$142)</f>
        <v>2.423086243040816</v>
      </c>
      <c r="Q56" s="55">
        <f>Q51*IF(Assumptions!$B$178=1,MIN(Assumptions!$B$14,1%),Assumptions!$B$14)*(1-Assumptions!$B$142)</f>
        <v>2.7221854596904587</v>
      </c>
      <c r="R56" s="55">
        <f>R51*IF(Assumptions!$B$178=1,MIN(Assumptions!$B$14,1%),Assumptions!$B$14)*(1-Assumptions!$B$142)</f>
        <v>3.0378074908630373</v>
      </c>
      <c r="S56" s="55">
        <f>S51*IF(Assumptions!$B$178=1,MIN(Assumptions!$B$14,1%),Assumptions!$B$14)*(1-Assumptions!$B$142)</f>
        <v>3.5524681129515816</v>
      </c>
      <c r="T56" s="55">
        <f>T51*IF(Assumptions!$B$178=1,MIN(Assumptions!$B$14,1%),Assumptions!$B$14)*(1-Assumptions!$B$142)</f>
        <v>4.0358848551612523</v>
      </c>
      <c r="U56" s="55">
        <f>U51*IF(Assumptions!$B$178=1,MIN(Assumptions!$B$14,1%),Assumptions!$B$14)*(1-Assumptions!$B$142)</f>
        <v>4.3643387809175271</v>
      </c>
      <c r="V56" s="55">
        <f>V51*IF(Assumptions!$B$178=1,MIN(Assumptions!$B$14,1%),Assumptions!$B$14)*(1-Assumptions!$B$142)</f>
        <v>5.0812601968926918</v>
      </c>
      <c r="W56" s="55">
        <f>W51*IF(Assumptions!$B$178=1,MIN(Assumptions!$B$14,1%),Assumptions!$B$14)*(1-Assumptions!$B$142)</f>
        <v>7.503360563417214</v>
      </c>
      <c r="X56" s="55">
        <f>X51*IF(Assumptions!$B$178=1,MIN(Assumptions!$B$14,1%),Assumptions!$B$14)*(1-Assumptions!$B$142)</f>
        <v>9.4041410740654054</v>
      </c>
      <c r="Y56" s="55">
        <f>Y51*IF(Assumptions!$B$178=1,MIN(Assumptions!$B$14,1%),Assumptions!$B$14)*(1-Assumptions!$B$142)</f>
        <v>11.617032834303785</v>
      </c>
      <c r="Z56" s="55">
        <f>Z51*IF(Assumptions!$B$178=1,MIN(Assumptions!$B$14,1%),Assumptions!$B$14)*(1-Assumptions!$B$142)</f>
        <v>15.481706494809641</v>
      </c>
      <c r="AA56" s="55">
        <f>AA51*IF(Assumptions!$B$178=1,MIN(Assumptions!$B$14,1%),Assumptions!$B$14)*(1-Assumptions!$B$142)</f>
        <v>1300.3691286054698</v>
      </c>
      <c r="AB56" s="55">
        <f>AB51*IF(Assumptions!$B$178=1,MIN(Assumptions!$B$14,1%),Assumptions!$B$14)*(1-Assumptions!$B$142)</f>
        <v>2844.1270178357258</v>
      </c>
      <c r="AC56" s="55">
        <f>AC51*IF(Assumptions!$B$178=1,MIN(Assumptions!$B$14,1%),Assumptions!$B$14)*(1-Assumptions!$B$142)</f>
        <v>5118.2634049886456</v>
      </c>
      <c r="AD56" s="55">
        <f>AD51*IF(Assumptions!$B$178=1,MIN(Assumptions!$B$14,1%),Assumptions!$B$14)*(1-Assumptions!$B$142)</f>
        <v>8034.7602573297909</v>
      </c>
      <c r="AE56" s="55">
        <f>AE51*IF(Assumptions!$B$178=1,MIN(Assumptions!$B$14,1%),Assumptions!$B$14)*(1-Assumptions!$B$142)</f>
        <v>11321.778281844729</v>
      </c>
    </row>
    <row r="57" spans="1:31" x14ac:dyDescent="0.25">
      <c r="A57" s="6" t="s">
        <v>491</v>
      </c>
      <c r="B57" s="23" t="s">
        <v>492</v>
      </c>
      <c r="C57" s="54">
        <f>IF(C2&gt;=Assumptions!$B$50,C30*Assumptions!$B$159*(1-Assumptions!$B$162)^(C7/2),0)</f>
        <v>0</v>
      </c>
      <c r="D57" s="54">
        <f>IF(D2&gt;=Assumptions!$B$50,C57*(1-Assumptions!$B$162)^D7+D30*Assumptions!$B$159*(1-Assumptions!$B$162)^(D7/2),0)</f>
        <v>0</v>
      </c>
      <c r="E57" s="54">
        <f>IF(E2&gt;=Assumptions!$B$50,D57*(1-Assumptions!$B$162)^E7+E30*Assumptions!$B$159*(1-Assumptions!$B$162)^(E7/2),0)</f>
        <v>0</v>
      </c>
      <c r="F57" s="54">
        <f>IF(F2&gt;=Assumptions!$B$50,E57*(1-Assumptions!$B$162)^F7+F30*Assumptions!$B$159*(1-Assumptions!$B$162)^(F7/2),0)</f>
        <v>0</v>
      </c>
      <c r="G57" s="54">
        <f>IF(G2&gt;=Assumptions!$B$50,F57*(1-Assumptions!$B$162)^G7+G30*Assumptions!$B$159*(1-Assumptions!$B$162)^(G7/2),0)</f>
        <v>0</v>
      </c>
      <c r="H57" s="54">
        <f>IF(H2&gt;=Assumptions!$B$50,G57*(1-Assumptions!$B$162)^H7+H30*Assumptions!$B$159*(1-Assumptions!$B$162)^(H7/2),0)</f>
        <v>0</v>
      </c>
      <c r="I57" s="54">
        <f>IF(I2&gt;=Assumptions!$B$50,H57*(1-Assumptions!$B$162)^I7+I30*Assumptions!$B$159*(1-Assumptions!$B$162)^(I7/2),0)</f>
        <v>9.5987952108788015</v>
      </c>
      <c r="J57" s="54">
        <f>IF(J2&gt;=Assumptions!$B$50,I57*(1-Assumptions!$B$162)^J7+J30*Assumptions!$B$159*(1-Assumptions!$B$162)^(J7/2),0)</f>
        <v>18.510284870000319</v>
      </c>
      <c r="K57" s="54">
        <f>IF(K2&gt;=Assumptions!$B$50,J57*(1-Assumptions!$B$162)^K7+K30*Assumptions!$B$159*(1-Assumptions!$B$162)^(K7/2),0)</f>
        <v>27.685935817961717</v>
      </c>
      <c r="L57" s="54">
        <f>IF(L2&gt;=Assumptions!$B$50,K57*(1-Assumptions!$B$162)^L7+L30*Assumptions!$B$159*(1-Assumptions!$B$162)^(L7/2),0)</f>
        <v>39.811948325877282</v>
      </c>
      <c r="M57" s="54">
        <f>IF(M2&gt;=Assumptions!$B$50,L57*(1-Assumptions!$B$162)^M7+M30*Assumptions!$B$159*(1-Assumptions!$B$162)^(M7/2),0)</f>
        <v>49.938815979236324</v>
      </c>
      <c r="N57" s="54">
        <f>IF(N2&gt;=Assumptions!$B$50,M57*(1-Assumptions!$B$162)^N7+N30*Assumptions!$B$159*(1-Assumptions!$B$162)^(N7/2),0)</f>
        <v>57.76049414360692</v>
      </c>
      <c r="O57" s="54">
        <f>IF(O2&gt;=Assumptions!$B$50,N57*(1-Assumptions!$B$162)^O7+O30*Assumptions!$B$159*(1-Assumptions!$B$162)^(O7/2),0)</f>
        <v>92.334436982875587</v>
      </c>
      <c r="P57" s="54">
        <f>IF(P2&gt;=Assumptions!$B$50,O57*(1-Assumptions!$B$162)^P7+P30*Assumptions!$B$159*(1-Assumptions!$B$162)^(P7/2),0)</f>
        <v>123.43085539469358</v>
      </c>
      <c r="Q57" s="54">
        <f>IF(Q2&gt;=Assumptions!$B$50,P57*(1-Assumptions!$B$162)^Q7+Q30*Assumptions!$B$159*(1-Assumptions!$B$162)^(Q7/2),0)</f>
        <v>151.53076663328039</v>
      </c>
      <c r="R57" s="54">
        <f>IF(R2&gt;=Assumptions!$B$50,Q57*(1-Assumptions!$B$162)^R7+R30*Assumptions!$B$159*(1-Assumptions!$B$162)^(R7/2),0)</f>
        <v>187.75231858107423</v>
      </c>
      <c r="S57" s="54">
        <f>IF(S2&gt;=Assumptions!$B$50,R57*(1-Assumptions!$B$162)^S7+S30*Assumptions!$B$159*(1-Assumptions!$B$162)^(S7/2),0)</f>
        <v>217.96159302623562</v>
      </c>
      <c r="T57" s="54">
        <f>IF(T2&gt;=Assumptions!$B$50,S57*(1-Assumptions!$B$162)^T7+T30*Assumptions!$B$159*(1-Assumptions!$B$162)^(T7/2),0)</f>
        <v>240.08099700058764</v>
      </c>
      <c r="U57" s="54">
        <f>IF(U2&gt;=Assumptions!$B$50,T57*(1-Assumptions!$B$162)^U7+U30*Assumptions!$B$159*(1-Assumptions!$B$162)^(U7/2),0)</f>
        <v>259.89787141705921</v>
      </c>
      <c r="V57" s="54">
        <f>IF(V2&gt;=Assumptions!$B$50,U57*(1-Assumptions!$B$162)^V7+V30*Assumptions!$B$159*(1-Assumptions!$B$162)^(V7/2),0)</f>
        <v>278.80921370555762</v>
      </c>
      <c r="W57" s="54">
        <f>IF(W2&gt;=Assumptions!$B$50,V57*(1-Assumptions!$B$162)^W7+W30*Assumptions!$B$159*(1-Assumptions!$B$162)^(W7/2),0)</f>
        <v>300.42706529397935</v>
      </c>
      <c r="X57" s="54">
        <f>IF(X2&gt;=Assumptions!$B$50,W57*(1-Assumptions!$B$162)^X7+X30*Assumptions!$B$159*(1-Assumptions!$B$162)^(X7/2),0)</f>
        <v>335.5802474247605</v>
      </c>
      <c r="Y57" s="54">
        <f>IF(Y2&gt;=Assumptions!$B$50,X57*(1-Assumptions!$B$162)^Y7+Y30*Assumptions!$B$159*(1-Assumptions!$B$162)^(Y7/2),0)</f>
        <v>364.88216784988856</v>
      </c>
      <c r="Z57" s="54">
        <f>IF(Z2&gt;=Assumptions!$B$50,Y57*(1-Assumptions!$B$162)^Z7+Z30*Assumptions!$B$159*(1-Assumptions!$B$162)^(Z7/2),0)</f>
        <v>386.50113465574293</v>
      </c>
      <c r="AA57" s="54">
        <f>IF(AA2&gt;=Assumptions!$B$50,Z57*(1-Assumptions!$B$162)^AA7+AA30*Assumptions!$B$159*(1-Assumptions!$B$162)^(AA7/2),0)</f>
        <v>747.25480473745677</v>
      </c>
      <c r="AB57" s="54">
        <f>IF(AB2&gt;=Assumptions!$B$50,AA57*(1-Assumptions!$B$162)^AB7+AB30*Assumptions!$B$159*(1-Assumptions!$B$162)^(AB7/2),0)</f>
        <v>1231.5982757471515</v>
      </c>
      <c r="AC57" s="54">
        <f>IF(AC2&gt;=Assumptions!$B$50,AB57*(1-Assumptions!$B$162)^AC7+AC30*Assumptions!$B$159*(1-Assumptions!$B$162)^(AC7/2),0)</f>
        <v>1828.9344972173644</v>
      </c>
      <c r="AD57" s="54">
        <f>IF(AD2&gt;=Assumptions!$B$50,AC57*(1-Assumptions!$B$162)^AD7+AD30*Assumptions!$B$159*(1-Assumptions!$B$162)^(AD7/2),0)</f>
        <v>2367.7288399342679</v>
      </c>
      <c r="AE57" s="54">
        <f>IF(AE2&gt;=Assumptions!$B$50,AD57*(1-Assumptions!$B$162)^AE7+AE30*Assumptions!$B$159*(1-Assumptions!$B$162)^(AE7/2),0)</f>
        <v>2715.6580256865595</v>
      </c>
    </row>
    <row r="58" spans="1:31" x14ac:dyDescent="0.25">
      <c r="A58" s="6" t="s">
        <v>493</v>
      </c>
      <c r="B58" s="23" t="s">
        <v>114</v>
      </c>
      <c r="C58" s="55">
        <f>C57*(Assumptions!$B$25+MAX(0,Assumptions!$B$161-1)*Assumptions!$B$26)/12*C7</f>
        <v>0</v>
      </c>
      <c r="D58" s="55">
        <f>D57*(Assumptions!$B$25+MAX(0,Assumptions!$B$161-1)*Assumptions!$B$26)/12*D7</f>
        <v>0</v>
      </c>
      <c r="E58" s="55">
        <f>E57*(Assumptions!$B$25+MAX(0,Assumptions!$B$161-1)*Assumptions!$B$26)/12*E7</f>
        <v>0</v>
      </c>
      <c r="F58" s="55">
        <f>F57*(Assumptions!$B$25+MAX(0,Assumptions!$B$161-1)*Assumptions!$B$26)/12*F7</f>
        <v>0</v>
      </c>
      <c r="G58" s="55">
        <f>G57*(Assumptions!$B$25+MAX(0,Assumptions!$B$161-1)*Assumptions!$B$26)/12*G7</f>
        <v>0</v>
      </c>
      <c r="H58" s="55">
        <f>H57*(Assumptions!$B$25+MAX(0,Assumptions!$B$161-1)*Assumptions!$B$26)/12*H7</f>
        <v>0</v>
      </c>
      <c r="I58" s="55">
        <f>I57*(Assumptions!$B$25+MAX(0,Assumptions!$B$161-1)*Assumptions!$B$26)/12*I7</f>
        <v>47.19407645348744</v>
      </c>
      <c r="J58" s="55">
        <f>J57*(Assumptions!$B$25+MAX(0,Assumptions!$B$161-1)*Assumptions!$B$26)/12*J7</f>
        <v>91.008900610834914</v>
      </c>
      <c r="K58" s="55">
        <f>K57*(Assumptions!$B$25+MAX(0,Assumptions!$B$161-1)*Assumptions!$B$26)/12*K7</f>
        <v>136.12251777164511</v>
      </c>
      <c r="L58" s="55">
        <f>L57*(Assumptions!$B$25+MAX(0,Assumptions!$B$161-1)*Assumptions!$B$26)/12*L7</f>
        <v>195.74207926889665</v>
      </c>
      <c r="M58" s="55">
        <f>M57*(Assumptions!$B$25+MAX(0,Assumptions!$B$161-1)*Assumptions!$B$26)/12*M7</f>
        <v>245.53251189791195</v>
      </c>
      <c r="N58" s="55">
        <f>N57*(Assumptions!$B$25+MAX(0,Assumptions!$B$161-1)*Assumptions!$B$26)/12*N7</f>
        <v>283.98909620606736</v>
      </c>
      <c r="O58" s="55">
        <f>O57*(Assumptions!$B$25+MAX(0,Assumptions!$B$161-1)*Assumptions!$B$26)/12*O7</f>
        <v>453.9776484991383</v>
      </c>
      <c r="P58" s="55">
        <f>P57*(Assumptions!$B$25+MAX(0,Assumptions!$B$161-1)*Assumptions!$B$26)/12*P7</f>
        <v>606.8683723572434</v>
      </c>
      <c r="Q58" s="55">
        <f>Q57*(Assumptions!$B$25+MAX(0,Assumptions!$B$161-1)*Assumptions!$B$26)/12*Q7</f>
        <v>745.02626928029531</v>
      </c>
      <c r="R58" s="55">
        <f>R57*(Assumptions!$B$25+MAX(0,Assumptions!$B$161-1)*Assumptions!$B$26)/12*R7</f>
        <v>923.11556635694831</v>
      </c>
      <c r="S58" s="55">
        <f>S57*(Assumptions!$B$25+MAX(0,Assumptions!$B$161-1)*Assumptions!$B$26)/12*S7</f>
        <v>1071.6444990456584</v>
      </c>
      <c r="T58" s="55">
        <f>T57*(Assumptions!$B$25+MAX(0,Assumptions!$B$161-1)*Assumptions!$B$26)/12*T7</f>
        <v>1180.3982352528892</v>
      </c>
      <c r="U58" s="55">
        <f>U57*(Assumptions!$B$25+MAX(0,Assumptions!$B$161-1)*Assumptions!$B$26)/12*U7</f>
        <v>1277.8312011338744</v>
      </c>
      <c r="V58" s="55">
        <f>V57*(Assumptions!$B$25+MAX(0,Assumptions!$B$161-1)*Assumptions!$B$26)/12*V7</f>
        <v>1370.8119673856584</v>
      </c>
      <c r="W58" s="55">
        <f>W57*(Assumptions!$B$25+MAX(0,Assumptions!$B$161-1)*Assumptions!$B$26)/12*W7</f>
        <v>1477.0997376953985</v>
      </c>
      <c r="X58" s="55">
        <f>X57*(Assumptions!$B$25+MAX(0,Assumptions!$B$161-1)*Assumptions!$B$26)/12*X7</f>
        <v>1649.9362165050725</v>
      </c>
      <c r="Y58" s="55">
        <f>Y57*(Assumptions!$B$25+MAX(0,Assumptions!$B$161-1)*Assumptions!$B$26)/12*Y7</f>
        <v>1794.0039919286189</v>
      </c>
      <c r="Z58" s="55">
        <f>Z57*(Assumptions!$B$25+MAX(0,Assumptions!$B$161-1)*Assumptions!$B$26)/12*Z7</f>
        <v>1900.297245390736</v>
      </c>
      <c r="AA58" s="55">
        <f>AA57*(Assumptions!$B$25+MAX(0,Assumptions!$B$161-1)*Assumptions!$B$26)/12*AA7</f>
        <v>44088.033479509948</v>
      </c>
      <c r="AB58" s="55">
        <f>AB57*(Assumptions!$B$25+MAX(0,Assumptions!$B$161-1)*Assumptions!$B$26)/12*AB7</f>
        <v>72664.298269081948</v>
      </c>
      <c r="AC58" s="55">
        <f>AC57*(Assumptions!$B$25+MAX(0,Assumptions!$B$161-1)*Assumptions!$B$26)/12*AC7</f>
        <v>107907.13533582451</v>
      </c>
      <c r="AD58" s="55">
        <f>AD57*(Assumptions!$B$25+MAX(0,Assumptions!$B$161-1)*Assumptions!$B$26)/12*AD7</f>
        <v>139696.0015561218</v>
      </c>
      <c r="AE58" s="55">
        <f>AE57*(Assumptions!$B$25+MAX(0,Assumptions!$B$161-1)*Assumptions!$B$26)/12*AE7</f>
        <v>160223.82351550701</v>
      </c>
    </row>
    <row r="59" spans="1:31" x14ac:dyDescent="0.25">
      <c r="A59" s="6" t="s">
        <v>494</v>
      </c>
      <c r="B59" s="23" t="s">
        <v>114</v>
      </c>
      <c r="C59" s="55">
        <f>IF(C2&gt;=Assumptions!$B$52,C51*C17*Assumptions!$B$17+C46*(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9" s="55">
        <f>IF(D2&gt;=Assumptions!$B$52,D51*D17*Assumptions!$B$17+D46*(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9" s="55">
        <f>IF(E2&gt;=Assumptions!$B$52,E51*E17*Assumptions!$B$17+E46*(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9" s="55">
        <f>IF(F2&gt;=Assumptions!$B$52,F51*F17*Assumptions!$B$17+F46*(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9" s="55">
        <f>IF(G2&gt;=Assumptions!$B$52,G51*G17*Assumptions!$B$17+G46*(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9" s="55">
        <f>IF(H2&gt;=Assumptions!$B$52,H51*H17*Assumptions!$B$17+H46*(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9" s="55">
        <f>IF(I2&gt;=Assumptions!$B$52,I51*I17*Assumptions!$B$17+I46*(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9" s="55">
        <f>IF(J2&gt;=Assumptions!$B$52,J51*J17*Assumptions!$B$17+J46*(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9" s="55">
        <f>IF(K2&gt;=Assumptions!$B$52,K51*K17*Assumptions!$B$17+K46*(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9" s="55">
        <f>IF(L2&gt;=Assumptions!$B$52,L51*L17*Assumptions!$B$17+L46*(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9" s="55">
        <f>IF(M2&gt;=Assumptions!$B$52,M51*M17*Assumptions!$B$17+M46*(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9" s="55">
        <f>IF(N2&gt;=Assumptions!$B$52,N51*N17*Assumptions!$B$17+N46*(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9" s="55">
        <f>IF(O2&gt;=Assumptions!$B$52,O51*O17*Assumptions!$B$17+O46*(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122.47037369932568</v>
      </c>
      <c r="P59" s="55">
        <f>IF(P2&gt;=Assumptions!$B$52,P51*P17*Assumptions!$B$17+P46*(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143.68136813616809</v>
      </c>
      <c r="Q59" s="55">
        <f>IF(Q2&gt;=Assumptions!$B$52,Q51*Q17*Assumptions!$B$17+Q46*(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163.86217077370583</v>
      </c>
      <c r="R59" s="55">
        <f>IF(R2&gt;=Assumptions!$B$52,R51*R17*Assumptions!$B$17+R46*(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184.37605811042022</v>
      </c>
      <c r="S59" s="55">
        <f>IF(S2&gt;=Assumptions!$B$52,S51*S17*Assumptions!$B$17+S46*(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206.34147528975578</v>
      </c>
      <c r="T59" s="55">
        <f>IF(T2&gt;=Assumptions!$B$52,T51*T17*Assumptions!$B$17+T46*(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236.97061398594565</v>
      </c>
      <c r="U59" s="55">
        <f>IF(U2&gt;=Assumptions!$B$52,U51*U17*Assumptions!$B$17+U46*(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263.36406587956242</v>
      </c>
      <c r="V59" s="55">
        <f>IF(V2&gt;=Assumptions!$B$52,V51*V17*Assumptions!$B$17+V46*(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285.78429815007388</v>
      </c>
      <c r="W59" s="55">
        <f>IF(W2&gt;=Assumptions!$B$52,W51*W17*Assumptions!$B$17+W46*(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363.24859316985203</v>
      </c>
      <c r="X59" s="55">
        <f>IF(X2&gt;=Assumptions!$B$52,X51*X17*Assumptions!$B$17+X46*(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442.46880856125904</v>
      </c>
      <c r="Y59" s="55">
        <f>IF(Y2&gt;=Assumptions!$B$52,Y51*Y17*Assumptions!$B$17+Y46*(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517.64560025337323</v>
      </c>
      <c r="Z59" s="55">
        <f>IF(Z2&gt;=Assumptions!$B$52,Z51*Z17*Assumptions!$B$17+Z46*(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610.95268563534876</v>
      </c>
      <c r="AA59" s="55">
        <f>IF(AA2&gt;=Assumptions!$B$52,AA51*AA17*Assumptions!$B$17+AA46*(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36766.314419052316</v>
      </c>
      <c r="AB59" s="55">
        <f>IF(AB2&gt;=Assumptions!$B$52,AB51*AB17*Assumptions!$B$17+AB46*(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68285.705477529118</v>
      </c>
      <c r="AC59" s="55">
        <f>IF(AC2&gt;=Assumptions!$B$52,AC51*AC17*Assumptions!$B$17+AC46*(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112308.23839339575</v>
      </c>
      <c r="AD59" s="55">
        <f>IF(AD2&gt;=Assumptions!$B$52,AD51*AD17*Assumptions!$B$17+AD46*(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164045.34195731426</v>
      </c>
      <c r="AE59" s="55">
        <f>IF(AE2&gt;=Assumptions!$B$52,AE51*AE17*Assumptions!$B$17+AE46*(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217159.12473114196</v>
      </c>
    </row>
    <row r="60" spans="1:31" x14ac:dyDescent="0.25">
      <c r="A60" s="6" t="s">
        <v>495</v>
      </c>
      <c r="B60" s="23" t="s">
        <v>114</v>
      </c>
      <c r="C60" s="55">
        <f>IF(C2&gt;=Assumptions!$B$53,C45*C47*(1-Assumptions!$B$178)*Assumptions!$B$156*Assumptions!$B$157,0)</f>
        <v>0</v>
      </c>
      <c r="D60" s="55">
        <f>IF(D2&gt;=Assumptions!$B$53,D45*D47*(1-Assumptions!$B$178)*Assumptions!$B$156*Assumptions!$B$157,0)</f>
        <v>0</v>
      </c>
      <c r="E60" s="55">
        <f>IF(E2&gt;=Assumptions!$B$53,E45*E47*(1-Assumptions!$B$178)*Assumptions!$B$156*Assumptions!$B$157,0)</f>
        <v>0</v>
      </c>
      <c r="F60" s="55">
        <f>IF(F2&gt;=Assumptions!$B$53,F45*F47*(1-Assumptions!$B$178)*Assumptions!$B$156*Assumptions!$B$157,0)</f>
        <v>0</v>
      </c>
      <c r="G60" s="55">
        <f>IF(G2&gt;=Assumptions!$B$53,G45*G47*(1-Assumptions!$B$178)*Assumptions!$B$156*Assumptions!$B$157,0)</f>
        <v>0</v>
      </c>
      <c r="H60" s="55">
        <f>IF(H2&gt;=Assumptions!$B$53,H45*H47*(1-Assumptions!$B$178)*Assumptions!$B$156*Assumptions!$B$157,0)</f>
        <v>0</v>
      </c>
      <c r="I60" s="55">
        <f>IF(I2&gt;=Assumptions!$B$53,I45*I47*(1-Assumptions!$B$178)*Assumptions!$B$156*Assumptions!$B$157,0)</f>
        <v>0</v>
      </c>
      <c r="J60" s="55">
        <f>IF(J2&gt;=Assumptions!$B$53,J45*J47*(1-Assumptions!$B$178)*Assumptions!$B$156*Assumptions!$B$157,0)</f>
        <v>0</v>
      </c>
      <c r="K60" s="55">
        <f>IF(K2&gt;=Assumptions!$B$53,K45*K47*(1-Assumptions!$B$178)*Assumptions!$B$156*Assumptions!$B$157,0)</f>
        <v>0</v>
      </c>
      <c r="L60" s="55">
        <f>IF(L2&gt;=Assumptions!$B$53,L45*L47*(1-Assumptions!$B$178)*Assumptions!$B$156*Assumptions!$B$157,0)</f>
        <v>0</v>
      </c>
      <c r="M60" s="55">
        <f>IF(M2&gt;=Assumptions!$B$53,M45*M47*(1-Assumptions!$B$178)*Assumptions!$B$156*Assumptions!$B$157,0)</f>
        <v>0</v>
      </c>
      <c r="N60" s="55">
        <f>IF(N2&gt;=Assumptions!$B$53,N45*N47*(1-Assumptions!$B$178)*Assumptions!$B$156*Assumptions!$B$157,0)</f>
        <v>0</v>
      </c>
      <c r="O60" s="55">
        <f>IF(O2&gt;=Assumptions!$B$53,O45*O47*(1-Assumptions!$B$178)*Assumptions!$B$156*Assumptions!$B$157,0)</f>
        <v>914.10626556388843</v>
      </c>
      <c r="P60" s="55">
        <f>IF(P2&gt;=Assumptions!$B$53,P45*P47*(1-Assumptions!$B$178)*Assumptions!$B$156*Assumptions!$B$157,0)</f>
        <v>1034.501888121506</v>
      </c>
      <c r="Q60" s="55">
        <f>IF(Q2&gt;=Assumptions!$B$53,Q45*Q47*(1-Assumptions!$B$178)*Assumptions!$B$156*Assumptions!$B$157,0)</f>
        <v>1191.2015197540845</v>
      </c>
      <c r="R60" s="55">
        <f>IF(R2&gt;=Assumptions!$B$53,R45*R47*(1-Assumptions!$B$178)*Assumptions!$B$156*Assumptions!$B$157,0)</f>
        <v>1329.8155877236811</v>
      </c>
      <c r="S60" s="55">
        <f>IF(S2&gt;=Assumptions!$B$53,S45*S47*(1-Assumptions!$B$178)*Assumptions!$B$156*Assumptions!$B$157,0)</f>
        <v>1538.7487237093278</v>
      </c>
      <c r="T60" s="55">
        <f>IF(T2&gt;=Assumptions!$B$53,T45*T47*(1-Assumptions!$B$178)*Assumptions!$B$156*Assumptions!$B$157,0)</f>
        <v>1872.0700343586634</v>
      </c>
      <c r="U60" s="55">
        <f>IF(U2&gt;=Assumptions!$B$53,U45*U47*(1-Assumptions!$B$178)*Assumptions!$B$156*Assumptions!$B$157,0)</f>
        <v>2226.5636028161898</v>
      </c>
      <c r="V60" s="55">
        <f>IF(V2&gt;=Assumptions!$B$53,V45*V47*(1-Assumptions!$B$178)*Assumptions!$B$156*Assumptions!$B$157,0)</f>
        <v>2582.6726194629537</v>
      </c>
      <c r="W60" s="55">
        <f>IF(W2&gt;=Assumptions!$B$53,W45*W47*(1-Assumptions!$B$178)*Assumptions!$B$156*Assumptions!$B$157,0)</f>
        <v>3488.2917297459389</v>
      </c>
      <c r="X60" s="55">
        <f>IF(X2&gt;=Assumptions!$B$53,X45*X47*(1-Assumptions!$B$178)*Assumptions!$B$156*Assumptions!$B$157,0)</f>
        <v>4314.3176845642247</v>
      </c>
      <c r="Y60" s="55">
        <f>IF(Y2&gt;=Assumptions!$B$53,Y45*Y47*(1-Assumptions!$B$178)*Assumptions!$B$156*Assumptions!$B$157,0)</f>
        <v>5238.606184285366</v>
      </c>
      <c r="Z60" s="55">
        <f>IF(Z2&gt;=Assumptions!$B$53,Z45*Z47*(1-Assumptions!$B$178)*Assumptions!$B$156*Assumptions!$B$157,0)</f>
        <v>6540.2227126435801</v>
      </c>
      <c r="AA60" s="55">
        <f>IF(AA2&gt;=Assumptions!$B$53,AA45*AA47*(1-Assumptions!$B$178)*Assumptions!$B$156*Assumptions!$B$157,0)</f>
        <v>61379.627621855048</v>
      </c>
      <c r="AB60" s="55">
        <f>IF(AB2&gt;=Assumptions!$B$53,AB45*AB47*(1-Assumptions!$B$178)*Assumptions!$B$156*Assumptions!$B$157,0)</f>
        <v>151303.41123954422</v>
      </c>
      <c r="AC60" s="55">
        <f>IF(AC2&gt;=Assumptions!$B$53,AC45*AC47*(1-Assumptions!$B$178)*Assumptions!$B$156*Assumptions!$B$157,0)</f>
        <v>301843.20856537094</v>
      </c>
      <c r="AD60" s="55">
        <f>IF(AD2&gt;=Assumptions!$B$53,AD45*AD47*(1-Assumptions!$B$178)*Assumptions!$B$156*Assumptions!$B$157,0)</f>
        <v>533126.3684526264</v>
      </c>
      <c r="AE60" s="55">
        <f>IF(AE2&gt;=Assumptions!$B$53,AE45*AE47*(1-Assumptions!$B$178)*Assumptions!$B$156*Assumptions!$B$157,0)</f>
        <v>862498.94596611173</v>
      </c>
    </row>
    <row r="61" spans="1:31" x14ac:dyDescent="0.25">
      <c r="A61" s="6" t="s">
        <v>496</v>
      </c>
      <c r="B61" s="23" t="s">
        <v>114</v>
      </c>
      <c r="C61" s="55">
        <f>IF(C2&gt;=Assumptions!$B$53,(C60*Assumptions!$B$29*Assumptions!$B$30+C46*C48*(1-Assumptions!$B$178)*Assumptions!$B$27*Assumptions!$B$28)*C7/12,0)</f>
        <v>0</v>
      </c>
      <c r="D61" s="55">
        <f>IF(D2&gt;=Assumptions!$B$53,(D60*Assumptions!$B$29*Assumptions!$B$30+D46*D48*(1-Assumptions!$B$178)*Assumptions!$B$27*Assumptions!$B$28)*D7/12,0)</f>
        <v>0</v>
      </c>
      <c r="E61" s="55">
        <f>IF(E2&gt;=Assumptions!$B$53,(E60*Assumptions!$B$29*Assumptions!$B$30+E46*E48*(1-Assumptions!$B$178)*Assumptions!$B$27*Assumptions!$B$28)*E7/12,0)</f>
        <v>0</v>
      </c>
      <c r="F61" s="55">
        <f>IF(F2&gt;=Assumptions!$B$53,(F60*Assumptions!$B$29*Assumptions!$B$30+F46*F48*(1-Assumptions!$B$178)*Assumptions!$B$27*Assumptions!$B$28)*F7/12,0)</f>
        <v>0</v>
      </c>
      <c r="G61" s="55">
        <f>IF(G2&gt;=Assumptions!$B$53,(G60*Assumptions!$B$29*Assumptions!$B$30+G46*G48*(1-Assumptions!$B$178)*Assumptions!$B$27*Assumptions!$B$28)*G7/12,0)</f>
        <v>0</v>
      </c>
      <c r="H61" s="55">
        <f>IF(H2&gt;=Assumptions!$B$53,(H60*Assumptions!$B$29*Assumptions!$B$30+H46*H48*(1-Assumptions!$B$178)*Assumptions!$B$27*Assumptions!$B$28)*H7/12,0)</f>
        <v>0</v>
      </c>
      <c r="I61" s="55">
        <f>IF(I2&gt;=Assumptions!$B$53,(I60*Assumptions!$B$29*Assumptions!$B$30+I46*I48*(1-Assumptions!$B$178)*Assumptions!$B$27*Assumptions!$B$28)*I7/12,0)</f>
        <v>0</v>
      </c>
      <c r="J61" s="55">
        <f>IF(J2&gt;=Assumptions!$B$53,(J60*Assumptions!$B$29*Assumptions!$B$30+J46*J48*(1-Assumptions!$B$178)*Assumptions!$B$27*Assumptions!$B$28)*J7/12,0)</f>
        <v>0</v>
      </c>
      <c r="K61" s="55">
        <f>IF(K2&gt;=Assumptions!$B$53,(K60*Assumptions!$B$29*Assumptions!$B$30+K46*K48*(1-Assumptions!$B$178)*Assumptions!$B$27*Assumptions!$B$28)*K7/12,0)</f>
        <v>0</v>
      </c>
      <c r="L61" s="55">
        <f>IF(L2&gt;=Assumptions!$B$53,(L60*Assumptions!$B$29*Assumptions!$B$30+L46*L48*(1-Assumptions!$B$178)*Assumptions!$B$27*Assumptions!$B$28)*L7/12,0)</f>
        <v>0</v>
      </c>
      <c r="M61" s="55">
        <f>IF(M2&gt;=Assumptions!$B$53,(M60*Assumptions!$B$29*Assumptions!$B$30+M46*M48*(1-Assumptions!$B$178)*Assumptions!$B$27*Assumptions!$B$28)*M7/12,0)</f>
        <v>0</v>
      </c>
      <c r="N61" s="55">
        <f>IF(N2&gt;=Assumptions!$B$53,(N60*Assumptions!$B$29*Assumptions!$B$30+N46*N48*(1-Assumptions!$B$178)*Assumptions!$B$27*Assumptions!$B$28)*N7/12,0)</f>
        <v>0</v>
      </c>
      <c r="O61" s="55">
        <f>IF(O2&gt;=Assumptions!$B$53,(O60*Assumptions!$B$29*Assumptions!$B$30+O46*O48*(1-Assumptions!$B$178)*Assumptions!$B$27*Assumptions!$B$28)*O7/12,0)</f>
        <v>1.7452077447203254</v>
      </c>
      <c r="P61" s="55">
        <f>IF(P2&gt;=Assumptions!$B$53,(P60*Assumptions!$B$29*Assumptions!$B$30+P46*P48*(1-Assumptions!$B$178)*Assumptions!$B$27*Assumptions!$B$28)*P7/12,0)</f>
        <v>1.9844284972582287</v>
      </c>
      <c r="Q61" s="55">
        <f>IF(Q2&gt;=Assumptions!$B$53,(Q60*Assumptions!$B$29*Assumptions!$B$30+Q46*Q48*(1-Assumptions!$B$178)*Assumptions!$B$27*Assumptions!$B$28)*Q7/12,0)</f>
        <v>2.2764200717270699</v>
      </c>
      <c r="R61" s="55">
        <f>IF(R2&gt;=Assumptions!$B$53,(R60*Assumptions!$B$29*Assumptions!$B$30+R46*R48*(1-Assumptions!$B$178)*Assumptions!$B$27*Assumptions!$B$28)*R7/12,0)</f>
        <v>2.5405042423257544</v>
      </c>
      <c r="S61" s="55">
        <f>IF(S2&gt;=Assumptions!$B$53,(S60*Assumptions!$B$29*Assumptions!$B$30+S46*S48*(1-Assumptions!$B$178)*Assumptions!$B$27*Assumptions!$B$28)*S7/12,0)</f>
        <v>2.9157934561871528</v>
      </c>
      <c r="T61" s="55">
        <f>IF(T2&gt;=Assumptions!$B$53,(T60*Assumptions!$B$29*Assumptions!$B$30+T46*T48*(1-Assumptions!$B$178)*Assumptions!$B$27*Assumptions!$B$28)*T7/12,0)</f>
        <v>3.4962286541449998</v>
      </c>
      <c r="U61" s="55">
        <f>IF(U2&gt;=Assumptions!$B$53,(U60*Assumptions!$B$29*Assumptions!$B$30+U46*U48*(1-Assumptions!$B$178)*Assumptions!$B$27*Assumptions!$B$28)*U7/12,0)</f>
        <v>4.0934948615201954</v>
      </c>
      <c r="V61" s="55">
        <f>IF(V2&gt;=Assumptions!$B$53,(V60*Assumptions!$B$29*Assumptions!$B$30+V46*V48*(1-Assumptions!$B$178)*Assumptions!$B$27*Assumptions!$B$28)*V7/12,0)</f>
        <v>4.6740049745753778</v>
      </c>
      <c r="W61" s="55">
        <f>IF(W2&gt;=Assumptions!$B$53,(W60*Assumptions!$B$29*Assumptions!$B$30+W46*W48*(1-Assumptions!$B$178)*Assumptions!$B$27*Assumptions!$B$28)*W7/12,0)</f>
        <v>6.2280854791045206</v>
      </c>
      <c r="X61" s="55">
        <f>IF(X2&gt;=Assumptions!$B$53,(X60*Assumptions!$B$29*Assumptions!$B$30+X46*X48*(1-Assumptions!$B$178)*Assumptions!$B$27*Assumptions!$B$28)*X7/12,0)</f>
        <v>7.6609441517788142</v>
      </c>
      <c r="Y61" s="55">
        <f>IF(Y2&gt;=Assumptions!$B$53,(Y60*Assumptions!$B$29*Assumptions!$B$30+Y46*Y48*(1-Assumptions!$B$178)*Assumptions!$B$27*Assumptions!$B$28)*Y7/12,0)</f>
        <v>9.211149577760338</v>
      </c>
      <c r="Z61" s="55">
        <f>IF(Z2&gt;=Assumptions!$B$53,(Z60*Assumptions!$B$29*Assumptions!$B$30+Z46*Z48*(1-Assumptions!$B$178)*Assumptions!$B$27*Assumptions!$B$28)*Z7/12,0)</f>
        <v>11.338429050696512</v>
      </c>
      <c r="AA61" s="55">
        <f>IF(AA2&gt;=Assumptions!$B$53,(AA60*Assumptions!$B$29*Assumptions!$B$30+AA46*AA48*(1-Assumptions!$B$178)*Assumptions!$B$27*Assumptions!$B$28)*AA7/12,0)</f>
        <v>1117.8628137636244</v>
      </c>
      <c r="AB61" s="55">
        <f>IF(AB2&gt;=Assumptions!$B$53,(AB60*Assumptions!$B$29*Assumptions!$B$30+AB46*AB48*(1-Assumptions!$B$178)*Assumptions!$B$27*Assumptions!$B$28)*AB7/12,0)</f>
        <v>2504.6501461687703</v>
      </c>
      <c r="AC61" s="55">
        <f>IF(AC2&gt;=Assumptions!$B$53,(AC60*Assumptions!$B$29*Assumptions!$B$30+AC46*AC48*(1-Assumptions!$B$178)*Assumptions!$B$27*Assumptions!$B$28)*AC7/12,0)</f>
        <v>4610.8008167764683</v>
      </c>
      <c r="AD61" s="55">
        <f>IF(AD2&gt;=Assumptions!$B$53,(AD60*Assumptions!$B$29*Assumptions!$B$30+AD46*AD48*(1-Assumptions!$B$178)*Assumptions!$B$27*Assumptions!$B$28)*AD7/12,0)</f>
        <v>7445.6369127298813</v>
      </c>
      <c r="AE61" s="55">
        <f>IF(AE2&gt;=Assumptions!$B$53,(AE60*Assumptions!$B$29*Assumptions!$B$30+AE46*AE48*(1-Assumptions!$B$178)*Assumptions!$B$27*Assumptions!$B$28)*AE7/12,0)</f>
        <v>10881.092339940231</v>
      </c>
    </row>
    <row r="62" spans="1:31" x14ac:dyDescent="0.25">
      <c r="A62" s="6" t="s">
        <v>497</v>
      </c>
      <c r="B62" s="23" t="s">
        <v>498</v>
      </c>
      <c r="C62" s="45">
        <f>IF(C2&gt;=Assumptions!$B$49,(C31+C33*Assumptions!$B$138)*Assumptions!$B$137*C7/12,0)</f>
        <v>0.4016135761689637</v>
      </c>
      <c r="D62" s="45">
        <f>IF(D2&gt;=Assumptions!$B$49,(D31+D33*Assumptions!$B$138)*Assumptions!$B$137*D7/12,0)</f>
        <v>0.79439001698748613</v>
      </c>
      <c r="E62" s="45">
        <f>IF(E2&gt;=Assumptions!$B$49,(E31+E33*Assumptions!$B$138)*Assumptions!$B$137*E7/12,0)</f>
        <v>1.1812232529185762</v>
      </c>
      <c r="F62" s="45">
        <f>IF(F2&gt;=Assumptions!$B$49,(F31+F33*Assumptions!$B$138)*Assumptions!$B$137*F7/12,0)</f>
        <v>1.6683854258630788</v>
      </c>
      <c r="G62" s="45">
        <f>IF(G2&gt;=Assumptions!$B$49,(G31+G33*Assumptions!$B$138)*Assumptions!$B$137*G7/12,0)</f>
        <v>2.1229251932478608</v>
      </c>
      <c r="H62" s="45">
        <f>IF(H2&gt;=Assumptions!$B$49,(H31+H33*Assumptions!$B$138)*Assumptions!$B$137*H7/12,0)</f>
        <v>2.5233128186144911</v>
      </c>
      <c r="I62" s="45">
        <f>IF(I2&gt;=Assumptions!$B$49,(I31+I33*Assumptions!$B$138)*Assumptions!$B$137*I7/12,0)</f>
        <v>2.9189219149847969</v>
      </c>
      <c r="J62" s="45">
        <f>IF(J2&gt;=Assumptions!$B$49,(J31+J33*Assumptions!$B$138)*Assumptions!$B$137*J7/12,0)</f>
        <v>3.3209621666960771</v>
      </c>
      <c r="K62" s="45">
        <f>IF(K2&gt;=Assumptions!$B$49,(K31+K33*Assumptions!$B$138)*Assumptions!$B$137*K7/12,0)</f>
        <v>3.7607863813762328</v>
      </c>
      <c r="L62" s="45">
        <f>IF(L2&gt;=Assumptions!$B$49,(L31+L33*Assumptions!$B$138)*Assumptions!$B$137*L7/12,0)</f>
        <v>4.3339099580043543</v>
      </c>
      <c r="M62" s="45">
        <f>IF(M2&gt;=Assumptions!$B$49,(M31+M33*Assumptions!$B$138)*Assumptions!$B$137*M7/12,0)</f>
        <v>4.8771992366005108</v>
      </c>
      <c r="N62" s="45">
        <f>IF(N2&gt;=Assumptions!$B$49,(N31+N33*Assumptions!$B$138)*Assumptions!$B$137*N7/12,0)</f>
        <v>5.37331521052828</v>
      </c>
      <c r="O62" s="45">
        <f>IF(O2&gt;=Assumptions!$B$49,(O31+O33*Assumptions!$B$138)*Assumptions!$B$137*O7/12,0)</f>
        <v>6.8343546913618427</v>
      </c>
      <c r="P62" s="45">
        <f>IF(P2&gt;=Assumptions!$B$49,(P31+P33*Assumptions!$B$138)*Assumptions!$B$137*P7/12,0)</f>
        <v>8.2926907920456667</v>
      </c>
      <c r="Q62" s="45">
        <f>IF(Q2&gt;=Assumptions!$B$49,(Q31+Q33*Assumptions!$B$138)*Assumptions!$B$137*Q7/12,0)</f>
        <v>9.7539169125453462</v>
      </c>
      <c r="R62" s="45">
        <f>IF(R2&gt;=Assumptions!$B$49,(R31+R33*Assumptions!$B$138)*Assumptions!$B$137*R7/12,0)</f>
        <v>11.598512389196616</v>
      </c>
      <c r="S62" s="45">
        <f>IF(S2&gt;=Assumptions!$B$49,(S31+S33*Assumptions!$B$138)*Assumptions!$B$137*S7/12,0)</f>
        <v>13.359286382678542</v>
      </c>
      <c r="T62" s="45">
        <f>IF(T2&gt;=Assumptions!$B$49,(T31+T33*Assumptions!$B$138)*Assumptions!$B$137*T7/12,0)</f>
        <v>14.943145627107407</v>
      </c>
      <c r="U62" s="45">
        <f>IF(U2&gt;=Assumptions!$B$49,(U31+U33*Assumptions!$B$138)*Assumptions!$B$137*U7/12,0)</f>
        <v>16.525629895277778</v>
      </c>
      <c r="V62" s="45">
        <f>IF(V2&gt;=Assumptions!$B$49,(V31+V33*Assumptions!$B$138)*Assumptions!$B$137*V7/12,0)</f>
        <v>18.148126784971314</v>
      </c>
      <c r="W62" s="45">
        <f>IF(W2&gt;=Assumptions!$B$49,(W31+W33*Assumptions!$B$138)*Assumptions!$B$137*W7/12,0)</f>
        <v>19.934557654038382</v>
      </c>
      <c r="X62" s="45">
        <f>IF(X2&gt;=Assumptions!$B$49,(X31+X33*Assumptions!$B$138)*Assumptions!$B$137*X7/12,0)</f>
        <v>22.274665655470795</v>
      </c>
      <c r="Y62" s="45">
        <f>IF(Y2&gt;=Assumptions!$B$49,(Y31+Y33*Assumptions!$B$138)*Assumptions!$B$137*Y7/12,0)</f>
        <v>24.535466893287509</v>
      </c>
      <c r="Z62" s="45">
        <f>IF(Z2&gt;=Assumptions!$B$49,(Z31+Z33*Assumptions!$B$138)*Assumptions!$B$137*Z7/12,0)</f>
        <v>26.632909652857787</v>
      </c>
      <c r="AA62" s="45">
        <f>IF(AA2&gt;=Assumptions!$B$49,(AA31+AA33*Assumptions!$B$138)*Assumptions!$B$137*AA7/12,0)</f>
        <v>792.85982675702724</v>
      </c>
      <c r="AB62" s="45">
        <f>IF(AB2&gt;=Assumptions!$B$49,(AB31+AB33*Assumptions!$B$138)*Assumptions!$B$137*AB7/12,0)</f>
        <v>1558.1099846960569</v>
      </c>
      <c r="AC62" s="45">
        <f>IF(AC2&gt;=Assumptions!$B$49,(AC31+AC33*Assumptions!$B$138)*Assumptions!$B$137*AC7/12,0)</f>
        <v>2679.0183366582787</v>
      </c>
      <c r="AD62" s="45">
        <f>IF(AD2&gt;=Assumptions!$B$49,(AD31+AD33*Assumptions!$B$138)*Assumptions!$B$137*AD7/12,0)</f>
        <v>4098.1630800724415</v>
      </c>
      <c r="AE62" s="45">
        <f>IF(AE2&gt;=Assumptions!$B$49,(AE31+AE33*Assumptions!$B$138)*Assumptions!$B$137*AE7/12,0)</f>
        <v>5692.5237325303606</v>
      </c>
    </row>
    <row r="63" spans="1:31" x14ac:dyDescent="0.25">
      <c r="A63" s="3" t="s">
        <v>499</v>
      </c>
      <c r="B63" s="23" t="s">
        <v>114</v>
      </c>
      <c r="C63" s="57">
        <f t="shared" ref="C63:AE63" si="12">C54+C55+C56+C58+C59+C61</f>
        <v>142.17655347534333</v>
      </c>
      <c r="D63" s="57">
        <f t="shared" si="12"/>
        <v>270.33001802563149</v>
      </c>
      <c r="E63" s="57">
        <f t="shared" si="12"/>
        <v>386.55943697514579</v>
      </c>
      <c r="F63" s="57">
        <f t="shared" si="12"/>
        <v>529.4002726682055</v>
      </c>
      <c r="G63" s="57">
        <f t="shared" si="12"/>
        <v>649.74681483377844</v>
      </c>
      <c r="H63" s="57">
        <f t="shared" si="12"/>
        <v>741.70093022698063</v>
      </c>
      <c r="I63" s="57">
        <f t="shared" si="12"/>
        <v>872.11125070754474</v>
      </c>
      <c r="J63" s="57">
        <f t="shared" si="12"/>
        <v>995.04238575419606</v>
      </c>
      <c r="K63" s="57">
        <f t="shared" si="12"/>
        <v>1126.5858594127235</v>
      </c>
      <c r="L63" s="57">
        <f t="shared" si="12"/>
        <v>1313.202127770121</v>
      </c>
      <c r="M63" s="57">
        <f t="shared" si="12"/>
        <v>1469.6960959545304</v>
      </c>
      <c r="N63" s="57">
        <f t="shared" si="12"/>
        <v>1589.9798190638692</v>
      </c>
      <c r="O63" s="57">
        <f t="shared" si="12"/>
        <v>2303.6787488584018</v>
      </c>
      <c r="P63" s="57">
        <f t="shared" si="12"/>
        <v>2862.3310098208685</v>
      </c>
      <c r="Q63" s="57">
        <f t="shared" si="12"/>
        <v>3377.0716468728269</v>
      </c>
      <c r="R63" s="57">
        <f t="shared" si="12"/>
        <v>4040.5183664896872</v>
      </c>
      <c r="S63" s="57">
        <f t="shared" si="12"/>
        <v>4610.9172252883436</v>
      </c>
      <c r="T63" s="57">
        <f t="shared" si="12"/>
        <v>5057.1728701791144</v>
      </c>
      <c r="U63" s="57">
        <f t="shared" si="12"/>
        <v>5463.8138116617811</v>
      </c>
      <c r="V63" s="57">
        <f t="shared" si="12"/>
        <v>5854.9656286495228</v>
      </c>
      <c r="W63" s="57">
        <f t="shared" si="12"/>
        <v>6354.1514127917171</v>
      </c>
      <c r="X63" s="57">
        <f t="shared" si="12"/>
        <v>7093.1421673711857</v>
      </c>
      <c r="Y63" s="57">
        <f t="shared" si="12"/>
        <v>7734.6175402356139</v>
      </c>
      <c r="Z63" s="57">
        <f t="shared" si="12"/>
        <v>8268.7803550495846</v>
      </c>
      <c r="AA63" s="57">
        <f t="shared" si="12"/>
        <v>221090.13712520164</v>
      </c>
      <c r="AB63" s="57">
        <f t="shared" si="12"/>
        <v>379170.91650608368</v>
      </c>
      <c r="AC63" s="57">
        <f t="shared" si="12"/>
        <v>582723.08540121245</v>
      </c>
      <c r="AD63" s="57">
        <f t="shared" si="12"/>
        <v>787688.10994947737</v>
      </c>
      <c r="AE63" s="57">
        <f t="shared" si="12"/>
        <v>953059.32858630456</v>
      </c>
    </row>
    <row r="65" spans="1:31" x14ac:dyDescent="0.25">
      <c r="A65" s="46" t="s">
        <v>500</v>
      </c>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row>
    <row r="66" spans="1:31" x14ac:dyDescent="0.25">
      <c r="A66" s="6" t="s">
        <v>457</v>
      </c>
      <c r="B66" s="23" t="s">
        <v>190</v>
      </c>
      <c r="C66" s="53">
        <f>INDEX(Assumptions!$B$100:$B$106,C5)*Assumptions!$B$128/12*C7/Assumptions!$B$125*(1+Assumptions!$B$132)*IF(C2&gt;=Assumptions!$B$56,1,0)</f>
        <v>0</v>
      </c>
      <c r="D66" s="53">
        <f>INDEX(Assumptions!$B$100:$B$106,D5)*Assumptions!$B$128/12*D7/Assumptions!$B$125*(1+Assumptions!$B$132)*IF(D2&gt;=Assumptions!$B$56,1,0)</f>
        <v>0</v>
      </c>
      <c r="E66" s="53">
        <f>INDEX(Assumptions!$B$100:$B$106,E5)*Assumptions!$B$128/12*E7/Assumptions!$B$125*(1+Assumptions!$B$132)*IF(E2&gt;=Assumptions!$B$56,1,0)</f>
        <v>0</v>
      </c>
      <c r="F66" s="53">
        <f>INDEX(Assumptions!$B$100:$B$106,F5)*Assumptions!$B$128/12*F7/Assumptions!$B$125*(1+Assumptions!$B$132)*IF(F2&gt;=Assumptions!$B$56,1,0)</f>
        <v>0</v>
      </c>
      <c r="G66" s="53">
        <f>INDEX(Assumptions!$B$100:$B$106,G5)*Assumptions!$B$128/12*G7/Assumptions!$B$125*(1+Assumptions!$B$132)*IF(G2&gt;=Assumptions!$B$56,1,0)</f>
        <v>0</v>
      </c>
      <c r="H66" s="53">
        <f>INDEX(Assumptions!$B$100:$B$106,H5)*Assumptions!$B$128/12*H7/Assumptions!$B$125*(1+Assumptions!$B$132)*IF(H2&gt;=Assumptions!$B$56,1,0)</f>
        <v>0</v>
      </c>
      <c r="I66" s="53">
        <f>INDEX(Assumptions!$B$100:$B$106,I5)*Assumptions!$B$128/12*I7/Assumptions!$B$125*(1+Assumptions!$B$132)*IF(I2&gt;=Assumptions!$B$56,1,0)</f>
        <v>0</v>
      </c>
      <c r="J66" s="53">
        <f>INDEX(Assumptions!$B$100:$B$106,J5)*Assumptions!$B$128/12*J7/Assumptions!$B$125*(1+Assumptions!$B$132)*IF(J2&gt;=Assumptions!$B$56,1,0)</f>
        <v>0</v>
      </c>
      <c r="K66" s="53">
        <f>INDEX(Assumptions!$B$100:$B$106,K5)*Assumptions!$B$128/12*K7/Assumptions!$B$125*(1+Assumptions!$B$132)*IF(K2&gt;=Assumptions!$B$56,1,0)</f>
        <v>0</v>
      </c>
      <c r="L66" s="53">
        <f>INDEX(Assumptions!$B$100:$B$106,L5)*Assumptions!$B$128/12*L7/Assumptions!$B$125*(1+Assumptions!$B$132)*IF(L2&gt;=Assumptions!$B$56,1,0)</f>
        <v>0</v>
      </c>
      <c r="M66" s="53">
        <f>INDEX(Assumptions!$B$100:$B$106,M5)*Assumptions!$B$128/12*M7/Assumptions!$B$125*(1+Assumptions!$B$132)*IF(M2&gt;=Assumptions!$B$56,1,0)</f>
        <v>0</v>
      </c>
      <c r="N66" s="53">
        <f>INDEX(Assumptions!$B$100:$B$106,N5)*Assumptions!$B$128/12*N7/Assumptions!$B$125*(1+Assumptions!$B$132)*IF(N2&gt;=Assumptions!$B$56,1,0)</f>
        <v>0</v>
      </c>
      <c r="O66" s="53">
        <f>INDEX(Assumptions!$B$100:$B$106,O5)*Assumptions!$B$128/12*O7/Assumptions!$B$125*(1+Assumptions!$B$132)*IF(O2&gt;=Assumptions!$B$56,1,0)</f>
        <v>60</v>
      </c>
      <c r="P66" s="53">
        <f>INDEX(Assumptions!$B$100:$B$106,P5)*Assumptions!$B$128/12*P7/Assumptions!$B$125*(1+Assumptions!$B$132)*IF(P2&gt;=Assumptions!$B$56,1,0)</f>
        <v>60</v>
      </c>
      <c r="Q66" s="53">
        <f>INDEX(Assumptions!$B$100:$B$106,Q5)*Assumptions!$B$128/12*Q7/Assumptions!$B$125*(1+Assumptions!$B$132)*IF(Q2&gt;=Assumptions!$B$56,1,0)</f>
        <v>60</v>
      </c>
      <c r="R66" s="53">
        <f>INDEX(Assumptions!$B$100:$B$106,R5)*Assumptions!$B$128/12*R7/Assumptions!$B$125*(1+Assumptions!$B$132)*IF(R2&gt;=Assumptions!$B$56,1,0)</f>
        <v>60</v>
      </c>
      <c r="S66" s="53">
        <f>INDEX(Assumptions!$B$100:$B$106,S5)*Assumptions!$B$128/12*S7/Assumptions!$B$125*(1+Assumptions!$B$132)*IF(S2&gt;=Assumptions!$B$56,1,0)</f>
        <v>60</v>
      </c>
      <c r="T66" s="53">
        <f>INDEX(Assumptions!$B$100:$B$106,T5)*Assumptions!$B$128/12*T7/Assumptions!$B$125*(1+Assumptions!$B$132)*IF(T2&gt;=Assumptions!$B$56,1,0)</f>
        <v>60</v>
      </c>
      <c r="U66" s="53">
        <f>INDEX(Assumptions!$B$100:$B$106,U5)*Assumptions!$B$128/12*U7/Assumptions!$B$125*(1+Assumptions!$B$132)*IF(U2&gt;=Assumptions!$B$56,1,0)</f>
        <v>60</v>
      </c>
      <c r="V66" s="53">
        <f>INDEX(Assumptions!$B$100:$B$106,V5)*Assumptions!$B$128/12*V7/Assumptions!$B$125*(1+Assumptions!$B$132)*IF(V2&gt;=Assumptions!$B$56,1,0)</f>
        <v>60</v>
      </c>
      <c r="W66" s="53">
        <f>INDEX(Assumptions!$B$100:$B$106,W5)*Assumptions!$B$128/12*W7/Assumptions!$B$125*(1+Assumptions!$B$132)*IF(W2&gt;=Assumptions!$B$56,1,0)</f>
        <v>60</v>
      </c>
      <c r="X66" s="53">
        <f>INDEX(Assumptions!$B$100:$B$106,X5)*Assumptions!$B$128/12*X7/Assumptions!$B$125*(1+Assumptions!$B$132)*IF(X2&gt;=Assumptions!$B$56,1,0)</f>
        <v>60</v>
      </c>
      <c r="Y66" s="53">
        <f>INDEX(Assumptions!$B$100:$B$106,Y5)*Assumptions!$B$128/12*Y7/Assumptions!$B$125*(1+Assumptions!$B$132)*IF(Y2&gt;=Assumptions!$B$56,1,0)</f>
        <v>60</v>
      </c>
      <c r="Z66" s="53">
        <f>INDEX(Assumptions!$B$100:$B$106,Z5)*Assumptions!$B$128/12*Z7/Assumptions!$B$125*(1+Assumptions!$B$132)*IF(Z2&gt;=Assumptions!$B$56,1,0)</f>
        <v>60</v>
      </c>
      <c r="AA66" s="53">
        <f>INDEX(Assumptions!$B$100:$B$106,AA5)*Assumptions!$B$128/12*AA7/Assumptions!$B$125*(1+Assumptions!$B$132)*IF(AA2&gt;=Assumptions!$B$56,1,0)</f>
        <v>1000</v>
      </c>
      <c r="AB66" s="53">
        <f>INDEX(Assumptions!$B$100:$B$106,AB5)*Assumptions!$B$128/12*AB7/Assumptions!$B$125*(1+Assumptions!$B$132)*IF(AB2&gt;=Assumptions!$B$56,1,0)</f>
        <v>1600</v>
      </c>
      <c r="AC66" s="53">
        <f>INDEX(Assumptions!$B$100:$B$106,AC5)*Assumptions!$B$128/12*AC7/Assumptions!$B$125*(1+Assumptions!$B$132)*IF(AC2&gt;=Assumptions!$B$56,1,0)</f>
        <v>2400</v>
      </c>
      <c r="AD66" s="53">
        <f>INDEX(Assumptions!$B$100:$B$106,AD5)*Assumptions!$B$128/12*AD7/Assumptions!$B$125*(1+Assumptions!$B$132)*IF(AD2&gt;=Assumptions!$B$56,1,0)</f>
        <v>3400</v>
      </c>
      <c r="AE66" s="53">
        <f>INDEX(Assumptions!$B$100:$B$106,AE5)*Assumptions!$B$128/12*AE7/Assumptions!$B$125*(1+Assumptions!$B$132)*IF(AE2&gt;=Assumptions!$B$56,1,0)</f>
        <v>4400</v>
      </c>
    </row>
    <row r="67" spans="1:31" x14ac:dyDescent="0.25">
      <c r="A67" s="6" t="s">
        <v>458</v>
      </c>
      <c r="B67" s="23" t="s">
        <v>190</v>
      </c>
      <c r="C67" s="54">
        <v>0</v>
      </c>
      <c r="D67" s="54">
        <f>IF(D2&gt;=Assumptions!$B$55,C71*Assumptions!$B$130/12*Assumptions!$B$131*D7,0)</f>
        <v>0</v>
      </c>
      <c r="E67" s="54">
        <f>IF(E2&gt;=Assumptions!$B$55,D71*Assumptions!$B$130/12*Assumptions!$B$131*E7,0)</f>
        <v>0</v>
      </c>
      <c r="F67" s="54">
        <f>IF(F2&gt;=Assumptions!$B$55,E71*Assumptions!$B$130/12*Assumptions!$B$131*F7,0)</f>
        <v>0</v>
      </c>
      <c r="G67" s="54">
        <f>IF(G2&gt;=Assumptions!$B$55,F71*Assumptions!$B$130/12*Assumptions!$B$131*G7,0)</f>
        <v>0</v>
      </c>
      <c r="H67" s="54">
        <f>IF(H2&gt;=Assumptions!$B$55,G71*Assumptions!$B$130/12*Assumptions!$B$131*H7,0)</f>
        <v>0</v>
      </c>
      <c r="I67" s="54">
        <f>IF(I2&gt;=Assumptions!$B$55,H71*Assumptions!$B$130/12*Assumptions!$B$131*I7,0)</f>
        <v>0</v>
      </c>
      <c r="J67" s="54">
        <f>IF(J2&gt;=Assumptions!$B$55,I71*Assumptions!$B$130/12*Assumptions!$B$131*J7,0)</f>
        <v>0</v>
      </c>
      <c r="K67" s="54">
        <f>IF(K2&gt;=Assumptions!$B$55,J71*Assumptions!$B$130/12*Assumptions!$B$131*K7,0)</f>
        <v>0</v>
      </c>
      <c r="L67" s="54">
        <f>IF(L2&gt;=Assumptions!$B$55,K71*Assumptions!$B$130/12*Assumptions!$B$131*L7,0)</f>
        <v>0</v>
      </c>
      <c r="M67" s="54">
        <f>IF(M2&gt;=Assumptions!$B$55,L71*Assumptions!$B$130/12*Assumptions!$B$131*M7,0)</f>
        <v>0</v>
      </c>
      <c r="N67" s="54">
        <f>IF(N2&gt;=Assumptions!$B$55,M71*Assumptions!$B$130/12*Assumptions!$B$131*N7,0)</f>
        <v>0</v>
      </c>
      <c r="O67" s="54">
        <f>IF(O2&gt;=Assumptions!$B$55,N71*Assumptions!$B$130/12*Assumptions!$B$131*O7,0)</f>
        <v>0</v>
      </c>
      <c r="P67" s="54">
        <f>IF(P2&gt;=Assumptions!$B$55,O71*Assumptions!$B$130/12*Assumptions!$B$131*P7,0)</f>
        <v>2.1906130835192084</v>
      </c>
      <c r="Q67" s="54">
        <f>IF(Q2&gt;=Assumptions!$B$55,P71*Assumptions!$B$130/12*Assumptions!$B$131*Q7,0)</f>
        <v>4.225586147393539</v>
      </c>
      <c r="R67" s="54">
        <f>IF(R2&gt;=Assumptions!$B$55,Q71*Assumptions!$B$130/12*Assumptions!$B$131*R7,0)</f>
        <v>6.1247712819074778</v>
      </c>
      <c r="S67" s="54">
        <f>IF(S2&gt;=Assumptions!$B$55,R71*Assumptions!$B$130/12*Assumptions!$B$131*S7,0)</f>
        <v>8.5183339883982008</v>
      </c>
      <c r="T67" s="54">
        <f>IF(T2&gt;=Assumptions!$B$55,S71*Assumptions!$B$130/12*Assumptions!$B$131*T7,0)</f>
        <v>10.606732396553927</v>
      </c>
      <c r="U67" s="54">
        <f>IF(U2&gt;=Assumptions!$B$55,T71*Assumptions!$B$130/12*Assumptions!$B$131*U7,0)</f>
        <v>12.258718833017845</v>
      </c>
      <c r="V67" s="54">
        <f>IF(V2&gt;=Assumptions!$B$55,U71*Assumptions!$B$130/12*Assumptions!$B$131*V7,0)</f>
        <v>13.794233587947446</v>
      </c>
      <c r="W67" s="54">
        <f>IF(W2&gt;=Assumptions!$B$55,V71*Assumptions!$B$130/12*Assumptions!$B$131*W7,0)</f>
        <v>15.289782238580127</v>
      </c>
      <c r="X67" s="54">
        <f>IF(X2&gt;=Assumptions!$B$55,W71*Assumptions!$B$130/12*Assumptions!$B$131*X7,0)</f>
        <v>16.9530695175768</v>
      </c>
      <c r="Y67" s="54">
        <f>IF(Y2&gt;=Assumptions!$B$55,X71*Assumptions!$B$130/12*Assumptions!$B$131*Y7,0)</f>
        <v>19.417923091831543</v>
      </c>
      <c r="Z67" s="54">
        <f>IF(Z2&gt;=Assumptions!$B$55,Y71*Assumptions!$B$130/12*Assumptions!$B$131*Z7,0)</f>
        <v>21.574399855904247</v>
      </c>
      <c r="AA67" s="54">
        <f>IF(AA2&gt;=Assumptions!$B$55,Z71*Assumptions!$B$130/12*Assumptions!$B$131*AA7,0)</f>
        <v>279.65951416234702</v>
      </c>
      <c r="AB67" s="54">
        <f>IF(AB2&gt;=Assumptions!$B$55,AA71*Assumptions!$B$130/12*Assumptions!$B$131*AB7,0)</f>
        <v>613.15136783153935</v>
      </c>
      <c r="AC67" s="54">
        <f>IF(AC2&gt;=Assumptions!$B$55,AB71*Assumptions!$B$130/12*Assumptions!$B$131*AC7,0)</f>
        <v>1068.5194578711782</v>
      </c>
      <c r="AD67" s="54">
        <f>IF(AD2&gt;=Assumptions!$B$55,AC71*Assumptions!$B$130/12*Assumptions!$B$131*AD7,0)</f>
        <v>1632.3884253377141</v>
      </c>
      <c r="AE67" s="54">
        <f>IF(AE2&gt;=Assumptions!$B$55,AD71*Assumptions!$B$130/12*Assumptions!$B$131*AE7,0)</f>
        <v>2171.728648879267</v>
      </c>
    </row>
    <row r="68" spans="1:31" x14ac:dyDescent="0.25">
      <c r="A68" s="6" t="s">
        <v>459</v>
      </c>
      <c r="B68" s="23" t="s">
        <v>190</v>
      </c>
      <c r="C68" s="54">
        <f>C66+C67+IF(C23=0,0,C20*Assumptions!$B$115/C23*IF(C2&gt;=Assumptions!$B$56,1,0))</f>
        <v>0</v>
      </c>
      <c r="D68" s="54">
        <f>D66+D67+IF(D23=0,0,D20*Assumptions!$B$115/D23*IF(D2&gt;=Assumptions!$B$56,1,0))</f>
        <v>0</v>
      </c>
      <c r="E68" s="54">
        <f>E66+E67+IF(E23=0,0,E20*Assumptions!$B$115/E23*IF(E2&gt;=Assumptions!$B$56,1,0))</f>
        <v>0</v>
      </c>
      <c r="F68" s="54">
        <f>F66+F67+IF(F23=0,0,F20*Assumptions!$B$115/F23*IF(F2&gt;=Assumptions!$B$56,1,0))</f>
        <v>0</v>
      </c>
      <c r="G68" s="54">
        <f>G66+G67+IF(G23=0,0,G20*Assumptions!$B$115/G23*IF(G2&gt;=Assumptions!$B$56,1,0))</f>
        <v>0</v>
      </c>
      <c r="H68" s="54">
        <f>H66+H67+IF(H23=0,0,H20*Assumptions!$B$115/H23*IF(H2&gt;=Assumptions!$B$56,1,0))</f>
        <v>0</v>
      </c>
      <c r="I68" s="54">
        <f>I66+I67+IF(I23=0,0,I20*Assumptions!$B$115/I23*IF(I2&gt;=Assumptions!$B$56,1,0))</f>
        <v>0</v>
      </c>
      <c r="J68" s="54">
        <f>J66+J67+IF(J23=0,0,J20*Assumptions!$B$115/J23*IF(J2&gt;=Assumptions!$B$56,1,0))</f>
        <v>0</v>
      </c>
      <c r="K68" s="54">
        <f>K66+K67+IF(K23=0,0,K20*Assumptions!$B$115/K23*IF(K2&gt;=Assumptions!$B$56,1,0))</f>
        <v>0</v>
      </c>
      <c r="L68" s="54">
        <f>L66+L67+IF(L23=0,0,L20*Assumptions!$B$115/L23*IF(L2&gt;=Assumptions!$B$56,1,0))</f>
        <v>0</v>
      </c>
      <c r="M68" s="54">
        <f>M66+M67+IF(M23=0,0,M20*Assumptions!$B$115/M23*IF(M2&gt;=Assumptions!$B$56,1,0))</f>
        <v>0</v>
      </c>
      <c r="N68" s="54">
        <f>N66+N67+IF(N23=0,0,N20*Assumptions!$B$115/N23*IF(N2&gt;=Assumptions!$B$56,1,0))</f>
        <v>0</v>
      </c>
      <c r="O68" s="54">
        <f>O66+O67+IF(O23=0,0,O20*Assumptions!$B$115/O23*IF(O2&gt;=Assumptions!$B$56,1,0))</f>
        <v>71.73</v>
      </c>
      <c r="P68" s="54">
        <f>P66+P67+IF(P23=0,0,P20*Assumptions!$B$115/P23*IF(P2&gt;=Assumptions!$B$56,1,0))</f>
        <v>73.920613083519214</v>
      </c>
      <c r="Q68" s="54">
        <f>Q66+Q67+IF(Q23=0,0,Q20*Assumptions!$B$115/Q23*IF(Q2&gt;=Assumptions!$B$56,1,0))</f>
        <v>75.955586147393547</v>
      </c>
      <c r="R68" s="54">
        <f>R66+R67+IF(R23=0,0,R20*Assumptions!$B$115/R23*IF(R2&gt;=Assumptions!$B$56,1,0))</f>
        <v>77.854771281907475</v>
      </c>
      <c r="S68" s="54">
        <f>S66+S67+IF(S23=0,0,S20*Assumptions!$B$115/S23*IF(S2&gt;=Assumptions!$B$56,1,0))</f>
        <v>80.248333988398201</v>
      </c>
      <c r="T68" s="54">
        <f>T66+T67+IF(T23=0,0,T20*Assumptions!$B$115/T23*IF(T2&gt;=Assumptions!$B$56,1,0))</f>
        <v>82.336732396553927</v>
      </c>
      <c r="U68" s="54">
        <f>U66+U67+IF(U23=0,0,U20*Assumptions!$B$115/U23*IF(U2&gt;=Assumptions!$B$56,1,0))</f>
        <v>83.988718833017842</v>
      </c>
      <c r="V68" s="54">
        <f>V66+V67+IF(V23=0,0,V20*Assumptions!$B$115/V23*IF(V2&gt;=Assumptions!$B$56,1,0))</f>
        <v>85.52423358794745</v>
      </c>
      <c r="W68" s="54">
        <f>W66+W67+IF(W23=0,0,W20*Assumptions!$B$115/W23*IF(W2&gt;=Assumptions!$B$56,1,0))</f>
        <v>87.019782238580135</v>
      </c>
      <c r="X68" s="54">
        <f>X66+X67+IF(X23=0,0,X20*Assumptions!$B$115/X23*IF(X2&gt;=Assumptions!$B$56,1,0))</f>
        <v>88.683069517576811</v>
      </c>
      <c r="Y68" s="54">
        <f>Y66+Y67+IF(Y23=0,0,Y20*Assumptions!$B$115/Y23*IF(Y2&gt;=Assumptions!$B$56,1,0))</f>
        <v>91.147923091831544</v>
      </c>
      <c r="Z68" s="54">
        <f>Z66+Z67+IF(Z23=0,0,Z20*Assumptions!$B$115/Z23*IF(Z2&gt;=Assumptions!$B$56,1,0))</f>
        <v>93.304399855904251</v>
      </c>
      <c r="AA68" s="54">
        <f>AA66+AA67+IF(AA23=0,0,AA20*Assumptions!$B$115/AA23*IF(AA2&gt;=Assumptions!$B$56,1,0))</f>
        <v>1711.659514162347</v>
      </c>
      <c r="AB68" s="54">
        <f>AB66+AB67+IF(AB23=0,0,AB20*Assumptions!$B$115/AB23*IF(AB2&gt;=Assumptions!$B$56,1,0))</f>
        <v>2861.1513678315396</v>
      </c>
      <c r="AC68" s="54">
        <f>AC66+AC67+IF(AC23=0,0,AC20*Assumptions!$B$115/AC23*IF(AC2&gt;=Assumptions!$B$56,1,0))</f>
        <v>4440.519457871178</v>
      </c>
      <c r="AD68" s="54">
        <f>AD66+AD67+IF(AD23=0,0,AD20*Assumptions!$B$115/AD23*IF(AD2&gt;=Assumptions!$B$56,1,0))</f>
        <v>6177.1884253377148</v>
      </c>
      <c r="AE68" s="54">
        <f>AE66+AE67+IF(AE23=0,0,AE20*Assumptions!$B$115/AE23*IF(AE2&gt;=Assumptions!$B$56,1,0))</f>
        <v>7910.9286488792668</v>
      </c>
    </row>
    <row r="69" spans="1:31" x14ac:dyDescent="0.25">
      <c r="A69" s="6" t="s">
        <v>460</v>
      </c>
      <c r="B69" s="23" t="s">
        <v>455</v>
      </c>
      <c r="C69" s="51">
        <v>1</v>
      </c>
      <c r="D69" s="51">
        <f>MAX(0,1-C74/Assumptions!$B$85)</f>
        <v>1</v>
      </c>
      <c r="E69" s="51">
        <f>MAX(0,1-D74/Assumptions!$B$85)</f>
        <v>1</v>
      </c>
      <c r="F69" s="51">
        <f>MAX(0,1-E74/Assumptions!$B$85)</f>
        <v>1</v>
      </c>
      <c r="G69" s="51">
        <f>MAX(0,1-F74/Assumptions!$B$85)</f>
        <v>1</v>
      </c>
      <c r="H69" s="51">
        <f>MAX(0,1-G74/Assumptions!$B$85)</f>
        <v>1</v>
      </c>
      <c r="I69" s="51">
        <f>MAX(0,1-H74/Assumptions!$B$85)</f>
        <v>1</v>
      </c>
      <c r="J69" s="51">
        <f>MAX(0,1-I74/Assumptions!$B$85)</f>
        <v>1</v>
      </c>
      <c r="K69" s="51">
        <f>MAX(0,1-J74/Assumptions!$B$85)</f>
        <v>1</v>
      </c>
      <c r="L69" s="51">
        <f>MAX(0,1-K74/Assumptions!$B$85)</f>
        <v>1</v>
      </c>
      <c r="M69" s="51">
        <f>MAX(0,1-L74/Assumptions!$B$85)</f>
        <v>1</v>
      </c>
      <c r="N69" s="51">
        <f>MAX(0,1-M74/Assumptions!$B$85)</f>
        <v>1</v>
      </c>
      <c r="O69" s="51">
        <f>MAX(0,1-N74/Assumptions!$B$85)</f>
        <v>1</v>
      </c>
      <c r="P69" s="51">
        <f>MAX(0,1-O74/Assumptions!$B$85)</f>
        <v>0.99798636682009201</v>
      </c>
      <c r="Q69" s="51">
        <f>MAX(0,1-P74/Assumptions!$B$85)</f>
        <v>0.99601793872098365</v>
      </c>
      <c r="R69" s="51">
        <f>MAX(0,1-Q74/Assumptions!$B$85)</f>
        <v>0.99408342033659303</v>
      </c>
      <c r="S69" s="51">
        <f>MAX(0,1-R74/Assumptions!$B$85)</f>
        <v>0.99160962333827574</v>
      </c>
      <c r="T69" s="51">
        <f>MAX(0,1-S74/Assumptions!$B$85)</f>
        <v>0.98930940929181033</v>
      </c>
      <c r="U69" s="51">
        <f>MAX(0,1-T74/Assumptions!$B$85)</f>
        <v>0.98731705489029653</v>
      </c>
      <c r="V69" s="51">
        <f>MAX(0,1-U74/Assumptions!$B$85)</f>
        <v>0.98535796359263217</v>
      </c>
      <c r="W69" s="51">
        <f>MAX(0,1-V74/Assumptions!$B$85)</f>
        <v>0.9833670138297429</v>
      </c>
      <c r="X69" s="51">
        <f>MAX(0,1-W74/Assumptions!$B$85)</f>
        <v>0.98115506675689412</v>
      </c>
      <c r="Y69" s="51">
        <f>MAX(0,1-X74/Assumptions!$B$85)</f>
        <v>0.97813200837350556</v>
      </c>
      <c r="Z69" s="51">
        <f>MAX(0,1-Y74/Assumptions!$B$85)</f>
        <v>0.97528230115378989</v>
      </c>
      <c r="AA69" s="51">
        <f>MAX(0,1-Z74/Assumptions!$B$85)</f>
        <v>0.97272776534627114</v>
      </c>
      <c r="AB69" s="51">
        <f>MAX(0,1-AA74/Assumptions!$B$85)</f>
        <v>0.92645058975633876</v>
      </c>
      <c r="AC69" s="51">
        <f>MAX(0,1-AB74/Assumptions!$B$85)</f>
        <v>0.85277540208513369</v>
      </c>
      <c r="AD69" s="51">
        <f>MAX(0,1-AC74/Assumptions!$B$85)</f>
        <v>0.74752431348327941</v>
      </c>
      <c r="AE69" s="51">
        <f>MAX(0,1-AD74/Assumptions!$B$85)</f>
        <v>0.61918068127875014</v>
      </c>
    </row>
    <row r="70" spans="1:31" x14ac:dyDescent="0.25">
      <c r="A70" s="6" t="s">
        <v>461</v>
      </c>
      <c r="B70" s="23" t="s">
        <v>190</v>
      </c>
      <c r="C70" s="54">
        <f t="shared" ref="C70:AE70" si="13">C68*C69*C15</f>
        <v>0</v>
      </c>
      <c r="D70" s="54">
        <f t="shared" si="13"/>
        <v>0</v>
      </c>
      <c r="E70" s="54">
        <f t="shared" si="13"/>
        <v>0</v>
      </c>
      <c r="F70" s="54">
        <f t="shared" si="13"/>
        <v>0</v>
      </c>
      <c r="G70" s="54">
        <f t="shared" si="13"/>
        <v>0</v>
      </c>
      <c r="H70" s="54">
        <f t="shared" si="13"/>
        <v>0</v>
      </c>
      <c r="I70" s="54">
        <f t="shared" si="13"/>
        <v>0</v>
      </c>
      <c r="J70" s="54">
        <f t="shared" si="13"/>
        <v>0</v>
      </c>
      <c r="K70" s="54">
        <f t="shared" si="13"/>
        <v>0</v>
      </c>
      <c r="L70" s="54">
        <f t="shared" si="13"/>
        <v>0</v>
      </c>
      <c r="M70" s="54">
        <f t="shared" si="13"/>
        <v>0</v>
      </c>
      <c r="N70" s="54">
        <f t="shared" si="13"/>
        <v>0</v>
      </c>
      <c r="O70" s="54">
        <f t="shared" si="13"/>
        <v>72.447299999999998</v>
      </c>
      <c r="P70" s="54">
        <f t="shared" si="13"/>
        <v>70.82089352096169</v>
      </c>
      <c r="Q70" s="54">
        <f t="shared" si="13"/>
        <v>69.600876240961341</v>
      </c>
      <c r="R70" s="54">
        <f t="shared" si="13"/>
        <v>89.00325792425798</v>
      </c>
      <c r="S70" s="54">
        <f t="shared" si="13"/>
        <v>82.758021049350091</v>
      </c>
      <c r="T70" s="54">
        <f t="shared" si="13"/>
        <v>71.681723599422313</v>
      </c>
      <c r="U70" s="54">
        <f t="shared" si="13"/>
        <v>70.484970343890708</v>
      </c>
      <c r="V70" s="54">
        <f t="shared" si="13"/>
        <v>71.631186949134417</v>
      </c>
      <c r="W70" s="54">
        <f t="shared" si="13"/>
        <v>79.582316565782349</v>
      </c>
      <c r="X70" s="54">
        <f t="shared" si="13"/>
        <v>108.76480374090545</v>
      </c>
      <c r="Y70" s="54">
        <f t="shared" si="13"/>
        <v>102.52790623382005</v>
      </c>
      <c r="Z70" s="54">
        <f t="shared" si="13"/>
        <v>91.908111097232037</v>
      </c>
      <c r="AA70" s="54">
        <f t="shared" si="13"/>
        <v>1664.978734244824</v>
      </c>
      <c r="AB70" s="54">
        <f t="shared" si="13"/>
        <v>2650.7153721096852</v>
      </c>
      <c r="AC70" s="54">
        <f t="shared" si="13"/>
        <v>3786.7657661529538</v>
      </c>
      <c r="AD70" s="54">
        <f t="shared" si="13"/>
        <v>4617.5985369074351</v>
      </c>
      <c r="AE70" s="54">
        <f t="shared" si="13"/>
        <v>4898.294190360647</v>
      </c>
    </row>
    <row r="71" spans="1:31" x14ac:dyDescent="0.25">
      <c r="A71" s="6" t="s">
        <v>462</v>
      </c>
      <c r="B71" s="23" t="s">
        <v>190</v>
      </c>
      <c r="C71" s="28">
        <f>C70*(1-Assumptions!$B$122)^(C7/2)</f>
        <v>0</v>
      </c>
      <c r="D71" s="28">
        <f>C71*(1-Assumptions!$B$122)^D7+D70*(1-Assumptions!$B$122)^(D7/2)</f>
        <v>0</v>
      </c>
      <c r="E71" s="28">
        <f>D71*(1-Assumptions!$B$122)^E7+E70*(1-Assumptions!$B$122)^(E7/2)</f>
        <v>0</v>
      </c>
      <c r="F71" s="28">
        <f>E71*(1-Assumptions!$B$122)^F7+F70*(1-Assumptions!$B$122)^(F7/2)</f>
        <v>0</v>
      </c>
      <c r="G71" s="28">
        <f>F71*(1-Assumptions!$B$122)^G7+G70*(1-Assumptions!$B$122)^(G7/2)</f>
        <v>0</v>
      </c>
      <c r="H71" s="28">
        <f>G71*(1-Assumptions!$B$122)^H7+H70*(1-Assumptions!$B$122)^(H7/2)</f>
        <v>0</v>
      </c>
      <c r="I71" s="28">
        <f>H71*(1-Assumptions!$B$122)^I7+I70*(1-Assumptions!$B$122)^(I7/2)</f>
        <v>0</v>
      </c>
      <c r="J71" s="28">
        <f>I71*(1-Assumptions!$B$122)^J7+J70*(1-Assumptions!$B$122)^(J7/2)</f>
        <v>0</v>
      </c>
      <c r="K71" s="28">
        <f>J71*(1-Assumptions!$B$122)^K7+K70*(1-Assumptions!$B$122)^(K7/2)</f>
        <v>0</v>
      </c>
      <c r="L71" s="28">
        <f>K71*(1-Assumptions!$B$122)^L7+L70*(1-Assumptions!$B$122)^(L7/2)</f>
        <v>0</v>
      </c>
      <c r="M71" s="28">
        <f>L71*(1-Assumptions!$B$122)^M7+M70*(1-Assumptions!$B$122)^(M7/2)</f>
        <v>0</v>
      </c>
      <c r="N71" s="28">
        <f>M71*(1-Assumptions!$B$122)^N7+N70*(1-Assumptions!$B$122)^(N7/2)</f>
        <v>0</v>
      </c>
      <c r="O71" s="28">
        <f>N71*(1-Assumptions!$B$122)^O7+O70*(1-Assumptions!$B$122)^(O7/2)</f>
        <v>70.66493817803898</v>
      </c>
      <c r="P71" s="28">
        <f>O71*(1-Assumptions!$B$122)^P7+P70*(1-Assumptions!$B$122)^(P7/2)</f>
        <v>136.3092305610819</v>
      </c>
      <c r="Q71" s="28">
        <f>P71*(1-Assumptions!$B$122)^Q7+Q70*(1-Assumptions!$B$122)^(Q7/2)</f>
        <v>197.57326715830573</v>
      </c>
      <c r="R71" s="28">
        <f>Q71*(1-Assumptions!$B$122)^R7+R70*(1-Assumptions!$B$122)^(R7/2)</f>
        <v>274.78496736768392</v>
      </c>
      <c r="S71" s="28">
        <f>R71*(1-Assumptions!$B$122)^S7+S70*(1-Assumptions!$B$122)^(S7/2)</f>
        <v>342.1526579533525</v>
      </c>
      <c r="T71" s="28">
        <f>S71*(1-Assumptions!$B$122)^T7+T70*(1-Assumptions!$B$122)^(T7/2)</f>
        <v>395.44254300057571</v>
      </c>
      <c r="U71" s="28">
        <f>T71*(1-Assumptions!$B$122)^U7+U70*(1-Assumptions!$B$122)^(U7/2)</f>
        <v>444.97527703056278</v>
      </c>
      <c r="V71" s="28">
        <f>U71*(1-Assumptions!$B$122)^V7+V70*(1-Assumptions!$B$122)^(V7/2)</f>
        <v>493.21878188968151</v>
      </c>
      <c r="W71" s="28">
        <f>V71*(1-Assumptions!$B$122)^W7+W70*(1-Assumptions!$B$122)^(W7/2)</f>
        <v>546.87321024441292</v>
      </c>
      <c r="X71" s="28">
        <f>W71*(1-Assumptions!$B$122)^X7+X70*(1-Assumptions!$B$122)^(X7/2)</f>
        <v>626.38461586553365</v>
      </c>
      <c r="Y71" s="28">
        <f>X71*(1-Assumptions!$B$122)^Y7+Y70*(1-Assumptions!$B$122)^(Y7/2)</f>
        <v>695.94838244852417</v>
      </c>
      <c r="Z71" s="28">
        <f>Y71*(1-Assumptions!$B$122)^Z7+Z70*(1-Assumptions!$B$122)^(Z7/2)</f>
        <v>751.77288753319101</v>
      </c>
      <c r="AA71" s="28">
        <f>Z71*(1-Assumptions!$B$122)^AA7+AA70*(1-Assumptions!$B$122)^(AA7/2)</f>
        <v>1648.2563651385467</v>
      </c>
      <c r="AB71" s="28">
        <f>AA71*(1-Assumptions!$B$122)^AB7+AB70*(1-Assumptions!$B$122)^(AB7/2)</f>
        <v>2872.3641340623076</v>
      </c>
      <c r="AC71" s="28">
        <f>AB71*(1-Assumptions!$B$122)^AC7+AC70*(1-Assumptions!$B$122)^(AC7/2)</f>
        <v>4388.1409283271887</v>
      </c>
      <c r="AD71" s="28">
        <f>AC71*(1-Assumptions!$B$122)^AD7+AD70*(1-Assumptions!$B$122)^(AD7/2)</f>
        <v>5837.9802389227607</v>
      </c>
      <c r="AE71" s="28">
        <f>AD71*(1-Assumptions!$B$122)^AE7+AE70*(1-Assumptions!$B$122)^(AE7/2)</f>
        <v>6843.56132779773</v>
      </c>
    </row>
    <row r="72" spans="1:31" x14ac:dyDescent="0.25">
      <c r="A72" s="6" t="s">
        <v>463</v>
      </c>
      <c r="B72" s="23" t="s">
        <v>190</v>
      </c>
      <c r="C72" s="54">
        <f>C70-C71</f>
        <v>0</v>
      </c>
      <c r="D72" s="54">
        <f t="shared" ref="D72:AE72" si="14">C71+D70-D71</f>
        <v>0</v>
      </c>
      <c r="E72" s="54">
        <f t="shared" si="14"/>
        <v>0</v>
      </c>
      <c r="F72" s="54">
        <f t="shared" si="14"/>
        <v>0</v>
      </c>
      <c r="G72" s="54">
        <f t="shared" si="14"/>
        <v>0</v>
      </c>
      <c r="H72" s="54">
        <f t="shared" si="14"/>
        <v>0</v>
      </c>
      <c r="I72" s="54">
        <f t="shared" si="14"/>
        <v>0</v>
      </c>
      <c r="J72" s="54">
        <f t="shared" si="14"/>
        <v>0</v>
      </c>
      <c r="K72" s="54">
        <f t="shared" si="14"/>
        <v>0</v>
      </c>
      <c r="L72" s="54">
        <f t="shared" si="14"/>
        <v>0</v>
      </c>
      <c r="M72" s="54">
        <f t="shared" si="14"/>
        <v>0</v>
      </c>
      <c r="N72" s="54">
        <f t="shared" si="14"/>
        <v>0</v>
      </c>
      <c r="O72" s="54">
        <f t="shared" si="14"/>
        <v>1.7823618219610182</v>
      </c>
      <c r="P72" s="54">
        <f t="shared" si="14"/>
        <v>5.176601137918766</v>
      </c>
      <c r="Q72" s="54">
        <f t="shared" si="14"/>
        <v>8.3368396437375054</v>
      </c>
      <c r="R72" s="54">
        <f t="shared" si="14"/>
        <v>11.791557714879787</v>
      </c>
      <c r="S72" s="54">
        <f t="shared" si="14"/>
        <v>15.390330463681494</v>
      </c>
      <c r="T72" s="54">
        <f t="shared" si="14"/>
        <v>18.39183855219909</v>
      </c>
      <c r="U72" s="54">
        <f t="shared" si="14"/>
        <v>20.952236313903654</v>
      </c>
      <c r="V72" s="54">
        <f t="shared" si="14"/>
        <v>23.387682090015687</v>
      </c>
      <c r="W72" s="54">
        <f t="shared" si="14"/>
        <v>25.927888211050913</v>
      </c>
      <c r="X72" s="54">
        <f t="shared" si="14"/>
        <v>29.25339811978472</v>
      </c>
      <c r="Y72" s="54">
        <f t="shared" si="14"/>
        <v>32.964139650829566</v>
      </c>
      <c r="Z72" s="54">
        <f t="shared" si="14"/>
        <v>36.083606012565156</v>
      </c>
      <c r="AA72" s="54">
        <f t="shared" si="14"/>
        <v>768.49525663946815</v>
      </c>
      <c r="AB72" s="54">
        <f t="shared" si="14"/>
        <v>1426.6076031859243</v>
      </c>
      <c r="AC72" s="54">
        <f t="shared" si="14"/>
        <v>2270.9889718880722</v>
      </c>
      <c r="AD72" s="54">
        <f t="shared" si="14"/>
        <v>3167.7592263118622</v>
      </c>
      <c r="AE72" s="54">
        <f t="shared" si="14"/>
        <v>3892.7131014856768</v>
      </c>
    </row>
    <row r="73" spans="1:31" x14ac:dyDescent="0.25">
      <c r="A73" s="6" t="s">
        <v>464</v>
      </c>
      <c r="B73" s="23" t="s">
        <v>190</v>
      </c>
      <c r="C73" s="45">
        <f>C72</f>
        <v>0</v>
      </c>
      <c r="D73" s="45">
        <f t="shared" ref="D73:AE73" si="15">C73+D72</f>
        <v>0</v>
      </c>
      <c r="E73" s="45">
        <f t="shared" si="15"/>
        <v>0</v>
      </c>
      <c r="F73" s="45">
        <f t="shared" si="15"/>
        <v>0</v>
      </c>
      <c r="G73" s="45">
        <f t="shared" si="15"/>
        <v>0</v>
      </c>
      <c r="H73" s="45">
        <f t="shared" si="15"/>
        <v>0</v>
      </c>
      <c r="I73" s="45">
        <f t="shared" si="15"/>
        <v>0</v>
      </c>
      <c r="J73" s="45">
        <f t="shared" si="15"/>
        <v>0</v>
      </c>
      <c r="K73" s="45">
        <f t="shared" si="15"/>
        <v>0</v>
      </c>
      <c r="L73" s="45">
        <f t="shared" si="15"/>
        <v>0</v>
      </c>
      <c r="M73" s="45">
        <f t="shared" si="15"/>
        <v>0</v>
      </c>
      <c r="N73" s="45">
        <f t="shared" si="15"/>
        <v>0</v>
      </c>
      <c r="O73" s="45">
        <f t="shared" si="15"/>
        <v>1.7823618219610182</v>
      </c>
      <c r="P73" s="45">
        <f t="shared" si="15"/>
        <v>6.9589629598797842</v>
      </c>
      <c r="Q73" s="45">
        <f t="shared" si="15"/>
        <v>15.29580260361729</v>
      </c>
      <c r="R73" s="45">
        <f t="shared" si="15"/>
        <v>27.087360318497076</v>
      </c>
      <c r="S73" s="45">
        <f t="shared" si="15"/>
        <v>42.47769078217857</v>
      </c>
      <c r="T73" s="45">
        <f t="shared" si="15"/>
        <v>60.86952933437766</v>
      </c>
      <c r="U73" s="45">
        <f t="shared" si="15"/>
        <v>81.821765648281314</v>
      </c>
      <c r="V73" s="45">
        <f t="shared" si="15"/>
        <v>105.209447738297</v>
      </c>
      <c r="W73" s="45">
        <f t="shared" si="15"/>
        <v>131.13733594934791</v>
      </c>
      <c r="X73" s="45">
        <f t="shared" si="15"/>
        <v>160.39073406913263</v>
      </c>
      <c r="Y73" s="45">
        <f t="shared" si="15"/>
        <v>193.3548737199622</v>
      </c>
      <c r="Z73" s="45">
        <f t="shared" si="15"/>
        <v>229.43847973252736</v>
      </c>
      <c r="AA73" s="45">
        <f t="shared" si="15"/>
        <v>997.93373637199556</v>
      </c>
      <c r="AB73" s="45">
        <f t="shared" si="15"/>
        <v>2424.5413395579199</v>
      </c>
      <c r="AC73" s="45">
        <f t="shared" si="15"/>
        <v>4695.5303114459921</v>
      </c>
      <c r="AD73" s="45">
        <f t="shared" si="15"/>
        <v>7863.2895377578543</v>
      </c>
      <c r="AE73" s="45">
        <f t="shared" si="15"/>
        <v>11756.002639243532</v>
      </c>
    </row>
    <row r="74" spans="1:31" x14ac:dyDescent="0.25">
      <c r="A74" s="6" t="s">
        <v>465</v>
      </c>
      <c r="B74" s="23" t="s">
        <v>190</v>
      </c>
      <c r="C74" s="45">
        <f>C70</f>
        <v>0</v>
      </c>
      <c r="D74" s="45">
        <f t="shared" ref="D74:AE74" si="16">C74+D70</f>
        <v>0</v>
      </c>
      <c r="E74" s="45">
        <f t="shared" si="16"/>
        <v>0</v>
      </c>
      <c r="F74" s="45">
        <f t="shared" si="16"/>
        <v>0</v>
      </c>
      <c r="G74" s="45">
        <f t="shared" si="16"/>
        <v>0</v>
      </c>
      <c r="H74" s="45">
        <f t="shared" si="16"/>
        <v>0</v>
      </c>
      <c r="I74" s="45">
        <f t="shared" si="16"/>
        <v>0</v>
      </c>
      <c r="J74" s="45">
        <f t="shared" si="16"/>
        <v>0</v>
      </c>
      <c r="K74" s="45">
        <f t="shared" si="16"/>
        <v>0</v>
      </c>
      <c r="L74" s="45">
        <f t="shared" si="16"/>
        <v>0</v>
      </c>
      <c r="M74" s="45">
        <f t="shared" si="16"/>
        <v>0</v>
      </c>
      <c r="N74" s="45">
        <f t="shared" si="16"/>
        <v>0</v>
      </c>
      <c r="O74" s="45">
        <f t="shared" si="16"/>
        <v>72.447299999999998</v>
      </c>
      <c r="P74" s="45">
        <f t="shared" si="16"/>
        <v>143.26819352096169</v>
      </c>
      <c r="Q74" s="45">
        <f t="shared" si="16"/>
        <v>212.86906976192301</v>
      </c>
      <c r="R74" s="45">
        <f t="shared" si="16"/>
        <v>301.87232768618099</v>
      </c>
      <c r="S74" s="45">
        <f t="shared" si="16"/>
        <v>384.63034873553107</v>
      </c>
      <c r="T74" s="45">
        <f t="shared" si="16"/>
        <v>456.31207233495337</v>
      </c>
      <c r="U74" s="45">
        <f t="shared" si="16"/>
        <v>526.79704267884404</v>
      </c>
      <c r="V74" s="45">
        <f t="shared" si="16"/>
        <v>598.42822962797845</v>
      </c>
      <c r="W74" s="45">
        <f t="shared" si="16"/>
        <v>678.01054619376077</v>
      </c>
      <c r="X74" s="45">
        <f t="shared" si="16"/>
        <v>786.77534993466622</v>
      </c>
      <c r="Y74" s="45">
        <f t="shared" si="16"/>
        <v>889.30325616848631</v>
      </c>
      <c r="Z74" s="45">
        <f t="shared" si="16"/>
        <v>981.21136726571831</v>
      </c>
      <c r="AA74" s="45">
        <f t="shared" si="16"/>
        <v>2646.1901015105423</v>
      </c>
      <c r="AB74" s="45">
        <f t="shared" si="16"/>
        <v>5296.905473620227</v>
      </c>
      <c r="AC74" s="45">
        <f t="shared" si="16"/>
        <v>9083.6712397731808</v>
      </c>
      <c r="AD74" s="45">
        <f t="shared" si="16"/>
        <v>13701.269776680616</v>
      </c>
      <c r="AE74" s="45">
        <f t="shared" si="16"/>
        <v>18599.563967041264</v>
      </c>
    </row>
    <row r="75" spans="1:31" x14ac:dyDescent="0.25">
      <c r="A75" s="6" t="s">
        <v>466</v>
      </c>
      <c r="B75" s="23" t="s">
        <v>114</v>
      </c>
      <c r="C75" s="55">
        <f>IF(C2&gt;=Assumptions!$B$47,C71*Assumptions!$B$176*C7,0)</f>
        <v>0</v>
      </c>
      <c r="D75" s="55">
        <f>IF(D2&gt;=Assumptions!$B$47,D71*Assumptions!$B$176*D7,0)</f>
        <v>0</v>
      </c>
      <c r="E75" s="55">
        <f>IF(E2&gt;=Assumptions!$B$47,E71*Assumptions!$B$176*E7,0)</f>
        <v>0</v>
      </c>
      <c r="F75" s="55">
        <f>IF(F2&gt;=Assumptions!$B$47,F71*Assumptions!$B$176*F7,0)</f>
        <v>0</v>
      </c>
      <c r="G75" s="55">
        <f>IF(G2&gt;=Assumptions!$B$47,G71*Assumptions!$B$176*G7,0)</f>
        <v>0</v>
      </c>
      <c r="H75" s="55">
        <f>IF(H2&gt;=Assumptions!$B$47,H71*Assumptions!$B$176*H7,0)</f>
        <v>0</v>
      </c>
      <c r="I75" s="55">
        <f>IF(I2&gt;=Assumptions!$B$47,I71*Assumptions!$B$176*I7,0)</f>
        <v>0</v>
      </c>
      <c r="J75" s="55">
        <f>IF(J2&gt;=Assumptions!$B$47,J71*Assumptions!$B$176*J7,0)</f>
        <v>0</v>
      </c>
      <c r="K75" s="55">
        <f>IF(K2&gt;=Assumptions!$B$47,K71*Assumptions!$B$176*K7,0)</f>
        <v>0</v>
      </c>
      <c r="L75" s="55">
        <f>IF(L2&gt;=Assumptions!$B$47,L71*Assumptions!$B$176*L7,0)</f>
        <v>0</v>
      </c>
      <c r="M75" s="55">
        <f>IF(M2&gt;=Assumptions!$B$47,M71*Assumptions!$B$176*M7,0)</f>
        <v>0</v>
      </c>
      <c r="N75" s="55">
        <f>IF(N2&gt;=Assumptions!$B$47,N71*Assumptions!$B$176*N7,0)</f>
        <v>0</v>
      </c>
      <c r="O75" s="55">
        <f>IF(O2&gt;=Assumptions!$B$47,O71*Assumptions!$B$176*O7,0)</f>
        <v>1837.2883926290135</v>
      </c>
      <c r="P75" s="55">
        <f>IF(P2&gt;=Assumptions!$B$47,P71*Assumptions!$B$176*P7,0)</f>
        <v>3544.0399945881295</v>
      </c>
      <c r="Q75" s="55">
        <f>IF(Q2&gt;=Assumptions!$B$47,Q71*Assumptions!$B$176*Q7,0)</f>
        <v>5136.9049461159484</v>
      </c>
      <c r="R75" s="55">
        <f>IF(R2&gt;=Assumptions!$B$47,R71*Assumptions!$B$176*R7,0)</f>
        <v>7144.409151559782</v>
      </c>
      <c r="S75" s="55">
        <f>IF(S2&gt;=Assumptions!$B$47,S71*Assumptions!$B$176*S7,0)</f>
        <v>8895.9691067871645</v>
      </c>
      <c r="T75" s="55">
        <f>IF(T2&gt;=Assumptions!$B$47,T71*Assumptions!$B$176*T7,0)</f>
        <v>10281.506118014968</v>
      </c>
      <c r="U75" s="55">
        <f>IF(U2&gt;=Assumptions!$B$47,U71*Assumptions!$B$176*U7,0)</f>
        <v>11569.357202794632</v>
      </c>
      <c r="V75" s="55">
        <f>IF(V2&gt;=Assumptions!$B$47,V71*Assumptions!$B$176*V7,0)</f>
        <v>12823.688329131719</v>
      </c>
      <c r="W75" s="55">
        <f>IF(W2&gt;=Assumptions!$B$47,W71*Assumptions!$B$176*W7,0)</f>
        <v>14218.703466354737</v>
      </c>
      <c r="X75" s="55">
        <f>IF(X2&gt;=Assumptions!$B$47,X71*Assumptions!$B$176*X7,0)</f>
        <v>16286.000012503875</v>
      </c>
      <c r="Y75" s="55">
        <f>IF(Y2&gt;=Assumptions!$B$47,Y71*Assumptions!$B$176*Y7,0)</f>
        <v>18094.65794366163</v>
      </c>
      <c r="Z75" s="55">
        <f>IF(Z2&gt;=Assumptions!$B$47,Z71*Assumptions!$B$176*Z7,0)</f>
        <v>19546.095075862966</v>
      </c>
      <c r="AA75" s="55">
        <f>IF(AA2&gt;=Assumptions!$B$47,AA71*Assumptions!$B$176*AA7,0)</f>
        <v>514255.98592322657</v>
      </c>
      <c r="AB75" s="55">
        <f>IF(AB2&gt;=Assumptions!$B$47,AB71*Assumptions!$B$176*AB7,0)</f>
        <v>896177.60982744</v>
      </c>
      <c r="AC75" s="55">
        <f>IF(AC2&gt;=Assumptions!$B$47,AC71*Assumptions!$B$176*AC7,0)</f>
        <v>1369099.9696380829</v>
      </c>
      <c r="AD75" s="55">
        <f>IF(AD2&gt;=Assumptions!$B$47,AD71*Assumptions!$B$176*AD7,0)</f>
        <v>1821449.8345439015</v>
      </c>
      <c r="AE75" s="55">
        <f>IF(AE2&gt;=Assumptions!$B$47,AE71*Assumptions!$B$176*AE7,0)</f>
        <v>2135191.134272892</v>
      </c>
    </row>
    <row r="76" spans="1:31" x14ac:dyDescent="0.25">
      <c r="A76" s="6" t="s">
        <v>467</v>
      </c>
      <c r="B76" s="23" t="s">
        <v>114</v>
      </c>
      <c r="C76" s="55">
        <f>IF(C2&gt;=Assumptions!$B$48,C71*Assumptions!$B$36*Assumptions!$B$139*Assumptions!$B$141*Assumptions!$B$33*Assumptions!$B$140/12*C7,0)</f>
        <v>0</v>
      </c>
      <c r="D76" s="55">
        <f>IF(D2&gt;=Assumptions!$B$48,D71*Assumptions!$B$36*Assumptions!$B$139*Assumptions!$B$141*Assumptions!$B$33*Assumptions!$B$140/12*D7,0)</f>
        <v>0</v>
      </c>
      <c r="E76" s="55">
        <f>IF(E2&gt;=Assumptions!$B$48,E71*Assumptions!$B$36*Assumptions!$B$139*Assumptions!$B$141*Assumptions!$B$33*Assumptions!$B$140/12*E7,0)</f>
        <v>0</v>
      </c>
      <c r="F76" s="55">
        <f>IF(F2&gt;=Assumptions!$B$48,F71*Assumptions!$B$36*Assumptions!$B$139*Assumptions!$B$141*Assumptions!$B$33*Assumptions!$B$140/12*F7,0)</f>
        <v>0</v>
      </c>
      <c r="G76" s="55">
        <f>IF(G2&gt;=Assumptions!$B$48,G71*Assumptions!$B$36*Assumptions!$B$139*Assumptions!$B$141*Assumptions!$B$33*Assumptions!$B$140/12*G7,0)</f>
        <v>0</v>
      </c>
      <c r="H76" s="55">
        <f>IF(H2&gt;=Assumptions!$B$48,H71*Assumptions!$B$36*Assumptions!$B$139*Assumptions!$B$141*Assumptions!$B$33*Assumptions!$B$140/12*H7,0)</f>
        <v>0</v>
      </c>
      <c r="I76" s="55">
        <f>IF(I2&gt;=Assumptions!$B$48,I71*Assumptions!$B$36*Assumptions!$B$139*Assumptions!$B$141*Assumptions!$B$33*Assumptions!$B$140/12*I7,0)</f>
        <v>0</v>
      </c>
      <c r="J76" s="55">
        <f>IF(J2&gt;=Assumptions!$B$48,J71*Assumptions!$B$36*Assumptions!$B$139*Assumptions!$B$141*Assumptions!$B$33*Assumptions!$B$140/12*J7,0)</f>
        <v>0</v>
      </c>
      <c r="K76" s="55">
        <f>IF(K2&gt;=Assumptions!$B$48,K71*Assumptions!$B$36*Assumptions!$B$139*Assumptions!$B$141*Assumptions!$B$33*Assumptions!$B$140/12*K7,0)</f>
        <v>0</v>
      </c>
      <c r="L76" s="55">
        <f>IF(L2&gt;=Assumptions!$B$48,L71*Assumptions!$B$36*Assumptions!$B$139*Assumptions!$B$141*Assumptions!$B$33*Assumptions!$B$140/12*L7,0)</f>
        <v>0</v>
      </c>
      <c r="M76" s="55">
        <f>IF(M2&gt;=Assumptions!$B$48,M71*Assumptions!$B$36*Assumptions!$B$139*Assumptions!$B$141*Assumptions!$B$33*Assumptions!$B$140/12*M7,0)</f>
        <v>0</v>
      </c>
      <c r="N76" s="55">
        <f>IF(N2&gt;=Assumptions!$B$48,N71*Assumptions!$B$36*Assumptions!$B$139*Assumptions!$B$141*Assumptions!$B$33*Assumptions!$B$140/12*N7,0)</f>
        <v>0</v>
      </c>
      <c r="O76" s="55">
        <f>IF(O2&gt;=Assumptions!$B$48,O71*Assumptions!$B$36*Assumptions!$B$139*Assumptions!$B$141*Assumptions!$B$33*Assumptions!$B$140/12*O7,0)</f>
        <v>145.15756050738841</v>
      </c>
      <c r="P76" s="55">
        <f>IF(P2&gt;=Assumptions!$B$48,P71*Assumptions!$B$36*Assumptions!$B$139*Assumptions!$B$141*Assumptions!$B$33*Assumptions!$B$140/12*P7,0)</f>
        <v>280.00187777755576</v>
      </c>
      <c r="Q76" s="55">
        <f>IF(Q2&gt;=Assumptions!$B$48,Q71*Assumptions!$B$36*Assumptions!$B$139*Assumptions!$B$141*Assumptions!$B$33*Assumptions!$B$140/12*Q7,0)</f>
        <v>405.84841962101967</v>
      </c>
      <c r="R76" s="55">
        <f>IF(R2&gt;=Assumptions!$B$48,R71*Assumptions!$B$36*Assumptions!$B$139*Assumptions!$B$141*Assumptions!$B$33*Assumptions!$B$140/12*R7,0)</f>
        <v>564.45412046778404</v>
      </c>
      <c r="S76" s="55">
        <f>IF(S2&gt;=Assumptions!$B$48,S71*Assumptions!$B$36*Assumptions!$B$139*Assumptions!$B$141*Assumptions!$B$33*Assumptions!$B$140/12*S7,0)</f>
        <v>702.83858487917826</v>
      </c>
      <c r="T76" s="55">
        <f>IF(T2&gt;=Assumptions!$B$48,T71*Assumptions!$B$36*Assumptions!$B$139*Assumptions!$B$141*Assumptions!$B$33*Assumptions!$B$140/12*T7,0)</f>
        <v>812.30489041368264</v>
      </c>
      <c r="U76" s="55">
        <f>IF(U2&gt;=Assumptions!$B$48,U71*Assumptions!$B$36*Assumptions!$B$139*Assumptions!$B$141*Assumptions!$B$33*Assumptions!$B$140/12*U7,0)</f>
        <v>914.05338156694779</v>
      </c>
      <c r="V76" s="55">
        <f>IF(V2&gt;=Assumptions!$B$48,V71*Assumptions!$B$36*Assumptions!$B$139*Assumptions!$B$141*Assumptions!$B$33*Assumptions!$B$140/12*V7,0)</f>
        <v>1013.1535811317208</v>
      </c>
      <c r="W76" s="55">
        <f>IF(W2&gt;=Assumptions!$B$48,W71*Assumptions!$B$36*Assumptions!$B$139*Assumptions!$B$141*Assumptions!$B$33*Assumptions!$B$140/12*W7,0)</f>
        <v>1123.368719377065</v>
      </c>
      <c r="X76" s="55">
        <f>IF(X2&gt;=Assumptions!$B$48,X71*Assumptions!$B$36*Assumptions!$B$139*Assumptions!$B$141*Assumptions!$B$33*Assumptions!$B$140/12*X7,0)</f>
        <v>1286.6983984237838</v>
      </c>
      <c r="Y76" s="55">
        <f>IF(Y2&gt;=Assumptions!$B$48,Y71*Assumptions!$B$36*Assumptions!$B$139*Assumptions!$B$141*Assumptions!$B$33*Assumptions!$B$140/12*Y7,0)</f>
        <v>1429.5939689463437</v>
      </c>
      <c r="Z76" s="55">
        <f>IF(Z2&gt;=Assumptions!$B$48,Z71*Assumptions!$B$36*Assumptions!$B$139*Assumptions!$B$141*Assumptions!$B$33*Assumptions!$B$140/12*Z7,0)</f>
        <v>1544.26680647443</v>
      </c>
      <c r="AA76" s="55">
        <f>IF(AA2&gt;=Assumptions!$B$48,AA71*Assumptions!$B$36*Assumptions!$B$139*Assumptions!$B$141*Assumptions!$B$33*Assumptions!$B$140/12*AA7,0)</f>
        <v>40629.519400665173</v>
      </c>
      <c r="AB76" s="55">
        <f>IF(AB2&gt;=Assumptions!$B$48,AB71*Assumptions!$B$36*Assumptions!$B$139*Assumptions!$B$141*Assumptions!$B$33*Assumptions!$B$140/12*AB7,0)</f>
        <v>70803.775904635884</v>
      </c>
      <c r="AC76" s="55">
        <f>IF(AC2&gt;=Assumptions!$B$48,AC71*Assumptions!$B$36*Assumptions!$B$139*Assumptions!$B$141*Assumptions!$B$33*Assumptions!$B$140/12*AC7,0)</f>
        <v>108167.67388326519</v>
      </c>
      <c r="AD76" s="55">
        <f>IF(AD2&gt;=Assumptions!$B$48,AD71*Assumptions!$B$36*Assumptions!$B$139*Assumptions!$B$141*Assumptions!$B$33*Assumptions!$B$140/12*AD7,0)</f>
        <v>143906.21288944606</v>
      </c>
      <c r="AE76" s="55">
        <f>IF(AE2&gt;=Assumptions!$B$48,AE71*Assumptions!$B$36*Assumptions!$B$139*Assumptions!$B$141*Assumptions!$B$33*Assumptions!$B$140/12*AE7,0)</f>
        <v>168693.78673021405</v>
      </c>
    </row>
    <row r="77" spans="1:31" x14ac:dyDescent="0.25">
      <c r="A77" s="6" t="s">
        <v>468</v>
      </c>
      <c r="B77" s="23" t="s">
        <v>47</v>
      </c>
      <c r="C77" s="54">
        <f>(C75+C76)*(1-Assumptions!$B$8)/C21/(1+Assumptions!$B$9)</f>
        <v>0</v>
      </c>
      <c r="D77" s="54">
        <f>(D75+D76)*(1-Assumptions!$B$8)/D21/(1+Assumptions!$B$9)</f>
        <v>0</v>
      </c>
      <c r="E77" s="54">
        <f>(E75+E76)*(1-Assumptions!$B$8)/E21/(1+Assumptions!$B$9)</f>
        <v>0</v>
      </c>
      <c r="F77" s="54">
        <f>(F75+F76)*(1-Assumptions!$B$8)/F21/(1+Assumptions!$B$9)</f>
        <v>0</v>
      </c>
      <c r="G77" s="54">
        <f>(G75+G76)*(1-Assumptions!$B$8)/G21/(1+Assumptions!$B$9)</f>
        <v>0</v>
      </c>
      <c r="H77" s="54">
        <f>(H75+H76)*(1-Assumptions!$B$8)/H21/(1+Assumptions!$B$9)</f>
        <v>0</v>
      </c>
      <c r="I77" s="54">
        <f>(I75+I76)*(1-Assumptions!$B$8)/I21/(1+Assumptions!$B$9)</f>
        <v>0</v>
      </c>
      <c r="J77" s="54">
        <f>(J75+J76)*(1-Assumptions!$B$8)/J21/(1+Assumptions!$B$9)</f>
        <v>0</v>
      </c>
      <c r="K77" s="54">
        <f>(K75+K76)*(1-Assumptions!$B$8)/K21/(1+Assumptions!$B$9)</f>
        <v>0</v>
      </c>
      <c r="L77" s="54">
        <f>(L75+L76)*(1-Assumptions!$B$8)/L21/(1+Assumptions!$B$9)</f>
        <v>0</v>
      </c>
      <c r="M77" s="54">
        <f>(M75+M76)*(1-Assumptions!$B$8)/M21/(1+Assumptions!$B$9)</f>
        <v>0</v>
      </c>
      <c r="N77" s="54">
        <f>(N75+N76)*(1-Assumptions!$B$8)/N21/(1+Assumptions!$B$9)</f>
        <v>0</v>
      </c>
      <c r="O77" s="54">
        <f>(O75+O76)*(1-Assumptions!$B$8)/O21/(1+Assumptions!$B$9)</f>
        <v>12.133876531074707</v>
      </c>
      <c r="P77" s="54">
        <f>(P75+P76)*(1-Assumptions!$B$8)/P21/(1+Assumptions!$B$9)</f>
        <v>23.405657972937636</v>
      </c>
      <c r="Q77" s="54">
        <f>(Q75+Q76)*(1-Assumptions!$B$8)/Q21/(1+Assumptions!$B$9)</f>
        <v>33.925305694033042</v>
      </c>
      <c r="R77" s="54">
        <f>(R75+R76)*(1-Assumptions!$B$8)/R21/(1+Assumptions!$B$9)</f>
        <v>47.183326733186945</v>
      </c>
      <c r="S77" s="54">
        <f>(S75+S76)*(1-Assumptions!$B$8)/S21/(1+Assumptions!$B$9)</f>
        <v>58.751032880337938</v>
      </c>
      <c r="T77" s="54">
        <f>(T75+T76)*(1-Assumptions!$B$8)/T21/(1+Assumptions!$B$9)</f>
        <v>67.901439039175031</v>
      </c>
      <c r="U77" s="54">
        <f>(U75+U76)*(1-Assumptions!$B$8)/U21/(1+Assumptions!$B$9)</f>
        <v>76.406704797027345</v>
      </c>
      <c r="V77" s="54">
        <f>(V75+V76)*(1-Assumptions!$B$8)/V21/(1+Assumptions!$B$9)</f>
        <v>84.690597014013278</v>
      </c>
      <c r="W77" s="54">
        <f>(W75+W76)*(1-Assumptions!$B$8)/W21/(1+Assumptions!$B$9)</f>
        <v>93.903598904164696</v>
      </c>
      <c r="X77" s="54">
        <f>(X75+X76)*(1-Assumptions!$B$8)/X21/(1+Assumptions!$B$9)</f>
        <v>107.55650235945575</v>
      </c>
      <c r="Y77" s="54">
        <f>(Y75+Y76)*(1-Assumptions!$B$8)/Y21/(1+Assumptions!$B$9)</f>
        <v>119.50129671599888</v>
      </c>
      <c r="Z77" s="54">
        <f>(Z75+Z76)*(1-Assumptions!$B$8)/Z21/(1+Assumptions!$B$9)</f>
        <v>129.08692248134071</v>
      </c>
      <c r="AA77" s="54">
        <f>(AA75+AA76)*(1-Assumptions!$B$8)/AA21/(1+Assumptions!$B$9)</f>
        <v>3141.7809477541587</v>
      </c>
      <c r="AB77" s="54">
        <f>(AB75+AB76)*(1-Assumptions!$B$8)/AB21/(1+Assumptions!$B$9)</f>
        <v>5064.8307994382776</v>
      </c>
      <c r="AC77" s="54">
        <f>(AC75+AC76)*(1-Assumptions!$B$8)/AC21/(1+Assumptions!$B$9)</f>
        <v>7157.8125214341499</v>
      </c>
      <c r="AD77" s="54">
        <f>(AD75+AD76)*(1-Assumptions!$B$8)/AD21/(1+Assumptions!$B$9)</f>
        <v>8809.2042355971098</v>
      </c>
      <c r="AE77" s="54">
        <f>(AE75+AE76)*(1-Assumptions!$B$8)/AE21/(1+Assumptions!$B$9)</f>
        <v>9552.7965363317307</v>
      </c>
    </row>
    <row r="78" spans="1:31" x14ac:dyDescent="0.25">
      <c r="A78" s="6" t="s">
        <v>469</v>
      </c>
      <c r="B78" s="23" t="s">
        <v>470</v>
      </c>
      <c r="C78" s="56">
        <f>(Assumptions!$B$136+Assumptions!$B$137*IF(C71+C73=0,1,(C71+C73*Assumptions!$B$138)/(C71+C73)))*C7/12</f>
        <v>0.01</v>
      </c>
      <c r="D78" s="56">
        <f>(Assumptions!$B$136+Assumptions!$B$137*IF(D71+D73=0,1,(D71+D73*Assumptions!$B$138)/(D71+D73)))*D7/12</f>
        <v>0.01</v>
      </c>
      <c r="E78" s="56">
        <f>(Assumptions!$B$136+Assumptions!$B$137*IF(E71+E73=0,1,(E71+E73*Assumptions!$B$138)/(E71+E73)))*E7/12</f>
        <v>0.01</v>
      </c>
      <c r="F78" s="56">
        <f>(Assumptions!$B$136+Assumptions!$B$137*IF(F71+F73=0,1,(F71+F73*Assumptions!$B$138)/(F71+F73)))*F7/12</f>
        <v>0.01</v>
      </c>
      <c r="G78" s="56">
        <f>(Assumptions!$B$136+Assumptions!$B$137*IF(G71+G73=0,1,(G71+G73*Assumptions!$B$138)/(G71+G73)))*G7/12</f>
        <v>0.01</v>
      </c>
      <c r="H78" s="56">
        <f>(Assumptions!$B$136+Assumptions!$B$137*IF(H71+H73=0,1,(H71+H73*Assumptions!$B$138)/(H71+H73)))*H7/12</f>
        <v>0.01</v>
      </c>
      <c r="I78" s="56">
        <f>(Assumptions!$B$136+Assumptions!$B$137*IF(I71+I73=0,1,(I71+I73*Assumptions!$B$138)/(I71+I73)))*I7/12</f>
        <v>0.01</v>
      </c>
      <c r="J78" s="56">
        <f>(Assumptions!$B$136+Assumptions!$B$137*IF(J71+J73=0,1,(J71+J73*Assumptions!$B$138)/(J71+J73)))*J7/12</f>
        <v>0.01</v>
      </c>
      <c r="K78" s="56">
        <f>(Assumptions!$B$136+Assumptions!$B$137*IF(K71+K73=0,1,(K71+K73*Assumptions!$B$138)/(K71+K73)))*K7/12</f>
        <v>0.01</v>
      </c>
      <c r="L78" s="56">
        <f>(Assumptions!$B$136+Assumptions!$B$137*IF(L71+L73=0,1,(L71+L73*Assumptions!$B$138)/(L71+L73)))*L7/12</f>
        <v>0.01</v>
      </c>
      <c r="M78" s="56">
        <f>(Assumptions!$B$136+Assumptions!$B$137*IF(M71+M73=0,1,(M71+M73*Assumptions!$B$138)/(M71+M73)))*M7/12</f>
        <v>0.01</v>
      </c>
      <c r="N78" s="56">
        <f>(Assumptions!$B$136+Assumptions!$B$137*IF(N71+N73=0,1,(N71+N73*Assumptions!$B$138)/(N71+N73)))*N7/12</f>
        <v>0.01</v>
      </c>
      <c r="O78" s="56">
        <f>(Assumptions!$B$136+Assumptions!$B$137*IF(O71+O73=0,1,(O71+O73*Assumptions!$B$138)/(O71+O73)))*O7/12</f>
        <v>1.0073806552706356E-2</v>
      </c>
      <c r="P78" s="56">
        <f>(Assumptions!$B$136+Assumptions!$B$137*IF(P71+P73=0,1,(P71+P73*Assumptions!$B$138)/(P71+P73)))*P7/12</f>
        <v>1.0145718937096704E-2</v>
      </c>
      <c r="Q78" s="56">
        <f>(Assumptions!$B$136+Assumptions!$B$137*IF(Q71+Q73=0,1,(Q71+Q73*Assumptions!$B$138)/(Q71+Q73)))*Q7/12</f>
        <v>1.0215566347248912E-2</v>
      </c>
      <c r="R78" s="56">
        <f>(Assumptions!$B$136+Assumptions!$B$137*IF(R71+R73=0,1,(R71+R73*Assumptions!$B$138)/(R71+R73)))*R7/12</f>
        <v>1.0269193541449647E-2</v>
      </c>
      <c r="S78" s="56">
        <f>(Assumptions!$B$136+Assumptions!$B$137*IF(S71+S73=0,1,(S71+S73*Assumptions!$B$138)/(S71+S73)))*S7/12</f>
        <v>1.0331313097797589E-2</v>
      </c>
      <c r="T78" s="56">
        <f>(Assumptions!$B$136+Assumptions!$B$137*IF(T71+T73=0,1,(T71+T73*Assumptions!$B$138)/(T71+T73)))*T7/12</f>
        <v>1.0400183556548752E-2</v>
      </c>
      <c r="U78" s="56">
        <f>(Assumptions!$B$136+Assumptions!$B$137*IF(U71+U73=0,1,(U71+U73*Assumptions!$B$138)/(U71+U73)))*U7/12</f>
        <v>1.0465958001010439E-2</v>
      </c>
      <c r="V78" s="56">
        <f>(Assumptions!$B$136+Assumptions!$B$137*IF(V71+V73=0,1,(V71+V73*Assumptions!$B$138)/(V71+V73)))*V7/12</f>
        <v>1.052742890055689E-2</v>
      </c>
      <c r="W78" s="56">
        <f>(Assumptions!$B$136+Assumptions!$B$137*IF(W71+W73=0,1,(W71+W73*Assumptions!$B$138)/(W71+W73)))*W7/12</f>
        <v>1.0580244673267391E-2</v>
      </c>
      <c r="X78" s="56">
        <f>(Assumptions!$B$136+Assumptions!$B$137*IF(X71+X73=0,1,(X71+X73*Assumptions!$B$138)/(X71+X73)))*X7/12</f>
        <v>1.0611575085883606E-2</v>
      </c>
      <c r="Y78" s="56">
        <f>(Assumptions!$B$136+Assumptions!$B$137*IF(Y71+Y73=0,1,(Y71+Y73*Assumptions!$B$138)/(Y71+Y73)))*Y7/12</f>
        <v>1.0652268635177459E-2</v>
      </c>
      <c r="Z78" s="56">
        <f>(Assumptions!$B$136+Assumptions!$B$137*IF(Z71+Z73=0,1,(Z71+Z73*Assumptions!$B$138)/(Z71+Z73)))*Z7/12</f>
        <v>1.0701495582053508E-2</v>
      </c>
      <c r="AA78" s="56">
        <f>(Assumptions!$B$136+Assumptions!$B$137*IF(AA71+AA73=0,1,(AA71+AA73*Assumptions!$B$138)/(AA71+AA73)))*AA7/12</f>
        <v>0.13357635435522347</v>
      </c>
      <c r="AB78" s="56">
        <f>(Assumptions!$B$136+Assumptions!$B$137*IF(AB71+AB73=0,1,(AB71+AB73*Assumptions!$B$138)/(AB71+AB73)))*AB7/12</f>
        <v>0.13647820386049486</v>
      </c>
      <c r="AC78" s="56">
        <f>(Assumptions!$B$136+Assumptions!$B$137*IF(AC71+AC73=0,1,(AC71+AC73*Assumptions!$B$138)/(AC71+AC73)))*AC7/12</f>
        <v>0.13860911593452568</v>
      </c>
      <c r="AD78" s="56">
        <f>(Assumptions!$B$136+Assumptions!$B$137*IF(AD71+AD73=0,1,(AD71+AD73*Assumptions!$B$138)/(AD71+AD73)))*AD7/12</f>
        <v>0.14066074371012521</v>
      </c>
      <c r="AE78" s="56">
        <f>(Assumptions!$B$136+Assumptions!$B$137*IF(AE71+AE73=0,1,(AE71+AE73*Assumptions!$B$138)/(AE71+AE73)))*AE7/12</f>
        <v>0.14275408691100033</v>
      </c>
    </row>
    <row r="79" spans="1:31" x14ac:dyDescent="0.25">
      <c r="A79" s="6" t="s">
        <v>471</v>
      </c>
      <c r="B79" s="23" t="s">
        <v>470</v>
      </c>
      <c r="C79" s="56">
        <f>Assumptions!$B$137*IF(C71+C73=0,1,(C71+C73*Assumptions!$B$138)/(C71+C73))*C7/12</f>
        <v>5.0000000000000001E-3</v>
      </c>
      <c r="D79" s="56">
        <f>Assumptions!$B$137*IF(D71+D73=0,1,(D71+D73*Assumptions!$B$138)/(D71+D73))*D7/12</f>
        <v>5.0000000000000001E-3</v>
      </c>
      <c r="E79" s="56">
        <f>Assumptions!$B$137*IF(E71+E73=0,1,(E71+E73*Assumptions!$B$138)/(E71+E73))*E7/12</f>
        <v>5.0000000000000001E-3</v>
      </c>
      <c r="F79" s="56">
        <f>Assumptions!$B$137*IF(F71+F73=0,1,(F71+F73*Assumptions!$B$138)/(F71+F73))*F7/12</f>
        <v>5.0000000000000001E-3</v>
      </c>
      <c r="G79" s="56">
        <f>Assumptions!$B$137*IF(G71+G73=0,1,(G71+G73*Assumptions!$B$138)/(G71+G73))*G7/12</f>
        <v>5.0000000000000001E-3</v>
      </c>
      <c r="H79" s="56">
        <f>Assumptions!$B$137*IF(H71+H73=0,1,(H71+H73*Assumptions!$B$138)/(H71+H73))*H7/12</f>
        <v>5.0000000000000001E-3</v>
      </c>
      <c r="I79" s="56">
        <f>Assumptions!$B$137*IF(I71+I73=0,1,(I71+I73*Assumptions!$B$138)/(I71+I73))*I7/12</f>
        <v>5.0000000000000001E-3</v>
      </c>
      <c r="J79" s="56">
        <f>Assumptions!$B$137*IF(J71+J73=0,1,(J71+J73*Assumptions!$B$138)/(J71+J73))*J7/12</f>
        <v>5.0000000000000001E-3</v>
      </c>
      <c r="K79" s="56">
        <f>Assumptions!$B$137*IF(K71+K73=0,1,(K71+K73*Assumptions!$B$138)/(K71+K73))*K7/12</f>
        <v>5.0000000000000001E-3</v>
      </c>
      <c r="L79" s="56">
        <f>Assumptions!$B$137*IF(L71+L73=0,1,(L71+L73*Assumptions!$B$138)/(L71+L73))*L7/12</f>
        <v>5.0000000000000001E-3</v>
      </c>
      <c r="M79" s="56">
        <f>Assumptions!$B$137*IF(M71+M73=0,1,(M71+M73*Assumptions!$B$138)/(M71+M73))*M7/12</f>
        <v>5.0000000000000001E-3</v>
      </c>
      <c r="N79" s="56">
        <f>Assumptions!$B$137*IF(N71+N73=0,1,(N71+N73*Assumptions!$B$138)/(N71+N73))*N7/12</f>
        <v>5.0000000000000001E-3</v>
      </c>
      <c r="O79" s="56">
        <f>Assumptions!$B$137*IF(O71+O73=0,1,(O71+O73*Assumptions!$B$138)/(O71+O73))*O7/12</f>
        <v>5.0738065527063548E-3</v>
      </c>
      <c r="P79" s="56">
        <f>Assumptions!$B$137*IF(P71+P73=0,1,(P71+P73*Assumptions!$B$138)/(P71+P73))*P7/12</f>
        <v>5.1457189370967037E-3</v>
      </c>
      <c r="Q79" s="56">
        <f>Assumptions!$B$137*IF(Q71+Q73=0,1,(Q71+Q73*Assumptions!$B$138)/(Q71+Q73))*Q7/12</f>
        <v>5.2155663472489124E-3</v>
      </c>
      <c r="R79" s="56">
        <f>Assumptions!$B$137*IF(R71+R73=0,1,(R71+R73*Assumptions!$B$138)/(R71+R73))*R7/12</f>
        <v>5.2691935414496465E-3</v>
      </c>
      <c r="S79" s="56">
        <f>Assumptions!$B$137*IF(S71+S73=0,1,(S71+S73*Assumptions!$B$138)/(S71+S73))*S7/12</f>
        <v>5.3313130977975893E-3</v>
      </c>
      <c r="T79" s="56">
        <f>Assumptions!$B$137*IF(T71+T73=0,1,(T71+T73*Assumptions!$B$138)/(T71+T73))*T7/12</f>
        <v>5.4001835565487518E-3</v>
      </c>
      <c r="U79" s="56">
        <f>Assumptions!$B$137*IF(U71+U73=0,1,(U71+U73*Assumptions!$B$138)/(U71+U73))*U7/12</f>
        <v>5.4659580010104382E-3</v>
      </c>
      <c r="V79" s="56">
        <f>Assumptions!$B$137*IF(V71+V73=0,1,(V71+V73*Assumptions!$B$138)/(V71+V73))*V7/12</f>
        <v>5.5274289005568904E-3</v>
      </c>
      <c r="W79" s="56">
        <f>Assumptions!$B$137*IF(W71+W73=0,1,(W71+W73*Assumptions!$B$138)/(W71+W73))*W7/12</f>
        <v>5.5802446732673913E-3</v>
      </c>
      <c r="X79" s="56">
        <f>Assumptions!$B$137*IF(X71+X73=0,1,(X71+X73*Assumptions!$B$138)/(X71+X73))*X7/12</f>
        <v>5.6115750858836064E-3</v>
      </c>
      <c r="Y79" s="56">
        <f>Assumptions!$B$137*IF(Y71+Y73=0,1,(Y71+Y73*Assumptions!$B$138)/(Y71+Y73))*Y7/12</f>
        <v>5.6522686351774577E-3</v>
      </c>
      <c r="Z79" s="56">
        <f>Assumptions!$B$137*IF(Z71+Z73=0,1,(Z71+Z73*Assumptions!$B$138)/(Z71+Z73))*Z7/12</f>
        <v>5.701495582053507E-3</v>
      </c>
      <c r="AA79" s="56">
        <f>Assumptions!$B$137*IF(AA71+AA73=0,1,(AA71+AA73*Assumptions!$B$138)/(AA71+AA73))*AA7/12</f>
        <v>7.3576354355223458E-2</v>
      </c>
      <c r="AB79" s="56">
        <f>Assumptions!$B$137*IF(AB71+AB73=0,1,(AB71+AB73*Assumptions!$B$138)/(AB71+AB73))*AB7/12</f>
        <v>7.6478203860494851E-2</v>
      </c>
      <c r="AC79" s="56">
        <f>Assumptions!$B$137*IF(AC71+AC73=0,1,(AC71+AC73*Assumptions!$B$138)/(AC71+AC73))*AC7/12</f>
        <v>7.8609115934525672E-2</v>
      </c>
      <c r="AD79" s="56">
        <f>Assumptions!$B$137*IF(AD71+AD73=0,1,(AD71+AD73*Assumptions!$B$138)/(AD71+AD73))*AD7/12</f>
        <v>8.0660743710125216E-2</v>
      </c>
      <c r="AE79" s="56">
        <f>Assumptions!$B$137*IF(AE71+AE73=0,1,(AE71+AE73*Assumptions!$B$138)/(AE71+AE73))*AE7/12</f>
        <v>8.2754086911000321E-2</v>
      </c>
    </row>
    <row r="80" spans="1:31" x14ac:dyDescent="0.25">
      <c r="A80" s="6" t="s">
        <v>472</v>
      </c>
      <c r="B80" s="23" t="s">
        <v>47</v>
      </c>
      <c r="C80" s="45">
        <f>C77</f>
        <v>0</v>
      </c>
      <c r="D80" s="45">
        <f t="shared" ref="D80:AE80" si="17">C80*(1-D78)+D77</f>
        <v>0</v>
      </c>
      <c r="E80" s="45">
        <f t="shared" si="17"/>
        <v>0</v>
      </c>
      <c r="F80" s="45">
        <f t="shared" si="17"/>
        <v>0</v>
      </c>
      <c r="G80" s="45">
        <f t="shared" si="17"/>
        <v>0</v>
      </c>
      <c r="H80" s="45">
        <f t="shared" si="17"/>
        <v>0</v>
      </c>
      <c r="I80" s="45">
        <f t="shared" si="17"/>
        <v>0</v>
      </c>
      <c r="J80" s="45">
        <f t="shared" si="17"/>
        <v>0</v>
      </c>
      <c r="K80" s="45">
        <f t="shared" si="17"/>
        <v>0</v>
      </c>
      <c r="L80" s="45">
        <f t="shared" si="17"/>
        <v>0</v>
      </c>
      <c r="M80" s="45">
        <f t="shared" si="17"/>
        <v>0</v>
      </c>
      <c r="N80" s="45">
        <f t="shared" si="17"/>
        <v>0</v>
      </c>
      <c r="O80" s="45">
        <f t="shared" si="17"/>
        <v>12.133876531074707</v>
      </c>
      <c r="P80" s="45">
        <f t="shared" si="17"/>
        <v>35.416427603110627</v>
      </c>
      <c r="Q80" s="45">
        <f t="shared" si="17"/>
        <v>68.979934431181562</v>
      </c>
      <c r="R80" s="45">
        <f t="shared" si="17"/>
        <v>115.45489286721821</v>
      </c>
      <c r="S80" s="45">
        <f t="shared" si="17"/>
        <v>173.01312510067223</v>
      </c>
      <c r="T80" s="45">
        <f t="shared" si="17"/>
        <v>239.11519588110815</v>
      </c>
      <c r="U80" s="45">
        <f t="shared" si="17"/>
        <v>313.01933108064043</v>
      </c>
      <c r="V80" s="45">
        <f t="shared" si="17"/>
        <v>394.41463934220241</v>
      </c>
      <c r="W80" s="45">
        <f t="shared" si="17"/>
        <v>484.14523485940811</v>
      </c>
      <c r="X80" s="45">
        <f t="shared" si="17"/>
        <v>586.5641937066805</v>
      </c>
      <c r="Y80" s="45">
        <f t="shared" si="17"/>
        <v>699.81725105953956</v>
      </c>
      <c r="Z80" s="45">
        <f t="shared" si="17"/>
        <v>821.41508232042179</v>
      </c>
      <c r="AA80" s="45">
        <f t="shared" si="17"/>
        <v>3853.4743979658228</v>
      </c>
      <c r="AB80" s="45">
        <f t="shared" si="17"/>
        <v>8392.3899329473243</v>
      </c>
      <c r="AC80" s="45">
        <f t="shared" si="17"/>
        <v>14386.940705197831</v>
      </c>
      <c r="AD80" s="45">
        <f t="shared" si="17"/>
        <v>21172.467161488341</v>
      </c>
      <c r="AE80" s="45">
        <f t="shared" si="17"/>
        <v>27702.807480528663</v>
      </c>
    </row>
    <row r="81" spans="1:31" x14ac:dyDescent="0.25">
      <c r="A81" s="6" t="s">
        <v>473</v>
      </c>
      <c r="B81" s="23" t="s">
        <v>47</v>
      </c>
      <c r="C81" s="45">
        <f>C77</f>
        <v>0</v>
      </c>
      <c r="D81" s="45">
        <f t="shared" ref="D81:AE81" si="18">C81*(1-D79)+D77</f>
        <v>0</v>
      </c>
      <c r="E81" s="45">
        <f t="shared" si="18"/>
        <v>0</v>
      </c>
      <c r="F81" s="45">
        <f t="shared" si="18"/>
        <v>0</v>
      </c>
      <c r="G81" s="45">
        <f t="shared" si="18"/>
        <v>0</v>
      </c>
      <c r="H81" s="45">
        <f t="shared" si="18"/>
        <v>0</v>
      </c>
      <c r="I81" s="45">
        <f t="shared" si="18"/>
        <v>0</v>
      </c>
      <c r="J81" s="45">
        <f t="shared" si="18"/>
        <v>0</v>
      </c>
      <c r="K81" s="45">
        <f t="shared" si="18"/>
        <v>0</v>
      </c>
      <c r="L81" s="45">
        <f t="shared" si="18"/>
        <v>0</v>
      </c>
      <c r="M81" s="45">
        <f t="shared" si="18"/>
        <v>0</v>
      </c>
      <c r="N81" s="45">
        <f t="shared" si="18"/>
        <v>0</v>
      </c>
      <c r="O81" s="45">
        <f t="shared" si="18"/>
        <v>12.133876531074707</v>
      </c>
      <c r="P81" s="45">
        <f t="shared" si="18"/>
        <v>35.477096985765996</v>
      </c>
      <c r="Q81" s="45">
        <f t="shared" si="18"/>
        <v>69.217369526661997</v>
      </c>
      <c r="R81" s="45">
        <f t="shared" si="18"/>
        <v>116.03597654338293</v>
      </c>
      <c r="S81" s="45">
        <f t="shared" si="18"/>
        <v>174.16838530215941</v>
      </c>
      <c r="T81" s="45">
        <f t="shared" si="18"/>
        <v>241.12928309095508</v>
      </c>
      <c r="U81" s="45">
        <f t="shared" si="18"/>
        <v>316.21798535379349</v>
      </c>
      <c r="V81" s="45">
        <f t="shared" si="18"/>
        <v>399.16070993668637</v>
      </c>
      <c r="W81" s="45">
        <f t="shared" si="18"/>
        <v>490.83689441544925</v>
      </c>
      <c r="X81" s="45">
        <f t="shared" si="18"/>
        <v>595.63902868697073</v>
      </c>
      <c r="Y81" s="45">
        <f t="shared" si="18"/>
        <v>711.77361360323471</v>
      </c>
      <c r="Z81" s="45">
        <f t="shared" si="18"/>
        <v>836.80236197119439</v>
      </c>
      <c r="AA81" s="45">
        <f t="shared" si="18"/>
        <v>3917.0144426156726</v>
      </c>
      <c r="AB81" s="45">
        <f t="shared" si="18"/>
        <v>8682.2790129870864</v>
      </c>
      <c r="AC81" s="45">
        <f t="shared" si="18"/>
        <v>15157.585256913435</v>
      </c>
      <c r="AD81" s="45">
        <f t="shared" si="18"/>
        <v>22744.167392838277</v>
      </c>
      <c r="AE81" s="45">
        <f t="shared" si="18"/>
        <v>30414.79112402473</v>
      </c>
    </row>
    <row r="82" spans="1:31" x14ac:dyDescent="0.25">
      <c r="A82" s="6" t="s">
        <v>474</v>
      </c>
      <c r="B82" s="23" t="s">
        <v>114</v>
      </c>
      <c r="C82" s="57">
        <f t="shared" ref="C82:AE82" si="19">C80*C21</f>
        <v>0</v>
      </c>
      <c r="D82" s="57">
        <f t="shared" si="19"/>
        <v>0</v>
      </c>
      <c r="E82" s="57">
        <f t="shared" si="19"/>
        <v>0</v>
      </c>
      <c r="F82" s="57">
        <f t="shared" si="19"/>
        <v>0</v>
      </c>
      <c r="G82" s="57">
        <f t="shared" si="19"/>
        <v>0</v>
      </c>
      <c r="H82" s="57">
        <f t="shared" si="19"/>
        <v>0</v>
      </c>
      <c r="I82" s="57">
        <f t="shared" si="19"/>
        <v>0</v>
      </c>
      <c r="J82" s="57">
        <f t="shared" si="19"/>
        <v>0</v>
      </c>
      <c r="K82" s="57">
        <f t="shared" si="19"/>
        <v>0</v>
      </c>
      <c r="L82" s="57">
        <f t="shared" si="19"/>
        <v>0</v>
      </c>
      <c r="M82" s="57">
        <f t="shared" si="19"/>
        <v>0</v>
      </c>
      <c r="N82" s="57">
        <f t="shared" si="19"/>
        <v>0</v>
      </c>
      <c r="O82" s="57">
        <f t="shared" si="19"/>
        <v>1855.4912861867801</v>
      </c>
      <c r="P82" s="57">
        <f t="shared" si="19"/>
        <v>5415.8184844836478</v>
      </c>
      <c r="Q82" s="57">
        <f t="shared" si="19"/>
        <v>10548.291548130375</v>
      </c>
      <c r="R82" s="57">
        <f t="shared" si="19"/>
        <v>17655.161325741421</v>
      </c>
      <c r="S82" s="57">
        <f t="shared" si="19"/>
        <v>26456.866047557123</v>
      </c>
      <c r="T82" s="57">
        <f t="shared" si="19"/>
        <v>36565.079693698222</v>
      </c>
      <c r="U82" s="57">
        <f t="shared" si="19"/>
        <v>47866.371455215456</v>
      </c>
      <c r="V82" s="57">
        <f t="shared" si="19"/>
        <v>60313.200366737139</v>
      </c>
      <c r="W82" s="57">
        <f t="shared" si="19"/>
        <v>74034.646901992033</v>
      </c>
      <c r="X82" s="57">
        <f t="shared" si="19"/>
        <v>89696.375879928528</v>
      </c>
      <c r="Y82" s="57">
        <f t="shared" si="19"/>
        <v>107014.83635000794</v>
      </c>
      <c r="Z82" s="57">
        <f t="shared" si="19"/>
        <v>125609.36512619567</v>
      </c>
      <c r="AA82" s="57">
        <f t="shared" si="19"/>
        <v>636997.19448269112</v>
      </c>
      <c r="AB82" s="57">
        <f t="shared" si="19"/>
        <v>1499672.3688026825</v>
      </c>
      <c r="AC82" s="57">
        <f t="shared" si="19"/>
        <v>2779104.5371767008</v>
      </c>
      <c r="AD82" s="57">
        <f t="shared" si="19"/>
        <v>4421133.1177882534</v>
      </c>
      <c r="AE82" s="57">
        <f t="shared" si="19"/>
        <v>6253333.6510230498</v>
      </c>
    </row>
    <row r="83" spans="1:31" x14ac:dyDescent="0.25">
      <c r="A83" s="6" t="s">
        <v>475</v>
      </c>
      <c r="B83" s="23" t="s">
        <v>190</v>
      </c>
      <c r="C83" s="54">
        <f>C71+C73*Assumptions!$B$179</f>
        <v>0</v>
      </c>
      <c r="D83" s="54">
        <f>D71+D73*Assumptions!$B$179</f>
        <v>0</v>
      </c>
      <c r="E83" s="54">
        <f>E71+E73*Assumptions!$B$179</f>
        <v>0</v>
      </c>
      <c r="F83" s="54">
        <f>F71+F73*Assumptions!$B$179</f>
        <v>0</v>
      </c>
      <c r="G83" s="54">
        <f>G71+G73*Assumptions!$B$179</f>
        <v>0</v>
      </c>
      <c r="H83" s="54">
        <f>H71+H73*Assumptions!$B$179</f>
        <v>0</v>
      </c>
      <c r="I83" s="54">
        <f>I71+I73*Assumptions!$B$179</f>
        <v>0</v>
      </c>
      <c r="J83" s="54">
        <f>J71+J73*Assumptions!$B$179</f>
        <v>0</v>
      </c>
      <c r="K83" s="54">
        <f>K71+K73*Assumptions!$B$179</f>
        <v>0</v>
      </c>
      <c r="L83" s="54">
        <f>L71+L73*Assumptions!$B$179</f>
        <v>0</v>
      </c>
      <c r="M83" s="54">
        <f>M71+M73*Assumptions!$B$179</f>
        <v>0</v>
      </c>
      <c r="N83" s="54">
        <f>N71+N73*Assumptions!$B$179</f>
        <v>0</v>
      </c>
      <c r="O83" s="54">
        <f>O71+O73*Assumptions!$B$179</f>
        <v>72.447299999999998</v>
      </c>
      <c r="P83" s="54">
        <f>P71+P73*Assumptions!$B$179</f>
        <v>143.26819352096169</v>
      </c>
      <c r="Q83" s="54">
        <f>Q71+Q73*Assumptions!$B$179</f>
        <v>212.86906976192301</v>
      </c>
      <c r="R83" s="54">
        <f>R71+R73*Assumptions!$B$179</f>
        <v>301.87232768618099</v>
      </c>
      <c r="S83" s="54">
        <f>S71+S73*Assumptions!$B$179</f>
        <v>384.63034873553107</v>
      </c>
      <c r="T83" s="54">
        <f>T71+T73*Assumptions!$B$179</f>
        <v>456.31207233495337</v>
      </c>
      <c r="U83" s="54">
        <f>U71+U73*Assumptions!$B$179</f>
        <v>526.79704267884404</v>
      </c>
      <c r="V83" s="54">
        <f>V71+V73*Assumptions!$B$179</f>
        <v>598.42822962797845</v>
      </c>
      <c r="W83" s="54">
        <f>W71+W73*Assumptions!$B$179</f>
        <v>678.01054619376077</v>
      </c>
      <c r="X83" s="54">
        <f>X71+X73*Assumptions!$B$179</f>
        <v>786.77534993466634</v>
      </c>
      <c r="Y83" s="54">
        <f>Y71+Y73*Assumptions!$B$179</f>
        <v>889.30325616848631</v>
      </c>
      <c r="Z83" s="54">
        <f>Z71+Z73*Assumptions!$B$179</f>
        <v>981.21136726571831</v>
      </c>
      <c r="AA83" s="54">
        <f>AA71+AA73*Assumptions!$B$179</f>
        <v>2646.1901015105423</v>
      </c>
      <c r="AB83" s="54">
        <f>AB71+AB73*Assumptions!$B$179</f>
        <v>5296.905473620227</v>
      </c>
      <c r="AC83" s="54">
        <f>AC71+AC73*Assumptions!$B$179</f>
        <v>9083.6712397731808</v>
      </c>
      <c r="AD83" s="54">
        <f>AD71+AD73*Assumptions!$B$179</f>
        <v>13701.269776680616</v>
      </c>
      <c r="AE83" s="54">
        <f>AE71+AE73*Assumptions!$B$179</f>
        <v>18599.563967041264</v>
      </c>
    </row>
    <row r="84" spans="1:31" x14ac:dyDescent="0.25">
      <c r="A84" s="6" t="s">
        <v>476</v>
      </c>
      <c r="B84" s="23" t="s">
        <v>190</v>
      </c>
      <c r="C84" s="45">
        <f>IF(C7&gt;1,C83*Assumptions!$B$134,IF(C2&gt;Assumptions!$B$135,INDEX($C$83:$AE$83,1,C2-Assumptions!$B$135)*Assumptions!$B$134,0))</f>
        <v>0</v>
      </c>
      <c r="D84" s="45">
        <f>IF(D7&gt;1,D83*Assumptions!$B$134,IF(D2&gt;Assumptions!$B$135,INDEX($C$83:$AE$83,1,D2-Assumptions!$B$135)*Assumptions!$B$134,0))</f>
        <v>0</v>
      </c>
      <c r="E84" s="45">
        <f>IF(E7&gt;1,E83*Assumptions!$B$134,IF(E2&gt;Assumptions!$B$135,INDEX($C$83:$AE$83,1,E2-Assumptions!$B$135)*Assumptions!$B$134,0))</f>
        <v>0</v>
      </c>
      <c r="F84" s="45">
        <f>IF(F7&gt;1,F83*Assumptions!$B$134,IF(F2&gt;Assumptions!$B$135,INDEX($C$83:$AE$83,1,F2-Assumptions!$B$135)*Assumptions!$B$134,0))</f>
        <v>0</v>
      </c>
      <c r="G84" s="45">
        <f>IF(G7&gt;1,G83*Assumptions!$B$134,IF(G2&gt;Assumptions!$B$135,INDEX($C$83:$AE$83,1,G2-Assumptions!$B$135)*Assumptions!$B$134,0))</f>
        <v>0</v>
      </c>
      <c r="H84" s="45">
        <f>IF(H7&gt;1,H83*Assumptions!$B$134,IF(H2&gt;Assumptions!$B$135,INDEX($C$83:$AE$83,1,H2-Assumptions!$B$135)*Assumptions!$B$134,0))</f>
        <v>0</v>
      </c>
      <c r="I84" s="45">
        <f>IF(I7&gt;1,I83*Assumptions!$B$134,IF(I2&gt;Assumptions!$B$135,INDEX($C$83:$AE$83,1,I2-Assumptions!$B$135)*Assumptions!$B$134,0))</f>
        <v>0</v>
      </c>
      <c r="J84" s="45">
        <f>IF(J7&gt;1,J83*Assumptions!$B$134,IF(J2&gt;Assumptions!$B$135,INDEX($C$83:$AE$83,1,J2-Assumptions!$B$135)*Assumptions!$B$134,0))</f>
        <v>0</v>
      </c>
      <c r="K84" s="45">
        <f>IF(K7&gt;1,K83*Assumptions!$B$134,IF(K2&gt;Assumptions!$B$135,INDEX($C$83:$AE$83,1,K2-Assumptions!$B$135)*Assumptions!$B$134,0))</f>
        <v>0</v>
      </c>
      <c r="L84" s="45">
        <f>IF(L7&gt;1,L83*Assumptions!$B$134,IF(L2&gt;Assumptions!$B$135,INDEX($C$83:$AE$83,1,L2-Assumptions!$B$135)*Assumptions!$B$134,0))</f>
        <v>0</v>
      </c>
      <c r="M84" s="45">
        <f>IF(M7&gt;1,M83*Assumptions!$B$134,IF(M2&gt;Assumptions!$B$135,INDEX($C$83:$AE$83,1,M2-Assumptions!$B$135)*Assumptions!$B$134,0))</f>
        <v>0</v>
      </c>
      <c r="N84" s="45">
        <f>IF(N7&gt;1,N83*Assumptions!$B$134,IF(N2&gt;Assumptions!$B$135,INDEX($C$83:$AE$83,1,N2-Assumptions!$B$135)*Assumptions!$B$134,0))</f>
        <v>0</v>
      </c>
      <c r="O84" s="45">
        <f>IF(O7&gt;1,O83*Assumptions!$B$134,IF(O2&gt;Assumptions!$B$135,INDEX($C$83:$AE$83,1,O2-Assumptions!$B$135)*Assumptions!$B$134,0))</f>
        <v>0</v>
      </c>
      <c r="P84" s="45">
        <f>IF(P7&gt;1,P83*Assumptions!$B$134,IF(P2&gt;Assumptions!$B$135,INDEX($C$83:$AE$83,1,P2-Assumptions!$B$135)*Assumptions!$B$134,0))</f>
        <v>0</v>
      </c>
      <c r="Q84" s="45">
        <f>IF(Q7&gt;1,Q83*Assumptions!$B$134,IF(Q2&gt;Assumptions!$B$135,INDEX($C$83:$AE$83,1,Q2-Assumptions!$B$135)*Assumptions!$B$134,0))</f>
        <v>0</v>
      </c>
      <c r="R84" s="45">
        <f>IF(R7&gt;1,R83*Assumptions!$B$134,IF(R2&gt;Assumptions!$B$135,INDEX($C$83:$AE$83,1,R2-Assumptions!$B$135)*Assumptions!$B$134,0))</f>
        <v>0</v>
      </c>
      <c r="S84" s="45">
        <f>IF(S7&gt;1,S83*Assumptions!$B$134,IF(S2&gt;Assumptions!$B$135,INDEX($C$83:$AE$83,1,S2-Assumptions!$B$135)*Assumptions!$B$134,0))</f>
        <v>0</v>
      </c>
      <c r="T84" s="45">
        <f>IF(T7&gt;1,T83*Assumptions!$B$134,IF(T2&gt;Assumptions!$B$135,INDEX($C$83:$AE$83,1,T2-Assumptions!$B$135)*Assumptions!$B$134,0))</f>
        <v>0</v>
      </c>
      <c r="U84" s="45">
        <f>IF(U7&gt;1,U83*Assumptions!$B$134,IF(U2&gt;Assumptions!$B$135,INDEX($C$83:$AE$83,1,U2-Assumptions!$B$135)*Assumptions!$B$134,0))</f>
        <v>0</v>
      </c>
      <c r="V84" s="45">
        <f>IF(V7&gt;1,V83*Assumptions!$B$134,IF(V2&gt;Assumptions!$B$135,INDEX($C$83:$AE$83,1,V2-Assumptions!$B$135)*Assumptions!$B$134,0))</f>
        <v>0</v>
      </c>
      <c r="W84" s="45">
        <f>IF(W7&gt;1,W83*Assumptions!$B$134,IF(W2&gt;Assumptions!$B$135,INDEX($C$83:$AE$83,1,W2-Assumptions!$B$135)*Assumptions!$B$134,0))</f>
        <v>39.846015000000001</v>
      </c>
      <c r="X84" s="45">
        <f>IF(X7&gt;1,X83*Assumptions!$B$134,IF(X2&gt;Assumptions!$B$135,INDEX($C$83:$AE$83,1,X2-Assumptions!$B$135)*Assumptions!$B$134,0))</f>
        <v>78.797506436528934</v>
      </c>
      <c r="Y84" s="45">
        <f>IF(Y7&gt;1,Y83*Assumptions!$B$134,IF(Y2&gt;Assumptions!$B$135,INDEX($C$83:$AE$83,1,Y2-Assumptions!$B$135)*Assumptions!$B$134,0))</f>
        <v>117.07798836905766</v>
      </c>
      <c r="Z84" s="45">
        <f>IF(Z7&gt;1,Z83*Assumptions!$B$134,IF(Z2&gt;Assumptions!$B$135,INDEX($C$83:$AE$83,1,Z2-Assumptions!$B$135)*Assumptions!$B$134,0))</f>
        <v>166.02978022739956</v>
      </c>
      <c r="AA84" s="45">
        <f>IF(AA7&gt;1,AA83*Assumptions!$B$134,IF(AA2&gt;Assumptions!$B$135,INDEX($C$83:$AE$83,1,AA2-Assumptions!$B$135)*Assumptions!$B$134,0))</f>
        <v>1455.4045558307985</v>
      </c>
      <c r="AB84" s="45">
        <f>IF(AB7&gt;1,AB83*Assumptions!$B$134,IF(AB2&gt;Assumptions!$B$135,INDEX($C$83:$AE$83,1,AB2-Assumptions!$B$135)*Assumptions!$B$134,0))</f>
        <v>2913.2980104911253</v>
      </c>
      <c r="AC84" s="45">
        <f>IF(AC7&gt;1,AC83*Assumptions!$B$134,IF(AC2&gt;Assumptions!$B$135,INDEX($C$83:$AE$83,1,AC2-Assumptions!$B$135)*Assumptions!$B$134,0))</f>
        <v>4996.0191818752501</v>
      </c>
      <c r="AD84" s="45">
        <f>IF(AD7&gt;1,AD83*Assumptions!$B$134,IF(AD2&gt;Assumptions!$B$135,INDEX($C$83:$AE$83,1,AD2-Assumptions!$B$135)*Assumptions!$B$134,0))</f>
        <v>7535.6983771743389</v>
      </c>
      <c r="AE84" s="45">
        <f>IF(AE7&gt;1,AE83*Assumptions!$B$134,IF(AE2&gt;Assumptions!$B$135,INDEX($C$83:$AE$83,1,AE2-Assumptions!$B$135)*Assumptions!$B$134,0))</f>
        <v>10229.760181872696</v>
      </c>
    </row>
    <row r="85" spans="1:31" x14ac:dyDescent="0.25">
      <c r="A85" s="6" t="s">
        <v>477</v>
      </c>
      <c r="B85" s="23" t="s">
        <v>478</v>
      </c>
      <c r="C85" s="28">
        <f>IF(C2&gt;=Assumptions!$B$51,C84*Assumptions!$B$143,0)</f>
        <v>0</v>
      </c>
      <c r="D85" s="28">
        <f>IF(D2&gt;=Assumptions!$B$51,D84*Assumptions!$B$143,0)</f>
        <v>0</v>
      </c>
      <c r="E85" s="28">
        <f>IF(E2&gt;=Assumptions!$B$51,E84*Assumptions!$B$143,0)</f>
        <v>0</v>
      </c>
      <c r="F85" s="28">
        <f>IF(F2&gt;=Assumptions!$B$51,F84*Assumptions!$B$143,0)</f>
        <v>0</v>
      </c>
      <c r="G85" s="28">
        <f>IF(G2&gt;=Assumptions!$B$51,G84*Assumptions!$B$143,0)</f>
        <v>0</v>
      </c>
      <c r="H85" s="28">
        <f>IF(H2&gt;=Assumptions!$B$51,H84*Assumptions!$B$143,0)</f>
        <v>0</v>
      </c>
      <c r="I85" s="28">
        <f>IF(I2&gt;=Assumptions!$B$51,I84*Assumptions!$B$143,0)</f>
        <v>0</v>
      </c>
      <c r="J85" s="28">
        <f>IF(J2&gt;=Assumptions!$B$51,J84*Assumptions!$B$143,0)</f>
        <v>0</v>
      </c>
      <c r="K85" s="28">
        <f>IF(K2&gt;=Assumptions!$B$51,K84*Assumptions!$B$143,0)</f>
        <v>0</v>
      </c>
      <c r="L85" s="28">
        <f>IF(L2&gt;=Assumptions!$B$51,L84*Assumptions!$B$143,0)</f>
        <v>0</v>
      </c>
      <c r="M85" s="28">
        <f>IF(M2&gt;=Assumptions!$B$51,M84*Assumptions!$B$143,0)</f>
        <v>0</v>
      </c>
      <c r="N85" s="28">
        <f>IF(N2&gt;=Assumptions!$B$51,N84*Assumptions!$B$143,0)</f>
        <v>0</v>
      </c>
      <c r="O85" s="28">
        <f>IF(O2&gt;=Assumptions!$B$51,O84*Assumptions!$B$143,0)</f>
        <v>0</v>
      </c>
      <c r="P85" s="28">
        <f>IF(P2&gt;=Assumptions!$B$51,P84*Assumptions!$B$143,0)</f>
        <v>0</v>
      </c>
      <c r="Q85" s="28">
        <f>IF(Q2&gt;=Assumptions!$B$51,Q84*Assumptions!$B$143,0)</f>
        <v>0</v>
      </c>
      <c r="R85" s="28">
        <f>IF(R2&gt;=Assumptions!$B$51,R84*Assumptions!$B$143,0)</f>
        <v>0</v>
      </c>
      <c r="S85" s="28">
        <f>IF(S2&gt;=Assumptions!$B$51,S84*Assumptions!$B$143,0)</f>
        <v>0</v>
      </c>
      <c r="T85" s="28">
        <f>IF(T2&gt;=Assumptions!$B$51,T84*Assumptions!$B$143,0)</f>
        <v>0</v>
      </c>
      <c r="U85" s="28">
        <f>IF(U2&gt;=Assumptions!$B$51,U84*Assumptions!$B$143,0)</f>
        <v>0</v>
      </c>
      <c r="V85" s="28">
        <f>IF(V2&gt;=Assumptions!$B$51,V84*Assumptions!$B$143,0)</f>
        <v>0</v>
      </c>
      <c r="W85" s="28">
        <f>IF(W2&gt;=Assumptions!$B$51,W84*Assumptions!$B$143,0)</f>
        <v>7.1722827000000002</v>
      </c>
      <c r="X85" s="28">
        <f>IF(X2&gt;=Assumptions!$B$51,X84*Assumptions!$B$143,0)</f>
        <v>14.183551158575208</v>
      </c>
      <c r="Y85" s="28">
        <f>IF(Y2&gt;=Assumptions!$B$51,Y84*Assumptions!$B$143,0)</f>
        <v>21.07403790643038</v>
      </c>
      <c r="Z85" s="28">
        <f>IF(Z2&gt;=Assumptions!$B$51,Z84*Assumptions!$B$143,0)</f>
        <v>29.885360440931919</v>
      </c>
      <c r="AA85" s="28">
        <f>IF(AA2&gt;=Assumptions!$B$51,AA84*Assumptions!$B$143,0)</f>
        <v>261.97282004954371</v>
      </c>
      <c r="AB85" s="28">
        <f>IF(AB2&gt;=Assumptions!$B$51,AB84*Assumptions!$B$143,0)</f>
        <v>524.3936418884025</v>
      </c>
      <c r="AC85" s="28">
        <f>IF(AC2&gt;=Assumptions!$B$51,AC84*Assumptions!$B$143,0)</f>
        <v>899.28345273754496</v>
      </c>
      <c r="AD85" s="28">
        <f>IF(AD2&gt;=Assumptions!$B$51,AD84*Assumptions!$B$143,0)</f>
        <v>1356.4257078913809</v>
      </c>
      <c r="AE85" s="28">
        <f>IF(AE2&gt;=Assumptions!$B$51,AE84*Assumptions!$B$143,0)</f>
        <v>1841.3568327370851</v>
      </c>
    </row>
    <row r="86" spans="1:31" x14ac:dyDescent="0.25">
      <c r="A86" s="6" t="s">
        <v>479</v>
      </c>
      <c r="B86" s="23" t="s">
        <v>478</v>
      </c>
      <c r="C86" s="28">
        <f t="shared" ref="C86:AE86" si="20">IF(C83=0,0,C85*C71/C83)</f>
        <v>0</v>
      </c>
      <c r="D86" s="28">
        <f t="shared" si="20"/>
        <v>0</v>
      </c>
      <c r="E86" s="28">
        <f t="shared" si="20"/>
        <v>0</v>
      </c>
      <c r="F86" s="28">
        <f t="shared" si="20"/>
        <v>0</v>
      </c>
      <c r="G86" s="28">
        <f t="shared" si="20"/>
        <v>0</v>
      </c>
      <c r="H86" s="28">
        <f t="shared" si="20"/>
        <v>0</v>
      </c>
      <c r="I86" s="28">
        <f t="shared" si="20"/>
        <v>0</v>
      </c>
      <c r="J86" s="28">
        <f t="shared" si="20"/>
        <v>0</v>
      </c>
      <c r="K86" s="28">
        <f t="shared" si="20"/>
        <v>0</v>
      </c>
      <c r="L86" s="28">
        <f t="shared" si="20"/>
        <v>0</v>
      </c>
      <c r="M86" s="28">
        <f t="shared" si="20"/>
        <v>0</v>
      </c>
      <c r="N86" s="28">
        <f t="shared" si="20"/>
        <v>0</v>
      </c>
      <c r="O86" s="28">
        <f t="shared" si="20"/>
        <v>0</v>
      </c>
      <c r="P86" s="28">
        <f t="shared" si="20"/>
        <v>0</v>
      </c>
      <c r="Q86" s="28">
        <f t="shared" si="20"/>
        <v>0</v>
      </c>
      <c r="R86" s="28">
        <f t="shared" si="20"/>
        <v>0</v>
      </c>
      <c r="S86" s="28">
        <f t="shared" si="20"/>
        <v>0</v>
      </c>
      <c r="T86" s="28">
        <f t="shared" si="20"/>
        <v>0</v>
      </c>
      <c r="U86" s="28">
        <f t="shared" si="20"/>
        <v>0</v>
      </c>
      <c r="V86" s="28">
        <f t="shared" si="20"/>
        <v>0</v>
      </c>
      <c r="W86" s="28">
        <f t="shared" si="20"/>
        <v>5.7850564227190482</v>
      </c>
      <c r="X86" s="28">
        <f t="shared" si="20"/>
        <v>11.292115652595154</v>
      </c>
      <c r="Y86" s="28">
        <f t="shared" si="20"/>
        <v>16.492059925461938</v>
      </c>
      <c r="Z86" s="28">
        <f t="shared" si="20"/>
        <v>22.897211001801796</v>
      </c>
      <c r="AA86" s="28">
        <f t="shared" si="20"/>
        <v>163.17738014871614</v>
      </c>
      <c r="AB86" s="28">
        <f t="shared" si="20"/>
        <v>284.36404927216847</v>
      </c>
      <c r="AC86" s="28">
        <f t="shared" si="20"/>
        <v>434.4259519043917</v>
      </c>
      <c r="AD86" s="28">
        <f t="shared" si="20"/>
        <v>577.9600436533533</v>
      </c>
      <c r="AE86" s="28">
        <f t="shared" si="20"/>
        <v>677.51257145197519</v>
      </c>
    </row>
    <row r="87" spans="1:31" x14ac:dyDescent="0.25">
      <c r="A87" s="6" t="s">
        <v>480</v>
      </c>
      <c r="B87" s="23" t="s">
        <v>114</v>
      </c>
      <c r="C87" s="55">
        <f>IF(C71=0,0,C82/C71*Assumptions!$B$31)</f>
        <v>0</v>
      </c>
      <c r="D87" s="55">
        <f>IF(D71=0,0,D82/D71*Assumptions!$B$31)</f>
        <v>0</v>
      </c>
      <c r="E87" s="55">
        <f>IF(E71=0,0,E82/E71*Assumptions!$B$31)</f>
        <v>0</v>
      </c>
      <c r="F87" s="55">
        <f>IF(F71=0,0,F82/F71*Assumptions!$B$31)</f>
        <v>0</v>
      </c>
      <c r="G87" s="55">
        <f>IF(G71=0,0,G82/G71*Assumptions!$B$31)</f>
        <v>0</v>
      </c>
      <c r="H87" s="55">
        <f>IF(H71=0,0,H82/H71*Assumptions!$B$31)</f>
        <v>0</v>
      </c>
      <c r="I87" s="55">
        <f>IF(I71=0,0,I82/I71*Assumptions!$B$31)</f>
        <v>0</v>
      </c>
      <c r="J87" s="55">
        <f>IF(J71=0,0,J82/J71*Assumptions!$B$31)</f>
        <v>0</v>
      </c>
      <c r="K87" s="55">
        <f>IF(K71=0,0,K82/K71*Assumptions!$B$31)</f>
        <v>0</v>
      </c>
      <c r="L87" s="55">
        <f>IF(L71=0,0,L82/L71*Assumptions!$B$31)</f>
        <v>0</v>
      </c>
      <c r="M87" s="55">
        <f>IF(M71=0,0,M82/M71*Assumptions!$B$31)</f>
        <v>0</v>
      </c>
      <c r="N87" s="55">
        <f>IF(N71=0,0,N82/N71*Assumptions!$B$31)</f>
        <v>0</v>
      </c>
      <c r="O87" s="55">
        <f>IF(O71=0,0,O82/O71*Assumptions!$B$31)</f>
        <v>13.128797208538588</v>
      </c>
      <c r="P87" s="55">
        <f>IF(P71=0,0,P82/P71*Assumptions!$B$31)</f>
        <v>19.865927135641599</v>
      </c>
      <c r="Q87" s="55">
        <f>IF(Q71=0,0,Q82/Q71*Assumptions!$B$31)</f>
        <v>26.694632578198316</v>
      </c>
      <c r="R87" s="55">
        <f>IF(R71=0,0,R82/R71*Assumptions!$B$31)</f>
        <v>32.12541336389306</v>
      </c>
      <c r="S87" s="55">
        <f>IF(S71=0,0,S82/S71*Assumptions!$B$31)</f>
        <v>38.662371068244234</v>
      </c>
      <c r="T87" s="55">
        <f>IF(T71=0,0,T82/T71*Assumptions!$B$31)</f>
        <v>46.233113180294552</v>
      </c>
      <c r="U87" s="55">
        <f>IF(U71=0,0,U82/U71*Assumptions!$B$31)</f>
        <v>53.785428006967443</v>
      </c>
      <c r="V87" s="55">
        <f>IF(V71=0,0,V82/V71*Assumptions!$B$31)</f>
        <v>61.142440820742529</v>
      </c>
      <c r="W87" s="55">
        <f>IF(W71=0,0,W82/W71*Assumptions!$B$31)</f>
        <v>67.689041550329264</v>
      </c>
      <c r="X87" s="55">
        <f>IF(X71=0,0,X82/X71*Assumptions!$B$31)</f>
        <v>71.598482472295984</v>
      </c>
      <c r="Y87" s="55">
        <f>IF(Y71=0,0,Y82/Y71*Assumptions!$B$31)</f>
        <v>76.884176361975591</v>
      </c>
      <c r="Z87" s="55">
        <f>IF(Z71=0,0,Z82/Z71*Assumptions!$B$31)</f>
        <v>83.54209576402819</v>
      </c>
      <c r="AA87" s="55">
        <f>IF(AA71=0,0,AA82/AA71*Assumptions!$B$31)</f>
        <v>193.2336522265295</v>
      </c>
      <c r="AB87" s="55">
        <f>IF(AB71=0,0,AB82/AB71*Assumptions!$B$31)</f>
        <v>261.05192427008478</v>
      </c>
      <c r="AC87" s="55">
        <f>IF(AC71=0,0,AC82/AC71*Assumptions!$B$31)</f>
        <v>316.66081178437997</v>
      </c>
      <c r="AD87" s="55">
        <f>IF(AD71=0,0,AD82/AD71*Assumptions!$B$31)</f>
        <v>378.65262786535675</v>
      </c>
      <c r="AE87" s="55">
        <f>IF(AE71=0,0,AE82/AE71*Assumptions!$B$31)</f>
        <v>456.87715441540314</v>
      </c>
    </row>
    <row r="88" spans="1:31" x14ac:dyDescent="0.25">
      <c r="A88" s="6" t="s">
        <v>481</v>
      </c>
      <c r="B88" s="23" t="s">
        <v>76</v>
      </c>
      <c r="C88" s="55">
        <f>C87*Assumptions!$B$156*Assumptions!$B$158</f>
        <v>0</v>
      </c>
      <c r="D88" s="55">
        <f>D87*Assumptions!$B$156*Assumptions!$B$158</f>
        <v>0</v>
      </c>
      <c r="E88" s="55">
        <f>E87*Assumptions!$B$156*Assumptions!$B$158</f>
        <v>0</v>
      </c>
      <c r="F88" s="55">
        <f>F87*Assumptions!$B$156*Assumptions!$B$158</f>
        <v>0</v>
      </c>
      <c r="G88" s="55">
        <f>G87*Assumptions!$B$156*Assumptions!$B$158</f>
        <v>0</v>
      </c>
      <c r="H88" s="55">
        <f>H87*Assumptions!$B$156*Assumptions!$B$158</f>
        <v>0</v>
      </c>
      <c r="I88" s="55">
        <f>I87*Assumptions!$B$156*Assumptions!$B$158</f>
        <v>0</v>
      </c>
      <c r="J88" s="55">
        <f>J87*Assumptions!$B$156*Assumptions!$B$158</f>
        <v>0</v>
      </c>
      <c r="K88" s="55">
        <f>K87*Assumptions!$B$156*Assumptions!$B$158</f>
        <v>0</v>
      </c>
      <c r="L88" s="55">
        <f>L87*Assumptions!$B$156*Assumptions!$B$158</f>
        <v>0</v>
      </c>
      <c r="M88" s="55">
        <f>M87*Assumptions!$B$156*Assumptions!$B$158</f>
        <v>0</v>
      </c>
      <c r="N88" s="55">
        <f>N87*Assumptions!$B$156*Assumptions!$B$158</f>
        <v>0</v>
      </c>
      <c r="O88" s="55">
        <f>O87*Assumptions!$B$156*Assumptions!$B$158</f>
        <v>13.785237068965518</v>
      </c>
      <c r="P88" s="55">
        <f>P87*Assumptions!$B$156*Assumptions!$B$158</f>
        <v>20.859223492423681</v>
      </c>
      <c r="Q88" s="55">
        <f>Q87*Assumptions!$B$156*Assumptions!$B$158</f>
        <v>28.029364207108234</v>
      </c>
      <c r="R88" s="55">
        <f>R87*Assumptions!$B$156*Assumptions!$B$158</f>
        <v>33.731684032087713</v>
      </c>
      <c r="S88" s="55">
        <f>S87*Assumptions!$B$156*Assumptions!$B$158</f>
        <v>40.595489621656448</v>
      </c>
      <c r="T88" s="55">
        <f>T87*Assumptions!$B$156*Assumptions!$B$158</f>
        <v>48.544768839309285</v>
      </c>
      <c r="U88" s="55">
        <f>U87*Assumptions!$B$156*Assumptions!$B$158</f>
        <v>56.474699407315818</v>
      </c>
      <c r="V88" s="55">
        <f>V87*Assumptions!$B$156*Assumptions!$B$158</f>
        <v>64.199562861779654</v>
      </c>
      <c r="W88" s="55">
        <f>W87*Assumptions!$B$156*Assumptions!$B$158</f>
        <v>71.073493627845735</v>
      </c>
      <c r="X88" s="55">
        <f>X87*Assumptions!$B$156*Assumptions!$B$158</f>
        <v>75.178406595910786</v>
      </c>
      <c r="Y88" s="55">
        <f>Y87*Assumptions!$B$156*Assumptions!$B$158</f>
        <v>80.728385180074369</v>
      </c>
      <c r="Z88" s="55">
        <f>Z87*Assumptions!$B$156*Assumptions!$B$158</f>
        <v>87.719200552229609</v>
      </c>
      <c r="AA88" s="55">
        <f>AA87*Assumptions!$B$156*Assumptions!$B$158</f>
        <v>202.89533483785598</v>
      </c>
      <c r="AB88" s="55">
        <f>AB87*Assumptions!$B$156*Assumptions!$B$158</f>
        <v>274.10452048358906</v>
      </c>
      <c r="AC88" s="55">
        <f>AC87*Assumptions!$B$156*Assumptions!$B$158</f>
        <v>332.493852373599</v>
      </c>
      <c r="AD88" s="55">
        <f>AD87*Assumptions!$B$156*Assumptions!$B$158</f>
        <v>397.5852592586246</v>
      </c>
      <c r="AE88" s="55">
        <f>AE87*Assumptions!$B$156*Assumptions!$B$158</f>
        <v>479.72101213617333</v>
      </c>
    </row>
    <row r="89" spans="1:31" x14ac:dyDescent="0.25">
      <c r="A89" s="6" t="s">
        <v>482</v>
      </c>
      <c r="B89" s="23" t="s">
        <v>114</v>
      </c>
      <c r="C89" s="55">
        <f t="shared" ref="C89:AE89" si="21">C88/12*C16</f>
        <v>0</v>
      </c>
      <c r="D89" s="55">
        <f t="shared" si="21"/>
        <v>0</v>
      </c>
      <c r="E89" s="55">
        <f t="shared" si="21"/>
        <v>0</v>
      </c>
      <c r="F89" s="55">
        <f t="shared" si="21"/>
        <v>0</v>
      </c>
      <c r="G89" s="55">
        <f t="shared" si="21"/>
        <v>0</v>
      </c>
      <c r="H89" s="55">
        <f t="shared" si="21"/>
        <v>0</v>
      </c>
      <c r="I89" s="55">
        <f t="shared" si="21"/>
        <v>0</v>
      </c>
      <c r="J89" s="55">
        <f t="shared" si="21"/>
        <v>0</v>
      </c>
      <c r="K89" s="55">
        <f t="shared" si="21"/>
        <v>0</v>
      </c>
      <c r="L89" s="55">
        <f t="shared" si="21"/>
        <v>0</v>
      </c>
      <c r="M89" s="55">
        <f t="shared" si="21"/>
        <v>0</v>
      </c>
      <c r="N89" s="55">
        <f t="shared" si="21"/>
        <v>0</v>
      </c>
      <c r="O89" s="55">
        <f t="shared" si="21"/>
        <v>1.2636467313218391</v>
      </c>
      <c r="P89" s="55">
        <f t="shared" si="21"/>
        <v>1.7382686243686398</v>
      </c>
      <c r="Q89" s="55">
        <f t="shared" si="21"/>
        <v>2.2890647435805054</v>
      </c>
      <c r="R89" s="55">
        <f t="shared" si="21"/>
        <v>2.7547541959538293</v>
      </c>
      <c r="S89" s="55">
        <f t="shared" si="21"/>
        <v>3.3829574684713704</v>
      </c>
      <c r="T89" s="55">
        <f t="shared" si="21"/>
        <v>3.8431275331119843</v>
      </c>
      <c r="U89" s="55">
        <f t="shared" si="21"/>
        <v>4.1414779565364928</v>
      </c>
      <c r="V89" s="55">
        <f t="shared" si="21"/>
        <v>4.8149672146334739</v>
      </c>
      <c r="W89" s="55">
        <f t="shared" si="21"/>
        <v>5.9227911356538101</v>
      </c>
      <c r="X89" s="55">
        <f t="shared" si="21"/>
        <v>6.3901645606524156</v>
      </c>
      <c r="Y89" s="55">
        <f t="shared" si="21"/>
        <v>7.0637337032565082</v>
      </c>
      <c r="Z89" s="55">
        <f t="shared" si="21"/>
        <v>8.333324052461812</v>
      </c>
      <c r="AA89" s="55">
        <f t="shared" si="21"/>
        <v>16.907944569821332</v>
      </c>
      <c r="AB89" s="55">
        <f t="shared" si="21"/>
        <v>22.842043373632421</v>
      </c>
      <c r="AC89" s="55">
        <f t="shared" si="21"/>
        <v>27.70782103113325</v>
      </c>
      <c r="AD89" s="55">
        <f t="shared" si="21"/>
        <v>33.132104938218717</v>
      </c>
      <c r="AE89" s="55">
        <f t="shared" si="21"/>
        <v>39.97675101134778</v>
      </c>
    </row>
    <row r="90" spans="1:31" x14ac:dyDescent="0.25">
      <c r="A90" s="6" t="s">
        <v>483</v>
      </c>
      <c r="B90" s="23" t="s">
        <v>484</v>
      </c>
      <c r="C90" s="45">
        <f>C86*C89*Assumptions!$B$7*C7</f>
        <v>0</v>
      </c>
      <c r="D90" s="45">
        <f>D86*D89*Assumptions!$B$7*D7</f>
        <v>0</v>
      </c>
      <c r="E90" s="45">
        <f>E86*E89*Assumptions!$B$7*E7</f>
        <v>0</v>
      </c>
      <c r="F90" s="45">
        <f>F86*F89*Assumptions!$B$7*F7</f>
        <v>0</v>
      </c>
      <c r="G90" s="45">
        <f>G86*G89*Assumptions!$B$7*G7</f>
        <v>0</v>
      </c>
      <c r="H90" s="45">
        <f>H86*H89*Assumptions!$B$7*H7</f>
        <v>0</v>
      </c>
      <c r="I90" s="45">
        <f>I86*I89*Assumptions!$B$7*I7</f>
        <v>0</v>
      </c>
      <c r="J90" s="45">
        <f>J86*J89*Assumptions!$B$7*J7</f>
        <v>0</v>
      </c>
      <c r="K90" s="45">
        <f>K86*K89*Assumptions!$B$7*K7</f>
        <v>0</v>
      </c>
      <c r="L90" s="45">
        <f>L86*L89*Assumptions!$B$7*L7</f>
        <v>0</v>
      </c>
      <c r="M90" s="45">
        <f>M86*M89*Assumptions!$B$7*M7</f>
        <v>0</v>
      </c>
      <c r="N90" s="45">
        <f>N86*N89*Assumptions!$B$7*N7</f>
        <v>0</v>
      </c>
      <c r="O90" s="45">
        <f>O86*O89*Assumptions!$B$7*O7</f>
        <v>0</v>
      </c>
      <c r="P90" s="45">
        <f>P86*P89*Assumptions!$B$7*P7</f>
        <v>0</v>
      </c>
      <c r="Q90" s="45">
        <f>Q86*Q89*Assumptions!$B$7*Q7</f>
        <v>0</v>
      </c>
      <c r="R90" s="45">
        <f>R86*R89*Assumptions!$B$7*R7</f>
        <v>0</v>
      </c>
      <c r="S90" s="45">
        <f>S86*S89*Assumptions!$B$7*S7</f>
        <v>0</v>
      </c>
      <c r="T90" s="45">
        <f>T86*T89*Assumptions!$B$7*T7</f>
        <v>0</v>
      </c>
      <c r="U90" s="45">
        <f>U86*U89*Assumptions!$B$7*U7</f>
        <v>0</v>
      </c>
      <c r="V90" s="45">
        <f>V86*V89*Assumptions!$B$7*V7</f>
        <v>0</v>
      </c>
      <c r="W90" s="45">
        <f>W86*W89*Assumptions!$B$7*W7</f>
        <v>125.83336810428605</v>
      </c>
      <c r="X90" s="45">
        <f>X86*X89*Assumptions!$B$7*X7</f>
        <v>265.00200773001228</v>
      </c>
      <c r="Y90" s="45">
        <f>Y86*Y89*Assumptions!$B$7*Y7</f>
        <v>427.82979547984326</v>
      </c>
      <c r="Z90" s="45">
        <f>Z86*Z89*Assumptions!$B$7*Z7</f>
        <v>700.74928127242083</v>
      </c>
      <c r="AA90" s="45">
        <f>AA86*AA89*Assumptions!$B$7*AA7</f>
        <v>121588.86992544107</v>
      </c>
      <c r="AB90" s="45">
        <f>AB86*AB89*Assumptions!$B$7*AB7</f>
        <v>286254.7436008876</v>
      </c>
      <c r="AC90" s="45">
        <f>AC86*AC89*Assumptions!$B$7*AC7</f>
        <v>530470.4369293151</v>
      </c>
      <c r="AD90" s="45">
        <f>AD86*AD89*Assumptions!$B$7*AD7</f>
        <v>843897.87621964572</v>
      </c>
      <c r="AE90" s="45">
        <f>AE86*AE89*Assumptions!$B$7*AE7</f>
        <v>1193624.9931400372</v>
      </c>
    </row>
    <row r="91" spans="1:31" x14ac:dyDescent="0.25">
      <c r="A91" s="6" t="s">
        <v>483</v>
      </c>
      <c r="B91" s="23" t="s">
        <v>114</v>
      </c>
      <c r="C91" s="55">
        <f>C90/Assumptions!$B$7</f>
        <v>0</v>
      </c>
      <c r="D91" s="55">
        <f>D90/Assumptions!$B$7</f>
        <v>0</v>
      </c>
      <c r="E91" s="55">
        <f>E90/Assumptions!$B$7</f>
        <v>0</v>
      </c>
      <c r="F91" s="55">
        <f>F90/Assumptions!$B$7</f>
        <v>0</v>
      </c>
      <c r="G91" s="55">
        <f>G90/Assumptions!$B$7</f>
        <v>0</v>
      </c>
      <c r="H91" s="55">
        <f>H90/Assumptions!$B$7</f>
        <v>0</v>
      </c>
      <c r="I91" s="55">
        <f>I90/Assumptions!$B$7</f>
        <v>0</v>
      </c>
      <c r="J91" s="55">
        <f>J90/Assumptions!$B$7</f>
        <v>0</v>
      </c>
      <c r="K91" s="55">
        <f>K90/Assumptions!$B$7</f>
        <v>0</v>
      </c>
      <c r="L91" s="55">
        <f>L90/Assumptions!$B$7</f>
        <v>0</v>
      </c>
      <c r="M91" s="55">
        <f>M90/Assumptions!$B$7</f>
        <v>0</v>
      </c>
      <c r="N91" s="55">
        <f>N90/Assumptions!$B$7</f>
        <v>0</v>
      </c>
      <c r="O91" s="55">
        <f>O90/Assumptions!$B$7</f>
        <v>0</v>
      </c>
      <c r="P91" s="55">
        <f>P90/Assumptions!$B$7</f>
        <v>0</v>
      </c>
      <c r="Q91" s="55">
        <f>Q90/Assumptions!$B$7</f>
        <v>0</v>
      </c>
      <c r="R91" s="55">
        <f>R90/Assumptions!$B$7</f>
        <v>0</v>
      </c>
      <c r="S91" s="55">
        <f>S90/Assumptions!$B$7</f>
        <v>0</v>
      </c>
      <c r="T91" s="55">
        <f>T90/Assumptions!$B$7</f>
        <v>0</v>
      </c>
      <c r="U91" s="55">
        <f>U90/Assumptions!$B$7</f>
        <v>0</v>
      </c>
      <c r="V91" s="55">
        <f>V90/Assumptions!$B$7</f>
        <v>0</v>
      </c>
      <c r="W91" s="55">
        <f>W90/Assumptions!$B$7</f>
        <v>34.263680899737523</v>
      </c>
      <c r="X91" s="55">
        <f>X90/Assumptions!$B$7</f>
        <v>72.15847725800198</v>
      </c>
      <c r="Y91" s="55">
        <f>Y90/Assumptions!$B$7</f>
        <v>116.49551953161151</v>
      </c>
      <c r="Z91" s="55">
        <f>Z90/Assumptions!$B$7</f>
        <v>190.80987917560813</v>
      </c>
      <c r="AA91" s="55">
        <f>AA90/Assumptions!$B$7</f>
        <v>33107.929183237873</v>
      </c>
      <c r="AB91" s="55">
        <f>AB90/Assumptions!$B$7</f>
        <v>77945.471368519429</v>
      </c>
      <c r="AC91" s="55">
        <f>AC90/Assumptions!$B$7</f>
        <v>144443.95831975905</v>
      </c>
      <c r="AD91" s="55">
        <f>AD90/Assumptions!$B$7</f>
        <v>229788.39379704444</v>
      </c>
      <c r="AE91" s="55">
        <f>AE90/Assumptions!$B$7</f>
        <v>325017.01651192299</v>
      </c>
    </row>
    <row r="92" spans="1:31" x14ac:dyDescent="0.25">
      <c r="A92" s="6" t="s">
        <v>485</v>
      </c>
      <c r="B92" s="23" t="s">
        <v>484</v>
      </c>
      <c r="C92" s="45">
        <f>IF(Assumptions!$B$144=0,0,C87*Assumptions!$B$156*Assumptions!$B$7/Assumptions!$B$144)</f>
        <v>0</v>
      </c>
      <c r="D92" s="45">
        <f>IF(Assumptions!$B$144=0,0,D87*Assumptions!$B$156*Assumptions!$B$7/Assumptions!$B$144)</f>
        <v>0</v>
      </c>
      <c r="E92" s="45">
        <f>IF(Assumptions!$B$144=0,0,E87*Assumptions!$B$156*Assumptions!$B$7/Assumptions!$B$144)</f>
        <v>0</v>
      </c>
      <c r="F92" s="45">
        <f>IF(Assumptions!$B$144=0,0,F87*Assumptions!$B$156*Assumptions!$B$7/Assumptions!$B$144)</f>
        <v>0</v>
      </c>
      <c r="G92" s="45">
        <f>IF(Assumptions!$B$144=0,0,G87*Assumptions!$B$156*Assumptions!$B$7/Assumptions!$B$144)</f>
        <v>0</v>
      </c>
      <c r="H92" s="45">
        <f>IF(Assumptions!$B$144=0,0,H87*Assumptions!$B$156*Assumptions!$B$7/Assumptions!$B$144)</f>
        <v>0</v>
      </c>
      <c r="I92" s="45">
        <f>IF(Assumptions!$B$144=0,0,I87*Assumptions!$B$156*Assumptions!$B$7/Assumptions!$B$144)</f>
        <v>0</v>
      </c>
      <c r="J92" s="45">
        <f>IF(Assumptions!$B$144=0,0,J87*Assumptions!$B$156*Assumptions!$B$7/Assumptions!$B$144)</f>
        <v>0</v>
      </c>
      <c r="K92" s="45">
        <f>IF(Assumptions!$B$144=0,0,K87*Assumptions!$B$156*Assumptions!$B$7/Assumptions!$B$144)</f>
        <v>0</v>
      </c>
      <c r="L92" s="45">
        <f>IF(Assumptions!$B$144=0,0,L87*Assumptions!$B$156*Assumptions!$B$7/Assumptions!$B$144)</f>
        <v>0</v>
      </c>
      <c r="M92" s="45">
        <f>IF(Assumptions!$B$144=0,0,M87*Assumptions!$B$156*Assumptions!$B$7/Assumptions!$B$144)</f>
        <v>0</v>
      </c>
      <c r="N92" s="45">
        <f>IF(Assumptions!$B$144=0,0,N87*Assumptions!$B$156*Assumptions!$B$7/Assumptions!$B$144)</f>
        <v>0</v>
      </c>
      <c r="O92" s="45">
        <f>IF(Assumptions!$B$144=0,0,O87*Assumptions!$B$156*Assumptions!$B$7/Assumptions!$B$144)</f>
        <v>6.0269384685447456</v>
      </c>
      <c r="P92" s="45">
        <f>IF(Assumptions!$B$144=0,0,P87*Assumptions!$B$156*Assumptions!$B$7/Assumptions!$B$144)</f>
        <v>9.1197021757054717</v>
      </c>
      <c r="Q92" s="45">
        <f>IF(Assumptions!$B$144=0,0,Q87*Assumptions!$B$156*Assumptions!$B$7/Assumptions!$B$144)</f>
        <v>12.254504767929165</v>
      </c>
      <c r="R92" s="45">
        <f>IF(Assumptions!$B$144=0,0,R87*Assumptions!$B$156*Assumptions!$B$7/Assumptions!$B$144)</f>
        <v>14.747572572362158</v>
      </c>
      <c r="S92" s="45">
        <f>IF(Assumptions!$B$144=0,0,S87*Assumptions!$B$156*Assumptions!$B$7/Assumptions!$B$144)</f>
        <v>17.748444718515866</v>
      </c>
      <c r="T92" s="45">
        <f>IF(Assumptions!$B$144=0,0,T87*Assumptions!$B$156*Assumptions!$B$7/Assumptions!$B$144)</f>
        <v>21.223888519328966</v>
      </c>
      <c r="U92" s="45">
        <f>IF(Assumptions!$B$144=0,0,U87*Assumptions!$B$156*Assumptions!$B$7/Assumptions!$B$144)</f>
        <v>24.690873044448491</v>
      </c>
      <c r="V92" s="45">
        <f>IF(Assumptions!$B$144=0,0,V87*Assumptions!$B$156*Assumptions!$B$7/Assumptions!$B$144)</f>
        <v>28.068201739272116</v>
      </c>
      <c r="W92" s="45">
        <f>IF(Assumptions!$B$144=0,0,W87*Assumptions!$B$156*Assumptions!$B$7/Assumptions!$B$144)</f>
        <v>31.073500636698029</v>
      </c>
      <c r="X92" s="45">
        <f>IF(Assumptions!$B$144=0,0,X87*Assumptions!$B$156*Assumptions!$B$7/Assumptions!$B$144)</f>
        <v>32.868178359938376</v>
      </c>
      <c r="Y92" s="45">
        <f>IF(Assumptions!$B$144=0,0,Y87*Assumptions!$B$156*Assumptions!$B$7/Assumptions!$B$144)</f>
        <v>35.294642211169418</v>
      </c>
      <c r="Z92" s="45">
        <f>IF(Assumptions!$B$144=0,0,Z87*Assumptions!$B$156*Assumptions!$B$7/Assumptions!$B$144)</f>
        <v>38.351043336674188</v>
      </c>
      <c r="AA92" s="45">
        <f>IF(Assumptions!$B$144=0,0,AA87*Assumptions!$B$156*Assumptions!$B$7/Assumptions!$B$144)</f>
        <v>88.706323475241192</v>
      </c>
      <c r="AB92" s="45">
        <f>IF(Assumptions!$B$144=0,0,AB87*Assumptions!$B$156*Assumptions!$B$7/Assumptions!$B$144)</f>
        <v>119.83914898523579</v>
      </c>
      <c r="AC92" s="45">
        <f>IF(Assumptions!$B$144=0,0,AC87*Assumptions!$B$156*Assumptions!$B$7/Assumptions!$B$144)</f>
        <v>145.36710390976694</v>
      </c>
      <c r="AD92" s="45">
        <f>IF(Assumptions!$B$144=0,0,AD87*Assumptions!$B$156*Assumptions!$B$7/Assumptions!$B$144)</f>
        <v>173.82522197944033</v>
      </c>
      <c r="AE92" s="45">
        <f>IF(Assumptions!$B$144=0,0,AE87*Assumptions!$B$156*Assumptions!$B$7/Assumptions!$B$144)</f>
        <v>209.73516869882098</v>
      </c>
    </row>
    <row r="93" spans="1:31" x14ac:dyDescent="0.25">
      <c r="A93" s="6" t="s">
        <v>486</v>
      </c>
      <c r="B93" s="23" t="s">
        <v>487</v>
      </c>
      <c r="C93" s="45">
        <f>C86*Assumptions!$B$158*Assumptions!$B$144*C7/12*(1+Assumptions!$B$16)</f>
        <v>0</v>
      </c>
      <c r="D93" s="45">
        <f>D86*Assumptions!$B$158*Assumptions!$B$144*D7/12*(1+Assumptions!$B$16)</f>
        <v>0</v>
      </c>
      <c r="E93" s="45">
        <f>E86*Assumptions!$B$158*Assumptions!$B$144*E7/12*(1+Assumptions!$B$16)</f>
        <v>0</v>
      </c>
      <c r="F93" s="45">
        <f>F86*Assumptions!$B$158*Assumptions!$B$144*F7/12*(1+Assumptions!$B$16)</f>
        <v>0</v>
      </c>
      <c r="G93" s="45">
        <f>G86*Assumptions!$B$158*Assumptions!$B$144*G7/12*(1+Assumptions!$B$16)</f>
        <v>0</v>
      </c>
      <c r="H93" s="45">
        <f>H86*Assumptions!$B$158*Assumptions!$B$144*H7/12*(1+Assumptions!$B$16)</f>
        <v>0</v>
      </c>
      <c r="I93" s="45">
        <f>I86*Assumptions!$B$158*Assumptions!$B$144*I7/12*(1+Assumptions!$B$16)</f>
        <v>0</v>
      </c>
      <c r="J93" s="45">
        <f>J86*Assumptions!$B$158*Assumptions!$B$144*J7/12*(1+Assumptions!$B$16)</f>
        <v>0</v>
      </c>
      <c r="K93" s="45">
        <f>K86*Assumptions!$B$158*Assumptions!$B$144*K7/12*(1+Assumptions!$B$16)</f>
        <v>0</v>
      </c>
      <c r="L93" s="45">
        <f>L86*Assumptions!$B$158*Assumptions!$B$144*L7/12*(1+Assumptions!$B$16)</f>
        <v>0</v>
      </c>
      <c r="M93" s="45">
        <f>M86*Assumptions!$B$158*Assumptions!$B$144*M7/12*(1+Assumptions!$B$16)</f>
        <v>0</v>
      </c>
      <c r="N93" s="45">
        <f>N86*Assumptions!$B$158*Assumptions!$B$144*N7/12*(1+Assumptions!$B$16)</f>
        <v>0</v>
      </c>
      <c r="O93" s="45">
        <f>O86*Assumptions!$B$158*Assumptions!$B$144*O7/12*(1+Assumptions!$B$16)</f>
        <v>0</v>
      </c>
      <c r="P93" s="45">
        <f>P86*Assumptions!$B$158*Assumptions!$B$144*P7/12*(1+Assumptions!$B$16)</f>
        <v>0</v>
      </c>
      <c r="Q93" s="45">
        <f>Q86*Assumptions!$B$158*Assumptions!$B$144*Q7/12*(1+Assumptions!$B$16)</f>
        <v>0</v>
      </c>
      <c r="R93" s="45">
        <f>R86*Assumptions!$B$158*Assumptions!$B$144*R7/12*(1+Assumptions!$B$16)</f>
        <v>0</v>
      </c>
      <c r="S93" s="45">
        <f>S86*Assumptions!$B$158*Assumptions!$B$144*S7/12*(1+Assumptions!$B$16)</f>
        <v>0</v>
      </c>
      <c r="T93" s="45">
        <f>T86*Assumptions!$B$158*Assumptions!$B$144*T7/12*(1+Assumptions!$B$16)</f>
        <v>0</v>
      </c>
      <c r="U93" s="45">
        <f>U86*Assumptions!$B$158*Assumptions!$B$144*U7/12*(1+Assumptions!$B$16)</f>
        <v>0</v>
      </c>
      <c r="V93" s="45">
        <f>V86*Assumptions!$B$158*Assumptions!$B$144*V7/12*(1+Assumptions!$B$16)</f>
        <v>0</v>
      </c>
      <c r="W93" s="45">
        <f>W86*Assumptions!$B$158*Assumptions!$B$144*W7/12*(1+Assumptions!$B$16)</f>
        <v>4.2925118656575343</v>
      </c>
      <c r="X93" s="45">
        <f>X86*Assumptions!$B$158*Assumptions!$B$144*X7/12*(1+Assumptions!$B$16)</f>
        <v>8.3787498142256052</v>
      </c>
      <c r="Y93" s="45">
        <f>Y86*Assumptions!$B$158*Assumptions!$B$144*Y7/12*(1+Assumptions!$B$16)</f>
        <v>12.237108464692758</v>
      </c>
      <c r="Z93" s="45">
        <f>Z86*Assumptions!$B$158*Assumptions!$B$144*Z7/12*(1+Assumptions!$B$16)</f>
        <v>16.989730563336934</v>
      </c>
      <c r="AA93" s="45">
        <f>AA86*Assumptions!$B$158*Assumptions!$B$144*AA7/12*(1+Assumptions!$B$16)</f>
        <v>1452.9313928441684</v>
      </c>
      <c r="AB93" s="45">
        <f>AB86*Assumptions!$B$158*Assumptions!$B$144*AB7/12*(1+Assumptions!$B$16)</f>
        <v>2531.9774947193887</v>
      </c>
      <c r="AC93" s="45">
        <f>AC86*Assumptions!$B$158*Assumptions!$B$144*AC7/12*(1+Assumptions!$B$16)</f>
        <v>3868.1286757567041</v>
      </c>
      <c r="AD93" s="45">
        <f>AD86*Assumptions!$B$158*Assumptions!$B$144*AD7/12*(1+Assumptions!$B$16)</f>
        <v>5146.1562286894587</v>
      </c>
      <c r="AE93" s="45">
        <f>AE86*Assumptions!$B$158*Assumptions!$B$144*AE7/12*(1+Assumptions!$B$16)</f>
        <v>6032.5719362083873</v>
      </c>
    </row>
    <row r="94" spans="1:31" x14ac:dyDescent="0.25">
      <c r="A94" s="6" t="s">
        <v>488</v>
      </c>
      <c r="B94" s="23" t="s">
        <v>114</v>
      </c>
      <c r="C94" s="55">
        <f>C75*Assumptions!$B$8</f>
        <v>0</v>
      </c>
      <c r="D94" s="55">
        <f>D75*Assumptions!$B$8</f>
        <v>0</v>
      </c>
      <c r="E94" s="55">
        <f>E75*Assumptions!$B$8</f>
        <v>0</v>
      </c>
      <c r="F94" s="55">
        <f>F75*Assumptions!$B$8</f>
        <v>0</v>
      </c>
      <c r="G94" s="55">
        <f>G75*Assumptions!$B$8</f>
        <v>0</v>
      </c>
      <c r="H94" s="55">
        <f>H75*Assumptions!$B$8</f>
        <v>0</v>
      </c>
      <c r="I94" s="55">
        <f>I75*Assumptions!$B$8</f>
        <v>0</v>
      </c>
      <c r="J94" s="55">
        <f>J75*Assumptions!$B$8</f>
        <v>0</v>
      </c>
      <c r="K94" s="55">
        <f>K75*Assumptions!$B$8</f>
        <v>0</v>
      </c>
      <c r="L94" s="55">
        <f>L75*Assumptions!$B$8</f>
        <v>0</v>
      </c>
      <c r="M94" s="55">
        <f>M75*Assumptions!$B$8</f>
        <v>0</v>
      </c>
      <c r="N94" s="55">
        <f>N75*Assumptions!$B$8</f>
        <v>0</v>
      </c>
      <c r="O94" s="55">
        <f>O75*Assumptions!$B$8</f>
        <v>91.864419631450687</v>
      </c>
      <c r="P94" s="55">
        <f>P75*Assumptions!$B$8</f>
        <v>177.20199972940648</v>
      </c>
      <c r="Q94" s="55">
        <f>Q75*Assumptions!$B$8</f>
        <v>256.84524730579744</v>
      </c>
      <c r="R94" s="55">
        <f>R75*Assumptions!$B$8</f>
        <v>357.22045757798912</v>
      </c>
      <c r="S94" s="55">
        <f>S75*Assumptions!$B$8</f>
        <v>444.79845533935827</v>
      </c>
      <c r="T94" s="55">
        <f>T75*Assumptions!$B$8</f>
        <v>514.07530590074839</v>
      </c>
      <c r="U94" s="55">
        <f>U75*Assumptions!$B$8</f>
        <v>578.46786013973167</v>
      </c>
      <c r="V94" s="55">
        <f>V75*Assumptions!$B$8</f>
        <v>641.18441645658595</v>
      </c>
      <c r="W94" s="55">
        <f>W75*Assumptions!$B$8</f>
        <v>710.93517331773683</v>
      </c>
      <c r="X94" s="55">
        <f>X75*Assumptions!$B$8</f>
        <v>814.30000062519377</v>
      </c>
      <c r="Y94" s="55">
        <f>Y75*Assumptions!$B$8</f>
        <v>904.7328971830816</v>
      </c>
      <c r="Z94" s="55">
        <f>Z75*Assumptions!$B$8</f>
        <v>977.30475379314839</v>
      </c>
      <c r="AA94" s="55">
        <f>AA75*Assumptions!$B$8</f>
        <v>25712.799296161331</v>
      </c>
      <c r="AB94" s="55">
        <f>AB75*Assumptions!$B$8</f>
        <v>44808.880491372001</v>
      </c>
      <c r="AC94" s="55">
        <f>AC75*Assumptions!$B$8</f>
        <v>68454.998481904142</v>
      </c>
      <c r="AD94" s="55">
        <f>AD75*Assumptions!$B$8</f>
        <v>91072.491727195084</v>
      </c>
      <c r="AE94" s="55">
        <f>AE75*Assumptions!$B$8</f>
        <v>106759.5567136446</v>
      </c>
    </row>
    <row r="95" spans="1:31" x14ac:dyDescent="0.25">
      <c r="A95" s="6" t="s">
        <v>489</v>
      </c>
      <c r="B95" s="23" t="s">
        <v>114</v>
      </c>
      <c r="C95" s="55">
        <f>C76*Assumptions!$B$8</f>
        <v>0</v>
      </c>
      <c r="D95" s="55">
        <f>D76*Assumptions!$B$8</f>
        <v>0</v>
      </c>
      <c r="E95" s="55">
        <f>E76*Assumptions!$B$8</f>
        <v>0</v>
      </c>
      <c r="F95" s="55">
        <f>F76*Assumptions!$B$8</f>
        <v>0</v>
      </c>
      <c r="G95" s="55">
        <f>G76*Assumptions!$B$8</f>
        <v>0</v>
      </c>
      <c r="H95" s="55">
        <f>H76*Assumptions!$B$8</f>
        <v>0</v>
      </c>
      <c r="I95" s="55">
        <f>I76*Assumptions!$B$8</f>
        <v>0</v>
      </c>
      <c r="J95" s="55">
        <f>J76*Assumptions!$B$8</f>
        <v>0</v>
      </c>
      <c r="K95" s="55">
        <f>K76*Assumptions!$B$8</f>
        <v>0</v>
      </c>
      <c r="L95" s="55">
        <f>L76*Assumptions!$B$8</f>
        <v>0</v>
      </c>
      <c r="M95" s="55">
        <f>M76*Assumptions!$B$8</f>
        <v>0</v>
      </c>
      <c r="N95" s="55">
        <f>N76*Assumptions!$B$8</f>
        <v>0</v>
      </c>
      <c r="O95" s="55">
        <f>O76*Assumptions!$B$8</f>
        <v>7.2578780253694211</v>
      </c>
      <c r="P95" s="55">
        <f>P76*Assumptions!$B$8</f>
        <v>14.000093888877789</v>
      </c>
      <c r="Q95" s="55">
        <f>Q76*Assumptions!$B$8</f>
        <v>20.292420981050984</v>
      </c>
      <c r="R95" s="55">
        <f>R76*Assumptions!$B$8</f>
        <v>28.222706023389204</v>
      </c>
      <c r="S95" s="55">
        <f>S76*Assumptions!$B$8</f>
        <v>35.141929243958913</v>
      </c>
      <c r="T95" s="55">
        <f>T76*Assumptions!$B$8</f>
        <v>40.615244520684136</v>
      </c>
      <c r="U95" s="55">
        <f>U76*Assumptions!$B$8</f>
        <v>45.702669078347391</v>
      </c>
      <c r="V95" s="55">
        <f>V76*Assumptions!$B$8</f>
        <v>50.657679056586041</v>
      </c>
      <c r="W95" s="55">
        <f>W76*Assumptions!$B$8</f>
        <v>56.168435968853252</v>
      </c>
      <c r="X95" s="55">
        <f>X76*Assumptions!$B$8</f>
        <v>64.334919921189197</v>
      </c>
      <c r="Y95" s="55">
        <f>Y76*Assumptions!$B$8</f>
        <v>71.47969844731719</v>
      </c>
      <c r="Z95" s="55">
        <f>Z76*Assumptions!$B$8</f>
        <v>77.213340323721511</v>
      </c>
      <c r="AA95" s="55">
        <f>AA76*Assumptions!$B$8</f>
        <v>2031.4759700332588</v>
      </c>
      <c r="AB95" s="55">
        <f>AB76*Assumptions!$B$8</f>
        <v>3540.1887952317943</v>
      </c>
      <c r="AC95" s="55">
        <f>AC76*Assumptions!$B$8</f>
        <v>5408.3836941632599</v>
      </c>
      <c r="AD95" s="55">
        <f>AD76*Assumptions!$B$8</f>
        <v>7195.3106444723035</v>
      </c>
      <c r="AE95" s="55">
        <f>AE76*Assumptions!$B$8</f>
        <v>8434.6893365107026</v>
      </c>
    </row>
    <row r="96" spans="1:31" x14ac:dyDescent="0.25">
      <c r="A96" s="6" t="s">
        <v>490</v>
      </c>
      <c r="B96" s="23" t="s">
        <v>114</v>
      </c>
      <c r="C96" s="55">
        <f>C91*IF(Assumptions!$B$178=1,MIN(Assumptions!$B$14,1%),Assumptions!$B$14)*(1-Assumptions!$B$142)</f>
        <v>0</v>
      </c>
      <c r="D96" s="55">
        <f>D91*IF(Assumptions!$B$178=1,MIN(Assumptions!$B$14,1%),Assumptions!$B$14)*(1-Assumptions!$B$142)</f>
        <v>0</v>
      </c>
      <c r="E96" s="55">
        <f>E91*IF(Assumptions!$B$178=1,MIN(Assumptions!$B$14,1%),Assumptions!$B$14)*(1-Assumptions!$B$142)</f>
        <v>0</v>
      </c>
      <c r="F96" s="55">
        <f>F91*IF(Assumptions!$B$178=1,MIN(Assumptions!$B$14,1%),Assumptions!$B$14)*(1-Assumptions!$B$142)</f>
        <v>0</v>
      </c>
      <c r="G96" s="55">
        <f>G91*IF(Assumptions!$B$178=1,MIN(Assumptions!$B$14,1%),Assumptions!$B$14)*(1-Assumptions!$B$142)</f>
        <v>0</v>
      </c>
      <c r="H96" s="55">
        <f>H91*IF(Assumptions!$B$178=1,MIN(Assumptions!$B$14,1%),Assumptions!$B$14)*(1-Assumptions!$B$142)</f>
        <v>0</v>
      </c>
      <c r="I96" s="55">
        <f>I91*IF(Assumptions!$B$178=1,MIN(Assumptions!$B$14,1%),Assumptions!$B$14)*(1-Assumptions!$B$142)</f>
        <v>0</v>
      </c>
      <c r="J96" s="55">
        <f>J91*IF(Assumptions!$B$178=1,MIN(Assumptions!$B$14,1%),Assumptions!$B$14)*(1-Assumptions!$B$142)</f>
        <v>0</v>
      </c>
      <c r="K96" s="55">
        <f>K91*IF(Assumptions!$B$178=1,MIN(Assumptions!$B$14,1%),Assumptions!$B$14)*(1-Assumptions!$B$142)</f>
        <v>0</v>
      </c>
      <c r="L96" s="55">
        <f>L91*IF(Assumptions!$B$178=1,MIN(Assumptions!$B$14,1%),Assumptions!$B$14)*(1-Assumptions!$B$142)</f>
        <v>0</v>
      </c>
      <c r="M96" s="55">
        <f>M91*IF(Assumptions!$B$178=1,MIN(Assumptions!$B$14,1%),Assumptions!$B$14)*(1-Assumptions!$B$142)</f>
        <v>0</v>
      </c>
      <c r="N96" s="55">
        <f>N91*IF(Assumptions!$B$178=1,MIN(Assumptions!$B$14,1%),Assumptions!$B$14)*(1-Assumptions!$B$142)</f>
        <v>0</v>
      </c>
      <c r="O96" s="55">
        <f>O91*IF(Assumptions!$B$178=1,MIN(Assumptions!$B$14,1%),Assumptions!$B$14)*(1-Assumptions!$B$142)</f>
        <v>0</v>
      </c>
      <c r="P96" s="55">
        <f>P91*IF(Assumptions!$B$178=1,MIN(Assumptions!$B$14,1%),Assumptions!$B$14)*(1-Assumptions!$B$142)</f>
        <v>0</v>
      </c>
      <c r="Q96" s="55">
        <f>Q91*IF(Assumptions!$B$178=1,MIN(Assumptions!$B$14,1%),Assumptions!$B$14)*(1-Assumptions!$B$142)</f>
        <v>0</v>
      </c>
      <c r="R96" s="55">
        <f>R91*IF(Assumptions!$B$178=1,MIN(Assumptions!$B$14,1%),Assumptions!$B$14)*(1-Assumptions!$B$142)</f>
        <v>0</v>
      </c>
      <c r="S96" s="55">
        <f>S91*IF(Assumptions!$B$178=1,MIN(Assumptions!$B$14,1%),Assumptions!$B$14)*(1-Assumptions!$B$142)</f>
        <v>0</v>
      </c>
      <c r="T96" s="55">
        <f>T91*IF(Assumptions!$B$178=1,MIN(Assumptions!$B$14,1%),Assumptions!$B$14)*(1-Assumptions!$B$142)</f>
        <v>0</v>
      </c>
      <c r="U96" s="55">
        <f>U91*IF(Assumptions!$B$178=1,MIN(Assumptions!$B$14,1%),Assumptions!$B$14)*(1-Assumptions!$B$142)</f>
        <v>0</v>
      </c>
      <c r="V96" s="55">
        <f>V91*IF(Assumptions!$B$178=1,MIN(Assumptions!$B$14,1%),Assumptions!$B$14)*(1-Assumptions!$B$142)</f>
        <v>0</v>
      </c>
      <c r="W96" s="55">
        <f>W91*IF(Assumptions!$B$178=1,MIN(Assumptions!$B$14,1%),Assumptions!$B$14)*(1-Assumptions!$B$142)</f>
        <v>0.24669850247811015</v>
      </c>
      <c r="X96" s="55">
        <f>X91*IF(Assumptions!$B$178=1,MIN(Assumptions!$B$14,1%),Assumptions!$B$14)*(1-Assumptions!$B$142)</f>
        <v>0.51954103625761427</v>
      </c>
      <c r="Y96" s="55">
        <f>Y91*IF(Assumptions!$B$178=1,MIN(Assumptions!$B$14,1%),Assumptions!$B$14)*(1-Assumptions!$B$142)</f>
        <v>0.83876774062760284</v>
      </c>
      <c r="Z96" s="55">
        <f>Z91*IF(Assumptions!$B$178=1,MIN(Assumptions!$B$14,1%),Assumptions!$B$14)*(1-Assumptions!$B$142)</f>
        <v>1.3738311300643786</v>
      </c>
      <c r="AA96" s="55">
        <f>AA91*IF(Assumptions!$B$178=1,MIN(Assumptions!$B$14,1%),Assumptions!$B$14)*(1-Assumptions!$B$142)</f>
        <v>238.37709011931267</v>
      </c>
      <c r="AB96" s="55">
        <f>AB91*IF(Assumptions!$B$178=1,MIN(Assumptions!$B$14,1%),Assumptions!$B$14)*(1-Assumptions!$B$142)</f>
        <v>561.20739385333979</v>
      </c>
      <c r="AC96" s="55">
        <f>AC91*IF(Assumptions!$B$178=1,MIN(Assumptions!$B$14,1%),Assumptions!$B$14)*(1-Assumptions!$B$142)</f>
        <v>1039.9964999022652</v>
      </c>
      <c r="AD96" s="55">
        <f>AD91*IF(Assumptions!$B$178=1,MIN(Assumptions!$B$14,1%),Assumptions!$B$14)*(1-Assumptions!$B$142)</f>
        <v>1654.47643533872</v>
      </c>
      <c r="AE96" s="55">
        <f>AE91*IF(Assumptions!$B$178=1,MIN(Assumptions!$B$14,1%),Assumptions!$B$14)*(1-Assumptions!$B$142)</f>
        <v>2340.1225188858457</v>
      </c>
    </row>
    <row r="97" spans="1:31" x14ac:dyDescent="0.25">
      <c r="A97" s="6" t="s">
        <v>491</v>
      </c>
      <c r="B97" s="23" t="s">
        <v>492</v>
      </c>
      <c r="C97" s="54">
        <f>IF(C2&gt;=Assumptions!$B$50,C70*Assumptions!$B$159*(1-Assumptions!$B$162)^(C7/2),0)</f>
        <v>0</v>
      </c>
      <c r="D97" s="54">
        <f>IF(D2&gt;=Assumptions!$B$50,C97*(1-Assumptions!$B$162)^D7+D70*Assumptions!$B$159*(1-Assumptions!$B$162)^(D7/2),0)</f>
        <v>0</v>
      </c>
      <c r="E97" s="54">
        <f>IF(E2&gt;=Assumptions!$B$50,D97*(1-Assumptions!$B$162)^E7+E70*Assumptions!$B$159*(1-Assumptions!$B$162)^(E7/2),0)</f>
        <v>0</v>
      </c>
      <c r="F97" s="54">
        <f>IF(F2&gt;=Assumptions!$B$50,E97*(1-Assumptions!$B$162)^F7+F70*Assumptions!$B$159*(1-Assumptions!$B$162)^(F7/2),0)</f>
        <v>0</v>
      </c>
      <c r="G97" s="54">
        <f>IF(G2&gt;=Assumptions!$B$50,F97*(1-Assumptions!$B$162)^G7+G70*Assumptions!$B$159*(1-Assumptions!$B$162)^(G7/2),0)</f>
        <v>0</v>
      </c>
      <c r="H97" s="54">
        <f>IF(H2&gt;=Assumptions!$B$50,G97*(1-Assumptions!$B$162)^H7+H70*Assumptions!$B$159*(1-Assumptions!$B$162)^(H7/2),0)</f>
        <v>0</v>
      </c>
      <c r="I97" s="54">
        <f>IF(I2&gt;=Assumptions!$B$50,H97*(1-Assumptions!$B$162)^I7+I70*Assumptions!$B$159*(1-Assumptions!$B$162)^(I7/2),0)</f>
        <v>0</v>
      </c>
      <c r="J97" s="54">
        <f>IF(J2&gt;=Assumptions!$B$50,I97*(1-Assumptions!$B$162)^J7+J70*Assumptions!$B$159*(1-Assumptions!$B$162)^(J7/2),0)</f>
        <v>0</v>
      </c>
      <c r="K97" s="54">
        <f>IF(K2&gt;=Assumptions!$B$50,J97*(1-Assumptions!$B$162)^K7+K70*Assumptions!$B$159*(1-Assumptions!$B$162)^(K7/2),0)</f>
        <v>0</v>
      </c>
      <c r="L97" s="54">
        <f>IF(L2&gt;=Assumptions!$B$50,K97*(1-Assumptions!$B$162)^L7+L70*Assumptions!$B$159*(1-Assumptions!$B$162)^(L7/2),0)</f>
        <v>0</v>
      </c>
      <c r="M97" s="54">
        <f>IF(M2&gt;=Assumptions!$B$50,L97*(1-Assumptions!$B$162)^M7+M70*Assumptions!$B$159*(1-Assumptions!$B$162)^(M7/2),0)</f>
        <v>0</v>
      </c>
      <c r="N97" s="54">
        <f>IF(N2&gt;=Assumptions!$B$50,M97*(1-Assumptions!$B$162)^N7+N70*Assumptions!$B$159*(1-Assumptions!$B$162)^(N7/2),0)</f>
        <v>0</v>
      </c>
      <c r="O97" s="54">
        <f>IF(O2&gt;=Assumptions!$B$50,N97*(1-Assumptions!$B$162)^O7+O70*Assumptions!$B$159*(1-Assumptions!$B$162)^(O7/2),0)</f>
        <v>10.47344271630817</v>
      </c>
      <c r="P97" s="54">
        <f>IF(P2&gt;=Assumptions!$B$50,O97*(1-Assumptions!$B$162)^P7+P70*Assumptions!$B$159*(1-Assumptions!$B$162)^(P7/2),0)</f>
        <v>19.966719913175474</v>
      </c>
      <c r="Q97" s="54">
        <f>IF(Q2&gt;=Assumptions!$B$50,P97*(1-Assumptions!$B$162)^Q7+Q70*Assumptions!$B$159*(1-Assumptions!$B$162)^(Q7/2),0)</f>
        <v>28.608307137087852</v>
      </c>
      <c r="R97" s="54">
        <f>IF(R2&gt;=Assumptions!$B$50,Q97*(1-Assumptions!$B$162)^R7+R70*Assumptions!$B$159*(1-Assumptions!$B$162)^(R7/2),0)</f>
        <v>39.440095679779787</v>
      </c>
      <c r="S97" s="54">
        <f>IF(S2&gt;=Assumptions!$B$50,R97*(1-Assumptions!$B$162)^S7+S70*Assumptions!$B$159*(1-Assumptions!$B$162)^(S7/2),0)</f>
        <v>48.598499796140146</v>
      </c>
      <c r="T97" s="54">
        <f>IF(T2&gt;=Assumptions!$B$50,S97*(1-Assumptions!$B$162)^T7+T70*Assumptions!$B$159*(1-Assumptions!$B$162)^(T7/2),0)</f>
        <v>55.504148984660887</v>
      </c>
      <c r="U97" s="54">
        <f>IF(U2&gt;=Assumptions!$B$50,T97*(1-Assumptions!$B$162)^U7+U70*Assumptions!$B$159*(1-Assumptions!$B$162)^(U7/2),0)</f>
        <v>61.745545649740436</v>
      </c>
      <c r="V97" s="54">
        <f>IF(V2&gt;=Assumptions!$B$50,U97*(1-Assumptions!$B$162)^V7+V70*Assumptions!$B$159*(1-Assumptions!$B$162)^(V7/2),0)</f>
        <v>67.708656883806725</v>
      </c>
      <c r="W97" s="54">
        <f>IF(W2&gt;=Assumptions!$B$50,V97*(1-Assumptions!$B$162)^W7+W70*Assumptions!$B$159*(1-Assumptions!$B$162)^(W7/2),0)</f>
        <v>74.39704040865729</v>
      </c>
      <c r="X97" s="54">
        <f>IF(X2&gt;=Assumptions!$B$50,W97*(1-Assumptions!$B$162)^X7+X70*Assumptions!$B$159*(1-Assumptions!$B$162)^(X7/2),0)</f>
        <v>84.828443202239058</v>
      </c>
      <c r="Y97" s="54">
        <f>IF(Y2&gt;=Assumptions!$B$50,X97*(1-Assumptions!$B$162)^Y7+Y70*Assumptions!$B$159*(1-Assumptions!$B$162)^(Y7/2),0)</f>
        <v>93.616149117971787</v>
      </c>
      <c r="Z97" s="54">
        <f>IF(Z2&gt;=Assumptions!$B$50,Y97*(1-Assumptions!$B$162)^Z7+Z70*Assumptions!$B$159*(1-Assumptions!$B$162)^(Z7/2),0)</f>
        <v>100.24346507966605</v>
      </c>
      <c r="AA97" s="54">
        <f>IF(AA2&gt;=Assumptions!$B$50,Z97*(1-Assumptions!$B$162)^AA7+AA70*Assumptions!$B$159*(1-Assumptions!$B$162)^(AA7/2),0)</f>
        <v>201.75322244465912</v>
      </c>
      <c r="AB97" s="54">
        <f>IF(AB2&gt;=Assumptions!$B$50,AA97*(1-Assumptions!$B$162)^AB7+AB70*Assumptions!$B$159*(1-Assumptions!$B$162)^(AB7/2),0)</f>
        <v>338.59112016786037</v>
      </c>
      <c r="AC97" s="54">
        <f>IF(AC2&gt;=Assumptions!$B$50,AB97*(1-Assumptions!$B$162)^AC7+AC70*Assumptions!$B$159*(1-Assumptions!$B$162)^(AC7/2),0)</f>
        <v>504.48298947295552</v>
      </c>
      <c r="AD97" s="54">
        <f>IF(AD2&gt;=Assumptions!$B$50,AC97*(1-Assumptions!$B$162)^AD7+AD70*Assumptions!$B$159*(1-Assumptions!$B$162)^(AD7/2),0)</f>
        <v>652.95518686869286</v>
      </c>
      <c r="AE97" s="54">
        <f>IF(AE2&gt;=Assumptions!$B$50,AD97*(1-Assumptions!$B$162)^AE7+AE70*Assumptions!$B$159*(1-Assumptions!$B$162)^(AE7/2),0)</f>
        <v>741.24197543763626</v>
      </c>
    </row>
    <row r="98" spans="1:31" x14ac:dyDescent="0.25">
      <c r="A98" s="6" t="s">
        <v>493</v>
      </c>
      <c r="B98" s="23" t="s">
        <v>114</v>
      </c>
      <c r="C98" s="55">
        <f>C97*(Assumptions!$B$25+MAX(0,Assumptions!$B$161-1)*Assumptions!$B$26)/12*C7</f>
        <v>0</v>
      </c>
      <c r="D98" s="55">
        <f>D97*(Assumptions!$B$25+MAX(0,Assumptions!$B$161-1)*Assumptions!$B$26)/12*D7</f>
        <v>0</v>
      </c>
      <c r="E98" s="55">
        <f>E97*(Assumptions!$B$25+MAX(0,Assumptions!$B$161-1)*Assumptions!$B$26)/12*E7</f>
        <v>0</v>
      </c>
      <c r="F98" s="55">
        <f>F97*(Assumptions!$B$25+MAX(0,Assumptions!$B$161-1)*Assumptions!$B$26)/12*F7</f>
        <v>0</v>
      </c>
      <c r="G98" s="55">
        <f>G97*(Assumptions!$B$25+MAX(0,Assumptions!$B$161-1)*Assumptions!$B$26)/12*G7</f>
        <v>0</v>
      </c>
      <c r="H98" s="55">
        <f>H97*(Assumptions!$B$25+MAX(0,Assumptions!$B$161-1)*Assumptions!$B$26)/12*H7</f>
        <v>0</v>
      </c>
      <c r="I98" s="55">
        <f>I97*(Assumptions!$B$25+MAX(0,Assumptions!$B$161-1)*Assumptions!$B$26)/12*I7</f>
        <v>0</v>
      </c>
      <c r="J98" s="55">
        <f>J97*(Assumptions!$B$25+MAX(0,Assumptions!$B$161-1)*Assumptions!$B$26)/12*J7</f>
        <v>0</v>
      </c>
      <c r="K98" s="55">
        <f>K97*(Assumptions!$B$25+MAX(0,Assumptions!$B$161-1)*Assumptions!$B$26)/12*K7</f>
        <v>0</v>
      </c>
      <c r="L98" s="55">
        <f>L97*(Assumptions!$B$25+MAX(0,Assumptions!$B$161-1)*Assumptions!$B$26)/12*L7</f>
        <v>0</v>
      </c>
      <c r="M98" s="55">
        <f>M97*(Assumptions!$B$25+MAX(0,Assumptions!$B$161-1)*Assumptions!$B$26)/12*M7</f>
        <v>0</v>
      </c>
      <c r="N98" s="55">
        <f>N97*(Assumptions!$B$25+MAX(0,Assumptions!$B$161-1)*Assumptions!$B$26)/12*N7</f>
        <v>0</v>
      </c>
      <c r="O98" s="55">
        <f>O97*(Assumptions!$B$25+MAX(0,Assumptions!$B$161-1)*Assumptions!$B$26)/12*O7</f>
        <v>51.494426688515169</v>
      </c>
      <c r="P98" s="55">
        <f>P97*(Assumptions!$B$25+MAX(0,Assumptions!$B$161-1)*Assumptions!$B$26)/12*P7</f>
        <v>98.169706239779416</v>
      </c>
      <c r="Q98" s="55">
        <f>Q97*(Assumptions!$B$25+MAX(0,Assumptions!$B$161-1)*Assumptions!$B$26)/12*Q7</f>
        <v>140.65751009068194</v>
      </c>
      <c r="R98" s="55">
        <f>R97*(Assumptions!$B$25+MAX(0,Assumptions!$B$161-1)*Assumptions!$B$26)/12*R7</f>
        <v>193.91380375891728</v>
      </c>
      <c r="S98" s="55">
        <f>S97*(Assumptions!$B$25+MAX(0,Assumptions!$B$161-1)*Assumptions!$B$26)/12*S7</f>
        <v>238.94262399768903</v>
      </c>
      <c r="T98" s="55">
        <f>T97*(Assumptions!$B$25+MAX(0,Assumptions!$B$161-1)*Assumptions!$B$26)/12*T7</f>
        <v>272.89539917458268</v>
      </c>
      <c r="U98" s="55">
        <f>U97*(Assumptions!$B$25+MAX(0,Assumptions!$B$161-1)*Assumptions!$B$26)/12*U7</f>
        <v>303.58226611122382</v>
      </c>
      <c r="V98" s="55">
        <f>V97*(Assumptions!$B$25+MAX(0,Assumptions!$B$161-1)*Assumptions!$B$26)/12*V7</f>
        <v>332.90089634538305</v>
      </c>
      <c r="W98" s="55">
        <f>W97*(Assumptions!$B$25+MAX(0,Assumptions!$B$161-1)*Assumptions!$B$26)/12*W7</f>
        <v>365.78544867589835</v>
      </c>
      <c r="X98" s="55">
        <f>X97*(Assumptions!$B$25+MAX(0,Assumptions!$B$161-1)*Assumptions!$B$26)/12*X7</f>
        <v>417.07317907767538</v>
      </c>
      <c r="Y98" s="55">
        <f>Y97*(Assumptions!$B$25+MAX(0,Assumptions!$B$161-1)*Assumptions!$B$26)/12*Y7</f>
        <v>460.2793998300279</v>
      </c>
      <c r="Z98" s="55">
        <f>Z97*(Assumptions!$B$25+MAX(0,Assumptions!$B$161-1)*Assumptions!$B$26)/12*Z7</f>
        <v>492.86370330835808</v>
      </c>
      <c r="AA98" s="55">
        <f>AA97*(Assumptions!$B$25+MAX(0,Assumptions!$B$161-1)*Assumptions!$B$26)/12*AA7</f>
        <v>11903.440124234889</v>
      </c>
      <c r="AB98" s="55">
        <f>AB97*(Assumptions!$B$25+MAX(0,Assumptions!$B$161-1)*Assumptions!$B$26)/12*AB7</f>
        <v>19976.876089903762</v>
      </c>
      <c r="AC98" s="55">
        <f>AC97*(Assumptions!$B$25+MAX(0,Assumptions!$B$161-1)*Assumptions!$B$26)/12*AC7</f>
        <v>29764.496378904376</v>
      </c>
      <c r="AD98" s="55">
        <f>AD97*(Assumptions!$B$25+MAX(0,Assumptions!$B$161-1)*Assumptions!$B$26)/12*AD7</f>
        <v>38524.356025252877</v>
      </c>
      <c r="AE98" s="55">
        <f>AE97*(Assumptions!$B$25+MAX(0,Assumptions!$B$161-1)*Assumptions!$B$26)/12*AE7</f>
        <v>43733.276550820541</v>
      </c>
    </row>
    <row r="99" spans="1:31" x14ac:dyDescent="0.25">
      <c r="A99" s="6" t="s">
        <v>494</v>
      </c>
      <c r="B99" s="23" t="s">
        <v>114</v>
      </c>
      <c r="C99" s="55">
        <f>IF(C2&gt;=Assumptions!$B$52,C91*C17*Assumptions!$B$17+C86*(Assumptions!$B$148*MAX(0,Assumptions!$B$152-Assumptions!$B$18)+Assumptions!$B$149*MAX(0,Assumptions!$B$153-Assumptions!$B$18)+Assumptions!$B$150*MAX(0,Assumptions!$B$154-Assumptions!$B$18)+Assumptions!$B$151*MAX(0,Assumptions!$B$155-Assumptions!$B$18))*Assumptions!$B$19/Assumptions!$B$7*C7+C85*(Assumptions!$B$146*Assumptions!$B$20+Assumptions!$B$147*Assumptions!$B$21)/12/Assumptions!$B$7*C7,0)</f>
        <v>0</v>
      </c>
      <c r="D99" s="55">
        <f>IF(D2&gt;=Assumptions!$B$52,D91*D17*Assumptions!$B$17+D86*(Assumptions!$B$148*MAX(0,Assumptions!$B$152-Assumptions!$B$18)+Assumptions!$B$149*MAX(0,Assumptions!$B$153-Assumptions!$B$18)+Assumptions!$B$150*MAX(0,Assumptions!$B$154-Assumptions!$B$18)+Assumptions!$B$151*MAX(0,Assumptions!$B$155-Assumptions!$B$18))*Assumptions!$B$19/Assumptions!$B$7*D7+D85*(Assumptions!$B$146*Assumptions!$B$20+Assumptions!$B$147*Assumptions!$B$21)/12/Assumptions!$B$7*D7,0)</f>
        <v>0</v>
      </c>
      <c r="E99" s="55">
        <f>IF(E2&gt;=Assumptions!$B$52,E91*E17*Assumptions!$B$17+E86*(Assumptions!$B$148*MAX(0,Assumptions!$B$152-Assumptions!$B$18)+Assumptions!$B$149*MAX(0,Assumptions!$B$153-Assumptions!$B$18)+Assumptions!$B$150*MAX(0,Assumptions!$B$154-Assumptions!$B$18)+Assumptions!$B$151*MAX(0,Assumptions!$B$155-Assumptions!$B$18))*Assumptions!$B$19/Assumptions!$B$7*E7+E85*(Assumptions!$B$146*Assumptions!$B$20+Assumptions!$B$147*Assumptions!$B$21)/12/Assumptions!$B$7*E7,0)</f>
        <v>0</v>
      </c>
      <c r="F99" s="55">
        <f>IF(F2&gt;=Assumptions!$B$52,F91*F17*Assumptions!$B$17+F86*(Assumptions!$B$148*MAX(0,Assumptions!$B$152-Assumptions!$B$18)+Assumptions!$B$149*MAX(0,Assumptions!$B$153-Assumptions!$B$18)+Assumptions!$B$150*MAX(0,Assumptions!$B$154-Assumptions!$B$18)+Assumptions!$B$151*MAX(0,Assumptions!$B$155-Assumptions!$B$18))*Assumptions!$B$19/Assumptions!$B$7*F7+F85*(Assumptions!$B$146*Assumptions!$B$20+Assumptions!$B$147*Assumptions!$B$21)/12/Assumptions!$B$7*F7,0)</f>
        <v>0</v>
      </c>
      <c r="G99" s="55">
        <f>IF(G2&gt;=Assumptions!$B$52,G91*G17*Assumptions!$B$17+G86*(Assumptions!$B$148*MAX(0,Assumptions!$B$152-Assumptions!$B$18)+Assumptions!$B$149*MAX(0,Assumptions!$B$153-Assumptions!$B$18)+Assumptions!$B$150*MAX(0,Assumptions!$B$154-Assumptions!$B$18)+Assumptions!$B$151*MAX(0,Assumptions!$B$155-Assumptions!$B$18))*Assumptions!$B$19/Assumptions!$B$7*G7+G85*(Assumptions!$B$146*Assumptions!$B$20+Assumptions!$B$147*Assumptions!$B$21)/12/Assumptions!$B$7*G7,0)</f>
        <v>0</v>
      </c>
      <c r="H99" s="55">
        <f>IF(H2&gt;=Assumptions!$B$52,H91*H17*Assumptions!$B$17+H86*(Assumptions!$B$148*MAX(0,Assumptions!$B$152-Assumptions!$B$18)+Assumptions!$B$149*MAX(0,Assumptions!$B$153-Assumptions!$B$18)+Assumptions!$B$150*MAX(0,Assumptions!$B$154-Assumptions!$B$18)+Assumptions!$B$151*MAX(0,Assumptions!$B$155-Assumptions!$B$18))*Assumptions!$B$19/Assumptions!$B$7*H7+H85*(Assumptions!$B$146*Assumptions!$B$20+Assumptions!$B$147*Assumptions!$B$21)/12/Assumptions!$B$7*H7,0)</f>
        <v>0</v>
      </c>
      <c r="I99" s="55">
        <f>IF(I2&gt;=Assumptions!$B$52,I91*I17*Assumptions!$B$17+I86*(Assumptions!$B$148*MAX(0,Assumptions!$B$152-Assumptions!$B$18)+Assumptions!$B$149*MAX(0,Assumptions!$B$153-Assumptions!$B$18)+Assumptions!$B$150*MAX(0,Assumptions!$B$154-Assumptions!$B$18)+Assumptions!$B$151*MAX(0,Assumptions!$B$155-Assumptions!$B$18))*Assumptions!$B$19/Assumptions!$B$7*I7+I85*(Assumptions!$B$146*Assumptions!$B$20+Assumptions!$B$147*Assumptions!$B$21)/12/Assumptions!$B$7*I7,0)</f>
        <v>0</v>
      </c>
      <c r="J99" s="55">
        <f>IF(J2&gt;=Assumptions!$B$52,J91*J17*Assumptions!$B$17+J86*(Assumptions!$B$148*MAX(0,Assumptions!$B$152-Assumptions!$B$18)+Assumptions!$B$149*MAX(0,Assumptions!$B$153-Assumptions!$B$18)+Assumptions!$B$150*MAX(0,Assumptions!$B$154-Assumptions!$B$18)+Assumptions!$B$151*MAX(0,Assumptions!$B$155-Assumptions!$B$18))*Assumptions!$B$19/Assumptions!$B$7*J7+J85*(Assumptions!$B$146*Assumptions!$B$20+Assumptions!$B$147*Assumptions!$B$21)/12/Assumptions!$B$7*J7,0)</f>
        <v>0</v>
      </c>
      <c r="K99" s="55">
        <f>IF(K2&gt;=Assumptions!$B$52,K91*K17*Assumptions!$B$17+K86*(Assumptions!$B$148*MAX(0,Assumptions!$B$152-Assumptions!$B$18)+Assumptions!$B$149*MAX(0,Assumptions!$B$153-Assumptions!$B$18)+Assumptions!$B$150*MAX(0,Assumptions!$B$154-Assumptions!$B$18)+Assumptions!$B$151*MAX(0,Assumptions!$B$155-Assumptions!$B$18))*Assumptions!$B$19/Assumptions!$B$7*K7+K85*(Assumptions!$B$146*Assumptions!$B$20+Assumptions!$B$147*Assumptions!$B$21)/12/Assumptions!$B$7*K7,0)</f>
        <v>0</v>
      </c>
      <c r="L99" s="55">
        <f>IF(L2&gt;=Assumptions!$B$52,L91*L17*Assumptions!$B$17+L86*(Assumptions!$B$148*MAX(0,Assumptions!$B$152-Assumptions!$B$18)+Assumptions!$B$149*MAX(0,Assumptions!$B$153-Assumptions!$B$18)+Assumptions!$B$150*MAX(0,Assumptions!$B$154-Assumptions!$B$18)+Assumptions!$B$151*MAX(0,Assumptions!$B$155-Assumptions!$B$18))*Assumptions!$B$19/Assumptions!$B$7*L7+L85*(Assumptions!$B$146*Assumptions!$B$20+Assumptions!$B$147*Assumptions!$B$21)/12/Assumptions!$B$7*L7,0)</f>
        <v>0</v>
      </c>
      <c r="M99" s="55">
        <f>IF(M2&gt;=Assumptions!$B$52,M91*M17*Assumptions!$B$17+M86*(Assumptions!$B$148*MAX(0,Assumptions!$B$152-Assumptions!$B$18)+Assumptions!$B$149*MAX(0,Assumptions!$B$153-Assumptions!$B$18)+Assumptions!$B$150*MAX(0,Assumptions!$B$154-Assumptions!$B$18)+Assumptions!$B$151*MAX(0,Assumptions!$B$155-Assumptions!$B$18))*Assumptions!$B$19/Assumptions!$B$7*M7+M85*(Assumptions!$B$146*Assumptions!$B$20+Assumptions!$B$147*Assumptions!$B$21)/12/Assumptions!$B$7*M7,0)</f>
        <v>0</v>
      </c>
      <c r="N99" s="55">
        <f>IF(N2&gt;=Assumptions!$B$52,N91*N17*Assumptions!$B$17+N86*(Assumptions!$B$148*MAX(0,Assumptions!$B$152-Assumptions!$B$18)+Assumptions!$B$149*MAX(0,Assumptions!$B$153-Assumptions!$B$18)+Assumptions!$B$150*MAX(0,Assumptions!$B$154-Assumptions!$B$18)+Assumptions!$B$151*MAX(0,Assumptions!$B$155-Assumptions!$B$18))*Assumptions!$B$19/Assumptions!$B$7*N7+N85*(Assumptions!$B$146*Assumptions!$B$20+Assumptions!$B$147*Assumptions!$B$21)/12/Assumptions!$B$7*N7,0)</f>
        <v>0</v>
      </c>
      <c r="O99" s="55">
        <f>IF(O2&gt;=Assumptions!$B$52,O91*O17*Assumptions!$B$17+O86*(Assumptions!$B$148*MAX(0,Assumptions!$B$152-Assumptions!$B$18)+Assumptions!$B$149*MAX(0,Assumptions!$B$153-Assumptions!$B$18)+Assumptions!$B$150*MAX(0,Assumptions!$B$154-Assumptions!$B$18)+Assumptions!$B$151*MAX(0,Assumptions!$B$155-Assumptions!$B$18))*Assumptions!$B$19/Assumptions!$B$7*O7+O85*(Assumptions!$B$146*Assumptions!$B$20+Assumptions!$B$147*Assumptions!$B$21)/12/Assumptions!$B$7*O7,0)</f>
        <v>0</v>
      </c>
      <c r="P99" s="55">
        <f>IF(P2&gt;=Assumptions!$B$52,P91*P17*Assumptions!$B$17+P86*(Assumptions!$B$148*MAX(0,Assumptions!$B$152-Assumptions!$B$18)+Assumptions!$B$149*MAX(0,Assumptions!$B$153-Assumptions!$B$18)+Assumptions!$B$150*MAX(0,Assumptions!$B$154-Assumptions!$B$18)+Assumptions!$B$151*MAX(0,Assumptions!$B$155-Assumptions!$B$18))*Assumptions!$B$19/Assumptions!$B$7*P7+P85*(Assumptions!$B$146*Assumptions!$B$20+Assumptions!$B$147*Assumptions!$B$21)/12/Assumptions!$B$7*P7,0)</f>
        <v>0</v>
      </c>
      <c r="Q99" s="55">
        <f>IF(Q2&gt;=Assumptions!$B$52,Q91*Q17*Assumptions!$B$17+Q86*(Assumptions!$B$148*MAX(0,Assumptions!$B$152-Assumptions!$B$18)+Assumptions!$B$149*MAX(0,Assumptions!$B$153-Assumptions!$B$18)+Assumptions!$B$150*MAX(0,Assumptions!$B$154-Assumptions!$B$18)+Assumptions!$B$151*MAX(0,Assumptions!$B$155-Assumptions!$B$18))*Assumptions!$B$19/Assumptions!$B$7*Q7+Q85*(Assumptions!$B$146*Assumptions!$B$20+Assumptions!$B$147*Assumptions!$B$21)/12/Assumptions!$B$7*Q7,0)</f>
        <v>0</v>
      </c>
      <c r="R99" s="55">
        <f>IF(R2&gt;=Assumptions!$B$52,R91*R17*Assumptions!$B$17+R86*(Assumptions!$B$148*MAX(0,Assumptions!$B$152-Assumptions!$B$18)+Assumptions!$B$149*MAX(0,Assumptions!$B$153-Assumptions!$B$18)+Assumptions!$B$150*MAX(0,Assumptions!$B$154-Assumptions!$B$18)+Assumptions!$B$151*MAX(0,Assumptions!$B$155-Assumptions!$B$18))*Assumptions!$B$19/Assumptions!$B$7*R7+R85*(Assumptions!$B$146*Assumptions!$B$20+Assumptions!$B$147*Assumptions!$B$21)/12/Assumptions!$B$7*R7,0)</f>
        <v>0</v>
      </c>
      <c r="S99" s="55">
        <f>IF(S2&gt;=Assumptions!$B$52,S91*S17*Assumptions!$B$17+S86*(Assumptions!$B$148*MAX(0,Assumptions!$B$152-Assumptions!$B$18)+Assumptions!$B$149*MAX(0,Assumptions!$B$153-Assumptions!$B$18)+Assumptions!$B$150*MAX(0,Assumptions!$B$154-Assumptions!$B$18)+Assumptions!$B$151*MAX(0,Assumptions!$B$155-Assumptions!$B$18))*Assumptions!$B$19/Assumptions!$B$7*S7+S85*(Assumptions!$B$146*Assumptions!$B$20+Assumptions!$B$147*Assumptions!$B$21)/12/Assumptions!$B$7*S7,0)</f>
        <v>0</v>
      </c>
      <c r="T99" s="55">
        <f>IF(T2&gt;=Assumptions!$B$52,T91*T17*Assumptions!$B$17+T86*(Assumptions!$B$148*MAX(0,Assumptions!$B$152-Assumptions!$B$18)+Assumptions!$B$149*MAX(0,Assumptions!$B$153-Assumptions!$B$18)+Assumptions!$B$150*MAX(0,Assumptions!$B$154-Assumptions!$B$18)+Assumptions!$B$151*MAX(0,Assumptions!$B$155-Assumptions!$B$18))*Assumptions!$B$19/Assumptions!$B$7*T7+T85*(Assumptions!$B$146*Assumptions!$B$20+Assumptions!$B$147*Assumptions!$B$21)/12/Assumptions!$B$7*T7,0)</f>
        <v>0</v>
      </c>
      <c r="U99" s="55">
        <f>IF(U2&gt;=Assumptions!$B$52,U91*U17*Assumptions!$B$17+U86*(Assumptions!$B$148*MAX(0,Assumptions!$B$152-Assumptions!$B$18)+Assumptions!$B$149*MAX(0,Assumptions!$B$153-Assumptions!$B$18)+Assumptions!$B$150*MAX(0,Assumptions!$B$154-Assumptions!$B$18)+Assumptions!$B$151*MAX(0,Assumptions!$B$155-Assumptions!$B$18))*Assumptions!$B$19/Assumptions!$B$7*U7+U85*(Assumptions!$B$146*Assumptions!$B$20+Assumptions!$B$147*Assumptions!$B$21)/12/Assumptions!$B$7*U7,0)</f>
        <v>0</v>
      </c>
      <c r="V99" s="55">
        <f>IF(V2&gt;=Assumptions!$B$52,V91*V17*Assumptions!$B$17+V86*(Assumptions!$B$148*MAX(0,Assumptions!$B$152-Assumptions!$B$18)+Assumptions!$B$149*MAX(0,Assumptions!$B$153-Assumptions!$B$18)+Assumptions!$B$150*MAX(0,Assumptions!$B$154-Assumptions!$B$18)+Assumptions!$B$151*MAX(0,Assumptions!$B$155-Assumptions!$B$18))*Assumptions!$B$19/Assumptions!$B$7*V7+V85*(Assumptions!$B$146*Assumptions!$B$20+Assumptions!$B$147*Assumptions!$B$21)/12/Assumptions!$B$7*V7,0)</f>
        <v>0</v>
      </c>
      <c r="W99" s="55">
        <f>IF(W2&gt;=Assumptions!$B$52,W91*W17*Assumptions!$B$17+W86*(Assumptions!$B$148*MAX(0,Assumptions!$B$152-Assumptions!$B$18)+Assumptions!$B$149*MAX(0,Assumptions!$B$153-Assumptions!$B$18)+Assumptions!$B$150*MAX(0,Assumptions!$B$154-Assumptions!$B$18)+Assumptions!$B$151*MAX(0,Assumptions!$B$155-Assumptions!$B$18))*Assumptions!$B$19/Assumptions!$B$7*W7+W85*(Assumptions!$B$146*Assumptions!$B$20+Assumptions!$B$147*Assumptions!$B$21)/12/Assumptions!$B$7*W7,0)</f>
        <v>22.500797767709855</v>
      </c>
      <c r="X99" s="55">
        <f>IF(X2&gt;=Assumptions!$B$52,X91*X17*Assumptions!$B$17+X86*(Assumptions!$B$148*MAX(0,Assumptions!$B$152-Assumptions!$B$18)+Assumptions!$B$149*MAX(0,Assumptions!$B$153-Assumptions!$B$18)+Assumptions!$B$150*MAX(0,Assumptions!$B$154-Assumptions!$B$18)+Assumptions!$B$151*MAX(0,Assumptions!$B$155-Assumptions!$B$18))*Assumptions!$B$19/Assumptions!$B$7*X7+X85*(Assumptions!$B$146*Assumptions!$B$20+Assumptions!$B$147*Assumptions!$B$21)/12/Assumptions!$B$7*X7,0)</f>
        <v>44.404025744151255</v>
      </c>
      <c r="Y99" s="55">
        <f>IF(Y2&gt;=Assumptions!$B$52,Y91*Y17*Assumptions!$B$17+Y86*(Assumptions!$B$148*MAX(0,Assumptions!$B$152-Assumptions!$B$18)+Assumptions!$B$149*MAX(0,Assumptions!$B$153-Assumptions!$B$18)+Assumptions!$B$150*MAX(0,Assumptions!$B$154-Assumptions!$B$18)+Assumptions!$B$151*MAX(0,Assumptions!$B$155-Assumptions!$B$18))*Assumptions!$B$19/Assumptions!$B$7*Y7+Y85*(Assumptions!$B$146*Assumptions!$B$20+Assumptions!$B$147*Assumptions!$B$21)/12/Assumptions!$B$7*Y7,0)</f>
        <v>65.629080077822934</v>
      </c>
      <c r="Z99" s="55">
        <f>IF(Z2&gt;=Assumptions!$B$52,Z91*Z17*Assumptions!$B$17+Z86*(Assumptions!$B$148*MAX(0,Assumptions!$B$152-Assumptions!$B$18)+Assumptions!$B$149*MAX(0,Assumptions!$B$153-Assumptions!$B$18)+Assumptions!$B$150*MAX(0,Assumptions!$B$154-Assumptions!$B$18)+Assumptions!$B$151*MAX(0,Assumptions!$B$155-Assumptions!$B$18))*Assumptions!$B$19/Assumptions!$B$7*Z7+Z85*(Assumptions!$B$146*Assumptions!$B$20+Assumptions!$B$147*Assumptions!$B$21)/12/Assumptions!$B$7*Z7,0)</f>
        <v>92.342570695381085</v>
      </c>
      <c r="AA99" s="55">
        <f>IF(AA2&gt;=Assumptions!$B$52,AA91*AA17*Assumptions!$B$17+AA86*(Assumptions!$B$148*MAX(0,Assumptions!$B$152-Assumptions!$B$18)+Assumptions!$B$149*MAX(0,Assumptions!$B$153-Assumptions!$B$18)+Assumptions!$B$150*MAX(0,Assumptions!$B$154-Assumptions!$B$18)+Assumptions!$B$151*MAX(0,Assumptions!$B$155-Assumptions!$B$18))*Assumptions!$B$19/Assumptions!$B$7*AA7+AA85*(Assumptions!$B$146*Assumptions!$B$20+Assumptions!$B$147*Assumptions!$B$21)/12/Assumptions!$B$7*AA7,0)</f>
        <v>9240.1256981736587</v>
      </c>
      <c r="AB99" s="55">
        <f>IF(AB2&gt;=Assumptions!$B$52,AB91*AB17*Assumptions!$B$17+AB86*(Assumptions!$B$148*MAX(0,Assumptions!$B$152-Assumptions!$B$18)+Assumptions!$B$149*MAX(0,Assumptions!$B$153-Assumptions!$B$18)+Assumptions!$B$150*MAX(0,Assumptions!$B$154-Assumptions!$B$18)+Assumptions!$B$151*MAX(0,Assumptions!$B$155-Assumptions!$B$18))*Assumptions!$B$19/Assumptions!$B$7*AB7+AB85*(Assumptions!$B$146*Assumptions!$B$20+Assumptions!$B$147*Assumptions!$B$21)/12/Assumptions!$B$7*AB7,0)</f>
        <v>17912.464556967563</v>
      </c>
      <c r="AC99" s="55">
        <f>IF(AC2&gt;=Assumptions!$B$52,AC91*AC17*Assumptions!$B$17+AC86*(Assumptions!$B$148*MAX(0,Assumptions!$B$152-Assumptions!$B$18)+Assumptions!$B$149*MAX(0,Assumptions!$B$153-Assumptions!$B$18)+Assumptions!$B$150*MAX(0,Assumptions!$B$154-Assumptions!$B$18)+Assumptions!$B$151*MAX(0,Assumptions!$B$155-Assumptions!$B$18))*Assumptions!$B$19/Assumptions!$B$7*AC7+AC85*(Assumptions!$B$146*Assumptions!$B$20+Assumptions!$B$147*Assumptions!$B$21)/12/Assumptions!$B$7*AC7,0)</f>
        <v>29956.510898178392</v>
      </c>
      <c r="AD99" s="55">
        <f>IF(AD2&gt;=Assumptions!$B$52,AD91*AD17*Assumptions!$B$17+AD86*(Assumptions!$B$148*MAX(0,Assumptions!$B$152-Assumptions!$B$18)+Assumptions!$B$149*MAX(0,Assumptions!$B$153-Assumptions!$B$18)+Assumptions!$B$150*MAX(0,Assumptions!$B$154-Assumptions!$B$18)+Assumptions!$B$151*MAX(0,Assumptions!$B$155-Assumptions!$B$18))*Assumptions!$B$19/Assumptions!$B$7*AD7+AD85*(Assumptions!$B$146*Assumptions!$B$20+Assumptions!$B$147*Assumptions!$B$21)/12/Assumptions!$B$7*AD7,0)</f>
        <v>44053.24183441708</v>
      </c>
      <c r="AE99" s="55">
        <f>IF(AE2&gt;=Assumptions!$B$52,AE91*AE17*Assumptions!$B$17+AE86*(Assumptions!$B$148*MAX(0,Assumptions!$B$152-Assumptions!$B$18)+Assumptions!$B$149*MAX(0,Assumptions!$B$153-Assumptions!$B$18)+Assumptions!$B$150*MAX(0,Assumptions!$B$154-Assumptions!$B$18)+Assumptions!$B$151*MAX(0,Assumptions!$B$155-Assumptions!$B$18))*Assumptions!$B$19/Assumptions!$B$7*AE7+AE85*(Assumptions!$B$146*Assumptions!$B$20+Assumptions!$B$147*Assumptions!$B$21)/12/Assumptions!$B$7*AE7,0)</f>
        <v>58212.16267711157</v>
      </c>
    </row>
    <row r="100" spans="1:31" x14ac:dyDescent="0.25">
      <c r="A100" s="6" t="s">
        <v>495</v>
      </c>
      <c r="B100" s="23" t="s">
        <v>114</v>
      </c>
      <c r="C100" s="55">
        <f>IF(C2&gt;=Assumptions!$B$53,C85*C87*(1-Assumptions!$B$178)*Assumptions!$B$156*Assumptions!$B$157,0)</f>
        <v>0</v>
      </c>
      <c r="D100" s="55">
        <f>IF(D2&gt;=Assumptions!$B$53,D85*D87*(1-Assumptions!$B$178)*Assumptions!$B$156*Assumptions!$B$157,0)</f>
        <v>0</v>
      </c>
      <c r="E100" s="55">
        <f>IF(E2&gt;=Assumptions!$B$53,E85*E87*(1-Assumptions!$B$178)*Assumptions!$B$156*Assumptions!$B$157,0)</f>
        <v>0</v>
      </c>
      <c r="F100" s="55">
        <f>IF(F2&gt;=Assumptions!$B$53,F85*F87*(1-Assumptions!$B$178)*Assumptions!$B$156*Assumptions!$B$157,0)</f>
        <v>0</v>
      </c>
      <c r="G100" s="55">
        <f>IF(G2&gt;=Assumptions!$B$53,G85*G87*(1-Assumptions!$B$178)*Assumptions!$B$156*Assumptions!$B$157,0)</f>
        <v>0</v>
      </c>
      <c r="H100" s="55">
        <f>IF(H2&gt;=Assumptions!$B$53,H85*H87*(1-Assumptions!$B$178)*Assumptions!$B$156*Assumptions!$B$157,0)</f>
        <v>0</v>
      </c>
      <c r="I100" s="55">
        <f>IF(I2&gt;=Assumptions!$B$53,I85*I87*(1-Assumptions!$B$178)*Assumptions!$B$156*Assumptions!$B$157,0)</f>
        <v>0</v>
      </c>
      <c r="J100" s="55">
        <f>IF(J2&gt;=Assumptions!$B$53,J85*J87*(1-Assumptions!$B$178)*Assumptions!$B$156*Assumptions!$B$157,0)</f>
        <v>0</v>
      </c>
      <c r="K100" s="55">
        <f>IF(K2&gt;=Assumptions!$B$53,K85*K87*(1-Assumptions!$B$178)*Assumptions!$B$156*Assumptions!$B$157,0)</f>
        <v>0</v>
      </c>
      <c r="L100" s="55">
        <f>IF(L2&gt;=Assumptions!$B$53,L85*L87*(1-Assumptions!$B$178)*Assumptions!$B$156*Assumptions!$B$157,0)</f>
        <v>0</v>
      </c>
      <c r="M100" s="55">
        <f>IF(M2&gt;=Assumptions!$B$53,M85*M87*(1-Assumptions!$B$178)*Assumptions!$B$156*Assumptions!$B$157,0)</f>
        <v>0</v>
      </c>
      <c r="N100" s="55">
        <f>IF(N2&gt;=Assumptions!$B$53,N85*N87*(1-Assumptions!$B$178)*Assumptions!$B$156*Assumptions!$B$157,0)</f>
        <v>0</v>
      </c>
      <c r="O100" s="55">
        <f>IF(O2&gt;=Assumptions!$B$53,O85*O87*(1-Assumptions!$B$178)*Assumptions!$B$156*Assumptions!$B$157,0)</f>
        <v>0</v>
      </c>
      <c r="P100" s="55">
        <f>IF(P2&gt;=Assumptions!$B$53,P85*P87*(1-Assumptions!$B$178)*Assumptions!$B$156*Assumptions!$B$157,0)</f>
        <v>0</v>
      </c>
      <c r="Q100" s="55">
        <f>IF(Q2&gt;=Assumptions!$B$53,Q85*Q87*(1-Assumptions!$B$178)*Assumptions!$B$156*Assumptions!$B$157,0)</f>
        <v>0</v>
      </c>
      <c r="R100" s="55">
        <f>IF(R2&gt;=Assumptions!$B$53,R85*R87*(1-Assumptions!$B$178)*Assumptions!$B$156*Assumptions!$B$157,0)</f>
        <v>0</v>
      </c>
      <c r="S100" s="55">
        <f>IF(S2&gt;=Assumptions!$B$53,S85*S87*(1-Assumptions!$B$178)*Assumptions!$B$156*Assumptions!$B$157,0)</f>
        <v>0</v>
      </c>
      <c r="T100" s="55">
        <f>IF(T2&gt;=Assumptions!$B$53,T85*T87*(1-Assumptions!$B$178)*Assumptions!$B$156*Assumptions!$B$157,0)</f>
        <v>0</v>
      </c>
      <c r="U100" s="55">
        <f>IF(U2&gt;=Assumptions!$B$53,U85*U87*(1-Assumptions!$B$178)*Assumptions!$B$156*Assumptions!$B$157,0)</f>
        <v>0</v>
      </c>
      <c r="V100" s="55">
        <f>IF(V2&gt;=Assumptions!$B$53,V85*V87*(1-Assumptions!$B$178)*Assumptions!$B$156*Assumptions!$B$157,0)</f>
        <v>0</v>
      </c>
      <c r="W100" s="55">
        <f>IF(W2&gt;=Assumptions!$B$53,W85*W87*(1-Assumptions!$B$178)*Assumptions!$B$156*Assumptions!$B$157,0)</f>
        <v>101.95183775511164</v>
      </c>
      <c r="X100" s="55">
        <f>IF(X2&gt;=Assumptions!$B$53,X85*X87*(1-Assumptions!$B$178)*Assumptions!$B$156*Assumptions!$B$157,0)</f>
        <v>213.25935519465369</v>
      </c>
      <c r="Y100" s="55">
        <f>IF(Y2&gt;=Assumptions!$B$53,Y85*Y87*(1-Assumptions!$B$178)*Assumptions!$B$156*Assumptions!$B$157,0)</f>
        <v>340.25460988195999</v>
      </c>
      <c r="Z100" s="55">
        <f>IF(Z2&gt;=Assumptions!$B$53,Z85*Z87*(1-Assumptions!$B$178)*Assumptions!$B$156*Assumptions!$B$157,0)</f>
        <v>524.3039852187552</v>
      </c>
      <c r="AA100" s="55">
        <f>IF(AA2&gt;=Assumptions!$B$53,AA85*AA87*(1-Assumptions!$B$178)*Assumptions!$B$156*Assumptions!$B$157,0)</f>
        <v>10630.612608473912</v>
      </c>
      <c r="AB100" s="55">
        <f>IF(AB2&gt;=Assumptions!$B$53,AB85*AB87*(1-Assumptions!$B$178)*Assumptions!$B$156*Assumptions!$B$157,0)</f>
        <v>28747.733550892692</v>
      </c>
      <c r="AC100" s="55">
        <f>IF(AC2&gt;=Assumptions!$B$53,AC85*AC87*(1-Assumptions!$B$178)*Assumptions!$B$156*Assumptions!$B$157,0)</f>
        <v>59801.243915307517</v>
      </c>
      <c r="AD100" s="55">
        <f>IF(AD2&gt;=Assumptions!$B$53,AD85*AD87*(1-Assumptions!$B$178)*Assumptions!$B$156*Assumptions!$B$157,0)</f>
        <v>107858.97334741161</v>
      </c>
      <c r="AE100" s="55">
        <f>IF(AE2&gt;=Assumptions!$B$53,AE85*AE87*(1-Assumptions!$B$178)*Assumptions!$B$156*Assumptions!$B$157,0)</f>
        <v>176667.51270089857</v>
      </c>
    </row>
    <row r="101" spans="1:31" x14ac:dyDescent="0.25">
      <c r="A101" s="6" t="s">
        <v>496</v>
      </c>
      <c r="B101" s="23" t="s">
        <v>114</v>
      </c>
      <c r="C101" s="55">
        <f>IF(C2&gt;=Assumptions!$B$53,(C100*Assumptions!$B$29*Assumptions!$B$30+C86*C88*(1-Assumptions!$B$178)*Assumptions!$B$27*Assumptions!$B$28)*C7/12,0)</f>
        <v>0</v>
      </c>
      <c r="D101" s="55">
        <f>IF(D2&gt;=Assumptions!$B$53,(D100*Assumptions!$B$29*Assumptions!$B$30+D86*D88*(1-Assumptions!$B$178)*Assumptions!$B$27*Assumptions!$B$28)*D7/12,0)</f>
        <v>0</v>
      </c>
      <c r="E101" s="55">
        <f>IF(E2&gt;=Assumptions!$B$53,(E100*Assumptions!$B$29*Assumptions!$B$30+E86*E88*(1-Assumptions!$B$178)*Assumptions!$B$27*Assumptions!$B$28)*E7/12,0)</f>
        <v>0</v>
      </c>
      <c r="F101" s="55">
        <f>IF(F2&gt;=Assumptions!$B$53,(F100*Assumptions!$B$29*Assumptions!$B$30+F86*F88*(1-Assumptions!$B$178)*Assumptions!$B$27*Assumptions!$B$28)*F7/12,0)</f>
        <v>0</v>
      </c>
      <c r="G101" s="55">
        <f>IF(G2&gt;=Assumptions!$B$53,(G100*Assumptions!$B$29*Assumptions!$B$30+G86*G88*(1-Assumptions!$B$178)*Assumptions!$B$27*Assumptions!$B$28)*G7/12,0)</f>
        <v>0</v>
      </c>
      <c r="H101" s="55">
        <f>IF(H2&gt;=Assumptions!$B$53,(H100*Assumptions!$B$29*Assumptions!$B$30+H86*H88*(1-Assumptions!$B$178)*Assumptions!$B$27*Assumptions!$B$28)*H7/12,0)</f>
        <v>0</v>
      </c>
      <c r="I101" s="55">
        <f>IF(I2&gt;=Assumptions!$B$53,(I100*Assumptions!$B$29*Assumptions!$B$30+I86*I88*(1-Assumptions!$B$178)*Assumptions!$B$27*Assumptions!$B$28)*I7/12,0)</f>
        <v>0</v>
      </c>
      <c r="J101" s="55">
        <f>IF(J2&gt;=Assumptions!$B$53,(J100*Assumptions!$B$29*Assumptions!$B$30+J86*J88*(1-Assumptions!$B$178)*Assumptions!$B$27*Assumptions!$B$28)*J7/12,0)</f>
        <v>0</v>
      </c>
      <c r="K101" s="55">
        <f>IF(K2&gt;=Assumptions!$B$53,(K100*Assumptions!$B$29*Assumptions!$B$30+K86*K88*(1-Assumptions!$B$178)*Assumptions!$B$27*Assumptions!$B$28)*K7/12,0)</f>
        <v>0</v>
      </c>
      <c r="L101" s="55">
        <f>IF(L2&gt;=Assumptions!$B$53,(L100*Assumptions!$B$29*Assumptions!$B$30+L86*L88*(1-Assumptions!$B$178)*Assumptions!$B$27*Assumptions!$B$28)*L7/12,0)</f>
        <v>0</v>
      </c>
      <c r="M101" s="55">
        <f>IF(M2&gt;=Assumptions!$B$53,(M100*Assumptions!$B$29*Assumptions!$B$30+M86*M88*(1-Assumptions!$B$178)*Assumptions!$B$27*Assumptions!$B$28)*M7/12,0)</f>
        <v>0</v>
      </c>
      <c r="N101" s="55">
        <f>IF(N2&gt;=Assumptions!$B$53,(N100*Assumptions!$B$29*Assumptions!$B$30+N86*N88*(1-Assumptions!$B$178)*Assumptions!$B$27*Assumptions!$B$28)*N7/12,0)</f>
        <v>0</v>
      </c>
      <c r="O101" s="55">
        <f>IF(O2&gt;=Assumptions!$B$53,(O100*Assumptions!$B$29*Assumptions!$B$30+O86*O88*(1-Assumptions!$B$178)*Assumptions!$B$27*Assumptions!$B$28)*O7/12,0)</f>
        <v>0</v>
      </c>
      <c r="P101" s="55">
        <f>IF(P2&gt;=Assumptions!$B$53,(P100*Assumptions!$B$29*Assumptions!$B$30+P86*P88*(1-Assumptions!$B$178)*Assumptions!$B$27*Assumptions!$B$28)*P7/12,0)</f>
        <v>0</v>
      </c>
      <c r="Q101" s="55">
        <f>IF(Q2&gt;=Assumptions!$B$53,(Q100*Assumptions!$B$29*Assumptions!$B$30+Q86*Q88*(1-Assumptions!$B$178)*Assumptions!$B$27*Assumptions!$B$28)*Q7/12,0)</f>
        <v>0</v>
      </c>
      <c r="R101" s="55">
        <f>IF(R2&gt;=Assumptions!$B$53,(R100*Assumptions!$B$29*Assumptions!$B$30+R86*R88*(1-Assumptions!$B$178)*Assumptions!$B$27*Assumptions!$B$28)*R7/12,0)</f>
        <v>0</v>
      </c>
      <c r="S101" s="55">
        <f>IF(S2&gt;=Assumptions!$B$53,(S100*Assumptions!$B$29*Assumptions!$B$30+S86*S88*(1-Assumptions!$B$178)*Assumptions!$B$27*Assumptions!$B$28)*S7/12,0)</f>
        <v>0</v>
      </c>
      <c r="T101" s="55">
        <f>IF(T2&gt;=Assumptions!$B$53,(T100*Assumptions!$B$29*Assumptions!$B$30+T86*T88*(1-Assumptions!$B$178)*Assumptions!$B$27*Assumptions!$B$28)*T7/12,0)</f>
        <v>0</v>
      </c>
      <c r="U101" s="55">
        <f>IF(U2&gt;=Assumptions!$B$53,(U100*Assumptions!$B$29*Assumptions!$B$30+U86*U88*(1-Assumptions!$B$178)*Assumptions!$B$27*Assumptions!$B$28)*U7/12,0)</f>
        <v>0</v>
      </c>
      <c r="V101" s="55">
        <f>IF(V2&gt;=Assumptions!$B$53,(V100*Assumptions!$B$29*Assumptions!$B$30+V86*V88*(1-Assumptions!$B$178)*Assumptions!$B$27*Assumptions!$B$28)*V7/12,0)</f>
        <v>0</v>
      </c>
      <c r="W101" s="55">
        <f>IF(W2&gt;=Assumptions!$B$53,(W100*Assumptions!$B$29*Assumptions!$B$30+W86*W88*(1-Assumptions!$B$178)*Assumptions!$B$27*Assumptions!$B$28)*W7/12,0)</f>
        <v>0.20105435717726186</v>
      </c>
      <c r="X101" s="55">
        <f>IF(X2&gt;=Assumptions!$B$53,(X100*Assumptions!$B$29*Assumptions!$B$30+X86*X88*(1-Assumptions!$B$178)*Assumptions!$B$27*Assumptions!$B$28)*X7/12,0)</f>
        <v>0.41591867103962682</v>
      </c>
      <c r="Y101" s="55">
        <f>IF(Y2&gt;=Assumptions!$B$53,(Y100*Assumptions!$B$29*Assumptions!$B$30+Y86*Y88*(1-Assumptions!$B$178)*Assumptions!$B$27*Assumptions!$B$28)*Y7/12,0)</f>
        <v>0.65398149708038833</v>
      </c>
      <c r="Z101" s="55">
        <f>IF(Z2&gt;=Assumptions!$B$53,(Z100*Assumptions!$B$29*Assumptions!$B$30+Z86*Z88*(1-Assumptions!$B$178)*Assumptions!$B$27*Assumptions!$B$28)*Z7/12,0)</f>
        <v>0.98980743066954113</v>
      </c>
      <c r="AA101" s="55">
        <f>IF(AA2&gt;=Assumptions!$B$53,(AA100*Assumptions!$B$29*Assumptions!$B$30+AA86*AA88*(1-Assumptions!$B$178)*Assumptions!$B$27*Assumptions!$B$28)*AA7/12,0)</f>
        <v>202.74679004584809</v>
      </c>
      <c r="AB101" s="55">
        <f>IF(AB2&gt;=Assumptions!$B$53,(AB100*Assumptions!$B$29*Assumptions!$B$30+AB86*AB88*(1-Assumptions!$B$178)*Assumptions!$B$27*Assumptions!$B$28)*AB7/12,0)</f>
        <v>490.34442427072162</v>
      </c>
      <c r="AC101" s="55">
        <f>IF(AC2&gt;=Assumptions!$B$53,(AC100*Assumptions!$B$29*Assumptions!$B$30+AC86*AC88*(1-Assumptions!$B$178)*Assumptions!$B$27*Assumptions!$B$28)*AC7/12,0)</f>
        <v>931.52414530237149</v>
      </c>
      <c r="AD101" s="55">
        <f>IF(AD2&gt;=Assumptions!$B$53,(AD100*Assumptions!$B$29*Assumptions!$B$30+AD86*AD88*(1-Assumptions!$B$178)*Assumptions!$B$27*Assumptions!$B$28)*AD7/12,0)</f>
        <v>1526.4483757011631</v>
      </c>
      <c r="AE101" s="55">
        <f>IF(AE2&gt;=Assumptions!$B$53,(AE100*Assumptions!$B$29*Assumptions!$B$30+AE86*AE88*(1-Assumptions!$B$178)*Assumptions!$B$27*Assumptions!$B$28)*AE7/12,0)</f>
        <v>2243.4213770127599</v>
      </c>
    </row>
    <row r="102" spans="1:31" x14ac:dyDescent="0.25">
      <c r="A102" s="6" t="s">
        <v>497</v>
      </c>
      <c r="B102" s="23" t="s">
        <v>498</v>
      </c>
      <c r="C102" s="45">
        <f>IF(C2&gt;=Assumptions!$B$49,(C71+C73*Assumptions!$B$138)*Assumptions!$B$137*C7/12,0)</f>
        <v>0</v>
      </c>
      <c r="D102" s="45">
        <f>IF(D2&gt;=Assumptions!$B$49,(D71+D73*Assumptions!$B$138)*Assumptions!$B$137*D7/12,0)</f>
        <v>0</v>
      </c>
      <c r="E102" s="45">
        <f>IF(E2&gt;=Assumptions!$B$49,(E71+E73*Assumptions!$B$138)*Assumptions!$B$137*E7/12,0)</f>
        <v>0</v>
      </c>
      <c r="F102" s="45">
        <f>IF(F2&gt;=Assumptions!$B$49,(F71+F73*Assumptions!$B$138)*Assumptions!$B$137*F7/12,0)</f>
        <v>0</v>
      </c>
      <c r="G102" s="45">
        <f>IF(G2&gt;=Assumptions!$B$49,(G71+G73*Assumptions!$B$138)*Assumptions!$B$137*G7/12,0)</f>
        <v>0</v>
      </c>
      <c r="H102" s="45">
        <f>IF(H2&gt;=Assumptions!$B$49,(H71+H73*Assumptions!$B$138)*Assumptions!$B$137*H7/12,0)</f>
        <v>0</v>
      </c>
      <c r="I102" s="45">
        <f>IF(I2&gt;=Assumptions!$B$49,(I71+I73*Assumptions!$B$138)*Assumptions!$B$137*I7/12,0)</f>
        <v>0</v>
      </c>
      <c r="J102" s="45">
        <f>IF(J2&gt;=Assumptions!$B$49,(J71+J73*Assumptions!$B$138)*Assumptions!$B$137*J7/12,0)</f>
        <v>0</v>
      </c>
      <c r="K102" s="45">
        <f>IF(K2&gt;=Assumptions!$B$49,(K71+K73*Assumptions!$B$138)*Assumptions!$B$137*K7/12,0)</f>
        <v>0</v>
      </c>
      <c r="L102" s="45">
        <f>IF(L2&gt;=Assumptions!$B$49,(L71+L73*Assumptions!$B$138)*Assumptions!$B$137*L7/12,0)</f>
        <v>0</v>
      </c>
      <c r="M102" s="45">
        <f>IF(M2&gt;=Assumptions!$B$49,(M71+M73*Assumptions!$B$138)*Assumptions!$B$137*M7/12,0)</f>
        <v>0</v>
      </c>
      <c r="N102" s="45">
        <f>IF(N2&gt;=Assumptions!$B$49,(N71+N73*Assumptions!$B$138)*Assumptions!$B$137*N7/12,0)</f>
        <v>0</v>
      </c>
      <c r="O102" s="45">
        <f>IF(O2&gt;=Assumptions!$B$49,(O71+O73*Assumptions!$B$138)*Assumptions!$B$137*O7/12,0)</f>
        <v>0.36758358546588304</v>
      </c>
      <c r="P102" s="45">
        <f>IF(P2&gt;=Assumptions!$B$49,(P71+P73*Assumptions!$B$138)*Assumptions!$B$137*P7/12,0)</f>
        <v>0.73721785648444771</v>
      </c>
      <c r="Q102" s="45">
        <f>IF(Q2&gt;=Assumptions!$B$49,(Q71+Q73*Assumptions!$B$138)*Assumptions!$B$137*Q7/12,0)</f>
        <v>1.1102327566204668</v>
      </c>
      <c r="R102" s="45">
        <f>IF(R2&gt;=Assumptions!$B$49,(R71+R73*Assumptions!$B$138)*Assumptions!$B$137*R7/12,0)</f>
        <v>1.5906237193863959</v>
      </c>
      <c r="S102" s="45">
        <f>IF(S2&gt;=Assumptions!$B$49,(S71+S73*Assumptions!$B$138)*Assumptions!$B$137*S7/12,0)</f>
        <v>2.0505848160241911</v>
      </c>
      <c r="T102" s="45">
        <f>IF(T2&gt;=Assumptions!$B$49,(T71+T73*Assumptions!$B$138)*Assumptions!$B$137*T7/12,0)</f>
        <v>2.4641689496778993</v>
      </c>
      <c r="U102" s="45">
        <f>IF(U2&gt;=Assumptions!$B$49,(U71+U73*Assumptions!$B$138)*Assumptions!$B$137*U7/12,0)</f>
        <v>2.8794505103390642</v>
      </c>
      <c r="V102" s="45">
        <f>IF(V2&gt;=Assumptions!$B$49,(V71+V73*Assumptions!$B$138)*Assumptions!$B$137*V7/12,0)</f>
        <v>3.3077694913547835</v>
      </c>
      <c r="W102" s="45">
        <f>IF(W2&gt;=Assumptions!$B$49,(W71+W73*Assumptions!$B$138)*Assumptions!$B$137*W7/12,0)</f>
        <v>3.7834647388168481</v>
      </c>
      <c r="X102" s="45">
        <f>IF(X2&gt;=Assumptions!$B$49,(X71+X73*Assumptions!$B$138)*Assumptions!$B$137*X7/12,0)</f>
        <v>4.4150489518807294</v>
      </c>
      <c r="Y102" s="45">
        <f>IF(Y2&gt;=Assumptions!$B$49,(Y71+Y73*Assumptions!$B$138)*Assumptions!$B$137*Y7/12,0)</f>
        <v>5.0265809020023182</v>
      </c>
      <c r="Z102" s="45">
        <f>IF(Z2&gt;=Assumptions!$B$49,(Z71+Z73*Assumptions!$B$138)*Assumptions!$B$137*Z7/12,0)</f>
        <v>5.5943722755261733</v>
      </c>
      <c r="AA102" s="45">
        <f>IF(AA2&gt;=Assumptions!$B$49,(AA71+AA73*Assumptions!$B$138)*Assumptions!$B$137*AA7/12,0)</f>
        <v>194.69702060002433</v>
      </c>
      <c r="AB102" s="45">
        <f>IF(AB2&gt;=Assumptions!$B$49,(AB71+AB73*Assumptions!$B$138)*Assumptions!$B$137*AB7/12,0)</f>
        <v>405.09781664129878</v>
      </c>
      <c r="AC102" s="45">
        <f>IF(AC2&gt;=Assumptions!$B$49,(AC71+AC73*Assumptions!$B$138)*Assumptions!$B$137*AC7/12,0)</f>
        <v>714.05936559844633</v>
      </c>
      <c r="AD102" s="45">
        <f>IF(AD2&gt;=Assumptions!$B$49,(AD71+AD73*Assumptions!$B$138)*Assumptions!$B$137*AD7/12,0)</f>
        <v>1105.1546099601198</v>
      </c>
      <c r="AE102" s="45">
        <f>IF(AE2&gt;=Assumptions!$B$49,(AE71+AE73*Assumptions!$B$138)*Assumptions!$B$137*AE7/12,0)</f>
        <v>1539.1899330352426</v>
      </c>
    </row>
    <row r="103" spans="1:31" x14ac:dyDescent="0.25">
      <c r="A103" s="3" t="s">
        <v>501</v>
      </c>
      <c r="B103" s="23" t="s">
        <v>114</v>
      </c>
      <c r="C103" s="57">
        <f t="shared" ref="C103:AE103" si="22">C94+C95+C96+C98+C99+C101</f>
        <v>0</v>
      </c>
      <c r="D103" s="57">
        <f t="shared" si="22"/>
        <v>0</v>
      </c>
      <c r="E103" s="57">
        <f t="shared" si="22"/>
        <v>0</v>
      </c>
      <c r="F103" s="57">
        <f t="shared" si="22"/>
        <v>0</v>
      </c>
      <c r="G103" s="57">
        <f t="shared" si="22"/>
        <v>0</v>
      </c>
      <c r="H103" s="57">
        <f t="shared" si="22"/>
        <v>0</v>
      </c>
      <c r="I103" s="57">
        <f t="shared" si="22"/>
        <v>0</v>
      </c>
      <c r="J103" s="57">
        <f t="shared" si="22"/>
        <v>0</v>
      </c>
      <c r="K103" s="57">
        <f t="shared" si="22"/>
        <v>0</v>
      </c>
      <c r="L103" s="57">
        <f t="shared" si="22"/>
        <v>0</v>
      </c>
      <c r="M103" s="57">
        <f t="shared" si="22"/>
        <v>0</v>
      </c>
      <c r="N103" s="57">
        <f t="shared" si="22"/>
        <v>0</v>
      </c>
      <c r="O103" s="57">
        <f t="shared" si="22"/>
        <v>150.61672434533529</v>
      </c>
      <c r="P103" s="57">
        <f t="shared" si="22"/>
        <v>289.3717998580637</v>
      </c>
      <c r="Q103" s="57">
        <f t="shared" si="22"/>
        <v>417.79517837753042</v>
      </c>
      <c r="R103" s="57">
        <f t="shared" si="22"/>
        <v>579.35696736029558</v>
      </c>
      <c r="S103" s="57">
        <f t="shared" si="22"/>
        <v>718.88300858100615</v>
      </c>
      <c r="T103" s="57">
        <f t="shared" si="22"/>
        <v>827.5859495960151</v>
      </c>
      <c r="U103" s="57">
        <f t="shared" si="22"/>
        <v>927.7527953293029</v>
      </c>
      <c r="V103" s="57">
        <f t="shared" si="22"/>
        <v>1024.7429918585551</v>
      </c>
      <c r="W103" s="57">
        <f t="shared" si="22"/>
        <v>1155.8376085898537</v>
      </c>
      <c r="X103" s="57">
        <f t="shared" si="22"/>
        <v>1341.047585075507</v>
      </c>
      <c r="Y103" s="57">
        <f t="shared" si="22"/>
        <v>1503.6138247759577</v>
      </c>
      <c r="Z103" s="57">
        <f t="shared" si="22"/>
        <v>1642.0880066813429</v>
      </c>
      <c r="AA103" s="57">
        <f t="shared" si="22"/>
        <v>49328.964968768298</v>
      </c>
      <c r="AB103" s="57">
        <f t="shared" si="22"/>
        <v>87289.961751599185</v>
      </c>
      <c r="AC103" s="57">
        <f t="shared" si="22"/>
        <v>135555.9100983548</v>
      </c>
      <c r="AD103" s="57">
        <f t="shared" si="22"/>
        <v>184026.32504237723</v>
      </c>
      <c r="AE103" s="57">
        <f t="shared" si="22"/>
        <v>221723.22917398604</v>
      </c>
    </row>
    <row r="105" spans="1:31" x14ac:dyDescent="0.25">
      <c r="A105" s="46" t="s">
        <v>502</v>
      </c>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row>
    <row r="106" spans="1:31" x14ac:dyDescent="0.25">
      <c r="A106" s="6" t="s">
        <v>457</v>
      </c>
      <c r="B106" s="23" t="s">
        <v>190</v>
      </c>
      <c r="C106" s="53">
        <f>INDEX(Assumptions!$B$100:$B$106,C5)*Assumptions!$B$129/12*C7/Assumptions!$B$126*(1+Assumptions!$B$132)*IF(C2&gt;=Assumptions!$B$57,1,0)</f>
        <v>162.5</v>
      </c>
      <c r="D106" s="53">
        <f>INDEX(Assumptions!$B$100:$B$106,D5)*Assumptions!$B$129/12*D7/Assumptions!$B$126*(1+Assumptions!$B$132)*IF(D2&gt;=Assumptions!$B$57,1,0)</f>
        <v>162.5</v>
      </c>
      <c r="E106" s="53">
        <f>INDEX(Assumptions!$B$100:$B$106,E5)*Assumptions!$B$129/12*E7/Assumptions!$B$126*(1+Assumptions!$B$132)*IF(E2&gt;=Assumptions!$B$57,1,0)</f>
        <v>162.5</v>
      </c>
      <c r="F106" s="53">
        <f>INDEX(Assumptions!$B$100:$B$106,F5)*Assumptions!$B$129/12*F7/Assumptions!$B$126*(1+Assumptions!$B$132)*IF(F2&gt;=Assumptions!$B$57,1,0)</f>
        <v>162.5</v>
      </c>
      <c r="G106" s="53">
        <f>INDEX(Assumptions!$B$100:$B$106,G5)*Assumptions!$B$129/12*G7/Assumptions!$B$126*(1+Assumptions!$B$132)*IF(G2&gt;=Assumptions!$B$57,1,0)</f>
        <v>162.5</v>
      </c>
      <c r="H106" s="53">
        <f>INDEX(Assumptions!$B$100:$B$106,H5)*Assumptions!$B$129/12*H7/Assumptions!$B$126*(1+Assumptions!$B$132)*IF(H2&gt;=Assumptions!$B$57,1,0)</f>
        <v>162.5</v>
      </c>
      <c r="I106" s="53">
        <f>INDEX(Assumptions!$B$100:$B$106,I5)*Assumptions!$B$129/12*I7/Assumptions!$B$126*(1+Assumptions!$B$132)*IF(I2&gt;=Assumptions!$B$57,1,0)</f>
        <v>162.5</v>
      </c>
      <c r="J106" s="53">
        <f>INDEX(Assumptions!$B$100:$B$106,J5)*Assumptions!$B$129/12*J7/Assumptions!$B$126*(1+Assumptions!$B$132)*IF(J2&gt;=Assumptions!$B$57,1,0)</f>
        <v>162.5</v>
      </c>
      <c r="K106" s="53">
        <f>INDEX(Assumptions!$B$100:$B$106,K5)*Assumptions!$B$129/12*K7/Assumptions!$B$126*(1+Assumptions!$B$132)*IF(K2&gt;=Assumptions!$B$57,1,0)</f>
        <v>162.5</v>
      </c>
      <c r="L106" s="53">
        <f>INDEX(Assumptions!$B$100:$B$106,L5)*Assumptions!$B$129/12*L7/Assumptions!$B$126*(1+Assumptions!$B$132)*IF(L2&gt;=Assumptions!$B$57,1,0)</f>
        <v>162.5</v>
      </c>
      <c r="M106" s="53">
        <f>INDEX(Assumptions!$B$100:$B$106,M5)*Assumptions!$B$129/12*M7/Assumptions!$B$126*(1+Assumptions!$B$132)*IF(M2&gt;=Assumptions!$B$57,1,0)</f>
        <v>162.5</v>
      </c>
      <c r="N106" s="53">
        <f>INDEX(Assumptions!$B$100:$B$106,N5)*Assumptions!$B$129/12*N7/Assumptions!$B$126*(1+Assumptions!$B$132)*IF(N2&gt;=Assumptions!$B$57,1,0)</f>
        <v>162.5</v>
      </c>
      <c r="O106" s="53">
        <f>INDEX(Assumptions!$B$100:$B$106,O5)*Assumptions!$B$129/12*O7/Assumptions!$B$126*(1+Assumptions!$B$132)*IF(O2&gt;=Assumptions!$B$57,1,0)</f>
        <v>487.5</v>
      </c>
      <c r="P106" s="53">
        <f>INDEX(Assumptions!$B$100:$B$106,P5)*Assumptions!$B$129/12*P7/Assumptions!$B$126*(1+Assumptions!$B$132)*IF(P2&gt;=Assumptions!$B$57,1,0)</f>
        <v>487.5</v>
      </c>
      <c r="Q106" s="53">
        <f>INDEX(Assumptions!$B$100:$B$106,Q5)*Assumptions!$B$129/12*Q7/Assumptions!$B$126*(1+Assumptions!$B$132)*IF(Q2&gt;=Assumptions!$B$57,1,0)</f>
        <v>487.5</v>
      </c>
      <c r="R106" s="53">
        <f>INDEX(Assumptions!$B$100:$B$106,R5)*Assumptions!$B$129/12*R7/Assumptions!$B$126*(1+Assumptions!$B$132)*IF(R2&gt;=Assumptions!$B$57,1,0)</f>
        <v>487.5</v>
      </c>
      <c r="S106" s="53">
        <f>INDEX(Assumptions!$B$100:$B$106,S5)*Assumptions!$B$129/12*S7/Assumptions!$B$126*(1+Assumptions!$B$132)*IF(S2&gt;=Assumptions!$B$57,1,0)</f>
        <v>487.5</v>
      </c>
      <c r="T106" s="53">
        <f>INDEX(Assumptions!$B$100:$B$106,T5)*Assumptions!$B$129/12*T7/Assumptions!$B$126*(1+Assumptions!$B$132)*IF(T2&gt;=Assumptions!$B$57,1,0)</f>
        <v>487.5</v>
      </c>
      <c r="U106" s="53">
        <f>INDEX(Assumptions!$B$100:$B$106,U5)*Assumptions!$B$129/12*U7/Assumptions!$B$126*(1+Assumptions!$B$132)*IF(U2&gt;=Assumptions!$B$57,1,0)</f>
        <v>487.5</v>
      </c>
      <c r="V106" s="53">
        <f>INDEX(Assumptions!$B$100:$B$106,V5)*Assumptions!$B$129/12*V7/Assumptions!$B$126*(1+Assumptions!$B$132)*IF(V2&gt;=Assumptions!$B$57,1,0)</f>
        <v>487.5</v>
      </c>
      <c r="W106" s="53">
        <f>INDEX(Assumptions!$B$100:$B$106,W5)*Assumptions!$B$129/12*W7/Assumptions!$B$126*(1+Assumptions!$B$132)*IF(W2&gt;=Assumptions!$B$57,1,0)</f>
        <v>487.5</v>
      </c>
      <c r="X106" s="53">
        <f>INDEX(Assumptions!$B$100:$B$106,X5)*Assumptions!$B$129/12*X7/Assumptions!$B$126*(1+Assumptions!$B$132)*IF(X2&gt;=Assumptions!$B$57,1,0)</f>
        <v>487.5</v>
      </c>
      <c r="Y106" s="53">
        <f>INDEX(Assumptions!$B$100:$B$106,Y5)*Assumptions!$B$129/12*Y7/Assumptions!$B$126*(1+Assumptions!$B$132)*IF(Y2&gt;=Assumptions!$B$57,1,0)</f>
        <v>487.5</v>
      </c>
      <c r="Z106" s="53">
        <f>INDEX(Assumptions!$B$100:$B$106,Z5)*Assumptions!$B$129/12*Z7/Assumptions!$B$126*(1+Assumptions!$B$132)*IF(Z2&gt;=Assumptions!$B$57,1,0)</f>
        <v>487.5</v>
      </c>
      <c r="AA106" s="53">
        <f>INDEX(Assumptions!$B$100:$B$106,AA5)*Assumptions!$B$129/12*AA7/Assumptions!$B$126*(1+Assumptions!$B$132)*IF(AA2&gt;=Assumptions!$B$57,1,0)</f>
        <v>8125</v>
      </c>
      <c r="AB106" s="53">
        <f>INDEX(Assumptions!$B$100:$B$106,AB5)*Assumptions!$B$129/12*AB7/Assumptions!$B$126*(1+Assumptions!$B$132)*IF(AB2&gt;=Assumptions!$B$57,1,0)</f>
        <v>13000</v>
      </c>
      <c r="AC106" s="53">
        <f>INDEX(Assumptions!$B$100:$B$106,AC5)*Assumptions!$B$129/12*AC7/Assumptions!$B$126*(1+Assumptions!$B$132)*IF(AC2&gt;=Assumptions!$B$57,1,0)</f>
        <v>19500</v>
      </c>
      <c r="AD106" s="53">
        <f>INDEX(Assumptions!$B$100:$B$106,AD5)*Assumptions!$B$129/12*AD7/Assumptions!$B$126*(1+Assumptions!$B$132)*IF(AD2&gt;=Assumptions!$B$57,1,0)</f>
        <v>27625</v>
      </c>
      <c r="AE106" s="53">
        <f>INDEX(Assumptions!$B$100:$B$106,AE5)*Assumptions!$B$129/12*AE7/Assumptions!$B$126*(1+Assumptions!$B$132)*IF(AE2&gt;=Assumptions!$B$57,1,0)</f>
        <v>35750</v>
      </c>
    </row>
    <row r="107" spans="1:31" x14ac:dyDescent="0.25">
      <c r="A107" s="6" t="s">
        <v>458</v>
      </c>
      <c r="B107" s="23" t="s">
        <v>190</v>
      </c>
      <c r="C107" s="54">
        <v>0</v>
      </c>
      <c r="D107" s="54">
        <f>IF(D2&gt;=Assumptions!$B$55,C111*Assumptions!$B$130/12*Assumptions!$B$131*D7,0)</f>
        <v>0</v>
      </c>
      <c r="E107" s="54">
        <f>IF(E2&gt;=Assumptions!$B$55,D111*Assumptions!$B$130/12*Assumptions!$B$131*E7,0)</f>
        <v>0</v>
      </c>
      <c r="F107" s="54">
        <f>IF(F2&gt;=Assumptions!$B$55,E111*Assumptions!$B$130/12*Assumptions!$B$131*F7,0)</f>
        <v>0</v>
      </c>
      <c r="G107" s="54">
        <f>IF(G2&gt;=Assumptions!$B$55,F111*Assumptions!$B$130/12*Assumptions!$B$131*G7,0)</f>
        <v>0</v>
      </c>
      <c r="H107" s="54">
        <f>IF(H2&gt;=Assumptions!$B$55,G111*Assumptions!$B$130/12*Assumptions!$B$131*H7,0)</f>
        <v>0</v>
      </c>
      <c r="I107" s="54">
        <f>IF(I2&gt;=Assumptions!$B$55,H111*Assumptions!$B$130/12*Assumptions!$B$131*I7,0)</f>
        <v>0</v>
      </c>
      <c r="J107" s="54">
        <f>IF(J2&gt;=Assumptions!$B$55,I111*Assumptions!$B$130/12*Assumptions!$B$131*J7,0)</f>
        <v>0</v>
      </c>
      <c r="K107" s="54">
        <f>IF(K2&gt;=Assumptions!$B$55,J111*Assumptions!$B$130/12*Assumptions!$B$131*K7,0)</f>
        <v>0</v>
      </c>
      <c r="L107" s="54">
        <f>IF(L2&gt;=Assumptions!$B$55,K111*Assumptions!$B$130/12*Assumptions!$B$131*L7,0)</f>
        <v>0</v>
      </c>
      <c r="M107" s="54">
        <f>IF(M2&gt;=Assumptions!$B$55,L111*Assumptions!$B$130/12*Assumptions!$B$131*M7,0)</f>
        <v>0</v>
      </c>
      <c r="N107" s="54">
        <f>IF(N2&gt;=Assumptions!$B$55,M111*Assumptions!$B$130/12*Assumptions!$B$131*N7,0)</f>
        <v>0</v>
      </c>
      <c r="O107" s="54">
        <f>IF(O2&gt;=Assumptions!$B$55,N111*Assumptions!$B$130/12*Assumptions!$B$131*O7,0)</f>
        <v>49.364852560053066</v>
      </c>
      <c r="P107" s="54">
        <f>IF(P2&gt;=Assumptions!$B$55,O111*Assumptions!$B$130/12*Assumptions!$B$131*P7,0)</f>
        <v>64.670049408075997</v>
      </c>
      <c r="Q107" s="54">
        <f>IF(Q2&gt;=Assumptions!$B$55,P111*Assumptions!$B$130/12*Assumptions!$B$131*Q7,0)</f>
        <v>78.709512930257276</v>
      </c>
      <c r="R107" s="54">
        <f>IF(R2&gt;=Assumptions!$B$55,Q111*Assumptions!$B$130/12*Assumptions!$B$131*R7,0)</f>
        <v>91.654603653851609</v>
      </c>
      <c r="S107" s="54">
        <f>IF(S2&gt;=Assumptions!$B$55,R111*Assumptions!$B$130/12*Assumptions!$B$131*S7,0)</f>
        <v>108.50404889677817</v>
      </c>
      <c r="T107" s="54">
        <f>IF(T2&gt;=Assumptions!$B$55,S111*Assumptions!$B$130/12*Assumptions!$B$131*T7,0)</f>
        <v>122.8955687259773</v>
      </c>
      <c r="U107" s="54">
        <f>IF(U2&gt;=Assumptions!$B$55,T111*Assumptions!$B$130/12*Assumptions!$B$131*U7,0)</f>
        <v>133.83961852466322</v>
      </c>
      <c r="V107" s="54">
        <f>IF(V2&gt;=Assumptions!$B$55,U111*Assumptions!$B$130/12*Assumptions!$B$131*V7,0)</f>
        <v>143.86719412414686</v>
      </c>
      <c r="W107" s="54">
        <f>IF(W2&gt;=Assumptions!$B$55,V111*Assumptions!$B$130/12*Assumptions!$B$131*W7,0)</f>
        <v>153.57644124833917</v>
      </c>
      <c r="X107" s="54">
        <f>IF(X2&gt;=Assumptions!$B$55,W111*Assumptions!$B$130/12*Assumptions!$B$131*X7,0)</f>
        <v>164.55879906282445</v>
      </c>
      <c r="Y107" s="54">
        <f>IF(Y2&gt;=Assumptions!$B$55,X111*Assumptions!$B$130/12*Assumptions!$B$131*Y7,0)</f>
        <v>181.61685277046061</v>
      </c>
      <c r="Z107" s="54">
        <f>IF(Z2&gt;=Assumptions!$B$55,Y111*Assumptions!$B$130/12*Assumptions!$B$131*Z7,0)</f>
        <v>196.23291964920602</v>
      </c>
      <c r="AA107" s="54">
        <f>IF(AA2&gt;=Assumptions!$B$55,Z111*Assumptions!$B$130/12*Assumptions!$B$131*AA7,0)</f>
        <v>2490.745600073667</v>
      </c>
      <c r="AB107" s="54">
        <f>IF(AB2&gt;=Assumptions!$B$55,AA111*Assumptions!$B$130/12*Assumptions!$B$131*AB7,0)</f>
        <v>4565.1468062866898</v>
      </c>
      <c r="AC107" s="54">
        <f>IF(AC2&gt;=Assumptions!$B$55,AB111*Assumptions!$B$130/12*Assumptions!$B$131*AC7,0)</f>
        <v>7197.7586536372783</v>
      </c>
      <c r="AD107" s="54">
        <f>IF(AD2&gt;=Assumptions!$B$55,AC111*Assumptions!$B$130/12*Assumptions!$B$131*AD7,0)</f>
        <v>9904.2135602227718</v>
      </c>
      <c r="AE107" s="54">
        <f>IF(AE2&gt;=Assumptions!$B$55,AD111*Assumptions!$B$130/12*Assumptions!$B$131*AE7,0)</f>
        <v>11584.054201157571</v>
      </c>
    </row>
    <row r="108" spans="1:31" x14ac:dyDescent="0.25">
      <c r="A108" s="6" t="s">
        <v>459</v>
      </c>
      <c r="B108" s="23" t="s">
        <v>190</v>
      </c>
      <c r="C108" s="54">
        <f>C106+C107+IF(C23=0,0,C20*Assumptions!$B$116/C23*IF(C2&gt;=Assumptions!$B$57,1,0))</f>
        <v>176.9</v>
      </c>
      <c r="D108" s="54">
        <f>D106+D107+IF(D23=0,0,D20*Assumptions!$B$116/D23*IF(D2&gt;=Assumptions!$B$57,1,0))</f>
        <v>176.9</v>
      </c>
      <c r="E108" s="54">
        <f>E106+E107+IF(E23=0,0,E20*Assumptions!$B$116/E23*IF(E2&gt;=Assumptions!$B$57,1,0))</f>
        <v>176.9</v>
      </c>
      <c r="F108" s="54">
        <f>F106+F107+IF(F23=0,0,F20*Assumptions!$B$116/F23*IF(F2&gt;=Assumptions!$B$57,1,0))</f>
        <v>176.9</v>
      </c>
      <c r="G108" s="54">
        <f>G106+G107+IF(G23=0,0,G20*Assumptions!$B$116/G23*IF(G2&gt;=Assumptions!$B$57,1,0))</f>
        <v>176.9</v>
      </c>
      <c r="H108" s="54">
        <f>H106+H107+IF(H23=0,0,H20*Assumptions!$B$116/H23*IF(H2&gt;=Assumptions!$B$57,1,0))</f>
        <v>176.9</v>
      </c>
      <c r="I108" s="54">
        <f>I106+I107+IF(I23=0,0,I20*Assumptions!$B$116/I23*IF(I2&gt;=Assumptions!$B$57,1,0))</f>
        <v>176.9</v>
      </c>
      <c r="J108" s="54">
        <f>J106+J107+IF(J23=0,0,J20*Assumptions!$B$116/J23*IF(J2&gt;=Assumptions!$B$57,1,0))</f>
        <v>176.9</v>
      </c>
      <c r="K108" s="54">
        <f>K106+K107+IF(K23=0,0,K20*Assumptions!$B$116/K23*IF(K2&gt;=Assumptions!$B$57,1,0))</f>
        <v>176.9</v>
      </c>
      <c r="L108" s="54">
        <f>L106+L107+IF(L23=0,0,L20*Assumptions!$B$116/L23*IF(L2&gt;=Assumptions!$B$57,1,0))</f>
        <v>176.9</v>
      </c>
      <c r="M108" s="54">
        <f>M106+M107+IF(M23=0,0,M20*Assumptions!$B$116/M23*IF(M2&gt;=Assumptions!$B$57,1,0))</f>
        <v>176.9</v>
      </c>
      <c r="N108" s="54">
        <f>N106+N107+IF(N23=0,0,N20*Assumptions!$B$116/N23*IF(N2&gt;=Assumptions!$B$57,1,0))</f>
        <v>176.9</v>
      </c>
      <c r="O108" s="54">
        <f>O106+O107+IF(O23=0,0,O20*Assumptions!$B$116/O23*IF(O2&gt;=Assumptions!$B$57,1,0))</f>
        <v>589.64985256005309</v>
      </c>
      <c r="P108" s="54">
        <f>P106+P107+IF(P23=0,0,P20*Assumptions!$B$116/P23*IF(P2&gt;=Assumptions!$B$57,1,0))</f>
        <v>604.95504940807598</v>
      </c>
      <c r="Q108" s="54">
        <f>Q106+Q107+IF(Q23=0,0,Q20*Assumptions!$B$116/Q23*IF(Q2&gt;=Assumptions!$B$57,1,0))</f>
        <v>618.9945129302572</v>
      </c>
      <c r="R108" s="54">
        <f>R106+R107+IF(R23=0,0,R20*Assumptions!$B$116/R23*IF(R2&gt;=Assumptions!$B$57,1,0))</f>
        <v>631.93960365385158</v>
      </c>
      <c r="S108" s="54">
        <f>S106+S107+IF(S23=0,0,S20*Assumptions!$B$116/S23*IF(S2&gt;=Assumptions!$B$57,1,0))</f>
        <v>648.78904889677813</v>
      </c>
      <c r="T108" s="54">
        <f>T106+T107+IF(T23=0,0,T20*Assumptions!$B$116/T23*IF(T2&gt;=Assumptions!$B$57,1,0))</f>
        <v>663.18056872597731</v>
      </c>
      <c r="U108" s="54">
        <f>U106+U107+IF(U23=0,0,U20*Assumptions!$B$116/U23*IF(U2&gt;=Assumptions!$B$57,1,0))</f>
        <v>674.12461852466322</v>
      </c>
      <c r="V108" s="54">
        <f>V106+V107+IF(V23=0,0,V20*Assumptions!$B$116/V23*IF(V2&gt;=Assumptions!$B$57,1,0))</f>
        <v>684.15219412414683</v>
      </c>
      <c r="W108" s="54">
        <f>W106+W107+IF(W23=0,0,W20*Assumptions!$B$116/W23*IF(W2&gt;=Assumptions!$B$57,1,0))</f>
        <v>693.86144124833913</v>
      </c>
      <c r="X108" s="54">
        <f>X106+X107+IF(X23=0,0,X20*Assumptions!$B$116/X23*IF(X2&gt;=Assumptions!$B$57,1,0))</f>
        <v>704.84379906282436</v>
      </c>
      <c r="Y108" s="54">
        <f>Y106+Y107+IF(Y23=0,0,Y20*Assumptions!$B$116/Y23*IF(Y2&gt;=Assumptions!$B$57,1,0))</f>
        <v>721.90185277046055</v>
      </c>
      <c r="Z108" s="54">
        <f>Z106+Z107+IF(Z23=0,0,Z20*Assumptions!$B$116/Z23*IF(Z2&gt;=Assumptions!$B$57,1,0))</f>
        <v>736.51791964920596</v>
      </c>
      <c r="AA108" s="54">
        <f>AA106+AA107+IF(AA23=0,0,AA20*Assumptions!$B$116/AA23*IF(AA2&gt;=Assumptions!$B$57,1,0))</f>
        <v>12559.745600073667</v>
      </c>
      <c r="AB108" s="54">
        <f>AB106+AB107+IF(AB23=0,0,AB20*Assumptions!$B$116/AB23*IF(AB2&gt;=Assumptions!$B$57,1,0))</f>
        <v>20481.146806286692</v>
      </c>
      <c r="AC108" s="54">
        <f>AC106+AC107+IF(AC23=0,0,AC20*Assumptions!$B$116/AC23*IF(AC2&gt;=Assumptions!$B$57,1,0))</f>
        <v>31071.758653637276</v>
      </c>
      <c r="AD108" s="54">
        <f>AD106+AD107+IF(AD23=0,0,AD20*Assumptions!$B$116/AD23*IF(AD2&gt;=Assumptions!$B$57,1,0))</f>
        <v>42680.81356022277</v>
      </c>
      <c r="AE108" s="54">
        <f>AE106+AE107+IF(AE23=0,0,AE20*Assumptions!$B$116/AE23*IF(AE2&gt;=Assumptions!$B$57,1,0))</f>
        <v>53360.454201157576</v>
      </c>
    </row>
    <row r="109" spans="1:31" x14ac:dyDescent="0.25">
      <c r="A109" s="6" t="s">
        <v>460</v>
      </c>
      <c r="B109" s="23" t="s">
        <v>455</v>
      </c>
      <c r="C109" s="51">
        <v>1</v>
      </c>
      <c r="D109" s="51">
        <f>MAX(0,1-C114/Assumptions!$B$86)</f>
        <v>0.99857064799999995</v>
      </c>
      <c r="E109" s="51">
        <f>MAX(0,1-D114/Assumptions!$B$86)</f>
        <v>0.99721399790619236</v>
      </c>
      <c r="F109" s="51">
        <f>MAX(0,1-E114/Assumptions!$B$86)</f>
        <v>0.99591564123634246</v>
      </c>
      <c r="G109" s="51">
        <f>MAX(0,1-F114/Assumptions!$B$86)</f>
        <v>0.99429480844854312</v>
      </c>
      <c r="H109" s="51">
        <f>MAX(0,1-G114/Assumptions!$B$86)</f>
        <v>0.99283139739511017</v>
      </c>
      <c r="I109" s="51">
        <f>MAX(0,1-H114/Assumptions!$B$86)</f>
        <v>0.99159494900074785</v>
      </c>
      <c r="J109" s="51">
        <f>MAX(0,1-I114/Assumptions!$B$86)</f>
        <v>0.99040213960469581</v>
      </c>
      <c r="K109" s="51">
        <f>MAX(0,1-J114/Assumptions!$B$86)</f>
        <v>0.98921076506292249</v>
      </c>
      <c r="L109" s="51">
        <f>MAX(0,1-K114/Assumptions!$B$86)</f>
        <v>0.9879088291634357</v>
      </c>
      <c r="M109" s="51">
        <f>MAX(0,1-L114/Assumptions!$B$86)</f>
        <v>0.98616121844464555</v>
      </c>
      <c r="N109" s="51">
        <f>MAX(0,1-M114/Assumptions!$B$86)</f>
        <v>0.98455626078485126</v>
      </c>
      <c r="O109" s="51">
        <f>MAX(0,1-N114/Assumptions!$B$86)</f>
        <v>0.98314898332438594</v>
      </c>
      <c r="P109" s="51">
        <f>MAX(0,1-O114/Assumptions!$B$86)</f>
        <v>0.97846489700764661</v>
      </c>
      <c r="Q109" s="51">
        <f>MAX(0,1-P114/Assumptions!$B$86)</f>
        <v>0.97391889549637634</v>
      </c>
      <c r="R109" s="51">
        <f>MAX(0,1-Q114/Assumptions!$B$86)</f>
        <v>0.96948191616707036</v>
      </c>
      <c r="S109" s="51">
        <f>MAX(0,1-R114/Assumptions!$B$86)</f>
        <v>0.96384549920283014</v>
      </c>
      <c r="T109" s="51">
        <f>MAX(0,1-S114/Assumptions!$B$86)</f>
        <v>0.95864273359563257</v>
      </c>
      <c r="U109" s="51">
        <f>MAX(0,1-T114/Assumptions!$B$86)</f>
        <v>0.95416703083340493</v>
      </c>
      <c r="V109" s="51">
        <f>MAX(0,1-U114/Assumptions!$B$86)</f>
        <v>0.94979308393085315</v>
      </c>
      <c r="W109" s="51">
        <f>MAX(0,1-V114/Assumptions!$B$86)</f>
        <v>0.94537442337897359</v>
      </c>
      <c r="X109" s="51">
        <f>MAX(0,1-W114/Assumptions!$B$86)</f>
        <v>0.94049408946113111</v>
      </c>
      <c r="Y109" s="51">
        <f>MAX(0,1-X114/Assumptions!$B$86)</f>
        <v>0.93386507519101203</v>
      </c>
      <c r="Z109" s="51">
        <f>MAX(0,1-Y114/Assumptions!$B$86)</f>
        <v>0.92766281305324627</v>
      </c>
      <c r="AA109" s="51">
        <f>MAX(0,1-Z114/Assumptions!$B$86)</f>
        <v>0.9221422315487825</v>
      </c>
      <c r="AB109" s="51">
        <f>MAX(0,1-AA114/Assumptions!$B$86)</f>
        <v>0.82948725686608704</v>
      </c>
      <c r="AC109" s="51">
        <f>MAX(0,1-AB114/Assumptions!$B$86)</f>
        <v>0.69357645461154005</v>
      </c>
      <c r="AD109" s="51">
        <f>MAX(0,1-AC114/Assumptions!$B$86)</f>
        <v>0.5211713329672587</v>
      </c>
      <c r="AE109" s="51">
        <f>MAX(0,1-AD114/Assumptions!$B$86)</f>
        <v>0.34321920100479175</v>
      </c>
    </row>
    <row r="110" spans="1:31" x14ac:dyDescent="0.25">
      <c r="A110" s="6" t="s">
        <v>461</v>
      </c>
      <c r="B110" s="23" t="s">
        <v>190</v>
      </c>
      <c r="C110" s="54">
        <f t="shared" ref="C110:AE110" si="23">C108*C109*C15</f>
        <v>178.66900000000001</v>
      </c>
      <c r="D110" s="54">
        <f t="shared" si="23"/>
        <v>169.581261725952</v>
      </c>
      <c r="E110" s="54">
        <f t="shared" si="23"/>
        <v>162.29458373123703</v>
      </c>
      <c r="F110" s="54">
        <f t="shared" si="23"/>
        <v>202.6040984749153</v>
      </c>
      <c r="G110" s="54">
        <f t="shared" si="23"/>
        <v>182.92638167912918</v>
      </c>
      <c r="H110" s="54">
        <f t="shared" si="23"/>
        <v>154.55604929529159</v>
      </c>
      <c r="I110" s="54">
        <f t="shared" si="23"/>
        <v>149.10117450649744</v>
      </c>
      <c r="J110" s="54">
        <f t="shared" si="23"/>
        <v>148.92181772166009</v>
      </c>
      <c r="K110" s="54">
        <f t="shared" si="23"/>
        <v>162.74198743585683</v>
      </c>
      <c r="L110" s="54">
        <f t="shared" si="23"/>
        <v>218.45133984876472</v>
      </c>
      <c r="M110" s="54">
        <f t="shared" si="23"/>
        <v>200.61970747428646</v>
      </c>
      <c r="N110" s="54">
        <f t="shared" si="23"/>
        <v>175.90968255816861</v>
      </c>
      <c r="O110" s="54">
        <f t="shared" si="23"/>
        <v>585.51078959240817</v>
      </c>
      <c r="P110" s="54">
        <f t="shared" si="23"/>
        <v>568.25018890879562</v>
      </c>
      <c r="Q110" s="54">
        <f t="shared" si="23"/>
        <v>554.62241616324525</v>
      </c>
      <c r="R110" s="54">
        <f t="shared" si="23"/>
        <v>704.55212053002424</v>
      </c>
      <c r="S110" s="54">
        <f t="shared" si="23"/>
        <v>650.34570089969429</v>
      </c>
      <c r="T110" s="54">
        <f t="shared" si="23"/>
        <v>559.46284527845989</v>
      </c>
      <c r="U110" s="54">
        <f t="shared" si="23"/>
        <v>546.74336281897274</v>
      </c>
      <c r="V110" s="54">
        <f t="shared" si="23"/>
        <v>552.33256898494813</v>
      </c>
      <c r="W110" s="54">
        <f t="shared" si="23"/>
        <v>610.04173973029856</v>
      </c>
      <c r="X110" s="54">
        <f t="shared" si="23"/>
        <v>828.6267837648943</v>
      </c>
      <c r="Y110" s="54">
        <f t="shared" si="23"/>
        <v>775.28276722071951</v>
      </c>
      <c r="Z110" s="54">
        <f t="shared" si="23"/>
        <v>690.07268805796627</v>
      </c>
      <c r="AA110" s="54">
        <f t="shared" si="23"/>
        <v>11581.871835336933</v>
      </c>
      <c r="AB110" s="54">
        <f t="shared" si="23"/>
        <v>16988.850281818366</v>
      </c>
      <c r="AC110" s="54">
        <f t="shared" si="23"/>
        <v>21550.640205535183</v>
      </c>
      <c r="AD110" s="54">
        <f t="shared" si="23"/>
        <v>22244.016495308351</v>
      </c>
      <c r="AE110" s="54">
        <f t="shared" si="23"/>
        <v>18314.332456174088</v>
      </c>
    </row>
    <row r="111" spans="1:31" x14ac:dyDescent="0.25">
      <c r="A111" s="6" t="s">
        <v>462</v>
      </c>
      <c r="B111" s="23" t="s">
        <v>190</v>
      </c>
      <c r="C111" s="28">
        <f>C110*(1-Assumptions!$B$122)^(C7/2)</f>
        <v>174.27335234483616</v>
      </c>
      <c r="D111" s="28">
        <f>C111*(1-Assumptions!$B$122)^D7+D110*(1-Assumptions!$B$122)^(D7/2)</f>
        <v>331.21301637440615</v>
      </c>
      <c r="E111" s="28">
        <f>D111*(1-Assumptions!$B$122)^E7+E110*(1-Assumptions!$B$122)^(E7/2)</f>
        <v>473.41814402039813</v>
      </c>
      <c r="F111" s="28">
        <f>E111*(1-Assumptions!$B$122)^F7+F110*(1-Assumptions!$B$122)^(F7/2)</f>
        <v>648.03004294046877</v>
      </c>
      <c r="G111" s="28">
        <f>F111*(1-Assumptions!$B$122)^G7+G110*(1-Assumptions!$B$122)^(G7/2)</f>
        <v>794.96235856697285</v>
      </c>
      <c r="H111" s="28">
        <f>G111*(1-Assumptions!$B$122)^H7+H110*(1-Assumptions!$B$122)^(H7/2)</f>
        <v>907.08153550621432</v>
      </c>
      <c r="I111" s="28">
        <f>H111*(1-Assumptions!$B$122)^I7+I110*(1-Assumptions!$B$122)^(I7/2)</f>
        <v>1008.4311482868939</v>
      </c>
      <c r="J111" s="28">
        <f>I111*(1-Assumptions!$B$122)^J7+J110*(1-Assumptions!$B$122)^(J7/2)</f>
        <v>1104.6803167833841</v>
      </c>
      <c r="K111" s="28">
        <f>J111*(1-Assumptions!$B$122)^K7+K110*(1-Assumptions!$B$122)^(K7/2)</f>
        <v>1209.7320255715022</v>
      </c>
      <c r="L111" s="28">
        <f>K111*(1-Assumptions!$B$122)^L7+L110*(1-Assumptions!$B$122)^(L7/2)</f>
        <v>1364.0170964150279</v>
      </c>
      <c r="M111" s="28">
        <f>L111*(1-Assumptions!$B$122)^M7+M110*(1-Assumptions!$B$122)^(M7/2)</f>
        <v>1493.4111162479851</v>
      </c>
      <c r="N111" s="28">
        <f>M111*(1-Assumptions!$B$122)^N7+N110*(1-Assumptions!$B$122)^(N7/2)</f>
        <v>1592.4145987113893</v>
      </c>
      <c r="O111" s="28">
        <f>N111*(1-Assumptions!$B$122)^O7+O110*(1-Assumptions!$B$122)^(O7/2)</f>
        <v>2086.130626066968</v>
      </c>
      <c r="P111" s="28">
        <f>O111*(1-Assumptions!$B$122)^P7+P110*(1-Assumptions!$B$122)^(P7/2)</f>
        <v>2539.0165461373317</v>
      </c>
      <c r="Q111" s="28">
        <f>P111*(1-Assumptions!$B$122)^Q7+Q110*(1-Assumptions!$B$122)^(Q7/2)</f>
        <v>2956.6001178661809</v>
      </c>
      <c r="R111" s="28">
        <f>Q111*(1-Assumptions!$B$122)^R7+R110*(1-Assumptions!$B$122)^(R7/2)</f>
        <v>3500.1306095734899</v>
      </c>
      <c r="S111" s="28">
        <f>R111*(1-Assumptions!$B$122)^S7+S110*(1-Assumptions!$B$122)^(S7/2)</f>
        <v>3964.3731847089457</v>
      </c>
      <c r="T111" s="28">
        <f>S111*(1-Assumptions!$B$122)^T7+T110*(1-Assumptions!$B$122)^(T7/2)</f>
        <v>4317.4070491826851</v>
      </c>
      <c r="U111" s="28">
        <f>T111*(1-Assumptions!$B$122)^U7+U110*(1-Assumptions!$B$122)^(U7/2)</f>
        <v>4640.877229811189</v>
      </c>
      <c r="V111" s="28">
        <f>U111*(1-Assumptions!$B$122)^V7+V110*(1-Assumptions!$B$122)^(V7/2)</f>
        <v>4954.0787499464241</v>
      </c>
      <c r="W111" s="28">
        <f>V111*(1-Assumptions!$B$122)^W7+W110*(1-Assumptions!$B$122)^(W7/2)</f>
        <v>5308.3483568653046</v>
      </c>
      <c r="X111" s="28">
        <f>W111*(1-Assumptions!$B$122)^X7+X110*(1-Assumptions!$B$122)^(X7/2)</f>
        <v>5858.6081538858271</v>
      </c>
      <c r="Y111" s="28">
        <f>X111*(1-Assumptions!$B$122)^Y7+Y110*(1-Assumptions!$B$122)^(Y7/2)</f>
        <v>6330.0941822324521</v>
      </c>
      <c r="Z111" s="28">
        <f>Y111*(1-Assumptions!$B$122)^Z7+Z110*(1-Assumptions!$B$122)^(Z7/2)</f>
        <v>6695.5526883700722</v>
      </c>
      <c r="AA111" s="28">
        <f>Z111*(1-Assumptions!$B$122)^AA7+AA110*(1-Assumptions!$B$122)^(AA7/2)</f>
        <v>12271.900016899704</v>
      </c>
      <c r="AB111" s="28">
        <f>AA111*(1-Assumptions!$B$122)^AB7+AB110*(1-Assumptions!$B$122)^(AB7/2)</f>
        <v>19348.81358504645</v>
      </c>
      <c r="AC111" s="28">
        <f>AB111*(1-Assumptions!$B$122)^AC7+AC110*(1-Assumptions!$B$122)^(AC7/2)</f>
        <v>26624.230000598851</v>
      </c>
      <c r="AD111" s="28">
        <f>AC111*(1-Assumptions!$B$122)^AD7+AD110*(1-Assumptions!$B$122)^(AD7/2)</f>
        <v>31139.930648273046</v>
      </c>
      <c r="AE111" s="28">
        <f>AD111*(1-Assumptions!$B$122)^AE7+AE110*(1-Assumptions!$B$122)^(AE7/2)</f>
        <v>30709.234321914708</v>
      </c>
    </row>
    <row r="112" spans="1:31" x14ac:dyDescent="0.25">
      <c r="A112" s="6" t="s">
        <v>463</v>
      </c>
      <c r="B112" s="23" t="s">
        <v>190</v>
      </c>
      <c r="C112" s="54">
        <f>C110-C111</f>
        <v>4.3956476551638559</v>
      </c>
      <c r="D112" s="54">
        <f t="shared" ref="D112:AE112" si="24">C111+D110-D111</f>
        <v>12.641597696382007</v>
      </c>
      <c r="E112" s="54">
        <f t="shared" si="24"/>
        <v>20.089456085245047</v>
      </c>
      <c r="F112" s="54">
        <f t="shared" si="24"/>
        <v>27.99219955484466</v>
      </c>
      <c r="G112" s="54">
        <f t="shared" si="24"/>
        <v>35.994066052625158</v>
      </c>
      <c r="H112" s="54">
        <f t="shared" si="24"/>
        <v>42.436872356050117</v>
      </c>
      <c r="I112" s="54">
        <f t="shared" si="24"/>
        <v>47.751561725817965</v>
      </c>
      <c r="J112" s="54">
        <f t="shared" si="24"/>
        <v>52.672649225169835</v>
      </c>
      <c r="K112" s="54">
        <f t="shared" si="24"/>
        <v>57.690278647738751</v>
      </c>
      <c r="L112" s="54">
        <f t="shared" si="24"/>
        <v>64.166269005238973</v>
      </c>
      <c r="M112" s="54">
        <f t="shared" si="24"/>
        <v>71.225687641329387</v>
      </c>
      <c r="N112" s="54">
        <f t="shared" si="24"/>
        <v>76.906200094764472</v>
      </c>
      <c r="O112" s="54">
        <f t="shared" si="24"/>
        <v>91.794762236829229</v>
      </c>
      <c r="P112" s="54">
        <f t="shared" si="24"/>
        <v>115.36426883843205</v>
      </c>
      <c r="Q112" s="54">
        <f t="shared" si="24"/>
        <v>137.0388444343962</v>
      </c>
      <c r="R112" s="54">
        <f t="shared" si="24"/>
        <v>161.02162882271523</v>
      </c>
      <c r="S112" s="54">
        <f t="shared" si="24"/>
        <v>186.10312576423894</v>
      </c>
      <c r="T112" s="54">
        <f t="shared" si="24"/>
        <v>206.4289808047206</v>
      </c>
      <c r="U112" s="54">
        <f t="shared" si="24"/>
        <v>223.27318219046902</v>
      </c>
      <c r="V112" s="54">
        <f t="shared" si="24"/>
        <v>239.1310488497129</v>
      </c>
      <c r="W112" s="54">
        <f t="shared" si="24"/>
        <v>255.77213281141849</v>
      </c>
      <c r="X112" s="54">
        <f t="shared" si="24"/>
        <v>278.36698674437139</v>
      </c>
      <c r="Y112" s="54">
        <f t="shared" si="24"/>
        <v>303.79673887409444</v>
      </c>
      <c r="Z112" s="54">
        <f t="shared" si="24"/>
        <v>324.6141819203458</v>
      </c>
      <c r="AA112" s="54">
        <f t="shared" si="24"/>
        <v>6005.5245068073018</v>
      </c>
      <c r="AB112" s="54">
        <f t="shared" si="24"/>
        <v>9911.936713671621</v>
      </c>
      <c r="AC112" s="54">
        <f t="shared" si="24"/>
        <v>14275.223789982781</v>
      </c>
      <c r="AD112" s="54">
        <f t="shared" si="24"/>
        <v>17728.315847634156</v>
      </c>
      <c r="AE112" s="54">
        <f t="shared" si="24"/>
        <v>18745.028782532427</v>
      </c>
    </row>
    <row r="113" spans="1:31" x14ac:dyDescent="0.25">
      <c r="A113" s="6" t="s">
        <v>464</v>
      </c>
      <c r="B113" s="23" t="s">
        <v>190</v>
      </c>
      <c r="C113" s="45">
        <f>C112</f>
        <v>4.3956476551638559</v>
      </c>
      <c r="D113" s="45">
        <f t="shared" ref="D113:AE113" si="25">C113+D112</f>
        <v>17.037245351545863</v>
      </c>
      <c r="E113" s="45">
        <f t="shared" si="25"/>
        <v>37.12670143679091</v>
      </c>
      <c r="F113" s="45">
        <f t="shared" si="25"/>
        <v>65.11890099163557</v>
      </c>
      <c r="G113" s="45">
        <f t="shared" si="25"/>
        <v>101.11296704426073</v>
      </c>
      <c r="H113" s="45">
        <f t="shared" si="25"/>
        <v>143.54983940031084</v>
      </c>
      <c r="I113" s="45">
        <f t="shared" si="25"/>
        <v>191.30140112612881</v>
      </c>
      <c r="J113" s="45">
        <f t="shared" si="25"/>
        <v>243.97405035129864</v>
      </c>
      <c r="K113" s="45">
        <f t="shared" si="25"/>
        <v>301.66432899903737</v>
      </c>
      <c r="L113" s="45">
        <f t="shared" si="25"/>
        <v>365.83059800427634</v>
      </c>
      <c r="M113" s="45">
        <f t="shared" si="25"/>
        <v>437.05628564560573</v>
      </c>
      <c r="N113" s="45">
        <f t="shared" si="25"/>
        <v>513.9624857403702</v>
      </c>
      <c r="O113" s="45">
        <f t="shared" si="25"/>
        <v>605.75724797719943</v>
      </c>
      <c r="P113" s="45">
        <f t="shared" si="25"/>
        <v>721.12151681563148</v>
      </c>
      <c r="Q113" s="45">
        <f t="shared" si="25"/>
        <v>858.16036125002768</v>
      </c>
      <c r="R113" s="45">
        <f t="shared" si="25"/>
        <v>1019.1819900727429</v>
      </c>
      <c r="S113" s="45">
        <f t="shared" si="25"/>
        <v>1205.2851158369817</v>
      </c>
      <c r="T113" s="45">
        <f t="shared" si="25"/>
        <v>1411.7140966417023</v>
      </c>
      <c r="U113" s="45">
        <f t="shared" si="25"/>
        <v>1634.9872788321713</v>
      </c>
      <c r="V113" s="45">
        <f t="shared" si="25"/>
        <v>1874.1183276818842</v>
      </c>
      <c r="W113" s="45">
        <f t="shared" si="25"/>
        <v>2129.8904604933027</v>
      </c>
      <c r="X113" s="45">
        <f t="shared" si="25"/>
        <v>2408.2574472376741</v>
      </c>
      <c r="Y113" s="45">
        <f t="shared" si="25"/>
        <v>2712.0541861117686</v>
      </c>
      <c r="Z113" s="45">
        <f t="shared" si="25"/>
        <v>3036.6683680321144</v>
      </c>
      <c r="AA113" s="45">
        <f t="shared" si="25"/>
        <v>9042.1928748394166</v>
      </c>
      <c r="AB113" s="45">
        <f t="shared" si="25"/>
        <v>18954.129588511038</v>
      </c>
      <c r="AC113" s="45">
        <f t="shared" si="25"/>
        <v>33229.353378493819</v>
      </c>
      <c r="AD113" s="45">
        <f t="shared" si="25"/>
        <v>50957.669226127975</v>
      </c>
      <c r="AE113" s="45">
        <f t="shared" si="25"/>
        <v>69702.698008660402</v>
      </c>
    </row>
    <row r="114" spans="1:31" x14ac:dyDescent="0.25">
      <c r="A114" s="6" t="s">
        <v>465</v>
      </c>
      <c r="B114" s="23" t="s">
        <v>190</v>
      </c>
      <c r="C114" s="45">
        <f>C110</f>
        <v>178.66900000000001</v>
      </c>
      <c r="D114" s="45">
        <f t="shared" ref="D114:AE114" si="26">C114+D110</f>
        <v>348.25026172595199</v>
      </c>
      <c r="E114" s="45">
        <f t="shared" si="26"/>
        <v>510.54484545718901</v>
      </c>
      <c r="F114" s="45">
        <f t="shared" si="26"/>
        <v>713.14894393210432</v>
      </c>
      <c r="G114" s="45">
        <f t="shared" si="26"/>
        <v>896.07532561123344</v>
      </c>
      <c r="H114" s="45">
        <f t="shared" si="26"/>
        <v>1050.631374906525</v>
      </c>
      <c r="I114" s="45">
        <f t="shared" si="26"/>
        <v>1199.7325494130225</v>
      </c>
      <c r="J114" s="45">
        <f t="shared" si="26"/>
        <v>1348.6543671346826</v>
      </c>
      <c r="K114" s="45">
        <f t="shared" si="26"/>
        <v>1511.3963545705394</v>
      </c>
      <c r="L114" s="45">
        <f t="shared" si="26"/>
        <v>1729.8476944193042</v>
      </c>
      <c r="M114" s="45">
        <f t="shared" si="26"/>
        <v>1930.4674018935907</v>
      </c>
      <c r="N114" s="45">
        <f t="shared" si="26"/>
        <v>2106.3770844517594</v>
      </c>
      <c r="O114" s="45">
        <f t="shared" si="26"/>
        <v>2691.8878740441678</v>
      </c>
      <c r="P114" s="45">
        <f t="shared" si="26"/>
        <v>3260.1380629529635</v>
      </c>
      <c r="Q114" s="45">
        <f t="shared" si="26"/>
        <v>3814.7604791162089</v>
      </c>
      <c r="R114" s="45">
        <f t="shared" si="26"/>
        <v>4519.3125996462331</v>
      </c>
      <c r="S114" s="45">
        <f t="shared" si="26"/>
        <v>5169.658300545927</v>
      </c>
      <c r="T114" s="45">
        <f t="shared" si="26"/>
        <v>5729.121145824387</v>
      </c>
      <c r="U114" s="45">
        <f t="shared" si="26"/>
        <v>6275.8645086433598</v>
      </c>
      <c r="V114" s="45">
        <f t="shared" si="26"/>
        <v>6828.1970776283079</v>
      </c>
      <c r="W114" s="45">
        <f t="shared" si="26"/>
        <v>7438.238817358606</v>
      </c>
      <c r="X114" s="45">
        <f t="shared" si="26"/>
        <v>8266.8656011234998</v>
      </c>
      <c r="Y114" s="45">
        <f t="shared" si="26"/>
        <v>9042.1483683442202</v>
      </c>
      <c r="Z114" s="45">
        <f t="shared" si="26"/>
        <v>9732.2210564021862</v>
      </c>
      <c r="AA114" s="45">
        <f t="shared" si="26"/>
        <v>21314.092891739121</v>
      </c>
      <c r="AB114" s="45">
        <f t="shared" si="26"/>
        <v>38302.943173557491</v>
      </c>
      <c r="AC114" s="45">
        <f t="shared" si="26"/>
        <v>59853.58337909267</v>
      </c>
      <c r="AD114" s="45">
        <f t="shared" si="26"/>
        <v>82097.599874401029</v>
      </c>
      <c r="AE114" s="45">
        <f t="shared" si="26"/>
        <v>100411.93233057512</v>
      </c>
    </row>
    <row r="115" spans="1:31" x14ac:dyDescent="0.25">
      <c r="A115" s="6" t="s">
        <v>466</v>
      </c>
      <c r="B115" s="23" t="s">
        <v>114</v>
      </c>
      <c r="C115" s="55">
        <f>IF(C2&gt;=Assumptions!$B$47,C111*Assumptions!$B$177*C7,0)</f>
        <v>5228.200570345085</v>
      </c>
      <c r="D115" s="55">
        <f>IF(D2&gt;=Assumptions!$B$47,D111*Assumptions!$B$177*D7,0)</f>
        <v>9936.390491232185</v>
      </c>
      <c r="E115" s="55">
        <f>IF(E2&gt;=Assumptions!$B$47,E111*Assumptions!$B$177*E7,0)</f>
        <v>14202.544320611943</v>
      </c>
      <c r="F115" s="55">
        <f>IF(F2&gt;=Assumptions!$B$47,F111*Assumptions!$B$177*F7,0)</f>
        <v>19440.901288214063</v>
      </c>
      <c r="G115" s="55">
        <f>IF(G2&gt;=Assumptions!$B$47,G111*Assumptions!$B$177*G7,0)</f>
        <v>23848.870757009186</v>
      </c>
      <c r="H115" s="55">
        <f>IF(H2&gt;=Assumptions!$B$47,H111*Assumptions!$B$177*H7,0)</f>
        <v>27212.446065186428</v>
      </c>
      <c r="I115" s="55">
        <f>IF(I2&gt;=Assumptions!$B$47,I111*Assumptions!$B$177*I7,0)</f>
        <v>30252.934448606815</v>
      </c>
      <c r="J115" s="55">
        <f>IF(J2&gt;=Assumptions!$B$47,J111*Assumptions!$B$177*J7,0)</f>
        <v>33140.40950350152</v>
      </c>
      <c r="K115" s="55">
        <f>IF(K2&gt;=Assumptions!$B$47,K111*Assumptions!$B$177*K7,0)</f>
        <v>36291.960767145065</v>
      </c>
      <c r="L115" s="55">
        <f>IF(L2&gt;=Assumptions!$B$47,L111*Assumptions!$B$177*L7,0)</f>
        <v>40920.512892450839</v>
      </c>
      <c r="M115" s="55">
        <f>IF(M2&gt;=Assumptions!$B$47,M111*Assumptions!$B$177*M7,0)</f>
        <v>44802.333487439551</v>
      </c>
      <c r="N115" s="55">
        <f>IF(N2&gt;=Assumptions!$B$47,N111*Assumptions!$B$177*N7,0)</f>
        <v>47772.437961341682</v>
      </c>
      <c r="O115" s="55">
        <f>IF(O2&gt;=Assumptions!$B$47,O111*Assumptions!$B$177*O7,0)</f>
        <v>62583.918782009045</v>
      </c>
      <c r="P115" s="55">
        <f>IF(P2&gt;=Assumptions!$B$47,P111*Assumptions!$B$177*P7,0)</f>
        <v>76170.49638411995</v>
      </c>
      <c r="Q115" s="55">
        <f>IF(Q2&gt;=Assumptions!$B$47,Q111*Assumptions!$B$177*Q7,0)</f>
        <v>88698.003535985423</v>
      </c>
      <c r="R115" s="55">
        <f>IF(R2&gt;=Assumptions!$B$47,R111*Assumptions!$B$177*R7,0)</f>
        <v>105003.91828720469</v>
      </c>
      <c r="S115" s="55">
        <f>IF(S2&gt;=Assumptions!$B$47,S111*Assumptions!$B$177*S7,0)</f>
        <v>118931.19554126837</v>
      </c>
      <c r="T115" s="55">
        <f>IF(T2&gt;=Assumptions!$B$47,T111*Assumptions!$B$177*T7,0)</f>
        <v>129522.21147548055</v>
      </c>
      <c r="U115" s="55">
        <f>IF(U2&gt;=Assumptions!$B$47,U111*Assumptions!$B$177*U7,0)</f>
        <v>139226.31689433567</v>
      </c>
      <c r="V115" s="55">
        <f>IF(V2&gt;=Assumptions!$B$47,V111*Assumptions!$B$177*V7,0)</f>
        <v>148622.36249839273</v>
      </c>
      <c r="W115" s="55">
        <f>IF(W2&gt;=Assumptions!$B$47,W111*Assumptions!$B$177*W7,0)</f>
        <v>159250.45070595914</v>
      </c>
      <c r="X115" s="55">
        <f>IF(X2&gt;=Assumptions!$B$47,X111*Assumptions!$B$177*X7,0)</f>
        <v>175758.24461657481</v>
      </c>
      <c r="Y115" s="55">
        <f>IF(Y2&gt;=Assumptions!$B$47,Y111*Assumptions!$B$177*Y7,0)</f>
        <v>189902.82546697356</v>
      </c>
      <c r="Z115" s="55">
        <f>IF(Z2&gt;=Assumptions!$B$47,Z111*Assumptions!$B$177*Z7,0)</f>
        <v>200866.58065110218</v>
      </c>
      <c r="AA115" s="55">
        <f>IF(AA2&gt;=Assumptions!$B$47,AA111*Assumptions!$B$177*AA7,0)</f>
        <v>4417884.0060838936</v>
      </c>
      <c r="AB115" s="55">
        <f>IF(AB2&gt;=Assumptions!$B$47,AB111*Assumptions!$B$177*AB7,0)</f>
        <v>6965572.8906167224</v>
      </c>
      <c r="AC115" s="55">
        <f>IF(AC2&gt;=Assumptions!$B$47,AC111*Assumptions!$B$177*AC7,0)</f>
        <v>9584722.800215587</v>
      </c>
      <c r="AD115" s="55">
        <f>IF(AD2&gt;=Assumptions!$B$47,AD111*Assumptions!$B$177*AD7,0)</f>
        <v>11210375.033378297</v>
      </c>
      <c r="AE115" s="55">
        <f>IF(AE2&gt;=Assumptions!$B$47,AE111*Assumptions!$B$177*AE7,0)</f>
        <v>11055324.355889294</v>
      </c>
    </row>
    <row r="116" spans="1:31" x14ac:dyDescent="0.25">
      <c r="A116" s="6" t="s">
        <v>467</v>
      </c>
      <c r="B116" s="23" t="s">
        <v>114</v>
      </c>
      <c r="C116" s="55">
        <f>IF(C2&gt;=Assumptions!$B$48,C111*Assumptions!$B$37*Assumptions!$B$139*Assumptions!$B$141*Assumptions!$B$34*Assumptions!$B$140/12*C7,0)</f>
        <v>345.64214881725837</v>
      </c>
      <c r="D116" s="55">
        <f>IF(D2&gt;=Assumptions!$B$48,D111*Assumptions!$B$37*Assumptions!$B$139*Assumptions!$B$141*Assumptions!$B$34*Assumptions!$B$140/12*D7,0)</f>
        <v>656.90581580923879</v>
      </c>
      <c r="E116" s="55">
        <f>IF(E2&gt;=Assumptions!$B$48,E111*Assumptions!$B$37*Assumptions!$B$139*Assumptions!$B$141*Assumptions!$B$34*Assumptions!$B$140/12*E7,0)</f>
        <v>938.94598564045612</v>
      </c>
      <c r="F116" s="55">
        <f>IF(F2&gt;=Assumptions!$B$48,F111*Assumptions!$B$37*Assumptions!$B$139*Assumptions!$B$141*Assumptions!$B$34*Assumptions!$B$140/12*F7,0)</f>
        <v>1285.2595851652629</v>
      </c>
      <c r="G116" s="55">
        <f>IF(G2&gt;=Assumptions!$B$48,G111*Assumptions!$B$37*Assumptions!$B$139*Assumptions!$B$141*Assumptions!$B$34*Assumptions!$B$140/12*G7,0)</f>
        <v>1576.6753444911626</v>
      </c>
      <c r="H116" s="55">
        <f>IF(H2&gt;=Assumptions!$B$48,H111*Assumptions!$B$37*Assumptions!$B$139*Assumptions!$B$141*Assumptions!$B$34*Assumptions!$B$140/12*H7,0)</f>
        <v>1799.0450454206584</v>
      </c>
      <c r="I116" s="55">
        <f>IF(I2&gt;=Assumptions!$B$48,I111*Assumptions!$B$37*Assumptions!$B$139*Assumptions!$B$141*Assumptions!$B$34*Assumptions!$B$140/12*I7,0)</f>
        <v>2000.0551107690055</v>
      </c>
      <c r="J116" s="55">
        <f>IF(J2&gt;=Assumptions!$B$48,J111*Assumptions!$B$37*Assumptions!$B$139*Assumptions!$B$141*Assumptions!$B$34*Assumptions!$B$140/12*J7,0)</f>
        <v>2190.9492949537116</v>
      </c>
      <c r="K116" s="55">
        <f>IF(K2&gt;=Assumptions!$B$48,K111*Assumptions!$B$37*Assumptions!$B$139*Assumptions!$B$141*Assumptions!$B$34*Assumptions!$B$140/12*K7,0)</f>
        <v>2399.3018507168126</v>
      </c>
      <c r="L116" s="55">
        <f>IF(L2&gt;=Assumptions!$B$48,L111*Assumptions!$B$37*Assumptions!$B$139*Assumptions!$B$141*Assumptions!$B$34*Assumptions!$B$140/12*L7,0)</f>
        <v>2705.3005745564715</v>
      </c>
      <c r="M116" s="55">
        <f>IF(M2&gt;=Assumptions!$B$48,M111*Assumptions!$B$37*Assumptions!$B$139*Assumptions!$B$141*Assumptions!$B$34*Assumptions!$B$140/12*M7,0)</f>
        <v>2961.9320472251698</v>
      </c>
      <c r="N116" s="55">
        <f>IF(N2&gt;=Assumptions!$B$48,N111*Assumptions!$B$37*Assumptions!$B$139*Assumptions!$B$141*Assumptions!$B$34*Assumptions!$B$140/12*N7,0)</f>
        <v>3158.2889541109216</v>
      </c>
      <c r="O116" s="55">
        <f>IF(O2&gt;=Assumptions!$B$48,O111*Assumptions!$B$37*Assumptions!$B$139*Assumptions!$B$141*Assumptions!$B$34*Assumptions!$B$140/12*O7,0)</f>
        <v>4137.4924083661535</v>
      </c>
      <c r="P116" s="55">
        <f>IF(P2&gt;=Assumptions!$B$48,P111*Assumptions!$B$37*Assumptions!$B$139*Assumptions!$B$141*Assumptions!$B$34*Assumptions!$B$140/12*P7,0)</f>
        <v>5035.7161498390415</v>
      </c>
      <c r="Q116" s="55">
        <f>IF(Q2&gt;=Assumptions!$B$48,Q111*Assumptions!$B$37*Assumptions!$B$139*Assumptions!$B$141*Assumptions!$B$34*Assumptions!$B$140/12*Q7,0)</f>
        <v>5863.9235671012575</v>
      </c>
      <c r="R116" s="55">
        <f>IF(R2&gt;=Assumptions!$B$48,R111*Assumptions!$B$37*Assumptions!$B$139*Assumptions!$B$141*Assumptions!$B$34*Assumptions!$B$140/12*R7,0)</f>
        <v>6941.92570898742</v>
      </c>
      <c r="S116" s="55">
        <f>IF(S2&gt;=Assumptions!$B$48,S111*Assumptions!$B$37*Assumptions!$B$139*Assumptions!$B$141*Assumptions!$B$34*Assumptions!$B$140/12*S7,0)</f>
        <v>7862.673483006075</v>
      </c>
      <c r="T116" s="55">
        <f>IF(T2&gt;=Assumptions!$B$48,T111*Assumptions!$B$37*Assumptions!$B$139*Assumptions!$B$141*Assumptions!$B$34*Assumptions!$B$140/12*T7,0)</f>
        <v>8562.8573142123241</v>
      </c>
      <c r="U116" s="55">
        <f>IF(U2&gt;=Assumptions!$B$48,U111*Assumptions!$B$37*Assumptions!$B$139*Assumptions!$B$141*Assumptions!$B$34*Assumptions!$B$140/12*U7,0)</f>
        <v>9204.4065057921889</v>
      </c>
      <c r="V116" s="55">
        <f>IF(V2&gt;=Assumptions!$B$48,V111*Assumptions!$B$37*Assumptions!$B$139*Assumptions!$B$141*Assumptions!$B$34*Assumptions!$B$140/12*V7,0)</f>
        <v>9825.5895207270732</v>
      </c>
      <c r="W116" s="55">
        <f>IF(W2&gt;=Assumptions!$B$48,W111*Assumptions!$B$37*Assumptions!$B$139*Assumptions!$B$141*Assumptions!$B$34*Assumptions!$B$140/12*W7,0)</f>
        <v>10528.224241116186</v>
      </c>
      <c r="X116" s="55">
        <f>IF(X2&gt;=Assumptions!$B$48,X111*Assumptions!$B$37*Assumptions!$B$139*Assumptions!$B$141*Assumptions!$B$34*Assumptions!$B$140/12*X7,0)</f>
        <v>11619.572838540224</v>
      </c>
      <c r="Y116" s="55">
        <f>IF(Y2&gt;=Assumptions!$B$48,Y111*Assumptions!$B$37*Assumptions!$B$139*Assumptions!$B$141*Assumptions!$B$34*Assumptions!$B$140/12*Y7,0)</f>
        <v>12554.686794761028</v>
      </c>
      <c r="Z116" s="55">
        <f>IF(Z2&gt;=Assumptions!$B$48,Z111*Assumptions!$B$37*Assumptions!$B$139*Assumptions!$B$141*Assumptions!$B$34*Assumptions!$B$140/12*Z7,0)</f>
        <v>13279.512831933973</v>
      </c>
      <c r="AA116" s="55">
        <f>IF(AA2&gt;=Assumptions!$B$48,AA111*Assumptions!$B$37*Assumptions!$B$139*Assumptions!$B$141*Assumptions!$B$34*Assumptions!$B$140/12*AA7,0)</f>
        <v>292071.22040221293</v>
      </c>
      <c r="AB116" s="55">
        <f>IF(AB2&gt;=Assumptions!$B$48,AB111*Assumptions!$B$37*Assumptions!$B$139*Assumptions!$B$141*Assumptions!$B$34*Assumptions!$B$140/12*AB7,0)</f>
        <v>460501.76332410547</v>
      </c>
      <c r="AC116" s="55">
        <f>IF(AC2&gt;=Assumptions!$B$48,AC111*Assumptions!$B$37*Assumptions!$B$139*Assumptions!$B$141*Assumptions!$B$34*Assumptions!$B$140/12*AC7,0)</f>
        <v>633656.67401425261</v>
      </c>
      <c r="AD116" s="55">
        <f>IF(AD2&gt;=Assumptions!$B$48,AD111*Assumptions!$B$37*Assumptions!$B$139*Assumptions!$B$141*Assumptions!$B$34*Assumptions!$B$140/12*AD7,0)</f>
        <v>741130.34942889842</v>
      </c>
      <c r="AE116" s="55">
        <f>IF(AE2&gt;=Assumptions!$B$48,AE111*Assumptions!$B$37*Assumptions!$B$139*Assumptions!$B$141*Assumptions!$B$34*Assumptions!$B$140/12*AE7,0)</f>
        <v>730879.77686156996</v>
      </c>
    </row>
    <row r="117" spans="1:31" x14ac:dyDescent="0.25">
      <c r="A117" s="6" t="s">
        <v>468</v>
      </c>
      <c r="B117" s="23" t="s">
        <v>47</v>
      </c>
      <c r="C117" s="54">
        <f>(C115+C116)*(1-Assumptions!$B$8)/C21/(1+Assumptions!$B$9)</f>
        <v>36.878956074576429</v>
      </c>
      <c r="D117" s="54">
        <f>(D115+D116)*(1-Assumptions!$B$8)/D21/(1+Assumptions!$B$9)</f>
        <v>70.089833688573236</v>
      </c>
      <c r="E117" s="54">
        <f>(E115+E116)*(1-Assumptions!$B$8)/E21/(1+Assumptions!$B$9)</f>
        <v>100.18265387865587</v>
      </c>
      <c r="F117" s="54">
        <f>(F115+F116)*(1-Assumptions!$B$8)/F21/(1+Assumptions!$B$9)</f>
        <v>137.13325168221314</v>
      </c>
      <c r="G117" s="54">
        <f>(G115+G116)*(1-Assumptions!$B$8)/G21/(1+Assumptions!$B$9)</f>
        <v>168.22641848607194</v>
      </c>
      <c r="H117" s="54">
        <f>(H115+H116)*(1-Assumptions!$B$8)/H21/(1+Assumptions!$B$9)</f>
        <v>191.95258284697954</v>
      </c>
      <c r="I117" s="54">
        <f>(I115+I116)*(1-Assumptions!$B$8)/I21/(1+Assumptions!$B$9)</f>
        <v>213.39973967057844</v>
      </c>
      <c r="J117" s="54">
        <f>(J115+J116)*(1-Assumptions!$B$8)/J21/(1+Assumptions!$B$9)</f>
        <v>233.76756303219602</v>
      </c>
      <c r="K117" s="54">
        <f>(K115+K116)*(1-Assumptions!$B$8)/K21/(1+Assumptions!$B$9)</f>
        <v>255.99814103984406</v>
      </c>
      <c r="L117" s="54">
        <f>(L115+L116)*(1-Assumptions!$B$8)/L21/(1+Assumptions!$B$9)</f>
        <v>288.64726538412532</v>
      </c>
      <c r="M117" s="54">
        <f>(M115+M116)*(1-Assumptions!$B$8)/M21/(1+Assumptions!$B$9)</f>
        <v>316.02905559775633</v>
      </c>
      <c r="N117" s="54">
        <f>(N115+N116)*(1-Assumptions!$B$8)/N21/(1+Assumptions!$B$9)</f>
        <v>336.97973469970776</v>
      </c>
      <c r="O117" s="54">
        <f>(O115+O116)*(1-Assumptions!$B$8)/O21/(1+Assumptions!$B$9)</f>
        <v>408.37903504115116</v>
      </c>
      <c r="P117" s="54">
        <f>(P115+P116)*(1-Assumptions!$B$8)/P21/(1+Assumptions!$B$9)</f>
        <v>497.03557107540121</v>
      </c>
      <c r="Q117" s="54">
        <f>(Q115+Q116)*(1-Assumptions!$B$8)/Q21/(1+Assumptions!$B$9)</f>
        <v>578.78135148857393</v>
      </c>
      <c r="R117" s="54">
        <f>(R115+R116)*(1-Assumptions!$B$8)/R21/(1+Assumptions!$B$9)</f>
        <v>685.18238646947145</v>
      </c>
      <c r="S117" s="54">
        <f>(S115+S116)*(1-Assumptions!$B$8)/S21/(1+Assumptions!$B$9)</f>
        <v>776.06209097592875</v>
      </c>
      <c r="T117" s="54">
        <f>(T115+T116)*(1-Assumptions!$B$8)/T21/(1+Assumptions!$B$9)</f>
        <v>845.17167937329782</v>
      </c>
      <c r="U117" s="54">
        <f>(U115+U116)*(1-Assumptions!$B$8)/U21/(1+Assumptions!$B$9)</f>
        <v>908.49390789486631</v>
      </c>
      <c r="V117" s="54">
        <f>(V115+V116)*(1-Assumptions!$B$8)/V21/(1+Assumptions!$B$9)</f>
        <v>969.80595277260795</v>
      </c>
      <c r="W117" s="54">
        <f>(W115+W116)*(1-Assumptions!$B$8)/W21/(1+Assumptions!$B$9)</f>
        <v>1039.1574489877332</v>
      </c>
      <c r="X117" s="54">
        <f>(X115+X116)*(1-Assumptions!$B$8)/X21/(1+Assumptions!$B$9)</f>
        <v>1146.8758066597263</v>
      </c>
      <c r="Y117" s="54">
        <f>(Y115+Y116)*(1-Assumptions!$B$8)/Y21/(1+Assumptions!$B$9)</f>
        <v>1239.1734829824161</v>
      </c>
      <c r="Z117" s="54">
        <f>(Z115+Z116)*(1-Assumptions!$B$8)/Z21/(1+Assumptions!$B$9)</f>
        <v>1310.7153079377588</v>
      </c>
      <c r="AA117" s="54">
        <f>(AA115+AA116)*(1-Assumptions!$B$8)/AA21/(1+Assumptions!$B$9)</f>
        <v>26667.929605967362</v>
      </c>
      <c r="AB117" s="54">
        <f>(AB115+AB116)*(1-Assumptions!$B$8)/AB21/(1+Assumptions!$B$9)</f>
        <v>38896.107185902605</v>
      </c>
      <c r="AC117" s="54">
        <f>(AC115+AC116)*(1-Assumptions!$B$8)/AC21/(1+Assumptions!$B$9)</f>
        <v>49511.166693573541</v>
      </c>
      <c r="AD117" s="54">
        <f>(AD115+AD116)*(1-Assumptions!$B$8)/AD21/(1+Assumptions!$B$9)</f>
        <v>53569.556507321526</v>
      </c>
      <c r="AE117" s="54">
        <f>(AE115+AE116)*(1-Assumptions!$B$8)/AE21/(1+Assumptions!$B$9)</f>
        <v>48870.153621570316</v>
      </c>
    </row>
    <row r="118" spans="1:31" x14ac:dyDescent="0.25">
      <c r="A118" s="6" t="s">
        <v>469</v>
      </c>
      <c r="B118" s="23" t="s">
        <v>470</v>
      </c>
      <c r="C118" s="56">
        <f>(Assumptions!$B$136+Assumptions!$B$137*IF(C111+C113=0,1,(C111+C113*Assumptions!$B$138)/(C111+C113)))*C7/12</f>
        <v>1.0073806552706352E-2</v>
      </c>
      <c r="D118" s="56">
        <f>(Assumptions!$B$136+Assumptions!$B$137*IF(D111+D113=0,1,(D111+D113*Assumptions!$B$138)/(D111+D113)))*D7/12</f>
        <v>1.0146767258124441E-2</v>
      </c>
      <c r="E118" s="56">
        <f>(Assumptions!$B$136+Assumptions!$B$137*IF(E111+E113=0,1,(E111+E113*Assumptions!$B$138)/(E111+E113)))*E7/12</f>
        <v>1.0218159296487721E-2</v>
      </c>
      <c r="F118" s="56">
        <f>(Assumptions!$B$136+Assumptions!$B$137*IF(F111+F113=0,1,(F111+F113*Assumptions!$B$138)/(F111+F113)))*F7/12</f>
        <v>1.0273935346377666E-2</v>
      </c>
      <c r="G118" s="56">
        <f>(Assumptions!$B$136+Assumptions!$B$137*IF(G111+G113=0,1,(G111+G113*Assumptions!$B$138)/(G111+G113)))*G7/12</f>
        <v>1.0338519421819663E-2</v>
      </c>
      <c r="H118" s="56">
        <f>(Assumptions!$B$136+Assumptions!$B$137*IF(H111+H113=0,1,(H111+H113*Assumptions!$B$138)/(H111+H113)))*H7/12</f>
        <v>1.0409895924000221E-2</v>
      </c>
      <c r="I118" s="56">
        <f>(Assumptions!$B$136+Assumptions!$B$137*IF(I111+I113=0,1,(I111+I113*Assumptions!$B$138)/(I111+I113)))*I7/12</f>
        <v>1.0478360117560511E-2</v>
      </c>
      <c r="J118" s="56">
        <f>(Assumptions!$B$136+Assumptions!$B$137*IF(J111+J113=0,1,(J111+J113*Assumptions!$B$138)/(J111+J113)))*J7/12</f>
        <v>1.0542705506236502E-2</v>
      </c>
      <c r="K118" s="56">
        <f>(Assumptions!$B$136+Assumptions!$B$137*IF(K111+K113=0,1,(K111+K113*Assumptions!$B$138)/(K111+K113)))*K7/12</f>
        <v>1.059877938984064E-2</v>
      </c>
      <c r="L118" s="56">
        <f>(Assumptions!$B$136+Assumptions!$B$137*IF(L111+L113=0,1,(L111+L113*Assumptions!$B$138)/(L111+L113)))*L7/12</f>
        <v>1.0634444175376519E-2</v>
      </c>
      <c r="M118" s="56">
        <f>(Assumptions!$B$136+Assumptions!$B$137*IF(M111+M113=0,1,(M111+M113*Assumptions!$B$138)/(M111+M113)))*M7/12</f>
        <v>1.0679197615898977E-2</v>
      </c>
      <c r="N118" s="56">
        <f>(Assumptions!$B$136+Assumptions!$B$137*IF(N111+N113=0,1,(N111+N113*Assumptions!$B$138)/(N111+N113)))*N7/12</f>
        <v>1.0732009225035047E-2</v>
      </c>
      <c r="O118" s="56">
        <f>(Assumptions!$B$136+Assumptions!$B$137*IF(O111+O113=0,1,(O111+O113*Assumptions!$B$138)/(O111+O113)))*O7/12</f>
        <v>1.0675091916514863E-2</v>
      </c>
      <c r="P118" s="56">
        <f>(Assumptions!$B$136+Assumptions!$B$137*IF(P111+P113=0,1,(P111+P113*Assumptions!$B$138)/(P111+P113)))*P7/12</f>
        <v>1.0663580654767536E-2</v>
      </c>
      <c r="Q118" s="56">
        <f>(Assumptions!$B$136+Assumptions!$B$137*IF(Q111+Q113=0,1,(Q111+Q113*Assumptions!$B$138)/(Q111+Q113)))*Q7/12</f>
        <v>1.0674873585863123E-2</v>
      </c>
      <c r="R118" s="56">
        <f>(Assumptions!$B$136+Assumptions!$B$137*IF(R111+R113=0,1,(R111+R113*Assumptions!$B$138)/(R111+R113)))*R7/12</f>
        <v>1.0676551113206367E-2</v>
      </c>
      <c r="S118" s="56">
        <f>(Assumptions!$B$136+Assumptions!$B$137*IF(S111+S113=0,1,(S111+S113*Assumptions!$B$138)/(S111+S113)))*S7/12</f>
        <v>1.0699437977772943E-2</v>
      </c>
      <c r="T118" s="56">
        <f>(Assumptions!$B$136+Assumptions!$B$137*IF(T111+T113=0,1,(T111+T113*Assumptions!$B$138)/(T111+T113)))*T7/12</f>
        <v>1.073923070958481E-2</v>
      </c>
      <c r="U118" s="56">
        <f>(Assumptions!$B$136+Assumptions!$B$137*IF(U111+U113=0,1,(U111+U113*Assumptions!$B$138)/(U111+U113)))*U7/12</f>
        <v>1.0781559549244762E-2</v>
      </c>
      <c r="V118" s="56">
        <f>(Assumptions!$B$136+Assumptions!$B$137*IF(V111+V113=0,1,(V111+V113*Assumptions!$B$138)/(V111+V113)))*V7/12</f>
        <v>1.0823402564267887E-2</v>
      </c>
      <c r="W118" s="56">
        <f>(Assumptions!$B$136+Assumptions!$B$137*IF(W111+W113=0,1,(W111+W113*Assumptions!$B$138)/(W111+W113)))*W7/12</f>
        <v>1.0859030146567536E-2</v>
      </c>
      <c r="X118" s="56">
        <f>(Assumptions!$B$136+Assumptions!$B$137*IF(X111+X113=0,1,(X111+X113*Assumptions!$B$138)/(X111+X113)))*X7/12</f>
        <v>1.0873943365031983E-2</v>
      </c>
      <c r="Y118" s="56">
        <f>(Assumptions!$B$136+Assumptions!$B$137*IF(Y111+Y113=0,1,(Y111+Y113*Assumptions!$B$138)/(Y111+Y113)))*Y7/12</f>
        <v>1.0899804142433597E-2</v>
      </c>
      <c r="Z118" s="56">
        <f>(Assumptions!$B$136+Assumptions!$B$137*IF(Z111+Z113=0,1,(Z111+Z113*Assumptions!$B$138)/(Z111+Z113)))*Z7/12</f>
        <v>1.0936066397516061E-2</v>
      </c>
      <c r="AA118" s="56">
        <f>(Assumptions!$B$136+Assumptions!$B$137*IF(AA111+AA113=0,1,(AA111+AA113*Assumptions!$B$138)/(AA111+AA113)))*AA7/12</f>
        <v>0.13527247465550751</v>
      </c>
      <c r="AB118" s="56">
        <f>(Assumptions!$B$136+Assumptions!$B$137*IF(AB111+AB113=0,1,(AB111+AB113*Assumptions!$B$138)/(AB111+AB113)))*AB7/12</f>
        <v>0.13781452307971617</v>
      </c>
      <c r="AC118" s="56">
        <f>(Assumptions!$B$136+Assumptions!$B$137*IF(AC111+AC113=0,1,(AC111+AC113*Assumptions!$B$138)/(AC111+AC113)))*AC7/12</f>
        <v>0.13998638434142002</v>
      </c>
      <c r="AD118" s="56">
        <f>(Assumptions!$B$136+Assumptions!$B$137*IF(AD111+AD113=0,1,(AD111+AD113*Assumptions!$B$138)/(AD111+AD113)))*AD7/12</f>
        <v>0.14234506361875526</v>
      </c>
      <c r="AE118" s="56">
        <f>(Assumptions!$B$136+Assumptions!$B$137*IF(AE111+AE113=0,1,(AE111+AE113*Assumptions!$B$138)/(AE111+AE113)))*AE7/12</f>
        <v>0.14499002927312157</v>
      </c>
    </row>
    <row r="119" spans="1:31" x14ac:dyDescent="0.25">
      <c r="A119" s="6" t="s">
        <v>471</v>
      </c>
      <c r="B119" s="23" t="s">
        <v>470</v>
      </c>
      <c r="C119" s="56">
        <f>Assumptions!$B$137*IF(C111+C113=0,1,(C111+C113*Assumptions!$B$138)/(C111+C113))*C7/12</f>
        <v>5.0738065527063539E-3</v>
      </c>
      <c r="D119" s="56">
        <f>Assumptions!$B$137*IF(D111+D113=0,1,(D111+D113*Assumptions!$B$138)/(D111+D113))*D7/12</f>
        <v>5.1467672581244428E-3</v>
      </c>
      <c r="E119" s="56">
        <f>Assumptions!$B$137*IF(E111+E113=0,1,(E111+E113*Assumptions!$B$138)/(E111+E113))*E7/12</f>
        <v>5.2181592964877207E-3</v>
      </c>
      <c r="F119" s="56">
        <f>Assumptions!$B$137*IF(F111+F113=0,1,(F111+F113*Assumptions!$B$138)/(F111+F113))*F7/12</f>
        <v>5.2739353463776657E-3</v>
      </c>
      <c r="G119" s="56">
        <f>Assumptions!$B$137*IF(G111+G113=0,1,(G111+G113*Assumptions!$B$138)/(G111+G113))*G7/12</f>
        <v>5.3385194218196633E-3</v>
      </c>
      <c r="H119" s="56">
        <f>Assumptions!$B$137*IF(H111+H113=0,1,(H111+H113*Assumptions!$B$138)/(H111+H113))*H7/12</f>
        <v>5.4098959240002206E-3</v>
      </c>
      <c r="I119" s="56">
        <f>Assumptions!$B$137*IF(I111+I113=0,1,(I111+I113*Assumptions!$B$138)/(I111+I113))*I7/12</f>
        <v>5.4783601175605115E-3</v>
      </c>
      <c r="J119" s="56">
        <f>Assumptions!$B$137*IF(J111+J113=0,1,(J111+J113*Assumptions!$B$138)/(J111+J113))*J7/12</f>
        <v>5.5427055062365E-3</v>
      </c>
      <c r="K119" s="56">
        <f>Assumptions!$B$137*IF(K111+K113=0,1,(K111+K113*Assumptions!$B$138)/(K111+K113))*K7/12</f>
        <v>5.598779389840638E-3</v>
      </c>
      <c r="L119" s="56">
        <f>Assumptions!$B$137*IF(L111+L113=0,1,(L111+L113*Assumptions!$B$138)/(L111+L113))*L7/12</f>
        <v>5.6344441753765186E-3</v>
      </c>
      <c r="M119" s="56">
        <f>Assumptions!$B$137*IF(M111+M113=0,1,(M111+M113*Assumptions!$B$138)/(M111+M113))*M7/12</f>
        <v>5.6791976158989755E-3</v>
      </c>
      <c r="N119" s="56">
        <f>Assumptions!$B$137*IF(N111+N113=0,1,(N111+N113*Assumptions!$B$138)/(N111+N113))*N7/12</f>
        <v>5.7320092250350459E-3</v>
      </c>
      <c r="O119" s="56">
        <f>Assumptions!$B$137*IF(O111+O113=0,1,(O111+O113*Assumptions!$B$138)/(O111+O113))*O7/12</f>
        <v>5.6750919165148642E-3</v>
      </c>
      <c r="P119" s="56">
        <f>Assumptions!$B$137*IF(P111+P113=0,1,(P111+P113*Assumptions!$B$138)/(P111+P113))*P7/12</f>
        <v>5.6635806547675359E-3</v>
      </c>
      <c r="Q119" s="56">
        <f>Assumptions!$B$137*IF(Q111+Q113=0,1,(Q111+Q113*Assumptions!$B$138)/(Q111+Q113))*Q7/12</f>
        <v>5.6748735858631232E-3</v>
      </c>
      <c r="R119" s="56">
        <f>Assumptions!$B$137*IF(R111+R113=0,1,(R111+R113*Assumptions!$B$138)/(R111+R113))*R7/12</f>
        <v>5.6765511132063689E-3</v>
      </c>
      <c r="S119" s="56">
        <f>Assumptions!$B$137*IF(S111+S113=0,1,(S111+S113*Assumptions!$B$138)/(S111+S113))*S7/12</f>
        <v>5.6994379777729415E-3</v>
      </c>
      <c r="T119" s="56">
        <f>Assumptions!$B$137*IF(T111+T113=0,1,(T111+T113*Assumptions!$B$138)/(T111+T113))*T7/12</f>
        <v>5.7392307095848099E-3</v>
      </c>
      <c r="U119" s="56">
        <f>Assumptions!$B$137*IF(U111+U113=0,1,(U111+U113*Assumptions!$B$138)/(U111+U113))*U7/12</f>
        <v>5.7815595492447629E-3</v>
      </c>
      <c r="V119" s="56">
        <f>Assumptions!$B$137*IF(V111+V113=0,1,(V111+V113*Assumptions!$B$138)/(V111+V113))*V7/12</f>
        <v>5.8234025642678886E-3</v>
      </c>
      <c r="W119" s="56">
        <f>Assumptions!$B$137*IF(W111+W113=0,1,(W111+W113*Assumptions!$B$138)/(W111+W113))*W7/12</f>
        <v>5.8590301465675371E-3</v>
      </c>
      <c r="X119" s="56">
        <f>Assumptions!$B$137*IF(X111+X113=0,1,(X111+X113*Assumptions!$B$138)/(X111+X113))*X7/12</f>
        <v>5.8739433650319833E-3</v>
      </c>
      <c r="Y119" s="56">
        <f>Assumptions!$B$137*IF(Y111+Y113=0,1,(Y111+Y113*Assumptions!$B$138)/(Y111+Y113))*Y7/12</f>
        <v>5.8998041424335951E-3</v>
      </c>
      <c r="Z119" s="56">
        <f>Assumptions!$B$137*IF(Z111+Z113=0,1,(Z111+Z113*Assumptions!$B$138)/(Z111+Z113))*Z7/12</f>
        <v>5.9360663975160611E-3</v>
      </c>
      <c r="AA119" s="56">
        <f>Assumptions!$B$137*IF(AA111+AA113=0,1,(AA111+AA113*Assumptions!$B$138)/(AA111+AA113))*AA7/12</f>
        <v>7.5272474655507529E-2</v>
      </c>
      <c r="AB119" s="56">
        <f>Assumptions!$B$137*IF(AB111+AB113=0,1,(AB111+AB113*Assumptions!$B$138)/(AB111+AB113))*AB7/12</f>
        <v>7.7814523079716175E-2</v>
      </c>
      <c r="AC119" s="56">
        <f>Assumptions!$B$137*IF(AC111+AC113=0,1,(AC111+AC113*Assumptions!$B$138)/(AC111+AC113))*AC7/12</f>
        <v>7.9986384341420039E-2</v>
      </c>
      <c r="AD119" s="56">
        <f>Assumptions!$B$137*IF(AD111+AD113=0,1,(AD111+AD113*Assumptions!$B$138)/(AD111+AD113))*AD7/12</f>
        <v>8.2345063618755279E-2</v>
      </c>
      <c r="AE119" s="56">
        <f>Assumptions!$B$137*IF(AE111+AE113=0,1,(AE111+AE113*Assumptions!$B$138)/(AE111+AE113))*AE7/12</f>
        <v>8.4990029273121562E-2</v>
      </c>
    </row>
    <row r="120" spans="1:31" x14ac:dyDescent="0.25">
      <c r="A120" s="6" t="s">
        <v>472</v>
      </c>
      <c r="B120" s="23" t="s">
        <v>47</v>
      </c>
      <c r="C120" s="45">
        <f>C117</f>
        <v>36.878956074576429</v>
      </c>
      <c r="D120" s="45">
        <f t="shared" ref="D120:AE120" si="27">C120*(1-D118)+D117</f>
        <v>106.59458757913833</v>
      </c>
      <c r="E120" s="45">
        <f t="shared" si="27"/>
        <v>205.68804098176716</v>
      </c>
      <c r="F120" s="45">
        <f t="shared" si="27"/>
        <v>340.70806702941059</v>
      </c>
      <c r="G120" s="45">
        <f t="shared" si="27"/>
        <v>505.41206854732832</v>
      </c>
      <c r="H120" s="45">
        <f t="shared" si="27"/>
        <v>692.10336436199646</v>
      </c>
      <c r="I120" s="45">
        <f t="shared" si="27"/>
        <v>898.25099574221474</v>
      </c>
      <c r="J120" s="45">
        <f t="shared" si="27"/>
        <v>1122.548563055617</v>
      </c>
      <c r="K120" s="45">
        <f t="shared" si="27"/>
        <v>1366.649059521252</v>
      </c>
      <c r="L120" s="45">
        <f t="shared" si="27"/>
        <v>1640.7627717745677</v>
      </c>
      <c r="M120" s="45">
        <f t="shared" si="27"/>
        <v>1939.2697974917332</v>
      </c>
      <c r="N120" s="45">
        <f t="shared" si="27"/>
        <v>2255.4372708349279</v>
      </c>
      <c r="O120" s="45">
        <f t="shared" si="27"/>
        <v>2639.7393056979827</v>
      </c>
      <c r="P120" s="45">
        <f t="shared" si="27"/>
        <v>3108.6258037795133</v>
      </c>
      <c r="Q120" s="45">
        <f t="shared" si="27"/>
        <v>3654.2229677869886</v>
      </c>
      <c r="R120" s="45">
        <f t="shared" si="27"/>
        <v>4300.3908559618294</v>
      </c>
      <c r="S120" s="45">
        <f t="shared" si="27"/>
        <v>5030.4411816942129</v>
      </c>
      <c r="T120" s="45">
        <f t="shared" si="27"/>
        <v>5821.5897926462994</v>
      </c>
      <c r="U120" s="45">
        <f t="shared" si="27"/>
        <v>6667.3178835204744</v>
      </c>
      <c r="V120" s="45">
        <f t="shared" si="27"/>
        <v>7564.9607708157982</v>
      </c>
      <c r="W120" s="45">
        <f t="shared" si="27"/>
        <v>8521.9700827356428</v>
      </c>
      <c r="X120" s="45">
        <f t="shared" si="27"/>
        <v>9576.1784693572044</v>
      </c>
      <c r="Y120" s="45">
        <f t="shared" si="27"/>
        <v>10710.973482590638</v>
      </c>
      <c r="Z120" s="45">
        <f t="shared" si="27"/>
        <v>11904.552873340752</v>
      </c>
      <c r="AA120" s="45">
        <f t="shared" si="27"/>
        <v>36962.124152463977</v>
      </c>
      <c r="AB120" s="45">
        <f t="shared" si="27"/>
        <v>70764.313826281505</v>
      </c>
      <c r="AC120" s="45">
        <f t="shared" si="27"/>
        <v>110369.44008691233</v>
      </c>
      <c r="AD120" s="45">
        <f t="shared" si="27"/>
        <v>148228.4516234959</v>
      </c>
      <c r="AE120" s="45">
        <f t="shared" si="27"/>
        <v>175606.95770506607</v>
      </c>
    </row>
    <row r="121" spans="1:31" x14ac:dyDescent="0.25">
      <c r="A121" s="6" t="s">
        <v>473</v>
      </c>
      <c r="B121" s="23" t="s">
        <v>47</v>
      </c>
      <c r="C121" s="45">
        <f>C117</f>
        <v>36.878956074576429</v>
      </c>
      <c r="D121" s="45">
        <f t="shared" ref="D121:AE121" si="28">C121*(1-D119)+D117</f>
        <v>106.77898235951122</v>
      </c>
      <c r="E121" s="45">
        <f t="shared" si="28"/>
        <v>206.40444649869829</v>
      </c>
      <c r="F121" s="45">
        <f t="shared" si="28"/>
        <v>342.44913447487244</v>
      </c>
      <c r="G121" s="45">
        <f t="shared" si="28"/>
        <v>508.84738160556492</v>
      </c>
      <c r="H121" s="45">
        <f t="shared" si="28"/>
        <v>698.04715307685831</v>
      </c>
      <c r="I121" s="45">
        <f t="shared" si="28"/>
        <v>907.62273906384382</v>
      </c>
      <c r="J121" s="45">
        <f t="shared" si="28"/>
        <v>1136.3596165426452</v>
      </c>
      <c r="K121" s="45">
        <f t="shared" si="28"/>
        <v>1385.995530781943</v>
      </c>
      <c r="L121" s="45">
        <f t="shared" si="28"/>
        <v>1666.8334817205562</v>
      </c>
      <c r="M121" s="45">
        <f t="shared" si="28"/>
        <v>1973.3962605828244</v>
      </c>
      <c r="N121" s="45">
        <f t="shared" si="28"/>
        <v>2299.064469712222</v>
      </c>
      <c r="O121" s="45">
        <f t="shared" si="28"/>
        <v>2694.3961025657627</v>
      </c>
      <c r="P121" s="45">
        <f t="shared" si="28"/>
        <v>3176.1717439983913</v>
      </c>
      <c r="Q121" s="45">
        <f t="shared" si="28"/>
        <v>3736.9287223527836</v>
      </c>
      <c r="R121" s="45">
        <f t="shared" si="28"/>
        <v>4400.8982419234098</v>
      </c>
      <c r="S121" s="45">
        <f t="shared" si="28"/>
        <v>5151.8776863230069</v>
      </c>
      <c r="T121" s="45">
        <f t="shared" si="28"/>
        <v>5967.481551066935</v>
      </c>
      <c r="U121" s="45">
        <f t="shared" si="28"/>
        <v>6841.4741090152884</v>
      </c>
      <c r="V121" s="45">
        <f t="shared" si="28"/>
        <v>7771.4394039180843</v>
      </c>
      <c r="W121" s="45">
        <f t="shared" si="28"/>
        <v>8765.0637551560394</v>
      </c>
      <c r="X121" s="45">
        <f t="shared" si="28"/>
        <v>9860.4540737270836</v>
      </c>
      <c r="Y121" s="45">
        <f t="shared" si="28"/>
        <v>11041.452808919048</v>
      </c>
      <c r="Z121" s="45">
        <f t="shared" si="28"/>
        <v>12286.625319858023</v>
      </c>
      <c r="AA121" s="45">
        <f t="shared" si="28"/>
        <v>38029.710232834652</v>
      </c>
      <c r="AB121" s="45">
        <f t="shared" si="28"/>
        <v>73966.553654109419</v>
      </c>
      <c r="AC121" s="45">
        <f t="shared" si="28"/>
        <v>117561.4031586951</v>
      </c>
      <c r="AD121" s="45">
        <f t="shared" si="28"/>
        <v>161450.35844380374</v>
      </c>
      <c r="AE121" s="45">
        <f t="shared" si="28"/>
        <v>196598.84137507921</v>
      </c>
    </row>
    <row r="122" spans="1:31" x14ac:dyDescent="0.25">
      <c r="A122" s="6" t="s">
        <v>474</v>
      </c>
      <c r="B122" s="23" t="s">
        <v>114</v>
      </c>
      <c r="C122" s="57">
        <f t="shared" ref="C122:AE122" si="29">C120*C21</f>
        <v>5216.8971263095818</v>
      </c>
      <c r="D122" s="57">
        <f t="shared" si="29"/>
        <v>15078.870358944909</v>
      </c>
      <c r="E122" s="57">
        <f t="shared" si="29"/>
        <v>29096.630277280783</v>
      </c>
      <c r="F122" s="57">
        <f t="shared" si="29"/>
        <v>48196.563161980426</v>
      </c>
      <c r="G122" s="57">
        <f t="shared" si="29"/>
        <v>71495.59121670507</v>
      </c>
      <c r="H122" s="57">
        <f t="shared" si="29"/>
        <v>97904.941922648024</v>
      </c>
      <c r="I122" s="57">
        <f t="shared" si="29"/>
        <v>127066.5858576937</v>
      </c>
      <c r="J122" s="57">
        <f t="shared" si="29"/>
        <v>158795.71972984759</v>
      </c>
      <c r="K122" s="57">
        <f t="shared" si="29"/>
        <v>193326.1759598763</v>
      </c>
      <c r="L122" s="57">
        <f t="shared" si="29"/>
        <v>232102.30169523036</v>
      </c>
      <c r="M122" s="57">
        <f t="shared" si="29"/>
        <v>274329.10555318062</v>
      </c>
      <c r="N122" s="57">
        <f t="shared" si="29"/>
        <v>319054.15633230889</v>
      </c>
      <c r="O122" s="57">
        <f t="shared" si="29"/>
        <v>403664.34148094361</v>
      </c>
      <c r="P122" s="57">
        <f t="shared" si="29"/>
        <v>475365.64890506462</v>
      </c>
      <c r="Q122" s="57">
        <f t="shared" si="29"/>
        <v>558797.41788602236</v>
      </c>
      <c r="R122" s="57">
        <f t="shared" si="29"/>
        <v>657608.2870135936</v>
      </c>
      <c r="S122" s="57">
        <f t="shared" si="29"/>
        <v>769246.31253702287</v>
      </c>
      <c r="T122" s="57">
        <f t="shared" si="29"/>
        <v>890227.38152523292</v>
      </c>
      <c r="U122" s="57">
        <f t="shared" si="29"/>
        <v>1019554.6496148336</v>
      </c>
      <c r="V122" s="57">
        <f t="shared" si="29"/>
        <v>1156820.6380414106</v>
      </c>
      <c r="W122" s="57">
        <f t="shared" si="29"/>
        <v>1303164.8368239906</v>
      </c>
      <c r="X122" s="57">
        <f t="shared" si="29"/>
        <v>1464372.5489835672</v>
      </c>
      <c r="Y122" s="57">
        <f t="shared" si="29"/>
        <v>1637903.4278639008</v>
      </c>
      <c r="Z122" s="57">
        <f t="shared" si="29"/>
        <v>1820423.5114692682</v>
      </c>
      <c r="AA122" s="57">
        <f t="shared" si="29"/>
        <v>6110010.5919139665</v>
      </c>
      <c r="AB122" s="57">
        <f t="shared" si="29"/>
        <v>12645180.573167976</v>
      </c>
      <c r="AC122" s="57">
        <f t="shared" si="29"/>
        <v>21319905.1832036</v>
      </c>
      <c r="AD122" s="57">
        <f t="shared" si="29"/>
        <v>30952354.842384089</v>
      </c>
      <c r="AE122" s="57">
        <f t="shared" si="29"/>
        <v>39639624.927643433</v>
      </c>
    </row>
    <row r="123" spans="1:31" x14ac:dyDescent="0.25">
      <c r="A123" s="6" t="s">
        <v>475</v>
      </c>
      <c r="B123" s="23" t="s">
        <v>190</v>
      </c>
      <c r="C123" s="54">
        <f>C111+C113*Assumptions!$B$179</f>
        <v>178.66900000000001</v>
      </c>
      <c r="D123" s="54">
        <f>D111+D113*Assumptions!$B$179</f>
        <v>348.25026172595199</v>
      </c>
      <c r="E123" s="54">
        <f>E111+E113*Assumptions!$B$179</f>
        <v>510.54484545718901</v>
      </c>
      <c r="F123" s="54">
        <f>F111+F113*Assumptions!$B$179</f>
        <v>713.14894393210432</v>
      </c>
      <c r="G123" s="54">
        <f>G111+G113*Assumptions!$B$179</f>
        <v>896.07532561123355</v>
      </c>
      <c r="H123" s="54">
        <f>H111+H113*Assumptions!$B$179</f>
        <v>1050.6313749065253</v>
      </c>
      <c r="I123" s="54">
        <f>I111+I113*Assumptions!$B$179</f>
        <v>1199.7325494130228</v>
      </c>
      <c r="J123" s="54">
        <f>J111+J113*Assumptions!$B$179</f>
        <v>1348.6543671346828</v>
      </c>
      <c r="K123" s="54">
        <f>K111+K113*Assumptions!$B$179</f>
        <v>1511.3963545705396</v>
      </c>
      <c r="L123" s="54">
        <f>L111+L113*Assumptions!$B$179</f>
        <v>1729.8476944193044</v>
      </c>
      <c r="M123" s="54">
        <f>M111+M113*Assumptions!$B$179</f>
        <v>1930.4674018935907</v>
      </c>
      <c r="N123" s="54">
        <f>N111+N113*Assumptions!$B$179</f>
        <v>2106.3770844517594</v>
      </c>
      <c r="O123" s="54">
        <f>O111+O113*Assumptions!$B$179</f>
        <v>2691.8878740441673</v>
      </c>
      <c r="P123" s="54">
        <f>P111+P113*Assumptions!$B$179</f>
        <v>3260.1380629529631</v>
      </c>
      <c r="Q123" s="54">
        <f>Q111+Q113*Assumptions!$B$179</f>
        <v>3814.7604791162084</v>
      </c>
      <c r="R123" s="54">
        <f>R111+R113*Assumptions!$B$179</f>
        <v>4519.3125996462331</v>
      </c>
      <c r="S123" s="54">
        <f>S111+S113*Assumptions!$B$179</f>
        <v>5169.658300545927</v>
      </c>
      <c r="T123" s="54">
        <f>T111+T113*Assumptions!$B$179</f>
        <v>5729.121145824387</v>
      </c>
      <c r="U123" s="54">
        <f>U111+U113*Assumptions!$B$179</f>
        <v>6275.8645086433608</v>
      </c>
      <c r="V123" s="54">
        <f>V111+V113*Assumptions!$B$179</f>
        <v>6828.1970776283088</v>
      </c>
      <c r="W123" s="54">
        <f>W111+W113*Assumptions!$B$179</f>
        <v>7438.2388173586078</v>
      </c>
      <c r="X123" s="54">
        <f>X111+X113*Assumptions!$B$179</f>
        <v>8266.8656011235016</v>
      </c>
      <c r="Y123" s="54">
        <f>Y111+Y113*Assumptions!$B$179</f>
        <v>9042.1483683442202</v>
      </c>
      <c r="Z123" s="54">
        <f>Z111+Z113*Assumptions!$B$179</f>
        <v>9732.2210564021862</v>
      </c>
      <c r="AA123" s="54">
        <f>AA111+AA113*Assumptions!$B$179</f>
        <v>21314.092891739121</v>
      </c>
      <c r="AB123" s="54">
        <f>AB111+AB113*Assumptions!$B$179</f>
        <v>38302.943173557491</v>
      </c>
      <c r="AC123" s="54">
        <f>AC111+AC113*Assumptions!$B$179</f>
        <v>59853.58337909267</v>
      </c>
      <c r="AD123" s="54">
        <f>AD111+AD113*Assumptions!$B$179</f>
        <v>82097.599874401029</v>
      </c>
      <c r="AE123" s="54">
        <f>AE111+AE113*Assumptions!$B$179</f>
        <v>100411.9323305751</v>
      </c>
    </row>
    <row r="124" spans="1:31" x14ac:dyDescent="0.25">
      <c r="A124" s="6" t="s">
        <v>476</v>
      </c>
      <c r="B124" s="23" t="s">
        <v>190</v>
      </c>
      <c r="C124" s="45">
        <f>IF(C7&gt;1,C123*Assumptions!$B$134,IF(C2&gt;Assumptions!$B$135,INDEX($C$123:$AE$123,1,C2-Assumptions!$B$135)*Assumptions!$B$134,0))</f>
        <v>0</v>
      </c>
      <c r="D124" s="45">
        <f>IF(D7&gt;1,D123*Assumptions!$B$134,IF(D2&gt;Assumptions!$B$135,INDEX($C$123:$AE$123,1,D2-Assumptions!$B$135)*Assumptions!$B$134,0))</f>
        <v>0</v>
      </c>
      <c r="E124" s="45">
        <f>IF(E7&gt;1,E123*Assumptions!$B$134,IF(E2&gt;Assumptions!$B$135,INDEX($C$123:$AE$123,1,E2-Assumptions!$B$135)*Assumptions!$B$134,0))</f>
        <v>0</v>
      </c>
      <c r="F124" s="45">
        <f>IF(F7&gt;1,F123*Assumptions!$B$134,IF(F2&gt;Assumptions!$B$135,INDEX($C$123:$AE$123,1,F2-Assumptions!$B$135)*Assumptions!$B$134,0))</f>
        <v>0</v>
      </c>
      <c r="G124" s="45">
        <f>IF(G7&gt;1,G123*Assumptions!$B$134,IF(G2&gt;Assumptions!$B$135,INDEX($C$123:$AE$123,1,G2-Assumptions!$B$135)*Assumptions!$B$134,0))</f>
        <v>0</v>
      </c>
      <c r="H124" s="45">
        <f>IF(H7&gt;1,H123*Assumptions!$B$134,IF(H2&gt;Assumptions!$B$135,INDEX($C$123:$AE$123,1,H2-Assumptions!$B$135)*Assumptions!$B$134,0))</f>
        <v>0</v>
      </c>
      <c r="I124" s="45">
        <f>IF(I7&gt;1,I123*Assumptions!$B$134,IF(I2&gt;Assumptions!$B$135,INDEX($C$123:$AE$123,1,I2-Assumptions!$B$135)*Assumptions!$B$134,0))</f>
        <v>0</v>
      </c>
      <c r="J124" s="45">
        <f>IF(J7&gt;1,J123*Assumptions!$B$134,IF(J2&gt;Assumptions!$B$135,INDEX($C$123:$AE$123,1,J2-Assumptions!$B$135)*Assumptions!$B$134,0))</f>
        <v>0</v>
      </c>
      <c r="K124" s="45">
        <f>IF(K7&gt;1,K123*Assumptions!$B$134,IF(K2&gt;Assumptions!$B$135,INDEX($C$123:$AE$123,1,K2-Assumptions!$B$135)*Assumptions!$B$134,0))</f>
        <v>98.267950000000013</v>
      </c>
      <c r="L124" s="45">
        <f>IF(L7&gt;1,L123*Assumptions!$B$134,IF(L2&gt;Assumptions!$B$135,INDEX($C$123:$AE$123,1,L2-Assumptions!$B$135)*Assumptions!$B$134,0))</f>
        <v>191.53764394927362</v>
      </c>
      <c r="M124" s="45">
        <f>IF(M7&gt;1,M123*Assumptions!$B$134,IF(M2&gt;Assumptions!$B$135,INDEX($C$123:$AE$123,1,M2-Assumptions!$B$135)*Assumptions!$B$134,0))</f>
        <v>280.799665001454</v>
      </c>
      <c r="N124" s="45">
        <f>IF(N7&gt;1,N123*Assumptions!$B$134,IF(N2&gt;Assumptions!$B$135,INDEX($C$123:$AE$123,1,N2-Assumptions!$B$135)*Assumptions!$B$134,0))</f>
        <v>392.23191916265739</v>
      </c>
      <c r="O124" s="45">
        <f>IF(O7&gt;1,O123*Assumptions!$B$134,IF(O2&gt;Assumptions!$B$135,INDEX($C$123:$AE$123,1,O2-Assumptions!$B$135)*Assumptions!$B$134,0))</f>
        <v>492.84142908617849</v>
      </c>
      <c r="P124" s="45">
        <f>IF(P7&gt;1,P123*Assumptions!$B$134,IF(P2&gt;Assumptions!$B$135,INDEX($C$123:$AE$123,1,P2-Assumptions!$B$135)*Assumptions!$B$134,0))</f>
        <v>577.84725619858898</v>
      </c>
      <c r="Q124" s="45">
        <f>IF(Q7&gt;1,Q123*Assumptions!$B$134,IF(Q2&gt;Assumptions!$B$135,INDEX($C$123:$AE$123,1,Q2-Assumptions!$B$135)*Assumptions!$B$134,0))</f>
        <v>659.8529021771626</v>
      </c>
      <c r="R124" s="45">
        <f>IF(R7&gt;1,R123*Assumptions!$B$134,IF(R2&gt;Assumptions!$B$135,INDEX($C$123:$AE$123,1,R2-Assumptions!$B$135)*Assumptions!$B$134,0))</f>
        <v>741.75990192407562</v>
      </c>
      <c r="S124" s="45">
        <f>IF(S7&gt;1,S123*Assumptions!$B$134,IF(S2&gt;Assumptions!$B$135,INDEX($C$123:$AE$123,1,S2-Assumptions!$B$135)*Assumptions!$B$134,0))</f>
        <v>831.26799501379685</v>
      </c>
      <c r="T124" s="45">
        <f>IF(T7&gt;1,T123*Assumptions!$B$134,IF(T2&gt;Assumptions!$B$135,INDEX($C$123:$AE$123,1,T2-Assumptions!$B$135)*Assumptions!$B$134,0))</f>
        <v>951.41623193061753</v>
      </c>
      <c r="U124" s="45">
        <f>IF(U7&gt;1,U123*Assumptions!$B$134,IF(U2&gt;Assumptions!$B$135,INDEX($C$123:$AE$123,1,U2-Assumptions!$B$135)*Assumptions!$B$134,0))</f>
        <v>1061.757071041475</v>
      </c>
      <c r="V124" s="45">
        <f>IF(V7&gt;1,V123*Assumptions!$B$134,IF(V2&gt;Assumptions!$B$135,INDEX($C$123:$AE$123,1,V2-Assumptions!$B$135)*Assumptions!$B$134,0))</f>
        <v>1158.5073964484677</v>
      </c>
      <c r="W124" s="45">
        <f>IF(W7&gt;1,W123*Assumptions!$B$134,IF(W2&gt;Assumptions!$B$135,INDEX($C$123:$AE$123,1,W2-Assumptions!$B$135)*Assumptions!$B$134,0))</f>
        <v>1480.5383307242921</v>
      </c>
      <c r="X124" s="45">
        <f>IF(X7&gt;1,X123*Assumptions!$B$134,IF(X2&gt;Assumptions!$B$135,INDEX($C$123:$AE$123,1,X2-Assumptions!$B$135)*Assumptions!$B$134,0))</f>
        <v>1793.0759346241298</v>
      </c>
      <c r="Y124" s="45">
        <f>IF(Y7&gt;1,Y123*Assumptions!$B$134,IF(Y2&gt;Assumptions!$B$135,INDEX($C$123:$AE$123,1,Y2-Assumptions!$B$135)*Assumptions!$B$134,0))</f>
        <v>2098.1182635139148</v>
      </c>
      <c r="Z124" s="45">
        <f>IF(Z7&gt;1,Z123*Assumptions!$B$134,IF(Z2&gt;Assumptions!$B$135,INDEX($C$123:$AE$123,1,Z2-Assumptions!$B$135)*Assumptions!$B$134,0))</f>
        <v>2485.6219298054284</v>
      </c>
      <c r="AA124" s="45">
        <f>IF(AA7&gt;1,AA123*Assumptions!$B$134,IF(AA2&gt;Assumptions!$B$135,INDEX($C$123:$AE$123,1,AA2-Assumptions!$B$135)*Assumptions!$B$134,0))</f>
        <v>11722.751090456517</v>
      </c>
      <c r="AB124" s="45">
        <f>IF(AB7&gt;1,AB123*Assumptions!$B$134,IF(AB2&gt;Assumptions!$B$135,INDEX($C$123:$AE$123,1,AB2-Assumptions!$B$135)*Assumptions!$B$134,0))</f>
        <v>21066.618745456621</v>
      </c>
      <c r="AC124" s="45">
        <f>IF(AC7&gt;1,AC123*Assumptions!$B$134,IF(AC2&gt;Assumptions!$B$135,INDEX($C$123:$AE$123,1,AC2-Assumptions!$B$135)*Assumptions!$B$134,0))</f>
        <v>32919.470858500972</v>
      </c>
      <c r="AD124" s="45">
        <f>IF(AD7&gt;1,AD123*Assumptions!$B$134,IF(AD2&gt;Assumptions!$B$135,INDEX($C$123:$AE$123,1,AD2-Assumptions!$B$135)*Assumptions!$B$134,0))</f>
        <v>45153.679930920567</v>
      </c>
      <c r="AE124" s="45">
        <f>IF(AE7&gt;1,AE123*Assumptions!$B$134,IF(AE2&gt;Assumptions!$B$135,INDEX($C$123:$AE$123,1,AE2-Assumptions!$B$135)*Assumptions!$B$134,0))</f>
        <v>55226.562781816312</v>
      </c>
    </row>
    <row r="125" spans="1:31" x14ac:dyDescent="0.25">
      <c r="A125" s="6" t="s">
        <v>477</v>
      </c>
      <c r="B125" s="23" t="s">
        <v>478</v>
      </c>
      <c r="C125" s="28">
        <f>IF(C2&gt;=Assumptions!$B$51,C124*Assumptions!$B$143,0)</f>
        <v>0</v>
      </c>
      <c r="D125" s="28">
        <f>IF(D2&gt;=Assumptions!$B$51,D124*Assumptions!$B$143,0)</f>
        <v>0</v>
      </c>
      <c r="E125" s="28">
        <f>IF(E2&gt;=Assumptions!$B$51,E124*Assumptions!$B$143,0)</f>
        <v>0</v>
      </c>
      <c r="F125" s="28">
        <f>IF(F2&gt;=Assumptions!$B$51,F124*Assumptions!$B$143,0)</f>
        <v>0</v>
      </c>
      <c r="G125" s="28">
        <f>IF(G2&gt;=Assumptions!$B$51,G124*Assumptions!$B$143,0)</f>
        <v>0</v>
      </c>
      <c r="H125" s="28">
        <f>IF(H2&gt;=Assumptions!$B$51,H124*Assumptions!$B$143,0)</f>
        <v>0</v>
      </c>
      <c r="I125" s="28">
        <f>IF(I2&gt;=Assumptions!$B$51,I124*Assumptions!$B$143,0)</f>
        <v>0</v>
      </c>
      <c r="J125" s="28">
        <f>IF(J2&gt;=Assumptions!$B$51,J124*Assumptions!$B$143,0)</f>
        <v>0</v>
      </c>
      <c r="K125" s="28">
        <f>IF(K2&gt;=Assumptions!$B$51,K124*Assumptions!$B$143,0)</f>
        <v>0</v>
      </c>
      <c r="L125" s="28">
        <f>IF(L2&gt;=Assumptions!$B$51,L124*Assumptions!$B$143,0)</f>
        <v>0</v>
      </c>
      <c r="M125" s="28">
        <f>IF(M2&gt;=Assumptions!$B$51,M124*Assumptions!$B$143,0)</f>
        <v>0</v>
      </c>
      <c r="N125" s="28">
        <f>IF(N2&gt;=Assumptions!$B$51,N124*Assumptions!$B$143,0)</f>
        <v>0</v>
      </c>
      <c r="O125" s="28">
        <f>IF(O2&gt;=Assumptions!$B$51,O124*Assumptions!$B$143,0)</f>
        <v>88.711457235512128</v>
      </c>
      <c r="P125" s="28">
        <f>IF(P2&gt;=Assumptions!$B$51,P124*Assumptions!$B$143,0)</f>
        <v>104.01250611574601</v>
      </c>
      <c r="Q125" s="28">
        <f>IF(Q2&gt;=Assumptions!$B$51,Q124*Assumptions!$B$143,0)</f>
        <v>118.77352239188926</v>
      </c>
      <c r="R125" s="28">
        <f>IF(R2&gt;=Assumptions!$B$51,R124*Assumptions!$B$143,0)</f>
        <v>133.5167823463336</v>
      </c>
      <c r="S125" s="28">
        <f>IF(S2&gt;=Assumptions!$B$51,S124*Assumptions!$B$143,0)</f>
        <v>149.62823910248343</v>
      </c>
      <c r="T125" s="28">
        <f>IF(T2&gt;=Assumptions!$B$51,T124*Assumptions!$B$143,0)</f>
        <v>171.25492174751116</v>
      </c>
      <c r="U125" s="28">
        <f>IF(U2&gt;=Assumptions!$B$51,U124*Assumptions!$B$143,0)</f>
        <v>191.1162727874655</v>
      </c>
      <c r="V125" s="28">
        <f>IF(V2&gt;=Assumptions!$B$51,V124*Assumptions!$B$143,0)</f>
        <v>208.53133136072418</v>
      </c>
      <c r="W125" s="28">
        <f>IF(W2&gt;=Assumptions!$B$51,W124*Assumptions!$B$143,0)</f>
        <v>266.49689953037256</v>
      </c>
      <c r="X125" s="28">
        <f>IF(X2&gt;=Assumptions!$B$51,X124*Assumptions!$B$143,0)</f>
        <v>322.75366823234333</v>
      </c>
      <c r="Y125" s="28">
        <f>IF(Y2&gt;=Assumptions!$B$51,Y124*Assumptions!$B$143,0)</f>
        <v>377.66128743250465</v>
      </c>
      <c r="Z125" s="28">
        <f>IF(Z2&gt;=Assumptions!$B$51,Z124*Assumptions!$B$143,0)</f>
        <v>447.4119473649771</v>
      </c>
      <c r="AA125" s="28">
        <f>IF(AA2&gt;=Assumptions!$B$51,AA124*Assumptions!$B$143,0)</f>
        <v>2110.0951962821728</v>
      </c>
      <c r="AB125" s="28">
        <f>IF(AB2&gt;=Assumptions!$B$51,AB124*Assumptions!$B$143,0)</f>
        <v>3791.9913741821915</v>
      </c>
      <c r="AC125" s="28">
        <f>IF(AC2&gt;=Assumptions!$B$51,AC124*Assumptions!$B$143,0)</f>
        <v>5925.504754530175</v>
      </c>
      <c r="AD125" s="28">
        <f>IF(AD2&gt;=Assumptions!$B$51,AD124*Assumptions!$B$143,0)</f>
        <v>8127.6623875657015</v>
      </c>
      <c r="AE125" s="28">
        <f>IF(AE2&gt;=Assumptions!$B$51,AE124*Assumptions!$B$143,0)</f>
        <v>9940.781300726936</v>
      </c>
    </row>
    <row r="126" spans="1:31" x14ac:dyDescent="0.25">
      <c r="A126" s="6" t="s">
        <v>479</v>
      </c>
      <c r="B126" s="23" t="s">
        <v>478</v>
      </c>
      <c r="C126" s="28">
        <f t="shared" ref="C126:AE126" si="30">IF(C123=0,0,C125*C111/C123)</f>
        <v>0</v>
      </c>
      <c r="D126" s="28">
        <f t="shared" si="30"/>
        <v>0</v>
      </c>
      <c r="E126" s="28">
        <f t="shared" si="30"/>
        <v>0</v>
      </c>
      <c r="F126" s="28">
        <f t="shared" si="30"/>
        <v>0</v>
      </c>
      <c r="G126" s="28">
        <f t="shared" si="30"/>
        <v>0</v>
      </c>
      <c r="H126" s="28">
        <f t="shared" si="30"/>
        <v>0</v>
      </c>
      <c r="I126" s="28">
        <f t="shared" si="30"/>
        <v>0</v>
      </c>
      <c r="J126" s="28">
        <f t="shared" si="30"/>
        <v>0</v>
      </c>
      <c r="K126" s="28">
        <f t="shared" si="30"/>
        <v>0</v>
      </c>
      <c r="L126" s="28">
        <f t="shared" si="30"/>
        <v>0</v>
      </c>
      <c r="M126" s="28">
        <f t="shared" si="30"/>
        <v>0</v>
      </c>
      <c r="N126" s="28">
        <f t="shared" si="30"/>
        <v>0</v>
      </c>
      <c r="O126" s="28">
        <f t="shared" si="30"/>
        <v>68.748661341529385</v>
      </c>
      <c r="P126" s="28">
        <f t="shared" si="30"/>
        <v>81.005610478312974</v>
      </c>
      <c r="Q126" s="28">
        <f t="shared" si="30"/>
        <v>92.05448473781982</v>
      </c>
      <c r="R126" s="28">
        <f t="shared" si="30"/>
        <v>103.40647310361877</v>
      </c>
      <c r="S126" s="28">
        <f t="shared" si="30"/>
        <v>114.74301477729438</v>
      </c>
      <c r="T126" s="28">
        <f t="shared" si="30"/>
        <v>129.05595597307652</v>
      </c>
      <c r="U126" s="28">
        <f t="shared" si="30"/>
        <v>141.32669011642855</v>
      </c>
      <c r="V126" s="28">
        <f t="shared" si="30"/>
        <v>151.29625370318513</v>
      </c>
      <c r="W126" s="28">
        <f t="shared" si="30"/>
        <v>190.18727597591584</v>
      </c>
      <c r="X126" s="28">
        <f t="shared" si="30"/>
        <v>228.73085926854648</v>
      </c>
      <c r="Y126" s="28">
        <f t="shared" si="30"/>
        <v>264.38755714298054</v>
      </c>
      <c r="Z126" s="28">
        <f t="shared" si="30"/>
        <v>307.80951743978403</v>
      </c>
      <c r="AA126" s="28">
        <f t="shared" si="30"/>
        <v>1214.9181016730706</v>
      </c>
      <c r="AB126" s="28">
        <f t="shared" si="30"/>
        <v>1915.5325449195986</v>
      </c>
      <c r="AC126" s="28">
        <f t="shared" si="30"/>
        <v>2635.7987700592862</v>
      </c>
      <c r="AD126" s="28">
        <f t="shared" si="30"/>
        <v>3082.8531341790317</v>
      </c>
      <c r="AE126" s="28">
        <f t="shared" si="30"/>
        <v>3040.2141978695563</v>
      </c>
    </row>
    <row r="127" spans="1:31" x14ac:dyDescent="0.25">
      <c r="A127" s="6" t="s">
        <v>480</v>
      </c>
      <c r="B127" s="23" t="s">
        <v>114</v>
      </c>
      <c r="C127" s="55">
        <f>IF(C111=0,0,C122/C111*Assumptions!$B$31)</f>
        <v>14.967569786535304</v>
      </c>
      <c r="D127" s="55">
        <f>IF(D111=0,0,D122/D111*Assumptions!$B$31)</f>
        <v>22.763100502517116</v>
      </c>
      <c r="E127" s="55">
        <f>IF(E111=0,0,E122/E111*Assumptions!$B$31)</f>
        <v>30.730370862198196</v>
      </c>
      <c r="F127" s="55">
        <f>IF(F111=0,0,F122/F111*Assumptions!$B$31)</f>
        <v>37.186982059725274</v>
      </c>
      <c r="G127" s="55">
        <f>IF(G111=0,0,G122/G111*Assumptions!$B$31)</f>
        <v>44.967909767190449</v>
      </c>
      <c r="H127" s="55">
        <f>IF(H111=0,0,H122/H111*Assumptions!$B$31)</f>
        <v>53.967001912353055</v>
      </c>
      <c r="I127" s="55">
        <f>IF(I111=0,0,I122/I111*Assumptions!$B$31)</f>
        <v>63.002112773664479</v>
      </c>
      <c r="J127" s="55">
        <f>IF(J111=0,0,J122/J111*Assumptions!$B$31)</f>
        <v>71.874060448650923</v>
      </c>
      <c r="K127" s="55">
        <f>IF(K111=0,0,K122/K111*Assumptions!$B$31)</f>
        <v>79.904545747867203</v>
      </c>
      <c r="L127" s="55">
        <f>IF(L111=0,0,L122/L111*Assumptions!$B$31)</f>
        <v>85.080422490763581</v>
      </c>
      <c r="M127" s="55">
        <f>IF(M111=0,0,M122/M111*Assumptions!$B$31)</f>
        <v>91.846479033315134</v>
      </c>
      <c r="N127" s="55">
        <f>IF(N111=0,0,N122/N111*Assumptions!$B$31)</f>
        <v>100.17936176624269</v>
      </c>
      <c r="O127" s="55">
        <f>IF(O111=0,0,O122/O111*Assumptions!$B$31)</f>
        <v>96.749536303482017</v>
      </c>
      <c r="P127" s="55">
        <f>IF(P111=0,0,P122/P111*Assumptions!$B$31)</f>
        <v>93.612160509203861</v>
      </c>
      <c r="Q127" s="55">
        <f>IF(Q111=0,0,Q122/Q111*Assumptions!$B$31)</f>
        <v>94.499999257477228</v>
      </c>
      <c r="R127" s="55">
        <f>IF(R111=0,0,R122/R111*Assumptions!$B$31)</f>
        <v>93.940535421009159</v>
      </c>
      <c r="S127" s="55">
        <f>IF(S111=0,0,S122/S111*Assumptions!$B$31)</f>
        <v>97.019916730354311</v>
      </c>
      <c r="T127" s="55">
        <f>IF(T111=0,0,T122/T111*Assumptions!$B$31)</f>
        <v>103.09745773145934</v>
      </c>
      <c r="U127" s="55">
        <f>IF(U111=0,0,U122/U111*Assumptions!$B$31)</f>
        <v>109.84503566110426</v>
      </c>
      <c r="V127" s="55">
        <f>IF(V111=0,0,V122/V111*Assumptions!$B$31)</f>
        <v>116.75436508290477</v>
      </c>
      <c r="W127" s="55">
        <f>IF(W111=0,0,W122/W111*Assumptions!$B$31)</f>
        <v>122.74673299639456</v>
      </c>
      <c r="X127" s="55">
        <f>IF(X111=0,0,X122/X111*Assumptions!$B$31)</f>
        <v>124.97614710861792</v>
      </c>
      <c r="Y127" s="55">
        <f>IF(Y111=0,0,Y122/Y111*Assumptions!$B$31)</f>
        <v>129.37433320196325</v>
      </c>
      <c r="Z127" s="55">
        <f>IF(Z111=0,0,Z122/Z111*Assumptions!$B$31)</f>
        <v>135.94273663407031</v>
      </c>
      <c r="AA127" s="55">
        <f>IF(AA111=0,0,AA122/AA111*Assumptions!$B$31)</f>
        <v>248.94313771705421</v>
      </c>
      <c r="AB127" s="55">
        <f>IF(AB111=0,0,AB122/AB111*Assumptions!$B$31)</f>
        <v>326.76888734254709</v>
      </c>
      <c r="AC127" s="55">
        <f>IF(AC111=0,0,AC122/AC111*Assumptions!$B$31)</f>
        <v>400.38538546887662</v>
      </c>
      <c r="AD127" s="55">
        <f>IF(AD111=0,0,AD122/AD111*Assumptions!$B$31)</f>
        <v>496.98817881119203</v>
      </c>
      <c r="AE127" s="55">
        <f>IF(AE111=0,0,AE122/AE111*Assumptions!$B$31)</f>
        <v>645.40236516668574</v>
      </c>
    </row>
    <row r="128" spans="1:31" x14ac:dyDescent="0.25">
      <c r="A128" s="6" t="s">
        <v>481</v>
      </c>
      <c r="B128" s="23" t="s">
        <v>76</v>
      </c>
      <c r="C128" s="55">
        <f>C127*Assumptions!$B$156*Assumptions!$B$158</f>
        <v>15.71594827586207</v>
      </c>
      <c r="D128" s="55">
        <f>D127*Assumptions!$B$156*Assumptions!$B$158</f>
        <v>23.901255527642974</v>
      </c>
      <c r="E128" s="55">
        <f>E127*Assumptions!$B$156*Assumptions!$B$158</f>
        <v>32.266889405308106</v>
      </c>
      <c r="F128" s="55">
        <f>F127*Assumptions!$B$156*Assumptions!$B$158</f>
        <v>39.046331162711539</v>
      </c>
      <c r="G128" s="55">
        <f>G127*Assumptions!$B$156*Assumptions!$B$158</f>
        <v>47.216305255549976</v>
      </c>
      <c r="H128" s="55">
        <f>H127*Assumptions!$B$156*Assumptions!$B$158</f>
        <v>56.665352007970711</v>
      </c>
      <c r="I128" s="55">
        <f>I127*Assumptions!$B$156*Assumptions!$B$158</f>
        <v>66.152218412347707</v>
      </c>
      <c r="J128" s="55">
        <f>J127*Assumptions!$B$156*Assumptions!$B$158</f>
        <v>75.467763471083472</v>
      </c>
      <c r="K128" s="55">
        <f>K127*Assumptions!$B$156*Assumptions!$B$158</f>
        <v>83.899773035260566</v>
      </c>
      <c r="L128" s="55">
        <f>L127*Assumptions!$B$156*Assumptions!$B$158</f>
        <v>89.334443615301765</v>
      </c>
      <c r="M128" s="55">
        <f>M127*Assumptions!$B$156*Assumptions!$B$158</f>
        <v>96.438802984980896</v>
      </c>
      <c r="N128" s="55">
        <f>N127*Assumptions!$B$156*Assumptions!$B$158</f>
        <v>105.18832985455484</v>
      </c>
      <c r="O128" s="55">
        <f>O127*Assumptions!$B$156*Assumptions!$B$158</f>
        <v>101.58701311865612</v>
      </c>
      <c r="P128" s="55">
        <f>P127*Assumptions!$B$156*Assumptions!$B$158</f>
        <v>98.292768534664063</v>
      </c>
      <c r="Q128" s="55">
        <f>Q127*Assumptions!$B$156*Assumptions!$B$158</f>
        <v>99.224999220351094</v>
      </c>
      <c r="R128" s="55">
        <f>R127*Assumptions!$B$156*Assumptions!$B$158</f>
        <v>98.637562192059619</v>
      </c>
      <c r="S128" s="55">
        <f>S127*Assumptions!$B$156*Assumptions!$B$158</f>
        <v>101.87091256687204</v>
      </c>
      <c r="T128" s="55">
        <f>T127*Assumptions!$B$156*Assumptions!$B$158</f>
        <v>108.25233061803232</v>
      </c>
      <c r="U128" s="55">
        <f>U127*Assumptions!$B$156*Assumptions!$B$158</f>
        <v>115.33728744415949</v>
      </c>
      <c r="V128" s="55">
        <f>V127*Assumptions!$B$156*Assumptions!$B$158</f>
        <v>122.59208333705001</v>
      </c>
      <c r="W128" s="55">
        <f>W127*Assumptions!$B$156*Assumptions!$B$158</f>
        <v>128.8840696462143</v>
      </c>
      <c r="X128" s="55">
        <f>X127*Assumptions!$B$156*Assumptions!$B$158</f>
        <v>131.22495446404884</v>
      </c>
      <c r="Y128" s="55">
        <f>Y127*Assumptions!$B$156*Assumptions!$B$158</f>
        <v>135.84304986206143</v>
      </c>
      <c r="Z128" s="55">
        <f>Z127*Assumptions!$B$156*Assumptions!$B$158</f>
        <v>142.73987346577383</v>
      </c>
      <c r="AA128" s="55">
        <f>AA127*Assumptions!$B$156*Assumptions!$B$158</f>
        <v>261.39029460290692</v>
      </c>
      <c r="AB128" s="55">
        <f>AB127*Assumptions!$B$156*Assumptions!$B$158</f>
        <v>343.10733170967444</v>
      </c>
      <c r="AC128" s="55">
        <f>AC127*Assumptions!$B$156*Assumptions!$B$158</f>
        <v>420.40465474232047</v>
      </c>
      <c r="AD128" s="55">
        <f>AD127*Assumptions!$B$156*Assumptions!$B$158</f>
        <v>521.8375877517517</v>
      </c>
      <c r="AE128" s="55">
        <f>AE127*Assumptions!$B$156*Assumptions!$B$158</f>
        <v>677.67248342502</v>
      </c>
    </row>
    <row r="129" spans="1:31" x14ac:dyDescent="0.25">
      <c r="A129" s="6" t="s">
        <v>482</v>
      </c>
      <c r="B129" s="23" t="s">
        <v>114</v>
      </c>
      <c r="C129" s="55">
        <f t="shared" ref="C129:AE129" si="31">C128/12*C16</f>
        <v>1.4406285919540229</v>
      </c>
      <c r="D129" s="55">
        <f t="shared" si="31"/>
        <v>1.9917712939702477</v>
      </c>
      <c r="E129" s="55">
        <f t="shared" si="31"/>
        <v>2.6351293014334947</v>
      </c>
      <c r="F129" s="55">
        <f t="shared" si="31"/>
        <v>3.1887837116214417</v>
      </c>
      <c r="G129" s="55">
        <f t="shared" si="31"/>
        <v>3.9346921046291641</v>
      </c>
      <c r="H129" s="55">
        <f t="shared" si="31"/>
        <v>4.4860070339643467</v>
      </c>
      <c r="I129" s="55">
        <f t="shared" si="31"/>
        <v>4.8511626835721646</v>
      </c>
      <c r="J129" s="55">
        <f t="shared" si="31"/>
        <v>5.6600822603312597</v>
      </c>
      <c r="K129" s="55">
        <f t="shared" si="31"/>
        <v>6.9916477529383796</v>
      </c>
      <c r="L129" s="55">
        <f t="shared" si="31"/>
        <v>7.5934277073006484</v>
      </c>
      <c r="M129" s="55">
        <f t="shared" si="31"/>
        <v>8.4383952611858284</v>
      </c>
      <c r="N129" s="55">
        <f t="shared" si="31"/>
        <v>9.9928913361827085</v>
      </c>
      <c r="O129" s="55">
        <f t="shared" si="31"/>
        <v>9.3121428692101418</v>
      </c>
      <c r="P129" s="55">
        <f t="shared" si="31"/>
        <v>8.1910640445553362</v>
      </c>
      <c r="Q129" s="55">
        <f t="shared" si="31"/>
        <v>8.1033749363286702</v>
      </c>
      <c r="R129" s="55">
        <f t="shared" si="31"/>
        <v>8.0554009123515353</v>
      </c>
      <c r="S129" s="55">
        <f t="shared" si="31"/>
        <v>8.4892427139060018</v>
      </c>
      <c r="T129" s="55">
        <f t="shared" si="31"/>
        <v>8.5699761739275555</v>
      </c>
      <c r="U129" s="55">
        <f t="shared" si="31"/>
        <v>8.4580677459050282</v>
      </c>
      <c r="V129" s="55">
        <f t="shared" si="31"/>
        <v>9.1944062502787514</v>
      </c>
      <c r="W129" s="55">
        <f t="shared" si="31"/>
        <v>10.740339137184524</v>
      </c>
      <c r="X129" s="55">
        <f t="shared" si="31"/>
        <v>11.15412112944415</v>
      </c>
      <c r="Y129" s="55">
        <f t="shared" si="31"/>
        <v>11.886266862930377</v>
      </c>
      <c r="Z129" s="55">
        <f t="shared" si="31"/>
        <v>13.560287979248512</v>
      </c>
      <c r="AA129" s="55">
        <f t="shared" si="31"/>
        <v>21.782524550242243</v>
      </c>
      <c r="AB129" s="55">
        <f t="shared" si="31"/>
        <v>28.592277642472869</v>
      </c>
      <c r="AC129" s="55">
        <f t="shared" si="31"/>
        <v>35.033721228526709</v>
      </c>
      <c r="AD129" s="55">
        <f t="shared" si="31"/>
        <v>43.486465645979308</v>
      </c>
      <c r="AE129" s="55">
        <f t="shared" si="31"/>
        <v>56.472706952084998</v>
      </c>
    </row>
    <row r="130" spans="1:31" x14ac:dyDescent="0.25">
      <c r="A130" s="6" t="s">
        <v>483</v>
      </c>
      <c r="B130" s="23" t="s">
        <v>484</v>
      </c>
      <c r="C130" s="45">
        <f>C126*C129*Assumptions!$B$7*C7</f>
        <v>0</v>
      </c>
      <c r="D130" s="45">
        <f>D126*D129*Assumptions!$B$7*D7</f>
        <v>0</v>
      </c>
      <c r="E130" s="45">
        <f>E126*E129*Assumptions!$B$7*E7</f>
        <v>0</v>
      </c>
      <c r="F130" s="45">
        <f>F126*F129*Assumptions!$B$7*F7</f>
        <v>0</v>
      </c>
      <c r="G130" s="45">
        <f>G126*G129*Assumptions!$B$7*G7</f>
        <v>0</v>
      </c>
      <c r="H130" s="45">
        <f>H126*H129*Assumptions!$B$7*H7</f>
        <v>0</v>
      </c>
      <c r="I130" s="45">
        <f>I126*I129*Assumptions!$B$7*I7</f>
        <v>0</v>
      </c>
      <c r="J130" s="45">
        <f>J126*J129*Assumptions!$B$7*J7</f>
        <v>0</v>
      </c>
      <c r="K130" s="45">
        <f>K126*K129*Assumptions!$B$7*K7</f>
        <v>0</v>
      </c>
      <c r="L130" s="45">
        <f>L126*L129*Assumptions!$B$7*L7</f>
        <v>0</v>
      </c>
      <c r="M130" s="45">
        <f>M126*M129*Assumptions!$B$7*M7</f>
        <v>0</v>
      </c>
      <c r="N130" s="45">
        <f>N126*N129*Assumptions!$B$7*N7</f>
        <v>0</v>
      </c>
      <c r="O130" s="45">
        <f>O126*O129*Assumptions!$B$7*O7</f>
        <v>2351.1247916701036</v>
      </c>
      <c r="P130" s="45">
        <f>P126*P129*Assumptions!$B$7*P7</f>
        <v>2436.7850716224139</v>
      </c>
      <c r="Q130" s="45">
        <f>Q126*Q129*Assumptions!$B$7*Q7</f>
        <v>2739.5087361630367</v>
      </c>
      <c r="R130" s="45">
        <f>R126*R129*Assumptions!$B$7*R7</f>
        <v>3059.1212453541934</v>
      </c>
      <c r="S130" s="45">
        <f>S126*S129*Assumptions!$B$7*S7</f>
        <v>3577.3135822184249</v>
      </c>
      <c r="T130" s="45">
        <f>T126*T129*Assumptions!$B$7*T7</f>
        <v>4061.808752968725</v>
      </c>
      <c r="U130" s="45">
        <f>U126*U129*Assumptions!$B$7*U7</f>
        <v>4389.9255166633275</v>
      </c>
      <c r="V130" s="45">
        <f>V126*V129*Assumptions!$B$7*V7</f>
        <v>5108.7384379925634</v>
      </c>
      <c r="W130" s="45">
        <f>W126*W129*Assumptions!$B$7*W7</f>
        <v>7501.7270354691154</v>
      </c>
      <c r="X130" s="45">
        <f>X126*X129*Assumptions!$B$7*X7</f>
        <v>9369.6188061619905</v>
      </c>
      <c r="Y130" s="45">
        <f>Y126*Y129*Assumptions!$B$7*Y7</f>
        <v>11541.128940792376</v>
      </c>
      <c r="Z130" s="45">
        <f>Z126*Z129*Assumptions!$B$7*Z7</f>
        <v>15328.962480447841</v>
      </c>
      <c r="AA130" s="45">
        <f>AA126*AA129*Assumptions!$B$7*AA7</f>
        <v>1166267.7473903398</v>
      </c>
      <c r="AB130" s="45">
        <f>AB126*AB129*Assumptions!$B$7*AB7</f>
        <v>2413689.1484165145</v>
      </c>
      <c r="AC130" s="45">
        <f>AC126*AC129*Assumptions!$B$7*AC7</f>
        <v>4069504.8590417588</v>
      </c>
      <c r="AD130" s="45">
        <f>AD126*AD129*Assumptions!$B$7*AD7</f>
        <v>5908129.3911711248</v>
      </c>
      <c r="AE130" s="45">
        <f>AE126*AE129*Assumptions!$B$7*AE7</f>
        <v>7566339.7593683954</v>
      </c>
    </row>
    <row r="131" spans="1:31" x14ac:dyDescent="0.25">
      <c r="A131" s="6" t="s">
        <v>483</v>
      </c>
      <c r="B131" s="23" t="s">
        <v>114</v>
      </c>
      <c r="C131" s="55">
        <f>C130/Assumptions!$B$7</f>
        <v>0</v>
      </c>
      <c r="D131" s="55">
        <f>D130/Assumptions!$B$7</f>
        <v>0</v>
      </c>
      <c r="E131" s="55">
        <f>E130/Assumptions!$B$7</f>
        <v>0</v>
      </c>
      <c r="F131" s="55">
        <f>F130/Assumptions!$B$7</f>
        <v>0</v>
      </c>
      <c r="G131" s="55">
        <f>G130/Assumptions!$B$7</f>
        <v>0</v>
      </c>
      <c r="H131" s="55">
        <f>H130/Assumptions!$B$7</f>
        <v>0</v>
      </c>
      <c r="I131" s="55">
        <f>I130/Assumptions!$B$7</f>
        <v>0</v>
      </c>
      <c r="J131" s="55">
        <f>J130/Assumptions!$B$7</f>
        <v>0</v>
      </c>
      <c r="K131" s="55">
        <f>K130/Assumptions!$B$7</f>
        <v>0</v>
      </c>
      <c r="L131" s="55">
        <f>L130/Assumptions!$B$7</f>
        <v>0</v>
      </c>
      <c r="M131" s="55">
        <f>M130/Assumptions!$B$7</f>
        <v>0</v>
      </c>
      <c r="N131" s="55">
        <f>N130/Assumptions!$B$7</f>
        <v>0</v>
      </c>
      <c r="O131" s="55">
        <f>O130/Assumptions!$B$7</f>
        <v>640.19735647926586</v>
      </c>
      <c r="P131" s="55">
        <f>P130/Assumptions!$B$7</f>
        <v>663.52214339616444</v>
      </c>
      <c r="Q131" s="55">
        <f>Q130/Assumptions!$B$7</f>
        <v>745.9520044010992</v>
      </c>
      <c r="R131" s="55">
        <f>R130/Assumptions!$B$7</f>
        <v>832.98059778194511</v>
      </c>
      <c r="S131" s="55">
        <f>S130/Assumptions!$B$7</f>
        <v>974.08130216975496</v>
      </c>
      <c r="T131" s="55">
        <f>T130/Assumptions!$B$7</f>
        <v>1106.0064677927094</v>
      </c>
      <c r="U131" s="55">
        <f>U130/Assumptions!$B$7</f>
        <v>1195.3507193092792</v>
      </c>
      <c r="V131" s="55">
        <f>V130/Assumptions!$B$7</f>
        <v>1391.079220692325</v>
      </c>
      <c r="W131" s="55">
        <f>W130/Assumptions!$B$7</f>
        <v>2042.6758435586428</v>
      </c>
      <c r="X131" s="55">
        <f>X130/Assumptions!$B$7</f>
        <v>2551.2917103232107</v>
      </c>
      <c r="Y131" s="55">
        <f>Y130/Assumptions!$B$7</f>
        <v>3142.5810594397212</v>
      </c>
      <c r="Z131" s="55">
        <f>Z130/Assumptions!$B$7</f>
        <v>4173.9856992369887</v>
      </c>
      <c r="AA131" s="55">
        <f>AA130/Assumptions!$B$7</f>
        <v>317567.80051472835</v>
      </c>
      <c r="AB131" s="55">
        <f>AB130/Assumptions!$B$7</f>
        <v>657233.2602904056</v>
      </c>
      <c r="AC131" s="55">
        <f>AC130/Assumptions!$B$7</f>
        <v>1108102.0718970073</v>
      </c>
      <c r="AD131" s="55">
        <f>AD130/Assumptions!$B$7</f>
        <v>1608748.6429329135</v>
      </c>
      <c r="AE131" s="55">
        <f>AE130/Assumptions!$B$7</f>
        <v>2060269.505614267</v>
      </c>
    </row>
    <row r="132" spans="1:31" x14ac:dyDescent="0.25">
      <c r="A132" s="6" t="s">
        <v>485</v>
      </c>
      <c r="B132" s="23" t="s">
        <v>484</v>
      </c>
      <c r="C132" s="45">
        <f>IF(Assumptions!$B$144=0,0,C127*Assumptions!$B$156*Assumptions!$B$7/Assumptions!$B$144)</f>
        <v>6.8710500051313623</v>
      </c>
      <c r="D132" s="45">
        <f>IF(Assumptions!$B$144=0,0,D127*Assumptions!$B$156*Assumptions!$B$7/Assumptions!$B$144)</f>
        <v>10.449685824436763</v>
      </c>
      <c r="E132" s="45">
        <f>IF(Assumptions!$B$144=0,0,E127*Assumptions!$B$156*Assumptions!$B$7/Assumptions!$B$144)</f>
        <v>14.107160873927858</v>
      </c>
      <c r="F132" s="45">
        <f>IF(Assumptions!$B$144=0,0,F127*Assumptions!$B$156*Assumptions!$B$7/Assumptions!$B$144)</f>
        <v>17.071148951792633</v>
      </c>
      <c r="G132" s="45">
        <f>IF(Assumptions!$B$144=0,0,G127*Assumptions!$B$156*Assumptions!$B$7/Assumptions!$B$144)</f>
        <v>20.643081077500863</v>
      </c>
      <c r="H132" s="45">
        <f>IF(Assumptions!$B$144=0,0,H127*Assumptions!$B$156*Assumptions!$B$7/Assumptions!$B$144)</f>
        <v>24.774226815389575</v>
      </c>
      <c r="I132" s="45">
        <f>IF(Assumptions!$B$144=0,0,I127*Assumptions!$B$156*Assumptions!$B$7/Assumptions!$B$144)</f>
        <v>28.92190739516035</v>
      </c>
      <c r="J132" s="45">
        <f>IF(Assumptions!$B$144=0,0,J127*Assumptions!$B$156*Assumptions!$B$7/Assumptions!$B$144)</f>
        <v>32.994685874708814</v>
      </c>
      <c r="K132" s="45">
        <f>IF(Assumptions!$B$144=0,0,K127*Assumptions!$B$156*Assumptions!$B$7/Assumptions!$B$144)</f>
        <v>36.681180532380289</v>
      </c>
      <c r="L132" s="45">
        <f>IF(Assumptions!$B$144=0,0,L127*Assumptions!$B$156*Assumptions!$B$7/Assumptions!$B$144)</f>
        <v>39.057231449666155</v>
      </c>
      <c r="M132" s="45">
        <f>IF(Assumptions!$B$144=0,0,M127*Assumptions!$B$156*Assumptions!$B$7/Assumptions!$B$144)</f>
        <v>42.163274281231224</v>
      </c>
      <c r="N132" s="45">
        <f>IF(Assumptions!$B$144=0,0,N127*Assumptions!$B$156*Assumptions!$B$7/Assumptions!$B$144)</f>
        <v>45.988588260815781</v>
      </c>
      <c r="O132" s="45">
        <f>IF(Assumptions!$B$144=0,0,O127*Assumptions!$B$156*Assumptions!$B$7/Assumptions!$B$144)</f>
        <v>44.414084009317214</v>
      </c>
      <c r="P132" s="45">
        <f>IF(Assumptions!$B$144=0,0,P127*Assumptions!$B$156*Assumptions!$B$7/Assumptions!$B$144)</f>
        <v>42.973832433756392</v>
      </c>
      <c r="Q132" s="45">
        <f>IF(Assumptions!$B$144=0,0,Q127*Assumptions!$B$156*Assumptions!$B$7/Assumptions!$B$144)</f>
        <v>43.381405909135637</v>
      </c>
      <c r="R132" s="45">
        <f>IF(Assumptions!$B$144=0,0,R127*Assumptions!$B$156*Assumptions!$B$7/Assumptions!$B$144)</f>
        <v>43.124577041707013</v>
      </c>
      <c r="S132" s="45">
        <f>IF(Assumptions!$B$144=0,0,S127*Assumptions!$B$156*Assumptions!$B$7/Assumptions!$B$144)</f>
        <v>44.538205524028271</v>
      </c>
      <c r="T132" s="45">
        <f>IF(Assumptions!$B$144=0,0,T127*Assumptions!$B$156*Assumptions!$B$7/Assumptions!$B$144)</f>
        <v>47.32817668984805</v>
      </c>
      <c r="U132" s="45">
        <f>IF(Assumptions!$B$144=0,0,U127*Assumptions!$B$156*Assumptions!$B$7/Assumptions!$B$144)</f>
        <v>50.425736683175671</v>
      </c>
      <c r="V132" s="45">
        <f>IF(Assumptions!$B$144=0,0,V127*Assumptions!$B$156*Assumptions!$B$7/Assumptions!$B$144)</f>
        <v>53.59755072087097</v>
      </c>
      <c r="W132" s="45">
        <f>IF(Assumptions!$B$144=0,0,W127*Assumptions!$B$156*Assumptions!$B$7/Assumptions!$B$144)</f>
        <v>56.348422116157373</v>
      </c>
      <c r="X132" s="45">
        <f>IF(Assumptions!$B$144=0,0,X127*Assumptions!$B$156*Assumptions!$B$7/Assumptions!$B$144)</f>
        <v>57.37186253204991</v>
      </c>
      <c r="Y132" s="45">
        <f>IF(Assumptions!$B$144=0,0,Y127*Assumptions!$B$156*Assumptions!$B$7/Assumptions!$B$144)</f>
        <v>59.390904835526257</v>
      </c>
      <c r="Z132" s="45">
        <f>IF(Assumptions!$B$144=0,0,Z127*Assumptions!$B$156*Assumptions!$B$7/Assumptions!$B$144)</f>
        <v>62.406212536077902</v>
      </c>
      <c r="AA132" s="45">
        <f>IF(Assumptions!$B$144=0,0,AA127*Assumptions!$B$156*Assumptions!$B$7/Assumptions!$B$144)</f>
        <v>114.28045915823519</v>
      </c>
      <c r="AB132" s="45">
        <f>IF(Assumptions!$B$144=0,0,AB127*Assumptions!$B$156*Assumptions!$B$7/Assumptions!$B$144)</f>
        <v>150.00734234568802</v>
      </c>
      <c r="AC132" s="45">
        <f>IF(Assumptions!$B$144=0,0,AC127*Assumptions!$B$156*Assumptions!$B$7/Assumptions!$B$144)</f>
        <v>183.80191601680616</v>
      </c>
      <c r="AD132" s="45">
        <f>IF(Assumptions!$B$144=0,0,AD127*Assumptions!$B$156*Assumptions!$B$7/Assumptions!$B$144)</f>
        <v>228.14863583551283</v>
      </c>
      <c r="AE132" s="45">
        <f>IF(Assumptions!$B$144=0,0,AE127*Assumptions!$B$156*Assumptions!$B$7/Assumptions!$B$144)</f>
        <v>296.28002325933164</v>
      </c>
    </row>
    <row r="133" spans="1:31" x14ac:dyDescent="0.25">
      <c r="A133" s="6" t="s">
        <v>486</v>
      </c>
      <c r="B133" s="23" t="s">
        <v>487</v>
      </c>
      <c r="C133" s="45">
        <f>C126*Assumptions!$B$158*Assumptions!$B$144*C7/12*(1+Assumptions!$B$16)</f>
        <v>0</v>
      </c>
      <c r="D133" s="45">
        <f>D126*Assumptions!$B$158*Assumptions!$B$144*D7/12*(1+Assumptions!$B$16)</f>
        <v>0</v>
      </c>
      <c r="E133" s="45">
        <f>E126*Assumptions!$B$158*Assumptions!$B$144*E7/12*(1+Assumptions!$B$16)</f>
        <v>0</v>
      </c>
      <c r="F133" s="45">
        <f>F126*Assumptions!$B$158*Assumptions!$B$144*F7/12*(1+Assumptions!$B$16)</f>
        <v>0</v>
      </c>
      <c r="G133" s="45">
        <f>G126*Assumptions!$B$158*Assumptions!$B$144*G7/12*(1+Assumptions!$B$16)</f>
        <v>0</v>
      </c>
      <c r="H133" s="45">
        <f>H126*Assumptions!$B$158*Assumptions!$B$144*H7/12*(1+Assumptions!$B$16)</f>
        <v>0</v>
      </c>
      <c r="I133" s="45">
        <f>I126*Assumptions!$B$158*Assumptions!$B$144*I7/12*(1+Assumptions!$B$16)</f>
        <v>0</v>
      </c>
      <c r="J133" s="45">
        <f>J126*Assumptions!$B$158*Assumptions!$B$144*J7/12*(1+Assumptions!$B$16)</f>
        <v>0</v>
      </c>
      <c r="K133" s="45">
        <f>K126*Assumptions!$B$158*Assumptions!$B$144*K7/12*(1+Assumptions!$B$16)</f>
        <v>0</v>
      </c>
      <c r="L133" s="45">
        <f>L126*Assumptions!$B$158*Assumptions!$B$144*L7/12*(1+Assumptions!$B$16)</f>
        <v>0</v>
      </c>
      <c r="M133" s="45">
        <f>M126*Assumptions!$B$158*Assumptions!$B$144*M7/12*(1+Assumptions!$B$16)</f>
        <v>0</v>
      </c>
      <c r="N133" s="45">
        <f>N126*Assumptions!$B$158*Assumptions!$B$144*N7/12*(1+Assumptions!$B$16)</f>
        <v>0</v>
      </c>
      <c r="O133" s="45">
        <f>O126*Assumptions!$B$158*Assumptions!$B$144*O7/12*(1+Assumptions!$B$16)</f>
        <v>51.011506715414804</v>
      </c>
      <c r="P133" s="45">
        <f>P126*Assumptions!$B$158*Assumptions!$B$144*P7/12*(1+Assumptions!$B$16)</f>
        <v>60.106162974908223</v>
      </c>
      <c r="Q133" s="45">
        <f>Q126*Assumptions!$B$158*Assumptions!$B$144*Q7/12*(1+Assumptions!$B$16)</f>
        <v>68.304427675462321</v>
      </c>
      <c r="R133" s="45">
        <f>R126*Assumptions!$B$158*Assumptions!$B$144*R7/12*(1+Assumptions!$B$16)</f>
        <v>76.727603042885121</v>
      </c>
      <c r="S133" s="45">
        <f>S126*Assumptions!$B$158*Assumptions!$B$144*S7/12*(1+Assumptions!$B$16)</f>
        <v>85.139316964752439</v>
      </c>
      <c r="T133" s="45">
        <f>T126*Assumptions!$B$158*Assumptions!$B$144*T7/12*(1+Assumptions!$B$16)</f>
        <v>95.759519332022791</v>
      </c>
      <c r="U133" s="45">
        <f>U126*Assumptions!$B$158*Assumptions!$B$144*U7/12*(1+Assumptions!$B$16)</f>
        <v>104.86440406638999</v>
      </c>
      <c r="V133" s="45">
        <f>V126*Assumptions!$B$158*Assumptions!$B$144*V7/12*(1+Assumptions!$B$16)</f>
        <v>112.26182024776338</v>
      </c>
      <c r="W133" s="45">
        <f>W126*Assumptions!$B$158*Assumptions!$B$144*W7/12*(1+Assumptions!$B$16)</f>
        <v>141.11895877412954</v>
      </c>
      <c r="X133" s="45">
        <f>X126*Assumptions!$B$158*Assumptions!$B$144*X7/12*(1+Assumptions!$B$16)</f>
        <v>169.7182975772615</v>
      </c>
      <c r="Y133" s="45">
        <f>Y126*Assumptions!$B$158*Assumptions!$B$144*Y7/12*(1+Assumptions!$B$16)</f>
        <v>196.17556740009158</v>
      </c>
      <c r="Z133" s="45">
        <f>Z126*Assumptions!$B$158*Assumptions!$B$144*Z7/12*(1+Assumptions!$B$16)</f>
        <v>228.39466194031976</v>
      </c>
      <c r="AA133" s="45">
        <f>AA126*Assumptions!$B$158*Assumptions!$B$144*AA7/12*(1+Assumptions!$B$16)</f>
        <v>10817.630777297021</v>
      </c>
      <c r="AB133" s="45">
        <f>AB126*Assumptions!$B$158*Assumptions!$B$144*AB7/12*(1+Assumptions!$B$16)</f>
        <v>17055.901779964111</v>
      </c>
      <c r="AC133" s="45">
        <f>AC126*Assumptions!$B$158*Assumptions!$B$144*AC7/12*(1+Assumptions!$B$16)</f>
        <v>23469.152248607887</v>
      </c>
      <c r="AD133" s="45">
        <f>AD126*Assumptions!$B$158*Assumptions!$B$144*AD7/12*(1+Assumptions!$B$16)</f>
        <v>27449.724306730095</v>
      </c>
      <c r="AE133" s="45">
        <f>AE126*Assumptions!$B$158*Assumptions!$B$144*AE7/12*(1+Assumptions!$B$16)</f>
        <v>27070.067217830532</v>
      </c>
    </row>
    <row r="134" spans="1:31" x14ac:dyDescent="0.25">
      <c r="A134" s="6" t="s">
        <v>488</v>
      </c>
      <c r="B134" s="23" t="s">
        <v>114</v>
      </c>
      <c r="C134" s="55">
        <f>C115*Assumptions!$B$8</f>
        <v>261.41002851725426</v>
      </c>
      <c r="D134" s="55">
        <f>D115*Assumptions!$B$8</f>
        <v>496.81952456160928</v>
      </c>
      <c r="E134" s="55">
        <f>E115*Assumptions!$B$8</f>
        <v>710.1272160305972</v>
      </c>
      <c r="F134" s="55">
        <f>F115*Assumptions!$B$8</f>
        <v>972.04506441070316</v>
      </c>
      <c r="G134" s="55">
        <f>G115*Assumptions!$B$8</f>
        <v>1192.4435378504593</v>
      </c>
      <c r="H134" s="55">
        <f>H115*Assumptions!$B$8</f>
        <v>1360.6223032593216</v>
      </c>
      <c r="I134" s="55">
        <f>I115*Assumptions!$B$8</f>
        <v>1512.6467224303408</v>
      </c>
      <c r="J134" s="55">
        <f>J115*Assumptions!$B$8</f>
        <v>1657.0204751750762</v>
      </c>
      <c r="K134" s="55">
        <f>K115*Assumptions!$B$8</f>
        <v>1814.5980383572532</v>
      </c>
      <c r="L134" s="55">
        <f>L115*Assumptions!$B$8</f>
        <v>2046.0256446225421</v>
      </c>
      <c r="M134" s="55">
        <f>M115*Assumptions!$B$8</f>
        <v>2240.1166743719778</v>
      </c>
      <c r="N134" s="55">
        <f>N115*Assumptions!$B$8</f>
        <v>2388.6218980670842</v>
      </c>
      <c r="O134" s="55">
        <f>O115*Assumptions!$B$8</f>
        <v>3129.1959391004525</v>
      </c>
      <c r="P134" s="55">
        <f>P115*Assumptions!$B$8</f>
        <v>3808.5248192059976</v>
      </c>
      <c r="Q134" s="55">
        <f>Q115*Assumptions!$B$8</f>
        <v>4434.9001767992713</v>
      </c>
      <c r="R134" s="55">
        <f>R115*Assumptions!$B$8</f>
        <v>5250.1959143602353</v>
      </c>
      <c r="S134" s="55">
        <f>S115*Assumptions!$B$8</f>
        <v>5946.5597770634195</v>
      </c>
      <c r="T134" s="55">
        <f>T115*Assumptions!$B$8</f>
        <v>6476.1105737740281</v>
      </c>
      <c r="U134" s="55">
        <f>U115*Assumptions!$B$8</f>
        <v>6961.3158447167843</v>
      </c>
      <c r="V134" s="55">
        <f>V115*Assumptions!$B$8</f>
        <v>7431.118124919637</v>
      </c>
      <c r="W134" s="55">
        <f>W115*Assumptions!$B$8</f>
        <v>7962.5225352979578</v>
      </c>
      <c r="X134" s="55">
        <f>X115*Assumptions!$B$8</f>
        <v>8787.9122308287406</v>
      </c>
      <c r="Y134" s="55">
        <f>Y115*Assumptions!$B$8</f>
        <v>9495.1412733486777</v>
      </c>
      <c r="Z134" s="55">
        <f>Z115*Assumptions!$B$8</f>
        <v>10043.32903255511</v>
      </c>
      <c r="AA134" s="55">
        <f>AA115*Assumptions!$B$8</f>
        <v>220894.2003041947</v>
      </c>
      <c r="AB134" s="55">
        <f>AB115*Assumptions!$B$8</f>
        <v>348278.64453083614</v>
      </c>
      <c r="AC134" s="55">
        <f>AC115*Assumptions!$B$8</f>
        <v>479236.14001077937</v>
      </c>
      <c r="AD134" s="55">
        <f>AD115*Assumptions!$B$8</f>
        <v>560518.75166891492</v>
      </c>
      <c r="AE134" s="55">
        <f>AE115*Assumptions!$B$8</f>
        <v>552766.21779446478</v>
      </c>
    </row>
    <row r="135" spans="1:31" x14ac:dyDescent="0.25">
      <c r="A135" s="6" t="s">
        <v>489</v>
      </c>
      <c r="B135" s="23" t="s">
        <v>114</v>
      </c>
      <c r="C135" s="55">
        <f>C116*Assumptions!$B$8</f>
        <v>17.282107440862919</v>
      </c>
      <c r="D135" s="55">
        <f>D116*Assumptions!$B$8</f>
        <v>32.845290790461938</v>
      </c>
      <c r="E135" s="55">
        <f>E116*Assumptions!$B$8</f>
        <v>46.947299282022811</v>
      </c>
      <c r="F135" s="55">
        <f>F116*Assumptions!$B$8</f>
        <v>64.262979258263144</v>
      </c>
      <c r="G135" s="55">
        <f>G116*Assumptions!$B$8</f>
        <v>78.83376722455813</v>
      </c>
      <c r="H135" s="55">
        <f>H116*Assumptions!$B$8</f>
        <v>89.952252271032933</v>
      </c>
      <c r="I135" s="55">
        <f>I116*Assumptions!$B$8</f>
        <v>100.00275553845029</v>
      </c>
      <c r="J135" s="55">
        <f>J116*Assumptions!$B$8</f>
        <v>109.54746474768558</v>
      </c>
      <c r="K135" s="55">
        <f>K116*Assumptions!$B$8</f>
        <v>119.96509253584064</v>
      </c>
      <c r="L135" s="55">
        <f>L116*Assumptions!$B$8</f>
        <v>135.26502872782359</v>
      </c>
      <c r="M135" s="55">
        <f>M116*Assumptions!$B$8</f>
        <v>148.0966023612585</v>
      </c>
      <c r="N135" s="55">
        <f>N116*Assumptions!$B$8</f>
        <v>157.91444770554608</v>
      </c>
      <c r="O135" s="55">
        <f>O116*Assumptions!$B$8</f>
        <v>206.8746204183077</v>
      </c>
      <c r="P135" s="55">
        <f>P116*Assumptions!$B$8</f>
        <v>251.78580749195208</v>
      </c>
      <c r="Q135" s="55">
        <f>Q116*Assumptions!$B$8</f>
        <v>293.1961783550629</v>
      </c>
      <c r="R135" s="55">
        <f>R116*Assumptions!$B$8</f>
        <v>347.09628544937101</v>
      </c>
      <c r="S135" s="55">
        <f>S116*Assumptions!$B$8</f>
        <v>393.13367415030376</v>
      </c>
      <c r="T135" s="55">
        <f>T116*Assumptions!$B$8</f>
        <v>428.14286571061621</v>
      </c>
      <c r="U135" s="55">
        <f>U116*Assumptions!$B$8</f>
        <v>460.22032528960949</v>
      </c>
      <c r="V135" s="55">
        <f>V116*Assumptions!$B$8</f>
        <v>491.27947603635369</v>
      </c>
      <c r="W135" s="55">
        <f>W116*Assumptions!$B$8</f>
        <v>526.4112120558093</v>
      </c>
      <c r="X135" s="55">
        <f>X116*Assumptions!$B$8</f>
        <v>580.97864192701115</v>
      </c>
      <c r="Y135" s="55">
        <f>Y116*Assumptions!$B$8</f>
        <v>627.7343397380514</v>
      </c>
      <c r="Z135" s="55">
        <f>Z116*Assumptions!$B$8</f>
        <v>663.97564159669867</v>
      </c>
      <c r="AA135" s="55">
        <f>AA116*Assumptions!$B$8</f>
        <v>14603.561020110646</v>
      </c>
      <c r="AB135" s="55">
        <f>AB116*Assumptions!$B$8</f>
        <v>23025.088166205274</v>
      </c>
      <c r="AC135" s="55">
        <f>AC116*Assumptions!$B$8</f>
        <v>31682.833700712632</v>
      </c>
      <c r="AD135" s="55">
        <f>AD116*Assumptions!$B$8</f>
        <v>37056.517471444924</v>
      </c>
      <c r="AE135" s="55">
        <f>AE116*Assumptions!$B$8</f>
        <v>36543.988843078499</v>
      </c>
    </row>
    <row r="136" spans="1:31" x14ac:dyDescent="0.25">
      <c r="A136" s="6" t="s">
        <v>490</v>
      </c>
      <c r="B136" s="23" t="s">
        <v>114</v>
      </c>
      <c r="C136" s="55">
        <f>C131*IF(Assumptions!$B$178=1,MIN(Assumptions!$B$14,1%),Assumptions!$B$14)*(1-Assumptions!$B$142)</f>
        <v>0</v>
      </c>
      <c r="D136" s="55">
        <f>D131*IF(Assumptions!$B$178=1,MIN(Assumptions!$B$14,1%),Assumptions!$B$14)*(1-Assumptions!$B$142)</f>
        <v>0</v>
      </c>
      <c r="E136" s="55">
        <f>E131*IF(Assumptions!$B$178=1,MIN(Assumptions!$B$14,1%),Assumptions!$B$14)*(1-Assumptions!$B$142)</f>
        <v>0</v>
      </c>
      <c r="F136" s="55">
        <f>F131*IF(Assumptions!$B$178=1,MIN(Assumptions!$B$14,1%),Assumptions!$B$14)*(1-Assumptions!$B$142)</f>
        <v>0</v>
      </c>
      <c r="G136" s="55">
        <f>G131*IF(Assumptions!$B$178=1,MIN(Assumptions!$B$14,1%),Assumptions!$B$14)*(1-Assumptions!$B$142)</f>
        <v>0</v>
      </c>
      <c r="H136" s="55">
        <f>H131*IF(Assumptions!$B$178=1,MIN(Assumptions!$B$14,1%),Assumptions!$B$14)*(1-Assumptions!$B$142)</f>
        <v>0</v>
      </c>
      <c r="I136" s="55">
        <f>I131*IF(Assumptions!$B$178=1,MIN(Assumptions!$B$14,1%),Assumptions!$B$14)*(1-Assumptions!$B$142)</f>
        <v>0</v>
      </c>
      <c r="J136" s="55">
        <f>J131*IF(Assumptions!$B$178=1,MIN(Assumptions!$B$14,1%),Assumptions!$B$14)*(1-Assumptions!$B$142)</f>
        <v>0</v>
      </c>
      <c r="K136" s="55">
        <f>K131*IF(Assumptions!$B$178=1,MIN(Assumptions!$B$14,1%),Assumptions!$B$14)*(1-Assumptions!$B$142)</f>
        <v>0</v>
      </c>
      <c r="L136" s="55">
        <f>L131*IF(Assumptions!$B$178=1,MIN(Assumptions!$B$14,1%),Assumptions!$B$14)*(1-Assumptions!$B$142)</f>
        <v>0</v>
      </c>
      <c r="M136" s="55">
        <f>M131*IF(Assumptions!$B$178=1,MIN(Assumptions!$B$14,1%),Assumptions!$B$14)*(1-Assumptions!$B$142)</f>
        <v>0</v>
      </c>
      <c r="N136" s="55">
        <f>N131*IF(Assumptions!$B$178=1,MIN(Assumptions!$B$14,1%),Assumptions!$B$14)*(1-Assumptions!$B$142)</f>
        <v>0</v>
      </c>
      <c r="O136" s="55">
        <f>O131*IF(Assumptions!$B$178=1,MIN(Assumptions!$B$14,1%),Assumptions!$B$14)*(1-Assumptions!$B$142)</f>
        <v>4.6094209666507142</v>
      </c>
      <c r="P136" s="55">
        <f>P131*IF(Assumptions!$B$178=1,MIN(Assumptions!$B$14,1%),Assumptions!$B$14)*(1-Assumptions!$B$142)</f>
        <v>4.7773594324523838</v>
      </c>
      <c r="Q136" s="55">
        <f>Q131*IF(Assumptions!$B$178=1,MIN(Assumptions!$B$14,1%),Assumptions!$B$14)*(1-Assumptions!$B$142)</f>
        <v>5.3708544316879143</v>
      </c>
      <c r="R136" s="55">
        <f>R131*IF(Assumptions!$B$178=1,MIN(Assumptions!$B$14,1%),Assumptions!$B$14)*(1-Assumptions!$B$142)</f>
        <v>5.997460304030005</v>
      </c>
      <c r="S136" s="55">
        <f>S131*IF(Assumptions!$B$178=1,MIN(Assumptions!$B$14,1%),Assumptions!$B$14)*(1-Assumptions!$B$142)</f>
        <v>7.0133853756222351</v>
      </c>
      <c r="T136" s="55">
        <f>T131*IF(Assumptions!$B$178=1,MIN(Assumptions!$B$14,1%),Assumptions!$B$14)*(1-Assumptions!$B$142)</f>
        <v>7.9632465681075075</v>
      </c>
      <c r="U136" s="55">
        <f>U131*IF(Assumptions!$B$178=1,MIN(Assumptions!$B$14,1%),Assumptions!$B$14)*(1-Assumptions!$B$142)</f>
        <v>8.6065251790268089</v>
      </c>
      <c r="V136" s="55">
        <f>V131*IF(Assumptions!$B$178=1,MIN(Assumptions!$B$14,1%),Assumptions!$B$14)*(1-Assumptions!$B$142)</f>
        <v>10.015770388984739</v>
      </c>
      <c r="W136" s="55">
        <f>W131*IF(Assumptions!$B$178=1,MIN(Assumptions!$B$14,1%),Assumptions!$B$14)*(1-Assumptions!$B$142)</f>
        <v>14.707266073622229</v>
      </c>
      <c r="X136" s="55">
        <f>X131*IF(Assumptions!$B$178=1,MIN(Assumptions!$B$14,1%),Assumptions!$B$14)*(1-Assumptions!$B$142)</f>
        <v>18.369300314327116</v>
      </c>
      <c r="Y136" s="55">
        <f>Y131*IF(Assumptions!$B$178=1,MIN(Assumptions!$B$14,1%),Assumptions!$B$14)*(1-Assumptions!$B$142)</f>
        <v>22.626583627965992</v>
      </c>
      <c r="Z136" s="55">
        <f>Z131*IF(Assumptions!$B$178=1,MIN(Assumptions!$B$14,1%),Assumptions!$B$14)*(1-Assumptions!$B$142)</f>
        <v>30.052697034506316</v>
      </c>
      <c r="AA136" s="55">
        <f>AA131*IF(Assumptions!$B$178=1,MIN(Assumptions!$B$14,1%),Assumptions!$B$14)*(1-Assumptions!$B$142)</f>
        <v>2286.4881637060439</v>
      </c>
      <c r="AB136" s="55">
        <f>AB131*IF(Assumptions!$B$178=1,MIN(Assumptions!$B$14,1%),Assumptions!$B$14)*(1-Assumptions!$B$142)</f>
        <v>4732.0794740909205</v>
      </c>
      <c r="AC136" s="55">
        <f>AC131*IF(Assumptions!$B$178=1,MIN(Assumptions!$B$14,1%),Assumptions!$B$14)*(1-Assumptions!$B$142)</f>
        <v>7978.3349176584525</v>
      </c>
      <c r="AD136" s="55">
        <f>AD131*IF(Assumptions!$B$178=1,MIN(Assumptions!$B$14,1%),Assumptions!$B$14)*(1-Assumptions!$B$142)</f>
        <v>11582.990229116978</v>
      </c>
      <c r="AE136" s="55">
        <f>AE131*IF(Assumptions!$B$178=1,MIN(Assumptions!$B$14,1%),Assumptions!$B$14)*(1-Assumptions!$B$142)</f>
        <v>14833.940440422723</v>
      </c>
    </row>
    <row r="137" spans="1:31" x14ac:dyDescent="0.25">
      <c r="A137" s="6" t="s">
        <v>491</v>
      </c>
      <c r="B137" s="23" t="s">
        <v>492</v>
      </c>
      <c r="C137" s="54">
        <f>IF(C2&gt;=Assumptions!$B$50,C110*Assumptions!$B$159*(1-Assumptions!$B$162)^(C7/2),0)</f>
        <v>0</v>
      </c>
      <c r="D137" s="54">
        <f>IF(D2&gt;=Assumptions!$B$50,C137*(1-Assumptions!$B$162)^D7+D110*Assumptions!$B$159*(1-Assumptions!$B$162)^(D7/2),0)</f>
        <v>0</v>
      </c>
      <c r="E137" s="54">
        <f>IF(E2&gt;=Assumptions!$B$50,D137*(1-Assumptions!$B$162)^E7+E110*Assumptions!$B$159*(1-Assumptions!$B$162)^(E7/2),0)</f>
        <v>0</v>
      </c>
      <c r="F137" s="54">
        <f>IF(F2&gt;=Assumptions!$B$50,E137*(1-Assumptions!$B$162)^F7+F110*Assumptions!$B$159*(1-Assumptions!$B$162)^(F7/2),0)</f>
        <v>0</v>
      </c>
      <c r="G137" s="54">
        <f>IF(G2&gt;=Assumptions!$B$50,F137*(1-Assumptions!$B$162)^G7+G110*Assumptions!$B$159*(1-Assumptions!$B$162)^(G7/2),0)</f>
        <v>0</v>
      </c>
      <c r="H137" s="54">
        <f>IF(H2&gt;=Assumptions!$B$50,G137*(1-Assumptions!$B$162)^H7+H110*Assumptions!$B$159*(1-Assumptions!$B$162)^(H7/2),0)</f>
        <v>0</v>
      </c>
      <c r="I137" s="54">
        <f>IF(I2&gt;=Assumptions!$B$50,H137*(1-Assumptions!$B$162)^I7+I110*Assumptions!$B$159*(1-Assumptions!$B$162)^(I7/2),0)</f>
        <v>21.555014612388163</v>
      </c>
      <c r="J137" s="54">
        <f>IF(J2&gt;=Assumptions!$B$50,I137*(1-Assumptions!$B$162)^J7+J110*Assumptions!$B$159*(1-Assumptions!$B$162)^(J7/2),0)</f>
        <v>41.55075651551283</v>
      </c>
      <c r="K137" s="54">
        <f>IF(K2&gt;=Assumptions!$B$50,J137*(1-Assumptions!$B$162)^K7+K110*Assumptions!$B$159*(1-Assumptions!$B$162)^(K7/2),0)</f>
        <v>62.122007222213675</v>
      </c>
      <c r="L137" s="54">
        <f>IF(L2&gt;=Assumptions!$B$50,K137*(1-Assumptions!$B$162)^L7+L110*Assumptions!$B$159*(1-Assumptions!$B$162)^(L7/2),0)</f>
        <v>89.28359399033063</v>
      </c>
      <c r="M137" s="54">
        <f>IF(M2&gt;=Assumptions!$B$50,L137*(1-Assumptions!$B$162)^M7+M110*Assumptions!$B$159*(1-Assumptions!$B$162)^(M7/2),0)</f>
        <v>111.93515201952744</v>
      </c>
      <c r="N137" s="54">
        <f>IF(N2&gt;=Assumptions!$B$50,M137*(1-Assumptions!$B$162)^N7+N110*Assumptions!$B$159*(1-Assumptions!$B$162)^(N7/2),0)</f>
        <v>129.403123820627</v>
      </c>
      <c r="O137" s="54">
        <f>IF(O2&gt;=Assumptions!$B$50,N137*(1-Assumptions!$B$162)^O7+O110*Assumptions!$B$159*(1-Assumptions!$B$162)^(O7/2),0)</f>
        <v>204.84303151521007</v>
      </c>
      <c r="P137" s="54">
        <f>IF(P2&gt;=Assumptions!$B$50,O137*(1-Assumptions!$B$162)^P7+P110*Assumptions!$B$159*(1-Assumptions!$B$162)^(P7/2),0)</f>
        <v>272.42112185111097</v>
      </c>
      <c r="Q137" s="54">
        <f>IF(Q2&gt;=Assumptions!$B$50,P137*(1-Assumptions!$B$162)^Q7+Q110*Assumptions!$B$159*(1-Assumptions!$B$162)^(Q7/2),0)</f>
        <v>333.22184006555574</v>
      </c>
      <c r="R137" s="54">
        <f>IF(R2&gt;=Assumptions!$B$50,Q137*(1-Assumptions!$B$162)^R7+R110*Assumptions!$B$159*(1-Assumptions!$B$162)^(R7/2),0)</f>
        <v>411.3722129728821</v>
      </c>
      <c r="S137" s="54">
        <f>IF(S2&gt;=Assumptions!$B$50,R137*(1-Assumptions!$B$162)^S7+S110*Assumptions!$B$159*(1-Assumptions!$B$162)^(S7/2),0)</f>
        <v>476.12683338783643</v>
      </c>
      <c r="T137" s="54">
        <f>IF(T2&gt;=Assumptions!$B$50,S137*(1-Assumptions!$B$162)^T7+T110*Assumptions!$B$159*(1-Assumptions!$B$162)^(T7/2),0)</f>
        <v>523.13644645010334</v>
      </c>
      <c r="U137" s="54">
        <f>IF(U2&gt;=Assumptions!$B$50,T137*(1-Assumptions!$B$162)^U7+U110*Assumptions!$B$159*(1-Assumptions!$B$162)^(U7/2),0)</f>
        <v>564.96316076044252</v>
      </c>
      <c r="V137" s="54">
        <f>IF(V2&gt;=Assumptions!$B$50,U137*(1-Assumptions!$B$162)^V7+V110*Assumptions!$B$159*(1-Assumptions!$B$162)^(V7/2),0)</f>
        <v>604.62248904040507</v>
      </c>
      <c r="W137" s="54">
        <f>IF(W2&gt;=Assumptions!$B$50,V137*(1-Assumptions!$B$162)^W7+W110*Assumptions!$B$159*(1-Assumptions!$B$162)^(W7/2),0)</f>
        <v>649.80340484136752</v>
      </c>
      <c r="X137" s="54">
        <f>IF(X2&gt;=Assumptions!$B$50,W137*(1-Assumptions!$B$162)^X7+X110*Assumptions!$B$159*(1-Assumptions!$B$162)^(X7/2),0)</f>
        <v>723.37036291545769</v>
      </c>
      <c r="Y137" s="54">
        <f>IF(Y2&gt;=Assumptions!$B$50,X137*(1-Assumptions!$B$162)^Y7+Y110*Assumptions!$B$159*(1-Assumptions!$B$162)^(Y7/2),0)</f>
        <v>783.9922900979866</v>
      </c>
      <c r="Z137" s="54">
        <f>IF(Z2&gt;=Assumptions!$B$50,Y137*(1-Assumptions!$B$162)^Z7+Z110*Assumptions!$B$159*(1-Assumptions!$B$162)^(Z7/2),0)</f>
        <v>827.98328705271126</v>
      </c>
      <c r="AA137" s="54">
        <f>IF(AA2&gt;=Assumptions!$B$50,Z137*(1-Assumptions!$B$162)^AA7+AA110*Assumptions!$B$159*(1-Assumptions!$B$162)^(AA7/2),0)</f>
        <v>1457.331886568199</v>
      </c>
      <c r="AB137" s="54">
        <f>IF(AB2&gt;=Assumptions!$B$50,AA137*(1-Assumptions!$B$162)^AB7+AB110*Assumptions!$B$159*(1-Assumptions!$B$162)^(AB7/2),0)</f>
        <v>2237.8424015649639</v>
      </c>
      <c r="AC137" s="54">
        <f>IF(AC2&gt;=Assumptions!$B$50,AB137*(1-Assumptions!$B$162)^AC7+AC110*Assumptions!$B$159*(1-Assumptions!$B$162)^(AC7/2),0)</f>
        <v>2999.2823830897814</v>
      </c>
      <c r="AD137" s="54">
        <f>IF(AD2&gt;=Assumptions!$B$50,AC137*(1-Assumptions!$B$162)^AD7+AD110*Assumptions!$B$159*(1-Assumptions!$B$162)^(AD7/2),0)</f>
        <v>3380.1757232687805</v>
      </c>
      <c r="AE137" s="54">
        <f>IF(AE2&gt;=Assumptions!$B$50,AD137*(1-Assumptions!$B$162)^AE7+AE110*Assumptions!$B$159*(1-Assumptions!$B$162)^(AE7/2),0)</f>
        <v>3158.7114352675089</v>
      </c>
    </row>
    <row r="138" spans="1:31" x14ac:dyDescent="0.25">
      <c r="A138" s="6" t="s">
        <v>493</v>
      </c>
      <c r="B138" s="23" t="s">
        <v>114</v>
      </c>
      <c r="C138" s="55">
        <f>C137*(Assumptions!$B$25+MAX(0,Assumptions!$B$161-1)*Assumptions!$B$26)/12*C7</f>
        <v>0</v>
      </c>
      <c r="D138" s="55">
        <f>D137*(Assumptions!$B$25+MAX(0,Assumptions!$B$161-1)*Assumptions!$B$26)/12*D7</f>
        <v>0</v>
      </c>
      <c r="E138" s="55">
        <f>E137*(Assumptions!$B$25+MAX(0,Assumptions!$B$161-1)*Assumptions!$B$26)/12*E7</f>
        <v>0</v>
      </c>
      <c r="F138" s="55">
        <f>F137*(Assumptions!$B$25+MAX(0,Assumptions!$B$161-1)*Assumptions!$B$26)/12*F7</f>
        <v>0</v>
      </c>
      <c r="G138" s="55">
        <f>G137*(Assumptions!$B$25+MAX(0,Assumptions!$B$161-1)*Assumptions!$B$26)/12*G7</f>
        <v>0</v>
      </c>
      <c r="H138" s="55">
        <f>H137*(Assumptions!$B$25+MAX(0,Assumptions!$B$161-1)*Assumptions!$B$26)/12*H7</f>
        <v>0</v>
      </c>
      <c r="I138" s="55">
        <f>I137*(Assumptions!$B$25+MAX(0,Assumptions!$B$161-1)*Assumptions!$B$26)/12*I7</f>
        <v>105.97882184424179</v>
      </c>
      <c r="J138" s="55">
        <f>J137*(Assumptions!$B$25+MAX(0,Assumptions!$B$161-1)*Assumptions!$B$26)/12*J7</f>
        <v>204.29121953460472</v>
      </c>
      <c r="K138" s="55">
        <f>K137*(Assumptions!$B$25+MAX(0,Assumptions!$B$161-1)*Assumptions!$B$26)/12*K7</f>
        <v>305.43320217588388</v>
      </c>
      <c r="L138" s="55">
        <f>L137*(Assumptions!$B$25+MAX(0,Assumptions!$B$161-1)*Assumptions!$B$26)/12*L7</f>
        <v>438.97767045245888</v>
      </c>
      <c r="M138" s="55">
        <f>M137*(Assumptions!$B$25+MAX(0,Assumptions!$B$161-1)*Assumptions!$B$26)/12*M7</f>
        <v>550.34783076267661</v>
      </c>
      <c r="N138" s="55">
        <f>N137*(Assumptions!$B$25+MAX(0,Assumptions!$B$161-1)*Assumptions!$B$26)/12*N7</f>
        <v>636.23202545141612</v>
      </c>
      <c r="O138" s="55">
        <f>O137*(Assumptions!$B$25+MAX(0,Assumptions!$B$161-1)*Assumptions!$B$26)/12*O7</f>
        <v>1007.1449049497828</v>
      </c>
      <c r="P138" s="55">
        <f>P137*(Assumptions!$B$25+MAX(0,Assumptions!$B$161-1)*Assumptions!$B$26)/12*P7</f>
        <v>1339.4038491012955</v>
      </c>
      <c r="Q138" s="55">
        <f>Q137*(Assumptions!$B$25+MAX(0,Assumptions!$B$161-1)*Assumptions!$B$26)/12*Q7</f>
        <v>1638.3407136556491</v>
      </c>
      <c r="R138" s="55">
        <f>R137*(Assumptions!$B$25+MAX(0,Assumptions!$B$161-1)*Assumptions!$B$26)/12*R7</f>
        <v>2022.5800471166704</v>
      </c>
      <c r="S138" s="55">
        <f>S137*(Assumptions!$B$25+MAX(0,Assumptions!$B$161-1)*Assumptions!$B$26)/12*S7</f>
        <v>2340.9569308235291</v>
      </c>
      <c r="T138" s="55">
        <f>T137*(Assumptions!$B$25+MAX(0,Assumptions!$B$161-1)*Assumptions!$B$26)/12*T7</f>
        <v>2572.0875283796745</v>
      </c>
      <c r="U138" s="55">
        <f>U137*(Assumptions!$B$25+MAX(0,Assumptions!$B$161-1)*Assumptions!$B$26)/12*U7</f>
        <v>2777.7355404055088</v>
      </c>
      <c r="V138" s="55">
        <f>V137*(Assumptions!$B$25+MAX(0,Assumptions!$B$161-1)*Assumptions!$B$26)/12*V7</f>
        <v>2972.7272377819918</v>
      </c>
      <c r="W138" s="55">
        <f>W137*(Assumptions!$B$25+MAX(0,Assumptions!$B$161-1)*Assumptions!$B$26)/12*W7</f>
        <v>3194.8667404700573</v>
      </c>
      <c r="X138" s="55">
        <f>X137*(Assumptions!$B$25+MAX(0,Assumptions!$B$161-1)*Assumptions!$B$26)/12*X7</f>
        <v>3556.5709510010001</v>
      </c>
      <c r="Y138" s="55">
        <f>Y137*(Assumptions!$B$25+MAX(0,Assumptions!$B$161-1)*Assumptions!$B$26)/12*Y7</f>
        <v>3854.628759648434</v>
      </c>
      <c r="Z138" s="55">
        <f>Z137*(Assumptions!$B$25+MAX(0,Assumptions!$B$161-1)*Assumptions!$B$26)/12*Z7</f>
        <v>4070.9178280091637</v>
      </c>
      <c r="AA138" s="55">
        <f>AA137*(Assumptions!$B$25+MAX(0,Assumptions!$B$161-1)*Assumptions!$B$26)/12*AA7</f>
        <v>85982.581307523738</v>
      </c>
      <c r="AB138" s="55">
        <f>AB137*(Assumptions!$B$25+MAX(0,Assumptions!$B$161-1)*Assumptions!$B$26)/12*AB7</f>
        <v>132032.70169233286</v>
      </c>
      <c r="AC138" s="55">
        <f>AC137*(Assumptions!$B$25+MAX(0,Assumptions!$B$161-1)*Assumptions!$B$26)/12*AC7</f>
        <v>176957.66060229711</v>
      </c>
      <c r="AD138" s="55">
        <f>AD137*(Assumptions!$B$25+MAX(0,Assumptions!$B$161-1)*Assumptions!$B$26)/12*AD7</f>
        <v>199430.36767285806</v>
      </c>
      <c r="AE138" s="55">
        <f>AE137*(Assumptions!$B$25+MAX(0,Assumptions!$B$161-1)*Assumptions!$B$26)/12*AE7</f>
        <v>186363.97468078302</v>
      </c>
    </row>
    <row r="139" spans="1:31" x14ac:dyDescent="0.25">
      <c r="A139" s="6" t="s">
        <v>494</v>
      </c>
      <c r="B139" s="23" t="s">
        <v>114</v>
      </c>
      <c r="C139" s="55">
        <f>IF(C2&gt;=Assumptions!$B$52,C131*C17*Assumptions!$B$17+C126*(Assumptions!$B$148*MAX(0,Assumptions!$B$152-Assumptions!$B$18)+Assumptions!$B$149*MAX(0,Assumptions!$B$153-Assumptions!$B$18)+Assumptions!$B$150*MAX(0,Assumptions!$B$154-Assumptions!$B$18)+Assumptions!$B$151*MAX(0,Assumptions!$B$155-Assumptions!$B$18))*Assumptions!$B$19/Assumptions!$B$7*C7+C125*(Assumptions!$B$146*Assumptions!$B$20+Assumptions!$B$147*Assumptions!$B$21)/12/Assumptions!$B$7*C7,0)</f>
        <v>0</v>
      </c>
      <c r="D139" s="55">
        <f>IF(D2&gt;=Assumptions!$B$52,D131*D17*Assumptions!$B$17+D126*(Assumptions!$B$148*MAX(0,Assumptions!$B$152-Assumptions!$B$18)+Assumptions!$B$149*MAX(0,Assumptions!$B$153-Assumptions!$B$18)+Assumptions!$B$150*MAX(0,Assumptions!$B$154-Assumptions!$B$18)+Assumptions!$B$151*MAX(0,Assumptions!$B$155-Assumptions!$B$18))*Assumptions!$B$19/Assumptions!$B$7*D7+D125*(Assumptions!$B$146*Assumptions!$B$20+Assumptions!$B$147*Assumptions!$B$21)/12/Assumptions!$B$7*D7,0)</f>
        <v>0</v>
      </c>
      <c r="E139" s="55">
        <f>IF(E2&gt;=Assumptions!$B$52,E131*E17*Assumptions!$B$17+E126*(Assumptions!$B$148*MAX(0,Assumptions!$B$152-Assumptions!$B$18)+Assumptions!$B$149*MAX(0,Assumptions!$B$153-Assumptions!$B$18)+Assumptions!$B$150*MAX(0,Assumptions!$B$154-Assumptions!$B$18)+Assumptions!$B$151*MAX(0,Assumptions!$B$155-Assumptions!$B$18))*Assumptions!$B$19/Assumptions!$B$7*E7+E125*(Assumptions!$B$146*Assumptions!$B$20+Assumptions!$B$147*Assumptions!$B$21)/12/Assumptions!$B$7*E7,0)</f>
        <v>0</v>
      </c>
      <c r="F139" s="55">
        <f>IF(F2&gt;=Assumptions!$B$52,F131*F17*Assumptions!$B$17+F126*(Assumptions!$B$148*MAX(0,Assumptions!$B$152-Assumptions!$B$18)+Assumptions!$B$149*MAX(0,Assumptions!$B$153-Assumptions!$B$18)+Assumptions!$B$150*MAX(0,Assumptions!$B$154-Assumptions!$B$18)+Assumptions!$B$151*MAX(0,Assumptions!$B$155-Assumptions!$B$18))*Assumptions!$B$19/Assumptions!$B$7*F7+F125*(Assumptions!$B$146*Assumptions!$B$20+Assumptions!$B$147*Assumptions!$B$21)/12/Assumptions!$B$7*F7,0)</f>
        <v>0</v>
      </c>
      <c r="G139" s="55">
        <f>IF(G2&gt;=Assumptions!$B$52,G131*G17*Assumptions!$B$17+G126*(Assumptions!$B$148*MAX(0,Assumptions!$B$152-Assumptions!$B$18)+Assumptions!$B$149*MAX(0,Assumptions!$B$153-Assumptions!$B$18)+Assumptions!$B$150*MAX(0,Assumptions!$B$154-Assumptions!$B$18)+Assumptions!$B$151*MAX(0,Assumptions!$B$155-Assumptions!$B$18))*Assumptions!$B$19/Assumptions!$B$7*G7+G125*(Assumptions!$B$146*Assumptions!$B$20+Assumptions!$B$147*Assumptions!$B$21)/12/Assumptions!$B$7*G7,0)</f>
        <v>0</v>
      </c>
      <c r="H139" s="55">
        <f>IF(H2&gt;=Assumptions!$B$52,H131*H17*Assumptions!$B$17+H126*(Assumptions!$B$148*MAX(0,Assumptions!$B$152-Assumptions!$B$18)+Assumptions!$B$149*MAX(0,Assumptions!$B$153-Assumptions!$B$18)+Assumptions!$B$150*MAX(0,Assumptions!$B$154-Assumptions!$B$18)+Assumptions!$B$151*MAX(0,Assumptions!$B$155-Assumptions!$B$18))*Assumptions!$B$19/Assumptions!$B$7*H7+H125*(Assumptions!$B$146*Assumptions!$B$20+Assumptions!$B$147*Assumptions!$B$21)/12/Assumptions!$B$7*H7,0)</f>
        <v>0</v>
      </c>
      <c r="I139" s="55">
        <f>IF(I2&gt;=Assumptions!$B$52,I131*I17*Assumptions!$B$17+I126*(Assumptions!$B$148*MAX(0,Assumptions!$B$152-Assumptions!$B$18)+Assumptions!$B$149*MAX(0,Assumptions!$B$153-Assumptions!$B$18)+Assumptions!$B$150*MAX(0,Assumptions!$B$154-Assumptions!$B$18)+Assumptions!$B$151*MAX(0,Assumptions!$B$155-Assumptions!$B$18))*Assumptions!$B$19/Assumptions!$B$7*I7+I125*(Assumptions!$B$146*Assumptions!$B$20+Assumptions!$B$147*Assumptions!$B$21)/12/Assumptions!$B$7*I7,0)</f>
        <v>0</v>
      </c>
      <c r="J139" s="55">
        <f>IF(J2&gt;=Assumptions!$B$52,J131*J17*Assumptions!$B$17+J126*(Assumptions!$B$148*MAX(0,Assumptions!$B$152-Assumptions!$B$18)+Assumptions!$B$149*MAX(0,Assumptions!$B$153-Assumptions!$B$18)+Assumptions!$B$150*MAX(0,Assumptions!$B$154-Assumptions!$B$18)+Assumptions!$B$151*MAX(0,Assumptions!$B$155-Assumptions!$B$18))*Assumptions!$B$19/Assumptions!$B$7*J7+J125*(Assumptions!$B$146*Assumptions!$B$20+Assumptions!$B$147*Assumptions!$B$21)/12/Assumptions!$B$7*J7,0)</f>
        <v>0</v>
      </c>
      <c r="K139" s="55">
        <f>IF(K2&gt;=Assumptions!$B$52,K131*K17*Assumptions!$B$17+K126*(Assumptions!$B$148*MAX(0,Assumptions!$B$152-Assumptions!$B$18)+Assumptions!$B$149*MAX(0,Assumptions!$B$153-Assumptions!$B$18)+Assumptions!$B$150*MAX(0,Assumptions!$B$154-Assumptions!$B$18)+Assumptions!$B$151*MAX(0,Assumptions!$B$155-Assumptions!$B$18))*Assumptions!$B$19/Assumptions!$B$7*K7+K125*(Assumptions!$B$146*Assumptions!$B$20+Assumptions!$B$147*Assumptions!$B$21)/12/Assumptions!$B$7*K7,0)</f>
        <v>0</v>
      </c>
      <c r="L139" s="55">
        <f>IF(L2&gt;=Assumptions!$B$52,L131*L17*Assumptions!$B$17+L126*(Assumptions!$B$148*MAX(0,Assumptions!$B$152-Assumptions!$B$18)+Assumptions!$B$149*MAX(0,Assumptions!$B$153-Assumptions!$B$18)+Assumptions!$B$150*MAX(0,Assumptions!$B$154-Assumptions!$B$18)+Assumptions!$B$151*MAX(0,Assumptions!$B$155-Assumptions!$B$18))*Assumptions!$B$19/Assumptions!$B$7*L7+L125*(Assumptions!$B$146*Assumptions!$B$20+Assumptions!$B$147*Assumptions!$B$21)/12/Assumptions!$B$7*L7,0)</f>
        <v>0</v>
      </c>
      <c r="M139" s="55">
        <f>IF(M2&gt;=Assumptions!$B$52,M131*M17*Assumptions!$B$17+M126*(Assumptions!$B$148*MAX(0,Assumptions!$B$152-Assumptions!$B$18)+Assumptions!$B$149*MAX(0,Assumptions!$B$153-Assumptions!$B$18)+Assumptions!$B$150*MAX(0,Assumptions!$B$154-Assumptions!$B$18)+Assumptions!$B$151*MAX(0,Assumptions!$B$155-Assumptions!$B$18))*Assumptions!$B$19/Assumptions!$B$7*M7+M125*(Assumptions!$B$146*Assumptions!$B$20+Assumptions!$B$147*Assumptions!$B$21)/12/Assumptions!$B$7*M7,0)</f>
        <v>0</v>
      </c>
      <c r="N139" s="55">
        <f>IF(N2&gt;=Assumptions!$B$52,N131*N17*Assumptions!$B$17+N126*(Assumptions!$B$148*MAX(0,Assumptions!$B$152-Assumptions!$B$18)+Assumptions!$B$149*MAX(0,Assumptions!$B$153-Assumptions!$B$18)+Assumptions!$B$150*MAX(0,Assumptions!$B$154-Assumptions!$B$18)+Assumptions!$B$151*MAX(0,Assumptions!$B$155-Assumptions!$B$18))*Assumptions!$B$19/Assumptions!$B$7*N7+N125*(Assumptions!$B$146*Assumptions!$B$20+Assumptions!$B$147*Assumptions!$B$21)/12/Assumptions!$B$7*N7,0)</f>
        <v>0</v>
      </c>
      <c r="O139" s="55">
        <f>IF(O2&gt;=Assumptions!$B$52,O131*O17*Assumptions!$B$17+O126*(Assumptions!$B$148*MAX(0,Assumptions!$B$152-Assumptions!$B$18)+Assumptions!$B$149*MAX(0,Assumptions!$B$153-Assumptions!$B$18)+Assumptions!$B$150*MAX(0,Assumptions!$B$154-Assumptions!$B$18)+Assumptions!$B$151*MAX(0,Assumptions!$B$155-Assumptions!$B$18))*Assumptions!$B$19/Assumptions!$B$7*O7+O125*(Assumptions!$B$146*Assumptions!$B$20+Assumptions!$B$147*Assumptions!$B$21)/12/Assumptions!$B$7*O7,0)</f>
        <v>275.31435379116675</v>
      </c>
      <c r="P139" s="55">
        <f>IF(P2&gt;=Assumptions!$B$52,P131*P17*Assumptions!$B$17+P126*(Assumptions!$B$148*MAX(0,Assumptions!$B$152-Assumptions!$B$18)+Assumptions!$B$149*MAX(0,Assumptions!$B$153-Assumptions!$B$18)+Assumptions!$B$150*MAX(0,Assumptions!$B$154-Assumptions!$B$18)+Assumptions!$B$151*MAX(0,Assumptions!$B$155-Assumptions!$B$18))*Assumptions!$B$19/Assumptions!$B$7*P7+P125*(Assumptions!$B$146*Assumptions!$B$20+Assumptions!$B$147*Assumptions!$B$21)/12/Assumptions!$B$7*P7,0)</f>
        <v>322.87551953202461</v>
      </c>
      <c r="Q139" s="55">
        <f>IF(Q2&gt;=Assumptions!$B$52,Q131*Q17*Assumptions!$B$17+Q126*(Assumptions!$B$148*MAX(0,Assumptions!$B$152-Assumptions!$B$18)+Assumptions!$B$149*MAX(0,Assumptions!$B$153-Assumptions!$B$18)+Assumptions!$B$150*MAX(0,Assumptions!$B$154-Assumptions!$B$18)+Assumptions!$B$151*MAX(0,Assumptions!$B$155-Assumptions!$B$18))*Assumptions!$B$19/Assumptions!$B$7*Q7+Q125*(Assumptions!$B$146*Assumptions!$B$20+Assumptions!$B$147*Assumptions!$B$21)/12/Assumptions!$B$7*Q7,0)</f>
        <v>368.05206454360746</v>
      </c>
      <c r="R139" s="55">
        <f>IF(R2&gt;=Assumptions!$B$52,R131*R17*Assumptions!$B$17+R126*(Assumptions!$B$148*MAX(0,Assumptions!$B$152-Assumptions!$B$18)+Assumptions!$B$149*MAX(0,Assumptions!$B$153-Assumptions!$B$18)+Assumptions!$B$150*MAX(0,Assumptions!$B$154-Assumptions!$B$18)+Assumptions!$B$151*MAX(0,Assumptions!$B$155-Assumptions!$B$18))*Assumptions!$B$19/Assumptions!$B$7*R7+R125*(Assumptions!$B$146*Assumptions!$B$20+Assumptions!$B$147*Assumptions!$B$21)/12/Assumptions!$B$7*R7,0)</f>
        <v>413.89691534597262</v>
      </c>
      <c r="S139" s="55">
        <f>IF(S2&gt;=Assumptions!$B$52,S131*S17*Assumptions!$B$17+S126*(Assumptions!$B$148*MAX(0,Assumptions!$B$152-Assumptions!$B$18)+Assumptions!$B$149*MAX(0,Assumptions!$B$153-Assumptions!$B$18)+Assumptions!$B$150*MAX(0,Assumptions!$B$154-Assumptions!$B$18)+Assumptions!$B$151*MAX(0,Assumptions!$B$155-Assumptions!$B$18))*Assumptions!$B$19/Assumptions!$B$7*S7+S125*(Assumptions!$B$146*Assumptions!$B$20+Assumptions!$B$147*Assumptions!$B$21)/12/Assumptions!$B$7*S7,0)</f>
        <v>462.90529336712541</v>
      </c>
      <c r="T139" s="55">
        <f>IF(T2&gt;=Assumptions!$B$52,T131*T17*Assumptions!$B$17+T126*(Assumptions!$B$148*MAX(0,Assumptions!$B$152-Assumptions!$B$18)+Assumptions!$B$149*MAX(0,Assumptions!$B$153-Assumptions!$B$18)+Assumptions!$B$150*MAX(0,Assumptions!$B$154-Assumptions!$B$18)+Assumptions!$B$151*MAX(0,Assumptions!$B$155-Assumptions!$B$18))*Assumptions!$B$19/Assumptions!$B$7*T7+T125*(Assumptions!$B$146*Assumptions!$B$20+Assumptions!$B$147*Assumptions!$B$21)/12/Assumptions!$B$7*T7,0)</f>
        <v>530.76457185794038</v>
      </c>
      <c r="U139" s="55">
        <f>IF(U2&gt;=Assumptions!$B$52,U131*U17*Assumptions!$B$17+U126*(Assumptions!$B$148*MAX(0,Assumptions!$B$152-Assumptions!$B$18)+Assumptions!$B$149*MAX(0,Assumptions!$B$153-Assumptions!$B$18)+Assumptions!$B$150*MAX(0,Assumptions!$B$154-Assumptions!$B$18)+Assumptions!$B$151*MAX(0,Assumptions!$B$155-Assumptions!$B$18))*Assumptions!$B$19/Assumptions!$B$7*U7+U125*(Assumptions!$B$146*Assumptions!$B$20+Assumptions!$B$147*Assumptions!$B$21)/12/Assumptions!$B$7*U7,0)</f>
        <v>589.45192501864085</v>
      </c>
      <c r="V139" s="55">
        <f>IF(V2&gt;=Assumptions!$B$52,V131*V17*Assumptions!$B$17+V126*(Assumptions!$B$148*MAX(0,Assumptions!$B$152-Assumptions!$B$18)+Assumptions!$B$149*MAX(0,Assumptions!$B$153-Assumptions!$B$18)+Assumptions!$B$150*MAX(0,Assumptions!$B$154-Assumptions!$B$18)+Assumptions!$B$151*MAX(0,Assumptions!$B$155-Assumptions!$B$18))*Assumptions!$B$19/Assumptions!$B$7*V7+V125*(Assumptions!$B$146*Assumptions!$B$20+Assumptions!$B$147*Assumptions!$B$21)/12/Assumptions!$B$7*V7,0)</f>
        <v>639.30207762598877</v>
      </c>
      <c r="W139" s="55">
        <f>IF(W2&gt;=Assumptions!$B$52,W131*W17*Assumptions!$B$17+W126*(Assumptions!$B$148*MAX(0,Assumptions!$B$152-Assumptions!$B$18)+Assumptions!$B$149*MAX(0,Assumptions!$B$153-Assumptions!$B$18)+Assumptions!$B$150*MAX(0,Assumptions!$B$154-Assumptions!$B$18)+Assumptions!$B$151*MAX(0,Assumptions!$B$155-Assumptions!$B$18))*Assumptions!$B$19/Assumptions!$B$7*W7+W125*(Assumptions!$B$146*Assumptions!$B$20+Assumptions!$B$147*Assumptions!$B$21)/12/Assumptions!$B$7*W7,0)</f>
        <v>808.42179001213049</v>
      </c>
      <c r="X139" s="55">
        <f>IF(X2&gt;=Assumptions!$B$52,X131*X17*Assumptions!$B$17+X126*(Assumptions!$B$148*MAX(0,Assumptions!$B$152-Assumptions!$B$18)+Assumptions!$B$149*MAX(0,Assumptions!$B$153-Assumptions!$B$18)+Assumptions!$B$150*MAX(0,Assumptions!$B$154-Assumptions!$B$18)+Assumptions!$B$151*MAX(0,Assumptions!$B$155-Assumptions!$B$18))*Assumptions!$B$19/Assumptions!$B$7*X7+X125*(Assumptions!$B$146*Assumptions!$B$20+Assumptions!$B$147*Assumptions!$B$21)/12/Assumptions!$B$7*X7,0)</f>
        <v>980.07584286923088</v>
      </c>
      <c r="Y139" s="55">
        <f>IF(Y2&gt;=Assumptions!$B$52,Y131*Y17*Assumptions!$B$17+Y126*(Assumptions!$B$148*MAX(0,Assumptions!$B$152-Assumptions!$B$18)+Assumptions!$B$149*MAX(0,Assumptions!$B$153-Assumptions!$B$18)+Assumptions!$B$150*MAX(0,Assumptions!$B$154-Assumptions!$B$18)+Assumptions!$B$151*MAX(0,Assumptions!$B$155-Assumptions!$B$18))*Assumptions!$B$19/Assumptions!$B$7*Y7+Y125*(Assumptions!$B$146*Assumptions!$B$20+Assumptions!$B$147*Assumptions!$B$21)/12/Assumptions!$B$7*Y7,0)</f>
        <v>1142.6083258479982</v>
      </c>
      <c r="Z139" s="55">
        <f>IF(Z2&gt;=Assumptions!$B$52,Z131*Z17*Assumptions!$B$17+Z126*(Assumptions!$B$148*MAX(0,Assumptions!$B$152-Assumptions!$B$18)+Assumptions!$B$149*MAX(0,Assumptions!$B$153-Assumptions!$B$18)+Assumptions!$B$150*MAX(0,Assumptions!$B$154-Assumptions!$B$18)+Assumptions!$B$151*MAX(0,Assumptions!$B$155-Assumptions!$B$18))*Assumptions!$B$19/Assumptions!$B$7*Z7+Z125*(Assumptions!$B$146*Assumptions!$B$20+Assumptions!$B$147*Assumptions!$B$21)/12/Assumptions!$B$7*Z7,0)</f>
        <v>1343.9432190418386</v>
      </c>
      <c r="AA139" s="55">
        <f>IF(AA2&gt;=Assumptions!$B$52,AA131*AA17*Assumptions!$B$17+AA126*(Assumptions!$B$148*MAX(0,Assumptions!$B$152-Assumptions!$B$18)+Assumptions!$B$149*MAX(0,Assumptions!$B$153-Assumptions!$B$18)+Assumptions!$B$150*MAX(0,Assumptions!$B$154-Assumptions!$B$18)+Assumptions!$B$151*MAX(0,Assumptions!$B$155-Assumptions!$B$18))*Assumptions!$B$19/Assumptions!$B$7*AA7+AA125*(Assumptions!$B$146*Assumptions!$B$20+Assumptions!$B$147*Assumptions!$B$21)/12/Assumptions!$B$7*AA7,0)</f>
        <v>73212.66673986653</v>
      </c>
      <c r="AB139" s="55">
        <f>IF(AB2&gt;=Assumptions!$B$52,AB131*AB17*Assumptions!$B$17+AB126*(Assumptions!$B$148*MAX(0,Assumptions!$B$152-Assumptions!$B$18)+Assumptions!$B$149*MAX(0,Assumptions!$B$153-Assumptions!$B$18)+Assumptions!$B$150*MAX(0,Assumptions!$B$154-Assumptions!$B$18)+Assumptions!$B$151*MAX(0,Assumptions!$B$155-Assumptions!$B$18))*Assumptions!$B$19/Assumptions!$B$7*AB7+AB125*(Assumptions!$B$146*Assumptions!$B$20+Assumptions!$B$147*Assumptions!$B$21)/12/Assumptions!$B$7*AB7,0)</f>
        <v>127957.24442752608</v>
      </c>
      <c r="AC139" s="55">
        <f>IF(AC2&gt;=Assumptions!$B$52,AC131*AC17*Assumptions!$B$17+AC126*(Assumptions!$B$148*MAX(0,Assumptions!$B$152-Assumptions!$B$18)+Assumptions!$B$149*MAX(0,Assumptions!$B$153-Assumptions!$B$18)+Assumptions!$B$150*MAX(0,Assumptions!$B$154-Assumptions!$B$18)+Assumptions!$B$151*MAX(0,Assumptions!$B$155-Assumptions!$B$18))*Assumptions!$B$19/Assumptions!$B$7*AC7+AC125*(Assumptions!$B$146*Assumptions!$B$20+Assumptions!$B$147*Assumptions!$B$21)/12/Assumptions!$B$7*AC7,0)</f>
        <v>194895.25459002852</v>
      </c>
      <c r="AD139" s="55">
        <f>IF(AD2&gt;=Assumptions!$B$52,AD131*AD17*Assumptions!$B$17+AD126*(Assumptions!$B$148*MAX(0,Assumptions!$B$152-Assumptions!$B$18)+Assumptions!$B$149*MAX(0,Assumptions!$B$153-Assumptions!$B$18)+Assumptions!$B$150*MAX(0,Assumptions!$B$154-Assumptions!$B$18)+Assumptions!$B$151*MAX(0,Assumptions!$B$155-Assumptions!$B$18))*Assumptions!$B$19/Assumptions!$B$7*AD7+AD125*(Assumptions!$B$146*Assumptions!$B$20+Assumptions!$B$147*Assumptions!$B$21)/12/Assumptions!$B$7*AD7,0)</f>
        <v>259578.23457137425</v>
      </c>
      <c r="AE139" s="55">
        <f>IF(AE2&gt;=Assumptions!$B$52,AE131*AE17*Assumptions!$B$17+AE126*(Assumptions!$B$148*MAX(0,Assumptions!$B$152-Assumptions!$B$18)+Assumptions!$B$149*MAX(0,Assumptions!$B$153-Assumptions!$B$18)+Assumptions!$B$150*MAX(0,Assumptions!$B$154-Assumptions!$B$18)+Assumptions!$B$151*MAX(0,Assumptions!$B$155-Assumptions!$B$18))*Assumptions!$B$19/Assumptions!$B$7*AE7+AE125*(Assumptions!$B$146*Assumptions!$B$20+Assumptions!$B$147*Assumptions!$B$21)/12/Assumptions!$B$7*AE7,0)</f>
        <v>306659.81099435792</v>
      </c>
    </row>
    <row r="140" spans="1:31" x14ac:dyDescent="0.25">
      <c r="A140" s="6" t="s">
        <v>495</v>
      </c>
      <c r="B140" s="23" t="s">
        <v>114</v>
      </c>
      <c r="C140" s="55">
        <f>IF(C2&gt;=Assumptions!$B$53,C125*C127*(1-Assumptions!$B$178)*Assumptions!$B$156*Assumptions!$B$157,0)</f>
        <v>0</v>
      </c>
      <c r="D140" s="55">
        <f>IF(D2&gt;=Assumptions!$B$53,D125*D127*(1-Assumptions!$B$178)*Assumptions!$B$156*Assumptions!$B$157,0)</f>
        <v>0</v>
      </c>
      <c r="E140" s="55">
        <f>IF(E2&gt;=Assumptions!$B$53,E125*E127*(1-Assumptions!$B$178)*Assumptions!$B$156*Assumptions!$B$157,0)</f>
        <v>0</v>
      </c>
      <c r="F140" s="55">
        <f>IF(F2&gt;=Assumptions!$B$53,F125*F127*(1-Assumptions!$B$178)*Assumptions!$B$156*Assumptions!$B$157,0)</f>
        <v>0</v>
      </c>
      <c r="G140" s="55">
        <f>IF(G2&gt;=Assumptions!$B$53,G125*G127*(1-Assumptions!$B$178)*Assumptions!$B$156*Assumptions!$B$157,0)</f>
        <v>0</v>
      </c>
      <c r="H140" s="55">
        <f>IF(H2&gt;=Assumptions!$B$53,H125*H127*(1-Assumptions!$B$178)*Assumptions!$B$156*Assumptions!$B$157,0)</f>
        <v>0</v>
      </c>
      <c r="I140" s="55">
        <f>IF(I2&gt;=Assumptions!$B$53,I125*I127*(1-Assumptions!$B$178)*Assumptions!$B$156*Assumptions!$B$157,0)</f>
        <v>0</v>
      </c>
      <c r="J140" s="55">
        <f>IF(J2&gt;=Assumptions!$B$53,J125*J127*(1-Assumptions!$B$178)*Assumptions!$B$156*Assumptions!$B$157,0)</f>
        <v>0</v>
      </c>
      <c r="K140" s="55">
        <f>IF(K2&gt;=Assumptions!$B$53,K125*K127*(1-Assumptions!$B$178)*Assumptions!$B$156*Assumptions!$B$157,0)</f>
        <v>0</v>
      </c>
      <c r="L140" s="55">
        <f>IF(L2&gt;=Assumptions!$B$53,L125*L127*(1-Assumptions!$B$178)*Assumptions!$B$156*Assumptions!$B$157,0)</f>
        <v>0</v>
      </c>
      <c r="M140" s="55">
        <f>IF(M2&gt;=Assumptions!$B$53,M125*M127*(1-Assumptions!$B$178)*Assumptions!$B$156*Assumptions!$B$157,0)</f>
        <v>0</v>
      </c>
      <c r="N140" s="55">
        <f>IF(N2&gt;=Assumptions!$B$53,N125*N127*(1-Assumptions!$B$178)*Assumptions!$B$156*Assumptions!$B$157,0)</f>
        <v>0</v>
      </c>
      <c r="O140" s="55">
        <f>IF(O2&gt;=Assumptions!$B$53,O125*O127*(1-Assumptions!$B$178)*Assumptions!$B$156*Assumptions!$B$157,0)</f>
        <v>1802.3863939918142</v>
      </c>
      <c r="P140" s="55">
        <f>IF(P2&gt;=Assumptions!$B$53,P125*P127*(1-Assumptions!$B$178)*Assumptions!$B$156*Assumptions!$B$157,0)</f>
        <v>2044.7354376690705</v>
      </c>
      <c r="Q140" s="55">
        <f>IF(Q2&gt;=Assumptions!$B$53,Q125*Q127*(1-Assumptions!$B$178)*Assumptions!$B$156*Assumptions!$B$157,0)</f>
        <v>2357.0605333467124</v>
      </c>
      <c r="R140" s="55">
        <f>IF(R2&gt;=Assumptions!$B$53,R125*R127*(1-Assumptions!$B$178)*Assumptions!$B$156*Assumptions!$B$157,0)</f>
        <v>2633.9539844740334</v>
      </c>
      <c r="S140" s="55">
        <f>IF(S2&gt;=Assumptions!$B$53,S125*S127*(1-Assumptions!$B$178)*Assumptions!$B$156*Assumptions!$B$157,0)</f>
        <v>3048.5530526288221</v>
      </c>
      <c r="T140" s="55">
        <f>IF(T2&gt;=Assumptions!$B$53,T125*T127*(1-Assumptions!$B$178)*Assumptions!$B$156*Assumptions!$B$157,0)</f>
        <v>3707.7488817953658</v>
      </c>
      <c r="U140" s="55">
        <f>IF(U2&gt;=Assumptions!$B$53,U125*U127*(1-Assumptions!$B$178)*Assumptions!$B$156*Assumptions!$B$157,0)</f>
        <v>4408.5664979488602</v>
      </c>
      <c r="V140" s="55">
        <f>IF(V2&gt;=Assumptions!$B$53,V125*V127*(1-Assumptions!$B$178)*Assumptions!$B$156*Assumptions!$B$157,0)</f>
        <v>5112.8580705119775</v>
      </c>
      <c r="W140" s="55">
        <f>IF(W2&gt;=Assumptions!$B$53,W125*W127*(1-Assumptions!$B$178)*Assumptions!$B$156*Assumptions!$B$157,0)</f>
        <v>6869.440991914541</v>
      </c>
      <c r="X140" s="55">
        <f>IF(X2&gt;=Assumptions!$B$53,X125*X127*(1-Assumptions!$B$178)*Assumptions!$B$156*Assumptions!$B$157,0)</f>
        <v>8470.6670833787939</v>
      </c>
      <c r="Y140" s="55">
        <f>IF(Y2&gt;=Assumptions!$B$53,Y125*Y127*(1-Assumptions!$B$178)*Assumptions!$B$156*Assumptions!$B$157,0)</f>
        <v>10260.532219932807</v>
      </c>
      <c r="Z140" s="55">
        <f>IF(Z2&gt;=Assumptions!$B$53,Z125*Z127*(1-Assumptions!$B$178)*Assumptions!$B$156*Assumptions!$B$157,0)</f>
        <v>12772.704950790458</v>
      </c>
      <c r="AA140" s="55">
        <f>IF(AA2&gt;=Assumptions!$B$53,AA125*AA127*(1-Assumptions!$B$178)*Assumptions!$B$156*Assumptions!$B$157,0)</f>
        <v>110311.68099927515</v>
      </c>
      <c r="AB140" s="55">
        <f>IF(AB2&gt;=Assumptions!$B$53,AB125*AB127*(1-Assumptions!$B$178)*Assumptions!$B$156*Assumptions!$B$157,0)</f>
        <v>260212.00845235068</v>
      </c>
      <c r="AC140" s="55">
        <f>IF(AC2&gt;=Assumptions!$B$53,AC125*AC127*(1-Assumptions!$B$178)*Assumptions!$B$156*Assumptions!$B$157,0)</f>
        <v>498221.95610044728</v>
      </c>
      <c r="AD140" s="55">
        <f>IF(AD2&gt;=Assumptions!$B$53,AD125*AD127*(1-Assumptions!$B$178)*Assumptions!$B$156*Assumptions!$B$157,0)</f>
        <v>848263.94687758561</v>
      </c>
      <c r="AE140" s="55">
        <f>IF(AE2&gt;=Assumptions!$B$53,AE125*AE127*(1-Assumptions!$B$178)*Assumptions!$B$156*Assumptions!$B$157,0)</f>
        <v>1347318.7902497246</v>
      </c>
    </row>
    <row r="141" spans="1:31" x14ac:dyDescent="0.25">
      <c r="A141" s="6" t="s">
        <v>496</v>
      </c>
      <c r="B141" s="23" t="s">
        <v>114</v>
      </c>
      <c r="C141" s="55">
        <f>IF(C2&gt;=Assumptions!$B$53,(C140*Assumptions!$B$29*Assumptions!$B$30+C126*C128*(1-Assumptions!$B$178)*Assumptions!$B$27*Assumptions!$B$28)*C7/12,0)</f>
        <v>0</v>
      </c>
      <c r="D141" s="55">
        <f>IF(D2&gt;=Assumptions!$B$53,(D140*Assumptions!$B$29*Assumptions!$B$30+D126*D128*(1-Assumptions!$B$178)*Assumptions!$B$27*Assumptions!$B$28)*D7/12,0)</f>
        <v>0</v>
      </c>
      <c r="E141" s="55">
        <f>IF(E2&gt;=Assumptions!$B$53,(E140*Assumptions!$B$29*Assumptions!$B$30+E126*E128*(1-Assumptions!$B$178)*Assumptions!$B$27*Assumptions!$B$28)*E7/12,0)</f>
        <v>0</v>
      </c>
      <c r="F141" s="55">
        <f>IF(F2&gt;=Assumptions!$B$53,(F140*Assumptions!$B$29*Assumptions!$B$30+F126*F128*(1-Assumptions!$B$178)*Assumptions!$B$27*Assumptions!$B$28)*F7/12,0)</f>
        <v>0</v>
      </c>
      <c r="G141" s="55">
        <f>IF(G2&gt;=Assumptions!$B$53,(G140*Assumptions!$B$29*Assumptions!$B$30+G126*G128*(1-Assumptions!$B$178)*Assumptions!$B$27*Assumptions!$B$28)*G7/12,0)</f>
        <v>0</v>
      </c>
      <c r="H141" s="55">
        <f>IF(H2&gt;=Assumptions!$B$53,(H140*Assumptions!$B$29*Assumptions!$B$30+H126*H128*(1-Assumptions!$B$178)*Assumptions!$B$27*Assumptions!$B$28)*H7/12,0)</f>
        <v>0</v>
      </c>
      <c r="I141" s="55">
        <f>IF(I2&gt;=Assumptions!$B$53,(I140*Assumptions!$B$29*Assumptions!$B$30+I126*I128*(1-Assumptions!$B$178)*Assumptions!$B$27*Assumptions!$B$28)*I7/12,0)</f>
        <v>0</v>
      </c>
      <c r="J141" s="55">
        <f>IF(J2&gt;=Assumptions!$B$53,(J140*Assumptions!$B$29*Assumptions!$B$30+J126*J128*(1-Assumptions!$B$178)*Assumptions!$B$27*Assumptions!$B$28)*J7/12,0)</f>
        <v>0</v>
      </c>
      <c r="K141" s="55">
        <f>IF(K2&gt;=Assumptions!$B$53,(K140*Assumptions!$B$29*Assumptions!$B$30+K126*K128*(1-Assumptions!$B$178)*Assumptions!$B$27*Assumptions!$B$28)*K7/12,0)</f>
        <v>0</v>
      </c>
      <c r="L141" s="55">
        <f>IF(L2&gt;=Assumptions!$B$53,(L140*Assumptions!$B$29*Assumptions!$B$30+L126*L128*(1-Assumptions!$B$178)*Assumptions!$B$27*Assumptions!$B$28)*L7/12,0)</f>
        <v>0</v>
      </c>
      <c r="M141" s="55">
        <f>IF(M2&gt;=Assumptions!$B$53,(M140*Assumptions!$B$29*Assumptions!$B$30+M126*M128*(1-Assumptions!$B$178)*Assumptions!$B$27*Assumptions!$B$28)*M7/12,0)</f>
        <v>0</v>
      </c>
      <c r="N141" s="55">
        <f>IF(N2&gt;=Assumptions!$B$53,(N140*Assumptions!$B$29*Assumptions!$B$30+N126*N128*(1-Assumptions!$B$178)*Assumptions!$B$27*Assumptions!$B$28)*N7/12,0)</f>
        <v>0</v>
      </c>
      <c r="O141" s="55">
        <f>IF(O2&gt;=Assumptions!$B$53,(O140*Assumptions!$B$29*Assumptions!$B$30+O126*O128*(1-Assumptions!$B$178)*Assumptions!$B$27*Assumptions!$B$28)*O7/12,0)</f>
        <v>3.4356840155776092</v>
      </c>
      <c r="P141" s="55">
        <f>IF(P2&gt;=Assumptions!$B$53,(P140*Assumptions!$B$29*Assumptions!$B$30+P126*P128*(1-Assumptions!$B$178)*Assumptions!$B$27*Assumptions!$B$28)*P7/12,0)</f>
        <v>3.9139918863009684</v>
      </c>
      <c r="Q141" s="55">
        <f>IF(Q2&gt;=Assumptions!$B$53,(Q140*Assumptions!$B$29*Assumptions!$B$30+Q126*Q128*(1-Assumptions!$B$178)*Assumptions!$B$27*Assumptions!$B$28)*Q7/12,0)</f>
        <v>4.4933535623677878</v>
      </c>
      <c r="R141" s="55">
        <f>IF(R2&gt;=Assumptions!$B$53,(R140*Assumptions!$B$29*Assumptions!$B$30+R126*R128*(1-Assumptions!$B$178)*Assumptions!$B$27*Assumptions!$B$28)*R7/12,0)</f>
        <v>5.0181375878964829</v>
      </c>
      <c r="S141" s="55">
        <f>IF(S2&gt;=Assumptions!$B$53,(S140*Assumptions!$B$29*Assumptions!$B$30+S126*S128*(1-Assumptions!$B$178)*Assumptions!$B$27*Assumptions!$B$28)*S7/12,0)</f>
        <v>5.7595678178655154</v>
      </c>
      <c r="T141" s="55">
        <f>IF(T2&gt;=Assumptions!$B$53,(T140*Assumptions!$B$29*Assumptions!$B$30+T126*T128*(1-Assumptions!$B$178)*Assumptions!$B$27*Assumptions!$B$28)*T7/12,0)</f>
        <v>6.9025134297835242</v>
      </c>
      <c r="U141" s="55">
        <f>IF(U2&gt;=Assumptions!$B$53,(U140*Assumptions!$B$29*Assumptions!$B$30+U126*U128*(1-Assumptions!$B$178)*Assumptions!$B$27*Assumptions!$B$28)*U7/12,0)</f>
        <v>8.07759734585599</v>
      </c>
      <c r="V141" s="55">
        <f>IF(V2&gt;=Assumptions!$B$53,(V140*Assumptions!$B$29*Assumptions!$B$30+V126*V128*(1-Assumptions!$B$178)*Assumptions!$B$27*Assumptions!$B$28)*V7/12,0)</f>
        <v>9.2194681633011317</v>
      </c>
      <c r="W141" s="55">
        <f>IF(W2&gt;=Assumptions!$B$53,(W140*Assumptions!$B$29*Assumptions!$B$30+W126*W128*(1-Assumptions!$B$178)*Assumptions!$B$27*Assumptions!$B$28)*W7/12,0)</f>
        <v>12.21696617376829</v>
      </c>
      <c r="X141" s="55">
        <f>IF(X2&gt;=Assumptions!$B$53,(X140*Assumptions!$B$29*Assumptions!$B$30+X126*X128*(1-Assumptions!$B$178)*Assumptions!$B$27*Assumptions!$B$28)*X7/12,0)</f>
        <v>14.97694314600122</v>
      </c>
      <c r="Y141" s="55">
        <f>IF(Y2&gt;=Assumptions!$B$53,(Y140*Assumptions!$B$29*Assumptions!$B$30+Y126*Y128*(1-Assumptions!$B$178)*Assumptions!$B$27*Assumptions!$B$28)*Y7/12,0)</f>
        <v>17.957326942431454</v>
      </c>
      <c r="Z141" s="55">
        <f>IF(Z2&gt;=Assumptions!$B$53,(Z140*Assumptions!$B$29*Assumptions!$B$30+Z126*Z128*(1-Assumptions!$B$178)*Assumptions!$B$27*Assumptions!$B$28)*Z7/12,0)</f>
        <v>22.03232709852875</v>
      </c>
      <c r="AA141" s="55">
        <f>IF(AA2&gt;=Assumptions!$B$53,(AA140*Assumptions!$B$29*Assumptions!$B$30+AA126*AA128*(1-Assumptions!$B$178)*Assumptions!$B$27*Assumptions!$B$28)*AA7/12,0)</f>
        <v>1973.9298860711049</v>
      </c>
      <c r="AB141" s="55">
        <f>IF(AB2&gt;=Assumptions!$B$53,(AB140*Assumptions!$B$29*Assumptions!$B$30+AB126*AB128*(1-Assumptions!$B$178)*Assumptions!$B$27*Assumptions!$B$28)*AB7/12,0)</f>
        <v>4196.9083310352553</v>
      </c>
      <c r="AC141" s="55">
        <f>IF(AC2&gt;=Assumptions!$B$53,(AC140*Assumptions!$B$29*Assumptions!$B$30+AC126*AC128*(1-Assumptions!$B$178)*Assumptions!$B$27*Assumptions!$B$28)*AC7/12,0)</f>
        <v>7284.2872058366011</v>
      </c>
      <c r="AD141" s="55">
        <f>IF(AD2&gt;=Assumptions!$B$53,(AD140*Assumptions!$B$29*Assumptions!$B$30+AD126*AD128*(1-Assumptions!$B$178)*Assumptions!$B$27*Assumptions!$B$28)*AD7/12,0)</f>
        <v>11012.667028736114</v>
      </c>
      <c r="AE141" s="55">
        <f>IF(AE2&gt;=Assumptions!$B$53,(AE140*Assumptions!$B$29*Assumptions!$B$30+AE126*AE128*(1-Assumptions!$B$178)*Assumptions!$B$27*Assumptions!$B$28)*AE7/12,0)</f>
        <v>15016.963293945373</v>
      </c>
    </row>
    <row r="142" spans="1:31" x14ac:dyDescent="0.25">
      <c r="A142" s="6" t="s">
        <v>497</v>
      </c>
      <c r="B142" s="23" t="s">
        <v>498</v>
      </c>
      <c r="C142" s="45">
        <f>IF(C2&gt;=Assumptions!$B$49,(C111+C113*Assumptions!$B$138)*Assumptions!$B$137*C7/12,0)</f>
        <v>0.90653194296549156</v>
      </c>
      <c r="D142" s="45">
        <f>IF(D2&gt;=Assumptions!$B$49,(D111+D113*Assumptions!$B$138)*Assumptions!$B$137*D7/12,0)</f>
        <v>1.7923630446843974</v>
      </c>
      <c r="E142" s="45">
        <f>IF(E2&gt;=Assumptions!$B$49,(E111+E113*Assumptions!$B$138)*Assumptions!$B$137*E7/12,0)</f>
        <v>2.664104331596318</v>
      </c>
      <c r="F142" s="45">
        <f>IF(F2&gt;=Assumptions!$B$49,(F111+F113*Assumptions!$B$138)*Assumptions!$B$137*F7/12,0)</f>
        <v>3.7611014226354285</v>
      </c>
      <c r="G142" s="45">
        <f>IF(G2&gt;=Assumptions!$B$49,(G111+G113*Assumptions!$B$138)*Assumptions!$B$137*G7/12,0)</f>
        <v>4.7837155291889504</v>
      </c>
      <c r="H142" s="45">
        <f>IF(H2&gt;=Assumptions!$B$49,(H111+H113*Assumptions!$B$138)*Assumptions!$B$137*H7/12,0)</f>
        <v>5.6838063927335583</v>
      </c>
      <c r="I142" s="45">
        <f>IF(I2&gt;=Assumptions!$B$49,(I111+I113*Assumptions!$B$138)*Assumptions!$B$137*I7/12,0)</f>
        <v>6.5725669504434991</v>
      </c>
      <c r="J142" s="45">
        <f>IF(J2&gt;=Assumptions!$B$49,(J111+J113*Assumptions!$B$138)*Assumptions!$B$137*J7/12,0)</f>
        <v>7.4751939867273096</v>
      </c>
      <c r="K142" s="45">
        <f>IF(K2&gt;=Assumptions!$B$49,(K111+K113*Assumptions!$B$138)*Assumptions!$B$137*K7/12,0)</f>
        <v>8.4619747598498094</v>
      </c>
      <c r="L142" s="45">
        <f>IF(L2&gt;=Assumptions!$B$49,(L111+L113*Assumptions!$B$138)*Assumptions!$B$137*L7/12,0)</f>
        <v>9.7467302661093509</v>
      </c>
      <c r="M142" s="45">
        <f>IF(M2&gt;=Assumptions!$B$49,(M111+M113*Assumptions!$B$138)*Assumptions!$B$137*M7/12,0)</f>
        <v>10.963505866404772</v>
      </c>
      <c r="N142" s="45">
        <f>IF(N2&gt;=Assumptions!$B$49,(N111+N113*Assumptions!$B$138)*Assumptions!$B$137*N7/12,0)</f>
        <v>12.073772879479909</v>
      </c>
      <c r="O142" s="45">
        <f>IF(O2&gt;=Assumptions!$B$49,(O111+O113*Assumptions!$B$138)*Assumptions!$B$137*O7/12,0)</f>
        <v>15.276711114152434</v>
      </c>
      <c r="P142" s="45">
        <f>IF(P2&gt;=Assumptions!$B$49,(P111+P113*Assumptions!$B$138)*Assumptions!$B$137*P7/12,0)</f>
        <v>18.464054865211711</v>
      </c>
      <c r="Q142" s="45">
        <f>IF(Q2&gt;=Assumptions!$B$49,(Q111+Q113*Assumptions!$B$138)*Assumptions!$B$137*Q7/12,0)</f>
        <v>21.648283479331127</v>
      </c>
      <c r="R142" s="45">
        <f>IF(R2&gt;=Assumptions!$B$49,(R111+R113*Assumptions!$B$138)*Assumptions!$B$137*R7/12,0)</f>
        <v>25.654108968449389</v>
      </c>
      <c r="S142" s="45">
        <f>IF(S2&gt;=Assumptions!$B$49,(S111+S113*Assumptions!$B$138)*Assumptions!$B$137*S7/12,0)</f>
        <v>29.464146850240581</v>
      </c>
      <c r="T142" s="45">
        <f>IF(T2&gt;=Assumptions!$B$49,(T111+T113*Assumptions!$B$138)*Assumptions!$B$137*T7/12,0)</f>
        <v>32.88074801904704</v>
      </c>
      <c r="U142" s="45">
        <f>IF(U2&gt;=Assumptions!$B$49,(U111+U113*Assumptions!$B$138)*Assumptions!$B$137*U7/12,0)</f>
        <v>36.28428437971332</v>
      </c>
      <c r="V142" s="45">
        <f>IF(V2&gt;=Assumptions!$B$49,(V111+V113*Assumptions!$B$138)*Assumptions!$B$137*V7/12,0)</f>
        <v>39.763340371187191</v>
      </c>
      <c r="W142" s="45">
        <f>IF(W2&gt;=Assumptions!$B$49,(W111+W113*Assumptions!$B$138)*Assumptions!$B$137*W7/12,0)</f>
        <v>43.580865468272947</v>
      </c>
      <c r="X142" s="45">
        <f>IF(X2&gt;=Assumptions!$B$49,(X111+X113*Assumptions!$B$138)*Assumptions!$B$137*X7/12,0)</f>
        <v>48.559100347330535</v>
      </c>
      <c r="Y142" s="45">
        <f>IF(Y2&gt;=Assumptions!$B$49,(Y111+Y113*Assumptions!$B$138)*Assumptions!$B$137*Y7/12,0)</f>
        <v>53.34690440005641</v>
      </c>
      <c r="Z142" s="45">
        <f>IF(Z2&gt;=Assumptions!$B$49,(Z111+Z113*Assumptions!$B$138)*Assumptions!$B$137*Z7/12,0)</f>
        <v>57.771110386107274</v>
      </c>
      <c r="AA142" s="45">
        <f>IF(AA2&gt;=Assumptions!$B$49,(AA111+AA113*Assumptions!$B$138)*Assumptions!$B$137*AA7/12,0)</f>
        <v>1604.3645169985664</v>
      </c>
      <c r="AB142" s="45">
        <f>IF(AB2&gt;=Assumptions!$B$49,(AB111+AB113*Assumptions!$B$138)*Assumptions!$B$137*AB7/12,0)</f>
        <v>2980.5252555998468</v>
      </c>
      <c r="AC142" s="45">
        <f>IF(AC2&gt;=Assumptions!$B$49,(AC111+AC113*Assumptions!$B$138)*Assumptions!$B$137*AC7/12,0)</f>
        <v>4787.4717243713376</v>
      </c>
      <c r="AD142" s="45">
        <f>IF(AD2&gt;=Assumptions!$B$49,(AD111+AD113*Assumptions!$B$138)*Assumptions!$B$137*AD7/12,0)</f>
        <v>6760.332084604669</v>
      </c>
      <c r="AE142" s="45">
        <f>IF(AE2&gt;=Assumptions!$B$49,(AE111+AE113*Assumptions!$B$138)*Assumptions!$B$137*AE7/12,0)</f>
        <v>8534.0130681462815</v>
      </c>
    </row>
    <row r="143" spans="1:31" x14ac:dyDescent="0.25">
      <c r="A143" s="3" t="s">
        <v>503</v>
      </c>
      <c r="B143" s="23" t="s">
        <v>114</v>
      </c>
      <c r="C143" s="57">
        <f t="shared" ref="C143:AE143" si="32">C134+C135+C136+C138+C139+C141</f>
        <v>278.69213595811721</v>
      </c>
      <c r="D143" s="57">
        <f t="shared" si="32"/>
        <v>529.66481535207117</v>
      </c>
      <c r="E143" s="57">
        <f t="shared" si="32"/>
        <v>757.07451531261995</v>
      </c>
      <c r="F143" s="57">
        <f t="shared" si="32"/>
        <v>1036.3080436689663</v>
      </c>
      <c r="G143" s="57">
        <f t="shared" si="32"/>
        <v>1271.2773050750175</v>
      </c>
      <c r="H143" s="57">
        <f t="shared" si="32"/>
        <v>1450.5745555303545</v>
      </c>
      <c r="I143" s="57">
        <f t="shared" si="32"/>
        <v>1718.6282998130328</v>
      </c>
      <c r="J143" s="57">
        <f t="shared" si="32"/>
        <v>1970.8591594573666</v>
      </c>
      <c r="K143" s="57">
        <f t="shared" si="32"/>
        <v>2239.9963330689775</v>
      </c>
      <c r="L143" s="57">
        <f t="shared" si="32"/>
        <v>2620.2683438028243</v>
      </c>
      <c r="M143" s="57">
        <f t="shared" si="32"/>
        <v>2938.5611074959129</v>
      </c>
      <c r="N143" s="57">
        <f t="shared" si="32"/>
        <v>3182.7683712240464</v>
      </c>
      <c r="O143" s="57">
        <f t="shared" si="32"/>
        <v>4626.5749232419375</v>
      </c>
      <c r="P143" s="57">
        <f t="shared" si="32"/>
        <v>5731.2813466500229</v>
      </c>
      <c r="Q143" s="57">
        <f t="shared" si="32"/>
        <v>6744.3533413476462</v>
      </c>
      <c r="R143" s="57">
        <f t="shared" si="32"/>
        <v>8044.7847601641761</v>
      </c>
      <c r="S143" s="57">
        <f t="shared" si="32"/>
        <v>9156.3286285978647</v>
      </c>
      <c r="T143" s="57">
        <f t="shared" si="32"/>
        <v>10021.97129972015</v>
      </c>
      <c r="U143" s="57">
        <f t="shared" si="32"/>
        <v>10805.407757955427</v>
      </c>
      <c r="V143" s="57">
        <f t="shared" si="32"/>
        <v>11553.662154916257</v>
      </c>
      <c r="W143" s="57">
        <f t="shared" si="32"/>
        <v>12519.146510083347</v>
      </c>
      <c r="X143" s="57">
        <f t="shared" si="32"/>
        <v>13938.883910086312</v>
      </c>
      <c r="Y143" s="57">
        <f t="shared" si="32"/>
        <v>15160.696609153558</v>
      </c>
      <c r="Z143" s="57">
        <f t="shared" si="32"/>
        <v>16174.250745335847</v>
      </c>
      <c r="AA143" s="57">
        <f t="shared" si="32"/>
        <v>398953.42742147279</v>
      </c>
      <c r="AB143" s="57">
        <f t="shared" si="32"/>
        <v>640222.66662202659</v>
      </c>
      <c r="AC143" s="57">
        <f t="shared" si="32"/>
        <v>898034.51102731284</v>
      </c>
      <c r="AD143" s="57">
        <f t="shared" si="32"/>
        <v>1079179.5286424451</v>
      </c>
      <c r="AE143" s="57">
        <f t="shared" si="32"/>
        <v>1112184.8960470525</v>
      </c>
    </row>
    <row r="145" spans="1:31" x14ac:dyDescent="0.25">
      <c r="A145" s="46" t="s">
        <v>504</v>
      </c>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row>
    <row r="146" spans="1:31" x14ac:dyDescent="0.25">
      <c r="A146" s="6" t="s">
        <v>505</v>
      </c>
      <c r="B146" s="23" t="s">
        <v>114</v>
      </c>
      <c r="C146" s="58">
        <f>IF(C2&gt;=Assumptions!$B$54,INDEX(Assumptions!$B$163:$B$169,C5)*Assumptions!$B$174,0)</f>
        <v>0</v>
      </c>
      <c r="D146" s="58">
        <f>IF(D2&gt;=Assumptions!$B$54,INDEX(Assumptions!$B$163:$B$169,D5)*Assumptions!$B$174,0)</f>
        <v>0</v>
      </c>
      <c r="E146" s="58">
        <f>IF(E2&gt;=Assumptions!$B$54,INDEX(Assumptions!$B$163:$B$169,E5)*Assumptions!$B$174,0)</f>
        <v>0</v>
      </c>
      <c r="F146" s="58">
        <f>IF(F2&gt;=Assumptions!$B$54,INDEX(Assumptions!$B$163:$B$169,F5)*Assumptions!$B$174,0)</f>
        <v>0</v>
      </c>
      <c r="G146" s="58">
        <f>IF(G2&gt;=Assumptions!$B$54,INDEX(Assumptions!$B$163:$B$169,G5)*Assumptions!$B$174,0)</f>
        <v>0</v>
      </c>
      <c r="H146" s="58">
        <f>IF(H2&gt;=Assumptions!$B$54,INDEX(Assumptions!$B$163:$B$169,H5)*Assumptions!$B$174,0)</f>
        <v>0</v>
      </c>
      <c r="I146" s="58">
        <f>IF(I2&gt;=Assumptions!$B$54,INDEX(Assumptions!$B$163:$B$169,I5)*Assumptions!$B$174,0)</f>
        <v>0</v>
      </c>
      <c r="J146" s="58">
        <f>IF(J2&gt;=Assumptions!$B$54,INDEX(Assumptions!$B$163:$B$169,J5)*Assumptions!$B$174,0)</f>
        <v>0</v>
      </c>
      <c r="K146" s="58">
        <f>IF(K2&gt;=Assumptions!$B$54,INDEX(Assumptions!$B$163:$B$169,K5)*Assumptions!$B$174,0)</f>
        <v>0</v>
      </c>
      <c r="L146" s="58">
        <f>IF(L2&gt;=Assumptions!$B$54,INDEX(Assumptions!$B$163:$B$169,L5)*Assumptions!$B$174,0)</f>
        <v>0</v>
      </c>
      <c r="M146" s="58">
        <f>IF(M2&gt;=Assumptions!$B$54,INDEX(Assumptions!$B$163:$B$169,M5)*Assumptions!$B$174,0)</f>
        <v>0</v>
      </c>
      <c r="N146" s="58">
        <f>IF(N2&gt;=Assumptions!$B$54,INDEX(Assumptions!$B$163:$B$169,N5)*Assumptions!$B$174,0)</f>
        <v>0</v>
      </c>
      <c r="O146" s="58">
        <f>IF(O2&gt;=Assumptions!$B$54,INDEX(Assumptions!$B$163:$B$169,O5)*Assumptions!$B$174,0)</f>
        <v>18900000</v>
      </c>
      <c r="P146" s="58">
        <f>IF(P2&gt;=Assumptions!$B$54,INDEX(Assumptions!$B$163:$B$169,P5)*Assumptions!$B$174,0)</f>
        <v>18900000</v>
      </c>
      <c r="Q146" s="58">
        <f>IF(Q2&gt;=Assumptions!$B$54,INDEX(Assumptions!$B$163:$B$169,Q5)*Assumptions!$B$174,0)</f>
        <v>18900000</v>
      </c>
      <c r="R146" s="58">
        <f>IF(R2&gt;=Assumptions!$B$54,INDEX(Assumptions!$B$163:$B$169,R5)*Assumptions!$B$174,0)</f>
        <v>18900000</v>
      </c>
      <c r="S146" s="58">
        <f>IF(S2&gt;=Assumptions!$B$54,INDEX(Assumptions!$B$163:$B$169,S5)*Assumptions!$B$174,0)</f>
        <v>18900000</v>
      </c>
      <c r="T146" s="58">
        <f>IF(T2&gt;=Assumptions!$B$54,INDEX(Assumptions!$B$163:$B$169,T5)*Assumptions!$B$174,0)</f>
        <v>18900000</v>
      </c>
      <c r="U146" s="58">
        <f>IF(U2&gt;=Assumptions!$B$54,INDEX(Assumptions!$B$163:$B$169,U5)*Assumptions!$B$174,0)</f>
        <v>18900000</v>
      </c>
      <c r="V146" s="58">
        <f>IF(V2&gt;=Assumptions!$B$54,INDEX(Assumptions!$B$163:$B$169,V5)*Assumptions!$B$174,0)</f>
        <v>18900000</v>
      </c>
      <c r="W146" s="58">
        <f>IF(W2&gt;=Assumptions!$B$54,INDEX(Assumptions!$B$163:$B$169,W5)*Assumptions!$B$174,0)</f>
        <v>18900000</v>
      </c>
      <c r="X146" s="58">
        <f>IF(X2&gt;=Assumptions!$B$54,INDEX(Assumptions!$B$163:$B$169,X5)*Assumptions!$B$174,0)</f>
        <v>18900000</v>
      </c>
      <c r="Y146" s="58">
        <f>IF(Y2&gt;=Assumptions!$B$54,INDEX(Assumptions!$B$163:$B$169,Y5)*Assumptions!$B$174,0)</f>
        <v>18900000</v>
      </c>
      <c r="Z146" s="58">
        <f>IF(Z2&gt;=Assumptions!$B$54,INDEX(Assumptions!$B$163:$B$169,Z5)*Assumptions!$B$174,0)</f>
        <v>18900000</v>
      </c>
      <c r="AA146" s="58">
        <f>IF(AA2&gt;=Assumptions!$B$54,INDEX(Assumptions!$B$163:$B$169,AA5)*Assumptions!$B$174,0)</f>
        <v>56700000</v>
      </c>
      <c r="AB146" s="58">
        <f>IF(AB2&gt;=Assumptions!$B$54,INDEX(Assumptions!$B$163:$B$169,AB5)*Assumptions!$B$174,0)</f>
        <v>94500000</v>
      </c>
      <c r="AC146" s="58">
        <f>IF(AC2&gt;=Assumptions!$B$54,INDEX(Assumptions!$B$163:$B$169,AC5)*Assumptions!$B$174,0)</f>
        <v>132300000</v>
      </c>
      <c r="AD146" s="58">
        <f>IF(AD2&gt;=Assumptions!$B$54,INDEX(Assumptions!$B$163:$B$169,AD5)*Assumptions!$B$174,0)</f>
        <v>170100000</v>
      </c>
      <c r="AE146" s="58">
        <f>IF(AE2&gt;=Assumptions!$B$54,INDEX(Assumptions!$B$163:$B$169,AE5)*Assumptions!$B$174,0)</f>
        <v>207900000</v>
      </c>
    </row>
    <row r="147" spans="1:31" x14ac:dyDescent="0.25">
      <c r="A147" s="6" t="s">
        <v>132</v>
      </c>
      <c r="B147" s="23" t="s">
        <v>114</v>
      </c>
      <c r="C147" s="57">
        <f>C146*Assumptions!$B$170*C7/12</f>
        <v>0</v>
      </c>
      <c r="D147" s="57">
        <f>D146*Assumptions!$B$170*D7/12</f>
        <v>0</v>
      </c>
      <c r="E147" s="57">
        <f>E146*Assumptions!$B$170*E7/12</f>
        <v>0</v>
      </c>
      <c r="F147" s="57">
        <f>F146*Assumptions!$B$170*F7/12</f>
        <v>0</v>
      </c>
      <c r="G147" s="57">
        <f>G146*Assumptions!$B$170*G7/12</f>
        <v>0</v>
      </c>
      <c r="H147" s="57">
        <f>H146*Assumptions!$B$170*H7/12</f>
        <v>0</v>
      </c>
      <c r="I147" s="57">
        <f>I146*Assumptions!$B$170*I7/12</f>
        <v>0</v>
      </c>
      <c r="J147" s="57">
        <f>J146*Assumptions!$B$170*J7/12</f>
        <v>0</v>
      </c>
      <c r="K147" s="57">
        <f>K146*Assumptions!$B$170*K7/12</f>
        <v>0</v>
      </c>
      <c r="L147" s="57">
        <f>L146*Assumptions!$B$170*L7/12</f>
        <v>0</v>
      </c>
      <c r="M147" s="57">
        <f>M146*Assumptions!$B$170*M7/12</f>
        <v>0</v>
      </c>
      <c r="N147" s="57">
        <f>N146*Assumptions!$B$170*N7/12</f>
        <v>0</v>
      </c>
      <c r="O147" s="57">
        <f>O146*Assumptions!$B$170*O7/12</f>
        <v>11812.5</v>
      </c>
      <c r="P147" s="57">
        <f>P146*Assumptions!$B$170*P7/12</f>
        <v>11812.5</v>
      </c>
      <c r="Q147" s="57">
        <f>Q146*Assumptions!$B$170*Q7/12</f>
        <v>11812.5</v>
      </c>
      <c r="R147" s="57">
        <f>R146*Assumptions!$B$170*R7/12</f>
        <v>11812.5</v>
      </c>
      <c r="S147" s="57">
        <f>S146*Assumptions!$B$170*S7/12</f>
        <v>11812.5</v>
      </c>
      <c r="T147" s="57">
        <f>T146*Assumptions!$B$170*T7/12</f>
        <v>11812.5</v>
      </c>
      <c r="U147" s="57">
        <f>U146*Assumptions!$B$170*U7/12</f>
        <v>11812.5</v>
      </c>
      <c r="V147" s="57">
        <f>V146*Assumptions!$B$170*V7/12</f>
        <v>11812.5</v>
      </c>
      <c r="W147" s="57">
        <f>W146*Assumptions!$B$170*W7/12</f>
        <v>11812.5</v>
      </c>
      <c r="X147" s="57">
        <f>X146*Assumptions!$B$170*X7/12</f>
        <v>11812.5</v>
      </c>
      <c r="Y147" s="57">
        <f>Y146*Assumptions!$B$170*Y7/12</f>
        <v>11812.5</v>
      </c>
      <c r="Z147" s="57">
        <f>Z146*Assumptions!$B$170*Z7/12</f>
        <v>11812.5</v>
      </c>
      <c r="AA147" s="57">
        <f>AA146*Assumptions!$B$170*AA7/12</f>
        <v>425250</v>
      </c>
      <c r="AB147" s="57">
        <f>AB146*Assumptions!$B$170*AB7/12</f>
        <v>708750</v>
      </c>
      <c r="AC147" s="57">
        <f>AC146*Assumptions!$B$170*AC7/12</f>
        <v>992250</v>
      </c>
      <c r="AD147" s="57">
        <f>AD146*Assumptions!$B$170*AD7/12</f>
        <v>1275750</v>
      </c>
      <c r="AE147" s="57">
        <f>AE146*Assumptions!$B$170*AE7/12</f>
        <v>1559250</v>
      </c>
    </row>
    <row r="148" spans="1:31" x14ac:dyDescent="0.25">
      <c r="A148" s="9" t="s">
        <v>506</v>
      </c>
    </row>
    <row r="150" spans="1:31" x14ac:dyDescent="0.25">
      <c r="A150" s="46" t="s">
        <v>507</v>
      </c>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row>
    <row r="151" spans="1:31" x14ac:dyDescent="0.25">
      <c r="A151" s="3" t="s">
        <v>508</v>
      </c>
      <c r="B151" s="23" t="s">
        <v>207</v>
      </c>
      <c r="C151" s="45">
        <f t="shared" ref="C151:AE151" si="33">C31+C71+C111</f>
        <v>251.48027793557378</v>
      </c>
      <c r="D151" s="45">
        <f t="shared" si="33"/>
        <v>478.01183148471375</v>
      </c>
      <c r="E151" s="45">
        <f t="shared" si="33"/>
        <v>683.33366776470757</v>
      </c>
      <c r="F151" s="45">
        <f t="shared" si="33"/>
        <v>935.51322114747688</v>
      </c>
      <c r="G151" s="45">
        <f t="shared" si="33"/>
        <v>1147.7979897555574</v>
      </c>
      <c r="H151" s="45">
        <f t="shared" si="33"/>
        <v>1309.8515220535837</v>
      </c>
      <c r="I151" s="45">
        <f t="shared" si="33"/>
        <v>1456.3905152453826</v>
      </c>
      <c r="J151" s="45">
        <f t="shared" si="33"/>
        <v>1595.6026546293581</v>
      </c>
      <c r="K151" s="45">
        <f t="shared" si="33"/>
        <v>1747.5888497045885</v>
      </c>
      <c r="L151" s="45">
        <f t="shared" si="33"/>
        <v>1970.8376494974195</v>
      </c>
      <c r="M151" s="45">
        <f t="shared" si="33"/>
        <v>2158.1754844568468</v>
      </c>
      <c r="N151" s="45">
        <f t="shared" si="33"/>
        <v>2301.6140137848629</v>
      </c>
      <c r="O151" s="45">
        <f t="shared" si="33"/>
        <v>3092.5237352698623</v>
      </c>
      <c r="P151" s="45">
        <f t="shared" si="33"/>
        <v>3819.7046822575539</v>
      </c>
      <c r="Q151" s="45">
        <f t="shared" si="33"/>
        <v>4491.770236117296</v>
      </c>
      <c r="R151" s="45">
        <f t="shared" si="33"/>
        <v>5364.6242005030144</v>
      </c>
      <c r="S151" s="45">
        <f t="shared" si="33"/>
        <v>6112.9135642934634</v>
      </c>
      <c r="T151" s="45">
        <f t="shared" si="33"/>
        <v>6685.3024335793907</v>
      </c>
      <c r="U151" s="45">
        <f t="shared" si="33"/>
        <v>7211.3809950339355</v>
      </c>
      <c r="V151" s="45">
        <f t="shared" si="33"/>
        <v>7721.8639711205597</v>
      </c>
      <c r="W151" s="45">
        <f t="shared" si="33"/>
        <v>8298.920527676617</v>
      </c>
      <c r="X151" s="45">
        <f t="shared" si="33"/>
        <v>9191.3039601282326</v>
      </c>
      <c r="Y151" s="45">
        <f t="shared" si="33"/>
        <v>9959.5966052139956</v>
      </c>
      <c r="Z151" s="45">
        <f t="shared" si="33"/>
        <v>10559.305097205459</v>
      </c>
      <c r="AA151" s="45">
        <f t="shared" si="33"/>
        <v>20156.809349920877</v>
      </c>
      <c r="AB151" s="45">
        <f t="shared" si="33"/>
        <v>32759.332103915895</v>
      </c>
      <c r="AC151" s="45">
        <f t="shared" si="33"/>
        <v>46976.650386353271</v>
      </c>
      <c r="AD151" s="45">
        <f t="shared" si="33"/>
        <v>58177.402663192806</v>
      </c>
      <c r="AE151" s="45">
        <f t="shared" si="33"/>
        <v>62599.112498199662</v>
      </c>
    </row>
    <row r="152" spans="1:31" x14ac:dyDescent="0.25">
      <c r="A152" s="3" t="s">
        <v>509</v>
      </c>
      <c r="B152" s="23" t="s">
        <v>207</v>
      </c>
      <c r="C152" s="45">
        <f t="shared" ref="C152:AE152" si="34">C33+C73+C113</f>
        <v>6.3430161820733133</v>
      </c>
      <c r="D152" s="45">
        <f t="shared" si="34"/>
        <v>24.586738031039374</v>
      </c>
      <c r="E152" s="45">
        <f t="shared" si="34"/>
        <v>53.582405711419597</v>
      </c>
      <c r="F152" s="45">
        <f t="shared" si="34"/>
        <v>93.990092845140339</v>
      </c>
      <c r="G152" s="45">
        <f t="shared" si="34"/>
        <v>145.95634670737809</v>
      </c>
      <c r="H152" s="45">
        <f t="shared" si="34"/>
        <v>207.23270013501644</v>
      </c>
      <c r="I152" s="45">
        <f t="shared" si="34"/>
        <v>276.19203615017301</v>
      </c>
      <c r="J152" s="45">
        <f t="shared" si="34"/>
        <v>352.26786003457454</v>
      </c>
      <c r="K152" s="45">
        <f t="shared" si="34"/>
        <v>435.60211158788752</v>
      </c>
      <c r="L152" s="45">
        <f t="shared" si="34"/>
        <v>528.30649707832583</v>
      </c>
      <c r="M152" s="45">
        <f t="shared" si="34"/>
        <v>631.22846009013119</v>
      </c>
      <c r="N152" s="45">
        <f t="shared" si="34"/>
        <v>742.37725263548418</v>
      </c>
      <c r="O152" s="45">
        <f t="shared" si="34"/>
        <v>877.0038393288562</v>
      </c>
      <c r="P152" s="45">
        <f t="shared" si="34"/>
        <v>1049.4300128067568</v>
      </c>
      <c r="Q152" s="45">
        <f t="shared" si="34"/>
        <v>1256.6977459888074</v>
      </c>
      <c r="R152" s="45">
        <f t="shared" si="34"/>
        <v>1502.5155093146668</v>
      </c>
      <c r="S152" s="45">
        <f t="shared" si="34"/>
        <v>1788.6812784345</v>
      </c>
      <c r="T152" s="45">
        <f t="shared" si="34"/>
        <v>2107.6938034919249</v>
      </c>
      <c r="U152" s="45">
        <f t="shared" si="34"/>
        <v>2454.0574762700603</v>
      </c>
      <c r="V152" s="45">
        <f t="shared" si="34"/>
        <v>2826.2395989888109</v>
      </c>
      <c r="W152" s="45">
        <f t="shared" si="34"/>
        <v>3225.5356528431362</v>
      </c>
      <c r="X152" s="45">
        <f t="shared" si="34"/>
        <v>3661.5368942551104</v>
      </c>
      <c r="Y152" s="45">
        <f t="shared" si="34"/>
        <v>4138.8711461595321</v>
      </c>
      <c r="Z152" s="45">
        <f t="shared" si="34"/>
        <v>4650.2333535579928</v>
      </c>
      <c r="AA152" s="45">
        <f t="shared" si="34"/>
        <v>14401.175035003804</v>
      </c>
      <c r="AB152" s="45">
        <f t="shared" si="34"/>
        <v>31022.636778148422</v>
      </c>
      <c r="AC152" s="45">
        <f t="shared" si="34"/>
        <v>55853.650035904866</v>
      </c>
      <c r="AD152" s="45">
        <f t="shared" si="34"/>
        <v>88260.475154642307</v>
      </c>
      <c r="AE152" s="45">
        <f t="shared" si="34"/>
        <v>125101.87483145733</v>
      </c>
    </row>
    <row r="153" spans="1:31" x14ac:dyDescent="0.25">
      <c r="A153" s="6" t="s">
        <v>510</v>
      </c>
      <c r="B153" s="23" t="s">
        <v>207</v>
      </c>
      <c r="C153" s="45">
        <f t="shared" ref="C153:AE153" si="35">C34+C74+C114</f>
        <v>257.82329411764709</v>
      </c>
      <c r="D153" s="45">
        <f t="shared" si="35"/>
        <v>502.59856951575313</v>
      </c>
      <c r="E153" s="45">
        <f t="shared" si="35"/>
        <v>736.91607347612717</v>
      </c>
      <c r="F153" s="45">
        <f t="shared" si="35"/>
        <v>1029.5033139926172</v>
      </c>
      <c r="G153" s="45">
        <f t="shared" si="35"/>
        <v>1293.7543364629353</v>
      </c>
      <c r="H153" s="45">
        <f t="shared" si="35"/>
        <v>1517.0842221886001</v>
      </c>
      <c r="I153" s="45">
        <f t="shared" si="35"/>
        <v>1732.5825513955556</v>
      </c>
      <c r="J153" s="45">
        <f t="shared" si="35"/>
        <v>1947.8705146639325</v>
      </c>
      <c r="K153" s="45">
        <f t="shared" si="35"/>
        <v>2183.1909612924755</v>
      </c>
      <c r="L153" s="45">
        <f t="shared" si="35"/>
        <v>2499.1441465757453</v>
      </c>
      <c r="M153" s="45">
        <f t="shared" si="35"/>
        <v>2789.4039445469775</v>
      </c>
      <c r="N153" s="45">
        <f t="shared" si="35"/>
        <v>3043.9912664203471</v>
      </c>
      <c r="O153" s="45">
        <f t="shared" si="35"/>
        <v>3969.5275745987192</v>
      </c>
      <c r="P153" s="45">
        <f t="shared" si="35"/>
        <v>4869.134695064311</v>
      </c>
      <c r="Q153" s="45">
        <f t="shared" si="35"/>
        <v>5748.4679821061036</v>
      </c>
      <c r="R153" s="45">
        <f t="shared" si="35"/>
        <v>6867.1397098176822</v>
      </c>
      <c r="S153" s="45">
        <f t="shared" si="35"/>
        <v>7901.5948427279636</v>
      </c>
      <c r="T153" s="45">
        <f t="shared" si="35"/>
        <v>8792.9962370713147</v>
      </c>
      <c r="U153" s="45">
        <f t="shared" si="35"/>
        <v>9665.4384713039944</v>
      </c>
      <c r="V153" s="45">
        <f t="shared" si="35"/>
        <v>10548.103570109372</v>
      </c>
      <c r="W153" s="45">
        <f t="shared" si="35"/>
        <v>11524.456180519752</v>
      </c>
      <c r="X153" s="45">
        <f t="shared" si="35"/>
        <v>12852.840854383343</v>
      </c>
      <c r="Y153" s="45">
        <f t="shared" si="35"/>
        <v>14098.467751373528</v>
      </c>
      <c r="Z153" s="45">
        <f t="shared" si="35"/>
        <v>15209.538450763452</v>
      </c>
      <c r="AA153" s="45">
        <f t="shared" si="35"/>
        <v>34557.984384924683</v>
      </c>
      <c r="AB153" s="45">
        <f t="shared" si="35"/>
        <v>63781.96888206432</v>
      </c>
      <c r="AC153" s="45">
        <f t="shared" si="35"/>
        <v>102830.30042225814</v>
      </c>
      <c r="AD153" s="45">
        <f t="shared" si="35"/>
        <v>146437.87781783513</v>
      </c>
      <c r="AE153" s="45">
        <f t="shared" si="35"/>
        <v>187700.98732965701</v>
      </c>
    </row>
    <row r="154" spans="1:31" x14ac:dyDescent="0.25">
      <c r="A154" s="3" t="s">
        <v>511</v>
      </c>
      <c r="B154" s="23" t="s">
        <v>207</v>
      </c>
      <c r="C154" s="45">
        <f t="shared" ref="C154:AE154" si="36">C30+C70+C110</f>
        <v>257.82329411764709</v>
      </c>
      <c r="D154" s="45">
        <f t="shared" si="36"/>
        <v>244.77527539810606</v>
      </c>
      <c r="E154" s="45">
        <f t="shared" si="36"/>
        <v>234.31750396037398</v>
      </c>
      <c r="F154" s="45">
        <f t="shared" si="36"/>
        <v>292.58724051649017</v>
      </c>
      <c r="G154" s="45">
        <f t="shared" si="36"/>
        <v>264.25102247031811</v>
      </c>
      <c r="H154" s="45">
        <f t="shared" si="36"/>
        <v>223.32988572566464</v>
      </c>
      <c r="I154" s="45">
        <f t="shared" si="36"/>
        <v>215.49832920695556</v>
      </c>
      <c r="J154" s="45">
        <f t="shared" si="36"/>
        <v>215.28796326837687</v>
      </c>
      <c r="K154" s="45">
        <f t="shared" si="36"/>
        <v>235.32044662854332</v>
      </c>
      <c r="L154" s="45">
        <f t="shared" si="36"/>
        <v>315.95318528326959</v>
      </c>
      <c r="M154" s="45">
        <f t="shared" si="36"/>
        <v>290.25979797123222</v>
      </c>
      <c r="N154" s="45">
        <f t="shared" si="36"/>
        <v>254.58732187336932</v>
      </c>
      <c r="O154" s="45">
        <f t="shared" si="36"/>
        <v>925.53630817837177</v>
      </c>
      <c r="P154" s="45">
        <f t="shared" si="36"/>
        <v>899.60712046559217</v>
      </c>
      <c r="Q154" s="45">
        <f t="shared" si="36"/>
        <v>879.33328704179235</v>
      </c>
      <c r="R154" s="45">
        <f t="shared" si="36"/>
        <v>1118.6717277115777</v>
      </c>
      <c r="S154" s="45">
        <f t="shared" si="36"/>
        <v>1034.4551329102819</v>
      </c>
      <c r="T154" s="45">
        <f t="shared" si="36"/>
        <v>891.40139434335219</v>
      </c>
      <c r="U154" s="45">
        <f t="shared" si="36"/>
        <v>872.44223423267999</v>
      </c>
      <c r="V154" s="45">
        <f t="shared" si="36"/>
        <v>882.66509880537546</v>
      </c>
      <c r="W154" s="45">
        <f t="shared" si="36"/>
        <v>976.35261041038143</v>
      </c>
      <c r="X154" s="45">
        <f t="shared" si="36"/>
        <v>1328.3846738635907</v>
      </c>
      <c r="Y154" s="45">
        <f t="shared" si="36"/>
        <v>1245.6268969901846</v>
      </c>
      <c r="Z154" s="45">
        <f t="shared" si="36"/>
        <v>1111.0706993899239</v>
      </c>
      <c r="AA154" s="45">
        <f t="shared" si="36"/>
        <v>19348.445934161227</v>
      </c>
      <c r="AB154" s="45">
        <f t="shared" si="36"/>
        <v>29223.984497139638</v>
      </c>
      <c r="AC154" s="45">
        <f t="shared" si="36"/>
        <v>39048.331540193816</v>
      </c>
      <c r="AD154" s="45">
        <f t="shared" si="36"/>
        <v>43607.577395576976</v>
      </c>
      <c r="AE154" s="45">
        <f t="shared" si="36"/>
        <v>41263.10951182188</v>
      </c>
    </row>
    <row r="155" spans="1:31" x14ac:dyDescent="0.25">
      <c r="A155" s="3" t="s">
        <v>512</v>
      </c>
      <c r="B155" s="23" t="s">
        <v>207</v>
      </c>
      <c r="C155" s="45">
        <f t="shared" ref="C155:AE155" si="37">C45+C85+C125</f>
        <v>0</v>
      </c>
      <c r="D155" s="45">
        <f t="shared" si="37"/>
        <v>0</v>
      </c>
      <c r="E155" s="45">
        <f t="shared" si="37"/>
        <v>0</v>
      </c>
      <c r="F155" s="45">
        <f t="shared" si="37"/>
        <v>0</v>
      </c>
      <c r="G155" s="45">
        <f t="shared" si="37"/>
        <v>0</v>
      </c>
      <c r="H155" s="45">
        <f t="shared" si="37"/>
        <v>0</v>
      </c>
      <c r="I155" s="45">
        <f t="shared" si="37"/>
        <v>0</v>
      </c>
      <c r="J155" s="45">
        <f t="shared" si="37"/>
        <v>0</v>
      </c>
      <c r="K155" s="45">
        <f t="shared" si="37"/>
        <v>0</v>
      </c>
      <c r="L155" s="45">
        <f t="shared" si="37"/>
        <v>0</v>
      </c>
      <c r="M155" s="45">
        <f t="shared" si="37"/>
        <v>0</v>
      </c>
      <c r="N155" s="45">
        <f t="shared" si="37"/>
        <v>0</v>
      </c>
      <c r="O155" s="45">
        <f t="shared" si="37"/>
        <v>128.08167930983061</v>
      </c>
      <c r="P155" s="45">
        <f t="shared" si="37"/>
        <v>150.19133799667142</v>
      </c>
      <c r="Q155" s="45">
        <f t="shared" si="37"/>
        <v>171.52567258816003</v>
      </c>
      <c r="R155" s="45">
        <f t="shared" si="37"/>
        <v>192.83918095172933</v>
      </c>
      <c r="S155" s="45">
        <f t="shared" si="37"/>
        <v>216.13590516795514</v>
      </c>
      <c r="T155" s="45">
        <f t="shared" si="37"/>
        <v>247.41527051099885</v>
      </c>
      <c r="U155" s="45">
        <f t="shared" si="37"/>
        <v>276.15099051015079</v>
      </c>
      <c r="V155" s="45">
        <f t="shared" si="37"/>
        <v>301.3551353756144</v>
      </c>
      <c r="W155" s="45">
        <f t="shared" si="37"/>
        <v>392.98322988527309</v>
      </c>
      <c r="X155" s="45">
        <f t="shared" si="37"/>
        <v>482.04433481136675</v>
      </c>
      <c r="Y155" s="45">
        <f t="shared" si="37"/>
        <v>569.09833022850421</v>
      </c>
      <c r="Z155" s="45">
        <f t="shared" si="37"/>
        <v>679.84683127195046</v>
      </c>
      <c r="AA155" s="45">
        <f t="shared" si="37"/>
        <v>3421.2404541075434</v>
      </c>
      <c r="AB155" s="45">
        <f t="shared" si="37"/>
        <v>6314.4149193243684</v>
      </c>
      <c r="AC155" s="45">
        <f t="shared" si="37"/>
        <v>10180.199741803557</v>
      </c>
      <c r="AD155" s="45">
        <f t="shared" si="37"/>
        <v>14497.349903965678</v>
      </c>
      <c r="AE155" s="45">
        <f t="shared" si="37"/>
        <v>18582.397745636044</v>
      </c>
    </row>
    <row r="156" spans="1:31" x14ac:dyDescent="0.25">
      <c r="A156" s="6" t="s">
        <v>513</v>
      </c>
      <c r="B156" s="23" t="s">
        <v>207</v>
      </c>
      <c r="C156" s="45">
        <f t="shared" ref="C156:AE156" si="38">C40+C80+C120</f>
        <v>55.692988456314815</v>
      </c>
      <c r="D156" s="45">
        <f t="shared" si="38"/>
        <v>160.99012717687896</v>
      </c>
      <c r="E156" s="45">
        <f t="shared" si="38"/>
        <v>310.6806537411303</v>
      </c>
      <c r="F156" s="45">
        <f t="shared" si="38"/>
        <v>514.67683520511991</v>
      </c>
      <c r="G156" s="45">
        <f t="shared" si="38"/>
        <v>763.56242086289558</v>
      </c>
      <c r="H156" s="45">
        <f t="shared" si="38"/>
        <v>1045.7147685940065</v>
      </c>
      <c r="I156" s="45">
        <f t="shared" si="38"/>
        <v>1357.3174616774127</v>
      </c>
      <c r="J156" s="45">
        <f t="shared" si="38"/>
        <v>1696.4050058808461</v>
      </c>
      <c r="K156" s="45">
        <f t="shared" si="38"/>
        <v>2065.4903871117385</v>
      </c>
      <c r="L156" s="45">
        <f t="shared" si="38"/>
        <v>2480.0448863895317</v>
      </c>
      <c r="M156" s="45">
        <f t="shared" si="38"/>
        <v>2931.581826800757</v>
      </c>
      <c r="N156" s="45">
        <f t="shared" si="38"/>
        <v>3409.9209587135615</v>
      </c>
      <c r="O156" s="45">
        <f t="shared" si="38"/>
        <v>4004.9731353678972</v>
      </c>
      <c r="P156" s="45">
        <f t="shared" si="38"/>
        <v>4740.6915563020011</v>
      </c>
      <c r="Q156" s="45">
        <f t="shared" si="38"/>
        <v>5604.3452637277023</v>
      </c>
      <c r="R156" s="45">
        <f t="shared" si="38"/>
        <v>6635.2765045453943</v>
      </c>
      <c r="S156" s="45">
        <f t="shared" si="38"/>
        <v>7806.3593449863292</v>
      </c>
      <c r="T156" s="45">
        <f t="shared" si="38"/>
        <v>9080.3170359099204</v>
      </c>
      <c r="U156" s="45">
        <f t="shared" si="38"/>
        <v>10446.565121237565</v>
      </c>
      <c r="V156" s="45">
        <f t="shared" si="38"/>
        <v>11900.861300491315</v>
      </c>
      <c r="W156" s="45">
        <f t="shared" si="38"/>
        <v>13455.708196901971</v>
      </c>
      <c r="X156" s="45">
        <f t="shared" si="38"/>
        <v>15174.06685385132</v>
      </c>
      <c r="Y156" s="45">
        <f t="shared" si="38"/>
        <v>17028.844690036836</v>
      </c>
      <c r="Z156" s="45">
        <f t="shared" si="38"/>
        <v>18984.167337896361</v>
      </c>
      <c r="AA156" s="45">
        <f t="shared" si="38"/>
        <v>61836.658680319902</v>
      </c>
      <c r="AB156" s="45">
        <f t="shared" si="38"/>
        <v>121688.25842856331</v>
      </c>
      <c r="AC156" s="45">
        <f t="shared" si="38"/>
        <v>195560.61150642089</v>
      </c>
      <c r="AD156" s="45">
        <f t="shared" si="38"/>
        <v>272222.38790063164</v>
      </c>
      <c r="AE156" s="45">
        <f t="shared" si="38"/>
        <v>337339.09123494383</v>
      </c>
    </row>
    <row r="157" spans="1:31" x14ac:dyDescent="0.25">
      <c r="A157" s="3" t="s">
        <v>514</v>
      </c>
      <c r="B157" s="23" t="s">
        <v>207</v>
      </c>
      <c r="C157" s="45">
        <f t="shared" ref="C157:AE157" si="39">C41+C81+C121</f>
        <v>55.692988456314815</v>
      </c>
      <c r="D157" s="45">
        <f t="shared" si="39"/>
        <v>161.26859211916053</v>
      </c>
      <c r="E157" s="45">
        <f t="shared" si="39"/>
        <v>311.76261625229699</v>
      </c>
      <c r="F157" s="45">
        <f t="shared" si="39"/>
        <v>517.30649483905017</v>
      </c>
      <c r="G157" s="45">
        <f t="shared" si="39"/>
        <v>768.75142638923512</v>
      </c>
      <c r="H157" s="45">
        <f t="shared" si="39"/>
        <v>1054.6935148032651</v>
      </c>
      <c r="I157" s="45">
        <f t="shared" si="39"/>
        <v>1371.4755941905701</v>
      </c>
      <c r="J157" s="45">
        <f t="shared" si="39"/>
        <v>1717.2712538712644</v>
      </c>
      <c r="K157" s="45">
        <f t="shared" si="39"/>
        <v>2094.7218392691384</v>
      </c>
      <c r="L157" s="45">
        <f t="shared" si="39"/>
        <v>2519.439095822976</v>
      </c>
      <c r="M157" s="45">
        <f t="shared" si="39"/>
        <v>2983.1525466784728</v>
      </c>
      <c r="N157" s="45">
        <f t="shared" si="39"/>
        <v>3475.8540043101248</v>
      </c>
      <c r="O157" s="45">
        <f t="shared" si="39"/>
        <v>4087.581706331086</v>
      </c>
      <c r="P157" s="45">
        <f t="shared" si="39"/>
        <v>4842.857296268503</v>
      </c>
      <c r="Q157" s="45">
        <f t="shared" si="39"/>
        <v>5729.6349451172418</v>
      </c>
      <c r="R157" s="45">
        <f t="shared" si="39"/>
        <v>6787.8771155664763</v>
      </c>
      <c r="S157" s="45">
        <f t="shared" si="39"/>
        <v>7991.2672325535405</v>
      </c>
      <c r="T157" s="45">
        <f t="shared" si="39"/>
        <v>9303.1964148404841</v>
      </c>
      <c r="U157" s="45">
        <f t="shared" si="39"/>
        <v>10713.558803271013</v>
      </c>
      <c r="V157" s="45">
        <f t="shared" si="39"/>
        <v>12218.53479023573</v>
      </c>
      <c r="W157" s="45">
        <f t="shared" si="39"/>
        <v>13831.027126802956</v>
      </c>
      <c r="X157" s="45">
        <f t="shared" si="39"/>
        <v>15614.462853471234</v>
      </c>
      <c r="Y157" s="45">
        <f t="shared" si="39"/>
        <v>17542.516753194046</v>
      </c>
      <c r="Z157" s="45">
        <f t="shared" si="39"/>
        <v>19579.939380876225</v>
      </c>
      <c r="AA157" s="45">
        <f t="shared" si="39"/>
        <v>63526.752483889548</v>
      </c>
      <c r="AB157" s="45">
        <f t="shared" si="39"/>
        <v>126957.46492480056</v>
      </c>
      <c r="AC157" s="45">
        <f t="shared" si="39"/>
        <v>207711.72391367966</v>
      </c>
      <c r="AD157" s="45">
        <f t="shared" si="39"/>
        <v>295113.78217549965</v>
      </c>
      <c r="AE157" s="45">
        <f t="shared" si="39"/>
        <v>374638.94369422412</v>
      </c>
    </row>
    <row r="158" spans="1:31" x14ac:dyDescent="0.25">
      <c r="A158" s="6" t="s">
        <v>515</v>
      </c>
      <c r="B158" s="23" t="s">
        <v>207</v>
      </c>
      <c r="C158" s="54">
        <f t="shared" ref="C158:AE158" si="40">C37+C77+C117</f>
        <v>55.692988456314815</v>
      </c>
      <c r="D158" s="54">
        <f t="shared" si="40"/>
        <v>105.86224192726486</v>
      </c>
      <c r="E158" s="54">
        <f t="shared" si="40"/>
        <v>151.3355450336536</v>
      </c>
      <c r="F158" s="54">
        <f t="shared" si="40"/>
        <v>207.1880787927048</v>
      </c>
      <c r="G158" s="54">
        <f t="shared" si="40"/>
        <v>254.20654189885437</v>
      </c>
      <c r="H158" s="54">
        <f t="shared" si="40"/>
        <v>290.10087085760364</v>
      </c>
      <c r="I158" s="54">
        <f t="shared" si="40"/>
        <v>322.55992149591356</v>
      </c>
      <c r="J158" s="54">
        <f t="shared" si="40"/>
        <v>353.39710002623121</v>
      </c>
      <c r="K158" s="54">
        <f t="shared" si="40"/>
        <v>387.06482487102676</v>
      </c>
      <c r="L158" s="54">
        <f t="shared" si="40"/>
        <v>436.51925288062216</v>
      </c>
      <c r="M158" s="54">
        <f t="shared" si="40"/>
        <v>478.02097865404511</v>
      </c>
      <c r="N158" s="54">
        <f t="shared" si="40"/>
        <v>509.79973314169968</v>
      </c>
      <c r="O158" s="54">
        <f t="shared" si="40"/>
        <v>631.44839311482781</v>
      </c>
      <c r="P158" s="54">
        <f t="shared" si="40"/>
        <v>778.41157020727906</v>
      </c>
      <c r="Q158" s="54">
        <f t="shared" si="40"/>
        <v>914.23293867321217</v>
      </c>
      <c r="R158" s="54">
        <f t="shared" si="40"/>
        <v>1090.7240104164512</v>
      </c>
      <c r="S158" s="54">
        <f t="shared" si="40"/>
        <v>1242.0160656011853</v>
      </c>
      <c r="T158" s="54">
        <f t="shared" si="40"/>
        <v>1357.7111049596519</v>
      </c>
      <c r="U158" s="54">
        <f t="shared" si="40"/>
        <v>1464.0455065538395</v>
      </c>
      <c r="V158" s="54">
        <f t="shared" si="40"/>
        <v>1567.2381579030275</v>
      </c>
      <c r="W158" s="54">
        <f t="shared" si="40"/>
        <v>1683.9291663838042</v>
      </c>
      <c r="X158" s="54">
        <f t="shared" si="40"/>
        <v>1864.4994971439633</v>
      </c>
      <c r="Y158" s="54">
        <f t="shared" si="40"/>
        <v>2019.9679344116564</v>
      </c>
      <c r="Z158" s="54">
        <f t="shared" si="40"/>
        <v>2141.3167505576175</v>
      </c>
      <c r="AA158" s="54">
        <f t="shared" si="40"/>
        <v>45416.266197628487</v>
      </c>
      <c r="AB158" s="54">
        <f t="shared" si="40"/>
        <v>68355.574368169648</v>
      </c>
      <c r="AC158" s="54">
        <f t="shared" si="40"/>
        <v>90855.383162700309</v>
      </c>
      <c r="AD158" s="54">
        <f t="shared" si="40"/>
        <v>104374.36688015866</v>
      </c>
      <c r="AE158" s="54">
        <f t="shared" si="40"/>
        <v>104321.24810137917</v>
      </c>
    </row>
    <row r="159" spans="1:31" x14ac:dyDescent="0.25">
      <c r="A159" s="3" t="s">
        <v>516</v>
      </c>
      <c r="B159" s="23" t="s">
        <v>207</v>
      </c>
      <c r="C159" s="55">
        <f t="shared" ref="C159:AE159" si="41">C42+C82+C122</f>
        <v>7878.330147030294</v>
      </c>
      <c r="D159" s="55">
        <f t="shared" si="41"/>
        <v>22773.663390441296</v>
      </c>
      <c r="E159" s="55">
        <f t="shared" si="41"/>
        <v>43948.885278220288</v>
      </c>
      <c r="F159" s="55">
        <f t="shared" si="41"/>
        <v>72806.185108116275</v>
      </c>
      <c r="G159" s="55">
        <f t="shared" si="41"/>
        <v>108013.54005526523</v>
      </c>
      <c r="H159" s="55">
        <f t="shared" si="41"/>
        <v>147926.81116530817</v>
      </c>
      <c r="I159" s="55">
        <f t="shared" si="41"/>
        <v>192006.1281288868</v>
      </c>
      <c r="J159" s="55">
        <f t="shared" si="41"/>
        <v>239973.45213190452</v>
      </c>
      <c r="K159" s="55">
        <f t="shared" si="41"/>
        <v>292184.27016082651</v>
      </c>
      <c r="L159" s="55">
        <f t="shared" si="41"/>
        <v>350827.1496286632</v>
      </c>
      <c r="M159" s="55">
        <f t="shared" si="41"/>
        <v>414701.56521923514</v>
      </c>
      <c r="N159" s="55">
        <f t="shared" si="41"/>
        <v>482367.41881962039</v>
      </c>
      <c r="O159" s="55">
        <f t="shared" si="41"/>
        <v>612433.52320720325</v>
      </c>
      <c r="P159" s="55">
        <f t="shared" si="41"/>
        <v>724938.30398639396</v>
      </c>
      <c r="Q159" s="55">
        <f t="shared" si="41"/>
        <v>857006.7261684814</v>
      </c>
      <c r="R159" s="55">
        <f t="shared" si="41"/>
        <v>1014654.9376939639</v>
      </c>
      <c r="S159" s="55">
        <f t="shared" si="41"/>
        <v>1193734.8879700494</v>
      </c>
      <c r="T159" s="55">
        <f t="shared" si="41"/>
        <v>1388546.2813797025</v>
      </c>
      <c r="U159" s="55">
        <f t="shared" si="41"/>
        <v>1597470.5613163374</v>
      </c>
      <c r="V159" s="55">
        <f t="shared" si="41"/>
        <v>1819859.0025724689</v>
      </c>
      <c r="W159" s="55">
        <f t="shared" si="41"/>
        <v>2057623.4845379866</v>
      </c>
      <c r="X159" s="55">
        <f t="shared" si="41"/>
        <v>2320391.9004146187</v>
      </c>
      <c r="Y159" s="55">
        <f t="shared" si="41"/>
        <v>2604021.2998106726</v>
      </c>
      <c r="Z159" s="55">
        <f t="shared" si="41"/>
        <v>2903025.8368599438</v>
      </c>
      <c r="AA159" s="55">
        <f t="shared" si="41"/>
        <v>10221886.543826697</v>
      </c>
      <c r="AB159" s="55">
        <f t="shared" si="41"/>
        <v>21744999.962000925</v>
      </c>
      <c r="AC159" s="55">
        <f t="shared" si="41"/>
        <v>37776160.607528627</v>
      </c>
      <c r="AD159" s="55">
        <f t="shared" si="41"/>
        <v>56844174.340723321</v>
      </c>
      <c r="AE159" s="55">
        <f t="shared" si="41"/>
        <v>76147296.352822661</v>
      </c>
    </row>
    <row r="160" spans="1:31" x14ac:dyDescent="0.25">
      <c r="A160" s="6" t="s">
        <v>517</v>
      </c>
      <c r="B160" s="23" t="s">
        <v>207</v>
      </c>
      <c r="C160" s="45">
        <f t="shared" ref="C160:AE160" si="42">C44+C84+C124</f>
        <v>0</v>
      </c>
      <c r="D160" s="45">
        <f t="shared" si="42"/>
        <v>0</v>
      </c>
      <c r="E160" s="45">
        <f t="shared" si="42"/>
        <v>0</v>
      </c>
      <c r="F160" s="45">
        <f t="shared" si="42"/>
        <v>0</v>
      </c>
      <c r="G160" s="45">
        <f t="shared" si="42"/>
        <v>0</v>
      </c>
      <c r="H160" s="45">
        <f t="shared" si="42"/>
        <v>0</v>
      </c>
      <c r="I160" s="45">
        <f t="shared" si="42"/>
        <v>0</v>
      </c>
      <c r="J160" s="45">
        <f t="shared" si="42"/>
        <v>0</v>
      </c>
      <c r="K160" s="45">
        <f t="shared" si="42"/>
        <v>141.80281176470589</v>
      </c>
      <c r="L160" s="45">
        <f t="shared" si="42"/>
        <v>276.4292132336642</v>
      </c>
      <c r="M160" s="45">
        <f t="shared" si="42"/>
        <v>405.30384041186994</v>
      </c>
      <c r="N160" s="45">
        <f t="shared" si="42"/>
        <v>566.22682269593952</v>
      </c>
      <c r="O160" s="45">
        <f t="shared" si="42"/>
        <v>711.56488505461448</v>
      </c>
      <c r="P160" s="45">
        <f t="shared" si="42"/>
        <v>834.39632220373028</v>
      </c>
      <c r="Q160" s="45">
        <f t="shared" si="42"/>
        <v>952.9204032675558</v>
      </c>
      <c r="R160" s="45">
        <f t="shared" si="42"/>
        <v>1071.328783065163</v>
      </c>
      <c r="S160" s="45">
        <f t="shared" si="42"/>
        <v>1200.755028710862</v>
      </c>
      <c r="T160" s="45">
        <f t="shared" si="42"/>
        <v>1374.5292806166603</v>
      </c>
      <c r="U160" s="45">
        <f t="shared" si="42"/>
        <v>1534.1721695008378</v>
      </c>
      <c r="V160" s="45">
        <f t="shared" si="42"/>
        <v>1674.195196531191</v>
      </c>
      <c r="W160" s="45">
        <f t="shared" si="42"/>
        <v>2183.2401660292953</v>
      </c>
      <c r="X160" s="45">
        <f t="shared" si="42"/>
        <v>2678.0240822853712</v>
      </c>
      <c r="Y160" s="45">
        <f t="shared" si="42"/>
        <v>3161.657390158357</v>
      </c>
      <c r="Z160" s="45">
        <f t="shared" si="42"/>
        <v>3776.9268403997253</v>
      </c>
      <c r="AA160" s="45">
        <f t="shared" si="42"/>
        <v>19006.891411708577</v>
      </c>
      <c r="AB160" s="45">
        <f t="shared" si="42"/>
        <v>35080.08288513538</v>
      </c>
      <c r="AC160" s="45">
        <f t="shared" si="42"/>
        <v>56556.665232241983</v>
      </c>
      <c r="AD160" s="45">
        <f t="shared" si="42"/>
        <v>80540.832799809315</v>
      </c>
      <c r="AE160" s="45">
        <f t="shared" si="42"/>
        <v>103235.54303131136</v>
      </c>
    </row>
    <row r="161" spans="1:31" x14ac:dyDescent="0.25">
      <c r="A161" s="6" t="s">
        <v>518</v>
      </c>
      <c r="B161" s="23" t="s">
        <v>207</v>
      </c>
      <c r="C161" s="55">
        <f t="shared" ref="C161:AE161" si="43">C35+C75+C115</f>
        <v>7822.3532701938693</v>
      </c>
      <c r="D161" s="55">
        <f t="shared" si="43"/>
        <v>14868.830678938521</v>
      </c>
      <c r="E161" s="55">
        <f t="shared" si="43"/>
        <v>21255.705918420739</v>
      </c>
      <c r="F161" s="55">
        <f t="shared" si="43"/>
        <v>29100.336075969535</v>
      </c>
      <c r="G161" s="55">
        <f t="shared" si="43"/>
        <v>35704.147964945623</v>
      </c>
      <c r="H161" s="55">
        <f t="shared" si="43"/>
        <v>40745.517613178039</v>
      </c>
      <c r="I161" s="55">
        <f t="shared" si="43"/>
        <v>45304.369178412038</v>
      </c>
      <c r="J161" s="55">
        <f t="shared" si="43"/>
        <v>49635.400055126243</v>
      </c>
      <c r="K161" s="55">
        <f t="shared" si="43"/>
        <v>54363.950058016766</v>
      </c>
      <c r="L161" s="55">
        <f t="shared" si="43"/>
        <v>61309.6834760192</v>
      </c>
      <c r="M161" s="55">
        <f t="shared" si="43"/>
        <v>67138.416259257297</v>
      </c>
      <c r="N161" s="55">
        <f t="shared" si="43"/>
        <v>71601.538307810406</v>
      </c>
      <c r="O161" s="55">
        <f t="shared" si="43"/>
        <v>95861.673721073195</v>
      </c>
      <c r="P161" s="55">
        <f t="shared" si="43"/>
        <v>118165.6676054952</v>
      </c>
      <c r="Q161" s="55">
        <f t="shared" si="43"/>
        <v>138778.16267881979</v>
      </c>
      <c r="R161" s="55">
        <f t="shared" si="43"/>
        <v>165562.53719044232</v>
      </c>
      <c r="S161" s="55">
        <f t="shared" si="43"/>
        <v>188521.79209486267</v>
      </c>
      <c r="T161" s="55">
        <f t="shared" si="43"/>
        <v>206078.13306440547</v>
      </c>
      <c r="U161" s="55">
        <f t="shared" si="43"/>
        <v>222213.43130038769</v>
      </c>
      <c r="V161" s="55">
        <f t="shared" si="43"/>
        <v>237871.48318748211</v>
      </c>
      <c r="W161" s="55">
        <f t="shared" si="43"/>
        <v>255577.4392473617</v>
      </c>
      <c r="X161" s="55">
        <f t="shared" si="43"/>
        <v>282976.3006257416</v>
      </c>
      <c r="Y161" s="55">
        <f t="shared" si="43"/>
        <v>306564.89917254465</v>
      </c>
      <c r="Z161" s="55">
        <f t="shared" si="43"/>
        <v>324975.1876427189</v>
      </c>
      <c r="AA161" s="55">
        <f t="shared" si="43"/>
        <v>7446758.4686573949</v>
      </c>
      <c r="AB161" s="55">
        <f t="shared" si="43"/>
        <v>12110734.3483984</v>
      </c>
      <c r="AC161" s="55">
        <f t="shared" si="43"/>
        <v>17390620.247088332</v>
      </c>
      <c r="AD161" s="55">
        <f t="shared" si="43"/>
        <v>21579459.952004187</v>
      </c>
      <c r="AE161" s="55">
        <f t="shared" si="43"/>
        <v>23289190.443472236</v>
      </c>
    </row>
    <row r="162" spans="1:31" x14ac:dyDescent="0.25">
      <c r="A162" s="6" t="s">
        <v>519</v>
      </c>
      <c r="B162" s="23" t="s">
        <v>207</v>
      </c>
      <c r="C162" s="55">
        <f t="shared" ref="C162:AE162" si="44">C36+C76+C116</f>
        <v>595.02051847534085</v>
      </c>
      <c r="D162" s="55">
        <f t="shared" si="44"/>
        <v>1131.0659886155322</v>
      </c>
      <c r="E162" s="55">
        <f t="shared" si="44"/>
        <v>1616.9731273345753</v>
      </c>
      <c r="F162" s="55">
        <f t="shared" si="44"/>
        <v>2213.830250773899</v>
      </c>
      <c r="G162" s="55">
        <f t="shared" si="44"/>
        <v>2716.3344332302904</v>
      </c>
      <c r="H162" s="55">
        <f t="shared" si="44"/>
        <v>3099.9921019686612</v>
      </c>
      <c r="I162" s="55">
        <f t="shared" si="44"/>
        <v>3446.9638660449245</v>
      </c>
      <c r="J162" s="55">
        <f t="shared" si="44"/>
        <v>3776.6284461962077</v>
      </c>
      <c r="K162" s="55">
        <f t="shared" si="44"/>
        <v>4136.5793926666811</v>
      </c>
      <c r="L162" s="55">
        <f t="shared" si="44"/>
        <v>4665.3309610125962</v>
      </c>
      <c r="M162" s="55">
        <f t="shared" si="44"/>
        <v>5109.1209565397921</v>
      </c>
      <c r="N162" s="55">
        <f t="shared" si="44"/>
        <v>5449.0030647982421</v>
      </c>
      <c r="O162" s="55">
        <f t="shared" si="44"/>
        <v>7305.0519612838252</v>
      </c>
      <c r="P162" s="55">
        <f t="shared" si="44"/>
        <v>9012.0618925726212</v>
      </c>
      <c r="Q162" s="55">
        <f t="shared" si="44"/>
        <v>10590.209815752052</v>
      </c>
      <c r="R162" s="55">
        <f t="shared" si="44"/>
        <v>12641.138683559948</v>
      </c>
      <c r="S162" s="55">
        <f t="shared" si="44"/>
        <v>14400.144408753917</v>
      </c>
      <c r="T162" s="55">
        <f t="shared" si="44"/>
        <v>15746.184882335505</v>
      </c>
      <c r="U162" s="55">
        <f t="shared" si="44"/>
        <v>16983.916904219892</v>
      </c>
      <c r="V162" s="55">
        <f t="shared" si="44"/>
        <v>18185.592700747584</v>
      </c>
      <c r="W162" s="55">
        <f t="shared" si="44"/>
        <v>19544.740603124337</v>
      </c>
      <c r="X162" s="55">
        <f t="shared" si="44"/>
        <v>21647.656381881301</v>
      </c>
      <c r="Y162" s="55">
        <f t="shared" si="44"/>
        <v>23459.660314629022</v>
      </c>
      <c r="Z162" s="55">
        <f t="shared" si="44"/>
        <v>24875.473492214493</v>
      </c>
      <c r="AA162" s="55">
        <f t="shared" si="44"/>
        <v>574433.40883800865</v>
      </c>
      <c r="AB162" s="55">
        <f t="shared" si="44"/>
        <v>939764.40318386606</v>
      </c>
      <c r="AC162" s="55">
        <f t="shared" si="44"/>
        <v>1360599.8196673975</v>
      </c>
      <c r="AD162" s="55">
        <f t="shared" si="44"/>
        <v>1706728.8635559881</v>
      </c>
      <c r="AE162" s="55">
        <f t="shared" si="44"/>
        <v>1870368.8046391485</v>
      </c>
    </row>
    <row r="163" spans="1:31" x14ac:dyDescent="0.25">
      <c r="A163" s="6" t="s">
        <v>520</v>
      </c>
      <c r="B163" s="23" t="s">
        <v>207</v>
      </c>
      <c r="C163" s="55">
        <f t="shared" ref="C163:AE163" si="45">C51+C91+C131</f>
        <v>0</v>
      </c>
      <c r="D163" s="55">
        <f t="shared" si="45"/>
        <v>0</v>
      </c>
      <c r="E163" s="55">
        <f t="shared" si="45"/>
        <v>0</v>
      </c>
      <c r="F163" s="55">
        <f t="shared" si="45"/>
        <v>0</v>
      </c>
      <c r="G163" s="55">
        <f t="shared" si="45"/>
        <v>0</v>
      </c>
      <c r="H163" s="55">
        <f t="shared" si="45"/>
        <v>0</v>
      </c>
      <c r="I163" s="55">
        <f t="shared" si="45"/>
        <v>0</v>
      </c>
      <c r="J163" s="55">
        <f t="shared" si="45"/>
        <v>0</v>
      </c>
      <c r="K163" s="55">
        <f t="shared" si="45"/>
        <v>0</v>
      </c>
      <c r="L163" s="55">
        <f t="shared" si="45"/>
        <v>0</v>
      </c>
      <c r="M163" s="55">
        <f t="shared" si="45"/>
        <v>0</v>
      </c>
      <c r="N163" s="55">
        <f t="shared" si="45"/>
        <v>0</v>
      </c>
      <c r="O163" s="55">
        <f t="shared" si="45"/>
        <v>965.48790827738776</v>
      </c>
      <c r="P163" s="55">
        <f t="shared" si="45"/>
        <v>1000.0618993740555</v>
      </c>
      <c r="Q163" s="55">
        <f t="shared" si="45"/>
        <v>1124.0333182469963</v>
      </c>
      <c r="R163" s="55">
        <f t="shared" si="45"/>
        <v>1254.8983048462558</v>
      </c>
      <c r="S163" s="55">
        <f t="shared" si="45"/>
        <v>1467.479651190808</v>
      </c>
      <c r="T163" s="55">
        <f t="shared" si="45"/>
        <v>1666.54603100955</v>
      </c>
      <c r="U163" s="55">
        <f t="shared" si="45"/>
        <v>1801.5088833256025</v>
      </c>
      <c r="V163" s="55">
        <f t="shared" si="45"/>
        <v>2096.8098035940875</v>
      </c>
      <c r="W163" s="55">
        <f t="shared" si="45"/>
        <v>3119.0729360441046</v>
      </c>
      <c r="X163" s="55">
        <f t="shared" si="45"/>
        <v>3929.5808923125187</v>
      </c>
      <c r="Y163" s="55">
        <f t="shared" si="45"/>
        <v>4872.5533615135246</v>
      </c>
      <c r="Z163" s="55">
        <f t="shared" si="45"/>
        <v>6515.0325915806025</v>
      </c>
      <c r="AA163" s="55">
        <f t="shared" si="45"/>
        <v>531282.55311539257</v>
      </c>
      <c r="AB163" s="55">
        <f t="shared" si="45"/>
        <v>1130196.373024998</v>
      </c>
      <c r="AC163" s="55">
        <f t="shared" si="45"/>
        <v>1963415.9475763005</v>
      </c>
      <c r="AD163" s="55">
        <f t="shared" si="45"/>
        <v>2954475.9613590958</v>
      </c>
      <c r="AE163" s="55">
        <f t="shared" si="45"/>
        <v>3957755.7279379577</v>
      </c>
    </row>
    <row r="164" spans="1:31" x14ac:dyDescent="0.25">
      <c r="A164" s="6" t="s">
        <v>521</v>
      </c>
      <c r="B164" s="23" t="s">
        <v>114</v>
      </c>
      <c r="C164" s="57">
        <f t="shared" ref="C164:AE164" si="46">C157*C21</f>
        <v>7878.330147030294</v>
      </c>
      <c r="D164" s="57">
        <f t="shared" si="46"/>
        <v>22813.055041176449</v>
      </c>
      <c r="E164" s="57">
        <f t="shared" si="46"/>
        <v>44101.939695049936</v>
      </c>
      <c r="F164" s="57">
        <f t="shared" si="46"/>
        <v>73178.176759932045</v>
      </c>
      <c r="G164" s="57">
        <f t="shared" si="46"/>
        <v>108747.57677702121</v>
      </c>
      <c r="H164" s="57">
        <f t="shared" si="46"/>
        <v>149196.9446040699</v>
      </c>
      <c r="I164" s="57">
        <f t="shared" si="46"/>
        <v>194008.93755419806</v>
      </c>
      <c r="J164" s="57">
        <f t="shared" si="46"/>
        <v>242925.19157262909</v>
      </c>
      <c r="K164" s="57">
        <f t="shared" si="46"/>
        <v>296319.35138301231</v>
      </c>
      <c r="L164" s="57">
        <f t="shared" si="46"/>
        <v>356399.8544951182</v>
      </c>
      <c r="M164" s="57">
        <f t="shared" si="46"/>
        <v>421996.75925313681</v>
      </c>
      <c r="N164" s="57">
        <f t="shared" si="46"/>
        <v>491694.30744971026</v>
      </c>
      <c r="O164" s="57">
        <f t="shared" si="46"/>
        <v>625065.88213998068</v>
      </c>
      <c r="P164" s="57">
        <f t="shared" si="46"/>
        <v>740561.31117368396</v>
      </c>
      <c r="Q164" s="57">
        <f t="shared" si="46"/>
        <v>876165.80624252418</v>
      </c>
      <c r="R164" s="57">
        <f t="shared" si="46"/>
        <v>1037990.3576062445</v>
      </c>
      <c r="S164" s="57">
        <f t="shared" si="46"/>
        <v>1222010.6803971028</v>
      </c>
      <c r="T164" s="57">
        <f t="shared" si="46"/>
        <v>1422628.608195645</v>
      </c>
      <c r="U164" s="57">
        <f t="shared" si="46"/>
        <v>1638298.7706038856</v>
      </c>
      <c r="V164" s="57">
        <f t="shared" si="46"/>
        <v>1868437.0798723127</v>
      </c>
      <c r="W164" s="57">
        <f t="shared" si="46"/>
        <v>2115016.6022435073</v>
      </c>
      <c r="X164" s="57">
        <f t="shared" si="46"/>
        <v>2387736.490387456</v>
      </c>
      <c r="Y164" s="57">
        <f t="shared" si="46"/>
        <v>2682571.137919283</v>
      </c>
      <c r="Z164" s="57">
        <f t="shared" si="46"/>
        <v>2994130.2610290698</v>
      </c>
      <c r="AA164" s="57">
        <f t="shared" si="46"/>
        <v>10501266.89000332</v>
      </c>
      <c r="AB164" s="57">
        <f t="shared" si="46"/>
        <v>22686577.206511475</v>
      </c>
      <c r="AC164" s="57">
        <f t="shared" si="46"/>
        <v>40123373.424674422</v>
      </c>
      <c r="AD164" s="57">
        <f t="shared" si="46"/>
        <v>61624245.579896435</v>
      </c>
      <c r="AE164" s="57">
        <f t="shared" si="46"/>
        <v>84566963.663645029</v>
      </c>
    </row>
    <row r="165" spans="1:31" x14ac:dyDescent="0.25">
      <c r="A165" s="9" t="s">
        <v>522</v>
      </c>
    </row>
    <row r="166" spans="1:31" x14ac:dyDescent="0.25">
      <c r="A166" s="6" t="s">
        <v>523</v>
      </c>
      <c r="B166" s="23" t="s">
        <v>114</v>
      </c>
      <c r="C166" s="55">
        <f>C157*Assumptions!$B$6</f>
        <v>7878.330147030294</v>
      </c>
      <c r="D166" s="55">
        <f>D157*Assumptions!$B$6</f>
        <v>22813.055041176449</v>
      </c>
      <c r="E166" s="55">
        <f>E157*Assumptions!$B$6</f>
        <v>44101.939695049936</v>
      </c>
      <c r="F166" s="55">
        <f>F157*Assumptions!$B$6</f>
        <v>73178.176759932045</v>
      </c>
      <c r="G166" s="55">
        <f>G157*Assumptions!$B$6</f>
        <v>108747.57677702121</v>
      </c>
      <c r="H166" s="55">
        <f>H157*Assumptions!$B$6</f>
        <v>149196.9446040699</v>
      </c>
      <c r="I166" s="55">
        <f>I157*Assumptions!$B$6</f>
        <v>194008.93755419806</v>
      </c>
      <c r="J166" s="55">
        <f>J157*Assumptions!$B$6</f>
        <v>242925.19157262909</v>
      </c>
      <c r="K166" s="55">
        <f>K157*Assumptions!$B$6</f>
        <v>296319.35138301231</v>
      </c>
      <c r="L166" s="55">
        <f>L157*Assumptions!$B$6</f>
        <v>356399.8544951182</v>
      </c>
      <c r="M166" s="55">
        <f>M157*Assumptions!$B$6</f>
        <v>421996.75925313681</v>
      </c>
      <c r="N166" s="55">
        <f>N157*Assumptions!$B$6</f>
        <v>491694.30744971026</v>
      </c>
      <c r="O166" s="55">
        <f>O157*Assumptions!$B$6</f>
        <v>578229.30817759549</v>
      </c>
      <c r="P166" s="55">
        <f>P157*Assumptions!$B$6</f>
        <v>685070.59313014243</v>
      </c>
      <c r="Q166" s="55">
        <f>Q157*Assumptions!$B$6</f>
        <v>810514.15933628508</v>
      </c>
      <c r="R166" s="55">
        <f>R157*Assumptions!$B$6</f>
        <v>960213.09676803381</v>
      </c>
      <c r="S166" s="55">
        <f>S157*Assumptions!$B$6</f>
        <v>1130444.6627170239</v>
      </c>
      <c r="T166" s="55">
        <f>T157*Assumptions!$B$6</f>
        <v>1316030.164843335</v>
      </c>
      <c r="U166" s="55">
        <f>U157*Assumptions!$B$6</f>
        <v>1515540.0283107175</v>
      </c>
      <c r="V166" s="55">
        <f>V157*Assumptions!$B$6</f>
        <v>1728433.9314267465</v>
      </c>
      <c r="W166" s="55">
        <f>W157*Assumptions!$B$6</f>
        <v>1956537.0973575462</v>
      </c>
      <c r="X166" s="55">
        <f>X157*Assumptions!$B$6</f>
        <v>2208821.9152520411</v>
      </c>
      <c r="Y166" s="55">
        <f>Y157*Assumptions!$B$6</f>
        <v>2481564.4199068299</v>
      </c>
      <c r="Z166" s="55">
        <f>Z157*Assumptions!$B$6</f>
        <v>2769778.2248187508</v>
      </c>
      <c r="AA166" s="55">
        <f>AA157*Assumptions!$B$6</f>
        <v>8986494.4063710161</v>
      </c>
      <c r="AB166" s="55">
        <f>AB157*Assumptions!$B$6</f>
        <v>17959402.988262288</v>
      </c>
      <c r="AC166" s="55">
        <f>AC157*Assumptions!$B$6</f>
        <v>29382900.464829125</v>
      </c>
      <c r="AD166" s="55">
        <f>AD157*Assumptions!$B$6</f>
        <v>41746795.626546182</v>
      </c>
      <c r="AE166" s="55">
        <f>AE157*Assumptions!$B$6</f>
        <v>52996424.974984944</v>
      </c>
    </row>
    <row r="167" spans="1:31" x14ac:dyDescent="0.25">
      <c r="A167" s="6" t="s">
        <v>524</v>
      </c>
      <c r="B167" s="23" t="s">
        <v>114</v>
      </c>
      <c r="C167" s="55">
        <f t="shared" ref="C167:AE167" si="47">C164-C166</f>
        <v>0</v>
      </c>
      <c r="D167" s="55">
        <f t="shared" si="47"/>
        <v>0</v>
      </c>
      <c r="E167" s="55">
        <f t="shared" si="47"/>
        <v>0</v>
      </c>
      <c r="F167" s="55">
        <f t="shared" si="47"/>
        <v>0</v>
      </c>
      <c r="G167" s="55">
        <f t="shared" si="47"/>
        <v>0</v>
      </c>
      <c r="H167" s="55">
        <f t="shared" si="47"/>
        <v>0</v>
      </c>
      <c r="I167" s="55">
        <f t="shared" si="47"/>
        <v>0</v>
      </c>
      <c r="J167" s="55">
        <f t="shared" si="47"/>
        <v>0</v>
      </c>
      <c r="K167" s="55">
        <f t="shared" si="47"/>
        <v>0</v>
      </c>
      <c r="L167" s="55">
        <f t="shared" si="47"/>
        <v>0</v>
      </c>
      <c r="M167" s="55">
        <f t="shared" si="47"/>
        <v>0</v>
      </c>
      <c r="N167" s="55">
        <f t="shared" si="47"/>
        <v>0</v>
      </c>
      <c r="O167" s="55">
        <f t="shared" si="47"/>
        <v>46836.573962385184</v>
      </c>
      <c r="P167" s="55">
        <f t="shared" si="47"/>
        <v>55490.718043541536</v>
      </c>
      <c r="Q167" s="55">
        <f t="shared" si="47"/>
        <v>65651.646906239097</v>
      </c>
      <c r="R167" s="55">
        <f t="shared" si="47"/>
        <v>77777.260838210699</v>
      </c>
      <c r="S167" s="55">
        <f t="shared" si="47"/>
        <v>91566.017680078978</v>
      </c>
      <c r="T167" s="55">
        <f t="shared" si="47"/>
        <v>106598.44335230999</v>
      </c>
      <c r="U167" s="55">
        <f t="shared" si="47"/>
        <v>122758.74229316809</v>
      </c>
      <c r="V167" s="55">
        <f t="shared" si="47"/>
        <v>140003.14844556618</v>
      </c>
      <c r="W167" s="55">
        <f t="shared" si="47"/>
        <v>158479.50488596107</v>
      </c>
      <c r="X167" s="55">
        <f t="shared" si="47"/>
        <v>178914.57513541495</v>
      </c>
      <c r="Y167" s="55">
        <f t="shared" si="47"/>
        <v>201006.71801245306</v>
      </c>
      <c r="Z167" s="55">
        <f t="shared" si="47"/>
        <v>224352.03621031903</v>
      </c>
      <c r="AA167" s="55">
        <f t="shared" si="47"/>
        <v>1514772.4836323038</v>
      </c>
      <c r="AB167" s="55">
        <f t="shared" si="47"/>
        <v>4727174.2182491869</v>
      </c>
      <c r="AC167" s="55">
        <f t="shared" si="47"/>
        <v>10740472.959845297</v>
      </c>
      <c r="AD167" s="55">
        <f t="shared" si="47"/>
        <v>19877449.953350253</v>
      </c>
      <c r="AE167" s="55">
        <f t="shared" si="47"/>
        <v>31570538.688660085</v>
      </c>
    </row>
    <row r="168" spans="1:31" x14ac:dyDescent="0.25">
      <c r="A168" s="9" t="s">
        <v>525</v>
      </c>
    </row>
    <row r="169" spans="1:31" x14ac:dyDescent="0.25">
      <c r="A169" s="6" t="s">
        <v>526</v>
      </c>
      <c r="B169" s="23" t="s">
        <v>527</v>
      </c>
      <c r="C169" s="59">
        <f t="shared" ref="C169:AE169" si="48">C151+C152-C153</f>
        <v>0</v>
      </c>
      <c r="D169" s="59">
        <f t="shared" si="48"/>
        <v>0</v>
      </c>
      <c r="E169" s="59">
        <f t="shared" si="48"/>
        <v>0</v>
      </c>
      <c r="F169" s="59">
        <f t="shared" si="48"/>
        <v>0</v>
      </c>
      <c r="G169" s="59">
        <f t="shared" si="48"/>
        <v>0</v>
      </c>
      <c r="H169" s="59">
        <f t="shared" si="48"/>
        <v>0</v>
      </c>
      <c r="I169" s="59">
        <f t="shared" si="48"/>
        <v>0</v>
      </c>
      <c r="J169" s="59">
        <f t="shared" si="48"/>
        <v>0</v>
      </c>
      <c r="K169" s="59">
        <f t="shared" si="48"/>
        <v>0</v>
      </c>
      <c r="L169" s="59">
        <f t="shared" si="48"/>
        <v>0</v>
      </c>
      <c r="M169" s="59">
        <f t="shared" si="48"/>
        <v>0</v>
      </c>
      <c r="N169" s="59">
        <f t="shared" si="48"/>
        <v>0</v>
      </c>
      <c r="O169" s="59">
        <f t="shared" si="48"/>
        <v>0</v>
      </c>
      <c r="P169" s="59">
        <f t="shared" si="48"/>
        <v>0</v>
      </c>
      <c r="Q169" s="59">
        <f t="shared" si="48"/>
        <v>0</v>
      </c>
      <c r="R169" s="59">
        <f t="shared" si="48"/>
        <v>0</v>
      </c>
      <c r="S169" s="59">
        <f t="shared" si="48"/>
        <v>0</v>
      </c>
      <c r="T169" s="59">
        <f t="shared" si="48"/>
        <v>0</v>
      </c>
      <c r="U169" s="59">
        <f t="shared" si="48"/>
        <v>0</v>
      </c>
      <c r="V169" s="59">
        <f t="shared" si="48"/>
        <v>0</v>
      </c>
      <c r="W169" s="59">
        <f t="shared" si="48"/>
        <v>0</v>
      </c>
      <c r="X169" s="59">
        <f t="shared" si="48"/>
        <v>0</v>
      </c>
      <c r="Y169" s="59">
        <f t="shared" si="48"/>
        <v>0</v>
      </c>
      <c r="Z169" s="59">
        <f t="shared" si="48"/>
        <v>0</v>
      </c>
      <c r="AA169" s="59">
        <f t="shared" si="48"/>
        <v>0</v>
      </c>
      <c r="AB169" s="59">
        <f t="shared" si="48"/>
        <v>0</v>
      </c>
      <c r="AC169" s="59">
        <f t="shared" si="48"/>
        <v>0</v>
      </c>
      <c r="AD169" s="59">
        <f t="shared" si="48"/>
        <v>0</v>
      </c>
      <c r="AE169" s="59">
        <f t="shared" si="48"/>
        <v>0</v>
      </c>
    </row>
    <row r="170" spans="1:31" x14ac:dyDescent="0.25">
      <c r="A170" s="6" t="s">
        <v>528</v>
      </c>
      <c r="B170" s="23" t="s">
        <v>47</v>
      </c>
      <c r="C170" s="59">
        <f t="shared" ref="C170:AE170" si="49">C157-C156</f>
        <v>0</v>
      </c>
      <c r="D170" s="59">
        <f t="shared" si="49"/>
        <v>0.27846494228157326</v>
      </c>
      <c r="E170" s="59">
        <f t="shared" si="49"/>
        <v>1.0819625111666937</v>
      </c>
      <c r="F170" s="59">
        <f t="shared" si="49"/>
        <v>2.6296596339302596</v>
      </c>
      <c r="G170" s="59">
        <f t="shared" si="49"/>
        <v>5.1890055263395425</v>
      </c>
      <c r="H170" s="59">
        <f t="shared" si="49"/>
        <v>8.9787462092585884</v>
      </c>
      <c r="I170" s="59">
        <f t="shared" si="49"/>
        <v>14.158132513157398</v>
      </c>
      <c r="J170" s="59">
        <f t="shared" si="49"/>
        <v>20.866247990418287</v>
      </c>
      <c r="K170" s="59">
        <f t="shared" si="49"/>
        <v>29.231452157399872</v>
      </c>
      <c r="L170" s="59">
        <f t="shared" si="49"/>
        <v>39.394209433444303</v>
      </c>
      <c r="M170" s="59">
        <f t="shared" si="49"/>
        <v>51.570719877715874</v>
      </c>
      <c r="N170" s="59">
        <f t="shared" si="49"/>
        <v>65.933045596563261</v>
      </c>
      <c r="O170" s="59">
        <f t="shared" si="49"/>
        <v>82.608570963188868</v>
      </c>
      <c r="P170" s="59">
        <f t="shared" si="49"/>
        <v>102.16573996650186</v>
      </c>
      <c r="Q170" s="59">
        <f t="shared" si="49"/>
        <v>125.28968138953951</v>
      </c>
      <c r="R170" s="59">
        <f t="shared" si="49"/>
        <v>152.60061102108193</v>
      </c>
      <c r="S170" s="59">
        <f t="shared" si="49"/>
        <v>184.90788756721122</v>
      </c>
      <c r="T170" s="59">
        <f t="shared" si="49"/>
        <v>222.87937893056369</v>
      </c>
      <c r="U170" s="59">
        <f t="shared" si="49"/>
        <v>266.99368203344784</v>
      </c>
      <c r="V170" s="59">
        <f t="shared" si="49"/>
        <v>317.67348974441484</v>
      </c>
      <c r="W170" s="59">
        <f t="shared" si="49"/>
        <v>375.31892990098459</v>
      </c>
      <c r="X170" s="59">
        <f t="shared" si="49"/>
        <v>440.39599961991371</v>
      </c>
      <c r="Y170" s="59">
        <f t="shared" si="49"/>
        <v>513.67206315720978</v>
      </c>
      <c r="Z170" s="59">
        <f t="shared" si="49"/>
        <v>595.77204297986464</v>
      </c>
      <c r="AA170" s="59">
        <f t="shared" si="49"/>
        <v>1690.0938035696454</v>
      </c>
      <c r="AB170" s="59">
        <f t="shared" si="49"/>
        <v>5269.2064962372533</v>
      </c>
      <c r="AC170" s="59">
        <f t="shared" si="49"/>
        <v>12151.11240725877</v>
      </c>
      <c r="AD170" s="59">
        <f t="shared" si="49"/>
        <v>22891.394274868013</v>
      </c>
      <c r="AE170" s="59">
        <f t="shared" si="49"/>
        <v>37299.852459280286</v>
      </c>
    </row>
    <row r="171" spans="1:31" x14ac:dyDescent="0.25">
      <c r="A171" s="6" t="s">
        <v>529</v>
      </c>
      <c r="B171" s="23" t="s">
        <v>114</v>
      </c>
      <c r="C171" s="55">
        <f t="shared" ref="C171:AE171" si="50">IF(C151=0,0,C159/C151)</f>
        <v>31.327825035443247</v>
      </c>
      <c r="D171" s="55">
        <f t="shared" si="50"/>
        <v>47.642468011107319</v>
      </c>
      <c r="E171" s="55">
        <f t="shared" si="50"/>
        <v>64.315410393847614</v>
      </c>
      <c r="F171" s="55">
        <f t="shared" si="50"/>
        <v>77.824859619636428</v>
      </c>
      <c r="G171" s="55">
        <f t="shared" si="50"/>
        <v>94.105008912124418</v>
      </c>
      <c r="H171" s="55">
        <f t="shared" si="50"/>
        <v>112.93403005967325</v>
      </c>
      <c r="I171" s="55">
        <f t="shared" si="50"/>
        <v>131.83698061679308</v>
      </c>
      <c r="J171" s="55">
        <f t="shared" si="50"/>
        <v>150.39674911273437</v>
      </c>
      <c r="K171" s="55">
        <f t="shared" si="50"/>
        <v>167.19279835770135</v>
      </c>
      <c r="L171" s="55">
        <f t="shared" si="50"/>
        <v>178.0091575367089</v>
      </c>
      <c r="M171" s="55">
        <f t="shared" si="50"/>
        <v>192.15377442933195</v>
      </c>
      <c r="N171" s="55">
        <f t="shared" si="50"/>
        <v>209.57789443869297</v>
      </c>
      <c r="O171" s="55">
        <f t="shared" si="50"/>
        <v>198.03680606311033</v>
      </c>
      <c r="P171" s="55">
        <f t="shared" si="50"/>
        <v>189.78909740161765</v>
      </c>
      <c r="Q171" s="55">
        <f t="shared" si="50"/>
        <v>190.79487175846319</v>
      </c>
      <c r="R171" s="55">
        <f t="shared" si="50"/>
        <v>189.13812035497745</v>
      </c>
      <c r="S171" s="55">
        <f t="shared" si="50"/>
        <v>195.28083873831488</v>
      </c>
      <c r="T171" s="55">
        <f t="shared" si="50"/>
        <v>207.7013411398141</v>
      </c>
      <c r="U171" s="55">
        <f t="shared" si="50"/>
        <v>221.52075482025202</v>
      </c>
      <c r="V171" s="55">
        <f t="shared" si="50"/>
        <v>235.67612811863347</v>
      </c>
      <c r="W171" s="55">
        <f t="shared" si="50"/>
        <v>247.93869005925319</v>
      </c>
      <c r="X171" s="55">
        <f t="shared" si="50"/>
        <v>252.45513699475626</v>
      </c>
      <c r="Y171" s="55">
        <f t="shared" si="50"/>
        <v>261.45851112558404</v>
      </c>
      <c r="Z171" s="55">
        <f t="shared" si="50"/>
        <v>274.92584124955681</v>
      </c>
      <c r="AA171" s="55">
        <f t="shared" si="50"/>
        <v>507.11828277856</v>
      </c>
      <c r="AB171" s="55">
        <f t="shared" si="50"/>
        <v>663.78032046024623</v>
      </c>
      <c r="AC171" s="55">
        <f t="shared" si="50"/>
        <v>804.14759879309338</v>
      </c>
      <c r="AD171" s="55">
        <f t="shared" si="50"/>
        <v>977.08339902714522</v>
      </c>
      <c r="AE171" s="55">
        <f t="shared" si="50"/>
        <v>1216.4277305850405</v>
      </c>
    </row>
    <row r="172" spans="1:31" x14ac:dyDescent="0.25">
      <c r="A172" s="6" t="s">
        <v>530</v>
      </c>
      <c r="B172" s="23" t="s">
        <v>114</v>
      </c>
      <c r="C172" s="55">
        <f t="shared" ref="C172:AE172" si="51">C45*C47+C85*C87+C125*C127</f>
        <v>0</v>
      </c>
      <c r="D172" s="55">
        <f t="shared" si="51"/>
        <v>0</v>
      </c>
      <c r="E172" s="55">
        <f t="shared" si="51"/>
        <v>0</v>
      </c>
      <c r="F172" s="55">
        <f t="shared" si="51"/>
        <v>0</v>
      </c>
      <c r="G172" s="55">
        <f t="shared" si="51"/>
        <v>0</v>
      </c>
      <c r="H172" s="55">
        <f t="shared" si="51"/>
        <v>0</v>
      </c>
      <c r="I172" s="55">
        <f t="shared" si="51"/>
        <v>0</v>
      </c>
      <c r="J172" s="55">
        <f t="shared" si="51"/>
        <v>0</v>
      </c>
      <c r="K172" s="55">
        <f t="shared" si="51"/>
        <v>0</v>
      </c>
      <c r="L172" s="55">
        <f t="shared" si="51"/>
        <v>0</v>
      </c>
      <c r="M172" s="55">
        <f t="shared" si="51"/>
        <v>0</v>
      </c>
      <c r="N172" s="55">
        <f t="shared" si="51"/>
        <v>0</v>
      </c>
      <c r="O172" s="55">
        <f t="shared" si="51"/>
        <v>12935.679331217631</v>
      </c>
      <c r="P172" s="55">
        <f t="shared" si="51"/>
        <v>14663.034884717032</v>
      </c>
      <c r="Q172" s="55">
        <f t="shared" si="51"/>
        <v>16896.485967146655</v>
      </c>
      <c r="R172" s="55">
        <f t="shared" si="51"/>
        <v>18875.093200941497</v>
      </c>
      <c r="S172" s="55">
        <f t="shared" si="51"/>
        <v>21844.294173038812</v>
      </c>
      <c r="T172" s="55">
        <f t="shared" si="51"/>
        <v>26570.566267400143</v>
      </c>
      <c r="U172" s="55">
        <f t="shared" si="51"/>
        <v>31595.857622690717</v>
      </c>
      <c r="V172" s="55">
        <f t="shared" si="51"/>
        <v>36645.384237975864</v>
      </c>
      <c r="W172" s="55">
        <f t="shared" si="51"/>
        <v>49808.021711502821</v>
      </c>
      <c r="X172" s="55">
        <f t="shared" si="51"/>
        <v>61896.400586369869</v>
      </c>
      <c r="Y172" s="55">
        <f t="shared" si="51"/>
        <v>75425.681019524447</v>
      </c>
      <c r="Z172" s="55">
        <f t="shared" si="51"/>
        <v>94463.00785072759</v>
      </c>
      <c r="AA172" s="55">
        <f t="shared" si="51"/>
        <v>868199.62490287679</v>
      </c>
      <c r="AB172" s="55">
        <f t="shared" si="51"/>
        <v>2096491.2059180364</v>
      </c>
      <c r="AC172" s="55">
        <f t="shared" si="51"/>
        <v>4094601.9456244083</v>
      </c>
      <c r="AD172" s="55">
        <f t="shared" si="51"/>
        <v>7091663.279417255</v>
      </c>
      <c r="AE172" s="55">
        <f t="shared" si="51"/>
        <v>11364215.471032072</v>
      </c>
    </row>
    <row r="173" spans="1:31" x14ac:dyDescent="0.25">
      <c r="A173" s="6" t="s">
        <v>531</v>
      </c>
      <c r="B173" s="23" t="s">
        <v>455</v>
      </c>
      <c r="C173" s="60">
        <f t="shared" ref="C173:AE173" si="52">IF(C172=0,0,((C51+C91+C131)/C7)/C172)</f>
        <v>0</v>
      </c>
      <c r="D173" s="60">
        <f t="shared" si="52"/>
        <v>0</v>
      </c>
      <c r="E173" s="60">
        <f t="shared" si="52"/>
        <v>0</v>
      </c>
      <c r="F173" s="60">
        <f t="shared" si="52"/>
        <v>0</v>
      </c>
      <c r="G173" s="60">
        <f t="shared" si="52"/>
        <v>0</v>
      </c>
      <c r="H173" s="60">
        <f t="shared" si="52"/>
        <v>0</v>
      </c>
      <c r="I173" s="60">
        <f t="shared" si="52"/>
        <v>0</v>
      </c>
      <c r="J173" s="60">
        <f t="shared" si="52"/>
        <v>0</v>
      </c>
      <c r="K173" s="60">
        <f t="shared" si="52"/>
        <v>0</v>
      </c>
      <c r="L173" s="60">
        <f t="shared" si="52"/>
        <v>0</v>
      </c>
      <c r="M173" s="60">
        <f t="shared" si="52"/>
        <v>0</v>
      </c>
      <c r="N173" s="60">
        <f t="shared" si="52"/>
        <v>0</v>
      </c>
      <c r="O173" s="60">
        <f t="shared" si="52"/>
        <v>7.4637588297924107E-2</v>
      </c>
      <c r="P173" s="60">
        <f t="shared" si="52"/>
        <v>6.8202927104565422E-2</v>
      </c>
      <c r="Q173" s="60">
        <f t="shared" si="52"/>
        <v>6.6524679772619846E-2</v>
      </c>
      <c r="R173" s="60">
        <f t="shared" si="52"/>
        <v>6.6484350116144647E-2</v>
      </c>
      <c r="S173" s="60">
        <f t="shared" si="52"/>
        <v>6.7179082993765751E-2</v>
      </c>
      <c r="T173" s="60">
        <f t="shared" si="52"/>
        <v>6.272150974269082E-2</v>
      </c>
      <c r="U173" s="60">
        <f t="shared" si="52"/>
        <v>5.7017249059631167E-2</v>
      </c>
      <c r="V173" s="60">
        <f t="shared" si="52"/>
        <v>5.7218933494525871E-2</v>
      </c>
      <c r="W173" s="60">
        <f t="shared" si="52"/>
        <v>6.2621899623123881E-2</v>
      </c>
      <c r="X173" s="60">
        <f t="shared" si="52"/>
        <v>6.3486420132447041E-2</v>
      </c>
      <c r="Y173" s="60">
        <f t="shared" si="52"/>
        <v>6.4600720810889745E-2</v>
      </c>
      <c r="Z173" s="60">
        <f t="shared" si="52"/>
        <v>6.8969141887539651E-2</v>
      </c>
      <c r="AA173" s="60">
        <f t="shared" si="52"/>
        <v>5.0994661622783058E-2</v>
      </c>
      <c r="AB173" s="60">
        <f t="shared" si="52"/>
        <v>4.4924124088645781E-2</v>
      </c>
      <c r="AC173" s="60">
        <f t="shared" si="52"/>
        <v>3.9959438745005377E-2</v>
      </c>
      <c r="AD173" s="60">
        <f t="shared" si="52"/>
        <v>3.4717712955695992E-2</v>
      </c>
      <c r="AE173" s="60">
        <f t="shared" si="52"/>
        <v>2.9022062998442101E-2</v>
      </c>
    </row>
    <row r="175" spans="1:31" x14ac:dyDescent="0.25">
      <c r="A175" s="6" t="s">
        <v>117</v>
      </c>
      <c r="B175" s="23" t="s">
        <v>114</v>
      </c>
      <c r="C175" s="55">
        <f t="shared" ref="C175:AE175" si="53">C54+C94+C134</f>
        <v>391.11766350969344</v>
      </c>
      <c r="D175" s="55">
        <f t="shared" si="53"/>
        <v>743.44153394692603</v>
      </c>
      <c r="E175" s="55">
        <f t="shared" si="53"/>
        <v>1062.785295921037</v>
      </c>
      <c r="F175" s="55">
        <f t="shared" si="53"/>
        <v>1455.0168037984768</v>
      </c>
      <c r="G175" s="55">
        <f t="shared" si="53"/>
        <v>1785.2073982472812</v>
      </c>
      <c r="H175" s="55">
        <f t="shared" si="53"/>
        <v>2037.2758806589022</v>
      </c>
      <c r="I175" s="55">
        <f t="shared" si="53"/>
        <v>2265.2184589206022</v>
      </c>
      <c r="J175" s="55">
        <f t="shared" si="53"/>
        <v>2481.7700027563124</v>
      </c>
      <c r="K175" s="55">
        <f t="shared" si="53"/>
        <v>2718.1975029008381</v>
      </c>
      <c r="L175" s="55">
        <f t="shared" si="53"/>
        <v>3065.48417380096</v>
      </c>
      <c r="M175" s="55">
        <f t="shared" si="53"/>
        <v>3356.9208129628651</v>
      </c>
      <c r="N175" s="55">
        <f t="shared" si="53"/>
        <v>3580.0769153905203</v>
      </c>
      <c r="O175" s="55">
        <f t="shared" si="53"/>
        <v>4793.0836860536601</v>
      </c>
      <c r="P175" s="55">
        <f t="shared" si="53"/>
        <v>5908.2833802747609</v>
      </c>
      <c r="Q175" s="55">
        <f t="shared" si="53"/>
        <v>6938.9081339409886</v>
      </c>
      <c r="R175" s="55">
        <f t="shared" si="53"/>
        <v>8278.1268595221172</v>
      </c>
      <c r="S175" s="55">
        <f t="shared" si="53"/>
        <v>9426.0896047431343</v>
      </c>
      <c r="T175" s="55">
        <f t="shared" si="53"/>
        <v>10303.906653220274</v>
      </c>
      <c r="U175" s="55">
        <f t="shared" si="53"/>
        <v>11110.671565019386</v>
      </c>
      <c r="V175" s="55">
        <f t="shared" si="53"/>
        <v>11893.574159374108</v>
      </c>
      <c r="W175" s="55">
        <f t="shared" si="53"/>
        <v>12778.871962368086</v>
      </c>
      <c r="X175" s="55">
        <f t="shared" si="53"/>
        <v>14148.81503128708</v>
      </c>
      <c r="Y175" s="55">
        <f t="shared" si="53"/>
        <v>15328.244958627234</v>
      </c>
      <c r="Z175" s="55">
        <f t="shared" si="53"/>
        <v>16248.759382135948</v>
      </c>
      <c r="AA175" s="55">
        <f t="shared" si="53"/>
        <v>372337.92343286978</v>
      </c>
      <c r="AB175" s="55">
        <f t="shared" si="53"/>
        <v>605536.71741992002</v>
      </c>
      <c r="AC175" s="55">
        <f t="shared" si="53"/>
        <v>869531.01235441666</v>
      </c>
      <c r="AD175" s="55">
        <f t="shared" si="53"/>
        <v>1078972.9976002094</v>
      </c>
      <c r="AE175" s="55">
        <f t="shared" si="53"/>
        <v>1164459.5221736119</v>
      </c>
    </row>
    <row r="176" spans="1:31" x14ac:dyDescent="0.25">
      <c r="A176" s="6" t="s">
        <v>120</v>
      </c>
      <c r="B176" s="23" t="s">
        <v>114</v>
      </c>
      <c r="C176" s="55">
        <f t="shared" ref="C176:AE176" si="54">C55+C95+C135</f>
        <v>29.751025923767045</v>
      </c>
      <c r="D176" s="55">
        <f t="shared" si="54"/>
        <v>56.553299430776619</v>
      </c>
      <c r="E176" s="55">
        <f t="shared" si="54"/>
        <v>80.848656366728775</v>
      </c>
      <c r="F176" s="55">
        <f t="shared" si="54"/>
        <v>110.69151253869495</v>
      </c>
      <c r="G176" s="55">
        <f t="shared" si="54"/>
        <v>135.81672166151452</v>
      </c>
      <c r="H176" s="55">
        <f t="shared" si="54"/>
        <v>154.99960509843308</v>
      </c>
      <c r="I176" s="55">
        <f t="shared" si="54"/>
        <v>172.34819330224624</v>
      </c>
      <c r="J176" s="55">
        <f t="shared" si="54"/>
        <v>188.83142230981036</v>
      </c>
      <c r="K176" s="55">
        <f t="shared" si="54"/>
        <v>206.82896963333405</v>
      </c>
      <c r="L176" s="55">
        <f t="shared" si="54"/>
        <v>233.26654805062984</v>
      </c>
      <c r="M176" s="55">
        <f t="shared" si="54"/>
        <v>255.45604782698962</v>
      </c>
      <c r="N176" s="55">
        <f t="shared" si="54"/>
        <v>272.45015323991208</v>
      </c>
      <c r="O176" s="55">
        <f t="shared" si="54"/>
        <v>365.25259806419126</v>
      </c>
      <c r="P176" s="55">
        <f t="shared" si="54"/>
        <v>450.60309462863108</v>
      </c>
      <c r="Q176" s="55">
        <f t="shared" si="54"/>
        <v>529.51049078760263</v>
      </c>
      <c r="R176" s="55">
        <f t="shared" si="54"/>
        <v>632.05693417799739</v>
      </c>
      <c r="S176" s="55">
        <f t="shared" si="54"/>
        <v>720.00722043769588</v>
      </c>
      <c r="T176" s="55">
        <f t="shared" si="54"/>
        <v>787.30924411677529</v>
      </c>
      <c r="U176" s="55">
        <f t="shared" si="54"/>
        <v>849.19584521099466</v>
      </c>
      <c r="V176" s="55">
        <f t="shared" si="54"/>
        <v>909.27963503737919</v>
      </c>
      <c r="W176" s="55">
        <f t="shared" si="54"/>
        <v>977.23703015621686</v>
      </c>
      <c r="X176" s="55">
        <f t="shared" si="54"/>
        <v>1082.3828190940653</v>
      </c>
      <c r="Y176" s="55">
        <f t="shared" si="54"/>
        <v>1172.9830157314514</v>
      </c>
      <c r="Z176" s="55">
        <f t="shared" si="54"/>
        <v>1243.7736746107246</v>
      </c>
      <c r="AA176" s="55">
        <f t="shared" si="54"/>
        <v>28721.670441900431</v>
      </c>
      <c r="AB176" s="55">
        <f t="shared" si="54"/>
        <v>46988.220159193304</v>
      </c>
      <c r="AC176" s="55">
        <f t="shared" si="54"/>
        <v>68029.990983369877</v>
      </c>
      <c r="AD176" s="55">
        <f t="shared" si="54"/>
        <v>85336.443177799403</v>
      </c>
      <c r="AE176" s="55">
        <f t="shared" si="54"/>
        <v>93518.440231957444</v>
      </c>
    </row>
    <row r="177" spans="1:31" x14ac:dyDescent="0.25">
      <c r="A177" s="6" t="s">
        <v>126</v>
      </c>
      <c r="B177" s="23" t="s">
        <v>114</v>
      </c>
      <c r="C177" s="55">
        <f t="shared" ref="C177:AE177" si="55">C56+C96+C136</f>
        <v>0</v>
      </c>
      <c r="D177" s="55">
        <f t="shared" si="55"/>
        <v>0</v>
      </c>
      <c r="E177" s="55">
        <f t="shared" si="55"/>
        <v>0</v>
      </c>
      <c r="F177" s="55">
        <f t="shared" si="55"/>
        <v>0</v>
      </c>
      <c r="G177" s="55">
        <f t="shared" si="55"/>
        <v>0</v>
      </c>
      <c r="H177" s="55">
        <f t="shared" si="55"/>
        <v>0</v>
      </c>
      <c r="I177" s="55">
        <f t="shared" si="55"/>
        <v>0</v>
      </c>
      <c r="J177" s="55">
        <f t="shared" si="55"/>
        <v>0</v>
      </c>
      <c r="K177" s="55">
        <f t="shared" si="55"/>
        <v>0</v>
      </c>
      <c r="L177" s="55">
        <f t="shared" si="55"/>
        <v>0</v>
      </c>
      <c r="M177" s="55">
        <f t="shared" si="55"/>
        <v>0</v>
      </c>
      <c r="N177" s="55">
        <f t="shared" si="55"/>
        <v>0</v>
      </c>
      <c r="O177" s="55">
        <f t="shared" si="55"/>
        <v>6.9515129395971922</v>
      </c>
      <c r="P177" s="55">
        <f t="shared" si="55"/>
        <v>7.2004456754931994</v>
      </c>
      <c r="Q177" s="55">
        <f t="shared" si="55"/>
        <v>8.093039891378373</v>
      </c>
      <c r="R177" s="55">
        <f t="shared" si="55"/>
        <v>9.0352677948930413</v>
      </c>
      <c r="S177" s="55">
        <f t="shared" si="55"/>
        <v>10.565853488573817</v>
      </c>
      <c r="T177" s="55">
        <f t="shared" si="55"/>
        <v>11.999131423268761</v>
      </c>
      <c r="U177" s="55">
        <f t="shared" si="55"/>
        <v>12.970863959944335</v>
      </c>
      <c r="V177" s="55">
        <f t="shared" si="55"/>
        <v>15.09703058587743</v>
      </c>
      <c r="W177" s="55">
        <f t="shared" si="55"/>
        <v>22.457325139517554</v>
      </c>
      <c r="X177" s="55">
        <f t="shared" si="55"/>
        <v>28.292982424650134</v>
      </c>
      <c r="Y177" s="55">
        <f t="shared" si="55"/>
        <v>35.08238420289738</v>
      </c>
      <c r="Z177" s="55">
        <f t="shared" si="55"/>
        <v>46.908234659380341</v>
      </c>
      <c r="AA177" s="55">
        <f t="shared" si="55"/>
        <v>3825.2343824308264</v>
      </c>
      <c r="AB177" s="55">
        <f t="shared" si="55"/>
        <v>8137.4138857799862</v>
      </c>
      <c r="AC177" s="55">
        <f t="shared" si="55"/>
        <v>14136.594822549363</v>
      </c>
      <c r="AD177" s="55">
        <f t="shared" si="55"/>
        <v>21272.226921785488</v>
      </c>
      <c r="AE177" s="55">
        <f t="shared" si="55"/>
        <v>28495.841241153299</v>
      </c>
    </row>
    <row r="178" spans="1:31" x14ac:dyDescent="0.25">
      <c r="A178" s="6" t="s">
        <v>124</v>
      </c>
      <c r="B178" s="23" t="s">
        <v>114</v>
      </c>
      <c r="C178" s="55">
        <f t="shared" ref="C178:AE178" si="56">C58+C98+C138</f>
        <v>0</v>
      </c>
      <c r="D178" s="55">
        <f t="shared" si="56"/>
        <v>0</v>
      </c>
      <c r="E178" s="55">
        <f t="shared" si="56"/>
        <v>0</v>
      </c>
      <c r="F178" s="55">
        <f t="shared" si="56"/>
        <v>0</v>
      </c>
      <c r="G178" s="55">
        <f t="shared" si="56"/>
        <v>0</v>
      </c>
      <c r="H178" s="55">
        <f t="shared" si="56"/>
        <v>0</v>
      </c>
      <c r="I178" s="55">
        <f t="shared" si="56"/>
        <v>153.17289829772923</v>
      </c>
      <c r="J178" s="55">
        <f t="shared" si="56"/>
        <v>295.30012014543962</v>
      </c>
      <c r="K178" s="55">
        <f t="shared" si="56"/>
        <v>441.55571994752898</v>
      </c>
      <c r="L178" s="55">
        <f t="shared" si="56"/>
        <v>634.71974972135558</v>
      </c>
      <c r="M178" s="55">
        <f t="shared" si="56"/>
        <v>795.88034266058855</v>
      </c>
      <c r="N178" s="55">
        <f t="shared" si="56"/>
        <v>920.22112165748354</v>
      </c>
      <c r="O178" s="55">
        <f t="shared" si="56"/>
        <v>1512.6169801374363</v>
      </c>
      <c r="P178" s="55">
        <f t="shared" si="56"/>
        <v>2044.4419276983183</v>
      </c>
      <c r="Q178" s="55">
        <f t="shared" si="56"/>
        <v>2524.0244930266263</v>
      </c>
      <c r="R178" s="55">
        <f t="shared" si="56"/>
        <v>3139.6094172325356</v>
      </c>
      <c r="S178" s="55">
        <f t="shared" si="56"/>
        <v>3651.5440538668763</v>
      </c>
      <c r="T178" s="55">
        <f t="shared" si="56"/>
        <v>4025.3811628071462</v>
      </c>
      <c r="U178" s="55">
        <f t="shared" si="56"/>
        <v>4359.149007650607</v>
      </c>
      <c r="V178" s="55">
        <f t="shared" si="56"/>
        <v>4676.4401015130334</v>
      </c>
      <c r="W178" s="55">
        <f t="shared" si="56"/>
        <v>5037.7519268413544</v>
      </c>
      <c r="X178" s="55">
        <f t="shared" si="56"/>
        <v>5623.580346583748</v>
      </c>
      <c r="Y178" s="55">
        <f t="shared" si="56"/>
        <v>6108.9121514070812</v>
      </c>
      <c r="Z178" s="55">
        <f t="shared" si="56"/>
        <v>6464.0787767082584</v>
      </c>
      <c r="AA178" s="55">
        <f t="shared" si="56"/>
        <v>141974.05491126858</v>
      </c>
      <c r="AB178" s="55">
        <f t="shared" si="56"/>
        <v>224673.87605131857</v>
      </c>
      <c r="AC178" s="55">
        <f t="shared" si="56"/>
        <v>314629.292317026</v>
      </c>
      <c r="AD178" s="55">
        <f t="shared" si="56"/>
        <v>377650.72525423276</v>
      </c>
      <c r="AE178" s="55">
        <f t="shared" si="56"/>
        <v>390321.0747471106</v>
      </c>
    </row>
    <row r="179" spans="1:31" x14ac:dyDescent="0.25">
      <c r="A179" s="6" t="s">
        <v>128</v>
      </c>
      <c r="B179" s="23" t="s">
        <v>114</v>
      </c>
      <c r="C179" s="55">
        <f t="shared" ref="C179:AE179" si="57">C59+C99+C139</f>
        <v>0</v>
      </c>
      <c r="D179" s="55">
        <f t="shared" si="57"/>
        <v>0</v>
      </c>
      <c r="E179" s="55">
        <f t="shared" si="57"/>
        <v>0</v>
      </c>
      <c r="F179" s="55">
        <f t="shared" si="57"/>
        <v>0</v>
      </c>
      <c r="G179" s="55">
        <f t="shared" si="57"/>
        <v>0</v>
      </c>
      <c r="H179" s="55">
        <f t="shared" si="57"/>
        <v>0</v>
      </c>
      <c r="I179" s="55">
        <f t="shared" si="57"/>
        <v>0</v>
      </c>
      <c r="J179" s="55">
        <f t="shared" si="57"/>
        <v>0</v>
      </c>
      <c r="K179" s="55">
        <f t="shared" si="57"/>
        <v>0</v>
      </c>
      <c r="L179" s="55">
        <f t="shared" si="57"/>
        <v>0</v>
      </c>
      <c r="M179" s="55">
        <f t="shared" si="57"/>
        <v>0</v>
      </c>
      <c r="N179" s="55">
        <f t="shared" si="57"/>
        <v>0</v>
      </c>
      <c r="O179" s="55">
        <f t="shared" si="57"/>
        <v>397.7847274904924</v>
      </c>
      <c r="P179" s="55">
        <f t="shared" si="57"/>
        <v>466.5568876681927</v>
      </c>
      <c r="Q179" s="55">
        <f t="shared" si="57"/>
        <v>531.91423531731334</v>
      </c>
      <c r="R179" s="55">
        <f t="shared" si="57"/>
        <v>598.27297345639283</v>
      </c>
      <c r="S179" s="55">
        <f t="shared" si="57"/>
        <v>669.24676865688116</v>
      </c>
      <c r="T179" s="55">
        <f t="shared" si="57"/>
        <v>767.73518584388603</v>
      </c>
      <c r="U179" s="55">
        <f t="shared" si="57"/>
        <v>852.81599089820327</v>
      </c>
      <c r="V179" s="55">
        <f t="shared" si="57"/>
        <v>925.0863757760626</v>
      </c>
      <c r="W179" s="55">
        <f t="shared" si="57"/>
        <v>1194.1711809496924</v>
      </c>
      <c r="X179" s="55">
        <f t="shared" si="57"/>
        <v>1466.948677174641</v>
      </c>
      <c r="Y179" s="55">
        <f t="shared" si="57"/>
        <v>1725.8830061791944</v>
      </c>
      <c r="Z179" s="55">
        <f t="shared" si="57"/>
        <v>2047.2384753725685</v>
      </c>
      <c r="AA179" s="55">
        <f t="shared" si="57"/>
        <v>119219.1068570925</v>
      </c>
      <c r="AB179" s="55">
        <f t="shared" si="57"/>
        <v>214155.41446202277</v>
      </c>
      <c r="AC179" s="55">
        <f t="shared" si="57"/>
        <v>337160.00388160266</v>
      </c>
      <c r="AD179" s="55">
        <f t="shared" si="57"/>
        <v>467676.81836310559</v>
      </c>
      <c r="AE179" s="55">
        <f t="shared" si="57"/>
        <v>582031.09840261145</v>
      </c>
    </row>
    <row r="180" spans="1:31" x14ac:dyDescent="0.25">
      <c r="A180" s="6" t="s">
        <v>130</v>
      </c>
      <c r="B180" s="23" t="s">
        <v>114</v>
      </c>
      <c r="C180" s="55">
        <f t="shared" ref="C180:AE180" si="58">C61+C101+C141</f>
        <v>0</v>
      </c>
      <c r="D180" s="55">
        <f t="shared" si="58"/>
        <v>0</v>
      </c>
      <c r="E180" s="55">
        <f t="shared" si="58"/>
        <v>0</v>
      </c>
      <c r="F180" s="55">
        <f t="shared" si="58"/>
        <v>0</v>
      </c>
      <c r="G180" s="55">
        <f t="shared" si="58"/>
        <v>0</v>
      </c>
      <c r="H180" s="55">
        <f t="shared" si="58"/>
        <v>0</v>
      </c>
      <c r="I180" s="55">
        <f t="shared" si="58"/>
        <v>0</v>
      </c>
      <c r="J180" s="55">
        <f t="shared" si="58"/>
        <v>0</v>
      </c>
      <c r="K180" s="55">
        <f t="shared" si="58"/>
        <v>0</v>
      </c>
      <c r="L180" s="55">
        <f t="shared" si="58"/>
        <v>0</v>
      </c>
      <c r="M180" s="55">
        <f t="shared" si="58"/>
        <v>0</v>
      </c>
      <c r="N180" s="55">
        <f t="shared" si="58"/>
        <v>0</v>
      </c>
      <c r="O180" s="55">
        <f t="shared" si="58"/>
        <v>5.1808917602979347</v>
      </c>
      <c r="P180" s="55">
        <f t="shared" si="58"/>
        <v>5.8984203835591966</v>
      </c>
      <c r="Q180" s="55">
        <f t="shared" si="58"/>
        <v>6.7697736340948573</v>
      </c>
      <c r="R180" s="55">
        <f t="shared" si="58"/>
        <v>7.5586418302222373</v>
      </c>
      <c r="S180" s="55">
        <f t="shared" si="58"/>
        <v>8.6753612740526691</v>
      </c>
      <c r="T180" s="55">
        <f t="shared" si="58"/>
        <v>10.398742083928525</v>
      </c>
      <c r="U180" s="55">
        <f t="shared" si="58"/>
        <v>12.171092207376185</v>
      </c>
      <c r="V180" s="55">
        <f t="shared" si="58"/>
        <v>13.893473137876509</v>
      </c>
      <c r="W180" s="55">
        <f t="shared" si="58"/>
        <v>18.646106010050072</v>
      </c>
      <c r="X180" s="55">
        <f t="shared" si="58"/>
        <v>23.05380596881966</v>
      </c>
      <c r="Y180" s="55">
        <f t="shared" si="58"/>
        <v>27.822458017272179</v>
      </c>
      <c r="Z180" s="55">
        <f t="shared" si="58"/>
        <v>34.360563579894801</v>
      </c>
      <c r="AA180" s="55">
        <f t="shared" si="58"/>
        <v>3294.5394898805771</v>
      </c>
      <c r="AB180" s="55">
        <f t="shared" si="58"/>
        <v>7191.9029014747466</v>
      </c>
      <c r="AC180" s="55">
        <f t="shared" si="58"/>
        <v>12826.612167915442</v>
      </c>
      <c r="AD180" s="55">
        <f t="shared" si="58"/>
        <v>19984.752317167156</v>
      </c>
      <c r="AE180" s="55">
        <f>AE61+AE101+AE141</f>
        <v>28141.477010898365</v>
      </c>
    </row>
    <row r="181" spans="1:31" x14ac:dyDescent="0.25">
      <c r="A181" s="6" t="s">
        <v>532</v>
      </c>
      <c r="B181" s="23" t="s">
        <v>498</v>
      </c>
      <c r="C181" s="45">
        <f t="shared" ref="C181:AE181" si="59">C62+C102+C142</f>
        <v>1.3081455191344553</v>
      </c>
      <c r="D181" s="45">
        <f t="shared" si="59"/>
        <v>2.5867530616718835</v>
      </c>
      <c r="E181" s="45">
        <f t="shared" si="59"/>
        <v>3.8453275845148944</v>
      </c>
      <c r="F181" s="45">
        <f t="shared" si="59"/>
        <v>5.4294868484985077</v>
      </c>
      <c r="G181" s="45">
        <f t="shared" si="59"/>
        <v>6.9066407224368112</v>
      </c>
      <c r="H181" s="45">
        <f t="shared" si="59"/>
        <v>8.2071192113480489</v>
      </c>
      <c r="I181" s="45">
        <f t="shared" si="59"/>
        <v>9.4914888654282965</v>
      </c>
      <c r="J181" s="45">
        <f t="shared" si="59"/>
        <v>10.796156153423386</v>
      </c>
      <c r="K181" s="45">
        <f t="shared" si="59"/>
        <v>12.222761141226043</v>
      </c>
      <c r="L181" s="45">
        <f t="shared" si="59"/>
        <v>14.080640224113704</v>
      </c>
      <c r="M181" s="45">
        <f t="shared" si="59"/>
        <v>15.840705103005282</v>
      </c>
      <c r="N181" s="45">
        <f t="shared" si="59"/>
        <v>17.44708809000819</v>
      </c>
      <c r="O181" s="45">
        <f t="shared" si="59"/>
        <v>22.478649390980159</v>
      </c>
      <c r="P181" s="45">
        <f t="shared" si="59"/>
        <v>27.493963513741825</v>
      </c>
      <c r="Q181" s="45">
        <f t="shared" si="59"/>
        <v>32.512433148496939</v>
      </c>
      <c r="R181" s="45">
        <f t="shared" si="59"/>
        <v>38.8432450770324</v>
      </c>
      <c r="S181" s="45">
        <f t="shared" si="59"/>
        <v>44.874018048943313</v>
      </c>
      <c r="T181" s="45">
        <f t="shared" si="59"/>
        <v>50.288062595832344</v>
      </c>
      <c r="U181" s="45">
        <f t="shared" si="59"/>
        <v>55.689364785330163</v>
      </c>
      <c r="V181" s="45">
        <f t="shared" si="59"/>
        <v>61.219236647513284</v>
      </c>
      <c r="W181" s="45">
        <f t="shared" si="59"/>
        <v>67.298887861128179</v>
      </c>
      <c r="X181" s="45">
        <f t="shared" si="59"/>
        <v>75.248814954682061</v>
      </c>
      <c r="Y181" s="45">
        <f t="shared" si="59"/>
        <v>82.908952195346245</v>
      </c>
      <c r="Z181" s="45">
        <f t="shared" si="59"/>
        <v>89.998392314491241</v>
      </c>
      <c r="AA181" s="45">
        <f t="shared" si="59"/>
        <v>2591.9213643556177</v>
      </c>
      <c r="AB181" s="45">
        <f t="shared" si="59"/>
        <v>4943.7330569372025</v>
      </c>
      <c r="AC181" s="45">
        <f t="shared" si="59"/>
        <v>8180.5494266280621</v>
      </c>
      <c r="AD181" s="45">
        <f t="shared" si="59"/>
        <v>11963.64977463723</v>
      </c>
      <c r="AE181" s="45">
        <f t="shared" si="59"/>
        <v>15765.726733711885</v>
      </c>
    </row>
    <row r="182" spans="1:31" x14ac:dyDescent="0.25">
      <c r="A182" s="6" t="s">
        <v>533</v>
      </c>
      <c r="B182" s="23" t="s">
        <v>498</v>
      </c>
      <c r="C182" s="45">
        <f t="shared" ref="C182:AE182" si="60">C53+C93+C133</f>
        <v>0</v>
      </c>
      <c r="D182" s="45">
        <f t="shared" si="60"/>
        <v>0</v>
      </c>
      <c r="E182" s="45">
        <f t="shared" si="60"/>
        <v>0</v>
      </c>
      <c r="F182" s="45">
        <f t="shared" si="60"/>
        <v>0</v>
      </c>
      <c r="G182" s="45">
        <f t="shared" si="60"/>
        <v>0</v>
      </c>
      <c r="H182" s="45">
        <f t="shared" si="60"/>
        <v>0</v>
      </c>
      <c r="I182" s="45">
        <f t="shared" si="60"/>
        <v>0</v>
      </c>
      <c r="J182" s="45">
        <f t="shared" si="60"/>
        <v>0</v>
      </c>
      <c r="K182" s="45">
        <f t="shared" si="60"/>
        <v>0</v>
      </c>
      <c r="L182" s="45">
        <f t="shared" si="60"/>
        <v>0</v>
      </c>
      <c r="M182" s="45">
        <f t="shared" si="60"/>
        <v>0</v>
      </c>
      <c r="N182" s="45">
        <f t="shared" si="60"/>
        <v>0</v>
      </c>
      <c r="O182" s="45">
        <f t="shared" si="60"/>
        <v>73.692657709314119</v>
      </c>
      <c r="P182" s="45">
        <f t="shared" si="60"/>
        <v>86.858589369068383</v>
      </c>
      <c r="Q182" s="45">
        <f t="shared" si="60"/>
        <v>98.729331374900312</v>
      </c>
      <c r="R182" s="45">
        <f t="shared" si="60"/>
        <v>110.92902061329752</v>
      </c>
      <c r="S182" s="45">
        <f t="shared" si="60"/>
        <v>123.11598346405285</v>
      </c>
      <c r="T182" s="45">
        <f t="shared" si="60"/>
        <v>138.50642127119193</v>
      </c>
      <c r="U182" s="45">
        <f t="shared" si="60"/>
        <v>151.71116868768809</v>
      </c>
      <c r="V182" s="45">
        <f t="shared" si="60"/>
        <v>162.45001557289024</v>
      </c>
      <c r="W182" s="45">
        <f t="shared" si="60"/>
        <v>208.8885955271499</v>
      </c>
      <c r="X182" s="45">
        <f t="shared" si="60"/>
        <v>254.79401649861259</v>
      </c>
      <c r="Y182" s="45">
        <f t="shared" si="60"/>
        <v>297.40409012213871</v>
      </c>
      <c r="Z182" s="45">
        <f t="shared" si="60"/>
        <v>349.40881591264088</v>
      </c>
      <c r="AA182" s="45">
        <f t="shared" si="60"/>
        <v>17768.146814717853</v>
      </c>
      <c r="AB182" s="45">
        <f t="shared" si="60"/>
        <v>28877.220212273452</v>
      </c>
      <c r="AC182" s="45">
        <f t="shared" si="60"/>
        <v>41409.729408968873</v>
      </c>
      <c r="AD182" s="45">
        <f t="shared" si="60"/>
        <v>51283.147737993808</v>
      </c>
      <c r="AE182" s="45">
        <f t="shared" si="60"/>
        <v>55180.867270713017</v>
      </c>
    </row>
    <row r="183" spans="1:31" x14ac:dyDescent="0.25">
      <c r="A183" s="3" t="s">
        <v>534</v>
      </c>
      <c r="B183" s="23" t="s">
        <v>114</v>
      </c>
      <c r="C183" s="57">
        <f t="shared" ref="C183:AE183" si="61">C63+C103+C143+C147</f>
        <v>420.86868943346053</v>
      </c>
      <c r="D183" s="57">
        <f t="shared" si="61"/>
        <v>799.99483337770266</v>
      </c>
      <c r="E183" s="57">
        <f t="shared" si="61"/>
        <v>1143.6339522877656</v>
      </c>
      <c r="F183" s="57">
        <f t="shared" si="61"/>
        <v>1565.7083163371717</v>
      </c>
      <c r="G183" s="57">
        <f t="shared" si="61"/>
        <v>1921.0241199087959</v>
      </c>
      <c r="H183" s="57">
        <f t="shared" si="61"/>
        <v>2192.275485757335</v>
      </c>
      <c r="I183" s="57">
        <f t="shared" si="61"/>
        <v>2590.7395505205777</v>
      </c>
      <c r="J183" s="57">
        <f t="shared" si="61"/>
        <v>2965.9015452115627</v>
      </c>
      <c r="K183" s="57">
        <f t="shared" si="61"/>
        <v>3366.582192481701</v>
      </c>
      <c r="L183" s="57">
        <f t="shared" si="61"/>
        <v>3933.4704715729454</v>
      </c>
      <c r="M183" s="57">
        <f t="shared" si="61"/>
        <v>4408.2572034504428</v>
      </c>
      <c r="N183" s="57">
        <f t="shared" si="61"/>
        <v>4772.7481902879153</v>
      </c>
      <c r="O183" s="57">
        <f t="shared" si="61"/>
        <v>18893.370396445673</v>
      </c>
      <c r="P183" s="57">
        <f t="shared" si="61"/>
        <v>20695.484156328956</v>
      </c>
      <c r="Q183" s="57">
        <f t="shared" si="61"/>
        <v>22351.720166598003</v>
      </c>
      <c r="R183" s="57">
        <f t="shared" si="61"/>
        <v>24477.160094014158</v>
      </c>
      <c r="S183" s="57">
        <f t="shared" si="61"/>
        <v>26298.628862467216</v>
      </c>
      <c r="T183" s="57">
        <f t="shared" si="61"/>
        <v>27719.230119495278</v>
      </c>
      <c r="U183" s="57">
        <f t="shared" si="61"/>
        <v>29009.474364946509</v>
      </c>
      <c r="V183" s="57">
        <f t="shared" si="61"/>
        <v>30245.870775424337</v>
      </c>
      <c r="W183" s="57">
        <f t="shared" si="61"/>
        <v>31841.635531464919</v>
      </c>
      <c r="X183" s="57">
        <f t="shared" si="61"/>
        <v>34185.573662533003</v>
      </c>
      <c r="Y183" s="57">
        <f t="shared" si="61"/>
        <v>36211.427974165126</v>
      </c>
      <c r="Z183" s="57">
        <f t="shared" si="61"/>
        <v>37897.61910706677</v>
      </c>
      <c r="AA183" s="57">
        <f t="shared" si="61"/>
        <v>1094622.5295154427</v>
      </c>
      <c r="AB183" s="57">
        <f t="shared" si="61"/>
        <v>1815433.5448797094</v>
      </c>
      <c r="AC183" s="57">
        <f t="shared" si="61"/>
        <v>2608563.50652688</v>
      </c>
      <c r="AD183" s="57">
        <f t="shared" si="61"/>
        <v>3326643.9636342996</v>
      </c>
      <c r="AE183" s="57">
        <f t="shared" si="61"/>
        <v>3846217.4538073428</v>
      </c>
    </row>
    <row r="184" spans="1:31" x14ac:dyDescent="0.25">
      <c r="A184" s="6" t="s">
        <v>535</v>
      </c>
      <c r="B184" s="23" t="s">
        <v>114</v>
      </c>
      <c r="C184" s="55">
        <f t="shared" ref="C184:AE184" si="62">IF(C151=0,0,C183/C151/C7*12)</f>
        <v>20.082784680615728</v>
      </c>
      <c r="D184" s="55">
        <f t="shared" si="62"/>
        <v>20.083055205380262</v>
      </c>
      <c r="E184" s="55">
        <f t="shared" si="62"/>
        <v>20.083318113602214</v>
      </c>
      <c r="F184" s="55">
        <f t="shared" si="62"/>
        <v>20.083628292287052</v>
      </c>
      <c r="G184" s="55">
        <f t="shared" si="62"/>
        <v>20.083925607688961</v>
      </c>
      <c r="H184" s="55">
        <f t="shared" si="62"/>
        <v>20.084189227679374</v>
      </c>
      <c r="I184" s="55">
        <f t="shared" si="62"/>
        <v>21.346523669861213</v>
      </c>
      <c r="J184" s="55">
        <f t="shared" si="62"/>
        <v>22.30556488438917</v>
      </c>
      <c r="K184" s="55">
        <f t="shared" si="62"/>
        <v>23.11698562085094</v>
      </c>
      <c r="L184" s="55">
        <f t="shared" si="62"/>
        <v>23.950042597832535</v>
      </c>
      <c r="M184" s="55">
        <f t="shared" si="62"/>
        <v>24.511021843396833</v>
      </c>
      <c r="N184" s="55">
        <f t="shared" si="62"/>
        <v>24.883832797521549</v>
      </c>
      <c r="O184" s="55">
        <f t="shared" si="62"/>
        <v>73.312434815496673</v>
      </c>
      <c r="P184" s="55">
        <f t="shared" si="62"/>
        <v>65.017018469911676</v>
      </c>
      <c r="Q184" s="55">
        <f t="shared" si="62"/>
        <v>59.71379387184038</v>
      </c>
      <c r="R184" s="55">
        <f t="shared" si="62"/>
        <v>54.75237596337665</v>
      </c>
      <c r="S184" s="55">
        <f t="shared" si="62"/>
        <v>51.625717103703572</v>
      </c>
      <c r="T184" s="55">
        <f t="shared" si="62"/>
        <v>49.755529347959339</v>
      </c>
      <c r="U184" s="55">
        <f t="shared" si="62"/>
        <v>48.272819397433587</v>
      </c>
      <c r="V184" s="55">
        <f t="shared" si="62"/>
        <v>47.00295817985284</v>
      </c>
      <c r="W184" s="55">
        <f t="shared" si="62"/>
        <v>46.042087655049812</v>
      </c>
      <c r="X184" s="55">
        <f t="shared" si="62"/>
        <v>44.632065888578524</v>
      </c>
      <c r="Y184" s="55">
        <f t="shared" si="62"/>
        <v>43.629993554407108</v>
      </c>
      <c r="Z184" s="55">
        <f t="shared" si="62"/>
        <v>43.06831037632935</v>
      </c>
      <c r="AA184" s="55">
        <f t="shared" si="62"/>
        <v>54.305347166452179</v>
      </c>
      <c r="AB184" s="55">
        <f t="shared" si="62"/>
        <v>55.417294196382628</v>
      </c>
      <c r="AC184" s="55">
        <f t="shared" si="62"/>
        <v>55.528937995218755</v>
      </c>
      <c r="AD184" s="55">
        <f t="shared" si="62"/>
        <v>57.181032692251364</v>
      </c>
      <c r="AE184" s="55">
        <f t="shared" si="62"/>
        <v>61.442044468569094</v>
      </c>
    </row>
    <row r="185" spans="1:31" x14ac:dyDescent="0.25">
      <c r="A185" s="6" t="s">
        <v>536</v>
      </c>
      <c r="B185" s="23" t="s">
        <v>527</v>
      </c>
      <c r="C185" s="59">
        <f t="shared" ref="C185:AE185" si="63">C183-(C175+C176+C177+C178+C179+C180+C147)</f>
        <v>0</v>
      </c>
      <c r="D185" s="59">
        <f t="shared" si="63"/>
        <v>0</v>
      </c>
      <c r="E185" s="59">
        <f t="shared" si="63"/>
        <v>0</v>
      </c>
      <c r="F185" s="59">
        <f t="shared" si="63"/>
        <v>0</v>
      </c>
      <c r="G185" s="59">
        <f t="shared" si="63"/>
        <v>0</v>
      </c>
      <c r="H185" s="59">
        <f t="shared" si="63"/>
        <v>0</v>
      </c>
      <c r="I185" s="59">
        <f t="shared" si="63"/>
        <v>0</v>
      </c>
      <c r="J185" s="59">
        <f t="shared" si="63"/>
        <v>0</v>
      </c>
      <c r="K185" s="59">
        <f t="shared" si="63"/>
        <v>0</v>
      </c>
      <c r="L185" s="59">
        <f t="shared" si="63"/>
        <v>0</v>
      </c>
      <c r="M185" s="59">
        <f t="shared" si="63"/>
        <v>0</v>
      </c>
      <c r="N185" s="59">
        <f t="shared" si="63"/>
        <v>0</v>
      </c>
      <c r="O185" s="59">
        <f t="shared" si="63"/>
        <v>0</v>
      </c>
      <c r="P185" s="59">
        <f t="shared" si="63"/>
        <v>0</v>
      </c>
      <c r="Q185" s="59">
        <f t="shared" si="63"/>
        <v>0</v>
      </c>
      <c r="R185" s="59">
        <f t="shared" si="63"/>
        <v>0</v>
      </c>
      <c r="S185" s="59">
        <f t="shared" si="63"/>
        <v>0</v>
      </c>
      <c r="T185" s="59">
        <f t="shared" si="63"/>
        <v>0</v>
      </c>
      <c r="U185" s="59">
        <f t="shared" si="63"/>
        <v>0</v>
      </c>
      <c r="V185" s="59">
        <f t="shared" si="63"/>
        <v>0</v>
      </c>
      <c r="W185" s="59">
        <f t="shared" si="63"/>
        <v>0</v>
      </c>
      <c r="X185" s="59">
        <f t="shared" si="63"/>
        <v>0</v>
      </c>
      <c r="Y185" s="59">
        <f t="shared" si="63"/>
        <v>0</v>
      </c>
      <c r="Z185" s="59">
        <f t="shared" si="63"/>
        <v>0</v>
      </c>
      <c r="AA185" s="59">
        <f t="shared" si="63"/>
        <v>0</v>
      </c>
      <c r="AB185" s="59">
        <f t="shared" si="63"/>
        <v>0</v>
      </c>
      <c r="AC185" s="59">
        <f t="shared" si="63"/>
        <v>0</v>
      </c>
      <c r="AD185" s="59">
        <f t="shared" si="63"/>
        <v>0</v>
      </c>
      <c r="AE185" s="59">
        <f t="shared" si="63"/>
        <v>0</v>
      </c>
    </row>
  </sheetData>
  <pageMargins left="0.75" right="0.75" top="1" bottom="1"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5"/>
  <sheetViews>
    <sheetView showGridLines="0" tabSelected="1" zoomScaleNormal="100" workbookViewId="0">
      <selection activeCell="Q15" sqref="Q15"/>
    </sheetView>
  </sheetViews>
  <sheetFormatPr defaultColWidth="8.7109375" defaultRowHeight="15" x14ac:dyDescent="0.25"/>
  <cols>
    <col min="1" max="1" width="46" customWidth="1"/>
    <col min="2" max="2" width="4" customWidth="1"/>
    <col min="4" max="10" width="16" customWidth="1"/>
  </cols>
  <sheetData>
    <row r="1" spans="1:11" ht="22.5" x14ac:dyDescent="0.3">
      <c r="A1" s="10" t="str">
        <f>Cover!$B$2</f>
        <v>Aurumix Revenue Model</v>
      </c>
    </row>
    <row r="2" spans="1:11" ht="18" x14ac:dyDescent="0.25">
      <c r="A2" s="11" t="s">
        <v>537</v>
      </c>
    </row>
    <row r="4" spans="1:11" x14ac:dyDescent="0.25">
      <c r="D4" s="61" t="s">
        <v>538</v>
      </c>
      <c r="E4" s="61" t="s">
        <v>539</v>
      </c>
      <c r="F4" s="61" t="s">
        <v>424</v>
      </c>
      <c r="G4" s="61" t="s">
        <v>425</v>
      </c>
      <c r="H4" s="61" t="s">
        <v>426</v>
      </c>
      <c r="I4" s="61" t="s">
        <v>427</v>
      </c>
      <c r="J4" s="61" t="s">
        <v>428</v>
      </c>
    </row>
    <row r="6" spans="1:11" ht="18" customHeight="1" x14ac:dyDescent="0.25">
      <c r="A6" s="12" t="s">
        <v>540</v>
      </c>
      <c r="B6" s="13"/>
      <c r="C6" s="13"/>
      <c r="D6" s="13"/>
      <c r="E6" s="13"/>
      <c r="F6" s="13"/>
      <c r="G6" s="13"/>
      <c r="H6" s="13"/>
      <c r="I6" s="13"/>
      <c r="J6" s="13"/>
      <c r="K6" s="13"/>
    </row>
    <row r="7" spans="1:11" x14ac:dyDescent="0.25">
      <c r="A7" s="6" t="s">
        <v>541</v>
      </c>
      <c r="D7" s="36">
        <f>SUM(Model!C63:N63)</f>
        <v>10086.53156486807</v>
      </c>
      <c r="E7" s="36">
        <f>SUM(Model!O63:Z63)</f>
        <v>63021.160783268657</v>
      </c>
      <c r="F7" s="36">
        <f>Model!AA63</f>
        <v>221090.13712520164</v>
      </c>
      <c r="G7" s="36">
        <f>Model!AB63</f>
        <v>379170.91650608368</v>
      </c>
      <c r="H7" s="36">
        <f>Model!AC63</f>
        <v>582723.08540121245</v>
      </c>
      <c r="I7" s="36">
        <f>Model!AD63</f>
        <v>787688.10994947737</v>
      </c>
      <c r="J7" s="36">
        <f>Model!AE63</f>
        <v>953059.32858630456</v>
      </c>
    </row>
    <row r="8" spans="1:11" x14ac:dyDescent="0.25">
      <c r="A8" s="6" t="s">
        <v>542</v>
      </c>
      <c r="D8" s="36">
        <f>SUM(Model!C103:N103)</f>
        <v>0</v>
      </c>
      <c r="E8" s="36">
        <f>SUM(Model!O103:Z103)</f>
        <v>10578.692440428764</v>
      </c>
      <c r="F8" s="36">
        <f>Model!AA103</f>
        <v>49328.964968768298</v>
      </c>
      <c r="G8" s="36">
        <f>Model!AB103</f>
        <v>87289.961751599185</v>
      </c>
      <c r="H8" s="36">
        <f>Model!AC103</f>
        <v>135555.9100983548</v>
      </c>
      <c r="I8" s="36">
        <f>Model!AD103</f>
        <v>184026.32504237723</v>
      </c>
      <c r="J8" s="36">
        <f>Model!AE103</f>
        <v>221723.22917398604</v>
      </c>
    </row>
    <row r="9" spans="1:11" x14ac:dyDescent="0.25">
      <c r="A9" s="6" t="s">
        <v>543</v>
      </c>
      <c r="D9" s="36">
        <f>SUM(Model!C143:N143)</f>
        <v>19994.672985759305</v>
      </c>
      <c r="E9" s="36">
        <f>SUM(Model!O143:Z143)</f>
        <v>124477.34198725254</v>
      </c>
      <c r="F9" s="36">
        <f>Model!AA143</f>
        <v>398953.42742147279</v>
      </c>
      <c r="G9" s="36">
        <f>Model!AB143</f>
        <v>640222.66662202659</v>
      </c>
      <c r="H9" s="36">
        <f>Model!AC143</f>
        <v>898034.51102731284</v>
      </c>
      <c r="I9" s="36">
        <f>Model!AD143</f>
        <v>1079179.5286424451</v>
      </c>
      <c r="J9" s="36">
        <f>Model!AE143</f>
        <v>1112184.8960470525</v>
      </c>
    </row>
    <row r="10" spans="1:11" x14ac:dyDescent="0.25">
      <c r="A10" s="6" t="s">
        <v>544</v>
      </c>
      <c r="D10" s="36">
        <f>SUM(Model!C147:N147)</f>
        <v>0</v>
      </c>
      <c r="E10" s="36">
        <f>SUM(Model!O147:Z147)</f>
        <v>141750</v>
      </c>
      <c r="F10" s="36">
        <f>Model!AA147</f>
        <v>425250</v>
      </c>
      <c r="G10" s="36">
        <f>Model!AB147</f>
        <v>708750</v>
      </c>
      <c r="H10" s="36">
        <f>Model!AC147</f>
        <v>992250</v>
      </c>
      <c r="I10" s="36">
        <f>Model!AD147</f>
        <v>1275750</v>
      </c>
      <c r="J10" s="36">
        <f>Model!AE147</f>
        <v>1559250</v>
      </c>
    </row>
    <row r="11" spans="1:11" x14ac:dyDescent="0.25">
      <c r="A11" s="3" t="s">
        <v>545</v>
      </c>
      <c r="D11" s="62">
        <f>SUM(Model!C183:N183)</f>
        <v>30081.204550627379</v>
      </c>
      <c r="E11" s="62">
        <f>SUM(Model!O183:Z183)</f>
        <v>339827.19521094993</v>
      </c>
      <c r="F11" s="62">
        <f>Model!AA183</f>
        <v>1094622.5295154427</v>
      </c>
      <c r="G11" s="62">
        <f>Model!AB183</f>
        <v>1815433.5448797094</v>
      </c>
      <c r="H11" s="62">
        <f>Model!AC183</f>
        <v>2608563.50652688</v>
      </c>
      <c r="I11" s="62">
        <f>Model!AD183</f>
        <v>3326643.9636342996</v>
      </c>
      <c r="J11" s="62">
        <f>Model!AE183</f>
        <v>3846217.4538073428</v>
      </c>
    </row>
    <row r="13" spans="1:11" ht="18" customHeight="1" x14ac:dyDescent="0.25">
      <c r="A13" s="12" t="s">
        <v>546</v>
      </c>
      <c r="B13" s="13"/>
      <c r="C13" s="13"/>
      <c r="D13" s="13"/>
      <c r="E13" s="13"/>
      <c r="F13" s="13"/>
      <c r="G13" s="13"/>
      <c r="H13" s="13"/>
      <c r="I13" s="13"/>
      <c r="J13" s="13"/>
      <c r="K13" s="13"/>
    </row>
    <row r="14" spans="1:11" x14ac:dyDescent="0.25">
      <c r="A14" s="6" t="s">
        <v>547</v>
      </c>
      <c r="D14" s="36">
        <f>SUM(Model!C175:N175)</f>
        <v>24942.512442814415</v>
      </c>
      <c r="E14" s="36">
        <f>SUM(Model!O175:Z175)</f>
        <v>127157.33537656679</v>
      </c>
      <c r="F14" s="36">
        <f>Model!AA175</f>
        <v>372337.92343286978</v>
      </c>
      <c r="G14" s="36">
        <f>Model!AB175</f>
        <v>605536.71741992002</v>
      </c>
      <c r="H14" s="36">
        <f>Model!AC175</f>
        <v>869531.01235441666</v>
      </c>
      <c r="I14" s="36">
        <f>Model!AD175</f>
        <v>1078972.9976002094</v>
      </c>
      <c r="J14" s="36">
        <f>Model!AE175</f>
        <v>1164459.5221736119</v>
      </c>
    </row>
    <row r="15" spans="1:11" x14ac:dyDescent="0.25">
      <c r="A15" s="6" t="s">
        <v>548</v>
      </c>
      <c r="D15" s="36">
        <f>SUM(Model!C176:N176)</f>
        <v>1897.8421553828371</v>
      </c>
      <c r="E15" s="36">
        <f>SUM(Model!O176:Z176)</f>
        <v>9719.5916020537261</v>
      </c>
      <c r="F15" s="36">
        <f>Model!AA176</f>
        <v>28721.670441900431</v>
      </c>
      <c r="G15" s="36">
        <f>Model!AB176</f>
        <v>46988.220159193304</v>
      </c>
      <c r="H15" s="36">
        <f>Model!AC176</f>
        <v>68029.990983369877</v>
      </c>
      <c r="I15" s="36">
        <f>Model!AD176</f>
        <v>85336.443177799403</v>
      </c>
      <c r="J15" s="36">
        <f>Model!AE176</f>
        <v>93518.440231957444</v>
      </c>
    </row>
    <row r="16" spans="1:11" x14ac:dyDescent="0.25">
      <c r="A16" s="6" t="s">
        <v>549</v>
      </c>
      <c r="D16" s="36">
        <f>SUM(Model!C177:N177)</f>
        <v>0</v>
      </c>
      <c r="E16" s="36">
        <f>SUM(Model!O177:Z177)</f>
        <v>214.65407218547153</v>
      </c>
      <c r="F16" s="36">
        <f>Model!AA177</f>
        <v>3825.2343824308264</v>
      </c>
      <c r="G16" s="36">
        <f>Model!AB177</f>
        <v>8137.4138857799862</v>
      </c>
      <c r="H16" s="36">
        <f>Model!AC177</f>
        <v>14136.594822549363</v>
      </c>
      <c r="I16" s="36">
        <f>Model!AD177</f>
        <v>21272.226921785488</v>
      </c>
      <c r="J16" s="36">
        <f>Model!AE177</f>
        <v>28495.841241153299</v>
      </c>
    </row>
    <row r="17" spans="1:11" x14ac:dyDescent="0.25">
      <c r="A17" s="6" t="s">
        <v>550</v>
      </c>
      <c r="D17" s="36">
        <f>SUM(Model!C178:N178)</f>
        <v>3240.8499524301251</v>
      </c>
      <c r="E17" s="36">
        <f>SUM(Model!O178:Z178)</f>
        <v>49167.530345473016</v>
      </c>
      <c r="F17" s="36">
        <f>Model!AA178</f>
        <v>141974.05491126858</v>
      </c>
      <c r="G17" s="36">
        <f>Model!AB178</f>
        <v>224673.87605131857</v>
      </c>
      <c r="H17" s="36">
        <f>Model!AC178</f>
        <v>314629.292317026</v>
      </c>
      <c r="I17" s="36">
        <f>Model!AD178</f>
        <v>377650.72525423276</v>
      </c>
      <c r="J17" s="36">
        <f>Model!AE178</f>
        <v>390321.0747471106</v>
      </c>
    </row>
    <row r="18" spans="1:11" x14ac:dyDescent="0.25">
      <c r="A18" s="6" t="s">
        <v>551</v>
      </c>
      <c r="D18" s="36">
        <f>SUM(Model!C179:N179)</f>
        <v>0</v>
      </c>
      <c r="E18" s="36">
        <f>SUM(Model!O179:Z179)</f>
        <v>11643.654484783521</v>
      </c>
      <c r="F18" s="36">
        <f>Model!AA179</f>
        <v>119219.1068570925</v>
      </c>
      <c r="G18" s="36">
        <f>Model!AB179</f>
        <v>214155.41446202277</v>
      </c>
      <c r="H18" s="36">
        <f>Model!AC179</f>
        <v>337160.00388160266</v>
      </c>
      <c r="I18" s="36">
        <f>Model!AD179</f>
        <v>467676.81836310559</v>
      </c>
      <c r="J18" s="36">
        <f>Model!AE179</f>
        <v>582031.09840261145</v>
      </c>
    </row>
    <row r="19" spans="1:11" x14ac:dyDescent="0.25">
      <c r="A19" s="6" t="s">
        <v>552</v>
      </c>
      <c r="D19" s="36">
        <f>SUM(Model!C180:N180)</f>
        <v>0</v>
      </c>
      <c r="E19" s="36">
        <f>SUM(Model!O180:Z180)</f>
        <v>174.42932988744482</v>
      </c>
      <c r="F19" s="36">
        <f>Model!AA180</f>
        <v>3294.5394898805771</v>
      </c>
      <c r="G19" s="36">
        <f>Model!AB180</f>
        <v>7191.9029014747466</v>
      </c>
      <c r="H19" s="36">
        <f>Model!AC180</f>
        <v>12826.612167915442</v>
      </c>
      <c r="I19" s="36">
        <f>Model!AD180</f>
        <v>19984.752317167156</v>
      </c>
      <c r="J19" s="36">
        <f>Model!AE180</f>
        <v>28141.477010898365</v>
      </c>
    </row>
    <row r="20" spans="1:11" x14ac:dyDescent="0.25">
      <c r="A20" s="6" t="s">
        <v>553</v>
      </c>
      <c r="D20" s="36">
        <f>SUM(Model!C147:N147)</f>
        <v>0</v>
      </c>
      <c r="E20" s="36">
        <f>SUM(Model!O147:Z147)</f>
        <v>141750</v>
      </c>
      <c r="F20" s="36">
        <f>Model!AA147</f>
        <v>425250</v>
      </c>
      <c r="G20" s="36">
        <f>Model!AB147</f>
        <v>708750</v>
      </c>
      <c r="H20" s="36">
        <f>Model!AC147</f>
        <v>992250</v>
      </c>
      <c r="I20" s="36">
        <f>Model!AD147</f>
        <v>1275750</v>
      </c>
      <c r="J20" s="36">
        <f>Model!AE147</f>
        <v>1559250</v>
      </c>
    </row>
    <row r="21" spans="1:11" x14ac:dyDescent="0.25">
      <c r="A21" s="3" t="s">
        <v>554</v>
      </c>
      <c r="D21" s="62">
        <f>SUM(Model!C183:N183)</f>
        <v>30081.204550627379</v>
      </c>
      <c r="E21" s="62">
        <f>SUM(Model!O183:Z183)</f>
        <v>339827.19521094993</v>
      </c>
      <c r="F21" s="62">
        <f>Model!AA183</f>
        <v>1094622.5295154427</v>
      </c>
      <c r="G21" s="62">
        <f>Model!AB183</f>
        <v>1815433.5448797094</v>
      </c>
      <c r="H21" s="62">
        <f>Model!AC183</f>
        <v>2608563.50652688</v>
      </c>
      <c r="I21" s="62">
        <f>Model!AD183</f>
        <v>3326643.9636342996</v>
      </c>
      <c r="J21" s="62">
        <f>Model!AE183</f>
        <v>3846217.4538073428</v>
      </c>
    </row>
    <row r="23" spans="1:11" ht="18" customHeight="1" x14ac:dyDescent="0.25">
      <c r="A23" s="12" t="s">
        <v>555</v>
      </c>
      <c r="B23" s="13"/>
      <c r="C23" s="13"/>
      <c r="D23" s="13"/>
      <c r="E23" s="13"/>
      <c r="F23" s="13"/>
      <c r="G23" s="13"/>
      <c r="H23" s="13"/>
      <c r="I23" s="13"/>
      <c r="J23" s="13"/>
      <c r="K23" s="13"/>
    </row>
    <row r="24" spans="1:11" x14ac:dyDescent="0.25">
      <c r="A24" t="s">
        <v>556</v>
      </c>
      <c r="D24" s="63">
        <f t="shared" ref="D24:J30" si="0">IF(D$11=0,0,D14/D$11)</f>
        <v>0.82917266164776005</v>
      </c>
      <c r="E24" s="63">
        <f t="shared" si="0"/>
        <v>0.37418234081481633</v>
      </c>
      <c r="F24" s="63">
        <f t="shared" si="0"/>
        <v>0.34015189107946908</v>
      </c>
      <c r="G24" s="63">
        <f t="shared" si="0"/>
        <v>0.33354937123850648</v>
      </c>
      <c r="H24" s="63">
        <f t="shared" si="0"/>
        <v>0.33333710687079898</v>
      </c>
      <c r="I24" s="63">
        <f t="shared" si="0"/>
        <v>0.32434279393742232</v>
      </c>
      <c r="J24" s="63">
        <f t="shared" si="0"/>
        <v>0.3027544688147889</v>
      </c>
    </row>
    <row r="25" spans="1:11" x14ac:dyDescent="0.25">
      <c r="A25" t="s">
        <v>557</v>
      </c>
      <c r="D25" s="63">
        <f t="shared" si="0"/>
        <v>6.3090630303341874E-2</v>
      </c>
      <c r="E25" s="63">
        <f t="shared" si="0"/>
        <v>2.8601570854328556E-2</v>
      </c>
      <c r="F25" s="63">
        <f t="shared" si="0"/>
        <v>2.6238881137057059E-2</v>
      </c>
      <c r="G25" s="63">
        <f t="shared" si="0"/>
        <v>2.5882644006287075E-2</v>
      </c>
      <c r="H25" s="63">
        <f t="shared" si="0"/>
        <v>2.6079484288249917E-2</v>
      </c>
      <c r="I25" s="63">
        <f t="shared" si="0"/>
        <v>2.5652412494594358E-2</v>
      </c>
      <c r="J25" s="63">
        <f t="shared" si="0"/>
        <v>2.4314392349133618E-2</v>
      </c>
    </row>
    <row r="26" spans="1:11" x14ac:dyDescent="0.25">
      <c r="A26" t="s">
        <v>558</v>
      </c>
      <c r="D26" s="63">
        <f t="shared" si="0"/>
        <v>0</v>
      </c>
      <c r="E26" s="63">
        <f t="shared" si="0"/>
        <v>6.3165654547518962E-4</v>
      </c>
      <c r="F26" s="63">
        <f t="shared" si="0"/>
        <v>3.4945693874254037E-3</v>
      </c>
      <c r="G26" s="63">
        <f t="shared" si="0"/>
        <v>4.4823529391813518E-3</v>
      </c>
      <c r="H26" s="63">
        <f t="shared" si="0"/>
        <v>5.4193025345858842E-3</v>
      </c>
      <c r="I26" s="63">
        <f t="shared" si="0"/>
        <v>6.3945006301624049E-3</v>
      </c>
      <c r="J26" s="63">
        <f t="shared" si="0"/>
        <v>7.4087961961031281E-3</v>
      </c>
    </row>
    <row r="27" spans="1:11" x14ac:dyDescent="0.25">
      <c r="A27" t="s">
        <v>559</v>
      </c>
      <c r="D27" s="63">
        <f t="shared" si="0"/>
        <v>0.10773670804889804</v>
      </c>
      <c r="E27" s="63">
        <f t="shared" si="0"/>
        <v>0.14468391888104173</v>
      </c>
      <c r="F27" s="63">
        <f t="shared" si="0"/>
        <v>0.12970138205918011</v>
      </c>
      <c r="G27" s="63">
        <f t="shared" si="0"/>
        <v>0.12375769781548543</v>
      </c>
      <c r="H27" s="63">
        <f t="shared" si="0"/>
        <v>0.12061400519090022</v>
      </c>
      <c r="I27" s="63">
        <f t="shared" si="0"/>
        <v>0.11352303684511403</v>
      </c>
      <c r="J27" s="63">
        <f t="shared" si="0"/>
        <v>0.10148180112924572</v>
      </c>
    </row>
    <row r="28" spans="1:11" x14ac:dyDescent="0.25">
      <c r="A28" t="s">
        <v>560</v>
      </c>
      <c r="D28" s="63">
        <f t="shared" si="0"/>
        <v>0</v>
      </c>
      <c r="E28" s="63">
        <f t="shared" si="0"/>
        <v>3.4263456983057661E-2</v>
      </c>
      <c r="F28" s="63">
        <f t="shared" si="0"/>
        <v>0.10891344152204441</v>
      </c>
      <c r="G28" s="63">
        <f t="shared" si="0"/>
        <v>0.11796378615236655</v>
      </c>
      <c r="H28" s="63">
        <f t="shared" si="0"/>
        <v>0.12925121548238924</v>
      </c>
      <c r="I28" s="63">
        <f t="shared" si="0"/>
        <v>0.14058517336859125</v>
      </c>
      <c r="J28" s="63">
        <f t="shared" si="0"/>
        <v>0.15132558296371493</v>
      </c>
    </row>
    <row r="29" spans="1:11" x14ac:dyDescent="0.25">
      <c r="A29" t="s">
        <v>561</v>
      </c>
      <c r="D29" s="63">
        <f t="shared" si="0"/>
        <v>0</v>
      </c>
      <c r="E29" s="63">
        <f t="shared" si="0"/>
        <v>5.1328831931525282E-4</v>
      </c>
      <c r="F29" s="63">
        <f t="shared" si="0"/>
        <v>3.0097493894438417E-3</v>
      </c>
      <c r="G29" s="63">
        <f t="shared" si="0"/>
        <v>3.9615346547710083E-3</v>
      </c>
      <c r="H29" s="63">
        <f t="shared" si="0"/>
        <v>4.9171170783544309E-3</v>
      </c>
      <c r="I29" s="63">
        <f t="shared" si="0"/>
        <v>6.0074815747141663E-3</v>
      </c>
      <c r="J29" s="63">
        <f t="shared" si="0"/>
        <v>7.3166630199343824E-3</v>
      </c>
    </row>
    <row r="30" spans="1:11" x14ac:dyDescent="0.25">
      <c r="A30" t="s">
        <v>562</v>
      </c>
      <c r="D30" s="63">
        <f t="shared" si="0"/>
        <v>0</v>
      </c>
      <c r="E30" s="63">
        <f t="shared" si="0"/>
        <v>0.4171237676019654</v>
      </c>
      <c r="F30" s="63">
        <f t="shared" si="0"/>
        <v>0.38849008542538011</v>
      </c>
      <c r="G30" s="63">
        <f t="shared" si="0"/>
        <v>0.39040261319340214</v>
      </c>
      <c r="H30" s="63">
        <f t="shared" si="0"/>
        <v>0.38038176855472133</v>
      </c>
      <c r="I30" s="63">
        <f t="shared" si="0"/>
        <v>0.38349460114940154</v>
      </c>
      <c r="J30" s="63">
        <f t="shared" si="0"/>
        <v>0.4053982955270794</v>
      </c>
    </row>
    <row r="31" spans="1:11" x14ac:dyDescent="0.25">
      <c r="A31" s="3" t="s">
        <v>563</v>
      </c>
      <c r="D31" s="40">
        <f t="shared" ref="D31:J31" si="1">SUM(D24:D30)</f>
        <v>0.99999999999999989</v>
      </c>
      <c r="E31" s="40">
        <f t="shared" si="1"/>
        <v>1.0000000000000002</v>
      </c>
      <c r="F31" s="40">
        <f t="shared" si="1"/>
        <v>1</v>
      </c>
      <c r="G31" s="40">
        <f t="shared" si="1"/>
        <v>1</v>
      </c>
      <c r="H31" s="40">
        <f t="shared" si="1"/>
        <v>1</v>
      </c>
      <c r="I31" s="40">
        <f t="shared" si="1"/>
        <v>1</v>
      </c>
      <c r="J31" s="40">
        <f t="shared" si="1"/>
        <v>1</v>
      </c>
    </row>
    <row r="33" spans="1:11" ht="18" customHeight="1" x14ac:dyDescent="0.25">
      <c r="A33" s="12" t="s">
        <v>564</v>
      </c>
      <c r="B33" s="13"/>
      <c r="C33" s="13"/>
      <c r="D33" s="13"/>
      <c r="E33" s="13"/>
      <c r="F33" s="13"/>
      <c r="G33" s="13"/>
      <c r="H33" s="13"/>
      <c r="I33" s="13"/>
      <c r="J33" s="13"/>
      <c r="K33" s="13"/>
    </row>
    <row r="34" spans="1:11" x14ac:dyDescent="0.25">
      <c r="A34" s="6" t="s">
        <v>565</v>
      </c>
      <c r="D34" s="37">
        <f>SUM(Model!C154:N154)</f>
        <v>3043.9912664203466</v>
      </c>
      <c r="E34" s="37">
        <f>SUM(Model!O154:Z154)</f>
        <v>12165.547184343104</v>
      </c>
      <c r="F34" s="37">
        <f>Model!AA154</f>
        <v>19348.445934161227</v>
      </c>
      <c r="G34" s="37">
        <f>Model!AB154</f>
        <v>29223.984497139638</v>
      </c>
      <c r="H34" s="37">
        <f>Model!AC154</f>
        <v>39048.331540193816</v>
      </c>
      <c r="I34" s="37">
        <f>Model!AD154</f>
        <v>43607.577395576976</v>
      </c>
      <c r="J34" s="37">
        <f>Model!AE154</f>
        <v>41263.10951182188</v>
      </c>
    </row>
    <row r="35" spans="1:11" x14ac:dyDescent="0.25">
      <c r="A35" s="3" t="s">
        <v>566</v>
      </c>
      <c r="D35" s="64">
        <f>Model!N151</f>
        <v>2301.6140137848629</v>
      </c>
      <c r="E35" s="64">
        <f>Model!Z151</f>
        <v>10559.305097205459</v>
      </c>
      <c r="F35" s="64">
        <f>Model!AA151</f>
        <v>20156.809349920877</v>
      </c>
      <c r="G35" s="64">
        <f>Model!AB151</f>
        <v>32759.332103915895</v>
      </c>
      <c r="H35" s="64">
        <f>Model!AC151</f>
        <v>46976.650386353271</v>
      </c>
      <c r="I35" s="64">
        <f>Model!AD151</f>
        <v>58177.402663192806</v>
      </c>
      <c r="J35" s="64">
        <f>Model!AE151</f>
        <v>62599.112498199662</v>
      </c>
    </row>
    <row r="36" spans="1:11" x14ac:dyDescent="0.25">
      <c r="A36" s="6" t="s">
        <v>567</v>
      </c>
      <c r="D36" s="37">
        <f>Model!N152</f>
        <v>742.37725263548418</v>
      </c>
      <c r="E36" s="37">
        <f>Model!Z152</f>
        <v>4650.2333535579928</v>
      </c>
      <c r="F36" s="37">
        <f>Model!AA152</f>
        <v>14401.175035003804</v>
      </c>
      <c r="G36" s="37">
        <f>Model!AB152</f>
        <v>31022.636778148422</v>
      </c>
      <c r="H36" s="37">
        <f>Model!AC152</f>
        <v>55853.650035904866</v>
      </c>
      <c r="I36" s="37">
        <f>Model!AD152</f>
        <v>88260.475154642307</v>
      </c>
      <c r="J36" s="37">
        <f>Model!AE152</f>
        <v>125101.87483145733</v>
      </c>
    </row>
    <row r="37" spans="1:11" x14ac:dyDescent="0.25">
      <c r="A37" s="6" t="s">
        <v>510</v>
      </c>
      <c r="D37" s="37">
        <f>Model!N153</f>
        <v>3043.9912664203471</v>
      </c>
      <c r="E37" s="37">
        <f>Model!Z153</f>
        <v>15209.538450763452</v>
      </c>
      <c r="F37" s="37">
        <f>Model!AA153</f>
        <v>34557.984384924683</v>
      </c>
      <c r="G37" s="37">
        <f>Model!AB153</f>
        <v>63781.96888206432</v>
      </c>
      <c r="H37" s="37">
        <f>Model!AC153</f>
        <v>102830.30042225814</v>
      </c>
      <c r="I37" s="37">
        <f>Model!AD153</f>
        <v>146437.87781783513</v>
      </c>
      <c r="J37" s="37">
        <f>Model!AE153</f>
        <v>187700.98732965701</v>
      </c>
    </row>
    <row r="38" spans="1:11" x14ac:dyDescent="0.25">
      <c r="A38" s="6" t="s">
        <v>568</v>
      </c>
      <c r="D38" s="37">
        <f>Model!N155</f>
        <v>0</v>
      </c>
      <c r="E38" s="37">
        <f>Model!Z155</f>
        <v>679.84683127195046</v>
      </c>
      <c r="F38" s="37">
        <f>Model!AA155</f>
        <v>3421.2404541075434</v>
      </c>
      <c r="G38" s="37">
        <f>Model!AB155</f>
        <v>6314.4149193243684</v>
      </c>
      <c r="H38" s="37">
        <f>Model!AC155</f>
        <v>10180.199741803557</v>
      </c>
      <c r="I38" s="37">
        <f>Model!AD155</f>
        <v>14497.349903965678</v>
      </c>
      <c r="J38" s="37">
        <f>Model!AE155</f>
        <v>18582.397745636044</v>
      </c>
    </row>
    <row r="39" spans="1:11" x14ac:dyDescent="0.25">
      <c r="A39" s="6" t="s">
        <v>569</v>
      </c>
      <c r="D39" s="37">
        <f>Model!N157</f>
        <v>3475.8540043101248</v>
      </c>
      <c r="E39" s="37">
        <f>Model!Z157</f>
        <v>19579.939380876225</v>
      </c>
      <c r="F39" s="37">
        <f>Model!AA157</f>
        <v>63526.752483889548</v>
      </c>
      <c r="G39" s="37">
        <f>Model!AB157</f>
        <v>126957.46492480056</v>
      </c>
      <c r="H39" s="37">
        <f>Model!AC157</f>
        <v>207711.72391367966</v>
      </c>
      <c r="I39" s="37">
        <f>Model!AD157</f>
        <v>295113.78217549965</v>
      </c>
      <c r="J39" s="37">
        <f>Model!AE157</f>
        <v>374638.94369422412</v>
      </c>
    </row>
    <row r="40" spans="1:11" x14ac:dyDescent="0.25">
      <c r="A40" s="3" t="s">
        <v>570</v>
      </c>
      <c r="D40" s="62">
        <f>Model!N164</f>
        <v>491694.30744971026</v>
      </c>
      <c r="E40" s="62">
        <f>Model!Z164</f>
        <v>2994130.2610290698</v>
      </c>
      <c r="F40" s="62">
        <f>Model!AA164</f>
        <v>10501266.89000332</v>
      </c>
      <c r="G40" s="62">
        <f>Model!AB164</f>
        <v>22686577.206511475</v>
      </c>
      <c r="H40" s="62">
        <f>Model!AC164</f>
        <v>40123373.424674422</v>
      </c>
      <c r="I40" s="62">
        <f>Model!AD164</f>
        <v>61624245.579896435</v>
      </c>
      <c r="J40" s="62">
        <f>Model!AE164</f>
        <v>84566963.663645029</v>
      </c>
    </row>
    <row r="41" spans="1:11" x14ac:dyDescent="0.25">
      <c r="A41" s="6" t="s">
        <v>571</v>
      </c>
      <c r="D41" s="37">
        <f>Model!N156</f>
        <v>3409.9209587135615</v>
      </c>
      <c r="E41" s="37">
        <f>Model!Z156</f>
        <v>18984.167337896361</v>
      </c>
      <c r="F41" s="37">
        <f>Model!AA156</f>
        <v>61836.658680319902</v>
      </c>
      <c r="G41" s="37">
        <f>Model!AB156</f>
        <v>121688.25842856331</v>
      </c>
      <c r="H41" s="37">
        <f>Model!AC156</f>
        <v>195560.61150642089</v>
      </c>
      <c r="I41" s="37">
        <f>Model!AD156</f>
        <v>272222.38790063164</v>
      </c>
      <c r="J41" s="37">
        <f>Model!AE156</f>
        <v>337339.09123494383</v>
      </c>
    </row>
    <row r="42" spans="1:11" x14ac:dyDescent="0.25">
      <c r="A42" s="3" t="s">
        <v>572</v>
      </c>
      <c r="D42" s="62">
        <f>Model!N159</f>
        <v>482367.41881962039</v>
      </c>
      <c r="E42" s="62">
        <f>Model!Z159</f>
        <v>2903025.8368599438</v>
      </c>
      <c r="F42" s="62">
        <f>Model!AA159</f>
        <v>10221886.543826697</v>
      </c>
      <c r="G42" s="62">
        <f>Model!AB159</f>
        <v>21744999.962000925</v>
      </c>
      <c r="H42" s="62">
        <f>Model!AC159</f>
        <v>37776160.607528627</v>
      </c>
      <c r="I42" s="62">
        <f>Model!AD159</f>
        <v>56844174.340723321</v>
      </c>
      <c r="J42" s="62">
        <f>Model!AE159</f>
        <v>76147296.352822661</v>
      </c>
    </row>
    <row r="43" spans="1:11" x14ac:dyDescent="0.25">
      <c r="A43" s="6" t="s">
        <v>535</v>
      </c>
      <c r="D43" s="36">
        <f>Model!N184</f>
        <v>24.883832797521549</v>
      </c>
      <c r="E43" s="36">
        <f>Model!Z184</f>
        <v>43.06831037632935</v>
      </c>
      <c r="F43" s="36">
        <f>Model!AA184</f>
        <v>54.305347166452179</v>
      </c>
      <c r="G43" s="36">
        <f>Model!AB184</f>
        <v>55.417294196382628</v>
      </c>
      <c r="H43" s="36">
        <f>Model!AC184</f>
        <v>55.528937995218755</v>
      </c>
      <c r="I43" s="36">
        <f>Model!AD184</f>
        <v>57.181032692251364</v>
      </c>
      <c r="J43" s="36">
        <f>Model!AE184</f>
        <v>61.442044468569094</v>
      </c>
    </row>
    <row r="45" spans="1:11" x14ac:dyDescent="0.25">
      <c r="A45" s="9" t="s">
        <v>573</v>
      </c>
    </row>
  </sheetData>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5</vt:i4>
      </vt:variant>
      <vt:variant>
        <vt:lpstr>Named Ranges</vt:lpstr>
      </vt:variant>
      <vt:variant>
        <vt:i4>132</vt:i4>
      </vt:variant>
    </vt:vector>
  </HeadingPairs>
  <TitlesOfParts>
    <vt:vector size="137" baseType="lpstr">
      <vt:lpstr>Cover</vt:lpstr>
      <vt:lpstr>Assumptions</vt:lpstr>
      <vt:lpstr>Scenario Parameters</vt:lpstr>
      <vt:lpstr>Model</vt:lpstr>
      <vt:lpstr>Summary</vt:lpstr>
      <vt:lpstr>act_gulf</vt:lpstr>
      <vt:lpstr>act_india</vt:lpstr>
      <vt:lpstr>act_referral</vt:lpstr>
      <vt:lpstr>act_s0</vt:lpstr>
      <vt:lpstr>act_s1a</vt:lpstr>
      <vt:lpstr>act_s1b</vt:lpstr>
      <vt:lpstr>act_s2</vt:lpstr>
      <vt:lpstr>act_s3</vt:lpstr>
      <vt:lpstr>act_s4</vt:lpstr>
      <vt:lpstr>act_s5</vt:lpstr>
      <vt:lpstr>act_s6</vt:lpstr>
      <vt:lpstr>aed_usd</vt:lpstr>
      <vt:lpstr>agent_productivity</vt:lpstr>
      <vt:lpstr>agents_y1</vt:lpstr>
      <vt:lpstr>agents_y2</vt:lpstr>
      <vt:lpstr>agents_y3</vt:lpstr>
      <vt:lpstr>agents_y4</vt:lpstr>
      <vt:lpstr>agents_y5</vt:lpstr>
      <vt:lpstr>agents_y6</vt:lpstr>
      <vt:lpstr>agents_y7</vt:lpstr>
      <vt:lpstr>agentshare_gulf</vt:lpstr>
      <vt:lpstr>agentshare_india</vt:lpstr>
      <vt:lpstr>agentshare_uae</vt:lpstr>
      <vt:lpstr>atm_a1500</vt:lpstr>
      <vt:lpstr>atm_a3000</vt:lpstr>
      <vt:lpstr>atm_a3000p</vt:lpstr>
      <vt:lpstr>atm_a500</vt:lpstr>
      <vt:lpstr>atm_allowance</vt:lpstr>
      <vt:lpstr>atm_fee</vt:lpstr>
      <vt:lpstr>atmm_a1500</vt:lpstr>
      <vt:lpstr>atmm_a3000</vt:lpstr>
      <vt:lpstr>atmm_a3000p</vt:lpstr>
      <vt:lpstr>atmm_a500</vt:lpstr>
      <vt:lpstr>aum_per_partner</vt:lpstr>
      <vt:lpstr>aum_per_partner_user</vt:lpstr>
      <vt:lpstr>b2b_fee</vt:lpstr>
      <vt:lpstr>bar_grams</vt:lpstr>
      <vt:lpstr>benef_count</vt:lpstr>
      <vt:lpstr>benef_fee</vt:lpstr>
      <vt:lpstr>cac_gulf</vt:lpstr>
      <vt:lpstr>cac_india</vt:lpstr>
      <vt:lpstr>cac_uae</vt:lpstr>
      <vt:lpstr>card_activation</vt:lpstr>
      <vt:lpstr>card_txns_per_draw</vt:lpstr>
      <vt:lpstr>ceil_gulf</vt:lpstr>
      <vt:lpstr>ceil_india</vt:lpstr>
      <vt:lpstr>ceil_total</vt:lpstr>
      <vt:lpstr>ceil_uae</vt:lpstr>
      <vt:lpstr>decline_uplift</vt:lpstr>
      <vt:lpstr>draw_events</vt:lpstr>
      <vt:lpstr>drawn_share</vt:lpstr>
      <vt:lpstr>entry_fee</vt:lpstr>
      <vt:lpstr>ever_qualify</vt:lpstr>
      <vt:lpstr>fab_premium</vt:lpstr>
      <vt:lpstr>facility_turnover</vt:lpstr>
      <vt:lpstr>family_attach</vt:lpstr>
      <vt:lpstr>family_churn</vt:lpstr>
      <vt:lpstr>family_churn_m</vt:lpstr>
      <vt:lpstr>family_price</vt:lpstr>
      <vt:lpstr>foreign_spend_share</vt:lpstr>
      <vt:lpstr>fx_margin</vt:lpstr>
      <vt:lpstr>gate_run</vt:lpstr>
      <vt:lpstr>gold_cagr</vt:lpstr>
      <vt:lpstr>gold_price</vt:lpstr>
      <vt:lpstr>ic_gold</vt:lpstr>
      <vt:lpstr>issuance_events</vt:lpstr>
      <vt:lpstr>issuance_fee</vt:lpstr>
      <vt:lpstr>lapsed_redemption_mult</vt:lpstr>
      <vt:lpstr>ltv_gold</vt:lpstr>
      <vt:lpstr>mktg_y1</vt:lpstr>
      <vt:lpstr>mktg_y2</vt:lpstr>
      <vt:lpstr>mktg_y3</vt:lpstr>
      <vt:lpstr>mktg_y4</vt:lpstr>
      <vt:lpstr>mktg_y5</vt:lpstr>
      <vt:lpstr>mktg_y6</vt:lpstr>
      <vt:lpstr>mktg_y7</vt:lpstr>
      <vt:lpstr>mktshare_gulf</vt:lpstr>
      <vt:lpstr>mktshare_india</vt:lpstr>
      <vt:lpstr>mktshare_uae</vt:lpstr>
      <vt:lpstr>monthly_churn</vt:lpstr>
      <vt:lpstr>months_to_qualify</vt:lpstr>
      <vt:lpstr>organic_share</vt:lpstr>
      <vt:lpstr>origination_gross</vt:lpstr>
      <vt:lpstr>origination_share</vt:lpstr>
      <vt:lpstr>partner_adoption</vt:lpstr>
      <vt:lpstr>partner_users</vt:lpstr>
      <vt:lpstr>partners_y1</vt:lpstr>
      <vt:lpstr>partners_y2</vt:lpstr>
      <vt:lpstr>partners_y3</vt:lpstr>
      <vt:lpstr>partners_y4</vt:lpstr>
      <vt:lpstr>partners_y5</vt:lpstr>
      <vt:lpstr>partners_y6</vt:lpstr>
      <vt:lpstr>partners_y7</vt:lpstr>
      <vt:lpstr>persistency_m13</vt:lpstr>
      <vt:lpstr>pm_share</vt:lpstr>
      <vt:lpstr>ramp_y1</vt:lpstr>
      <vt:lpstr>ramp_y2</vt:lpstr>
      <vt:lpstr>ramp_y3</vt:lpstr>
      <vt:lpstr>ramp_y4</vt:lpstr>
      <vt:lpstr>ramp_y5</vt:lpstr>
      <vt:lpstr>ramp_y6</vt:lpstr>
      <vt:lpstr>ramp_y7</vt:lpstr>
      <vt:lpstr>redemption_cost</vt:lpstr>
      <vt:lpstr>redemption_rate</vt:lpstr>
      <vt:lpstr>referral_conversion</vt:lpstr>
      <vt:lpstr>referral_rate</vt:lpstr>
      <vt:lpstr>replacement_events</vt:lpstr>
      <vt:lpstr>replacement_fee</vt:lpstr>
      <vt:lpstr>scenario_index</vt:lpstr>
      <vt:lpstr>seas_sum_acq</vt:lpstr>
      <vt:lpstr>seas_sum_spend</vt:lpstr>
      <vt:lpstr>seasonality_amplitude</vt:lpstr>
      <vt:lpstr>self_custody_leakage</vt:lpstr>
      <vt:lpstr>servicing_gross</vt:lpstr>
      <vt:lpstr>servicing_share</vt:lpstr>
      <vt:lpstr>sip_floor</vt:lpstr>
      <vt:lpstr>spot_attach_mult</vt:lpstr>
      <vt:lpstr>spot_frequency</vt:lpstr>
      <vt:lpstr>spot_ticket_mult</vt:lpstr>
      <vt:lpstr>spotattach_gulf</vt:lpstr>
      <vt:lpstr>spotattach_india</vt:lpstr>
      <vt:lpstr>spotattach_uae</vt:lpstr>
      <vt:lpstr>spotticket_gulf</vt:lpstr>
      <vt:lpstr>spotticket_india</vt:lpstr>
      <vt:lpstr>spotticket_uae</vt:lpstr>
      <vt:lpstr>sw_lapsed_keeps_card</vt:lpstr>
      <vt:lpstr>sw_prepaid_vs_credit</vt:lpstr>
      <vt:lpstr>ticket_gulf</vt:lpstr>
      <vt:lpstr>ticket_india</vt:lpstr>
      <vt:lpstr>ticket_uae</vt:lpstr>
      <vt:lpstr>txn_fee</vt:lpstr>
      <vt:lpstr>xchk_uae_obs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Abdur Rehman</cp:lastModifiedBy>
  <cp:revision>0</cp:revision>
  <dcterms:created xsi:type="dcterms:W3CDTF">2026-08-21T14:10:21Z</dcterms:created>
  <dcterms:modified xsi:type="dcterms:W3CDTF">2026-08-21T14:14:18Z</dcterms:modified>
  <dc:language>en-US</dc:language>
</cp:coreProperties>
</file>