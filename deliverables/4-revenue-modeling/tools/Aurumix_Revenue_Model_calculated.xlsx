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Cover" sheetId="1" state="visible" r:id="rId3"/>
    <sheet name="Assumptions" sheetId="2" state="visible" r:id="rId4"/>
    <sheet name="Scenario Parameters" sheetId="3" state="visible" r:id="rId5"/>
    <sheet name="Model" sheetId="4" state="visible" r:id="rId6"/>
    <sheet name="Summary" sheetId="5" state="visible" r:id="rId7"/>
  </sheets>
  <definedNames>
    <definedName function="false" hidden="false" name="act_gulf" vbProcedure="false">Assumptions!$B$56</definedName>
    <definedName function="false" hidden="false" name="act_india" vbProcedure="false">Assumptions!$B$57</definedName>
    <definedName function="false" hidden="false" name="act_referral" vbProcedure="false">Assumptions!$B$55</definedName>
    <definedName function="false" hidden="false" name="act_s0" vbProcedure="false">Assumptions!$B$49</definedName>
    <definedName function="false" hidden="false" name="act_s1a" vbProcedure="false">Assumptions!$B$47</definedName>
    <definedName function="false" hidden="false" name="act_s1b" vbProcedure="false">Assumptions!$B$48</definedName>
    <definedName function="false" hidden="false" name="act_s2" vbProcedure="false">Assumptions!$B$51</definedName>
    <definedName function="false" hidden="false" name="act_s3" vbProcedure="false">Assumptions!$B$50</definedName>
    <definedName function="false" hidden="false" name="act_s4" vbProcedure="false">Assumptions!$B$52</definedName>
    <definedName function="false" hidden="false" name="act_s5" vbProcedure="false">Assumptions!$B$53</definedName>
    <definedName function="false" hidden="false" name="act_s6" vbProcedure="false">Assumptions!$B$54</definedName>
    <definedName function="false" hidden="false" name="aed_usd" vbProcedure="false">Assumptions!$B$7</definedName>
    <definedName function="false" hidden="false" name="agentshare_gulf" vbProcedure="false">Assumptions!$B$115</definedName>
    <definedName function="false" hidden="false" name="agentshare_india" vbProcedure="false">Assumptions!$B$116</definedName>
    <definedName function="false" hidden="false" name="agentshare_uae" vbProcedure="false">Assumptions!$B$114</definedName>
    <definedName function="false" hidden="false" name="agents_y1" vbProcedure="false">Assumptions!$B$93</definedName>
    <definedName function="false" hidden="false" name="agents_y2" vbProcedure="false">Assumptions!$B$94</definedName>
    <definedName function="false" hidden="false" name="agents_y3" vbProcedure="false">Assumptions!$B$95</definedName>
    <definedName function="false" hidden="false" name="agents_y4" vbProcedure="false">Assumptions!$B$96</definedName>
    <definedName function="false" hidden="false" name="agents_y5" vbProcedure="false">Assumptions!$B$97</definedName>
    <definedName function="false" hidden="false" name="agents_y6" vbProcedure="false">Assumptions!$B$98</definedName>
    <definedName function="false" hidden="false" name="agents_y7" vbProcedure="false">Assumptions!$B$99</definedName>
    <definedName function="false" hidden="false" name="agent_productivity" vbProcedure="false">'Scenario Parameters'!$B$16</definedName>
    <definedName function="false" hidden="false" name="atmm_a1500" vbProcedure="false">'Scenario Parameters'!$B$55</definedName>
    <definedName function="false" hidden="false" name="atmm_a3000" vbProcedure="false">'Scenario Parameters'!$B$56</definedName>
    <definedName function="false" hidden="false" name="atmm_a3000p" vbProcedure="false">'Scenario Parameters'!$B$57</definedName>
    <definedName function="false" hidden="false" name="atmm_a500" vbProcedure="false">'Scenario Parameters'!$B$54</definedName>
    <definedName function="false" hidden="false" name="atm_a1500" vbProcedure="false">'Scenario Parameters'!$B$51</definedName>
    <definedName function="false" hidden="false" name="atm_a3000" vbProcedure="false">'Scenario Parameters'!$B$52</definedName>
    <definedName function="false" hidden="false" name="atm_a3000p" vbProcedure="false">'Scenario Parameters'!$B$53</definedName>
    <definedName function="false" hidden="false" name="atm_a500" vbProcedure="false">'Scenario Parameters'!$B$50</definedName>
    <definedName function="false" hidden="false" name="atm_allowance" vbProcedure="false">Assumptions!$B$18</definedName>
    <definedName function="false" hidden="false" name="atm_fee" vbProcedure="false">Assumptions!$B$19</definedName>
    <definedName function="false" hidden="false" name="aum_per_partner" vbProcedure="false">'Scenario Parameters'!$B$72</definedName>
    <definedName function="false" hidden="false" name="b2b_fee" vbProcedure="false">Assumptions!$B$26</definedName>
    <definedName function="false" hidden="false" name="bar_grams" vbProcedure="false">Assumptions!$B$10</definedName>
    <definedName function="false" hidden="false" name="cac_gulf" vbProcedure="false">'Scenario Parameters'!$B$18</definedName>
    <definedName function="false" hidden="false" name="cac_india" vbProcedure="false">'Scenario Parameters'!$B$19</definedName>
    <definedName function="false" hidden="false" name="cac_uae" vbProcedure="false">'Scenario Parameters'!$B$17</definedName>
    <definedName function="false" hidden="false" name="card_activation" vbProcedure="false">'Scenario Parameters'!$B$45</definedName>
    <definedName function="false" hidden="false" name="card_txns_per_draw" vbProcedure="false">'Scenario Parameters'!$B$46</definedName>
    <definedName function="false" hidden="false" name="ceil_gulf" vbProcedure="false">Assumptions!$B$85</definedName>
    <definedName function="false" hidden="false" name="ceil_india" vbProcedure="false">Assumptions!$B$86</definedName>
    <definedName function="false" hidden="false" name="ceil_total" vbProcedure="false">Assumptions!$B$87</definedName>
    <definedName function="false" hidden="false" name="ceil_uae" vbProcedure="false">Assumptions!$B$84</definedName>
    <definedName function="false" hidden="false" name="decline_uplift" vbProcedure="false">Assumptions!$B$16</definedName>
    <definedName function="false" hidden="false" name="drawn_share" vbProcedure="false">'Scenario Parameters'!$B$61</definedName>
    <definedName function="false" hidden="false" name="draw_events" vbProcedure="false">'Scenario Parameters'!$B$63</definedName>
    <definedName function="false" hidden="false" name="entry_fee" vbProcedure="false">Assumptions!$B$8</definedName>
    <definedName function="false" hidden="false" name="ever_qualify" vbProcedure="false">'Scenario Parameters'!$B$30</definedName>
    <definedName function="false" hidden="false" name="fab_premium" vbProcedure="false">Assumptions!$B$9</definedName>
    <definedName function="false" hidden="false" name="facility_turnover" vbProcedure="false">'Scenario Parameters'!$B$62</definedName>
    <definedName function="false" hidden="false" name="family_attach" vbProcedure="false">'Scenario Parameters'!$B$64</definedName>
    <definedName function="false" hidden="false" name="family_price" vbProcedure="false">Assumptions!$B$25</definedName>
    <definedName function="false" hidden="false" name="foreign_spend_share" vbProcedure="false">'Scenario Parameters'!$B$47</definedName>
    <definedName function="false" hidden="false" name="fx_margin" vbProcedure="false">Assumptions!$B$17</definedName>
    <definedName function="false" hidden="false" name="gate_run" vbProcedure="false">Assumptions!$B$42</definedName>
    <definedName function="false" hidden="false" name="gold_cagr" vbProcedure="false">'Scenario Parameters'!$B$10</definedName>
    <definedName function="false" hidden="false" name="gold_price" vbProcedure="false">Assumptions!$B$6</definedName>
    <definedName function="false" hidden="false" name="ic_gold" vbProcedure="false">Assumptions!$B$14</definedName>
    <definedName function="false" hidden="false" name="issuance_events" vbProcedure="false">'Scenario Parameters'!$B$48</definedName>
    <definedName function="false" hidden="false" name="issuance_fee" vbProcedure="false">Assumptions!$B$20</definedName>
    <definedName function="false" hidden="false" name="lapsed_redemption_mult" vbProcedure="false">'Scenario Parameters'!$B$37</definedName>
    <definedName function="false" hidden="false" name="ltv_gold" vbProcedure="false">Assumptions!$B$31</definedName>
    <definedName function="false" hidden="false" name="mktg_y1" vbProcedure="false">Assumptions!$B$100</definedName>
    <definedName function="false" hidden="false" name="mktg_y2" vbProcedure="false">Assumptions!$B$101</definedName>
    <definedName function="false" hidden="false" name="mktg_y3" vbProcedure="false">Assumptions!$B$102</definedName>
    <definedName function="false" hidden="false" name="mktg_y4" vbProcedure="false">Assumptions!$B$103</definedName>
    <definedName function="false" hidden="false" name="mktg_y5" vbProcedure="false">Assumptions!$B$104</definedName>
    <definedName function="false" hidden="false" name="mktg_y6" vbProcedure="false">Assumptions!$B$105</definedName>
    <definedName function="false" hidden="false" name="mktg_y7" vbProcedure="false">Assumptions!$B$106</definedName>
    <definedName function="false" hidden="false" name="mktshare_gulf" vbProcedure="false">'Scenario Parameters'!$B$21</definedName>
    <definedName function="false" hidden="false" name="mktshare_india" vbProcedure="false">'Scenario Parameters'!$B$22</definedName>
    <definedName function="false" hidden="false" name="mktshare_uae" vbProcedure="false">'Scenario Parameters'!$B$20</definedName>
    <definedName function="false" hidden="false" name="monthly_churn" vbProcedure="false">'Scenario Parameters'!$B$15</definedName>
    <definedName function="false" hidden="false" name="months_to_qualify" vbProcedure="false">'Scenario Parameters'!$B$31</definedName>
    <definedName function="false" hidden="false" name="organic_share" vbProcedure="false">'Scenario Parameters'!$B$25</definedName>
    <definedName function="false" hidden="false" name="origination_gross" vbProcedure="false">Assumptions!$B$27</definedName>
    <definedName function="false" hidden="false" name="origination_share" vbProcedure="false">Assumptions!$B$28</definedName>
    <definedName function="false" hidden="false" name="partners_y1" vbProcedure="false">'Scenario Parameters'!$B$65</definedName>
    <definedName function="false" hidden="false" name="partners_y2" vbProcedure="false">'Scenario Parameters'!$B$66</definedName>
    <definedName function="false" hidden="false" name="partners_y3" vbProcedure="false">'Scenario Parameters'!$B$67</definedName>
    <definedName function="false" hidden="false" name="partners_y4" vbProcedure="false">'Scenario Parameters'!$B$68</definedName>
    <definedName function="false" hidden="false" name="partners_y5" vbProcedure="false">'Scenario Parameters'!$B$69</definedName>
    <definedName function="false" hidden="false" name="partners_y6" vbProcedure="false">'Scenario Parameters'!$B$70</definedName>
    <definedName function="false" hidden="false" name="partners_y7" vbProcedure="false">'Scenario Parameters'!$B$71</definedName>
    <definedName function="false" hidden="false" name="persistency_m13" vbProcedure="false">'Scenario Parameters'!$B$14</definedName>
    <definedName function="false" hidden="false" name="pm_share" vbProcedure="false">'Scenario Parameters'!$B$44</definedName>
    <definedName function="false" hidden="false" name="ramp_y1" vbProcedure="false">Assumptions!$B$107</definedName>
    <definedName function="false" hidden="false" name="ramp_y2" vbProcedure="false">Assumptions!$B$108</definedName>
    <definedName function="false" hidden="false" name="ramp_y3" vbProcedure="false">Assumptions!$B$109</definedName>
    <definedName function="false" hidden="false" name="ramp_y4" vbProcedure="false">Assumptions!$B$110</definedName>
    <definedName function="false" hidden="false" name="ramp_y5" vbProcedure="false">Assumptions!$B$111</definedName>
    <definedName function="false" hidden="false" name="ramp_y6" vbProcedure="false">Assumptions!$B$112</definedName>
    <definedName function="false" hidden="false" name="ramp_y7" vbProcedure="false">Assumptions!$B$113</definedName>
    <definedName function="false" hidden="false" name="redemption_cost" vbProcedure="false">Assumptions!$B$43</definedName>
    <definedName function="false" hidden="false" name="redemption_rate" vbProcedure="false">'Scenario Parameters'!$B$36</definedName>
    <definedName function="false" hidden="false" name="referral_conversion" vbProcedure="false">'Scenario Parameters'!$B$24</definedName>
    <definedName function="false" hidden="false" name="referral_rate" vbProcedure="false">'Scenario Parameters'!$B$23</definedName>
    <definedName function="false" hidden="false" name="replacement_events" vbProcedure="false">'Scenario Parameters'!$B$49</definedName>
    <definedName function="false" hidden="false" name="replacement_fee" vbProcedure="false">Assumptions!$B$21</definedName>
    <definedName function="false" hidden="false" name="scenario_index" vbProcedure="false">'Scenario Parameters'!$C$6</definedName>
    <definedName function="false" hidden="false" name="seasonality_amplitude" vbProcedure="false">'Scenario Parameters'!$B$26</definedName>
    <definedName function="false" hidden="false" name="seas_sum_acq" vbProcedure="false">Model!$C$14</definedName>
    <definedName function="false" hidden="false" name="seas_sum_spend" vbProcedure="false">Model!$D$14</definedName>
    <definedName function="false" hidden="false" name="self_custody_leakage" vbProcedure="false">'Scenario Parameters'!$B$35</definedName>
    <definedName function="false" hidden="false" name="servicing_gross" vbProcedure="false">Assumptions!$B$29</definedName>
    <definedName function="false" hidden="false" name="servicing_share" vbProcedure="false">Assumptions!$B$30</definedName>
    <definedName function="false" hidden="false" name="sip_floor" vbProcedure="false">Assumptions!$B$41</definedName>
    <definedName function="false" hidden="false" name="spotattach_gulf" vbProcedure="false">Assumptions!$B$36</definedName>
    <definedName function="false" hidden="false" name="spotattach_india" vbProcedure="false">Assumptions!$B$37</definedName>
    <definedName function="false" hidden="false" name="spotattach_uae" vbProcedure="false">Assumptions!$B$35</definedName>
    <definedName function="false" hidden="false" name="spotticket_gulf" vbProcedure="false">Assumptions!$B$33</definedName>
    <definedName function="false" hidden="false" name="spotticket_india" vbProcedure="false">Assumptions!$B$34</definedName>
    <definedName function="false" hidden="false" name="spotticket_uae" vbProcedure="false">Assumptions!$B$32</definedName>
    <definedName function="false" hidden="false" name="spot_attach_mult" vbProcedure="false">'Scenario Parameters'!$B$38</definedName>
    <definedName function="false" hidden="false" name="spot_frequency" vbProcedure="false">'Scenario Parameters'!$B$40</definedName>
    <definedName function="false" hidden="false" name="spot_ticket_mult" vbProcedure="false">'Scenario Parameters'!$B$39</definedName>
    <definedName function="false" hidden="false" name="sw_lapsed_keeps_card" vbProcedure="false">'Scenario Parameters'!$B$83</definedName>
    <definedName function="false" hidden="false" name="sw_prepaid_vs_credit" vbProcedure="false">'Scenario Parameters'!$B$82</definedName>
    <definedName function="false" hidden="false" name="ticket_gulf" vbProcedure="false">'Scenario Parameters'!$B$77</definedName>
    <definedName function="false" hidden="false" name="ticket_india" vbProcedure="false">'Scenario Parameters'!$B$78</definedName>
    <definedName function="false" hidden="false" name="ticket_uae" vbProcedure="false">'Scenario Parameters'!$B$76</definedName>
    <definedName function="false" hidden="false" name="txn_fee" vbProcedure="false">Assumptions!$B$15</definedName>
    <definedName function="false" hidden="false" name="xchk_uae_obs" vbProcedure="false">Assumptions!$B$89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<sst xmlns="http://schemas.openxmlformats.org/spreadsheetml/2006/main" count="1150" uniqueCount="552">
  <si>
    <t xml:space="preserve">Aurumix Revenue Model</t>
  </si>
  <si>
    <t xml:space="preserve">Hybrid Monthly + Annual View  |  7-Year Projection</t>
  </si>
  <si>
    <t xml:space="preserve">Date</t>
  </si>
  <si>
    <t xml:space="preserve">Scope</t>
  </si>
  <si>
    <t xml:space="preserve">REVENUE ONLY. Six revenue streams, reported net of cost of revenue. Operating costs, tax, cash and funding are added in a later build.</t>
  </si>
  <si>
    <t xml:space="preserve">Periods</t>
  </si>
  <si>
    <t xml:space="preserve">24 monthly (M1-M24) + 5 annual (Y3-Y7) = 29 total.  M1 = January 2027</t>
  </si>
  <si>
    <t xml:space="preserve">Engine</t>
  </si>
  <si>
    <t xml:space="preserve">Rolling customer balance: opening + new - churned = closing, by region. Customers who stop paying keep their gold and move to a HOLDERS balance.</t>
  </si>
  <si>
    <t xml:space="preserve">Metal</t>
  </si>
  <si>
    <t xml:space="preserve">100 g bars throughout. One entry fee, one fabrication premium.</t>
  </si>
  <si>
    <t xml:space="preserve">Prepared by</t>
  </si>
  <si>
    <t xml:space="preserve">Tokenomics.net: Custom Data Room Engagement</t>
  </si>
  <si>
    <t xml:space="preserve">COLOR LEGEND</t>
  </si>
  <si>
    <t xml:space="preserve">BLUE text</t>
  </si>
  <si>
    <t xml:space="preserve">Hardcoded inputs (Assumptions &amp; Scenario Parameters)</t>
  </si>
  <si>
    <t xml:space="preserve">BLACK text</t>
  </si>
  <si>
    <t xml:space="preserve">In-sheet formulas</t>
  </si>
  <si>
    <t xml:space="preserve">GREEN text</t>
  </si>
  <si>
    <t xml:space="preserve">Cross-sheet references</t>
  </si>
  <si>
    <t xml:space="preserve">SHEETS</t>
  </si>
  <si>
    <t xml:space="preserve">Cover: This page</t>
  </si>
  <si>
    <t xml:space="preserve">Assumptions: Fixed inputs, activation calendar, seasonality, market ceilings</t>
  </si>
  <si>
    <t xml:space="preserve">Scenario Parameters: Base / Aggressive / Conservative, plus structural switches</t>
  </si>
  <si>
    <t xml:space="preserve">Model: Customer engine, AUM and the six revenue streams (29 periods)</t>
  </si>
  <si>
    <t xml:space="preserve">Summary: Annual revenue by stream (Y1-Y7), revenue mix, key metrics</t>
  </si>
  <si>
    <t xml:space="preserve">SIMPLIFIED BUILD - cohort and archetype detail moves to the Phase 5 simulation.</t>
  </si>
  <si>
    <t xml:space="preserve">Kept as inputs rather than engines: card eligibility (% who qualify, months to qualify), the holders balance, and the fabrication premium inside stream 1.</t>
  </si>
  <si>
    <t xml:space="preserve">Inputs and Assumptions</t>
  </si>
  <si>
    <t xml:space="preserve">PRICING AND METAL</t>
  </si>
  <si>
    <t xml:space="preserve">Parameter</t>
  </si>
  <si>
    <t xml:space="preserve">Value</t>
  </si>
  <si>
    <t xml:space="preserve">Unit</t>
  </si>
  <si>
    <t xml:space="preserve">Source</t>
  </si>
  <si>
    <t xml:space="preserve">Gold price at M1</t>
  </si>
  <si>
    <t xml:space="preserve">USD/g</t>
  </si>
  <si>
    <t xml:space="preserve">USD 4,400/oz verified 2026-08-17. THE STARTING PRICE - it no longer holds for the whole horizon; see the appreciation rate below and the live 'Gold price (this period)' row on the Model. CITED.</t>
  </si>
  <si>
    <t xml:space="preserve">AED/USD peg</t>
  </si>
  <si>
    <t xml:space="preserve">AED/USD</t>
  </si>
  <si>
    <t xml:space="preserve">CBUAE peg. CITED.</t>
  </si>
  <si>
    <t xml:space="preserve">Entry fee charged</t>
  </si>
  <si>
    <t xml:space="preserve">% of contribution</t>
  </si>
  <si>
    <t xml:space="preserve">Decision 9, client-stated. A SINGLE RATE throughout. CLIENT INPUT.</t>
  </si>
  <si>
    <t xml:space="preserve">Fabrication premium paid</t>
  </si>
  <si>
    <t xml:space="preserve">% over spot</t>
  </si>
  <si>
    <t xml:space="preserve">100 g bars. OBSERVED (D28): goldtrade.ae 19 Aug 2026 measured 100 g at +1.71% (PAMP 1.75, Valcambi 1.67), less the published 25 bp bulk gradient. THE ENTRY FEE IS A MARGIN, NOT A FEE - this is netted off stream 1, because it is cost OF REVENUE. Reporting stream 1 gross would read ~43% high.</t>
  </si>
  <si>
    <t xml:space="preserve">Bar denomination</t>
  </si>
  <si>
    <t xml:space="preserve">grams</t>
  </si>
  <si>
    <t xml:space="preserve">100 g throughout, by agreement. OBSERVED.</t>
  </si>
  <si>
    <t xml:space="preserve">CARD ECONOMICS</t>
  </si>
  <si>
    <t xml:space="preserve">Interchange - Gold</t>
  </si>
  <si>
    <t xml:space="preserve">% of spend</t>
  </si>
  <si>
    <t xml:space="preserve">Visa UAE IRF schedule, 18 Oct 2025. CITED, PRIMARY. The live model reads the FLAT GOLD RATE: replacing the full 1.80/2.05/2.10 ladder with it moves stream 2 by only ~2% of gross profit at Y7, because Sovereign is 1.2% of tiered accounts.</t>
  </si>
  <si>
    <t xml:space="preserve">Per-transaction processor fee</t>
  </si>
  <si>
    <t xml:space="preserve">USD/authorised txn</t>
  </si>
  <si>
    <t xml:space="preserve">WHAT THE PROCESSOR CHARGES AURUMIX to authorise and switch each transaction - NOT passed to the cardholder, and it cannot be: no consumer card charges per swipe on normal purchases, the card here is a REWARD for saving rather than a product sold, and a declined authorisation cannot be billed to anyone. Issuing economics are structurally: earn interchange, pay scheme and processing costs out of it. USD 0.10 is Stripe Issuing's PUBLISHED RACK RATE, used as a proxy because NO UAE PROCESSOR PUBLISHES PRICING. At volume, processors commonly reach USD 0.02-0.05 - a term-sheet negotiation, and at USD 0.03 the minimum profitable transaction falls from ~AED 77 to ~AED 23. CITED as a proxy.</t>
  </si>
  <si>
    <t xml:space="preserve">Decline uplift on authorised txns</t>
  </si>
  <si>
    <t xml:space="preserve">% uplift</t>
  </si>
  <si>
    <t xml:space="preserve">The processor fee is charged per AUTHORISATION, not per settled transaction, so declined attempts are billable to Aurumix and chargeable to nobody. ASSUMPTION.</t>
  </si>
  <si>
    <t xml:space="preserve">FX margin on foreign spend</t>
  </si>
  <si>
    <t xml:space="preserve">% of foreign spend</t>
  </si>
  <si>
    <t xml:space="preserve">Market rate ~2%, converged across four comparables. CITED.</t>
  </si>
  <si>
    <t xml:space="preserve">Free ATM allowance (Gold)</t>
  </si>
  <si>
    <t xml:space="preserve">AED/month</t>
  </si>
  <si>
    <t xml:space="preserve">Monthly and NOT rolling. Set deliberately ABOVE the median draw - that is the finding. CITED.</t>
  </si>
  <si>
    <t xml:space="preserve">ATM fee over the allowance</t>
  </si>
  <si>
    <t xml:space="preserve">% of the excess</t>
  </si>
  <si>
    <t xml:space="preserve">Sector converged. CITED.</t>
  </si>
  <si>
    <t xml:space="preserve">Card issuance fee</t>
  </si>
  <si>
    <t xml:space="preserve">AED one-off</t>
  </si>
  <si>
    <t xml:space="preserve">Charged at base level, waived at upper tiers. CITED structure, ASSUMPTION rate.</t>
  </si>
  <si>
    <t xml:space="preserve">Card replacement fee</t>
  </si>
  <si>
    <t xml:space="preserve">AED per event</t>
  </si>
  <si>
    <t xml:space="preserve">Market-normal UAE replacement is AED 75-150. ASSUMPTION.</t>
  </si>
  <si>
    <t xml:space="preserve">OTHER STREAM PRICING</t>
  </si>
  <si>
    <t xml:space="preserve">Family plan / Digital Will price</t>
  </si>
  <si>
    <t xml:space="preserve">USD/yr</t>
  </si>
  <si>
    <t xml:space="preserve">Price is ours; the cost floor is verified. ASSUMPTION.</t>
  </si>
  <si>
    <t xml:space="preserve">B2B platform fee</t>
  </si>
  <si>
    <t xml:space="preserve">% of partner AUM/yr</t>
  </si>
  <si>
    <t xml:space="preserve">Placeholder in the 0.5-0.75% band, coupled to the partner set. ASSUMPTION.</t>
  </si>
  <si>
    <t xml:space="preserve">Credit origination fee - gross</t>
  </si>
  <si>
    <t xml:space="preserve">% of draw</t>
  </si>
  <si>
    <t xml:space="preserve">Finance House UAE gold loan Key Facts Statement carries a 1% processing fee - the one gross rate with a real UAE anchor. CITED.</t>
  </si>
  <si>
    <t xml:space="preserve">Credit origination - Aurumix share</t>
  </si>
  <si>
    <t xml:space="preserve">% of gross</t>
  </si>
  <si>
    <t xml:space="preserve">ASSUMPTION.</t>
  </si>
  <si>
    <t xml:space="preserve">Credit servicing fee - gross</t>
  </si>
  <si>
    <t xml:space="preserve">%/yr of drawn</t>
  </si>
  <si>
    <t xml:space="preserve">Credit servicing - Aurumix share</t>
  </si>
  <si>
    <t xml:space="preserve">The highest of the heads: servicing is where Aurumix does the actual work. ASSUMPTION.</t>
  </si>
  <si>
    <t xml:space="preserve">LTV against collateral</t>
  </si>
  <si>
    <t xml:space="preserve">% of collateral</t>
  </si>
  <si>
    <t xml:space="preserve">_draft_ics-scoring.md sec 6.2, settled 2026-08-13. CITED.</t>
  </si>
  <si>
    <t xml:space="preserve">Spot ticket - UAE</t>
  </si>
  <si>
    <t xml:space="preserve">USD/purchase</t>
  </si>
  <si>
    <t xml:space="preserve">OBSERVED, PRIMARY. Botim gold: average ticket AED 700, Khaleej Times, Nov 2025 (= USD 191 at the peg). CROSS-CHECKS against the same platform's own volume disclosure - AED 100m over 128,000 trades implies AED 781. THE STRONGEST COMPARABLE IN THIS MODEL: Botim is a messaging app that became the default for Gulf expats and added gold in Aug 2025, so its users ARE Aurumix's customers - same country, same segment, same product, same period. Note 64% of its users buy under AED 500, so the mean sits above the median and this figure is, if anything, generous.</t>
  </si>
  <si>
    <t xml:space="preserve">Spot ticket - Oman and Bahrain</t>
  </si>
  <si>
    <t xml:space="preserve">⚠ INFERRED - THE WEAKEST OF THE THREE. No GCC platform outside the UAE publishes an average ticket; this is a CONFIRMED NEGATIVE, not a gap in the search. Taken as the UAE figure scaled by the regional income gap (SIP 26.00/33.60 = 0.77x). Do not present this as sourced.</t>
  </si>
  <si>
    <t xml:space="preserve">Spot ticket - India</t>
  </si>
  <si>
    <t xml:space="preserve">OBSERVED, PROXY. Augmont: average festive-season purchase Rs 3,300, Times of India, Sep 2025 (= ~USD 38). Augmont is a licensed refiner and digital gold platform; a festive lump is structurally the same act as a spot purchase, which is why it is preferred to the alternatives. REJECTED: SafeGold Rs 5,000-8,000 (May 2026) - that book skews to investors, while Aurumix's Indian customer saves USD 30 a month; MMTC-PAMP Rs 800-1,200 - closer to routine micro-saving than a lump; Rs 230 industry-wide - a LinkedIn aggregate, not a citable source. ⚠ WEAKER THAN THE UAE FIGURE: right country and right behaviour, but Aurumix's Indian customer is poorer than Augmont's average buyer, so 40 may be generous.</t>
  </si>
  <si>
    <t xml:space="preserve">Spot attach rate - UAE</t>
  </si>
  <si>
    <t xml:space="preserve">% of customers/yr</t>
  </si>
  <si>
    <t xml:space="preserve">Share of paying customers who make ANY spot purchase in a year - NOT a monthly rate, and NOT how often a buyer buys (that is the separate frequency input). Set on the affordability ratio above: the spot ticket as a multiple of the same customer's monthly SIP. ⚠ NO PUBLISHED BENCHMARK EXISTS - confirmed negative. ⚠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</si>
  <si>
    <t xml:space="preserve">Spot attach rate - Oman and Bahrain</t>
  </si>
  <si>
    <t xml:space="preserve">Spot attach rate - India</t>
  </si>
  <si>
    <t xml:space="preserve">SIP RULES</t>
  </si>
  <si>
    <t xml:space="preserve">SIP hard floor</t>
  </si>
  <si>
    <t xml:space="preserve">USD/month</t>
  </si>
  <si>
    <t xml:space="preserve">Rejected outright below; never partially credited. CITED.</t>
  </si>
  <si>
    <t xml:space="preserve">Confirmed SIP gate</t>
  </si>
  <si>
    <t xml:space="preserve">consecutive payments</t>
  </si>
  <si>
    <t xml:space="preserve">Client's own figure. The gate is why eligibility is NOT universal - see the two eligibility parameters on the Scenario sheet. CLIENT INPUT.</t>
  </si>
  <si>
    <t xml:space="preserve">Cost per redemption event (memo - for the cost build)</t>
  </si>
  <si>
    <t xml:space="preserve">USD</t>
  </si>
  <si>
    <t xml:space="preserve">RE-CUT 2026-08-20 from 4.20: the outbound bank transfer fee (USD 1.00-2.50) is REMOVED - that is the customer's cost to bear, not Aurumix's. What remains is Sumsub AML re-screening at 1.85 plus operational handling at ~1.35, both of which Aurumix genuinely pays. ⚠ NOT IN THE REVENUE MODEL: redemption is a COST and arrives with the cost build. This row is carried so the driver is documented and the unit rate already agreed. THE FINDING IT CARRIES IS UNCHANGED AND IS THE POINT - VARA Annex 2 III.E.4 forbids charging ANY fee on redemption, verified verbatim at primary source, so the cost is 100% absorbed, no offsetting revenue exists or can exist, and THERE CAN NEVER BE AN EXIT FEE. DERIVED.</t>
  </si>
  <si>
    <t xml:space="preserve">ACTIVATION CALENDAR - the single source of every activation period</t>
  </si>
  <si>
    <t xml:space="preserve">Stream 1a - Entry fee, SIP</t>
  </si>
  <si>
    <t xml:space="preserve">period # (from)</t>
  </si>
  <si>
    <t xml:space="preserve">M1. The core product - live at launch.</t>
  </si>
  <si>
    <t xml:space="preserve">Stream 1b - Entry fee, SPOT</t>
  </si>
  <si>
    <t xml:space="preserve">M1. A sub-stream of 1: the same fee on the same gold through a different rail, so it needs no additional build.</t>
  </si>
  <si>
    <t xml:space="preserve">Stream 0 - Redemption cost</t>
  </si>
  <si>
    <t xml:space="preserve">M1. A mandatory cost from day one. VARA Annex 2 III.E.4 forbids charging any fee on redemption, so there is no offsetting revenue and there can never be an exit fee.</t>
  </si>
  <si>
    <t xml:space="preserve">Stream 3 - Family plan and Digital Will</t>
  </si>
  <si>
    <t xml:space="preserve">M7 (client decision 2026-08-20). RATIONALE: this is a paid add-on sold INTO an existing base, not an acquisition product. At M1 there is no base to attach it to, and the Digital Will needs the legal template and beneficiary flow finished. Six months lets the first cohort establish before they are asked to buy a second product.</t>
  </si>
  <si>
    <t xml:space="preserve">Stream 2 - Card interchange</t>
  </si>
  <si>
    <t xml:space="preserve">M13 (client decision 2026-08-20, moved earlier from M18). RATIONALE FOR ANY DELAY AT ALL: the card is not ours to launch. It needs a sponsor bank (BIN sponsorship), Visa scheme certification and a processor integration - all commercial gates outside our control. It also needs customers who have cleared the six-payment gate, which takes ~8 months on average, so a card launched much earlier would have almost nobody eligible to hold it.</t>
  </si>
  <si>
    <t xml:space="preserve">Stream 4 - Cardholder fees</t>
  </si>
  <si>
    <t xml:space="preserve">M13, necessarily with stream 2 - FX, ATM and issuance fees cannot exist before the card does.</t>
  </si>
  <si>
    <t xml:space="preserve">Stream 5 - Lending revenue share</t>
  </si>
  <si>
    <t xml:space="preserve">M13 (client decision 2026-08-20, moved earlier from Y3). RATIONALE FOR ANY DELAY AT ALL: lending needs a partner lender under contract, and it needs collateral that has SEASONED 90 days. A customer joining at M1 has enough seasoned gold by M13; one joining at M10 does not, which the model handles because borrowers are drawn from the gate-cleared population, not from everyone.</t>
  </si>
  <si>
    <t xml:space="preserve">Stream 6 - B2B platform fee</t>
  </si>
  <si>
    <t xml:space="preserve">M13 (client decision 2026-08-20, moved earlier from Y3). RATIONALE FOR ANY DELAY AT ALL: it needs a signed partner and multi-tenant capability at register and mint. NOTE: at Y3 this stream had to be placed at the START of the annual block to avoid a one-twelfth-year stub column sitting beside a full annual one. At M13 it sits safely inside the monthly block, so that complication disappears.</t>
  </si>
  <si>
    <t xml:space="preserve">Referral channel begins</t>
  </si>
  <si>
    <t xml:space="preserve">M13, and this one is STRUCTURAL rather than commercial: a referrer must clear their own six-payment gate before they can refer, and the referee must then clear theirs. Two six-month gates IN SERIES. Year 1 pays nothing and the channel does not reach steady state until roughly M25.</t>
  </si>
  <si>
    <t xml:space="preserve">Region opens - Oman and Bahrain</t>
  </si>
  <si>
    <t xml:space="preserve">M13 (client decision 2026-08-20). THE ONLY STAGED REGION, and the reason is regulatory: it requires local authorisation in a second and third jurisdiction. These customers are also NOT UAE-resident, so the VAT and reporting treatment differs.</t>
  </si>
  <si>
    <t xml:space="preserve">Region opens - India</t>
  </si>
  <si>
    <t xml:space="preserve">M1 (client decision 2026-08-20, moved earlier from M13). The India payment route is ASSUMED SOLVED in this model. ⚠ That is a live assumption, not a settled fact - if the route is not solved, this region does not open at all and roughly a quarter of terminal revenue goes with it.</t>
  </si>
  <si>
    <t xml:space="preserve">SEASONALITY VECTORS (raw - the Model normalises to exactly 12.000)</t>
  </si>
  <si>
    <t xml:space="preserve">Vector</t>
  </si>
  <si>
    <t xml:space="preserve">Jan</t>
  </si>
  <si>
    <t xml:space="preserve">Feb</t>
  </si>
  <si>
    <t xml:space="preserve">Mar</t>
  </si>
  <si>
    <t xml:space="preserve">Apr</t>
  </si>
  <si>
    <t xml:space="preserve">May</t>
  </si>
  <si>
    <t xml:space="preserve">Jun</t>
  </si>
  <si>
    <t xml:space="preserve">Jul</t>
  </si>
  <si>
    <t xml:space="preserve">Aug</t>
  </si>
  <si>
    <t xml:space="preserve">Sep</t>
  </si>
  <si>
    <t xml:space="preserve">Oct</t>
  </si>
  <si>
    <t xml:space="preserve">Nov</t>
  </si>
  <si>
    <t xml:space="preserve">Dec</t>
  </si>
  <si>
    <t xml:space="preserve">Acquisition seasonality</t>
  </si>
  <si>
    <t xml:space="preserve">SOURCED TIMING, JUDGED AMPLITUDE. Peaks at Akshaya Tritiya (Apr/May), the most concentrated gold-buying day globally by value, and Dhanteras/Diwali (Oct/Nov), India's peak gold occasion with demand up 8-12% in the fortnight before. Wedding season Nov-Mar supports the winter. Trough Jul-Sep, the sourced annual low. Jan carries the Dubai Shopping Festival. DAMPED to ~+/-25% against the ~+/-33% swing in raw jewellery demand, because a USD 20/month savings mandate is far less impulsive than buying jewellery. Two traps avoided: India's Q3 2024 spike was an IMPORT DUTY CUT, not seasonality; and Ramadan/Eid moves ~11 days a year, so a fixed-month Eid bump would be wrong by construction over 7 years.</t>
  </si>
  <si>
    <t xml:space="preserve">Card spend seasonality</t>
  </si>
  <si>
    <t xml:space="preserve">UAE RESIDENT CARD SPEND, not gold. Peaks Dec-Jan on the Dubai Shopping Festival and year-end holidays; troughs Jul-Aug when residents leave for the summer. NARROWER than acquisition (+/-14% vs +/-25%) because everyday spend is less culturally spiky. Note the deliberate OPPOSITION to the foreign-spend vector: Jul-Aug is the weakest total-spend month and the strongest foreign-share month.</t>
  </si>
  <si>
    <t xml:space="preserve">Foreign-spend share vector</t>
  </si>
  <si>
    <t xml:space="preserve">The one seasonality vector the brief itself tabulates. Raw mean 39.75, rescaled on the Model to the foreign-spend-share parameter. THE SUMMER TRAVEL SEASON IS THE LARGEST STREAM-4 MONTH on the weakest total-spend base.</t>
  </si>
  <si>
    <t xml:space="preserve">REGION KEY - who each region is</t>
  </si>
  <si>
    <t xml:space="preserve">UAE</t>
  </si>
  <si>
    <t xml:space="preserve">opens M1</t>
  </si>
  <si>
    <t xml:space="preserve">UAE residents - Indian plus other South Asian (Pakistani, Bangladeshi, Sri Lankan, Nepali). COMBINED 2026-08-20 from two separate regions: both sit under one licence, one set of rails and one agent channel, both open at M1, and both are UAE-resident for VAT. They differed only on average ticket (USD 38 vs USD 26), which the blended USD 33.60 preserves at the book level. The core market - the gold-savings habit and the agent network originate here.</t>
  </si>
  <si>
    <t xml:space="preserve">Oman and Bahrain</t>
  </si>
  <si>
    <t xml:space="preserve">opens M13</t>
  </si>
  <si>
    <t xml:space="preserve">Expatriate workers in Oman and Bahrain. ~600,000 addressable. NOT UAE-resident, so VAT and reporting treatment differ. Requires local authorisation in a second and third jurisdiction, which is why it is the only staged region.</t>
  </si>
  <si>
    <t xml:space="preserve">India</t>
  </si>
  <si>
    <t xml:space="preserve">India-resident retail investors. ~12.5m addressable, sized BEHAVIOURALLY from gold ETF folios intersected with active digital-gold holders rather than demographically. The payment route is ASSUMED SOLVED in this model - if it is not, this region does not open at all.</t>
  </si>
  <si>
    <t xml:space="preserve">MARKET SIZING - how each region's reachable SIP account ceiling is derived</t>
  </si>
  <si>
    <t xml:space="preserve">Funnel step</t>
  </si>
  <si>
    <t xml:space="preserve">UAE - Indian</t>
  </si>
  <si>
    <t xml:space="preserve">UAE - other South Asian</t>
  </si>
  <si>
    <t xml:space="preserve">Source population</t>
  </si>
  <si>
    <t xml:space="preserve">UPDATED 2026-08-20. UAE-Indian is 4.36m - the Indian consulate's official count at December 2024, also given as 4.3m by the Embassy of India. The brief carried 3.5m, which is roughly a 2021-22 vintage: the community was 3.89m at December 2023 and 4.36m a year later, having doubled from 2.2m over the decade. UAE-other South Asian is 3.46m, the sum of Pakistani 1.90m, Bangladeshi 0.84m, Nepali 0.36m and Sri Lankan 0.36m - the brief's 3.4m was already correct. These are TOTAL RESIDENT NATIONALS including dependants, which is why the economically-active filter below applies. Oman and Bahrain is an expatriate WORKER count. INDIA IS NOT A DEMOGRAPHIC BASE - it is sized BEHAVIOURALLY from gold ETF folios intersected with active digital-gold holders, so its filters are 100%. ⚠ HELD STATIC over the horizon, which is conservative: the UAE Indian community grew ~12% in the single year to Dec 2024.</t>
  </si>
  <si>
    <t xml:space="preserve">  x Economically active</t>
  </si>
  <si>
    <t xml:space="preserve">Oman and Bahrain is 100% because the source counts EXPAT WORKERS, who are working-age and economically active by definition - applying a labour-force filter would double-count.</t>
  </si>
  <si>
    <t xml:space="preserve">  x Payment capable (IBAN able to carry a direct debit)</t>
  </si>
  <si>
    <t xml:space="preserve">A SIP needs a standing mandate, not just an account. This is the filter that replaced an unsourced gold-savings propensity filter, which was flagged as the weakest link in the entire sizing and had no published source. This one has a stated mechanism behind it.</t>
  </si>
  <si>
    <t xml:space="preserve">  x Money capable (USD 20/month after remittances)</t>
  </si>
  <si>
    <t xml:space="preserve">Discretionary capacity for a RECURRING USD 240/year commitment, tested after remittance obligations rather than before them.</t>
  </si>
  <si>
    <t xml:space="preserve">  = Addressable base</t>
  </si>
  <si>
    <t xml:space="preserve">Population x the three filters. The UAE-Indian column reproduces the brief's worked figure of ~640,000.</t>
  </si>
  <si>
    <t xml:space="preserve">  x Penetration ceiling</t>
  </si>
  <si>
    <t xml:space="preserve">The share of the addressable base the product could ever reach. 'base x ceiling' is the INVARIANT - changing one without the other silently re-scales the whole model.</t>
  </si>
  <si>
    <t xml:space="preserve">  = REACHABLE SIP ACCOUNTS</t>
  </si>
  <si>
    <t xml:space="preserve">This is what the acquisition engine saturates against.</t>
  </si>
  <si>
    <t xml:space="preserve">  Feeds model region</t>
  </si>
  <si>
    <t xml:space="preserve">MARKET CEILINGS AND ACQUISITION DRIVERS</t>
  </si>
  <si>
    <t xml:space="preserve">Reachable SIP ceiling - UAE</t>
  </si>
  <si>
    <t xml:space="preserve">accounts</t>
  </si>
  <si>
    <t xml:space="preserve">DERIVED from the market sizing funnel above - the sum of its source populations (UAE - Indian, UAE - other South Asian), not a typed number. Change any filter and this follows.</t>
  </si>
  <si>
    <t xml:space="preserve">Reachable SIP ceiling - Oman and Bahrain</t>
  </si>
  <si>
    <t xml:space="preserve">DERIVED from the market sizing funnel above - the sum of its source populations (Oman and Bahrain), not a typed number. Change any filter and this follows.</t>
  </si>
  <si>
    <t xml:space="preserve">Reachable SIP ceiling - India</t>
  </si>
  <si>
    <t xml:space="preserve">DERIVED from the market sizing funnel above - the sum of its source populations (India), not a typed number. Change any filter and this follows.</t>
  </si>
  <si>
    <t xml:space="preserve">Total reachable SIP accounts</t>
  </si>
  <si>
    <t xml:space="preserve">~181,150, against the brief's 165,750. ⚠ THE BRIEF'S 'base x ceiling is the invariant' RULE IS DELIBERATELY BROKEN HERE, and the distinction matters: that rule guards against a METHODOLOGICAL re-cut quietly inflating the market by re-tuning filters, which proves nothing. This is not that - it is a DATA CORRECTION. The UAE Indian population really is 4.36m rather than 3.5m, so the addressable market really is larger. Holding the invariant would mean asserting that penetration falls exactly as population rises, which has no basis. The penetration ceilings are untouched.</t>
  </si>
  <si>
    <t xml:space="preserve">CROSS-CHECK vs observed market evidence (memo - feeds nothing)</t>
  </si>
  <si>
    <t xml:space="preserve">  O Gold active users, UAE (observed)</t>
  </si>
  <si>
    <t xml:space="preserve">users</t>
  </si>
  <si>
    <t xml:space="preserve">OBSERVED. O Gold, the gold engine behind Botim, reported at 75,000 ACTIVE users. The same product is also reported at 775,000 'explored the feature', 1.5m 'users' and 8.5m 'can access' - ACTIVE is the only one of the four comparable to a reachable-accounts figure, and it is the most conservative. CITED.</t>
  </si>
  <si>
    <t xml:space="preserve">  Our UAE ceiling as a multiple of observed active users</t>
  </si>
  <si>
    <t xml:space="preserve">x observed</t>
  </si>
  <si>
    <t xml:space="preserve">⚠ LIVE, SO IT MOVES IF ANYONE RAISES A CEILING - which is the point. Two INDEPENDENT methods landing within ~2x is the strongest defence of the funnel in this model: the funnel says the UAE can reach ~113,000 SIP accounts, and a real UAE gold app in the same segment has ~75,000 active users today. Our addressable base of ~1.43m sits against 775,000 who explored that product - same order again. If this multiple drifts far above ~2x, the ceiling has stopped being defensible by evidence and is being set by the answer someone wanted. DERIVED from a cited observation.</t>
  </si>
  <si>
    <t xml:space="preserve">  Oman &amp; Bahrain / India (no comparable figure)</t>
  </si>
  <si>
    <t xml:space="preserve">n/a</t>
  </si>
  <si>
    <t xml:space="preserve">-</t>
  </si>
  <si>
    <t xml:space="preserve">CONFIRMED NEGATIVE, recorded so it is not re-searched. No GCC platform outside the UAE publishes a user count. India publishes only REGISTERED counts (Jar 35m, Augmont 42m) which cannot be deduplicated or converted to active users, so no comparable cross-check can be built. ⚠ NOTE THAT INDIA'S OWN BASE IS ALREADY user-derived - its 12.5m is 'holds a gold ETF folio or actively buys digital gold', which is why its three filters all sit at 1.00 - AND IT IS THE LEAST TRACEABLE BASE IN THE MODEL. That is the evidence that a user-based method does not automatically produce a better-sourced number.</t>
  </si>
  <si>
    <t xml:space="preserve">Active agents - Y1</t>
  </si>
  <si>
    <t xml:space="preserve">agents</t>
  </si>
  <si>
    <t xml:space="preserve">A STOCK, not a flow: at 45% attrition, holding 200 active needs ~90 recruits a year. CLIENT INPUT.</t>
  </si>
  <si>
    <t xml:space="preserve">Active agents - Y2</t>
  </si>
  <si>
    <t xml:space="preserve">Active agents - Y3</t>
  </si>
  <si>
    <t xml:space="preserve">Active agents - Y4</t>
  </si>
  <si>
    <t xml:space="preserve">Active agents - Y5</t>
  </si>
  <si>
    <t xml:space="preserve">Active agents - Y6</t>
  </si>
  <si>
    <t xml:space="preserve">Active agents - Y7</t>
  </si>
  <si>
    <t xml:space="preserve">Marketing spend - Y1</t>
  </si>
  <si>
    <t xml:space="preserve">A DECISION VARIABLE and an input to acquisition, not an output of a cost table.</t>
  </si>
  <si>
    <t xml:space="preserve">Marketing spend - Y2</t>
  </si>
  <si>
    <t xml:space="preserve">Marketing spend - Y3</t>
  </si>
  <si>
    <t xml:space="preserve">Marketing spend - Y4</t>
  </si>
  <si>
    <t xml:space="preserve">Marketing spend - Y5</t>
  </si>
  <si>
    <t xml:space="preserve">Marketing spend - Y6</t>
  </si>
  <si>
    <t xml:space="preserve">Marketing spend - Y7</t>
  </si>
  <si>
    <t xml:space="preserve">Agent blended ramp - Y1</t>
  </si>
  <si>
    <t xml:space="preserve">x productivity</t>
  </si>
  <si>
    <t xml:space="preserve">Six months to full productivity, which happens to match the six-payment gate.</t>
  </si>
  <si>
    <t xml:space="preserve">Agent blended ramp - Y2</t>
  </si>
  <si>
    <t xml:space="preserve">Agent blended ramp - Y3</t>
  </si>
  <si>
    <t xml:space="preserve">Agent blended ramp - Y4</t>
  </si>
  <si>
    <t xml:space="preserve">Agent blended ramp - Y5</t>
  </si>
  <si>
    <t xml:space="preserve">Agent blended ramp - Y6</t>
  </si>
  <si>
    <t xml:space="preserve">Agent blended ramp - Y7</t>
  </si>
  <si>
    <t xml:space="preserve">Share of salesforce deployed - UAE</t>
  </si>
  <si>
    <t xml:space="preserve">% of salesforce</t>
  </si>
  <si>
    <t xml:space="preserve">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</si>
  <si>
    <t xml:space="preserve">Share of salesforce deployed - Oman and Bahrain</t>
  </si>
  <si>
    <t xml:space="preserve">Share of salesforce deployed - India</t>
  </si>
  <si>
    <t xml:space="preserve">SCENARIO-LINKED INPUTS (live values - move with the scenario switch)</t>
  </si>
  <si>
    <t xml:space="preserve">Gold price appreciation</t>
  </si>
  <si>
    <t xml:space="preserve">%/yr</t>
  </si>
  <si>
    <t xml:space="preserve">ADDED 2026-08-21, client instruction, replacing a flat price. 8.1% is the COMPOUND ANNUAL GROWTH RATE SINCE 1971, the end of the gold standard - chosen because it is the LONGEST window and therefore the least cherry-picked. The shorter the window the better gold looks: ~8.6% over 50 years, ~9-10% over 20, ~13-14% over 10, and over 20% over the last 5. Taking the recent decade would have flattered the model on a rally. CITED. ⚠ THIS IS A NOMINAL RATE AND NOTHING ELSE IN THE MODEL INFLATES. SIP tickets, spot tickets, CAC, card fees and the B2B fee are all frozen in 2027 dollars. There is NO CONSENSUS POSITIVE LONG-RUN REAL RETURN for gold - it is generally treated as a store of value with a near-zero real yield - so most of this 8.1% IS INFLATION. Applying it to the metal while freezing everything else quietly asserts that gold outruns wages, prices and costs by 8% a year for seven years, which is not a claim anyone would defend out loud. The Model therefore also carries AUM AT THE CONSTANT M1 PRICE, and that is the honest series for judging whether the BUSINESS grew. Conservative is set at 0.0% deliberately: it restores the original flat-price design, under which every revenue change is attributable to the business rather than the metal.</t>
  </si>
  <si>
    <t xml:space="preserve">Persistency - customers still paying after 12 months</t>
  </si>
  <si>
    <t xml:space="preserve">%</t>
  </si>
  <si>
    <t xml:space="preserve">THE HEADLINE RETENTION NUMBER, and the one a client can argue with. Everything about churn is derived from it. Governs lifetime value, referral economics and agent commission at once. DERIVED from the archetype work: the simulation can refine it, but 55% is what that engine produced.</t>
  </si>
  <si>
    <t xml:space="preserve">Monthly churn rate (derived)</t>
  </si>
  <si>
    <t xml:space="preserve">%/month</t>
  </si>
  <si>
    <t xml:space="preserve">DERIVED, not typed: the monthly rate that reproduces the persistency above over twelve months. Change persistency and this follows. Base 55% implies ~4.9%/month.</t>
  </si>
  <si>
    <t xml:space="preserve">Agent productivity</t>
  </si>
  <si>
    <t xml:space="preserve">accounts/agent/month</t>
  </si>
  <si>
    <t xml:space="preserve">Insurance agency comparator. TRIANGULATED.</t>
  </si>
  <si>
    <t xml:space="preserve">Marketing CAC - UAE</t>
  </si>
  <si>
    <t xml:space="preserve">USD per customer</t>
  </si>
  <si>
    <t xml:space="preserve">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</si>
  <si>
    <t xml:space="preserve">Marketing CAC - Oman and Bahrain</t>
  </si>
  <si>
    <t xml:space="preserve">Marketing CAC - India</t>
  </si>
  <si>
    <t xml:space="preserve">Marketing spend share - UAE</t>
  </si>
  <si>
    <t xml:space="preserve">% of budget</t>
  </si>
  <si>
    <t xml:space="preserve">How the marketing budget is split across markets. Defaults to each region's share of the addressable ceiling, so spend follows the opportunity. Does not vary by scenario - it is a management decision, not an uncertainty. Must sum to 100%.</t>
  </si>
  <si>
    <t xml:space="preserve">Marketing spend share - Oman and Bahrain</t>
  </si>
  <si>
    <t xml:space="preserve">Marketing spend share - India</t>
  </si>
  <si>
    <t xml:space="preserve">Referral rate</t>
  </si>
  <si>
    <t xml:space="preserve">referrals/customer/yr</t>
  </si>
  <si>
    <t xml:space="preserve">Cap removed deliberately, so the distribution is right-skewed. MODEL THE MEAN, NOT THE MEDIAN. ASSUMPTION.</t>
  </si>
  <si>
    <t xml:space="preserve">Referral conversion</t>
  </si>
  <si>
    <t xml:space="preserve">The M7 survival of the referred cohort, uplifted ~1.1x. DERIVED.</t>
  </si>
  <si>
    <t xml:space="preserve">Organic share of direct</t>
  </si>
  <si>
    <t xml:space="preserve">% of direct</t>
  </si>
  <si>
    <t xml:space="preserve">Kept separate so the CAC never applies to it. ASSUMPTION.</t>
  </si>
  <si>
    <t xml:space="preserve">Seasonality amplitude</t>
  </si>
  <si>
    <t xml:space="preserve">x deviation from 1.0</t>
  </si>
  <si>
    <t xml:space="preserve">Festival TIMING is sourced; how hard a Dubai savings signup responds to Dhanteras is the open question. Applied to the deviation from 1.0, then renormalised, so the vectors stay at exactly 12.000.</t>
  </si>
  <si>
    <t xml:space="preserve">Customers who EVER clear the six-payment gate</t>
  </si>
  <si>
    <t xml:space="preserve">% of customers</t>
  </si>
  <si>
    <t xml:space="preserve">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</si>
  <si>
    <t xml:space="preserve">Average months to clear the gate</t>
  </si>
  <si>
    <t xml:space="preserve">months</t>
  </si>
  <si>
    <t xml:space="preserve">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</si>
  <si>
    <t xml:space="preserve">Gold moved out of Aurumix's control</t>
  </si>
  <si>
    <t xml:space="preserve">% of AUM/yr</t>
  </si>
  <si>
    <t xml:space="preserve">RELABELLED 2026-08-21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 THAT ONE-CONSUMER PROPERTY IS WHAT MAKES THIS SAFE: if a later build points anything else at AUM - a custody fee, a reported-AUM headline - this row must be split in two first. Contrast the redemption line, which IS gold genuinely gone. ASSUMPTION.</t>
  </si>
  <si>
    <t xml:space="preserve">Redemption rate</t>
  </si>
  <si>
    <t xml:space="preserve">A DIFFERENT EVENT from self-custody and a separate line. PAXG turnover of 5.9% is the only comparator. VARA forbids charging any fee on it. ASSUMPTION.</t>
  </si>
  <si>
    <t xml:space="preserve">Holder redemption multiplier</t>
  </si>
  <si>
    <t xml:space="preserve">x the paying rate</t>
  </si>
  <si>
    <t xml:space="preserve">Customers who stopped paying redeem FASTER - they have no accruing benefit left to protect. Because holders become the majority of the book by Y4, this is the DOMINANT AUM DECAY TERM from roughly Y4. ASSUMPTION.</t>
  </si>
  <si>
    <t xml:space="preserve">Spot attach scenario multiplier</t>
  </si>
  <si>
    <t xml:space="preserve">x the regional attach</t>
  </si>
  <si>
    <t xml:space="preserve">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</si>
  <si>
    <t xml:space="preserve">Spot ticket scenario multiplier</t>
  </si>
  <si>
    <t xml:space="preserve">x the observed ticket</t>
  </si>
  <si>
    <t xml:space="preserve">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</si>
  <si>
    <t xml:space="preserve">Spot frequency</t>
  </si>
  <si>
    <t xml:space="preserve">events/attacher/yr</t>
  </si>
  <si>
    <t xml:space="preserve">⚠ 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</si>
  <si>
    <t xml:space="preserve">Programme manager share of interchange</t>
  </si>
  <si>
    <t xml:space="preserve">SIZES THE LARGEST STREAM. No UAE/MENA figure is published. FLOOR IS 36% - take that into the sponsor conversation as the walk-away. TRIANGULATED.</t>
  </si>
  <si>
    <t xml:space="preserve">Facility take-up - customers who take AND use the card</t>
  </si>
  <si>
    <t xml:space="preserve">% of gate-cleared</t>
  </si>
  <si>
    <t xml:space="preserve">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 THE OLD 50% CAME FROM NEOBANK COMPARABLES (PULSE 68.2%, Monzo 68%) WHERE THE CARD IS THE PRODUCT - wrong in kind for a card that only lets you borrow against your own savings. DERIVED.</t>
  </si>
  <si>
    <t xml:space="preserve">Transactions per drawdown event</t>
  </si>
  <si>
    <t xml:space="preserve">transactions/draw</t>
  </si>
  <si>
    <t xml:space="preserve">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</si>
  <si>
    <t xml:space="preserve">Foreign spend share (mean)</t>
  </si>
  <si>
    <t xml:space="preserve">% of card spend</t>
  </si>
  <si>
    <t xml:space="preserve">Applied through the seasonal vector, not as a constant. ASSUMPTION.</t>
  </si>
  <si>
    <t xml:space="preserve">Card issuance events</t>
  </si>
  <si>
    <t xml:space="preserve">events/card/yr</t>
  </si>
  <si>
    <t xml:space="preserve">1.00 at activation plus reissues - a tier upgrade forces a physical reissue. ASSUMPTION.</t>
  </si>
  <si>
    <t xml:space="preserve">Card replacement events</t>
  </si>
  <si>
    <t xml:space="preserve">Industry-normal loss/theft/damage is 8-15% annually. ASSUMPTION.</t>
  </si>
  <si>
    <t xml:space="preserve">ATM AED 0-500 - share of cardholders</t>
  </si>
  <si>
    <t xml:space="preserve">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</si>
  <si>
    <t xml:space="preserve">ATM AED 500-1,500 - share of cardholders</t>
  </si>
  <si>
    <t xml:space="preserve">ATM AED 1,500-3,000 - share of cardholders</t>
  </si>
  <si>
    <t xml:space="preserve">ATM AED 3,000+ - share of cardholders</t>
  </si>
  <si>
    <t xml:space="preserve">ATM AED 0-500 - midpoint draw</t>
  </si>
  <si>
    <t xml:space="preserve">Raising the allowance at the top tier waives revenue from only the top ~3% of cardholders.</t>
  </si>
  <si>
    <t xml:space="preserve">ATM AED 500-1,500 - midpoint draw</t>
  </si>
  <si>
    <t xml:space="preserve">ATM AED 1,500-3,000 - midpoint draw</t>
  </si>
  <si>
    <t xml:space="preserve">ATM AED 3,000+ - midpoint draw</t>
  </si>
  <si>
    <t xml:space="preserve">Drawn as % of permitted limit</t>
  </si>
  <si>
    <t xml:space="preserve">Revolving facilities draw 40-55% of permitted. This now drives CARD SPEND as well as the loan balance, because the card is the drawdown mechanism. TRIANGULATED.</t>
  </si>
  <si>
    <t xml:space="preserve">Facility turnover, peak -&gt; average</t>
  </si>
  <si>
    <t xml:space="preserve">x peak drawn</t>
  </si>
  <si>
    <t xml:space="preserve">AN ARITHMETIC CORRECTION, not a sensitivity, derived from Manappuram's 71-day realised tenor. It cuts the lending stream by 1.88x. DERIVED.</t>
  </si>
  <si>
    <t xml:space="preserve">Draw events per borrower per year</t>
  </si>
  <si>
    <t xml:space="preserve">events/yr</t>
  </si>
  <si>
    <t xml:space="preserve">MOVES WITH facility turnover - do not flex independently. DERIVED.</t>
  </si>
  <si>
    <t xml:space="preserve">Family plan attach rate</t>
  </si>
  <si>
    <t xml:space="preserve">NOTHING IS STATED ANYWHERE IN THE CORPUS. Pure assumption. Scales stream 3 linearly.</t>
  </si>
  <si>
    <t xml:space="preserve">B2B partners - Y1</t>
  </si>
  <si>
    <t xml:space="preserve">partners</t>
  </si>
  <si>
    <t xml:space="preserve">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</si>
  <si>
    <t xml:space="preserve">B2B partners - Y2</t>
  </si>
  <si>
    <t xml:space="preserve">B2B partners - Y3</t>
  </si>
  <si>
    <t xml:space="preserve">B2B partners - Y4</t>
  </si>
  <si>
    <t xml:space="preserve">B2B partners - Y5</t>
  </si>
  <si>
    <t xml:space="preserve">B2B partners - Y6</t>
  </si>
  <si>
    <t xml:space="preserve">B2B partners - Y7</t>
  </si>
  <si>
    <t xml:space="preserve">AUM per partner (mature)</t>
  </si>
  <si>
    <t xml:space="preserve">Requires a signed partner. Partner AUM earns NO tier and consumes NO benefits - structurally the highest-margin book. DERIVED.</t>
  </si>
  <si>
    <t xml:space="preserve">Average monthly ticket - UAE</t>
  </si>
  <si>
    <t xml:space="preserve">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</si>
  <si>
    <t xml:space="preserve">Average monthly ticket - Oman and Bahrain</t>
  </si>
  <si>
    <t xml:space="preserve">Average monthly ticket - India</t>
  </si>
  <si>
    <t xml:space="preserve">Prepaid instead of credit</t>
  </si>
  <si>
    <t xml:space="preserve">1/0 switch</t>
  </si>
  <si>
    <t xml:space="preserve">ON (Prepaid) caps interchange at 1.00% and removes the credit stream entirely. 'NOT A PRODUCT CHOICE, IT IS THE BUSINESS MODEL.' Worth ~USD 2.3m of Y10 revenue on the ten-year run.</t>
  </si>
  <si>
    <t xml:space="preserve">Holders keep the card</t>
  </si>
  <si>
    <t xml:space="preserve">NOBODY HAS DECIDED THIS. It determines whether the card streams - the majority of revenue - decay with churn or are immune to it. Worth a 42% swing in terminal revenue. Default ON because nothing in the design revokes the card; report both.</t>
  </si>
  <si>
    <t xml:space="preserve">Every row above is a GREEN link to the active value on Scenario Parameters, which is itself a CHOOSE() across the Base / Aggressive / Conservative columns. Flip the scenario selector and all of them move. The Model reads these cells and never reaches into Scenario Parameters directly, so this sheet is the complete register of every input the model uses.</t>
  </si>
  <si>
    <t xml:space="preserve">Scenario Parameters</t>
  </si>
  <si>
    <t xml:space="preserve">SCENARIO SELECTOR</t>
  </si>
  <si>
    <t xml:space="preserve">Select Scenario:</t>
  </si>
  <si>
    <t xml:space="preserve">Base</t>
  </si>
  <si>
    <t xml:space="preserve">&lt;- index</t>
  </si>
  <si>
    <t xml:space="preserve">One switch, three columns. Every parameter below resolves through it.</t>
  </si>
  <si>
    <t xml:space="preserve">GROUP A0: THE METAL</t>
  </si>
  <si>
    <t xml:space="preserve">Active Value</t>
  </si>
  <si>
    <t xml:space="preserve">Aggressive</t>
  </si>
  <si>
    <t xml:space="preserve">Conservative</t>
  </si>
  <si>
    <t xml:space="preserve">GROUP A: CUSTOMERS AND CHURN</t>
  </si>
  <si>
    <t xml:space="preserve">GROUP B: CARD ELIGIBILITY - the two cells that replace the archetype engine</t>
  </si>
  <si>
    <t xml:space="preserve">GROUP C: AUM, LEAKAGE AND SPOT</t>
  </si>
  <si>
    <t xml:space="preserve">GROUP D: CARD</t>
  </si>
  <si>
    <t xml:space="preserve">GROUP E: CREDIT, B2B AND FAMILY</t>
  </si>
  <si>
    <t xml:space="preserve">GROUP F: REGIONS</t>
  </si>
  <si>
    <t xml:space="preserve">STRUCTURAL SWITCHES - the two that move revenue</t>
  </si>
  <si>
    <t xml:space="preserve">Switch</t>
  </si>
  <si>
    <t xml:space="preserve">Active (1/0)</t>
  </si>
  <si>
    <t xml:space="preserve">State</t>
  </si>
  <si>
    <t xml:space="preserve">ON value</t>
  </si>
  <si>
    <t xml:space="preserve">Credit</t>
  </si>
  <si>
    <t xml:space="preserve">Prepaid</t>
  </si>
  <si>
    <t xml:space="preserve">ON</t>
  </si>
  <si>
    <t xml:space="preserve">Period #</t>
  </si>
  <si>
    <t xml:space="preserve">1..29</t>
  </si>
  <si>
    <t xml:space="preserve">Period</t>
  </si>
  <si>
    <t xml:space="preserve">M1</t>
  </si>
  <si>
    <t xml:space="preserve">M2</t>
  </si>
  <si>
    <t xml:space="preserve">M3</t>
  </si>
  <si>
    <t xml:space="preserve">M4</t>
  </si>
  <si>
    <t xml:space="preserve">M5</t>
  </si>
  <si>
    <t xml:space="preserve">M6</t>
  </si>
  <si>
    <t xml:space="preserve">M7</t>
  </si>
  <si>
    <t xml:space="preserve">M8</t>
  </si>
  <si>
    <t xml:space="preserve">M9</t>
  </si>
  <si>
    <t xml:space="preserve">M10</t>
  </si>
  <si>
    <t xml:space="preserve">M11</t>
  </si>
  <si>
    <t xml:space="preserve">M12</t>
  </si>
  <si>
    <t xml:space="preserve">M13</t>
  </si>
  <si>
    <t xml:space="preserve">M14</t>
  </si>
  <si>
    <t xml:space="preserve">M15</t>
  </si>
  <si>
    <t xml:space="preserve">M16</t>
  </si>
  <si>
    <t xml:space="preserve">M17</t>
  </si>
  <si>
    <t xml:space="preserve">M18</t>
  </si>
  <si>
    <t xml:space="preserve">M19</t>
  </si>
  <si>
    <t xml:space="preserve">M20</t>
  </si>
  <si>
    <t xml:space="preserve">M21</t>
  </si>
  <si>
    <t xml:space="preserve">M22</t>
  </si>
  <si>
    <t xml:space="preserve">M23</t>
  </si>
  <si>
    <t xml:space="preserve">M24</t>
  </si>
  <si>
    <t xml:space="preserve">Y3</t>
  </si>
  <si>
    <t xml:space="preserve">Y4</t>
  </si>
  <si>
    <t xml:space="preserve">Y5</t>
  </si>
  <si>
    <t xml:space="preserve">Y6</t>
  </si>
  <si>
    <t xml:space="preserve">Y7</t>
  </si>
  <si>
    <t xml:space="preserve">Period type</t>
  </si>
  <si>
    <t xml:space="preserve">Monthly</t>
  </si>
  <si>
    <t xml:space="preserve">Annual</t>
  </si>
  <si>
    <t xml:space="preserve">Model year</t>
  </si>
  <si>
    <t xml:space="preserve">1..7</t>
  </si>
  <si>
    <t xml:space="preserve">Calendar month</t>
  </si>
  <si>
    <t xml:space="preserve">0 = annual</t>
  </si>
  <si>
    <t xml:space="preserve">Months in period</t>
  </si>
  <si>
    <t xml:space="preserve">Financial-year end</t>
  </si>
  <si>
    <t xml:space="preserve">1/0</t>
  </si>
  <si>
    <t xml:space="preserve">SEASONALITY - normalised to EXACTLY 12.000 by construction</t>
  </si>
  <si>
    <t xml:space="preserve">Acquisition seasonality - normalised</t>
  </si>
  <si>
    <t xml:space="preserve">Jan..Dec</t>
  </si>
  <si>
    <t xml:space="preserve">Card spend seasonality - normalised</t>
  </si>
  <si>
    <t xml:space="preserve">Foreign-spend share - rescaled to the mean</t>
  </si>
  <si>
    <t xml:space="preserve">Seasonality sum check (must be exactly 12.000)</t>
  </si>
  <si>
    <t xml:space="preserve">acq | spend</t>
  </si>
  <si>
    <t xml:space="preserve">Acquisition seasonality applied</t>
  </si>
  <si>
    <t xml:space="preserve">multiplier</t>
  </si>
  <si>
    <t xml:space="preserve">Card spend seasonality applied</t>
  </si>
  <si>
    <t xml:space="preserve">Foreign-spend share applied</t>
  </si>
  <si>
    <t xml:space="preserve">ACQUISITION - all channels, then split across regions</t>
  </si>
  <si>
    <t xml:space="preserve">Agent-driven new customers (routed by region below)</t>
  </si>
  <si>
    <t xml:space="preserve">Gold price (this period)</t>
  </si>
  <si>
    <t xml:space="preserve">⚠ RISING GOLD CUTS BOTH WAYS AND THE MODEL CAPTURES BOTH. Metal already held appreciates, but a fixed USD contribution BUYS FEWER GRAMS each year - so AUM does NOT simply compound at the headline rate. Only the collateral-linked streams move with this row (card limit, and lending through it); the entry fee is a percentage of a USD contribution and is untouched by the gold price.</t>
  </si>
  <si>
    <t xml:space="preserve">Open-region salesforce share (renormalisation base)</t>
  </si>
  <si>
    <t xml:space="preserve">x</t>
  </si>
  <si>
    <t xml:space="preserve">REGION: UAE</t>
  </si>
  <si>
    <t xml:space="preserve">  Direct-driven (this market's budget at its own CAC)</t>
  </si>
  <si>
    <t xml:space="preserve">  Referral-driven (from this market's own base)</t>
  </si>
  <si>
    <t xml:space="preserve">  Raw demand</t>
  </si>
  <si>
    <t xml:space="preserve">  Saturation (this region's own headroom)</t>
  </si>
  <si>
    <t xml:space="preserve">  New customers</t>
  </si>
  <si>
    <t xml:space="preserve">  Paying customers</t>
  </si>
  <si>
    <t xml:space="preserve">  Churned this period</t>
  </si>
  <si>
    <t xml:space="preserve">  Holders (stopped paying, still hold gold)</t>
  </si>
  <si>
    <t xml:space="preserve">  Cumulative ever acquired</t>
  </si>
  <si>
    <t xml:space="preserve">  SIP contributions</t>
  </si>
  <si>
    <t xml:space="preserve">  Spot purchase volume</t>
  </si>
  <si>
    <t xml:space="preserve">  Grams purchased</t>
  </si>
  <si>
    <t xml:space="preserve">  Collateral-eligible AUM decay rate (holder-weighted)</t>
  </si>
  <si>
    <t xml:space="preserve">%/period</t>
  </si>
  <si>
    <t xml:space="preserve">  Redemption-only decay rate (metal actually leaving)</t>
  </si>
  <si>
    <t xml:space="preserve">  Grams held (collateral-eligible)</t>
  </si>
  <si>
    <t xml:space="preserve">  Grams under custody (vaulted, incl. self-custodied)</t>
  </si>
  <si>
    <t xml:space="preserve">  AUM</t>
  </si>
  <si>
    <t xml:space="preserve">  Card-eligible base</t>
  </si>
  <si>
    <t xml:space="preserve">  Cleared the six-payment gate</t>
  </si>
  <si>
    <t xml:space="preserve">  Active cards</t>
  </si>
  <si>
    <t xml:space="preserve">cards</t>
  </si>
  <si>
    <t xml:space="preserve">  Credit limit per customer (gold x LTV)</t>
  </si>
  <si>
    <t xml:space="preserve">  Annual drawdown per card (limit x drawn x draws)</t>
  </si>
  <si>
    <t xml:space="preserve">  Card spend per card per month</t>
  </si>
  <si>
    <t xml:space="preserve">  Card spend</t>
  </si>
  <si>
    <t xml:space="preserve">AED</t>
  </si>
  <si>
    <t xml:space="preserve">  Average transaction size (derived)</t>
  </si>
  <si>
    <t xml:space="preserve">  Card authorisations (memo - drives cost, not revenue)</t>
  </si>
  <si>
    <t xml:space="preserve">auths</t>
  </si>
  <si>
    <t xml:space="preserve">  Stream 1a - Entry fee, SIP</t>
  </si>
  <si>
    <t xml:space="preserve">  Stream 1b - Entry fee, SPOT</t>
  </si>
  <si>
    <t xml:space="preserve">  Stream 2 - Card interchange</t>
  </si>
  <si>
    <t xml:space="preserve">  Stream 3 - Family plan and Digital Will</t>
  </si>
  <si>
    <t xml:space="preserve">  Stream 4 - Cardholder fees (FX, ATM, events)</t>
  </si>
  <si>
    <t xml:space="preserve">  Average drawn balance outstanding</t>
  </si>
  <si>
    <t xml:space="preserve">  Stream 5 - Lending revenue share</t>
  </si>
  <si>
    <t xml:space="preserve">  Redemption events (memo - drives cost, not revenue)</t>
  </si>
  <si>
    <t xml:space="preserve">events</t>
  </si>
  <si>
    <t xml:space="preserve">  SUBTOTAL - UAE</t>
  </si>
  <si>
    <t xml:space="preserve">REGION: OMAN AND BAHRAIN</t>
  </si>
  <si>
    <t xml:space="preserve">  SUBTOTAL - Oman and Bahrain</t>
  </si>
  <si>
    <t xml:space="preserve">REGION: INDIA</t>
  </si>
  <si>
    <t xml:space="preserve">  SUBTOTAL - India</t>
  </si>
  <si>
    <t xml:space="preserve">NON-REGIONAL</t>
  </si>
  <si>
    <t xml:space="preserve">  Partner AUM</t>
  </si>
  <si>
    <t xml:space="preserve">Stream 6 is NOT regional: partners are institutions with their own customer books, not retail customers of a region. It is reported separately rather than allocated, because any allocation would be invented.</t>
  </si>
  <si>
    <t xml:space="preserve">WHOLE-BOOK TOTALS</t>
  </si>
  <si>
    <t xml:space="preserve">PAYING CUSTOMERS</t>
  </si>
  <si>
    <t xml:space="preserve">HOLDERS (stopped paying, still hold gold)</t>
  </si>
  <si>
    <t xml:space="preserve">Cumulative ever acquired</t>
  </si>
  <si>
    <t xml:space="preserve">NEW CUSTOMERS</t>
  </si>
  <si>
    <t xml:space="preserve">ACTIVE CARDS</t>
  </si>
  <si>
    <t xml:space="preserve">GRAMS HELD</t>
  </si>
  <si>
    <t xml:space="preserve">GRAMS UNDER CUSTODY</t>
  </si>
  <si>
    <t xml:space="preserve">Grams purchased</t>
  </si>
  <si>
    <t xml:space="preserve">COLLATERAL-ELIGIBLE AUM</t>
  </si>
  <si>
    <t xml:space="preserve">Cleared the six-payment gate</t>
  </si>
  <si>
    <t xml:space="preserve">SIP contributions</t>
  </si>
  <si>
    <t xml:space="preserve">Spot purchase volume</t>
  </si>
  <si>
    <t xml:space="preserve">Card spend</t>
  </si>
  <si>
    <t xml:space="preserve">GOLD UNDER CUSTODY (comparable headline)</t>
  </si>
  <si>
    <t xml:space="preserve">THE NUMBER TO QUOTE AGAINST OTHER GOLD PLATFORMS, and the only one that compares like for like. Collateral-eligible AUM above is SMALLER because it also removes gold moved out of Aurumix's control - a token in a private wallet cannot back a credit limit, but THE METAL IS STILL IN THE VAULT, so it is still gold under custody. PAXG, Kinesis and Comtech all publish the custody measure. ⚠ COMPARE IN GRAMS, NOT DOLLARS: every published USD figure carries the gold price of its own vintage, so a comparison in dollars is really a comparison of gold prices. Comtech Gold, the closest comparable - Dubai, DMCC-licensed, tokenised gold - holds ~141,000 g.</t>
  </si>
  <si>
    <t xml:space="preserve">  Gold under custody at the CONSTANT M1 price (memo)</t>
  </si>
  <si>
    <t xml:space="preserve">  of which is the metal moving, not the business</t>
  </si>
  <si>
    <t xml:space="preserve">THE HONEST SERIES FOR JUDGING EXECUTION is the constant-price row: it strips the gold price out and leaves grams accumulated, which is the part Aurumix controls. The headline above will grow even if the business does not. ⚠ SET GOLD APPRECIATION TO THE CONSERVATIVE SCENARIO (0.0%) TO RECOVER THE ORIGINAL FLAT-PRICE MODEL, under which these two rows are identical by construction.</t>
  </si>
  <si>
    <t xml:space="preserve">CHECK: paying + holders = cumulative ever acquired</t>
  </si>
  <si>
    <t xml:space="preserve">delta</t>
  </si>
  <si>
    <t xml:space="preserve">CHECK: custody &gt;= collateral-eligible (must be &gt;= 0)</t>
  </si>
  <si>
    <t xml:space="preserve">  Collateral-eligible AUM per paying customer (memo)</t>
  </si>
  <si>
    <t xml:space="preserve">  Total credit capacity across cardholders (memo)</t>
  </si>
  <si>
    <t xml:space="preserve">  CHECK: card spend vs credit capacity (must be &lt;= 1.00)</t>
  </si>
  <si>
    <t xml:space="preserve">Redemption events (memo - drives cost, not revenue)</t>
  </si>
  <si>
    <t xml:space="preserve">Card authorisations (memo - drives cost, not revenue)</t>
  </si>
  <si>
    <t xml:space="preserve">TOTAL NET REVENUE</t>
  </si>
  <si>
    <t xml:space="preserve">Net revenue per paying customer (annualised)</t>
  </si>
  <si>
    <t xml:space="preserve">CHECK: regional subtotals + B2B = sum of streams</t>
  </si>
  <si>
    <t xml:space="preserve">Summary</t>
  </si>
  <si>
    <t xml:space="preserve">Y1</t>
  </si>
  <si>
    <t xml:space="preserve">Y2</t>
  </si>
  <si>
    <t xml:space="preserve">REVENUE BY REGION</t>
  </si>
  <si>
    <t xml:space="preserve">  UAE</t>
  </si>
  <si>
    <t xml:space="preserve">  Oman and Bahrain</t>
  </si>
  <si>
    <t xml:space="preserve">  India</t>
  </si>
  <si>
    <t xml:space="preserve">  Non-regional: B2B platform fee</t>
  </si>
  <si>
    <t xml:space="preserve">TOTAL REVENUE</t>
  </si>
  <si>
    <t xml:space="preserve">REVENUE BY STREAM</t>
  </si>
  <si>
    <t xml:space="preserve">Stream 1a: Entry fee - SIP</t>
  </si>
  <si>
    <t xml:space="preserve">Stream 1b: Entry fee - SPOT</t>
  </si>
  <si>
    <t xml:space="preserve">Stream 2: Card interchange</t>
  </si>
  <si>
    <t xml:space="preserve">Stream 3: Family plan and Digital Will</t>
  </si>
  <si>
    <t xml:space="preserve">Stream 4: Cardholder fees</t>
  </si>
  <si>
    <t xml:space="preserve">Stream 5: Lending revenue share</t>
  </si>
  <si>
    <t xml:space="preserve">Stream 6: B2B platform fee</t>
  </si>
  <si>
    <t xml:space="preserve">Total by stream (reconciles to the regional total above)</t>
  </si>
  <si>
    <t xml:space="preserve">REVENUE MIX (% of total)</t>
  </si>
  <si>
    <t xml:space="preserve">Stream 1a: SIP entry fee - share</t>
  </si>
  <si>
    <t xml:space="preserve">Stream 1b: Spot entry fee - share</t>
  </si>
  <si>
    <t xml:space="preserve">Stream 2: Card interchange - share</t>
  </si>
  <si>
    <t xml:space="preserve">Stream 3: Family and Will - share</t>
  </si>
  <si>
    <t xml:space="preserve">Stream 4: Cardholder fees - share</t>
  </si>
  <si>
    <t xml:space="preserve">Stream 5: Lending - share</t>
  </si>
  <si>
    <t xml:space="preserve">Stream 6: B2B platform - share</t>
  </si>
  <si>
    <t xml:space="preserve">CHECK: mix sums to 100%</t>
  </si>
  <si>
    <t xml:space="preserve">CUSTOMERS AND AUM (year end)</t>
  </si>
  <si>
    <t xml:space="preserve">New customers in year</t>
  </si>
  <si>
    <t xml:space="preserve">Paying customers</t>
  </si>
  <si>
    <t xml:space="preserve">Holders (stopped paying, still hold gold)</t>
  </si>
  <si>
    <t xml:space="preserve">Active cards</t>
  </si>
  <si>
    <t xml:space="preserve">Grams under custody</t>
  </si>
  <si>
    <t xml:space="preserve">Gold under custody (comparable headline)</t>
  </si>
  <si>
    <t xml:space="preserve">Grams held (collateral-eligible)</t>
  </si>
  <si>
    <t xml:space="preserve">Collateral-eligible AUM</t>
  </si>
  <si>
    <t xml:space="preserve">REVENUE ONLY. Operating costs, tax, working capital, cash and funding are added in a later build, so there is no profit or break-even line here. Stream 1 IS reported net of the fabrication premium, because that is cost OF REVENUE rather than an operating cost - reporting it gross would read ~43% high.</t>
  </si>
</sst>
</file>

<file path=xl/styles.xml><?xml version="1.0" encoding="utf-8"?>
<styleSheet xmlns="http://schemas.openxmlformats.org/spreadsheetml/2006/main">
  <numFmts count="10">
    <numFmt numFmtId="164" formatCode="General"/>
    <numFmt numFmtId="165" formatCode="mmmm\ yyyy"/>
    <numFmt numFmtId="166" formatCode="#,##0.00;\(#,##0.00\);\-"/>
    <numFmt numFmtId="167" formatCode="0.00%"/>
    <numFmt numFmtId="168" formatCode="#,##0;\(#,##0\);\-"/>
    <numFmt numFmtId="169" formatCode="\$#,##0.00;&quot;($&quot;#,##0.00\);\-"/>
    <numFmt numFmtId="170" formatCode="0.0%"/>
    <numFmt numFmtId="171" formatCode="\$#,##0;&quot;($&quot;#,##0\);\-"/>
    <numFmt numFmtId="172" formatCode="0.00\x"/>
    <numFmt numFmtId="173" formatCode="#,##0.000"/>
  </numFmts>
  <fonts count="19">
    <font>
      <sz val="11"/>
      <color theme="1"/>
      <name val="Calibri"/>
      <family val="2"/>
      <charset val="1"/>
    </font>
    <font>
      <sz val="10"/>
      <name val="Arial"/>
      <family val="0"/>
    </font>
    <font>
      <sz val="10"/>
      <name val="Arial"/>
      <family val="0"/>
    </font>
    <font>
      <sz val="10"/>
      <name val="Arial"/>
      <family val="0"/>
    </font>
    <font>
      <b val="true"/>
      <sz val="24"/>
      <color rgb="FFB8956E"/>
      <name val="Cambria"/>
      <family val="0"/>
      <charset val="1"/>
    </font>
    <font>
      <sz val="16"/>
      <color rgb="FF1A1714"/>
      <name val="Cambria"/>
      <family val="0"/>
      <charset val="1"/>
    </font>
    <font>
      <b val="true"/>
      <sz val="11"/>
      <color rgb="FF000000"/>
      <name val="Cambria"/>
      <family val="0"/>
      <charset val="1"/>
    </font>
    <font>
      <sz val="11"/>
      <color rgb="FF0000FF"/>
      <name val="Cambria"/>
      <family val="0"/>
      <charset val="1"/>
    </font>
    <font>
      <sz val="11"/>
      <color rgb="FF000000"/>
      <name val="Cambria"/>
      <family val="0"/>
      <charset val="1"/>
    </font>
    <font>
      <sz val="11"/>
      <color rgb="FF009B73"/>
      <name val="Cambria"/>
      <family val="0"/>
      <charset val="1"/>
    </font>
    <font>
      <b val="true"/>
      <sz val="11"/>
      <color rgb="FFC00000"/>
      <name val="Cambria"/>
      <family val="0"/>
      <charset val="1"/>
    </font>
    <font>
      <i val="true"/>
      <sz val="9"/>
      <color rgb="FF96734A"/>
      <name val="Cambria"/>
      <family val="0"/>
      <charset val="1"/>
    </font>
    <font>
      <b val="true"/>
      <sz val="18"/>
      <color rgb="FFB8956E"/>
      <name val="Cambria"/>
      <family val="0"/>
      <charset val="1"/>
    </font>
    <font>
      <b val="true"/>
      <sz val="14"/>
      <color rgb="FF1A1714"/>
      <name val="Cambria"/>
      <family val="0"/>
      <charset val="1"/>
    </font>
    <font>
      <b val="true"/>
      <sz val="11"/>
      <color rgb="FFFFFFFF"/>
      <name val="Cambria"/>
      <family val="0"/>
      <charset val="1"/>
    </font>
    <font>
      <b val="true"/>
      <sz val="10"/>
      <color rgb="FF1A1714"/>
      <name val="Cambria"/>
      <family val="0"/>
      <charset val="1"/>
    </font>
    <font>
      <sz val="9"/>
      <color rgb="FF96734A"/>
      <name val="Cambria"/>
      <family val="0"/>
      <charset val="1"/>
    </font>
    <font>
      <b val="true"/>
      <sz val="11"/>
      <color rgb="FF0000FF"/>
      <name val="Cambria"/>
      <family val="0"/>
      <charset val="1"/>
    </font>
    <font>
      <b val="true"/>
      <sz val="11"/>
      <color rgb="FF1A1714"/>
      <name val="Cambria"/>
      <family val="0"/>
      <charset val="1"/>
    </font>
  </fonts>
  <fills count="5">
    <fill>
      <patternFill patternType="none"/>
    </fill>
    <fill>
      <patternFill patternType="gray125"/>
    </fill>
    <fill>
      <patternFill patternType="solid">
        <fgColor rgb="FF1A1714"/>
        <bgColor rgb="FF000000"/>
      </patternFill>
    </fill>
    <fill>
      <patternFill patternType="solid">
        <fgColor rgb="FFD4CFC8"/>
        <bgColor rgb="FFCCCCFF"/>
      </patternFill>
    </fill>
    <fill>
      <patternFill patternType="solid">
        <fgColor rgb="FFE8E4DF"/>
        <bgColor rgb="FFD4CFC8"/>
      </patternFill>
    </fill>
  </fills>
  <borders count="3">
    <border diagonalUp="false" diagonalDown="false">
      <left/>
      <right/>
      <top/>
      <bottom/>
      <diagonal/>
    </border>
    <border diagonalUp="false" diagonalDown="false">
      <left style="thin">
        <color rgb="FFD4CFC8"/>
      </left>
      <right style="thin">
        <color rgb="FFD4CFC8"/>
      </right>
      <top style="thin">
        <color rgb="FFD4CFC8"/>
      </top>
      <bottom style="thin">
        <color rgb="FFD4CFC8"/>
      </bottom>
      <diagonal/>
    </border>
    <border diagonalUp="false" diagonalDown="false">
      <left/>
      <right/>
      <top style="thin">
        <color rgb="FFB8956E"/>
      </top>
      <bottom style="double">
        <color rgb="FFB8956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5" fillId="3" borderId="1" xfId="0" applyFont="true" applyBorder="tru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center" vertical="bottom" textRotation="0" wrapText="false" indent="0" shrinkToFit="false"/>
      <protection locked="true" hidden="false"/>
    </xf>
    <xf numFmtId="166" fontId="7"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fals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center" vertical="bottom" textRotation="0" wrapText="true" indent="0" shrinkToFit="false"/>
      <protection locked="true" hidden="false"/>
    </xf>
    <xf numFmtId="168" fontId="7" fillId="0" borderId="0" xfId="0" applyFont="true" applyBorder="false" applyAlignment="true" applyProtection="false">
      <alignment horizontal="center" vertical="bottom" textRotation="0" wrapText="false" indent="0" shrinkToFit="false"/>
      <protection locked="true" hidden="false"/>
    </xf>
    <xf numFmtId="170" fontId="7"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true" applyProtection="false">
      <alignment horizontal="center" vertical="bottom" textRotation="0" wrapText="false" indent="0" shrinkToFit="false"/>
      <protection locked="true" hidden="false"/>
    </xf>
    <xf numFmtId="167" fontId="7" fillId="0" borderId="0" xfId="0" applyFont="true" applyBorder="false" applyAlignment="true" applyProtection="false">
      <alignment horizontal="center" vertical="bottom" textRotation="0" wrapText="false" indent="0" shrinkToFit="false"/>
      <protection locked="true" hidden="false"/>
    </xf>
    <xf numFmtId="164" fontId="16" fillId="0" borderId="0" xfId="0" applyFont="true" applyBorder="false" applyAlignment="true" applyProtection="false">
      <alignment horizontal="center"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71"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71"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8" fontId="8" fillId="0" borderId="0" xfId="0" applyFont="true" applyBorder="false" applyAlignment="true" applyProtection="false">
      <alignment horizontal="center" vertical="bottom" textRotation="0" wrapText="false" indent="0" shrinkToFit="false"/>
      <protection locked="true" hidden="false"/>
    </xf>
    <xf numFmtId="164" fontId="18"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73" fontId="9" fillId="0" borderId="0" xfId="0" applyFont="true" applyBorder="false" applyAlignment="true" applyProtection="false">
      <alignment horizontal="center" vertical="bottom" textRotation="0" wrapText="false" indent="0" shrinkToFit="false"/>
      <protection locked="true" hidden="false"/>
    </xf>
    <xf numFmtId="170" fontId="9" fillId="0" borderId="0" xfId="0" applyFont="true" applyBorder="false" applyAlignment="true" applyProtection="false">
      <alignment horizontal="center" vertical="bottom" textRotation="0" wrapText="false" indent="0" shrinkToFit="false"/>
      <protection locked="true" hidden="false"/>
    </xf>
    <xf numFmtId="173" fontId="6"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true" applyProtection="false">
      <alignment horizontal="center" vertical="bottom" textRotation="0" wrapText="false" indent="0" shrinkToFit="false"/>
      <protection locked="true" hidden="false"/>
    </xf>
    <xf numFmtId="170" fontId="8" fillId="0" borderId="0" xfId="0" applyFont="true" applyBorder="false" applyAlignment="true" applyProtection="false">
      <alignment horizontal="center" vertical="bottom" textRotation="0" wrapText="false" indent="0" shrinkToFit="false"/>
      <protection locked="true" hidden="false"/>
    </xf>
    <xf numFmtId="166" fontId="9" fillId="0" borderId="0" xfId="0" applyFont="true" applyBorder="false" applyAlignment="true" applyProtection="false">
      <alignment horizontal="center" vertical="bottom" textRotation="0" wrapText="false" indent="0" shrinkToFit="false"/>
      <protection locked="true" hidden="false"/>
    </xf>
    <xf numFmtId="166" fontId="8" fillId="0" borderId="0" xfId="0" applyFont="true" applyBorder="false" applyAlignment="true" applyProtection="false">
      <alignment horizontal="center" vertical="bottom" textRotation="0" wrapText="false" indent="0" shrinkToFit="false"/>
      <protection locked="true" hidden="false"/>
    </xf>
    <xf numFmtId="171" fontId="8" fillId="0" borderId="0" xfId="0" applyFont="true" applyBorder="false" applyAlignment="true" applyProtection="false">
      <alignment horizontal="center" vertical="bottom" textRotation="0" wrapText="false" indent="0" shrinkToFit="false"/>
      <protection locked="true" hidden="false"/>
    </xf>
    <xf numFmtId="167" fontId="8" fillId="0" borderId="0" xfId="0" applyFont="true" applyBorder="false" applyAlignment="true" applyProtection="false">
      <alignment horizontal="center" vertical="bottom" textRotation="0" wrapText="false" indent="0" shrinkToFit="false"/>
      <protection locked="true" hidden="false"/>
    </xf>
    <xf numFmtId="171" fontId="6" fillId="0" borderId="0" xfId="0" applyFont="true" applyBorder="false" applyAlignment="true" applyProtection="false">
      <alignment horizontal="center" vertical="bottom" textRotation="0" wrapText="false" indent="0" shrinkToFit="false"/>
      <protection locked="true" hidden="false"/>
    </xf>
    <xf numFmtId="171" fontId="9" fillId="0" borderId="0" xfId="0" applyFont="true" applyBorder="false" applyAlignment="true" applyProtection="false">
      <alignment horizontal="center" vertical="bottom" textRotation="0" wrapText="false" indent="0" shrinkToFit="false"/>
      <protection locked="true" hidden="false"/>
    </xf>
    <xf numFmtId="173" fontId="6" fillId="0" borderId="0" xfId="0" applyFont="true" applyBorder="false" applyAlignment="true" applyProtection="false">
      <alignment horizontal="center" vertical="bottom" textRotation="0" wrapText="false" indent="0" shrinkToFit="false"/>
      <protection locked="true" hidden="false"/>
    </xf>
    <xf numFmtId="172" fontId="6" fillId="0" borderId="0" xfId="0" applyFont="true" applyBorder="false" applyAlignment="true" applyProtection="false">
      <alignment horizontal="center" vertical="bottom" textRotation="0" wrapText="false" indent="0" shrinkToFit="false"/>
      <protection locked="true" hidden="false"/>
    </xf>
    <xf numFmtId="164" fontId="15" fillId="3" borderId="1" xfId="0" applyFont="true" applyBorder="true" applyAlignment="true" applyProtection="false">
      <alignment horizontal="center" vertical="bottom" textRotation="0" wrapText="false" indent="0" shrinkToFit="false"/>
      <protection locked="true" hidden="false"/>
    </xf>
    <xf numFmtId="171" fontId="9" fillId="0" borderId="2" xfId="0" applyFont="true" applyBorder="tru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68" fontId="9" fillId="0" borderId="2"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9B73"/>
      <rgbColor rgb="FFD4CFC8"/>
      <rgbColor rgb="FF96734A"/>
      <rgbColor rgb="FF9999FF"/>
      <rgbColor rgb="FF993366"/>
      <rgbColor rgb="FFE8E4D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B8956E"/>
      <rgbColor rgb="FF003366"/>
      <rgbColor rgb="FF339966"/>
      <rgbColor rgb="FF003300"/>
      <rgbColor rgb="FF1A1714"/>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04"/>
  </cols>
  <sheetData>
    <row r="2" customFormat="false" ht="29.15" hidden="false" customHeight="false" outlineLevel="0" collapsed="false">
      <c r="B2" s="1" t="s">
        <v>0</v>
      </c>
    </row>
    <row r="3" customFormat="false" ht="19.7" hidden="false" customHeight="false" outlineLevel="0" collapsed="false">
      <c r="B3" s="2" t="s">
        <v>1</v>
      </c>
    </row>
    <row r="5" customFormat="false" ht="15" hidden="false" customHeight="false" outlineLevel="0" collapsed="false">
      <c r="B5" s="3" t="s">
        <v>2</v>
      </c>
      <c r="C5" s="4" t="n">
        <f aca="true">TODAY()</f>
        <v>46255</v>
      </c>
    </row>
    <row r="6" customFormat="false" ht="15" hidden="false" customHeight="false" outlineLevel="0" collapsed="false">
      <c r="B6" s="3" t="s">
        <v>3</v>
      </c>
      <c r="C6" s="0" t="s">
        <v>4</v>
      </c>
    </row>
    <row r="7" customFormat="false" ht="15" hidden="false" customHeight="false" outlineLevel="0" collapsed="false">
      <c r="B7" s="3" t="s">
        <v>5</v>
      </c>
      <c r="C7" s="0" t="s">
        <v>6</v>
      </c>
    </row>
    <row r="8" customFormat="false" ht="15" hidden="false" customHeight="false" outlineLevel="0" collapsed="false">
      <c r="B8" s="3" t="s">
        <v>7</v>
      </c>
      <c r="C8" s="0" t="s">
        <v>8</v>
      </c>
    </row>
    <row r="9" customFormat="false" ht="15" hidden="false" customHeight="false" outlineLevel="0" collapsed="false">
      <c r="B9" s="3" t="s">
        <v>9</v>
      </c>
      <c r="C9" s="0" t="s">
        <v>10</v>
      </c>
    </row>
    <row r="10" customFormat="false" ht="15" hidden="false" customHeight="false" outlineLevel="0" collapsed="false">
      <c r="B10" s="3" t="s">
        <v>11</v>
      </c>
      <c r="C10" s="0" t="s">
        <v>12</v>
      </c>
    </row>
    <row r="12" customFormat="false" ht="15" hidden="false" customHeight="false" outlineLevel="0" collapsed="false">
      <c r="B12" s="3" t="s">
        <v>13</v>
      </c>
    </row>
    <row r="13" customFormat="false" ht="15" hidden="false" customHeight="false" outlineLevel="0" collapsed="false">
      <c r="B13" s="5" t="s">
        <v>14</v>
      </c>
      <c r="C13" s="0" t="s">
        <v>15</v>
      </c>
    </row>
    <row r="14" customFormat="false" ht="15" hidden="false" customHeight="false" outlineLevel="0" collapsed="false">
      <c r="B14" s="6" t="s">
        <v>16</v>
      </c>
      <c r="C14" s="0" t="s">
        <v>17</v>
      </c>
    </row>
    <row r="15" customFormat="false" ht="15" hidden="false" customHeight="false" outlineLevel="0" collapsed="false">
      <c r="B15" s="7" t="s">
        <v>18</v>
      </c>
      <c r="C15" s="0" t="s">
        <v>19</v>
      </c>
    </row>
    <row r="17" customFormat="false" ht="15" hidden="false" customHeight="false" outlineLevel="0" collapsed="false">
      <c r="B17" s="3" t="s">
        <v>20</v>
      </c>
    </row>
    <row r="18" customFormat="false" ht="15" hidden="false" customHeight="false" outlineLevel="0" collapsed="false">
      <c r="B18" s="0" t="s">
        <v>21</v>
      </c>
    </row>
    <row r="19" customFormat="false" ht="15" hidden="false" customHeight="false" outlineLevel="0" collapsed="false">
      <c r="B19" s="0" t="s">
        <v>22</v>
      </c>
    </row>
    <row r="20" customFormat="false" ht="15" hidden="false" customHeight="false" outlineLevel="0" collapsed="false">
      <c r="B20" s="0" t="s">
        <v>23</v>
      </c>
    </row>
    <row r="21" customFormat="false" ht="15" hidden="false" customHeight="false" outlineLevel="0" collapsed="false">
      <c r="B21" s="0" t="s">
        <v>24</v>
      </c>
    </row>
    <row r="22" customFormat="false" ht="15" hidden="false" customHeight="false" outlineLevel="0" collapsed="false">
      <c r="B22" s="0" t="s">
        <v>25</v>
      </c>
    </row>
    <row r="24" customFormat="false" ht="15" hidden="false" customHeight="false" outlineLevel="0" collapsed="false">
      <c r="B24" s="8" t="s">
        <v>26</v>
      </c>
    </row>
    <row r="25" customFormat="false" ht="15" hidden="false" customHeight="false" outlineLevel="0" collapsed="false">
      <c r="B25" s="9" t="s">
        <v>27</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7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4"/>
    <col collapsed="false" customWidth="true" hidden="false" outlineLevel="0" max="2" min="2" style="0" width="16"/>
    <col collapsed="false" customWidth="true" hidden="false" outlineLevel="0" max="3" min="3" style="0" width="24"/>
    <col collapsed="false" customWidth="true" hidden="false" outlineLevel="0" max="4" min="4" style="0" width="120"/>
    <col collapsed="false" customWidth="true" hidden="false" outlineLevel="0" max="9" min="6" style="0" width="15"/>
    <col collapsed="false" customWidth="true" hidden="false" outlineLevel="0" max="17" min="10" style="0" width="8"/>
  </cols>
  <sheetData>
    <row r="1" customFormat="false" ht="22.05" hidden="false" customHeight="false" outlineLevel="0" collapsed="false">
      <c r="A1" s="10" t="str">
        <f aca="false">Cover!$B$2</f>
        <v>Aurumix Revenue Model</v>
      </c>
    </row>
    <row r="2" customFormat="false" ht="17.35" hidden="false" customHeight="false" outlineLevel="0" collapsed="false">
      <c r="A2" s="11" t="s">
        <v>28</v>
      </c>
    </row>
    <row r="4" customFormat="false" ht="18" hidden="false" customHeight="true" outlineLevel="0" collapsed="false">
      <c r="A4" s="12" t="s">
        <v>29</v>
      </c>
      <c r="B4" s="13"/>
      <c r="C4" s="13"/>
      <c r="D4" s="13"/>
    </row>
    <row r="5" customFormat="false" ht="15" hidden="false" customHeight="false" outlineLevel="0" collapsed="false">
      <c r="A5" s="14" t="s">
        <v>30</v>
      </c>
      <c r="B5" s="14" t="s">
        <v>31</v>
      </c>
      <c r="C5" s="14" t="s">
        <v>32</v>
      </c>
      <c r="D5" s="14" t="s">
        <v>33</v>
      </c>
    </row>
    <row r="6" customFormat="false" ht="15" hidden="false" customHeight="false" outlineLevel="0" collapsed="false">
      <c r="A6" s="0" t="s">
        <v>34</v>
      </c>
      <c r="B6" s="15" t="n">
        <v>141.46</v>
      </c>
      <c r="C6" s="0" t="s">
        <v>35</v>
      </c>
      <c r="D6" s="0" t="s">
        <v>36</v>
      </c>
    </row>
    <row r="7" customFormat="false" ht="15" hidden="false" customHeight="false" outlineLevel="0" collapsed="false">
      <c r="A7" s="0" t="s">
        <v>37</v>
      </c>
      <c r="B7" s="15" t="n">
        <v>3.6725</v>
      </c>
      <c r="C7" s="0" t="s">
        <v>38</v>
      </c>
      <c r="D7" s="0" t="s">
        <v>39</v>
      </c>
    </row>
    <row r="8" customFormat="false" ht="15" hidden="false" customHeight="false" outlineLevel="0" collapsed="false">
      <c r="A8" s="0" t="s">
        <v>40</v>
      </c>
      <c r="B8" s="16" t="n">
        <v>0.05</v>
      </c>
      <c r="C8" s="0" t="s">
        <v>41</v>
      </c>
      <c r="D8" s="0" t="s">
        <v>42</v>
      </c>
    </row>
    <row r="9" customFormat="false" ht="15" hidden="false" customHeight="false" outlineLevel="0" collapsed="false">
      <c r="A9" s="0" t="s">
        <v>43</v>
      </c>
      <c r="B9" s="16" t="n">
        <v>0.015</v>
      </c>
      <c r="C9" s="0" t="s">
        <v>44</v>
      </c>
      <c r="D9" s="0" t="s">
        <v>45</v>
      </c>
    </row>
    <row r="10" customFormat="false" ht="15" hidden="false" customHeight="false" outlineLevel="0" collapsed="false">
      <c r="A10" s="0" t="s">
        <v>46</v>
      </c>
      <c r="B10" s="17" t="n">
        <v>100</v>
      </c>
      <c r="C10" s="0" t="s">
        <v>47</v>
      </c>
      <c r="D10" s="0" t="s">
        <v>48</v>
      </c>
    </row>
    <row r="12" customFormat="false" ht="18" hidden="false" customHeight="true" outlineLevel="0" collapsed="false">
      <c r="A12" s="12" t="s">
        <v>49</v>
      </c>
      <c r="B12" s="13"/>
      <c r="C12" s="13"/>
      <c r="D12" s="13"/>
    </row>
    <row r="13" customFormat="false" ht="15" hidden="false" customHeight="false" outlineLevel="0" collapsed="false">
      <c r="A13" s="14" t="s">
        <v>30</v>
      </c>
      <c r="B13" s="14" t="s">
        <v>31</v>
      </c>
      <c r="C13" s="14" t="s">
        <v>32</v>
      </c>
      <c r="D13" s="14" t="s">
        <v>33</v>
      </c>
    </row>
    <row r="14" customFormat="false" ht="15" hidden="false" customHeight="false" outlineLevel="0" collapsed="false">
      <c r="A14" s="0" t="s">
        <v>50</v>
      </c>
      <c r="B14" s="16" t="n">
        <v>0.018</v>
      </c>
      <c r="C14" s="0" t="s">
        <v>51</v>
      </c>
      <c r="D14" s="0" t="s">
        <v>52</v>
      </c>
    </row>
    <row r="15" customFormat="false" ht="15" hidden="false" customHeight="false" outlineLevel="0" collapsed="false">
      <c r="A15" s="0" t="s">
        <v>53</v>
      </c>
      <c r="B15" s="18" t="n">
        <v>0.1</v>
      </c>
      <c r="C15" s="0" t="s">
        <v>54</v>
      </c>
      <c r="D15" s="0" t="s">
        <v>55</v>
      </c>
    </row>
    <row r="16" customFormat="false" ht="15" hidden="false" customHeight="false" outlineLevel="0" collapsed="false">
      <c r="A16" s="0" t="s">
        <v>56</v>
      </c>
      <c r="B16" s="19" t="n">
        <v>0.06</v>
      </c>
      <c r="C16" s="0" t="s">
        <v>57</v>
      </c>
      <c r="D16" s="0" t="s">
        <v>58</v>
      </c>
    </row>
    <row r="17" customFormat="false" ht="15" hidden="false" customHeight="false" outlineLevel="0" collapsed="false">
      <c r="A17" s="0" t="s">
        <v>59</v>
      </c>
      <c r="B17" s="16" t="n">
        <v>0.02</v>
      </c>
      <c r="C17" s="0" t="s">
        <v>60</v>
      </c>
      <c r="D17" s="0" t="s">
        <v>61</v>
      </c>
    </row>
    <row r="18" customFormat="false" ht="15" hidden="false" customHeight="false" outlineLevel="0" collapsed="false">
      <c r="A18" s="0" t="s">
        <v>62</v>
      </c>
      <c r="B18" s="17" t="n">
        <v>1000</v>
      </c>
      <c r="C18" s="0" t="s">
        <v>63</v>
      </c>
      <c r="D18" s="0" t="s">
        <v>64</v>
      </c>
    </row>
    <row r="19" customFormat="false" ht="15" hidden="false" customHeight="false" outlineLevel="0" collapsed="false">
      <c r="A19" s="0" t="s">
        <v>65</v>
      </c>
      <c r="B19" s="16" t="n">
        <v>0.02</v>
      </c>
      <c r="C19" s="0" t="s">
        <v>66</v>
      </c>
      <c r="D19" s="0" t="s">
        <v>67</v>
      </c>
    </row>
    <row r="20" customFormat="false" ht="15" hidden="false" customHeight="false" outlineLevel="0" collapsed="false">
      <c r="A20" s="0" t="s">
        <v>68</v>
      </c>
      <c r="B20" s="17" t="n">
        <v>75</v>
      </c>
      <c r="C20" s="0" t="s">
        <v>69</v>
      </c>
      <c r="D20" s="0" t="s">
        <v>70</v>
      </c>
    </row>
    <row r="21" customFormat="false" ht="15" hidden="false" customHeight="false" outlineLevel="0" collapsed="false">
      <c r="A21" s="0" t="s">
        <v>71</v>
      </c>
      <c r="B21" s="17" t="n">
        <v>100</v>
      </c>
      <c r="C21" s="0" t="s">
        <v>72</v>
      </c>
      <c r="D21" s="0" t="s">
        <v>73</v>
      </c>
    </row>
    <row r="23" customFormat="false" ht="18" hidden="false" customHeight="true" outlineLevel="0" collapsed="false">
      <c r="A23" s="12" t="s">
        <v>74</v>
      </c>
      <c r="B23" s="13"/>
      <c r="C23" s="13"/>
      <c r="D23" s="13"/>
    </row>
    <row r="24" customFormat="false" ht="15" hidden="false" customHeight="false" outlineLevel="0" collapsed="false">
      <c r="A24" s="14" t="s">
        <v>30</v>
      </c>
      <c r="B24" s="14" t="s">
        <v>31</v>
      </c>
      <c r="C24" s="14" t="s">
        <v>32</v>
      </c>
      <c r="D24" s="14" t="s">
        <v>33</v>
      </c>
    </row>
    <row r="25" customFormat="false" ht="15" hidden="false" customHeight="false" outlineLevel="0" collapsed="false">
      <c r="A25" s="0" t="s">
        <v>75</v>
      </c>
      <c r="B25" s="20" t="n">
        <v>120</v>
      </c>
      <c r="C25" s="0" t="s">
        <v>76</v>
      </c>
      <c r="D25" s="0" t="s">
        <v>77</v>
      </c>
    </row>
    <row r="26" customFormat="false" ht="15" hidden="false" customHeight="false" outlineLevel="0" collapsed="false">
      <c r="A26" s="0" t="s">
        <v>78</v>
      </c>
      <c r="B26" s="16" t="n">
        <v>0.00625</v>
      </c>
      <c r="C26" s="0" t="s">
        <v>79</v>
      </c>
      <c r="D26" s="0" t="s">
        <v>80</v>
      </c>
    </row>
    <row r="27" customFormat="false" ht="15" hidden="false" customHeight="false" outlineLevel="0" collapsed="false">
      <c r="A27" s="0" t="s">
        <v>81</v>
      </c>
      <c r="B27" s="16" t="n">
        <v>0.01</v>
      </c>
      <c r="C27" s="0" t="s">
        <v>82</v>
      </c>
      <c r="D27" s="0" t="s">
        <v>83</v>
      </c>
    </row>
    <row r="28" customFormat="false" ht="15" hidden="false" customHeight="false" outlineLevel="0" collapsed="false">
      <c r="A28" s="0" t="s">
        <v>84</v>
      </c>
      <c r="B28" s="19" t="n">
        <v>0.5</v>
      </c>
      <c r="C28" s="0" t="s">
        <v>85</v>
      </c>
      <c r="D28" s="0" t="s">
        <v>86</v>
      </c>
    </row>
    <row r="29" customFormat="false" ht="15" hidden="false" customHeight="false" outlineLevel="0" collapsed="false">
      <c r="A29" s="0" t="s">
        <v>87</v>
      </c>
      <c r="B29" s="16" t="n">
        <v>0.005</v>
      </c>
      <c r="C29" s="0" t="s">
        <v>88</v>
      </c>
      <c r="D29" s="0" t="s">
        <v>86</v>
      </c>
    </row>
    <row r="30" customFormat="false" ht="15" hidden="false" customHeight="false" outlineLevel="0" collapsed="false">
      <c r="A30" s="0" t="s">
        <v>89</v>
      </c>
      <c r="B30" s="19" t="n">
        <v>0.7</v>
      </c>
      <c r="C30" s="0" t="s">
        <v>85</v>
      </c>
      <c r="D30" s="0" t="s">
        <v>90</v>
      </c>
    </row>
    <row r="31" customFormat="false" ht="15" hidden="false" customHeight="false" outlineLevel="0" collapsed="false">
      <c r="A31" s="0" t="s">
        <v>91</v>
      </c>
      <c r="B31" s="19" t="n">
        <v>0.5</v>
      </c>
      <c r="C31" s="0" t="s">
        <v>92</v>
      </c>
      <c r="D31" s="0" t="s">
        <v>93</v>
      </c>
    </row>
    <row r="32" customFormat="false" ht="15" hidden="false" customHeight="false" outlineLevel="0" collapsed="false">
      <c r="A32" s="0" t="s">
        <v>94</v>
      </c>
      <c r="B32" s="20" t="n">
        <v>190</v>
      </c>
      <c r="C32" s="0" t="s">
        <v>95</v>
      </c>
      <c r="D32" s="0" t="s">
        <v>96</v>
      </c>
    </row>
    <row r="33" customFormat="false" ht="15" hidden="false" customHeight="false" outlineLevel="0" collapsed="false">
      <c r="A33" s="0" t="s">
        <v>97</v>
      </c>
      <c r="B33" s="20" t="n">
        <v>145</v>
      </c>
      <c r="C33" s="0" t="s">
        <v>95</v>
      </c>
      <c r="D33" s="0" t="s">
        <v>98</v>
      </c>
    </row>
    <row r="34" customFormat="false" ht="15" hidden="false" customHeight="false" outlineLevel="0" collapsed="false">
      <c r="A34" s="0" t="s">
        <v>99</v>
      </c>
      <c r="B34" s="20" t="n">
        <v>40</v>
      </c>
      <c r="C34" s="0" t="s">
        <v>95</v>
      </c>
      <c r="D34" s="0" t="s">
        <v>100</v>
      </c>
    </row>
    <row r="35" customFormat="false" ht="15" hidden="false" customHeight="false" outlineLevel="0" collapsed="false">
      <c r="A35" s="0" t="s">
        <v>101</v>
      </c>
      <c r="B35" s="19" t="n">
        <v>0.12</v>
      </c>
      <c r="C35" s="0" t="s">
        <v>102</v>
      </c>
      <c r="D35" s="0" t="s">
        <v>103</v>
      </c>
    </row>
    <row r="36" customFormat="false" ht="15" hidden="false" customHeight="false" outlineLevel="0" collapsed="false">
      <c r="A36" s="0" t="s">
        <v>104</v>
      </c>
      <c r="B36" s="19" t="n">
        <v>0.1</v>
      </c>
      <c r="C36" s="0" t="s">
        <v>102</v>
      </c>
      <c r="D36" s="0" t="s">
        <v>103</v>
      </c>
    </row>
    <row r="37" customFormat="false" ht="15" hidden="false" customHeight="false" outlineLevel="0" collapsed="false">
      <c r="A37" s="0" t="s">
        <v>105</v>
      </c>
      <c r="B37" s="19" t="n">
        <v>0.35</v>
      </c>
      <c r="C37" s="0" t="s">
        <v>102</v>
      </c>
      <c r="D37" s="0" t="s">
        <v>103</v>
      </c>
    </row>
    <row r="39" customFormat="false" ht="18" hidden="false" customHeight="true" outlineLevel="0" collapsed="false">
      <c r="A39" s="12" t="s">
        <v>106</v>
      </c>
      <c r="B39" s="13"/>
      <c r="C39" s="13"/>
      <c r="D39" s="13"/>
    </row>
    <row r="40" customFormat="false" ht="15" hidden="false" customHeight="false" outlineLevel="0" collapsed="false">
      <c r="A40" s="14" t="s">
        <v>30</v>
      </c>
      <c r="B40" s="14" t="s">
        <v>31</v>
      </c>
      <c r="C40" s="14" t="s">
        <v>32</v>
      </c>
      <c r="D40" s="14" t="s">
        <v>33</v>
      </c>
    </row>
    <row r="41" customFormat="false" ht="15" hidden="false" customHeight="false" outlineLevel="0" collapsed="false">
      <c r="A41" s="0" t="s">
        <v>107</v>
      </c>
      <c r="B41" s="18" t="n">
        <v>20</v>
      </c>
      <c r="C41" s="0" t="s">
        <v>108</v>
      </c>
      <c r="D41" s="0" t="s">
        <v>109</v>
      </c>
    </row>
    <row r="42" customFormat="false" ht="15" hidden="false" customHeight="false" outlineLevel="0" collapsed="false">
      <c r="A42" s="0" t="s">
        <v>110</v>
      </c>
      <c r="B42" s="17" t="n">
        <v>6</v>
      </c>
      <c r="C42" s="0" t="s">
        <v>111</v>
      </c>
      <c r="D42" s="0" t="s">
        <v>112</v>
      </c>
    </row>
    <row r="43" customFormat="false" ht="15" hidden="false" customHeight="false" outlineLevel="0" collapsed="false">
      <c r="A43" s="0" t="s">
        <v>113</v>
      </c>
      <c r="B43" s="18" t="n">
        <v>3.2</v>
      </c>
      <c r="C43" s="0" t="s">
        <v>114</v>
      </c>
      <c r="D43" s="0" t="s">
        <v>115</v>
      </c>
    </row>
    <row r="45" customFormat="false" ht="18" hidden="false" customHeight="true" outlineLevel="0" collapsed="false">
      <c r="A45" s="12" t="s">
        <v>116</v>
      </c>
      <c r="B45" s="13"/>
      <c r="C45" s="13"/>
      <c r="D45" s="13"/>
    </row>
    <row r="46" customFormat="false" ht="15" hidden="false" customHeight="false" outlineLevel="0" collapsed="false">
      <c r="A46" s="14" t="s">
        <v>30</v>
      </c>
      <c r="B46" s="14" t="s">
        <v>31</v>
      </c>
      <c r="C46" s="14" t="s">
        <v>32</v>
      </c>
      <c r="D46" s="14" t="s">
        <v>33</v>
      </c>
    </row>
    <row r="47" customFormat="false" ht="15" hidden="false" customHeight="false" outlineLevel="0" collapsed="false">
      <c r="A47" s="0" t="s">
        <v>117</v>
      </c>
      <c r="B47" s="17" t="n">
        <v>1</v>
      </c>
      <c r="C47" s="0" t="s">
        <v>118</v>
      </c>
      <c r="D47" s="0" t="s">
        <v>119</v>
      </c>
    </row>
    <row r="48" customFormat="false" ht="15" hidden="false" customHeight="false" outlineLevel="0" collapsed="false">
      <c r="A48" s="0" t="s">
        <v>120</v>
      </c>
      <c r="B48" s="17" t="n">
        <v>1</v>
      </c>
      <c r="C48" s="0" t="s">
        <v>118</v>
      </c>
      <c r="D48" s="0" t="s">
        <v>121</v>
      </c>
    </row>
    <row r="49" customFormat="false" ht="15" hidden="false" customHeight="false" outlineLevel="0" collapsed="false">
      <c r="A49" s="0" t="s">
        <v>122</v>
      </c>
      <c r="B49" s="17" t="n">
        <v>1</v>
      </c>
      <c r="C49" s="0" t="s">
        <v>118</v>
      </c>
      <c r="D49" s="0" t="s">
        <v>123</v>
      </c>
    </row>
    <row r="50" customFormat="false" ht="15" hidden="false" customHeight="false" outlineLevel="0" collapsed="false">
      <c r="A50" s="0" t="s">
        <v>124</v>
      </c>
      <c r="B50" s="17" t="n">
        <v>7</v>
      </c>
      <c r="C50" s="0" t="s">
        <v>118</v>
      </c>
      <c r="D50" s="0" t="s">
        <v>125</v>
      </c>
    </row>
    <row r="51" customFormat="false" ht="15" hidden="false" customHeight="false" outlineLevel="0" collapsed="false">
      <c r="A51" s="0" t="s">
        <v>126</v>
      </c>
      <c r="B51" s="17" t="n">
        <v>13</v>
      </c>
      <c r="C51" s="0" t="s">
        <v>118</v>
      </c>
      <c r="D51" s="0" t="s">
        <v>127</v>
      </c>
    </row>
    <row r="52" customFormat="false" ht="15" hidden="false" customHeight="false" outlineLevel="0" collapsed="false">
      <c r="A52" s="0" t="s">
        <v>128</v>
      </c>
      <c r="B52" s="17" t="n">
        <v>13</v>
      </c>
      <c r="C52" s="0" t="s">
        <v>118</v>
      </c>
      <c r="D52" s="0" t="s">
        <v>129</v>
      </c>
    </row>
    <row r="53" customFormat="false" ht="15" hidden="false" customHeight="false" outlineLevel="0" collapsed="false">
      <c r="A53" s="0" t="s">
        <v>130</v>
      </c>
      <c r="B53" s="17" t="n">
        <v>13</v>
      </c>
      <c r="C53" s="0" t="s">
        <v>118</v>
      </c>
      <c r="D53" s="0" t="s">
        <v>131</v>
      </c>
    </row>
    <row r="54" customFormat="false" ht="15" hidden="false" customHeight="false" outlineLevel="0" collapsed="false">
      <c r="A54" s="0" t="s">
        <v>132</v>
      </c>
      <c r="B54" s="17" t="n">
        <v>13</v>
      </c>
      <c r="C54" s="0" t="s">
        <v>118</v>
      </c>
      <c r="D54" s="0" t="s">
        <v>133</v>
      </c>
    </row>
    <row r="55" customFormat="false" ht="15" hidden="false" customHeight="false" outlineLevel="0" collapsed="false">
      <c r="A55" s="0" t="s">
        <v>134</v>
      </c>
      <c r="B55" s="17" t="n">
        <v>13</v>
      </c>
      <c r="C55" s="0" t="s">
        <v>118</v>
      </c>
      <c r="D55" s="0" t="s">
        <v>135</v>
      </c>
    </row>
    <row r="56" customFormat="false" ht="15" hidden="false" customHeight="false" outlineLevel="0" collapsed="false">
      <c r="A56" s="0" t="s">
        <v>136</v>
      </c>
      <c r="B56" s="17" t="n">
        <v>13</v>
      </c>
      <c r="C56" s="0" t="s">
        <v>118</v>
      </c>
      <c r="D56" s="0" t="s">
        <v>137</v>
      </c>
    </row>
    <row r="57" customFormat="false" ht="15" hidden="false" customHeight="false" outlineLevel="0" collapsed="false">
      <c r="A57" s="0" t="s">
        <v>138</v>
      </c>
      <c r="B57" s="17" t="n">
        <v>1</v>
      </c>
      <c r="C57" s="0" t="s">
        <v>118</v>
      </c>
      <c r="D57" s="0" t="s">
        <v>139</v>
      </c>
    </row>
    <row r="59" customFormat="false" ht="18" hidden="false" customHeight="true" outlineLevel="0" collapsed="false">
      <c r="A59" s="12" t="s">
        <v>140</v>
      </c>
      <c r="B59" s="13"/>
      <c r="C59" s="13"/>
      <c r="D59" s="13"/>
    </row>
    <row r="60" customFormat="false" ht="15" hidden="false" customHeight="false" outlineLevel="0" collapsed="false">
      <c r="A60" s="0" t="s">
        <v>141</v>
      </c>
      <c r="F60" s="21" t="s">
        <v>142</v>
      </c>
      <c r="G60" s="21" t="s">
        <v>143</v>
      </c>
      <c r="H60" s="21" t="s">
        <v>144</v>
      </c>
      <c r="I60" s="21" t="s">
        <v>145</v>
      </c>
      <c r="J60" s="21" t="s">
        <v>146</v>
      </c>
      <c r="K60" s="21" t="s">
        <v>147</v>
      </c>
      <c r="L60" s="21" t="s">
        <v>148</v>
      </c>
      <c r="M60" s="21" t="s">
        <v>149</v>
      </c>
      <c r="N60" s="21" t="s">
        <v>150</v>
      </c>
      <c r="O60" s="21" t="s">
        <v>151</v>
      </c>
      <c r="P60" s="21" t="s">
        <v>152</v>
      </c>
      <c r="Q60" s="21" t="s">
        <v>153</v>
      </c>
    </row>
    <row r="61" customFormat="false" ht="15" hidden="false" customHeight="false" outlineLevel="0" collapsed="false">
      <c r="A61" s="0" t="s">
        <v>154</v>
      </c>
      <c r="D61" s="0" t="s">
        <v>155</v>
      </c>
      <c r="F61" s="22" t="n">
        <v>1.01</v>
      </c>
      <c r="G61" s="22" t="n">
        <v>0.96</v>
      </c>
      <c r="H61" s="22" t="n">
        <v>0.92</v>
      </c>
      <c r="I61" s="22" t="n">
        <v>1.15</v>
      </c>
      <c r="J61" s="22" t="n">
        <v>1.04</v>
      </c>
      <c r="K61" s="22" t="n">
        <v>0.88</v>
      </c>
      <c r="L61" s="22" t="n">
        <v>0.85</v>
      </c>
      <c r="M61" s="22" t="n">
        <v>0.85</v>
      </c>
      <c r="N61" s="22" t="n">
        <v>0.93</v>
      </c>
      <c r="O61" s="22" t="n">
        <v>1.25</v>
      </c>
      <c r="P61" s="22" t="n">
        <v>1.15</v>
      </c>
      <c r="Q61" s="22" t="n">
        <v>1.01</v>
      </c>
    </row>
    <row r="62" customFormat="false" ht="15" hidden="false" customHeight="false" outlineLevel="0" collapsed="false">
      <c r="A62" s="0" t="s">
        <v>156</v>
      </c>
      <c r="D62" s="0" t="s">
        <v>157</v>
      </c>
      <c r="F62" s="22" t="n">
        <v>1.1</v>
      </c>
      <c r="G62" s="22" t="n">
        <v>1</v>
      </c>
      <c r="H62" s="22" t="n">
        <v>0.98</v>
      </c>
      <c r="I62" s="22" t="n">
        <v>0.98</v>
      </c>
      <c r="J62" s="22" t="n">
        <v>1</v>
      </c>
      <c r="K62" s="22" t="n">
        <v>0.95</v>
      </c>
      <c r="L62" s="22" t="n">
        <v>0.88</v>
      </c>
      <c r="M62" s="22" t="n">
        <v>0.9</v>
      </c>
      <c r="N62" s="22" t="n">
        <v>1</v>
      </c>
      <c r="O62" s="22" t="n">
        <v>1.02</v>
      </c>
      <c r="P62" s="22" t="n">
        <v>1.05</v>
      </c>
      <c r="Q62" s="22" t="n">
        <v>1.14</v>
      </c>
    </row>
    <row r="63" customFormat="false" ht="15" hidden="false" customHeight="false" outlineLevel="0" collapsed="false">
      <c r="A63" s="0" t="s">
        <v>158</v>
      </c>
      <c r="D63" s="0" t="s">
        <v>159</v>
      </c>
      <c r="F63" s="22" t="n">
        <v>30</v>
      </c>
      <c r="G63" s="22" t="n">
        <v>30</v>
      </c>
      <c r="H63" s="22" t="n">
        <v>30</v>
      </c>
      <c r="I63" s="22" t="n">
        <v>32</v>
      </c>
      <c r="J63" s="22" t="n">
        <v>34</v>
      </c>
      <c r="K63" s="22" t="n">
        <v>55</v>
      </c>
      <c r="L63" s="22" t="n">
        <v>60</v>
      </c>
      <c r="M63" s="22" t="n">
        <v>56</v>
      </c>
      <c r="N63" s="22" t="n">
        <v>36</v>
      </c>
      <c r="O63" s="22" t="n">
        <v>42</v>
      </c>
      <c r="P63" s="22" t="n">
        <v>40</v>
      </c>
      <c r="Q63" s="22" t="n">
        <v>32</v>
      </c>
    </row>
    <row r="65" customFormat="false" ht="18" hidden="false" customHeight="true" outlineLevel="0" collapsed="false">
      <c r="A65" s="12" t="s">
        <v>160</v>
      </c>
      <c r="B65" s="13"/>
      <c r="C65" s="13"/>
      <c r="D65" s="13"/>
    </row>
    <row r="66" customFormat="false" ht="15" hidden="false" customHeight="false" outlineLevel="0" collapsed="false">
      <c r="A66" s="14" t="s">
        <v>30</v>
      </c>
      <c r="B66" s="14" t="s">
        <v>31</v>
      </c>
      <c r="C66" s="14" t="s">
        <v>32</v>
      </c>
      <c r="D66" s="14" t="s">
        <v>33</v>
      </c>
    </row>
    <row r="67" customFormat="false" ht="15" hidden="false" customHeight="false" outlineLevel="0" collapsed="false">
      <c r="A67" s="3" t="s">
        <v>161</v>
      </c>
      <c r="B67" s="23" t="s">
        <v>162</v>
      </c>
      <c r="D67" s="0" t="s">
        <v>163</v>
      </c>
    </row>
    <row r="68" customFormat="false" ht="15" hidden="false" customHeight="false" outlineLevel="0" collapsed="false">
      <c r="A68" s="3" t="s">
        <v>164</v>
      </c>
      <c r="B68" s="23" t="s">
        <v>165</v>
      </c>
      <c r="D68" s="0" t="s">
        <v>166</v>
      </c>
    </row>
    <row r="69" customFormat="false" ht="15" hidden="false" customHeight="false" outlineLevel="0" collapsed="false">
      <c r="A69" s="3" t="s">
        <v>167</v>
      </c>
      <c r="B69" s="23" t="s">
        <v>162</v>
      </c>
      <c r="D69" s="0" t="s">
        <v>168</v>
      </c>
    </row>
    <row r="71" customFormat="false" ht="18" hidden="false" customHeight="true" outlineLevel="0" collapsed="false">
      <c r="A71" s="12" t="s">
        <v>169</v>
      </c>
      <c r="B71" s="13"/>
      <c r="C71" s="13"/>
      <c r="D71" s="13"/>
    </row>
    <row r="72" customFormat="false" ht="23.85" hidden="false" customHeight="false" outlineLevel="0" collapsed="false">
      <c r="A72" s="24" t="s">
        <v>170</v>
      </c>
      <c r="F72" s="25" t="s">
        <v>171</v>
      </c>
      <c r="G72" s="25" t="s">
        <v>172</v>
      </c>
      <c r="H72" s="25" t="s">
        <v>164</v>
      </c>
      <c r="I72" s="25" t="s">
        <v>167</v>
      </c>
    </row>
    <row r="73" customFormat="false" ht="15" hidden="false" customHeight="false" outlineLevel="0" collapsed="false">
      <c r="A73" s="0" t="s">
        <v>173</v>
      </c>
      <c r="D73" s="0" t="s">
        <v>174</v>
      </c>
      <c r="F73" s="26" t="n">
        <v>4360000</v>
      </c>
      <c r="G73" s="26" t="n">
        <v>3460000</v>
      </c>
      <c r="H73" s="26" t="n">
        <v>2630000</v>
      </c>
      <c r="I73" s="26" t="n">
        <v>12500000</v>
      </c>
    </row>
    <row r="74" customFormat="false" ht="15" hidden="false" customHeight="false" outlineLevel="0" collapsed="false">
      <c r="A74" s="0" t="s">
        <v>175</v>
      </c>
      <c r="D74" s="0" t="s">
        <v>176</v>
      </c>
      <c r="F74" s="27" t="n">
        <v>0.8</v>
      </c>
      <c r="G74" s="27" t="n">
        <v>0.8</v>
      </c>
      <c r="H74" s="27" t="n">
        <v>1</v>
      </c>
      <c r="I74" s="27" t="n">
        <v>1</v>
      </c>
    </row>
    <row r="75" customFormat="false" ht="15" hidden="false" customHeight="false" outlineLevel="0" collapsed="false">
      <c r="A75" s="0" t="s">
        <v>177</v>
      </c>
      <c r="D75" s="0" t="s">
        <v>178</v>
      </c>
      <c r="F75" s="27" t="n">
        <v>0.57</v>
      </c>
      <c r="G75" s="27" t="n">
        <v>0.57</v>
      </c>
      <c r="H75" s="27" t="n">
        <v>0.57</v>
      </c>
      <c r="I75" s="27" t="n">
        <v>1</v>
      </c>
    </row>
    <row r="76" customFormat="false" ht="15" hidden="false" customHeight="false" outlineLevel="0" collapsed="false">
      <c r="A76" s="0" t="s">
        <v>179</v>
      </c>
      <c r="D76" s="0" t="s">
        <v>180</v>
      </c>
      <c r="F76" s="27" t="n">
        <v>0.4</v>
      </c>
      <c r="G76" s="27" t="n">
        <v>0.4</v>
      </c>
      <c r="H76" s="27" t="n">
        <v>0.4</v>
      </c>
      <c r="I76" s="27" t="n">
        <v>1</v>
      </c>
    </row>
    <row r="77" customFormat="false" ht="15" hidden="false" customHeight="false" outlineLevel="0" collapsed="false">
      <c r="A77" s="0" t="s">
        <v>181</v>
      </c>
      <c r="D77" s="0" t="s">
        <v>182</v>
      </c>
      <c r="F77" s="28" t="n">
        <f aca="false">F73*F74*F75*F76</f>
        <v>795264</v>
      </c>
      <c r="G77" s="28" t="n">
        <f aca="false">G73*G74*G75*G76</f>
        <v>631104</v>
      </c>
      <c r="H77" s="28" t="n">
        <f aca="false">H73*H74*H75*H76</f>
        <v>599640</v>
      </c>
      <c r="I77" s="28" t="n">
        <f aca="false">I73*I74*I75*I76</f>
        <v>12500000</v>
      </c>
    </row>
    <row r="78" customFormat="false" ht="15" hidden="false" customHeight="false" outlineLevel="0" collapsed="false">
      <c r="A78" s="0" t="s">
        <v>183</v>
      </c>
      <c r="D78" s="0" t="s">
        <v>184</v>
      </c>
      <c r="F78" s="29" t="n">
        <v>0.1</v>
      </c>
      <c r="G78" s="29" t="n">
        <v>0.1</v>
      </c>
      <c r="H78" s="29" t="n">
        <v>0.06</v>
      </c>
      <c r="I78" s="29" t="n">
        <v>0.01</v>
      </c>
    </row>
    <row r="79" customFormat="false" ht="15" hidden="false" customHeight="false" outlineLevel="0" collapsed="false">
      <c r="A79" s="0" t="s">
        <v>185</v>
      </c>
      <c r="D79" s="0" t="s">
        <v>186</v>
      </c>
      <c r="F79" s="28" t="n">
        <f aca="false">F77*F78</f>
        <v>79526.4</v>
      </c>
      <c r="G79" s="28" t="n">
        <f aca="false">G77*G78</f>
        <v>63110.4</v>
      </c>
      <c r="H79" s="28" t="n">
        <f aca="false">H77*H78</f>
        <v>35978.4</v>
      </c>
      <c r="I79" s="28" t="n">
        <f aca="false">I77*I78</f>
        <v>125000</v>
      </c>
    </row>
    <row r="80" customFormat="false" ht="15" hidden="false" customHeight="false" outlineLevel="0" collapsed="false">
      <c r="A80" s="0" t="s">
        <v>187</v>
      </c>
      <c r="F80" s="30" t="s">
        <v>161</v>
      </c>
      <c r="G80" s="30" t="s">
        <v>161</v>
      </c>
      <c r="H80" s="30" t="s">
        <v>164</v>
      </c>
      <c r="I80" s="30" t="s">
        <v>167</v>
      </c>
    </row>
    <row r="82" customFormat="false" ht="18" hidden="false" customHeight="true" outlineLevel="0" collapsed="false">
      <c r="A82" s="12" t="s">
        <v>188</v>
      </c>
      <c r="B82" s="13"/>
      <c r="C82" s="13"/>
      <c r="D82" s="13"/>
    </row>
    <row r="83" customFormat="false" ht="15" hidden="false" customHeight="false" outlineLevel="0" collapsed="false">
      <c r="A83" s="14" t="s">
        <v>30</v>
      </c>
      <c r="B83" s="14" t="s">
        <v>31</v>
      </c>
      <c r="C83" s="14" t="s">
        <v>32</v>
      </c>
      <c r="D83" s="14" t="s">
        <v>33</v>
      </c>
    </row>
    <row r="84" customFormat="false" ht="15" hidden="false" customHeight="false" outlineLevel="0" collapsed="false">
      <c r="A84" s="0" t="s">
        <v>189</v>
      </c>
      <c r="B84" s="31" t="n">
        <f aca="false">F79+G79</f>
        <v>142636.8</v>
      </c>
      <c r="C84" s="0" t="s">
        <v>190</v>
      </c>
      <c r="D84" s="0" t="s">
        <v>191</v>
      </c>
    </row>
    <row r="85" customFormat="false" ht="15" hidden="false" customHeight="false" outlineLevel="0" collapsed="false">
      <c r="A85" s="0" t="s">
        <v>192</v>
      </c>
      <c r="B85" s="31" t="n">
        <f aca="false">H79</f>
        <v>35978.4</v>
      </c>
      <c r="C85" s="0" t="s">
        <v>190</v>
      </c>
      <c r="D85" s="0" t="s">
        <v>193</v>
      </c>
    </row>
    <row r="86" customFormat="false" ht="15" hidden="false" customHeight="false" outlineLevel="0" collapsed="false">
      <c r="A86" s="0" t="s">
        <v>194</v>
      </c>
      <c r="B86" s="31" t="n">
        <f aca="false">I79</f>
        <v>125000</v>
      </c>
      <c r="C86" s="0" t="s">
        <v>190</v>
      </c>
      <c r="D86" s="0" t="s">
        <v>195</v>
      </c>
    </row>
    <row r="87" customFormat="false" ht="15" hidden="false" customHeight="false" outlineLevel="0" collapsed="false">
      <c r="A87" s="3" t="s">
        <v>196</v>
      </c>
      <c r="B87" s="31" t="n">
        <f aca="false">$B$84+$B$85+$B$86</f>
        <v>303615.2</v>
      </c>
      <c r="C87" s="0" t="s">
        <v>190</v>
      </c>
      <c r="D87" s="0" t="s">
        <v>197</v>
      </c>
    </row>
    <row r="88" customFormat="false" ht="15" hidden="false" customHeight="false" outlineLevel="0" collapsed="false">
      <c r="A88" s="3" t="s">
        <v>198</v>
      </c>
    </row>
    <row r="89" customFormat="false" ht="15" hidden="false" customHeight="false" outlineLevel="0" collapsed="false">
      <c r="A89" s="0" t="s">
        <v>199</v>
      </c>
      <c r="B89" s="17" t="n">
        <v>75000</v>
      </c>
      <c r="C89" s="0" t="s">
        <v>200</v>
      </c>
      <c r="D89" s="0" t="s">
        <v>201</v>
      </c>
    </row>
    <row r="90" customFormat="false" ht="15" hidden="false" customHeight="false" outlineLevel="0" collapsed="false">
      <c r="A90" s="0" t="s">
        <v>202</v>
      </c>
      <c r="B90" s="32" t="n">
        <f aca="false">$B$84/$B$89</f>
        <v>1.901824</v>
      </c>
      <c r="C90" s="0" t="s">
        <v>203</v>
      </c>
      <c r="D90" s="0" t="s">
        <v>204</v>
      </c>
    </row>
    <row r="91" customFormat="false" ht="15" hidden="false" customHeight="false" outlineLevel="0" collapsed="false">
      <c r="A91" s="0" t="s">
        <v>205</v>
      </c>
      <c r="B91" s="23" t="s">
        <v>206</v>
      </c>
      <c r="C91" s="0" t="s">
        <v>207</v>
      </c>
      <c r="D91" s="0" t="s">
        <v>208</v>
      </c>
    </row>
    <row r="93" customFormat="false" ht="15" hidden="false" customHeight="false" outlineLevel="0" collapsed="false">
      <c r="A93" s="0" t="s">
        <v>209</v>
      </c>
      <c r="B93" s="17" t="n">
        <v>5</v>
      </c>
      <c r="C93" s="0" t="s">
        <v>210</v>
      </c>
      <c r="D93" s="0" t="s">
        <v>211</v>
      </c>
    </row>
    <row r="94" customFormat="false" ht="15" hidden="false" customHeight="false" outlineLevel="0" collapsed="false">
      <c r="A94" s="0" t="s">
        <v>212</v>
      </c>
      <c r="B94" s="17" t="n">
        <v>15</v>
      </c>
      <c r="C94" s="0" t="s">
        <v>210</v>
      </c>
      <c r="D94" s="0" t="s">
        <v>211</v>
      </c>
    </row>
    <row r="95" customFormat="false" ht="15" hidden="false" customHeight="false" outlineLevel="0" collapsed="false">
      <c r="A95" s="0" t="s">
        <v>213</v>
      </c>
      <c r="B95" s="17" t="n">
        <v>40</v>
      </c>
      <c r="C95" s="0" t="s">
        <v>210</v>
      </c>
      <c r="D95" s="0" t="s">
        <v>211</v>
      </c>
    </row>
    <row r="96" customFormat="false" ht="15" hidden="false" customHeight="false" outlineLevel="0" collapsed="false">
      <c r="A96" s="0" t="s">
        <v>214</v>
      </c>
      <c r="B96" s="17" t="n">
        <v>60</v>
      </c>
      <c r="C96" s="0" t="s">
        <v>210</v>
      </c>
      <c r="D96" s="0" t="s">
        <v>211</v>
      </c>
    </row>
    <row r="97" customFormat="false" ht="15" hidden="false" customHeight="false" outlineLevel="0" collapsed="false">
      <c r="A97" s="0" t="s">
        <v>215</v>
      </c>
      <c r="B97" s="17" t="n">
        <v>90</v>
      </c>
      <c r="C97" s="0" t="s">
        <v>210</v>
      </c>
      <c r="D97" s="0" t="s">
        <v>211</v>
      </c>
    </row>
    <row r="98" customFormat="false" ht="15" hidden="false" customHeight="false" outlineLevel="0" collapsed="false">
      <c r="A98" s="0" t="s">
        <v>216</v>
      </c>
      <c r="B98" s="17" t="n">
        <v>106</v>
      </c>
      <c r="C98" s="0" t="s">
        <v>210</v>
      </c>
      <c r="D98" s="0" t="s">
        <v>211</v>
      </c>
    </row>
    <row r="99" customFormat="false" ht="15" hidden="false" customHeight="false" outlineLevel="0" collapsed="false">
      <c r="A99" s="0" t="s">
        <v>217</v>
      </c>
      <c r="B99" s="17" t="n">
        <v>124</v>
      </c>
      <c r="C99" s="0" t="s">
        <v>210</v>
      </c>
      <c r="D99" s="0" t="s">
        <v>211</v>
      </c>
    </row>
    <row r="100" customFormat="false" ht="15" hidden="false" customHeight="false" outlineLevel="0" collapsed="false">
      <c r="A100" s="0" t="s">
        <v>218</v>
      </c>
      <c r="B100" s="20" t="n">
        <v>60000</v>
      </c>
      <c r="C100" s="0" t="s">
        <v>76</v>
      </c>
      <c r="D100" s="0" t="s">
        <v>219</v>
      </c>
    </row>
    <row r="101" customFormat="false" ht="15" hidden="false" customHeight="false" outlineLevel="0" collapsed="false">
      <c r="A101" s="0" t="s">
        <v>220</v>
      </c>
      <c r="B101" s="20" t="n">
        <v>180000</v>
      </c>
      <c r="C101" s="0" t="s">
        <v>76</v>
      </c>
      <c r="D101" s="0" t="s">
        <v>219</v>
      </c>
    </row>
    <row r="102" customFormat="false" ht="15" hidden="false" customHeight="false" outlineLevel="0" collapsed="false">
      <c r="A102" s="0" t="s">
        <v>221</v>
      </c>
      <c r="B102" s="20" t="n">
        <v>250000</v>
      </c>
      <c r="C102" s="0" t="s">
        <v>76</v>
      </c>
      <c r="D102" s="0" t="s">
        <v>219</v>
      </c>
    </row>
    <row r="103" customFormat="false" ht="15" hidden="false" customHeight="false" outlineLevel="0" collapsed="false">
      <c r="A103" s="0" t="s">
        <v>222</v>
      </c>
      <c r="B103" s="20" t="n">
        <v>400000</v>
      </c>
      <c r="C103" s="0" t="s">
        <v>76</v>
      </c>
      <c r="D103" s="0" t="s">
        <v>219</v>
      </c>
    </row>
    <row r="104" customFormat="false" ht="15" hidden="false" customHeight="false" outlineLevel="0" collapsed="false">
      <c r="A104" s="0" t="s">
        <v>223</v>
      </c>
      <c r="B104" s="20" t="n">
        <v>600000</v>
      </c>
      <c r="C104" s="0" t="s">
        <v>76</v>
      </c>
      <c r="D104" s="0" t="s">
        <v>219</v>
      </c>
    </row>
    <row r="105" customFormat="false" ht="15" hidden="false" customHeight="false" outlineLevel="0" collapsed="false">
      <c r="A105" s="0" t="s">
        <v>224</v>
      </c>
      <c r="B105" s="20" t="n">
        <v>850000</v>
      </c>
      <c r="C105" s="0" t="s">
        <v>76</v>
      </c>
      <c r="D105" s="0" t="s">
        <v>219</v>
      </c>
    </row>
    <row r="106" customFormat="false" ht="15" hidden="false" customHeight="false" outlineLevel="0" collapsed="false">
      <c r="A106" s="0" t="s">
        <v>225</v>
      </c>
      <c r="B106" s="20" t="n">
        <v>1100000</v>
      </c>
      <c r="C106" s="0" t="s">
        <v>76</v>
      </c>
      <c r="D106" s="0" t="s">
        <v>219</v>
      </c>
    </row>
    <row r="107" customFormat="false" ht="15" hidden="false" customHeight="false" outlineLevel="0" collapsed="false">
      <c r="A107" s="0" t="s">
        <v>226</v>
      </c>
      <c r="B107" s="15" t="n">
        <v>0.6</v>
      </c>
      <c r="C107" s="0" t="s">
        <v>227</v>
      </c>
      <c r="D107" s="0" t="s">
        <v>228</v>
      </c>
    </row>
    <row r="108" customFormat="false" ht="15" hidden="false" customHeight="false" outlineLevel="0" collapsed="false">
      <c r="A108" s="0" t="s">
        <v>229</v>
      </c>
      <c r="B108" s="15" t="n">
        <v>0.85</v>
      </c>
      <c r="C108" s="0" t="s">
        <v>227</v>
      </c>
      <c r="D108" s="0" t="s">
        <v>228</v>
      </c>
    </row>
    <row r="109" customFormat="false" ht="15" hidden="false" customHeight="false" outlineLevel="0" collapsed="false">
      <c r="A109" s="0" t="s">
        <v>230</v>
      </c>
      <c r="B109" s="15" t="n">
        <v>1</v>
      </c>
      <c r="C109" s="0" t="s">
        <v>227</v>
      </c>
      <c r="D109" s="0" t="s">
        <v>228</v>
      </c>
    </row>
    <row r="110" customFormat="false" ht="15" hidden="false" customHeight="false" outlineLevel="0" collapsed="false">
      <c r="A110" s="0" t="s">
        <v>231</v>
      </c>
      <c r="B110" s="15" t="n">
        <v>1</v>
      </c>
      <c r="C110" s="0" t="s">
        <v>227</v>
      </c>
      <c r="D110" s="0" t="s">
        <v>228</v>
      </c>
    </row>
    <row r="111" customFormat="false" ht="15" hidden="false" customHeight="false" outlineLevel="0" collapsed="false">
      <c r="A111" s="0" t="s">
        <v>232</v>
      </c>
      <c r="B111" s="15" t="n">
        <v>1</v>
      </c>
      <c r="C111" s="0" t="s">
        <v>227</v>
      </c>
      <c r="D111" s="0" t="s">
        <v>228</v>
      </c>
    </row>
    <row r="112" customFormat="false" ht="15" hidden="false" customHeight="false" outlineLevel="0" collapsed="false">
      <c r="A112" s="0" t="s">
        <v>233</v>
      </c>
      <c r="B112" s="15" t="n">
        <v>1</v>
      </c>
      <c r="C112" s="0" t="s">
        <v>227</v>
      </c>
      <c r="D112" s="0" t="s">
        <v>228</v>
      </c>
    </row>
    <row r="113" customFormat="false" ht="15" hidden="false" customHeight="false" outlineLevel="0" collapsed="false">
      <c r="A113" s="0" t="s">
        <v>234</v>
      </c>
      <c r="B113" s="15" t="n">
        <v>1</v>
      </c>
      <c r="C113" s="0" t="s">
        <v>227</v>
      </c>
      <c r="D113" s="0" t="s">
        <v>228</v>
      </c>
    </row>
    <row r="114" customFormat="false" ht="15" hidden="false" customHeight="false" outlineLevel="0" collapsed="false">
      <c r="A114" s="0" t="s">
        <v>235</v>
      </c>
      <c r="B114" s="19" t="n">
        <v>0.45</v>
      </c>
      <c r="C114" s="0" t="s">
        <v>236</v>
      </c>
      <c r="D114" s="0" t="s">
        <v>237</v>
      </c>
    </row>
    <row r="115" customFormat="false" ht="15" hidden="false" customHeight="false" outlineLevel="0" collapsed="false">
      <c r="A115" s="0" t="s">
        <v>238</v>
      </c>
      <c r="B115" s="19" t="n">
        <v>0.1</v>
      </c>
      <c r="C115" s="0" t="s">
        <v>236</v>
      </c>
      <c r="D115" s="0" t="s">
        <v>237</v>
      </c>
    </row>
    <row r="116" customFormat="false" ht="15" hidden="false" customHeight="false" outlineLevel="0" collapsed="false">
      <c r="A116" s="0" t="s">
        <v>239</v>
      </c>
      <c r="B116" s="19" t="n">
        <v>0.45</v>
      </c>
      <c r="C116" s="0" t="s">
        <v>236</v>
      </c>
      <c r="D116" s="0" t="s">
        <v>237</v>
      </c>
    </row>
    <row r="118" customFormat="false" ht="18" hidden="false" customHeight="true" outlineLevel="0" collapsed="false">
      <c r="A118" s="12" t="s">
        <v>240</v>
      </c>
      <c r="B118" s="13"/>
      <c r="C118" s="13"/>
      <c r="D118" s="13"/>
    </row>
    <row r="119" customFormat="false" ht="15" hidden="false" customHeight="false" outlineLevel="0" collapsed="false">
      <c r="A119" s="14" t="s">
        <v>30</v>
      </c>
      <c r="B119" s="14" t="s">
        <v>31</v>
      </c>
      <c r="C119" s="14" t="s">
        <v>32</v>
      </c>
      <c r="D119" s="14" t="s">
        <v>33</v>
      </c>
    </row>
    <row r="120" customFormat="false" ht="15" hidden="false" customHeight="false" outlineLevel="0" collapsed="false">
      <c r="A120" s="0" t="s">
        <v>241</v>
      </c>
      <c r="B120" s="33" t="n">
        <f aca="false">'Scenario Parameters'!$B$10</f>
        <v>0.081</v>
      </c>
      <c r="C120" s="0" t="s">
        <v>242</v>
      </c>
      <c r="D120" s="0" t="s">
        <v>243</v>
      </c>
    </row>
    <row r="121" customFormat="false" ht="15" hidden="false" customHeight="false" outlineLevel="0" collapsed="false">
      <c r="A121" s="0" t="s">
        <v>244</v>
      </c>
      <c r="B121" s="34" t="n">
        <f aca="false">'Scenario Parameters'!$B$14</f>
        <v>0.55</v>
      </c>
      <c r="C121" s="0" t="s">
        <v>245</v>
      </c>
      <c r="D121" s="0" t="s">
        <v>246</v>
      </c>
    </row>
    <row r="122" customFormat="false" ht="15" hidden="false" customHeight="false" outlineLevel="0" collapsed="false">
      <c r="A122" s="0" t="s">
        <v>247</v>
      </c>
      <c r="B122" s="33" t="n">
        <f aca="false">'Scenario Parameters'!$B$15</f>
        <v>0.0485991010017477</v>
      </c>
      <c r="C122" s="0" t="s">
        <v>248</v>
      </c>
      <c r="D122" s="0" t="s">
        <v>249</v>
      </c>
    </row>
    <row r="123" customFormat="false" ht="15" hidden="false" customHeight="false" outlineLevel="0" collapsed="false">
      <c r="A123" s="0" t="s">
        <v>250</v>
      </c>
      <c r="B123" s="35" t="n">
        <f aca="false">'Scenario Parameters'!$B$16</f>
        <v>4</v>
      </c>
      <c r="C123" s="0" t="s">
        <v>251</v>
      </c>
      <c r="D123" s="0" t="s">
        <v>252</v>
      </c>
    </row>
    <row r="124" customFormat="false" ht="15" hidden="false" customHeight="false" outlineLevel="0" collapsed="false">
      <c r="A124" s="0" t="s">
        <v>253</v>
      </c>
      <c r="B124" s="36" t="n">
        <f aca="false">'Scenario Parameters'!$B$17</f>
        <v>120</v>
      </c>
      <c r="C124" s="0" t="s">
        <v>254</v>
      </c>
      <c r="D124" s="0" t="s">
        <v>255</v>
      </c>
    </row>
    <row r="125" customFormat="false" ht="15" hidden="false" customHeight="false" outlineLevel="0" collapsed="false">
      <c r="A125" s="0" t="s">
        <v>256</v>
      </c>
      <c r="B125" s="36" t="n">
        <f aca="false">'Scenario Parameters'!$B$18</f>
        <v>100</v>
      </c>
      <c r="C125" s="0" t="s">
        <v>254</v>
      </c>
      <c r="D125" s="0" t="s">
        <v>255</v>
      </c>
    </row>
    <row r="126" customFormat="false" ht="15" hidden="false" customHeight="false" outlineLevel="0" collapsed="false">
      <c r="A126" s="0" t="s">
        <v>257</v>
      </c>
      <c r="B126" s="36" t="n">
        <f aca="false">'Scenario Parameters'!$B$19</f>
        <v>20</v>
      </c>
      <c r="C126" s="0" t="s">
        <v>254</v>
      </c>
      <c r="D126" s="0" t="s">
        <v>255</v>
      </c>
    </row>
    <row r="127" customFormat="false" ht="15" hidden="false" customHeight="false" outlineLevel="0" collapsed="false">
      <c r="A127" s="0" t="s">
        <v>258</v>
      </c>
      <c r="B127" s="34" t="n">
        <f aca="false">'Scenario Parameters'!$B$20</f>
        <v>0.58</v>
      </c>
      <c r="C127" s="0" t="s">
        <v>259</v>
      </c>
      <c r="D127" s="0" t="s">
        <v>260</v>
      </c>
    </row>
    <row r="128" customFormat="false" ht="15" hidden="false" customHeight="false" outlineLevel="0" collapsed="false">
      <c r="A128" s="0" t="s">
        <v>261</v>
      </c>
      <c r="B128" s="34" t="n">
        <f aca="false">'Scenario Parameters'!$B$21</f>
        <v>0.16</v>
      </c>
      <c r="C128" s="0" t="s">
        <v>259</v>
      </c>
      <c r="D128" s="0" t="s">
        <v>260</v>
      </c>
    </row>
    <row r="129" customFormat="false" ht="15" hidden="false" customHeight="false" outlineLevel="0" collapsed="false">
      <c r="A129" s="0" t="s">
        <v>262</v>
      </c>
      <c r="B129" s="34" t="n">
        <f aca="false">'Scenario Parameters'!$B$22</f>
        <v>0.26</v>
      </c>
      <c r="C129" s="0" t="s">
        <v>259</v>
      </c>
      <c r="D129" s="0" t="s">
        <v>260</v>
      </c>
    </row>
    <row r="130" customFormat="false" ht="15" hidden="false" customHeight="false" outlineLevel="0" collapsed="false">
      <c r="A130" s="0" t="s">
        <v>263</v>
      </c>
      <c r="B130" s="35" t="n">
        <f aca="false">'Scenario Parameters'!$B$23</f>
        <v>0.45</v>
      </c>
      <c r="C130" s="0" t="s">
        <v>264</v>
      </c>
      <c r="D130" s="0" t="s">
        <v>265</v>
      </c>
    </row>
    <row r="131" customFormat="false" ht="15" hidden="false" customHeight="false" outlineLevel="0" collapsed="false">
      <c r="A131" s="0" t="s">
        <v>266</v>
      </c>
      <c r="B131" s="34" t="n">
        <f aca="false">'Scenario Parameters'!$B$24</f>
        <v>0.62</v>
      </c>
      <c r="C131" s="0" t="s">
        <v>245</v>
      </c>
      <c r="D131" s="0" t="s">
        <v>267</v>
      </c>
    </row>
    <row r="132" customFormat="false" ht="15" hidden="false" customHeight="false" outlineLevel="0" collapsed="false">
      <c r="A132" s="0" t="s">
        <v>268</v>
      </c>
      <c r="B132" s="34" t="n">
        <f aca="false">'Scenario Parameters'!$B$25</f>
        <v>0.12</v>
      </c>
      <c r="C132" s="0" t="s">
        <v>269</v>
      </c>
      <c r="D132" s="0" t="s">
        <v>270</v>
      </c>
    </row>
    <row r="133" customFormat="false" ht="15" hidden="false" customHeight="false" outlineLevel="0" collapsed="false">
      <c r="A133" s="0" t="s">
        <v>271</v>
      </c>
      <c r="B133" s="35" t="n">
        <f aca="false">'Scenario Parameters'!$B$26</f>
        <v>1</v>
      </c>
      <c r="C133" s="0" t="s">
        <v>272</v>
      </c>
      <c r="D133" s="0" t="s">
        <v>273</v>
      </c>
    </row>
    <row r="134" customFormat="false" ht="15" hidden="false" customHeight="false" outlineLevel="0" collapsed="false">
      <c r="A134" s="0" t="s">
        <v>274</v>
      </c>
      <c r="B134" s="34" t="n">
        <f aca="false">'Scenario Parameters'!$B$30</f>
        <v>0.55</v>
      </c>
      <c r="C134" s="0" t="s">
        <v>275</v>
      </c>
      <c r="D134" s="0" t="s">
        <v>276</v>
      </c>
    </row>
    <row r="135" customFormat="false" ht="15" hidden="false" customHeight="false" outlineLevel="0" collapsed="false">
      <c r="A135" s="0" t="s">
        <v>277</v>
      </c>
      <c r="B135" s="37" t="n">
        <f aca="false">'Scenario Parameters'!$B$31</f>
        <v>8</v>
      </c>
      <c r="C135" s="0" t="s">
        <v>278</v>
      </c>
      <c r="D135" s="0" t="s">
        <v>279</v>
      </c>
    </row>
    <row r="136" customFormat="false" ht="15" hidden="false" customHeight="false" outlineLevel="0" collapsed="false">
      <c r="A136" s="0" t="s">
        <v>280</v>
      </c>
      <c r="B136" s="34" t="n">
        <f aca="false">'Scenario Parameters'!$B$35</f>
        <v>0.12</v>
      </c>
      <c r="C136" s="0" t="s">
        <v>281</v>
      </c>
      <c r="D136" s="0" t="s">
        <v>282</v>
      </c>
    </row>
    <row r="137" customFormat="false" ht="15" hidden="false" customHeight="false" outlineLevel="0" collapsed="false">
      <c r="A137" s="0" t="s">
        <v>283</v>
      </c>
      <c r="B137" s="34" t="n">
        <f aca="false">'Scenario Parameters'!$B$36</f>
        <v>0.08</v>
      </c>
      <c r="C137" s="0" t="s">
        <v>281</v>
      </c>
      <c r="D137" s="0" t="s">
        <v>284</v>
      </c>
    </row>
    <row r="138" customFormat="false" ht="15" hidden="false" customHeight="false" outlineLevel="0" collapsed="false">
      <c r="A138" s="0" t="s">
        <v>285</v>
      </c>
      <c r="B138" s="35" t="n">
        <f aca="false">'Scenario Parameters'!$B$37</f>
        <v>2.2</v>
      </c>
      <c r="C138" s="0" t="s">
        <v>286</v>
      </c>
      <c r="D138" s="0" t="s">
        <v>287</v>
      </c>
    </row>
    <row r="139" customFormat="false" ht="15" hidden="false" customHeight="false" outlineLevel="0" collapsed="false">
      <c r="A139" s="0" t="s">
        <v>288</v>
      </c>
      <c r="B139" s="35" t="n">
        <f aca="false">'Scenario Parameters'!$B$38</f>
        <v>1</v>
      </c>
      <c r="C139" s="0" t="s">
        <v>289</v>
      </c>
      <c r="D139" s="0" t="s">
        <v>290</v>
      </c>
    </row>
    <row r="140" customFormat="false" ht="15" hidden="false" customHeight="false" outlineLevel="0" collapsed="false">
      <c r="A140" s="0" t="s">
        <v>291</v>
      </c>
      <c r="B140" s="35" t="n">
        <f aca="false">'Scenario Parameters'!$B$39</f>
        <v>1</v>
      </c>
      <c r="C140" s="0" t="s">
        <v>292</v>
      </c>
      <c r="D140" s="0" t="s">
        <v>293</v>
      </c>
    </row>
    <row r="141" customFormat="false" ht="15" hidden="false" customHeight="false" outlineLevel="0" collapsed="false">
      <c r="A141" s="0" t="s">
        <v>294</v>
      </c>
      <c r="B141" s="35" t="n">
        <f aca="false">'Scenario Parameters'!$B$40</f>
        <v>1.7</v>
      </c>
      <c r="C141" s="0" t="s">
        <v>295</v>
      </c>
      <c r="D141" s="0" t="s">
        <v>296</v>
      </c>
    </row>
    <row r="142" customFormat="false" ht="15" hidden="false" customHeight="false" outlineLevel="0" collapsed="false">
      <c r="A142" s="0" t="s">
        <v>297</v>
      </c>
      <c r="B142" s="34" t="n">
        <f aca="false">'Scenario Parameters'!$B$44</f>
        <v>0.72</v>
      </c>
      <c r="C142" s="0" t="s">
        <v>245</v>
      </c>
      <c r="D142" s="0" t="s">
        <v>298</v>
      </c>
    </row>
    <row r="143" customFormat="false" ht="15" hidden="false" customHeight="false" outlineLevel="0" collapsed="false">
      <c r="A143" s="0" t="s">
        <v>299</v>
      </c>
      <c r="B143" s="34" t="n">
        <f aca="false">'Scenario Parameters'!$B$45</f>
        <v>0.18</v>
      </c>
      <c r="C143" s="0" t="s">
        <v>300</v>
      </c>
      <c r="D143" s="0" t="s">
        <v>301</v>
      </c>
    </row>
    <row r="144" customFormat="false" ht="15" hidden="false" customHeight="false" outlineLevel="0" collapsed="false">
      <c r="A144" s="0" t="s">
        <v>302</v>
      </c>
      <c r="B144" s="37" t="n">
        <f aca="false">'Scenario Parameters'!$B$46</f>
        <v>4</v>
      </c>
      <c r="C144" s="0" t="s">
        <v>303</v>
      </c>
      <c r="D144" s="0" t="s">
        <v>304</v>
      </c>
    </row>
    <row r="145" customFormat="false" ht="15" hidden="false" customHeight="false" outlineLevel="0" collapsed="false">
      <c r="A145" s="0" t="s">
        <v>305</v>
      </c>
      <c r="B145" s="34" t="n">
        <f aca="false">'Scenario Parameters'!$B$47</f>
        <v>0.34</v>
      </c>
      <c r="C145" s="0" t="s">
        <v>306</v>
      </c>
      <c r="D145" s="0" t="s">
        <v>307</v>
      </c>
    </row>
    <row r="146" customFormat="false" ht="15" hidden="false" customHeight="false" outlineLevel="0" collapsed="false">
      <c r="A146" s="0" t="s">
        <v>308</v>
      </c>
      <c r="B146" s="35" t="n">
        <f aca="false">'Scenario Parameters'!$B$48</f>
        <v>1.06</v>
      </c>
      <c r="C146" s="0" t="s">
        <v>309</v>
      </c>
      <c r="D146" s="0" t="s">
        <v>310</v>
      </c>
    </row>
    <row r="147" customFormat="false" ht="15" hidden="false" customHeight="false" outlineLevel="0" collapsed="false">
      <c r="A147" s="0" t="s">
        <v>311</v>
      </c>
      <c r="B147" s="35" t="n">
        <f aca="false">'Scenario Parameters'!$B$49</f>
        <v>0.11</v>
      </c>
      <c r="C147" s="0" t="s">
        <v>309</v>
      </c>
      <c r="D147" s="0" t="s">
        <v>312</v>
      </c>
    </row>
    <row r="148" customFormat="false" ht="15" hidden="false" customHeight="false" outlineLevel="0" collapsed="false">
      <c r="A148" s="0" t="s">
        <v>313</v>
      </c>
      <c r="B148" s="34" t="n">
        <f aca="false">'Scenario Parameters'!$B$50</f>
        <v>0.6</v>
      </c>
      <c r="C148" s="0" t="s">
        <v>245</v>
      </c>
      <c r="D148" s="0" t="s">
        <v>314</v>
      </c>
    </row>
    <row r="149" customFormat="false" ht="15" hidden="false" customHeight="false" outlineLevel="0" collapsed="false">
      <c r="A149" s="0" t="s">
        <v>315</v>
      </c>
      <c r="B149" s="34" t="n">
        <f aca="false">'Scenario Parameters'!$B$51</f>
        <v>0.25</v>
      </c>
      <c r="C149" s="0" t="s">
        <v>245</v>
      </c>
      <c r="D149" s="0" t="s">
        <v>314</v>
      </c>
    </row>
    <row r="150" customFormat="false" ht="15" hidden="false" customHeight="false" outlineLevel="0" collapsed="false">
      <c r="A150" s="0" t="s">
        <v>316</v>
      </c>
      <c r="B150" s="34" t="n">
        <f aca="false">'Scenario Parameters'!$B$52</f>
        <v>0.12</v>
      </c>
      <c r="C150" s="0" t="s">
        <v>245</v>
      </c>
      <c r="D150" s="0" t="s">
        <v>314</v>
      </c>
    </row>
    <row r="151" customFormat="false" ht="15" hidden="false" customHeight="false" outlineLevel="0" collapsed="false">
      <c r="A151" s="0" t="s">
        <v>317</v>
      </c>
      <c r="B151" s="34" t="n">
        <f aca="false">'Scenario Parameters'!$B$53</f>
        <v>0.03</v>
      </c>
      <c r="C151" s="0" t="s">
        <v>245</v>
      </c>
      <c r="D151" s="0" t="s">
        <v>314</v>
      </c>
    </row>
    <row r="152" customFormat="false" ht="15" hidden="false" customHeight="false" outlineLevel="0" collapsed="false">
      <c r="A152" s="0" t="s">
        <v>318</v>
      </c>
      <c r="B152" s="37" t="n">
        <f aca="false">'Scenario Parameters'!$B$54</f>
        <v>250</v>
      </c>
      <c r="C152" s="0" t="s">
        <v>63</v>
      </c>
      <c r="D152" s="0" t="s">
        <v>319</v>
      </c>
    </row>
    <row r="153" customFormat="false" ht="15" hidden="false" customHeight="false" outlineLevel="0" collapsed="false">
      <c r="A153" s="0" t="s">
        <v>320</v>
      </c>
      <c r="B153" s="37" t="n">
        <f aca="false">'Scenario Parameters'!$B$55</f>
        <v>1000</v>
      </c>
      <c r="C153" s="0" t="s">
        <v>63</v>
      </c>
      <c r="D153" s="0" t="s">
        <v>319</v>
      </c>
    </row>
    <row r="154" customFormat="false" ht="15" hidden="false" customHeight="false" outlineLevel="0" collapsed="false">
      <c r="A154" s="0" t="s">
        <v>321</v>
      </c>
      <c r="B154" s="37" t="n">
        <f aca="false">'Scenario Parameters'!$B$56</f>
        <v>2250</v>
      </c>
      <c r="C154" s="0" t="s">
        <v>63</v>
      </c>
      <c r="D154" s="0" t="s">
        <v>319</v>
      </c>
    </row>
    <row r="155" customFormat="false" ht="15" hidden="false" customHeight="false" outlineLevel="0" collapsed="false">
      <c r="A155" s="0" t="s">
        <v>322</v>
      </c>
      <c r="B155" s="37" t="n">
        <f aca="false">'Scenario Parameters'!$B$57</f>
        <v>4000</v>
      </c>
      <c r="C155" s="0" t="s">
        <v>63</v>
      </c>
      <c r="D155" s="0" t="s">
        <v>319</v>
      </c>
    </row>
    <row r="156" customFormat="false" ht="15" hidden="false" customHeight="false" outlineLevel="0" collapsed="false">
      <c r="A156" s="0" t="s">
        <v>323</v>
      </c>
      <c r="B156" s="34" t="n">
        <f aca="false">'Scenario Parameters'!$B$61</f>
        <v>0.5</v>
      </c>
      <c r="C156" s="0" t="s">
        <v>245</v>
      </c>
      <c r="D156" s="0" t="s">
        <v>324</v>
      </c>
    </row>
    <row r="157" customFormat="false" ht="15" hidden="false" customHeight="false" outlineLevel="0" collapsed="false">
      <c r="A157" s="0" t="s">
        <v>325</v>
      </c>
      <c r="B157" s="35" t="n">
        <f aca="false">'Scenario Parameters'!$B$62</f>
        <v>0.42</v>
      </c>
      <c r="C157" s="0" t="s">
        <v>326</v>
      </c>
      <c r="D157" s="0" t="s">
        <v>327</v>
      </c>
    </row>
    <row r="158" customFormat="false" ht="15" hidden="false" customHeight="false" outlineLevel="0" collapsed="false">
      <c r="A158" s="0" t="s">
        <v>328</v>
      </c>
      <c r="B158" s="35" t="n">
        <f aca="false">'Scenario Parameters'!$B$63</f>
        <v>2.1</v>
      </c>
      <c r="C158" s="0" t="s">
        <v>329</v>
      </c>
      <c r="D158" s="0" t="s">
        <v>330</v>
      </c>
    </row>
    <row r="159" customFormat="false" ht="15" hidden="false" customHeight="false" outlineLevel="0" collapsed="false">
      <c r="A159" s="0" t="s">
        <v>331</v>
      </c>
      <c r="B159" s="34" t="n">
        <f aca="false">'Scenario Parameters'!$B$64</f>
        <v>0.2</v>
      </c>
      <c r="C159" s="0" t="s">
        <v>275</v>
      </c>
      <c r="D159" s="0" t="s">
        <v>332</v>
      </c>
    </row>
    <row r="160" customFormat="false" ht="15" hidden="false" customHeight="false" outlineLevel="0" collapsed="false">
      <c r="A160" s="0" t="s">
        <v>333</v>
      </c>
      <c r="B160" s="37" t="n">
        <f aca="false">'Scenario Parameters'!$B$65</f>
        <v>0</v>
      </c>
      <c r="C160" s="0" t="s">
        <v>334</v>
      </c>
      <c r="D160" s="0" t="s">
        <v>335</v>
      </c>
    </row>
    <row r="161" customFormat="false" ht="15" hidden="false" customHeight="false" outlineLevel="0" collapsed="false">
      <c r="A161" s="0" t="s">
        <v>336</v>
      </c>
      <c r="B161" s="37" t="n">
        <f aca="false">'Scenario Parameters'!$B$66</f>
        <v>1</v>
      </c>
      <c r="C161" s="0" t="s">
        <v>334</v>
      </c>
      <c r="D161" s="0" t="s">
        <v>335</v>
      </c>
    </row>
    <row r="162" customFormat="false" ht="15" hidden="false" customHeight="false" outlineLevel="0" collapsed="false">
      <c r="A162" s="0" t="s">
        <v>337</v>
      </c>
      <c r="B162" s="37" t="n">
        <f aca="false">'Scenario Parameters'!$B$67</f>
        <v>2</v>
      </c>
      <c r="C162" s="0" t="s">
        <v>334</v>
      </c>
      <c r="D162" s="0" t="s">
        <v>335</v>
      </c>
    </row>
    <row r="163" customFormat="false" ht="15" hidden="false" customHeight="false" outlineLevel="0" collapsed="false">
      <c r="A163" s="0" t="s">
        <v>338</v>
      </c>
      <c r="B163" s="37" t="n">
        <f aca="false">'Scenario Parameters'!$B$68</f>
        <v>3</v>
      </c>
      <c r="C163" s="0" t="s">
        <v>334</v>
      </c>
      <c r="D163" s="0" t="s">
        <v>335</v>
      </c>
    </row>
    <row r="164" customFormat="false" ht="15" hidden="false" customHeight="false" outlineLevel="0" collapsed="false">
      <c r="A164" s="0" t="s">
        <v>339</v>
      </c>
      <c r="B164" s="37" t="n">
        <f aca="false">'Scenario Parameters'!$B$69</f>
        <v>4</v>
      </c>
      <c r="C164" s="0" t="s">
        <v>334</v>
      </c>
      <c r="D164" s="0" t="s">
        <v>335</v>
      </c>
    </row>
    <row r="165" customFormat="false" ht="15" hidden="false" customHeight="false" outlineLevel="0" collapsed="false">
      <c r="A165" s="0" t="s">
        <v>340</v>
      </c>
      <c r="B165" s="37" t="n">
        <f aca="false">'Scenario Parameters'!$B$70</f>
        <v>5</v>
      </c>
      <c r="C165" s="0" t="s">
        <v>334</v>
      </c>
      <c r="D165" s="0" t="s">
        <v>335</v>
      </c>
    </row>
    <row r="166" customFormat="false" ht="15" hidden="false" customHeight="false" outlineLevel="0" collapsed="false">
      <c r="A166" s="0" t="s">
        <v>341</v>
      </c>
      <c r="B166" s="37" t="n">
        <f aca="false">'Scenario Parameters'!$B$71</f>
        <v>6</v>
      </c>
      <c r="C166" s="0" t="s">
        <v>334</v>
      </c>
      <c r="D166" s="0" t="s">
        <v>335</v>
      </c>
    </row>
    <row r="167" customFormat="false" ht="15" hidden="false" customHeight="false" outlineLevel="0" collapsed="false">
      <c r="A167" s="0" t="s">
        <v>342</v>
      </c>
      <c r="B167" s="36" t="n">
        <f aca="false">'Scenario Parameters'!$B$72</f>
        <v>32000000</v>
      </c>
      <c r="C167" s="0" t="s">
        <v>114</v>
      </c>
      <c r="D167" s="0" t="s">
        <v>343</v>
      </c>
    </row>
    <row r="168" customFormat="false" ht="15" hidden="false" customHeight="false" outlineLevel="0" collapsed="false">
      <c r="A168" s="0" t="s">
        <v>344</v>
      </c>
      <c r="B168" s="36" t="n">
        <f aca="false">'Scenario Parameters'!$B$76</f>
        <v>33.6</v>
      </c>
      <c r="C168" s="0" t="s">
        <v>108</v>
      </c>
      <c r="D168" s="0" t="s">
        <v>345</v>
      </c>
    </row>
    <row r="169" customFormat="false" ht="15" hidden="false" customHeight="false" outlineLevel="0" collapsed="false">
      <c r="A169" s="0" t="s">
        <v>346</v>
      </c>
      <c r="B169" s="36" t="n">
        <f aca="false">'Scenario Parameters'!$B$77</f>
        <v>26</v>
      </c>
      <c r="C169" s="0" t="s">
        <v>108</v>
      </c>
      <c r="D169" s="0" t="s">
        <v>345</v>
      </c>
    </row>
    <row r="170" customFormat="false" ht="15" hidden="false" customHeight="false" outlineLevel="0" collapsed="false">
      <c r="A170" s="0" t="s">
        <v>347</v>
      </c>
      <c r="B170" s="36" t="n">
        <f aca="false">'Scenario Parameters'!$B$78</f>
        <v>30</v>
      </c>
      <c r="C170" s="0" t="s">
        <v>108</v>
      </c>
      <c r="D170" s="0" t="s">
        <v>345</v>
      </c>
    </row>
    <row r="171" customFormat="false" ht="15" hidden="false" customHeight="false" outlineLevel="0" collapsed="false">
      <c r="A171" s="0" t="s">
        <v>348</v>
      </c>
      <c r="B171" s="37" t="n">
        <f aca="false">'Scenario Parameters'!$B$82</f>
        <v>0</v>
      </c>
      <c r="C171" s="0" t="s">
        <v>349</v>
      </c>
      <c r="D171" s="0" t="s">
        <v>350</v>
      </c>
    </row>
    <row r="172" customFormat="false" ht="15" hidden="false" customHeight="false" outlineLevel="0" collapsed="false">
      <c r="A172" s="0" t="s">
        <v>351</v>
      </c>
      <c r="B172" s="37" t="n">
        <f aca="false">'Scenario Parameters'!$B$83</f>
        <v>1</v>
      </c>
      <c r="C172" s="0" t="s">
        <v>349</v>
      </c>
      <c r="D172" s="0" t="s">
        <v>352</v>
      </c>
    </row>
    <row r="173" customFormat="false" ht="15" hidden="false" customHeight="false" outlineLevel="0" collapsed="false">
      <c r="A173" s="9" t="s">
        <v>353</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5" min="3" style="0" width="14"/>
    <col collapsed="false" customWidth="true" hidden="false" outlineLevel="0" max="6" min="6" style="0" width="24"/>
    <col collapsed="false" customWidth="true" hidden="false" outlineLevel="0" max="7" min="7" style="0" width="118"/>
  </cols>
  <sheetData>
    <row r="1" customFormat="false" ht="22.05" hidden="false" customHeight="false" outlineLevel="0" collapsed="false">
      <c r="A1" s="10" t="str">
        <f aca="false">Cover!$B$2</f>
        <v>Aurumix Revenue Model</v>
      </c>
    </row>
    <row r="2" customFormat="false" ht="17.35" hidden="false" customHeight="false" outlineLevel="0" collapsed="false">
      <c r="A2" s="11" t="s">
        <v>354</v>
      </c>
    </row>
    <row r="4" customFormat="false" ht="18" hidden="false" customHeight="true" outlineLevel="0" collapsed="false">
      <c r="A4" s="12" t="s">
        <v>355</v>
      </c>
      <c r="B4" s="13"/>
      <c r="C4" s="13"/>
      <c r="D4" s="13"/>
      <c r="E4" s="13"/>
    </row>
    <row r="6" customFormat="false" ht="15" hidden="false" customHeight="false" outlineLevel="0" collapsed="false">
      <c r="A6" s="3" t="s">
        <v>356</v>
      </c>
      <c r="B6" s="38" t="s">
        <v>357</v>
      </c>
      <c r="C6" s="0" t="n">
        <f aca="false">IF($B$6="Base",1,IF($B$6="Aggressive",2,3))</f>
        <v>1</v>
      </c>
      <c r="D6" s="23" t="s">
        <v>358</v>
      </c>
      <c r="G6" s="9" t="s">
        <v>359</v>
      </c>
    </row>
    <row r="8" customFormat="false" ht="18" hidden="false" customHeight="true" outlineLevel="0" collapsed="false">
      <c r="A8" s="12" t="s">
        <v>360</v>
      </c>
      <c r="B8" s="13"/>
      <c r="C8" s="13"/>
      <c r="D8" s="13"/>
      <c r="E8" s="13"/>
    </row>
    <row r="9" customFormat="false" ht="15" hidden="false" customHeight="false" outlineLevel="0" collapsed="false">
      <c r="A9" s="14" t="s">
        <v>30</v>
      </c>
      <c r="B9" s="14" t="s">
        <v>361</v>
      </c>
      <c r="C9" s="14" t="s">
        <v>357</v>
      </c>
      <c r="D9" s="14" t="s">
        <v>362</v>
      </c>
      <c r="E9" s="14" t="s">
        <v>363</v>
      </c>
      <c r="F9" s="14" t="s">
        <v>32</v>
      </c>
    </row>
    <row r="10" customFormat="false" ht="15" hidden="false" customHeight="false" outlineLevel="0" collapsed="false">
      <c r="A10" s="0" t="s">
        <v>241</v>
      </c>
      <c r="B10" s="39" t="n">
        <f aca="false">CHOOSE($C$6,C10,D10,E10)</f>
        <v>0.081</v>
      </c>
      <c r="C10" s="16" t="n">
        <v>0.081</v>
      </c>
      <c r="D10" s="16" t="n">
        <v>0.12</v>
      </c>
      <c r="E10" s="16" t="n">
        <v>0</v>
      </c>
      <c r="F10" s="23" t="s">
        <v>242</v>
      </c>
      <c r="G10" s="9" t="s">
        <v>243</v>
      </c>
    </row>
    <row r="12" customFormat="false" ht="18" hidden="false" customHeight="true" outlineLevel="0" collapsed="false">
      <c r="A12" s="12" t="s">
        <v>364</v>
      </c>
      <c r="B12" s="13"/>
      <c r="C12" s="13"/>
      <c r="D12" s="13"/>
      <c r="E12" s="13"/>
    </row>
    <row r="13" customFormat="false" ht="15" hidden="false" customHeight="false" outlineLevel="0" collapsed="false">
      <c r="A13" s="14" t="s">
        <v>30</v>
      </c>
      <c r="B13" s="14" t="s">
        <v>361</v>
      </c>
      <c r="C13" s="14" t="s">
        <v>357</v>
      </c>
      <c r="D13" s="14" t="s">
        <v>362</v>
      </c>
      <c r="E13" s="14" t="s">
        <v>363</v>
      </c>
      <c r="F13" s="14" t="s">
        <v>32</v>
      </c>
    </row>
    <row r="14" customFormat="false" ht="15" hidden="false" customHeight="false" outlineLevel="0" collapsed="false">
      <c r="A14" s="0" t="s">
        <v>244</v>
      </c>
      <c r="B14" s="40" t="n">
        <f aca="false">CHOOSE($C$6,C14,D14,E14)</f>
        <v>0.55</v>
      </c>
      <c r="C14" s="19" t="n">
        <v>0.55</v>
      </c>
      <c r="D14" s="19" t="n">
        <v>0.65</v>
      </c>
      <c r="E14" s="19" t="n">
        <v>0.45</v>
      </c>
      <c r="F14" s="23" t="s">
        <v>245</v>
      </c>
      <c r="G14" s="9" t="s">
        <v>246</v>
      </c>
    </row>
    <row r="15" customFormat="false" ht="15" hidden="false" customHeight="false" outlineLevel="0" collapsed="false">
      <c r="A15" s="0" t="s">
        <v>247</v>
      </c>
      <c r="B15" s="39" t="n">
        <f aca="false">1-'Scenario Parameters'!$B$14^(1/12)</f>
        <v>0.0485991010017477</v>
      </c>
      <c r="F15" s="23" t="s">
        <v>248</v>
      </c>
      <c r="G15" s="9" t="s">
        <v>249</v>
      </c>
    </row>
    <row r="16" customFormat="false" ht="15" hidden="false" customHeight="false" outlineLevel="0" collapsed="false">
      <c r="A16" s="0" t="s">
        <v>250</v>
      </c>
      <c r="B16" s="41" t="n">
        <f aca="false">CHOOSE($C$6,C16,D16,E16)</f>
        <v>4</v>
      </c>
      <c r="C16" s="15" t="n">
        <v>4</v>
      </c>
      <c r="D16" s="15" t="n">
        <v>6</v>
      </c>
      <c r="E16" s="15" t="n">
        <v>2</v>
      </c>
      <c r="F16" s="23" t="s">
        <v>251</v>
      </c>
      <c r="G16" s="9" t="s">
        <v>252</v>
      </c>
    </row>
    <row r="17" customFormat="false" ht="15" hidden="false" customHeight="false" outlineLevel="0" collapsed="false">
      <c r="A17" s="0" t="s">
        <v>253</v>
      </c>
      <c r="B17" s="42" t="n">
        <f aca="false">CHOOSE($C$6,C17,D17,E17)</f>
        <v>120</v>
      </c>
      <c r="C17" s="20" t="n">
        <v>120</v>
      </c>
      <c r="D17" s="20" t="n">
        <v>80</v>
      </c>
      <c r="E17" s="20" t="n">
        <v>200</v>
      </c>
      <c r="F17" s="23" t="s">
        <v>254</v>
      </c>
      <c r="G17" s="9" t="s">
        <v>255</v>
      </c>
    </row>
    <row r="18" customFormat="false" ht="15" hidden="false" customHeight="false" outlineLevel="0" collapsed="false">
      <c r="A18" s="0" t="s">
        <v>256</v>
      </c>
      <c r="B18" s="42" t="n">
        <f aca="false">CHOOSE($C$6,C18,D18,E18)</f>
        <v>100</v>
      </c>
      <c r="C18" s="20" t="n">
        <v>100</v>
      </c>
      <c r="D18" s="20" t="n">
        <v>70</v>
      </c>
      <c r="E18" s="20" t="n">
        <v>170</v>
      </c>
      <c r="F18" s="23" t="s">
        <v>254</v>
      </c>
      <c r="G18" s="9" t="s">
        <v>255</v>
      </c>
    </row>
    <row r="19" customFormat="false" ht="15" hidden="false" customHeight="false" outlineLevel="0" collapsed="false">
      <c r="A19" s="0" t="s">
        <v>257</v>
      </c>
      <c r="B19" s="42" t="n">
        <f aca="false">CHOOSE($C$6,C19,D19,E19)</f>
        <v>20</v>
      </c>
      <c r="C19" s="20" t="n">
        <v>20</v>
      </c>
      <c r="D19" s="20" t="n">
        <v>12</v>
      </c>
      <c r="E19" s="20" t="n">
        <v>35</v>
      </c>
      <c r="F19" s="23" t="s">
        <v>254</v>
      </c>
      <c r="G19" s="9" t="s">
        <v>255</v>
      </c>
    </row>
    <row r="20" customFormat="false" ht="15" hidden="false" customHeight="false" outlineLevel="0" collapsed="false">
      <c r="A20" s="0" t="s">
        <v>258</v>
      </c>
      <c r="B20" s="40" t="n">
        <f aca="false">CHOOSE($C$6,C20,D20,E20)</f>
        <v>0.58</v>
      </c>
      <c r="C20" s="19" t="n">
        <v>0.58</v>
      </c>
      <c r="D20" s="19" t="n">
        <v>0.58</v>
      </c>
      <c r="E20" s="19" t="n">
        <v>0.58</v>
      </c>
      <c r="F20" s="23" t="s">
        <v>259</v>
      </c>
      <c r="G20" s="9" t="s">
        <v>260</v>
      </c>
    </row>
    <row r="21" customFormat="false" ht="15" hidden="false" customHeight="false" outlineLevel="0" collapsed="false">
      <c r="A21" s="0" t="s">
        <v>261</v>
      </c>
      <c r="B21" s="40" t="n">
        <f aca="false">CHOOSE($C$6,C21,D21,E21)</f>
        <v>0.16</v>
      </c>
      <c r="C21" s="19" t="n">
        <v>0.16</v>
      </c>
      <c r="D21" s="19" t="n">
        <v>0.16</v>
      </c>
      <c r="E21" s="19" t="n">
        <v>0.16</v>
      </c>
      <c r="F21" s="23" t="s">
        <v>259</v>
      </c>
      <c r="G21" s="9" t="s">
        <v>260</v>
      </c>
    </row>
    <row r="22" customFormat="false" ht="15" hidden="false" customHeight="false" outlineLevel="0" collapsed="false">
      <c r="A22" s="0" t="s">
        <v>262</v>
      </c>
      <c r="B22" s="40" t="n">
        <f aca="false">CHOOSE($C$6,C22,D22,E22)</f>
        <v>0.26</v>
      </c>
      <c r="C22" s="19" t="n">
        <v>0.26</v>
      </c>
      <c r="D22" s="19" t="n">
        <v>0.26</v>
      </c>
      <c r="E22" s="19" t="n">
        <v>0.26</v>
      </c>
      <c r="F22" s="23" t="s">
        <v>259</v>
      </c>
      <c r="G22" s="9" t="s">
        <v>260</v>
      </c>
    </row>
    <row r="23" customFormat="false" ht="15" hidden="false" customHeight="false" outlineLevel="0" collapsed="false">
      <c r="A23" s="0" t="s">
        <v>263</v>
      </c>
      <c r="B23" s="41" t="n">
        <f aca="false">CHOOSE($C$6,C23,D23,E23)</f>
        <v>0.45</v>
      </c>
      <c r="C23" s="15" t="n">
        <v>0.45</v>
      </c>
      <c r="D23" s="15" t="n">
        <v>0.9</v>
      </c>
      <c r="E23" s="15" t="n">
        <v>0.18</v>
      </c>
      <c r="F23" s="23" t="s">
        <v>264</v>
      </c>
      <c r="G23" s="9" t="s">
        <v>265</v>
      </c>
    </row>
    <row r="24" customFormat="false" ht="15" hidden="false" customHeight="false" outlineLevel="0" collapsed="false">
      <c r="A24" s="0" t="s">
        <v>266</v>
      </c>
      <c r="B24" s="40" t="n">
        <f aca="false">CHOOSE($C$6,C24,D24,E24)</f>
        <v>0.62</v>
      </c>
      <c r="C24" s="19" t="n">
        <v>0.62</v>
      </c>
      <c r="D24" s="19" t="n">
        <v>0.72</v>
      </c>
      <c r="E24" s="19" t="n">
        <v>0.48</v>
      </c>
      <c r="F24" s="23" t="s">
        <v>245</v>
      </c>
      <c r="G24" s="9" t="s">
        <v>267</v>
      </c>
    </row>
    <row r="25" customFormat="false" ht="15" hidden="false" customHeight="false" outlineLevel="0" collapsed="false">
      <c r="A25" s="0" t="s">
        <v>268</v>
      </c>
      <c r="B25" s="40" t="n">
        <f aca="false">CHOOSE($C$6,C25,D25,E25)</f>
        <v>0.12</v>
      </c>
      <c r="C25" s="19" t="n">
        <v>0.12</v>
      </c>
      <c r="D25" s="19" t="n">
        <v>0.2</v>
      </c>
      <c r="E25" s="19" t="n">
        <v>0.05</v>
      </c>
      <c r="F25" s="23" t="s">
        <v>269</v>
      </c>
      <c r="G25" s="9" t="s">
        <v>270</v>
      </c>
    </row>
    <row r="26" customFormat="false" ht="15" hidden="false" customHeight="false" outlineLevel="0" collapsed="false">
      <c r="A26" s="0" t="s">
        <v>271</v>
      </c>
      <c r="B26" s="41" t="n">
        <f aca="false">CHOOSE($C$6,C26,D26,E26)</f>
        <v>1</v>
      </c>
      <c r="C26" s="15" t="n">
        <v>1</v>
      </c>
      <c r="D26" s="15" t="n">
        <v>1.4</v>
      </c>
      <c r="E26" s="15" t="n">
        <v>0.6</v>
      </c>
      <c r="F26" s="23" t="s">
        <v>272</v>
      </c>
      <c r="G26" s="9" t="s">
        <v>273</v>
      </c>
    </row>
    <row r="28" customFormat="false" ht="18" hidden="false" customHeight="true" outlineLevel="0" collapsed="false">
      <c r="A28" s="12" t="s">
        <v>365</v>
      </c>
      <c r="B28" s="13"/>
      <c r="C28" s="13"/>
      <c r="D28" s="13"/>
      <c r="E28" s="13"/>
    </row>
    <row r="29" customFormat="false" ht="15" hidden="false" customHeight="false" outlineLevel="0" collapsed="false">
      <c r="A29" s="14" t="s">
        <v>30</v>
      </c>
      <c r="B29" s="14" t="s">
        <v>361</v>
      </c>
      <c r="C29" s="14" t="s">
        <v>357</v>
      </c>
      <c r="D29" s="14" t="s">
        <v>362</v>
      </c>
      <c r="E29" s="14" t="s">
        <v>363</v>
      </c>
      <c r="F29" s="14" t="s">
        <v>32</v>
      </c>
    </row>
    <row r="30" customFormat="false" ht="15" hidden="false" customHeight="false" outlineLevel="0" collapsed="false">
      <c r="A30" s="0" t="s">
        <v>274</v>
      </c>
      <c r="B30" s="40" t="n">
        <f aca="false">CHOOSE($C$6,C30,D30,E30)</f>
        <v>0.55</v>
      </c>
      <c r="C30" s="19" t="n">
        <v>0.55</v>
      </c>
      <c r="D30" s="19" t="n">
        <v>0.65</v>
      </c>
      <c r="E30" s="19" t="n">
        <v>0.45</v>
      </c>
      <c r="F30" s="23" t="s">
        <v>275</v>
      </c>
      <c r="G30" s="9" t="s">
        <v>276</v>
      </c>
    </row>
    <row r="31" customFormat="false" ht="15" hidden="false" customHeight="false" outlineLevel="0" collapsed="false">
      <c r="A31" s="0" t="s">
        <v>277</v>
      </c>
      <c r="B31" s="31" t="n">
        <f aca="false">CHOOSE($C$6,C31,D31,E31)</f>
        <v>8</v>
      </c>
      <c r="C31" s="17" t="n">
        <v>8</v>
      </c>
      <c r="D31" s="17" t="n">
        <v>6</v>
      </c>
      <c r="E31" s="17" t="n">
        <v>11</v>
      </c>
      <c r="F31" s="23" t="s">
        <v>278</v>
      </c>
      <c r="G31" s="9" t="s">
        <v>279</v>
      </c>
    </row>
    <row r="33" customFormat="false" ht="18" hidden="false" customHeight="true" outlineLevel="0" collapsed="false">
      <c r="A33" s="12" t="s">
        <v>366</v>
      </c>
      <c r="B33" s="13"/>
      <c r="C33" s="13"/>
      <c r="D33" s="13"/>
      <c r="E33" s="13"/>
    </row>
    <row r="34" customFormat="false" ht="15" hidden="false" customHeight="false" outlineLevel="0" collapsed="false">
      <c r="A34" s="14" t="s">
        <v>30</v>
      </c>
      <c r="B34" s="14" t="s">
        <v>361</v>
      </c>
      <c r="C34" s="14" t="s">
        <v>357</v>
      </c>
      <c r="D34" s="14" t="s">
        <v>362</v>
      </c>
      <c r="E34" s="14" t="s">
        <v>363</v>
      </c>
      <c r="F34" s="14" t="s">
        <v>32</v>
      </c>
    </row>
    <row r="35" customFormat="false" ht="15" hidden="false" customHeight="false" outlineLevel="0" collapsed="false">
      <c r="A35" s="0" t="s">
        <v>280</v>
      </c>
      <c r="B35" s="40" t="n">
        <f aca="false">CHOOSE($C$6,C35,D35,E35)</f>
        <v>0.12</v>
      </c>
      <c r="C35" s="19" t="n">
        <v>0.12</v>
      </c>
      <c r="D35" s="19" t="n">
        <v>0.06</v>
      </c>
      <c r="E35" s="19" t="n">
        <v>0.3</v>
      </c>
      <c r="F35" s="23" t="s">
        <v>281</v>
      </c>
      <c r="G35" s="9" t="s">
        <v>282</v>
      </c>
    </row>
    <row r="36" customFormat="false" ht="15" hidden="false" customHeight="false" outlineLevel="0" collapsed="false">
      <c r="A36" s="0" t="s">
        <v>283</v>
      </c>
      <c r="B36" s="40" t="n">
        <f aca="false">CHOOSE($C$6,C36,D36,E36)</f>
        <v>0.08</v>
      </c>
      <c r="C36" s="19" t="n">
        <v>0.08</v>
      </c>
      <c r="D36" s="19" t="n">
        <v>0.04</v>
      </c>
      <c r="E36" s="19" t="n">
        <v>0.16</v>
      </c>
      <c r="F36" s="23" t="s">
        <v>281</v>
      </c>
      <c r="G36" s="9" t="s">
        <v>284</v>
      </c>
    </row>
    <row r="37" customFormat="false" ht="15" hidden="false" customHeight="false" outlineLevel="0" collapsed="false">
      <c r="A37" s="0" t="s">
        <v>285</v>
      </c>
      <c r="B37" s="41" t="n">
        <f aca="false">CHOOSE($C$6,C37,D37,E37)</f>
        <v>2.2</v>
      </c>
      <c r="C37" s="15" t="n">
        <v>2.2</v>
      </c>
      <c r="D37" s="15" t="n">
        <v>1.6</v>
      </c>
      <c r="E37" s="15" t="n">
        <v>3.5</v>
      </c>
      <c r="F37" s="23" t="s">
        <v>286</v>
      </c>
      <c r="G37" s="9" t="s">
        <v>287</v>
      </c>
    </row>
    <row r="38" customFormat="false" ht="15" hidden="false" customHeight="false" outlineLevel="0" collapsed="false">
      <c r="A38" s="0" t="s">
        <v>288</v>
      </c>
      <c r="B38" s="41" t="n">
        <f aca="false">CHOOSE($C$6,C38,D38,E38)</f>
        <v>1</v>
      </c>
      <c r="C38" s="15" t="n">
        <v>1</v>
      </c>
      <c r="D38" s="15" t="n">
        <v>1.7</v>
      </c>
      <c r="E38" s="15" t="n">
        <v>0.5</v>
      </c>
      <c r="F38" s="23" t="s">
        <v>289</v>
      </c>
      <c r="G38" s="9" t="s">
        <v>290</v>
      </c>
    </row>
    <row r="39" customFormat="false" ht="15" hidden="false" customHeight="false" outlineLevel="0" collapsed="false">
      <c r="A39" s="0" t="s">
        <v>291</v>
      </c>
      <c r="B39" s="41" t="n">
        <f aca="false">CHOOSE($C$6,C39,D39,E39)</f>
        <v>1</v>
      </c>
      <c r="C39" s="15" t="n">
        <v>1</v>
      </c>
      <c r="D39" s="15" t="n">
        <v>1.35</v>
      </c>
      <c r="E39" s="15" t="n">
        <v>0.7</v>
      </c>
      <c r="F39" s="23" t="s">
        <v>292</v>
      </c>
      <c r="G39" s="9" t="s">
        <v>293</v>
      </c>
    </row>
    <row r="40" customFormat="false" ht="15" hidden="false" customHeight="false" outlineLevel="0" collapsed="false">
      <c r="A40" s="0" t="s">
        <v>294</v>
      </c>
      <c r="B40" s="41" t="n">
        <f aca="false">CHOOSE($C$6,C40,D40,E40)</f>
        <v>1.7</v>
      </c>
      <c r="C40" s="15" t="n">
        <v>1.7</v>
      </c>
      <c r="D40" s="15" t="n">
        <v>2.4</v>
      </c>
      <c r="E40" s="15" t="n">
        <v>1.2</v>
      </c>
      <c r="F40" s="23" t="s">
        <v>295</v>
      </c>
      <c r="G40" s="9" t="s">
        <v>296</v>
      </c>
    </row>
    <row r="42" customFormat="false" ht="18" hidden="false" customHeight="true" outlineLevel="0" collapsed="false">
      <c r="A42" s="12" t="s">
        <v>367</v>
      </c>
      <c r="B42" s="13"/>
      <c r="C42" s="13"/>
      <c r="D42" s="13"/>
      <c r="E42" s="13"/>
    </row>
    <row r="43" customFormat="false" ht="15" hidden="false" customHeight="false" outlineLevel="0" collapsed="false">
      <c r="A43" s="14" t="s">
        <v>30</v>
      </c>
      <c r="B43" s="14" t="s">
        <v>361</v>
      </c>
      <c r="C43" s="14" t="s">
        <v>357</v>
      </c>
      <c r="D43" s="14" t="s">
        <v>362</v>
      </c>
      <c r="E43" s="14" t="s">
        <v>363</v>
      </c>
      <c r="F43" s="14" t="s">
        <v>32</v>
      </c>
    </row>
    <row r="44" customFormat="false" ht="15" hidden="false" customHeight="false" outlineLevel="0" collapsed="false">
      <c r="A44" s="0" t="s">
        <v>297</v>
      </c>
      <c r="B44" s="40" t="n">
        <f aca="false">CHOOSE($C$6,C44,D44,E44)</f>
        <v>0.72</v>
      </c>
      <c r="C44" s="19" t="n">
        <v>0.72</v>
      </c>
      <c r="D44" s="19" t="n">
        <v>0.85</v>
      </c>
      <c r="E44" s="19" t="n">
        <v>0.55</v>
      </c>
      <c r="F44" s="23" t="s">
        <v>245</v>
      </c>
      <c r="G44" s="9" t="s">
        <v>298</v>
      </c>
    </row>
    <row r="45" customFormat="false" ht="15" hidden="false" customHeight="false" outlineLevel="0" collapsed="false">
      <c r="A45" s="0" t="s">
        <v>299</v>
      </c>
      <c r="B45" s="40" t="n">
        <f aca="false">CHOOSE($C$6,C45,D45,E45)</f>
        <v>0.18</v>
      </c>
      <c r="C45" s="19" t="n">
        <v>0.18</v>
      </c>
      <c r="D45" s="19" t="n">
        <v>0.3</v>
      </c>
      <c r="E45" s="19" t="n">
        <v>0.08</v>
      </c>
      <c r="F45" s="23" t="s">
        <v>300</v>
      </c>
      <c r="G45" s="9" t="s">
        <v>301</v>
      </c>
    </row>
    <row r="46" customFormat="false" ht="15" hidden="false" customHeight="false" outlineLevel="0" collapsed="false">
      <c r="A46" s="0" t="s">
        <v>302</v>
      </c>
      <c r="B46" s="31" t="n">
        <f aca="false">CHOOSE($C$6,C46,D46,E46)</f>
        <v>4</v>
      </c>
      <c r="C46" s="17" t="n">
        <v>4</v>
      </c>
      <c r="D46" s="17" t="n">
        <v>6</v>
      </c>
      <c r="E46" s="17" t="n">
        <v>2</v>
      </c>
      <c r="F46" s="23" t="s">
        <v>303</v>
      </c>
      <c r="G46" s="9" t="s">
        <v>304</v>
      </c>
    </row>
    <row r="47" customFormat="false" ht="15" hidden="false" customHeight="false" outlineLevel="0" collapsed="false">
      <c r="A47" s="0" t="s">
        <v>305</v>
      </c>
      <c r="B47" s="40" t="n">
        <f aca="false">CHOOSE($C$6,C47,D47,E47)</f>
        <v>0.34</v>
      </c>
      <c r="C47" s="19" t="n">
        <v>0.34</v>
      </c>
      <c r="D47" s="19" t="n">
        <v>0.45</v>
      </c>
      <c r="E47" s="19" t="n">
        <v>0.24</v>
      </c>
      <c r="F47" s="23" t="s">
        <v>306</v>
      </c>
      <c r="G47" s="9" t="s">
        <v>307</v>
      </c>
    </row>
    <row r="48" customFormat="false" ht="15" hidden="false" customHeight="false" outlineLevel="0" collapsed="false">
      <c r="A48" s="0" t="s">
        <v>308</v>
      </c>
      <c r="B48" s="41" t="n">
        <f aca="false">CHOOSE($C$6,C48,D48,E48)</f>
        <v>1.06</v>
      </c>
      <c r="C48" s="15" t="n">
        <v>1.06</v>
      </c>
      <c r="D48" s="15" t="n">
        <v>1.04</v>
      </c>
      <c r="E48" s="15" t="n">
        <v>1.1</v>
      </c>
      <c r="F48" s="23" t="s">
        <v>309</v>
      </c>
      <c r="G48" s="9" t="s">
        <v>310</v>
      </c>
    </row>
    <row r="49" customFormat="false" ht="15" hidden="false" customHeight="false" outlineLevel="0" collapsed="false">
      <c r="A49" s="0" t="s">
        <v>311</v>
      </c>
      <c r="B49" s="41" t="n">
        <f aca="false">CHOOSE($C$6,C49,D49,E49)</f>
        <v>0.11</v>
      </c>
      <c r="C49" s="15" t="n">
        <v>0.11</v>
      </c>
      <c r="D49" s="15" t="n">
        <v>0.07</v>
      </c>
      <c r="E49" s="15" t="n">
        <v>0.18</v>
      </c>
      <c r="F49" s="23" t="s">
        <v>309</v>
      </c>
      <c r="G49" s="9" t="s">
        <v>312</v>
      </c>
    </row>
    <row r="50" customFormat="false" ht="15" hidden="false" customHeight="false" outlineLevel="0" collapsed="false">
      <c r="A50" s="0" t="s">
        <v>313</v>
      </c>
      <c r="B50" s="40" t="n">
        <f aca="false">CHOOSE($C$6,C50,D50,E50)</f>
        <v>0.6</v>
      </c>
      <c r="C50" s="19" t="n">
        <v>0.6</v>
      </c>
      <c r="D50" s="19" t="n">
        <v>0.42</v>
      </c>
      <c r="E50" s="19" t="n">
        <v>0.74</v>
      </c>
      <c r="F50" s="23" t="s">
        <v>245</v>
      </c>
      <c r="G50" s="9" t="s">
        <v>314</v>
      </c>
    </row>
    <row r="51" customFormat="false" ht="15" hidden="false" customHeight="false" outlineLevel="0" collapsed="false">
      <c r="A51" s="0" t="s">
        <v>315</v>
      </c>
      <c r="B51" s="40" t="n">
        <f aca="false">CHOOSE($C$6,C51,D51,E51)</f>
        <v>0.25</v>
      </c>
      <c r="C51" s="19" t="n">
        <v>0.25</v>
      </c>
      <c r="D51" s="19" t="n">
        <v>0.3</v>
      </c>
      <c r="E51" s="19" t="n">
        <v>0.18</v>
      </c>
      <c r="F51" s="23" t="s">
        <v>245</v>
      </c>
      <c r="G51" s="9" t="s">
        <v>314</v>
      </c>
    </row>
    <row r="52" customFormat="false" ht="15" hidden="false" customHeight="false" outlineLevel="0" collapsed="false">
      <c r="A52" s="0" t="s">
        <v>316</v>
      </c>
      <c r="B52" s="40" t="n">
        <f aca="false">CHOOSE($C$6,C52,D52,E52)</f>
        <v>0.12</v>
      </c>
      <c r="C52" s="19" t="n">
        <v>0.12</v>
      </c>
      <c r="D52" s="19" t="n">
        <v>0.2</v>
      </c>
      <c r="E52" s="19" t="n">
        <v>0.06</v>
      </c>
      <c r="F52" s="23" t="s">
        <v>245</v>
      </c>
      <c r="G52" s="9" t="s">
        <v>314</v>
      </c>
    </row>
    <row r="53" customFormat="false" ht="15" hidden="false" customHeight="false" outlineLevel="0" collapsed="false">
      <c r="A53" s="0" t="s">
        <v>317</v>
      </c>
      <c r="B53" s="40" t="n">
        <f aca="false">CHOOSE($C$6,C53,D53,E53)</f>
        <v>0.03</v>
      </c>
      <c r="C53" s="19" t="n">
        <v>0.03</v>
      </c>
      <c r="D53" s="19" t="n">
        <v>0.08</v>
      </c>
      <c r="E53" s="19" t="n">
        <v>0.02</v>
      </c>
      <c r="F53" s="23" t="s">
        <v>245</v>
      </c>
      <c r="G53" s="9" t="s">
        <v>314</v>
      </c>
    </row>
    <row r="54" customFormat="false" ht="15" hidden="false" customHeight="false" outlineLevel="0" collapsed="false">
      <c r="A54" s="0" t="s">
        <v>318</v>
      </c>
      <c r="B54" s="31" t="n">
        <f aca="false">CHOOSE($C$6,C54,D54,E54)</f>
        <v>250</v>
      </c>
      <c r="C54" s="17" t="n">
        <v>250</v>
      </c>
      <c r="D54" s="17" t="n">
        <v>300</v>
      </c>
      <c r="E54" s="17" t="n">
        <v>200</v>
      </c>
      <c r="F54" s="23" t="s">
        <v>63</v>
      </c>
      <c r="G54" s="9" t="s">
        <v>319</v>
      </c>
    </row>
    <row r="55" customFormat="false" ht="15" hidden="false" customHeight="false" outlineLevel="0" collapsed="false">
      <c r="A55" s="0" t="s">
        <v>320</v>
      </c>
      <c r="B55" s="31" t="n">
        <f aca="false">CHOOSE($C$6,C55,D55,E55)</f>
        <v>1000</v>
      </c>
      <c r="C55" s="17" t="n">
        <v>1000</v>
      </c>
      <c r="D55" s="17" t="n">
        <v>1100</v>
      </c>
      <c r="E55" s="17" t="n">
        <v>900</v>
      </c>
      <c r="F55" s="23" t="s">
        <v>63</v>
      </c>
      <c r="G55" s="9" t="s">
        <v>319</v>
      </c>
    </row>
    <row r="56" customFormat="false" ht="15" hidden="false" customHeight="false" outlineLevel="0" collapsed="false">
      <c r="A56" s="0" t="s">
        <v>321</v>
      </c>
      <c r="B56" s="31" t="n">
        <f aca="false">CHOOSE($C$6,C56,D56,E56)</f>
        <v>2250</v>
      </c>
      <c r="C56" s="17" t="n">
        <v>2250</v>
      </c>
      <c r="D56" s="17" t="n">
        <v>2400</v>
      </c>
      <c r="E56" s="17" t="n">
        <v>2100</v>
      </c>
      <c r="F56" s="23" t="s">
        <v>63</v>
      </c>
      <c r="G56" s="9" t="s">
        <v>319</v>
      </c>
    </row>
    <row r="57" customFormat="false" ht="15" hidden="false" customHeight="false" outlineLevel="0" collapsed="false">
      <c r="A57" s="0" t="s">
        <v>322</v>
      </c>
      <c r="B57" s="31" t="n">
        <f aca="false">CHOOSE($C$6,C57,D57,E57)</f>
        <v>4000</v>
      </c>
      <c r="C57" s="17" t="n">
        <v>4000</v>
      </c>
      <c r="D57" s="17" t="n">
        <v>4500</v>
      </c>
      <c r="E57" s="17" t="n">
        <v>3600</v>
      </c>
      <c r="F57" s="23" t="s">
        <v>63</v>
      </c>
      <c r="G57" s="9" t="s">
        <v>319</v>
      </c>
    </row>
    <row r="59" customFormat="false" ht="18" hidden="false" customHeight="true" outlineLevel="0" collapsed="false">
      <c r="A59" s="12" t="s">
        <v>368</v>
      </c>
      <c r="B59" s="13"/>
      <c r="C59" s="13"/>
      <c r="D59" s="13"/>
      <c r="E59" s="13"/>
    </row>
    <row r="60" customFormat="false" ht="15" hidden="false" customHeight="false" outlineLevel="0" collapsed="false">
      <c r="A60" s="14" t="s">
        <v>30</v>
      </c>
      <c r="B60" s="14" t="s">
        <v>361</v>
      </c>
      <c r="C60" s="14" t="s">
        <v>357</v>
      </c>
      <c r="D60" s="14" t="s">
        <v>362</v>
      </c>
      <c r="E60" s="14" t="s">
        <v>363</v>
      </c>
      <c r="F60" s="14" t="s">
        <v>32</v>
      </c>
    </row>
    <row r="61" customFormat="false" ht="15" hidden="false" customHeight="false" outlineLevel="0" collapsed="false">
      <c r="A61" s="0" t="s">
        <v>323</v>
      </c>
      <c r="B61" s="40" t="n">
        <f aca="false">CHOOSE($C$6,C61,D61,E61)</f>
        <v>0.5</v>
      </c>
      <c r="C61" s="19" t="n">
        <v>0.5</v>
      </c>
      <c r="D61" s="19" t="n">
        <v>0.7</v>
      </c>
      <c r="E61" s="19" t="n">
        <v>0.3</v>
      </c>
      <c r="F61" s="23" t="s">
        <v>245</v>
      </c>
      <c r="G61" s="9" t="s">
        <v>324</v>
      </c>
    </row>
    <row r="62" customFormat="false" ht="15" hidden="false" customHeight="false" outlineLevel="0" collapsed="false">
      <c r="A62" s="0" t="s">
        <v>325</v>
      </c>
      <c r="B62" s="41" t="n">
        <f aca="false">CHOOSE($C$6,C62,D62,E62)</f>
        <v>0.42</v>
      </c>
      <c r="C62" s="15" t="n">
        <v>0.42</v>
      </c>
      <c r="D62" s="15" t="n">
        <v>0.55</v>
      </c>
      <c r="E62" s="15" t="n">
        <v>0.3</v>
      </c>
      <c r="F62" s="23" t="s">
        <v>326</v>
      </c>
      <c r="G62" s="9" t="s">
        <v>327</v>
      </c>
    </row>
    <row r="63" customFormat="false" ht="15" hidden="false" customHeight="false" outlineLevel="0" collapsed="false">
      <c r="A63" s="0" t="s">
        <v>328</v>
      </c>
      <c r="B63" s="41" t="n">
        <f aca="false">CHOOSE($C$6,C63,D63,E63)</f>
        <v>2.1</v>
      </c>
      <c r="C63" s="15" t="n">
        <v>2.1</v>
      </c>
      <c r="D63" s="15" t="n">
        <v>3.2</v>
      </c>
      <c r="E63" s="15" t="n">
        <v>1.3</v>
      </c>
      <c r="F63" s="23" t="s">
        <v>329</v>
      </c>
      <c r="G63" s="9" t="s">
        <v>330</v>
      </c>
    </row>
    <row r="64" customFormat="false" ht="15" hidden="false" customHeight="false" outlineLevel="0" collapsed="false">
      <c r="A64" s="0" t="s">
        <v>331</v>
      </c>
      <c r="B64" s="40" t="n">
        <f aca="false">CHOOSE($C$6,C64,D64,E64)</f>
        <v>0.2</v>
      </c>
      <c r="C64" s="19" t="n">
        <v>0.2</v>
      </c>
      <c r="D64" s="19" t="n">
        <v>0.35</v>
      </c>
      <c r="E64" s="19" t="n">
        <v>0.1</v>
      </c>
      <c r="F64" s="23" t="s">
        <v>275</v>
      </c>
      <c r="G64" s="9" t="s">
        <v>332</v>
      </c>
    </row>
    <row r="65" customFormat="false" ht="15" hidden="false" customHeight="false" outlineLevel="0" collapsed="false">
      <c r="A65" s="0" t="s">
        <v>333</v>
      </c>
      <c r="B65" s="31" t="n">
        <f aca="false">CHOOSE($C$6,C65,D65,E65)</f>
        <v>0</v>
      </c>
      <c r="C65" s="17" t="n">
        <v>0</v>
      </c>
      <c r="D65" s="17" t="n">
        <v>0</v>
      </c>
      <c r="E65" s="17" t="n">
        <v>0</v>
      </c>
      <c r="F65" s="23" t="s">
        <v>334</v>
      </c>
      <c r="G65" s="9" t="s">
        <v>335</v>
      </c>
    </row>
    <row r="66" customFormat="false" ht="15" hidden="false" customHeight="false" outlineLevel="0" collapsed="false">
      <c r="A66" s="0" t="s">
        <v>336</v>
      </c>
      <c r="B66" s="31" t="n">
        <f aca="false">CHOOSE($C$6,C66,D66,E66)</f>
        <v>1</v>
      </c>
      <c r="C66" s="17" t="n">
        <v>1</v>
      </c>
      <c r="D66" s="17" t="n">
        <v>1</v>
      </c>
      <c r="E66" s="17" t="n">
        <v>1</v>
      </c>
      <c r="F66" s="23" t="s">
        <v>334</v>
      </c>
      <c r="G66" s="9" t="s">
        <v>335</v>
      </c>
    </row>
    <row r="67" customFormat="false" ht="15" hidden="false" customHeight="false" outlineLevel="0" collapsed="false">
      <c r="A67" s="0" t="s">
        <v>337</v>
      </c>
      <c r="B67" s="31" t="n">
        <f aca="false">CHOOSE($C$6,C67,D67,E67)</f>
        <v>2</v>
      </c>
      <c r="C67" s="17" t="n">
        <v>2</v>
      </c>
      <c r="D67" s="17" t="n">
        <v>3</v>
      </c>
      <c r="E67" s="17" t="n">
        <v>1</v>
      </c>
      <c r="F67" s="23" t="s">
        <v>334</v>
      </c>
      <c r="G67" s="9" t="s">
        <v>335</v>
      </c>
    </row>
    <row r="68" customFormat="false" ht="15" hidden="false" customHeight="false" outlineLevel="0" collapsed="false">
      <c r="A68" s="0" t="s">
        <v>338</v>
      </c>
      <c r="B68" s="31" t="n">
        <f aca="false">CHOOSE($C$6,C68,D68,E68)</f>
        <v>3</v>
      </c>
      <c r="C68" s="17" t="n">
        <v>3</v>
      </c>
      <c r="D68" s="17" t="n">
        <v>5</v>
      </c>
      <c r="E68" s="17" t="n">
        <v>1</v>
      </c>
      <c r="F68" s="23" t="s">
        <v>334</v>
      </c>
      <c r="G68" s="9" t="s">
        <v>335</v>
      </c>
    </row>
    <row r="69" customFormat="false" ht="15" hidden="false" customHeight="false" outlineLevel="0" collapsed="false">
      <c r="A69" s="0" t="s">
        <v>339</v>
      </c>
      <c r="B69" s="31" t="n">
        <f aca="false">CHOOSE($C$6,C69,D69,E69)</f>
        <v>4</v>
      </c>
      <c r="C69" s="17" t="n">
        <v>4</v>
      </c>
      <c r="D69" s="17" t="n">
        <v>7</v>
      </c>
      <c r="E69" s="17" t="n">
        <v>2</v>
      </c>
      <c r="F69" s="23" t="s">
        <v>334</v>
      </c>
      <c r="G69" s="9" t="s">
        <v>335</v>
      </c>
    </row>
    <row r="70" customFormat="false" ht="15" hidden="false" customHeight="false" outlineLevel="0" collapsed="false">
      <c r="A70" s="0" t="s">
        <v>340</v>
      </c>
      <c r="B70" s="31" t="n">
        <f aca="false">CHOOSE($C$6,C70,D70,E70)</f>
        <v>5</v>
      </c>
      <c r="C70" s="17" t="n">
        <v>5</v>
      </c>
      <c r="D70" s="17" t="n">
        <v>9</v>
      </c>
      <c r="E70" s="17" t="n">
        <v>2</v>
      </c>
      <c r="F70" s="23" t="s">
        <v>334</v>
      </c>
      <c r="G70" s="9" t="s">
        <v>335</v>
      </c>
    </row>
    <row r="71" customFormat="false" ht="15" hidden="false" customHeight="false" outlineLevel="0" collapsed="false">
      <c r="A71" s="0" t="s">
        <v>341</v>
      </c>
      <c r="B71" s="31" t="n">
        <f aca="false">CHOOSE($C$6,C71,D71,E71)</f>
        <v>6</v>
      </c>
      <c r="C71" s="17" t="n">
        <v>6</v>
      </c>
      <c r="D71" s="17" t="n">
        <v>11</v>
      </c>
      <c r="E71" s="17" t="n">
        <v>2</v>
      </c>
      <c r="F71" s="23" t="s">
        <v>334</v>
      </c>
      <c r="G71" s="9" t="s">
        <v>335</v>
      </c>
    </row>
    <row r="72" customFormat="false" ht="15" hidden="false" customHeight="false" outlineLevel="0" collapsed="false">
      <c r="A72" s="0" t="s">
        <v>342</v>
      </c>
      <c r="B72" s="42" t="n">
        <f aca="false">CHOOSE($C$6,C72,D72,E72)</f>
        <v>32000000</v>
      </c>
      <c r="C72" s="20" t="n">
        <v>32000000</v>
      </c>
      <c r="D72" s="20" t="n">
        <v>45000000</v>
      </c>
      <c r="E72" s="20" t="n">
        <v>22000000</v>
      </c>
      <c r="F72" s="23" t="s">
        <v>114</v>
      </c>
      <c r="G72" s="9" t="s">
        <v>343</v>
      </c>
    </row>
    <row r="74" customFormat="false" ht="18" hidden="false" customHeight="true" outlineLevel="0" collapsed="false">
      <c r="A74" s="12" t="s">
        <v>369</v>
      </c>
      <c r="B74" s="13"/>
      <c r="C74" s="13"/>
      <c r="D74" s="13"/>
      <c r="E74" s="13"/>
    </row>
    <row r="75" customFormat="false" ht="15" hidden="false" customHeight="false" outlineLevel="0" collapsed="false">
      <c r="A75" s="14" t="s">
        <v>30</v>
      </c>
      <c r="B75" s="14" t="s">
        <v>361</v>
      </c>
      <c r="C75" s="14" t="s">
        <v>357</v>
      </c>
      <c r="D75" s="14" t="s">
        <v>362</v>
      </c>
      <c r="E75" s="14" t="s">
        <v>363</v>
      </c>
      <c r="F75" s="14" t="s">
        <v>32</v>
      </c>
    </row>
    <row r="76" customFormat="false" ht="15" hidden="false" customHeight="false" outlineLevel="0" collapsed="false">
      <c r="A76" s="0" t="s">
        <v>344</v>
      </c>
      <c r="B76" s="42" t="n">
        <f aca="false">CHOOSE($C$6,C76,D76,E76)</f>
        <v>33.6</v>
      </c>
      <c r="C76" s="20" t="n">
        <v>33.6</v>
      </c>
      <c r="D76" s="20" t="n">
        <v>41</v>
      </c>
      <c r="E76" s="20" t="n">
        <v>26.5</v>
      </c>
      <c r="F76" s="23" t="s">
        <v>108</v>
      </c>
      <c r="G76" s="9" t="s">
        <v>345</v>
      </c>
    </row>
    <row r="77" customFormat="false" ht="15" hidden="false" customHeight="false" outlineLevel="0" collapsed="false">
      <c r="A77" s="0" t="s">
        <v>346</v>
      </c>
      <c r="B77" s="42" t="n">
        <f aca="false">CHOOSE($C$6,C77,D77,E77)</f>
        <v>26</v>
      </c>
      <c r="C77" s="20" t="n">
        <v>26</v>
      </c>
      <c r="D77" s="20" t="n">
        <v>32</v>
      </c>
      <c r="E77" s="20" t="n">
        <v>21</v>
      </c>
      <c r="F77" s="23" t="s">
        <v>108</v>
      </c>
      <c r="G77" s="9" t="s">
        <v>345</v>
      </c>
    </row>
    <row r="78" customFormat="false" ht="15" hidden="false" customHeight="false" outlineLevel="0" collapsed="false">
      <c r="A78" s="0" t="s">
        <v>347</v>
      </c>
      <c r="B78" s="42" t="n">
        <f aca="false">CHOOSE($C$6,C78,D78,E78)</f>
        <v>30</v>
      </c>
      <c r="C78" s="20" t="n">
        <v>30</v>
      </c>
      <c r="D78" s="20" t="n">
        <v>36</v>
      </c>
      <c r="E78" s="20" t="n">
        <v>24</v>
      </c>
      <c r="F78" s="23" t="s">
        <v>108</v>
      </c>
      <c r="G78" s="9" t="s">
        <v>345</v>
      </c>
    </row>
    <row r="80" customFormat="false" ht="18" hidden="false" customHeight="true" outlineLevel="0" collapsed="false">
      <c r="A80" s="12" t="s">
        <v>370</v>
      </c>
      <c r="B80" s="13"/>
      <c r="C80" s="13"/>
      <c r="D80" s="13"/>
      <c r="E80" s="13"/>
    </row>
    <row r="81" customFormat="false" ht="15" hidden="false" customHeight="false" outlineLevel="0" collapsed="false">
      <c r="A81" s="14" t="s">
        <v>371</v>
      </c>
      <c r="B81" s="14" t="s">
        <v>372</v>
      </c>
      <c r="C81" s="14" t="s">
        <v>373</v>
      </c>
      <c r="D81" s="14" t="s">
        <v>374</v>
      </c>
    </row>
    <row r="82" customFormat="false" ht="15" hidden="false" customHeight="false" outlineLevel="0" collapsed="false">
      <c r="A82" s="0" t="s">
        <v>348</v>
      </c>
      <c r="B82" s="31" t="n">
        <f aca="false">IF($C$82="Prepaid",1,0)</f>
        <v>0</v>
      </c>
      <c r="C82" s="38" t="s">
        <v>375</v>
      </c>
      <c r="D82" s="23" t="s">
        <v>376</v>
      </c>
      <c r="G82" s="9" t="s">
        <v>350</v>
      </c>
    </row>
    <row r="83" customFormat="false" ht="15" hidden="false" customHeight="false" outlineLevel="0" collapsed="false">
      <c r="A83" s="0" t="s">
        <v>351</v>
      </c>
      <c r="B83" s="31" t="n">
        <f aca="false">IF($C$83="ON",1,0)</f>
        <v>1</v>
      </c>
      <c r="C83" s="38" t="s">
        <v>377</v>
      </c>
      <c r="D83" s="23" t="s">
        <v>377</v>
      </c>
      <c r="G83" s="9" t="s">
        <v>352</v>
      </c>
    </row>
  </sheetData>
  <dataValidations count="3">
    <dataValidation allowBlank="false" errorStyle="stop" operator="between" showDropDown="false" showErrorMessage="false" showInputMessage="false" sqref="B6" type="list">
      <formula1>"Base,Aggressive,Conservative"</formula1>
      <formula2>0</formula2>
    </dataValidation>
    <dataValidation allowBlank="false" errorStyle="stop" operator="between" showDropDown="false" showErrorMessage="false" showInputMessage="false" sqref="C82" type="list">
      <formula1>"Credit,Prepaid"</formula1>
      <formula2>0</formula2>
    </dataValidation>
    <dataValidation allowBlank="false" errorStyle="stop" operator="between" showDropDown="false" showErrorMessage="false" showInputMessage="false" sqref="C83" type="list">
      <formula1>"ON,OFF"</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1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52"/>
    <col collapsed="false" customWidth="true" hidden="false" outlineLevel="0" max="2" min="2" style="0" width="18"/>
    <col collapsed="false" customWidth="true" hidden="false" outlineLevel="0" max="31" min="3" style="0" width="13"/>
  </cols>
  <sheetData>
    <row r="1" customFormat="false" ht="22.05" hidden="false" customHeight="false" outlineLevel="0" collapsed="false">
      <c r="A1" s="10" t="str">
        <f aca="false">Cover!$B$2</f>
        <v>Aurumix Revenue Model</v>
      </c>
    </row>
    <row r="2" customFormat="false" ht="15" hidden="false" customHeight="false" outlineLevel="0" collapsed="false">
      <c r="A2" s="3" t="s">
        <v>378</v>
      </c>
      <c r="B2" s="23" t="s">
        <v>379</v>
      </c>
      <c r="C2" s="28" t="n">
        <v>1</v>
      </c>
      <c r="D2" s="28" t="n">
        <v>2</v>
      </c>
      <c r="E2" s="28" t="n">
        <v>3</v>
      </c>
      <c r="F2" s="28" t="n">
        <v>4</v>
      </c>
      <c r="G2" s="28" t="n">
        <v>5</v>
      </c>
      <c r="H2" s="28" t="n">
        <v>6</v>
      </c>
      <c r="I2" s="28" t="n">
        <v>7</v>
      </c>
      <c r="J2" s="28" t="n">
        <v>8</v>
      </c>
      <c r="K2" s="28" t="n">
        <v>9</v>
      </c>
      <c r="L2" s="28" t="n">
        <v>10</v>
      </c>
      <c r="M2" s="28" t="n">
        <v>11</v>
      </c>
      <c r="N2" s="28" t="n">
        <v>12</v>
      </c>
      <c r="O2" s="28" t="n">
        <v>13</v>
      </c>
      <c r="P2" s="28" t="n">
        <v>14</v>
      </c>
      <c r="Q2" s="28" t="n">
        <v>15</v>
      </c>
      <c r="R2" s="28" t="n">
        <v>16</v>
      </c>
      <c r="S2" s="28" t="n">
        <v>17</v>
      </c>
      <c r="T2" s="28" t="n">
        <v>18</v>
      </c>
      <c r="U2" s="28" t="n">
        <v>19</v>
      </c>
      <c r="V2" s="28" t="n">
        <v>20</v>
      </c>
      <c r="W2" s="28" t="n">
        <v>21</v>
      </c>
      <c r="X2" s="28" t="n">
        <v>22</v>
      </c>
      <c r="Y2" s="28" t="n">
        <v>23</v>
      </c>
      <c r="Z2" s="28" t="n">
        <v>24</v>
      </c>
      <c r="AA2" s="28" t="n">
        <v>25</v>
      </c>
      <c r="AB2" s="28" t="n">
        <v>26</v>
      </c>
      <c r="AC2" s="28" t="n">
        <v>27</v>
      </c>
      <c r="AD2" s="28" t="n">
        <v>28</v>
      </c>
      <c r="AE2" s="28" t="n">
        <v>29</v>
      </c>
    </row>
    <row r="3" customFormat="false" ht="15" hidden="false" customHeight="false" outlineLevel="0" collapsed="false">
      <c r="A3" s="3" t="s">
        <v>380</v>
      </c>
      <c r="B3" s="23" t="s">
        <v>207</v>
      </c>
      <c r="C3" s="43" t="s">
        <v>381</v>
      </c>
      <c r="D3" s="43" t="s">
        <v>382</v>
      </c>
      <c r="E3" s="43" t="s">
        <v>383</v>
      </c>
      <c r="F3" s="43" t="s">
        <v>384</v>
      </c>
      <c r="G3" s="43" t="s">
        <v>385</v>
      </c>
      <c r="H3" s="43" t="s">
        <v>386</v>
      </c>
      <c r="I3" s="43" t="s">
        <v>387</v>
      </c>
      <c r="J3" s="43" t="s">
        <v>388</v>
      </c>
      <c r="K3" s="43" t="s">
        <v>389</v>
      </c>
      <c r="L3" s="43" t="s">
        <v>390</v>
      </c>
      <c r="M3" s="43" t="s">
        <v>391</v>
      </c>
      <c r="N3" s="43" t="s">
        <v>392</v>
      </c>
      <c r="O3" s="43" t="s">
        <v>393</v>
      </c>
      <c r="P3" s="43" t="s">
        <v>394</v>
      </c>
      <c r="Q3" s="43" t="s">
        <v>395</v>
      </c>
      <c r="R3" s="43" t="s">
        <v>396</v>
      </c>
      <c r="S3" s="43" t="s">
        <v>397</v>
      </c>
      <c r="T3" s="43" t="s">
        <v>398</v>
      </c>
      <c r="U3" s="43" t="s">
        <v>399</v>
      </c>
      <c r="V3" s="43" t="s">
        <v>400</v>
      </c>
      <c r="W3" s="43" t="s">
        <v>401</v>
      </c>
      <c r="X3" s="43" t="s">
        <v>402</v>
      </c>
      <c r="Y3" s="43" t="s">
        <v>403</v>
      </c>
      <c r="Z3" s="43" t="s">
        <v>404</v>
      </c>
      <c r="AA3" s="43" t="s">
        <v>405</v>
      </c>
      <c r="AB3" s="43" t="s">
        <v>406</v>
      </c>
      <c r="AC3" s="43" t="s">
        <v>407</v>
      </c>
      <c r="AD3" s="43" t="s">
        <v>408</v>
      </c>
      <c r="AE3" s="43" t="s">
        <v>409</v>
      </c>
    </row>
    <row r="4" customFormat="false" ht="15" hidden="false" customHeight="false" outlineLevel="0" collapsed="false">
      <c r="A4" s="6" t="s">
        <v>410</v>
      </c>
      <c r="B4" s="23" t="s">
        <v>207</v>
      </c>
      <c r="C4" s="44" t="s">
        <v>411</v>
      </c>
      <c r="D4" s="44" t="s">
        <v>411</v>
      </c>
      <c r="E4" s="44" t="s">
        <v>411</v>
      </c>
      <c r="F4" s="44" t="s">
        <v>411</v>
      </c>
      <c r="G4" s="44" t="s">
        <v>411</v>
      </c>
      <c r="H4" s="44" t="s">
        <v>411</v>
      </c>
      <c r="I4" s="44" t="s">
        <v>411</v>
      </c>
      <c r="J4" s="44" t="s">
        <v>411</v>
      </c>
      <c r="K4" s="44" t="s">
        <v>411</v>
      </c>
      <c r="L4" s="44" t="s">
        <v>411</v>
      </c>
      <c r="M4" s="44" t="s">
        <v>411</v>
      </c>
      <c r="N4" s="44" t="s">
        <v>411</v>
      </c>
      <c r="O4" s="44" t="s">
        <v>411</v>
      </c>
      <c r="P4" s="44" t="s">
        <v>411</v>
      </c>
      <c r="Q4" s="44" t="s">
        <v>411</v>
      </c>
      <c r="R4" s="44" t="s">
        <v>411</v>
      </c>
      <c r="S4" s="44" t="s">
        <v>411</v>
      </c>
      <c r="T4" s="44" t="s">
        <v>411</v>
      </c>
      <c r="U4" s="44" t="s">
        <v>411</v>
      </c>
      <c r="V4" s="44" t="s">
        <v>411</v>
      </c>
      <c r="W4" s="44" t="s">
        <v>411</v>
      </c>
      <c r="X4" s="44" t="s">
        <v>411</v>
      </c>
      <c r="Y4" s="44" t="s">
        <v>411</v>
      </c>
      <c r="Z4" s="44" t="s">
        <v>411</v>
      </c>
      <c r="AA4" s="44" t="s">
        <v>412</v>
      </c>
      <c r="AB4" s="44" t="s">
        <v>412</v>
      </c>
      <c r="AC4" s="44" t="s">
        <v>412</v>
      </c>
      <c r="AD4" s="44" t="s">
        <v>412</v>
      </c>
      <c r="AE4" s="44" t="s">
        <v>412</v>
      </c>
    </row>
    <row r="5" customFormat="false" ht="15" hidden="false" customHeight="false" outlineLevel="0" collapsed="false">
      <c r="A5" s="6" t="s">
        <v>413</v>
      </c>
      <c r="B5" s="23" t="s">
        <v>414</v>
      </c>
      <c r="C5" s="45" t="n">
        <v>1</v>
      </c>
      <c r="D5" s="45" t="n">
        <v>1</v>
      </c>
      <c r="E5" s="45" t="n">
        <v>1</v>
      </c>
      <c r="F5" s="45" t="n">
        <v>1</v>
      </c>
      <c r="G5" s="45" t="n">
        <v>1</v>
      </c>
      <c r="H5" s="45" t="n">
        <v>1</v>
      </c>
      <c r="I5" s="45" t="n">
        <v>1</v>
      </c>
      <c r="J5" s="45" t="n">
        <v>1</v>
      </c>
      <c r="K5" s="45" t="n">
        <v>1</v>
      </c>
      <c r="L5" s="45" t="n">
        <v>1</v>
      </c>
      <c r="M5" s="45" t="n">
        <v>1</v>
      </c>
      <c r="N5" s="45" t="n">
        <v>1</v>
      </c>
      <c r="O5" s="45" t="n">
        <v>2</v>
      </c>
      <c r="P5" s="45" t="n">
        <v>2</v>
      </c>
      <c r="Q5" s="45" t="n">
        <v>2</v>
      </c>
      <c r="R5" s="45" t="n">
        <v>2</v>
      </c>
      <c r="S5" s="45" t="n">
        <v>2</v>
      </c>
      <c r="T5" s="45" t="n">
        <v>2</v>
      </c>
      <c r="U5" s="45" t="n">
        <v>2</v>
      </c>
      <c r="V5" s="45" t="n">
        <v>2</v>
      </c>
      <c r="W5" s="45" t="n">
        <v>2</v>
      </c>
      <c r="X5" s="45" t="n">
        <v>2</v>
      </c>
      <c r="Y5" s="45" t="n">
        <v>2</v>
      </c>
      <c r="Z5" s="45" t="n">
        <v>2</v>
      </c>
      <c r="AA5" s="45" t="n">
        <v>3</v>
      </c>
      <c r="AB5" s="45" t="n">
        <v>4</v>
      </c>
      <c r="AC5" s="45" t="n">
        <v>5</v>
      </c>
      <c r="AD5" s="45" t="n">
        <v>6</v>
      </c>
      <c r="AE5" s="45" t="n">
        <v>7</v>
      </c>
    </row>
    <row r="6" customFormat="false" ht="15" hidden="false" customHeight="false" outlineLevel="0" collapsed="false">
      <c r="A6" s="6" t="s">
        <v>415</v>
      </c>
      <c r="B6" s="23" t="s">
        <v>416</v>
      </c>
      <c r="C6" s="45" t="n">
        <v>1</v>
      </c>
      <c r="D6" s="45" t="n">
        <v>2</v>
      </c>
      <c r="E6" s="45" t="n">
        <v>3</v>
      </c>
      <c r="F6" s="45" t="n">
        <v>4</v>
      </c>
      <c r="G6" s="45" t="n">
        <v>5</v>
      </c>
      <c r="H6" s="45" t="n">
        <v>6</v>
      </c>
      <c r="I6" s="45" t="n">
        <v>7</v>
      </c>
      <c r="J6" s="45" t="n">
        <v>8</v>
      </c>
      <c r="K6" s="45" t="n">
        <v>9</v>
      </c>
      <c r="L6" s="45" t="n">
        <v>10</v>
      </c>
      <c r="M6" s="45" t="n">
        <v>11</v>
      </c>
      <c r="N6" s="45" t="n">
        <v>12</v>
      </c>
      <c r="O6" s="45" t="n">
        <v>1</v>
      </c>
      <c r="P6" s="45" t="n">
        <v>2</v>
      </c>
      <c r="Q6" s="45" t="n">
        <v>3</v>
      </c>
      <c r="R6" s="45" t="n">
        <v>4</v>
      </c>
      <c r="S6" s="45" t="n">
        <v>5</v>
      </c>
      <c r="T6" s="45" t="n">
        <v>6</v>
      </c>
      <c r="U6" s="45" t="n">
        <v>7</v>
      </c>
      <c r="V6" s="45" t="n">
        <v>8</v>
      </c>
      <c r="W6" s="45" t="n">
        <v>9</v>
      </c>
      <c r="X6" s="45" t="n">
        <v>10</v>
      </c>
      <c r="Y6" s="45" t="n">
        <v>11</v>
      </c>
      <c r="Z6" s="45" t="n">
        <v>12</v>
      </c>
      <c r="AA6" s="45" t="n">
        <v>0</v>
      </c>
      <c r="AB6" s="45" t="n">
        <v>0</v>
      </c>
      <c r="AC6" s="45" t="n">
        <v>0</v>
      </c>
      <c r="AD6" s="45" t="n">
        <v>0</v>
      </c>
      <c r="AE6" s="45" t="n">
        <v>0</v>
      </c>
    </row>
    <row r="7" customFormat="false" ht="15" hidden="false" customHeight="false" outlineLevel="0" collapsed="false">
      <c r="A7" s="6" t="s">
        <v>417</v>
      </c>
      <c r="B7" s="23" t="s">
        <v>278</v>
      </c>
      <c r="C7" s="45" t="n">
        <v>1</v>
      </c>
      <c r="D7" s="45" t="n">
        <v>1</v>
      </c>
      <c r="E7" s="45" t="n">
        <v>1</v>
      </c>
      <c r="F7" s="45" t="n">
        <v>1</v>
      </c>
      <c r="G7" s="45" t="n">
        <v>1</v>
      </c>
      <c r="H7" s="45" t="n">
        <v>1</v>
      </c>
      <c r="I7" s="45" t="n">
        <v>1</v>
      </c>
      <c r="J7" s="45" t="n">
        <v>1</v>
      </c>
      <c r="K7" s="45" t="n">
        <v>1</v>
      </c>
      <c r="L7" s="45" t="n">
        <v>1</v>
      </c>
      <c r="M7" s="45" t="n">
        <v>1</v>
      </c>
      <c r="N7" s="45" t="n">
        <v>1</v>
      </c>
      <c r="O7" s="45" t="n">
        <v>1</v>
      </c>
      <c r="P7" s="45" t="n">
        <v>1</v>
      </c>
      <c r="Q7" s="45" t="n">
        <v>1</v>
      </c>
      <c r="R7" s="45" t="n">
        <v>1</v>
      </c>
      <c r="S7" s="45" t="n">
        <v>1</v>
      </c>
      <c r="T7" s="45" t="n">
        <v>1</v>
      </c>
      <c r="U7" s="45" t="n">
        <v>1</v>
      </c>
      <c r="V7" s="45" t="n">
        <v>1</v>
      </c>
      <c r="W7" s="45" t="n">
        <v>1</v>
      </c>
      <c r="X7" s="45" t="n">
        <v>1</v>
      </c>
      <c r="Y7" s="45" t="n">
        <v>1</v>
      </c>
      <c r="Z7" s="45" t="n">
        <v>1</v>
      </c>
      <c r="AA7" s="45" t="n">
        <v>12</v>
      </c>
      <c r="AB7" s="45" t="n">
        <v>12</v>
      </c>
      <c r="AC7" s="45" t="n">
        <v>12</v>
      </c>
      <c r="AD7" s="45" t="n">
        <v>12</v>
      </c>
      <c r="AE7" s="45" t="n">
        <v>12</v>
      </c>
    </row>
    <row r="8" customFormat="false" ht="15" hidden="false" customHeight="false" outlineLevel="0" collapsed="false">
      <c r="A8" s="6" t="s">
        <v>418</v>
      </c>
      <c r="B8" s="23" t="s">
        <v>419</v>
      </c>
      <c r="C8" s="45" t="n">
        <v>0</v>
      </c>
      <c r="D8" s="45" t="n">
        <v>0</v>
      </c>
      <c r="E8" s="45" t="n">
        <v>0</v>
      </c>
      <c r="F8" s="45" t="n">
        <v>0</v>
      </c>
      <c r="G8" s="45" t="n">
        <v>0</v>
      </c>
      <c r="H8" s="45" t="n">
        <v>0</v>
      </c>
      <c r="I8" s="45" t="n">
        <v>0</v>
      </c>
      <c r="J8" s="45" t="n">
        <v>0</v>
      </c>
      <c r="K8" s="45" t="n">
        <v>0</v>
      </c>
      <c r="L8" s="45" t="n">
        <v>0</v>
      </c>
      <c r="M8" s="45" t="n">
        <v>0</v>
      </c>
      <c r="N8" s="45" t="n">
        <v>1</v>
      </c>
      <c r="O8" s="45" t="n">
        <v>0</v>
      </c>
      <c r="P8" s="45" t="n">
        <v>0</v>
      </c>
      <c r="Q8" s="45" t="n">
        <v>0</v>
      </c>
      <c r="R8" s="45" t="n">
        <v>0</v>
      </c>
      <c r="S8" s="45" t="n">
        <v>0</v>
      </c>
      <c r="T8" s="45" t="n">
        <v>0</v>
      </c>
      <c r="U8" s="45" t="n">
        <v>0</v>
      </c>
      <c r="V8" s="45" t="n">
        <v>0</v>
      </c>
      <c r="W8" s="45" t="n">
        <v>0</v>
      </c>
      <c r="X8" s="45" t="n">
        <v>0</v>
      </c>
      <c r="Y8" s="45" t="n">
        <v>0</v>
      </c>
      <c r="Z8" s="45" t="n">
        <v>1</v>
      </c>
      <c r="AA8" s="45" t="n">
        <v>1</v>
      </c>
      <c r="AB8" s="45" t="n">
        <v>1</v>
      </c>
      <c r="AC8" s="45" t="n">
        <v>1</v>
      </c>
      <c r="AD8" s="45" t="n">
        <v>1</v>
      </c>
      <c r="AE8" s="45" t="n">
        <v>1</v>
      </c>
    </row>
    <row r="10" customFormat="false" ht="15" hidden="false" customHeight="false" outlineLevel="0" collapsed="false">
      <c r="A10" s="46" t="s">
        <v>420</v>
      </c>
      <c r="B10" s="47"/>
      <c r="C10" s="47"/>
      <c r="D10" s="47"/>
      <c r="E10" s="47"/>
      <c r="F10" s="47"/>
      <c r="G10" s="47"/>
      <c r="H10" s="47"/>
      <c r="I10" s="47"/>
      <c r="J10" s="47"/>
      <c r="K10" s="47"/>
      <c r="L10" s="47"/>
      <c r="M10" s="47"/>
      <c r="N10" s="47"/>
      <c r="O10" s="47"/>
      <c r="P10" s="47"/>
      <c r="Q10" s="47"/>
      <c r="R10" s="47"/>
      <c r="S10" s="47"/>
      <c r="T10" s="47"/>
      <c r="U10" s="47"/>
      <c r="V10" s="47"/>
      <c r="W10" s="47"/>
      <c r="X10" s="47"/>
      <c r="Y10" s="47"/>
      <c r="Z10" s="47"/>
      <c r="AA10" s="47"/>
      <c r="AB10" s="47"/>
      <c r="AC10" s="47"/>
      <c r="AD10" s="47"/>
      <c r="AE10" s="47"/>
    </row>
    <row r="11" customFormat="false" ht="15" hidden="false" customHeight="false" outlineLevel="0" collapsed="false">
      <c r="A11" s="0" t="s">
        <v>421</v>
      </c>
      <c r="B11" s="23" t="s">
        <v>422</v>
      </c>
      <c r="C11" s="48" t="n">
        <f aca="false">(1+(Assumptions!$F$61-1)*Assumptions!$B$133)*12/SUMPRODUCT(1+(Assumptions!$F$61:$Q$61-1)*Assumptions!$B$133)</f>
        <v>1.01</v>
      </c>
      <c r="D11" s="48" t="n">
        <f aca="false">(1+(Assumptions!$G$61-1)*Assumptions!$B$133)*12/SUMPRODUCT(1+(Assumptions!$F$61:$Q$61-1)*Assumptions!$B$133)</f>
        <v>0.96</v>
      </c>
      <c r="E11" s="48" t="n">
        <f aca="false">(1+(Assumptions!$H$61-1)*Assumptions!$B$133)*12/SUMPRODUCT(1+(Assumptions!$F$61:$Q$61-1)*Assumptions!$B$133)</f>
        <v>0.92</v>
      </c>
      <c r="F11" s="48" t="n">
        <f aca="false">(1+(Assumptions!$I$61-1)*Assumptions!$B$133)*12/SUMPRODUCT(1+(Assumptions!$F$61:$Q$61-1)*Assumptions!$B$133)</f>
        <v>1.15</v>
      </c>
      <c r="G11" s="48" t="n">
        <f aca="false">(1+(Assumptions!$J$61-1)*Assumptions!$B$133)*12/SUMPRODUCT(1+(Assumptions!$F$61:$Q$61-1)*Assumptions!$B$133)</f>
        <v>1.04</v>
      </c>
      <c r="H11" s="48" t="n">
        <f aca="false">(1+(Assumptions!$K$61-1)*Assumptions!$B$133)*12/SUMPRODUCT(1+(Assumptions!$F$61:$Q$61-1)*Assumptions!$B$133)</f>
        <v>0.88</v>
      </c>
      <c r="I11" s="48" t="n">
        <f aca="false">(1+(Assumptions!$L$61-1)*Assumptions!$B$133)*12/SUMPRODUCT(1+(Assumptions!$F$61:$Q$61-1)*Assumptions!$B$133)</f>
        <v>0.85</v>
      </c>
      <c r="J11" s="48" t="n">
        <f aca="false">(1+(Assumptions!$M$61-1)*Assumptions!$B$133)*12/SUMPRODUCT(1+(Assumptions!$F$61:$Q$61-1)*Assumptions!$B$133)</f>
        <v>0.85</v>
      </c>
      <c r="K11" s="48" t="n">
        <f aca="false">(1+(Assumptions!$N$61-1)*Assumptions!$B$133)*12/SUMPRODUCT(1+(Assumptions!$F$61:$Q$61-1)*Assumptions!$B$133)</f>
        <v>0.93</v>
      </c>
      <c r="L11" s="48" t="n">
        <f aca="false">(1+(Assumptions!$O$61-1)*Assumptions!$B$133)*12/SUMPRODUCT(1+(Assumptions!$F$61:$Q$61-1)*Assumptions!$B$133)</f>
        <v>1.25</v>
      </c>
      <c r="M11" s="48" t="n">
        <f aca="false">(1+(Assumptions!$P$61-1)*Assumptions!$B$133)*12/SUMPRODUCT(1+(Assumptions!$F$61:$Q$61-1)*Assumptions!$B$133)</f>
        <v>1.15</v>
      </c>
      <c r="N11" s="48" t="n">
        <f aca="false">(1+(Assumptions!$Q$61-1)*Assumptions!$B$133)*12/SUMPRODUCT(1+(Assumptions!$F$61:$Q$61-1)*Assumptions!$B$133)</f>
        <v>1.01</v>
      </c>
    </row>
    <row r="12" customFormat="false" ht="15" hidden="false" customHeight="false" outlineLevel="0" collapsed="false">
      <c r="A12" s="0" t="s">
        <v>423</v>
      </c>
      <c r="B12" s="23" t="s">
        <v>422</v>
      </c>
      <c r="C12" s="48" t="n">
        <f aca="false">(1+(Assumptions!$F$62-1)*Assumptions!$B$133)*12/SUMPRODUCT(1+(Assumptions!$F$62:$Q$62-1)*Assumptions!$B$133)</f>
        <v>1.1</v>
      </c>
      <c r="D12" s="48" t="n">
        <f aca="false">(1+(Assumptions!$G$62-1)*Assumptions!$B$133)*12/SUMPRODUCT(1+(Assumptions!$F$62:$Q$62-1)*Assumptions!$B$133)</f>
        <v>1</v>
      </c>
      <c r="E12" s="48" t="n">
        <f aca="false">(1+(Assumptions!$H$62-1)*Assumptions!$B$133)*12/SUMPRODUCT(1+(Assumptions!$F$62:$Q$62-1)*Assumptions!$B$133)</f>
        <v>0.98</v>
      </c>
      <c r="F12" s="48" t="n">
        <f aca="false">(1+(Assumptions!$I$62-1)*Assumptions!$B$133)*12/SUMPRODUCT(1+(Assumptions!$F$62:$Q$62-1)*Assumptions!$B$133)</f>
        <v>0.98</v>
      </c>
      <c r="G12" s="48" t="n">
        <f aca="false">(1+(Assumptions!$J$62-1)*Assumptions!$B$133)*12/SUMPRODUCT(1+(Assumptions!$F$62:$Q$62-1)*Assumptions!$B$133)</f>
        <v>1</v>
      </c>
      <c r="H12" s="48" t="n">
        <f aca="false">(1+(Assumptions!$K$62-1)*Assumptions!$B$133)*12/SUMPRODUCT(1+(Assumptions!$F$62:$Q$62-1)*Assumptions!$B$133)</f>
        <v>0.95</v>
      </c>
      <c r="I12" s="48" t="n">
        <f aca="false">(1+(Assumptions!$L$62-1)*Assumptions!$B$133)*12/SUMPRODUCT(1+(Assumptions!$F$62:$Q$62-1)*Assumptions!$B$133)</f>
        <v>0.88</v>
      </c>
      <c r="J12" s="48" t="n">
        <f aca="false">(1+(Assumptions!$M$62-1)*Assumptions!$B$133)*12/SUMPRODUCT(1+(Assumptions!$F$62:$Q$62-1)*Assumptions!$B$133)</f>
        <v>0.9</v>
      </c>
      <c r="K12" s="48" t="n">
        <f aca="false">(1+(Assumptions!$N$62-1)*Assumptions!$B$133)*12/SUMPRODUCT(1+(Assumptions!$F$62:$Q$62-1)*Assumptions!$B$133)</f>
        <v>1</v>
      </c>
      <c r="L12" s="48" t="n">
        <f aca="false">(1+(Assumptions!$O$62-1)*Assumptions!$B$133)*12/SUMPRODUCT(1+(Assumptions!$F$62:$Q$62-1)*Assumptions!$B$133)</f>
        <v>1.02</v>
      </c>
      <c r="M12" s="48" t="n">
        <f aca="false">(1+(Assumptions!$P$62-1)*Assumptions!$B$133)*12/SUMPRODUCT(1+(Assumptions!$F$62:$Q$62-1)*Assumptions!$B$133)</f>
        <v>1.05</v>
      </c>
      <c r="N12" s="48" t="n">
        <f aca="false">(1+(Assumptions!$Q$62-1)*Assumptions!$B$133)*12/SUMPRODUCT(1+(Assumptions!$F$62:$Q$62-1)*Assumptions!$B$133)</f>
        <v>1.14</v>
      </c>
    </row>
    <row r="13" customFormat="false" ht="15" hidden="false" customHeight="false" outlineLevel="0" collapsed="false">
      <c r="A13" s="0" t="s">
        <v>424</v>
      </c>
      <c r="B13" s="23" t="s">
        <v>422</v>
      </c>
      <c r="C13" s="49" t="n">
        <f aca="false">Assumptions!$F$63/AVERAGE(Assumptions!$F$63:$Q$63)*Assumptions!$B$145</f>
        <v>0.256603773584906</v>
      </c>
      <c r="D13" s="49" t="n">
        <f aca="false">Assumptions!$G$63/AVERAGE(Assumptions!$F$63:$Q$63)*Assumptions!$B$145</f>
        <v>0.256603773584906</v>
      </c>
      <c r="E13" s="49" t="n">
        <f aca="false">Assumptions!$H$63/AVERAGE(Assumptions!$F$63:$Q$63)*Assumptions!$B$145</f>
        <v>0.256603773584906</v>
      </c>
      <c r="F13" s="49" t="n">
        <f aca="false">Assumptions!$I$63/AVERAGE(Assumptions!$F$63:$Q$63)*Assumptions!$B$145</f>
        <v>0.273710691823899</v>
      </c>
      <c r="G13" s="49" t="n">
        <f aca="false">Assumptions!$J$63/AVERAGE(Assumptions!$F$63:$Q$63)*Assumptions!$B$145</f>
        <v>0.290817610062893</v>
      </c>
      <c r="H13" s="49" t="n">
        <f aca="false">Assumptions!$K$63/AVERAGE(Assumptions!$F$63:$Q$63)*Assumptions!$B$145</f>
        <v>0.470440251572327</v>
      </c>
      <c r="I13" s="49" t="n">
        <f aca="false">Assumptions!$L$63/AVERAGE(Assumptions!$F$63:$Q$63)*Assumptions!$B$145</f>
        <v>0.513207547169811</v>
      </c>
      <c r="J13" s="49" t="n">
        <f aca="false">Assumptions!$M$63/AVERAGE(Assumptions!$F$63:$Q$63)*Assumptions!$B$145</f>
        <v>0.478993710691824</v>
      </c>
      <c r="K13" s="49" t="n">
        <f aca="false">Assumptions!$N$63/AVERAGE(Assumptions!$F$63:$Q$63)*Assumptions!$B$145</f>
        <v>0.307924528301887</v>
      </c>
      <c r="L13" s="49" t="n">
        <f aca="false">Assumptions!$O$63/AVERAGE(Assumptions!$F$63:$Q$63)*Assumptions!$B$145</f>
        <v>0.359245283018868</v>
      </c>
      <c r="M13" s="49" t="n">
        <f aca="false">Assumptions!$P$63/AVERAGE(Assumptions!$F$63:$Q$63)*Assumptions!$B$145</f>
        <v>0.342138364779874</v>
      </c>
      <c r="N13" s="49" t="n">
        <f aca="false">Assumptions!$Q$63/AVERAGE(Assumptions!$F$63:$Q$63)*Assumptions!$B$145</f>
        <v>0.273710691823899</v>
      </c>
    </row>
    <row r="14" customFormat="false" ht="15" hidden="false" customHeight="false" outlineLevel="0" collapsed="false">
      <c r="A14" s="3" t="s">
        <v>425</v>
      </c>
      <c r="B14" s="23" t="s">
        <v>426</v>
      </c>
      <c r="C14" s="50" t="n">
        <f aca="false">SUM($C$11:$N$11)</f>
        <v>12</v>
      </c>
      <c r="D14" s="50" t="n">
        <f aca="false">SUM($C$12:$N$12)</f>
        <v>12</v>
      </c>
    </row>
    <row r="15" customFormat="false" ht="15" hidden="false" customHeight="false" outlineLevel="0" collapsed="false">
      <c r="A15" s="6" t="s">
        <v>427</v>
      </c>
      <c r="B15" s="23" t="s">
        <v>428</v>
      </c>
      <c r="C15" s="51" t="n">
        <f aca="false">IF(C7=1,INDEX($C$11:$N$11,1,C6),1)</f>
        <v>1.01</v>
      </c>
      <c r="D15" s="51" t="n">
        <f aca="false">IF(D7=1,INDEX($C$11:$N$11,1,D6),1)</f>
        <v>0.96</v>
      </c>
      <c r="E15" s="51" t="n">
        <f aca="false">IF(E7=1,INDEX($C$11:$N$11,1,E6),1)</f>
        <v>0.92</v>
      </c>
      <c r="F15" s="51" t="n">
        <f aca="false">IF(F7=1,INDEX($C$11:$N$11,1,F6),1)</f>
        <v>1.15</v>
      </c>
      <c r="G15" s="51" t="n">
        <f aca="false">IF(G7=1,INDEX($C$11:$N$11,1,G6),1)</f>
        <v>1.04</v>
      </c>
      <c r="H15" s="51" t="n">
        <f aca="false">IF(H7=1,INDEX($C$11:$N$11,1,H6),1)</f>
        <v>0.88</v>
      </c>
      <c r="I15" s="51" t="n">
        <f aca="false">IF(I7=1,INDEX($C$11:$N$11,1,I6),1)</f>
        <v>0.85</v>
      </c>
      <c r="J15" s="51" t="n">
        <f aca="false">IF(J7=1,INDEX($C$11:$N$11,1,J6),1)</f>
        <v>0.85</v>
      </c>
      <c r="K15" s="51" t="n">
        <f aca="false">IF(K7=1,INDEX($C$11:$N$11,1,K6),1)</f>
        <v>0.93</v>
      </c>
      <c r="L15" s="51" t="n">
        <f aca="false">IF(L7=1,INDEX($C$11:$N$11,1,L6),1)</f>
        <v>1.25</v>
      </c>
      <c r="M15" s="51" t="n">
        <f aca="false">IF(M7=1,INDEX($C$11:$N$11,1,M6),1)</f>
        <v>1.15</v>
      </c>
      <c r="N15" s="51" t="n">
        <f aca="false">IF(N7=1,INDEX($C$11:$N$11,1,N6),1)</f>
        <v>1.01</v>
      </c>
      <c r="O15" s="51" t="n">
        <f aca="false">IF(O7=1,INDEX($C$11:$N$11,1,O6),1)</f>
        <v>1.01</v>
      </c>
      <c r="P15" s="51" t="n">
        <f aca="false">IF(P7=1,INDEX($C$11:$N$11,1,P6),1)</f>
        <v>0.96</v>
      </c>
      <c r="Q15" s="51" t="n">
        <f aca="false">IF(Q7=1,INDEX($C$11:$N$11,1,Q6),1)</f>
        <v>0.92</v>
      </c>
      <c r="R15" s="51" t="n">
        <f aca="false">IF(R7=1,INDEX($C$11:$N$11,1,R6),1)</f>
        <v>1.15</v>
      </c>
      <c r="S15" s="51" t="n">
        <f aca="false">IF(S7=1,INDEX($C$11:$N$11,1,S6),1)</f>
        <v>1.04</v>
      </c>
      <c r="T15" s="51" t="n">
        <f aca="false">IF(T7=1,INDEX($C$11:$N$11,1,T6),1)</f>
        <v>0.88</v>
      </c>
      <c r="U15" s="51" t="n">
        <f aca="false">IF(U7=1,INDEX($C$11:$N$11,1,U6),1)</f>
        <v>0.85</v>
      </c>
      <c r="V15" s="51" t="n">
        <f aca="false">IF(V7=1,INDEX($C$11:$N$11,1,V6),1)</f>
        <v>0.85</v>
      </c>
      <c r="W15" s="51" t="n">
        <f aca="false">IF(W7=1,INDEX($C$11:$N$11,1,W6),1)</f>
        <v>0.93</v>
      </c>
      <c r="X15" s="51" t="n">
        <f aca="false">IF(X7=1,INDEX($C$11:$N$11,1,X6),1)</f>
        <v>1.25</v>
      </c>
      <c r="Y15" s="51" t="n">
        <f aca="false">IF(Y7=1,INDEX($C$11:$N$11,1,Y6),1)</f>
        <v>1.15</v>
      </c>
      <c r="Z15" s="51" t="n">
        <f aca="false">IF(Z7=1,INDEX($C$11:$N$11,1,Z6),1)</f>
        <v>1.01</v>
      </c>
      <c r="AA15" s="51" t="n">
        <f aca="false">IF(AA7=1,INDEX($C$11:$N$11,1,AA6),1)</f>
        <v>1</v>
      </c>
      <c r="AB15" s="51" t="n">
        <f aca="false">IF(AB7=1,INDEX($C$11:$N$11,1,AB6),1)</f>
        <v>1</v>
      </c>
      <c r="AC15" s="51" t="n">
        <f aca="false">IF(AC7=1,INDEX($C$11:$N$11,1,AC6),1)</f>
        <v>1</v>
      </c>
      <c r="AD15" s="51" t="n">
        <f aca="false">IF(AD7=1,INDEX($C$11:$N$11,1,AD6),1)</f>
        <v>1</v>
      </c>
      <c r="AE15" s="51" t="n">
        <f aca="false">IF(AE7=1,INDEX($C$11:$N$11,1,AE6),1)</f>
        <v>1</v>
      </c>
    </row>
    <row r="16" customFormat="false" ht="15" hidden="false" customHeight="false" outlineLevel="0" collapsed="false">
      <c r="A16" s="6" t="s">
        <v>429</v>
      </c>
      <c r="B16" s="23" t="s">
        <v>428</v>
      </c>
      <c r="C16" s="51" t="n">
        <f aca="false">IF(C7=1,INDEX($C$12:$N$12,1,C6),1)</f>
        <v>1.1</v>
      </c>
      <c r="D16" s="51" t="n">
        <f aca="false">IF(D7=1,INDEX($C$12:$N$12,1,D6),1)</f>
        <v>1</v>
      </c>
      <c r="E16" s="51" t="n">
        <f aca="false">IF(E7=1,INDEX($C$12:$N$12,1,E6),1)</f>
        <v>0.98</v>
      </c>
      <c r="F16" s="51" t="n">
        <f aca="false">IF(F7=1,INDEX($C$12:$N$12,1,F6),1)</f>
        <v>0.98</v>
      </c>
      <c r="G16" s="51" t="n">
        <f aca="false">IF(G7=1,INDEX($C$12:$N$12,1,G6),1)</f>
        <v>1</v>
      </c>
      <c r="H16" s="51" t="n">
        <f aca="false">IF(H7=1,INDEX($C$12:$N$12,1,H6),1)</f>
        <v>0.95</v>
      </c>
      <c r="I16" s="51" t="n">
        <f aca="false">IF(I7=1,INDEX($C$12:$N$12,1,I6),1)</f>
        <v>0.88</v>
      </c>
      <c r="J16" s="51" t="n">
        <f aca="false">IF(J7=1,INDEX($C$12:$N$12,1,J6),1)</f>
        <v>0.9</v>
      </c>
      <c r="K16" s="51" t="n">
        <f aca="false">IF(K7=1,INDEX($C$12:$N$12,1,K6),1)</f>
        <v>1</v>
      </c>
      <c r="L16" s="51" t="n">
        <f aca="false">IF(L7=1,INDEX($C$12:$N$12,1,L6),1)</f>
        <v>1.02</v>
      </c>
      <c r="M16" s="51" t="n">
        <f aca="false">IF(M7=1,INDEX($C$12:$N$12,1,M6),1)</f>
        <v>1.05</v>
      </c>
      <c r="N16" s="51" t="n">
        <f aca="false">IF(N7=1,INDEX($C$12:$N$12,1,N6),1)</f>
        <v>1.14</v>
      </c>
      <c r="O16" s="51" t="n">
        <f aca="false">IF(O7=1,INDEX($C$12:$N$12,1,O6),1)</f>
        <v>1.1</v>
      </c>
      <c r="P16" s="51" t="n">
        <f aca="false">IF(P7=1,INDEX($C$12:$N$12,1,P6),1)</f>
        <v>1</v>
      </c>
      <c r="Q16" s="51" t="n">
        <f aca="false">IF(Q7=1,INDEX($C$12:$N$12,1,Q6),1)</f>
        <v>0.98</v>
      </c>
      <c r="R16" s="51" t="n">
        <f aca="false">IF(R7=1,INDEX($C$12:$N$12,1,R6),1)</f>
        <v>0.98</v>
      </c>
      <c r="S16" s="51" t="n">
        <f aca="false">IF(S7=1,INDEX($C$12:$N$12,1,S6),1)</f>
        <v>1</v>
      </c>
      <c r="T16" s="51" t="n">
        <f aca="false">IF(T7=1,INDEX($C$12:$N$12,1,T6),1)</f>
        <v>0.95</v>
      </c>
      <c r="U16" s="51" t="n">
        <f aca="false">IF(U7=1,INDEX($C$12:$N$12,1,U6),1)</f>
        <v>0.88</v>
      </c>
      <c r="V16" s="51" t="n">
        <f aca="false">IF(V7=1,INDEX($C$12:$N$12,1,V6),1)</f>
        <v>0.9</v>
      </c>
      <c r="W16" s="51" t="n">
        <f aca="false">IF(W7=1,INDEX($C$12:$N$12,1,W6),1)</f>
        <v>1</v>
      </c>
      <c r="X16" s="51" t="n">
        <f aca="false">IF(X7=1,INDEX($C$12:$N$12,1,X6),1)</f>
        <v>1.02</v>
      </c>
      <c r="Y16" s="51" t="n">
        <f aca="false">IF(Y7=1,INDEX($C$12:$N$12,1,Y6),1)</f>
        <v>1.05</v>
      </c>
      <c r="Z16" s="51" t="n">
        <f aca="false">IF(Z7=1,INDEX($C$12:$N$12,1,Z6),1)</f>
        <v>1.14</v>
      </c>
      <c r="AA16" s="51" t="n">
        <f aca="false">IF(AA7=1,INDEX($C$12:$N$12,1,AA6),1)</f>
        <v>1</v>
      </c>
      <c r="AB16" s="51" t="n">
        <f aca="false">IF(AB7=1,INDEX($C$12:$N$12,1,AB6),1)</f>
        <v>1</v>
      </c>
      <c r="AC16" s="51" t="n">
        <f aca="false">IF(AC7=1,INDEX($C$12:$N$12,1,AC6),1)</f>
        <v>1</v>
      </c>
      <c r="AD16" s="51" t="n">
        <f aca="false">IF(AD7=1,INDEX($C$12:$N$12,1,AD6),1)</f>
        <v>1</v>
      </c>
      <c r="AE16" s="51" t="n">
        <f aca="false">IF(AE7=1,INDEX($C$12:$N$12,1,AE6),1)</f>
        <v>1</v>
      </c>
    </row>
    <row r="17" customFormat="false" ht="15" hidden="false" customHeight="false" outlineLevel="0" collapsed="false">
      <c r="A17" s="6" t="s">
        <v>430</v>
      </c>
      <c r="B17" s="23" t="s">
        <v>245</v>
      </c>
      <c r="C17" s="52" t="n">
        <f aca="false">IF(C7=1,INDEX($C$13:$N$13,1,C6),AVERAGE($C$13:$N$13))</f>
        <v>0.256603773584906</v>
      </c>
      <c r="D17" s="52" t="n">
        <f aca="false">IF(D7=1,INDEX($C$13:$N$13,1,D6),AVERAGE($C$13:$N$13))</f>
        <v>0.256603773584906</v>
      </c>
      <c r="E17" s="52" t="n">
        <f aca="false">IF(E7=1,INDEX($C$13:$N$13,1,E6),AVERAGE($C$13:$N$13))</f>
        <v>0.256603773584906</v>
      </c>
      <c r="F17" s="52" t="n">
        <f aca="false">IF(F7=1,INDEX($C$13:$N$13,1,F6),AVERAGE($C$13:$N$13))</f>
        <v>0.273710691823899</v>
      </c>
      <c r="G17" s="52" t="n">
        <f aca="false">IF(G7=1,INDEX($C$13:$N$13,1,G6),AVERAGE($C$13:$N$13))</f>
        <v>0.290817610062893</v>
      </c>
      <c r="H17" s="52" t="n">
        <f aca="false">IF(H7=1,INDEX($C$13:$N$13,1,H6),AVERAGE($C$13:$N$13))</f>
        <v>0.470440251572327</v>
      </c>
      <c r="I17" s="52" t="n">
        <f aca="false">IF(I7=1,INDEX($C$13:$N$13,1,I6),AVERAGE($C$13:$N$13))</f>
        <v>0.513207547169811</v>
      </c>
      <c r="J17" s="52" t="n">
        <f aca="false">IF(J7=1,INDEX($C$13:$N$13,1,J6),AVERAGE($C$13:$N$13))</f>
        <v>0.478993710691824</v>
      </c>
      <c r="K17" s="52" t="n">
        <f aca="false">IF(K7=1,INDEX($C$13:$N$13,1,K6),AVERAGE($C$13:$N$13))</f>
        <v>0.307924528301887</v>
      </c>
      <c r="L17" s="52" t="n">
        <f aca="false">IF(L7=1,INDEX($C$13:$N$13,1,L6),AVERAGE($C$13:$N$13))</f>
        <v>0.359245283018868</v>
      </c>
      <c r="M17" s="52" t="n">
        <f aca="false">IF(M7=1,INDEX($C$13:$N$13,1,M6),AVERAGE($C$13:$N$13))</f>
        <v>0.342138364779874</v>
      </c>
      <c r="N17" s="52" t="n">
        <f aca="false">IF(N7=1,INDEX($C$13:$N$13,1,N6),AVERAGE($C$13:$N$13))</f>
        <v>0.273710691823899</v>
      </c>
      <c r="O17" s="52" t="n">
        <f aca="false">IF(O7=1,INDEX($C$13:$N$13,1,O6),AVERAGE($C$13:$N$13))</f>
        <v>0.256603773584906</v>
      </c>
      <c r="P17" s="52" t="n">
        <f aca="false">IF(P7=1,INDEX($C$13:$N$13,1,P6),AVERAGE($C$13:$N$13))</f>
        <v>0.256603773584906</v>
      </c>
      <c r="Q17" s="52" t="n">
        <f aca="false">IF(Q7=1,INDEX($C$13:$N$13,1,Q6),AVERAGE($C$13:$N$13))</f>
        <v>0.256603773584906</v>
      </c>
      <c r="R17" s="52" t="n">
        <f aca="false">IF(R7=1,INDEX($C$13:$N$13,1,R6),AVERAGE($C$13:$N$13))</f>
        <v>0.273710691823899</v>
      </c>
      <c r="S17" s="52" t="n">
        <f aca="false">IF(S7=1,INDEX($C$13:$N$13,1,S6),AVERAGE($C$13:$N$13))</f>
        <v>0.290817610062893</v>
      </c>
      <c r="T17" s="52" t="n">
        <f aca="false">IF(T7=1,INDEX($C$13:$N$13,1,T6),AVERAGE($C$13:$N$13))</f>
        <v>0.470440251572327</v>
      </c>
      <c r="U17" s="52" t="n">
        <f aca="false">IF(U7=1,INDEX($C$13:$N$13,1,U6),AVERAGE($C$13:$N$13))</f>
        <v>0.513207547169811</v>
      </c>
      <c r="V17" s="52" t="n">
        <f aca="false">IF(V7=1,INDEX($C$13:$N$13,1,V6),AVERAGE($C$13:$N$13))</f>
        <v>0.478993710691824</v>
      </c>
      <c r="W17" s="52" t="n">
        <f aca="false">IF(W7=1,INDEX($C$13:$N$13,1,W6),AVERAGE($C$13:$N$13))</f>
        <v>0.307924528301887</v>
      </c>
      <c r="X17" s="52" t="n">
        <f aca="false">IF(X7=1,INDEX($C$13:$N$13,1,X6),AVERAGE($C$13:$N$13))</f>
        <v>0.359245283018868</v>
      </c>
      <c r="Y17" s="52" t="n">
        <f aca="false">IF(Y7=1,INDEX($C$13:$N$13,1,Y6),AVERAGE($C$13:$N$13))</f>
        <v>0.342138364779874</v>
      </c>
      <c r="Z17" s="52" t="n">
        <f aca="false">IF(Z7=1,INDEX($C$13:$N$13,1,Z6),AVERAGE($C$13:$N$13))</f>
        <v>0.273710691823899</v>
      </c>
      <c r="AA17" s="52" t="n">
        <f aca="false">IF(AA7=1,INDEX($C$13:$N$13,1,AA6),AVERAGE($C$13:$N$13))</f>
        <v>0.34</v>
      </c>
      <c r="AB17" s="52" t="n">
        <f aca="false">IF(AB7=1,INDEX($C$13:$N$13,1,AB6),AVERAGE($C$13:$N$13))</f>
        <v>0.34</v>
      </c>
      <c r="AC17" s="52" t="n">
        <f aca="false">IF(AC7=1,INDEX($C$13:$N$13,1,AC6),AVERAGE($C$13:$N$13))</f>
        <v>0.34</v>
      </c>
      <c r="AD17" s="52" t="n">
        <f aca="false">IF(AD7=1,INDEX($C$13:$N$13,1,AD6),AVERAGE($C$13:$N$13))</f>
        <v>0.34</v>
      </c>
      <c r="AE17" s="52" t="n">
        <f aca="false">IF(AE7=1,INDEX($C$13:$N$13,1,AE6),AVERAGE($C$13:$N$13))</f>
        <v>0.34</v>
      </c>
    </row>
    <row r="19" customFormat="false" ht="15" hidden="false" customHeight="false" outlineLevel="0" collapsed="false">
      <c r="A19" s="46" t="s">
        <v>431</v>
      </c>
      <c r="B19" s="47"/>
      <c r="C19" s="47"/>
      <c r="D19" s="47"/>
      <c r="E19" s="47"/>
      <c r="F19" s="47"/>
      <c r="G19" s="47"/>
      <c r="H19" s="47"/>
      <c r="I19" s="47"/>
      <c r="J19" s="47"/>
      <c r="K19" s="47"/>
      <c r="L19" s="47"/>
      <c r="M19" s="47"/>
      <c r="N19" s="47"/>
      <c r="O19" s="47"/>
      <c r="P19" s="47"/>
      <c r="Q19" s="47"/>
      <c r="R19" s="47"/>
      <c r="S19" s="47"/>
      <c r="T19" s="47"/>
      <c r="U19" s="47"/>
      <c r="V19" s="47"/>
      <c r="W19" s="47"/>
      <c r="X19" s="47"/>
      <c r="Y19" s="47"/>
      <c r="Z19" s="47"/>
      <c r="AA19" s="47"/>
      <c r="AB19" s="47"/>
      <c r="AC19" s="47"/>
      <c r="AD19" s="47"/>
      <c r="AE19" s="47"/>
    </row>
    <row r="20" customFormat="false" ht="15" hidden="false" customHeight="false" outlineLevel="0" collapsed="false">
      <c r="A20" s="0" t="s">
        <v>432</v>
      </c>
      <c r="B20" s="23" t="s">
        <v>190</v>
      </c>
      <c r="C20" s="53" t="n">
        <f aca="false">INDEX(Assumptions!$B$93:$B$99,C5)*Assumptions!$B$123*INDEX(Assumptions!$B$107:$B$113,C5)*C7</f>
        <v>12</v>
      </c>
      <c r="D20" s="53" t="n">
        <f aca="false">INDEX(Assumptions!$B$93:$B$99,D5)*Assumptions!$B$123*INDEX(Assumptions!$B$107:$B$113,D5)*D7</f>
        <v>12</v>
      </c>
      <c r="E20" s="53" t="n">
        <f aca="false">INDEX(Assumptions!$B$93:$B$99,E5)*Assumptions!$B$123*INDEX(Assumptions!$B$107:$B$113,E5)*E7</f>
        <v>12</v>
      </c>
      <c r="F20" s="53" t="n">
        <f aca="false">INDEX(Assumptions!$B$93:$B$99,F5)*Assumptions!$B$123*INDEX(Assumptions!$B$107:$B$113,F5)*F7</f>
        <v>12</v>
      </c>
      <c r="G20" s="53" t="n">
        <f aca="false">INDEX(Assumptions!$B$93:$B$99,G5)*Assumptions!$B$123*INDEX(Assumptions!$B$107:$B$113,G5)*G7</f>
        <v>12</v>
      </c>
      <c r="H20" s="53" t="n">
        <f aca="false">INDEX(Assumptions!$B$93:$B$99,H5)*Assumptions!$B$123*INDEX(Assumptions!$B$107:$B$113,H5)*H7</f>
        <v>12</v>
      </c>
      <c r="I20" s="53" t="n">
        <f aca="false">INDEX(Assumptions!$B$93:$B$99,I5)*Assumptions!$B$123*INDEX(Assumptions!$B$107:$B$113,I5)*I7</f>
        <v>12</v>
      </c>
      <c r="J20" s="53" t="n">
        <f aca="false">INDEX(Assumptions!$B$93:$B$99,J5)*Assumptions!$B$123*INDEX(Assumptions!$B$107:$B$113,J5)*J7</f>
        <v>12</v>
      </c>
      <c r="K20" s="53" t="n">
        <f aca="false">INDEX(Assumptions!$B$93:$B$99,K5)*Assumptions!$B$123*INDEX(Assumptions!$B$107:$B$113,K5)*K7</f>
        <v>12</v>
      </c>
      <c r="L20" s="53" t="n">
        <f aca="false">INDEX(Assumptions!$B$93:$B$99,L5)*Assumptions!$B$123*INDEX(Assumptions!$B$107:$B$113,L5)*L7</f>
        <v>12</v>
      </c>
      <c r="M20" s="53" t="n">
        <f aca="false">INDEX(Assumptions!$B$93:$B$99,M5)*Assumptions!$B$123*INDEX(Assumptions!$B$107:$B$113,M5)*M7</f>
        <v>12</v>
      </c>
      <c r="N20" s="53" t="n">
        <f aca="false">INDEX(Assumptions!$B$93:$B$99,N5)*Assumptions!$B$123*INDEX(Assumptions!$B$107:$B$113,N5)*N7</f>
        <v>12</v>
      </c>
      <c r="O20" s="53" t="n">
        <f aca="false">INDEX(Assumptions!$B$93:$B$99,O5)*Assumptions!$B$123*INDEX(Assumptions!$B$107:$B$113,O5)*O7</f>
        <v>51</v>
      </c>
      <c r="P20" s="53" t="n">
        <f aca="false">INDEX(Assumptions!$B$93:$B$99,P5)*Assumptions!$B$123*INDEX(Assumptions!$B$107:$B$113,P5)*P7</f>
        <v>51</v>
      </c>
      <c r="Q20" s="53" t="n">
        <f aca="false">INDEX(Assumptions!$B$93:$B$99,Q5)*Assumptions!$B$123*INDEX(Assumptions!$B$107:$B$113,Q5)*Q7</f>
        <v>51</v>
      </c>
      <c r="R20" s="53" t="n">
        <f aca="false">INDEX(Assumptions!$B$93:$B$99,R5)*Assumptions!$B$123*INDEX(Assumptions!$B$107:$B$113,R5)*R7</f>
        <v>51</v>
      </c>
      <c r="S20" s="53" t="n">
        <f aca="false">INDEX(Assumptions!$B$93:$B$99,S5)*Assumptions!$B$123*INDEX(Assumptions!$B$107:$B$113,S5)*S7</f>
        <v>51</v>
      </c>
      <c r="T20" s="53" t="n">
        <f aca="false">INDEX(Assumptions!$B$93:$B$99,T5)*Assumptions!$B$123*INDEX(Assumptions!$B$107:$B$113,T5)*T7</f>
        <v>51</v>
      </c>
      <c r="U20" s="53" t="n">
        <f aca="false">INDEX(Assumptions!$B$93:$B$99,U5)*Assumptions!$B$123*INDEX(Assumptions!$B$107:$B$113,U5)*U7</f>
        <v>51</v>
      </c>
      <c r="V20" s="53" t="n">
        <f aca="false">INDEX(Assumptions!$B$93:$B$99,V5)*Assumptions!$B$123*INDEX(Assumptions!$B$107:$B$113,V5)*V7</f>
        <v>51</v>
      </c>
      <c r="W20" s="53" t="n">
        <f aca="false">INDEX(Assumptions!$B$93:$B$99,W5)*Assumptions!$B$123*INDEX(Assumptions!$B$107:$B$113,W5)*W7</f>
        <v>51</v>
      </c>
      <c r="X20" s="53" t="n">
        <f aca="false">INDEX(Assumptions!$B$93:$B$99,X5)*Assumptions!$B$123*INDEX(Assumptions!$B$107:$B$113,X5)*X7</f>
        <v>51</v>
      </c>
      <c r="Y20" s="53" t="n">
        <f aca="false">INDEX(Assumptions!$B$93:$B$99,Y5)*Assumptions!$B$123*INDEX(Assumptions!$B$107:$B$113,Y5)*Y7</f>
        <v>51</v>
      </c>
      <c r="Z20" s="53" t="n">
        <f aca="false">INDEX(Assumptions!$B$93:$B$99,Z5)*Assumptions!$B$123*INDEX(Assumptions!$B$107:$B$113,Z5)*Z7</f>
        <v>51</v>
      </c>
      <c r="AA20" s="53" t="n">
        <f aca="false">INDEX(Assumptions!$B$93:$B$99,AA5)*Assumptions!$B$123*INDEX(Assumptions!$B$107:$B$113,AA5)*AA7</f>
        <v>1920</v>
      </c>
      <c r="AB20" s="53" t="n">
        <f aca="false">INDEX(Assumptions!$B$93:$B$99,AB5)*Assumptions!$B$123*INDEX(Assumptions!$B$107:$B$113,AB5)*AB7</f>
        <v>2880</v>
      </c>
      <c r="AC20" s="53" t="n">
        <f aca="false">INDEX(Assumptions!$B$93:$B$99,AC5)*Assumptions!$B$123*INDEX(Assumptions!$B$107:$B$113,AC5)*AC7</f>
        <v>4320</v>
      </c>
      <c r="AD20" s="53" t="n">
        <f aca="false">INDEX(Assumptions!$B$93:$B$99,AD5)*Assumptions!$B$123*INDEX(Assumptions!$B$107:$B$113,AD5)*AD7</f>
        <v>5088</v>
      </c>
      <c r="AE20" s="53" t="n">
        <f aca="false">INDEX(Assumptions!$B$93:$B$99,AE5)*Assumptions!$B$123*INDEX(Assumptions!$B$107:$B$113,AE5)*AE7</f>
        <v>5952</v>
      </c>
    </row>
    <row r="21" customFormat="false" ht="15" hidden="false" customHeight="false" outlineLevel="0" collapsed="false">
      <c r="A21" s="6" t="s">
        <v>433</v>
      </c>
      <c r="B21" s="23" t="s">
        <v>35</v>
      </c>
      <c r="C21" s="53" t="n">
        <f aca="false">Assumptions!$B$6*(1+Assumptions!$B$120)^(C5-1)</f>
        <v>141.46</v>
      </c>
      <c r="D21" s="53" t="n">
        <f aca="false">Assumptions!$B$6*(1+Assumptions!$B$120)^(D5-1)</f>
        <v>141.46</v>
      </c>
      <c r="E21" s="53" t="n">
        <f aca="false">Assumptions!$B$6*(1+Assumptions!$B$120)^(E5-1)</f>
        <v>141.46</v>
      </c>
      <c r="F21" s="53" t="n">
        <f aca="false">Assumptions!$B$6*(1+Assumptions!$B$120)^(F5-1)</f>
        <v>141.46</v>
      </c>
      <c r="G21" s="53" t="n">
        <f aca="false">Assumptions!$B$6*(1+Assumptions!$B$120)^(G5-1)</f>
        <v>141.46</v>
      </c>
      <c r="H21" s="53" t="n">
        <f aca="false">Assumptions!$B$6*(1+Assumptions!$B$120)^(H5-1)</f>
        <v>141.46</v>
      </c>
      <c r="I21" s="53" t="n">
        <f aca="false">Assumptions!$B$6*(1+Assumptions!$B$120)^(I5-1)</f>
        <v>141.46</v>
      </c>
      <c r="J21" s="53" t="n">
        <f aca="false">Assumptions!$B$6*(1+Assumptions!$B$120)^(J5-1)</f>
        <v>141.46</v>
      </c>
      <c r="K21" s="53" t="n">
        <f aca="false">Assumptions!$B$6*(1+Assumptions!$B$120)^(K5-1)</f>
        <v>141.46</v>
      </c>
      <c r="L21" s="53" t="n">
        <f aca="false">Assumptions!$B$6*(1+Assumptions!$B$120)^(L5-1)</f>
        <v>141.46</v>
      </c>
      <c r="M21" s="53" t="n">
        <f aca="false">Assumptions!$B$6*(1+Assumptions!$B$120)^(M5-1)</f>
        <v>141.46</v>
      </c>
      <c r="N21" s="53" t="n">
        <f aca="false">Assumptions!$B$6*(1+Assumptions!$B$120)^(N5-1)</f>
        <v>141.46</v>
      </c>
      <c r="O21" s="53" t="n">
        <f aca="false">Assumptions!$B$6*(1+Assumptions!$B$120)^(O5-1)</f>
        <v>152.91826</v>
      </c>
      <c r="P21" s="53" t="n">
        <f aca="false">Assumptions!$B$6*(1+Assumptions!$B$120)^(P5-1)</f>
        <v>152.91826</v>
      </c>
      <c r="Q21" s="53" t="n">
        <f aca="false">Assumptions!$B$6*(1+Assumptions!$B$120)^(Q5-1)</f>
        <v>152.91826</v>
      </c>
      <c r="R21" s="53" t="n">
        <f aca="false">Assumptions!$B$6*(1+Assumptions!$B$120)^(R5-1)</f>
        <v>152.91826</v>
      </c>
      <c r="S21" s="53" t="n">
        <f aca="false">Assumptions!$B$6*(1+Assumptions!$B$120)^(S5-1)</f>
        <v>152.91826</v>
      </c>
      <c r="T21" s="53" t="n">
        <f aca="false">Assumptions!$B$6*(1+Assumptions!$B$120)^(T5-1)</f>
        <v>152.91826</v>
      </c>
      <c r="U21" s="53" t="n">
        <f aca="false">Assumptions!$B$6*(1+Assumptions!$B$120)^(U5-1)</f>
        <v>152.91826</v>
      </c>
      <c r="V21" s="53" t="n">
        <f aca="false">Assumptions!$B$6*(1+Assumptions!$B$120)^(V5-1)</f>
        <v>152.91826</v>
      </c>
      <c r="W21" s="53" t="n">
        <f aca="false">Assumptions!$B$6*(1+Assumptions!$B$120)^(W5-1)</f>
        <v>152.91826</v>
      </c>
      <c r="X21" s="53" t="n">
        <f aca="false">Assumptions!$B$6*(1+Assumptions!$B$120)^(X5-1)</f>
        <v>152.91826</v>
      </c>
      <c r="Y21" s="53" t="n">
        <f aca="false">Assumptions!$B$6*(1+Assumptions!$B$120)^(Y5-1)</f>
        <v>152.91826</v>
      </c>
      <c r="Z21" s="53" t="n">
        <f aca="false">Assumptions!$B$6*(1+Assumptions!$B$120)^(Z5-1)</f>
        <v>152.91826</v>
      </c>
      <c r="AA21" s="53" t="n">
        <f aca="false">Assumptions!$B$6*(1+Assumptions!$B$120)^(AA5-1)</f>
        <v>165.30463906</v>
      </c>
      <c r="AB21" s="53" t="n">
        <f aca="false">Assumptions!$B$6*(1+Assumptions!$B$120)^(AB5-1)</f>
        <v>178.69431482386</v>
      </c>
      <c r="AC21" s="53" t="n">
        <f aca="false">Assumptions!$B$6*(1+Assumptions!$B$120)^(AC5-1)</f>
        <v>193.168554324593</v>
      </c>
      <c r="AD21" s="53" t="n">
        <f aca="false">Assumptions!$B$6*(1+Assumptions!$B$120)^(AD5-1)</f>
        <v>208.815207224885</v>
      </c>
      <c r="AE21" s="53" t="n">
        <f aca="false">Assumptions!$B$6*(1+Assumptions!$B$120)^(AE5-1)</f>
        <v>225.7292390101</v>
      </c>
    </row>
    <row r="22" customFormat="false" ht="15" hidden="false" customHeight="false" outlineLevel="0" collapsed="false">
      <c r="A22" s="9" t="s">
        <v>434</v>
      </c>
    </row>
    <row r="23" customFormat="false" ht="15" hidden="false" customHeight="false" outlineLevel="0" collapsed="false">
      <c r="A23" s="6" t="s">
        <v>435</v>
      </c>
      <c r="B23" s="23" t="s">
        <v>436</v>
      </c>
      <c r="C23" s="48" t="n">
        <f aca="false">Assumptions!$B$114*1+Assumptions!$B$115*IF(C2&gt;=Assumptions!$B$56,1,0)+Assumptions!$B$116*IF(C2&gt;=Assumptions!$B$57,1,0)</f>
        <v>0.9</v>
      </c>
      <c r="D23" s="48" t="n">
        <f aca="false">Assumptions!$B$114*1+Assumptions!$B$115*IF(D2&gt;=Assumptions!$B$56,1,0)+Assumptions!$B$116*IF(D2&gt;=Assumptions!$B$57,1,0)</f>
        <v>0.9</v>
      </c>
      <c r="E23" s="48" t="n">
        <f aca="false">Assumptions!$B$114*1+Assumptions!$B$115*IF(E2&gt;=Assumptions!$B$56,1,0)+Assumptions!$B$116*IF(E2&gt;=Assumptions!$B$57,1,0)</f>
        <v>0.9</v>
      </c>
      <c r="F23" s="48" t="n">
        <f aca="false">Assumptions!$B$114*1+Assumptions!$B$115*IF(F2&gt;=Assumptions!$B$56,1,0)+Assumptions!$B$116*IF(F2&gt;=Assumptions!$B$57,1,0)</f>
        <v>0.9</v>
      </c>
      <c r="G23" s="48" t="n">
        <f aca="false">Assumptions!$B$114*1+Assumptions!$B$115*IF(G2&gt;=Assumptions!$B$56,1,0)+Assumptions!$B$116*IF(G2&gt;=Assumptions!$B$57,1,0)</f>
        <v>0.9</v>
      </c>
      <c r="H23" s="48" t="n">
        <f aca="false">Assumptions!$B$114*1+Assumptions!$B$115*IF(H2&gt;=Assumptions!$B$56,1,0)+Assumptions!$B$116*IF(H2&gt;=Assumptions!$B$57,1,0)</f>
        <v>0.9</v>
      </c>
      <c r="I23" s="48" t="n">
        <f aca="false">Assumptions!$B$114*1+Assumptions!$B$115*IF(I2&gt;=Assumptions!$B$56,1,0)+Assumptions!$B$116*IF(I2&gt;=Assumptions!$B$57,1,0)</f>
        <v>0.9</v>
      </c>
      <c r="J23" s="48" t="n">
        <f aca="false">Assumptions!$B$114*1+Assumptions!$B$115*IF(J2&gt;=Assumptions!$B$56,1,0)+Assumptions!$B$116*IF(J2&gt;=Assumptions!$B$57,1,0)</f>
        <v>0.9</v>
      </c>
      <c r="K23" s="48" t="n">
        <f aca="false">Assumptions!$B$114*1+Assumptions!$B$115*IF(K2&gt;=Assumptions!$B$56,1,0)+Assumptions!$B$116*IF(K2&gt;=Assumptions!$B$57,1,0)</f>
        <v>0.9</v>
      </c>
      <c r="L23" s="48" t="n">
        <f aca="false">Assumptions!$B$114*1+Assumptions!$B$115*IF(L2&gt;=Assumptions!$B$56,1,0)+Assumptions!$B$116*IF(L2&gt;=Assumptions!$B$57,1,0)</f>
        <v>0.9</v>
      </c>
      <c r="M23" s="48" t="n">
        <f aca="false">Assumptions!$B$114*1+Assumptions!$B$115*IF(M2&gt;=Assumptions!$B$56,1,0)+Assumptions!$B$116*IF(M2&gt;=Assumptions!$B$57,1,0)</f>
        <v>0.9</v>
      </c>
      <c r="N23" s="48" t="n">
        <f aca="false">Assumptions!$B$114*1+Assumptions!$B$115*IF(N2&gt;=Assumptions!$B$56,1,0)+Assumptions!$B$116*IF(N2&gt;=Assumptions!$B$57,1,0)</f>
        <v>0.9</v>
      </c>
      <c r="O23" s="48" t="n">
        <f aca="false">Assumptions!$B$114*1+Assumptions!$B$115*IF(O2&gt;=Assumptions!$B$56,1,0)+Assumptions!$B$116*IF(O2&gt;=Assumptions!$B$57,1,0)</f>
        <v>1</v>
      </c>
      <c r="P23" s="48" t="n">
        <f aca="false">Assumptions!$B$114*1+Assumptions!$B$115*IF(P2&gt;=Assumptions!$B$56,1,0)+Assumptions!$B$116*IF(P2&gt;=Assumptions!$B$57,1,0)</f>
        <v>1</v>
      </c>
      <c r="Q23" s="48" t="n">
        <f aca="false">Assumptions!$B$114*1+Assumptions!$B$115*IF(Q2&gt;=Assumptions!$B$56,1,0)+Assumptions!$B$116*IF(Q2&gt;=Assumptions!$B$57,1,0)</f>
        <v>1</v>
      </c>
      <c r="R23" s="48" t="n">
        <f aca="false">Assumptions!$B$114*1+Assumptions!$B$115*IF(R2&gt;=Assumptions!$B$56,1,0)+Assumptions!$B$116*IF(R2&gt;=Assumptions!$B$57,1,0)</f>
        <v>1</v>
      </c>
      <c r="S23" s="48" t="n">
        <f aca="false">Assumptions!$B$114*1+Assumptions!$B$115*IF(S2&gt;=Assumptions!$B$56,1,0)+Assumptions!$B$116*IF(S2&gt;=Assumptions!$B$57,1,0)</f>
        <v>1</v>
      </c>
      <c r="T23" s="48" t="n">
        <f aca="false">Assumptions!$B$114*1+Assumptions!$B$115*IF(T2&gt;=Assumptions!$B$56,1,0)+Assumptions!$B$116*IF(T2&gt;=Assumptions!$B$57,1,0)</f>
        <v>1</v>
      </c>
      <c r="U23" s="48" t="n">
        <f aca="false">Assumptions!$B$114*1+Assumptions!$B$115*IF(U2&gt;=Assumptions!$B$56,1,0)+Assumptions!$B$116*IF(U2&gt;=Assumptions!$B$57,1,0)</f>
        <v>1</v>
      </c>
      <c r="V23" s="48" t="n">
        <f aca="false">Assumptions!$B$114*1+Assumptions!$B$115*IF(V2&gt;=Assumptions!$B$56,1,0)+Assumptions!$B$116*IF(V2&gt;=Assumptions!$B$57,1,0)</f>
        <v>1</v>
      </c>
      <c r="W23" s="48" t="n">
        <f aca="false">Assumptions!$B$114*1+Assumptions!$B$115*IF(W2&gt;=Assumptions!$B$56,1,0)+Assumptions!$B$116*IF(W2&gt;=Assumptions!$B$57,1,0)</f>
        <v>1</v>
      </c>
      <c r="X23" s="48" t="n">
        <f aca="false">Assumptions!$B$114*1+Assumptions!$B$115*IF(X2&gt;=Assumptions!$B$56,1,0)+Assumptions!$B$116*IF(X2&gt;=Assumptions!$B$57,1,0)</f>
        <v>1</v>
      </c>
      <c r="Y23" s="48" t="n">
        <f aca="false">Assumptions!$B$114*1+Assumptions!$B$115*IF(Y2&gt;=Assumptions!$B$56,1,0)+Assumptions!$B$116*IF(Y2&gt;=Assumptions!$B$57,1,0)</f>
        <v>1</v>
      </c>
      <c r="Z23" s="48" t="n">
        <f aca="false">Assumptions!$B$114*1+Assumptions!$B$115*IF(Z2&gt;=Assumptions!$B$56,1,0)+Assumptions!$B$116*IF(Z2&gt;=Assumptions!$B$57,1,0)</f>
        <v>1</v>
      </c>
      <c r="AA23" s="48" t="n">
        <f aca="false">Assumptions!$B$114*1+Assumptions!$B$115*IF(AA2&gt;=Assumptions!$B$56,1,0)+Assumptions!$B$116*IF(AA2&gt;=Assumptions!$B$57,1,0)</f>
        <v>1</v>
      </c>
      <c r="AB23" s="48" t="n">
        <f aca="false">Assumptions!$B$114*1+Assumptions!$B$115*IF(AB2&gt;=Assumptions!$B$56,1,0)+Assumptions!$B$116*IF(AB2&gt;=Assumptions!$B$57,1,0)</f>
        <v>1</v>
      </c>
      <c r="AC23" s="48" t="n">
        <f aca="false">Assumptions!$B$114*1+Assumptions!$B$115*IF(AC2&gt;=Assumptions!$B$56,1,0)+Assumptions!$B$116*IF(AC2&gt;=Assumptions!$B$57,1,0)</f>
        <v>1</v>
      </c>
      <c r="AD23" s="48" t="n">
        <f aca="false">Assumptions!$B$114*1+Assumptions!$B$115*IF(AD2&gt;=Assumptions!$B$56,1,0)+Assumptions!$B$116*IF(AD2&gt;=Assumptions!$B$57,1,0)</f>
        <v>1</v>
      </c>
      <c r="AE23" s="48" t="n">
        <f aca="false">Assumptions!$B$114*1+Assumptions!$B$115*IF(AE2&gt;=Assumptions!$B$56,1,0)+Assumptions!$B$116*IF(AE2&gt;=Assumptions!$B$57,1,0)</f>
        <v>1</v>
      </c>
    </row>
    <row r="25" customFormat="false" ht="15" hidden="false" customHeight="false" outlineLevel="0" collapsed="false">
      <c r="A25" s="46" t="s">
        <v>437</v>
      </c>
      <c r="B25" s="47"/>
      <c r="C25" s="47"/>
      <c r="D25" s="47"/>
      <c r="E25" s="47"/>
      <c r="F25" s="47"/>
      <c r="G25" s="47"/>
      <c r="H25" s="47"/>
      <c r="I25" s="47"/>
      <c r="J25" s="47"/>
      <c r="K25" s="47"/>
      <c r="L25" s="47"/>
      <c r="M25" s="47"/>
      <c r="N25" s="47"/>
      <c r="O25" s="47"/>
      <c r="P25" s="47"/>
      <c r="Q25" s="47"/>
      <c r="R25" s="47"/>
      <c r="S25" s="47"/>
      <c r="T25" s="47"/>
      <c r="U25" s="47"/>
      <c r="V25" s="47"/>
      <c r="W25" s="47"/>
      <c r="X25" s="47"/>
      <c r="Y25" s="47"/>
      <c r="Z25" s="47"/>
      <c r="AA25" s="47"/>
      <c r="AB25" s="47"/>
      <c r="AC25" s="47"/>
      <c r="AD25" s="47"/>
      <c r="AE25" s="47"/>
    </row>
    <row r="26" customFormat="false" ht="15" hidden="false" customHeight="false" outlineLevel="0" collapsed="false">
      <c r="A26" s="6" t="s">
        <v>438</v>
      </c>
      <c r="B26" s="23" t="s">
        <v>190</v>
      </c>
      <c r="C26" s="53" t="n">
        <f aca="false">INDEX(Assumptions!$B$100:$B$106,C5)*Assumptions!$B$127/12*C7/Assumptions!$B$124*(1+Assumptions!$B$132)*1</f>
        <v>27.0666666666667</v>
      </c>
      <c r="D26" s="53" t="n">
        <f aca="false">INDEX(Assumptions!$B$100:$B$106,D5)*Assumptions!$B$127/12*D7/Assumptions!$B$124*(1+Assumptions!$B$132)*1</f>
        <v>27.0666666666667</v>
      </c>
      <c r="E26" s="53" t="n">
        <f aca="false">INDEX(Assumptions!$B$100:$B$106,E5)*Assumptions!$B$127/12*E7/Assumptions!$B$124*(1+Assumptions!$B$132)*1</f>
        <v>27.0666666666667</v>
      </c>
      <c r="F26" s="53" t="n">
        <f aca="false">INDEX(Assumptions!$B$100:$B$106,F5)*Assumptions!$B$127/12*F7/Assumptions!$B$124*(1+Assumptions!$B$132)*1</f>
        <v>27.0666666666667</v>
      </c>
      <c r="G26" s="53" t="n">
        <f aca="false">INDEX(Assumptions!$B$100:$B$106,G5)*Assumptions!$B$127/12*G7/Assumptions!$B$124*(1+Assumptions!$B$132)*1</f>
        <v>27.0666666666667</v>
      </c>
      <c r="H26" s="53" t="n">
        <f aca="false">INDEX(Assumptions!$B$100:$B$106,H5)*Assumptions!$B$127/12*H7/Assumptions!$B$124*(1+Assumptions!$B$132)*1</f>
        <v>27.0666666666667</v>
      </c>
      <c r="I26" s="53" t="n">
        <f aca="false">INDEX(Assumptions!$B$100:$B$106,I5)*Assumptions!$B$127/12*I7/Assumptions!$B$124*(1+Assumptions!$B$132)*1</f>
        <v>27.0666666666667</v>
      </c>
      <c r="J26" s="53" t="n">
        <f aca="false">INDEX(Assumptions!$B$100:$B$106,J5)*Assumptions!$B$127/12*J7/Assumptions!$B$124*(1+Assumptions!$B$132)*1</f>
        <v>27.0666666666667</v>
      </c>
      <c r="K26" s="53" t="n">
        <f aca="false">INDEX(Assumptions!$B$100:$B$106,K5)*Assumptions!$B$127/12*K7/Assumptions!$B$124*(1+Assumptions!$B$132)*1</f>
        <v>27.0666666666667</v>
      </c>
      <c r="L26" s="53" t="n">
        <f aca="false">INDEX(Assumptions!$B$100:$B$106,L5)*Assumptions!$B$127/12*L7/Assumptions!$B$124*(1+Assumptions!$B$132)*1</f>
        <v>27.0666666666667</v>
      </c>
      <c r="M26" s="53" t="n">
        <f aca="false">INDEX(Assumptions!$B$100:$B$106,M5)*Assumptions!$B$127/12*M7/Assumptions!$B$124*(1+Assumptions!$B$132)*1</f>
        <v>27.0666666666667</v>
      </c>
      <c r="N26" s="53" t="n">
        <f aca="false">INDEX(Assumptions!$B$100:$B$106,N5)*Assumptions!$B$127/12*N7/Assumptions!$B$124*(1+Assumptions!$B$132)*1</f>
        <v>27.0666666666667</v>
      </c>
      <c r="O26" s="53" t="n">
        <f aca="false">INDEX(Assumptions!$B$100:$B$106,O5)*Assumptions!$B$127/12*O7/Assumptions!$B$124*(1+Assumptions!$B$132)*1</f>
        <v>81.2</v>
      </c>
      <c r="P26" s="53" t="n">
        <f aca="false">INDEX(Assumptions!$B$100:$B$106,P5)*Assumptions!$B$127/12*P7/Assumptions!$B$124*(1+Assumptions!$B$132)*1</f>
        <v>81.2</v>
      </c>
      <c r="Q26" s="53" t="n">
        <f aca="false">INDEX(Assumptions!$B$100:$B$106,Q5)*Assumptions!$B$127/12*Q7/Assumptions!$B$124*(1+Assumptions!$B$132)*1</f>
        <v>81.2</v>
      </c>
      <c r="R26" s="53" t="n">
        <f aca="false">INDEX(Assumptions!$B$100:$B$106,R5)*Assumptions!$B$127/12*R7/Assumptions!$B$124*(1+Assumptions!$B$132)*1</f>
        <v>81.2</v>
      </c>
      <c r="S26" s="53" t="n">
        <f aca="false">INDEX(Assumptions!$B$100:$B$106,S5)*Assumptions!$B$127/12*S7/Assumptions!$B$124*(1+Assumptions!$B$132)*1</f>
        <v>81.2</v>
      </c>
      <c r="T26" s="53" t="n">
        <f aca="false">INDEX(Assumptions!$B$100:$B$106,T5)*Assumptions!$B$127/12*T7/Assumptions!$B$124*(1+Assumptions!$B$132)*1</f>
        <v>81.2</v>
      </c>
      <c r="U26" s="53" t="n">
        <f aca="false">INDEX(Assumptions!$B$100:$B$106,U5)*Assumptions!$B$127/12*U7/Assumptions!$B$124*(1+Assumptions!$B$132)*1</f>
        <v>81.2</v>
      </c>
      <c r="V26" s="53" t="n">
        <f aca="false">INDEX(Assumptions!$B$100:$B$106,V5)*Assumptions!$B$127/12*V7/Assumptions!$B$124*(1+Assumptions!$B$132)*1</f>
        <v>81.2</v>
      </c>
      <c r="W26" s="53" t="n">
        <f aca="false">INDEX(Assumptions!$B$100:$B$106,W5)*Assumptions!$B$127/12*W7/Assumptions!$B$124*(1+Assumptions!$B$132)*1</f>
        <v>81.2</v>
      </c>
      <c r="X26" s="53" t="n">
        <f aca="false">INDEX(Assumptions!$B$100:$B$106,X5)*Assumptions!$B$127/12*X7/Assumptions!$B$124*(1+Assumptions!$B$132)*1</f>
        <v>81.2</v>
      </c>
      <c r="Y26" s="53" t="n">
        <f aca="false">INDEX(Assumptions!$B$100:$B$106,Y5)*Assumptions!$B$127/12*Y7/Assumptions!$B$124*(1+Assumptions!$B$132)*1</f>
        <v>81.2</v>
      </c>
      <c r="Z26" s="53" t="n">
        <f aca="false">INDEX(Assumptions!$B$100:$B$106,Z5)*Assumptions!$B$127/12*Z7/Assumptions!$B$124*(1+Assumptions!$B$132)*1</f>
        <v>81.2</v>
      </c>
      <c r="AA26" s="53" t="n">
        <f aca="false">INDEX(Assumptions!$B$100:$B$106,AA5)*Assumptions!$B$127/12*AA7/Assumptions!$B$124*(1+Assumptions!$B$132)*1</f>
        <v>1353.33333333333</v>
      </c>
      <c r="AB26" s="53" t="n">
        <f aca="false">INDEX(Assumptions!$B$100:$B$106,AB5)*Assumptions!$B$127/12*AB7/Assumptions!$B$124*(1+Assumptions!$B$132)*1</f>
        <v>2165.33333333333</v>
      </c>
      <c r="AC26" s="53" t="n">
        <f aca="false">INDEX(Assumptions!$B$100:$B$106,AC5)*Assumptions!$B$127/12*AC7/Assumptions!$B$124*(1+Assumptions!$B$132)*1</f>
        <v>3248</v>
      </c>
      <c r="AD26" s="53" t="n">
        <f aca="false">INDEX(Assumptions!$B$100:$B$106,AD5)*Assumptions!$B$127/12*AD7/Assumptions!$B$124*(1+Assumptions!$B$132)*1</f>
        <v>4601.33333333333</v>
      </c>
      <c r="AE26" s="53" t="n">
        <f aca="false">INDEX(Assumptions!$B$100:$B$106,AE5)*Assumptions!$B$127/12*AE7/Assumptions!$B$124*(1+Assumptions!$B$132)*1</f>
        <v>5954.66666666667</v>
      </c>
    </row>
    <row r="27" customFormat="false" ht="15" hidden="false" customHeight="false" outlineLevel="0" collapsed="false">
      <c r="A27" s="6" t="s">
        <v>439</v>
      </c>
      <c r="B27" s="23" t="s">
        <v>190</v>
      </c>
      <c r="C27" s="54" t="n">
        <v>0</v>
      </c>
      <c r="D27" s="54" t="n">
        <f aca="false">IF(D2&gt;=Assumptions!$B$55,C31*Assumptions!$B$130/12*Assumptions!$B$131*D7,0)</f>
        <v>0</v>
      </c>
      <c r="E27" s="54" t="n">
        <f aca="false">IF(E2&gt;=Assumptions!$B$55,D31*Assumptions!$B$130/12*Assumptions!$B$131*E7,0)</f>
        <v>0</v>
      </c>
      <c r="F27" s="54" t="n">
        <f aca="false">IF(F2&gt;=Assumptions!$B$55,E31*Assumptions!$B$130/12*Assumptions!$B$131*F7,0)</f>
        <v>0</v>
      </c>
      <c r="G27" s="54" t="n">
        <f aca="false">IF(G2&gt;=Assumptions!$B$55,F31*Assumptions!$B$130/12*Assumptions!$B$131*G7,0)</f>
        <v>0</v>
      </c>
      <c r="H27" s="54" t="n">
        <f aca="false">IF(H2&gt;=Assumptions!$B$55,G31*Assumptions!$B$130/12*Assumptions!$B$131*H7,0)</f>
        <v>0</v>
      </c>
      <c r="I27" s="54" t="n">
        <f aca="false">IF(I2&gt;=Assumptions!$B$55,H31*Assumptions!$B$130/12*Assumptions!$B$131*I7,0)</f>
        <v>0</v>
      </c>
      <c r="J27" s="54" t="n">
        <f aca="false">IF(J2&gt;=Assumptions!$B$55,I31*Assumptions!$B$130/12*Assumptions!$B$131*J7,0)</f>
        <v>0</v>
      </c>
      <c r="K27" s="54" t="n">
        <f aca="false">IF(K2&gt;=Assumptions!$B$55,J31*Assumptions!$B$130/12*Assumptions!$B$131*K7,0)</f>
        <v>0</v>
      </c>
      <c r="L27" s="54" t="n">
        <f aca="false">IF(L2&gt;=Assumptions!$B$55,K31*Assumptions!$B$130/12*Assumptions!$B$131*L7,0)</f>
        <v>0</v>
      </c>
      <c r="M27" s="54" t="n">
        <f aca="false">IF(M2&gt;=Assumptions!$B$55,L31*Assumptions!$B$130/12*Assumptions!$B$131*M7,0)</f>
        <v>0</v>
      </c>
      <c r="N27" s="54" t="n">
        <f aca="false">IF(N2&gt;=Assumptions!$B$55,M31*Assumptions!$B$130/12*Assumptions!$B$131*N7,0)</f>
        <v>0</v>
      </c>
      <c r="O27" s="54" t="n">
        <f aca="false">IF(O2&gt;=Assumptions!$B$55,N31*Assumptions!$B$130/12*Assumptions!$B$131*O7,0)</f>
        <v>6.97056673653766</v>
      </c>
      <c r="P27" s="54" t="n">
        <f aca="false">IF(P2&gt;=Assumptions!$B$55,O31*Assumptions!$B$130/12*Assumptions!$B$131*P7,0)</f>
        <v>9.16992406844575</v>
      </c>
      <c r="Q27" s="54" t="n">
        <f aca="false">IF(Q2&gt;=Assumptions!$B$55,P31*Assumptions!$B$130/12*Assumptions!$B$131*Q7,0)</f>
        <v>11.1825581964797</v>
      </c>
      <c r="R27" s="54" t="n">
        <f aca="false">IF(R2&gt;=Assumptions!$B$55,Q31*Assumptions!$B$130/12*Assumptions!$B$131*R7,0)</f>
        <v>13.0349644160403</v>
      </c>
      <c r="S27" s="54" t="n">
        <f aca="false">IF(S2&gt;=Assumptions!$B$55,R31*Assumptions!$B$130/12*Assumptions!$B$131*S7,0)</f>
        <v>15.44215022813</v>
      </c>
      <c r="T27" s="54" t="n">
        <f aca="false">IF(T2&gt;=Assumptions!$B$55,S31*Assumptions!$B$130/12*Assumptions!$B$131*T7,0)</f>
        <v>17.4953368449818</v>
      </c>
      <c r="U27" s="54" t="n">
        <f aca="false">IF(U2&gt;=Assumptions!$B$55,T31*Assumptions!$B$130/12*Assumptions!$B$131*U7,0)</f>
        <v>19.0560325193714</v>
      </c>
      <c r="V27" s="54" t="n">
        <f aca="false">IF(V2&gt;=Assumptions!$B$55,U31*Assumptions!$B$130/12*Assumptions!$B$131*V7,0)</f>
        <v>20.4867957996668</v>
      </c>
      <c r="W27" s="54" t="n">
        <f aca="false">IF(W2&gt;=Assumptions!$B$55,V31*Assumptions!$B$130/12*Assumptions!$B$131*W7,0)</f>
        <v>21.8736445232789</v>
      </c>
      <c r="X27" s="54" t="n">
        <f aca="false">IF(X2&gt;=Assumptions!$B$55,W31*Assumptions!$B$130/12*Assumptions!$B$131*X7,0)</f>
        <v>23.4443755392374</v>
      </c>
      <c r="Y27" s="54" t="n">
        <f aca="false">IF(Y2&gt;=Assumptions!$B$55,X31*Assumptions!$B$130/12*Assumptions!$B$131*Y7,0)</f>
        <v>25.8861909845332</v>
      </c>
      <c r="Z27" s="54" t="n">
        <f aca="false">IF(Z2&gt;=Assumptions!$B$55,Y31*Assumptions!$B$130/12*Assumptions!$B$131*Z7,0)</f>
        <v>27.9821382357873</v>
      </c>
      <c r="AA27" s="54" t="n">
        <f aca="false">IF(AA2&gt;=Assumptions!$B$55,Z31*Assumptions!$B$130/12*Assumptions!$B$131*AA7,0)</f>
        <v>355.347037559212</v>
      </c>
      <c r="AB27" s="54" t="n">
        <f aca="false">IF(AB2&gt;=Assumptions!$B$55,AA31*Assumptions!$B$130/12*Assumptions!$B$131*AB7,0)</f>
        <v>720.858473205823</v>
      </c>
      <c r="AC27" s="54" t="n">
        <f aca="false">IF(AC2&gt;=Assumptions!$B$55,AB31*Assumptions!$B$130/12*Assumptions!$B$131*AC7,0)</f>
        <v>1235.19417239882</v>
      </c>
      <c r="AD27" s="54" t="n">
        <f aca="false">IF(AD2&gt;=Assumptions!$B$55,AC31*Assumptions!$B$130/12*Assumptions!$B$131*AD7,0)</f>
        <v>1930.51244882134</v>
      </c>
      <c r="AE27" s="54" t="n">
        <f aca="false">IF(AE2&gt;=Assumptions!$B$55,AD31*Assumptions!$B$130/12*Assumptions!$B$131*AE7,0)</f>
        <v>2701.63832773825</v>
      </c>
    </row>
    <row r="28" customFormat="false" ht="15" hidden="false" customHeight="false" outlineLevel="0" collapsed="false">
      <c r="A28" s="6" t="s">
        <v>440</v>
      </c>
      <c r="B28" s="23" t="s">
        <v>190</v>
      </c>
      <c r="C28" s="54" t="n">
        <f aca="false">C26+C27+IF(C23=0,0,C20*Assumptions!$B$114/C23*1)</f>
        <v>33.0666666666667</v>
      </c>
      <c r="D28" s="54" t="n">
        <f aca="false">D26+D27+IF(D23=0,0,D20*Assumptions!$B$114/D23*1)</f>
        <v>33.0666666666667</v>
      </c>
      <c r="E28" s="54" t="n">
        <f aca="false">E26+E27+IF(E23=0,0,E20*Assumptions!$B$114/E23*1)</f>
        <v>33.0666666666667</v>
      </c>
      <c r="F28" s="54" t="n">
        <f aca="false">F26+F27+IF(F23=0,0,F20*Assumptions!$B$114/F23*1)</f>
        <v>33.0666666666667</v>
      </c>
      <c r="G28" s="54" t="n">
        <f aca="false">G26+G27+IF(G23=0,0,G20*Assumptions!$B$114/G23*1)</f>
        <v>33.0666666666667</v>
      </c>
      <c r="H28" s="54" t="n">
        <f aca="false">H26+H27+IF(H23=0,0,H20*Assumptions!$B$114/H23*1)</f>
        <v>33.0666666666667</v>
      </c>
      <c r="I28" s="54" t="n">
        <f aca="false">I26+I27+IF(I23=0,0,I20*Assumptions!$B$114/I23*1)</f>
        <v>33.0666666666667</v>
      </c>
      <c r="J28" s="54" t="n">
        <f aca="false">J26+J27+IF(J23=0,0,J20*Assumptions!$B$114/J23*1)</f>
        <v>33.0666666666667</v>
      </c>
      <c r="K28" s="54" t="n">
        <f aca="false">K26+K27+IF(K23=0,0,K20*Assumptions!$B$114/K23*1)</f>
        <v>33.0666666666667</v>
      </c>
      <c r="L28" s="54" t="n">
        <f aca="false">L26+L27+IF(L23=0,0,L20*Assumptions!$B$114/L23*1)</f>
        <v>33.0666666666667</v>
      </c>
      <c r="M28" s="54" t="n">
        <f aca="false">M26+M27+IF(M23=0,0,M20*Assumptions!$B$114/M23*1)</f>
        <v>33.0666666666667</v>
      </c>
      <c r="N28" s="54" t="n">
        <f aca="false">N26+N27+IF(N23=0,0,N20*Assumptions!$B$114/N23*1)</f>
        <v>33.0666666666667</v>
      </c>
      <c r="O28" s="54" t="n">
        <f aca="false">O26+O27+IF(O23=0,0,O20*Assumptions!$B$114/O23*1)</f>
        <v>111.120566736538</v>
      </c>
      <c r="P28" s="54" t="n">
        <f aca="false">P26+P27+IF(P23=0,0,P20*Assumptions!$B$114/P23*1)</f>
        <v>113.319924068446</v>
      </c>
      <c r="Q28" s="54" t="n">
        <f aca="false">Q26+Q27+IF(Q23=0,0,Q20*Assumptions!$B$114/Q23*1)</f>
        <v>115.33255819648</v>
      </c>
      <c r="R28" s="54" t="n">
        <f aca="false">R26+R27+IF(R23=0,0,R20*Assumptions!$B$114/R23*1)</f>
        <v>117.18496441604</v>
      </c>
      <c r="S28" s="54" t="n">
        <f aca="false">S26+S27+IF(S23=0,0,S20*Assumptions!$B$114/S23*1)</f>
        <v>119.59215022813</v>
      </c>
      <c r="T28" s="54" t="n">
        <f aca="false">T26+T27+IF(T23=0,0,T20*Assumptions!$B$114/T23*1)</f>
        <v>121.645336844982</v>
      </c>
      <c r="U28" s="54" t="n">
        <f aca="false">U26+U27+IF(U23=0,0,U20*Assumptions!$B$114/U23*1)</f>
        <v>123.206032519371</v>
      </c>
      <c r="V28" s="54" t="n">
        <f aca="false">V26+V27+IF(V23=0,0,V20*Assumptions!$B$114/V23*1)</f>
        <v>124.636795799667</v>
      </c>
      <c r="W28" s="54" t="n">
        <f aca="false">W26+W27+IF(W23=0,0,W20*Assumptions!$B$114/W23*1)</f>
        <v>126.023644523279</v>
      </c>
      <c r="X28" s="54" t="n">
        <f aca="false">X26+X27+IF(X23=0,0,X20*Assumptions!$B$114/X23*1)</f>
        <v>127.594375539237</v>
      </c>
      <c r="Y28" s="54" t="n">
        <f aca="false">Y26+Y27+IF(Y23=0,0,Y20*Assumptions!$B$114/Y23*1)</f>
        <v>130.036190984533</v>
      </c>
      <c r="Z28" s="54" t="n">
        <f aca="false">Z26+Z27+IF(Z23=0,0,Z20*Assumptions!$B$114/Z23*1)</f>
        <v>132.132138235787</v>
      </c>
      <c r="AA28" s="54" t="n">
        <f aca="false">AA26+AA27+IF(AA23=0,0,AA20*Assumptions!$B$114/AA23*1)</f>
        <v>2572.68037089255</v>
      </c>
      <c r="AB28" s="54" t="n">
        <f aca="false">AB26+AB27+IF(AB23=0,0,AB20*Assumptions!$B$114/AB23*1)</f>
        <v>4182.19180653916</v>
      </c>
      <c r="AC28" s="54" t="n">
        <f aca="false">AC26+AC27+IF(AC23=0,0,AC20*Assumptions!$B$114/AC23*1)</f>
        <v>6427.19417239882</v>
      </c>
      <c r="AD28" s="54" t="n">
        <f aca="false">AD26+AD27+IF(AD23=0,0,AD20*Assumptions!$B$114/AD23*1)</f>
        <v>8821.44578215468</v>
      </c>
      <c r="AE28" s="54" t="n">
        <f aca="false">AE26+AE27+IF(AE23=0,0,AE20*Assumptions!$B$114/AE23*1)</f>
        <v>11334.7049944049</v>
      </c>
    </row>
    <row r="29" customFormat="false" ht="15" hidden="false" customHeight="false" outlineLevel="0" collapsed="false">
      <c r="A29" s="6" t="s">
        <v>441</v>
      </c>
      <c r="B29" s="23" t="s">
        <v>436</v>
      </c>
      <c r="C29" s="51" t="n">
        <v>1</v>
      </c>
      <c r="D29" s="51" t="n">
        <f aca="false">MAX(0,1-C34/Assumptions!$B$84)</f>
        <v>0.999765857525314</v>
      </c>
      <c r="E29" s="51" t="n">
        <f aca="false">MAX(0,1-D34/Assumptions!$B$84)</f>
        <v>0.999543358370949</v>
      </c>
      <c r="F29" s="51" t="n">
        <f aca="false">MAX(0,1-E34/Assumptions!$B$84)</f>
        <v>0.999330177468923</v>
      </c>
      <c r="G29" s="51" t="n">
        <f aca="false">MAX(0,1-F34/Assumptions!$B$84)</f>
        <v>0.999063758174964</v>
      </c>
      <c r="H29" s="51" t="n">
        <f aca="false">MAX(0,1-G34/Assumptions!$B$84)</f>
        <v>0.998822886698591</v>
      </c>
      <c r="I29" s="51" t="n">
        <f aca="false">MAX(0,1-H34/Assumptions!$B$84)</f>
        <v>0.998619121511493</v>
      </c>
      <c r="J29" s="51" t="n">
        <f aca="false">MAX(0,1-I34/Assumptions!$B$84)</f>
        <v>0.998422343016916</v>
      </c>
      <c r="K29" s="51" t="n">
        <f aca="false">MAX(0,1-J34/Assumptions!$B$84)</f>
        <v>0.998225603297659</v>
      </c>
      <c r="L29" s="51" t="n">
        <f aca="false">MAX(0,1-K34/Assumptions!$B$84)</f>
        <v>0.998010389315344</v>
      </c>
      <c r="M29" s="51" t="n">
        <f aca="false">MAX(0,1-L34/Assumptions!$B$84)</f>
        <v>0.997721185574853</v>
      </c>
      <c r="N29" s="51" t="n">
        <f aca="false">MAX(0,1-M34/Assumptions!$B$84)</f>
        <v>0.997455195234701</v>
      </c>
      <c r="O29" s="51" t="n">
        <f aca="false">MAX(0,1-N34/Assumptions!$B$84)</f>
        <v>0.9972216486069</v>
      </c>
      <c r="P29" s="51" t="n">
        <f aca="false">MAX(0,1-O34/Assumptions!$B$84)</f>
        <v>0.996436998691151</v>
      </c>
      <c r="Q29" s="51" t="n">
        <f aca="false">MAX(0,1-P34/Assumptions!$B$84)</f>
        <v>0.995677029886261</v>
      </c>
      <c r="R29" s="51" t="n">
        <f aca="false">MAX(0,1-Q34/Assumptions!$B$84)</f>
        <v>0.994936356647134</v>
      </c>
      <c r="S29" s="51" t="n">
        <f aca="false">MAX(0,1-R34/Assumptions!$B$84)</f>
        <v>0.993996344540984</v>
      </c>
      <c r="T29" s="51" t="n">
        <f aca="false">MAX(0,1-S34/Assumptions!$B$84)</f>
        <v>0.993129603794073</v>
      </c>
      <c r="U29" s="51" t="n">
        <f aca="false">MAX(0,1-T34/Assumptions!$B$84)</f>
        <v>0.992384267142086</v>
      </c>
      <c r="V29" s="51" t="n">
        <f aca="false">MAX(0,1-U34/Assumptions!$B$84)</f>
        <v>0.99165565034021</v>
      </c>
      <c r="W29" s="51" t="n">
        <f aca="false">MAX(0,1-V34/Assumptions!$B$84)</f>
        <v>0.990919113448077</v>
      </c>
      <c r="X29" s="51" t="n">
        <f aca="false">MAX(0,1-W34/Assumptions!$B$84)</f>
        <v>0.990104893755563</v>
      </c>
      <c r="Y29" s="51" t="n">
        <f aca="false">MAX(0,1-X34/Assumptions!$B$84)</f>
        <v>0.98899778276074</v>
      </c>
      <c r="Z29" s="51" t="n">
        <f aca="false">MAX(0,1-Y34/Assumptions!$B$84)</f>
        <v>0.987960909175195</v>
      </c>
      <c r="AA29" s="51" t="n">
        <f aca="false">MAX(0,1-Z34/Assumptions!$B$84)</f>
        <v>0.987036555843537</v>
      </c>
      <c r="AB29" s="51" t="n">
        <f aca="false">MAX(0,1-AA34/Assumptions!$B$84)</f>
        <v>0.969233789849263</v>
      </c>
      <c r="AC29" s="51" t="n">
        <f aca="false">MAX(0,1-AB34/Assumptions!$B$84)</f>
        <v>0.940815305877887</v>
      </c>
      <c r="AD29" s="51" t="n">
        <f aca="false">MAX(0,1-AC34/Assumptions!$B$84)</f>
        <v>0.898422300347463</v>
      </c>
      <c r="AE29" s="51" t="n">
        <f aca="false">MAX(0,1-AD34/Assumptions!$B$84)</f>
        <v>0.842858914096553</v>
      </c>
    </row>
    <row r="30" customFormat="false" ht="15" hidden="false" customHeight="false" outlineLevel="0" collapsed="false">
      <c r="A30" s="6" t="s">
        <v>442</v>
      </c>
      <c r="B30" s="23" t="s">
        <v>190</v>
      </c>
      <c r="C30" s="54" t="n">
        <f aca="false">C28*C29*C15</f>
        <v>33.3973333333333</v>
      </c>
      <c r="D30" s="54" t="n">
        <f aca="false">D28*D29*D15</f>
        <v>31.7365673812836</v>
      </c>
      <c r="E30" s="54" t="n">
        <f aca="false">E28*E29*E15</f>
        <v>30.4074416861221</v>
      </c>
      <c r="F30" s="54" t="n">
        <f aca="false">F28*F29*F15</f>
        <v>38.0011955485516</v>
      </c>
      <c r="G30" s="54" t="n">
        <f aca="false">G28*G29*G15</f>
        <v>34.3571366011316</v>
      </c>
      <c r="H30" s="54" t="n">
        <f aca="false">H28*H29*H15</f>
        <v>29.0644142390801</v>
      </c>
      <c r="I30" s="54" t="n">
        <f aca="false">I28*I29*I15</f>
        <v>28.067854775283</v>
      </c>
      <c r="J30" s="54" t="n">
        <f aca="false">J28*J29*J15</f>
        <v>28.0623239877288</v>
      </c>
      <c r="K30" s="54" t="n">
        <f aca="false">K28*K29*K15</f>
        <v>30.6974337526096</v>
      </c>
      <c r="L30" s="54" t="n">
        <f aca="false">L28*L29*L15</f>
        <v>41.2510960917009</v>
      </c>
      <c r="M30" s="54" t="n">
        <f aca="false">M28*M29*M15</f>
        <v>37.9400109501264</v>
      </c>
      <c r="N30" s="54" t="n">
        <f aca="false">N28*N29*N15</f>
        <v>33.3123436403184</v>
      </c>
      <c r="O30" s="54" t="n">
        <f aca="false">O28*O29*O15</f>
        <v>111.919953102695</v>
      </c>
      <c r="P30" s="54" t="n">
        <f aca="false">P28*P29*P15</f>
        <v>108.399518429444</v>
      </c>
      <c r="Q30" s="54" t="n">
        <f aca="false">Q28*Q29*Q15</f>
        <v>105.647260674715</v>
      </c>
      <c r="R30" s="54" t="n">
        <f aca="false">R28*R29*R15</f>
        <v>134.080318782407</v>
      </c>
      <c r="S30" s="54" t="n">
        <f aca="false">S28*S29*S15</f>
        <v>123.62912656906</v>
      </c>
      <c r="T30" s="54" t="n">
        <f aca="false">T28*T29*T15</f>
        <v>106.312434962143</v>
      </c>
      <c r="U30" s="54" t="n">
        <f aca="false">U28*U29*U15</f>
        <v>103.927569045837</v>
      </c>
      <c r="V30" s="54" t="n">
        <f aca="false">V28*V29*V15</f>
        <v>105.057265375783</v>
      </c>
      <c r="W30" s="54" t="n">
        <f aca="false">W28*W29*W15</f>
        <v>116.137691437188</v>
      </c>
      <c r="X30" s="54" t="n">
        <f aca="false">X28*X29*X15</f>
        <v>157.914769546355</v>
      </c>
      <c r="Y30" s="54" t="n">
        <f aca="false">Y28*Y29*Y15</f>
        <v>147.896330246709</v>
      </c>
      <c r="Z30" s="54" t="n">
        <f aca="false">Z28*Z29*Z15</f>
        <v>131.846801296918</v>
      </c>
      <c r="AA30" s="54" t="n">
        <f aca="false">AA28*AA29*AA15</f>
        <v>2539.32957257205</v>
      </c>
      <c r="AB30" s="54" t="n">
        <f aca="false">AB28*AB29*AB15</f>
        <v>4053.52161452848</v>
      </c>
      <c r="AC30" s="54" t="n">
        <f aca="false">AC28*AC29*AC15</f>
        <v>6046.80265124196</v>
      </c>
      <c r="AD30" s="54" t="n">
        <f aca="false">AD28*AD29*AD15</f>
        <v>7925.38361199383</v>
      </c>
      <c r="AE30" s="54" t="n">
        <f aca="false">AE28*AE29*AE15</f>
        <v>9553.5571431889</v>
      </c>
    </row>
    <row r="31" customFormat="false" ht="15" hidden="false" customHeight="false" outlineLevel="0" collapsed="false">
      <c r="A31" s="6" t="s">
        <v>443</v>
      </c>
      <c r="B31" s="23" t="s">
        <v>190</v>
      </c>
      <c r="C31" s="28" t="n">
        <f aca="false">C30*(1-Assumptions!$B$122)^(C7/2)</f>
        <v>32.5756859856939</v>
      </c>
      <c r="D31" s="28" t="n">
        <f aca="false">C31*(1-Assumptions!$B$122)^D7+D30*(1-Assumptions!$B$122)^(D7/2)</f>
        <v>61.9483154358423</v>
      </c>
      <c r="E31" s="28" t="n">
        <f aca="false">D31*(1-Assumptions!$B$122)^E7+E30*(1-Assumptions!$B$122)^(E7/2)</f>
        <v>88.5970352007191</v>
      </c>
      <c r="F31" s="28" t="n">
        <f aca="false">E31*(1-Assumptions!$B$122)^F7+F30*(1-Assumptions!$B$122)^(F7/2)</f>
        <v>121.357582073043</v>
      </c>
      <c r="G31" s="28" t="n">
        <f aca="false">F31*(1-Assumptions!$B$122)^G7+G30*(1-Assumptions!$B$122)^(G7/2)</f>
        <v>148.971588681215</v>
      </c>
      <c r="H31" s="28" t="n">
        <f aca="false">G31*(1-Assumptions!$B$122)^H7+H30*(1-Assumptions!$B$122)^(H7/2)</f>
        <v>170.08106956178</v>
      </c>
      <c r="I31" s="28" t="n">
        <f aca="false">H31*(1-Assumptions!$B$122)^I7+I30*(1-Assumptions!$B$122)^(I7/2)</f>
        <v>189.19260672467</v>
      </c>
      <c r="J31" s="28" t="n">
        <f aca="false">I31*(1-Assumptions!$B$122)^J7+J30*(1-Assumptions!$B$122)^(J7/2)</f>
        <v>207.369945644581</v>
      </c>
      <c r="K31" s="28" t="n">
        <f aca="false">J31*(1-Assumptions!$B$122)^K7+K30*(1-Assumptions!$B$122)^(K7/2)</f>
        <v>227.234162543346</v>
      </c>
      <c r="L31" s="28" t="n">
        <f aca="false">K31*(1-Assumptions!$B$122)^L7+L30*(1-Assumptions!$B$122)^(L7/2)</f>
        <v>256.427015552593</v>
      </c>
      <c r="M31" s="28" t="n">
        <f aca="false">L31*(1-Assumptions!$B$122)^M7+M30*(1-Assumptions!$B$122)^(M7/2)</f>
        <v>280.971496935012</v>
      </c>
      <c r="N31" s="28" t="n">
        <f aca="false">M31*(1-Assumptions!$B$122)^N7+N30*(1-Assumptions!$B$122)^(N7/2)</f>
        <v>299.80932200162</v>
      </c>
      <c r="O31" s="28" t="n">
        <f aca="false">N31*(1-Assumptions!$B$122)^O7+O30*(1-Assumptions!$B$122)^(O7/2)</f>
        <v>394.405336277237</v>
      </c>
      <c r="P31" s="28" t="n">
        <f aca="false">O31*(1-Assumptions!$B$122)^P7+P30*(1-Assumptions!$B$122)^(P7/2)</f>
        <v>480.97024500988</v>
      </c>
      <c r="Q31" s="28" t="n">
        <f aca="false">P31*(1-Assumptions!$B$122)^Q7+Q30*(1-Assumptions!$B$122)^(Q7/2)</f>
        <v>560.643630797434</v>
      </c>
      <c r="R31" s="28" t="n">
        <f aca="false">Q31*(1-Assumptions!$B$122)^R7+R30*(1-Assumptions!$B$122)^(R7/2)</f>
        <v>664.178504435697</v>
      </c>
      <c r="S31" s="28" t="n">
        <f aca="false">R31*(1-Assumptions!$B$122)^S7+S30*(1-Assumptions!$B$122)^(S7/2)</f>
        <v>752.487606235777</v>
      </c>
      <c r="T31" s="28" t="n">
        <f aca="false">S31*(1-Assumptions!$B$122)^T7+T30*(1-Assumptions!$B$122)^(T7/2)</f>
        <v>819.614301908446</v>
      </c>
      <c r="U31" s="28" t="n">
        <f aca="false">T31*(1-Assumptions!$B$122)^U7+U30*(1-Assumptions!$B$122)^(U7/2)</f>
        <v>881.152507512549</v>
      </c>
      <c r="V31" s="28" t="n">
        <f aca="false">U31*(1-Assumptions!$B$122)^V7+V30*(1-Assumptions!$B$122)^(V7/2)</f>
        <v>940.801914979739</v>
      </c>
      <c r="W31" s="28" t="n">
        <f aca="false">V31*(1-Assumptions!$B$122)^W7+W30*(1-Assumptions!$B$122)^(W7/2)</f>
        <v>1008.36023824677</v>
      </c>
      <c r="X31" s="28" t="n">
        <f aca="false">W31*(1-Assumptions!$B$122)^X7+X30*(1-Assumptions!$B$122)^(X7/2)</f>
        <v>1113.38455847455</v>
      </c>
      <c r="Y31" s="28" t="n">
        <f aca="false">X31*(1-Assumptions!$B$122)^Y7+Y30*(1-Assumptions!$B$122)^(Y7/2)</f>
        <v>1203.53282734569</v>
      </c>
      <c r="Z31" s="28" t="n">
        <f aca="false">Y31*(1-Assumptions!$B$122)^Z7+Z30*(1-Assumptions!$B$122)^(Z7/2)</f>
        <v>1273.64529591115</v>
      </c>
      <c r="AA31" s="28" t="n">
        <f aca="false">Z31*(1-Assumptions!$B$122)^AA7+AA30*(1-Assumptions!$B$122)^(AA7/2)</f>
        <v>2583.72212618575</v>
      </c>
      <c r="AB31" s="28" t="n">
        <f aca="false">AA31*(1-Assumptions!$B$122)^AB7+AB30*(1-Assumptions!$B$122)^(AB7/2)</f>
        <v>4427.21925590973</v>
      </c>
      <c r="AC31" s="28" t="n">
        <f aca="false">AB31*(1-Assumptions!$B$122)^AC7+AC30*(1-Assumptions!$B$122)^(AC7/2)</f>
        <v>6919.39945814102</v>
      </c>
      <c r="AD31" s="28" t="n">
        <f aca="false">AC31*(1-Assumptions!$B$122)^AD7+AD30*(1-Assumptions!$B$122)^(AD7/2)</f>
        <v>9683.2914972697</v>
      </c>
      <c r="AE31" s="28" t="n">
        <f aca="false">AD31*(1-Assumptions!$B$122)^AE7+AE30*(1-Assumptions!$B$122)^(AE7/2)</f>
        <v>12410.9179266683</v>
      </c>
    </row>
    <row r="32" customFormat="false" ht="15" hidden="false" customHeight="false" outlineLevel="0" collapsed="false">
      <c r="A32" s="6" t="s">
        <v>444</v>
      </c>
      <c r="B32" s="23" t="s">
        <v>190</v>
      </c>
      <c r="C32" s="54" t="n">
        <f aca="false">C30-C31</f>
        <v>0.821647347639448</v>
      </c>
      <c r="D32" s="54" t="n">
        <f aca="false">C31+D30-D31</f>
        <v>2.36393793113511</v>
      </c>
      <c r="E32" s="54" t="n">
        <f aca="false">D31+E30-E31</f>
        <v>3.75872192124534</v>
      </c>
      <c r="F32" s="54" t="n">
        <f aca="false">E31+F30-F31</f>
        <v>5.24064867622803</v>
      </c>
      <c r="G32" s="54" t="n">
        <f aca="false">F31+G30-G31</f>
        <v>6.7431299929593</v>
      </c>
      <c r="H32" s="54" t="n">
        <f aca="false">G31+H30-H31</f>
        <v>7.9549333585145</v>
      </c>
      <c r="I32" s="54" t="n">
        <f aca="false">H31+I30-I31</f>
        <v>8.95631761239366</v>
      </c>
      <c r="J32" s="54" t="n">
        <f aca="false">I31+J30-J31</f>
        <v>9.88498506781718</v>
      </c>
      <c r="K32" s="54" t="n">
        <f aca="false">J31+K30-K31</f>
        <v>10.8332168538452</v>
      </c>
      <c r="L32" s="54" t="n">
        <f aca="false">K31+L30-L31</f>
        <v>12.0582430824539</v>
      </c>
      <c r="M32" s="54" t="n">
        <f aca="false">L31+M30-M31</f>
        <v>13.3955295677072</v>
      </c>
      <c r="N32" s="54" t="n">
        <f aca="false">M31+N30-N31</f>
        <v>14.4745185737107</v>
      </c>
      <c r="O32" s="54" t="n">
        <f aca="false">N31+O30-O31</f>
        <v>17.3239388270778</v>
      </c>
      <c r="P32" s="54" t="n">
        <f aca="false">O31+P30-P31</f>
        <v>21.8346096968011</v>
      </c>
      <c r="Q32" s="54" t="n">
        <f aca="false">P31+Q30-Q31</f>
        <v>25.9738748871606</v>
      </c>
      <c r="R32" s="54" t="n">
        <f aca="false">Q31+R30-R31</f>
        <v>30.5454451441439</v>
      </c>
      <c r="S32" s="54" t="n">
        <f aca="false">R31+S30-S31</f>
        <v>35.32002476898</v>
      </c>
      <c r="T32" s="54" t="n">
        <f aca="false">S31+T30-T31</f>
        <v>39.185739289474</v>
      </c>
      <c r="U32" s="54" t="n">
        <f aca="false">T31+U30-U31</f>
        <v>42.3893634417339</v>
      </c>
      <c r="V32" s="54" t="n">
        <f aca="false">U31+V30-V31</f>
        <v>45.4078579085932</v>
      </c>
      <c r="W32" s="54" t="n">
        <f aca="false">V31+W30-W31</f>
        <v>48.5793681701557</v>
      </c>
      <c r="X32" s="54" t="n">
        <f aca="false">W31+X30-X31</f>
        <v>52.8904493185794</v>
      </c>
      <c r="Y32" s="54" t="n">
        <f aca="false">X31+Y30-Y31</f>
        <v>57.7480613755672</v>
      </c>
      <c r="Z32" s="54" t="n">
        <f aca="false">Y31+Z30-Z31</f>
        <v>61.7343327314536</v>
      </c>
      <c r="AA32" s="54" t="n">
        <f aca="false">Z31+AA30-AA31</f>
        <v>1229.25274229746</v>
      </c>
      <c r="AB32" s="54" t="n">
        <f aca="false">AA31+AB30-AB31</f>
        <v>2210.0244848045</v>
      </c>
      <c r="AC32" s="54" t="n">
        <f aca="false">AB31+AC30-AC31</f>
        <v>3554.62244901068</v>
      </c>
      <c r="AD32" s="54" t="n">
        <f aca="false">AC31+AD30-AD31</f>
        <v>5161.49157286515</v>
      </c>
      <c r="AE32" s="54" t="n">
        <f aca="false">AD31+AE30-AE31</f>
        <v>6825.93071379032</v>
      </c>
    </row>
    <row r="33" customFormat="false" ht="15" hidden="false" customHeight="false" outlineLevel="0" collapsed="false">
      <c r="A33" s="6" t="s">
        <v>445</v>
      </c>
      <c r="B33" s="23" t="s">
        <v>190</v>
      </c>
      <c r="C33" s="45" t="n">
        <f aca="false">C32</f>
        <v>0.821647347639448</v>
      </c>
      <c r="D33" s="45" t="n">
        <f aca="false">C33+D32</f>
        <v>3.18558527877456</v>
      </c>
      <c r="E33" s="45" t="n">
        <f aca="false">D33+E32</f>
        <v>6.9443072000199</v>
      </c>
      <c r="F33" s="45" t="n">
        <f aca="false">E33+F32</f>
        <v>12.1849558762479</v>
      </c>
      <c r="G33" s="45" t="n">
        <f aca="false">F33+G32</f>
        <v>18.9280858692072</v>
      </c>
      <c r="H33" s="45" t="n">
        <f aca="false">G33+H32</f>
        <v>26.8830192277217</v>
      </c>
      <c r="I33" s="45" t="n">
        <f aca="false">H33+I32</f>
        <v>35.8393368401154</v>
      </c>
      <c r="J33" s="45" t="n">
        <f aca="false">I33+J32</f>
        <v>45.7243219079326</v>
      </c>
      <c r="K33" s="45" t="n">
        <f aca="false">J33+K32</f>
        <v>56.5575387617778</v>
      </c>
      <c r="L33" s="45" t="n">
        <f aca="false">K33+L32</f>
        <v>68.6157818442317</v>
      </c>
      <c r="M33" s="45" t="n">
        <f aca="false">L33+M32</f>
        <v>82.011311411939</v>
      </c>
      <c r="N33" s="45" t="n">
        <f aca="false">M33+N32</f>
        <v>96.4858299856496</v>
      </c>
      <c r="O33" s="45" t="n">
        <f aca="false">N33+O32</f>
        <v>113.809768812727</v>
      </c>
      <c r="P33" s="45" t="n">
        <f aca="false">O33+P32</f>
        <v>135.644378509529</v>
      </c>
      <c r="Q33" s="45" t="n">
        <f aca="false">P33+Q32</f>
        <v>161.618253396689</v>
      </c>
      <c r="R33" s="45" t="n">
        <f aca="false">Q33+R32</f>
        <v>192.163698540833</v>
      </c>
      <c r="S33" s="45" t="n">
        <f aca="false">R33+S32</f>
        <v>227.483723309813</v>
      </c>
      <c r="T33" s="45" t="n">
        <f aca="false">S33+T32</f>
        <v>266.669462599287</v>
      </c>
      <c r="U33" s="45" t="n">
        <f aca="false">T33+U32</f>
        <v>309.058826041021</v>
      </c>
      <c r="V33" s="45" t="n">
        <f aca="false">U33+V32</f>
        <v>354.466683949614</v>
      </c>
      <c r="W33" s="45" t="n">
        <f aca="false">V33+W32</f>
        <v>403.04605211977</v>
      </c>
      <c r="X33" s="45" t="n">
        <f aca="false">W33+X32</f>
        <v>455.936501438349</v>
      </c>
      <c r="Y33" s="45" t="n">
        <f aca="false">X33+Y32</f>
        <v>513.684562813916</v>
      </c>
      <c r="Z33" s="45" t="n">
        <f aca="false">Y33+Z32</f>
        <v>575.41889554537</v>
      </c>
      <c r="AA33" s="45" t="n">
        <f aca="false">Z33+AA32</f>
        <v>1804.67163784283</v>
      </c>
      <c r="AB33" s="45" t="n">
        <f aca="false">AA33+AB32</f>
        <v>4014.69612264733</v>
      </c>
      <c r="AC33" s="45" t="n">
        <f aca="false">AB33+AC32</f>
        <v>7569.318571658</v>
      </c>
      <c r="AD33" s="45" t="n">
        <f aca="false">AC33+AD32</f>
        <v>12730.8101445232</v>
      </c>
      <c r="AE33" s="45" t="n">
        <f aca="false">AD33+AE32</f>
        <v>19556.7408583135</v>
      </c>
    </row>
    <row r="34" customFormat="false" ht="15" hidden="false" customHeight="false" outlineLevel="0" collapsed="false">
      <c r="A34" s="6" t="s">
        <v>446</v>
      </c>
      <c r="B34" s="23" t="s">
        <v>190</v>
      </c>
      <c r="C34" s="45" t="n">
        <f aca="false">C30</f>
        <v>33.3973333333333</v>
      </c>
      <c r="D34" s="45" t="n">
        <f aca="false">C34+D30</f>
        <v>65.1339007146169</v>
      </c>
      <c r="E34" s="45" t="n">
        <f aca="false">D34+E30</f>
        <v>95.541342400739</v>
      </c>
      <c r="F34" s="45" t="n">
        <f aca="false">E34+F30</f>
        <v>133.542537949291</v>
      </c>
      <c r="G34" s="45" t="n">
        <f aca="false">F34+G30</f>
        <v>167.899674550422</v>
      </c>
      <c r="H34" s="45" t="n">
        <f aca="false">G34+H30</f>
        <v>196.964088789502</v>
      </c>
      <c r="I34" s="45" t="n">
        <f aca="false">H34+I30</f>
        <v>225.031943564785</v>
      </c>
      <c r="J34" s="45" t="n">
        <f aca="false">I34+J30</f>
        <v>253.094267552514</v>
      </c>
      <c r="K34" s="45" t="n">
        <f aca="false">J34+K30</f>
        <v>283.791701305124</v>
      </c>
      <c r="L34" s="45" t="n">
        <f aca="false">K34+L30</f>
        <v>325.042797396825</v>
      </c>
      <c r="M34" s="45" t="n">
        <f aca="false">L34+M30</f>
        <v>362.982808346951</v>
      </c>
      <c r="N34" s="45" t="n">
        <f aca="false">M34+N30</f>
        <v>396.295151987269</v>
      </c>
      <c r="O34" s="45" t="n">
        <f aca="false">N34+O30</f>
        <v>508.215105089964</v>
      </c>
      <c r="P34" s="45" t="n">
        <f aca="false">O34+P30</f>
        <v>616.614623519408</v>
      </c>
      <c r="Q34" s="45" t="n">
        <f aca="false">P34+Q30</f>
        <v>722.261884194123</v>
      </c>
      <c r="R34" s="45" t="n">
        <f aca="false">Q34+R30</f>
        <v>856.34220297653</v>
      </c>
      <c r="S34" s="45" t="n">
        <f aca="false">R34+S30</f>
        <v>979.97132954559</v>
      </c>
      <c r="T34" s="45" t="n">
        <f aca="false">S34+T30</f>
        <v>1086.28376450773</v>
      </c>
      <c r="U34" s="45" t="n">
        <f aca="false">T34+U30</f>
        <v>1190.21133355357</v>
      </c>
      <c r="V34" s="45" t="n">
        <f aca="false">U34+V30</f>
        <v>1295.26859892935</v>
      </c>
      <c r="W34" s="45" t="n">
        <f aca="false">V34+W30</f>
        <v>1411.40629036654</v>
      </c>
      <c r="X34" s="45" t="n">
        <f aca="false">W34+X30</f>
        <v>1569.3210599129</v>
      </c>
      <c r="Y34" s="45" t="n">
        <f aca="false">X34+Y30</f>
        <v>1717.2173901596</v>
      </c>
      <c r="Z34" s="45" t="n">
        <f aca="false">Y34+Z30</f>
        <v>1849.06419145652</v>
      </c>
      <c r="AA34" s="45" t="n">
        <f aca="false">Z34+AA30</f>
        <v>4388.39376402858</v>
      </c>
      <c r="AB34" s="45" t="n">
        <f aca="false">AA34+AB30</f>
        <v>8441.91537855706</v>
      </c>
      <c r="AC34" s="45" t="n">
        <f aca="false">AB34+AC30</f>
        <v>14488.718029799</v>
      </c>
      <c r="AD34" s="45" t="n">
        <f aca="false">AC34+AD30</f>
        <v>22414.1016417929</v>
      </c>
      <c r="AE34" s="45" t="n">
        <f aca="false">AD34+AE30</f>
        <v>31967.6587849817</v>
      </c>
    </row>
    <row r="35" customFormat="false" ht="15" hidden="false" customHeight="false" outlineLevel="0" collapsed="false">
      <c r="A35" s="6" t="s">
        <v>447</v>
      </c>
      <c r="B35" s="23" t="s">
        <v>114</v>
      </c>
      <c r="C35" s="55" t="n">
        <f aca="false">IF(C2&gt;=Assumptions!$B$47,C31*Assumptions!$B$168*C7,0)</f>
        <v>1094.54304911931</v>
      </c>
      <c r="D35" s="55" t="n">
        <f aca="false">IF(D2&gt;=Assumptions!$B$47,D31*Assumptions!$B$168*D7,0)</f>
        <v>2081.4633986443</v>
      </c>
      <c r="E35" s="55" t="n">
        <f aca="false">IF(E2&gt;=Assumptions!$B$47,E31*Assumptions!$B$168*E7,0)</f>
        <v>2976.86038274416</v>
      </c>
      <c r="F35" s="55" t="n">
        <f aca="false">IF(F2&gt;=Assumptions!$B$47,F31*Assumptions!$B$168*F7,0)</f>
        <v>4077.61475765423</v>
      </c>
      <c r="G35" s="55" t="n">
        <f aca="false">IF(G2&gt;=Assumptions!$B$47,G31*Assumptions!$B$168*G7,0)</f>
        <v>5005.44537968882</v>
      </c>
      <c r="H35" s="55" t="n">
        <f aca="false">IF(H2&gt;=Assumptions!$B$47,H31*Assumptions!$B$168*H7,0)</f>
        <v>5714.72393727582</v>
      </c>
      <c r="I35" s="55" t="n">
        <f aca="false">IF(I2&gt;=Assumptions!$B$47,I31*Assumptions!$B$168*I7,0)</f>
        <v>6356.87158594891</v>
      </c>
      <c r="J35" s="55" t="n">
        <f aca="false">IF(J2&gt;=Assumptions!$B$47,J31*Assumptions!$B$168*J7,0)</f>
        <v>6967.63017365794</v>
      </c>
      <c r="K35" s="55" t="n">
        <f aca="false">IF(K2&gt;=Assumptions!$B$47,K31*Assumptions!$B$168*K7,0)</f>
        <v>7635.06786145642</v>
      </c>
      <c r="L35" s="55" t="n">
        <f aca="false">IF(L2&gt;=Assumptions!$B$47,L31*Assumptions!$B$168*L7,0)</f>
        <v>8615.94772256712</v>
      </c>
      <c r="M35" s="55" t="n">
        <f aca="false">IF(M2&gt;=Assumptions!$B$47,M31*Assumptions!$B$168*M7,0)</f>
        <v>9440.6422970164</v>
      </c>
      <c r="N35" s="55" t="n">
        <f aca="false">IF(N2&gt;=Assumptions!$B$47,N31*Assumptions!$B$168*N7,0)</f>
        <v>10073.5932192544</v>
      </c>
      <c r="O35" s="55" t="n">
        <f aca="false">IF(O2&gt;=Assumptions!$B$47,O31*Assumptions!$B$168*O7,0)</f>
        <v>13252.0192989151</v>
      </c>
      <c r="P35" s="55" t="n">
        <f aca="false">IF(P2&gt;=Assumptions!$B$47,P31*Assumptions!$B$168*P7,0)</f>
        <v>16160.600232332</v>
      </c>
      <c r="Q35" s="55" t="n">
        <f aca="false">IF(Q2&gt;=Assumptions!$B$47,Q31*Assumptions!$B$168*Q7,0)</f>
        <v>18837.6259947938</v>
      </c>
      <c r="R35" s="55" t="n">
        <f aca="false">IF(R2&gt;=Assumptions!$B$47,R31*Assumptions!$B$168*R7,0)</f>
        <v>22316.3977490394</v>
      </c>
      <c r="S35" s="55" t="n">
        <f aca="false">IF(S2&gt;=Assumptions!$B$47,S31*Assumptions!$B$168*S7,0)</f>
        <v>25283.5835695221</v>
      </c>
      <c r="T35" s="55" t="n">
        <f aca="false">IF(T2&gt;=Assumptions!$B$47,T31*Assumptions!$B$168*T7,0)</f>
        <v>27539.0405441238</v>
      </c>
      <c r="U35" s="55" t="n">
        <f aca="false">IF(U2&gt;=Assumptions!$B$47,U31*Assumptions!$B$168*U7,0)</f>
        <v>29606.7242524217</v>
      </c>
      <c r="V35" s="55" t="n">
        <f aca="false">IF(V2&gt;=Assumptions!$B$47,V31*Assumptions!$B$168*V7,0)</f>
        <v>31610.9443433192</v>
      </c>
      <c r="W35" s="55" t="n">
        <f aca="false">IF(W2&gt;=Assumptions!$B$47,W31*Assumptions!$B$168*W7,0)</f>
        <v>33880.9040050915</v>
      </c>
      <c r="X35" s="55" t="n">
        <f aca="false">IF(X2&gt;=Assumptions!$B$47,X31*Assumptions!$B$168*X7,0)</f>
        <v>37409.7211647448</v>
      </c>
      <c r="Y35" s="55" t="n">
        <f aca="false">IF(Y2&gt;=Assumptions!$B$47,Y31*Assumptions!$B$168*Y7,0)</f>
        <v>40438.7029988151</v>
      </c>
      <c r="Z35" s="55" t="n">
        <f aca="false">IF(Z2&gt;=Assumptions!$B$47,Z31*Assumptions!$B$168*Z7,0)</f>
        <v>42794.4819426147</v>
      </c>
      <c r="AA35" s="55" t="n">
        <f aca="false">IF(AA2&gt;=Assumptions!$B$47,AA31*Assumptions!$B$168*AA7,0)</f>
        <v>1041756.76127809</v>
      </c>
      <c r="AB35" s="55" t="n">
        <f aca="false">IF(AB2&gt;=Assumptions!$B$47,AB31*Assumptions!$B$168*AB7,0)</f>
        <v>1785054.8039828</v>
      </c>
      <c r="AC35" s="55" t="n">
        <f aca="false">IF(AC2&gt;=Assumptions!$B$47,AC31*Assumptions!$B$168*AC7,0)</f>
        <v>2789901.86152246</v>
      </c>
      <c r="AD35" s="55" t="n">
        <f aca="false">IF(AD2&gt;=Assumptions!$B$47,AD31*Assumptions!$B$168*AD7,0)</f>
        <v>3904303.13169914</v>
      </c>
      <c r="AE35" s="55" t="n">
        <f aca="false">IF(AE2&gt;=Assumptions!$B$47,AE31*Assumptions!$B$168*AE7,0)</f>
        <v>5004082.10803265</v>
      </c>
    </row>
    <row r="36" customFormat="false" ht="15" hidden="false" customHeight="false" outlineLevel="0" collapsed="false">
      <c r="A36" s="6" t="s">
        <v>448</v>
      </c>
      <c r="B36" s="23" t="s">
        <v>114</v>
      </c>
      <c r="C36" s="55" t="n">
        <f aca="false">IF(C2&gt;=Assumptions!$B$48,C31*Assumptions!$B$35*Assumptions!$B$139*Assumptions!$B$141*Assumptions!$B$32*Assumptions!$B$140/12*C7,0)</f>
        <v>105.219465733791</v>
      </c>
      <c r="D36" s="55" t="n">
        <f aca="false">IF(D2&gt;=Assumptions!$B$48,D31*Assumptions!$B$35*Assumptions!$B$139*Assumptions!$B$141*Assumptions!$B$32*Assumptions!$B$140/12*D7,0)</f>
        <v>200.093058857771</v>
      </c>
      <c r="E36" s="55" t="n">
        <f aca="false">IF(E2&gt;=Assumptions!$B$48,E31*Assumptions!$B$35*Assumptions!$B$139*Assumptions!$B$141*Assumptions!$B$32*Assumptions!$B$140/12*E7,0)</f>
        <v>286.168423698323</v>
      </c>
      <c r="F36" s="55" t="n">
        <f aca="false">IF(F2&gt;=Assumptions!$B$48,F31*Assumptions!$B$35*Assumptions!$B$139*Assumptions!$B$141*Assumptions!$B$32*Assumptions!$B$140/12*F7,0)</f>
        <v>391.984990095928</v>
      </c>
      <c r="G36" s="55" t="n">
        <f aca="false">IF(G2&gt;=Assumptions!$B$48,G31*Assumptions!$B$35*Assumptions!$B$139*Assumptions!$B$141*Assumptions!$B$32*Assumptions!$B$140/12*G7,0)</f>
        <v>481.178231440324</v>
      </c>
      <c r="H36" s="55" t="n">
        <f aca="false">IF(H2&gt;=Assumptions!$B$48,H31*Assumptions!$B$35*Assumptions!$B$139*Assumptions!$B$141*Assumptions!$B$32*Assumptions!$B$140/12*H7,0)</f>
        <v>549.361854684551</v>
      </c>
      <c r="I36" s="55" t="n">
        <f aca="false">IF(I2&gt;=Assumptions!$B$48,I31*Assumptions!$B$35*Assumptions!$B$139*Assumptions!$B$141*Assumptions!$B$32*Assumptions!$B$140/12*I7,0)</f>
        <v>611.092119720684</v>
      </c>
      <c r="J36" s="55" t="n">
        <f aca="false">IF(J2&gt;=Assumptions!$B$48,J31*Assumptions!$B$35*Assumptions!$B$139*Assumptions!$B$141*Assumptions!$B$32*Assumptions!$B$140/12*J7,0)</f>
        <v>669.804924431998</v>
      </c>
      <c r="K36" s="55" t="n">
        <f aca="false">IF(K2&gt;=Assumptions!$B$48,K31*Assumptions!$B$35*Assumptions!$B$139*Assumptions!$B$141*Assumptions!$B$32*Assumptions!$B$140/12*K7,0)</f>
        <v>733.966345015007</v>
      </c>
      <c r="L36" s="55" t="n">
        <f aca="false">IF(L2&gt;=Assumptions!$B$48,L31*Assumptions!$B$35*Assumptions!$B$139*Assumptions!$B$141*Assumptions!$B$32*Assumptions!$B$140/12*L7,0)</f>
        <v>828.259260234875</v>
      </c>
      <c r="M36" s="55" t="n">
        <f aca="false">IF(M2&gt;=Assumptions!$B$48,M31*Assumptions!$B$35*Assumptions!$B$139*Assumptions!$B$141*Assumptions!$B$32*Assumptions!$B$140/12*M7,0)</f>
        <v>907.537935100088</v>
      </c>
      <c r="N36" s="55" t="n">
        <f aca="false">IF(N2&gt;=Assumptions!$B$48,N31*Assumptions!$B$35*Assumptions!$B$139*Assumptions!$B$141*Assumptions!$B$32*Assumptions!$B$140/12*N7,0)</f>
        <v>968.384110065232</v>
      </c>
      <c r="O36" s="55" t="n">
        <f aca="false">IF(O2&gt;=Assumptions!$B$48,O31*Assumptions!$B$35*Assumptions!$B$139*Assumptions!$B$141*Assumptions!$B$32*Assumptions!$B$140/12*O7,0)</f>
        <v>1273.92923617547</v>
      </c>
      <c r="P36" s="55" t="n">
        <f aca="false">IF(P2&gt;=Assumptions!$B$48,P31*Assumptions!$B$35*Assumptions!$B$139*Assumptions!$B$141*Assumptions!$B$32*Assumptions!$B$140/12*P7,0)</f>
        <v>1553.53389138191</v>
      </c>
      <c r="Q36" s="55" t="n">
        <f aca="false">IF(Q2&gt;=Assumptions!$B$48,Q31*Assumptions!$B$35*Assumptions!$B$139*Assumptions!$B$141*Assumptions!$B$32*Assumptions!$B$140/12*Q7,0)</f>
        <v>1810.87892747571</v>
      </c>
      <c r="R36" s="55" t="n">
        <f aca="false">IF(R2&gt;=Assumptions!$B$48,R31*Assumptions!$B$35*Assumptions!$B$139*Assumptions!$B$141*Assumptions!$B$32*Assumptions!$B$140/12*R7,0)</f>
        <v>2145.2965693273</v>
      </c>
      <c r="S36" s="55" t="n">
        <f aca="false">IF(S2&gt;=Assumptions!$B$48,S31*Assumptions!$B$35*Assumptions!$B$139*Assumptions!$B$141*Assumptions!$B$32*Assumptions!$B$140/12*S7,0)</f>
        <v>2430.53496814156</v>
      </c>
      <c r="T36" s="55" t="n">
        <f aca="false">IF(T2&gt;=Assumptions!$B$48,T31*Assumptions!$B$35*Assumptions!$B$139*Assumptions!$B$141*Assumptions!$B$32*Assumptions!$B$140/12*T7,0)</f>
        <v>2647.35419516428</v>
      </c>
      <c r="U36" s="55" t="n">
        <f aca="false">IF(U2&gt;=Assumptions!$B$48,U31*Assumptions!$B$35*Assumptions!$B$139*Assumptions!$B$141*Assumptions!$B$32*Assumptions!$B$140/12*U7,0)</f>
        <v>2846.12259926553</v>
      </c>
      <c r="V36" s="55" t="n">
        <f aca="false">IF(V2&gt;=Assumptions!$B$48,V31*Assumptions!$B$35*Assumptions!$B$139*Assumptions!$B$141*Assumptions!$B$32*Assumptions!$B$140/12*V7,0)</f>
        <v>3038.79018538456</v>
      </c>
      <c r="W36" s="55" t="n">
        <f aca="false">IF(W2&gt;=Assumptions!$B$48,W31*Assumptions!$B$35*Assumptions!$B$139*Assumptions!$B$141*Assumptions!$B$32*Assumptions!$B$140/12*W7,0)</f>
        <v>3257.00356953707</v>
      </c>
      <c r="X36" s="55" t="n">
        <f aca="false">IF(X2&gt;=Assumptions!$B$48,X31*Assumptions!$B$35*Assumptions!$B$139*Assumptions!$B$141*Assumptions!$B$32*Assumptions!$B$140/12*X7,0)</f>
        <v>3596.23212387279</v>
      </c>
      <c r="Y36" s="55" t="n">
        <f aca="false">IF(Y2&gt;=Assumptions!$B$48,Y31*Assumptions!$B$35*Assumptions!$B$139*Assumptions!$B$141*Assumptions!$B$32*Assumptions!$B$140/12*Y7,0)</f>
        <v>3887.41103232657</v>
      </c>
      <c r="Z36" s="55" t="n">
        <f aca="false">IF(Z2&gt;=Assumptions!$B$48,Z31*Assumptions!$B$35*Assumptions!$B$139*Assumptions!$B$141*Assumptions!$B$32*Assumptions!$B$140/12*Z7,0)</f>
        <v>4113.87430579302</v>
      </c>
      <c r="AA36" s="55" t="n">
        <f aca="false">IF(AA2&gt;=Assumptions!$B$48,AA31*Assumptions!$B$35*Assumptions!$B$139*Assumptions!$B$141*Assumptions!$B$32*Assumptions!$B$140/12*AA7,0)</f>
        <v>100145.06961096</v>
      </c>
      <c r="AB36" s="55" t="n">
        <f aca="false">IF(AB2&gt;=Assumptions!$B$48,AB31*Assumptions!$B$35*Assumptions!$B$139*Assumptions!$B$141*Assumptions!$B$32*Assumptions!$B$140/12*AB7,0)</f>
        <v>171599.018359061</v>
      </c>
      <c r="AC36" s="55" t="n">
        <f aca="false">IF(AC2&gt;=Assumptions!$B$48,AC31*Assumptions!$B$35*Assumptions!$B$139*Assumptions!$B$141*Assumptions!$B$32*Assumptions!$B$140/12*AC7,0)</f>
        <v>268195.922997546</v>
      </c>
      <c r="AD36" s="55" t="n">
        <f aca="false">IF(AD2&gt;=Assumptions!$B$48,AD31*Assumptions!$B$35*Assumptions!$B$139*Assumptions!$B$141*Assumptions!$B$32*Assumptions!$B$140/12*AD7,0)</f>
        <v>375324.378434174</v>
      </c>
      <c r="AE36" s="55" t="n">
        <f aca="false">IF(AE2&gt;=Assumptions!$B$48,AE31*Assumptions!$B$35*Assumptions!$B$139*Assumptions!$B$141*Assumptions!$B$32*Assumptions!$B$140/12*AE7,0)</f>
        <v>481047.178837663</v>
      </c>
    </row>
    <row r="37" customFormat="false" ht="15" hidden="false" customHeight="false" outlineLevel="0" collapsed="false">
      <c r="A37" s="6" t="s">
        <v>449</v>
      </c>
      <c r="B37" s="23" t="s">
        <v>47</v>
      </c>
      <c r="C37" s="54" t="n">
        <f aca="false">(C35+C36)*(1-Assumptions!$B$8)/C21/(1+Assumptions!$B$9)</f>
        <v>7.93814811693153</v>
      </c>
      <c r="D37" s="54" t="n">
        <f aca="false">(D35+D36)*(1-Assumptions!$B$8)/D21/(1+Assumptions!$B$9)</f>
        <v>15.0957650973206</v>
      </c>
      <c r="E37" s="54" t="n">
        <f aca="false">(E35+E36)*(1-Assumptions!$B$8)/E21/(1+Assumptions!$B$9)</f>
        <v>21.5896109894099</v>
      </c>
      <c r="F37" s="54" t="n">
        <f aca="false">(F35+F36)*(1-Assumptions!$B$8)/F21/(1+Assumptions!$B$9)</f>
        <v>29.5728066028006</v>
      </c>
      <c r="G37" s="54" t="n">
        <f aca="false">(G35+G36)*(1-Assumptions!$B$8)/G21/(1+Assumptions!$B$9)</f>
        <v>36.3018767029318</v>
      </c>
      <c r="H37" s="54" t="n">
        <f aca="false">(H35+H36)*(1-Assumptions!$B$8)/H21/(1+Assumptions!$B$9)</f>
        <v>41.4459030167616</v>
      </c>
      <c r="I37" s="54" t="n">
        <f aca="false">(I35+I36)*(1-Assumptions!$B$8)/I21/(1+Assumptions!$B$9)</f>
        <v>46.1030639682725</v>
      </c>
      <c r="J37" s="54" t="n">
        <f aca="false">(J35+J36)*(1-Assumptions!$B$8)/J21/(1+Assumptions!$B$9)</f>
        <v>50.5325764820318</v>
      </c>
      <c r="K37" s="54" t="n">
        <f aca="false">(K35+K36)*(1-Assumptions!$B$8)/K21/(1+Assumptions!$B$9)</f>
        <v>55.3731528566474</v>
      </c>
      <c r="L37" s="54" t="n">
        <f aca="false">(L35+L36)*(1-Assumptions!$B$8)/L21/(1+Assumptions!$B$9)</f>
        <v>62.486961334694</v>
      </c>
      <c r="M37" s="54" t="n">
        <f aca="false">(M35+M36)*(1-Assumptions!$B$8)/M21/(1+Assumptions!$B$9)</f>
        <v>68.4680396380788</v>
      </c>
      <c r="N37" s="54" t="n">
        <f aca="false">(N35+N36)*(1-Assumptions!$B$8)/N21/(1+Assumptions!$B$9)</f>
        <v>73.0585015440921</v>
      </c>
      <c r="O37" s="54" t="n">
        <f aca="false">(O35+O36)*(1-Assumptions!$B$8)/O21/(1+Assumptions!$B$9)</f>
        <v>88.9083839802456</v>
      </c>
      <c r="P37" s="54" t="n">
        <f aca="false">(P35+P36)*(1-Assumptions!$B$8)/P21/(1+Assumptions!$B$9)</f>
        <v>108.422182189626</v>
      </c>
      <c r="Q37" s="54" t="n">
        <f aca="false">(Q35+Q36)*(1-Assumptions!$B$8)/Q21/(1+Assumptions!$B$9)</f>
        <v>126.382466508971</v>
      </c>
      <c r="R37" s="54" t="n">
        <f aca="false">(R35+R36)*(1-Assumptions!$B$8)/R21/(1+Assumptions!$B$9)</f>
        <v>149.721700170623</v>
      </c>
      <c r="S37" s="54" t="n">
        <f aca="false">(S35+S36)*(1-Assumptions!$B$8)/S21/(1+Assumptions!$B$9)</f>
        <v>169.628681161046</v>
      </c>
      <c r="T37" s="54" t="n">
        <f aca="false">(T35+T36)*(1-Assumptions!$B$8)/T21/(1+Assumptions!$B$9)</f>
        <v>184.760641824974</v>
      </c>
      <c r="U37" s="54" t="n">
        <f aca="false">(U35+U36)*(1-Assumptions!$B$8)/U21/(1+Assumptions!$B$9)</f>
        <v>198.632823334859</v>
      </c>
      <c r="V37" s="54" t="n">
        <f aca="false">(V35+V36)*(1-Assumptions!$B$8)/V21/(1+Assumptions!$B$9)</f>
        <v>212.079224626852</v>
      </c>
      <c r="W37" s="54" t="n">
        <f aca="false">(W35+W36)*(1-Assumptions!$B$8)/W21/(1+Assumptions!$B$9)</f>
        <v>227.308484460863</v>
      </c>
      <c r="X37" s="54" t="n">
        <f aca="false">(X35+X36)*(1-Assumptions!$B$8)/X21/(1+Assumptions!$B$9)</f>
        <v>250.98347496229</v>
      </c>
      <c r="Y37" s="54" t="n">
        <f aca="false">(Y35+Y36)*(1-Assumptions!$B$8)/Y21/(1+Assumptions!$B$9)</f>
        <v>271.305048142821</v>
      </c>
      <c r="Z37" s="54" t="n">
        <f aca="false">(Z35+Z36)*(1-Assumptions!$B$8)/Z21/(1+Assumptions!$B$9)</f>
        <v>287.110073338117</v>
      </c>
      <c r="AA37" s="54" t="n">
        <f aca="false">(AA35+AA36)*(1-Assumptions!$B$8)/AA21/(1+Assumptions!$B$9)</f>
        <v>6465.48771245827</v>
      </c>
      <c r="AB37" s="54" t="n">
        <f aca="false">(AB35+AB36)*(1-Assumptions!$B$8)/AB21/(1+Assumptions!$B$9)</f>
        <v>10248.5122148789</v>
      </c>
      <c r="AC37" s="54" t="n">
        <f aca="false">(AC35+AC36)*(1-Assumptions!$B$8)/AC21/(1+Assumptions!$B$9)</f>
        <v>14817.4169452666</v>
      </c>
      <c r="AD37" s="54" t="n">
        <f aca="false">(AD35+AD36)*(1-Assumptions!$B$8)/AD21/(1+Assumptions!$B$9)</f>
        <v>19182.332299676</v>
      </c>
      <c r="AE37" s="54" t="n">
        <f aca="false">(AE35+AE36)*(1-Assumptions!$B$8)/AE21/(1+Assumptions!$B$9)</f>
        <v>22743.4641267292</v>
      </c>
    </row>
    <row r="38" customFormat="false" ht="15" hidden="false" customHeight="false" outlineLevel="0" collapsed="false">
      <c r="A38" s="6" t="s">
        <v>450</v>
      </c>
      <c r="B38" s="23" t="s">
        <v>451</v>
      </c>
      <c r="C38" s="56" t="n">
        <f aca="false">(Assumptions!$B$136+Assumptions!$B$137*IF(C31+C33=0,1,(C31+C33*Assumptions!$B$138)/(C31+C33)))*C7/12</f>
        <v>0.0168634841405503</v>
      </c>
      <c r="D38" s="56" t="n">
        <f aca="false">(Assumptions!$B$136+Assumptions!$B$137*IF(D31+D33=0,1,(D31+D33*Assumptions!$B$138)/(D31+D33)))*D7/12</f>
        <v>0.0170579326886704</v>
      </c>
      <c r="E38" s="56" t="n">
        <f aca="false">(Assumptions!$B$136+Assumptions!$B$137*IF(E31+E33=0,1,(E31+E33*Assumptions!$B$138)/(E31+E33)))*E7/12</f>
        <v>0.0172481370145203</v>
      </c>
      <c r="F38" s="56" t="n">
        <f aca="false">(Assumptions!$B$136+Assumptions!$B$137*IF(F31+F33=0,1,(F31+F33*Assumptions!$B$138)/(F31+F33)))*F7/12</f>
        <v>0.0173966186992317</v>
      </c>
      <c r="G38" s="56" t="n">
        <f aca="false">(Assumptions!$B$136+Assumptions!$B$137*IF(G31+G33=0,1,(G31+G33*Assumptions!$B$138)/(G31+G33)))*G7/12</f>
        <v>0.0175685426670766</v>
      </c>
      <c r="H38" s="56" t="n">
        <f aca="false">(Assumptions!$B$136+Assumptions!$B$137*IF(H31+H33=0,1,(H31+H33*Assumptions!$B$138)/(H31+H33)))*H7/12</f>
        <v>0.017758561920992</v>
      </c>
      <c r="I38" s="56" t="n">
        <f aca="false">(Assumptions!$B$136+Assumptions!$B$137*IF(I31+I33=0,1,(I31+I33*Assumptions!$B$138)/(I31+I33)))*I7/12</f>
        <v>0.0179407733120567</v>
      </c>
      <c r="J38" s="56" t="n">
        <f aca="false">(Assumptions!$B$136+Assumptions!$B$137*IF(J31+J33=0,1,(J31+J33*Assumptions!$B$138)/(J31+J33)))*J7/12</f>
        <v>0.0181119565138086</v>
      </c>
      <c r="K38" s="56" t="n">
        <f aca="false">(Assumptions!$B$136+Assumptions!$B$137*IF(K31+K33=0,1,(K31+K33*Assumptions!$B$138)/(K31+K33)))*K7/12</f>
        <v>0.0182610061347111</v>
      </c>
      <c r="L38" s="56" t="n">
        <f aca="false">(Assumptions!$B$136+Assumptions!$B$137*IF(L31+L33=0,1,(L31+L33*Assumptions!$B$138)/(L31+L33)))*L7/12</f>
        <v>0.0183554481414449</v>
      </c>
      <c r="M38" s="56" t="n">
        <f aca="false">(Assumptions!$B$136+Assumptions!$B$137*IF(M31+M33=0,1,(M31+M33*Assumptions!$B$138)/(M31+M33)))*M7/12</f>
        <v>0.0184741640913612</v>
      </c>
      <c r="N38" s="56" t="n">
        <f aca="false">(Assumptions!$B$136+Assumptions!$B$137*IF(N31+N33=0,1,(N31+N33*Assumptions!$B$138)/(N31+N33)))*N7/12</f>
        <v>0.0186144236251217</v>
      </c>
      <c r="O38" s="56" t="n">
        <f aca="false">(Assumptions!$B$136+Assumptions!$B$137*IF(O31+O33=0,1,(O31+O33*Assumptions!$B$138)/(O31+O33)))*O7/12</f>
        <v>0.018458187897309</v>
      </c>
      <c r="P38" s="56" t="n">
        <f aca="false">(Assumptions!$B$136+Assumptions!$B$137*IF(P31+P33=0,1,(P31+P33*Assumptions!$B$138)/(P31+P33)))*P7/12</f>
        <v>0.0184265260450943</v>
      </c>
      <c r="Q38" s="56" t="n">
        <f aca="false">(Assumptions!$B$136+Assumptions!$B$137*IF(Q31+Q33=0,1,(Q31+Q33*Assumptions!$B$138)/(Q31+Q33)))*Q7/12</f>
        <v>0.0184568013193019</v>
      </c>
      <c r="R38" s="56" t="n">
        <f aca="false">(Assumptions!$B$136+Assumptions!$B$137*IF(R31+R33=0,1,(R31+R33*Assumptions!$B$138)/(R31+R33)))*R7/12</f>
        <v>0.0184618714142351</v>
      </c>
      <c r="S38" s="56" t="n">
        <f aca="false">(Assumptions!$B$136+Assumptions!$B$137*IF(S31+S33=0,1,(S31+S33*Assumptions!$B$138)/(S31+S33)))*S7/12</f>
        <v>0.0185237309823364</v>
      </c>
      <c r="T38" s="56" t="n">
        <f aca="false">(Assumptions!$B$136+Assumptions!$B$137*IF(T31+T33=0,1,(T31+T33*Assumptions!$B$138)/(T31+T33)))*T7/12</f>
        <v>0.0186305694428083</v>
      </c>
      <c r="U38" s="56" t="n">
        <f aca="false">(Assumptions!$B$136+Assumptions!$B$137*IF(U31+U33=0,1,(U31+U33*Assumptions!$B$138)/(U31+U33)))*U7/12</f>
        <v>0.0187440041433198</v>
      </c>
      <c r="V38" s="56" t="n">
        <f aca="false">(Assumptions!$B$136+Assumptions!$B$137*IF(V31+V33=0,1,(V31+V33*Assumptions!$B$138)/(V31+V33)))*V7/12</f>
        <v>0.0188559681551308</v>
      </c>
      <c r="W38" s="56" t="n">
        <f aca="false">(Assumptions!$B$136+Assumptions!$B$137*IF(W31+W33=0,1,(W31+W33*Assumptions!$B$138)/(W31+W33)))*W7/12</f>
        <v>0.0189511742807859</v>
      </c>
      <c r="X38" s="56" t="n">
        <f aca="false">(Assumptions!$B$136+Assumptions!$B$137*IF(X31+X33=0,1,(X31+X33*Assumptions!$B$138)/(X31+X33)))*X7/12</f>
        <v>0.0189909150978381</v>
      </c>
      <c r="Y38" s="56" t="n">
        <f aca="false">(Assumptions!$B$136+Assumptions!$B$137*IF(Y31+Y33=0,1,(Y31+Y33*Assumptions!$B$138)/(Y31+Y33)))*Y7/12</f>
        <v>0.0190597687433521</v>
      </c>
      <c r="Z38" s="56" t="n">
        <f aca="false">(Assumptions!$B$136+Assumptions!$B$137*IF(Z31+Z33=0,1,(Z31+Z33*Assumptions!$B$138)/(Z31+Z33)))*Z7/12</f>
        <v>0.0191562239171031</v>
      </c>
      <c r="AA38" s="56" t="n">
        <f aca="false">(Assumptions!$B$136+Assumptions!$B$137*IF(AA31+AA33=0,1,(AA31+AA33*Assumptions!$B$138)/(AA31+AA33)))*AA7/12</f>
        <v>0.239478790315723</v>
      </c>
      <c r="AB38" s="56" t="n">
        <f aca="false">(Assumptions!$B$136+Assumptions!$B$137*IF(AB31+AB33=0,1,(AB31+AB33*Assumptions!$B$138)/(AB31+AB33)))*AB7/12</f>
        <v>0.245654429177661</v>
      </c>
      <c r="AC38" s="56" t="n">
        <f aca="false">(Assumptions!$B$136+Assumptions!$B$137*IF(AC31+AC33=0,1,(AC31+AC33*Assumptions!$B$138)/(AC31+AC33)))*AC7/12</f>
        <v>0.250153131656276</v>
      </c>
      <c r="AD38" s="56" t="n">
        <f aca="false">(Assumptions!$B$136+Assumptions!$B$137*IF(AD31+AD33=0,1,(AD31+AD33*Assumptions!$B$138)/(AD31+AD33)))*AD7/12</f>
        <v>0.254526288557352</v>
      </c>
      <c r="AE38" s="56" t="n">
        <f aca="false">(Assumptions!$B$136+Assumptions!$B$137*IF(AE31+AE33=0,1,(AE31+AE33*Assumptions!$B$138)/(AE31+AE33)))*AE7/12</f>
        <v>0.258729578385018</v>
      </c>
    </row>
    <row r="39" customFormat="false" ht="15" hidden="false" customHeight="false" outlineLevel="0" collapsed="false">
      <c r="A39" s="6" t="s">
        <v>452</v>
      </c>
      <c r="B39" s="23" t="s">
        <v>451</v>
      </c>
      <c r="C39" s="56" t="n">
        <f aca="false">Assumptions!$B$137*IF(C31+C33=0,1,(C31+C33*Assumptions!$B$138)/(C31+C33))*C7/12</f>
        <v>0.00686348414055028</v>
      </c>
      <c r="D39" s="56" t="n">
        <f aca="false">Assumptions!$B$137*IF(D31+D33=0,1,(D31+D33*Assumptions!$B$138)/(D31+D33))*D7/12</f>
        <v>0.00705793268867044</v>
      </c>
      <c r="E39" s="56" t="n">
        <f aca="false">Assumptions!$B$137*IF(E31+E33=0,1,(E31+E33*Assumptions!$B$138)/(E31+E33))*E7/12</f>
        <v>0.00724813701452028</v>
      </c>
      <c r="F39" s="56" t="n">
        <f aca="false">Assumptions!$B$137*IF(F31+F33=0,1,(F31+F33*Assumptions!$B$138)/(F31+F33))*F7/12</f>
        <v>0.00739661869923174</v>
      </c>
      <c r="G39" s="56" t="n">
        <f aca="false">Assumptions!$B$137*IF(G31+G33=0,1,(G31+G33*Assumptions!$B$138)/(G31+G33))*G7/12</f>
        <v>0.00756854266707656</v>
      </c>
      <c r="H39" s="56" t="n">
        <f aca="false">Assumptions!$B$137*IF(H31+H33=0,1,(H31+H33*Assumptions!$B$138)/(H31+H33))*H7/12</f>
        <v>0.00775856192099201</v>
      </c>
      <c r="I39" s="56" t="n">
        <f aca="false">Assumptions!$B$137*IF(I31+I33=0,1,(I31+I33*Assumptions!$B$138)/(I31+I33))*I7/12</f>
        <v>0.00794077331205668</v>
      </c>
      <c r="J39" s="56" t="n">
        <f aca="false">Assumptions!$B$137*IF(J31+J33=0,1,(J31+J33*Assumptions!$B$138)/(J31+J33))*J7/12</f>
        <v>0.00811195651380856</v>
      </c>
      <c r="K39" s="56" t="n">
        <f aca="false">Assumptions!$B$137*IF(K31+K33=0,1,(K31+K33*Assumptions!$B$138)/(K31+K33))*K7/12</f>
        <v>0.00826100613471105</v>
      </c>
      <c r="L39" s="56" t="n">
        <f aca="false">Assumptions!$B$137*IF(L31+L33=0,1,(L31+L33*Assumptions!$B$138)/(L31+L33))*L7/12</f>
        <v>0.00835544814144491</v>
      </c>
      <c r="M39" s="56" t="n">
        <f aca="false">Assumptions!$B$137*IF(M31+M33=0,1,(M31+M33*Assumptions!$B$138)/(M31+M33))*M7/12</f>
        <v>0.00847416409136123</v>
      </c>
      <c r="N39" s="56" t="n">
        <f aca="false">Assumptions!$B$137*IF(N31+N33=0,1,(N31+N33*Assumptions!$B$138)/(N31+N33))*N7/12</f>
        <v>0.0086144236251217</v>
      </c>
      <c r="O39" s="56" t="n">
        <f aca="false">Assumptions!$B$137*IF(O31+O33=0,1,(O31+O33*Assumptions!$B$138)/(O31+O33))*O7/12</f>
        <v>0.00845818789730905</v>
      </c>
      <c r="P39" s="56" t="n">
        <f aca="false">Assumptions!$B$137*IF(P31+P33=0,1,(P31+P33*Assumptions!$B$138)/(P31+P33))*P7/12</f>
        <v>0.00842652604509426</v>
      </c>
      <c r="Q39" s="56" t="n">
        <f aca="false">Assumptions!$B$137*IF(Q31+Q33=0,1,(Q31+Q33*Assumptions!$B$138)/(Q31+Q33))*Q7/12</f>
        <v>0.0084568013193019</v>
      </c>
      <c r="R39" s="56" t="n">
        <f aca="false">Assumptions!$B$137*IF(R31+R33=0,1,(R31+R33*Assumptions!$B$138)/(R31+R33))*R7/12</f>
        <v>0.00846187141423509</v>
      </c>
      <c r="S39" s="56" t="n">
        <f aca="false">Assumptions!$B$137*IF(S31+S33=0,1,(S31+S33*Assumptions!$B$138)/(S31+S33))*S7/12</f>
        <v>0.00852373098233636</v>
      </c>
      <c r="T39" s="56" t="n">
        <f aca="false">Assumptions!$B$137*IF(T31+T33=0,1,(T31+T33*Assumptions!$B$138)/(T31+T33))*T7/12</f>
        <v>0.00863056944280828</v>
      </c>
      <c r="U39" s="56" t="n">
        <f aca="false">Assumptions!$B$137*IF(U31+U33=0,1,(U31+U33*Assumptions!$B$138)/(U31+U33))*U7/12</f>
        <v>0.00874400414331983</v>
      </c>
      <c r="V39" s="56" t="n">
        <f aca="false">Assumptions!$B$137*IF(V31+V33=0,1,(V31+V33*Assumptions!$B$138)/(V31+V33))*V7/12</f>
        <v>0.00885596815513082</v>
      </c>
      <c r="W39" s="56" t="n">
        <f aca="false">Assumptions!$B$137*IF(W31+W33=0,1,(W31+W33*Assumptions!$B$138)/(W31+W33))*W7/12</f>
        <v>0.00895117428078591</v>
      </c>
      <c r="X39" s="56" t="n">
        <f aca="false">Assumptions!$B$137*IF(X31+X33=0,1,(X31+X33*Assumptions!$B$138)/(X31+X33))*X7/12</f>
        <v>0.00899091509783807</v>
      </c>
      <c r="Y39" s="56" t="n">
        <f aca="false">Assumptions!$B$137*IF(Y31+Y33=0,1,(Y31+Y33*Assumptions!$B$138)/(Y31+Y33))*Y7/12</f>
        <v>0.00905976874335212</v>
      </c>
      <c r="Z39" s="56" t="n">
        <f aca="false">Assumptions!$B$137*IF(Z31+Z33=0,1,(Z31+Z33*Assumptions!$B$138)/(Z31+Z33))*Z7/12</f>
        <v>0.0091562239171031</v>
      </c>
      <c r="AA39" s="56" t="n">
        <f aca="false">Assumptions!$B$137*IF(AA31+AA33=0,1,(AA31+AA33*Assumptions!$B$138)/(AA31+AA33))*AA7/12</f>
        <v>0.119478790315723</v>
      </c>
      <c r="AB39" s="56" t="n">
        <f aca="false">Assumptions!$B$137*IF(AB31+AB33=0,1,(AB31+AB33*Assumptions!$B$138)/(AB31+AB33))*AB7/12</f>
        <v>0.125654429177661</v>
      </c>
      <c r="AC39" s="56" t="n">
        <f aca="false">Assumptions!$B$137*IF(AC31+AC33=0,1,(AC31+AC33*Assumptions!$B$138)/(AC31+AC33))*AC7/12</f>
        <v>0.130153131656276</v>
      </c>
      <c r="AD39" s="56" t="n">
        <f aca="false">Assumptions!$B$137*IF(AD31+AD33=0,1,(AD31+AD33*Assumptions!$B$138)/(AD31+AD33))*AD7/12</f>
        <v>0.134526288557352</v>
      </c>
      <c r="AE39" s="56" t="n">
        <f aca="false">Assumptions!$B$137*IF(AE31+AE33=0,1,(AE31+AE33*Assumptions!$B$138)/(AE31+AE33))*AE7/12</f>
        <v>0.138729578385018</v>
      </c>
    </row>
    <row r="40" customFormat="false" ht="15" hidden="false" customHeight="false" outlineLevel="0" collapsed="false">
      <c r="A40" s="6" t="s">
        <v>453</v>
      </c>
      <c r="B40" s="23" t="s">
        <v>47</v>
      </c>
      <c r="C40" s="45" t="n">
        <f aca="false">C37</f>
        <v>7.93814811693153</v>
      </c>
      <c r="D40" s="45" t="n">
        <f aca="false">C40*(1-D38)+D37</f>
        <v>22.8985048180008</v>
      </c>
      <c r="E40" s="45" t="n">
        <f aca="false">D40*(1-E38)+E37</f>
        <v>44.0931592588822</v>
      </c>
      <c r="F40" s="45" t="n">
        <f aca="false">E40*(1-F38)+F37</f>
        <v>72.8988939828115</v>
      </c>
      <c r="G40" s="45" t="n">
        <f aca="false">F40*(1-G38)+G37</f>
        <v>107.920043356424</v>
      </c>
      <c r="H40" s="45" t="n">
        <f aca="false">G40*(1-H38)+H37</f>
        <v>147.449441600724</v>
      </c>
      <c r="I40" s="45" t="n">
        <f aca="false">H40*(1-I38)+I37</f>
        <v>190.907148562249</v>
      </c>
      <c r="J40" s="45" t="n">
        <f aca="false">I40*(1-J38)+J37</f>
        <v>237.982023071346</v>
      </c>
      <c r="K40" s="45" t="n">
        <f aca="false">J40*(1-K38)+K37</f>
        <v>289.009384744736</v>
      </c>
      <c r="L40" s="45" t="n">
        <f aca="false">K40*(1-L38)+L37</f>
        <v>346.191449305357</v>
      </c>
      <c r="M40" s="45" t="n">
        <f aca="false">L40*(1-M38)+M37</f>
        <v>408.263891301943</v>
      </c>
      <c r="N40" s="45" t="n">
        <f aca="false">M40*(1-N38)+N37</f>
        <v>473.7227958225</v>
      </c>
      <c r="O40" s="45" t="n">
        <f aca="false">N40*(1-O38)+O37</f>
        <v>553.887115426215</v>
      </c>
      <c r="P40" s="45" t="n">
        <f aca="false">O40*(1-P38)+P37</f>
        <v>652.103082257398</v>
      </c>
      <c r="Q40" s="45" t="n">
        <f aca="false">P40*(1-Q38)+Q37</f>
        <v>766.449811737439</v>
      </c>
      <c r="R40" s="45" t="n">
        <f aca="false">Q40*(1-R38)+R37</f>
        <v>902.021414038301</v>
      </c>
      <c r="S40" s="45" t="n">
        <f aca="false">R40*(1-S38)+S37</f>
        <v>1054.94129318539</v>
      </c>
      <c r="T40" s="45" t="n">
        <f aca="false">S40*(1-T38)+T37</f>
        <v>1220.04777798959</v>
      </c>
      <c r="U40" s="45" t="n">
        <f aca="false">T40*(1-U38)+U37</f>
        <v>1395.81202071877</v>
      </c>
      <c r="V40" s="45" t="n">
        <f aca="false">U40*(1-V38)+V37</f>
        <v>1581.5718583324</v>
      </c>
      <c r="W40" s="45" t="n">
        <f aca="false">V40*(1-W38)+W37</f>
        <v>1778.90769886842</v>
      </c>
      <c r="X40" s="45" t="n">
        <f aca="false">W40*(1-X38)+X37</f>
        <v>1996.1080887546</v>
      </c>
      <c r="Y40" s="45" t="n">
        <f aca="false">X40*(1-Y38)+Y37</f>
        <v>2229.36777833903</v>
      </c>
      <c r="Z40" s="45" t="n">
        <f aca="false">Y40*(1-Z38)+Z37</f>
        <v>2473.77158332171</v>
      </c>
      <c r="AA40" s="45" t="n">
        <f aca="false">Z40*(1-AA38)+AA37</f>
        <v>8346.84346948868</v>
      </c>
      <c r="AB40" s="45" t="n">
        <f aca="false">AA40*(1-AB38)+AB37</f>
        <v>16544.9166164351</v>
      </c>
      <c r="AC40" s="45" t="n">
        <f aca="false">AB40*(1-AC38)+AC37</f>
        <v>27223.5708571085</v>
      </c>
      <c r="AD40" s="45" t="n">
        <f aca="false">AC40*(1-AD38)+AD37</f>
        <v>39476.7887052466</v>
      </c>
      <c r="AE40" s="45" t="n">
        <f aca="false">AD40*(1-AE38)+AE37</f>
        <v>52006.4399342729</v>
      </c>
    </row>
    <row r="41" customFormat="false" ht="15" hidden="false" customHeight="false" outlineLevel="0" collapsed="false">
      <c r="A41" s="6" t="s">
        <v>454</v>
      </c>
      <c r="B41" s="23" t="s">
        <v>47</v>
      </c>
      <c r="C41" s="45" t="n">
        <f aca="false">C37</f>
        <v>7.93814811693153</v>
      </c>
      <c r="D41" s="45" t="n">
        <f aca="false">C41*(1-D39)+D37</f>
        <v>22.9778862991701</v>
      </c>
      <c r="E41" s="45" t="n">
        <f aca="false">D41*(1-E39)+E37</f>
        <v>44.4009504203796</v>
      </c>
      <c r="F41" s="45" t="n">
        <f aca="false">E41*(1-F39)+F37</f>
        <v>73.6453401230371</v>
      </c>
      <c r="G41" s="45" t="n">
        <f aca="false">F41*(1-G39)+G37</f>
        <v>109.389828927016</v>
      </c>
      <c r="H41" s="45" t="n">
        <f aca="false">G41*(1-H39)+H37</f>
        <v>149.987024182521</v>
      </c>
      <c r="I41" s="45" t="n">
        <f aca="false">H41*(1-I39)+I37</f>
        <v>194.89907519201</v>
      </c>
      <c r="J41" s="45" t="n">
        <f aca="false">I41*(1-J39)+J37</f>
        <v>243.850638851503</v>
      </c>
      <c r="K41" s="45" t="n">
        <f aca="false">J41*(1-K39)+K37</f>
        <v>297.209340084645</v>
      </c>
      <c r="L41" s="45" t="n">
        <f aca="false">K41*(1-L39)+L37</f>
        <v>357.212984191108</v>
      </c>
      <c r="M41" s="45" t="n">
        <f aca="false">L41*(1-M39)+M37</f>
        <v>422.653942385587</v>
      </c>
      <c r="N41" s="45" t="n">
        <f aca="false">M41*(1-N39)+N37</f>
        <v>492.071523823142</v>
      </c>
      <c r="O41" s="45" t="n">
        <f aca="false">N41*(1-O39)+O37</f>
        <v>576.817874395976</v>
      </c>
      <c r="P41" s="45" t="n">
        <f aca="false">O41*(1-P39)+P37</f>
        <v>680.379485743728</v>
      </c>
      <c r="Q41" s="45" t="n">
        <f aca="false">P41*(1-Q39)+Q37</f>
        <v>801.008118120036</v>
      </c>
      <c r="R41" s="45" t="n">
        <f aca="false">Q41*(1-R39)+R37</f>
        <v>943.951790593369</v>
      </c>
      <c r="S41" s="45" t="n">
        <f aca="false">R41*(1-S39)+S37</f>
        <v>1105.5344806311</v>
      </c>
      <c r="T41" s="45" t="n">
        <f aca="false">S41*(1-T39)+T37</f>
        <v>1280.75373034957</v>
      </c>
      <c r="U41" s="45" t="n">
        <f aca="false">T41*(1-U39)+U37</f>
        <v>1468.18763775968</v>
      </c>
      <c r="V41" s="45" t="n">
        <f aca="false">U41*(1-V39)+V37</f>
        <v>1667.26463942078</v>
      </c>
      <c r="W41" s="45" t="n">
        <f aca="false">V41*(1-W39)+W37</f>
        <v>1879.64914752199</v>
      </c>
      <c r="X41" s="45" t="n">
        <f aca="false">W41*(1-X39)+X37</f>
        <v>2113.73285658519</v>
      </c>
      <c r="Y41" s="45" t="n">
        <f aca="false">X41*(1-Y39)+Y37</f>
        <v>2365.88797386212</v>
      </c>
      <c r="Z41" s="45" t="n">
        <f aca="false">Y41*(1-Z39)+Z37</f>
        <v>2631.33544714878</v>
      </c>
      <c r="AA41" s="45" t="n">
        <f aca="false">Z41*(1-AA39)+AA37</f>
        <v>8782.43438346682</v>
      </c>
      <c r="AB41" s="45" t="n">
        <f aca="false">AA41*(1-AB39)+AB37</f>
        <v>17927.3948191009</v>
      </c>
      <c r="AC41" s="45" t="n">
        <f aca="false">AB41*(1-AC39)+AC37</f>
        <v>30411.5051862231</v>
      </c>
      <c r="AD41" s="45" t="n">
        <f aca="false">AC41*(1-AD39)+AD37</f>
        <v>45502.6905637539</v>
      </c>
      <c r="AE41" s="45" t="n">
        <f aca="false">AD41*(1-AE39)+AE37</f>
        <v>61933.5856131895</v>
      </c>
    </row>
    <row r="42" customFormat="false" ht="15" hidden="false" customHeight="false" outlineLevel="0" collapsed="false">
      <c r="A42" s="6" t="s">
        <v>455</v>
      </c>
      <c r="B42" s="23" t="s">
        <v>114</v>
      </c>
      <c r="C42" s="57" t="n">
        <f aca="false">C40*C21</f>
        <v>1122.93043262113</v>
      </c>
      <c r="D42" s="57" t="n">
        <f aca="false">D40*D21</f>
        <v>3239.22249155439</v>
      </c>
      <c r="E42" s="57" t="n">
        <f aca="false">E40*E21</f>
        <v>6237.41830876147</v>
      </c>
      <c r="F42" s="57" t="n">
        <f aca="false">F40*F21</f>
        <v>10312.2775428085</v>
      </c>
      <c r="G42" s="57" t="n">
        <f aca="false">G40*G21</f>
        <v>15266.3693331997</v>
      </c>
      <c r="H42" s="57" t="n">
        <f aca="false">H40*H21</f>
        <v>20858.1980088384</v>
      </c>
      <c r="I42" s="57" t="n">
        <f aca="false">I40*I21</f>
        <v>27005.7252356157</v>
      </c>
      <c r="J42" s="57" t="n">
        <f aca="false">J40*J21</f>
        <v>33664.9369836726</v>
      </c>
      <c r="K42" s="57" t="n">
        <f aca="false">K40*K21</f>
        <v>40883.2675659904</v>
      </c>
      <c r="L42" s="57" t="n">
        <f aca="false">L40*L21</f>
        <v>48972.2424187359</v>
      </c>
      <c r="M42" s="57" t="n">
        <f aca="false">M40*M21</f>
        <v>57753.0100635728</v>
      </c>
      <c r="N42" s="57" t="n">
        <f aca="false">N40*N21</f>
        <v>67012.8266970508</v>
      </c>
      <c r="O42" s="57" t="n">
        <f aca="false">O40*O21</f>
        <v>84699.453927396</v>
      </c>
      <c r="P42" s="57" t="n">
        <f aca="false">P40*P21</f>
        <v>99718.4686794381</v>
      </c>
      <c r="Q42" s="57" t="n">
        <f aca="false">Q40*Q21</f>
        <v>117204.171588217</v>
      </c>
      <c r="R42" s="57" t="n">
        <f aca="false">R40*R21</f>
        <v>137935.545117477</v>
      </c>
      <c r="S42" s="57" t="n">
        <f aca="false">S40*S21</f>
        <v>161319.78695606</v>
      </c>
      <c r="T42" s="57" t="n">
        <f aca="false">T40*T21</f>
        <v>186567.583327035</v>
      </c>
      <c r="U42" s="57" t="n">
        <f aca="false">U40*U21</f>
        <v>213445.145495398</v>
      </c>
      <c r="V42" s="57" t="n">
        <f aca="false">V40*V21</f>
        <v>241851.216641157</v>
      </c>
      <c r="W42" s="57" t="n">
        <f aca="false">W40*W21</f>
        <v>272027.470011562</v>
      </c>
      <c r="X42" s="57" t="n">
        <f aca="false">X40*X21</f>
        <v>305241.37570428</v>
      </c>
      <c r="Y42" s="57" t="n">
        <f aca="false">Y40*Y21</f>
        <v>340911.04156367</v>
      </c>
      <c r="Z42" s="57" t="n">
        <f aca="false">Z40*Z21</f>
        <v>378284.846159001</v>
      </c>
      <c r="AA42" s="57" t="n">
        <f aca="false">AA40*AA21</f>
        <v>1379771.94701414</v>
      </c>
      <c r="AB42" s="57" t="n">
        <f aca="false">AB40*AB21</f>
        <v>2956482.53859176</v>
      </c>
      <c r="AC42" s="57" t="n">
        <f aca="false">AC40*AC21</f>
        <v>5258737.82602076</v>
      </c>
      <c r="AD42" s="57" t="n">
        <f aca="false">AD40*AD21</f>
        <v>8243353.81405906</v>
      </c>
      <c r="AE42" s="57" t="n">
        <f aca="false">AE40*AE21</f>
        <v>11739374.1099879</v>
      </c>
    </row>
    <row r="43" customFormat="false" ht="15" hidden="false" customHeight="false" outlineLevel="0" collapsed="false">
      <c r="A43" s="6" t="s">
        <v>456</v>
      </c>
      <c r="B43" s="23" t="s">
        <v>190</v>
      </c>
      <c r="C43" s="54" t="n">
        <f aca="false">C31+C33*Assumptions!$B$172</f>
        <v>33.3973333333333</v>
      </c>
      <c r="D43" s="54" t="n">
        <f aca="false">D31+D33*Assumptions!$B$172</f>
        <v>65.1339007146169</v>
      </c>
      <c r="E43" s="54" t="n">
        <f aca="false">E31+E33*Assumptions!$B$172</f>
        <v>95.541342400739</v>
      </c>
      <c r="F43" s="54" t="n">
        <f aca="false">F31+F33*Assumptions!$B$172</f>
        <v>133.542537949291</v>
      </c>
      <c r="G43" s="54" t="n">
        <f aca="false">G31+G33*Assumptions!$B$172</f>
        <v>167.899674550422</v>
      </c>
      <c r="H43" s="54" t="n">
        <f aca="false">H31+H33*Assumptions!$B$172</f>
        <v>196.964088789502</v>
      </c>
      <c r="I43" s="54" t="n">
        <f aca="false">I31+I33*Assumptions!$B$172</f>
        <v>225.031943564785</v>
      </c>
      <c r="J43" s="54" t="n">
        <f aca="false">J31+J33*Assumptions!$B$172</f>
        <v>253.094267552514</v>
      </c>
      <c r="K43" s="54" t="n">
        <f aca="false">K31+K33*Assumptions!$B$172</f>
        <v>283.791701305124</v>
      </c>
      <c r="L43" s="54" t="n">
        <f aca="false">L31+L33*Assumptions!$B$172</f>
        <v>325.042797396825</v>
      </c>
      <c r="M43" s="54" t="n">
        <f aca="false">M31+M33*Assumptions!$B$172</f>
        <v>362.982808346951</v>
      </c>
      <c r="N43" s="54" t="n">
        <f aca="false">N31+N33*Assumptions!$B$172</f>
        <v>396.295151987269</v>
      </c>
      <c r="O43" s="54" t="n">
        <f aca="false">O31+O33*Assumptions!$B$172</f>
        <v>508.215105089964</v>
      </c>
      <c r="P43" s="54" t="n">
        <f aca="false">P31+P33*Assumptions!$B$172</f>
        <v>616.614623519408</v>
      </c>
      <c r="Q43" s="54" t="n">
        <f aca="false">Q31+Q33*Assumptions!$B$172</f>
        <v>722.261884194123</v>
      </c>
      <c r="R43" s="54" t="n">
        <f aca="false">R31+R33*Assumptions!$B$172</f>
        <v>856.34220297653</v>
      </c>
      <c r="S43" s="54" t="n">
        <f aca="false">S31+S33*Assumptions!$B$172</f>
        <v>979.97132954559</v>
      </c>
      <c r="T43" s="54" t="n">
        <f aca="false">T31+T33*Assumptions!$B$172</f>
        <v>1086.28376450773</v>
      </c>
      <c r="U43" s="54" t="n">
        <f aca="false">U31+U33*Assumptions!$B$172</f>
        <v>1190.21133355357</v>
      </c>
      <c r="V43" s="54" t="n">
        <f aca="false">V31+V33*Assumptions!$B$172</f>
        <v>1295.26859892935</v>
      </c>
      <c r="W43" s="54" t="n">
        <f aca="false">W31+W33*Assumptions!$B$172</f>
        <v>1411.40629036654</v>
      </c>
      <c r="X43" s="54" t="n">
        <f aca="false">X31+X33*Assumptions!$B$172</f>
        <v>1569.3210599129</v>
      </c>
      <c r="Y43" s="54" t="n">
        <f aca="false">Y31+Y33*Assumptions!$B$172</f>
        <v>1717.2173901596</v>
      </c>
      <c r="Z43" s="54" t="n">
        <f aca="false">Z31+Z33*Assumptions!$B$172</f>
        <v>1849.06419145652</v>
      </c>
      <c r="AA43" s="54" t="n">
        <f aca="false">AA31+AA33*Assumptions!$B$172</f>
        <v>4388.39376402858</v>
      </c>
      <c r="AB43" s="54" t="n">
        <f aca="false">AB31+AB33*Assumptions!$B$172</f>
        <v>8441.91537855706</v>
      </c>
      <c r="AC43" s="54" t="n">
        <f aca="false">AC31+AC33*Assumptions!$B$172</f>
        <v>14488.718029799</v>
      </c>
      <c r="AD43" s="54" t="n">
        <f aca="false">AD31+AD33*Assumptions!$B$172</f>
        <v>22414.1016417929</v>
      </c>
      <c r="AE43" s="54" t="n">
        <f aca="false">AE31+AE33*Assumptions!$B$172</f>
        <v>31967.6587849817</v>
      </c>
    </row>
    <row r="44" customFormat="false" ht="15" hidden="false" customHeight="false" outlineLevel="0" collapsed="false">
      <c r="A44" s="6" t="s">
        <v>457</v>
      </c>
      <c r="B44" s="23" t="s">
        <v>190</v>
      </c>
      <c r="C44" s="45" t="n">
        <f aca="false">IF(C7&gt;1,C43*Assumptions!$B$134,IF(C2&gt;Assumptions!$B$135,INDEX($C$43:$AE$43,1,C2-Assumptions!$B$135)*Assumptions!$B$134,0))</f>
        <v>0</v>
      </c>
      <c r="D44" s="45" t="n">
        <f aca="false">IF(D7&gt;1,D43*Assumptions!$B$134,IF(D2&gt;Assumptions!$B$135,INDEX($C$43:$AE$43,1,D2-Assumptions!$B$135)*Assumptions!$B$134,0))</f>
        <v>0</v>
      </c>
      <c r="E44" s="45" t="n">
        <f aca="false">IF(E7&gt;1,E43*Assumptions!$B$134,IF(E2&gt;Assumptions!$B$135,INDEX($C$43:$AE$43,1,E2-Assumptions!$B$135)*Assumptions!$B$134,0))</f>
        <v>0</v>
      </c>
      <c r="F44" s="45" t="n">
        <f aca="false">IF(F7&gt;1,F43*Assumptions!$B$134,IF(F2&gt;Assumptions!$B$135,INDEX($C$43:$AE$43,1,F2-Assumptions!$B$135)*Assumptions!$B$134,0))</f>
        <v>0</v>
      </c>
      <c r="G44" s="45" t="n">
        <f aca="false">IF(G7&gt;1,G43*Assumptions!$B$134,IF(G2&gt;Assumptions!$B$135,INDEX($C$43:$AE$43,1,G2-Assumptions!$B$135)*Assumptions!$B$134,0))</f>
        <v>0</v>
      </c>
      <c r="H44" s="45" t="n">
        <f aca="false">IF(H7&gt;1,H43*Assumptions!$B$134,IF(H2&gt;Assumptions!$B$135,INDEX($C$43:$AE$43,1,H2-Assumptions!$B$135)*Assumptions!$B$134,0))</f>
        <v>0</v>
      </c>
      <c r="I44" s="45" t="n">
        <f aca="false">IF(I7&gt;1,I43*Assumptions!$B$134,IF(I2&gt;Assumptions!$B$135,INDEX($C$43:$AE$43,1,I2-Assumptions!$B$135)*Assumptions!$B$134,0))</f>
        <v>0</v>
      </c>
      <c r="J44" s="45" t="n">
        <f aca="false">IF(J7&gt;1,J43*Assumptions!$B$134,IF(J2&gt;Assumptions!$B$135,INDEX($C$43:$AE$43,1,J2-Assumptions!$B$135)*Assumptions!$B$134,0))</f>
        <v>0</v>
      </c>
      <c r="K44" s="45" t="n">
        <f aca="false">IF(K7&gt;1,K43*Assumptions!$B$134,IF(K2&gt;Assumptions!$B$135,INDEX($C$43:$AE$43,1,K2-Assumptions!$B$135)*Assumptions!$B$134,0))</f>
        <v>18.3685333333333</v>
      </c>
      <c r="L44" s="45" t="n">
        <f aca="false">IF(L7&gt;1,L43*Assumptions!$B$134,IF(L2&gt;Assumptions!$B$135,INDEX($C$43:$AE$43,1,L2-Assumptions!$B$135)*Assumptions!$B$134,0))</f>
        <v>35.8236453930393</v>
      </c>
      <c r="M44" s="45" t="n">
        <f aca="false">IF(M7&gt;1,M43*Assumptions!$B$134,IF(M2&gt;Assumptions!$B$135,INDEX($C$43:$AE$43,1,M2-Assumptions!$B$135)*Assumptions!$B$134,0))</f>
        <v>52.5477383204064</v>
      </c>
      <c r="N44" s="45" t="n">
        <f aca="false">IF(N7&gt;1,N43*Assumptions!$B$134,IF(N2&gt;Assumptions!$B$135,INDEX($C$43:$AE$43,1,N2-Assumptions!$B$135)*Assumptions!$B$134,0))</f>
        <v>73.4483958721098</v>
      </c>
      <c r="O44" s="45" t="n">
        <f aca="false">IF(O7&gt;1,O43*Assumptions!$B$134,IF(O2&gt;Assumptions!$B$135,INDEX($C$43:$AE$43,1,O2-Assumptions!$B$135)*Assumptions!$B$134,0))</f>
        <v>92.3448210027322</v>
      </c>
      <c r="P44" s="45" t="n">
        <f aca="false">IF(P7&gt;1,P43*Assumptions!$B$134,IF(P2&gt;Assumptions!$B$135,INDEX($C$43:$AE$43,1,P2-Assumptions!$B$135)*Assumptions!$B$134,0))</f>
        <v>108.330248834226</v>
      </c>
      <c r="Q44" s="45" t="n">
        <f aca="false">IF(Q7&gt;1,Q43*Assumptions!$B$134,IF(Q2&gt;Assumptions!$B$135,INDEX($C$43:$AE$43,1,Q2-Assumptions!$B$135)*Assumptions!$B$134,0))</f>
        <v>123.767568960632</v>
      </c>
      <c r="R44" s="45" t="n">
        <f aca="false">IF(R7&gt;1,R43*Assumptions!$B$134,IF(R2&gt;Assumptions!$B$135,INDEX($C$43:$AE$43,1,R2-Assumptions!$B$135)*Assumptions!$B$134,0))</f>
        <v>139.201847153883</v>
      </c>
      <c r="S44" s="45" t="n">
        <f aca="false">IF(S7&gt;1,S43*Assumptions!$B$134,IF(S2&gt;Assumptions!$B$135,INDEX($C$43:$AE$43,1,S2-Assumptions!$B$135)*Assumptions!$B$134,0))</f>
        <v>156.085435717818</v>
      </c>
      <c r="T44" s="45" t="n">
        <f aca="false">IF(T7&gt;1,T43*Assumptions!$B$134,IF(T2&gt;Assumptions!$B$135,INDEX($C$43:$AE$43,1,T2-Assumptions!$B$135)*Assumptions!$B$134,0))</f>
        <v>178.773538568253</v>
      </c>
      <c r="U44" s="45" t="n">
        <f aca="false">IF(U7&gt;1,U43*Assumptions!$B$134,IF(U2&gt;Assumptions!$B$135,INDEX($C$43:$AE$43,1,U2-Assumptions!$B$135)*Assumptions!$B$134,0))</f>
        <v>199.640544590823</v>
      </c>
      <c r="V44" s="45" t="n">
        <f aca="false">IF(V7&gt;1,V43*Assumptions!$B$134,IF(V2&gt;Assumptions!$B$135,INDEX($C$43:$AE$43,1,V2-Assumptions!$B$135)*Assumptions!$B$134,0))</f>
        <v>217.962333592998</v>
      </c>
      <c r="W44" s="45" t="n">
        <f aca="false">IF(W7&gt;1,W43*Assumptions!$B$134,IF(W2&gt;Assumptions!$B$135,INDEX($C$43:$AE$43,1,W2-Assumptions!$B$135)*Assumptions!$B$134,0))</f>
        <v>279.51830779948</v>
      </c>
      <c r="X44" s="45" t="n">
        <f aca="false">IF(X7&gt;1,X43*Assumptions!$B$134,IF(X2&gt;Assumptions!$B$135,INDEX($C$43:$AE$43,1,X2-Assumptions!$B$135)*Assumptions!$B$134,0))</f>
        <v>339.138042935675</v>
      </c>
      <c r="Y44" s="45" t="n">
        <f aca="false">IF(Y7&gt;1,Y43*Assumptions!$B$134,IF(Y2&gt;Assumptions!$B$135,INDEX($C$43:$AE$43,1,Y2-Assumptions!$B$135)*Assumptions!$B$134,0))</f>
        <v>397.244036306768</v>
      </c>
      <c r="Z44" s="45" t="n">
        <f aca="false">IF(Z7&gt;1,Z43*Assumptions!$B$134,IF(Z2&gt;Assumptions!$B$135,INDEX($C$43:$AE$43,1,Z2-Assumptions!$B$135)*Assumptions!$B$134,0))</f>
        <v>470.988211637092</v>
      </c>
      <c r="AA44" s="45" t="n">
        <f aca="false">IF(AA7&gt;1,AA43*Assumptions!$B$134,IF(AA2&gt;Assumptions!$B$135,INDEX($C$43:$AE$43,1,AA2-Assumptions!$B$135)*Assumptions!$B$134,0))</f>
        <v>2413.61657021572</v>
      </c>
      <c r="AB44" s="45" t="n">
        <f aca="false">IF(AB7&gt;1,AB43*Assumptions!$B$134,IF(AB2&gt;Assumptions!$B$135,INDEX($C$43:$AE$43,1,AB2-Assumptions!$B$135)*Assumptions!$B$134,0))</f>
        <v>4643.05345820638</v>
      </c>
      <c r="AC44" s="45" t="n">
        <f aca="false">IF(AC7&gt;1,AC43*Assumptions!$B$134,IF(AC2&gt;Assumptions!$B$135,INDEX($C$43:$AE$43,1,AC2-Assumptions!$B$135)*Assumptions!$B$134,0))</f>
        <v>7968.79491638946</v>
      </c>
      <c r="AD44" s="45" t="n">
        <f aca="false">IF(AD7&gt;1,AD43*Assumptions!$B$134,IF(AD2&gt;Assumptions!$B$135,INDEX($C$43:$AE$43,1,AD2-Assumptions!$B$135)*Assumptions!$B$134,0))</f>
        <v>12327.7559029861</v>
      </c>
      <c r="AE44" s="45" t="n">
        <f aca="false">IF(AE7&gt;1,AE43*Assumptions!$B$134,IF(AE2&gt;Assumptions!$B$135,INDEX($C$43:$AE$43,1,AE2-Assumptions!$B$135)*Assumptions!$B$134,0))</f>
        <v>17582.21233174</v>
      </c>
    </row>
    <row r="45" customFormat="false" ht="15" hidden="false" customHeight="false" outlineLevel="0" collapsed="false">
      <c r="A45" s="6" t="s">
        <v>458</v>
      </c>
      <c r="B45" s="23" t="s">
        <v>459</v>
      </c>
      <c r="C45" s="28" t="n">
        <f aca="false">IF(C2&gt;=Assumptions!$B$51,C44*Assumptions!$B$143,0)</f>
        <v>0</v>
      </c>
      <c r="D45" s="28" t="n">
        <f aca="false">IF(D2&gt;=Assumptions!$B$51,D44*Assumptions!$B$143,0)</f>
        <v>0</v>
      </c>
      <c r="E45" s="28" t="n">
        <f aca="false">IF(E2&gt;=Assumptions!$B$51,E44*Assumptions!$B$143,0)</f>
        <v>0</v>
      </c>
      <c r="F45" s="28" t="n">
        <f aca="false">IF(F2&gt;=Assumptions!$B$51,F44*Assumptions!$B$143,0)</f>
        <v>0</v>
      </c>
      <c r="G45" s="28" t="n">
        <f aca="false">IF(G2&gt;=Assumptions!$B$51,G44*Assumptions!$B$143,0)</f>
        <v>0</v>
      </c>
      <c r="H45" s="28" t="n">
        <f aca="false">IF(H2&gt;=Assumptions!$B$51,H44*Assumptions!$B$143,0)</f>
        <v>0</v>
      </c>
      <c r="I45" s="28" t="n">
        <f aca="false">IF(I2&gt;=Assumptions!$B$51,I44*Assumptions!$B$143,0)</f>
        <v>0</v>
      </c>
      <c r="J45" s="28" t="n">
        <f aca="false">IF(J2&gt;=Assumptions!$B$51,J44*Assumptions!$B$143,0)</f>
        <v>0</v>
      </c>
      <c r="K45" s="28" t="n">
        <f aca="false">IF(K2&gt;=Assumptions!$B$51,K44*Assumptions!$B$143,0)</f>
        <v>0</v>
      </c>
      <c r="L45" s="28" t="n">
        <f aca="false">IF(L2&gt;=Assumptions!$B$51,L44*Assumptions!$B$143,0)</f>
        <v>0</v>
      </c>
      <c r="M45" s="28" t="n">
        <f aca="false">IF(M2&gt;=Assumptions!$B$51,M44*Assumptions!$B$143,0)</f>
        <v>0</v>
      </c>
      <c r="N45" s="28" t="n">
        <f aca="false">IF(N2&gt;=Assumptions!$B$51,N44*Assumptions!$B$143,0)</f>
        <v>0</v>
      </c>
      <c r="O45" s="28" t="n">
        <f aca="false">IF(O2&gt;=Assumptions!$B$51,O44*Assumptions!$B$143,0)</f>
        <v>16.6220677804918</v>
      </c>
      <c r="P45" s="28" t="n">
        <f aca="false">IF(P2&gt;=Assumptions!$B$51,P44*Assumptions!$B$143,0)</f>
        <v>19.4994447901607</v>
      </c>
      <c r="Q45" s="28" t="n">
        <f aca="false">IF(Q2&gt;=Assumptions!$B$51,Q44*Assumptions!$B$143,0)</f>
        <v>22.2781624129137</v>
      </c>
      <c r="R45" s="28" t="n">
        <f aca="false">IF(R2&gt;=Assumptions!$B$51,R44*Assumptions!$B$143,0)</f>
        <v>25.0563324876989</v>
      </c>
      <c r="S45" s="28" t="n">
        <f aca="false">IF(S2&gt;=Assumptions!$B$51,S44*Assumptions!$B$143,0)</f>
        <v>28.0953784292072</v>
      </c>
      <c r="T45" s="28" t="n">
        <f aca="false">IF(T2&gt;=Assumptions!$B$51,T44*Assumptions!$B$143,0)</f>
        <v>32.1792369422856</v>
      </c>
      <c r="U45" s="28" t="n">
        <f aca="false">IF(U2&gt;=Assumptions!$B$51,U44*Assumptions!$B$143,0)</f>
        <v>35.9352980263481</v>
      </c>
      <c r="V45" s="28" t="n">
        <f aca="false">IF(V2&gt;=Assumptions!$B$51,V44*Assumptions!$B$143,0)</f>
        <v>39.2332200467397</v>
      </c>
      <c r="W45" s="28" t="n">
        <f aca="false">IF(W2&gt;=Assumptions!$B$51,W44*Assumptions!$B$143,0)</f>
        <v>50.3132954039064</v>
      </c>
      <c r="X45" s="28" t="n">
        <f aca="false">IF(X2&gt;=Assumptions!$B$51,X44*Assumptions!$B$143,0)</f>
        <v>61.0448477284214</v>
      </c>
      <c r="Y45" s="28" t="n">
        <f aca="false">IF(Y2&gt;=Assumptions!$B$51,Y44*Assumptions!$B$143,0)</f>
        <v>71.5039265352182</v>
      </c>
      <c r="Z45" s="28" t="n">
        <f aca="false">IF(Z2&gt;=Assumptions!$B$51,Z44*Assumptions!$B$143,0)</f>
        <v>84.7778780946765</v>
      </c>
      <c r="AA45" s="28" t="n">
        <f aca="false">IF(AA2&gt;=Assumptions!$B$51,AA44*Assumptions!$B$143,0)</f>
        <v>434.450982638829</v>
      </c>
      <c r="AB45" s="28" t="n">
        <f aca="false">IF(AB2&gt;=Assumptions!$B$51,AB44*Assumptions!$B$143,0)</f>
        <v>835.749622477149</v>
      </c>
      <c r="AC45" s="28" t="n">
        <f aca="false">IF(AC2&gt;=Assumptions!$B$51,AC44*Assumptions!$B$143,0)</f>
        <v>1434.3830849501</v>
      </c>
      <c r="AD45" s="28" t="n">
        <f aca="false">IF(AD2&gt;=Assumptions!$B$51,AD44*Assumptions!$B$143,0)</f>
        <v>2218.99606253749</v>
      </c>
      <c r="AE45" s="28" t="n">
        <f aca="false">IF(AE2&gt;=Assumptions!$B$51,AE44*Assumptions!$B$143,0)</f>
        <v>3164.79821971319</v>
      </c>
    </row>
    <row r="46" customFormat="false" ht="15" hidden="false" customHeight="false" outlineLevel="0" collapsed="false">
      <c r="A46" s="6" t="s">
        <v>460</v>
      </c>
      <c r="B46" s="23" t="s">
        <v>114</v>
      </c>
      <c r="C46" s="55" t="n">
        <f aca="false">IF(C31=0,0,C42/C31*Assumptions!$B$31)</f>
        <v>17.2357142857143</v>
      </c>
      <c r="D46" s="55" t="n">
        <f aca="false">IF(D31=0,0,D42/D31*Assumptions!$B$31)</f>
        <v>26.1445567063816</v>
      </c>
      <c r="E46" s="55" t="n">
        <f aca="false">IF(E31=0,0,E42/E31*Assumptions!$B$31)</f>
        <v>35.2010555129211</v>
      </c>
      <c r="F46" s="55" t="n">
        <f aca="false">IF(F31=0,0,F42/F31*Assumptions!$B$31)</f>
        <v>42.4871580607208</v>
      </c>
      <c r="G46" s="55" t="n">
        <f aca="false">IF(G31=0,0,G42/G31*Assumptions!$B$31)</f>
        <v>51.2391975823936</v>
      </c>
      <c r="H46" s="55" t="n">
        <f aca="false">IF(H31=0,0,H42/H31*Assumptions!$B$31)</f>
        <v>61.3183996978037</v>
      </c>
      <c r="I46" s="55" t="n">
        <f aca="false">IF(I31=0,0,I42/I31*Assumptions!$B$31)</f>
        <v>71.3709845832318</v>
      </c>
      <c r="J46" s="55" t="n">
        <f aca="false">IF(J31=0,0,J42/J31*Assumptions!$B$31)</f>
        <v>81.171205593534</v>
      </c>
      <c r="K46" s="55" t="n">
        <f aca="false">IF(K31=0,0,K42/K31*Assumptions!$B$31)</f>
        <v>89.9584532281579</v>
      </c>
      <c r="L46" s="55" t="n">
        <f aca="false">IF(L31=0,0,L42/L31*Assumptions!$B$31)</f>
        <v>95.4896314516668</v>
      </c>
      <c r="M46" s="55" t="n">
        <f aca="false">IF(M31=0,0,M42/M31*Assumptions!$B$31)</f>
        <v>102.773787899438</v>
      </c>
      <c r="N46" s="55" t="n">
        <f aca="false">IF(N31=0,0,N42/N31*Assumptions!$B$31)</f>
        <v>111.759077819283</v>
      </c>
      <c r="O46" s="55" t="n">
        <f aca="false">IF(O31=0,0,O42/O31*Assumptions!$B$31)</f>
        <v>107.376151051692</v>
      </c>
      <c r="P46" s="55" t="n">
        <f aca="false">IF(P31=0,0,P42/P31*Assumptions!$B$31)</f>
        <v>103.663864567537</v>
      </c>
      <c r="Q46" s="55" t="n">
        <f aca="false">IF(Q31=0,0,Q42/Q31*Assumptions!$B$31)</f>
        <v>104.526445276397</v>
      </c>
      <c r="R46" s="55" t="n">
        <f aca="false">IF(R31=0,0,R42/R31*Assumptions!$B$31)</f>
        <v>103.839212046369</v>
      </c>
      <c r="S46" s="55" t="n">
        <f aca="false">IF(S31=0,0,S42/S31*Assumptions!$B$31)</f>
        <v>107.190992661688</v>
      </c>
      <c r="T46" s="55" t="n">
        <f aca="false">IF(T31=0,0,T42/T31*Assumptions!$B$31)</f>
        <v>113.814255615488</v>
      </c>
      <c r="U46" s="55" t="n">
        <f aca="false">IF(U31=0,0,U42/U31*Assumptions!$B$31)</f>
        <v>121.117027799162</v>
      </c>
      <c r="V46" s="55" t="n">
        <f aca="false">IF(V31=0,0,V42/V31*Assumptions!$B$31)</f>
        <v>128.534611160079</v>
      </c>
      <c r="W46" s="55" t="n">
        <f aca="false">IF(W31=0,0,W42/W31*Assumptions!$B$31)</f>
        <v>134.886055446085</v>
      </c>
      <c r="X46" s="55" t="n">
        <f aca="false">IF(X31=0,0,X42/X31*Assumptions!$B$31)</f>
        <v>137.078143118175</v>
      </c>
      <c r="Y46" s="55" t="n">
        <f aca="false">IF(Y31=0,0,Y42/Y31*Assumptions!$B$31)</f>
        <v>141.629307409722</v>
      </c>
      <c r="Z46" s="55" t="n">
        <f aca="false">IF(Z31=0,0,Z42/Z31*Assumptions!$B$31)</f>
        <v>148.504786761835</v>
      </c>
      <c r="AA46" s="55" t="n">
        <f aca="false">IF(AA31=0,0,AA42/AA31*Assumptions!$B$31)</f>
        <v>267.012449409769</v>
      </c>
      <c r="AB46" s="55" t="n">
        <f aca="false">IF(AB31=0,0,AB42/AB31*Assumptions!$B$31)</f>
        <v>333.898364604967</v>
      </c>
      <c r="AC46" s="55" t="n">
        <f aca="false">IF(AC31=0,0,AC42/AC31*Assumptions!$B$31)</f>
        <v>379.999583622361</v>
      </c>
      <c r="AD46" s="55" t="n">
        <f aca="false">IF(AD31=0,0,AD42/AD31*Assumptions!$B$31)</f>
        <v>425.648335402448</v>
      </c>
      <c r="AE46" s="55" t="n">
        <f aca="false">IF(AE31=0,0,AE42/AE31*Assumptions!$B$31)</f>
        <v>472.945441237776</v>
      </c>
    </row>
    <row r="47" customFormat="false" ht="15" hidden="false" customHeight="false" outlineLevel="0" collapsed="false">
      <c r="A47" s="6" t="s">
        <v>461</v>
      </c>
      <c r="B47" s="23" t="s">
        <v>76</v>
      </c>
      <c r="C47" s="55" t="n">
        <f aca="false">C46*Assumptions!$B$156*Assumptions!$B$158</f>
        <v>18.0975</v>
      </c>
      <c r="D47" s="55" t="n">
        <f aca="false">D46*Assumptions!$B$156*Assumptions!$B$158</f>
        <v>27.4517845417007</v>
      </c>
      <c r="E47" s="55" t="n">
        <f aca="false">E46*Assumptions!$B$156*Assumptions!$B$158</f>
        <v>36.9611082885672</v>
      </c>
      <c r="F47" s="55" t="n">
        <f aca="false">F46*Assumptions!$B$156*Assumptions!$B$158</f>
        <v>44.6115159637568</v>
      </c>
      <c r="G47" s="55" t="n">
        <f aca="false">G46*Assumptions!$B$156*Assumptions!$B$158</f>
        <v>53.8011574615133</v>
      </c>
      <c r="H47" s="55" t="n">
        <f aca="false">H46*Assumptions!$B$156*Assumptions!$B$158</f>
        <v>64.3843196826939</v>
      </c>
      <c r="I47" s="55" t="n">
        <f aca="false">I46*Assumptions!$B$156*Assumptions!$B$158</f>
        <v>74.9395338123934</v>
      </c>
      <c r="J47" s="55" t="n">
        <f aca="false">J46*Assumptions!$B$156*Assumptions!$B$158</f>
        <v>85.2297658732107</v>
      </c>
      <c r="K47" s="55" t="n">
        <f aca="false">K46*Assumptions!$B$156*Assumptions!$B$158</f>
        <v>94.4563758895658</v>
      </c>
      <c r="L47" s="55" t="n">
        <f aca="false">L46*Assumptions!$B$156*Assumptions!$B$158</f>
        <v>100.26411302425</v>
      </c>
      <c r="M47" s="55" t="n">
        <f aca="false">M46*Assumptions!$B$156*Assumptions!$B$158</f>
        <v>107.91247729441</v>
      </c>
      <c r="N47" s="55" t="n">
        <f aca="false">N46*Assumptions!$B$156*Assumptions!$B$158</f>
        <v>117.347031710247</v>
      </c>
      <c r="O47" s="55" t="n">
        <f aca="false">O46*Assumptions!$B$156*Assumptions!$B$158</f>
        <v>112.744958604277</v>
      </c>
      <c r="P47" s="55" t="n">
        <f aca="false">P46*Assumptions!$B$156*Assumptions!$B$158</f>
        <v>108.847057795913</v>
      </c>
      <c r="Q47" s="55" t="n">
        <f aca="false">Q46*Assumptions!$B$156*Assumptions!$B$158</f>
        <v>109.752767540217</v>
      </c>
      <c r="R47" s="55" t="n">
        <f aca="false">R46*Assumptions!$B$156*Assumptions!$B$158</f>
        <v>109.031172648687</v>
      </c>
      <c r="S47" s="55" t="n">
        <f aca="false">S46*Assumptions!$B$156*Assumptions!$B$158</f>
        <v>112.550542294772</v>
      </c>
      <c r="T47" s="55" t="n">
        <f aca="false">T46*Assumptions!$B$156*Assumptions!$B$158</f>
        <v>119.504968396262</v>
      </c>
      <c r="U47" s="55" t="n">
        <f aca="false">U46*Assumptions!$B$156*Assumptions!$B$158</f>
        <v>127.17287918912</v>
      </c>
      <c r="V47" s="55" t="n">
        <f aca="false">V46*Assumptions!$B$156*Assumptions!$B$158</f>
        <v>134.961341718083</v>
      </c>
      <c r="W47" s="55" t="n">
        <f aca="false">W46*Assumptions!$B$156*Assumptions!$B$158</f>
        <v>141.630358218389</v>
      </c>
      <c r="X47" s="55" t="n">
        <f aca="false">X46*Assumptions!$B$156*Assumptions!$B$158</f>
        <v>143.932050274084</v>
      </c>
      <c r="Y47" s="55" t="n">
        <f aca="false">Y46*Assumptions!$B$156*Assumptions!$B$158</f>
        <v>148.710772780209</v>
      </c>
      <c r="Z47" s="55" t="n">
        <f aca="false">Z46*Assumptions!$B$156*Assumptions!$B$158</f>
        <v>155.930026099927</v>
      </c>
      <c r="AA47" s="55" t="n">
        <f aca="false">AA46*Assumptions!$B$156*Assumptions!$B$158</f>
        <v>280.363071880257</v>
      </c>
      <c r="AB47" s="55" t="n">
        <f aca="false">AB46*Assumptions!$B$156*Assumptions!$B$158</f>
        <v>350.593282835216</v>
      </c>
      <c r="AC47" s="55" t="n">
        <f aca="false">AC46*Assumptions!$B$156*Assumptions!$B$158</f>
        <v>398.99956280348</v>
      </c>
      <c r="AD47" s="55" t="n">
        <f aca="false">AD46*Assumptions!$B$156*Assumptions!$B$158</f>
        <v>446.930752172571</v>
      </c>
      <c r="AE47" s="55" t="n">
        <f aca="false">AE46*Assumptions!$B$156*Assumptions!$B$158</f>
        <v>496.592713299665</v>
      </c>
    </row>
    <row r="48" customFormat="false" ht="15" hidden="false" customHeight="false" outlineLevel="0" collapsed="false">
      <c r="A48" s="6" t="s">
        <v>462</v>
      </c>
      <c r="B48" s="23" t="s">
        <v>114</v>
      </c>
      <c r="C48" s="55" t="n">
        <f aca="false">C47/12*C16</f>
        <v>1.6589375</v>
      </c>
      <c r="D48" s="55" t="n">
        <f aca="false">D47/12*D16</f>
        <v>2.28764871180839</v>
      </c>
      <c r="E48" s="55" t="n">
        <f aca="false">E47/12*E16</f>
        <v>3.01849051023298</v>
      </c>
      <c r="F48" s="55" t="n">
        <f aca="false">F47/12*F16</f>
        <v>3.64327380370681</v>
      </c>
      <c r="G48" s="55" t="n">
        <f aca="false">G47/12*G16</f>
        <v>4.48342978845944</v>
      </c>
      <c r="H48" s="55" t="n">
        <f aca="false">H47/12*H16</f>
        <v>5.09709197487993</v>
      </c>
      <c r="I48" s="55" t="n">
        <f aca="false">I47/12*I16</f>
        <v>5.49556581290885</v>
      </c>
      <c r="J48" s="55" t="n">
        <f aca="false">J47/12*J16</f>
        <v>6.3922324404908</v>
      </c>
      <c r="K48" s="55" t="n">
        <f aca="false">K47/12*K16</f>
        <v>7.87136465746381</v>
      </c>
      <c r="L48" s="55" t="n">
        <f aca="false">L47/12*L16</f>
        <v>8.52244960706127</v>
      </c>
      <c r="M48" s="55" t="n">
        <f aca="false">M47/12*M16</f>
        <v>9.44234176326084</v>
      </c>
      <c r="N48" s="55" t="n">
        <f aca="false">N47/12*N16</f>
        <v>11.1479680124735</v>
      </c>
      <c r="O48" s="55" t="n">
        <f aca="false">O47/12*O16</f>
        <v>10.3349545387254</v>
      </c>
      <c r="P48" s="55" t="n">
        <f aca="false">P47/12*P16</f>
        <v>9.07058814965945</v>
      </c>
      <c r="Q48" s="55" t="n">
        <f aca="false">Q47/12*Q16</f>
        <v>8.96314268245103</v>
      </c>
      <c r="R48" s="55" t="n">
        <f aca="false">R47/12*R16</f>
        <v>8.9042124329761</v>
      </c>
      <c r="S48" s="55" t="n">
        <f aca="false">S47/12*S16</f>
        <v>9.37921185789768</v>
      </c>
      <c r="T48" s="55" t="n">
        <f aca="false">T47/12*T16</f>
        <v>9.46080999803741</v>
      </c>
      <c r="U48" s="55" t="n">
        <f aca="false">U47/12*U16</f>
        <v>9.32601114053548</v>
      </c>
      <c r="V48" s="55" t="n">
        <f aca="false">V47/12*V16</f>
        <v>10.1221006288562</v>
      </c>
      <c r="W48" s="55" t="n">
        <f aca="false">W47/12*W16</f>
        <v>11.8025298515324</v>
      </c>
      <c r="X48" s="55" t="n">
        <f aca="false">X47/12*X16</f>
        <v>12.2342242732971</v>
      </c>
      <c r="Y48" s="55" t="n">
        <f aca="false">Y47/12*Y16</f>
        <v>13.0121926182683</v>
      </c>
      <c r="Z48" s="55" t="n">
        <f aca="false">Z47/12*Z16</f>
        <v>14.8133524794931</v>
      </c>
      <c r="AA48" s="55" t="n">
        <f aca="false">AA47/12*AA16</f>
        <v>23.3635893233548</v>
      </c>
      <c r="AB48" s="55" t="n">
        <f aca="false">AB47/12*AB16</f>
        <v>29.2161069029346</v>
      </c>
      <c r="AC48" s="55" t="n">
        <f aca="false">AC47/12*AC16</f>
        <v>33.2499635669566</v>
      </c>
      <c r="AD48" s="55" t="n">
        <f aca="false">AD47/12*AD16</f>
        <v>37.2442293477142</v>
      </c>
      <c r="AE48" s="55" t="n">
        <f aca="false">AE47/12*AE16</f>
        <v>41.3827261083054</v>
      </c>
    </row>
    <row r="49" customFormat="false" ht="15" hidden="false" customHeight="false" outlineLevel="0" collapsed="false">
      <c r="A49" s="6" t="s">
        <v>463</v>
      </c>
      <c r="B49" s="23" t="s">
        <v>464</v>
      </c>
      <c r="C49" s="45" t="n">
        <f aca="false">C45*C48*Assumptions!$B$7*C7</f>
        <v>0</v>
      </c>
      <c r="D49" s="45" t="n">
        <f aca="false">D45*D48*Assumptions!$B$7*D7</f>
        <v>0</v>
      </c>
      <c r="E49" s="45" t="n">
        <f aca="false">E45*E48*Assumptions!$B$7*E7</f>
        <v>0</v>
      </c>
      <c r="F49" s="45" t="n">
        <f aca="false">F45*F48*Assumptions!$B$7*F7</f>
        <v>0</v>
      </c>
      <c r="G49" s="45" t="n">
        <f aca="false">G45*G48*Assumptions!$B$7*G7</f>
        <v>0</v>
      </c>
      <c r="H49" s="45" t="n">
        <f aca="false">H45*H48*Assumptions!$B$7*H7</f>
        <v>0</v>
      </c>
      <c r="I49" s="45" t="n">
        <f aca="false">I45*I48*Assumptions!$B$7*I7</f>
        <v>0</v>
      </c>
      <c r="J49" s="45" t="n">
        <f aca="false">J45*J48*Assumptions!$B$7*J7</f>
        <v>0</v>
      </c>
      <c r="K49" s="45" t="n">
        <f aca="false">K45*K48*Assumptions!$B$7*K7</f>
        <v>0</v>
      </c>
      <c r="L49" s="45" t="n">
        <f aca="false">L45*L48*Assumptions!$B$7*L7</f>
        <v>0</v>
      </c>
      <c r="M49" s="45" t="n">
        <f aca="false">M45*M48*Assumptions!$B$7*M7</f>
        <v>0</v>
      </c>
      <c r="N49" s="45" t="n">
        <f aca="false">N45*N48*Assumptions!$B$7*N7</f>
        <v>0</v>
      </c>
      <c r="O49" s="45" t="n">
        <f aca="false">O45*O48*Assumptions!$B$7*O7</f>
        <v>630.892586290277</v>
      </c>
      <c r="P49" s="45" t="n">
        <f aca="false">P45*P48*Assumptions!$B$7*P7</f>
        <v>649.56033709965</v>
      </c>
      <c r="Q49" s="45" t="n">
        <f aca="false">Q45*Q48*Assumptions!$B$7*Q7</f>
        <v>733.333424534856</v>
      </c>
      <c r="R49" s="45" t="n">
        <f aca="false">R45*R48*Assumptions!$B$7*R7</f>
        <v>819.360116918782</v>
      </c>
      <c r="S49" s="45" t="n">
        <f aca="false">S45*S48*Assumptions!$B$7*S7</f>
        <v>967.749680177598</v>
      </c>
      <c r="T49" s="45" t="n">
        <f aca="false">T45*T48*Assumptions!$B$7*T7</f>
        <v>1118.06194711202</v>
      </c>
      <c r="U49" s="45" t="n">
        <f aca="false">U45*U48*Assumptions!$B$7*U7</f>
        <v>1230.77590479145</v>
      </c>
      <c r="V49" s="45" t="n">
        <f aca="false">V45*V48*Assumptions!$B$7*V7</f>
        <v>1458.43275330054</v>
      </c>
      <c r="W49" s="45" t="n">
        <f aca="false">W45*W48*Assumptions!$B$7*W7</f>
        <v>2180.81926775355</v>
      </c>
      <c r="X49" s="45" t="n">
        <f aca="false">X45*X48*Assumptions!$B$7*X7</f>
        <v>2742.75652416292</v>
      </c>
      <c r="Y49" s="45" t="n">
        <f aca="false">Y45*Y48*Assumptions!$B$7*Y7</f>
        <v>3416.97797185485</v>
      </c>
      <c r="Z49" s="45" t="n">
        <f aca="false">Z45*Z48*Assumptions!$B$7*Z7</f>
        <v>4612.08925927207</v>
      </c>
      <c r="AA49" s="45" t="n">
        <f aca="false">AA45*AA48*Assumptions!$B$7*AA7</f>
        <v>447325.234341833</v>
      </c>
      <c r="AB49" s="45" t="n">
        <f aca="false">AB45*AB48*Assumptions!$B$7*AB7</f>
        <v>1076072.62835471</v>
      </c>
      <c r="AC49" s="45" t="n">
        <f aca="false">AC45*AC48*Assumptions!$B$7*AC7</f>
        <v>2101838.67686069</v>
      </c>
      <c r="AD49" s="45" t="n">
        <f aca="false">AD45*AD48*Assumptions!$B$7*AD7</f>
        <v>3642156.25997137</v>
      </c>
      <c r="AE49" s="45" t="n">
        <f aca="false">AE45*AE48*Assumptions!$B$7*AE7</f>
        <v>5771758.78668953</v>
      </c>
    </row>
    <row r="50" customFormat="false" ht="15" hidden="false" customHeight="false" outlineLevel="0" collapsed="false">
      <c r="A50" s="6" t="s">
        <v>463</v>
      </c>
      <c r="B50" s="23" t="s">
        <v>114</v>
      </c>
      <c r="C50" s="55" t="n">
        <f aca="false">C49/Assumptions!$B$7</f>
        <v>0</v>
      </c>
      <c r="D50" s="55" t="n">
        <f aca="false">D49/Assumptions!$B$7</f>
        <v>0</v>
      </c>
      <c r="E50" s="55" t="n">
        <f aca="false">E49/Assumptions!$B$7</f>
        <v>0</v>
      </c>
      <c r="F50" s="55" t="n">
        <f aca="false">F49/Assumptions!$B$7</f>
        <v>0</v>
      </c>
      <c r="G50" s="55" t="n">
        <f aca="false">G49/Assumptions!$B$7</f>
        <v>0</v>
      </c>
      <c r="H50" s="55" t="n">
        <f aca="false">H49/Assumptions!$B$7</f>
        <v>0</v>
      </c>
      <c r="I50" s="55" t="n">
        <f aca="false">I49/Assumptions!$B$7</f>
        <v>0</v>
      </c>
      <c r="J50" s="55" t="n">
        <f aca="false">J49/Assumptions!$B$7</f>
        <v>0</v>
      </c>
      <c r="K50" s="55" t="n">
        <f aca="false">K49/Assumptions!$B$7</f>
        <v>0</v>
      </c>
      <c r="L50" s="55" t="n">
        <f aca="false">L49/Assumptions!$B$7</f>
        <v>0</v>
      </c>
      <c r="M50" s="55" t="n">
        <f aca="false">M49/Assumptions!$B$7</f>
        <v>0</v>
      </c>
      <c r="N50" s="55" t="n">
        <f aca="false">N49/Assumptions!$B$7</f>
        <v>0</v>
      </c>
      <c r="O50" s="55" t="n">
        <f aca="false">O49/Assumptions!$B$7</f>
        <v>171.788314850994</v>
      </c>
      <c r="P50" s="55" t="n">
        <f aca="false">P49/Assumptions!$B$7</f>
        <v>176.87143283857</v>
      </c>
      <c r="Q50" s="55" t="n">
        <f aca="false">Q49/Assumptions!$B$7</f>
        <v>199.682348409763</v>
      </c>
      <c r="R50" s="55" t="n">
        <f aca="false">R49/Assumptions!$B$7</f>
        <v>223.106907261751</v>
      </c>
      <c r="S50" s="55" t="n">
        <f aca="false">S49/Assumptions!$B$7</f>
        <v>263.512506515343</v>
      </c>
      <c r="T50" s="55" t="n">
        <f aca="false">T49/Assumptions!$B$7</f>
        <v>304.441646592791</v>
      </c>
      <c r="U50" s="55" t="n">
        <f aca="false">U49/Assumptions!$B$7</f>
        <v>335.132989732185</v>
      </c>
      <c r="V50" s="55" t="n">
        <f aca="false">V49/Assumptions!$B$7</f>
        <v>397.122601307158</v>
      </c>
      <c r="W50" s="55" t="n">
        <f aca="false">W49/Assumptions!$B$7</f>
        <v>593.824170933574</v>
      </c>
      <c r="X50" s="55" t="n">
        <f aca="false">X49/Assumptions!$B$7</f>
        <v>746.83635783878</v>
      </c>
      <c r="Y50" s="55" t="n">
        <f aca="false">Y49/Assumptions!$B$7</f>
        <v>930.422865038762</v>
      </c>
      <c r="Z50" s="55" t="n">
        <f aca="false">Z49/Assumptions!$B$7</f>
        <v>1255.84459067994</v>
      </c>
      <c r="AA50" s="55" t="n">
        <f aca="false">AA49/Assumptions!$B$7</f>
        <v>121804.012074018</v>
      </c>
      <c r="AB50" s="55" t="n">
        <f aca="false">AB49/Assumptions!$B$7</f>
        <v>293008.203772556</v>
      </c>
      <c r="AC50" s="55" t="n">
        <f aca="false">AC49/Assumptions!$B$7</f>
        <v>572318.223787798</v>
      </c>
      <c r="AD50" s="55" t="n">
        <f aca="false">AD49/Assumptions!$B$7</f>
        <v>991737.579297854</v>
      </c>
      <c r="AE50" s="55" t="n">
        <f aca="false">AE49/Assumptions!$B$7</f>
        <v>1571615.73497332</v>
      </c>
    </row>
    <row r="51" customFormat="false" ht="15" hidden="false" customHeight="false" outlineLevel="0" collapsed="false">
      <c r="A51" s="6" t="s">
        <v>465</v>
      </c>
      <c r="B51" s="23" t="s">
        <v>464</v>
      </c>
      <c r="C51" s="45" t="n">
        <f aca="false">IF(Assumptions!$B$144=0,0,C46*Assumptions!$B$156*Assumptions!$B$7/Assumptions!$B$144)</f>
        <v>7.91227008928572</v>
      </c>
      <c r="D51" s="45" t="n">
        <f aca="false">IF(Assumptions!$B$144=0,0,D46*Assumptions!$B$156*Assumptions!$B$7/Assumptions!$B$144)</f>
        <v>12.0019855630233</v>
      </c>
      <c r="E51" s="45" t="n">
        <f aca="false">IF(Assumptions!$B$144=0,0,E46*Assumptions!$B$156*Assumptions!$B$7/Assumptions!$B$144)</f>
        <v>16.1594845464003</v>
      </c>
      <c r="F51" s="45" t="n">
        <f aca="false">IF(Assumptions!$B$144=0,0,F46*Assumptions!$B$156*Assumptions!$B$7/Assumptions!$B$144)</f>
        <v>19.5042609972496</v>
      </c>
      <c r="G51" s="45" t="n">
        <f aca="false">IF(Assumptions!$B$144=0,0,G46*Assumptions!$B$156*Assumptions!$B$7/Assumptions!$B$144)</f>
        <v>23.5219941401676</v>
      </c>
      <c r="H51" s="45" t="n">
        <f aca="false">IF(Assumptions!$B$144=0,0,H46*Assumptions!$B$156*Assumptions!$B$7/Assumptions!$B$144)</f>
        <v>28.148977861273</v>
      </c>
      <c r="I51" s="45" t="n">
        <f aca="false">IF(Assumptions!$B$144=0,0,I46*Assumptions!$B$156*Assumptions!$B$7/Assumptions!$B$144)</f>
        <v>32.7637426102398</v>
      </c>
      <c r="J51" s="45" t="n">
        <f aca="false">IF(Assumptions!$B$144=0,0,J46*Assumptions!$B$156*Assumptions!$B$7/Assumptions!$B$144)</f>
        <v>37.2626565677817</v>
      </c>
      <c r="K51" s="45" t="n">
        <f aca="false">IF(Assumptions!$B$144=0,0,K46*Assumptions!$B$156*Assumptions!$B$7/Assumptions!$B$144)</f>
        <v>41.2965524350512</v>
      </c>
      <c r="L51" s="45" t="n">
        <f aca="false">IF(Assumptions!$B$144=0,0,L46*Assumptions!$B$156*Assumptions!$B$7/Assumptions!$B$144)</f>
        <v>43.8357089382808</v>
      </c>
      <c r="M51" s="45" t="n">
        <f aca="false">IF(Assumptions!$B$144=0,0,M46*Assumptions!$B$156*Assumptions!$B$7/Assumptions!$B$144)</f>
        <v>47.1795920075856</v>
      </c>
      <c r="N51" s="45" t="n">
        <f aca="false">IF(Assumptions!$B$144=0,0,N46*Assumptions!$B$156*Assumptions!$B$7/Assumptions!$B$144)</f>
        <v>51.3044016614145</v>
      </c>
      <c r="O51" s="45" t="n">
        <f aca="false">IF(Assumptions!$B$144=0,0,O46*Assumptions!$B$156*Assumptions!$B$7/Assumptions!$B$144)</f>
        <v>49.2923643421674</v>
      </c>
      <c r="P51" s="45" t="n">
        <f aca="false">IF(Assumptions!$B$144=0,0,P46*Assumptions!$B$156*Assumptions!$B$7/Assumptions!$B$144)</f>
        <v>47.5881928280347</v>
      </c>
      <c r="Q51" s="45" t="n">
        <f aca="false">IF(Assumptions!$B$144=0,0,Q46*Assumptions!$B$156*Assumptions!$B$7/Assumptions!$B$144)</f>
        <v>47.9841712846959</v>
      </c>
      <c r="R51" s="45" t="n">
        <f aca="false">IF(Assumptions!$B$144=0,0,R46*Assumptions!$B$156*Assumptions!$B$7/Assumptions!$B$144)</f>
        <v>47.6686882800361</v>
      </c>
      <c r="S51" s="45" t="n">
        <f aca="false">IF(Assumptions!$B$144=0,0,S46*Assumptions!$B$156*Assumptions!$B$7/Assumptions!$B$144)</f>
        <v>49.2073650687561</v>
      </c>
      <c r="T51" s="45" t="n">
        <f aca="false">IF(Assumptions!$B$144=0,0,T46*Assumptions!$B$156*Assumptions!$B$7/Assumptions!$B$144)</f>
        <v>52.2478567184848</v>
      </c>
      <c r="U51" s="45" t="n">
        <f aca="false">IF(Assumptions!$B$144=0,0,U46*Assumptions!$B$156*Assumptions!$B$7/Assumptions!$B$144)</f>
        <v>55.6002855740529</v>
      </c>
      <c r="V51" s="45" t="n">
        <f aca="false">IF(Assumptions!$B$144=0,0,V46*Assumptions!$B$156*Assumptions!$B$7/Assumptions!$B$144)</f>
        <v>59.0054199356737</v>
      </c>
      <c r="W51" s="45" t="n">
        <f aca="false">IF(Assumptions!$B$144=0,0,W46*Assumptions!$B$156*Assumptions!$B$7/Assumptions!$B$144)</f>
        <v>61.9211298282182</v>
      </c>
      <c r="X51" s="45" t="n">
        <f aca="false">IF(Assumptions!$B$144=0,0,X46*Assumptions!$B$156*Assumptions!$B$7/Assumptions!$B$144)</f>
        <v>62.9274350751872</v>
      </c>
      <c r="Y51" s="45" t="n">
        <f aca="false">IF(Assumptions!$B$144=0,0,Y46*Assumptions!$B$156*Assumptions!$B$7/Assumptions!$B$144)</f>
        <v>65.0167039327757</v>
      </c>
      <c r="Z51" s="45" t="n">
        <f aca="false">IF(Assumptions!$B$144=0,0,Z46*Assumptions!$B$156*Assumptions!$B$7/Assumptions!$B$144)</f>
        <v>68.172978672855</v>
      </c>
      <c r="AA51" s="45" t="n">
        <f aca="false">IF(Assumptions!$B$144=0,0,AA46*Assumptions!$B$156*Assumptions!$B$7/Assumptions!$B$144)</f>
        <v>122.575402557172</v>
      </c>
      <c r="AB51" s="45" t="n">
        <f aca="false">IF(Assumptions!$B$144=0,0,AB46*Assumptions!$B$156*Assumptions!$B$7/Assumptions!$B$144)</f>
        <v>153.280218001468</v>
      </c>
      <c r="AC51" s="45" t="n">
        <f aca="false">IF(Assumptions!$B$144=0,0,AC46*Assumptions!$B$156*Assumptions!$B$7/Assumptions!$B$144)</f>
        <v>174.44355885664</v>
      </c>
      <c r="AD51" s="45" t="n">
        <f aca="false">IF(Assumptions!$B$144=0,0,AD46*Assumptions!$B$156*Assumptions!$B$7/Assumptions!$B$144)</f>
        <v>195.399188970686</v>
      </c>
      <c r="AE51" s="45" t="n">
        <f aca="false">IF(Assumptions!$B$144=0,0,AE46*Assumptions!$B$156*Assumptions!$B$7/Assumptions!$B$144)</f>
        <v>217.111516618217</v>
      </c>
    </row>
    <row r="52" customFormat="false" ht="15" hidden="false" customHeight="false" outlineLevel="0" collapsed="false">
      <c r="A52" s="6" t="s">
        <v>466</v>
      </c>
      <c r="B52" s="23" t="s">
        <v>467</v>
      </c>
      <c r="C52" s="45" t="n">
        <f aca="false">C45*Assumptions!$B$158*Assumptions!$B$144*C7/12*(1+Assumptions!$B$16)</f>
        <v>0</v>
      </c>
      <c r="D52" s="45" t="n">
        <f aca="false">D45*Assumptions!$B$158*Assumptions!$B$144*D7/12*(1+Assumptions!$B$16)</f>
        <v>0</v>
      </c>
      <c r="E52" s="45" t="n">
        <f aca="false">E45*Assumptions!$B$158*Assumptions!$B$144*E7/12*(1+Assumptions!$B$16)</f>
        <v>0</v>
      </c>
      <c r="F52" s="45" t="n">
        <f aca="false">F45*Assumptions!$B$158*Assumptions!$B$144*F7/12*(1+Assumptions!$B$16)</f>
        <v>0</v>
      </c>
      <c r="G52" s="45" t="n">
        <f aca="false">G45*Assumptions!$B$158*Assumptions!$B$144*G7/12*(1+Assumptions!$B$16)</f>
        <v>0</v>
      </c>
      <c r="H52" s="45" t="n">
        <f aca="false">H45*Assumptions!$B$158*Assumptions!$B$144*H7/12*(1+Assumptions!$B$16)</f>
        <v>0</v>
      </c>
      <c r="I52" s="45" t="n">
        <f aca="false">I45*Assumptions!$B$158*Assumptions!$B$144*I7/12*(1+Assumptions!$B$16)</f>
        <v>0</v>
      </c>
      <c r="J52" s="45" t="n">
        <f aca="false">J45*Assumptions!$B$158*Assumptions!$B$144*J7/12*(1+Assumptions!$B$16)</f>
        <v>0</v>
      </c>
      <c r="K52" s="45" t="n">
        <f aca="false">K45*Assumptions!$B$158*Assumptions!$B$144*K7/12*(1+Assumptions!$B$16)</f>
        <v>0</v>
      </c>
      <c r="L52" s="45" t="n">
        <f aca="false">L45*Assumptions!$B$158*Assumptions!$B$144*L7/12*(1+Assumptions!$B$16)</f>
        <v>0</v>
      </c>
      <c r="M52" s="45" t="n">
        <f aca="false">M45*Assumptions!$B$158*Assumptions!$B$144*M7/12*(1+Assumptions!$B$16)</f>
        <v>0</v>
      </c>
      <c r="N52" s="45" t="n">
        <f aca="false">N45*Assumptions!$B$158*Assumptions!$B$144*N7/12*(1+Assumptions!$B$16)</f>
        <v>0</v>
      </c>
      <c r="O52" s="45" t="n">
        <f aca="false">O45*Assumptions!$B$158*Assumptions!$B$144*O7/12*(1+Assumptions!$B$16)</f>
        <v>12.3335742931249</v>
      </c>
      <c r="P52" s="45" t="n">
        <f aca="false">P45*Assumptions!$B$158*Assumptions!$B$144*P7/12*(1+Assumptions!$B$16)</f>
        <v>14.4685880342993</v>
      </c>
      <c r="Q52" s="45" t="n">
        <f aca="false">Q45*Assumptions!$B$158*Assumptions!$B$144*Q7/12*(1+Assumptions!$B$16)</f>
        <v>16.530396510382</v>
      </c>
      <c r="R52" s="45" t="n">
        <f aca="false">R45*Assumptions!$B$158*Assumptions!$B$144*R7/12*(1+Assumptions!$B$16)</f>
        <v>18.5917987058726</v>
      </c>
      <c r="S52" s="45" t="n">
        <f aca="false">S45*Assumptions!$B$158*Assumptions!$B$144*S7/12*(1+Assumptions!$B$16)</f>
        <v>20.8467707944718</v>
      </c>
      <c r="T52" s="45" t="n">
        <f aca="false">T45*Assumptions!$B$158*Assumptions!$B$144*T7/12*(1+Assumptions!$B$16)</f>
        <v>23.8769938111759</v>
      </c>
      <c r="U52" s="45" t="n">
        <f aca="false">U45*Assumptions!$B$158*Assumptions!$B$144*U7/12*(1+Assumptions!$B$16)</f>
        <v>26.6639911355503</v>
      </c>
      <c r="V52" s="45" t="n">
        <f aca="false">V45*Assumptions!$B$158*Assumptions!$B$144*V7/12*(1+Assumptions!$B$16)</f>
        <v>29.1110492746808</v>
      </c>
      <c r="W52" s="45" t="n">
        <f aca="false">W45*Assumptions!$B$158*Assumptions!$B$144*W7/12*(1+Assumptions!$B$16)</f>
        <v>37.3324651896986</v>
      </c>
      <c r="X52" s="45" t="n">
        <f aca="false">X45*Assumptions!$B$158*Assumptions!$B$144*X7/12*(1+Assumptions!$B$16)</f>
        <v>45.2952770144887</v>
      </c>
      <c r="Y52" s="45" t="n">
        <f aca="false">Y45*Assumptions!$B$158*Assumptions!$B$144*Y7/12*(1+Assumptions!$B$16)</f>
        <v>53.0559134891319</v>
      </c>
      <c r="Z52" s="45" t="n">
        <f aca="false">Z45*Assumptions!$B$158*Assumptions!$B$144*Z7/12*(1+Assumptions!$B$16)</f>
        <v>62.90518554625</v>
      </c>
      <c r="AA52" s="45" t="n">
        <f aca="false">AA45*Assumptions!$B$158*Assumptions!$B$144*AA7/12*(1+Assumptions!$B$16)</f>
        <v>3868.35154941613</v>
      </c>
      <c r="AB52" s="45" t="n">
        <f aca="false">AB45*Assumptions!$B$158*Assumptions!$B$144*AB7/12*(1+Assumptions!$B$16)</f>
        <v>7441.51463853653</v>
      </c>
      <c r="AC52" s="45" t="n">
        <f aca="false">AC45*Assumptions!$B$158*Assumptions!$B$144*AC7/12*(1+Assumptions!$B$16)</f>
        <v>12771.7469883957</v>
      </c>
      <c r="AD52" s="45" t="n">
        <f aca="false">AD45*Assumptions!$B$158*Assumptions!$B$144*AD7/12*(1+Assumptions!$B$16)</f>
        <v>19757.9409408338</v>
      </c>
      <c r="AE52" s="45" t="n">
        <f aca="false">AE45*Assumptions!$B$158*Assumptions!$B$144*AE7/12*(1+Assumptions!$B$16)</f>
        <v>28179.3633483263</v>
      </c>
    </row>
    <row r="53" customFormat="false" ht="15" hidden="false" customHeight="false" outlineLevel="0" collapsed="false">
      <c r="A53" s="6" t="s">
        <v>468</v>
      </c>
      <c r="B53" s="23" t="s">
        <v>114</v>
      </c>
      <c r="C53" s="55" t="n">
        <f aca="false">C35*Assumptions!$B$8</f>
        <v>54.7271524559657</v>
      </c>
      <c r="D53" s="55" t="n">
        <f aca="false">D35*Assumptions!$B$8</f>
        <v>104.073169932215</v>
      </c>
      <c r="E53" s="55" t="n">
        <f aca="false">E35*Assumptions!$B$8</f>
        <v>148.843019137208</v>
      </c>
      <c r="F53" s="55" t="n">
        <f aca="false">F35*Assumptions!$B$8</f>
        <v>203.880737882712</v>
      </c>
      <c r="G53" s="55" t="n">
        <f aca="false">G35*Assumptions!$B$8</f>
        <v>250.272268984441</v>
      </c>
      <c r="H53" s="55" t="n">
        <f aca="false">H35*Assumptions!$B$8</f>
        <v>285.736196863791</v>
      </c>
      <c r="I53" s="55" t="n">
        <f aca="false">I35*Assumptions!$B$8</f>
        <v>317.843579297445</v>
      </c>
      <c r="J53" s="55" t="n">
        <f aca="false">J35*Assumptions!$B$8</f>
        <v>348.381508682897</v>
      </c>
      <c r="K53" s="55" t="n">
        <f aca="false">K35*Assumptions!$B$8</f>
        <v>381.753393072821</v>
      </c>
      <c r="L53" s="55" t="n">
        <f aca="false">L35*Assumptions!$B$8</f>
        <v>430.797386128356</v>
      </c>
      <c r="M53" s="55" t="n">
        <f aca="false">M35*Assumptions!$B$8</f>
        <v>472.03211485082</v>
      </c>
      <c r="N53" s="55" t="n">
        <f aca="false">N35*Assumptions!$B$8</f>
        <v>503.679660962721</v>
      </c>
      <c r="O53" s="55" t="n">
        <f aca="false">O35*Assumptions!$B$8</f>
        <v>662.600964945757</v>
      </c>
      <c r="P53" s="55" t="n">
        <f aca="false">P35*Assumptions!$B$8</f>
        <v>808.030011616598</v>
      </c>
      <c r="Q53" s="55" t="n">
        <f aca="false">Q35*Assumptions!$B$8</f>
        <v>941.881299739689</v>
      </c>
      <c r="R53" s="55" t="n">
        <f aca="false">R35*Assumptions!$B$8</f>
        <v>1115.81988745197</v>
      </c>
      <c r="S53" s="55" t="n">
        <f aca="false">S35*Assumptions!$B$8</f>
        <v>1264.17917847611</v>
      </c>
      <c r="T53" s="55" t="n">
        <f aca="false">T35*Assumptions!$B$8</f>
        <v>1376.95202720619</v>
      </c>
      <c r="U53" s="55" t="n">
        <f aca="false">U35*Assumptions!$B$8</f>
        <v>1480.33621262108</v>
      </c>
      <c r="V53" s="55" t="n">
        <f aca="false">V35*Assumptions!$B$8</f>
        <v>1580.54721716596</v>
      </c>
      <c r="W53" s="55" t="n">
        <f aca="false">W35*Assumptions!$B$8</f>
        <v>1694.04520025458</v>
      </c>
      <c r="X53" s="55" t="n">
        <f aca="false">X35*Assumptions!$B$8</f>
        <v>1870.48605823724</v>
      </c>
      <c r="Y53" s="55" t="n">
        <f aca="false">Y35*Assumptions!$B$8</f>
        <v>2021.93514994076</v>
      </c>
      <c r="Z53" s="55" t="n">
        <f aca="false">Z35*Assumptions!$B$8</f>
        <v>2139.72409713074</v>
      </c>
      <c r="AA53" s="55" t="n">
        <f aca="false">AA35*Assumptions!$B$8</f>
        <v>52087.8380639047</v>
      </c>
      <c r="AB53" s="55" t="n">
        <f aca="false">AB35*Assumptions!$B$8</f>
        <v>89252.7401991402</v>
      </c>
      <c r="AC53" s="55" t="n">
        <f aca="false">AC35*Assumptions!$B$8</f>
        <v>139495.093076123</v>
      </c>
      <c r="AD53" s="55" t="n">
        <f aca="false">AD35*Assumptions!$B$8</f>
        <v>195215.156584957</v>
      </c>
      <c r="AE53" s="55" t="n">
        <f aca="false">AE35*Assumptions!$B$8</f>
        <v>250204.105401633</v>
      </c>
    </row>
    <row r="54" customFormat="false" ht="15" hidden="false" customHeight="false" outlineLevel="0" collapsed="false">
      <c r="A54" s="6" t="s">
        <v>469</v>
      </c>
      <c r="B54" s="23" t="s">
        <v>114</v>
      </c>
      <c r="C54" s="55" t="n">
        <f aca="false">C36*Assumptions!$B$8</f>
        <v>5.26097328668956</v>
      </c>
      <c r="D54" s="55" t="n">
        <f aca="false">D36*Assumptions!$B$8</f>
        <v>10.0046529428885</v>
      </c>
      <c r="E54" s="55" t="n">
        <f aca="false">E36*Assumptions!$B$8</f>
        <v>14.3084211849161</v>
      </c>
      <c r="F54" s="55" t="n">
        <f aca="false">F36*Assumptions!$B$8</f>
        <v>19.5992495047964</v>
      </c>
      <c r="G54" s="55" t="n">
        <f aca="false">G36*Assumptions!$B$8</f>
        <v>24.0589115720162</v>
      </c>
      <c r="H54" s="55" t="n">
        <f aca="false">H36*Assumptions!$B$8</f>
        <v>27.4680927342276</v>
      </c>
      <c r="I54" s="55" t="n">
        <f aca="false">I36*Assumptions!$B$8</f>
        <v>30.5546059860342</v>
      </c>
      <c r="J54" s="55" t="n">
        <f aca="false">J36*Assumptions!$B$8</f>
        <v>33.4902462215999</v>
      </c>
      <c r="K54" s="55" t="n">
        <f aca="false">K36*Assumptions!$B$8</f>
        <v>36.6983172507504</v>
      </c>
      <c r="L54" s="55" t="n">
        <f aca="false">L36*Assumptions!$B$8</f>
        <v>41.4129630117437</v>
      </c>
      <c r="M54" s="55" t="n">
        <f aca="false">M36*Assumptions!$B$8</f>
        <v>45.3768967550044</v>
      </c>
      <c r="N54" s="55" t="n">
        <f aca="false">N36*Assumptions!$B$8</f>
        <v>48.4192055032616</v>
      </c>
      <c r="O54" s="55" t="n">
        <f aca="false">O36*Assumptions!$B$8</f>
        <v>63.6964618087737</v>
      </c>
      <c r="P54" s="55" t="n">
        <f aca="false">P36*Assumptions!$B$8</f>
        <v>77.6766945690956</v>
      </c>
      <c r="Q54" s="55" t="n">
        <f aca="false">Q36*Assumptions!$B$8</f>
        <v>90.5439463737856</v>
      </c>
      <c r="R54" s="55" t="n">
        <f aca="false">R36*Assumptions!$B$8</f>
        <v>107.264828466365</v>
      </c>
      <c r="S54" s="55" t="n">
        <f aca="false">S36*Assumptions!$B$8</f>
        <v>121.526748407078</v>
      </c>
      <c r="T54" s="55" t="n">
        <f aca="false">T36*Assumptions!$B$8</f>
        <v>132.367709758214</v>
      </c>
      <c r="U54" s="55" t="n">
        <f aca="false">U36*Assumptions!$B$8</f>
        <v>142.306129963277</v>
      </c>
      <c r="V54" s="55" t="n">
        <f aca="false">V36*Assumptions!$B$8</f>
        <v>151.939509269228</v>
      </c>
      <c r="W54" s="55" t="n">
        <f aca="false">W36*Assumptions!$B$8</f>
        <v>162.850178476854</v>
      </c>
      <c r="X54" s="55" t="n">
        <f aca="false">X36*Assumptions!$B$8</f>
        <v>179.811606193639</v>
      </c>
      <c r="Y54" s="55" t="n">
        <f aca="false">Y36*Assumptions!$B$8</f>
        <v>194.370551616329</v>
      </c>
      <c r="Z54" s="55" t="n">
        <f aca="false">Z36*Assumptions!$B$8</f>
        <v>205.693715289651</v>
      </c>
      <c r="AA54" s="55" t="n">
        <f aca="false">AA36*Assumptions!$B$8</f>
        <v>5007.25348054798</v>
      </c>
      <c r="AB54" s="55" t="n">
        <f aca="false">AB36*Assumptions!$B$8</f>
        <v>8579.95091795306</v>
      </c>
      <c r="AC54" s="55" t="n">
        <f aca="false">AC36*Assumptions!$B$8</f>
        <v>13409.7961498773</v>
      </c>
      <c r="AD54" s="55" t="n">
        <f aca="false">AD36*Assumptions!$B$8</f>
        <v>18766.2189217087</v>
      </c>
      <c r="AE54" s="55" t="n">
        <f aca="false">AE36*Assumptions!$B$8</f>
        <v>24052.3589418831</v>
      </c>
    </row>
    <row r="55" customFormat="false" ht="15" hidden="false" customHeight="false" outlineLevel="0" collapsed="false">
      <c r="A55" s="6" t="s">
        <v>470</v>
      </c>
      <c r="B55" s="23" t="s">
        <v>114</v>
      </c>
      <c r="C55" s="55" t="n">
        <f aca="false">C50*IF(Assumptions!$B$171=1,MIN(Assumptions!$B$14,1%),Assumptions!$B$14)*(1-Assumptions!$B$142)</f>
        <v>0</v>
      </c>
      <c r="D55" s="55" t="n">
        <f aca="false">D50*IF(Assumptions!$B$171=1,MIN(Assumptions!$B$14,1%),Assumptions!$B$14)*(1-Assumptions!$B$142)</f>
        <v>0</v>
      </c>
      <c r="E55" s="55" t="n">
        <f aca="false">E50*IF(Assumptions!$B$171=1,MIN(Assumptions!$B$14,1%),Assumptions!$B$14)*(1-Assumptions!$B$142)</f>
        <v>0</v>
      </c>
      <c r="F55" s="55" t="n">
        <f aca="false">F50*IF(Assumptions!$B$171=1,MIN(Assumptions!$B$14,1%),Assumptions!$B$14)*(1-Assumptions!$B$142)</f>
        <v>0</v>
      </c>
      <c r="G55" s="55" t="n">
        <f aca="false">G50*IF(Assumptions!$B$171=1,MIN(Assumptions!$B$14,1%),Assumptions!$B$14)*(1-Assumptions!$B$142)</f>
        <v>0</v>
      </c>
      <c r="H55" s="55" t="n">
        <f aca="false">H50*IF(Assumptions!$B$171=1,MIN(Assumptions!$B$14,1%),Assumptions!$B$14)*(1-Assumptions!$B$142)</f>
        <v>0</v>
      </c>
      <c r="I55" s="55" t="n">
        <f aca="false">I50*IF(Assumptions!$B$171=1,MIN(Assumptions!$B$14,1%),Assumptions!$B$14)*(1-Assumptions!$B$142)</f>
        <v>0</v>
      </c>
      <c r="J55" s="55" t="n">
        <f aca="false">J50*IF(Assumptions!$B$171=1,MIN(Assumptions!$B$14,1%),Assumptions!$B$14)*(1-Assumptions!$B$142)</f>
        <v>0</v>
      </c>
      <c r="K55" s="55" t="n">
        <f aca="false">K50*IF(Assumptions!$B$171=1,MIN(Assumptions!$B$14,1%),Assumptions!$B$14)*(1-Assumptions!$B$142)</f>
        <v>0</v>
      </c>
      <c r="L55" s="55" t="n">
        <f aca="false">L50*IF(Assumptions!$B$171=1,MIN(Assumptions!$B$14,1%),Assumptions!$B$14)*(1-Assumptions!$B$142)</f>
        <v>0</v>
      </c>
      <c r="M55" s="55" t="n">
        <f aca="false">M50*IF(Assumptions!$B$171=1,MIN(Assumptions!$B$14,1%),Assumptions!$B$14)*(1-Assumptions!$B$142)</f>
        <v>0</v>
      </c>
      <c r="N55" s="55" t="n">
        <f aca="false">N50*IF(Assumptions!$B$171=1,MIN(Assumptions!$B$14,1%),Assumptions!$B$14)*(1-Assumptions!$B$142)</f>
        <v>0</v>
      </c>
      <c r="O55" s="55" t="n">
        <f aca="false">O50*IF(Assumptions!$B$171=1,MIN(Assumptions!$B$14,1%),Assumptions!$B$14)*(1-Assumptions!$B$142)</f>
        <v>0.865813106849012</v>
      </c>
      <c r="P55" s="55" t="n">
        <f aca="false">P50*IF(Assumptions!$B$171=1,MIN(Assumptions!$B$14,1%),Assumptions!$B$14)*(1-Assumptions!$B$142)</f>
        <v>0.891432021506395</v>
      </c>
      <c r="Q55" s="55" t="n">
        <f aca="false">Q50*IF(Assumptions!$B$171=1,MIN(Assumptions!$B$14,1%),Assumptions!$B$14)*(1-Assumptions!$B$142)</f>
        <v>1.00639903598521</v>
      </c>
      <c r="R55" s="55" t="n">
        <f aca="false">R50*IF(Assumptions!$B$171=1,MIN(Assumptions!$B$14,1%),Assumptions!$B$14)*(1-Assumptions!$B$142)</f>
        <v>1.12445881259923</v>
      </c>
      <c r="S55" s="55" t="n">
        <f aca="false">S50*IF(Assumptions!$B$171=1,MIN(Assumptions!$B$14,1%),Assumptions!$B$14)*(1-Assumptions!$B$142)</f>
        <v>1.32810303283733</v>
      </c>
      <c r="T55" s="55" t="n">
        <f aca="false">T50*IF(Assumptions!$B$171=1,MIN(Assumptions!$B$14,1%),Assumptions!$B$14)*(1-Assumptions!$B$142)</f>
        <v>1.53438589882767</v>
      </c>
      <c r="U55" s="55" t="n">
        <f aca="false">U50*IF(Assumptions!$B$171=1,MIN(Assumptions!$B$14,1%),Assumptions!$B$14)*(1-Assumptions!$B$142)</f>
        <v>1.68907026825021</v>
      </c>
      <c r="V55" s="55" t="n">
        <f aca="false">V50*IF(Assumptions!$B$171=1,MIN(Assumptions!$B$14,1%),Assumptions!$B$14)*(1-Assumptions!$B$142)</f>
        <v>2.00149791058807</v>
      </c>
      <c r="W55" s="55" t="n">
        <f aca="false">W50*IF(Assumptions!$B$171=1,MIN(Assumptions!$B$14,1%),Assumptions!$B$14)*(1-Assumptions!$B$142)</f>
        <v>2.99287382150521</v>
      </c>
      <c r="X55" s="55" t="n">
        <f aca="false">X50*IF(Assumptions!$B$171=1,MIN(Assumptions!$B$14,1%),Assumptions!$B$14)*(1-Assumptions!$B$142)</f>
        <v>3.76405524350745</v>
      </c>
      <c r="Y55" s="55" t="n">
        <f aca="false">Y50*IF(Assumptions!$B$171=1,MIN(Assumptions!$B$14,1%),Assumptions!$B$14)*(1-Assumptions!$B$142)</f>
        <v>4.68933123979536</v>
      </c>
      <c r="Z55" s="55" t="n">
        <f aca="false">Z50*IF(Assumptions!$B$171=1,MIN(Assumptions!$B$14,1%),Assumptions!$B$14)*(1-Assumptions!$B$142)</f>
        <v>6.32945673702688</v>
      </c>
      <c r="AA55" s="55" t="n">
        <f aca="false">AA50*IF(Assumptions!$B$171=1,MIN(Assumptions!$B$14,1%),Assumptions!$B$14)*(1-Assumptions!$B$142)</f>
        <v>613.892220853053</v>
      </c>
      <c r="AB55" s="55" t="n">
        <f aca="false">AB50*IF(Assumptions!$B$171=1,MIN(Assumptions!$B$14,1%),Assumptions!$B$14)*(1-Assumptions!$B$142)</f>
        <v>1476.76134701368</v>
      </c>
      <c r="AC55" s="55" t="n">
        <f aca="false">AC50*IF(Assumptions!$B$171=1,MIN(Assumptions!$B$14,1%),Assumptions!$B$14)*(1-Assumptions!$B$142)</f>
        <v>2884.4838478905</v>
      </c>
      <c r="AD55" s="55" t="n">
        <f aca="false">AD50*IF(Assumptions!$B$171=1,MIN(Assumptions!$B$14,1%),Assumptions!$B$14)*(1-Assumptions!$B$142)</f>
        <v>4998.35739966119</v>
      </c>
      <c r="AE55" s="55" t="n">
        <f aca="false">AE50*IF(Assumptions!$B$171=1,MIN(Assumptions!$B$14,1%),Assumptions!$B$14)*(1-Assumptions!$B$142)</f>
        <v>7920.94330426556</v>
      </c>
    </row>
    <row r="56" customFormat="false" ht="15" hidden="false" customHeight="false" outlineLevel="0" collapsed="false">
      <c r="A56" s="6" t="s">
        <v>471</v>
      </c>
      <c r="B56" s="23" t="s">
        <v>114</v>
      </c>
      <c r="C56" s="55" t="n">
        <f aca="false">IF(C2&gt;=Assumptions!$B$50,C31*Assumptions!$B$159*Assumptions!$B$25/12*C7,0)</f>
        <v>0</v>
      </c>
      <c r="D56" s="55" t="n">
        <f aca="false">IF(D2&gt;=Assumptions!$B$50,D31*Assumptions!$B$159*Assumptions!$B$25/12*D7,0)</f>
        <v>0</v>
      </c>
      <c r="E56" s="55" t="n">
        <f aca="false">IF(E2&gt;=Assumptions!$B$50,E31*Assumptions!$B$159*Assumptions!$B$25/12*E7,0)</f>
        <v>0</v>
      </c>
      <c r="F56" s="55" t="n">
        <f aca="false">IF(F2&gt;=Assumptions!$B$50,F31*Assumptions!$B$159*Assumptions!$B$25/12*F7,0)</f>
        <v>0</v>
      </c>
      <c r="G56" s="55" t="n">
        <f aca="false">IF(G2&gt;=Assumptions!$B$50,G31*Assumptions!$B$159*Assumptions!$B$25/12*G7,0)</f>
        <v>0</v>
      </c>
      <c r="H56" s="55" t="n">
        <f aca="false">IF(H2&gt;=Assumptions!$B$50,H31*Assumptions!$B$159*Assumptions!$B$25/12*H7,0)</f>
        <v>0</v>
      </c>
      <c r="I56" s="55" t="n">
        <f aca="false">IF(I2&gt;=Assumptions!$B$50,I31*Assumptions!$B$159*Assumptions!$B$25/12*I7,0)</f>
        <v>378.38521344934</v>
      </c>
      <c r="J56" s="55" t="n">
        <f aca="false">IF(J2&gt;=Assumptions!$B$50,J31*Assumptions!$B$159*Assumptions!$B$25/12*J7,0)</f>
        <v>414.739891289163</v>
      </c>
      <c r="K56" s="55" t="n">
        <f aca="false">IF(K2&gt;=Assumptions!$B$50,K31*Assumptions!$B$159*Assumptions!$B$25/12*K7,0)</f>
        <v>454.468325086692</v>
      </c>
      <c r="L56" s="55" t="n">
        <f aca="false">IF(L2&gt;=Assumptions!$B$50,L31*Assumptions!$B$159*Assumptions!$B$25/12*L7,0)</f>
        <v>512.854031105186</v>
      </c>
      <c r="M56" s="55" t="n">
        <f aca="false">IF(M2&gt;=Assumptions!$B$50,M31*Assumptions!$B$159*Assumptions!$B$25/12*M7,0)</f>
        <v>561.942993870024</v>
      </c>
      <c r="N56" s="55" t="n">
        <f aca="false">IF(N2&gt;=Assumptions!$B$50,N31*Assumptions!$B$159*Assumptions!$B$25/12*N7,0)</f>
        <v>599.618644003239</v>
      </c>
      <c r="O56" s="55" t="n">
        <f aca="false">IF(O2&gt;=Assumptions!$B$50,O31*Assumptions!$B$159*Assumptions!$B$25/12*O7,0)</f>
        <v>788.810672554473</v>
      </c>
      <c r="P56" s="55" t="n">
        <f aca="false">IF(P2&gt;=Assumptions!$B$50,P31*Assumptions!$B$159*Assumptions!$B$25/12*P7,0)</f>
        <v>961.94049001976</v>
      </c>
      <c r="Q56" s="55" t="n">
        <f aca="false">IF(Q2&gt;=Assumptions!$B$50,Q31*Assumptions!$B$159*Assumptions!$B$25/12*Q7,0)</f>
        <v>1121.28726159487</v>
      </c>
      <c r="R56" s="55" t="n">
        <f aca="false">IF(R2&gt;=Assumptions!$B$50,R31*Assumptions!$B$159*Assumptions!$B$25/12*R7,0)</f>
        <v>1328.35700887139</v>
      </c>
      <c r="S56" s="55" t="n">
        <f aca="false">IF(S2&gt;=Assumptions!$B$50,S31*Assumptions!$B$159*Assumptions!$B$25/12*S7,0)</f>
        <v>1504.97521247155</v>
      </c>
      <c r="T56" s="55" t="n">
        <f aca="false">IF(T2&gt;=Assumptions!$B$50,T31*Assumptions!$B$159*Assumptions!$B$25/12*T7,0)</f>
        <v>1639.22860381689</v>
      </c>
      <c r="U56" s="55" t="n">
        <f aca="false">IF(U2&gt;=Assumptions!$B$50,U31*Assumptions!$B$159*Assumptions!$B$25/12*U7,0)</f>
        <v>1762.3050150251</v>
      </c>
      <c r="V56" s="55" t="n">
        <f aca="false">IF(V2&gt;=Assumptions!$B$50,V31*Assumptions!$B$159*Assumptions!$B$25/12*V7,0)</f>
        <v>1881.60382995948</v>
      </c>
      <c r="W56" s="55" t="n">
        <f aca="false">IF(W2&gt;=Assumptions!$B$50,W31*Assumptions!$B$159*Assumptions!$B$25/12*W7,0)</f>
        <v>2016.72047649354</v>
      </c>
      <c r="X56" s="55" t="n">
        <f aca="false">IF(X2&gt;=Assumptions!$B$50,X31*Assumptions!$B$159*Assumptions!$B$25/12*X7,0)</f>
        <v>2226.76911694909</v>
      </c>
      <c r="Y56" s="55" t="n">
        <f aca="false">IF(Y2&gt;=Assumptions!$B$50,Y31*Assumptions!$B$159*Assumptions!$B$25/12*Y7,0)</f>
        <v>2407.06565469138</v>
      </c>
      <c r="Z56" s="55" t="n">
        <f aca="false">IF(Z2&gt;=Assumptions!$B$50,Z31*Assumptions!$B$159*Assumptions!$B$25/12*Z7,0)</f>
        <v>2547.2905918223</v>
      </c>
      <c r="AA56" s="55" t="n">
        <f aca="false">IF(AA2&gt;=Assumptions!$B$50,AA31*Assumptions!$B$159*Assumptions!$B$25/12*AA7,0)</f>
        <v>62009.3310284579</v>
      </c>
      <c r="AB56" s="55" t="n">
        <f aca="false">IF(AB2&gt;=Assumptions!$B$50,AB31*Assumptions!$B$159*Assumptions!$B$25/12*AB7,0)</f>
        <v>106253.262141834</v>
      </c>
      <c r="AC56" s="55" t="n">
        <f aca="false">IF(AC2&gt;=Assumptions!$B$50,AC31*Assumptions!$B$159*Assumptions!$B$25/12*AC7,0)</f>
        <v>166065.586995384</v>
      </c>
      <c r="AD56" s="55" t="n">
        <f aca="false">IF(AD2&gt;=Assumptions!$B$50,AD31*Assumptions!$B$159*Assumptions!$B$25/12*AD7,0)</f>
        <v>232398.995934473</v>
      </c>
      <c r="AE56" s="55" t="n">
        <f aca="false">IF(AE2&gt;=Assumptions!$B$50,AE31*Assumptions!$B$159*Assumptions!$B$25/12*AE7,0)</f>
        <v>297862.030240039</v>
      </c>
    </row>
    <row r="57" customFormat="false" ht="15" hidden="false" customHeight="false" outlineLevel="0" collapsed="false">
      <c r="A57" s="6" t="s">
        <v>472</v>
      </c>
      <c r="B57" s="23" t="s">
        <v>114</v>
      </c>
      <c r="C57" s="55" t="n">
        <f aca="false">IF(C2&gt;=Assumptions!$B$52,C50*C17*Assumptions!$B$17+C45*(Assumptions!$B$148*MAX(0,Assumptions!$B$152-Assumptions!$B$18)+Assumptions!$B$149*MAX(0,Assumptions!$B$153-Assumptions!$B$18)+Assumptions!$B$150*MAX(0,Assumptions!$B$154-Assumptions!$B$18)+Assumptions!$B$151*MAX(0,Assumptions!$B$155-Assumptions!$B$18))*Assumptions!$B$19/Assumptions!$B$7*C7+C45*(Assumptions!$B$146*Assumptions!$B$20+Assumptions!$B$147*Assumptions!$B$21)/12/Assumptions!$B$7*C7,0)</f>
        <v>0</v>
      </c>
      <c r="D57" s="55" t="n">
        <f aca="false">IF(D2&gt;=Assumptions!$B$52,D50*D17*Assumptions!$B$17+D45*(Assumptions!$B$148*MAX(0,Assumptions!$B$152-Assumptions!$B$18)+Assumptions!$B$149*MAX(0,Assumptions!$B$153-Assumptions!$B$18)+Assumptions!$B$150*MAX(0,Assumptions!$B$154-Assumptions!$B$18)+Assumptions!$B$151*MAX(0,Assumptions!$B$155-Assumptions!$B$18))*Assumptions!$B$19/Assumptions!$B$7*D7+D45*(Assumptions!$B$146*Assumptions!$B$20+Assumptions!$B$147*Assumptions!$B$21)/12/Assumptions!$B$7*D7,0)</f>
        <v>0</v>
      </c>
      <c r="E57" s="55" t="n">
        <f aca="false">IF(E2&gt;=Assumptions!$B$52,E50*E17*Assumptions!$B$17+E45*(Assumptions!$B$148*MAX(0,Assumptions!$B$152-Assumptions!$B$18)+Assumptions!$B$149*MAX(0,Assumptions!$B$153-Assumptions!$B$18)+Assumptions!$B$150*MAX(0,Assumptions!$B$154-Assumptions!$B$18)+Assumptions!$B$151*MAX(0,Assumptions!$B$155-Assumptions!$B$18))*Assumptions!$B$19/Assumptions!$B$7*E7+E45*(Assumptions!$B$146*Assumptions!$B$20+Assumptions!$B$147*Assumptions!$B$21)/12/Assumptions!$B$7*E7,0)</f>
        <v>0</v>
      </c>
      <c r="F57" s="55" t="n">
        <f aca="false">IF(F2&gt;=Assumptions!$B$52,F50*F17*Assumptions!$B$17+F45*(Assumptions!$B$148*MAX(0,Assumptions!$B$152-Assumptions!$B$18)+Assumptions!$B$149*MAX(0,Assumptions!$B$153-Assumptions!$B$18)+Assumptions!$B$150*MAX(0,Assumptions!$B$154-Assumptions!$B$18)+Assumptions!$B$151*MAX(0,Assumptions!$B$155-Assumptions!$B$18))*Assumptions!$B$19/Assumptions!$B$7*F7+F45*(Assumptions!$B$146*Assumptions!$B$20+Assumptions!$B$147*Assumptions!$B$21)/12/Assumptions!$B$7*F7,0)</f>
        <v>0</v>
      </c>
      <c r="G57" s="55" t="n">
        <f aca="false">IF(G2&gt;=Assumptions!$B$52,G50*G17*Assumptions!$B$17+G45*(Assumptions!$B$148*MAX(0,Assumptions!$B$152-Assumptions!$B$18)+Assumptions!$B$149*MAX(0,Assumptions!$B$153-Assumptions!$B$18)+Assumptions!$B$150*MAX(0,Assumptions!$B$154-Assumptions!$B$18)+Assumptions!$B$151*MAX(0,Assumptions!$B$155-Assumptions!$B$18))*Assumptions!$B$19/Assumptions!$B$7*G7+G45*(Assumptions!$B$146*Assumptions!$B$20+Assumptions!$B$147*Assumptions!$B$21)/12/Assumptions!$B$7*G7,0)</f>
        <v>0</v>
      </c>
      <c r="H57" s="55" t="n">
        <f aca="false">IF(H2&gt;=Assumptions!$B$52,H50*H17*Assumptions!$B$17+H45*(Assumptions!$B$148*MAX(0,Assumptions!$B$152-Assumptions!$B$18)+Assumptions!$B$149*MAX(0,Assumptions!$B$153-Assumptions!$B$18)+Assumptions!$B$150*MAX(0,Assumptions!$B$154-Assumptions!$B$18)+Assumptions!$B$151*MAX(0,Assumptions!$B$155-Assumptions!$B$18))*Assumptions!$B$19/Assumptions!$B$7*H7+H45*(Assumptions!$B$146*Assumptions!$B$20+Assumptions!$B$147*Assumptions!$B$21)/12/Assumptions!$B$7*H7,0)</f>
        <v>0</v>
      </c>
      <c r="I57" s="55" t="n">
        <f aca="false">IF(I2&gt;=Assumptions!$B$52,I50*I17*Assumptions!$B$17+I45*(Assumptions!$B$148*MAX(0,Assumptions!$B$152-Assumptions!$B$18)+Assumptions!$B$149*MAX(0,Assumptions!$B$153-Assumptions!$B$18)+Assumptions!$B$150*MAX(0,Assumptions!$B$154-Assumptions!$B$18)+Assumptions!$B$151*MAX(0,Assumptions!$B$155-Assumptions!$B$18))*Assumptions!$B$19/Assumptions!$B$7*I7+I45*(Assumptions!$B$146*Assumptions!$B$20+Assumptions!$B$147*Assumptions!$B$21)/12/Assumptions!$B$7*I7,0)</f>
        <v>0</v>
      </c>
      <c r="J57" s="55" t="n">
        <f aca="false">IF(J2&gt;=Assumptions!$B$52,J50*J17*Assumptions!$B$17+J45*(Assumptions!$B$148*MAX(0,Assumptions!$B$152-Assumptions!$B$18)+Assumptions!$B$149*MAX(0,Assumptions!$B$153-Assumptions!$B$18)+Assumptions!$B$150*MAX(0,Assumptions!$B$154-Assumptions!$B$18)+Assumptions!$B$151*MAX(0,Assumptions!$B$155-Assumptions!$B$18))*Assumptions!$B$19/Assumptions!$B$7*J7+J45*(Assumptions!$B$146*Assumptions!$B$20+Assumptions!$B$147*Assumptions!$B$21)/12/Assumptions!$B$7*J7,0)</f>
        <v>0</v>
      </c>
      <c r="K57" s="55" t="n">
        <f aca="false">IF(K2&gt;=Assumptions!$B$52,K50*K17*Assumptions!$B$17+K45*(Assumptions!$B$148*MAX(0,Assumptions!$B$152-Assumptions!$B$18)+Assumptions!$B$149*MAX(0,Assumptions!$B$153-Assumptions!$B$18)+Assumptions!$B$150*MAX(0,Assumptions!$B$154-Assumptions!$B$18)+Assumptions!$B$151*MAX(0,Assumptions!$B$155-Assumptions!$B$18))*Assumptions!$B$19/Assumptions!$B$7*K7+K45*(Assumptions!$B$146*Assumptions!$B$20+Assumptions!$B$147*Assumptions!$B$21)/12/Assumptions!$B$7*K7,0)</f>
        <v>0</v>
      </c>
      <c r="L57" s="55" t="n">
        <f aca="false">IF(L2&gt;=Assumptions!$B$52,L50*L17*Assumptions!$B$17+L45*(Assumptions!$B$148*MAX(0,Assumptions!$B$152-Assumptions!$B$18)+Assumptions!$B$149*MAX(0,Assumptions!$B$153-Assumptions!$B$18)+Assumptions!$B$150*MAX(0,Assumptions!$B$154-Assumptions!$B$18)+Assumptions!$B$151*MAX(0,Assumptions!$B$155-Assumptions!$B$18))*Assumptions!$B$19/Assumptions!$B$7*L7+L45*(Assumptions!$B$146*Assumptions!$B$20+Assumptions!$B$147*Assumptions!$B$21)/12/Assumptions!$B$7*L7,0)</f>
        <v>0</v>
      </c>
      <c r="M57" s="55" t="n">
        <f aca="false">IF(M2&gt;=Assumptions!$B$52,M50*M17*Assumptions!$B$17+M45*(Assumptions!$B$148*MAX(0,Assumptions!$B$152-Assumptions!$B$18)+Assumptions!$B$149*MAX(0,Assumptions!$B$153-Assumptions!$B$18)+Assumptions!$B$150*MAX(0,Assumptions!$B$154-Assumptions!$B$18)+Assumptions!$B$151*MAX(0,Assumptions!$B$155-Assumptions!$B$18))*Assumptions!$B$19/Assumptions!$B$7*M7+M45*(Assumptions!$B$146*Assumptions!$B$20+Assumptions!$B$147*Assumptions!$B$21)/12/Assumptions!$B$7*M7,0)</f>
        <v>0</v>
      </c>
      <c r="N57" s="55" t="n">
        <f aca="false">IF(N2&gt;=Assumptions!$B$52,N50*N17*Assumptions!$B$17+N45*(Assumptions!$B$148*MAX(0,Assumptions!$B$152-Assumptions!$B$18)+Assumptions!$B$149*MAX(0,Assumptions!$B$153-Assumptions!$B$18)+Assumptions!$B$150*MAX(0,Assumptions!$B$154-Assumptions!$B$18)+Assumptions!$B$151*MAX(0,Assumptions!$B$155-Assumptions!$B$18))*Assumptions!$B$19/Assumptions!$B$7*N7+N45*(Assumptions!$B$146*Assumptions!$B$20+Assumptions!$B$147*Assumptions!$B$21)/12/Assumptions!$B$7*N7,0)</f>
        <v>0</v>
      </c>
      <c r="O57" s="55" t="n">
        <f aca="false">IF(O2&gt;=Assumptions!$B$52,O50*O17*Assumptions!$B$17+O45*(Assumptions!$B$148*MAX(0,Assumptions!$B$152-Assumptions!$B$18)+Assumptions!$B$149*MAX(0,Assumptions!$B$153-Assumptions!$B$18)+Assumptions!$B$150*MAX(0,Assumptions!$B$154-Assumptions!$B$18)+Assumptions!$B$151*MAX(0,Assumptions!$B$155-Assumptions!$B$18))*Assumptions!$B$19/Assumptions!$B$7*O7+O45*(Assumptions!$B$146*Assumptions!$B$20+Assumptions!$B$147*Assumptions!$B$21)/12/Assumptions!$B$7*O7,0)</f>
        <v>56.7411322600262</v>
      </c>
      <c r="P57" s="55" t="n">
        <f aca="false">IF(P2&gt;=Assumptions!$B$52,P50*P17*Assumptions!$B$17+P45*(Assumptions!$B$148*MAX(0,Assumptions!$B$152-Assumptions!$B$18)+Assumptions!$B$149*MAX(0,Assumptions!$B$153-Assumptions!$B$18)+Assumptions!$B$150*MAX(0,Assumptions!$B$154-Assumptions!$B$18)+Assumptions!$B$151*MAX(0,Assumptions!$B$155-Assumptions!$B$18))*Assumptions!$B$19/Assumptions!$B$7*P7+P45*(Assumptions!$B$146*Assumptions!$B$20+Assumptions!$B$147*Assumptions!$B$21)/12/Assumptions!$B$7*P7,0)</f>
        <v>66.436825175943</v>
      </c>
      <c r="Q57" s="55" t="n">
        <f aca="false">IF(Q2&gt;=Assumptions!$B$52,Q50*Q17*Assumptions!$B$17+Q45*(Assumptions!$B$148*MAX(0,Assumptions!$B$152-Assumptions!$B$18)+Assumptions!$B$149*MAX(0,Assumptions!$B$153-Assumptions!$B$18)+Assumptions!$B$150*MAX(0,Assumptions!$B$154-Assumptions!$B$18)+Assumptions!$B$151*MAX(0,Assumptions!$B$155-Assumptions!$B$18))*Assumptions!$B$19/Assumptions!$B$7*Q7+Q45*(Assumptions!$B$146*Assumptions!$B$20+Assumptions!$B$147*Assumptions!$B$21)/12/Assumptions!$B$7*Q7,0)</f>
        <v>75.8919474272772</v>
      </c>
      <c r="R57" s="55" t="n">
        <f aca="false">IF(R2&gt;=Assumptions!$B$52,R50*R17*Assumptions!$B$17+R45*(Assumptions!$B$148*MAX(0,Assumptions!$B$152-Assumptions!$B$18)+Assumptions!$B$149*MAX(0,Assumptions!$B$153-Assumptions!$B$18)+Assumptions!$B$150*MAX(0,Assumptions!$B$154-Assumptions!$B$18)+Assumptions!$B$151*MAX(0,Assumptions!$B$155-Assumptions!$B$18))*Assumptions!$B$19/Assumptions!$B$7*R7+R45*(Assumptions!$B$146*Assumptions!$B$20+Assumptions!$B$147*Assumptions!$B$21)/12/Assumptions!$B$7*R7,0)</f>
        <v>85.424712305363</v>
      </c>
      <c r="S57" s="55" t="n">
        <f aca="false">IF(S2&gt;=Assumptions!$B$52,S50*S17*Assumptions!$B$17+S45*(Assumptions!$B$148*MAX(0,Assumptions!$B$152-Assumptions!$B$18)+Assumptions!$B$149*MAX(0,Assumptions!$B$153-Assumptions!$B$18)+Assumptions!$B$150*MAX(0,Assumptions!$B$154-Assumptions!$B$18)+Assumptions!$B$151*MAX(0,Assumptions!$B$155-Assumptions!$B$18))*Assumptions!$B$19/Assumptions!$B$7*S7+S45*(Assumptions!$B$146*Assumptions!$B$20+Assumptions!$B$147*Assumptions!$B$21)/12/Assumptions!$B$7*S7,0)</f>
        <v>95.9489634934514</v>
      </c>
      <c r="T57" s="55" t="n">
        <f aca="false">IF(T2&gt;=Assumptions!$B$52,T50*T17*Assumptions!$B$17+T45*(Assumptions!$B$148*MAX(0,Assumptions!$B$152-Assumptions!$B$18)+Assumptions!$B$149*MAX(0,Assumptions!$B$153-Assumptions!$B$18)+Assumptions!$B$150*MAX(0,Assumptions!$B$154-Assumptions!$B$18)+Assumptions!$B$151*MAX(0,Assumptions!$B$155-Assumptions!$B$18))*Assumptions!$B$19/Assumptions!$B$7*T7+T45*(Assumptions!$B$146*Assumptions!$B$20+Assumptions!$B$147*Assumptions!$B$21)/12/Assumptions!$B$7*T7,0)</f>
        <v>111.004776801316</v>
      </c>
      <c r="U57" s="55" t="n">
        <f aca="false">IF(U2&gt;=Assumptions!$B$52,U50*U17*Assumptions!$B$17+U45*(Assumptions!$B$148*MAX(0,Assumptions!$B$152-Assumptions!$B$18)+Assumptions!$B$149*MAX(0,Assumptions!$B$153-Assumptions!$B$18)+Assumptions!$B$150*MAX(0,Assumptions!$B$154-Assumptions!$B$18)+Assumptions!$B$151*MAX(0,Assumptions!$B$155-Assumptions!$B$18))*Assumptions!$B$19/Assumptions!$B$7*U7+U45*(Assumptions!$B$146*Assumptions!$B$20+Assumptions!$B$147*Assumptions!$B$21)/12/Assumptions!$B$7*U7,0)</f>
        <v>124.202679230167</v>
      </c>
      <c r="V57" s="55" t="n">
        <f aca="false">IF(V2&gt;=Assumptions!$B$52,V50*V17*Assumptions!$B$17+V45*(Assumptions!$B$148*MAX(0,Assumptions!$B$152-Assumptions!$B$18)+Assumptions!$B$149*MAX(0,Assumptions!$B$153-Assumptions!$B$18)+Assumptions!$B$150*MAX(0,Assumptions!$B$154-Assumptions!$B$18)+Assumptions!$B$151*MAX(0,Assumptions!$B$155-Assumptions!$B$18))*Assumptions!$B$19/Assumptions!$B$7*V7+V45*(Assumptions!$B$146*Assumptions!$B$20+Assumptions!$B$147*Assumptions!$B$21)/12/Assumptions!$B$7*V7,0)</f>
        <v>135.650082070198</v>
      </c>
      <c r="W57" s="55" t="n">
        <f aca="false">IF(W2&gt;=Assumptions!$B$52,W50*W17*Assumptions!$B$17+W45*(Assumptions!$B$148*MAX(0,Assumptions!$B$152-Assumptions!$B$18)+Assumptions!$B$149*MAX(0,Assumptions!$B$153-Assumptions!$B$18)+Assumptions!$B$150*MAX(0,Assumptions!$B$154-Assumptions!$B$18)+Assumptions!$B$151*MAX(0,Assumptions!$B$155-Assumptions!$B$18))*Assumptions!$B$19/Assumptions!$B$7*W7+W45*(Assumptions!$B$146*Assumptions!$B$20+Assumptions!$B$147*Assumptions!$B$21)/12/Assumptions!$B$7*W7,0)</f>
        <v>172.738046470589</v>
      </c>
      <c r="X57" s="55" t="n">
        <f aca="false">IF(X2&gt;=Assumptions!$B$52,X50*X17*Assumptions!$B$17+X45*(Assumptions!$B$148*MAX(0,Assumptions!$B$152-Assumptions!$B$18)+Assumptions!$B$149*MAX(0,Assumptions!$B$153-Assumptions!$B$18)+Assumptions!$B$150*MAX(0,Assumptions!$B$154-Assumptions!$B$18)+Assumptions!$B$151*MAX(0,Assumptions!$B$155-Assumptions!$B$18))*Assumptions!$B$19/Assumptions!$B$7*X7+X45*(Assumptions!$B$146*Assumptions!$B$20+Assumptions!$B$147*Assumptions!$B$21)/12/Assumptions!$B$7*X7,0)</f>
        <v>210.510989586684</v>
      </c>
      <c r="Y57" s="55" t="n">
        <f aca="false">IF(Y2&gt;=Assumptions!$B$52,Y50*Y17*Assumptions!$B$17+Y45*(Assumptions!$B$148*MAX(0,Assumptions!$B$152-Assumptions!$B$18)+Assumptions!$B$149*MAX(0,Assumptions!$B$153-Assumptions!$B$18)+Assumptions!$B$150*MAX(0,Assumptions!$B$154-Assumptions!$B$18)+Assumptions!$B$151*MAX(0,Assumptions!$B$155-Assumptions!$B$18))*Assumptions!$B$19/Assumptions!$B$7*Y7+Y45*(Assumptions!$B$146*Assumptions!$B$20+Assumptions!$B$147*Assumptions!$B$21)/12/Assumptions!$B$7*Y7,0)</f>
        <v>246.66009850812</v>
      </c>
      <c r="Z57" s="55" t="n">
        <f aca="false">IF(Z2&gt;=Assumptions!$B$52,Z50*Z17*Assumptions!$B$17+Z45*(Assumptions!$B$148*MAX(0,Assumptions!$B$152-Assumptions!$B$18)+Assumptions!$B$149*MAX(0,Assumptions!$B$153-Assumptions!$B$18)+Assumptions!$B$150*MAX(0,Assumptions!$B$154-Assumptions!$B$18)+Assumptions!$B$151*MAX(0,Assumptions!$B$155-Assumptions!$B$18))*Assumptions!$B$19/Assumptions!$B$7*Z7+Z45*(Assumptions!$B$146*Assumptions!$B$20+Assumptions!$B$147*Assumptions!$B$21)/12/Assumptions!$B$7*Z7,0)</f>
        <v>291.776140228721</v>
      </c>
      <c r="AA57" s="55" t="n">
        <f aca="false">IF(AA2&gt;=Assumptions!$B$52,AA50*AA17*Assumptions!$B$17+AA45*(Assumptions!$B$148*MAX(0,Assumptions!$B$152-Assumptions!$B$18)+Assumptions!$B$149*MAX(0,Assumptions!$B$153-Assumptions!$B$18)+Assumptions!$B$150*MAX(0,Assumptions!$B$154-Assumptions!$B$18)+Assumptions!$B$151*MAX(0,Assumptions!$B$155-Assumptions!$B$18))*Assumptions!$B$19/Assumptions!$B$7*AA7+AA45*(Assumptions!$B$146*Assumptions!$B$20+Assumptions!$B$147*Assumptions!$B$21)/12/Assumptions!$B$7*AA7,0)</f>
        <v>18348.2647031545</v>
      </c>
      <c r="AB57" s="55" t="n">
        <f aca="false">IF(AB2&gt;=Assumptions!$B$52,AB50*AB17*Assumptions!$B$17+AB45*(Assumptions!$B$148*MAX(0,Assumptions!$B$152-Assumptions!$B$18)+Assumptions!$B$149*MAX(0,Assumptions!$B$153-Assumptions!$B$18)+Assumptions!$B$150*MAX(0,Assumptions!$B$154-Assumptions!$B$18)+Assumptions!$B$151*MAX(0,Assumptions!$B$155-Assumptions!$B$18))*Assumptions!$B$19/Assumptions!$B$7*AB7+AB45*(Assumptions!$B$146*Assumptions!$B$20+Assumptions!$B$147*Assumptions!$B$21)/12/Assumptions!$B$7*AB7,0)</f>
        <v>35695.5242918115</v>
      </c>
      <c r="AC57" s="55" t="n">
        <f aca="false">IF(AC2&gt;=Assumptions!$B$52,AC50*AC17*Assumptions!$B$17+AC45*(Assumptions!$B$148*MAX(0,Assumptions!$B$152-Assumptions!$B$18)+Assumptions!$B$149*MAX(0,Assumptions!$B$153-Assumptions!$B$18)+Assumptions!$B$150*MAX(0,Assumptions!$B$154-Assumptions!$B$18)+Assumptions!$B$151*MAX(0,Assumptions!$B$155-Assumptions!$B$18))*Assumptions!$B$19/Assumptions!$B$7*AC7+AC45*(Assumptions!$B$146*Assumptions!$B$20+Assumptions!$B$147*Assumptions!$B$21)/12/Assumptions!$B$7*AC7,0)</f>
        <v>61735.7761426176</v>
      </c>
      <c r="AD57" s="55" t="n">
        <f aca="false">IF(AD2&gt;=Assumptions!$B$52,AD50*AD17*Assumptions!$B$17+AD45*(Assumptions!$B$148*MAX(0,Assumptions!$B$152-Assumptions!$B$18)+Assumptions!$B$149*MAX(0,Assumptions!$B$153-Assumptions!$B$18)+Assumptions!$B$150*MAX(0,Assumptions!$B$154-Assumptions!$B$18)+Assumptions!$B$151*MAX(0,Assumptions!$B$155-Assumptions!$B$18))*Assumptions!$B$19/Assumptions!$B$7*AD7+AD45*(Assumptions!$B$146*Assumptions!$B$20+Assumptions!$B$147*Assumptions!$B$21)/12/Assumptions!$B$7*AD7,0)</f>
        <v>96228.7214239913</v>
      </c>
      <c r="AE57" s="55" t="n">
        <f aca="false">IF(AE2&gt;=Assumptions!$B$52,AE50*AE17*Assumptions!$B$17+AE45*(Assumptions!$B$148*MAX(0,Assumptions!$B$152-Assumptions!$B$18)+Assumptions!$B$149*MAX(0,Assumptions!$B$153-Assumptions!$B$18)+Assumptions!$B$150*MAX(0,Assumptions!$B$154-Assumptions!$B$18)+Assumptions!$B$151*MAX(0,Assumptions!$B$155-Assumptions!$B$18))*Assumptions!$B$19/Assumptions!$B$7*AE7+AE45*(Assumptions!$B$146*Assumptions!$B$20+Assumptions!$B$147*Assumptions!$B$21)/12/Assumptions!$B$7*AE7,0)</f>
        <v>138313.022760793</v>
      </c>
    </row>
    <row r="58" customFormat="false" ht="15" hidden="false" customHeight="false" outlineLevel="0" collapsed="false">
      <c r="A58" s="6" t="s">
        <v>473</v>
      </c>
      <c r="B58" s="23" t="s">
        <v>114</v>
      </c>
      <c r="C58" s="55" t="n">
        <f aca="false">IF(C2&gt;=Assumptions!$B$53,C45*C46*(1-Assumptions!$B$171)*Assumptions!$B$156*Assumptions!$B$157,0)</f>
        <v>0</v>
      </c>
      <c r="D58" s="55" t="n">
        <f aca="false">IF(D2&gt;=Assumptions!$B$53,D45*D46*(1-Assumptions!$B$171)*Assumptions!$B$156*Assumptions!$B$157,0)</f>
        <v>0</v>
      </c>
      <c r="E58" s="55" t="n">
        <f aca="false">IF(E2&gt;=Assumptions!$B$53,E45*E46*(1-Assumptions!$B$171)*Assumptions!$B$156*Assumptions!$B$157,0)</f>
        <v>0</v>
      </c>
      <c r="F58" s="55" t="n">
        <f aca="false">IF(F2&gt;=Assumptions!$B$53,F45*F46*(1-Assumptions!$B$171)*Assumptions!$B$156*Assumptions!$B$157,0)</f>
        <v>0</v>
      </c>
      <c r="G58" s="55" t="n">
        <f aca="false">IF(G2&gt;=Assumptions!$B$53,G45*G46*(1-Assumptions!$B$171)*Assumptions!$B$156*Assumptions!$B$157,0)</f>
        <v>0</v>
      </c>
      <c r="H58" s="55" t="n">
        <f aca="false">IF(H2&gt;=Assumptions!$B$53,H45*H46*(1-Assumptions!$B$171)*Assumptions!$B$156*Assumptions!$B$157,0)</f>
        <v>0</v>
      </c>
      <c r="I58" s="55" t="n">
        <f aca="false">IF(I2&gt;=Assumptions!$B$53,I45*I46*(1-Assumptions!$B$171)*Assumptions!$B$156*Assumptions!$B$157,0)</f>
        <v>0</v>
      </c>
      <c r="J58" s="55" t="n">
        <f aca="false">IF(J2&gt;=Assumptions!$B$53,J45*J46*(1-Assumptions!$B$171)*Assumptions!$B$156*Assumptions!$B$157,0)</f>
        <v>0</v>
      </c>
      <c r="K58" s="55" t="n">
        <f aca="false">IF(K2&gt;=Assumptions!$B$53,K45*K46*(1-Assumptions!$B$171)*Assumptions!$B$156*Assumptions!$B$157,0)</f>
        <v>0</v>
      </c>
      <c r="L58" s="55" t="n">
        <f aca="false">IF(L2&gt;=Assumptions!$B$53,L45*L46*(1-Assumptions!$B$171)*Assumptions!$B$156*Assumptions!$B$157,0)</f>
        <v>0</v>
      </c>
      <c r="M58" s="55" t="n">
        <f aca="false">IF(M2&gt;=Assumptions!$B$53,M45*M46*(1-Assumptions!$B$171)*Assumptions!$B$156*Assumptions!$B$157,0)</f>
        <v>0</v>
      </c>
      <c r="N58" s="55" t="n">
        <f aca="false">IF(N2&gt;=Assumptions!$B$53,N45*N46*(1-Assumptions!$B$171)*Assumptions!$B$156*Assumptions!$B$157,0)</f>
        <v>0</v>
      </c>
      <c r="O58" s="55" t="n">
        <f aca="false">IF(O2&gt;=Assumptions!$B$53,O45*O46*(1-Assumptions!$B$171)*Assumptions!$B$156*Assumptions!$B$157,0)</f>
        <v>374.810868765806</v>
      </c>
      <c r="P58" s="55" t="n">
        <f aca="false">IF(P2&gt;=Assumptions!$B$53,P45*P46*(1-Assumptions!$B$171)*Assumptions!$B$156*Assumptions!$B$157,0)</f>
        <v>424.491438812569</v>
      </c>
      <c r="Q58" s="55" t="n">
        <f aca="false">IF(Q2&gt;=Assumptions!$B$53,Q45*Q46*(1-Assumptions!$B$171)*Assumptions!$B$156*Assumptions!$B$157,0)</f>
        <v>489.017996105543</v>
      </c>
      <c r="R58" s="55" t="n">
        <f aca="false">IF(R2&gt;=Assumptions!$B$53,R45*R46*(1-Assumptions!$B$171)*Assumptions!$B$156*Assumptions!$B$157,0)</f>
        <v>546.38426268184</v>
      </c>
      <c r="S58" s="55" t="n">
        <f aca="false">IF(S2&gt;=Assumptions!$B$53,S45*S46*(1-Assumptions!$B$171)*Assumptions!$B$156*Assumptions!$B$157,0)</f>
        <v>632.430015636824</v>
      </c>
      <c r="T58" s="55" t="n">
        <f aca="false">IF(T2&gt;=Assumptions!$B$53,T45*T46*(1-Assumptions!$B$171)*Assumptions!$B$156*Assumptions!$B$157,0)</f>
        <v>769.115738760735</v>
      </c>
      <c r="U58" s="55" t="n">
        <f aca="false">IF(U2&gt;=Assumptions!$B$53,U45*U46*(1-Assumptions!$B$171)*Assumptions!$B$156*Assumptions!$B$157,0)</f>
        <v>913.99906290596</v>
      </c>
      <c r="V58" s="55" t="n">
        <f aca="false">IF(V2&gt;=Assumptions!$B$53,V45*V46*(1-Assumptions!$B$171)*Assumptions!$B$156*Assumptions!$B$157,0)</f>
        <v>1058.99360348575</v>
      </c>
      <c r="W58" s="55" t="n">
        <f aca="false">IF(W2&gt;=Assumptions!$B$53,W45*W46*(1-Assumptions!$B$171)*Assumptions!$B$156*Assumptions!$B$157,0)</f>
        <v>1425.17801024058</v>
      </c>
      <c r="X58" s="55" t="n">
        <f aca="false">IF(X2&gt;=Assumptions!$B$53,X45*X46*(1-Assumptions!$B$171)*Assumptions!$B$156*Assumptions!$B$157,0)</f>
        <v>1757.26201844419</v>
      </c>
      <c r="Y58" s="55" t="n">
        <f aca="false">IF(Y2&gt;=Assumptions!$B$53,Y45*Y46*(1-Assumptions!$B$171)*Assumptions!$B$156*Assumptions!$B$157,0)</f>
        <v>2126.68083437431</v>
      </c>
      <c r="Z58" s="55" t="n">
        <f aca="false">IF(Z2&gt;=Assumptions!$B$53,Z45*Z46*(1-Assumptions!$B$171)*Assumptions!$B$156*Assumptions!$B$157,0)</f>
        <v>2643.88334879987</v>
      </c>
      <c r="AA58" s="55" t="n">
        <f aca="false">IF(AA2&gt;=Assumptions!$B$53,AA45*AA46*(1-Assumptions!$B$171)*Assumptions!$B$156*Assumptions!$B$157,0)</f>
        <v>24360.8024148037</v>
      </c>
      <c r="AB58" s="55" t="n">
        <f aca="false">IF(AB2&gt;=Assumptions!$B$53,AB45*AB46*(1-Assumptions!$B$171)*Assumptions!$B$156*Assumptions!$B$157,0)</f>
        <v>58601.6407545111</v>
      </c>
      <c r="AC58" s="55" t="n">
        <f aca="false">IF(AC2&gt;=Assumptions!$B$53,AC45*AC46*(1-Assumptions!$B$171)*Assumptions!$B$156*Assumptions!$B$157,0)</f>
        <v>114463.644757559</v>
      </c>
      <c r="AD58" s="55" t="n">
        <f aca="false">IF(AD2&gt;=Assumptions!$B$53,AD45*AD46*(1-Assumptions!$B$171)*Assumptions!$B$156*Assumptions!$B$157,0)</f>
        <v>198347.515859571</v>
      </c>
      <c r="AE58" s="55" t="n">
        <f aca="false">IF(AE2&gt;=Assumptions!$B$53,AE45*AE46*(1-Assumptions!$B$171)*Assumptions!$B$156*Assumptions!$B$157,0)</f>
        <v>314323.146994665</v>
      </c>
    </row>
    <row r="59" customFormat="false" ht="15" hidden="false" customHeight="false" outlineLevel="0" collapsed="false">
      <c r="A59" s="6" t="s">
        <v>474</v>
      </c>
      <c r="B59" s="23" t="s">
        <v>114</v>
      </c>
      <c r="C59" s="55" t="n">
        <f aca="false">IF(C2&gt;=Assumptions!$B$53,(C58*Assumptions!$B$29*Assumptions!$B$30+C45*C47*(1-Assumptions!$B$171)*Assumptions!$B$27*Assumptions!$B$28)*C7/12,0)</f>
        <v>0</v>
      </c>
      <c r="D59" s="55" t="n">
        <f aca="false">IF(D2&gt;=Assumptions!$B$53,(D58*Assumptions!$B$29*Assumptions!$B$30+D45*D47*(1-Assumptions!$B$171)*Assumptions!$B$27*Assumptions!$B$28)*D7/12,0)</f>
        <v>0</v>
      </c>
      <c r="E59" s="55" t="n">
        <f aca="false">IF(E2&gt;=Assumptions!$B$53,(E58*Assumptions!$B$29*Assumptions!$B$30+E45*E47*(1-Assumptions!$B$171)*Assumptions!$B$27*Assumptions!$B$28)*E7/12,0)</f>
        <v>0</v>
      </c>
      <c r="F59" s="55" t="n">
        <f aca="false">IF(F2&gt;=Assumptions!$B$53,(F58*Assumptions!$B$29*Assumptions!$B$30+F45*F47*(1-Assumptions!$B$171)*Assumptions!$B$27*Assumptions!$B$28)*F7/12,0)</f>
        <v>0</v>
      </c>
      <c r="G59" s="55" t="n">
        <f aca="false">IF(G2&gt;=Assumptions!$B$53,(G58*Assumptions!$B$29*Assumptions!$B$30+G45*G47*(1-Assumptions!$B$171)*Assumptions!$B$27*Assumptions!$B$28)*G7/12,0)</f>
        <v>0</v>
      </c>
      <c r="H59" s="55" t="n">
        <f aca="false">IF(H2&gt;=Assumptions!$B$53,(H58*Assumptions!$B$29*Assumptions!$B$30+H45*H47*(1-Assumptions!$B$171)*Assumptions!$B$27*Assumptions!$B$28)*H7/12,0)</f>
        <v>0</v>
      </c>
      <c r="I59" s="55" t="n">
        <f aca="false">IF(I2&gt;=Assumptions!$B$53,(I58*Assumptions!$B$29*Assumptions!$B$30+I45*I47*(1-Assumptions!$B$171)*Assumptions!$B$27*Assumptions!$B$28)*I7/12,0)</f>
        <v>0</v>
      </c>
      <c r="J59" s="55" t="n">
        <f aca="false">IF(J2&gt;=Assumptions!$B$53,(J58*Assumptions!$B$29*Assumptions!$B$30+J45*J47*(1-Assumptions!$B$171)*Assumptions!$B$27*Assumptions!$B$28)*J7/12,0)</f>
        <v>0</v>
      </c>
      <c r="K59" s="55" t="n">
        <f aca="false">IF(K2&gt;=Assumptions!$B$53,(K58*Assumptions!$B$29*Assumptions!$B$30+K45*K47*(1-Assumptions!$B$171)*Assumptions!$B$27*Assumptions!$B$28)*K7/12,0)</f>
        <v>0</v>
      </c>
      <c r="L59" s="55" t="n">
        <f aca="false">IF(L2&gt;=Assumptions!$B$53,(L58*Assumptions!$B$29*Assumptions!$B$30+L45*L47*(1-Assumptions!$B$171)*Assumptions!$B$27*Assumptions!$B$28)*L7/12,0)</f>
        <v>0</v>
      </c>
      <c r="M59" s="55" t="n">
        <f aca="false">IF(M2&gt;=Assumptions!$B$53,(M58*Assumptions!$B$29*Assumptions!$B$30+M45*M47*(1-Assumptions!$B$171)*Assumptions!$B$27*Assumptions!$B$28)*M7/12,0)</f>
        <v>0</v>
      </c>
      <c r="N59" s="55" t="n">
        <f aca="false">IF(N2&gt;=Assumptions!$B$53,(N58*Assumptions!$B$29*Assumptions!$B$30+N45*N47*(1-Assumptions!$B$171)*Assumptions!$B$27*Assumptions!$B$28)*N7/12,0)</f>
        <v>0</v>
      </c>
      <c r="O59" s="55" t="n">
        <f aca="false">IF(O2&gt;=Assumptions!$B$53,(O58*Assumptions!$B$29*Assumptions!$B$30+O45*O47*(1-Assumptions!$B$171)*Assumptions!$B$27*Assumptions!$B$28)*O7/12,0)</f>
        <v>0.890175813318789</v>
      </c>
      <c r="P59" s="55" t="n">
        <f aca="false">IF(P2&gt;=Assumptions!$B$53,(P58*Assumptions!$B$29*Assumptions!$B$30+P45*P47*(1-Assumptions!$B$171)*Assumptions!$B$27*Assumptions!$B$28)*P7/12,0)</f>
        <v>1.00816716717985</v>
      </c>
      <c r="Q59" s="55" t="n">
        <f aca="false">IF(Q2&gt;=Assumptions!$B$53,(Q58*Assumptions!$B$29*Assumptions!$B$30+Q45*Q47*(1-Assumptions!$B$171)*Assumptions!$B$27*Assumptions!$B$28)*Q7/12,0)</f>
        <v>1.16141774075066</v>
      </c>
      <c r="R59" s="55" t="n">
        <f aca="false">IF(R2&gt;=Assumptions!$B$53,(R58*Assumptions!$B$29*Assumptions!$B$30+R45*R47*(1-Assumptions!$B$171)*Assumptions!$B$27*Assumptions!$B$28)*R7/12,0)</f>
        <v>1.29766262386937</v>
      </c>
      <c r="S59" s="55" t="n">
        <f aca="false">IF(S2&gt;=Assumptions!$B$53,(S58*Assumptions!$B$29*Assumptions!$B$30+S45*S47*(1-Assumptions!$B$171)*Assumptions!$B$27*Assumptions!$B$28)*S7/12,0)</f>
        <v>1.50202128713746</v>
      </c>
      <c r="T59" s="55" t="n">
        <f aca="false">IF(T2&gt;=Assumptions!$B$53,(T58*Assumptions!$B$29*Assumptions!$B$30+T45*T47*(1-Assumptions!$B$171)*Assumptions!$B$27*Assumptions!$B$28)*T7/12,0)</f>
        <v>1.82664987955675</v>
      </c>
      <c r="U59" s="55" t="n">
        <f aca="false">IF(U2&gt;=Assumptions!$B$53,(U58*Assumptions!$B$29*Assumptions!$B$30+U45*U47*(1-Assumptions!$B$171)*Assumptions!$B$27*Assumptions!$B$28)*U7/12,0)</f>
        <v>2.17074777440166</v>
      </c>
      <c r="V59" s="55" t="n">
        <f aca="false">IF(V2&gt;=Assumptions!$B$53,(V58*Assumptions!$B$29*Assumptions!$B$30+V45*V47*(1-Assumptions!$B$171)*Assumptions!$B$27*Assumptions!$B$28)*V7/12,0)</f>
        <v>2.51510980827866</v>
      </c>
      <c r="W59" s="55" t="n">
        <f aca="false">IF(W2&gt;=Assumptions!$B$53,(W58*Assumptions!$B$29*Assumptions!$B$30+W45*W47*(1-Assumptions!$B$171)*Assumptions!$B$27*Assumptions!$B$28)*W7/12,0)</f>
        <v>3.38479777432137</v>
      </c>
      <c r="X59" s="55" t="n">
        <f aca="false">IF(X2&gt;=Assumptions!$B$53,(X58*Assumptions!$B$29*Assumptions!$B$30+X45*X47*(1-Assumptions!$B$171)*Assumptions!$B$27*Assumptions!$B$28)*X7/12,0)</f>
        <v>4.17349729380494</v>
      </c>
      <c r="Y59" s="55" t="n">
        <f aca="false">IF(Y2&gt;=Assumptions!$B$53,(Y58*Assumptions!$B$29*Assumptions!$B$30+Y45*Y47*(1-Assumptions!$B$171)*Assumptions!$B$27*Assumptions!$B$28)*Y7/12,0)</f>
        <v>5.05086698163899</v>
      </c>
      <c r="Z59" s="55" t="n">
        <f aca="false">IF(Z2&gt;=Assumptions!$B$53,(Z58*Assumptions!$B$29*Assumptions!$B$30+Z45*Z47*(1-Assumptions!$B$171)*Assumptions!$B$27*Assumptions!$B$28)*Z7/12,0)</f>
        <v>6.27922295339969</v>
      </c>
      <c r="AA59" s="55" t="n">
        <f aca="false">IF(AA2&gt;=Assumptions!$B$53,(AA58*Assumptions!$B$29*Assumptions!$B$30+AA45*AA47*(1-Assumptions!$B$171)*Assumptions!$B$27*Assumptions!$B$28)*AA7/12,0)</f>
        <v>694.282868821905</v>
      </c>
      <c r="AB59" s="55" t="n">
        <f aca="false">IF(AB2&gt;=Assumptions!$B$53,(AB58*Assumptions!$B$29*Assumptions!$B$30+AB45*AB47*(1-Assumptions!$B$171)*Assumptions!$B$27*Assumptions!$B$28)*AB7/12,0)</f>
        <v>1670.14676150357</v>
      </c>
      <c r="AC59" s="55" t="n">
        <f aca="false">IF(AC2&gt;=Assumptions!$B$53,(AC58*Assumptions!$B$29*Assumptions!$B$30+AC45*AC47*(1-Assumptions!$B$171)*Assumptions!$B$27*Assumptions!$B$28)*AC7/12,0)</f>
        <v>3262.21387559045</v>
      </c>
      <c r="AD59" s="55" t="n">
        <f aca="false">IF(AD2&gt;=Assumptions!$B$53,(AD58*Assumptions!$B$29*Assumptions!$B$30+AD45*AD47*(1-Assumptions!$B$171)*Assumptions!$B$27*Assumptions!$B$28)*AD7/12,0)</f>
        <v>5652.90420199777</v>
      </c>
      <c r="AE59" s="55" t="n">
        <f aca="false">IF(AE2&gt;=Assumptions!$B$53,(AE58*Assumptions!$B$29*Assumptions!$B$30+AE45*AE47*(1-Assumptions!$B$171)*Assumptions!$B$27*Assumptions!$B$28)*AE7/12,0)</f>
        <v>8958.20968934795</v>
      </c>
    </row>
    <row r="60" customFormat="false" ht="15" hidden="false" customHeight="false" outlineLevel="0" collapsed="false">
      <c r="A60" s="6" t="s">
        <v>475</v>
      </c>
      <c r="B60" s="23" t="s">
        <v>476</v>
      </c>
      <c r="C60" s="45" t="n">
        <f aca="false">IF(C2&gt;=Assumptions!$B$49,(C31+C33*Assumptions!$B$138)*Assumptions!$B$137*C7/12,0)</f>
        <v>0.229222067670005</v>
      </c>
      <c r="D60" s="45" t="n">
        <f aca="false">IF(D2&gt;=Assumptions!$B$49,(D31+D33*Assumptions!$B$138)*Assumptions!$B$137*D7/12,0)</f>
        <v>0.459710686994309</v>
      </c>
      <c r="E60" s="45" t="n">
        <f aca="false">IF(E2&gt;=Assumptions!$B$49,(E31+E33*Assumptions!$B$138)*Assumptions!$B$137*E7/12,0)</f>
        <v>0.692496740271753</v>
      </c>
      <c r="F60" s="45" t="n">
        <f aca="false">IF(F2&gt;=Assumptions!$B$49,(F31+F33*Assumptions!$B$138)*Assumptions!$B$137*F7/12,0)</f>
        <v>0.987763233338587</v>
      </c>
      <c r="G60" s="45" t="n">
        <f aca="false">IF(G2&gt;=Assumptions!$B$49,(G31+G33*Assumptions!$B$138)*Assumptions!$B$137*G7/12,0)</f>
        <v>1.27075585062314</v>
      </c>
      <c r="H60" s="45" t="n">
        <f aca="false">IF(H2&gt;=Assumptions!$B$49,(H31+H33*Assumptions!$B$138)*Assumptions!$B$137*H7/12,0)</f>
        <v>1.52815807908512</v>
      </c>
      <c r="I60" s="45" t="n">
        <f aca="false">IF(I2&gt;=Assumptions!$B$49,(I31+I33*Assumptions!$B$138)*Assumptions!$B$137*I7/12,0)</f>
        <v>1.78692765181949</v>
      </c>
      <c r="J60" s="45" t="n">
        <f aca="false">IF(J2&gt;=Assumptions!$B$49,(J31+J33*Assumptions!$B$138)*Assumptions!$B$137*J7/12,0)</f>
        <v>2.05308969228022</v>
      </c>
      <c r="K60" s="45" t="n">
        <f aca="false">IF(K2&gt;=Assumptions!$B$49,(K31+K33*Assumptions!$B$138)*Assumptions!$B$137*K7/12,0)</f>
        <v>2.34440498546171</v>
      </c>
      <c r="L60" s="45" t="n">
        <f aca="false">IF(L2&gt;=Assumptions!$B$49,(L31+L33*Assumptions!$B$138)*Assumptions!$B$137*L7/12,0)</f>
        <v>2.71587823739935</v>
      </c>
      <c r="M60" s="45" t="n">
        <f aca="false">IF(M2&gt;=Assumptions!$B$49,(M31+M33*Assumptions!$B$138)*Assumptions!$B$137*M7/12,0)</f>
        <v>3.07597588027518</v>
      </c>
      <c r="N60" s="45" t="n">
        <f aca="false">IF(N2&gt;=Assumptions!$B$49,(N31+N33*Assumptions!$B$138)*Assumptions!$B$137*N7/12,0)</f>
        <v>3.41385431980033</v>
      </c>
      <c r="O60" s="45" t="n">
        <f aca="false">IF(O2&gt;=Assumptions!$B$49,(O31+O33*Assumptions!$B$138)*Assumptions!$B$137*O7/12,0)</f>
        <v>4.29857885110158</v>
      </c>
      <c r="P60" s="45" t="n">
        <f aca="false">IF(P2&gt;=Assumptions!$B$49,(P31+P33*Assumptions!$B$138)*Assumptions!$B$137*P7/12,0)</f>
        <v>5.19591918487228</v>
      </c>
      <c r="Q60" s="45" t="n">
        <f aca="false">IF(Q2&gt;=Assumptions!$B$49,(Q31+Q33*Assumptions!$B$138)*Assumptions!$B$137*Q7/12,0)</f>
        <v>6.10802525513434</v>
      </c>
      <c r="R60" s="45" t="n">
        <f aca="false">IF(R2&gt;=Assumptions!$B$49,(R31+R33*Assumptions!$B$138)*Assumptions!$B$137*R7/12,0)</f>
        <v>7.2462576081702</v>
      </c>
      <c r="S60" s="45" t="n">
        <f aca="false">IF(S2&gt;=Assumptions!$B$49,(S31+S33*Assumptions!$B$138)*Assumptions!$B$137*S7/12,0)</f>
        <v>8.3530119834491</v>
      </c>
      <c r="T60" s="45" t="n">
        <f aca="false">IF(T2&gt;=Assumptions!$B$49,(T31+T33*Assumptions!$B$138)*Assumptions!$B$137*T7/12,0)</f>
        <v>9.37524746417918</v>
      </c>
      <c r="U60" s="45" t="n">
        <f aca="false">IF(U2&gt;=Assumptions!$B$49,(U31+U33*Assumptions!$B$138)*Assumptions!$B$137*U7/12,0)</f>
        <v>10.4072128320186</v>
      </c>
      <c r="V60" s="45" t="n">
        <f aca="false">IF(V2&gt;=Assumptions!$B$49,(V31+V33*Assumptions!$B$138)*Assumptions!$B$137*V7/12,0)</f>
        <v>11.4708574644593</v>
      </c>
      <c r="W60" s="45" t="n">
        <f aca="false">IF(W2&gt;=Assumptions!$B$49,(W31+W33*Assumptions!$B$138)*Assumptions!$B$137*W7/12,0)</f>
        <v>12.6337436860684</v>
      </c>
      <c r="X60" s="45" t="n">
        <f aca="false">IF(X2&gt;=Assumptions!$B$49,(X31+X33*Assumptions!$B$138)*Assumptions!$B$137*X7/12,0)</f>
        <v>14.1096324109261</v>
      </c>
      <c r="Y60" s="45" t="n">
        <f aca="false">IF(Y2&gt;=Assumptions!$B$49,(Y31+Y33*Assumptions!$B$138)*Assumptions!$B$137*Y7/12,0)</f>
        <v>15.5575924369087</v>
      </c>
      <c r="Z60" s="45" t="n">
        <f aca="false">IF(Z2&gt;=Assumptions!$B$49,(Z31+Z33*Assumptions!$B$138)*Assumptions!$B$137*Z7/12,0)</f>
        <v>16.9304457740731</v>
      </c>
      <c r="AA60" s="45" t="n">
        <f aca="false">IF(AA2&gt;=Assumptions!$B$49,(AA31+AA33*Assumptions!$B$138)*Assumptions!$B$137*AA7/12,0)</f>
        <v>524.319978355198</v>
      </c>
      <c r="AB60" s="45" t="n">
        <f aca="false">IF(AB2&gt;=Assumptions!$B$49,(AB31+AB33*Assumptions!$B$138)*Assumptions!$B$137*AB7/12,0)</f>
        <v>1060.76405805871</v>
      </c>
      <c r="AC60" s="45" t="n">
        <f aca="false">IF(AC2&gt;=Assumptions!$B$49,(AC31+AC33*Assumptions!$B$138)*Assumptions!$B$137*AC7/12,0)</f>
        <v>1885.75202526309</v>
      </c>
      <c r="AD60" s="45" t="n">
        <f aca="false">IF(AD2&gt;=Assumptions!$B$49,(AD31+AD33*Assumptions!$B$138)*Assumptions!$B$137*AD7/12,0)</f>
        <v>3015.28590521765</v>
      </c>
      <c r="AE60" s="45" t="n">
        <f aca="false">IF(AE2&gt;=Assumptions!$B$49,(AE31+AE33*Assumptions!$B$138)*Assumptions!$B$137*AE7/12,0)</f>
        <v>4434.85982519663</v>
      </c>
    </row>
    <row r="61" customFormat="false" ht="15" hidden="false" customHeight="false" outlineLevel="0" collapsed="false">
      <c r="A61" s="3" t="s">
        <v>477</v>
      </c>
      <c r="B61" s="23" t="s">
        <v>114</v>
      </c>
      <c r="C61" s="57" t="n">
        <f aca="false">C53+C54+C55+C56+C57+C59</f>
        <v>59.9881257426553</v>
      </c>
      <c r="D61" s="57" t="n">
        <f aca="false">D53+D54+D55+D56+D57+D59</f>
        <v>114.077822875104</v>
      </c>
      <c r="E61" s="57" t="n">
        <f aca="false">E53+E54+E55+E56+E57+E59</f>
        <v>163.151440322124</v>
      </c>
      <c r="F61" s="57" t="n">
        <f aca="false">F53+F54+F55+F56+F57+F59</f>
        <v>223.479987387508</v>
      </c>
      <c r="G61" s="57" t="n">
        <f aca="false">G53+G54+G55+G56+G57+G59</f>
        <v>274.331180556457</v>
      </c>
      <c r="H61" s="57" t="n">
        <f aca="false">H53+H54+H55+H56+H57+H59</f>
        <v>313.204289598019</v>
      </c>
      <c r="I61" s="57" t="n">
        <f aca="false">I53+I54+I55+I56+I57+I59</f>
        <v>726.783398732819</v>
      </c>
      <c r="J61" s="57" t="n">
        <f aca="false">J53+J54+J55+J56+J57+J59</f>
        <v>796.61164619366</v>
      </c>
      <c r="K61" s="57" t="n">
        <f aca="false">K53+K54+K55+K56+K57+K59</f>
        <v>872.920035410263</v>
      </c>
      <c r="L61" s="57" t="n">
        <f aca="false">L53+L54+L55+L56+L57+L59</f>
        <v>985.064380245285</v>
      </c>
      <c r="M61" s="57" t="n">
        <f aca="false">M53+M54+M55+M56+M57+M59</f>
        <v>1079.35200547585</v>
      </c>
      <c r="N61" s="57" t="n">
        <f aca="false">N53+N54+N55+N56+N57+N59</f>
        <v>1151.71751046922</v>
      </c>
      <c r="O61" s="57" t="n">
        <f aca="false">O53+O54+O55+O56+O57+O59</f>
        <v>1573.6052204892</v>
      </c>
      <c r="P61" s="57" t="n">
        <f aca="false">P53+P54+P55+P56+P57+P59</f>
        <v>1915.98362057008</v>
      </c>
      <c r="Q61" s="57" t="n">
        <f aca="false">Q53+Q54+Q55+Q56+Q57+Q59</f>
        <v>2231.77227191236</v>
      </c>
      <c r="R61" s="57" t="n">
        <f aca="false">R53+R54+R55+R56+R57+R59</f>
        <v>2639.28855853156</v>
      </c>
      <c r="S61" s="57" t="n">
        <f aca="false">S53+S54+S55+S56+S57+S59</f>
        <v>2989.46022716816</v>
      </c>
      <c r="T61" s="57" t="n">
        <f aca="false">T53+T54+T55+T56+T57+T59</f>
        <v>3262.914153361</v>
      </c>
      <c r="U61" s="57" t="n">
        <f aca="false">U53+U54+U55+U56+U57+U59</f>
        <v>3513.00985488228</v>
      </c>
      <c r="V61" s="57" t="n">
        <f aca="false">V53+V54+V55+V56+V57+V59</f>
        <v>3754.25724618373</v>
      </c>
      <c r="W61" s="57" t="n">
        <f aca="false">W53+W54+W55+W56+W57+W59</f>
        <v>4052.73157329139</v>
      </c>
      <c r="X61" s="57" t="n">
        <f aca="false">X53+X54+X55+X56+X57+X59</f>
        <v>4495.51532350397</v>
      </c>
      <c r="Y61" s="57" t="n">
        <f aca="false">Y53+Y54+Y55+Y56+Y57+Y59</f>
        <v>4879.77165297802</v>
      </c>
      <c r="Z61" s="57" t="n">
        <f aca="false">Z53+Z54+Z55+Z56+Z57+Z59</f>
        <v>5197.09322416184</v>
      </c>
      <c r="AA61" s="57" t="n">
        <f aca="false">AA53+AA54+AA55+AA56+AA57+AA59</f>
        <v>138760.86236574</v>
      </c>
      <c r="AB61" s="57" t="n">
        <f aca="false">AB53+AB54+AB55+AB56+AB57+AB59</f>
        <v>242928.385659256</v>
      </c>
      <c r="AC61" s="57" t="n">
        <f aca="false">AC53+AC54+AC55+AC56+AC57+AC59</f>
        <v>386852.950087483</v>
      </c>
      <c r="AD61" s="57" t="n">
        <f aca="false">AD53+AD54+AD55+AD56+AD57+AD59</f>
        <v>553260.354466789</v>
      </c>
      <c r="AE61" s="57" t="n">
        <f aca="false">AE53+AE54+AE55+AE56+AE57+AE59</f>
        <v>727310.670337961</v>
      </c>
    </row>
    <row r="63" customFormat="false" ht="15" hidden="false" customHeight="false" outlineLevel="0" collapsed="false">
      <c r="A63" s="46" t="s">
        <v>478</v>
      </c>
      <c r="B63" s="47"/>
      <c r="C63" s="47"/>
      <c r="D63" s="47"/>
      <c r="E63" s="47"/>
      <c r="F63" s="47"/>
      <c r="G63" s="47"/>
      <c r="H63" s="47"/>
      <c r="I63" s="47"/>
      <c r="J63" s="47"/>
      <c r="K63" s="47"/>
      <c r="L63" s="47"/>
      <c r="M63" s="47"/>
      <c r="N63" s="47"/>
      <c r="O63" s="47"/>
      <c r="P63" s="47"/>
      <c r="Q63" s="47"/>
      <c r="R63" s="47"/>
      <c r="S63" s="47"/>
      <c r="T63" s="47"/>
      <c r="U63" s="47"/>
      <c r="V63" s="47"/>
      <c r="W63" s="47"/>
      <c r="X63" s="47"/>
      <c r="Y63" s="47"/>
      <c r="Z63" s="47"/>
      <c r="AA63" s="47"/>
      <c r="AB63" s="47"/>
      <c r="AC63" s="47"/>
      <c r="AD63" s="47"/>
      <c r="AE63" s="47"/>
    </row>
    <row r="64" customFormat="false" ht="15" hidden="false" customHeight="false" outlineLevel="0" collapsed="false">
      <c r="A64" s="6" t="s">
        <v>438</v>
      </c>
      <c r="B64" s="23" t="s">
        <v>190</v>
      </c>
      <c r="C64" s="53" t="n">
        <f aca="false">INDEX(Assumptions!$B$100:$B$106,C5)*Assumptions!$B$128/12*C7/Assumptions!$B$125*(1+Assumptions!$B$132)*IF(C2&gt;=Assumptions!$B$56,1,0)</f>
        <v>0</v>
      </c>
      <c r="D64" s="53" t="n">
        <f aca="false">INDEX(Assumptions!$B$100:$B$106,D5)*Assumptions!$B$128/12*D7/Assumptions!$B$125*(1+Assumptions!$B$132)*IF(D2&gt;=Assumptions!$B$56,1,0)</f>
        <v>0</v>
      </c>
      <c r="E64" s="53" t="n">
        <f aca="false">INDEX(Assumptions!$B$100:$B$106,E5)*Assumptions!$B$128/12*E7/Assumptions!$B$125*(1+Assumptions!$B$132)*IF(E2&gt;=Assumptions!$B$56,1,0)</f>
        <v>0</v>
      </c>
      <c r="F64" s="53" t="n">
        <f aca="false">INDEX(Assumptions!$B$100:$B$106,F5)*Assumptions!$B$128/12*F7/Assumptions!$B$125*(1+Assumptions!$B$132)*IF(F2&gt;=Assumptions!$B$56,1,0)</f>
        <v>0</v>
      </c>
      <c r="G64" s="53" t="n">
        <f aca="false">INDEX(Assumptions!$B$100:$B$106,G5)*Assumptions!$B$128/12*G7/Assumptions!$B$125*(1+Assumptions!$B$132)*IF(G2&gt;=Assumptions!$B$56,1,0)</f>
        <v>0</v>
      </c>
      <c r="H64" s="53" t="n">
        <f aca="false">INDEX(Assumptions!$B$100:$B$106,H5)*Assumptions!$B$128/12*H7/Assumptions!$B$125*(1+Assumptions!$B$132)*IF(H2&gt;=Assumptions!$B$56,1,0)</f>
        <v>0</v>
      </c>
      <c r="I64" s="53" t="n">
        <f aca="false">INDEX(Assumptions!$B$100:$B$106,I5)*Assumptions!$B$128/12*I7/Assumptions!$B$125*(1+Assumptions!$B$132)*IF(I2&gt;=Assumptions!$B$56,1,0)</f>
        <v>0</v>
      </c>
      <c r="J64" s="53" t="n">
        <f aca="false">INDEX(Assumptions!$B$100:$B$106,J5)*Assumptions!$B$128/12*J7/Assumptions!$B$125*(1+Assumptions!$B$132)*IF(J2&gt;=Assumptions!$B$56,1,0)</f>
        <v>0</v>
      </c>
      <c r="K64" s="53" t="n">
        <f aca="false">INDEX(Assumptions!$B$100:$B$106,K5)*Assumptions!$B$128/12*K7/Assumptions!$B$125*(1+Assumptions!$B$132)*IF(K2&gt;=Assumptions!$B$56,1,0)</f>
        <v>0</v>
      </c>
      <c r="L64" s="53" t="n">
        <f aca="false">INDEX(Assumptions!$B$100:$B$106,L5)*Assumptions!$B$128/12*L7/Assumptions!$B$125*(1+Assumptions!$B$132)*IF(L2&gt;=Assumptions!$B$56,1,0)</f>
        <v>0</v>
      </c>
      <c r="M64" s="53" t="n">
        <f aca="false">INDEX(Assumptions!$B$100:$B$106,M5)*Assumptions!$B$128/12*M7/Assumptions!$B$125*(1+Assumptions!$B$132)*IF(M2&gt;=Assumptions!$B$56,1,0)</f>
        <v>0</v>
      </c>
      <c r="N64" s="53" t="n">
        <f aca="false">INDEX(Assumptions!$B$100:$B$106,N5)*Assumptions!$B$128/12*N7/Assumptions!$B$125*(1+Assumptions!$B$132)*IF(N2&gt;=Assumptions!$B$56,1,0)</f>
        <v>0</v>
      </c>
      <c r="O64" s="53" t="n">
        <f aca="false">INDEX(Assumptions!$B$100:$B$106,O5)*Assumptions!$B$128/12*O7/Assumptions!$B$125*(1+Assumptions!$B$132)*IF(O2&gt;=Assumptions!$B$56,1,0)</f>
        <v>26.88</v>
      </c>
      <c r="P64" s="53" t="n">
        <f aca="false">INDEX(Assumptions!$B$100:$B$106,P5)*Assumptions!$B$128/12*P7/Assumptions!$B$125*(1+Assumptions!$B$132)*IF(P2&gt;=Assumptions!$B$56,1,0)</f>
        <v>26.88</v>
      </c>
      <c r="Q64" s="53" t="n">
        <f aca="false">INDEX(Assumptions!$B$100:$B$106,Q5)*Assumptions!$B$128/12*Q7/Assumptions!$B$125*(1+Assumptions!$B$132)*IF(Q2&gt;=Assumptions!$B$56,1,0)</f>
        <v>26.88</v>
      </c>
      <c r="R64" s="53" t="n">
        <f aca="false">INDEX(Assumptions!$B$100:$B$106,R5)*Assumptions!$B$128/12*R7/Assumptions!$B$125*(1+Assumptions!$B$132)*IF(R2&gt;=Assumptions!$B$56,1,0)</f>
        <v>26.88</v>
      </c>
      <c r="S64" s="53" t="n">
        <f aca="false">INDEX(Assumptions!$B$100:$B$106,S5)*Assumptions!$B$128/12*S7/Assumptions!$B$125*(1+Assumptions!$B$132)*IF(S2&gt;=Assumptions!$B$56,1,0)</f>
        <v>26.88</v>
      </c>
      <c r="T64" s="53" t="n">
        <f aca="false">INDEX(Assumptions!$B$100:$B$106,T5)*Assumptions!$B$128/12*T7/Assumptions!$B$125*(1+Assumptions!$B$132)*IF(T2&gt;=Assumptions!$B$56,1,0)</f>
        <v>26.88</v>
      </c>
      <c r="U64" s="53" t="n">
        <f aca="false">INDEX(Assumptions!$B$100:$B$106,U5)*Assumptions!$B$128/12*U7/Assumptions!$B$125*(1+Assumptions!$B$132)*IF(U2&gt;=Assumptions!$B$56,1,0)</f>
        <v>26.88</v>
      </c>
      <c r="V64" s="53" t="n">
        <f aca="false">INDEX(Assumptions!$B$100:$B$106,V5)*Assumptions!$B$128/12*V7/Assumptions!$B$125*(1+Assumptions!$B$132)*IF(V2&gt;=Assumptions!$B$56,1,0)</f>
        <v>26.88</v>
      </c>
      <c r="W64" s="53" t="n">
        <f aca="false">INDEX(Assumptions!$B$100:$B$106,W5)*Assumptions!$B$128/12*W7/Assumptions!$B$125*(1+Assumptions!$B$132)*IF(W2&gt;=Assumptions!$B$56,1,0)</f>
        <v>26.88</v>
      </c>
      <c r="X64" s="53" t="n">
        <f aca="false">INDEX(Assumptions!$B$100:$B$106,X5)*Assumptions!$B$128/12*X7/Assumptions!$B$125*(1+Assumptions!$B$132)*IF(X2&gt;=Assumptions!$B$56,1,0)</f>
        <v>26.88</v>
      </c>
      <c r="Y64" s="53" t="n">
        <f aca="false">INDEX(Assumptions!$B$100:$B$106,Y5)*Assumptions!$B$128/12*Y7/Assumptions!$B$125*(1+Assumptions!$B$132)*IF(Y2&gt;=Assumptions!$B$56,1,0)</f>
        <v>26.88</v>
      </c>
      <c r="Z64" s="53" t="n">
        <f aca="false">INDEX(Assumptions!$B$100:$B$106,Z5)*Assumptions!$B$128/12*Z7/Assumptions!$B$125*(1+Assumptions!$B$132)*IF(Z2&gt;=Assumptions!$B$56,1,0)</f>
        <v>26.88</v>
      </c>
      <c r="AA64" s="53" t="n">
        <f aca="false">INDEX(Assumptions!$B$100:$B$106,AA5)*Assumptions!$B$128/12*AA7/Assumptions!$B$125*(1+Assumptions!$B$132)*IF(AA2&gt;=Assumptions!$B$56,1,0)</f>
        <v>448</v>
      </c>
      <c r="AB64" s="53" t="n">
        <f aca="false">INDEX(Assumptions!$B$100:$B$106,AB5)*Assumptions!$B$128/12*AB7/Assumptions!$B$125*(1+Assumptions!$B$132)*IF(AB2&gt;=Assumptions!$B$56,1,0)</f>
        <v>716.8</v>
      </c>
      <c r="AC64" s="53" t="n">
        <f aca="false">INDEX(Assumptions!$B$100:$B$106,AC5)*Assumptions!$B$128/12*AC7/Assumptions!$B$125*(1+Assumptions!$B$132)*IF(AC2&gt;=Assumptions!$B$56,1,0)</f>
        <v>1075.2</v>
      </c>
      <c r="AD64" s="53" t="n">
        <f aca="false">INDEX(Assumptions!$B$100:$B$106,AD5)*Assumptions!$B$128/12*AD7/Assumptions!$B$125*(1+Assumptions!$B$132)*IF(AD2&gt;=Assumptions!$B$56,1,0)</f>
        <v>1523.2</v>
      </c>
      <c r="AE64" s="53" t="n">
        <f aca="false">INDEX(Assumptions!$B$100:$B$106,AE5)*Assumptions!$B$128/12*AE7/Assumptions!$B$125*(1+Assumptions!$B$132)*IF(AE2&gt;=Assumptions!$B$56,1,0)</f>
        <v>1971.2</v>
      </c>
    </row>
    <row r="65" customFormat="false" ht="15" hidden="false" customHeight="false" outlineLevel="0" collapsed="false">
      <c r="A65" s="6" t="s">
        <v>439</v>
      </c>
      <c r="B65" s="23" t="s">
        <v>190</v>
      </c>
      <c r="C65" s="54" t="n">
        <v>0</v>
      </c>
      <c r="D65" s="54" t="n">
        <f aca="false">IF(D2&gt;=Assumptions!$B$55,C69*Assumptions!$B$130/12*Assumptions!$B$131*D7,0)</f>
        <v>0</v>
      </c>
      <c r="E65" s="54" t="n">
        <f aca="false">IF(E2&gt;=Assumptions!$B$55,D69*Assumptions!$B$130/12*Assumptions!$B$131*E7,0)</f>
        <v>0</v>
      </c>
      <c r="F65" s="54" t="n">
        <f aca="false">IF(F2&gt;=Assumptions!$B$55,E69*Assumptions!$B$130/12*Assumptions!$B$131*F7,0)</f>
        <v>0</v>
      </c>
      <c r="G65" s="54" t="n">
        <f aca="false">IF(G2&gt;=Assumptions!$B$55,F69*Assumptions!$B$130/12*Assumptions!$B$131*G7,0)</f>
        <v>0</v>
      </c>
      <c r="H65" s="54" t="n">
        <f aca="false">IF(H2&gt;=Assumptions!$B$55,G69*Assumptions!$B$130/12*Assumptions!$B$131*H7,0)</f>
        <v>0</v>
      </c>
      <c r="I65" s="54" t="n">
        <f aca="false">IF(I2&gt;=Assumptions!$B$55,H69*Assumptions!$B$130/12*Assumptions!$B$131*I7,0)</f>
        <v>0</v>
      </c>
      <c r="J65" s="54" t="n">
        <f aca="false">IF(J2&gt;=Assumptions!$B$55,I69*Assumptions!$B$130/12*Assumptions!$B$131*J7,0)</f>
        <v>0</v>
      </c>
      <c r="K65" s="54" t="n">
        <f aca="false">IF(K2&gt;=Assumptions!$B$55,J69*Assumptions!$B$130/12*Assumptions!$B$131*K7,0)</f>
        <v>0</v>
      </c>
      <c r="L65" s="54" t="n">
        <f aca="false">IF(L2&gt;=Assumptions!$B$55,K69*Assumptions!$B$130/12*Assumptions!$B$131*L7,0)</f>
        <v>0</v>
      </c>
      <c r="M65" s="54" t="n">
        <f aca="false">IF(M2&gt;=Assumptions!$B$55,L69*Assumptions!$B$130/12*Assumptions!$B$131*M7,0)</f>
        <v>0</v>
      </c>
      <c r="N65" s="54" t="n">
        <f aca="false">IF(N2&gt;=Assumptions!$B$55,M69*Assumptions!$B$130/12*Assumptions!$B$131*N7,0)</f>
        <v>0</v>
      </c>
      <c r="O65" s="54" t="n">
        <f aca="false">IF(O2&gt;=Assumptions!$B$55,N69*Assumptions!$B$130/12*Assumptions!$B$131*O7,0)</f>
        <v>0</v>
      </c>
      <c r="P65" s="54" t="n">
        <f aca="false">IF(P2&gt;=Assumptions!$B$55,O69*Assumptions!$B$130/12*Assumptions!$B$131*P7,0)</f>
        <v>0.732494839093939</v>
      </c>
      <c r="Q65" s="54" t="n">
        <f aca="false">IF(Q2&gt;=Assumptions!$B$55,P69*Assumptions!$B$130/12*Assumptions!$B$131*Q7,0)</f>
        <v>1.40843666028213</v>
      </c>
      <c r="R65" s="54" t="n">
        <f aca="false">IF(R2&gt;=Assumptions!$B$55,Q69*Assumptions!$B$130/12*Assumptions!$B$131*R7,0)</f>
        <v>2.03536333264967</v>
      </c>
      <c r="S65" s="54" t="n">
        <f aca="false">IF(S2&gt;=Assumptions!$B$55,R69*Assumptions!$B$130/12*Assumptions!$B$131*S7,0)</f>
        <v>2.82123086160503</v>
      </c>
      <c r="T65" s="54" t="n">
        <f aca="false">IF(T2&gt;=Assumptions!$B$55,S69*Assumptions!$B$130/12*Assumptions!$B$131*T7,0)</f>
        <v>3.50187049870946</v>
      </c>
      <c r="U65" s="54" t="n">
        <f aca="false">IF(U2&gt;=Assumptions!$B$55,T69*Assumptions!$B$130/12*Assumptions!$B$131*U7,0)</f>
        <v>4.03644738073115</v>
      </c>
      <c r="V65" s="54" t="n">
        <f aca="false">IF(V2&gt;=Assumptions!$B$55,U69*Assumptions!$B$130/12*Assumptions!$B$131*V7,0)</f>
        <v>4.53067469819284</v>
      </c>
      <c r="W65" s="54" t="n">
        <f aca="false">IF(W2&gt;=Assumptions!$B$55,V69*Assumptions!$B$130/12*Assumptions!$B$131*W7,0)</f>
        <v>5.0097612798933</v>
      </c>
      <c r="X65" s="54" t="n">
        <f aca="false">IF(X2&gt;=Assumptions!$B$55,W69*Assumptions!$B$130/12*Assumptions!$B$131*X7,0)</f>
        <v>5.54074937598298</v>
      </c>
      <c r="Y65" s="54" t="n">
        <f aca="false">IF(Y2&gt;=Assumptions!$B$55,X69*Assumptions!$B$130/12*Assumptions!$B$131*Y7,0)</f>
        <v>6.3263451935172</v>
      </c>
      <c r="Z65" s="54" t="n">
        <f aca="false">IF(Z2&gt;=Assumptions!$B$55,Y69*Assumptions!$B$130/12*Assumptions!$B$131*Z7,0)</f>
        <v>7.00840005582307</v>
      </c>
      <c r="AA65" s="54" t="n">
        <f aca="false">IF(AA2&gt;=Assumptions!$B$55,Z69*Assumptions!$B$130/12*Assumptions!$B$131*AA7,0)</f>
        <v>90.6148349184688</v>
      </c>
      <c r="AB65" s="54" t="n">
        <f aca="false">IF(AB2&gt;=Assumptions!$B$55,AA69*Assumptions!$B$130/12*Assumptions!$B$131*AB7,0)</f>
        <v>199.225245170844</v>
      </c>
      <c r="AC65" s="54" t="n">
        <f aca="false">IF(AC2&gt;=Assumptions!$B$55,AB69*Assumptions!$B$130/12*Assumptions!$B$131*AC7,0)</f>
        <v>350.758804435182</v>
      </c>
      <c r="AD65" s="54" t="n">
        <f aca="false">IF(AD2&gt;=Assumptions!$B$55,AC69*Assumptions!$B$130/12*Assumptions!$B$131*AD7,0)</f>
        <v>552.64027154148</v>
      </c>
      <c r="AE65" s="54" t="n">
        <f aca="false">IF(AE2&gt;=Assumptions!$B$55,AD69*Assumptions!$B$130/12*Assumptions!$B$131*AE7,0)</f>
        <v>778.52724051481</v>
      </c>
    </row>
    <row r="66" customFormat="false" ht="15" hidden="false" customHeight="false" outlineLevel="0" collapsed="false">
      <c r="A66" s="6" t="s">
        <v>440</v>
      </c>
      <c r="B66" s="23" t="s">
        <v>190</v>
      </c>
      <c r="C66" s="54" t="n">
        <f aca="false">C64+C65+IF(C23=0,0,C20*Assumptions!$B$115/C23*IF(C2&gt;=Assumptions!$B$56,1,0))</f>
        <v>0</v>
      </c>
      <c r="D66" s="54" t="n">
        <f aca="false">D64+D65+IF(D23=0,0,D20*Assumptions!$B$115/D23*IF(D2&gt;=Assumptions!$B$56,1,0))</f>
        <v>0</v>
      </c>
      <c r="E66" s="54" t="n">
        <f aca="false">E64+E65+IF(E23=0,0,E20*Assumptions!$B$115/E23*IF(E2&gt;=Assumptions!$B$56,1,0))</f>
        <v>0</v>
      </c>
      <c r="F66" s="54" t="n">
        <f aca="false">F64+F65+IF(F23=0,0,F20*Assumptions!$B$115/F23*IF(F2&gt;=Assumptions!$B$56,1,0))</f>
        <v>0</v>
      </c>
      <c r="G66" s="54" t="n">
        <f aca="false">G64+G65+IF(G23=0,0,G20*Assumptions!$B$115/G23*IF(G2&gt;=Assumptions!$B$56,1,0))</f>
        <v>0</v>
      </c>
      <c r="H66" s="54" t="n">
        <f aca="false">H64+H65+IF(H23=0,0,H20*Assumptions!$B$115/H23*IF(H2&gt;=Assumptions!$B$56,1,0))</f>
        <v>0</v>
      </c>
      <c r="I66" s="54" t="n">
        <f aca="false">I64+I65+IF(I23=0,0,I20*Assumptions!$B$115/I23*IF(I2&gt;=Assumptions!$B$56,1,0))</f>
        <v>0</v>
      </c>
      <c r="J66" s="54" t="n">
        <f aca="false">J64+J65+IF(J23=0,0,J20*Assumptions!$B$115/J23*IF(J2&gt;=Assumptions!$B$56,1,0))</f>
        <v>0</v>
      </c>
      <c r="K66" s="54" t="n">
        <f aca="false">K64+K65+IF(K23=0,0,K20*Assumptions!$B$115/K23*IF(K2&gt;=Assumptions!$B$56,1,0))</f>
        <v>0</v>
      </c>
      <c r="L66" s="54" t="n">
        <f aca="false">L64+L65+IF(L23=0,0,L20*Assumptions!$B$115/L23*IF(L2&gt;=Assumptions!$B$56,1,0))</f>
        <v>0</v>
      </c>
      <c r="M66" s="54" t="n">
        <f aca="false">M64+M65+IF(M23=0,0,M20*Assumptions!$B$115/M23*IF(M2&gt;=Assumptions!$B$56,1,0))</f>
        <v>0</v>
      </c>
      <c r="N66" s="54" t="n">
        <f aca="false">N64+N65+IF(N23=0,0,N20*Assumptions!$B$115/N23*IF(N2&gt;=Assumptions!$B$56,1,0))</f>
        <v>0</v>
      </c>
      <c r="O66" s="54" t="n">
        <f aca="false">O64+O65+IF(O23=0,0,O20*Assumptions!$B$115/O23*IF(O2&gt;=Assumptions!$B$56,1,0))</f>
        <v>31.98</v>
      </c>
      <c r="P66" s="54" t="n">
        <f aca="false">P64+P65+IF(P23=0,0,P20*Assumptions!$B$115/P23*IF(P2&gt;=Assumptions!$B$56,1,0))</f>
        <v>32.7124948390939</v>
      </c>
      <c r="Q66" s="54" t="n">
        <f aca="false">Q64+Q65+IF(Q23=0,0,Q20*Assumptions!$B$115/Q23*IF(Q2&gt;=Assumptions!$B$56,1,0))</f>
        <v>33.3884366602821</v>
      </c>
      <c r="R66" s="54" t="n">
        <f aca="false">R64+R65+IF(R23=0,0,R20*Assumptions!$B$115/R23*IF(R2&gt;=Assumptions!$B$56,1,0))</f>
        <v>34.0153633326497</v>
      </c>
      <c r="S66" s="54" t="n">
        <f aca="false">S64+S65+IF(S23=0,0,S20*Assumptions!$B$115/S23*IF(S2&gt;=Assumptions!$B$56,1,0))</f>
        <v>34.801230861605</v>
      </c>
      <c r="T66" s="54" t="n">
        <f aca="false">T64+T65+IF(T23=0,0,T20*Assumptions!$B$115/T23*IF(T2&gt;=Assumptions!$B$56,1,0))</f>
        <v>35.4818704987095</v>
      </c>
      <c r="U66" s="54" t="n">
        <f aca="false">U64+U65+IF(U23=0,0,U20*Assumptions!$B$115/U23*IF(U2&gt;=Assumptions!$B$56,1,0))</f>
        <v>36.0164473807312</v>
      </c>
      <c r="V66" s="54" t="n">
        <f aca="false">V64+V65+IF(V23=0,0,V20*Assumptions!$B$115/V23*IF(V2&gt;=Assumptions!$B$56,1,0))</f>
        <v>36.5106746981928</v>
      </c>
      <c r="W66" s="54" t="n">
        <f aca="false">W64+W65+IF(W23=0,0,W20*Assumptions!$B$115/W23*IF(W2&gt;=Assumptions!$B$56,1,0))</f>
        <v>36.9897612798933</v>
      </c>
      <c r="X66" s="54" t="n">
        <f aca="false">X64+X65+IF(X23=0,0,X20*Assumptions!$B$115/X23*IF(X2&gt;=Assumptions!$B$56,1,0))</f>
        <v>37.520749375983</v>
      </c>
      <c r="Y66" s="54" t="n">
        <f aca="false">Y64+Y65+IF(Y23=0,0,Y20*Assumptions!$B$115/Y23*IF(Y2&gt;=Assumptions!$B$56,1,0))</f>
        <v>38.3063451935172</v>
      </c>
      <c r="Z66" s="54" t="n">
        <f aca="false">Z64+Z65+IF(Z23=0,0,Z20*Assumptions!$B$115/Z23*IF(Z2&gt;=Assumptions!$B$56,1,0))</f>
        <v>38.9884000558231</v>
      </c>
      <c r="AA66" s="54" t="n">
        <f aca="false">AA64+AA65+IF(AA23=0,0,AA20*Assumptions!$B$115/AA23*IF(AA2&gt;=Assumptions!$B$56,1,0))</f>
        <v>730.614834918469</v>
      </c>
      <c r="AB66" s="54" t="n">
        <f aca="false">AB64+AB65+IF(AB23=0,0,AB20*Assumptions!$B$115/AB23*IF(AB2&gt;=Assumptions!$B$56,1,0))</f>
        <v>1204.02524517084</v>
      </c>
      <c r="AC66" s="54" t="n">
        <f aca="false">AC64+AC65+IF(AC23=0,0,AC20*Assumptions!$B$115/AC23*IF(AC2&gt;=Assumptions!$B$56,1,0))</f>
        <v>1857.95880443518</v>
      </c>
      <c r="AD66" s="54" t="n">
        <f aca="false">AD64+AD65+IF(AD23=0,0,AD20*Assumptions!$B$115/AD23*IF(AD2&gt;=Assumptions!$B$56,1,0))</f>
        <v>2584.64027154148</v>
      </c>
      <c r="AE66" s="54" t="n">
        <f aca="false">AE64+AE65+IF(AE23=0,0,AE20*Assumptions!$B$115/AE23*IF(AE2&gt;=Assumptions!$B$56,1,0))</f>
        <v>3344.92724051481</v>
      </c>
    </row>
    <row r="67" customFormat="false" ht="15" hidden="false" customHeight="false" outlineLevel="0" collapsed="false">
      <c r="A67" s="6" t="s">
        <v>441</v>
      </c>
      <c r="B67" s="23" t="s">
        <v>436</v>
      </c>
      <c r="C67" s="51" t="n">
        <v>1</v>
      </c>
      <c r="D67" s="51" t="n">
        <f aca="false">MAX(0,1-C72/Assumptions!$B$85)</f>
        <v>1</v>
      </c>
      <c r="E67" s="51" t="n">
        <f aca="false">MAX(0,1-D72/Assumptions!$B$85)</f>
        <v>1</v>
      </c>
      <c r="F67" s="51" t="n">
        <f aca="false">MAX(0,1-E72/Assumptions!$B$85)</f>
        <v>1</v>
      </c>
      <c r="G67" s="51" t="n">
        <f aca="false">MAX(0,1-F72/Assumptions!$B$85)</f>
        <v>1</v>
      </c>
      <c r="H67" s="51" t="n">
        <f aca="false">MAX(0,1-G72/Assumptions!$B$85)</f>
        <v>1</v>
      </c>
      <c r="I67" s="51" t="n">
        <f aca="false">MAX(0,1-H72/Assumptions!$B$85)</f>
        <v>1</v>
      </c>
      <c r="J67" s="51" t="n">
        <f aca="false">MAX(0,1-I72/Assumptions!$B$85)</f>
        <v>1</v>
      </c>
      <c r="K67" s="51" t="n">
        <f aca="false">MAX(0,1-J72/Assumptions!$B$85)</f>
        <v>1</v>
      </c>
      <c r="L67" s="51" t="n">
        <f aca="false">MAX(0,1-K72/Assumptions!$B$85)</f>
        <v>1</v>
      </c>
      <c r="M67" s="51" t="n">
        <f aca="false">MAX(0,1-L72/Assumptions!$B$85)</f>
        <v>1</v>
      </c>
      <c r="N67" s="51" t="n">
        <f aca="false">MAX(0,1-M72/Assumptions!$B$85)</f>
        <v>1</v>
      </c>
      <c r="O67" s="51" t="n">
        <f aca="false">MAX(0,1-N72/Assumptions!$B$85)</f>
        <v>1</v>
      </c>
      <c r="P67" s="51" t="n">
        <f aca="false">MAX(0,1-O72/Assumptions!$B$85)</f>
        <v>0.999102244680141</v>
      </c>
      <c r="Q67" s="51" t="n">
        <f aca="false">MAX(0,1-P72/Assumptions!$B$85)</f>
        <v>0.998230171382221</v>
      </c>
      <c r="R67" s="51" t="n">
        <f aca="false">MAX(0,1-Q72/Assumptions!$B$85)</f>
        <v>0.997377910101519</v>
      </c>
      <c r="S67" s="51" t="n">
        <f aca="false">MAX(0,1-R72/Assumptions!$B$85)</f>
        <v>0.99629350674309</v>
      </c>
      <c r="T67" s="51" t="n">
        <f aca="false">MAX(0,1-S72/Assumptions!$B$85)</f>
        <v>0.995291262898243</v>
      </c>
      <c r="U67" s="51" t="n">
        <f aca="false">MAX(0,1-T72/Assumptions!$B$85)</f>
        <v>0.994427494075427</v>
      </c>
      <c r="V67" s="51" t="n">
        <f aca="false">MAX(0,1-U72/Assumptions!$B$85)</f>
        <v>0.993581336834216</v>
      </c>
      <c r="W67" s="51" t="n">
        <f aca="false">MAX(0,1-V72/Assumptions!$B$85)</f>
        <v>0.992724298271383</v>
      </c>
      <c r="X67" s="51" t="n">
        <f aca="false">MAX(0,1-W72/Assumptions!$B$85)</f>
        <v>0.991775112360583</v>
      </c>
      <c r="Y67" s="51" t="n">
        <f aca="false">MAX(0,1-X72/Assumptions!$B$85)</f>
        <v>0.990482248259198</v>
      </c>
      <c r="Z67" s="51" t="n">
        <f aca="false">MAX(0,1-Y72/Assumptions!$B$85)</f>
        <v>0.989269492323794</v>
      </c>
      <c r="AA67" s="51" t="n">
        <f aca="false">MAX(0,1-Z72/Assumptions!$B$85)</f>
        <v>0.988186738919611</v>
      </c>
      <c r="AB67" s="51" t="n">
        <f aca="false">MAX(0,1-AA72/Assumptions!$B$85)</f>
        <v>0.968119590543798</v>
      </c>
      <c r="AC67" s="51" t="n">
        <f aca="false">MAX(0,1-AB72/Assumptions!$B$85)</f>
        <v>0.935721250779962</v>
      </c>
      <c r="AD67" s="51" t="n">
        <f aca="false">MAX(0,1-AC72/Assumptions!$B$85)</f>
        <v>0.887399715181277</v>
      </c>
      <c r="AE67" s="51" t="n">
        <f aca="false">MAX(0,1-AD72/Assumptions!$B$85)</f>
        <v>0.823650103169293</v>
      </c>
    </row>
    <row r="68" customFormat="false" ht="15" hidden="false" customHeight="false" outlineLevel="0" collapsed="false">
      <c r="A68" s="6" t="s">
        <v>442</v>
      </c>
      <c r="B68" s="23" t="s">
        <v>190</v>
      </c>
      <c r="C68" s="54" t="n">
        <f aca="false">C66*C67*C15</f>
        <v>0</v>
      </c>
      <c r="D68" s="54" t="n">
        <f aca="false">D66*D67*D15</f>
        <v>0</v>
      </c>
      <c r="E68" s="54" t="n">
        <f aca="false">E66*E67*E15</f>
        <v>0</v>
      </c>
      <c r="F68" s="54" t="n">
        <f aca="false">F66*F67*F15</f>
        <v>0</v>
      </c>
      <c r="G68" s="54" t="n">
        <f aca="false">G66*G67*G15</f>
        <v>0</v>
      </c>
      <c r="H68" s="54" t="n">
        <f aca="false">H66*H67*H15</f>
        <v>0</v>
      </c>
      <c r="I68" s="54" t="n">
        <f aca="false">I66*I67*I15</f>
        <v>0</v>
      </c>
      <c r="J68" s="54" t="n">
        <f aca="false">J66*J67*J15</f>
        <v>0</v>
      </c>
      <c r="K68" s="54" t="n">
        <f aca="false">K66*K67*K15</f>
        <v>0</v>
      </c>
      <c r="L68" s="54" t="n">
        <f aca="false">L66*L67*L15</f>
        <v>0</v>
      </c>
      <c r="M68" s="54" t="n">
        <f aca="false">M66*M67*M15</f>
        <v>0</v>
      </c>
      <c r="N68" s="54" t="n">
        <f aca="false">N66*N67*N15</f>
        <v>0</v>
      </c>
      <c r="O68" s="54" t="n">
        <f aca="false">O66*O67*O15</f>
        <v>32.2998</v>
      </c>
      <c r="P68" s="54" t="n">
        <f aca="false">P66*P67*P15</f>
        <v>31.3758019419132</v>
      </c>
      <c r="Q68" s="54" t="n">
        <f aca="false">Q66*Q67*Q15</f>
        <v>30.6629972616116</v>
      </c>
      <c r="R68" s="54" t="n">
        <f aca="false">R66*R67*R15</f>
        <v>39.0150977908713</v>
      </c>
      <c r="S68" s="54" t="n">
        <f aca="false">S66*S67*S15</f>
        <v>36.0591299474477</v>
      </c>
      <c r="T68" s="54" t="n">
        <f aca="false">T66*T67*T15</f>
        <v>31.0770202148142</v>
      </c>
      <c r="U68" s="54" t="n">
        <f aca="false">U66*U67*U15</f>
        <v>30.443383687172</v>
      </c>
      <c r="V68" s="54" t="n">
        <f aca="false">V66*V67*V15</f>
        <v>30.8348762290472</v>
      </c>
      <c r="W68" s="54" t="n">
        <f aca="false">W66*W67*W15</f>
        <v>34.1501903731215</v>
      </c>
      <c r="X68" s="54" t="n">
        <f aca="false">X66*X67*X15</f>
        <v>46.5151817852735</v>
      </c>
      <c r="Y68" s="54" t="n">
        <f aca="false">Y66*Y67*Y15</f>
        <v>43.633018146348</v>
      </c>
      <c r="Z68" s="54" t="n">
        <f aca="false">Z66*Z67*Z15</f>
        <v>38.9557350770385</v>
      </c>
      <c r="AA68" s="54" t="n">
        <f aca="false">AA66*AA67*AA15</f>
        <v>721.983891124372</v>
      </c>
      <c r="AB68" s="54" t="n">
        <f aca="false">AB66*AB67*AB15</f>
        <v>1165.64042735919</v>
      </c>
      <c r="AC68" s="54" t="n">
        <f aca="false">AC66*AC67*AC15</f>
        <v>1738.53153638373</v>
      </c>
      <c r="AD68" s="54" t="n">
        <f aca="false">AD66*AD67*AD15</f>
        <v>2293.60904081197</v>
      </c>
      <c r="AE68" s="54" t="n">
        <f aca="false">AE66*AE67*AE15</f>
        <v>2755.0496667438</v>
      </c>
    </row>
    <row r="69" customFormat="false" ht="15" hidden="false" customHeight="false" outlineLevel="0" collapsed="false">
      <c r="A69" s="6" t="s">
        <v>443</v>
      </c>
      <c r="B69" s="23" t="s">
        <v>190</v>
      </c>
      <c r="C69" s="28" t="n">
        <f aca="false">C68*(1-Assumptions!$B$122)^(C7/2)</f>
        <v>0</v>
      </c>
      <c r="D69" s="28" t="n">
        <f aca="false">C69*(1-Assumptions!$B$122)^D7+D68*(1-Assumptions!$B$122)^(D7/2)</f>
        <v>0</v>
      </c>
      <c r="E69" s="28" t="n">
        <f aca="false">D69*(1-Assumptions!$B$122)^E7+E68*(1-Assumptions!$B$122)^(E7/2)</f>
        <v>0</v>
      </c>
      <c r="F69" s="28" t="n">
        <f aca="false">E69*(1-Assumptions!$B$122)^F7+F68*(1-Assumptions!$B$122)^(F7/2)</f>
        <v>0</v>
      </c>
      <c r="G69" s="28" t="n">
        <f aca="false">F69*(1-Assumptions!$B$122)^G7+G68*(1-Assumptions!$B$122)^(G7/2)</f>
        <v>0</v>
      </c>
      <c r="H69" s="28" t="n">
        <f aca="false">G69*(1-Assumptions!$B$122)^H7+H68*(1-Assumptions!$B$122)^(H7/2)</f>
        <v>0</v>
      </c>
      <c r="I69" s="28" t="n">
        <f aca="false">H69*(1-Assumptions!$B$122)^I7+I68*(1-Assumptions!$B$122)^(I7/2)</f>
        <v>0</v>
      </c>
      <c r="J69" s="28" t="n">
        <f aca="false">I69*(1-Assumptions!$B$122)^J7+J68*(1-Assumptions!$B$122)^(J7/2)</f>
        <v>0</v>
      </c>
      <c r="K69" s="28" t="n">
        <f aca="false">J69*(1-Assumptions!$B$122)^K7+K68*(1-Assumptions!$B$122)^(K7/2)</f>
        <v>0</v>
      </c>
      <c r="L69" s="28" t="n">
        <f aca="false">K69*(1-Assumptions!$B$122)^L7+L68*(1-Assumptions!$B$122)^(L7/2)</f>
        <v>0</v>
      </c>
      <c r="M69" s="28" t="n">
        <f aca="false">L69*(1-Assumptions!$B$122)^M7+M68*(1-Assumptions!$B$122)^(M7/2)</f>
        <v>0</v>
      </c>
      <c r="N69" s="28" t="n">
        <f aca="false">M69*(1-Assumptions!$B$122)^N7+N68*(1-Assumptions!$B$122)^(N7/2)</f>
        <v>0</v>
      </c>
      <c r="O69" s="28" t="n">
        <f aca="false">N69*(1-Assumptions!$B$122)^O7+O68*(1-Assumptions!$B$122)^(O7/2)</f>
        <v>31.5051543696318</v>
      </c>
      <c r="P69" s="28" t="n">
        <f aca="false">O69*(1-Assumptions!$B$122)^P7+P68*(1-Assumptions!$B$122)^(P7/2)</f>
        <v>60.5779208723497</v>
      </c>
      <c r="Q69" s="28" t="n">
        <f aca="false">P69*(1-Assumptions!$B$122)^Q7+Q68*(1-Assumptions!$B$122)^(Q7/2)</f>
        <v>87.5425089311688</v>
      </c>
      <c r="R69" s="28" t="n">
        <f aca="false">Q69*(1-Assumptions!$B$122)^R7+R68*(1-Assumptions!$B$122)^(R7/2)</f>
        <v>121.343262864733</v>
      </c>
      <c r="S69" s="28" t="n">
        <f aca="false">R69*(1-Assumptions!$B$122)^S7+S68*(1-Assumptions!$B$122)^(S7/2)</f>
        <v>150.618085965998</v>
      </c>
      <c r="T69" s="28" t="n">
        <f aca="false">S69*(1-Assumptions!$B$122)^T7+T68*(1-Assumptions!$B$122)^(T7/2)</f>
        <v>173.610640031447</v>
      </c>
      <c r="U69" s="28" t="n">
        <f aca="false">T69*(1-Assumptions!$B$122)^U7+U68*(1-Assumptions!$B$122)^(U7/2)</f>
        <v>194.867728954531</v>
      </c>
      <c r="V69" s="28" t="n">
        <f aca="false">U69*(1-Assumptions!$B$122)^V7+V68*(1-Assumptions!$B$122)^(V7/2)</f>
        <v>215.473603436271</v>
      </c>
      <c r="W69" s="28" t="n">
        <f aca="false">V69*(1-Assumptions!$B$122)^W7+W68*(1-Assumptions!$B$122)^(W7/2)</f>
        <v>238.311801117547</v>
      </c>
      <c r="X69" s="28" t="n">
        <f aca="false">W69*(1-Assumptions!$B$122)^X7+X68*(1-Assumptions!$B$122)^(X7/2)</f>
        <v>272.100868538374</v>
      </c>
      <c r="Y69" s="28" t="n">
        <f aca="false">X69*(1-Assumptions!$B$122)^Y7+Y68*(1-Assumptions!$B$122)^(Y7/2)</f>
        <v>301.436561540777</v>
      </c>
      <c r="Z69" s="28" t="n">
        <f aca="false">Y69*(1-Assumptions!$B$122)^Z7+Z68*(1-Assumptions!$B$122)^(Z7/2)</f>
        <v>324.784354546483</v>
      </c>
      <c r="AA69" s="28" t="n">
        <f aca="false">Z69*(1-Assumptions!$B$122)^AA7+AA68*(1-Assumptions!$B$122)^(AA7/2)</f>
        <v>714.068979106966</v>
      </c>
      <c r="AB69" s="28" t="n">
        <f aca="false">AA69*(1-Assumptions!$B$122)^AB7+AB68*(1-Assumptions!$B$122)^(AB7/2)</f>
        <v>1257.20001589671</v>
      </c>
      <c r="AC69" s="28" t="n">
        <f aca="false">AB69*(1-Assumptions!$B$122)^AC7+AC68*(1-Assumptions!$B$122)^(AC7/2)</f>
        <v>1980.7895037329</v>
      </c>
      <c r="AD69" s="28" t="n">
        <f aca="false">AC69*(1-Assumptions!$B$122)^AD7+AD68*(1-Assumptions!$B$122)^(AD7/2)</f>
        <v>2790.42021689896</v>
      </c>
      <c r="AE69" s="28" t="n">
        <f aca="false">AD69*(1-Assumptions!$B$122)^AE7+AE68*(1-Assumptions!$B$122)^(AE7/2)</f>
        <v>3577.93063633231</v>
      </c>
    </row>
    <row r="70" customFormat="false" ht="15" hidden="false" customHeight="false" outlineLevel="0" collapsed="false">
      <c r="A70" s="6" t="s">
        <v>444</v>
      </c>
      <c r="B70" s="23" t="s">
        <v>190</v>
      </c>
      <c r="C70" s="54" t="n">
        <f aca="false">C68-C69</f>
        <v>0</v>
      </c>
      <c r="D70" s="54" t="n">
        <f aca="false">C69+D68-D69</f>
        <v>0</v>
      </c>
      <c r="E70" s="54" t="n">
        <f aca="false">D69+E68-E69</f>
        <v>0</v>
      </c>
      <c r="F70" s="54" t="n">
        <f aca="false">E69+F68-F69</f>
        <v>0</v>
      </c>
      <c r="G70" s="54" t="n">
        <f aca="false">F69+G68-G69</f>
        <v>0</v>
      </c>
      <c r="H70" s="54" t="n">
        <f aca="false">G69+H68-H69</f>
        <v>0</v>
      </c>
      <c r="I70" s="54" t="n">
        <f aca="false">H69+I68-I69</f>
        <v>0</v>
      </c>
      <c r="J70" s="54" t="n">
        <f aca="false">I69+J68-J69</f>
        <v>0</v>
      </c>
      <c r="K70" s="54" t="n">
        <f aca="false">J69+K68-K69</f>
        <v>0</v>
      </c>
      <c r="L70" s="54" t="n">
        <f aca="false">K69+L68-L69</f>
        <v>0</v>
      </c>
      <c r="M70" s="54" t="n">
        <f aca="false">L69+M68-M69</f>
        <v>0</v>
      </c>
      <c r="N70" s="54" t="n">
        <f aca="false">M69+N68-N69</f>
        <v>0</v>
      </c>
      <c r="O70" s="54" t="n">
        <f aca="false">N69+O68-O69</f>
        <v>0.794645630368233</v>
      </c>
      <c r="P70" s="54" t="n">
        <f aca="false">O69+P68-P69</f>
        <v>2.30303543919537</v>
      </c>
      <c r="Q70" s="54" t="n">
        <f aca="false">P69+Q68-Q69</f>
        <v>3.6984092027925</v>
      </c>
      <c r="R70" s="54" t="n">
        <f aca="false">Q69+R68-R69</f>
        <v>5.21434385730743</v>
      </c>
      <c r="S70" s="54" t="n">
        <f aca="false">R69+S68-S69</f>
        <v>6.78430684618195</v>
      </c>
      <c r="T70" s="54" t="n">
        <f aca="false">S69+T68-T69</f>
        <v>8.08446614936517</v>
      </c>
      <c r="U70" s="54" t="n">
        <f aca="false">T69+U68-U69</f>
        <v>9.18629476408873</v>
      </c>
      <c r="V70" s="54" t="n">
        <f aca="false">U69+V68-V69</f>
        <v>10.2290017473068</v>
      </c>
      <c r="W70" s="54" t="n">
        <f aca="false">V69+W68-W69</f>
        <v>11.3119926918451</v>
      </c>
      <c r="X70" s="54" t="n">
        <f aca="false">W69+X68-X69</f>
        <v>12.7261143644469</v>
      </c>
      <c r="Y70" s="54" t="n">
        <f aca="false">X69+Y68-Y69</f>
        <v>14.297325143945</v>
      </c>
      <c r="Z70" s="54" t="n">
        <f aca="false">Y69+Z68-Z69</f>
        <v>15.6079420713325</v>
      </c>
      <c r="AA70" s="54" t="n">
        <f aca="false">Z69+AA68-AA69</f>
        <v>332.699266563889</v>
      </c>
      <c r="AB70" s="54" t="n">
        <f aca="false">AA69+AB68-AB69</f>
        <v>622.509390569449</v>
      </c>
      <c r="AC70" s="54" t="n">
        <f aca="false">AB69+AC68-AC69</f>
        <v>1014.94204854754</v>
      </c>
      <c r="AD70" s="54" t="n">
        <f aca="false">AC69+AD68-AD69</f>
        <v>1483.97832764591</v>
      </c>
      <c r="AE70" s="54" t="n">
        <f aca="false">AD69+AE68-AE69</f>
        <v>1967.53924731045</v>
      </c>
    </row>
    <row r="71" customFormat="false" ht="15" hidden="false" customHeight="false" outlineLevel="0" collapsed="false">
      <c r="A71" s="6" t="s">
        <v>445</v>
      </c>
      <c r="B71" s="23" t="s">
        <v>190</v>
      </c>
      <c r="C71" s="45" t="n">
        <f aca="false">C70</f>
        <v>0</v>
      </c>
      <c r="D71" s="45" t="n">
        <f aca="false">C71+D70</f>
        <v>0</v>
      </c>
      <c r="E71" s="45" t="n">
        <f aca="false">D71+E70</f>
        <v>0</v>
      </c>
      <c r="F71" s="45" t="n">
        <f aca="false">E71+F70</f>
        <v>0</v>
      </c>
      <c r="G71" s="45" t="n">
        <f aca="false">F71+G70</f>
        <v>0</v>
      </c>
      <c r="H71" s="45" t="n">
        <f aca="false">G71+H70</f>
        <v>0</v>
      </c>
      <c r="I71" s="45" t="n">
        <f aca="false">H71+I70</f>
        <v>0</v>
      </c>
      <c r="J71" s="45" t="n">
        <f aca="false">I71+J70</f>
        <v>0</v>
      </c>
      <c r="K71" s="45" t="n">
        <f aca="false">J71+K70</f>
        <v>0</v>
      </c>
      <c r="L71" s="45" t="n">
        <f aca="false">K71+L70</f>
        <v>0</v>
      </c>
      <c r="M71" s="45" t="n">
        <f aca="false">L71+M70</f>
        <v>0</v>
      </c>
      <c r="N71" s="45" t="n">
        <f aca="false">M71+N70</f>
        <v>0</v>
      </c>
      <c r="O71" s="45" t="n">
        <f aca="false">N71+O70</f>
        <v>0.794645630368233</v>
      </c>
      <c r="P71" s="45" t="n">
        <f aca="false">O71+P70</f>
        <v>3.0976810695636</v>
      </c>
      <c r="Q71" s="45" t="n">
        <f aca="false">P71+Q70</f>
        <v>6.79609027235611</v>
      </c>
      <c r="R71" s="45" t="n">
        <f aca="false">Q71+R70</f>
        <v>12.0104341296635</v>
      </c>
      <c r="S71" s="45" t="n">
        <f aca="false">R71+S70</f>
        <v>18.7947409758455</v>
      </c>
      <c r="T71" s="45" t="n">
        <f aca="false">S71+T70</f>
        <v>26.8792071252107</v>
      </c>
      <c r="U71" s="45" t="n">
        <f aca="false">T71+U70</f>
        <v>36.0655018892994</v>
      </c>
      <c r="V71" s="45" t="n">
        <f aca="false">U71+V70</f>
        <v>46.2945036366062</v>
      </c>
      <c r="W71" s="45" t="n">
        <f aca="false">V71+W70</f>
        <v>57.6064963284513</v>
      </c>
      <c r="X71" s="45" t="n">
        <f aca="false">W71+X70</f>
        <v>70.3326106928981</v>
      </c>
      <c r="Y71" s="45" t="n">
        <f aca="false">X71+Y70</f>
        <v>84.6299358368431</v>
      </c>
      <c r="Z71" s="45" t="n">
        <f aca="false">Y71+Z70</f>
        <v>100.237877908176</v>
      </c>
      <c r="AA71" s="45" t="n">
        <f aca="false">Z71+AA70</f>
        <v>432.937144472064</v>
      </c>
      <c r="AB71" s="45" t="n">
        <f aca="false">AA71+AB70</f>
        <v>1055.44653504151</v>
      </c>
      <c r="AC71" s="45" t="n">
        <f aca="false">AB71+AC70</f>
        <v>2070.38858358905</v>
      </c>
      <c r="AD71" s="45" t="n">
        <f aca="false">AC71+AD70</f>
        <v>3554.36691123496</v>
      </c>
      <c r="AE71" s="45" t="n">
        <f aca="false">AD71+AE70</f>
        <v>5521.90615854542</v>
      </c>
    </row>
    <row r="72" customFormat="false" ht="15" hidden="false" customHeight="false" outlineLevel="0" collapsed="false">
      <c r="A72" s="6" t="s">
        <v>446</v>
      </c>
      <c r="B72" s="23" t="s">
        <v>190</v>
      </c>
      <c r="C72" s="45" t="n">
        <f aca="false">C68</f>
        <v>0</v>
      </c>
      <c r="D72" s="45" t="n">
        <f aca="false">C72+D68</f>
        <v>0</v>
      </c>
      <c r="E72" s="45" t="n">
        <f aca="false">D72+E68</f>
        <v>0</v>
      </c>
      <c r="F72" s="45" t="n">
        <f aca="false">E72+F68</f>
        <v>0</v>
      </c>
      <c r="G72" s="45" t="n">
        <f aca="false">F72+G68</f>
        <v>0</v>
      </c>
      <c r="H72" s="45" t="n">
        <f aca="false">G72+H68</f>
        <v>0</v>
      </c>
      <c r="I72" s="45" t="n">
        <f aca="false">H72+I68</f>
        <v>0</v>
      </c>
      <c r="J72" s="45" t="n">
        <f aca="false">I72+J68</f>
        <v>0</v>
      </c>
      <c r="K72" s="45" t="n">
        <f aca="false">J72+K68</f>
        <v>0</v>
      </c>
      <c r="L72" s="45" t="n">
        <f aca="false">K72+L68</f>
        <v>0</v>
      </c>
      <c r="M72" s="45" t="n">
        <f aca="false">L72+M68</f>
        <v>0</v>
      </c>
      <c r="N72" s="45" t="n">
        <f aca="false">M72+N68</f>
        <v>0</v>
      </c>
      <c r="O72" s="45" t="n">
        <f aca="false">N72+O68</f>
        <v>32.2998</v>
      </c>
      <c r="P72" s="45" t="n">
        <f aca="false">O72+P68</f>
        <v>63.6756019419133</v>
      </c>
      <c r="Q72" s="45" t="n">
        <f aca="false">P72+Q68</f>
        <v>94.3385992035249</v>
      </c>
      <c r="R72" s="45" t="n">
        <f aca="false">Q72+R68</f>
        <v>133.353696994396</v>
      </c>
      <c r="S72" s="45" t="n">
        <f aca="false">R72+S68</f>
        <v>169.412826941844</v>
      </c>
      <c r="T72" s="45" t="n">
        <f aca="false">S72+T68</f>
        <v>200.489847156658</v>
      </c>
      <c r="U72" s="45" t="n">
        <f aca="false">T72+U68</f>
        <v>230.93323084383</v>
      </c>
      <c r="V72" s="45" t="n">
        <f aca="false">U72+V68</f>
        <v>261.768107072877</v>
      </c>
      <c r="W72" s="45" t="n">
        <f aca="false">V72+W68</f>
        <v>295.918297445999</v>
      </c>
      <c r="X72" s="45" t="n">
        <f aca="false">W72+X68</f>
        <v>342.433479231272</v>
      </c>
      <c r="Y72" s="45" t="n">
        <f aca="false">X72+Y68</f>
        <v>386.06649737762</v>
      </c>
      <c r="Z72" s="45" t="n">
        <f aca="false">Y72+Z68</f>
        <v>425.022232454659</v>
      </c>
      <c r="AA72" s="45" t="n">
        <f aca="false">Z72+AA68</f>
        <v>1147.00612357903</v>
      </c>
      <c r="AB72" s="45" t="n">
        <f aca="false">AA72+AB68</f>
        <v>2312.64655093822</v>
      </c>
      <c r="AC72" s="45" t="n">
        <f aca="false">AB72+AC68</f>
        <v>4051.17808732195</v>
      </c>
      <c r="AD72" s="45" t="n">
        <f aca="false">AC72+AD68</f>
        <v>6344.78712813392</v>
      </c>
      <c r="AE72" s="45" t="n">
        <f aca="false">AD72+AE68</f>
        <v>9099.83679487772</v>
      </c>
    </row>
    <row r="73" customFormat="false" ht="15" hidden="false" customHeight="false" outlineLevel="0" collapsed="false">
      <c r="A73" s="6" t="s">
        <v>447</v>
      </c>
      <c r="B73" s="23" t="s">
        <v>114</v>
      </c>
      <c r="C73" s="55" t="n">
        <f aca="false">IF(C2&gt;=Assumptions!$B$47,C69*Assumptions!$B$169*C7,0)</f>
        <v>0</v>
      </c>
      <c r="D73" s="55" t="n">
        <f aca="false">IF(D2&gt;=Assumptions!$B$47,D69*Assumptions!$B$169*D7,0)</f>
        <v>0</v>
      </c>
      <c r="E73" s="55" t="n">
        <f aca="false">IF(E2&gt;=Assumptions!$B$47,E69*Assumptions!$B$169*E7,0)</f>
        <v>0</v>
      </c>
      <c r="F73" s="55" t="n">
        <f aca="false">IF(F2&gt;=Assumptions!$B$47,F69*Assumptions!$B$169*F7,0)</f>
        <v>0</v>
      </c>
      <c r="G73" s="55" t="n">
        <f aca="false">IF(G2&gt;=Assumptions!$B$47,G69*Assumptions!$B$169*G7,0)</f>
        <v>0</v>
      </c>
      <c r="H73" s="55" t="n">
        <f aca="false">IF(H2&gt;=Assumptions!$B$47,H69*Assumptions!$B$169*H7,0)</f>
        <v>0</v>
      </c>
      <c r="I73" s="55" t="n">
        <f aca="false">IF(I2&gt;=Assumptions!$B$47,I69*Assumptions!$B$169*I7,0)</f>
        <v>0</v>
      </c>
      <c r="J73" s="55" t="n">
        <f aca="false">IF(J2&gt;=Assumptions!$B$47,J69*Assumptions!$B$169*J7,0)</f>
        <v>0</v>
      </c>
      <c r="K73" s="55" t="n">
        <f aca="false">IF(K2&gt;=Assumptions!$B$47,K69*Assumptions!$B$169*K7,0)</f>
        <v>0</v>
      </c>
      <c r="L73" s="55" t="n">
        <f aca="false">IF(L2&gt;=Assumptions!$B$47,L69*Assumptions!$B$169*L7,0)</f>
        <v>0</v>
      </c>
      <c r="M73" s="55" t="n">
        <f aca="false">IF(M2&gt;=Assumptions!$B$47,M69*Assumptions!$B$169*M7,0)</f>
        <v>0</v>
      </c>
      <c r="N73" s="55" t="n">
        <f aca="false">IF(N2&gt;=Assumptions!$B$47,N69*Assumptions!$B$169*N7,0)</f>
        <v>0</v>
      </c>
      <c r="O73" s="55" t="n">
        <f aca="false">IF(O2&gt;=Assumptions!$B$47,O69*Assumptions!$B$169*O7,0)</f>
        <v>819.134013610426</v>
      </c>
      <c r="P73" s="55" t="n">
        <f aca="false">IF(P2&gt;=Assumptions!$B$47,P69*Assumptions!$B$169*P7,0)</f>
        <v>1575.02594268109</v>
      </c>
      <c r="Q73" s="55" t="n">
        <f aca="false">IF(Q2&gt;=Assumptions!$B$47,Q69*Assumptions!$B$169*Q7,0)</f>
        <v>2276.10523221039</v>
      </c>
      <c r="R73" s="55" t="n">
        <f aca="false">IF(R2&gt;=Assumptions!$B$47,R69*Assumptions!$B$169*R7,0)</f>
        <v>3154.92483448305</v>
      </c>
      <c r="S73" s="55" t="n">
        <f aca="false">IF(S2&gt;=Assumptions!$B$47,S69*Assumptions!$B$169*S7,0)</f>
        <v>3916.07023511596</v>
      </c>
      <c r="T73" s="55" t="n">
        <f aca="false">IF(T2&gt;=Assumptions!$B$47,T69*Assumptions!$B$169*T7,0)</f>
        <v>4513.87664081763</v>
      </c>
      <c r="U73" s="55" t="n">
        <f aca="false">IF(U2&gt;=Assumptions!$B$47,U69*Assumptions!$B$169*U7,0)</f>
        <v>5066.5609528178</v>
      </c>
      <c r="V73" s="55" t="n">
        <f aca="false">IF(V2&gt;=Assumptions!$B$47,V69*Assumptions!$B$169*V7,0)</f>
        <v>5602.31368934305</v>
      </c>
      <c r="W73" s="55" t="n">
        <f aca="false">IF(W2&gt;=Assumptions!$B$47,W69*Assumptions!$B$169*W7,0)</f>
        <v>6196.10682905623</v>
      </c>
      <c r="X73" s="55" t="n">
        <f aca="false">IF(X2&gt;=Assumptions!$B$47,X69*Assumptions!$B$169*X7,0)</f>
        <v>7074.62258199772</v>
      </c>
      <c r="Y73" s="55" t="n">
        <f aca="false">IF(Y2&gt;=Assumptions!$B$47,Y69*Assumptions!$B$169*Y7,0)</f>
        <v>7837.3506000602</v>
      </c>
      <c r="Z73" s="55" t="n">
        <f aca="false">IF(Z2&gt;=Assumptions!$B$47,Z69*Assumptions!$B$169*Z7,0)</f>
        <v>8444.39321820856</v>
      </c>
      <c r="AA73" s="55" t="n">
        <f aca="false">IF(AA2&gt;=Assumptions!$B$47,AA69*Assumptions!$B$169*AA7,0)</f>
        <v>222789.521481374</v>
      </c>
      <c r="AB73" s="55" t="n">
        <f aca="false">IF(AB2&gt;=Assumptions!$B$47,AB69*Assumptions!$B$169*AB7,0)</f>
        <v>392246.404959774</v>
      </c>
      <c r="AC73" s="55" t="n">
        <f aca="false">IF(AC2&gt;=Assumptions!$B$47,AC69*Assumptions!$B$169*AC7,0)</f>
        <v>618006.325164666</v>
      </c>
      <c r="AD73" s="55" t="n">
        <f aca="false">IF(AD2&gt;=Assumptions!$B$47,AD69*Assumptions!$B$169*AD7,0)</f>
        <v>870611.107672476</v>
      </c>
      <c r="AE73" s="55" t="n">
        <f aca="false">IF(AE2&gt;=Assumptions!$B$47,AE69*Assumptions!$B$169*AE7,0)</f>
        <v>1116314.35853568</v>
      </c>
    </row>
    <row r="74" customFormat="false" ht="15" hidden="false" customHeight="false" outlineLevel="0" collapsed="false">
      <c r="A74" s="6" t="s">
        <v>448</v>
      </c>
      <c r="B74" s="23" t="s">
        <v>114</v>
      </c>
      <c r="C74" s="55" t="n">
        <f aca="false">IF(C2&gt;=Assumptions!$B$48,C69*Assumptions!$B$36*Assumptions!$B$139*Assumptions!$B$141*Assumptions!$B$33*Assumptions!$B$140/12*C7,0)</f>
        <v>0</v>
      </c>
      <c r="D74" s="55" t="n">
        <f aca="false">IF(D2&gt;=Assumptions!$B$48,D69*Assumptions!$B$36*Assumptions!$B$139*Assumptions!$B$141*Assumptions!$B$33*Assumptions!$B$140/12*D7,0)</f>
        <v>0</v>
      </c>
      <c r="E74" s="55" t="n">
        <f aca="false">IF(E2&gt;=Assumptions!$B$48,E69*Assumptions!$B$36*Assumptions!$B$139*Assumptions!$B$141*Assumptions!$B$33*Assumptions!$B$140/12*E7,0)</f>
        <v>0</v>
      </c>
      <c r="F74" s="55" t="n">
        <f aca="false">IF(F2&gt;=Assumptions!$B$48,F69*Assumptions!$B$36*Assumptions!$B$139*Assumptions!$B$141*Assumptions!$B$33*Assumptions!$B$140/12*F7,0)</f>
        <v>0</v>
      </c>
      <c r="G74" s="55" t="n">
        <f aca="false">IF(G2&gt;=Assumptions!$B$48,G69*Assumptions!$B$36*Assumptions!$B$139*Assumptions!$B$141*Assumptions!$B$33*Assumptions!$B$140/12*G7,0)</f>
        <v>0</v>
      </c>
      <c r="H74" s="55" t="n">
        <f aca="false">IF(H2&gt;=Assumptions!$B$48,H69*Assumptions!$B$36*Assumptions!$B$139*Assumptions!$B$141*Assumptions!$B$33*Assumptions!$B$140/12*H7,0)</f>
        <v>0</v>
      </c>
      <c r="I74" s="55" t="n">
        <f aca="false">IF(I2&gt;=Assumptions!$B$48,I69*Assumptions!$B$36*Assumptions!$B$139*Assumptions!$B$141*Assumptions!$B$33*Assumptions!$B$140/12*I7,0)</f>
        <v>0</v>
      </c>
      <c r="J74" s="55" t="n">
        <f aca="false">IF(J2&gt;=Assumptions!$B$48,J69*Assumptions!$B$36*Assumptions!$B$139*Assumptions!$B$141*Assumptions!$B$33*Assumptions!$B$140/12*J7,0)</f>
        <v>0</v>
      </c>
      <c r="K74" s="55" t="n">
        <f aca="false">IF(K2&gt;=Assumptions!$B$48,K69*Assumptions!$B$36*Assumptions!$B$139*Assumptions!$B$141*Assumptions!$B$33*Assumptions!$B$140/12*K7,0)</f>
        <v>0</v>
      </c>
      <c r="L74" s="55" t="n">
        <f aca="false">IF(L2&gt;=Assumptions!$B$48,L69*Assumptions!$B$36*Assumptions!$B$139*Assumptions!$B$141*Assumptions!$B$33*Assumptions!$B$140/12*L7,0)</f>
        <v>0</v>
      </c>
      <c r="M74" s="55" t="n">
        <f aca="false">IF(M2&gt;=Assumptions!$B$48,M69*Assumptions!$B$36*Assumptions!$B$139*Assumptions!$B$141*Assumptions!$B$33*Assumptions!$B$140/12*M7,0)</f>
        <v>0</v>
      </c>
      <c r="N74" s="55" t="n">
        <f aca="false">IF(N2&gt;=Assumptions!$B$48,N69*Assumptions!$B$36*Assumptions!$B$139*Assumptions!$B$141*Assumptions!$B$33*Assumptions!$B$140/12*N7,0)</f>
        <v>0</v>
      </c>
      <c r="O74" s="55" t="n">
        <f aca="false">IF(O2&gt;=Assumptions!$B$48,O69*Assumptions!$B$36*Assumptions!$B$139*Assumptions!$B$141*Assumptions!$B$33*Assumptions!$B$140/12*O7,0)</f>
        <v>64.7168379342853</v>
      </c>
      <c r="P74" s="55" t="n">
        <f aca="false">IF(P2&gt;=Assumptions!$B$48,P69*Assumptions!$B$36*Assumptions!$B$139*Assumptions!$B$141*Assumptions!$B$33*Assumptions!$B$140/12*P7,0)</f>
        <v>124.437145791952</v>
      </c>
      <c r="Q74" s="55" t="n">
        <f aca="false">IF(Q2&gt;=Assumptions!$B$48,Q69*Assumptions!$B$36*Assumptions!$B$139*Assumptions!$B$141*Assumptions!$B$33*Assumptions!$B$140/12*Q7,0)</f>
        <v>179.826903762776</v>
      </c>
      <c r="R74" s="55" t="n">
        <f aca="false">IF(R2&gt;=Assumptions!$B$48,R69*Assumptions!$B$36*Assumptions!$B$139*Assumptions!$B$141*Assumptions!$B$33*Assumptions!$B$140/12*R7,0)</f>
        <v>249.259285801305</v>
      </c>
      <c r="S74" s="55" t="n">
        <f aca="false">IF(S2&gt;=Assumptions!$B$48,S69*Assumptions!$B$36*Assumptions!$B$139*Assumptions!$B$141*Assumptions!$B$33*Assumptions!$B$140/12*S7,0)</f>
        <v>309.394651588488</v>
      </c>
      <c r="T74" s="55" t="n">
        <f aca="false">IF(T2&gt;=Assumptions!$B$48,T69*Assumptions!$B$36*Assumptions!$B$139*Assumptions!$B$141*Assumptions!$B$33*Assumptions!$B$140/12*T7,0)</f>
        <v>356.625189731265</v>
      </c>
      <c r="U74" s="55" t="n">
        <f aca="false">IF(U2&gt;=Assumptions!$B$48,U69*Assumptions!$B$36*Assumptions!$B$139*Assumptions!$B$141*Assumptions!$B$33*Assumptions!$B$140/12*U7,0)</f>
        <v>400.290793227432</v>
      </c>
      <c r="V74" s="55" t="n">
        <f aca="false">IF(V2&gt;=Assumptions!$B$48,V69*Assumptions!$B$36*Assumptions!$B$139*Assumptions!$B$141*Assumptions!$B$33*Assumptions!$B$140/12*V7,0)</f>
        <v>442.61869372534</v>
      </c>
      <c r="W74" s="55" t="n">
        <f aca="false">IF(W2&gt;=Assumptions!$B$48,W69*Assumptions!$B$36*Assumptions!$B$139*Assumptions!$B$141*Assumptions!$B$33*Assumptions!$B$140/12*W7,0)</f>
        <v>489.532158128962</v>
      </c>
      <c r="X74" s="55" t="n">
        <f aca="false">IF(X2&gt;=Assumptions!$B$48,X69*Assumptions!$B$36*Assumptions!$B$139*Assumptions!$B$141*Assumptions!$B$33*Assumptions!$B$140/12*X7,0)</f>
        <v>558.940534122577</v>
      </c>
      <c r="Y74" s="55" t="n">
        <f aca="false">IF(Y2&gt;=Assumptions!$B$48,Y69*Assumptions!$B$36*Assumptions!$B$139*Assumptions!$B$141*Assumptions!$B$33*Assumptions!$B$140/12*Y7,0)</f>
        <v>619.20093683168</v>
      </c>
      <c r="Z74" s="55" t="n">
        <f aca="false">IF(Z2&gt;=Assumptions!$B$48,Z69*Assumptions!$B$36*Assumptions!$B$139*Assumptions!$B$141*Assumptions!$B$33*Assumptions!$B$140/12*Z7,0)</f>
        <v>667.161194964234</v>
      </c>
      <c r="AA74" s="55" t="n">
        <f aca="false">IF(AA2&gt;=Assumptions!$B$48,AA69*Assumptions!$B$36*Assumptions!$B$139*Assumptions!$B$141*Assumptions!$B$33*Assumptions!$B$140/12*AA7,0)</f>
        <v>17601.8003349867</v>
      </c>
      <c r="AB74" s="55" t="n">
        <f aca="false">IF(AB2&gt;=Assumptions!$B$48,AB69*Assumptions!$B$36*Assumptions!$B$139*Assumptions!$B$141*Assumptions!$B$33*Assumptions!$B$140/12*AB7,0)</f>
        <v>30989.9803918539</v>
      </c>
      <c r="AC74" s="55" t="n">
        <f aca="false">IF(AC2&gt;=Assumptions!$B$48,AC69*Assumptions!$B$36*Assumptions!$B$139*Assumptions!$B$141*Assumptions!$B$33*Assumptions!$B$140/12*AC7,0)</f>
        <v>48826.4612670161</v>
      </c>
      <c r="AD74" s="55" t="n">
        <f aca="false">IF(AD2&gt;=Assumptions!$B$48,AD69*Assumptions!$B$36*Assumptions!$B$139*Assumptions!$B$141*Assumptions!$B$33*Assumptions!$B$140/12*AD7,0)</f>
        <v>68783.8583465594</v>
      </c>
      <c r="AE74" s="55" t="n">
        <f aca="false">IF(AE2&gt;=Assumptions!$B$48,AE69*Assumptions!$B$36*Assumptions!$B$139*Assumptions!$B$141*Assumptions!$B$33*Assumptions!$B$140/12*AE7,0)</f>
        <v>88195.9901855914</v>
      </c>
    </row>
    <row r="75" customFormat="false" ht="15" hidden="false" customHeight="false" outlineLevel="0" collapsed="false">
      <c r="A75" s="6" t="s">
        <v>449</v>
      </c>
      <c r="B75" s="23" t="s">
        <v>47</v>
      </c>
      <c r="C75" s="54" t="n">
        <f aca="false">(C73+C74)*(1-Assumptions!$B$8)/C21/(1+Assumptions!$B$9)</f>
        <v>0</v>
      </c>
      <c r="D75" s="54" t="n">
        <f aca="false">(D73+D74)*(1-Assumptions!$B$8)/D21/(1+Assumptions!$B$9)</f>
        <v>0</v>
      </c>
      <c r="E75" s="54" t="n">
        <f aca="false">(E73+E74)*(1-Assumptions!$B$8)/E21/(1+Assumptions!$B$9)</f>
        <v>0</v>
      </c>
      <c r="F75" s="54" t="n">
        <f aca="false">(F73+F74)*(1-Assumptions!$B$8)/F21/(1+Assumptions!$B$9)</f>
        <v>0</v>
      </c>
      <c r="G75" s="54" t="n">
        <f aca="false">(G73+G74)*(1-Assumptions!$B$8)/G21/(1+Assumptions!$B$9)</f>
        <v>0</v>
      </c>
      <c r="H75" s="54" t="n">
        <f aca="false">(H73+H74)*(1-Assumptions!$B$8)/H21/(1+Assumptions!$B$9)</f>
        <v>0</v>
      </c>
      <c r="I75" s="54" t="n">
        <f aca="false">(I73+I74)*(1-Assumptions!$B$8)/I21/(1+Assumptions!$B$9)</f>
        <v>0</v>
      </c>
      <c r="J75" s="54" t="n">
        <f aca="false">(J73+J74)*(1-Assumptions!$B$8)/J21/(1+Assumptions!$B$9)</f>
        <v>0</v>
      </c>
      <c r="K75" s="54" t="n">
        <f aca="false">(K73+K74)*(1-Assumptions!$B$8)/K21/(1+Assumptions!$B$9)</f>
        <v>0</v>
      </c>
      <c r="L75" s="54" t="n">
        <f aca="false">(L73+L74)*(1-Assumptions!$B$8)/L21/(1+Assumptions!$B$9)</f>
        <v>0</v>
      </c>
      <c r="M75" s="54" t="n">
        <f aca="false">(M73+M74)*(1-Assumptions!$B$8)/M21/(1+Assumptions!$B$9)</f>
        <v>0</v>
      </c>
      <c r="N75" s="54" t="n">
        <f aca="false">(N73+N74)*(1-Assumptions!$B$8)/N21/(1+Assumptions!$B$9)</f>
        <v>0</v>
      </c>
      <c r="O75" s="54" t="n">
        <f aca="false">(O73+O74)*(1-Assumptions!$B$8)/O21/(1+Assumptions!$B$9)</f>
        <v>5.40975005525957</v>
      </c>
      <c r="P75" s="54" t="n">
        <f aca="false">(P73+P74)*(1-Assumptions!$B$8)/P21/(1+Assumptions!$B$9)</f>
        <v>10.401834790011</v>
      </c>
      <c r="Q75" s="54" t="n">
        <f aca="false">(Q73+Q74)*(1-Assumptions!$B$8)/Q21/(1+Assumptions!$B$9)</f>
        <v>15.0319242042643</v>
      </c>
      <c r="R75" s="54" t="n">
        <f aca="false">(R73+R74)*(1-Assumptions!$B$8)/R21/(1+Assumptions!$B$9)</f>
        <v>20.8358516605337</v>
      </c>
      <c r="S75" s="54" t="n">
        <f aca="false">(S73+S74)*(1-Assumptions!$B$8)/S21/(1+Assumptions!$B$9)</f>
        <v>25.8626315338119</v>
      </c>
      <c r="T75" s="54" t="n">
        <f aca="false">(T73+T74)*(1-Assumptions!$B$8)/T21/(1+Assumptions!$B$9)</f>
        <v>29.810682991259</v>
      </c>
      <c r="U75" s="54" t="n">
        <f aca="false">(U73+U74)*(1-Assumptions!$B$8)/U21/(1+Assumptions!$B$9)</f>
        <v>33.4607377291959</v>
      </c>
      <c r="V75" s="54" t="n">
        <f aca="false">(V73+V74)*(1-Assumptions!$B$8)/V21/(1+Assumptions!$B$9)</f>
        <v>36.9989724354419</v>
      </c>
      <c r="W75" s="54" t="n">
        <f aca="false">(W73+W74)*(1-Assumptions!$B$8)/W21/(1+Assumptions!$B$9)</f>
        <v>40.9205193581703</v>
      </c>
      <c r="X75" s="54" t="n">
        <f aca="false">(X73+X74)*(1-Assumptions!$B$8)/X21/(1+Assumptions!$B$9)</f>
        <v>46.7224401233382</v>
      </c>
      <c r="Y75" s="54" t="n">
        <f aca="false">(Y73+Y74)*(1-Assumptions!$B$8)/Y21/(1+Assumptions!$B$9)</f>
        <v>51.7596719673376</v>
      </c>
      <c r="Z75" s="54" t="n">
        <f aca="false">(Z73+Z74)*(1-Assumptions!$B$8)/Z21/(1+Assumptions!$B$9)</f>
        <v>55.7687215031988</v>
      </c>
      <c r="AA75" s="54" t="n">
        <f aca="false">(AA73+AA74)*(1-Assumptions!$B$8)/AA21/(1+Assumptions!$B$9)</f>
        <v>1361.10398927654</v>
      </c>
      <c r="AB75" s="54" t="n">
        <f aca="false">(AB73+AB74)*(1-Assumptions!$B$8)/AB21/(1+Assumptions!$B$9)</f>
        <v>2216.81690216712</v>
      </c>
      <c r="AC75" s="54" t="n">
        <f aca="false">(AC73+AC74)*(1-Assumptions!$B$8)/AC21/(1+Assumptions!$B$9)</f>
        <v>3231.00833444508</v>
      </c>
      <c r="AD75" s="54" t="n">
        <f aca="false">(AD73+AD74)*(1-Assumptions!$B$8)/AD21/(1+Assumptions!$B$9)</f>
        <v>4210.59691670658</v>
      </c>
      <c r="AE75" s="54" t="n">
        <f aca="false">(AE73+AE74)*(1-Assumptions!$B$8)/AE21/(1+Assumptions!$B$9)</f>
        <v>4994.36503201315</v>
      </c>
    </row>
    <row r="76" customFormat="false" ht="15" hidden="false" customHeight="false" outlineLevel="0" collapsed="false">
      <c r="A76" s="6" t="s">
        <v>450</v>
      </c>
      <c r="B76" s="23" t="s">
        <v>451</v>
      </c>
      <c r="C76" s="56" t="n">
        <f aca="false">(Assumptions!$B$136+Assumptions!$B$137*IF(C69+C71=0,1,(C69+C71*Assumptions!$B$138)/(C69+C71)))*C7/12</f>
        <v>0.0166666666666667</v>
      </c>
      <c r="D76" s="56" t="n">
        <f aca="false">(Assumptions!$B$136+Assumptions!$B$137*IF(D69+D71=0,1,(D69+D71*Assumptions!$B$138)/(D69+D71)))*D7/12</f>
        <v>0.0166666666666667</v>
      </c>
      <c r="E76" s="56" t="n">
        <f aca="false">(Assumptions!$B$136+Assumptions!$B$137*IF(E69+E71=0,1,(E69+E71*Assumptions!$B$138)/(E69+E71)))*E7/12</f>
        <v>0.0166666666666667</v>
      </c>
      <c r="F76" s="56" t="n">
        <f aca="false">(Assumptions!$B$136+Assumptions!$B$137*IF(F69+F71=0,1,(F69+F71*Assumptions!$B$138)/(F69+F71)))*F7/12</f>
        <v>0.0166666666666667</v>
      </c>
      <c r="G76" s="56" t="n">
        <f aca="false">(Assumptions!$B$136+Assumptions!$B$137*IF(G69+G71=0,1,(G69+G71*Assumptions!$B$138)/(G69+G71)))*G7/12</f>
        <v>0.0166666666666667</v>
      </c>
      <c r="H76" s="56" t="n">
        <f aca="false">(Assumptions!$B$136+Assumptions!$B$137*IF(H69+H71=0,1,(H69+H71*Assumptions!$B$138)/(H69+H71)))*H7/12</f>
        <v>0.0166666666666667</v>
      </c>
      <c r="I76" s="56" t="n">
        <f aca="false">(Assumptions!$B$136+Assumptions!$B$137*IF(I69+I71=0,1,(I69+I71*Assumptions!$B$138)/(I69+I71)))*I7/12</f>
        <v>0.0166666666666667</v>
      </c>
      <c r="J76" s="56" t="n">
        <f aca="false">(Assumptions!$B$136+Assumptions!$B$137*IF(J69+J71=0,1,(J69+J71*Assumptions!$B$138)/(J69+J71)))*J7/12</f>
        <v>0.0166666666666667</v>
      </c>
      <c r="K76" s="56" t="n">
        <f aca="false">(Assumptions!$B$136+Assumptions!$B$137*IF(K69+K71=0,1,(K69+K71*Assumptions!$B$138)/(K69+K71)))*K7/12</f>
        <v>0.0166666666666667</v>
      </c>
      <c r="L76" s="56" t="n">
        <f aca="false">(Assumptions!$B$136+Assumptions!$B$137*IF(L69+L71=0,1,(L69+L71*Assumptions!$B$138)/(L69+L71)))*L7/12</f>
        <v>0.0166666666666667</v>
      </c>
      <c r="M76" s="56" t="n">
        <f aca="false">(Assumptions!$B$136+Assumptions!$B$137*IF(M69+M71=0,1,(M69+M71*Assumptions!$B$138)/(M69+M71)))*M7/12</f>
        <v>0.0166666666666667</v>
      </c>
      <c r="N76" s="56" t="n">
        <f aca="false">(Assumptions!$B$136+Assumptions!$B$137*IF(N69+N71=0,1,(N69+N71*Assumptions!$B$138)/(N69+N71)))*N7/12</f>
        <v>0.0166666666666667</v>
      </c>
      <c r="O76" s="56" t="n">
        <f aca="false">(Assumptions!$B$136+Assumptions!$B$137*IF(O69+O71=0,1,(O69+O71*Assumptions!$B$138)/(O69+O71)))*O7/12</f>
        <v>0.0168634841405503</v>
      </c>
      <c r="P76" s="56" t="n">
        <f aca="false">(Assumptions!$B$136+Assumptions!$B$137*IF(P69+P71=0,1,(P69+P71*Assumptions!$B$138)/(P69+P71)))*P7/12</f>
        <v>0.0170558494588312</v>
      </c>
      <c r="Q76" s="56" t="n">
        <f aca="false">(Assumptions!$B$136+Assumptions!$B$137*IF(Q69+Q71=0,1,(Q69+Q71*Assumptions!$B$138)/(Q69+Q71)))*Q7/12</f>
        <v>0.0172429813738795</v>
      </c>
      <c r="R76" s="56" t="n">
        <f aca="false">(Assumptions!$B$136+Assumptions!$B$137*IF(R69+R71=0,1,(R69+R71*Assumptions!$B$138)/(R69+R71)))*R7/12</f>
        <v>0.0173871826718686</v>
      </c>
      <c r="S76" s="56" t="n">
        <f aca="false">(Assumptions!$B$136+Assumptions!$B$137*IF(S69+S71=0,1,(S69+S71*Assumptions!$B$138)/(S69+S71)))*S7/12</f>
        <v>0.0175541905367357</v>
      </c>
      <c r="T76" s="56" t="n">
        <f aca="false">(Assumptions!$B$136+Assumptions!$B$137*IF(T69+T71=0,1,(T69+T71*Assumptions!$B$138)/(T69+T71)))*T7/12</f>
        <v>0.0177392080449523</v>
      </c>
      <c r="U76" s="56" t="n">
        <f aca="false">(Assumptions!$B$136+Assumptions!$B$137*IF(U69+U71=0,1,(U69+U71*Assumptions!$B$138)/(U69+U71)))*U7/12</f>
        <v>0.017916049503689</v>
      </c>
      <c r="V76" s="56" t="n">
        <f aca="false">(Assumptions!$B$136+Assumptions!$B$137*IF(V69+V71=0,1,(V69+V71*Assumptions!$B$138)/(V69+V71)))*V7/12</f>
        <v>0.0180814915406141</v>
      </c>
      <c r="W76" s="56" t="n">
        <f aca="false">(Assumptions!$B$136+Assumptions!$B$137*IF(W69+W71=0,1,(W69+W71*Assumptions!$B$138)/(W69+W71)))*W7/12</f>
        <v>0.0182240288663181</v>
      </c>
      <c r="X76" s="56" t="n">
        <f aca="false">(Assumptions!$B$136+Assumptions!$B$137*IF(X69+X71=0,1,(X69+X71*Assumptions!$B$138)/(X69+X71)))*X7/12</f>
        <v>0.0183097913015777</v>
      </c>
      <c r="Y76" s="56" t="n">
        <f aca="false">(Assumptions!$B$136+Assumptions!$B$137*IF(Y69+Y71=0,1,(Y69+Y71*Assumptions!$B$138)/(Y69+Y71)))*Y7/12</f>
        <v>0.0184203528613859</v>
      </c>
      <c r="Z76" s="56" t="n">
        <f aca="false">(Assumptions!$B$136+Assumptions!$B$137*IF(Z69+Z71=0,1,(Z69+Z71*Assumptions!$B$138)/(Z69+Z71)))*Z7/12</f>
        <v>0.0185533986115678</v>
      </c>
      <c r="AA76" s="56" t="n">
        <f aca="false">(Assumptions!$B$136+Assumptions!$B$137*IF(AA69+AA71=0,1,(AA69+AA71*Assumptions!$B$138)/(AA69+AA71)))*AA7/12</f>
        <v>0.236235173478962</v>
      </c>
      <c r="AB76" s="56" t="n">
        <f aca="false">(Assumptions!$B$136+Assumptions!$B$137*IF(AB69+AB71=0,1,(AB69+AB71*Assumptions!$B$138)/(AB69+AB71)))*AB7/12</f>
        <v>0.243812517447977</v>
      </c>
      <c r="AC76" s="56" t="n">
        <f aca="false">(Assumptions!$B$136+Assumptions!$B$137*IF(AC69+AC71=0,1,(AC69+AC71*Assumptions!$B$138)/(AC69+AC71)))*AC7/12</f>
        <v>0.249061606214388</v>
      </c>
      <c r="AD76" s="56" t="n">
        <f aca="false">(Assumptions!$B$136+Assumptions!$B$137*IF(AD69+AD71=0,1,(AD69+AD71*Assumptions!$B$138)/(AD69+AD71)))*AD7/12</f>
        <v>0.253779459671</v>
      </c>
      <c r="AE76" s="56" t="n">
        <f aca="false">(Assumptions!$B$136+Assumptions!$B$137*IF(AE69+AE71=0,1,(AE69+AE71*Assumptions!$B$138)/(AE69+AE71)))*AE7/12</f>
        <v>0.258254120724314</v>
      </c>
    </row>
    <row r="77" customFormat="false" ht="15" hidden="false" customHeight="false" outlineLevel="0" collapsed="false">
      <c r="A77" s="6" t="s">
        <v>452</v>
      </c>
      <c r="B77" s="23" t="s">
        <v>451</v>
      </c>
      <c r="C77" s="56" t="n">
        <f aca="false">Assumptions!$B$137*IF(C69+C71=0,1,(C69+C71*Assumptions!$B$138)/(C69+C71))*C7/12</f>
        <v>0.00666666666666667</v>
      </c>
      <c r="D77" s="56" t="n">
        <f aca="false">Assumptions!$B$137*IF(D69+D71=0,1,(D69+D71*Assumptions!$B$138)/(D69+D71))*D7/12</f>
        <v>0.00666666666666667</v>
      </c>
      <c r="E77" s="56" t="n">
        <f aca="false">Assumptions!$B$137*IF(E69+E71=0,1,(E69+E71*Assumptions!$B$138)/(E69+E71))*E7/12</f>
        <v>0.00666666666666667</v>
      </c>
      <c r="F77" s="56" t="n">
        <f aca="false">Assumptions!$B$137*IF(F69+F71=0,1,(F69+F71*Assumptions!$B$138)/(F69+F71))*F7/12</f>
        <v>0.00666666666666667</v>
      </c>
      <c r="G77" s="56" t="n">
        <f aca="false">Assumptions!$B$137*IF(G69+G71=0,1,(G69+G71*Assumptions!$B$138)/(G69+G71))*G7/12</f>
        <v>0.00666666666666667</v>
      </c>
      <c r="H77" s="56" t="n">
        <f aca="false">Assumptions!$B$137*IF(H69+H71=0,1,(H69+H71*Assumptions!$B$138)/(H69+H71))*H7/12</f>
        <v>0.00666666666666667</v>
      </c>
      <c r="I77" s="56" t="n">
        <f aca="false">Assumptions!$B$137*IF(I69+I71=0,1,(I69+I71*Assumptions!$B$138)/(I69+I71))*I7/12</f>
        <v>0.00666666666666667</v>
      </c>
      <c r="J77" s="56" t="n">
        <f aca="false">Assumptions!$B$137*IF(J69+J71=0,1,(J69+J71*Assumptions!$B$138)/(J69+J71))*J7/12</f>
        <v>0.00666666666666667</v>
      </c>
      <c r="K77" s="56" t="n">
        <f aca="false">Assumptions!$B$137*IF(K69+K71=0,1,(K69+K71*Assumptions!$B$138)/(K69+K71))*K7/12</f>
        <v>0.00666666666666667</v>
      </c>
      <c r="L77" s="56" t="n">
        <f aca="false">Assumptions!$B$137*IF(L69+L71=0,1,(L69+L71*Assumptions!$B$138)/(L69+L71))*L7/12</f>
        <v>0.00666666666666667</v>
      </c>
      <c r="M77" s="56" t="n">
        <f aca="false">Assumptions!$B$137*IF(M69+M71=0,1,(M69+M71*Assumptions!$B$138)/(M69+M71))*M7/12</f>
        <v>0.00666666666666667</v>
      </c>
      <c r="N77" s="56" t="n">
        <f aca="false">Assumptions!$B$137*IF(N69+N71=0,1,(N69+N71*Assumptions!$B$138)/(N69+N71))*N7/12</f>
        <v>0.00666666666666667</v>
      </c>
      <c r="O77" s="56" t="n">
        <f aca="false">Assumptions!$B$137*IF(O69+O71=0,1,(O69+O71*Assumptions!$B$138)/(O69+O71))*O7/12</f>
        <v>0.00686348414055028</v>
      </c>
      <c r="P77" s="56" t="n">
        <f aca="false">Assumptions!$B$137*IF(P69+P71=0,1,(P69+P71*Assumptions!$B$138)/(P69+P71))*P7/12</f>
        <v>0.00705584945883116</v>
      </c>
      <c r="Q77" s="56" t="n">
        <f aca="false">Assumptions!$B$137*IF(Q69+Q71=0,1,(Q69+Q71*Assumptions!$B$138)/(Q69+Q71))*Q7/12</f>
        <v>0.00724298137387951</v>
      </c>
      <c r="R77" s="56" t="n">
        <f aca="false">Assumptions!$B$137*IF(R69+R71=0,1,(R69+R71*Assumptions!$B$138)/(R69+R71))*R7/12</f>
        <v>0.00738718267186858</v>
      </c>
      <c r="S77" s="56" t="n">
        <f aca="false">Assumptions!$B$137*IF(S69+S71=0,1,(S69+S71*Assumptions!$B$138)/(S69+S71))*S7/12</f>
        <v>0.00755419053673572</v>
      </c>
      <c r="T77" s="56" t="n">
        <f aca="false">Assumptions!$B$137*IF(T69+T71=0,1,(T69+T71*Assumptions!$B$138)/(T69+T71))*T7/12</f>
        <v>0.00773920804495234</v>
      </c>
      <c r="U77" s="56" t="n">
        <f aca="false">Assumptions!$B$137*IF(U69+U71=0,1,(U69+U71*Assumptions!$B$138)/(U69+U71))*U7/12</f>
        <v>0.00791604950368899</v>
      </c>
      <c r="V77" s="56" t="n">
        <f aca="false">Assumptions!$B$137*IF(V69+V71=0,1,(V69+V71*Assumptions!$B$138)/(V69+V71))*V7/12</f>
        <v>0.00808149154061413</v>
      </c>
      <c r="W77" s="56" t="n">
        <f aca="false">Assumptions!$B$137*IF(W69+W71=0,1,(W69+W71*Assumptions!$B$138)/(W69+W71))*W7/12</f>
        <v>0.00822402886631811</v>
      </c>
      <c r="X77" s="56" t="n">
        <f aca="false">Assumptions!$B$137*IF(X69+X71=0,1,(X69+X71*Assumptions!$B$138)/(X69+X71))*X7/12</f>
        <v>0.00830979130157766</v>
      </c>
      <c r="Y77" s="56" t="n">
        <f aca="false">Assumptions!$B$137*IF(Y69+Y71=0,1,(Y69+Y71*Assumptions!$B$138)/(Y69+Y71))*Y7/12</f>
        <v>0.00842035286138591</v>
      </c>
      <c r="Z77" s="56" t="n">
        <f aca="false">Assumptions!$B$137*IF(Z69+Z71=0,1,(Z69+Z71*Assumptions!$B$138)/(Z69+Z71))*Z7/12</f>
        <v>0.00855339861156781</v>
      </c>
      <c r="AA77" s="56" t="n">
        <f aca="false">Assumptions!$B$137*IF(AA69+AA71=0,1,(AA69+AA71*Assumptions!$B$138)/(AA69+AA71))*AA7/12</f>
        <v>0.116235173478962</v>
      </c>
      <c r="AB77" s="56" t="n">
        <f aca="false">Assumptions!$B$137*IF(AB69+AB71=0,1,(AB69+AB71*Assumptions!$B$138)/(AB69+AB71))*AB7/12</f>
        <v>0.123812517447977</v>
      </c>
      <c r="AC77" s="56" t="n">
        <f aca="false">Assumptions!$B$137*IF(AC69+AC71=0,1,(AC69+AC71*Assumptions!$B$138)/(AC69+AC71))*AC7/12</f>
        <v>0.129061606214388</v>
      </c>
      <c r="AD77" s="56" t="n">
        <f aca="false">Assumptions!$B$137*IF(AD69+AD71=0,1,(AD69+AD71*Assumptions!$B$138)/(AD69+AD71))*AD7/12</f>
        <v>0.133779459671</v>
      </c>
      <c r="AE77" s="56" t="n">
        <f aca="false">Assumptions!$B$137*IF(AE69+AE71=0,1,(AE69+AE71*Assumptions!$B$138)/(AE69+AE71))*AE7/12</f>
        <v>0.138254120724314</v>
      </c>
    </row>
    <row r="78" customFormat="false" ht="15" hidden="false" customHeight="false" outlineLevel="0" collapsed="false">
      <c r="A78" s="6" t="s">
        <v>453</v>
      </c>
      <c r="B78" s="23" t="s">
        <v>47</v>
      </c>
      <c r="C78" s="45" t="n">
        <f aca="false">C75</f>
        <v>0</v>
      </c>
      <c r="D78" s="45" t="n">
        <f aca="false">C78*(1-D76)+D75</f>
        <v>0</v>
      </c>
      <c r="E78" s="45" t="n">
        <f aca="false">D78*(1-E76)+E75</f>
        <v>0</v>
      </c>
      <c r="F78" s="45" t="n">
        <f aca="false">E78*(1-F76)+F75</f>
        <v>0</v>
      </c>
      <c r="G78" s="45" t="n">
        <f aca="false">F78*(1-G76)+G75</f>
        <v>0</v>
      </c>
      <c r="H78" s="45" t="n">
        <f aca="false">G78*(1-H76)+H75</f>
        <v>0</v>
      </c>
      <c r="I78" s="45" t="n">
        <f aca="false">H78*(1-I76)+I75</f>
        <v>0</v>
      </c>
      <c r="J78" s="45" t="n">
        <f aca="false">I78*(1-J76)+J75</f>
        <v>0</v>
      </c>
      <c r="K78" s="45" t="n">
        <f aca="false">J78*(1-K76)+K75</f>
        <v>0</v>
      </c>
      <c r="L78" s="45" t="n">
        <f aca="false">K78*(1-L76)+L75</f>
        <v>0</v>
      </c>
      <c r="M78" s="45" t="n">
        <f aca="false">L78*(1-M76)+M75</f>
        <v>0</v>
      </c>
      <c r="N78" s="45" t="n">
        <f aca="false">M78*(1-N76)+N75</f>
        <v>0</v>
      </c>
      <c r="O78" s="45" t="n">
        <f aca="false">N78*(1-O76)+O75</f>
        <v>5.40975005525957</v>
      </c>
      <c r="P78" s="45" t="n">
        <f aca="false">O78*(1-P76)+P75</f>
        <v>15.7193169627182</v>
      </c>
      <c r="Q78" s="45" t="n">
        <f aca="false">P78*(1-Q76)+Q75</f>
        <v>30.4801932773843</v>
      </c>
      <c r="R78" s="45" t="n">
        <f aca="false">Q78*(1-R76)+R75</f>
        <v>50.7860802495303</v>
      </c>
      <c r="S78" s="45" t="n">
        <f aca="false">R78*(1-S76)+S75</f>
        <v>75.757203254028</v>
      </c>
      <c r="T78" s="45" t="n">
        <f aca="false">S78*(1-T76)+T75</f>
        <v>104.22401345586</v>
      </c>
      <c r="U78" s="45" t="n">
        <f aca="false">T78*(1-U76)+U75</f>
        <v>135.817468600508</v>
      </c>
      <c r="V78" s="45" t="n">
        <f aca="false">U78*(1-V76)+V75</f>
        <v>170.360658626382</v>
      </c>
      <c r="W78" s="45" t="n">
        <f aca="false">V78*(1-W76)+W75</f>
        <v>208.17652042406</v>
      </c>
      <c r="X78" s="45" t="n">
        <f aca="false">W78*(1-X76)+X75</f>
        <v>251.087291904545</v>
      </c>
      <c r="Y78" s="45" t="n">
        <f aca="false">X78*(1-Y76)+Y75</f>
        <v>298.221847355991</v>
      </c>
      <c r="Z78" s="45" t="n">
        <f aca="false">Y78*(1-Z76)+Z75</f>
        <v>348.457540050516</v>
      </c>
      <c r="AA78" s="45" t="n">
        <f aca="false">Z78*(1-AA76)+AA75</f>
        <v>1627.24360190317</v>
      </c>
      <c r="AB78" s="45" t="n">
        <f aca="false">AA78*(1-AB76)+AB75</f>
        <v>3447.31814498917</v>
      </c>
      <c r="AC78" s="45" t="n">
        <f aca="false">AB78*(1-AC76)+AC75</f>
        <v>5819.73188511124</v>
      </c>
      <c r="AD78" s="45" t="n">
        <f aca="false">AC78*(1-AD76)+AD75</f>
        <v>8553.4003885842</v>
      </c>
      <c r="AE78" s="45" t="n">
        <f aca="false">AD78*(1-AE76)+AE75</f>
        <v>11338.8145240405</v>
      </c>
    </row>
    <row r="79" customFormat="false" ht="15" hidden="false" customHeight="false" outlineLevel="0" collapsed="false">
      <c r="A79" s="6" t="s">
        <v>454</v>
      </c>
      <c r="B79" s="23" t="s">
        <v>47</v>
      </c>
      <c r="C79" s="45" t="n">
        <f aca="false">C75</f>
        <v>0</v>
      </c>
      <c r="D79" s="45" t="n">
        <f aca="false">C79*(1-D77)+D75</f>
        <v>0</v>
      </c>
      <c r="E79" s="45" t="n">
        <f aca="false">D79*(1-E77)+E75</f>
        <v>0</v>
      </c>
      <c r="F79" s="45" t="n">
        <f aca="false">E79*(1-F77)+F75</f>
        <v>0</v>
      </c>
      <c r="G79" s="45" t="n">
        <f aca="false">F79*(1-G77)+G75</f>
        <v>0</v>
      </c>
      <c r="H79" s="45" t="n">
        <f aca="false">G79*(1-H77)+H75</f>
        <v>0</v>
      </c>
      <c r="I79" s="45" t="n">
        <f aca="false">H79*(1-I77)+I75</f>
        <v>0</v>
      </c>
      <c r="J79" s="45" t="n">
        <f aca="false">I79*(1-J77)+J75</f>
        <v>0</v>
      </c>
      <c r="K79" s="45" t="n">
        <f aca="false">J79*(1-K77)+K75</f>
        <v>0</v>
      </c>
      <c r="L79" s="45" t="n">
        <f aca="false">K79*(1-L77)+L75</f>
        <v>0</v>
      </c>
      <c r="M79" s="45" t="n">
        <f aca="false">L79*(1-M77)+M75</f>
        <v>0</v>
      </c>
      <c r="N79" s="45" t="n">
        <f aca="false">M79*(1-N77)+N75</f>
        <v>0</v>
      </c>
      <c r="O79" s="45" t="n">
        <f aca="false">N79*(1-O77)+O75</f>
        <v>5.40975005525957</v>
      </c>
      <c r="P79" s="45" t="n">
        <f aca="false">O79*(1-P77)+P75</f>
        <v>15.7734144632708</v>
      </c>
      <c r="Q79" s="45" t="n">
        <f aca="false">P79*(1-Q77)+Q75</f>
        <v>30.6910921203752</v>
      </c>
      <c r="R79" s="45" t="n">
        <f aca="false">Q79*(1-R77)+R75</f>
        <v>51.3002230770166</v>
      </c>
      <c r="S79" s="45" t="n">
        <f aca="false">R79*(1-S77)+S75</f>
        <v>76.7753229511276</v>
      </c>
      <c r="T79" s="45" t="n">
        <f aca="false">S79*(1-T77)+T75</f>
        <v>105.99182574535</v>
      </c>
      <c r="U79" s="45" t="n">
        <f aca="false">T79*(1-U77)+U75</f>
        <v>138.613526934959</v>
      </c>
      <c r="V79" s="45" t="n">
        <f aca="false">U79*(1-V77)+V75</f>
        <v>174.492295325061</v>
      </c>
      <c r="W79" s="45" t="n">
        <f aca="false">V79*(1-W77)+W75</f>
        <v>213.977785009528</v>
      </c>
      <c r="X79" s="45" t="n">
        <f aca="false">W79*(1-X77)+X75</f>
        <v>258.922114396263</v>
      </c>
      <c r="Y79" s="45" t="n">
        <f aca="false">X79*(1-Y77)+Y75</f>
        <v>308.501570796768</v>
      </c>
      <c r="Z79" s="45" t="n">
        <f aca="false">Y79*(1-Z77)+Z75</f>
        <v>361.631555392647</v>
      </c>
      <c r="AA79" s="45" t="n">
        <f aca="false">Z79*(1-AA77)+AA75</f>
        <v>1680.70123809266</v>
      </c>
      <c r="AB79" s="45" t="n">
        <f aca="false">AA79*(1-AB77)+AB75</f>
        <v>3689.42628889359</v>
      </c>
      <c r="AC79" s="45" t="n">
        <f aca="false">AB79*(1-AC77)+AC75</f>
        <v>6444.27134048447</v>
      </c>
      <c r="AD79" s="45" t="n">
        <f aca="false">AC79*(1-AD77)+AD75</f>
        <v>9792.75711928773</v>
      </c>
      <c r="AE79" s="45" t="n">
        <f aca="false">AD79*(1-AE77)+AE75</f>
        <v>13433.233126307</v>
      </c>
    </row>
    <row r="80" customFormat="false" ht="15" hidden="false" customHeight="false" outlineLevel="0" collapsed="false">
      <c r="A80" s="6" t="s">
        <v>455</v>
      </c>
      <c r="B80" s="23" t="s">
        <v>114</v>
      </c>
      <c r="C80" s="57" t="n">
        <f aca="false">C78*C21</f>
        <v>0</v>
      </c>
      <c r="D80" s="57" t="n">
        <f aca="false">D78*D21</f>
        <v>0</v>
      </c>
      <c r="E80" s="57" t="n">
        <f aca="false">E78*E21</f>
        <v>0</v>
      </c>
      <c r="F80" s="57" t="n">
        <f aca="false">F78*F21</f>
        <v>0</v>
      </c>
      <c r="G80" s="57" t="n">
        <f aca="false">G78*G21</f>
        <v>0</v>
      </c>
      <c r="H80" s="57" t="n">
        <f aca="false">H78*H21</f>
        <v>0</v>
      </c>
      <c r="I80" s="57" t="n">
        <f aca="false">I78*I21</f>
        <v>0</v>
      </c>
      <c r="J80" s="57" t="n">
        <f aca="false">J78*J21</f>
        <v>0</v>
      </c>
      <c r="K80" s="57" t="n">
        <f aca="false">K78*K21</f>
        <v>0</v>
      </c>
      <c r="L80" s="57" t="n">
        <f aca="false">L78*L21</f>
        <v>0</v>
      </c>
      <c r="M80" s="57" t="n">
        <f aca="false">M78*M21</f>
        <v>0</v>
      </c>
      <c r="N80" s="57" t="n">
        <f aca="false">N78*N21</f>
        <v>0</v>
      </c>
      <c r="O80" s="57" t="n">
        <f aca="false">O78*O21</f>
        <v>827.249565485198</v>
      </c>
      <c r="P80" s="57" t="n">
        <f aca="false">P78*P21</f>
        <v>2403.77059832735</v>
      </c>
      <c r="Q80" s="57" t="n">
        <f aca="false">Q78*Q21</f>
        <v>4660.9781204413</v>
      </c>
      <c r="R80" s="57" t="n">
        <f aca="false">R78*R21</f>
        <v>7766.11902397853</v>
      </c>
      <c r="S80" s="57" t="n">
        <f aca="false">S78*S21</f>
        <v>11584.6597040723</v>
      </c>
      <c r="T80" s="57" t="n">
        <f aca="false">T78*T21</f>
        <v>15937.7547878867</v>
      </c>
      <c r="U80" s="57" t="n">
        <f aca="false">U78*U21</f>
        <v>20768.9709759943</v>
      </c>
      <c r="V80" s="57" t="n">
        <f aca="false">V78*V21</f>
        <v>26051.2554896003</v>
      </c>
      <c r="W80" s="57" t="n">
        <f aca="false">W78*W21</f>
        <v>31833.9912761017</v>
      </c>
      <c r="X80" s="57" t="n">
        <f aca="false">X78*X21</f>
        <v>38395.8317861551</v>
      </c>
      <c r="Y80" s="57" t="n">
        <f aca="false">Y78*Y21</f>
        <v>45603.5659916638</v>
      </c>
      <c r="Z80" s="57" t="n">
        <f aca="false">Z78*Z21</f>
        <v>53285.5207084053</v>
      </c>
      <c r="AA80" s="57" t="n">
        <f aca="false">AA78*AA21</f>
        <v>268990.916275298</v>
      </c>
      <c r="AB80" s="57" t="n">
        <f aca="false">AB78*AB21</f>
        <v>616016.153898699</v>
      </c>
      <c r="AC80" s="57" t="n">
        <f aca="false">AC78*AC21</f>
        <v>1124189.19480367</v>
      </c>
      <c r="AD80" s="57" t="n">
        <f aca="false">AD78*AD21</f>
        <v>1786080.07461962</v>
      </c>
      <c r="AE80" s="57" t="n">
        <f aca="false">AE78*AE21</f>
        <v>2559501.97378834</v>
      </c>
    </row>
    <row r="81" customFormat="false" ht="15" hidden="false" customHeight="false" outlineLevel="0" collapsed="false">
      <c r="A81" s="6" t="s">
        <v>456</v>
      </c>
      <c r="B81" s="23" t="s">
        <v>190</v>
      </c>
      <c r="C81" s="54" t="n">
        <f aca="false">C69+C71*Assumptions!$B$172</f>
        <v>0</v>
      </c>
      <c r="D81" s="54" t="n">
        <f aca="false">D69+D71*Assumptions!$B$172</f>
        <v>0</v>
      </c>
      <c r="E81" s="54" t="n">
        <f aca="false">E69+E71*Assumptions!$B$172</f>
        <v>0</v>
      </c>
      <c r="F81" s="54" t="n">
        <f aca="false">F69+F71*Assumptions!$B$172</f>
        <v>0</v>
      </c>
      <c r="G81" s="54" t="n">
        <f aca="false">G69+G71*Assumptions!$B$172</f>
        <v>0</v>
      </c>
      <c r="H81" s="54" t="n">
        <f aca="false">H69+H71*Assumptions!$B$172</f>
        <v>0</v>
      </c>
      <c r="I81" s="54" t="n">
        <f aca="false">I69+I71*Assumptions!$B$172</f>
        <v>0</v>
      </c>
      <c r="J81" s="54" t="n">
        <f aca="false">J69+J71*Assumptions!$B$172</f>
        <v>0</v>
      </c>
      <c r="K81" s="54" t="n">
        <f aca="false">K69+K71*Assumptions!$B$172</f>
        <v>0</v>
      </c>
      <c r="L81" s="54" t="n">
        <f aca="false">L69+L71*Assumptions!$B$172</f>
        <v>0</v>
      </c>
      <c r="M81" s="54" t="n">
        <f aca="false">M69+M71*Assumptions!$B$172</f>
        <v>0</v>
      </c>
      <c r="N81" s="54" t="n">
        <f aca="false">N69+N71*Assumptions!$B$172</f>
        <v>0</v>
      </c>
      <c r="O81" s="54" t="n">
        <f aca="false">O69+O71*Assumptions!$B$172</f>
        <v>32.2998</v>
      </c>
      <c r="P81" s="54" t="n">
        <f aca="false">P69+P71*Assumptions!$B$172</f>
        <v>63.6756019419133</v>
      </c>
      <c r="Q81" s="54" t="n">
        <f aca="false">Q69+Q71*Assumptions!$B$172</f>
        <v>94.3385992035249</v>
      </c>
      <c r="R81" s="54" t="n">
        <f aca="false">R69+R71*Assumptions!$B$172</f>
        <v>133.353696994396</v>
      </c>
      <c r="S81" s="54" t="n">
        <f aca="false">S69+S71*Assumptions!$B$172</f>
        <v>169.412826941844</v>
      </c>
      <c r="T81" s="54" t="n">
        <f aca="false">T69+T71*Assumptions!$B$172</f>
        <v>200.489847156658</v>
      </c>
      <c r="U81" s="54" t="n">
        <f aca="false">U69+U71*Assumptions!$B$172</f>
        <v>230.93323084383</v>
      </c>
      <c r="V81" s="54" t="n">
        <f aca="false">V69+V71*Assumptions!$B$172</f>
        <v>261.768107072877</v>
      </c>
      <c r="W81" s="54" t="n">
        <f aca="false">W69+W71*Assumptions!$B$172</f>
        <v>295.918297445999</v>
      </c>
      <c r="X81" s="54" t="n">
        <f aca="false">X69+X71*Assumptions!$B$172</f>
        <v>342.433479231272</v>
      </c>
      <c r="Y81" s="54" t="n">
        <f aca="false">Y69+Y71*Assumptions!$B$172</f>
        <v>386.06649737762</v>
      </c>
      <c r="Z81" s="54" t="n">
        <f aca="false">Z69+Z71*Assumptions!$B$172</f>
        <v>425.022232454659</v>
      </c>
      <c r="AA81" s="54" t="n">
        <f aca="false">AA69+AA71*Assumptions!$B$172</f>
        <v>1147.00612357903</v>
      </c>
      <c r="AB81" s="54" t="n">
        <f aca="false">AB69+AB71*Assumptions!$B$172</f>
        <v>2312.64655093822</v>
      </c>
      <c r="AC81" s="54" t="n">
        <f aca="false">AC69+AC71*Assumptions!$B$172</f>
        <v>4051.17808732195</v>
      </c>
      <c r="AD81" s="54" t="n">
        <f aca="false">AD69+AD71*Assumptions!$B$172</f>
        <v>6344.78712813392</v>
      </c>
      <c r="AE81" s="54" t="n">
        <f aca="false">AE69+AE71*Assumptions!$B$172</f>
        <v>9099.83679487772</v>
      </c>
    </row>
    <row r="82" customFormat="false" ht="15" hidden="false" customHeight="false" outlineLevel="0" collapsed="false">
      <c r="A82" s="6" t="s">
        <v>457</v>
      </c>
      <c r="B82" s="23" t="s">
        <v>190</v>
      </c>
      <c r="C82" s="45" t="n">
        <f aca="false">IF(C7&gt;1,C81*Assumptions!$B$134,IF(C2&gt;Assumptions!$B$135,INDEX($C$81:$AE$81,1,C2-Assumptions!$B$135)*Assumptions!$B$134,0))</f>
        <v>0</v>
      </c>
      <c r="D82" s="45" t="n">
        <f aca="false">IF(D7&gt;1,D81*Assumptions!$B$134,IF(D2&gt;Assumptions!$B$135,INDEX($C$81:$AE$81,1,D2-Assumptions!$B$135)*Assumptions!$B$134,0))</f>
        <v>0</v>
      </c>
      <c r="E82" s="45" t="n">
        <f aca="false">IF(E7&gt;1,E81*Assumptions!$B$134,IF(E2&gt;Assumptions!$B$135,INDEX($C$81:$AE$81,1,E2-Assumptions!$B$135)*Assumptions!$B$134,0))</f>
        <v>0</v>
      </c>
      <c r="F82" s="45" t="n">
        <f aca="false">IF(F7&gt;1,F81*Assumptions!$B$134,IF(F2&gt;Assumptions!$B$135,INDEX($C$81:$AE$81,1,F2-Assumptions!$B$135)*Assumptions!$B$134,0))</f>
        <v>0</v>
      </c>
      <c r="G82" s="45" t="n">
        <f aca="false">IF(G7&gt;1,G81*Assumptions!$B$134,IF(G2&gt;Assumptions!$B$135,INDEX($C$81:$AE$81,1,G2-Assumptions!$B$135)*Assumptions!$B$134,0))</f>
        <v>0</v>
      </c>
      <c r="H82" s="45" t="n">
        <f aca="false">IF(H7&gt;1,H81*Assumptions!$B$134,IF(H2&gt;Assumptions!$B$135,INDEX($C$81:$AE$81,1,H2-Assumptions!$B$135)*Assumptions!$B$134,0))</f>
        <v>0</v>
      </c>
      <c r="I82" s="45" t="n">
        <f aca="false">IF(I7&gt;1,I81*Assumptions!$B$134,IF(I2&gt;Assumptions!$B$135,INDEX($C$81:$AE$81,1,I2-Assumptions!$B$135)*Assumptions!$B$134,0))</f>
        <v>0</v>
      </c>
      <c r="J82" s="45" t="n">
        <f aca="false">IF(J7&gt;1,J81*Assumptions!$B$134,IF(J2&gt;Assumptions!$B$135,INDEX($C$81:$AE$81,1,J2-Assumptions!$B$135)*Assumptions!$B$134,0))</f>
        <v>0</v>
      </c>
      <c r="K82" s="45" t="n">
        <f aca="false">IF(K7&gt;1,K81*Assumptions!$B$134,IF(K2&gt;Assumptions!$B$135,INDEX($C$81:$AE$81,1,K2-Assumptions!$B$135)*Assumptions!$B$134,0))</f>
        <v>0</v>
      </c>
      <c r="L82" s="45" t="n">
        <f aca="false">IF(L7&gt;1,L81*Assumptions!$B$134,IF(L2&gt;Assumptions!$B$135,INDEX($C$81:$AE$81,1,L2-Assumptions!$B$135)*Assumptions!$B$134,0))</f>
        <v>0</v>
      </c>
      <c r="M82" s="45" t="n">
        <f aca="false">IF(M7&gt;1,M81*Assumptions!$B$134,IF(M2&gt;Assumptions!$B$135,INDEX($C$81:$AE$81,1,M2-Assumptions!$B$135)*Assumptions!$B$134,0))</f>
        <v>0</v>
      </c>
      <c r="N82" s="45" t="n">
        <f aca="false">IF(N7&gt;1,N81*Assumptions!$B$134,IF(N2&gt;Assumptions!$B$135,INDEX($C$81:$AE$81,1,N2-Assumptions!$B$135)*Assumptions!$B$134,0))</f>
        <v>0</v>
      </c>
      <c r="O82" s="45" t="n">
        <f aca="false">IF(O7&gt;1,O81*Assumptions!$B$134,IF(O2&gt;Assumptions!$B$135,INDEX($C$81:$AE$81,1,O2-Assumptions!$B$135)*Assumptions!$B$134,0))</f>
        <v>0</v>
      </c>
      <c r="P82" s="45" t="n">
        <f aca="false">IF(P7&gt;1,P81*Assumptions!$B$134,IF(P2&gt;Assumptions!$B$135,INDEX($C$81:$AE$81,1,P2-Assumptions!$B$135)*Assumptions!$B$134,0))</f>
        <v>0</v>
      </c>
      <c r="Q82" s="45" t="n">
        <f aca="false">IF(Q7&gt;1,Q81*Assumptions!$B$134,IF(Q2&gt;Assumptions!$B$135,INDEX($C$81:$AE$81,1,Q2-Assumptions!$B$135)*Assumptions!$B$134,0))</f>
        <v>0</v>
      </c>
      <c r="R82" s="45" t="n">
        <f aca="false">IF(R7&gt;1,R81*Assumptions!$B$134,IF(R2&gt;Assumptions!$B$135,INDEX($C$81:$AE$81,1,R2-Assumptions!$B$135)*Assumptions!$B$134,0))</f>
        <v>0</v>
      </c>
      <c r="S82" s="45" t="n">
        <f aca="false">IF(S7&gt;1,S81*Assumptions!$B$134,IF(S2&gt;Assumptions!$B$135,INDEX($C$81:$AE$81,1,S2-Assumptions!$B$135)*Assumptions!$B$134,0))</f>
        <v>0</v>
      </c>
      <c r="T82" s="45" t="n">
        <f aca="false">IF(T7&gt;1,T81*Assumptions!$B$134,IF(T2&gt;Assumptions!$B$135,INDEX($C$81:$AE$81,1,T2-Assumptions!$B$135)*Assumptions!$B$134,0))</f>
        <v>0</v>
      </c>
      <c r="U82" s="45" t="n">
        <f aca="false">IF(U7&gt;1,U81*Assumptions!$B$134,IF(U2&gt;Assumptions!$B$135,INDEX($C$81:$AE$81,1,U2-Assumptions!$B$135)*Assumptions!$B$134,0))</f>
        <v>0</v>
      </c>
      <c r="V82" s="45" t="n">
        <f aca="false">IF(V7&gt;1,V81*Assumptions!$B$134,IF(V2&gt;Assumptions!$B$135,INDEX($C$81:$AE$81,1,V2-Assumptions!$B$135)*Assumptions!$B$134,0))</f>
        <v>0</v>
      </c>
      <c r="W82" s="45" t="n">
        <f aca="false">IF(W7&gt;1,W81*Assumptions!$B$134,IF(W2&gt;Assumptions!$B$135,INDEX($C$81:$AE$81,1,W2-Assumptions!$B$135)*Assumptions!$B$134,0))</f>
        <v>17.76489</v>
      </c>
      <c r="X82" s="45" t="n">
        <f aca="false">IF(X7&gt;1,X81*Assumptions!$B$134,IF(X2&gt;Assumptions!$B$135,INDEX($C$81:$AE$81,1,X2-Assumptions!$B$135)*Assumptions!$B$134,0))</f>
        <v>35.0215810680523</v>
      </c>
      <c r="Y82" s="45" t="n">
        <f aca="false">IF(Y7&gt;1,Y81*Assumptions!$B$134,IF(Y2&gt;Assumptions!$B$135,INDEX($C$81:$AE$81,1,Y2-Assumptions!$B$135)*Assumptions!$B$134,0))</f>
        <v>51.8862295619387</v>
      </c>
      <c r="Z82" s="45" t="n">
        <f aca="false">IF(Z7&gt;1,Z81*Assumptions!$B$134,IF(Z2&gt;Assumptions!$B$135,INDEX($C$81:$AE$81,1,Z2-Assumptions!$B$135)*Assumptions!$B$134,0))</f>
        <v>73.3445333469179</v>
      </c>
      <c r="AA82" s="45" t="n">
        <f aca="false">IF(AA7&gt;1,AA81*Assumptions!$B$134,IF(AA2&gt;Assumptions!$B$135,INDEX($C$81:$AE$81,1,AA2-Assumptions!$B$135)*Assumptions!$B$134,0))</f>
        <v>630.853367968467</v>
      </c>
      <c r="AB82" s="45" t="n">
        <f aca="false">IF(AB7&gt;1,AB81*Assumptions!$B$134,IF(AB2&gt;Assumptions!$B$135,INDEX($C$81:$AE$81,1,AB2-Assumptions!$B$135)*Assumptions!$B$134,0))</f>
        <v>1271.95560301602</v>
      </c>
      <c r="AC82" s="45" t="n">
        <f aca="false">IF(AC7&gt;1,AC81*Assumptions!$B$134,IF(AC2&gt;Assumptions!$B$135,INDEX($C$81:$AE$81,1,AC2-Assumptions!$B$135)*Assumptions!$B$134,0))</f>
        <v>2228.14794802708</v>
      </c>
      <c r="AD82" s="45" t="n">
        <f aca="false">IF(AD7&gt;1,AD81*Assumptions!$B$134,IF(AD2&gt;Assumptions!$B$135,INDEX($C$81:$AE$81,1,AD2-Assumptions!$B$135)*Assumptions!$B$134,0))</f>
        <v>3489.63292047366</v>
      </c>
      <c r="AE82" s="45" t="n">
        <f aca="false">IF(AE7&gt;1,AE81*Assumptions!$B$134,IF(AE2&gt;Assumptions!$B$135,INDEX($C$81:$AE$81,1,AE2-Assumptions!$B$135)*Assumptions!$B$134,0))</f>
        <v>5004.91023718275</v>
      </c>
    </row>
    <row r="83" customFormat="false" ht="15" hidden="false" customHeight="false" outlineLevel="0" collapsed="false">
      <c r="A83" s="6" t="s">
        <v>458</v>
      </c>
      <c r="B83" s="23" t="s">
        <v>459</v>
      </c>
      <c r="C83" s="28" t="n">
        <f aca="false">IF(C2&gt;=Assumptions!$B$51,C82*Assumptions!$B$143,0)</f>
        <v>0</v>
      </c>
      <c r="D83" s="28" t="n">
        <f aca="false">IF(D2&gt;=Assumptions!$B$51,D82*Assumptions!$B$143,0)</f>
        <v>0</v>
      </c>
      <c r="E83" s="28" t="n">
        <f aca="false">IF(E2&gt;=Assumptions!$B$51,E82*Assumptions!$B$143,0)</f>
        <v>0</v>
      </c>
      <c r="F83" s="28" t="n">
        <f aca="false">IF(F2&gt;=Assumptions!$B$51,F82*Assumptions!$B$143,0)</f>
        <v>0</v>
      </c>
      <c r="G83" s="28" t="n">
        <f aca="false">IF(G2&gt;=Assumptions!$B$51,G82*Assumptions!$B$143,0)</f>
        <v>0</v>
      </c>
      <c r="H83" s="28" t="n">
        <f aca="false">IF(H2&gt;=Assumptions!$B$51,H82*Assumptions!$B$143,0)</f>
        <v>0</v>
      </c>
      <c r="I83" s="28" t="n">
        <f aca="false">IF(I2&gt;=Assumptions!$B$51,I82*Assumptions!$B$143,0)</f>
        <v>0</v>
      </c>
      <c r="J83" s="28" t="n">
        <f aca="false">IF(J2&gt;=Assumptions!$B$51,J82*Assumptions!$B$143,0)</f>
        <v>0</v>
      </c>
      <c r="K83" s="28" t="n">
        <f aca="false">IF(K2&gt;=Assumptions!$B$51,K82*Assumptions!$B$143,0)</f>
        <v>0</v>
      </c>
      <c r="L83" s="28" t="n">
        <f aca="false">IF(L2&gt;=Assumptions!$B$51,L82*Assumptions!$B$143,0)</f>
        <v>0</v>
      </c>
      <c r="M83" s="28" t="n">
        <f aca="false">IF(M2&gt;=Assumptions!$B$51,M82*Assumptions!$B$143,0)</f>
        <v>0</v>
      </c>
      <c r="N83" s="28" t="n">
        <f aca="false">IF(N2&gt;=Assumptions!$B$51,N82*Assumptions!$B$143,0)</f>
        <v>0</v>
      </c>
      <c r="O83" s="28" t="n">
        <f aca="false">IF(O2&gt;=Assumptions!$B$51,O82*Assumptions!$B$143,0)</f>
        <v>0</v>
      </c>
      <c r="P83" s="28" t="n">
        <f aca="false">IF(P2&gt;=Assumptions!$B$51,P82*Assumptions!$B$143,0)</f>
        <v>0</v>
      </c>
      <c r="Q83" s="28" t="n">
        <f aca="false">IF(Q2&gt;=Assumptions!$B$51,Q82*Assumptions!$B$143,0)</f>
        <v>0</v>
      </c>
      <c r="R83" s="28" t="n">
        <f aca="false">IF(R2&gt;=Assumptions!$B$51,R82*Assumptions!$B$143,0)</f>
        <v>0</v>
      </c>
      <c r="S83" s="28" t="n">
        <f aca="false">IF(S2&gt;=Assumptions!$B$51,S82*Assumptions!$B$143,0)</f>
        <v>0</v>
      </c>
      <c r="T83" s="28" t="n">
        <f aca="false">IF(T2&gt;=Assumptions!$B$51,T82*Assumptions!$B$143,0)</f>
        <v>0</v>
      </c>
      <c r="U83" s="28" t="n">
        <f aca="false">IF(U2&gt;=Assumptions!$B$51,U82*Assumptions!$B$143,0)</f>
        <v>0</v>
      </c>
      <c r="V83" s="28" t="n">
        <f aca="false">IF(V2&gt;=Assumptions!$B$51,V82*Assumptions!$B$143,0)</f>
        <v>0</v>
      </c>
      <c r="W83" s="28" t="n">
        <f aca="false">IF(W2&gt;=Assumptions!$B$51,W82*Assumptions!$B$143,0)</f>
        <v>3.1976802</v>
      </c>
      <c r="X83" s="28" t="n">
        <f aca="false">IF(X2&gt;=Assumptions!$B$51,X82*Assumptions!$B$143,0)</f>
        <v>6.30388459224941</v>
      </c>
      <c r="Y83" s="28" t="n">
        <f aca="false">IF(Y2&gt;=Assumptions!$B$51,Y82*Assumptions!$B$143,0)</f>
        <v>9.33952132114896</v>
      </c>
      <c r="Z83" s="28" t="n">
        <f aca="false">IF(Z2&gt;=Assumptions!$B$51,Z82*Assumptions!$B$143,0)</f>
        <v>13.2020160024452</v>
      </c>
      <c r="AA83" s="28" t="n">
        <f aca="false">IF(AA2&gt;=Assumptions!$B$51,AA82*Assumptions!$B$143,0)</f>
        <v>113.553606234324</v>
      </c>
      <c r="AB83" s="28" t="n">
        <f aca="false">IF(AB2&gt;=Assumptions!$B$51,AB82*Assumptions!$B$143,0)</f>
        <v>228.952008542884</v>
      </c>
      <c r="AC83" s="28" t="n">
        <f aca="false">IF(AC2&gt;=Assumptions!$B$51,AC82*Assumptions!$B$143,0)</f>
        <v>401.066630644874</v>
      </c>
      <c r="AD83" s="28" t="n">
        <f aca="false">IF(AD2&gt;=Assumptions!$B$51,AD82*Assumptions!$B$143,0)</f>
        <v>628.133925685258</v>
      </c>
      <c r="AE83" s="28" t="n">
        <f aca="false">IF(AE2&gt;=Assumptions!$B$51,AE82*Assumptions!$B$143,0)</f>
        <v>900.883842692895</v>
      </c>
    </row>
    <row r="84" customFormat="false" ht="15" hidden="false" customHeight="false" outlineLevel="0" collapsed="false">
      <c r="A84" s="6" t="s">
        <v>460</v>
      </c>
      <c r="B84" s="23" t="s">
        <v>114</v>
      </c>
      <c r="C84" s="55" t="n">
        <f aca="false">IF(C69=0,0,C80/C69*Assumptions!$B$31)</f>
        <v>0</v>
      </c>
      <c r="D84" s="55" t="n">
        <f aca="false">IF(D69=0,0,D80/D69*Assumptions!$B$31)</f>
        <v>0</v>
      </c>
      <c r="E84" s="55" t="n">
        <f aca="false">IF(E69=0,0,E80/E69*Assumptions!$B$31)</f>
        <v>0</v>
      </c>
      <c r="F84" s="55" t="n">
        <f aca="false">IF(F69=0,0,F80/F69*Assumptions!$B$31)</f>
        <v>0</v>
      </c>
      <c r="G84" s="55" t="n">
        <f aca="false">IF(G69=0,0,G80/G69*Assumptions!$B$31)</f>
        <v>0</v>
      </c>
      <c r="H84" s="55" t="n">
        <f aca="false">IF(H69=0,0,H80/H69*Assumptions!$B$31)</f>
        <v>0</v>
      </c>
      <c r="I84" s="55" t="n">
        <f aca="false">IF(I69=0,0,I80/I69*Assumptions!$B$31)</f>
        <v>0</v>
      </c>
      <c r="J84" s="55" t="n">
        <f aca="false">IF(J69=0,0,J80/J69*Assumptions!$B$31)</f>
        <v>0</v>
      </c>
      <c r="K84" s="55" t="n">
        <f aca="false">IF(K69=0,0,K80/K69*Assumptions!$B$31)</f>
        <v>0</v>
      </c>
      <c r="L84" s="55" t="n">
        <f aca="false">IF(L69=0,0,L80/L69*Assumptions!$B$31)</f>
        <v>0</v>
      </c>
      <c r="M84" s="55" t="n">
        <f aca="false">IF(M69=0,0,M80/M69*Assumptions!$B$31)</f>
        <v>0</v>
      </c>
      <c r="N84" s="55" t="n">
        <f aca="false">IF(N69=0,0,N80/N69*Assumptions!$B$31)</f>
        <v>0</v>
      </c>
      <c r="O84" s="55" t="n">
        <f aca="false">IF(O69=0,0,O80/O69*Assumptions!$B$31)</f>
        <v>13.1287972085386</v>
      </c>
      <c r="P84" s="55" t="n">
        <f aca="false">IF(P69=0,0,P80/P69*Assumptions!$B$31)</f>
        <v>19.8403194077311</v>
      </c>
      <c r="Q84" s="55" t="n">
        <f aca="false">IF(Q69=0,0,Q80/Q69*Assumptions!$B$31)</f>
        <v>26.6212276604161</v>
      </c>
      <c r="R84" s="55" t="n">
        <f aca="false">IF(R69=0,0,R80/R69*Assumptions!$B$31)</f>
        <v>32.0006189080139</v>
      </c>
      <c r="S84" s="55" t="n">
        <f aca="false">IF(S69=0,0,S80/S69*Assumptions!$B$31)</f>
        <v>38.4570671900833</v>
      </c>
      <c r="T84" s="55" t="n">
        <f aca="false">IF(T69=0,0,T80/T69*Assumptions!$B$31)</f>
        <v>45.9008583373686</v>
      </c>
      <c r="U84" s="55" t="n">
        <f aca="false">IF(U69=0,0,U80/U69*Assumptions!$B$31)</f>
        <v>53.2899189809935</v>
      </c>
      <c r="V84" s="55" t="n">
        <f aca="false">IF(V69=0,0,V80/V69*Assumptions!$B$31)</f>
        <v>60.4511528886769</v>
      </c>
      <c r="W84" s="55" t="n">
        <f aca="false">IF(W69=0,0,W80/W69*Assumptions!$B$31)</f>
        <v>66.7906312797317</v>
      </c>
      <c r="X84" s="55" t="n">
        <f aca="false">IF(X69=0,0,X80/X69*Assumptions!$B$31)</f>
        <v>70.5544087242416</v>
      </c>
      <c r="Y84" s="55" t="n">
        <f aca="false">IF(Y69=0,0,Y80/Y69*Assumptions!$B$31)</f>
        <v>75.6437204540875</v>
      </c>
      <c r="Z84" s="55" t="n">
        <f aca="false">IF(Z69=0,0,Z80/Z69*Assumptions!$B$31)</f>
        <v>82.0321545088143</v>
      </c>
      <c r="AA84" s="55" t="n">
        <f aca="false">IF(AA69=0,0,AA80/AA69*Assumptions!$B$31)</f>
        <v>188.35079253247</v>
      </c>
      <c r="AB84" s="55" t="n">
        <f aca="false">IF(AB69=0,0,AB80/AB69*Assumptions!$B$31)</f>
        <v>244.995285598736</v>
      </c>
      <c r="AC84" s="55" t="n">
        <f aca="false">IF(AC69=0,0,AC80/AC69*Assumptions!$B$31)</f>
        <v>283.773008864667</v>
      </c>
      <c r="AD84" s="55" t="n">
        <f aca="false">IF(AD69=0,0,AD80/AD69*Assumptions!$B$31)</f>
        <v>320.037832259637</v>
      </c>
      <c r="AE84" s="55" t="n">
        <f aca="false">IF(AE69=0,0,AE80/AE69*Assumptions!$B$31)</f>
        <v>357.679093579642</v>
      </c>
    </row>
    <row r="85" customFormat="false" ht="15" hidden="false" customHeight="false" outlineLevel="0" collapsed="false">
      <c r="A85" s="6" t="s">
        <v>461</v>
      </c>
      <c r="B85" s="23" t="s">
        <v>76</v>
      </c>
      <c r="C85" s="55" t="n">
        <f aca="false">C84*Assumptions!$B$156*Assumptions!$B$158</f>
        <v>0</v>
      </c>
      <c r="D85" s="55" t="n">
        <f aca="false">D84*Assumptions!$B$156*Assumptions!$B$158</f>
        <v>0</v>
      </c>
      <c r="E85" s="55" t="n">
        <f aca="false">E84*Assumptions!$B$156*Assumptions!$B$158</f>
        <v>0</v>
      </c>
      <c r="F85" s="55" t="n">
        <f aca="false">F84*Assumptions!$B$156*Assumptions!$B$158</f>
        <v>0</v>
      </c>
      <c r="G85" s="55" t="n">
        <f aca="false">G84*Assumptions!$B$156*Assumptions!$B$158</f>
        <v>0</v>
      </c>
      <c r="H85" s="55" t="n">
        <f aca="false">H84*Assumptions!$B$156*Assumptions!$B$158</f>
        <v>0</v>
      </c>
      <c r="I85" s="55" t="n">
        <f aca="false">I84*Assumptions!$B$156*Assumptions!$B$158</f>
        <v>0</v>
      </c>
      <c r="J85" s="55" t="n">
        <f aca="false">J84*Assumptions!$B$156*Assumptions!$B$158</f>
        <v>0</v>
      </c>
      <c r="K85" s="55" t="n">
        <f aca="false">K84*Assumptions!$B$156*Assumptions!$B$158</f>
        <v>0</v>
      </c>
      <c r="L85" s="55" t="n">
        <f aca="false">L84*Assumptions!$B$156*Assumptions!$B$158</f>
        <v>0</v>
      </c>
      <c r="M85" s="55" t="n">
        <f aca="false">M84*Assumptions!$B$156*Assumptions!$B$158</f>
        <v>0</v>
      </c>
      <c r="N85" s="55" t="n">
        <f aca="false">N84*Assumptions!$B$156*Assumptions!$B$158</f>
        <v>0</v>
      </c>
      <c r="O85" s="55" t="n">
        <f aca="false">O84*Assumptions!$B$156*Assumptions!$B$158</f>
        <v>13.7852370689655</v>
      </c>
      <c r="P85" s="55" t="n">
        <f aca="false">P84*Assumptions!$B$156*Assumptions!$B$158</f>
        <v>20.8323353781176</v>
      </c>
      <c r="Q85" s="55" t="n">
        <f aca="false">Q84*Assumptions!$B$156*Assumptions!$B$158</f>
        <v>27.9522890434369</v>
      </c>
      <c r="R85" s="55" t="n">
        <f aca="false">R84*Assumptions!$B$156*Assumptions!$B$158</f>
        <v>33.6006498534146</v>
      </c>
      <c r="S85" s="55" t="n">
        <f aca="false">S84*Assumptions!$B$156*Assumptions!$B$158</f>
        <v>40.3799205495875</v>
      </c>
      <c r="T85" s="55" t="n">
        <f aca="false">T84*Assumptions!$B$156*Assumptions!$B$158</f>
        <v>48.195901254237</v>
      </c>
      <c r="U85" s="55" t="n">
        <f aca="false">U84*Assumptions!$B$156*Assumptions!$B$158</f>
        <v>55.9544149300432</v>
      </c>
      <c r="V85" s="55" t="n">
        <f aca="false">V84*Assumptions!$B$156*Assumptions!$B$158</f>
        <v>63.4737105331107</v>
      </c>
      <c r="W85" s="55" t="n">
        <f aca="false">W84*Assumptions!$B$156*Assumptions!$B$158</f>
        <v>70.1301628437183</v>
      </c>
      <c r="X85" s="55" t="n">
        <f aca="false">X84*Assumptions!$B$156*Assumptions!$B$158</f>
        <v>74.0821291604536</v>
      </c>
      <c r="Y85" s="55" t="n">
        <f aca="false">Y84*Assumptions!$B$156*Assumptions!$B$158</f>
        <v>79.4259064767919</v>
      </c>
      <c r="Z85" s="55" t="n">
        <f aca="false">Z84*Assumptions!$B$156*Assumptions!$B$158</f>
        <v>86.133762234255</v>
      </c>
      <c r="AA85" s="55" t="n">
        <f aca="false">AA84*Assumptions!$B$156*Assumptions!$B$158</f>
        <v>197.768332159094</v>
      </c>
      <c r="AB85" s="55" t="n">
        <f aca="false">AB84*Assumptions!$B$156*Assumptions!$B$158</f>
        <v>257.245049878673</v>
      </c>
      <c r="AC85" s="55" t="n">
        <f aca="false">AC84*Assumptions!$B$156*Assumptions!$B$158</f>
        <v>297.961659307901</v>
      </c>
      <c r="AD85" s="55" t="n">
        <f aca="false">AD84*Assumptions!$B$156*Assumptions!$B$158</f>
        <v>336.039723872619</v>
      </c>
      <c r="AE85" s="55" t="n">
        <f aca="false">AE84*Assumptions!$B$156*Assumptions!$B$158</f>
        <v>375.563048258624</v>
      </c>
    </row>
    <row r="86" customFormat="false" ht="15" hidden="false" customHeight="false" outlineLevel="0" collapsed="false">
      <c r="A86" s="6" t="s">
        <v>462</v>
      </c>
      <c r="B86" s="23" t="s">
        <v>114</v>
      </c>
      <c r="C86" s="55" t="n">
        <f aca="false">C85/12*C16</f>
        <v>0</v>
      </c>
      <c r="D86" s="55" t="n">
        <f aca="false">D85/12*D16</f>
        <v>0</v>
      </c>
      <c r="E86" s="55" t="n">
        <f aca="false">E85/12*E16</f>
        <v>0</v>
      </c>
      <c r="F86" s="55" t="n">
        <f aca="false">F85/12*F16</f>
        <v>0</v>
      </c>
      <c r="G86" s="55" t="n">
        <f aca="false">G85/12*G16</f>
        <v>0</v>
      </c>
      <c r="H86" s="55" t="n">
        <f aca="false">H85/12*H16</f>
        <v>0</v>
      </c>
      <c r="I86" s="55" t="n">
        <f aca="false">I85/12*I16</f>
        <v>0</v>
      </c>
      <c r="J86" s="55" t="n">
        <f aca="false">J85/12*J16</f>
        <v>0</v>
      </c>
      <c r="K86" s="55" t="n">
        <f aca="false">K85/12*K16</f>
        <v>0</v>
      </c>
      <c r="L86" s="55" t="n">
        <f aca="false">L85/12*L16</f>
        <v>0</v>
      </c>
      <c r="M86" s="55" t="n">
        <f aca="false">M85/12*M16</f>
        <v>0</v>
      </c>
      <c r="N86" s="55" t="n">
        <f aca="false">N85/12*N16</f>
        <v>0</v>
      </c>
      <c r="O86" s="55" t="n">
        <f aca="false">O85/12*O16</f>
        <v>1.26364673132184</v>
      </c>
      <c r="P86" s="55" t="n">
        <f aca="false">P85/12*P16</f>
        <v>1.73602794817647</v>
      </c>
      <c r="Q86" s="55" t="n">
        <f aca="false">Q85/12*Q16</f>
        <v>2.28277027188068</v>
      </c>
      <c r="R86" s="55" t="n">
        <f aca="false">R85/12*R16</f>
        <v>2.7440530713622</v>
      </c>
      <c r="S86" s="55" t="n">
        <f aca="false">S85/12*S16</f>
        <v>3.36499337913229</v>
      </c>
      <c r="T86" s="55" t="n">
        <f aca="false">T85/12*T16</f>
        <v>3.81550884929376</v>
      </c>
      <c r="U86" s="55" t="n">
        <f aca="false">U85/12*U16</f>
        <v>4.1033237615365</v>
      </c>
      <c r="V86" s="55" t="n">
        <f aca="false">V85/12*V16</f>
        <v>4.76052828998331</v>
      </c>
      <c r="W86" s="55" t="n">
        <f aca="false">W85/12*W16</f>
        <v>5.84418023697652</v>
      </c>
      <c r="X86" s="55" t="n">
        <f aca="false">X85/12*X16</f>
        <v>6.29698097863856</v>
      </c>
      <c r="Y86" s="55" t="n">
        <f aca="false">Y85/12*Y16</f>
        <v>6.94976681671929</v>
      </c>
      <c r="Z86" s="55" t="n">
        <f aca="false">Z85/12*Z16</f>
        <v>8.18270741225423</v>
      </c>
      <c r="AA86" s="55" t="n">
        <f aca="false">AA85/12*AA16</f>
        <v>16.4806943465912</v>
      </c>
      <c r="AB86" s="55" t="n">
        <f aca="false">AB85/12*AB16</f>
        <v>21.4370874898894</v>
      </c>
      <c r="AC86" s="55" t="n">
        <f aca="false">AC85/12*AC16</f>
        <v>24.8301382756584</v>
      </c>
      <c r="AD86" s="55" t="n">
        <f aca="false">AD85/12*AD16</f>
        <v>28.0033103227182</v>
      </c>
      <c r="AE86" s="55" t="n">
        <f aca="false">AE85/12*AE16</f>
        <v>31.2969206882187</v>
      </c>
    </row>
    <row r="87" customFormat="false" ht="15" hidden="false" customHeight="false" outlineLevel="0" collapsed="false">
      <c r="A87" s="6" t="s">
        <v>463</v>
      </c>
      <c r="B87" s="23" t="s">
        <v>464</v>
      </c>
      <c r="C87" s="45" t="n">
        <f aca="false">C83*C86*Assumptions!$B$7*C7</f>
        <v>0</v>
      </c>
      <c r="D87" s="45" t="n">
        <f aca="false">D83*D86*Assumptions!$B$7*D7</f>
        <v>0</v>
      </c>
      <c r="E87" s="45" t="n">
        <f aca="false">E83*E86*Assumptions!$B$7*E7</f>
        <v>0</v>
      </c>
      <c r="F87" s="45" t="n">
        <f aca="false">F83*F86*Assumptions!$B$7*F7</f>
        <v>0</v>
      </c>
      <c r="G87" s="45" t="n">
        <f aca="false">G83*G86*Assumptions!$B$7*G7</f>
        <v>0</v>
      </c>
      <c r="H87" s="45" t="n">
        <f aca="false">H83*H86*Assumptions!$B$7*H7</f>
        <v>0</v>
      </c>
      <c r="I87" s="45" t="n">
        <f aca="false">I83*I86*Assumptions!$B$7*I7</f>
        <v>0</v>
      </c>
      <c r="J87" s="45" t="n">
        <f aca="false">J83*J86*Assumptions!$B$7*J7</f>
        <v>0</v>
      </c>
      <c r="K87" s="45" t="n">
        <f aca="false">K83*K86*Assumptions!$B$7*K7</f>
        <v>0</v>
      </c>
      <c r="L87" s="45" t="n">
        <f aca="false">L83*L86*Assumptions!$B$7*L7</f>
        <v>0</v>
      </c>
      <c r="M87" s="45" t="n">
        <f aca="false">M83*M86*Assumptions!$B$7*M7</f>
        <v>0</v>
      </c>
      <c r="N87" s="45" t="n">
        <f aca="false">N83*N86*Assumptions!$B$7*N7</f>
        <v>0</v>
      </c>
      <c r="O87" s="45" t="n">
        <f aca="false">O83*O86*Assumptions!$B$7*O7</f>
        <v>0</v>
      </c>
      <c r="P87" s="45" t="n">
        <f aca="false">P83*P86*Assumptions!$B$7*P7</f>
        <v>0</v>
      </c>
      <c r="Q87" s="45" t="n">
        <f aca="false">Q83*Q86*Assumptions!$B$7*Q7</f>
        <v>0</v>
      </c>
      <c r="R87" s="45" t="n">
        <f aca="false">R83*R86*Assumptions!$B$7*R7</f>
        <v>0</v>
      </c>
      <c r="S87" s="45" t="n">
        <f aca="false">S83*S86*Assumptions!$B$7*S7</f>
        <v>0</v>
      </c>
      <c r="T87" s="45" t="n">
        <f aca="false">T83*T86*Assumptions!$B$7*T7</f>
        <v>0</v>
      </c>
      <c r="U87" s="45" t="n">
        <f aca="false">U83*U86*Assumptions!$B$7*U7</f>
        <v>0</v>
      </c>
      <c r="V87" s="45" t="n">
        <f aca="false">V83*V86*Assumptions!$B$7*V7</f>
        <v>0</v>
      </c>
      <c r="W87" s="45" t="n">
        <f aca="false">W83*W86*Assumptions!$B$7*W7</f>
        <v>68.6310168530434</v>
      </c>
      <c r="X87" s="45" t="n">
        <f aca="false">X83*X86*Assumptions!$B$7*X7</f>
        <v>145.781508427385</v>
      </c>
      <c r="Y87" s="45" t="n">
        <f aca="false">Y83*Y86*Assumptions!$B$7*Y7</f>
        <v>238.372776716076</v>
      </c>
      <c r="Z87" s="45" t="n">
        <f aca="false">Z83*Z86*Assumptions!$B$7*Z7</f>
        <v>396.73369009916</v>
      </c>
      <c r="AA87" s="45" t="n">
        <f aca="false">AA83*AA86*Assumptions!$B$7*AA7</f>
        <v>82474.4611165878</v>
      </c>
      <c r="AB87" s="45" t="n">
        <f aca="false">AB83*AB86*Assumptions!$B$7*AB7</f>
        <v>216298.390973935</v>
      </c>
      <c r="AC87" s="45" t="n">
        <f aca="false">AC83*AC86*Assumptions!$B$7*AC7</f>
        <v>438872.85324601</v>
      </c>
      <c r="AD87" s="45" t="n">
        <f aca="false">AD83*AD86*Assumptions!$B$7*AD7</f>
        <v>775183.77483559</v>
      </c>
      <c r="AE87" s="45" t="n">
        <f aca="false">AE83*AE86*Assumptions!$B$7*AE7</f>
        <v>1242548.8099707</v>
      </c>
    </row>
    <row r="88" customFormat="false" ht="15" hidden="false" customHeight="false" outlineLevel="0" collapsed="false">
      <c r="A88" s="6" t="s">
        <v>463</v>
      </c>
      <c r="B88" s="23" t="s">
        <v>114</v>
      </c>
      <c r="C88" s="55" t="n">
        <f aca="false">C87/Assumptions!$B$7</f>
        <v>0</v>
      </c>
      <c r="D88" s="55" t="n">
        <f aca="false">D87/Assumptions!$B$7</f>
        <v>0</v>
      </c>
      <c r="E88" s="55" t="n">
        <f aca="false">E87/Assumptions!$B$7</f>
        <v>0</v>
      </c>
      <c r="F88" s="55" t="n">
        <f aca="false">F87/Assumptions!$B$7</f>
        <v>0</v>
      </c>
      <c r="G88" s="55" t="n">
        <f aca="false">G87/Assumptions!$B$7</f>
        <v>0</v>
      </c>
      <c r="H88" s="55" t="n">
        <f aca="false">H87/Assumptions!$B$7</f>
        <v>0</v>
      </c>
      <c r="I88" s="55" t="n">
        <f aca="false">I87/Assumptions!$B$7</f>
        <v>0</v>
      </c>
      <c r="J88" s="55" t="n">
        <f aca="false">J87/Assumptions!$B$7</f>
        <v>0</v>
      </c>
      <c r="K88" s="55" t="n">
        <f aca="false">K87/Assumptions!$B$7</f>
        <v>0</v>
      </c>
      <c r="L88" s="55" t="n">
        <f aca="false">L87/Assumptions!$B$7</f>
        <v>0</v>
      </c>
      <c r="M88" s="55" t="n">
        <f aca="false">M87/Assumptions!$B$7</f>
        <v>0</v>
      </c>
      <c r="N88" s="55" t="n">
        <f aca="false">N87/Assumptions!$B$7</f>
        <v>0</v>
      </c>
      <c r="O88" s="55" t="n">
        <f aca="false">O87/Assumptions!$B$7</f>
        <v>0</v>
      </c>
      <c r="P88" s="55" t="n">
        <f aca="false">P87/Assumptions!$B$7</f>
        <v>0</v>
      </c>
      <c r="Q88" s="55" t="n">
        <f aca="false">Q87/Assumptions!$B$7</f>
        <v>0</v>
      </c>
      <c r="R88" s="55" t="n">
        <f aca="false">R87/Assumptions!$B$7</f>
        <v>0</v>
      </c>
      <c r="S88" s="55" t="n">
        <f aca="false">S87/Assumptions!$B$7</f>
        <v>0</v>
      </c>
      <c r="T88" s="55" t="n">
        <f aca="false">T87/Assumptions!$B$7</f>
        <v>0</v>
      </c>
      <c r="U88" s="55" t="n">
        <f aca="false">U87/Assumptions!$B$7</f>
        <v>0</v>
      </c>
      <c r="V88" s="55" t="n">
        <f aca="false">V87/Assumptions!$B$7</f>
        <v>0</v>
      </c>
      <c r="W88" s="55" t="n">
        <f aca="false">W87/Assumptions!$B$7</f>
        <v>18.6878194290111</v>
      </c>
      <c r="X88" s="55" t="n">
        <f aca="false">X87/Assumptions!$B$7</f>
        <v>39.6954413689272</v>
      </c>
      <c r="Y88" s="55" t="n">
        <f aca="false">Y87/Assumptions!$B$7</f>
        <v>64.9074953617634</v>
      </c>
      <c r="Z88" s="55" t="n">
        <f aca="false">Z87/Assumptions!$B$7</f>
        <v>108.028234199907</v>
      </c>
      <c r="AA88" s="55" t="n">
        <f aca="false">AA87/Assumptions!$B$7</f>
        <v>22457.3073156128</v>
      </c>
      <c r="AB88" s="55" t="n">
        <f aca="false">AB87/Assumptions!$B$7</f>
        <v>58896.7708574365</v>
      </c>
      <c r="AC88" s="55" t="n">
        <f aca="false">AC87/Assumptions!$B$7</f>
        <v>119502.478759975</v>
      </c>
      <c r="AD88" s="55" t="n">
        <f aca="false">AD87/Assumptions!$B$7</f>
        <v>211077.950942298</v>
      </c>
      <c r="AE88" s="55" t="n">
        <f aca="false">AE87/Assumptions!$B$7</f>
        <v>338338.682088686</v>
      </c>
    </row>
    <row r="89" customFormat="false" ht="15" hidden="false" customHeight="false" outlineLevel="0" collapsed="false">
      <c r="A89" s="6" t="s">
        <v>465</v>
      </c>
      <c r="B89" s="23" t="s">
        <v>464</v>
      </c>
      <c r="C89" s="45" t="n">
        <f aca="false">IF(Assumptions!$B$144=0,0,C84*Assumptions!$B$156*Assumptions!$B$7/Assumptions!$B$144)</f>
        <v>0</v>
      </c>
      <c r="D89" s="45" t="n">
        <f aca="false">IF(Assumptions!$B$144=0,0,D84*Assumptions!$B$156*Assumptions!$B$7/Assumptions!$B$144)</f>
        <v>0</v>
      </c>
      <c r="E89" s="45" t="n">
        <f aca="false">IF(Assumptions!$B$144=0,0,E84*Assumptions!$B$156*Assumptions!$B$7/Assumptions!$B$144)</f>
        <v>0</v>
      </c>
      <c r="F89" s="45" t="n">
        <f aca="false">IF(Assumptions!$B$144=0,0,F84*Assumptions!$B$156*Assumptions!$B$7/Assumptions!$B$144)</f>
        <v>0</v>
      </c>
      <c r="G89" s="45" t="n">
        <f aca="false">IF(Assumptions!$B$144=0,0,G84*Assumptions!$B$156*Assumptions!$B$7/Assumptions!$B$144)</f>
        <v>0</v>
      </c>
      <c r="H89" s="45" t="n">
        <f aca="false">IF(Assumptions!$B$144=0,0,H84*Assumptions!$B$156*Assumptions!$B$7/Assumptions!$B$144)</f>
        <v>0</v>
      </c>
      <c r="I89" s="45" t="n">
        <f aca="false">IF(Assumptions!$B$144=0,0,I84*Assumptions!$B$156*Assumptions!$B$7/Assumptions!$B$144)</f>
        <v>0</v>
      </c>
      <c r="J89" s="45" t="n">
        <f aca="false">IF(Assumptions!$B$144=0,0,J84*Assumptions!$B$156*Assumptions!$B$7/Assumptions!$B$144)</f>
        <v>0</v>
      </c>
      <c r="K89" s="45" t="n">
        <f aca="false">IF(Assumptions!$B$144=0,0,K84*Assumptions!$B$156*Assumptions!$B$7/Assumptions!$B$144)</f>
        <v>0</v>
      </c>
      <c r="L89" s="45" t="n">
        <f aca="false">IF(Assumptions!$B$144=0,0,L84*Assumptions!$B$156*Assumptions!$B$7/Assumptions!$B$144)</f>
        <v>0</v>
      </c>
      <c r="M89" s="45" t="n">
        <f aca="false">IF(Assumptions!$B$144=0,0,M84*Assumptions!$B$156*Assumptions!$B$7/Assumptions!$B$144)</f>
        <v>0</v>
      </c>
      <c r="N89" s="45" t="n">
        <f aca="false">IF(Assumptions!$B$144=0,0,N84*Assumptions!$B$156*Assumptions!$B$7/Assumptions!$B$144)</f>
        <v>0</v>
      </c>
      <c r="O89" s="45" t="n">
        <f aca="false">IF(Assumptions!$B$144=0,0,O84*Assumptions!$B$156*Assumptions!$B$7/Assumptions!$B$144)</f>
        <v>6.02693846854475</v>
      </c>
      <c r="P89" s="45" t="n">
        <f aca="false">IF(Assumptions!$B$144=0,0,P84*Assumptions!$B$156*Assumptions!$B$7/Assumptions!$B$144)</f>
        <v>9.10794662811154</v>
      </c>
      <c r="Q89" s="45" t="n">
        <f aca="false">IF(Assumptions!$B$144=0,0,Q84*Assumptions!$B$156*Assumptions!$B$7/Assumptions!$B$144)</f>
        <v>12.2208073228597</v>
      </c>
      <c r="R89" s="45" t="n">
        <f aca="false">IF(Assumptions!$B$144=0,0,R84*Assumptions!$B$156*Assumptions!$B$7/Assumptions!$B$144)</f>
        <v>14.6902841174601</v>
      </c>
      <c r="S89" s="45" t="n">
        <f aca="false">IF(Assumptions!$B$144=0,0,S84*Assumptions!$B$156*Assumptions!$B$7/Assumptions!$B$144)</f>
        <v>17.6541974069476</v>
      </c>
      <c r="T89" s="45" t="n">
        <f aca="false">IF(Assumptions!$B$144=0,0,T84*Assumptions!$B$156*Assumptions!$B$7/Assumptions!$B$144)</f>
        <v>21.0713627804983</v>
      </c>
      <c r="U89" s="45" t="n">
        <f aca="false">IF(Assumptions!$B$144=0,0,U84*Assumptions!$B$156*Assumptions!$B$7/Assumptions!$B$144)</f>
        <v>24.4634034322123</v>
      </c>
      <c r="V89" s="45" t="n">
        <f aca="false">IF(Assumptions!$B$144=0,0,V84*Assumptions!$B$156*Assumptions!$B$7/Assumptions!$B$144)</f>
        <v>27.7508573729582</v>
      </c>
      <c r="W89" s="45" t="n">
        <f aca="false">IF(Assumptions!$B$144=0,0,W84*Assumptions!$B$156*Assumptions!$B$7/Assumptions!$B$144)</f>
        <v>30.6610741718518</v>
      </c>
      <c r="X89" s="45" t="n">
        <f aca="false">IF(Assumptions!$B$144=0,0,X84*Assumptions!$B$156*Assumptions!$B$7/Assumptions!$B$144)</f>
        <v>32.3888832549721</v>
      </c>
      <c r="Y89" s="45" t="n">
        <f aca="false">IF(Assumptions!$B$144=0,0,Y84*Assumptions!$B$156*Assumptions!$B$7/Assumptions!$B$144)</f>
        <v>34.7251954209546</v>
      </c>
      <c r="Z89" s="45" t="n">
        <f aca="false">IF(Assumptions!$B$144=0,0,Z84*Assumptions!$B$156*Assumptions!$B$7/Assumptions!$B$144)</f>
        <v>37.6578859292026</v>
      </c>
      <c r="AA89" s="45" t="n">
        <f aca="false">IF(Assumptions!$B$144=0,0,AA84*Assumptions!$B$156*Assumptions!$B$7/Assumptions!$B$144)</f>
        <v>86.4647856969372</v>
      </c>
      <c r="AB89" s="45" t="n">
        <f aca="false">IF(Assumptions!$B$144=0,0,AB84*Assumptions!$B$156*Assumptions!$B$7/Assumptions!$B$144)</f>
        <v>112.46814829517</v>
      </c>
      <c r="AC89" s="45" t="n">
        <f aca="false">IF(Assumptions!$B$144=0,0,AC84*Assumptions!$B$156*Assumptions!$B$7/Assumptions!$B$144)</f>
        <v>130.269546881936</v>
      </c>
      <c r="AD89" s="45" t="n">
        <f aca="false">IF(Assumptions!$B$144=0,0,AD84*Assumptions!$B$156*Assumptions!$B$7/Assumptions!$B$144)</f>
        <v>146.91736737169</v>
      </c>
      <c r="AE89" s="45" t="n">
        <f aca="false">IF(Assumptions!$B$144=0,0,AE84*Assumptions!$B$156*Assumptions!$B$7/Assumptions!$B$144)</f>
        <v>164.197058896404</v>
      </c>
    </row>
    <row r="90" customFormat="false" ht="15" hidden="false" customHeight="false" outlineLevel="0" collapsed="false">
      <c r="A90" s="6" t="s">
        <v>466</v>
      </c>
      <c r="B90" s="23" t="s">
        <v>467</v>
      </c>
      <c r="C90" s="45" t="n">
        <f aca="false">C83*Assumptions!$B$158*Assumptions!$B$144*C7/12*(1+Assumptions!$B$16)</f>
        <v>0</v>
      </c>
      <c r="D90" s="45" t="n">
        <f aca="false">D83*Assumptions!$B$158*Assumptions!$B$144*D7/12*(1+Assumptions!$B$16)</f>
        <v>0</v>
      </c>
      <c r="E90" s="45" t="n">
        <f aca="false">E83*Assumptions!$B$158*Assumptions!$B$144*E7/12*(1+Assumptions!$B$16)</f>
        <v>0</v>
      </c>
      <c r="F90" s="45" t="n">
        <f aca="false">F83*Assumptions!$B$158*Assumptions!$B$144*F7/12*(1+Assumptions!$B$16)</f>
        <v>0</v>
      </c>
      <c r="G90" s="45" t="n">
        <f aca="false">G83*Assumptions!$B$158*Assumptions!$B$144*G7/12*(1+Assumptions!$B$16)</f>
        <v>0</v>
      </c>
      <c r="H90" s="45" t="n">
        <f aca="false">H83*Assumptions!$B$158*Assumptions!$B$144*H7/12*(1+Assumptions!$B$16)</f>
        <v>0</v>
      </c>
      <c r="I90" s="45" t="n">
        <f aca="false">I83*Assumptions!$B$158*Assumptions!$B$144*I7/12*(1+Assumptions!$B$16)</f>
        <v>0</v>
      </c>
      <c r="J90" s="45" t="n">
        <f aca="false">J83*Assumptions!$B$158*Assumptions!$B$144*J7/12*(1+Assumptions!$B$16)</f>
        <v>0</v>
      </c>
      <c r="K90" s="45" t="n">
        <f aca="false">K83*Assumptions!$B$158*Assumptions!$B$144*K7/12*(1+Assumptions!$B$16)</f>
        <v>0</v>
      </c>
      <c r="L90" s="45" t="n">
        <f aca="false">L83*Assumptions!$B$158*Assumptions!$B$144*L7/12*(1+Assumptions!$B$16)</f>
        <v>0</v>
      </c>
      <c r="M90" s="45" t="n">
        <f aca="false">M83*Assumptions!$B$158*Assumptions!$B$144*M7/12*(1+Assumptions!$B$16)</f>
        <v>0</v>
      </c>
      <c r="N90" s="45" t="n">
        <f aca="false">N83*Assumptions!$B$158*Assumptions!$B$144*N7/12*(1+Assumptions!$B$16)</f>
        <v>0</v>
      </c>
      <c r="O90" s="45" t="n">
        <f aca="false">O83*Assumptions!$B$158*Assumptions!$B$144*O7/12*(1+Assumptions!$B$16)</f>
        <v>0</v>
      </c>
      <c r="P90" s="45" t="n">
        <f aca="false">P83*Assumptions!$B$158*Assumptions!$B$144*P7/12*(1+Assumptions!$B$16)</f>
        <v>0</v>
      </c>
      <c r="Q90" s="45" t="n">
        <f aca="false">Q83*Assumptions!$B$158*Assumptions!$B$144*Q7/12*(1+Assumptions!$B$16)</f>
        <v>0</v>
      </c>
      <c r="R90" s="45" t="n">
        <f aca="false">R83*Assumptions!$B$158*Assumptions!$B$144*R7/12*(1+Assumptions!$B$16)</f>
        <v>0</v>
      </c>
      <c r="S90" s="45" t="n">
        <f aca="false">S83*Assumptions!$B$158*Assumptions!$B$144*S7/12*(1+Assumptions!$B$16)</f>
        <v>0</v>
      </c>
      <c r="T90" s="45" t="n">
        <f aca="false">T83*Assumptions!$B$158*Assumptions!$B$144*T7/12*(1+Assumptions!$B$16)</f>
        <v>0</v>
      </c>
      <c r="U90" s="45" t="n">
        <f aca="false">U83*Assumptions!$B$158*Assumptions!$B$144*U7/12*(1+Assumptions!$B$16)</f>
        <v>0</v>
      </c>
      <c r="V90" s="45" t="n">
        <f aca="false">V83*Assumptions!$B$158*Assumptions!$B$144*V7/12*(1+Assumptions!$B$16)</f>
        <v>0</v>
      </c>
      <c r="W90" s="45" t="n">
        <f aca="false">W83*Assumptions!$B$158*Assumptions!$B$144*W7/12*(1+Assumptions!$B$16)</f>
        <v>2.3726787084</v>
      </c>
      <c r="X90" s="45" t="n">
        <f aca="false">X83*Assumptions!$B$158*Assumptions!$B$144*X7/12*(1+Assumptions!$B$16)</f>
        <v>4.67748236744906</v>
      </c>
      <c r="Y90" s="45" t="n">
        <f aca="false">Y83*Assumptions!$B$158*Assumptions!$B$144*Y7/12*(1+Assumptions!$B$16)</f>
        <v>6.92992482029253</v>
      </c>
      <c r="Z90" s="45" t="n">
        <f aca="false">Z83*Assumptions!$B$158*Assumptions!$B$144*Z7/12*(1+Assumptions!$B$16)</f>
        <v>9.79589587381435</v>
      </c>
      <c r="AA90" s="45" t="n">
        <f aca="false">AA83*Assumptions!$B$158*Assumptions!$B$144*AA7/12*(1+Assumptions!$B$16)</f>
        <v>1011.08130991042</v>
      </c>
      <c r="AB90" s="45" t="n">
        <f aca="false">AB83*Assumptions!$B$158*Assumptions!$B$144*AB7/12*(1+Assumptions!$B$16)</f>
        <v>2038.58868406584</v>
      </c>
      <c r="AC90" s="45" t="n">
        <f aca="false">AC83*Assumptions!$B$158*Assumptions!$B$144*AC7/12*(1+Assumptions!$B$16)</f>
        <v>3571.09727926195</v>
      </c>
      <c r="AD90" s="45" t="n">
        <f aca="false">AD83*Assumptions!$B$158*Assumptions!$B$144*AD7/12*(1+Assumptions!$B$16)</f>
        <v>5592.90447430154</v>
      </c>
      <c r="AE90" s="45" t="n">
        <f aca="false">AE83*Assumptions!$B$158*Assumptions!$B$144*AE7/12*(1+Assumptions!$B$16)</f>
        <v>8021.46973533753</v>
      </c>
    </row>
    <row r="91" customFormat="false" ht="15" hidden="false" customHeight="false" outlineLevel="0" collapsed="false">
      <c r="A91" s="6" t="s">
        <v>468</v>
      </c>
      <c r="B91" s="23" t="s">
        <v>114</v>
      </c>
      <c r="C91" s="55" t="n">
        <f aca="false">C73*Assumptions!$B$8</f>
        <v>0</v>
      </c>
      <c r="D91" s="55" t="n">
        <f aca="false">D73*Assumptions!$B$8</f>
        <v>0</v>
      </c>
      <c r="E91" s="55" t="n">
        <f aca="false">E73*Assumptions!$B$8</f>
        <v>0</v>
      </c>
      <c r="F91" s="55" t="n">
        <f aca="false">F73*Assumptions!$B$8</f>
        <v>0</v>
      </c>
      <c r="G91" s="55" t="n">
        <f aca="false">G73*Assumptions!$B$8</f>
        <v>0</v>
      </c>
      <c r="H91" s="55" t="n">
        <f aca="false">H73*Assumptions!$B$8</f>
        <v>0</v>
      </c>
      <c r="I91" s="55" t="n">
        <f aca="false">I73*Assumptions!$B$8</f>
        <v>0</v>
      </c>
      <c r="J91" s="55" t="n">
        <f aca="false">J73*Assumptions!$B$8</f>
        <v>0</v>
      </c>
      <c r="K91" s="55" t="n">
        <f aca="false">K73*Assumptions!$B$8</f>
        <v>0</v>
      </c>
      <c r="L91" s="55" t="n">
        <f aca="false">L73*Assumptions!$B$8</f>
        <v>0</v>
      </c>
      <c r="M91" s="55" t="n">
        <f aca="false">M73*Assumptions!$B$8</f>
        <v>0</v>
      </c>
      <c r="N91" s="55" t="n">
        <f aca="false">N73*Assumptions!$B$8</f>
        <v>0</v>
      </c>
      <c r="O91" s="55" t="n">
        <f aca="false">O73*Assumptions!$B$8</f>
        <v>40.9567006805213</v>
      </c>
      <c r="P91" s="55" t="n">
        <f aca="false">P73*Assumptions!$B$8</f>
        <v>78.7512971340546</v>
      </c>
      <c r="Q91" s="55" t="n">
        <f aca="false">Q73*Assumptions!$B$8</f>
        <v>113.805261610519</v>
      </c>
      <c r="R91" s="55" t="n">
        <f aca="false">R73*Assumptions!$B$8</f>
        <v>157.746241724152</v>
      </c>
      <c r="S91" s="55" t="n">
        <f aca="false">S73*Assumptions!$B$8</f>
        <v>195.803511755798</v>
      </c>
      <c r="T91" s="55" t="n">
        <f aca="false">T73*Assumptions!$B$8</f>
        <v>225.693832040882</v>
      </c>
      <c r="U91" s="55" t="n">
        <f aca="false">U73*Assumptions!$B$8</f>
        <v>253.32804764089</v>
      </c>
      <c r="V91" s="55" t="n">
        <f aca="false">V73*Assumptions!$B$8</f>
        <v>280.115684467152</v>
      </c>
      <c r="W91" s="55" t="n">
        <f aca="false">W73*Assumptions!$B$8</f>
        <v>309.805341452812</v>
      </c>
      <c r="X91" s="55" t="n">
        <f aca="false">X73*Assumptions!$B$8</f>
        <v>353.731129099886</v>
      </c>
      <c r="Y91" s="55" t="n">
        <f aca="false">Y73*Assumptions!$B$8</f>
        <v>391.86753000301</v>
      </c>
      <c r="Z91" s="55" t="n">
        <f aca="false">Z73*Assumptions!$B$8</f>
        <v>422.219660910428</v>
      </c>
      <c r="AA91" s="55" t="n">
        <f aca="false">AA73*Assumptions!$B$8</f>
        <v>11139.4760740687</v>
      </c>
      <c r="AB91" s="55" t="n">
        <f aca="false">AB73*Assumptions!$B$8</f>
        <v>19612.3202479887</v>
      </c>
      <c r="AC91" s="55" t="n">
        <f aca="false">AC73*Assumptions!$B$8</f>
        <v>30900.3162582333</v>
      </c>
      <c r="AD91" s="55" t="n">
        <f aca="false">AD73*Assumptions!$B$8</f>
        <v>43530.5553836238</v>
      </c>
      <c r="AE91" s="55" t="n">
        <f aca="false">AE73*Assumptions!$B$8</f>
        <v>55815.717926784</v>
      </c>
    </row>
    <row r="92" customFormat="false" ht="15" hidden="false" customHeight="false" outlineLevel="0" collapsed="false">
      <c r="A92" s="6" t="s">
        <v>469</v>
      </c>
      <c r="B92" s="23" t="s">
        <v>114</v>
      </c>
      <c r="C92" s="55" t="n">
        <f aca="false">C74*Assumptions!$B$8</f>
        <v>0</v>
      </c>
      <c r="D92" s="55" t="n">
        <f aca="false">D74*Assumptions!$B$8</f>
        <v>0</v>
      </c>
      <c r="E92" s="55" t="n">
        <f aca="false">E74*Assumptions!$B$8</f>
        <v>0</v>
      </c>
      <c r="F92" s="55" t="n">
        <f aca="false">F74*Assumptions!$B$8</f>
        <v>0</v>
      </c>
      <c r="G92" s="55" t="n">
        <f aca="false">G74*Assumptions!$B$8</f>
        <v>0</v>
      </c>
      <c r="H92" s="55" t="n">
        <f aca="false">H74*Assumptions!$B$8</f>
        <v>0</v>
      </c>
      <c r="I92" s="55" t="n">
        <f aca="false">I74*Assumptions!$B$8</f>
        <v>0</v>
      </c>
      <c r="J92" s="55" t="n">
        <f aca="false">J74*Assumptions!$B$8</f>
        <v>0</v>
      </c>
      <c r="K92" s="55" t="n">
        <f aca="false">K74*Assumptions!$B$8</f>
        <v>0</v>
      </c>
      <c r="L92" s="55" t="n">
        <f aca="false">L74*Assumptions!$B$8</f>
        <v>0</v>
      </c>
      <c r="M92" s="55" t="n">
        <f aca="false">M74*Assumptions!$B$8</f>
        <v>0</v>
      </c>
      <c r="N92" s="55" t="n">
        <f aca="false">N74*Assumptions!$B$8</f>
        <v>0</v>
      </c>
      <c r="O92" s="55" t="n">
        <f aca="false">O74*Assumptions!$B$8</f>
        <v>3.23584189671426</v>
      </c>
      <c r="P92" s="55" t="n">
        <f aca="false">P74*Assumptions!$B$8</f>
        <v>6.22185728959758</v>
      </c>
      <c r="Q92" s="55" t="n">
        <f aca="false">Q74*Assumptions!$B$8</f>
        <v>8.99134518813879</v>
      </c>
      <c r="R92" s="55" t="n">
        <f aca="false">R74*Assumptions!$B$8</f>
        <v>12.4629642900652</v>
      </c>
      <c r="S92" s="55" t="n">
        <f aca="false">S74*Assumptions!$B$8</f>
        <v>15.4697325794244</v>
      </c>
      <c r="T92" s="55" t="n">
        <f aca="false">T74*Assumptions!$B$8</f>
        <v>17.8312594865632</v>
      </c>
      <c r="U92" s="55" t="n">
        <f aca="false">U74*Assumptions!$B$8</f>
        <v>20.0145396613716</v>
      </c>
      <c r="V92" s="55" t="n">
        <f aca="false">V74*Assumptions!$B$8</f>
        <v>22.130934686267</v>
      </c>
      <c r="W92" s="55" t="n">
        <f aca="false">W74*Assumptions!$B$8</f>
        <v>24.4766079064481</v>
      </c>
      <c r="X92" s="55" t="n">
        <f aca="false">X74*Assumptions!$B$8</f>
        <v>27.9470267061288</v>
      </c>
      <c r="Y92" s="55" t="n">
        <f aca="false">Y74*Assumptions!$B$8</f>
        <v>30.960046841584</v>
      </c>
      <c r="Z92" s="55" t="n">
        <f aca="false">Z74*Assumptions!$B$8</f>
        <v>33.3580597482117</v>
      </c>
      <c r="AA92" s="55" t="n">
        <f aca="false">AA74*Assumptions!$B$8</f>
        <v>880.090016749336</v>
      </c>
      <c r="AB92" s="55" t="n">
        <f aca="false">AB74*Assumptions!$B$8</f>
        <v>1549.4990195927</v>
      </c>
      <c r="AC92" s="55" t="n">
        <f aca="false">AC74*Assumptions!$B$8</f>
        <v>2441.3230633508</v>
      </c>
      <c r="AD92" s="55" t="n">
        <f aca="false">AD74*Assumptions!$B$8</f>
        <v>3439.19291732797</v>
      </c>
      <c r="AE92" s="55" t="n">
        <f aca="false">AE74*Assumptions!$B$8</f>
        <v>4409.79950927957</v>
      </c>
    </row>
    <row r="93" customFormat="false" ht="15" hidden="false" customHeight="false" outlineLevel="0" collapsed="false">
      <c r="A93" s="6" t="s">
        <v>470</v>
      </c>
      <c r="B93" s="23" t="s">
        <v>114</v>
      </c>
      <c r="C93" s="55" t="n">
        <f aca="false">C88*IF(Assumptions!$B$171=1,MIN(Assumptions!$B$14,1%),Assumptions!$B$14)*(1-Assumptions!$B$142)</f>
        <v>0</v>
      </c>
      <c r="D93" s="55" t="n">
        <f aca="false">D88*IF(Assumptions!$B$171=1,MIN(Assumptions!$B$14,1%),Assumptions!$B$14)*(1-Assumptions!$B$142)</f>
        <v>0</v>
      </c>
      <c r="E93" s="55" t="n">
        <f aca="false">E88*IF(Assumptions!$B$171=1,MIN(Assumptions!$B$14,1%),Assumptions!$B$14)*(1-Assumptions!$B$142)</f>
        <v>0</v>
      </c>
      <c r="F93" s="55" t="n">
        <f aca="false">F88*IF(Assumptions!$B$171=1,MIN(Assumptions!$B$14,1%),Assumptions!$B$14)*(1-Assumptions!$B$142)</f>
        <v>0</v>
      </c>
      <c r="G93" s="55" t="n">
        <f aca="false">G88*IF(Assumptions!$B$171=1,MIN(Assumptions!$B$14,1%),Assumptions!$B$14)*(1-Assumptions!$B$142)</f>
        <v>0</v>
      </c>
      <c r="H93" s="55" t="n">
        <f aca="false">H88*IF(Assumptions!$B$171=1,MIN(Assumptions!$B$14,1%),Assumptions!$B$14)*(1-Assumptions!$B$142)</f>
        <v>0</v>
      </c>
      <c r="I93" s="55" t="n">
        <f aca="false">I88*IF(Assumptions!$B$171=1,MIN(Assumptions!$B$14,1%),Assumptions!$B$14)*(1-Assumptions!$B$142)</f>
        <v>0</v>
      </c>
      <c r="J93" s="55" t="n">
        <f aca="false">J88*IF(Assumptions!$B$171=1,MIN(Assumptions!$B$14,1%),Assumptions!$B$14)*(1-Assumptions!$B$142)</f>
        <v>0</v>
      </c>
      <c r="K93" s="55" t="n">
        <f aca="false">K88*IF(Assumptions!$B$171=1,MIN(Assumptions!$B$14,1%),Assumptions!$B$14)*(1-Assumptions!$B$142)</f>
        <v>0</v>
      </c>
      <c r="L93" s="55" t="n">
        <f aca="false">L88*IF(Assumptions!$B$171=1,MIN(Assumptions!$B$14,1%),Assumptions!$B$14)*(1-Assumptions!$B$142)</f>
        <v>0</v>
      </c>
      <c r="M93" s="55" t="n">
        <f aca="false">M88*IF(Assumptions!$B$171=1,MIN(Assumptions!$B$14,1%),Assumptions!$B$14)*(1-Assumptions!$B$142)</f>
        <v>0</v>
      </c>
      <c r="N93" s="55" t="n">
        <f aca="false">N88*IF(Assumptions!$B$171=1,MIN(Assumptions!$B$14,1%),Assumptions!$B$14)*(1-Assumptions!$B$142)</f>
        <v>0</v>
      </c>
      <c r="O93" s="55" t="n">
        <f aca="false">O88*IF(Assumptions!$B$171=1,MIN(Assumptions!$B$14,1%),Assumptions!$B$14)*(1-Assumptions!$B$142)</f>
        <v>0</v>
      </c>
      <c r="P93" s="55" t="n">
        <f aca="false">P88*IF(Assumptions!$B$171=1,MIN(Assumptions!$B$14,1%),Assumptions!$B$14)*(1-Assumptions!$B$142)</f>
        <v>0</v>
      </c>
      <c r="Q93" s="55" t="n">
        <f aca="false">Q88*IF(Assumptions!$B$171=1,MIN(Assumptions!$B$14,1%),Assumptions!$B$14)*(1-Assumptions!$B$142)</f>
        <v>0</v>
      </c>
      <c r="R93" s="55" t="n">
        <f aca="false">R88*IF(Assumptions!$B$171=1,MIN(Assumptions!$B$14,1%),Assumptions!$B$14)*(1-Assumptions!$B$142)</f>
        <v>0</v>
      </c>
      <c r="S93" s="55" t="n">
        <f aca="false">S88*IF(Assumptions!$B$171=1,MIN(Assumptions!$B$14,1%),Assumptions!$B$14)*(1-Assumptions!$B$142)</f>
        <v>0</v>
      </c>
      <c r="T93" s="55" t="n">
        <f aca="false">T88*IF(Assumptions!$B$171=1,MIN(Assumptions!$B$14,1%),Assumptions!$B$14)*(1-Assumptions!$B$142)</f>
        <v>0</v>
      </c>
      <c r="U93" s="55" t="n">
        <f aca="false">U88*IF(Assumptions!$B$171=1,MIN(Assumptions!$B$14,1%),Assumptions!$B$14)*(1-Assumptions!$B$142)</f>
        <v>0</v>
      </c>
      <c r="V93" s="55" t="n">
        <f aca="false">V88*IF(Assumptions!$B$171=1,MIN(Assumptions!$B$14,1%),Assumptions!$B$14)*(1-Assumptions!$B$142)</f>
        <v>0</v>
      </c>
      <c r="W93" s="55" t="n">
        <f aca="false">W88*IF(Assumptions!$B$171=1,MIN(Assumptions!$B$14,1%),Assumptions!$B$14)*(1-Assumptions!$B$142)</f>
        <v>0.0941866099222162</v>
      </c>
      <c r="X93" s="55" t="n">
        <f aca="false">X88*IF(Assumptions!$B$171=1,MIN(Assumptions!$B$14,1%),Assumptions!$B$14)*(1-Assumptions!$B$142)</f>
        <v>0.200065024499393</v>
      </c>
      <c r="Y93" s="55" t="n">
        <f aca="false">Y88*IF(Assumptions!$B$171=1,MIN(Assumptions!$B$14,1%),Assumptions!$B$14)*(1-Assumptions!$B$142)</f>
        <v>0.327133776623287</v>
      </c>
      <c r="Z93" s="55" t="n">
        <f aca="false">Z88*IF(Assumptions!$B$171=1,MIN(Assumptions!$B$14,1%),Assumptions!$B$14)*(1-Assumptions!$B$142)</f>
        <v>0.544462300367533</v>
      </c>
      <c r="AA93" s="55" t="n">
        <f aca="false">AA88*IF(Assumptions!$B$171=1,MIN(Assumptions!$B$14,1%),Assumptions!$B$14)*(1-Assumptions!$B$142)</f>
        <v>113.184828870688</v>
      </c>
      <c r="AB93" s="55" t="n">
        <f aca="false">AB88*IF(Assumptions!$B$171=1,MIN(Assumptions!$B$14,1%),Assumptions!$B$14)*(1-Assumptions!$B$142)</f>
        <v>296.83972512148</v>
      </c>
      <c r="AC93" s="55" t="n">
        <f aca="false">AC88*IF(Assumptions!$B$171=1,MIN(Assumptions!$B$14,1%),Assumptions!$B$14)*(1-Assumptions!$B$142)</f>
        <v>602.292492950276</v>
      </c>
      <c r="AD93" s="55" t="n">
        <f aca="false">AD88*IF(Assumptions!$B$171=1,MIN(Assumptions!$B$14,1%),Assumptions!$B$14)*(1-Assumptions!$B$142)</f>
        <v>1063.83287274918</v>
      </c>
      <c r="AE93" s="55" t="n">
        <f aca="false">AE88*IF(Assumptions!$B$171=1,MIN(Assumptions!$B$14,1%),Assumptions!$B$14)*(1-Assumptions!$B$142)</f>
        <v>1705.22695772698</v>
      </c>
    </row>
    <row r="94" customFormat="false" ht="15" hidden="false" customHeight="false" outlineLevel="0" collapsed="false">
      <c r="A94" s="6" t="s">
        <v>471</v>
      </c>
      <c r="B94" s="23" t="s">
        <v>114</v>
      </c>
      <c r="C94" s="55" t="n">
        <f aca="false">IF(C2&gt;=Assumptions!$B$50,C69*Assumptions!$B$159*Assumptions!$B$25/12*C7,0)</f>
        <v>0</v>
      </c>
      <c r="D94" s="55" t="n">
        <f aca="false">IF(D2&gt;=Assumptions!$B$50,D69*Assumptions!$B$159*Assumptions!$B$25/12*D7,0)</f>
        <v>0</v>
      </c>
      <c r="E94" s="55" t="n">
        <f aca="false">IF(E2&gt;=Assumptions!$B$50,E69*Assumptions!$B$159*Assumptions!$B$25/12*E7,0)</f>
        <v>0</v>
      </c>
      <c r="F94" s="55" t="n">
        <f aca="false">IF(F2&gt;=Assumptions!$B$50,F69*Assumptions!$B$159*Assumptions!$B$25/12*F7,0)</f>
        <v>0</v>
      </c>
      <c r="G94" s="55" t="n">
        <f aca="false">IF(G2&gt;=Assumptions!$B$50,G69*Assumptions!$B$159*Assumptions!$B$25/12*G7,0)</f>
        <v>0</v>
      </c>
      <c r="H94" s="55" t="n">
        <f aca="false">IF(H2&gt;=Assumptions!$B$50,H69*Assumptions!$B$159*Assumptions!$B$25/12*H7,0)</f>
        <v>0</v>
      </c>
      <c r="I94" s="55" t="n">
        <f aca="false">IF(I2&gt;=Assumptions!$B$50,I69*Assumptions!$B$159*Assumptions!$B$25/12*I7,0)</f>
        <v>0</v>
      </c>
      <c r="J94" s="55" t="n">
        <f aca="false">IF(J2&gt;=Assumptions!$B$50,J69*Assumptions!$B$159*Assumptions!$B$25/12*J7,0)</f>
        <v>0</v>
      </c>
      <c r="K94" s="55" t="n">
        <f aca="false">IF(K2&gt;=Assumptions!$B$50,K69*Assumptions!$B$159*Assumptions!$B$25/12*K7,0)</f>
        <v>0</v>
      </c>
      <c r="L94" s="55" t="n">
        <f aca="false">IF(L2&gt;=Assumptions!$B$50,L69*Assumptions!$B$159*Assumptions!$B$25/12*L7,0)</f>
        <v>0</v>
      </c>
      <c r="M94" s="55" t="n">
        <f aca="false">IF(M2&gt;=Assumptions!$B$50,M69*Assumptions!$B$159*Assumptions!$B$25/12*M7,0)</f>
        <v>0</v>
      </c>
      <c r="N94" s="55" t="n">
        <f aca="false">IF(N2&gt;=Assumptions!$B$50,N69*Assumptions!$B$159*Assumptions!$B$25/12*N7,0)</f>
        <v>0</v>
      </c>
      <c r="O94" s="55" t="n">
        <f aca="false">IF(O2&gt;=Assumptions!$B$50,O69*Assumptions!$B$159*Assumptions!$B$25/12*O7,0)</f>
        <v>63.0103087392635</v>
      </c>
      <c r="P94" s="55" t="n">
        <f aca="false">IF(P2&gt;=Assumptions!$B$50,P69*Assumptions!$B$159*Assumptions!$B$25/12*P7,0)</f>
        <v>121.155841744699</v>
      </c>
      <c r="Q94" s="55" t="n">
        <f aca="false">IF(Q2&gt;=Assumptions!$B$50,Q69*Assumptions!$B$159*Assumptions!$B$25/12*Q7,0)</f>
        <v>175.085017862338</v>
      </c>
      <c r="R94" s="55" t="n">
        <f aca="false">IF(R2&gt;=Assumptions!$B$50,R69*Assumptions!$B$159*Assumptions!$B$25/12*R7,0)</f>
        <v>242.686525729465</v>
      </c>
      <c r="S94" s="55" t="n">
        <f aca="false">IF(S2&gt;=Assumptions!$B$50,S69*Assumptions!$B$159*Assumptions!$B$25/12*S7,0)</f>
        <v>301.236171931997</v>
      </c>
      <c r="T94" s="55" t="n">
        <f aca="false">IF(T2&gt;=Assumptions!$B$50,T69*Assumptions!$B$159*Assumptions!$B$25/12*T7,0)</f>
        <v>347.221280062895</v>
      </c>
      <c r="U94" s="55" t="n">
        <f aca="false">IF(U2&gt;=Assumptions!$B$50,U69*Assumptions!$B$159*Assumptions!$B$25/12*U7,0)</f>
        <v>389.735457909061</v>
      </c>
      <c r="V94" s="55" t="n">
        <f aca="false">IF(V2&gt;=Assumptions!$B$50,V69*Assumptions!$B$159*Assumptions!$B$25/12*V7,0)</f>
        <v>430.947206872542</v>
      </c>
      <c r="W94" s="55" t="n">
        <f aca="false">IF(W2&gt;=Assumptions!$B$50,W69*Assumptions!$B$159*Assumptions!$B$25/12*W7,0)</f>
        <v>476.623602235095</v>
      </c>
      <c r="X94" s="55" t="n">
        <f aca="false">IF(X2&gt;=Assumptions!$B$50,X69*Assumptions!$B$159*Assumptions!$B$25/12*X7,0)</f>
        <v>544.201737076748</v>
      </c>
      <c r="Y94" s="55" t="n">
        <f aca="false">IF(Y2&gt;=Assumptions!$B$50,Y69*Assumptions!$B$159*Assumptions!$B$25/12*Y7,0)</f>
        <v>602.873123081554</v>
      </c>
      <c r="Z94" s="55" t="n">
        <f aca="false">IF(Z2&gt;=Assumptions!$B$50,Z69*Assumptions!$B$159*Assumptions!$B$25/12*Z7,0)</f>
        <v>649.568709092966</v>
      </c>
      <c r="AA94" s="55" t="n">
        <f aca="false">IF(AA2&gt;=Assumptions!$B$50,AA69*Assumptions!$B$159*Assumptions!$B$25/12*AA7,0)</f>
        <v>17137.6554985672</v>
      </c>
      <c r="AB94" s="55" t="n">
        <f aca="false">IF(AB2&gt;=Assumptions!$B$50,AB69*Assumptions!$B$159*Assumptions!$B$25/12*AB7,0)</f>
        <v>30172.800381521</v>
      </c>
      <c r="AC94" s="55" t="n">
        <f aca="false">IF(AC2&gt;=Assumptions!$B$50,AC69*Assumptions!$B$159*Assumptions!$B$25/12*AC7,0)</f>
        <v>47538.9480895897</v>
      </c>
      <c r="AD94" s="55" t="n">
        <f aca="false">IF(AD2&gt;=Assumptions!$B$50,AD69*Assumptions!$B$159*Assumptions!$B$25/12*AD7,0)</f>
        <v>66970.085205575</v>
      </c>
      <c r="AE94" s="55" t="n">
        <f aca="false">IF(AE2&gt;=Assumptions!$B$50,AE69*Assumptions!$B$159*Assumptions!$B$25/12*AE7,0)</f>
        <v>85870.3352719754</v>
      </c>
    </row>
    <row r="95" customFormat="false" ht="15" hidden="false" customHeight="false" outlineLevel="0" collapsed="false">
      <c r="A95" s="6" t="s">
        <v>472</v>
      </c>
      <c r="B95" s="23" t="s">
        <v>114</v>
      </c>
      <c r="C95" s="55" t="n">
        <f aca="false">IF(C2&gt;=Assumptions!$B$52,C88*C17*Assumptions!$B$17+C83*(Assumptions!$B$148*MAX(0,Assumptions!$B$152-Assumptions!$B$18)+Assumptions!$B$149*MAX(0,Assumptions!$B$153-Assumptions!$B$18)+Assumptions!$B$150*MAX(0,Assumptions!$B$154-Assumptions!$B$18)+Assumptions!$B$151*MAX(0,Assumptions!$B$155-Assumptions!$B$18))*Assumptions!$B$19/Assumptions!$B$7*C7+C83*(Assumptions!$B$146*Assumptions!$B$20+Assumptions!$B$147*Assumptions!$B$21)/12/Assumptions!$B$7*C7,0)</f>
        <v>0</v>
      </c>
      <c r="D95" s="55" t="n">
        <f aca="false">IF(D2&gt;=Assumptions!$B$52,D88*D17*Assumptions!$B$17+D83*(Assumptions!$B$148*MAX(0,Assumptions!$B$152-Assumptions!$B$18)+Assumptions!$B$149*MAX(0,Assumptions!$B$153-Assumptions!$B$18)+Assumptions!$B$150*MAX(0,Assumptions!$B$154-Assumptions!$B$18)+Assumptions!$B$151*MAX(0,Assumptions!$B$155-Assumptions!$B$18))*Assumptions!$B$19/Assumptions!$B$7*D7+D83*(Assumptions!$B$146*Assumptions!$B$20+Assumptions!$B$147*Assumptions!$B$21)/12/Assumptions!$B$7*D7,0)</f>
        <v>0</v>
      </c>
      <c r="E95" s="55" t="n">
        <f aca="false">IF(E2&gt;=Assumptions!$B$52,E88*E17*Assumptions!$B$17+E83*(Assumptions!$B$148*MAX(0,Assumptions!$B$152-Assumptions!$B$18)+Assumptions!$B$149*MAX(0,Assumptions!$B$153-Assumptions!$B$18)+Assumptions!$B$150*MAX(0,Assumptions!$B$154-Assumptions!$B$18)+Assumptions!$B$151*MAX(0,Assumptions!$B$155-Assumptions!$B$18))*Assumptions!$B$19/Assumptions!$B$7*E7+E83*(Assumptions!$B$146*Assumptions!$B$20+Assumptions!$B$147*Assumptions!$B$21)/12/Assumptions!$B$7*E7,0)</f>
        <v>0</v>
      </c>
      <c r="F95" s="55" t="n">
        <f aca="false">IF(F2&gt;=Assumptions!$B$52,F88*F17*Assumptions!$B$17+F83*(Assumptions!$B$148*MAX(0,Assumptions!$B$152-Assumptions!$B$18)+Assumptions!$B$149*MAX(0,Assumptions!$B$153-Assumptions!$B$18)+Assumptions!$B$150*MAX(0,Assumptions!$B$154-Assumptions!$B$18)+Assumptions!$B$151*MAX(0,Assumptions!$B$155-Assumptions!$B$18))*Assumptions!$B$19/Assumptions!$B$7*F7+F83*(Assumptions!$B$146*Assumptions!$B$20+Assumptions!$B$147*Assumptions!$B$21)/12/Assumptions!$B$7*F7,0)</f>
        <v>0</v>
      </c>
      <c r="G95" s="55" t="n">
        <f aca="false">IF(G2&gt;=Assumptions!$B$52,G88*G17*Assumptions!$B$17+G83*(Assumptions!$B$148*MAX(0,Assumptions!$B$152-Assumptions!$B$18)+Assumptions!$B$149*MAX(0,Assumptions!$B$153-Assumptions!$B$18)+Assumptions!$B$150*MAX(0,Assumptions!$B$154-Assumptions!$B$18)+Assumptions!$B$151*MAX(0,Assumptions!$B$155-Assumptions!$B$18))*Assumptions!$B$19/Assumptions!$B$7*G7+G83*(Assumptions!$B$146*Assumptions!$B$20+Assumptions!$B$147*Assumptions!$B$21)/12/Assumptions!$B$7*G7,0)</f>
        <v>0</v>
      </c>
      <c r="H95" s="55" t="n">
        <f aca="false">IF(H2&gt;=Assumptions!$B$52,H88*H17*Assumptions!$B$17+H83*(Assumptions!$B$148*MAX(0,Assumptions!$B$152-Assumptions!$B$18)+Assumptions!$B$149*MAX(0,Assumptions!$B$153-Assumptions!$B$18)+Assumptions!$B$150*MAX(0,Assumptions!$B$154-Assumptions!$B$18)+Assumptions!$B$151*MAX(0,Assumptions!$B$155-Assumptions!$B$18))*Assumptions!$B$19/Assumptions!$B$7*H7+H83*(Assumptions!$B$146*Assumptions!$B$20+Assumptions!$B$147*Assumptions!$B$21)/12/Assumptions!$B$7*H7,0)</f>
        <v>0</v>
      </c>
      <c r="I95" s="55" t="n">
        <f aca="false">IF(I2&gt;=Assumptions!$B$52,I88*I17*Assumptions!$B$17+I83*(Assumptions!$B$148*MAX(0,Assumptions!$B$152-Assumptions!$B$18)+Assumptions!$B$149*MAX(0,Assumptions!$B$153-Assumptions!$B$18)+Assumptions!$B$150*MAX(0,Assumptions!$B$154-Assumptions!$B$18)+Assumptions!$B$151*MAX(0,Assumptions!$B$155-Assumptions!$B$18))*Assumptions!$B$19/Assumptions!$B$7*I7+I83*(Assumptions!$B$146*Assumptions!$B$20+Assumptions!$B$147*Assumptions!$B$21)/12/Assumptions!$B$7*I7,0)</f>
        <v>0</v>
      </c>
      <c r="J95" s="55" t="n">
        <f aca="false">IF(J2&gt;=Assumptions!$B$52,J88*J17*Assumptions!$B$17+J83*(Assumptions!$B$148*MAX(0,Assumptions!$B$152-Assumptions!$B$18)+Assumptions!$B$149*MAX(0,Assumptions!$B$153-Assumptions!$B$18)+Assumptions!$B$150*MAX(0,Assumptions!$B$154-Assumptions!$B$18)+Assumptions!$B$151*MAX(0,Assumptions!$B$155-Assumptions!$B$18))*Assumptions!$B$19/Assumptions!$B$7*J7+J83*(Assumptions!$B$146*Assumptions!$B$20+Assumptions!$B$147*Assumptions!$B$21)/12/Assumptions!$B$7*J7,0)</f>
        <v>0</v>
      </c>
      <c r="K95" s="55" t="n">
        <f aca="false">IF(K2&gt;=Assumptions!$B$52,K88*K17*Assumptions!$B$17+K83*(Assumptions!$B$148*MAX(0,Assumptions!$B$152-Assumptions!$B$18)+Assumptions!$B$149*MAX(0,Assumptions!$B$153-Assumptions!$B$18)+Assumptions!$B$150*MAX(0,Assumptions!$B$154-Assumptions!$B$18)+Assumptions!$B$151*MAX(0,Assumptions!$B$155-Assumptions!$B$18))*Assumptions!$B$19/Assumptions!$B$7*K7+K83*(Assumptions!$B$146*Assumptions!$B$20+Assumptions!$B$147*Assumptions!$B$21)/12/Assumptions!$B$7*K7,0)</f>
        <v>0</v>
      </c>
      <c r="L95" s="55" t="n">
        <f aca="false">IF(L2&gt;=Assumptions!$B$52,L88*L17*Assumptions!$B$17+L83*(Assumptions!$B$148*MAX(0,Assumptions!$B$152-Assumptions!$B$18)+Assumptions!$B$149*MAX(0,Assumptions!$B$153-Assumptions!$B$18)+Assumptions!$B$150*MAX(0,Assumptions!$B$154-Assumptions!$B$18)+Assumptions!$B$151*MAX(0,Assumptions!$B$155-Assumptions!$B$18))*Assumptions!$B$19/Assumptions!$B$7*L7+L83*(Assumptions!$B$146*Assumptions!$B$20+Assumptions!$B$147*Assumptions!$B$21)/12/Assumptions!$B$7*L7,0)</f>
        <v>0</v>
      </c>
      <c r="M95" s="55" t="n">
        <f aca="false">IF(M2&gt;=Assumptions!$B$52,M88*M17*Assumptions!$B$17+M83*(Assumptions!$B$148*MAX(0,Assumptions!$B$152-Assumptions!$B$18)+Assumptions!$B$149*MAX(0,Assumptions!$B$153-Assumptions!$B$18)+Assumptions!$B$150*MAX(0,Assumptions!$B$154-Assumptions!$B$18)+Assumptions!$B$151*MAX(0,Assumptions!$B$155-Assumptions!$B$18))*Assumptions!$B$19/Assumptions!$B$7*M7+M83*(Assumptions!$B$146*Assumptions!$B$20+Assumptions!$B$147*Assumptions!$B$21)/12/Assumptions!$B$7*M7,0)</f>
        <v>0</v>
      </c>
      <c r="N95" s="55" t="n">
        <f aca="false">IF(N2&gt;=Assumptions!$B$52,N88*N17*Assumptions!$B$17+N83*(Assumptions!$B$148*MAX(0,Assumptions!$B$152-Assumptions!$B$18)+Assumptions!$B$149*MAX(0,Assumptions!$B$153-Assumptions!$B$18)+Assumptions!$B$150*MAX(0,Assumptions!$B$154-Assumptions!$B$18)+Assumptions!$B$151*MAX(0,Assumptions!$B$155-Assumptions!$B$18))*Assumptions!$B$19/Assumptions!$B$7*N7+N83*(Assumptions!$B$146*Assumptions!$B$20+Assumptions!$B$147*Assumptions!$B$21)/12/Assumptions!$B$7*N7,0)</f>
        <v>0</v>
      </c>
      <c r="O95" s="55" t="n">
        <f aca="false">IF(O2&gt;=Assumptions!$B$52,O88*O17*Assumptions!$B$17+O83*(Assumptions!$B$148*MAX(0,Assumptions!$B$152-Assumptions!$B$18)+Assumptions!$B$149*MAX(0,Assumptions!$B$153-Assumptions!$B$18)+Assumptions!$B$150*MAX(0,Assumptions!$B$154-Assumptions!$B$18)+Assumptions!$B$151*MAX(0,Assumptions!$B$155-Assumptions!$B$18))*Assumptions!$B$19/Assumptions!$B$7*O7+O83*(Assumptions!$B$146*Assumptions!$B$20+Assumptions!$B$147*Assumptions!$B$21)/12/Assumptions!$B$7*O7,0)</f>
        <v>0</v>
      </c>
      <c r="P95" s="55" t="n">
        <f aca="false">IF(P2&gt;=Assumptions!$B$52,P88*P17*Assumptions!$B$17+P83*(Assumptions!$B$148*MAX(0,Assumptions!$B$152-Assumptions!$B$18)+Assumptions!$B$149*MAX(0,Assumptions!$B$153-Assumptions!$B$18)+Assumptions!$B$150*MAX(0,Assumptions!$B$154-Assumptions!$B$18)+Assumptions!$B$151*MAX(0,Assumptions!$B$155-Assumptions!$B$18))*Assumptions!$B$19/Assumptions!$B$7*P7+P83*(Assumptions!$B$146*Assumptions!$B$20+Assumptions!$B$147*Assumptions!$B$21)/12/Assumptions!$B$7*P7,0)</f>
        <v>0</v>
      </c>
      <c r="Q95" s="55" t="n">
        <f aca="false">IF(Q2&gt;=Assumptions!$B$52,Q88*Q17*Assumptions!$B$17+Q83*(Assumptions!$B$148*MAX(0,Assumptions!$B$152-Assumptions!$B$18)+Assumptions!$B$149*MAX(0,Assumptions!$B$153-Assumptions!$B$18)+Assumptions!$B$150*MAX(0,Assumptions!$B$154-Assumptions!$B$18)+Assumptions!$B$151*MAX(0,Assumptions!$B$155-Assumptions!$B$18))*Assumptions!$B$19/Assumptions!$B$7*Q7+Q83*(Assumptions!$B$146*Assumptions!$B$20+Assumptions!$B$147*Assumptions!$B$21)/12/Assumptions!$B$7*Q7,0)</f>
        <v>0</v>
      </c>
      <c r="R95" s="55" t="n">
        <f aca="false">IF(R2&gt;=Assumptions!$B$52,R88*R17*Assumptions!$B$17+R83*(Assumptions!$B$148*MAX(0,Assumptions!$B$152-Assumptions!$B$18)+Assumptions!$B$149*MAX(0,Assumptions!$B$153-Assumptions!$B$18)+Assumptions!$B$150*MAX(0,Assumptions!$B$154-Assumptions!$B$18)+Assumptions!$B$151*MAX(0,Assumptions!$B$155-Assumptions!$B$18))*Assumptions!$B$19/Assumptions!$B$7*R7+R83*(Assumptions!$B$146*Assumptions!$B$20+Assumptions!$B$147*Assumptions!$B$21)/12/Assumptions!$B$7*R7,0)</f>
        <v>0</v>
      </c>
      <c r="S95" s="55" t="n">
        <f aca="false">IF(S2&gt;=Assumptions!$B$52,S88*S17*Assumptions!$B$17+S83*(Assumptions!$B$148*MAX(0,Assumptions!$B$152-Assumptions!$B$18)+Assumptions!$B$149*MAX(0,Assumptions!$B$153-Assumptions!$B$18)+Assumptions!$B$150*MAX(0,Assumptions!$B$154-Assumptions!$B$18)+Assumptions!$B$151*MAX(0,Assumptions!$B$155-Assumptions!$B$18))*Assumptions!$B$19/Assumptions!$B$7*S7+S83*(Assumptions!$B$146*Assumptions!$B$20+Assumptions!$B$147*Assumptions!$B$21)/12/Assumptions!$B$7*S7,0)</f>
        <v>0</v>
      </c>
      <c r="T95" s="55" t="n">
        <f aca="false">IF(T2&gt;=Assumptions!$B$52,T88*T17*Assumptions!$B$17+T83*(Assumptions!$B$148*MAX(0,Assumptions!$B$152-Assumptions!$B$18)+Assumptions!$B$149*MAX(0,Assumptions!$B$153-Assumptions!$B$18)+Assumptions!$B$150*MAX(0,Assumptions!$B$154-Assumptions!$B$18)+Assumptions!$B$151*MAX(0,Assumptions!$B$155-Assumptions!$B$18))*Assumptions!$B$19/Assumptions!$B$7*T7+T83*(Assumptions!$B$146*Assumptions!$B$20+Assumptions!$B$147*Assumptions!$B$21)/12/Assumptions!$B$7*T7,0)</f>
        <v>0</v>
      </c>
      <c r="U95" s="55" t="n">
        <f aca="false">IF(U2&gt;=Assumptions!$B$52,U88*U17*Assumptions!$B$17+U83*(Assumptions!$B$148*MAX(0,Assumptions!$B$152-Assumptions!$B$18)+Assumptions!$B$149*MAX(0,Assumptions!$B$153-Assumptions!$B$18)+Assumptions!$B$150*MAX(0,Assumptions!$B$154-Assumptions!$B$18)+Assumptions!$B$151*MAX(0,Assumptions!$B$155-Assumptions!$B$18))*Assumptions!$B$19/Assumptions!$B$7*U7+U83*(Assumptions!$B$146*Assumptions!$B$20+Assumptions!$B$147*Assumptions!$B$21)/12/Assumptions!$B$7*U7,0)</f>
        <v>0</v>
      </c>
      <c r="V95" s="55" t="n">
        <f aca="false">IF(V2&gt;=Assumptions!$B$52,V88*V17*Assumptions!$B$17+V83*(Assumptions!$B$148*MAX(0,Assumptions!$B$152-Assumptions!$B$18)+Assumptions!$B$149*MAX(0,Assumptions!$B$153-Assumptions!$B$18)+Assumptions!$B$150*MAX(0,Assumptions!$B$154-Assumptions!$B$18)+Assumptions!$B$151*MAX(0,Assumptions!$B$155-Assumptions!$B$18))*Assumptions!$B$19/Assumptions!$B$7*V7+V83*(Assumptions!$B$146*Assumptions!$B$20+Assumptions!$B$147*Assumptions!$B$21)/12/Assumptions!$B$7*V7,0)</f>
        <v>0</v>
      </c>
      <c r="W95" s="55" t="n">
        <f aca="false">IF(W2&gt;=Assumptions!$B$52,W88*W17*Assumptions!$B$17+W83*(Assumptions!$B$148*MAX(0,Assumptions!$B$152-Assumptions!$B$18)+Assumptions!$B$149*MAX(0,Assumptions!$B$153-Assumptions!$B$18)+Assumptions!$B$150*MAX(0,Assumptions!$B$154-Assumptions!$B$18)+Assumptions!$B$151*MAX(0,Assumptions!$B$155-Assumptions!$B$18))*Assumptions!$B$19/Assumptions!$B$7*W7+W83*(Assumptions!$B$146*Assumptions!$B$20+Assumptions!$B$147*Assumptions!$B$21)/12/Assumptions!$B$7*W7,0)</f>
        <v>10.8610936977065</v>
      </c>
      <c r="X95" s="55" t="n">
        <f aca="false">IF(X2&gt;=Assumptions!$B$52,X88*X17*Assumptions!$B$17+X83*(Assumptions!$B$148*MAX(0,Assumptions!$B$152-Assumptions!$B$18)+Assumptions!$B$149*MAX(0,Assumptions!$B$153-Assumptions!$B$18)+Assumptions!$B$150*MAX(0,Assumptions!$B$154-Assumptions!$B$18)+Assumptions!$B$151*MAX(0,Assumptions!$B$155-Assumptions!$B$18))*Assumptions!$B$19/Assumptions!$B$7*X7+X83*(Assumptions!$B$146*Assumptions!$B$20+Assumptions!$B$147*Assumptions!$B$21)/12/Assumptions!$B$7*X7,0)</f>
        <v>21.4698076862509</v>
      </c>
      <c r="Y95" s="55" t="n">
        <f aca="false">IF(Y2&gt;=Assumptions!$B$52,Y88*Y17*Assumptions!$B$17+Y83*(Assumptions!$B$148*MAX(0,Assumptions!$B$152-Assumptions!$B$18)+Assumptions!$B$149*MAX(0,Assumptions!$B$153-Assumptions!$B$18)+Assumptions!$B$150*MAX(0,Assumptions!$B$154-Assumptions!$B$18)+Assumptions!$B$151*MAX(0,Assumptions!$B$155-Assumptions!$B$18))*Assumptions!$B$19/Assumptions!$B$7*Y7+Y83*(Assumptions!$B$146*Assumptions!$B$20+Assumptions!$B$147*Assumptions!$B$21)/12/Assumptions!$B$7*Y7,0)</f>
        <v>31.8301942580042</v>
      </c>
      <c r="Z95" s="55" t="n">
        <f aca="false">IF(Z2&gt;=Assumptions!$B$52,Z88*Z17*Assumptions!$B$17+Z83*(Assumptions!$B$148*MAX(0,Assumptions!$B$152-Assumptions!$B$18)+Assumptions!$B$149*MAX(0,Assumptions!$B$153-Assumptions!$B$18)+Assumptions!$B$150*MAX(0,Assumptions!$B$154-Assumptions!$B$18)+Assumptions!$B$151*MAX(0,Assumptions!$B$155-Assumptions!$B$18))*Assumptions!$B$19/Assumptions!$B$7*Z7+Z83*(Assumptions!$B$146*Assumptions!$B$20+Assumptions!$B$147*Assumptions!$B$21)/12/Assumptions!$B$7*Z7,0)</f>
        <v>44.9575727395278</v>
      </c>
      <c r="AA95" s="55" t="n">
        <f aca="false">IF(AA2&gt;=Assumptions!$B$52,AA88*AA17*Assumptions!$B$17+AA83*(Assumptions!$B$148*MAX(0,Assumptions!$B$152-Assumptions!$B$18)+Assumptions!$B$149*MAX(0,Assumptions!$B$153-Assumptions!$B$18)+Assumptions!$B$150*MAX(0,Assumptions!$B$154-Assumptions!$B$18)+Assumptions!$B$151*MAX(0,Assumptions!$B$155-Assumptions!$B$18))*Assumptions!$B$19/Assumptions!$B$7*AA7+AA83*(Assumptions!$B$146*Assumptions!$B$20+Assumptions!$B$147*Assumptions!$B$21)/12/Assumptions!$B$7*AA7,0)</f>
        <v>4731.95790848092</v>
      </c>
      <c r="AB95" s="55" t="n">
        <f aca="false">IF(AB2&gt;=Assumptions!$B$52,AB88*AB17*Assumptions!$B$17+AB83*(Assumptions!$B$148*MAX(0,Assumptions!$B$152-Assumptions!$B$18)+Assumptions!$B$149*MAX(0,Assumptions!$B$153-Assumptions!$B$18)+Assumptions!$B$150*MAX(0,Assumptions!$B$154-Assumptions!$B$18)+Assumptions!$B$151*MAX(0,Assumptions!$B$155-Assumptions!$B$18))*Assumptions!$B$19/Assumptions!$B$7*AB7+AB83*(Assumptions!$B$146*Assumptions!$B$20+Assumptions!$B$147*Assumptions!$B$21)/12/Assumptions!$B$7*AB7,0)</f>
        <v>9633.389114724</v>
      </c>
      <c r="AC95" s="55" t="n">
        <f aca="false">IF(AC2&gt;=Assumptions!$B$52,AC88*AC17*Assumptions!$B$17+AC83*(Assumptions!$B$148*MAX(0,Assumptions!$B$152-Assumptions!$B$18)+Assumptions!$B$149*MAX(0,Assumptions!$B$153-Assumptions!$B$18)+Assumptions!$B$150*MAX(0,Assumptions!$B$154-Assumptions!$B$18)+Assumptions!$B$151*MAX(0,Assumptions!$B$155-Assumptions!$B$18))*Assumptions!$B$19/Assumptions!$B$7*AC7+AC83*(Assumptions!$B$146*Assumptions!$B$20+Assumptions!$B$147*Assumptions!$B$21)/12/Assumptions!$B$7*AC7,0)</f>
        <v>16986.3317632617</v>
      </c>
      <c r="AD95" s="55" t="n">
        <f aca="false">IF(AD2&gt;=Assumptions!$B$52,AD88*AD17*Assumptions!$B$17+AD83*(Assumptions!$B$148*MAX(0,Assumptions!$B$152-Assumptions!$B$18)+Assumptions!$B$149*MAX(0,Assumptions!$B$153-Assumptions!$B$18)+Assumptions!$B$150*MAX(0,Assumptions!$B$154-Assumptions!$B$18)+Assumptions!$B$151*MAX(0,Assumptions!$B$155-Assumptions!$B$18))*Assumptions!$B$19/Assumptions!$B$7*AD7+AD83*(Assumptions!$B$146*Assumptions!$B$20+Assumptions!$B$147*Assumptions!$B$21)/12/Assumptions!$B$7*AD7,0)</f>
        <v>26765.9316713053</v>
      </c>
      <c r="AE95" s="55" t="n">
        <f aca="false">IF(AE2&gt;=Assumptions!$B$52,AE88*AE17*Assumptions!$B$17+AE83*(Assumptions!$B$148*MAX(0,Assumptions!$B$152-Assumptions!$B$18)+Assumptions!$B$149*MAX(0,Assumptions!$B$153-Assumptions!$B$18)+Assumptions!$B$150*MAX(0,Assumptions!$B$154-Assumptions!$B$18)+Assumptions!$B$151*MAX(0,Assumptions!$B$155-Assumptions!$B$18))*Assumptions!$B$19/Assumptions!$B$7*AE7+AE83*(Assumptions!$B$146*Assumptions!$B$20+Assumptions!$B$147*Assumptions!$B$21)/12/Assumptions!$B$7*AE7,0)</f>
        <v>38630.4231478879</v>
      </c>
    </row>
    <row r="96" customFormat="false" ht="15" hidden="false" customHeight="false" outlineLevel="0" collapsed="false">
      <c r="A96" s="6" t="s">
        <v>473</v>
      </c>
      <c r="B96" s="23" t="s">
        <v>114</v>
      </c>
      <c r="C96" s="55" t="n">
        <f aca="false">IF(C2&gt;=Assumptions!$B$53,C83*C84*(1-Assumptions!$B$171)*Assumptions!$B$156*Assumptions!$B$157,0)</f>
        <v>0</v>
      </c>
      <c r="D96" s="55" t="n">
        <f aca="false">IF(D2&gt;=Assumptions!$B$53,D83*D84*(1-Assumptions!$B$171)*Assumptions!$B$156*Assumptions!$B$157,0)</f>
        <v>0</v>
      </c>
      <c r="E96" s="55" t="n">
        <f aca="false">IF(E2&gt;=Assumptions!$B$53,E83*E84*(1-Assumptions!$B$171)*Assumptions!$B$156*Assumptions!$B$157,0)</f>
        <v>0</v>
      </c>
      <c r="F96" s="55" t="n">
        <f aca="false">IF(F2&gt;=Assumptions!$B$53,F83*F84*(1-Assumptions!$B$171)*Assumptions!$B$156*Assumptions!$B$157,0)</f>
        <v>0</v>
      </c>
      <c r="G96" s="55" t="n">
        <f aca="false">IF(G2&gt;=Assumptions!$B$53,G83*G84*(1-Assumptions!$B$171)*Assumptions!$B$156*Assumptions!$B$157,0)</f>
        <v>0</v>
      </c>
      <c r="H96" s="55" t="n">
        <f aca="false">IF(H2&gt;=Assumptions!$B$53,H83*H84*(1-Assumptions!$B$171)*Assumptions!$B$156*Assumptions!$B$157,0)</f>
        <v>0</v>
      </c>
      <c r="I96" s="55" t="n">
        <f aca="false">IF(I2&gt;=Assumptions!$B$53,I83*I84*(1-Assumptions!$B$171)*Assumptions!$B$156*Assumptions!$B$157,0)</f>
        <v>0</v>
      </c>
      <c r="J96" s="55" t="n">
        <f aca="false">IF(J2&gt;=Assumptions!$B$53,J83*J84*(1-Assumptions!$B$171)*Assumptions!$B$156*Assumptions!$B$157,0)</f>
        <v>0</v>
      </c>
      <c r="K96" s="55" t="n">
        <f aca="false">IF(K2&gt;=Assumptions!$B$53,K83*K84*(1-Assumptions!$B$171)*Assumptions!$B$156*Assumptions!$B$157,0)</f>
        <v>0</v>
      </c>
      <c r="L96" s="55" t="n">
        <f aca="false">IF(L2&gt;=Assumptions!$B$53,L83*L84*(1-Assumptions!$B$171)*Assumptions!$B$156*Assumptions!$B$157,0)</f>
        <v>0</v>
      </c>
      <c r="M96" s="55" t="n">
        <f aca="false">IF(M2&gt;=Assumptions!$B$53,M83*M84*(1-Assumptions!$B$171)*Assumptions!$B$156*Assumptions!$B$157,0)</f>
        <v>0</v>
      </c>
      <c r="N96" s="55" t="n">
        <f aca="false">IF(N2&gt;=Assumptions!$B$53,N83*N84*(1-Assumptions!$B$171)*Assumptions!$B$156*Assumptions!$B$157,0)</f>
        <v>0</v>
      </c>
      <c r="O96" s="55" t="n">
        <f aca="false">IF(O2&gt;=Assumptions!$B$53,O83*O84*(1-Assumptions!$B$171)*Assumptions!$B$156*Assumptions!$B$157,0)</f>
        <v>0</v>
      </c>
      <c r="P96" s="55" t="n">
        <f aca="false">IF(P2&gt;=Assumptions!$B$53,P83*P84*(1-Assumptions!$B$171)*Assumptions!$B$156*Assumptions!$B$157,0)</f>
        <v>0</v>
      </c>
      <c r="Q96" s="55" t="n">
        <f aca="false">IF(Q2&gt;=Assumptions!$B$53,Q83*Q84*(1-Assumptions!$B$171)*Assumptions!$B$156*Assumptions!$B$157,0)</f>
        <v>0</v>
      </c>
      <c r="R96" s="55" t="n">
        <f aca="false">IF(R2&gt;=Assumptions!$B$53,R83*R84*(1-Assumptions!$B$171)*Assumptions!$B$156*Assumptions!$B$157,0)</f>
        <v>0</v>
      </c>
      <c r="S96" s="55" t="n">
        <f aca="false">IF(S2&gt;=Assumptions!$B$53,S83*S84*(1-Assumptions!$B$171)*Assumptions!$B$156*Assumptions!$B$157,0)</f>
        <v>0</v>
      </c>
      <c r="T96" s="55" t="n">
        <f aca="false">IF(T2&gt;=Assumptions!$B$53,T83*T84*(1-Assumptions!$B$171)*Assumptions!$B$156*Assumptions!$B$157,0)</f>
        <v>0</v>
      </c>
      <c r="U96" s="55" t="n">
        <f aca="false">IF(U2&gt;=Assumptions!$B$53,U83*U84*(1-Assumptions!$B$171)*Assumptions!$B$156*Assumptions!$B$157,0)</f>
        <v>0</v>
      </c>
      <c r="V96" s="55" t="n">
        <f aca="false">IF(V2&gt;=Assumptions!$B$53,V83*V84*(1-Assumptions!$B$171)*Assumptions!$B$156*Assumptions!$B$157,0)</f>
        <v>0</v>
      </c>
      <c r="W96" s="55" t="n">
        <f aca="false">IF(W2&gt;=Assumptions!$B$53,W83*W84*(1-Assumptions!$B$171)*Assumptions!$B$156*Assumptions!$B$157,0)</f>
        <v>44.8507666296267</v>
      </c>
      <c r="X96" s="55" t="n">
        <f aca="false">IF(X2&gt;=Assumptions!$B$53,X83*X84*(1-Assumptions!$B$171)*Assumptions!$B$156*Assumptions!$B$157,0)</f>
        <v>93.4010385151229</v>
      </c>
      <c r="Y96" s="55" t="n">
        <f aca="false">IF(Y2&gt;=Assumptions!$B$53,Y83*Y84*(1-Assumptions!$B$171)*Assumptions!$B$156*Assumptions!$B$157,0)</f>
        <v>148.359989398316</v>
      </c>
      <c r="Z96" s="55" t="n">
        <f aca="false">IF(Z2&gt;=Assumptions!$B$53,Z83*Z84*(1-Assumptions!$B$171)*Assumptions!$B$156*Assumptions!$B$157,0)</f>
        <v>227.427861473489</v>
      </c>
      <c r="AA96" s="55" t="n">
        <f aca="false">IF(AA2&gt;=Assumptions!$B$53,AA83*AA84*(1-Assumptions!$B$171)*Assumptions!$B$156*Assumptions!$B$157,0)</f>
        <v>4491.46146312255</v>
      </c>
      <c r="AB96" s="55" t="n">
        <f aca="false">IF(AB2&gt;=Assumptions!$B$53,AB83*AB84*(1-Assumptions!$B$171)*Assumptions!$B$156*Assumptions!$B$157,0)</f>
        <v>11779.3541714873</v>
      </c>
      <c r="AC96" s="55" t="n">
        <f aca="false">IF(AC2&gt;=Assumptions!$B$53,AC83*AC84*(1-Assumptions!$B$171)*Assumptions!$B$156*Assumptions!$B$157,0)</f>
        <v>23900.4957519951</v>
      </c>
      <c r="AD96" s="55" t="n">
        <f aca="false">IF(AD2&gt;=Assumptions!$B$53,AD83*AD84*(1-Assumptions!$B$171)*Assumptions!$B$156*Assumptions!$B$157,0)</f>
        <v>42215.5901884597</v>
      </c>
      <c r="AE96" s="55" t="n">
        <f aca="false">IF(AE2&gt;=Assumptions!$B$53,AE83*AE84*(1-Assumptions!$B$171)*Assumptions!$B$156*Assumptions!$B$157,0)</f>
        <v>67667.7364177372</v>
      </c>
    </row>
    <row r="97" customFormat="false" ht="15" hidden="false" customHeight="false" outlineLevel="0" collapsed="false">
      <c r="A97" s="6" t="s">
        <v>474</v>
      </c>
      <c r="B97" s="23" t="s">
        <v>114</v>
      </c>
      <c r="C97" s="55" t="n">
        <f aca="false">IF(C2&gt;=Assumptions!$B$53,(C96*Assumptions!$B$29*Assumptions!$B$30+C83*C85*(1-Assumptions!$B$171)*Assumptions!$B$27*Assumptions!$B$28)*C7/12,0)</f>
        <v>0</v>
      </c>
      <c r="D97" s="55" t="n">
        <f aca="false">IF(D2&gt;=Assumptions!$B$53,(D96*Assumptions!$B$29*Assumptions!$B$30+D83*D85*(1-Assumptions!$B$171)*Assumptions!$B$27*Assumptions!$B$28)*D7/12,0)</f>
        <v>0</v>
      </c>
      <c r="E97" s="55" t="n">
        <f aca="false">IF(E2&gt;=Assumptions!$B$53,(E96*Assumptions!$B$29*Assumptions!$B$30+E83*E85*(1-Assumptions!$B$171)*Assumptions!$B$27*Assumptions!$B$28)*E7/12,0)</f>
        <v>0</v>
      </c>
      <c r="F97" s="55" t="n">
        <f aca="false">IF(F2&gt;=Assumptions!$B$53,(F96*Assumptions!$B$29*Assumptions!$B$30+F83*F85*(1-Assumptions!$B$171)*Assumptions!$B$27*Assumptions!$B$28)*F7/12,0)</f>
        <v>0</v>
      </c>
      <c r="G97" s="55" t="n">
        <f aca="false">IF(G2&gt;=Assumptions!$B$53,(G96*Assumptions!$B$29*Assumptions!$B$30+G83*G85*(1-Assumptions!$B$171)*Assumptions!$B$27*Assumptions!$B$28)*G7/12,0)</f>
        <v>0</v>
      </c>
      <c r="H97" s="55" t="n">
        <f aca="false">IF(H2&gt;=Assumptions!$B$53,(H96*Assumptions!$B$29*Assumptions!$B$30+H83*H85*(1-Assumptions!$B$171)*Assumptions!$B$27*Assumptions!$B$28)*H7/12,0)</f>
        <v>0</v>
      </c>
      <c r="I97" s="55" t="n">
        <f aca="false">IF(I2&gt;=Assumptions!$B$53,(I96*Assumptions!$B$29*Assumptions!$B$30+I83*I85*(1-Assumptions!$B$171)*Assumptions!$B$27*Assumptions!$B$28)*I7/12,0)</f>
        <v>0</v>
      </c>
      <c r="J97" s="55" t="n">
        <f aca="false">IF(J2&gt;=Assumptions!$B$53,(J96*Assumptions!$B$29*Assumptions!$B$30+J83*J85*(1-Assumptions!$B$171)*Assumptions!$B$27*Assumptions!$B$28)*J7/12,0)</f>
        <v>0</v>
      </c>
      <c r="K97" s="55" t="n">
        <f aca="false">IF(K2&gt;=Assumptions!$B$53,(K96*Assumptions!$B$29*Assumptions!$B$30+K83*K85*(1-Assumptions!$B$171)*Assumptions!$B$27*Assumptions!$B$28)*K7/12,0)</f>
        <v>0</v>
      </c>
      <c r="L97" s="55" t="n">
        <f aca="false">IF(L2&gt;=Assumptions!$B$53,(L96*Assumptions!$B$29*Assumptions!$B$30+L83*L85*(1-Assumptions!$B$171)*Assumptions!$B$27*Assumptions!$B$28)*L7/12,0)</f>
        <v>0</v>
      </c>
      <c r="M97" s="55" t="n">
        <f aca="false">IF(M2&gt;=Assumptions!$B$53,(M96*Assumptions!$B$29*Assumptions!$B$30+M83*M85*(1-Assumptions!$B$171)*Assumptions!$B$27*Assumptions!$B$28)*M7/12,0)</f>
        <v>0</v>
      </c>
      <c r="N97" s="55" t="n">
        <f aca="false">IF(N2&gt;=Assumptions!$B$53,(N96*Assumptions!$B$29*Assumptions!$B$30+N83*N85*(1-Assumptions!$B$171)*Assumptions!$B$27*Assumptions!$B$28)*N7/12,0)</f>
        <v>0</v>
      </c>
      <c r="O97" s="55" t="n">
        <f aca="false">IF(O2&gt;=Assumptions!$B$53,(O96*Assumptions!$B$29*Assumptions!$B$30+O83*O85*(1-Assumptions!$B$171)*Assumptions!$B$27*Assumptions!$B$28)*O7/12,0)</f>
        <v>0</v>
      </c>
      <c r="P97" s="55" t="n">
        <f aca="false">IF(P2&gt;=Assumptions!$B$53,(P96*Assumptions!$B$29*Assumptions!$B$30+P83*P85*(1-Assumptions!$B$171)*Assumptions!$B$27*Assumptions!$B$28)*P7/12,0)</f>
        <v>0</v>
      </c>
      <c r="Q97" s="55" t="n">
        <f aca="false">IF(Q2&gt;=Assumptions!$B$53,(Q96*Assumptions!$B$29*Assumptions!$B$30+Q83*Q85*(1-Assumptions!$B$171)*Assumptions!$B$27*Assumptions!$B$28)*Q7/12,0)</f>
        <v>0</v>
      </c>
      <c r="R97" s="55" t="n">
        <f aca="false">IF(R2&gt;=Assumptions!$B$53,(R96*Assumptions!$B$29*Assumptions!$B$30+R83*R85*(1-Assumptions!$B$171)*Assumptions!$B$27*Assumptions!$B$28)*R7/12,0)</f>
        <v>0</v>
      </c>
      <c r="S97" s="55" t="n">
        <f aca="false">IF(S2&gt;=Assumptions!$B$53,(S96*Assumptions!$B$29*Assumptions!$B$30+S83*S85*(1-Assumptions!$B$171)*Assumptions!$B$27*Assumptions!$B$28)*S7/12,0)</f>
        <v>0</v>
      </c>
      <c r="T97" s="55" t="n">
        <f aca="false">IF(T2&gt;=Assumptions!$B$53,(T96*Assumptions!$B$29*Assumptions!$B$30+T83*T85*(1-Assumptions!$B$171)*Assumptions!$B$27*Assumptions!$B$28)*T7/12,0)</f>
        <v>0</v>
      </c>
      <c r="U97" s="55" t="n">
        <f aca="false">IF(U2&gt;=Assumptions!$B$53,(U96*Assumptions!$B$29*Assumptions!$B$30+U83*U85*(1-Assumptions!$B$171)*Assumptions!$B$27*Assumptions!$B$28)*U7/12,0)</f>
        <v>0</v>
      </c>
      <c r="V97" s="55" t="n">
        <f aca="false">IF(V2&gt;=Assumptions!$B$53,(V96*Assumptions!$B$29*Assumptions!$B$30+V83*V85*(1-Assumptions!$B$171)*Assumptions!$B$27*Assumptions!$B$28)*V7/12,0)</f>
        <v>0</v>
      </c>
      <c r="W97" s="55" t="n">
        <f aca="false">IF(W2&gt;=Assumptions!$B$53,(W96*Assumptions!$B$29*Assumptions!$B$30+W83*W85*(1-Assumptions!$B$171)*Assumptions!$B$27*Assumptions!$B$28)*W7/12,0)</f>
        <v>0.106520570745363</v>
      </c>
      <c r="X97" s="55" t="n">
        <f aca="false">IF(X2&gt;=Assumptions!$B$53,(X96*Assumptions!$B$29*Assumptions!$B$30+X83*X85*(1-Assumptions!$B$171)*Assumptions!$B$27*Assumptions!$B$28)*X7/12,0)</f>
        <v>0.221827466473417</v>
      </c>
      <c r="Y97" s="55" t="n">
        <f aca="false">IF(Y2&gt;=Assumptions!$B$53,(Y96*Assumptions!$B$29*Assumptions!$B$30+Y83*Y85*(1-Assumptions!$B$171)*Assumptions!$B$27*Assumptions!$B$28)*Y7/12,0)</f>
        <v>0.352354974821001</v>
      </c>
      <c r="Z97" s="55" t="n">
        <f aca="false">IF(Z2&gt;=Assumptions!$B$53,(Z96*Assumptions!$B$29*Assumptions!$B$30+Z83*Z85*(1-Assumptions!$B$171)*Assumptions!$B$27*Assumptions!$B$28)*Z7/12,0)</f>
        <v>0.540141170999537</v>
      </c>
      <c r="AA97" s="55" t="n">
        <f aca="false">IF(AA2&gt;=Assumptions!$B$53,(AA96*Assumptions!$B$29*Assumptions!$B$30+AA83*AA85*(1-Assumptions!$B$171)*Assumptions!$B$27*Assumptions!$B$28)*AA7/12,0)</f>
        <v>128.006651698993</v>
      </c>
      <c r="AB97" s="55" t="n">
        <f aca="false">IF(AB2&gt;=Assumptions!$B$53,(AB96*Assumptions!$B$29*Assumptions!$B$30+AB83*AB85*(1-Assumptions!$B$171)*Assumptions!$B$27*Assumptions!$B$28)*AB7/12,0)</f>
        <v>335.711593887388</v>
      </c>
      <c r="AC97" s="55" t="n">
        <f aca="false">IF(AC2&gt;=Assumptions!$B$53,(AC96*Assumptions!$B$29*Assumptions!$B$30+AC83*AC85*(1-Assumptions!$B$171)*Assumptions!$B$27*Assumptions!$B$28)*AC7/12,0)</f>
        <v>681.16412893186</v>
      </c>
      <c r="AD97" s="55" t="n">
        <f aca="false">IF(AD2&gt;=Assumptions!$B$53,(AD96*Assumptions!$B$29*Assumptions!$B$30+AD83*AD85*(1-Assumptions!$B$171)*Assumptions!$B$27*Assumptions!$B$28)*AD7/12,0)</f>
        <v>1203.1443203711</v>
      </c>
      <c r="AE97" s="55" t="n">
        <f aca="false">IF(AE2&gt;=Assumptions!$B$53,(AE96*Assumptions!$B$29*Assumptions!$B$30+AE83*AE85*(1-Assumptions!$B$171)*Assumptions!$B$27*Assumptions!$B$28)*AE7/12,0)</f>
        <v>1928.53048790551</v>
      </c>
    </row>
    <row r="98" customFormat="false" ht="15" hidden="false" customHeight="false" outlineLevel="0" collapsed="false">
      <c r="A98" s="6" t="s">
        <v>475</v>
      </c>
      <c r="B98" s="23" t="s">
        <v>476</v>
      </c>
      <c r="C98" s="45" t="n">
        <f aca="false">IF(C2&gt;=Assumptions!$B$49,(C69+C71*Assumptions!$B$138)*Assumptions!$B$137*C7/12,0)</f>
        <v>0</v>
      </c>
      <c r="D98" s="45" t="n">
        <f aca="false">IF(D2&gt;=Assumptions!$B$49,(D69+D71*Assumptions!$B$138)*Assumptions!$B$137*D7/12,0)</f>
        <v>0</v>
      </c>
      <c r="E98" s="45" t="n">
        <f aca="false">IF(E2&gt;=Assumptions!$B$49,(E69+E71*Assumptions!$B$138)*Assumptions!$B$137*E7/12,0)</f>
        <v>0</v>
      </c>
      <c r="F98" s="45" t="n">
        <f aca="false">IF(F2&gt;=Assumptions!$B$49,(F69+F71*Assumptions!$B$138)*Assumptions!$B$137*F7/12,0)</f>
        <v>0</v>
      </c>
      <c r="G98" s="45" t="n">
        <f aca="false">IF(G2&gt;=Assumptions!$B$49,(G69+G71*Assumptions!$B$138)*Assumptions!$B$137*G7/12,0)</f>
        <v>0</v>
      </c>
      <c r="H98" s="45" t="n">
        <f aca="false">IF(H2&gt;=Assumptions!$B$49,(H69+H71*Assumptions!$B$138)*Assumptions!$B$137*H7/12,0)</f>
        <v>0</v>
      </c>
      <c r="I98" s="45" t="n">
        <f aca="false">IF(I2&gt;=Assumptions!$B$49,(I69+I71*Assumptions!$B$138)*Assumptions!$B$137*I7/12,0)</f>
        <v>0</v>
      </c>
      <c r="J98" s="45" t="n">
        <f aca="false">IF(J2&gt;=Assumptions!$B$49,(J69+J71*Assumptions!$B$138)*Assumptions!$B$137*J7/12,0)</f>
        <v>0</v>
      </c>
      <c r="K98" s="45" t="n">
        <f aca="false">IF(K2&gt;=Assumptions!$B$49,(K69+K71*Assumptions!$B$138)*Assumptions!$B$137*K7/12,0)</f>
        <v>0</v>
      </c>
      <c r="L98" s="45" t="n">
        <f aca="false">IF(L2&gt;=Assumptions!$B$49,(L69+L71*Assumptions!$B$138)*Assumptions!$B$137*L7/12,0)</f>
        <v>0</v>
      </c>
      <c r="M98" s="45" t="n">
        <f aca="false">IF(M2&gt;=Assumptions!$B$49,(M69+M71*Assumptions!$B$138)*Assumptions!$B$137*M7/12,0)</f>
        <v>0</v>
      </c>
      <c r="N98" s="45" t="n">
        <f aca="false">IF(N2&gt;=Assumptions!$B$49,(N69+N71*Assumptions!$B$138)*Assumptions!$B$137*N7/12,0)</f>
        <v>0</v>
      </c>
      <c r="O98" s="45" t="n">
        <f aca="false">IF(O2&gt;=Assumptions!$B$49,(O69+O71*Assumptions!$B$138)*Assumptions!$B$137*O7/12,0)</f>
        <v>0.221689165042946</v>
      </c>
      <c r="P98" s="45" t="n">
        <f aca="false">IF(P2&gt;=Assumptions!$B$49,(P69+P71*Assumptions!$B$138)*Assumptions!$B$137*P7/12,0)</f>
        <v>0.449285461502597</v>
      </c>
      <c r="Q98" s="45" t="n">
        <f aca="false">IF(Q2&gt;=Assumptions!$B$49,(Q69+Q71*Assumptions!$B$138)*Assumptions!$B$137*Q7/12,0)</f>
        <v>0.683292716869015</v>
      </c>
      <c r="R98" s="45" t="n">
        <f aca="false">IF(R2&gt;=Assumptions!$B$49,(R69+R71*Assumptions!$B$138)*Assumptions!$B$137*R7/12,0)</f>
        <v>0.985108119666616</v>
      </c>
      <c r="S98" s="45" t="n">
        <f aca="false">IF(S2&gt;=Assumptions!$B$49,(S69+S71*Assumptions!$B$138)*Assumptions!$B$137*S7/12,0)</f>
        <v>1.27977677408572</v>
      </c>
      <c r="T98" s="45" t="n">
        <f aca="false">IF(T2&gt;=Assumptions!$B$49,(T69+T71*Assumptions!$B$138)*Assumptions!$B$137*T7/12,0)</f>
        <v>1.55163263804607</v>
      </c>
      <c r="U98" s="45" t="n">
        <f aca="false">IF(U2&gt;=Assumptions!$B$49,(U69+U71*Assumptions!$B$138)*Assumptions!$B$137*U7/12,0)</f>
        <v>1.8280788874066</v>
      </c>
      <c r="V98" s="45" t="n">
        <f aca="false">IF(V2&gt;=Assumptions!$B$49,(V69+V71*Assumptions!$B$138)*Assumptions!$B$137*V7/12,0)</f>
        <v>2.11547674291203</v>
      </c>
      <c r="W98" s="45" t="n">
        <f aca="false">IF(W2&gt;=Assumptions!$B$49,(W69+W71*Assumptions!$B$138)*Assumptions!$B$137*W7/12,0)</f>
        <v>2.4336406202676</v>
      </c>
      <c r="X98" s="45" t="n">
        <f aca="false">IF(X2&gt;=Assumptions!$B$49,(X69+X71*Assumptions!$B$138)*Assumptions!$B$137*X7/12,0)</f>
        <v>2.845550747085</v>
      </c>
      <c r="Y98" s="45" t="n">
        <f aca="false">IF(Y2&gt;=Assumptions!$B$49,(Y69+Y71*Assumptions!$B$138)*Assumptions!$B$137*Y7/12,0)</f>
        <v>3.25081613587888</v>
      </c>
      <c r="Z98" s="45" t="n">
        <f aca="false">IF(Z2&gt;=Assumptions!$B$49,(Z69+Z71*Assumptions!$B$138)*Assumptions!$B$137*Z7/12,0)</f>
        <v>3.63538457296313</v>
      </c>
      <c r="AA98" s="45" t="n">
        <f aca="false">IF(AA2&gt;=Assumptions!$B$49,(AA69+AA71*Assumptions!$B$138)*Assumptions!$B$137*AA7/12,0)</f>
        <v>133.322455755641</v>
      </c>
      <c r="AB98" s="45" t="n">
        <f aca="false">IF(AB2&gt;=Assumptions!$B$49,(AB69+AB71*Assumptions!$B$138)*Assumptions!$B$137*AB7/12,0)</f>
        <v>286.334591439043</v>
      </c>
      <c r="AC98" s="45" t="n">
        <f aca="false">IF(AC2&gt;=Assumptions!$B$49,(AC69+AC71*Assumptions!$B$138)*Assumptions!$B$137*AC7/12,0)</f>
        <v>522.851551010305</v>
      </c>
      <c r="AD98" s="45" t="n">
        <f aca="false">IF(AD2&gt;=Assumptions!$B$49,(AD69+AD71*Assumptions!$B$138)*Assumptions!$B$137*AD7/12,0)</f>
        <v>848.80219372927</v>
      </c>
      <c r="AE98" s="45" t="n">
        <f aca="false">IF(AE2&gt;=Assumptions!$B$49,(AE69+AE71*Assumptions!$B$138)*Assumptions!$B$137*AE7/12,0)</f>
        <v>1258.08993481058</v>
      </c>
    </row>
    <row r="99" customFormat="false" ht="15" hidden="false" customHeight="false" outlineLevel="0" collapsed="false">
      <c r="A99" s="3" t="s">
        <v>479</v>
      </c>
      <c r="B99" s="23" t="s">
        <v>114</v>
      </c>
      <c r="C99" s="57" t="n">
        <f aca="false">C91+C92+C93+C94+C95+C97</f>
        <v>0</v>
      </c>
      <c r="D99" s="57" t="n">
        <f aca="false">D91+D92+D93+D94+D95+D97</f>
        <v>0</v>
      </c>
      <c r="E99" s="57" t="n">
        <f aca="false">E91+E92+E93+E94+E95+E97</f>
        <v>0</v>
      </c>
      <c r="F99" s="57" t="n">
        <f aca="false">F91+F92+F93+F94+F95+F97</f>
        <v>0</v>
      </c>
      <c r="G99" s="57" t="n">
        <f aca="false">G91+G92+G93+G94+G95+G97</f>
        <v>0</v>
      </c>
      <c r="H99" s="57" t="n">
        <f aca="false">H91+H92+H93+H94+H95+H97</f>
        <v>0</v>
      </c>
      <c r="I99" s="57" t="n">
        <f aca="false">I91+I92+I93+I94+I95+I97</f>
        <v>0</v>
      </c>
      <c r="J99" s="57" t="n">
        <f aca="false">J91+J92+J93+J94+J95+J97</f>
        <v>0</v>
      </c>
      <c r="K99" s="57" t="n">
        <f aca="false">K91+K92+K93+K94+K95+K97</f>
        <v>0</v>
      </c>
      <c r="L99" s="57" t="n">
        <f aca="false">L91+L92+L93+L94+L95+L97</f>
        <v>0</v>
      </c>
      <c r="M99" s="57" t="n">
        <f aca="false">M91+M92+M93+M94+M95+M97</f>
        <v>0</v>
      </c>
      <c r="N99" s="57" t="n">
        <f aca="false">N91+N92+N93+N94+N95+N97</f>
        <v>0</v>
      </c>
      <c r="O99" s="57" t="n">
        <f aca="false">O91+O92+O93+O94+O95+O97</f>
        <v>107.202851316499</v>
      </c>
      <c r="P99" s="57" t="n">
        <f aca="false">P91+P92+P93+P94+P95+P97</f>
        <v>206.128996168351</v>
      </c>
      <c r="Q99" s="57" t="n">
        <f aca="false">Q91+Q92+Q93+Q94+Q95+Q97</f>
        <v>297.881624660996</v>
      </c>
      <c r="R99" s="57" t="n">
        <f aca="false">R91+R92+R93+R94+R95+R97</f>
        <v>412.895731743683</v>
      </c>
      <c r="S99" s="57" t="n">
        <f aca="false">S91+S92+S93+S94+S95+S97</f>
        <v>512.509416267219</v>
      </c>
      <c r="T99" s="57" t="n">
        <f aca="false">T91+T92+T93+T94+T95+T97</f>
        <v>590.74637159034</v>
      </c>
      <c r="U99" s="57" t="n">
        <f aca="false">U91+U92+U93+U94+U95+U97</f>
        <v>663.078045211323</v>
      </c>
      <c r="V99" s="57" t="n">
        <f aca="false">V91+V92+V93+V94+V95+V97</f>
        <v>733.193826025961</v>
      </c>
      <c r="W99" s="57" t="n">
        <f aca="false">W91+W92+W93+W94+W95+W97</f>
        <v>821.967352472729</v>
      </c>
      <c r="X99" s="57" t="n">
        <f aca="false">X91+X92+X93+X94+X95+X97</f>
        <v>947.771593059987</v>
      </c>
      <c r="Y99" s="57" t="n">
        <f aca="false">Y91+Y92+Y93+Y94+Y95+Y97</f>
        <v>1058.2103829356</v>
      </c>
      <c r="Z99" s="57" t="n">
        <f aca="false">Z91+Z92+Z93+Z94+Z95+Z97</f>
        <v>1151.1886059625</v>
      </c>
      <c r="AA99" s="57" t="n">
        <f aca="false">AA91+AA92+AA93+AA94+AA95+AA97</f>
        <v>34130.3709784358</v>
      </c>
      <c r="AB99" s="57" t="n">
        <f aca="false">AB91+AB92+AB93+AB94+AB95+AB97</f>
        <v>61600.5600828353</v>
      </c>
      <c r="AC99" s="57" t="n">
        <f aca="false">AC91+AC92+AC93+AC94+AC95+AC97</f>
        <v>99150.3757963176</v>
      </c>
      <c r="AD99" s="57" t="n">
        <f aca="false">AD91+AD92+AD93+AD94+AD95+AD97</f>
        <v>142972.742370952</v>
      </c>
      <c r="AE99" s="57" t="n">
        <f aca="false">AE91+AE92+AE93+AE94+AE95+AE97</f>
        <v>188360.033301559</v>
      </c>
    </row>
    <row r="101" customFormat="false" ht="15" hidden="false" customHeight="false" outlineLevel="0" collapsed="false">
      <c r="A101" s="46" t="s">
        <v>480</v>
      </c>
      <c r="B101" s="47"/>
      <c r="C101" s="47"/>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c r="AB101" s="47"/>
      <c r="AC101" s="47"/>
      <c r="AD101" s="47"/>
      <c r="AE101" s="47"/>
    </row>
    <row r="102" customFormat="false" ht="15" hidden="false" customHeight="false" outlineLevel="0" collapsed="false">
      <c r="A102" s="6" t="s">
        <v>438</v>
      </c>
      <c r="B102" s="23" t="s">
        <v>190</v>
      </c>
      <c r="C102" s="53" t="n">
        <f aca="false">INDEX(Assumptions!$B$100:$B$106,C5)*Assumptions!$B$129/12*C7/Assumptions!$B$126*(1+Assumptions!$B$132)*IF(C2&gt;=Assumptions!$B$57,1,0)</f>
        <v>72.8</v>
      </c>
      <c r="D102" s="53" t="n">
        <f aca="false">INDEX(Assumptions!$B$100:$B$106,D5)*Assumptions!$B$129/12*D7/Assumptions!$B$126*(1+Assumptions!$B$132)*IF(D2&gt;=Assumptions!$B$57,1,0)</f>
        <v>72.8</v>
      </c>
      <c r="E102" s="53" t="n">
        <f aca="false">INDEX(Assumptions!$B$100:$B$106,E5)*Assumptions!$B$129/12*E7/Assumptions!$B$126*(1+Assumptions!$B$132)*IF(E2&gt;=Assumptions!$B$57,1,0)</f>
        <v>72.8</v>
      </c>
      <c r="F102" s="53" t="n">
        <f aca="false">INDEX(Assumptions!$B$100:$B$106,F5)*Assumptions!$B$129/12*F7/Assumptions!$B$126*(1+Assumptions!$B$132)*IF(F2&gt;=Assumptions!$B$57,1,0)</f>
        <v>72.8</v>
      </c>
      <c r="G102" s="53" t="n">
        <f aca="false">INDEX(Assumptions!$B$100:$B$106,G5)*Assumptions!$B$129/12*G7/Assumptions!$B$126*(1+Assumptions!$B$132)*IF(G2&gt;=Assumptions!$B$57,1,0)</f>
        <v>72.8</v>
      </c>
      <c r="H102" s="53" t="n">
        <f aca="false">INDEX(Assumptions!$B$100:$B$106,H5)*Assumptions!$B$129/12*H7/Assumptions!$B$126*(1+Assumptions!$B$132)*IF(H2&gt;=Assumptions!$B$57,1,0)</f>
        <v>72.8</v>
      </c>
      <c r="I102" s="53" t="n">
        <f aca="false">INDEX(Assumptions!$B$100:$B$106,I5)*Assumptions!$B$129/12*I7/Assumptions!$B$126*(1+Assumptions!$B$132)*IF(I2&gt;=Assumptions!$B$57,1,0)</f>
        <v>72.8</v>
      </c>
      <c r="J102" s="53" t="n">
        <f aca="false">INDEX(Assumptions!$B$100:$B$106,J5)*Assumptions!$B$129/12*J7/Assumptions!$B$126*(1+Assumptions!$B$132)*IF(J2&gt;=Assumptions!$B$57,1,0)</f>
        <v>72.8</v>
      </c>
      <c r="K102" s="53" t="n">
        <f aca="false">INDEX(Assumptions!$B$100:$B$106,K5)*Assumptions!$B$129/12*K7/Assumptions!$B$126*(1+Assumptions!$B$132)*IF(K2&gt;=Assumptions!$B$57,1,0)</f>
        <v>72.8</v>
      </c>
      <c r="L102" s="53" t="n">
        <f aca="false">INDEX(Assumptions!$B$100:$B$106,L5)*Assumptions!$B$129/12*L7/Assumptions!$B$126*(1+Assumptions!$B$132)*IF(L2&gt;=Assumptions!$B$57,1,0)</f>
        <v>72.8</v>
      </c>
      <c r="M102" s="53" t="n">
        <f aca="false">INDEX(Assumptions!$B$100:$B$106,M5)*Assumptions!$B$129/12*M7/Assumptions!$B$126*(1+Assumptions!$B$132)*IF(M2&gt;=Assumptions!$B$57,1,0)</f>
        <v>72.8</v>
      </c>
      <c r="N102" s="53" t="n">
        <f aca="false">INDEX(Assumptions!$B$100:$B$106,N5)*Assumptions!$B$129/12*N7/Assumptions!$B$126*(1+Assumptions!$B$132)*IF(N2&gt;=Assumptions!$B$57,1,0)</f>
        <v>72.8</v>
      </c>
      <c r="O102" s="53" t="n">
        <f aca="false">INDEX(Assumptions!$B$100:$B$106,O5)*Assumptions!$B$129/12*O7/Assumptions!$B$126*(1+Assumptions!$B$132)*IF(O2&gt;=Assumptions!$B$57,1,0)</f>
        <v>218.4</v>
      </c>
      <c r="P102" s="53" t="n">
        <f aca="false">INDEX(Assumptions!$B$100:$B$106,P5)*Assumptions!$B$129/12*P7/Assumptions!$B$126*(1+Assumptions!$B$132)*IF(P2&gt;=Assumptions!$B$57,1,0)</f>
        <v>218.4</v>
      </c>
      <c r="Q102" s="53" t="n">
        <f aca="false">INDEX(Assumptions!$B$100:$B$106,Q5)*Assumptions!$B$129/12*Q7/Assumptions!$B$126*(1+Assumptions!$B$132)*IF(Q2&gt;=Assumptions!$B$57,1,0)</f>
        <v>218.4</v>
      </c>
      <c r="R102" s="53" t="n">
        <f aca="false">INDEX(Assumptions!$B$100:$B$106,R5)*Assumptions!$B$129/12*R7/Assumptions!$B$126*(1+Assumptions!$B$132)*IF(R2&gt;=Assumptions!$B$57,1,0)</f>
        <v>218.4</v>
      </c>
      <c r="S102" s="53" t="n">
        <f aca="false">INDEX(Assumptions!$B$100:$B$106,S5)*Assumptions!$B$129/12*S7/Assumptions!$B$126*(1+Assumptions!$B$132)*IF(S2&gt;=Assumptions!$B$57,1,0)</f>
        <v>218.4</v>
      </c>
      <c r="T102" s="53" t="n">
        <f aca="false">INDEX(Assumptions!$B$100:$B$106,T5)*Assumptions!$B$129/12*T7/Assumptions!$B$126*(1+Assumptions!$B$132)*IF(T2&gt;=Assumptions!$B$57,1,0)</f>
        <v>218.4</v>
      </c>
      <c r="U102" s="53" t="n">
        <f aca="false">INDEX(Assumptions!$B$100:$B$106,U5)*Assumptions!$B$129/12*U7/Assumptions!$B$126*(1+Assumptions!$B$132)*IF(U2&gt;=Assumptions!$B$57,1,0)</f>
        <v>218.4</v>
      </c>
      <c r="V102" s="53" t="n">
        <f aca="false">INDEX(Assumptions!$B$100:$B$106,V5)*Assumptions!$B$129/12*V7/Assumptions!$B$126*(1+Assumptions!$B$132)*IF(V2&gt;=Assumptions!$B$57,1,0)</f>
        <v>218.4</v>
      </c>
      <c r="W102" s="53" t="n">
        <f aca="false">INDEX(Assumptions!$B$100:$B$106,W5)*Assumptions!$B$129/12*W7/Assumptions!$B$126*(1+Assumptions!$B$132)*IF(W2&gt;=Assumptions!$B$57,1,0)</f>
        <v>218.4</v>
      </c>
      <c r="X102" s="53" t="n">
        <f aca="false">INDEX(Assumptions!$B$100:$B$106,X5)*Assumptions!$B$129/12*X7/Assumptions!$B$126*(1+Assumptions!$B$132)*IF(X2&gt;=Assumptions!$B$57,1,0)</f>
        <v>218.4</v>
      </c>
      <c r="Y102" s="53" t="n">
        <f aca="false">INDEX(Assumptions!$B$100:$B$106,Y5)*Assumptions!$B$129/12*Y7/Assumptions!$B$126*(1+Assumptions!$B$132)*IF(Y2&gt;=Assumptions!$B$57,1,0)</f>
        <v>218.4</v>
      </c>
      <c r="Z102" s="53" t="n">
        <f aca="false">INDEX(Assumptions!$B$100:$B$106,Z5)*Assumptions!$B$129/12*Z7/Assumptions!$B$126*(1+Assumptions!$B$132)*IF(Z2&gt;=Assumptions!$B$57,1,0)</f>
        <v>218.4</v>
      </c>
      <c r="AA102" s="53" t="n">
        <f aca="false">INDEX(Assumptions!$B$100:$B$106,AA5)*Assumptions!$B$129/12*AA7/Assumptions!$B$126*(1+Assumptions!$B$132)*IF(AA2&gt;=Assumptions!$B$57,1,0)</f>
        <v>3640</v>
      </c>
      <c r="AB102" s="53" t="n">
        <f aca="false">INDEX(Assumptions!$B$100:$B$106,AB5)*Assumptions!$B$129/12*AB7/Assumptions!$B$126*(1+Assumptions!$B$132)*IF(AB2&gt;=Assumptions!$B$57,1,0)</f>
        <v>5824</v>
      </c>
      <c r="AC102" s="53" t="n">
        <f aca="false">INDEX(Assumptions!$B$100:$B$106,AC5)*Assumptions!$B$129/12*AC7/Assumptions!$B$126*(1+Assumptions!$B$132)*IF(AC2&gt;=Assumptions!$B$57,1,0)</f>
        <v>8736</v>
      </c>
      <c r="AD102" s="53" t="n">
        <f aca="false">INDEX(Assumptions!$B$100:$B$106,AD5)*Assumptions!$B$129/12*AD7/Assumptions!$B$126*(1+Assumptions!$B$132)*IF(AD2&gt;=Assumptions!$B$57,1,0)</f>
        <v>12376</v>
      </c>
      <c r="AE102" s="53" t="n">
        <f aca="false">INDEX(Assumptions!$B$100:$B$106,AE5)*Assumptions!$B$129/12*AE7/Assumptions!$B$126*(1+Assumptions!$B$132)*IF(AE2&gt;=Assumptions!$B$57,1,0)</f>
        <v>16016</v>
      </c>
    </row>
    <row r="103" customFormat="false" ht="15" hidden="false" customHeight="false" outlineLevel="0" collapsed="false">
      <c r="A103" s="6" t="s">
        <v>439</v>
      </c>
      <c r="B103" s="23" t="s">
        <v>190</v>
      </c>
      <c r="C103" s="54" t="n">
        <v>0</v>
      </c>
      <c r="D103" s="54" t="n">
        <f aca="false">IF(D2&gt;=Assumptions!$B$55,C107*Assumptions!$B$130/12*Assumptions!$B$131*D7,0)</f>
        <v>0</v>
      </c>
      <c r="E103" s="54" t="n">
        <f aca="false">IF(E2&gt;=Assumptions!$B$55,D107*Assumptions!$B$130/12*Assumptions!$B$131*E7,0)</f>
        <v>0</v>
      </c>
      <c r="F103" s="54" t="n">
        <f aca="false">IF(F2&gt;=Assumptions!$B$55,E107*Assumptions!$B$130/12*Assumptions!$B$131*F7,0)</f>
        <v>0</v>
      </c>
      <c r="G103" s="54" t="n">
        <f aca="false">IF(G2&gt;=Assumptions!$B$55,F107*Assumptions!$B$130/12*Assumptions!$B$131*G7,0)</f>
        <v>0</v>
      </c>
      <c r="H103" s="54" t="n">
        <f aca="false">IF(H2&gt;=Assumptions!$B$55,G107*Assumptions!$B$130/12*Assumptions!$B$131*H7,0)</f>
        <v>0</v>
      </c>
      <c r="I103" s="54" t="n">
        <f aca="false">IF(I2&gt;=Assumptions!$B$55,H107*Assumptions!$B$130/12*Assumptions!$B$131*I7,0)</f>
        <v>0</v>
      </c>
      <c r="J103" s="54" t="n">
        <f aca="false">IF(J2&gt;=Assumptions!$B$55,I107*Assumptions!$B$130/12*Assumptions!$B$131*J7,0)</f>
        <v>0</v>
      </c>
      <c r="K103" s="54" t="n">
        <f aca="false">IF(K2&gt;=Assumptions!$B$55,J107*Assumptions!$B$130/12*Assumptions!$B$131*K7,0)</f>
        <v>0</v>
      </c>
      <c r="L103" s="54" t="n">
        <f aca="false">IF(L2&gt;=Assumptions!$B$55,K107*Assumptions!$B$130/12*Assumptions!$B$131*L7,0)</f>
        <v>0</v>
      </c>
      <c r="M103" s="54" t="n">
        <f aca="false">IF(M2&gt;=Assumptions!$B$55,L107*Assumptions!$B$130/12*Assumptions!$B$131*M7,0)</f>
        <v>0</v>
      </c>
      <c r="N103" s="54" t="n">
        <f aca="false">IF(N2&gt;=Assumptions!$B$55,M107*Assumptions!$B$130/12*Assumptions!$B$131*N7,0)</f>
        <v>0</v>
      </c>
      <c r="O103" s="54" t="n">
        <f aca="false">IF(O2&gt;=Assumptions!$B$55,N107*Assumptions!$B$130/12*Assumptions!$B$131*O7,0)</f>
        <v>16.5710682104992</v>
      </c>
      <c r="P103" s="54" t="n">
        <f aca="false">IF(P2&gt;=Assumptions!$B$55,O107*Assumptions!$B$130/12*Assumptions!$B$131*P7,0)</f>
        <v>21.6288187231484</v>
      </c>
      <c r="Q103" s="54" t="n">
        <f aca="false">IF(Q2&gt;=Assumptions!$B$55,P107*Assumptions!$B$130/12*Assumptions!$B$131*Q7,0)</f>
        <v>26.2479551827971</v>
      </c>
      <c r="R103" s="54" t="n">
        <f aca="false">IF(R2&gt;=Assumptions!$B$55,Q107*Assumptions!$B$130/12*Assumptions!$B$131*R7,0)</f>
        <v>30.4906231701964</v>
      </c>
      <c r="S103" s="54" t="n">
        <f aca="false">IF(S2&gt;=Assumptions!$B$55,R107*Assumptions!$B$130/12*Assumptions!$B$131*S7,0)</f>
        <v>36.0022373641665</v>
      </c>
      <c r="T103" s="54" t="n">
        <f aca="false">IF(T2&gt;=Assumptions!$B$55,S107*Assumptions!$B$130/12*Assumptions!$B$131*T7,0)</f>
        <v>40.6891475218849</v>
      </c>
      <c r="U103" s="54" t="n">
        <f aca="false">IF(U2&gt;=Assumptions!$B$55,T107*Assumptions!$B$130/12*Assumptions!$B$131*U7,0)</f>
        <v>44.23729023655</v>
      </c>
      <c r="V103" s="54" t="n">
        <f aca="false">IF(V2&gt;=Assumptions!$B$55,U107*Assumptions!$B$130/12*Assumptions!$B$131*V7,0)</f>
        <v>47.4810370557705</v>
      </c>
      <c r="W103" s="54" t="n">
        <f aca="false">IF(W2&gt;=Assumptions!$B$55,V107*Assumptions!$B$130/12*Assumptions!$B$131*W7,0)</f>
        <v>50.6178091443256</v>
      </c>
      <c r="X103" s="54" t="n">
        <f aca="false">IF(X2&gt;=Assumptions!$B$55,W107*Assumptions!$B$130/12*Assumptions!$B$131*X7,0)</f>
        <v>54.1674073119583</v>
      </c>
      <c r="Y103" s="54" t="n">
        <f aca="false">IF(Y2&gt;=Assumptions!$B$55,X107*Assumptions!$B$130/12*Assumptions!$B$131*Y7,0)</f>
        <v>59.6927515555771</v>
      </c>
      <c r="Z103" s="54" t="n">
        <f aca="false">IF(Z2&gt;=Assumptions!$B$55,Y107*Assumptions!$B$130/12*Assumptions!$B$131*Z7,0)</f>
        <v>64.4146748592826</v>
      </c>
      <c r="AA103" s="54" t="n">
        <f aca="false">IF(AA2&gt;=Assumptions!$B$55,Z107*Assumptions!$B$130/12*Assumptions!$B$131*AA7,0)</f>
        <v>816.783426593508</v>
      </c>
      <c r="AB103" s="54" t="n">
        <f aca="false">IF(AB2&gt;=Assumptions!$B$55,AA107*Assumptions!$B$130/12*Assumptions!$B$131*AB7,0)</f>
        <v>1512.57530425558</v>
      </c>
      <c r="AC103" s="54" t="n">
        <f aca="false">IF(AC2&gt;=Assumptions!$B$55,AB107*Assumptions!$B$130/12*Assumptions!$B$131*AC7,0)</f>
        <v>2483.67843131919</v>
      </c>
      <c r="AD103" s="54" t="n">
        <f aca="false">IF(AD2&gt;=Assumptions!$B$55,AC107*Assumptions!$B$130/12*Assumptions!$B$131*AD7,0)</f>
        <v>3710.82296498764</v>
      </c>
      <c r="AE103" s="54" t="n">
        <f aca="false">IF(AE2&gt;=Assumptions!$B$55,AD107*Assumptions!$B$130/12*Assumptions!$B$131*AE7,0)</f>
        <v>4969.56807567667</v>
      </c>
    </row>
    <row r="104" customFormat="false" ht="15" hidden="false" customHeight="false" outlineLevel="0" collapsed="false">
      <c r="A104" s="6" t="s">
        <v>440</v>
      </c>
      <c r="B104" s="23" t="s">
        <v>190</v>
      </c>
      <c r="C104" s="54" t="n">
        <f aca="false">C102+C103+IF(C23=0,0,C20*Assumptions!$B$116/C23*IF(C2&gt;=Assumptions!$B$57,1,0))</f>
        <v>78.8</v>
      </c>
      <c r="D104" s="54" t="n">
        <f aca="false">D102+D103+IF(D23=0,0,D20*Assumptions!$B$116/D23*IF(D2&gt;=Assumptions!$B$57,1,0))</f>
        <v>78.8</v>
      </c>
      <c r="E104" s="54" t="n">
        <f aca="false">E102+E103+IF(E23=0,0,E20*Assumptions!$B$116/E23*IF(E2&gt;=Assumptions!$B$57,1,0))</f>
        <v>78.8</v>
      </c>
      <c r="F104" s="54" t="n">
        <f aca="false">F102+F103+IF(F23=0,0,F20*Assumptions!$B$116/F23*IF(F2&gt;=Assumptions!$B$57,1,0))</f>
        <v>78.8</v>
      </c>
      <c r="G104" s="54" t="n">
        <f aca="false">G102+G103+IF(G23=0,0,G20*Assumptions!$B$116/G23*IF(G2&gt;=Assumptions!$B$57,1,0))</f>
        <v>78.8</v>
      </c>
      <c r="H104" s="54" t="n">
        <f aca="false">H102+H103+IF(H23=0,0,H20*Assumptions!$B$116/H23*IF(H2&gt;=Assumptions!$B$57,1,0))</f>
        <v>78.8</v>
      </c>
      <c r="I104" s="54" t="n">
        <f aca="false">I102+I103+IF(I23=0,0,I20*Assumptions!$B$116/I23*IF(I2&gt;=Assumptions!$B$57,1,0))</f>
        <v>78.8</v>
      </c>
      <c r="J104" s="54" t="n">
        <f aca="false">J102+J103+IF(J23=0,0,J20*Assumptions!$B$116/J23*IF(J2&gt;=Assumptions!$B$57,1,0))</f>
        <v>78.8</v>
      </c>
      <c r="K104" s="54" t="n">
        <f aca="false">K102+K103+IF(K23=0,0,K20*Assumptions!$B$116/K23*IF(K2&gt;=Assumptions!$B$57,1,0))</f>
        <v>78.8</v>
      </c>
      <c r="L104" s="54" t="n">
        <f aca="false">L102+L103+IF(L23=0,0,L20*Assumptions!$B$116/L23*IF(L2&gt;=Assumptions!$B$57,1,0))</f>
        <v>78.8</v>
      </c>
      <c r="M104" s="54" t="n">
        <f aca="false">M102+M103+IF(M23=0,0,M20*Assumptions!$B$116/M23*IF(M2&gt;=Assumptions!$B$57,1,0))</f>
        <v>78.8</v>
      </c>
      <c r="N104" s="54" t="n">
        <f aca="false">N102+N103+IF(N23=0,0,N20*Assumptions!$B$116/N23*IF(N2&gt;=Assumptions!$B$57,1,0))</f>
        <v>78.8</v>
      </c>
      <c r="O104" s="54" t="n">
        <f aca="false">O102+O103+IF(O23=0,0,O20*Assumptions!$B$116/O23*IF(O2&gt;=Assumptions!$B$57,1,0))</f>
        <v>257.921068210499</v>
      </c>
      <c r="P104" s="54" t="n">
        <f aca="false">P102+P103+IF(P23=0,0,P20*Assumptions!$B$116/P23*IF(P2&gt;=Assumptions!$B$57,1,0))</f>
        <v>262.978818723148</v>
      </c>
      <c r="Q104" s="54" t="n">
        <f aca="false">Q102+Q103+IF(Q23=0,0,Q20*Assumptions!$B$116/Q23*IF(Q2&gt;=Assumptions!$B$57,1,0))</f>
        <v>267.597955182797</v>
      </c>
      <c r="R104" s="54" t="n">
        <f aca="false">R102+R103+IF(R23=0,0,R20*Assumptions!$B$116/R23*IF(R2&gt;=Assumptions!$B$57,1,0))</f>
        <v>271.840623170196</v>
      </c>
      <c r="S104" s="54" t="n">
        <f aca="false">S102+S103+IF(S23=0,0,S20*Assumptions!$B$116/S23*IF(S2&gt;=Assumptions!$B$57,1,0))</f>
        <v>277.352237364166</v>
      </c>
      <c r="T104" s="54" t="n">
        <f aca="false">T102+T103+IF(T23=0,0,T20*Assumptions!$B$116/T23*IF(T2&gt;=Assumptions!$B$57,1,0))</f>
        <v>282.039147521885</v>
      </c>
      <c r="U104" s="54" t="n">
        <f aca="false">U102+U103+IF(U23=0,0,U20*Assumptions!$B$116/U23*IF(U2&gt;=Assumptions!$B$57,1,0))</f>
        <v>285.58729023655</v>
      </c>
      <c r="V104" s="54" t="n">
        <f aca="false">V102+V103+IF(V23=0,0,V20*Assumptions!$B$116/V23*IF(V2&gt;=Assumptions!$B$57,1,0))</f>
        <v>288.831037055771</v>
      </c>
      <c r="W104" s="54" t="n">
        <f aca="false">W102+W103+IF(W23=0,0,W20*Assumptions!$B$116/W23*IF(W2&gt;=Assumptions!$B$57,1,0))</f>
        <v>291.967809144326</v>
      </c>
      <c r="X104" s="54" t="n">
        <f aca="false">X102+X103+IF(X23=0,0,X20*Assumptions!$B$116/X23*IF(X2&gt;=Assumptions!$B$57,1,0))</f>
        <v>295.517407311958</v>
      </c>
      <c r="Y104" s="54" t="n">
        <f aca="false">Y102+Y103+IF(Y23=0,0,Y20*Assumptions!$B$116/Y23*IF(Y2&gt;=Assumptions!$B$57,1,0))</f>
        <v>301.042751555577</v>
      </c>
      <c r="Z104" s="54" t="n">
        <f aca="false">Z102+Z103+IF(Z23=0,0,Z20*Assumptions!$B$116/Z23*IF(Z2&gt;=Assumptions!$B$57,1,0))</f>
        <v>305.764674859283</v>
      </c>
      <c r="AA104" s="54" t="n">
        <f aca="false">AA102+AA103+IF(AA23=0,0,AA20*Assumptions!$B$116/AA23*IF(AA2&gt;=Assumptions!$B$57,1,0))</f>
        <v>5320.78342659351</v>
      </c>
      <c r="AB104" s="54" t="n">
        <f aca="false">AB102+AB103+IF(AB23=0,0,AB20*Assumptions!$B$116/AB23*IF(AB2&gt;=Assumptions!$B$57,1,0))</f>
        <v>8632.57530425558</v>
      </c>
      <c r="AC104" s="54" t="n">
        <f aca="false">AC102+AC103+IF(AC23=0,0,AC20*Assumptions!$B$116/AC23*IF(AC2&gt;=Assumptions!$B$57,1,0))</f>
        <v>13163.6784313192</v>
      </c>
      <c r="AD104" s="54" t="n">
        <f aca="false">AD102+AD103+IF(AD23=0,0,AD20*Assumptions!$B$116/AD23*IF(AD2&gt;=Assumptions!$B$57,1,0))</f>
        <v>18376.4229649876</v>
      </c>
      <c r="AE104" s="54" t="n">
        <f aca="false">AE102+AE103+IF(AE23=0,0,AE20*Assumptions!$B$116/AE23*IF(AE2&gt;=Assumptions!$B$57,1,0))</f>
        <v>23663.9680756767</v>
      </c>
    </row>
    <row r="105" customFormat="false" ht="15" hidden="false" customHeight="false" outlineLevel="0" collapsed="false">
      <c r="A105" s="6" t="s">
        <v>441</v>
      </c>
      <c r="B105" s="23" t="s">
        <v>436</v>
      </c>
      <c r="C105" s="51" t="n">
        <v>1</v>
      </c>
      <c r="D105" s="51" t="n">
        <f aca="false">MAX(0,1-C110/Assumptions!$B$86)</f>
        <v>0.999363296</v>
      </c>
      <c r="E105" s="51" t="n">
        <f aca="false">MAX(0,1-D110/Assumptions!$B$86)</f>
        <v>0.998758497323074</v>
      </c>
      <c r="F105" s="51" t="n">
        <f aca="false">MAX(0,1-E110/Assumptions!$B$86)</f>
        <v>0.998179249354898</v>
      </c>
      <c r="G105" s="51" t="n">
        <f aca="false">MAX(0,1-F110/Assumptions!$B$86)</f>
        <v>0.997455609326286</v>
      </c>
      <c r="H105" s="51" t="n">
        <f aca="false">MAX(0,1-G110/Assumptions!$B$86)</f>
        <v>0.996801661469522</v>
      </c>
      <c r="I105" s="51" t="n">
        <f aca="false">MAX(0,1-H110/Assumptions!$B$86)</f>
        <v>0.996248683754218</v>
      </c>
      <c r="J105" s="51" t="n">
        <f aca="false">MAX(0,1-I110/Assumptions!$B$86)</f>
        <v>0.995714853859515</v>
      </c>
      <c r="K105" s="51" t="n">
        <f aca="false">MAX(0,1-J110/Assumptions!$B$86)</f>
        <v>0.995181310012223</v>
      </c>
      <c r="L105" s="51" t="n">
        <f aca="false">MAX(0,1-K110/Assumptions!$B$86)</f>
        <v>0.99459786307524</v>
      </c>
      <c r="M105" s="51" t="n">
        <f aca="false">MAX(0,1-L110/Assumptions!$B$86)</f>
        <v>0.993814119959136</v>
      </c>
      <c r="N105" s="51" t="n">
        <f aca="false">MAX(0,1-M110/Assumptions!$B$86)</f>
        <v>0.993093644474731</v>
      </c>
      <c r="O105" s="51" t="n">
        <f aca="false">MAX(0,1-N110/Assumptions!$B$86)</f>
        <v>0.992461337778919</v>
      </c>
      <c r="P105" s="51" t="n">
        <f aca="false">MAX(0,1-O110/Assumptions!$B$86)</f>
        <v>0.990393046136667</v>
      </c>
      <c r="Q105" s="51" t="n">
        <f aca="false">MAX(0,1-P110/Assumptions!$B$86)</f>
        <v>0.98839277175578</v>
      </c>
      <c r="R105" s="51" t="n">
        <f aca="false">MAX(0,1-Q110/Assumptions!$B$86)</f>
        <v>0.986446111484835</v>
      </c>
      <c r="S105" s="51" t="n">
        <f aca="false">MAX(0,1-R110/Assumptions!$B$86)</f>
        <v>0.983979075128672</v>
      </c>
      <c r="T105" s="51" t="n">
        <f aca="false">MAX(0,1-S110/Assumptions!$B$86)</f>
        <v>0.981708473929258</v>
      </c>
      <c r="U105" s="51" t="n">
        <f aca="false">MAX(0,1-T110/Assumptions!$B$86)</f>
        <v>0.9797592371727</v>
      </c>
      <c r="V105" s="51" t="n">
        <f aca="false">MAX(0,1-U110/Assumptions!$B$86)</f>
        <v>0.977856551030427</v>
      </c>
      <c r="W105" s="51" t="n">
        <f aca="false">MAX(0,1-V110/Assumptions!$B$86)</f>
        <v>0.975935990842691</v>
      </c>
      <c r="X105" s="51" t="n">
        <f aca="false">MAX(0,1-W110/Assumptions!$B$86)</f>
        <v>0.973816023157942</v>
      </c>
      <c r="Y105" s="51" t="n">
        <f aca="false">MAX(0,1-X110/Assumptions!$B$86)</f>
        <v>0.970938227294317</v>
      </c>
      <c r="Z105" s="51" t="n">
        <f aca="false">MAX(0,1-Y110/Assumptions!$B$86)</f>
        <v>0.968249123271394</v>
      </c>
      <c r="AA105" s="51" t="n">
        <f aca="false">MAX(0,1-Z110/Assumptions!$B$86)</f>
        <v>0.965856987734246</v>
      </c>
      <c r="AB105" s="51" t="n">
        <f aca="false">MAX(0,1-AA110/Assumptions!$B$86)</f>
        <v>0.924744060911879</v>
      </c>
      <c r="AC105" s="51" t="n">
        <f aca="false">MAX(0,1-AB110/Assumptions!$B$86)</f>
        <v>0.860880678968</v>
      </c>
      <c r="AD105" s="51" t="n">
        <f aca="false">MAX(0,1-AC110/Assumptions!$B$86)</f>
        <v>0.770221827562636</v>
      </c>
      <c r="AE105" s="51" t="n">
        <f aca="false">MAX(0,1-AD110/Assumptions!$B$86)</f>
        <v>0.656990450921382</v>
      </c>
    </row>
    <row r="106" customFormat="false" ht="15" hidden="false" customHeight="false" outlineLevel="0" collapsed="false">
      <c r="A106" s="6" t="s">
        <v>442</v>
      </c>
      <c r="B106" s="23" t="s">
        <v>190</v>
      </c>
      <c r="C106" s="54" t="n">
        <f aca="false">C104*C105*C15</f>
        <v>79.588</v>
      </c>
      <c r="D106" s="54" t="n">
        <f aca="false">D104*D105*D15</f>
        <v>75.599834615808</v>
      </c>
      <c r="E106" s="54" t="n">
        <f aca="false">E104*E105*E15</f>
        <v>72.4059960219336</v>
      </c>
      <c r="F106" s="54" t="n">
        <f aca="false">F104*F105*F15</f>
        <v>90.4550035765409</v>
      </c>
      <c r="G106" s="54" t="n">
        <f aca="false">G104*G105*G15</f>
        <v>81.7434820955078</v>
      </c>
      <c r="H106" s="54" t="n">
        <f aca="false">H104*H105*H15</f>
        <v>69.1222144129425</v>
      </c>
      <c r="I106" s="54" t="n">
        <f aca="false">I104*I105*I15</f>
        <v>66.7287368378575</v>
      </c>
      <c r="J106" s="54" t="n">
        <f aca="false">J104*J105*J15</f>
        <v>66.6929809115104</v>
      </c>
      <c r="K106" s="54" t="n">
        <f aca="false">K104*K105*K15</f>
        <v>72.9308671229358</v>
      </c>
      <c r="L106" s="54" t="n">
        <f aca="false">L104*L105*L15</f>
        <v>97.9678895129111</v>
      </c>
      <c r="M106" s="54" t="n">
        <f aca="false">M104*M105*M15</f>
        <v>90.059435550697</v>
      </c>
      <c r="N106" s="54" t="n">
        <f aca="false">N104*N105*N15</f>
        <v>79.0383369764549</v>
      </c>
      <c r="O106" s="54" t="n">
        <f aca="false">O104*O105*O15</f>
        <v>258.536455281536</v>
      </c>
      <c r="P106" s="54" t="n">
        <f aca="false">P104*P105*P15</f>
        <v>250.034297610856</v>
      </c>
      <c r="Q106" s="54" t="n">
        <f aca="false">Q104*Q105*Q15</f>
        <v>243.33253386816</v>
      </c>
      <c r="R106" s="54" t="n">
        <f aca="false">R104*R105*R15</f>
        <v>308.379544520333</v>
      </c>
      <c r="S106" s="54" t="n">
        <f aca="false">S104*S105*S15</f>
        <v>283.825149926719</v>
      </c>
      <c r="T106" s="54" t="n">
        <f aca="false">T104*T105*T15</f>
        <v>243.654594569776</v>
      </c>
      <c r="U106" s="54" t="n">
        <f aca="false">U104*U105*U15</f>
        <v>237.835767784124</v>
      </c>
      <c r="V106" s="54" t="n">
        <f aca="false">V104*V105*V15</f>
        <v>240.070023467013</v>
      </c>
      <c r="W106" s="54" t="n">
        <f aca="false">W104*W105*W15</f>
        <v>264.995960593637</v>
      </c>
      <c r="X106" s="54" t="n">
        <f aca="false">X104*X105*X15</f>
        <v>359.724482953096</v>
      </c>
      <c r="Y106" s="54" t="n">
        <f aca="false">Y104*Y105*Y15</f>
        <v>336.138002865452</v>
      </c>
      <c r="Z106" s="54" t="n">
        <f aca="false">Z104*Z105*Z15</f>
        <v>299.016942143462</v>
      </c>
      <c r="AA106" s="54" t="n">
        <f aca="false">AA104*AA105*AA15</f>
        <v>5139.11585279591</v>
      </c>
      <c r="AB106" s="54" t="n">
        <f aca="false">AB104*AB105*AB15</f>
        <v>7982.9227429849</v>
      </c>
      <c r="AC106" s="54" t="n">
        <f aca="false">AC104*AC105*AC15</f>
        <v>11332.3564256705</v>
      </c>
      <c r="AD106" s="54" t="n">
        <f aca="false">AD104*AD105*AD15</f>
        <v>14153.9220801568</v>
      </c>
      <c r="AE106" s="54" t="n">
        <f aca="false">AE104*AE105*AE15</f>
        <v>15547.001056628</v>
      </c>
    </row>
    <row r="107" customFormat="false" ht="15" hidden="false" customHeight="false" outlineLevel="0" collapsed="false">
      <c r="A107" s="6" t="s">
        <v>443</v>
      </c>
      <c r="B107" s="23" t="s">
        <v>190</v>
      </c>
      <c r="C107" s="28" t="n">
        <f aca="false">C106*(1-Assumptions!$B$122)^(C7/2)</f>
        <v>77.6299613610689</v>
      </c>
      <c r="D107" s="28" t="n">
        <f aca="false">C107*(1-Assumptions!$B$122)^D7+D106*(1-Assumptions!$B$122)^(D7/2)</f>
        <v>147.597128584541</v>
      </c>
      <c r="E107" s="28" t="n">
        <f aca="false">D107*(1-Assumptions!$B$122)^E7+E106*(1-Assumptions!$B$122)^(E7/2)</f>
        <v>211.048691192943</v>
      </c>
      <c r="F107" s="28" t="n">
        <f aca="false">E107*(1-Assumptions!$B$122)^F7+F106*(1-Assumptions!$B$122)^(F7/2)</f>
        <v>289.021527446903</v>
      </c>
      <c r="G107" s="28" t="n">
        <f aca="false">F107*(1-Assumptions!$B$122)^G7+G106*(1-Assumptions!$B$122)^(G7/2)</f>
        <v>354.707754931779</v>
      </c>
      <c r="H107" s="28" t="n">
        <f aca="false">G107*(1-Assumptions!$B$122)^H7+H106*(1-Assumptions!$B$122)^(H7/2)</f>
        <v>404.890933882939</v>
      </c>
      <c r="I107" s="28" t="n">
        <f aca="false">H107*(1-Assumptions!$B$122)^I7+I106*(1-Assumptions!$B$122)^(I7/2)</f>
        <v>450.300662652844</v>
      </c>
      <c r="J107" s="28" t="n">
        <f aca="false">I107*(1-Assumptions!$B$122)^J7+J106*(1-Assumptions!$B$122)^(J7/2)</f>
        <v>493.468643175338</v>
      </c>
      <c r="K107" s="28" t="n">
        <f aca="false">J107*(1-Assumptions!$B$122)^K7+K106*(1-Assumptions!$B$122)^(K7/2)</f>
        <v>540.623119237991</v>
      </c>
      <c r="L107" s="28" t="n">
        <f aca="false">K107*(1-Assumptions!$B$122)^L7+L106*(1-Assumptions!$B$122)^(L7/2)</f>
        <v>609.90698710822</v>
      </c>
      <c r="M107" s="28" t="n">
        <f aca="false">L107*(1-Assumptions!$B$122)^M7+M106*(1-Assumptions!$B$122)^(M7/2)</f>
        <v>668.109832565214</v>
      </c>
      <c r="N107" s="28" t="n">
        <f aca="false">M107*(1-Assumptions!$B$122)^N7+N106*(1-Assumptions!$B$122)^(N7/2)</f>
        <v>712.734116580612</v>
      </c>
      <c r="O107" s="28" t="n">
        <f aca="false">N107*(1-Assumptions!$B$122)^O7+O106*(1-Assumptions!$B$122)^(O7/2)</f>
        <v>930.271773038639</v>
      </c>
      <c r="P107" s="28" t="n">
        <f aca="false">O107*(1-Assumptions!$B$122)^P7+P106*(1-Assumptions!$B$122)^(P7/2)</f>
        <v>1128.94430893751</v>
      </c>
      <c r="Q107" s="28" t="n">
        <f aca="false">P107*(1-Assumptions!$B$122)^Q7+Q106*(1-Assumptions!$B$122)^(Q7/2)</f>
        <v>1311.42465248156</v>
      </c>
      <c r="R107" s="28" t="n">
        <f aca="false">Q107*(1-Assumptions!$B$122)^R7+R106*(1-Assumptions!$B$122)^(R7/2)</f>
        <v>1548.48332749103</v>
      </c>
      <c r="S107" s="28" t="n">
        <f aca="false">R107*(1-Assumptions!$B$122)^S7+S106*(1-Assumptions!$B$122)^(S7/2)</f>
        <v>1750.07086115634</v>
      </c>
      <c r="T107" s="28" t="n">
        <f aca="false">S107*(1-Assumptions!$B$122)^T7+T106*(1-Assumptions!$B$122)^(T7/2)</f>
        <v>1902.67914995914</v>
      </c>
      <c r="U107" s="28" t="n">
        <f aca="false">T107*(1-Assumptions!$B$122)^U7+U106*(1-Assumptions!$B$122)^(U7/2)</f>
        <v>2042.19514218368</v>
      </c>
      <c r="V107" s="28" t="n">
        <f aca="false">U107*(1-Assumptions!$B$122)^V7+V106*(1-Assumptions!$B$122)^(V7/2)</f>
        <v>2177.11007072368</v>
      </c>
      <c r="W107" s="28" t="n">
        <f aca="false">V107*(1-Assumptions!$B$122)^W7+W106*(1-Assumptions!$B$122)^(W7/2)</f>
        <v>2329.78095965412</v>
      </c>
      <c r="X107" s="28" t="n">
        <f aca="false">W107*(1-Assumptions!$B$122)^X7+X106*(1-Assumptions!$B$122)^(X7/2)</f>
        <v>2567.43017443342</v>
      </c>
      <c r="Y107" s="28" t="n">
        <f aca="false">X107*(1-Assumptions!$B$122)^Y7+Y106*(1-Assumptions!$B$122)^(Y7/2)</f>
        <v>2770.52364986162</v>
      </c>
      <c r="Z107" s="28" t="n">
        <f aca="false">Y107*(1-Assumptions!$B$122)^Z7+Z106*(1-Assumptions!$B$122)^(Z7/2)</f>
        <v>2927.53916341759</v>
      </c>
      <c r="AA107" s="28" t="n">
        <f aca="false">Z107*(1-Assumptions!$B$122)^AA7+AA106*(1-Assumptions!$B$122)^(AA7/2)</f>
        <v>5421.41686113111</v>
      </c>
      <c r="AB107" s="28" t="n">
        <f aca="false">AA107*(1-Assumptions!$B$122)^AB7+AB106*(1-Assumptions!$B$122)^(AB7/2)</f>
        <v>8902.07323053473</v>
      </c>
      <c r="AC107" s="28" t="n">
        <f aca="false">AB107*(1-Assumptions!$B$122)^AC7+AC106*(1-Assumptions!$B$122)^(AC7/2)</f>
        <v>13300.4407347227</v>
      </c>
      <c r="AD107" s="28" t="n">
        <f aca="false">AC107*(1-Assumptions!$B$122)^AD7+AD106*(1-Assumptions!$B$122)^(AD7/2)</f>
        <v>17812.0719558303</v>
      </c>
      <c r="AE107" s="28" t="n">
        <f aca="false">AD107*(1-Assumptions!$B$122)^AE7+AE106*(1-Assumptions!$B$122)^(AE7/2)</f>
        <v>21326.6041472106</v>
      </c>
    </row>
    <row r="108" customFormat="false" ht="15" hidden="false" customHeight="false" outlineLevel="0" collapsed="false">
      <c r="A108" s="6" t="s">
        <v>444</v>
      </c>
      <c r="B108" s="23" t="s">
        <v>190</v>
      </c>
      <c r="C108" s="54" t="n">
        <f aca="false">C106-C107</f>
        <v>1.9580386389311</v>
      </c>
      <c r="D108" s="54" t="n">
        <f aca="false">C107+D106-D107</f>
        <v>5.63266739233612</v>
      </c>
      <c r="E108" s="54" t="n">
        <f aca="false">D107+E106-E107</f>
        <v>8.95443341353098</v>
      </c>
      <c r="F108" s="54" t="n">
        <f aca="false">E107+F106-F107</f>
        <v>12.482167322581</v>
      </c>
      <c r="G108" s="54" t="n">
        <f aca="false">F107+G106-G107</f>
        <v>16.0572546106324</v>
      </c>
      <c r="H108" s="54" t="n">
        <f aca="false">G107+H106-H107</f>
        <v>18.9390354617823</v>
      </c>
      <c r="I108" s="54" t="n">
        <f aca="false">H107+I106-I107</f>
        <v>21.3190080679528</v>
      </c>
      <c r="J108" s="54" t="n">
        <f aca="false">I107+J106-J107</f>
        <v>23.5250003890159</v>
      </c>
      <c r="K108" s="54" t="n">
        <f aca="false">J107+K106-K107</f>
        <v>25.7763910602833</v>
      </c>
      <c r="L108" s="54" t="n">
        <f aca="false">K107+L106-L107</f>
        <v>28.6840216426821</v>
      </c>
      <c r="M108" s="54" t="n">
        <f aca="false">L107+M106-M107</f>
        <v>31.8565900937031</v>
      </c>
      <c r="N108" s="54" t="n">
        <f aca="false">M107+N106-N107</f>
        <v>34.414052961056</v>
      </c>
      <c r="O108" s="54" t="n">
        <f aca="false">N107+O106-O107</f>
        <v>40.9987988235094</v>
      </c>
      <c r="P108" s="54" t="n">
        <f aca="false">O107+P106-P107</f>
        <v>51.3617617119835</v>
      </c>
      <c r="Q108" s="54" t="n">
        <f aca="false">P107+Q106-Q107</f>
        <v>60.852190324106</v>
      </c>
      <c r="R108" s="54" t="n">
        <f aca="false">Q107+R106-R107</f>
        <v>71.3208695108672</v>
      </c>
      <c r="S108" s="54" t="n">
        <f aca="false">R107+S106-S107</f>
        <v>82.2376162614107</v>
      </c>
      <c r="T108" s="54" t="n">
        <f aca="false">S107+T106-T107</f>
        <v>91.0463057669724</v>
      </c>
      <c r="U108" s="54" t="n">
        <f aca="false">T107+U106-U107</f>
        <v>98.3197755595891</v>
      </c>
      <c r="V108" s="54" t="n">
        <f aca="false">U107+V106-V107</f>
        <v>105.155094927008</v>
      </c>
      <c r="W108" s="54" t="n">
        <f aca="false">V107+W106-W107</f>
        <v>112.325071663197</v>
      </c>
      <c r="X108" s="54" t="n">
        <f aca="false">W107+X106-X107</f>
        <v>122.075268173794</v>
      </c>
      <c r="Y108" s="54" t="n">
        <f aca="false">X107+Y106-Y107</f>
        <v>133.044527437257</v>
      </c>
      <c r="Z108" s="54" t="n">
        <f aca="false">Y107+Z106-Z107</f>
        <v>142.00142858749</v>
      </c>
      <c r="AA108" s="54" t="n">
        <f aca="false">Z107+AA106-AA107</f>
        <v>2645.23815508239</v>
      </c>
      <c r="AB108" s="54" t="n">
        <f aca="false">AA107+AB106-AB107</f>
        <v>4502.26637358128</v>
      </c>
      <c r="AC108" s="54" t="n">
        <f aca="false">AB107+AC106-AC107</f>
        <v>6933.98892148248</v>
      </c>
      <c r="AD108" s="54" t="n">
        <f aca="false">AC107+AD106-AD107</f>
        <v>9642.29085904914</v>
      </c>
      <c r="AE108" s="54" t="n">
        <f aca="false">AD107+AE106-AE107</f>
        <v>12032.4688652477</v>
      </c>
    </row>
    <row r="109" customFormat="false" ht="15" hidden="false" customHeight="false" outlineLevel="0" collapsed="false">
      <c r="A109" s="6" t="s">
        <v>445</v>
      </c>
      <c r="B109" s="23" t="s">
        <v>190</v>
      </c>
      <c r="C109" s="45" t="n">
        <f aca="false">C108</f>
        <v>1.9580386389311</v>
      </c>
      <c r="D109" s="45" t="n">
        <f aca="false">C109+D108</f>
        <v>7.59070603126722</v>
      </c>
      <c r="E109" s="45" t="n">
        <f aca="false">D109+E108</f>
        <v>16.5451394447982</v>
      </c>
      <c r="F109" s="45" t="n">
        <f aca="false">E109+F108</f>
        <v>29.0273067673792</v>
      </c>
      <c r="G109" s="45" t="n">
        <f aca="false">F109+G108</f>
        <v>45.0845613780116</v>
      </c>
      <c r="H109" s="45" t="n">
        <f aca="false">G109+H108</f>
        <v>64.0235968397939</v>
      </c>
      <c r="I109" s="45" t="n">
        <f aca="false">H109+I108</f>
        <v>85.3426049077467</v>
      </c>
      <c r="J109" s="45" t="n">
        <f aca="false">I109+J108</f>
        <v>108.867605296763</v>
      </c>
      <c r="K109" s="45" t="n">
        <f aca="false">J109+K108</f>
        <v>134.643996357046</v>
      </c>
      <c r="L109" s="45" t="n">
        <f aca="false">K109+L108</f>
        <v>163.328017999728</v>
      </c>
      <c r="M109" s="45" t="n">
        <f aca="false">L109+M108</f>
        <v>195.184608093431</v>
      </c>
      <c r="N109" s="45" t="n">
        <f aca="false">M109+N108</f>
        <v>229.598661054487</v>
      </c>
      <c r="O109" s="45" t="n">
        <f aca="false">N109+O108</f>
        <v>270.597459877996</v>
      </c>
      <c r="P109" s="45" t="n">
        <f aca="false">O109+P108</f>
        <v>321.95922158998</v>
      </c>
      <c r="Q109" s="45" t="n">
        <f aca="false">P109+Q108</f>
        <v>382.811411914086</v>
      </c>
      <c r="R109" s="45" t="n">
        <f aca="false">Q109+R108</f>
        <v>454.132281424953</v>
      </c>
      <c r="S109" s="45" t="n">
        <f aca="false">R109+S108</f>
        <v>536.369897686364</v>
      </c>
      <c r="T109" s="45" t="n">
        <f aca="false">S109+T108</f>
        <v>627.416203453336</v>
      </c>
      <c r="U109" s="45" t="n">
        <f aca="false">T109+U108</f>
        <v>725.735979012925</v>
      </c>
      <c r="V109" s="45" t="n">
        <f aca="false">U109+V108</f>
        <v>830.891073939933</v>
      </c>
      <c r="W109" s="45" t="n">
        <f aca="false">V109+W108</f>
        <v>943.21614560313</v>
      </c>
      <c r="X109" s="45" t="n">
        <f aca="false">W109+X108</f>
        <v>1065.29141377692</v>
      </c>
      <c r="Y109" s="45" t="n">
        <f aca="false">X109+Y108</f>
        <v>1198.33594121418</v>
      </c>
      <c r="Z109" s="45" t="n">
        <f aca="false">Y109+Z108</f>
        <v>1340.33736980167</v>
      </c>
      <c r="AA109" s="45" t="n">
        <f aca="false">Z109+AA108</f>
        <v>3985.57552488406</v>
      </c>
      <c r="AB109" s="45" t="n">
        <f aca="false">AA109+AB108</f>
        <v>8487.84189846534</v>
      </c>
      <c r="AC109" s="45" t="n">
        <f aca="false">AB109+AC108</f>
        <v>15421.8308199478</v>
      </c>
      <c r="AD109" s="45" t="n">
        <f aca="false">AC109+AD108</f>
        <v>25064.121678997</v>
      </c>
      <c r="AE109" s="45" t="n">
        <f aca="false">AD109+AE108</f>
        <v>37096.5905442447</v>
      </c>
    </row>
    <row r="110" customFormat="false" ht="15" hidden="false" customHeight="false" outlineLevel="0" collapsed="false">
      <c r="A110" s="6" t="s">
        <v>446</v>
      </c>
      <c r="B110" s="23" t="s">
        <v>190</v>
      </c>
      <c r="C110" s="45" t="n">
        <f aca="false">C106</f>
        <v>79.588</v>
      </c>
      <c r="D110" s="45" t="n">
        <f aca="false">C110+D106</f>
        <v>155.187834615808</v>
      </c>
      <c r="E110" s="45" t="n">
        <f aca="false">D110+E106</f>
        <v>227.593830637742</v>
      </c>
      <c r="F110" s="45" t="n">
        <f aca="false">E110+F106</f>
        <v>318.048834214282</v>
      </c>
      <c r="G110" s="45" t="n">
        <f aca="false">F110+G106</f>
        <v>399.79231630979</v>
      </c>
      <c r="H110" s="45" t="n">
        <f aca="false">G110+H106</f>
        <v>468.914530722733</v>
      </c>
      <c r="I110" s="45" t="n">
        <f aca="false">H110+I106</f>
        <v>535.64326756059</v>
      </c>
      <c r="J110" s="45" t="n">
        <f aca="false">I110+J106</f>
        <v>602.336248472101</v>
      </c>
      <c r="K110" s="45" t="n">
        <f aca="false">J110+K106</f>
        <v>675.267115595036</v>
      </c>
      <c r="L110" s="45" t="n">
        <f aca="false">K110+L106</f>
        <v>773.235005107948</v>
      </c>
      <c r="M110" s="45" t="n">
        <f aca="false">L110+M106</f>
        <v>863.294440658644</v>
      </c>
      <c r="N110" s="45" t="n">
        <f aca="false">M110+N106</f>
        <v>942.332777635099</v>
      </c>
      <c r="O110" s="45" t="n">
        <f aca="false">N110+O106</f>
        <v>1200.86923291663</v>
      </c>
      <c r="P110" s="45" t="n">
        <f aca="false">O110+P106</f>
        <v>1450.90353052749</v>
      </c>
      <c r="Q110" s="45" t="n">
        <f aca="false">P110+Q106</f>
        <v>1694.23606439565</v>
      </c>
      <c r="R110" s="45" t="n">
        <f aca="false">Q110+R106</f>
        <v>2002.61560891598</v>
      </c>
      <c r="S110" s="45" t="n">
        <f aca="false">R110+S106</f>
        <v>2286.4407588427</v>
      </c>
      <c r="T110" s="45" t="n">
        <f aca="false">S110+T106</f>
        <v>2530.09535341248</v>
      </c>
      <c r="U110" s="45" t="n">
        <f aca="false">T110+U106</f>
        <v>2767.9311211966</v>
      </c>
      <c r="V110" s="45" t="n">
        <f aca="false">U110+V106</f>
        <v>3008.00114466361</v>
      </c>
      <c r="W110" s="45" t="n">
        <f aca="false">V110+W106</f>
        <v>3272.99710525725</v>
      </c>
      <c r="X110" s="45" t="n">
        <f aca="false">W110+X106</f>
        <v>3632.72158821035</v>
      </c>
      <c r="Y110" s="45" t="n">
        <f aca="false">X110+Y106</f>
        <v>3968.8595910758</v>
      </c>
      <c r="Z110" s="45" t="n">
        <f aca="false">Y110+Z106</f>
        <v>4267.87653321926</v>
      </c>
      <c r="AA110" s="45" t="n">
        <f aca="false">Z110+AA106</f>
        <v>9406.99238601517</v>
      </c>
      <c r="AB110" s="45" t="n">
        <f aca="false">AA110+AB106</f>
        <v>17389.9151290001</v>
      </c>
      <c r="AC110" s="45" t="n">
        <f aca="false">AB110+AC106</f>
        <v>28722.2715546705</v>
      </c>
      <c r="AD110" s="45" t="n">
        <f aca="false">AC110+AD106</f>
        <v>42876.1936348273</v>
      </c>
      <c r="AE110" s="45" t="n">
        <f aca="false">AD110+AE106</f>
        <v>58423.1946914553</v>
      </c>
    </row>
    <row r="111" customFormat="false" ht="15" hidden="false" customHeight="false" outlineLevel="0" collapsed="false">
      <c r="A111" s="6" t="s">
        <v>447</v>
      </c>
      <c r="B111" s="23" t="s">
        <v>114</v>
      </c>
      <c r="C111" s="55" t="n">
        <f aca="false">IF(C2&gt;=Assumptions!$B$47,C107*Assumptions!$B$170*C7,0)</f>
        <v>2328.89884083207</v>
      </c>
      <c r="D111" s="55" t="n">
        <f aca="false">IF(D2&gt;=Assumptions!$B$47,D107*Assumptions!$B$170*D7,0)</f>
        <v>4427.91385753622</v>
      </c>
      <c r="E111" s="55" t="n">
        <f aca="false">IF(E2&gt;=Assumptions!$B$47,E107*Assumptions!$B$170*E7,0)</f>
        <v>6331.4607357883</v>
      </c>
      <c r="F111" s="55" t="n">
        <f aca="false">IF(F2&gt;=Assumptions!$B$47,F107*Assumptions!$B$170*F7,0)</f>
        <v>8670.6458234071</v>
      </c>
      <c r="G111" s="55" t="n">
        <f aca="false">IF(G2&gt;=Assumptions!$B$47,G107*Assumptions!$B$170*G7,0)</f>
        <v>10641.2326479534</v>
      </c>
      <c r="H111" s="55" t="n">
        <f aca="false">IF(H2&gt;=Assumptions!$B$47,H107*Assumptions!$B$170*H7,0)</f>
        <v>12146.7280164882</v>
      </c>
      <c r="I111" s="55" t="n">
        <f aca="false">IF(I2&gt;=Assumptions!$B$47,I107*Assumptions!$B$170*I7,0)</f>
        <v>13509.0198795853</v>
      </c>
      <c r="J111" s="55" t="n">
        <f aca="false">IF(J2&gt;=Assumptions!$B$47,J107*Assumptions!$B$170*J7,0)</f>
        <v>14804.0592952601</v>
      </c>
      <c r="K111" s="55" t="n">
        <f aca="false">IF(K2&gt;=Assumptions!$B$47,K107*Assumptions!$B$170*K7,0)</f>
        <v>16218.6935771397</v>
      </c>
      <c r="L111" s="55" t="n">
        <f aca="false">IF(L2&gt;=Assumptions!$B$47,L107*Assumptions!$B$170*L7,0)</f>
        <v>18297.2096132466</v>
      </c>
      <c r="M111" s="55" t="n">
        <f aca="false">IF(M2&gt;=Assumptions!$B$47,M107*Assumptions!$B$170*M7,0)</f>
        <v>20043.2949769564</v>
      </c>
      <c r="N111" s="55" t="n">
        <f aca="false">IF(N2&gt;=Assumptions!$B$47,N107*Assumptions!$B$170*N7,0)</f>
        <v>21382.0234974184</v>
      </c>
      <c r="O111" s="55" t="n">
        <f aca="false">IF(O2&gt;=Assumptions!$B$47,O107*Assumptions!$B$170*O7,0)</f>
        <v>27908.1531911592</v>
      </c>
      <c r="P111" s="55" t="n">
        <f aca="false">IF(P2&gt;=Assumptions!$B$47,P107*Assumptions!$B$170*P7,0)</f>
        <v>33868.3292681253</v>
      </c>
      <c r="Q111" s="55" t="n">
        <f aca="false">IF(Q2&gt;=Assumptions!$B$47,Q107*Assumptions!$B$170*Q7,0)</f>
        <v>39342.7395744469</v>
      </c>
      <c r="R111" s="55" t="n">
        <f aca="false">IF(R2&gt;=Assumptions!$B$47,R107*Assumptions!$B$170*R7,0)</f>
        <v>46454.4998247309</v>
      </c>
      <c r="S111" s="55" t="n">
        <f aca="false">IF(S2&gt;=Assumptions!$B$47,S107*Assumptions!$B$170*S7,0)</f>
        <v>52502.1258346901</v>
      </c>
      <c r="T111" s="55" t="n">
        <f aca="false">IF(T2&gt;=Assumptions!$B$47,T107*Assumptions!$B$170*T7,0)</f>
        <v>57080.3744987743</v>
      </c>
      <c r="U111" s="55" t="n">
        <f aca="false">IF(U2&gt;=Assumptions!$B$47,U107*Assumptions!$B$170*U7,0)</f>
        <v>61265.8542655103</v>
      </c>
      <c r="V111" s="55" t="n">
        <f aca="false">IF(V2&gt;=Assumptions!$B$47,V107*Assumptions!$B$170*V7,0)</f>
        <v>65313.3021217105</v>
      </c>
      <c r="W111" s="55" t="n">
        <f aca="false">IF(W2&gt;=Assumptions!$B$47,W107*Assumptions!$B$170*W7,0)</f>
        <v>69893.4287896236</v>
      </c>
      <c r="X111" s="55" t="n">
        <f aca="false">IF(X2&gt;=Assumptions!$B$47,X107*Assumptions!$B$170*X7,0)</f>
        <v>77022.9052330027</v>
      </c>
      <c r="Y111" s="55" t="n">
        <f aca="false">IF(Y2&gt;=Assumptions!$B$47,Y107*Assumptions!$B$170*Y7,0)</f>
        <v>83115.7094958485</v>
      </c>
      <c r="Z111" s="55" t="n">
        <f aca="false">IF(Z2&gt;=Assumptions!$B$47,Z107*Assumptions!$B$170*Z7,0)</f>
        <v>87826.1749025277</v>
      </c>
      <c r="AA111" s="55" t="n">
        <f aca="false">IF(AA2&gt;=Assumptions!$B$47,AA107*Assumptions!$B$170*AA7,0)</f>
        <v>1951710.0700072</v>
      </c>
      <c r="AB111" s="55" t="n">
        <f aca="false">IF(AB2&gt;=Assumptions!$B$47,AB107*Assumptions!$B$170*AB7,0)</f>
        <v>3204746.3629925</v>
      </c>
      <c r="AC111" s="55" t="n">
        <f aca="false">IF(AC2&gt;=Assumptions!$B$47,AC107*Assumptions!$B$170*AC7,0)</f>
        <v>4788158.66450018</v>
      </c>
      <c r="AD111" s="55" t="n">
        <f aca="false">IF(AD2&gt;=Assumptions!$B$47,AD107*Assumptions!$B$170*AD7,0)</f>
        <v>6412345.90409893</v>
      </c>
      <c r="AE111" s="55" t="n">
        <f aca="false">IF(AE2&gt;=Assumptions!$B$47,AE107*Assumptions!$B$170*AE7,0)</f>
        <v>7677577.49299582</v>
      </c>
    </row>
    <row r="112" customFormat="false" ht="15" hidden="false" customHeight="false" outlineLevel="0" collapsed="false">
      <c r="A112" s="6" t="s">
        <v>448</v>
      </c>
      <c r="B112" s="23" t="s">
        <v>114</v>
      </c>
      <c r="C112" s="55" t="n">
        <f aca="false">IF(C2&gt;=Assumptions!$B$48,C107*Assumptions!$B$37*Assumptions!$B$139*Assumptions!$B$141*Assumptions!$B$34*Assumptions!$B$140/12*C7,0)</f>
        <v>153.966090032787</v>
      </c>
      <c r="D112" s="55" t="n">
        <f aca="false">IF(D2&gt;=Assumptions!$B$48,D107*Assumptions!$B$37*Assumptions!$B$139*Assumptions!$B$141*Assumptions!$B$34*Assumptions!$B$140/12*D7,0)</f>
        <v>292.734305026006</v>
      </c>
      <c r="E112" s="55" t="n">
        <f aca="false">IF(E2&gt;=Assumptions!$B$48,E107*Assumptions!$B$37*Assumptions!$B$139*Assumptions!$B$141*Assumptions!$B$34*Assumptions!$B$140/12*E7,0)</f>
        <v>418.579904199338</v>
      </c>
      <c r="F112" s="55" t="n">
        <f aca="false">IF(F2&gt;=Assumptions!$B$48,F107*Assumptions!$B$37*Assumptions!$B$139*Assumptions!$B$141*Assumptions!$B$34*Assumptions!$B$140/12*F7,0)</f>
        <v>573.226029436358</v>
      </c>
      <c r="G112" s="55" t="n">
        <f aca="false">IF(G2&gt;=Assumptions!$B$48,G107*Assumptions!$B$37*Assumptions!$B$139*Assumptions!$B$141*Assumptions!$B$34*Assumptions!$B$140/12*G7,0)</f>
        <v>703.503713948027</v>
      </c>
      <c r="H112" s="55" t="n">
        <f aca="false">IF(H2&gt;=Assumptions!$B$48,H107*Assumptions!$B$37*Assumptions!$B$139*Assumptions!$B$141*Assumptions!$B$34*Assumptions!$B$140/12*H7,0)</f>
        <v>803.033685534495</v>
      </c>
      <c r="I112" s="55" t="n">
        <f aca="false">IF(I2&gt;=Assumptions!$B$48,I107*Assumptions!$B$37*Assumptions!$B$139*Assumptions!$B$141*Assumptions!$B$34*Assumptions!$B$140/12*I7,0)</f>
        <v>893.096314261473</v>
      </c>
      <c r="J112" s="55" t="n">
        <f aca="false">IF(J2&gt;=Assumptions!$B$48,J107*Assumptions!$B$37*Assumptions!$B$139*Assumptions!$B$141*Assumptions!$B$34*Assumptions!$B$140/12*J7,0)</f>
        <v>978.71280896442</v>
      </c>
      <c r="K112" s="55" t="n">
        <f aca="false">IF(K2&gt;=Assumptions!$B$48,K107*Assumptions!$B$37*Assumptions!$B$139*Assumptions!$B$141*Assumptions!$B$34*Assumptions!$B$140/12*K7,0)</f>
        <v>1072.23585315535</v>
      </c>
      <c r="L112" s="55" t="n">
        <f aca="false">IF(L2&gt;=Assumptions!$B$48,L107*Assumptions!$B$37*Assumptions!$B$139*Assumptions!$B$141*Assumptions!$B$34*Assumptions!$B$140/12*L7,0)</f>
        <v>1209.64885776464</v>
      </c>
      <c r="M112" s="55" t="n">
        <f aca="false">IF(M2&gt;=Assumptions!$B$48,M107*Assumptions!$B$37*Assumptions!$B$139*Assumptions!$B$141*Assumptions!$B$34*Assumptions!$B$140/12*M7,0)</f>
        <v>1325.08450125434</v>
      </c>
      <c r="N112" s="55" t="n">
        <f aca="false">IF(N2&gt;=Assumptions!$B$48,N107*Assumptions!$B$37*Assumptions!$B$139*Assumptions!$B$141*Assumptions!$B$34*Assumptions!$B$140/12*N7,0)</f>
        <v>1413.58933121821</v>
      </c>
      <c r="O112" s="55" t="n">
        <f aca="false">IF(O2&gt;=Assumptions!$B$48,O107*Assumptions!$B$37*Assumptions!$B$139*Assumptions!$B$141*Assumptions!$B$34*Assumptions!$B$140/12*O7,0)</f>
        <v>1845.03901652663</v>
      </c>
      <c r="P112" s="55" t="n">
        <f aca="false">IF(P2&gt;=Assumptions!$B$48,P107*Assumptions!$B$37*Assumptions!$B$139*Assumptions!$B$141*Assumptions!$B$34*Assumptions!$B$140/12*P7,0)</f>
        <v>2239.07287939273</v>
      </c>
      <c r="Q112" s="55" t="n">
        <f aca="false">IF(Q2&gt;=Assumptions!$B$48,Q107*Assumptions!$B$37*Assumptions!$B$139*Assumptions!$B$141*Assumptions!$B$34*Assumptions!$B$140/12*Q7,0)</f>
        <v>2600.99222742177</v>
      </c>
      <c r="R112" s="55" t="n">
        <f aca="false">IF(R2&gt;=Assumptions!$B$48,R107*Assumptions!$B$37*Assumptions!$B$139*Assumptions!$B$141*Assumptions!$B$34*Assumptions!$B$140/12*R7,0)</f>
        <v>3071.15859952388</v>
      </c>
      <c r="S112" s="55" t="n">
        <f aca="false">IF(S2&gt;=Assumptions!$B$48,S107*Assumptions!$B$37*Assumptions!$B$139*Assumptions!$B$141*Assumptions!$B$34*Assumptions!$B$140/12*S7,0)</f>
        <v>3470.97387462674</v>
      </c>
      <c r="T112" s="55" t="n">
        <f aca="false">IF(T2&gt;=Assumptions!$B$48,T107*Assumptions!$B$37*Assumptions!$B$139*Assumptions!$B$141*Assumptions!$B$34*Assumptions!$B$140/12*T7,0)</f>
        <v>3773.6469807523</v>
      </c>
      <c r="U112" s="55" t="n">
        <f aca="false">IF(U2&gt;=Assumptions!$B$48,U107*Assumptions!$B$37*Assumptions!$B$139*Assumptions!$B$141*Assumptions!$B$34*Assumptions!$B$140/12*U7,0)</f>
        <v>4050.35369866429</v>
      </c>
      <c r="V112" s="55" t="n">
        <f aca="false">IF(V2&gt;=Assumptions!$B$48,V107*Assumptions!$B$37*Assumptions!$B$139*Assumptions!$B$141*Assumptions!$B$34*Assumptions!$B$140/12*V7,0)</f>
        <v>4317.93497360197</v>
      </c>
      <c r="W112" s="55" t="n">
        <f aca="false">IF(W2&gt;=Assumptions!$B$48,W107*Assumptions!$B$37*Assumptions!$B$139*Assumptions!$B$141*Assumptions!$B$34*Assumptions!$B$140/12*W7,0)</f>
        <v>4620.73223664734</v>
      </c>
      <c r="X112" s="55" t="n">
        <f aca="false">IF(X2&gt;=Assumptions!$B$48,X107*Assumptions!$B$37*Assumptions!$B$139*Assumptions!$B$141*Assumptions!$B$34*Assumptions!$B$140/12*X7,0)</f>
        <v>5092.06984595962</v>
      </c>
      <c r="Y112" s="55" t="n">
        <f aca="false">IF(Y2&gt;=Assumptions!$B$48,Y107*Assumptions!$B$37*Assumptions!$B$139*Assumptions!$B$141*Assumptions!$B$34*Assumptions!$B$140/12*Y7,0)</f>
        <v>5494.87190555888</v>
      </c>
      <c r="Z112" s="55" t="n">
        <f aca="false">IF(Z2&gt;=Assumptions!$B$48,Z107*Assumptions!$B$37*Assumptions!$B$139*Assumptions!$B$141*Assumptions!$B$34*Assumptions!$B$140/12*Z7,0)</f>
        <v>5806.28600744489</v>
      </c>
      <c r="AA112" s="55" t="n">
        <f aca="false">IF(AA2&gt;=Assumptions!$B$48,AA107*Assumptions!$B$37*Assumptions!$B$139*Assumptions!$B$141*Assumptions!$B$34*Assumptions!$B$140/12*AA7,0)</f>
        <v>129029.72129492</v>
      </c>
      <c r="AB112" s="55" t="n">
        <f aca="false">IF(AB2&gt;=Assumptions!$B$48,AB107*Assumptions!$B$37*Assumptions!$B$139*Assumptions!$B$141*Assumptions!$B$34*Assumptions!$B$140/12*AB7,0)</f>
        <v>211869.342886727</v>
      </c>
      <c r="AC112" s="55" t="n">
        <f aca="false">IF(AC2&gt;=Assumptions!$B$48,AC107*Assumptions!$B$37*Assumptions!$B$139*Assumptions!$B$141*Assumptions!$B$34*Assumptions!$B$140/12*AC7,0)</f>
        <v>316550.489486401</v>
      </c>
      <c r="AD112" s="55" t="n">
        <f aca="false">IF(AD2&gt;=Assumptions!$B$48,AD107*Assumptions!$B$37*Assumptions!$B$139*Assumptions!$B$141*Assumptions!$B$34*Assumptions!$B$140/12*AD7,0)</f>
        <v>423927.312548762</v>
      </c>
      <c r="AE112" s="55" t="n">
        <f aca="false">IF(AE2&gt;=Assumptions!$B$48,AE107*Assumptions!$B$37*Assumptions!$B$139*Assumptions!$B$141*Assumptions!$B$34*Assumptions!$B$140/12*AE7,0)</f>
        <v>507573.178703612</v>
      </c>
    </row>
    <row r="113" customFormat="false" ht="15" hidden="false" customHeight="false" outlineLevel="0" collapsed="false">
      <c r="A113" s="6" t="s">
        <v>449</v>
      </c>
      <c r="B113" s="23" t="s">
        <v>47</v>
      </c>
      <c r="C113" s="54" t="n">
        <f aca="false">(C111+C112)*(1-Assumptions!$B$8)/C21/(1+Assumptions!$B$9)</f>
        <v>16.4277090937062</v>
      </c>
      <c r="D113" s="54" t="n">
        <f aca="false">(D111+D112)*(1-Assumptions!$B$8)/D21/(1+Assumptions!$B$9)</f>
        <v>31.2338515818088</v>
      </c>
      <c r="E113" s="54" t="n">
        <f aca="false">(E111+E112)*(1-Assumptions!$B$8)/E21/(1+Assumptions!$B$9)</f>
        <v>44.6611906374568</v>
      </c>
      <c r="F113" s="54" t="n">
        <f aca="false">(F111+F112)*(1-Assumptions!$B$8)/F21/(1+Assumptions!$B$9)</f>
        <v>61.1614573995837</v>
      </c>
      <c r="G113" s="54" t="n">
        <f aca="false">(G111+G112)*(1-Assumptions!$B$8)/G21/(1+Assumptions!$B$9)</f>
        <v>75.0616863532682</v>
      </c>
      <c r="H113" s="54" t="n">
        <f aca="false">(H111+H112)*(1-Assumptions!$B$8)/H21/(1+Assumptions!$B$9)</f>
        <v>85.6812287406806</v>
      </c>
      <c r="I113" s="54" t="n">
        <f aca="false">(I111+I112)*(1-Assumptions!$B$8)/I21/(1+Assumptions!$B$9)</f>
        <v>95.2906347119967</v>
      </c>
      <c r="J113" s="54" t="n">
        <f aca="false">(J111+J112)*(1-Assumptions!$B$8)/J21/(1+Assumptions!$B$9)</f>
        <v>104.425651833646</v>
      </c>
      <c r="K113" s="54" t="n">
        <f aca="false">(K111+K112)*(1-Assumptions!$B$8)/K21/(1+Assumptions!$B$9)</f>
        <v>114.404273510661</v>
      </c>
      <c r="L113" s="54" t="n">
        <f aca="false">(L111+L112)*(1-Assumptions!$B$8)/L21/(1+Assumptions!$B$9)</f>
        <v>129.065819211618</v>
      </c>
      <c r="M113" s="54" t="n">
        <f aca="false">(M111+M112)*(1-Assumptions!$B$8)/M21/(1+Assumptions!$B$9)</f>
        <v>141.382447956882</v>
      </c>
      <c r="N113" s="54" t="n">
        <f aca="false">(N111+N112)*(1-Assumptions!$B$8)/N21/(1+Assumptions!$B$9)</f>
        <v>150.82564158299</v>
      </c>
      <c r="O113" s="54" t="n">
        <f aca="false">(O111+O112)*(1-Assumptions!$B$8)/O21/(1+Assumptions!$B$9)</f>
        <v>182.109156661863</v>
      </c>
      <c r="P113" s="54" t="n">
        <f aca="false">(P111+P112)*(1-Assumptions!$B$8)/P21/(1+Assumptions!$B$9)</f>
        <v>221.001111693712</v>
      </c>
      <c r="Q113" s="54" t="n">
        <f aca="false">(Q111+Q112)*(1-Assumptions!$B$8)/Q21/(1+Assumptions!$B$9)</f>
        <v>256.723297869079</v>
      </c>
      <c r="R113" s="54" t="n">
        <f aca="false">(R111+R112)*(1-Assumptions!$B$8)/R21/(1+Assumptions!$B$9)</f>
        <v>303.129688599758</v>
      </c>
      <c r="S113" s="54" t="n">
        <f aca="false">(S111+S112)*(1-Assumptions!$B$8)/S21/(1+Assumptions!$B$9)</f>
        <v>342.592280944597</v>
      </c>
      <c r="T113" s="54" t="n">
        <f aca="false">(T111+T112)*(1-Assumptions!$B$8)/T21/(1+Assumptions!$B$9)</f>
        <v>372.466740837872</v>
      </c>
      <c r="U113" s="54" t="n">
        <f aca="false">(U111+U112)*(1-Assumptions!$B$8)/U21/(1+Assumptions!$B$9)</f>
        <v>399.778264654039</v>
      </c>
      <c r="V113" s="54" t="n">
        <f aca="false">(V111+V112)*(1-Assumptions!$B$8)/V21/(1+Assumptions!$B$9)</f>
        <v>426.189088425745</v>
      </c>
      <c r="W113" s="54" t="n">
        <f aca="false">(W111+W112)*(1-Assumptions!$B$8)/W21/(1+Assumptions!$B$9)</f>
        <v>456.075802863101</v>
      </c>
      <c r="X113" s="54" t="n">
        <f aca="false">(X111+X112)*(1-Assumptions!$B$8)/X21/(1+Assumptions!$B$9)</f>
        <v>502.597797122316</v>
      </c>
      <c r="Y113" s="54" t="n">
        <f aca="false">(Y111+Y112)*(1-Assumptions!$B$8)/Y21/(1+Assumptions!$B$9)</f>
        <v>542.355191257738</v>
      </c>
      <c r="Z113" s="54" t="n">
        <f aca="false">(Z111+Z112)*(1-Assumptions!$B$8)/Z21/(1+Assumptions!$B$9)</f>
        <v>573.092405462473</v>
      </c>
      <c r="AA113" s="54" t="n">
        <f aca="false">(AA111+AA112)*(1-Assumptions!$B$8)/AA21/(1+Assumptions!$B$9)</f>
        <v>11781.2207578411</v>
      </c>
      <c r="AB113" s="54" t="n">
        <f aca="false">(AB111+AB112)*(1-Assumptions!$B$8)/AB21/(1+Assumptions!$B$9)</f>
        <v>17895.4638758437</v>
      </c>
      <c r="AC113" s="54" t="n">
        <f aca="false">(AC111+AC112)*(1-Assumptions!$B$8)/AC21/(1+Assumptions!$B$9)</f>
        <v>24733.873554279</v>
      </c>
      <c r="AD113" s="54" t="n">
        <f aca="false">(AD111+AD112)*(1-Assumptions!$B$8)/AD21/(1+Assumptions!$B$9)</f>
        <v>30641.8407262332</v>
      </c>
      <c r="AE113" s="54" t="n">
        <f aca="false">(AE111+AE112)*(1-Assumptions!$B$8)/AE21/(1+Assumptions!$B$9)</f>
        <v>33938.7954116734</v>
      </c>
    </row>
    <row r="114" customFormat="false" ht="15" hidden="false" customHeight="false" outlineLevel="0" collapsed="false">
      <c r="A114" s="6" t="s">
        <v>450</v>
      </c>
      <c r="B114" s="23" t="s">
        <v>451</v>
      </c>
      <c r="C114" s="56" t="n">
        <f aca="false">(Assumptions!$B$136+Assumptions!$B$137*IF(C107+C109=0,1,(C107+C109*Assumptions!$B$138)/(C107+C109)))*C7/12</f>
        <v>0.0168634841405503</v>
      </c>
      <c r="D114" s="56" t="n">
        <f aca="false">(Assumptions!$B$136+Assumptions!$B$137*IF(D107+D109=0,1,(D107+D109*Assumptions!$B$138)/(D107+D109)))*D7/12</f>
        <v>0.0170579708458923</v>
      </c>
      <c r="E114" s="56" t="n">
        <f aca="false">(Assumptions!$B$136+Assumptions!$B$137*IF(E107+E109=0,1,(E107+E109*Assumptions!$B$138)/(E107+E109)))*E7/12</f>
        <v>0.0172482339050558</v>
      </c>
      <c r="F114" s="56" t="n">
        <f aca="false">(Assumptions!$B$136+Assumptions!$B$137*IF(F107+F109=0,1,(F107+F109*Assumptions!$B$138)/(F107+F109)))*F7/12</f>
        <v>0.0173968012534282</v>
      </c>
      <c r="G114" s="56" t="n">
        <f aca="false">(Assumptions!$B$136+Assumptions!$B$137*IF(G107+G109=0,1,(G107+G109*Assumptions!$B$138)/(G107+G109)))*G7/12</f>
        <v>0.0175688263038334</v>
      </c>
      <c r="H114" s="56" t="n">
        <f aca="false">(Assumptions!$B$136+Assumptions!$B$137*IF(H107+H109=0,1,(H107+H109*Assumptions!$B$138)/(H107+H109)))*H7/12</f>
        <v>0.0177589526615769</v>
      </c>
      <c r="I114" s="56" t="n">
        <f aca="false">(Assumptions!$B$136+Assumptions!$B$137*IF(I107+I109=0,1,(I107+I109*Assumptions!$B$138)/(I107+I109)))*I7/12</f>
        <v>0.0179412852059256</v>
      </c>
      <c r="J114" s="56" t="n">
        <f aca="false">(Assumptions!$B$136+Assumptions!$B$137*IF(J107+J109=0,1,(J107+J109*Assumptions!$B$138)/(J107+J109)))*J7/12</f>
        <v>0.0181126046200662</v>
      </c>
      <c r="K114" s="56" t="n">
        <f aca="false">(Assumptions!$B$136+Assumptions!$B$137*IF(K107+K109=0,1,(K107+K109*Assumptions!$B$138)/(K107+K109)))*K7/12</f>
        <v>0.0182618161208307</v>
      </c>
      <c r="L114" s="56" t="n">
        <f aca="false">(Assumptions!$B$136+Assumptions!$B$137*IF(L107+L109=0,1,(L107+L109*Assumptions!$B$138)/(L107+L109)))*L7/12</f>
        <v>0.0183564817104326</v>
      </c>
      <c r="M114" s="56" t="n">
        <f aca="false">(Assumptions!$B$136+Assumptions!$B$137*IF(M107+M109=0,1,(M107+M109*Assumptions!$B$138)/(M107+M109)))*M7/12</f>
        <v>0.0184754086105579</v>
      </c>
      <c r="N114" s="56" t="n">
        <f aca="false">(Assumptions!$B$136+Assumptions!$B$137*IF(N107+N109=0,1,(N107+N109*Assumptions!$B$138)/(N107+N109)))*N7/12</f>
        <v>0.01861586055234</v>
      </c>
      <c r="O114" s="56" t="n">
        <f aca="false">(Assumptions!$B$136+Assumptions!$B$137*IF(O107+O109=0,1,(O107+O109*Assumptions!$B$138)/(O107+O109)))*O7/12</f>
        <v>0.0184693439438305</v>
      </c>
      <c r="P114" s="56" t="n">
        <f aca="false">(Assumptions!$B$136+Assumptions!$B$137*IF(P107+P109=0,1,(P107+P109*Assumptions!$B$138)/(P107+P109)))*P7/12</f>
        <v>0.0184418872230488</v>
      </c>
      <c r="Q114" s="56" t="n">
        <f aca="false">(Assumptions!$B$136+Assumptions!$B$137*IF(Q107+Q109=0,1,(Q107+Q109*Assumptions!$B$138)/(Q107+Q109)))*Q7/12</f>
        <v>0.0184742608736788</v>
      </c>
      <c r="R114" s="56" t="n">
        <f aca="false">(Assumptions!$B$136+Assumptions!$B$137*IF(R107+R109=0,1,(R107+R109*Assumptions!$B$138)/(R107+R109)))*R7/12</f>
        <v>0.018480823230325</v>
      </c>
      <c r="S114" s="56" t="n">
        <f aca="false">(Assumptions!$B$136+Assumptions!$B$137*IF(S107+S109=0,1,(S107+S109*Assumptions!$B$138)/(S107+S109)))*S7/12</f>
        <v>0.0185433648338489</v>
      </c>
      <c r="T114" s="56" t="n">
        <f aca="false">(Assumptions!$B$136+Assumptions!$B$137*IF(T107+T109=0,1,(T107+T109*Assumptions!$B$138)/(T107+T109)))*T7/12</f>
        <v>0.0186505166511571</v>
      </c>
      <c r="U114" s="56" t="n">
        <f aca="false">(Assumptions!$B$136+Assumptions!$B$137*IF(U107+U109=0,1,(U107+U109*Assumptions!$B$138)/(U107+U109)))*U7/12</f>
        <v>0.0187642216916607</v>
      </c>
      <c r="V114" s="56" t="n">
        <f aca="false">(Assumptions!$B$136+Assumptions!$B$137*IF(V107+V109=0,1,(V107+V109*Assumptions!$B$138)/(V107+V109)))*V7/12</f>
        <v>0.0188764825117543</v>
      </c>
      <c r="W114" s="56" t="n">
        <f aca="false">(Assumptions!$B$136+Assumptions!$B$137*IF(W107+W109=0,1,(W107+W109*Assumptions!$B$138)/(W107+W109)))*W7/12</f>
        <v>0.0189721160520953</v>
      </c>
      <c r="X114" s="56" t="n">
        <f aca="false">(Assumptions!$B$136+Assumptions!$B$137*IF(X107+X109=0,1,(X107+X109*Assumptions!$B$138)/(X107+X109)))*X7/12</f>
        <v>0.019012657435096</v>
      </c>
      <c r="Y114" s="56" t="n">
        <f aca="false">(Assumptions!$B$136+Assumptions!$B$137*IF(Y107+Y109=0,1,(Y107+Y109*Assumptions!$B$138)/(Y107+Y109)))*Y7/12</f>
        <v>0.0190821432814781</v>
      </c>
      <c r="Z114" s="56" t="n">
        <f aca="false">(Assumptions!$B$136+Assumptions!$B$137*IF(Z107+Z109=0,1,(Z107+Z109*Assumptions!$B$138)/(Z107+Z109)))*Z7/12</f>
        <v>0.0191790868069759</v>
      </c>
      <c r="AA114" s="56" t="n">
        <f aca="false">(Assumptions!$B$136+Assumptions!$B$137*IF(AA107+AA109=0,1,(AA107+AA109*Assumptions!$B$138)/(AA107+AA109)))*AA7/12</f>
        <v>0.240673494214546</v>
      </c>
      <c r="AB114" s="56" t="n">
        <f aca="false">(Assumptions!$B$136+Assumptions!$B$137*IF(AB107+AB109=0,1,(AB107+AB109*Assumptions!$B$138)/(AB107+AB109)))*AB7/12</f>
        <v>0.246856630191014</v>
      </c>
      <c r="AC114" s="56" t="n">
        <f aca="false">(Assumptions!$B$136+Assumptions!$B$137*IF(AC107+AC109=0,1,(AC107+AC109*Assumptions!$B$138)/(AC107+AC109)))*AC7/12</f>
        <v>0.251545218347267</v>
      </c>
      <c r="AD114" s="56" t="n">
        <f aca="false">(Assumptions!$B$136+Assumptions!$B$137*IF(AD107+AD109=0,1,(AD107+AD109*Assumptions!$B$138)/(AD107+AD109)))*AD7/12</f>
        <v>0.256118686786349</v>
      </c>
      <c r="AE114" s="56" t="n">
        <f aca="false">(Assumptions!$B$136+Assumptions!$B$137*IF(AE107+AE109=0,1,(AE107+AE109*Assumptions!$B$138)/(AE107+AE109)))*AE7/12</f>
        <v>0.260956486735368</v>
      </c>
    </row>
    <row r="115" customFormat="false" ht="15" hidden="false" customHeight="false" outlineLevel="0" collapsed="false">
      <c r="A115" s="6" t="s">
        <v>452</v>
      </c>
      <c r="B115" s="23" t="s">
        <v>451</v>
      </c>
      <c r="C115" s="56" t="n">
        <f aca="false">Assumptions!$B$137*IF(C107+C109=0,1,(C107+C109*Assumptions!$B$138)/(C107+C109))*C7/12</f>
        <v>0.00686348414055028</v>
      </c>
      <c r="D115" s="56" t="n">
        <f aca="false">Assumptions!$B$137*IF(D107+D109=0,1,(D107+D109*Assumptions!$B$138)/(D107+D109))*D7/12</f>
        <v>0.00705797084589227</v>
      </c>
      <c r="E115" s="56" t="n">
        <f aca="false">Assumptions!$B$137*IF(E107+E109=0,1,(E107+E109*Assumptions!$B$138)/(E107+E109))*E7/12</f>
        <v>0.00724823390505576</v>
      </c>
      <c r="F115" s="56" t="n">
        <f aca="false">Assumptions!$B$137*IF(F107+F109=0,1,(F107+F109*Assumptions!$B$138)/(F107+F109))*F7/12</f>
        <v>0.0073968012534282</v>
      </c>
      <c r="G115" s="56" t="n">
        <f aca="false">Assumptions!$B$137*IF(G107+G109=0,1,(G107+G109*Assumptions!$B$138)/(G107+G109))*G7/12</f>
        <v>0.00756882630383341</v>
      </c>
      <c r="H115" s="56" t="n">
        <f aca="false">Assumptions!$B$137*IF(H107+H109=0,1,(H107+H109*Assumptions!$B$138)/(H107+H109))*H7/12</f>
        <v>0.00775895266157691</v>
      </c>
      <c r="I115" s="56" t="n">
        <f aca="false">Assumptions!$B$137*IF(I107+I109=0,1,(I107+I109*Assumptions!$B$138)/(I107+I109))*I7/12</f>
        <v>0.00794128520592562</v>
      </c>
      <c r="J115" s="56" t="n">
        <f aca="false">Assumptions!$B$137*IF(J107+J109=0,1,(J107+J109*Assumptions!$B$138)/(J107+J109))*J7/12</f>
        <v>0.0081126046200662</v>
      </c>
      <c r="K115" s="56" t="n">
        <f aca="false">Assumptions!$B$137*IF(K107+K109=0,1,(K107+K109*Assumptions!$B$138)/(K107+K109))*K7/12</f>
        <v>0.00826181612083074</v>
      </c>
      <c r="L115" s="56" t="n">
        <f aca="false">Assumptions!$B$137*IF(L107+L109=0,1,(L107+L109*Assumptions!$B$138)/(L107+L109))*L7/12</f>
        <v>0.00835648171043258</v>
      </c>
      <c r="M115" s="56" t="n">
        <f aca="false">Assumptions!$B$137*IF(M107+M109=0,1,(M107+M109*Assumptions!$B$138)/(M107+M109))*M7/12</f>
        <v>0.00847540861055794</v>
      </c>
      <c r="N115" s="56" t="n">
        <f aca="false">Assumptions!$B$137*IF(N107+N109=0,1,(N107+N109*Assumptions!$B$138)/(N107+N109))*N7/12</f>
        <v>0.00861586055233999</v>
      </c>
      <c r="O115" s="56" t="n">
        <f aca="false">Assumptions!$B$137*IF(O107+O109=0,1,(O107+O109*Assumptions!$B$138)/(O107+O109))*O7/12</f>
        <v>0.00846934394383049</v>
      </c>
      <c r="P115" s="56" t="n">
        <f aca="false">Assumptions!$B$137*IF(P107+P109=0,1,(P107+P109*Assumptions!$B$138)/(P107+P109))*P7/12</f>
        <v>0.00844188722304882</v>
      </c>
      <c r="Q115" s="56" t="n">
        <f aca="false">Assumptions!$B$137*IF(Q107+Q109=0,1,(Q107+Q109*Assumptions!$B$138)/(Q107+Q109))*Q7/12</f>
        <v>0.00847426087367885</v>
      </c>
      <c r="R115" s="56" t="n">
        <f aca="false">Assumptions!$B$137*IF(R107+R109=0,1,(R107+R109*Assumptions!$B$138)/(R107+R109))*R7/12</f>
        <v>0.00848082323032503</v>
      </c>
      <c r="S115" s="56" t="n">
        <f aca="false">Assumptions!$B$137*IF(S107+S109=0,1,(S107+S109*Assumptions!$B$138)/(S107+S109))*S7/12</f>
        <v>0.00854336483384893</v>
      </c>
      <c r="T115" s="56" t="n">
        <f aca="false">Assumptions!$B$137*IF(T107+T109=0,1,(T107+T109*Assumptions!$B$138)/(T107+T109))*T7/12</f>
        <v>0.00865051665115711</v>
      </c>
      <c r="U115" s="56" t="n">
        <f aca="false">Assumptions!$B$137*IF(U107+U109=0,1,(U107+U109*Assumptions!$B$138)/(U107+U109))*U7/12</f>
        <v>0.00876422169166074</v>
      </c>
      <c r="V115" s="56" t="n">
        <f aca="false">Assumptions!$B$137*IF(V107+V109=0,1,(V107+V109*Assumptions!$B$138)/(V107+V109))*V7/12</f>
        <v>0.00887648251175432</v>
      </c>
      <c r="W115" s="56" t="n">
        <f aca="false">Assumptions!$B$137*IF(W107+W109=0,1,(W107+W109*Assumptions!$B$138)/(W107+W109))*W7/12</f>
        <v>0.00897211605209531</v>
      </c>
      <c r="X115" s="56" t="n">
        <f aca="false">Assumptions!$B$137*IF(X107+X109=0,1,(X107+X109*Assumptions!$B$138)/(X107+X109))*X7/12</f>
        <v>0.00901265743509599</v>
      </c>
      <c r="Y115" s="56" t="n">
        <f aca="false">Assumptions!$B$137*IF(Y107+Y109=0,1,(Y107+Y109*Assumptions!$B$138)/(Y107+Y109))*Y7/12</f>
        <v>0.00908214328147805</v>
      </c>
      <c r="Z115" s="56" t="n">
        <f aca="false">Assumptions!$B$137*IF(Z107+Z109=0,1,(Z107+Z109*Assumptions!$B$138)/(Z107+Z109))*Z7/12</f>
        <v>0.00917908680697594</v>
      </c>
      <c r="AA115" s="56" t="n">
        <f aca="false">Assumptions!$B$137*IF(AA107+AA109=0,1,(AA107+AA109*Assumptions!$B$138)/(AA107+AA109))*AA7/12</f>
        <v>0.120673494214546</v>
      </c>
      <c r="AB115" s="56" t="n">
        <f aca="false">Assumptions!$B$137*IF(AB107+AB109=0,1,(AB107+AB109*Assumptions!$B$138)/(AB107+AB109))*AB7/12</f>
        <v>0.126856630191014</v>
      </c>
      <c r="AC115" s="56" t="n">
        <f aca="false">Assumptions!$B$137*IF(AC107+AC109=0,1,(AC107+AC109*Assumptions!$B$138)/(AC107+AC109))*AC7/12</f>
        <v>0.131545218347267</v>
      </c>
      <c r="AD115" s="56" t="n">
        <f aca="false">Assumptions!$B$137*IF(AD107+AD109=0,1,(AD107+AD109*Assumptions!$B$138)/(AD107+AD109))*AD7/12</f>
        <v>0.136118686786349</v>
      </c>
      <c r="AE115" s="56" t="n">
        <f aca="false">Assumptions!$B$137*IF(AE107+AE109=0,1,(AE107+AE109*Assumptions!$B$138)/(AE107+AE109))*AE7/12</f>
        <v>0.140956486735368</v>
      </c>
    </row>
    <row r="116" customFormat="false" ht="15" hidden="false" customHeight="false" outlineLevel="0" collapsed="false">
      <c r="A116" s="6" t="s">
        <v>453</v>
      </c>
      <c r="B116" s="23" t="s">
        <v>47</v>
      </c>
      <c r="C116" s="45" t="n">
        <f aca="false">C113</f>
        <v>16.4277090937062</v>
      </c>
      <c r="D116" s="45" t="n">
        <f aca="false">C116*(1-D114)+D113</f>
        <v>47.3813372927298</v>
      </c>
      <c r="E116" s="45" t="n">
        <f aca="false">D116*(1-E114)+E113</f>
        <v>91.2252835418272</v>
      </c>
      <c r="F116" s="45" t="n">
        <f aca="false">E116*(1-F114)+F113</f>
        <v>150.799712814346</v>
      </c>
      <c r="G116" s="45" t="n">
        <f aca="false">F116*(1-G114)+G113</f>
        <v>223.212025206511</v>
      </c>
      <c r="H116" s="45" t="n">
        <f aca="false">G116*(1-H114)+H113</f>
        <v>304.929242158055</v>
      </c>
      <c r="I116" s="45" t="n">
        <f aca="false">H116*(1-I114)+I113</f>
        <v>394.749054368867</v>
      </c>
      <c r="J116" s="45" t="n">
        <f aca="false">I116*(1-J114)+J113</f>
        <v>492.024772656584</v>
      </c>
      <c r="K116" s="45" t="n">
        <f aca="false">J116*(1-K114)+K113</f>
        <v>597.443780242097</v>
      </c>
      <c r="L116" s="45" t="n">
        <f aca="false">K116*(1-L114)+L113</f>
        <v>715.542633628689</v>
      </c>
      <c r="M116" s="45" t="n">
        <f aca="false">L116*(1-M114)+M113</f>
        <v>843.705139051006</v>
      </c>
      <c r="N116" s="45" t="n">
        <f aca="false">M116*(1-N114)+N113</f>
        <v>978.824483418131</v>
      </c>
      <c r="O116" s="45" t="n">
        <f aca="false">N116*(1-O114)+O113</f>
        <v>1142.8553940351</v>
      </c>
      <c r="P116" s="45" t="n">
        <f aca="false">O116*(1-P114)+P113</f>
        <v>1342.78009543977</v>
      </c>
      <c r="Q116" s="45" t="n">
        <f aca="false">P116*(1-Q114)+Q113</f>
        <v>1574.69652352971</v>
      </c>
      <c r="R116" s="45" t="n">
        <f aca="false">Q116*(1-R114)+R113</f>
        <v>1848.7245240367</v>
      </c>
      <c r="S116" s="45" t="n">
        <f aca="false">R116*(1-S114)+S113</f>
        <v>2157.0352316548</v>
      </c>
      <c r="T116" s="45" t="n">
        <f aca="false">S116*(1-T114)+T113</f>
        <v>2489.27215098757</v>
      </c>
      <c r="U116" s="45" t="n">
        <f aca="false">T116*(1-U114)+U113</f>
        <v>2842.3411611496</v>
      </c>
      <c r="V116" s="45" t="n">
        <f aca="false">U116*(1-V114)+V113</f>
        <v>3214.87684635446</v>
      </c>
      <c r="W116" s="45" t="n">
        <f aca="false">V116*(1-W114)+W113</f>
        <v>3609.95963259533</v>
      </c>
      <c r="X116" s="45" t="n">
        <f aca="false">W116*(1-X114)+X113</f>
        <v>4043.92250386859</v>
      </c>
      <c r="Y116" s="45" t="n">
        <f aca="false">X116*(1-Y114)+Y113</f>
        <v>4509.11098648831</v>
      </c>
      <c r="Z116" s="45" t="n">
        <f aca="false">Y116*(1-Z114)+Z113</f>
        <v>4995.72276091864</v>
      </c>
      <c r="AA116" s="45" t="n">
        <f aca="false">Z116*(1-AA114)+AA113</f>
        <v>15574.6054657623</v>
      </c>
      <c r="AB116" s="45" t="n">
        <f aca="false">AA116*(1-AB114)+AB113</f>
        <v>29625.3747197734</v>
      </c>
      <c r="AC116" s="45" t="n">
        <f aca="false">AB116*(1-AC114)+AC113</f>
        <v>46907.1269215473</v>
      </c>
      <c r="AD116" s="45" t="n">
        <f aca="false">AC116*(1-AD114)+AD113</f>
        <v>65535.1758997133</v>
      </c>
      <c r="AE116" s="45" t="n">
        <f aca="false">AD116*(1-AE114)+AE113</f>
        <v>82372.1420510131</v>
      </c>
    </row>
    <row r="117" customFormat="false" ht="15" hidden="false" customHeight="false" outlineLevel="0" collapsed="false">
      <c r="A117" s="6" t="s">
        <v>454</v>
      </c>
      <c r="B117" s="23" t="s">
        <v>47</v>
      </c>
      <c r="C117" s="45" t="n">
        <f aca="false">C113</f>
        <v>16.4277090937062</v>
      </c>
      <c r="D117" s="45" t="n">
        <f aca="false">C117*(1-D115)+D113</f>
        <v>47.5456143836668</v>
      </c>
      <c r="E117" s="45" t="n">
        <f aca="false">D117*(1-E115)+E113</f>
        <v>91.8621832869112</v>
      </c>
      <c r="F117" s="45" t="n">
        <f aca="false">E117*(1-F115)+F113</f>
        <v>152.344154374016</v>
      </c>
      <c r="G117" s="45" t="n">
        <f aca="false">F117*(1-G115)+G113</f>
        <v>226.252774284423</v>
      </c>
      <c r="H117" s="45" t="n">
        <f aca="false">G117*(1-H115)+H113</f>
        <v>310.17851845988</v>
      </c>
      <c r="I117" s="45" t="n">
        <f aca="false">H117*(1-I115)+I113</f>
        <v>403.005937092035</v>
      </c>
      <c r="J117" s="45" t="n">
        <f aca="false">I117*(1-J115)+J113</f>
        <v>504.162161098514</v>
      </c>
      <c r="K117" s="45" t="n">
        <f aca="false">J117*(1-K115)+K113</f>
        <v>614.401139539098</v>
      </c>
      <c r="L117" s="45" t="n">
        <f aca="false">K117*(1-L115)+L113</f>
        <v>738.332726865289</v>
      </c>
      <c r="M117" s="45" t="n">
        <f aca="false">L117*(1-M115)+M113</f>
        <v>873.45750327144</v>
      </c>
      <c r="N117" s="45" t="n">
        <f aca="false">M117*(1-N115)+N113</f>
        <v>1016.75755680785</v>
      </c>
      <c r="O117" s="45" t="n">
        <f aca="false">N117*(1-O115)+O113</f>
        <v>1190.25544401362</v>
      </c>
      <c r="P117" s="45" t="n">
        <f aca="false">O117*(1-P115)+P113</f>
        <v>1401.20855348235</v>
      </c>
      <c r="Q117" s="45" t="n">
        <f aca="false">P117*(1-Q115)+Q113</f>
        <v>1646.05764453079</v>
      </c>
      <c r="R117" s="45" t="n">
        <f aca="false">Q117*(1-R115)+R113</f>
        <v>1935.22740922035</v>
      </c>
      <c r="S117" s="45" t="n">
        <f aca="false">R117*(1-S115)+S113</f>
        <v>2261.28633637152</v>
      </c>
      <c r="T117" s="45" t="n">
        <f aca="false">S117*(1-T115)+T113</f>
        <v>2614.19178210357</v>
      </c>
      <c r="U117" s="45" t="n">
        <f aca="false">T117*(1-U115)+U113</f>
        <v>2991.05869043474</v>
      </c>
      <c r="V117" s="45" t="n">
        <f aca="false">U117*(1-V115)+V113</f>
        <v>3390.69769870321</v>
      </c>
      <c r="W117" s="45" t="n">
        <f aca="false">V117*(1-W115)+W113</f>
        <v>3816.35176831597</v>
      </c>
      <c r="X117" s="45" t="n">
        <f aca="false">W117*(1-X115)+X113</f>
        <v>4284.55409429863</v>
      </c>
      <c r="Y117" s="45" t="n">
        <f aca="false">X117*(1-Y115)+Y113</f>
        <v>4787.99635137471</v>
      </c>
      <c r="Z117" s="45" t="n">
        <f aca="false">Y117*(1-Z115)+Z113</f>
        <v>5317.13932269643</v>
      </c>
      <c r="AA117" s="45" t="n">
        <f aca="false">Z117*(1-AA115)+AA113</f>
        <v>16456.7222992421</v>
      </c>
      <c r="AB117" s="45" t="n">
        <f aca="false">AA117*(1-AB115)+AB113</f>
        <v>32264.5418402147</v>
      </c>
      <c r="AC117" s="45" t="n">
        <f aca="false">AB117*(1-AC115)+AC113</f>
        <v>52754.1691932481</v>
      </c>
      <c r="AD117" s="45" t="n">
        <f aca="false">AC117*(1-AD115)+AD113</f>
        <v>76215.1816863915</v>
      </c>
      <c r="AE117" s="45" t="n">
        <f aca="false">AD117*(1-AE115)+AE113</f>
        <v>99410.9528516534</v>
      </c>
    </row>
    <row r="118" customFormat="false" ht="15" hidden="false" customHeight="false" outlineLevel="0" collapsed="false">
      <c r="A118" s="6" t="s">
        <v>455</v>
      </c>
      <c r="B118" s="23" t="s">
        <v>114</v>
      </c>
      <c r="C118" s="57" t="n">
        <f aca="false">C116*C21</f>
        <v>2323.86372839568</v>
      </c>
      <c r="D118" s="57" t="n">
        <f aca="false">D116*D21</f>
        <v>6702.56397342956</v>
      </c>
      <c r="E118" s="57" t="n">
        <f aca="false">E116*E21</f>
        <v>12904.7286098269</v>
      </c>
      <c r="F118" s="57" t="n">
        <f aca="false">F116*F21</f>
        <v>21332.1273747174</v>
      </c>
      <c r="G118" s="57" t="n">
        <f aca="false">G116*G21</f>
        <v>31575.5730857131</v>
      </c>
      <c r="H118" s="57" t="n">
        <f aca="false">H116*H21</f>
        <v>43135.2905956784</v>
      </c>
      <c r="I118" s="57" t="n">
        <f aca="false">I116*I21</f>
        <v>55841.2012310199</v>
      </c>
      <c r="J118" s="57" t="n">
        <f aca="false">J116*J21</f>
        <v>69601.8243400004</v>
      </c>
      <c r="K118" s="57" t="n">
        <f aca="false">K116*K21</f>
        <v>84514.397153047</v>
      </c>
      <c r="L118" s="57" t="n">
        <f aca="false">L116*L21</f>
        <v>101220.660953114</v>
      </c>
      <c r="M118" s="57" t="n">
        <f aca="false">M116*M21</f>
        <v>119350.528970155</v>
      </c>
      <c r="N118" s="57" t="n">
        <f aca="false">N116*N21</f>
        <v>138464.511424329</v>
      </c>
      <c r="O118" s="57" t="n">
        <f aca="false">O116*O21</f>
        <v>174763.458287462</v>
      </c>
      <c r="P118" s="57" t="n">
        <f aca="false">P116*P21</f>
        <v>205335.595757283</v>
      </c>
      <c r="Q118" s="57" t="n">
        <f aca="false">Q116*Q21</f>
        <v>240799.852406212</v>
      </c>
      <c r="R118" s="57" t="n">
        <f aca="false">R116*R21</f>
        <v>282703.737435021</v>
      </c>
      <c r="S118" s="57" t="n">
        <f aca="false">S116*S21</f>
        <v>329850.07438335</v>
      </c>
      <c r="T118" s="57" t="n">
        <f aca="false">T116*T21</f>
        <v>380655.165995476</v>
      </c>
      <c r="U118" s="57" t="n">
        <f aca="false">U116*U21</f>
        <v>434645.864689376</v>
      </c>
      <c r="V118" s="57" t="n">
        <f aca="false">V116*V21</f>
        <v>491613.373458812</v>
      </c>
      <c r="W118" s="57" t="n">
        <f aca="false">W116*W21</f>
        <v>552028.745686718</v>
      </c>
      <c r="X118" s="57" t="n">
        <f aca="false">X116*X21</f>
        <v>618389.592866428</v>
      </c>
      <c r="Y118" s="57" t="n">
        <f aca="false">Y116*Y21</f>
        <v>689525.406200676</v>
      </c>
      <c r="Z118" s="57" t="n">
        <f aca="false">Z116*Z21</f>
        <v>763937.232042074</v>
      </c>
      <c r="AA118" s="57" t="n">
        <f aca="false">AA116*AA21</f>
        <v>2574554.53501974</v>
      </c>
      <c r="AB118" s="57" t="n">
        <f aca="false">AB116*AB21</f>
        <v>5293886.03695001</v>
      </c>
      <c r="AC118" s="57" t="n">
        <f aca="false">AC116*AC21</f>
        <v>9060981.89495548</v>
      </c>
      <c r="AD118" s="57" t="n">
        <f aca="false">AD116*AD21</f>
        <v>13684741.3360179</v>
      </c>
      <c r="AE118" s="57" t="n">
        <f aca="false">AE116*AE21</f>
        <v>18593800.9408071</v>
      </c>
    </row>
    <row r="119" customFormat="false" ht="15" hidden="false" customHeight="false" outlineLevel="0" collapsed="false">
      <c r="A119" s="6" t="s">
        <v>456</v>
      </c>
      <c r="B119" s="23" t="s">
        <v>190</v>
      </c>
      <c r="C119" s="54" t="n">
        <f aca="false">C107+C109*Assumptions!$B$172</f>
        <v>79.588</v>
      </c>
      <c r="D119" s="54" t="n">
        <f aca="false">D107+D109*Assumptions!$B$172</f>
        <v>155.187834615808</v>
      </c>
      <c r="E119" s="54" t="n">
        <f aca="false">E107+E109*Assumptions!$B$172</f>
        <v>227.593830637742</v>
      </c>
      <c r="F119" s="54" t="n">
        <f aca="false">F107+F109*Assumptions!$B$172</f>
        <v>318.048834214282</v>
      </c>
      <c r="G119" s="54" t="n">
        <f aca="false">G107+G109*Assumptions!$B$172</f>
        <v>399.79231630979</v>
      </c>
      <c r="H119" s="54" t="n">
        <f aca="false">H107+H109*Assumptions!$B$172</f>
        <v>468.914530722733</v>
      </c>
      <c r="I119" s="54" t="n">
        <f aca="false">I107+I109*Assumptions!$B$172</f>
        <v>535.64326756059</v>
      </c>
      <c r="J119" s="54" t="n">
        <f aca="false">J107+J109*Assumptions!$B$172</f>
        <v>602.336248472101</v>
      </c>
      <c r="K119" s="54" t="n">
        <f aca="false">K107+K109*Assumptions!$B$172</f>
        <v>675.267115595036</v>
      </c>
      <c r="L119" s="54" t="n">
        <f aca="false">L107+L109*Assumptions!$B$172</f>
        <v>773.235005107948</v>
      </c>
      <c r="M119" s="54" t="n">
        <f aca="false">M107+M109*Assumptions!$B$172</f>
        <v>863.294440658645</v>
      </c>
      <c r="N119" s="54" t="n">
        <f aca="false">N107+N109*Assumptions!$B$172</f>
        <v>942.332777635099</v>
      </c>
      <c r="O119" s="54" t="n">
        <f aca="false">O107+O109*Assumptions!$B$172</f>
        <v>1200.86923291664</v>
      </c>
      <c r="P119" s="54" t="n">
        <f aca="false">P107+P109*Assumptions!$B$172</f>
        <v>1450.90353052749</v>
      </c>
      <c r="Q119" s="54" t="n">
        <f aca="false">Q107+Q109*Assumptions!$B$172</f>
        <v>1694.23606439565</v>
      </c>
      <c r="R119" s="54" t="n">
        <f aca="false">R107+R109*Assumptions!$B$172</f>
        <v>2002.61560891598</v>
      </c>
      <c r="S119" s="54" t="n">
        <f aca="false">S107+S109*Assumptions!$B$172</f>
        <v>2286.4407588427</v>
      </c>
      <c r="T119" s="54" t="n">
        <f aca="false">T107+T109*Assumptions!$B$172</f>
        <v>2530.09535341248</v>
      </c>
      <c r="U119" s="54" t="n">
        <f aca="false">U107+U109*Assumptions!$B$172</f>
        <v>2767.9311211966</v>
      </c>
      <c r="V119" s="54" t="n">
        <f aca="false">V107+V109*Assumptions!$B$172</f>
        <v>3008.00114466362</v>
      </c>
      <c r="W119" s="54" t="n">
        <f aca="false">W107+W109*Assumptions!$B$172</f>
        <v>3272.99710525725</v>
      </c>
      <c r="X119" s="54" t="n">
        <f aca="false">X107+X109*Assumptions!$B$172</f>
        <v>3632.72158821035</v>
      </c>
      <c r="Y119" s="54" t="n">
        <f aca="false">Y107+Y109*Assumptions!$B$172</f>
        <v>3968.8595910758</v>
      </c>
      <c r="Z119" s="54" t="n">
        <f aca="false">Z107+Z109*Assumptions!$B$172</f>
        <v>4267.87653321926</v>
      </c>
      <c r="AA119" s="54" t="n">
        <f aca="false">AA107+AA109*Assumptions!$B$172</f>
        <v>9406.99238601517</v>
      </c>
      <c r="AB119" s="54" t="n">
        <f aca="false">AB107+AB109*Assumptions!$B$172</f>
        <v>17389.9151290001</v>
      </c>
      <c r="AC119" s="54" t="n">
        <f aca="false">AC107+AC109*Assumptions!$B$172</f>
        <v>28722.2715546705</v>
      </c>
      <c r="AD119" s="54" t="n">
        <f aca="false">AD107+AD109*Assumptions!$B$172</f>
        <v>42876.1936348273</v>
      </c>
      <c r="AE119" s="54" t="n">
        <f aca="false">AE107+AE109*Assumptions!$B$172</f>
        <v>58423.1946914553</v>
      </c>
    </row>
    <row r="120" customFormat="false" ht="15" hidden="false" customHeight="false" outlineLevel="0" collapsed="false">
      <c r="A120" s="6" t="s">
        <v>457</v>
      </c>
      <c r="B120" s="23" t="s">
        <v>190</v>
      </c>
      <c r="C120" s="45" t="n">
        <f aca="false">IF(C7&gt;1,C119*Assumptions!$B$134,IF(C2&gt;Assumptions!$B$135,INDEX($C$119:$AE$119,1,C2-Assumptions!$B$135)*Assumptions!$B$134,0))</f>
        <v>0</v>
      </c>
      <c r="D120" s="45" t="n">
        <f aca="false">IF(D7&gt;1,D119*Assumptions!$B$134,IF(D2&gt;Assumptions!$B$135,INDEX($C$119:$AE$119,1,D2-Assumptions!$B$135)*Assumptions!$B$134,0))</f>
        <v>0</v>
      </c>
      <c r="E120" s="45" t="n">
        <f aca="false">IF(E7&gt;1,E119*Assumptions!$B$134,IF(E2&gt;Assumptions!$B$135,INDEX($C$119:$AE$119,1,E2-Assumptions!$B$135)*Assumptions!$B$134,0))</f>
        <v>0</v>
      </c>
      <c r="F120" s="45" t="n">
        <f aca="false">IF(F7&gt;1,F119*Assumptions!$B$134,IF(F2&gt;Assumptions!$B$135,INDEX($C$119:$AE$119,1,F2-Assumptions!$B$135)*Assumptions!$B$134,0))</f>
        <v>0</v>
      </c>
      <c r="G120" s="45" t="n">
        <f aca="false">IF(G7&gt;1,G119*Assumptions!$B$134,IF(G2&gt;Assumptions!$B$135,INDEX($C$119:$AE$119,1,G2-Assumptions!$B$135)*Assumptions!$B$134,0))</f>
        <v>0</v>
      </c>
      <c r="H120" s="45" t="n">
        <f aca="false">IF(H7&gt;1,H119*Assumptions!$B$134,IF(H2&gt;Assumptions!$B$135,INDEX($C$119:$AE$119,1,H2-Assumptions!$B$135)*Assumptions!$B$134,0))</f>
        <v>0</v>
      </c>
      <c r="I120" s="45" t="n">
        <f aca="false">IF(I7&gt;1,I119*Assumptions!$B$134,IF(I2&gt;Assumptions!$B$135,INDEX($C$119:$AE$119,1,I2-Assumptions!$B$135)*Assumptions!$B$134,0))</f>
        <v>0</v>
      </c>
      <c r="J120" s="45" t="n">
        <f aca="false">IF(J7&gt;1,J119*Assumptions!$B$134,IF(J2&gt;Assumptions!$B$135,INDEX($C$119:$AE$119,1,J2-Assumptions!$B$135)*Assumptions!$B$134,0))</f>
        <v>0</v>
      </c>
      <c r="K120" s="45" t="n">
        <f aca="false">IF(K7&gt;1,K119*Assumptions!$B$134,IF(K2&gt;Assumptions!$B$135,INDEX($C$119:$AE$119,1,K2-Assumptions!$B$135)*Assumptions!$B$134,0))</f>
        <v>43.7734</v>
      </c>
      <c r="L120" s="45" t="n">
        <f aca="false">IF(L7&gt;1,L119*Assumptions!$B$134,IF(L2&gt;Assumptions!$B$135,INDEX($C$119:$AE$119,1,L2-Assumptions!$B$135)*Assumptions!$B$134,0))</f>
        <v>85.3533090386944</v>
      </c>
      <c r="M120" s="45" t="n">
        <f aca="false">IF(M7&gt;1,M119*Assumptions!$B$134,IF(M2&gt;Assumptions!$B$135,INDEX($C$119:$AE$119,1,M2-Assumptions!$B$135)*Assumptions!$B$134,0))</f>
        <v>125.176606850758</v>
      </c>
      <c r="N120" s="45" t="n">
        <f aca="false">IF(N7&gt;1,N119*Assumptions!$B$134,IF(N2&gt;Assumptions!$B$135,INDEX($C$119:$AE$119,1,N2-Assumptions!$B$135)*Assumptions!$B$134,0))</f>
        <v>174.926858817855</v>
      </c>
      <c r="O120" s="45" t="n">
        <f aca="false">IF(O7&gt;1,O119*Assumptions!$B$134,IF(O2&gt;Assumptions!$B$135,INDEX($C$119:$AE$119,1,O2-Assumptions!$B$135)*Assumptions!$B$134,0))</f>
        <v>219.885773970385</v>
      </c>
      <c r="P120" s="45" t="n">
        <f aca="false">IF(P7&gt;1,P119*Assumptions!$B$134,IF(P2&gt;Assumptions!$B$135,INDEX($C$119:$AE$119,1,P2-Assumptions!$B$135)*Assumptions!$B$134,0))</f>
        <v>257.902991897503</v>
      </c>
      <c r="Q120" s="45" t="n">
        <f aca="false">IF(Q7&gt;1,Q119*Assumptions!$B$134,IF(Q2&gt;Assumptions!$B$135,INDEX($C$119:$AE$119,1,Q2-Assumptions!$B$135)*Assumptions!$B$134,0))</f>
        <v>294.603797158325</v>
      </c>
      <c r="R120" s="45" t="n">
        <f aca="false">IF(R7&gt;1,R119*Assumptions!$B$134,IF(R2&gt;Assumptions!$B$135,INDEX($C$119:$AE$119,1,R2-Assumptions!$B$135)*Assumptions!$B$134,0))</f>
        <v>331.284936659655</v>
      </c>
      <c r="S120" s="45" t="n">
        <f aca="false">IF(S7&gt;1,S119*Assumptions!$B$134,IF(S2&gt;Assumptions!$B$135,INDEX($C$119:$AE$119,1,S2-Assumptions!$B$135)*Assumptions!$B$134,0))</f>
        <v>371.39691357727</v>
      </c>
      <c r="T120" s="45" t="n">
        <f aca="false">IF(T7&gt;1,T119*Assumptions!$B$134,IF(T2&gt;Assumptions!$B$135,INDEX($C$119:$AE$119,1,T2-Assumptions!$B$135)*Assumptions!$B$134,0))</f>
        <v>425.279252809371</v>
      </c>
      <c r="U120" s="45" t="n">
        <f aca="false">IF(U7&gt;1,U119*Assumptions!$B$134,IF(U2&gt;Assumptions!$B$135,INDEX($C$119:$AE$119,1,U2-Assumptions!$B$135)*Assumptions!$B$134,0))</f>
        <v>474.811942362255</v>
      </c>
      <c r="V120" s="45" t="n">
        <f aca="false">IF(V7&gt;1,V119*Assumptions!$B$134,IF(V2&gt;Assumptions!$B$135,INDEX($C$119:$AE$119,1,V2-Assumptions!$B$135)*Assumptions!$B$134,0))</f>
        <v>518.283027699305</v>
      </c>
      <c r="W120" s="45" t="n">
        <f aca="false">IF(W7&gt;1,W119*Assumptions!$B$134,IF(W2&gt;Assumptions!$B$135,INDEX($C$119:$AE$119,1,W2-Assumptions!$B$135)*Assumptions!$B$134,0))</f>
        <v>660.478078104149</v>
      </c>
      <c r="X120" s="45" t="n">
        <f aca="false">IF(X7&gt;1,X119*Assumptions!$B$134,IF(X2&gt;Assumptions!$B$135,INDEX($C$119:$AE$119,1,X2-Assumptions!$B$135)*Assumptions!$B$134,0))</f>
        <v>797.99694179012</v>
      </c>
      <c r="Y120" s="45" t="n">
        <f aca="false">IF(Y7&gt;1,Y119*Assumptions!$B$134,IF(Y2&gt;Assumptions!$B$135,INDEX($C$119:$AE$119,1,Y2-Assumptions!$B$135)*Assumptions!$B$134,0))</f>
        <v>931.829835417608</v>
      </c>
      <c r="Z120" s="45" t="n">
        <f aca="false">IF(Z7&gt;1,Z119*Assumptions!$B$134,IF(Z2&gt;Assumptions!$B$135,INDEX($C$119:$AE$119,1,Z2-Assumptions!$B$135)*Assumptions!$B$134,0))</f>
        <v>1101.43858490379</v>
      </c>
      <c r="AA120" s="45" t="n">
        <f aca="false">IF(AA7&gt;1,AA119*Assumptions!$B$134,IF(AA2&gt;Assumptions!$B$135,INDEX($C$119:$AE$119,1,AA2-Assumptions!$B$135)*Assumptions!$B$134,0))</f>
        <v>5173.84581230834</v>
      </c>
      <c r="AB120" s="45" t="n">
        <f aca="false">IF(AB7&gt;1,AB119*Assumptions!$B$134,IF(AB2&gt;Assumptions!$B$135,INDEX($C$119:$AE$119,1,AB2-Assumptions!$B$135)*Assumptions!$B$134,0))</f>
        <v>9564.45332095004</v>
      </c>
      <c r="AC120" s="45" t="n">
        <f aca="false">IF(AC7&gt;1,AC119*Assumptions!$B$134,IF(AC2&gt;Assumptions!$B$135,INDEX($C$119:$AE$119,1,AC2-Assumptions!$B$135)*Assumptions!$B$134,0))</f>
        <v>15797.2493550688</v>
      </c>
      <c r="AD120" s="45" t="n">
        <f aca="false">IF(AD7&gt;1,AD119*Assumptions!$B$134,IF(AD2&gt;Assumptions!$B$135,INDEX($C$119:$AE$119,1,AD2-Assumptions!$B$135)*Assumptions!$B$134,0))</f>
        <v>23581.906499155</v>
      </c>
      <c r="AE120" s="45" t="n">
        <f aca="false">IF(AE7&gt;1,AE119*Assumptions!$B$134,IF(AE2&gt;Assumptions!$B$135,INDEX($C$119:$AE$119,1,AE2-Assumptions!$B$135)*Assumptions!$B$134,0))</f>
        <v>32132.7570803004</v>
      </c>
    </row>
    <row r="121" customFormat="false" ht="15" hidden="false" customHeight="false" outlineLevel="0" collapsed="false">
      <c r="A121" s="6" t="s">
        <v>458</v>
      </c>
      <c r="B121" s="23" t="s">
        <v>459</v>
      </c>
      <c r="C121" s="28" t="n">
        <f aca="false">IF(C2&gt;=Assumptions!$B$51,C120*Assumptions!$B$143,0)</f>
        <v>0</v>
      </c>
      <c r="D121" s="28" t="n">
        <f aca="false">IF(D2&gt;=Assumptions!$B$51,D120*Assumptions!$B$143,0)</f>
        <v>0</v>
      </c>
      <c r="E121" s="28" t="n">
        <f aca="false">IF(E2&gt;=Assumptions!$B$51,E120*Assumptions!$B$143,0)</f>
        <v>0</v>
      </c>
      <c r="F121" s="28" t="n">
        <f aca="false">IF(F2&gt;=Assumptions!$B$51,F120*Assumptions!$B$143,0)</f>
        <v>0</v>
      </c>
      <c r="G121" s="28" t="n">
        <f aca="false">IF(G2&gt;=Assumptions!$B$51,G120*Assumptions!$B$143,0)</f>
        <v>0</v>
      </c>
      <c r="H121" s="28" t="n">
        <f aca="false">IF(H2&gt;=Assumptions!$B$51,H120*Assumptions!$B$143,0)</f>
        <v>0</v>
      </c>
      <c r="I121" s="28" t="n">
        <f aca="false">IF(I2&gt;=Assumptions!$B$51,I120*Assumptions!$B$143,0)</f>
        <v>0</v>
      </c>
      <c r="J121" s="28" t="n">
        <f aca="false">IF(J2&gt;=Assumptions!$B$51,J120*Assumptions!$B$143,0)</f>
        <v>0</v>
      </c>
      <c r="K121" s="28" t="n">
        <f aca="false">IF(K2&gt;=Assumptions!$B$51,K120*Assumptions!$B$143,0)</f>
        <v>0</v>
      </c>
      <c r="L121" s="28" t="n">
        <f aca="false">IF(L2&gt;=Assumptions!$B$51,L120*Assumptions!$B$143,0)</f>
        <v>0</v>
      </c>
      <c r="M121" s="28" t="n">
        <f aca="false">IF(M2&gt;=Assumptions!$B$51,M120*Assumptions!$B$143,0)</f>
        <v>0</v>
      </c>
      <c r="N121" s="28" t="n">
        <f aca="false">IF(N2&gt;=Assumptions!$B$51,N120*Assumptions!$B$143,0)</f>
        <v>0</v>
      </c>
      <c r="O121" s="28" t="n">
        <f aca="false">IF(O2&gt;=Assumptions!$B$51,O120*Assumptions!$B$143,0)</f>
        <v>39.5794393146692</v>
      </c>
      <c r="P121" s="28" t="n">
        <f aca="false">IF(P2&gt;=Assumptions!$B$51,P120*Assumptions!$B$143,0)</f>
        <v>46.4225385415505</v>
      </c>
      <c r="Q121" s="28" t="n">
        <f aca="false">IF(Q2&gt;=Assumptions!$B$51,Q120*Assumptions!$B$143,0)</f>
        <v>53.0286834884984</v>
      </c>
      <c r="R121" s="28" t="n">
        <f aca="false">IF(R2&gt;=Assumptions!$B$51,R120*Assumptions!$B$143,0)</f>
        <v>59.631288598738</v>
      </c>
      <c r="S121" s="28" t="n">
        <f aca="false">IF(S2&gt;=Assumptions!$B$51,S120*Assumptions!$B$143,0)</f>
        <v>66.8514444439086</v>
      </c>
      <c r="T121" s="28" t="n">
        <f aca="false">IF(T2&gt;=Assumptions!$B$51,T120*Assumptions!$B$143,0)</f>
        <v>76.5502655056868</v>
      </c>
      <c r="U121" s="28" t="n">
        <f aca="false">IF(U2&gt;=Assumptions!$B$51,U120*Assumptions!$B$143,0)</f>
        <v>85.4661496252058</v>
      </c>
      <c r="V121" s="28" t="n">
        <f aca="false">IF(V2&gt;=Assumptions!$B$51,V120*Assumptions!$B$143,0)</f>
        <v>93.2909449858748</v>
      </c>
      <c r="W121" s="28" t="n">
        <f aca="false">IF(W2&gt;=Assumptions!$B$51,W120*Assumptions!$B$143,0)</f>
        <v>118.886054058747</v>
      </c>
      <c r="X121" s="28" t="n">
        <f aca="false">IF(X2&gt;=Assumptions!$B$51,X120*Assumptions!$B$143,0)</f>
        <v>143.639449522222</v>
      </c>
      <c r="Y121" s="28" t="n">
        <f aca="false">IF(Y2&gt;=Assumptions!$B$51,Y120*Assumptions!$B$143,0)</f>
        <v>167.729370375169</v>
      </c>
      <c r="Z121" s="28" t="n">
        <f aca="false">IF(Z2&gt;=Assumptions!$B$51,Z120*Assumptions!$B$143,0)</f>
        <v>198.258945282682</v>
      </c>
      <c r="AA121" s="28" t="n">
        <f aca="false">IF(AA2&gt;=Assumptions!$B$51,AA120*Assumptions!$B$143,0)</f>
        <v>931.292246215502</v>
      </c>
      <c r="AB121" s="28" t="n">
        <f aca="false">IF(AB2&gt;=Assumptions!$B$51,AB120*Assumptions!$B$143,0)</f>
        <v>1721.60159777101</v>
      </c>
      <c r="AC121" s="28" t="n">
        <f aca="false">IF(AC2&gt;=Assumptions!$B$51,AC120*Assumptions!$B$143,0)</f>
        <v>2843.50488391238</v>
      </c>
      <c r="AD121" s="28" t="n">
        <f aca="false">IF(AD2&gt;=Assumptions!$B$51,AD120*Assumptions!$B$143,0)</f>
        <v>4244.7431698479</v>
      </c>
      <c r="AE121" s="28" t="n">
        <f aca="false">IF(AE2&gt;=Assumptions!$B$51,AE120*Assumptions!$B$143,0)</f>
        <v>5783.89627445408</v>
      </c>
    </row>
    <row r="122" customFormat="false" ht="15" hidden="false" customHeight="false" outlineLevel="0" collapsed="false">
      <c r="A122" s="6" t="s">
        <v>460</v>
      </c>
      <c r="B122" s="23" t="s">
        <v>114</v>
      </c>
      <c r="C122" s="55" t="n">
        <f aca="false">IF(C107=0,0,C118/C107*Assumptions!$B$31)</f>
        <v>14.9675697865353</v>
      </c>
      <c r="D122" s="55" t="n">
        <f aca="false">IF(D107=0,0,D118/D107*Assumptions!$B$31)</f>
        <v>22.7056042272206</v>
      </c>
      <c r="E122" s="55" t="n">
        <f aca="false">IF(E107=0,0,E118/E107*Assumptions!$B$31)</f>
        <v>30.5728704994176</v>
      </c>
      <c r="F122" s="55" t="n">
        <f aca="false">IF(F107=0,0,F118/F107*Assumptions!$B$31)</f>
        <v>36.9040458044018</v>
      </c>
      <c r="G122" s="55" t="n">
        <f aca="false">IF(G107=0,0,G118/G107*Assumptions!$B$31)</f>
        <v>44.5092793245894</v>
      </c>
      <c r="H122" s="55" t="n">
        <f aca="false">IF(H107=0,0,H118/H107*Assumptions!$B$31)</f>
        <v>53.2677901453698</v>
      </c>
      <c r="I122" s="55" t="n">
        <f aca="false">IF(I107=0,0,I118/I107*Assumptions!$B$31)</f>
        <v>62.0043516059295</v>
      </c>
      <c r="J122" s="55" t="n">
        <f aca="false">IF(J107=0,0,J118/J107*Assumptions!$B$31)</f>
        <v>70.5230467047829</v>
      </c>
      <c r="K122" s="55" t="n">
        <f aca="false">IF(K107=0,0,K118/K107*Assumptions!$B$31)</f>
        <v>78.1638762250588</v>
      </c>
      <c r="L122" s="55" t="n">
        <f aca="false">IF(L107=0,0,L118/L107*Assumptions!$B$31)</f>
        <v>82.9804077446601</v>
      </c>
      <c r="M122" s="55" t="n">
        <f aca="false">IF(M107=0,0,M118/M107*Assumptions!$B$31)</f>
        <v>89.3195423512239</v>
      </c>
      <c r="N122" s="55" t="n">
        <f aca="false">IF(N107=0,0,N118/N107*Assumptions!$B$31)</f>
        <v>97.1361607387486</v>
      </c>
      <c r="O122" s="55" t="n">
        <f aca="false">IF(O107=0,0,O118/O107*Assumptions!$B$31)</f>
        <v>93.931399055899</v>
      </c>
      <c r="P122" s="55" t="n">
        <f aca="false">IF(P107=0,0,P118/P107*Assumptions!$B$31)</f>
        <v>90.9414194002765</v>
      </c>
      <c r="Q122" s="55" t="n">
        <f aca="false">IF(Q107=0,0,Q118/Q107*Assumptions!$B$31)</f>
        <v>91.8084969466429</v>
      </c>
      <c r="R122" s="55" t="n">
        <f aca="false">IF(R107=0,0,R118/R107*Assumptions!$B$31)</f>
        <v>91.2840753323057</v>
      </c>
      <c r="S122" s="55" t="n">
        <f aca="false">IF(S107=0,0,S118/S107*Assumptions!$B$31)</f>
        <v>94.2390624587067</v>
      </c>
      <c r="T122" s="55" t="n">
        <f aca="false">IF(T107=0,0,T118/T107*Assumptions!$B$31)</f>
        <v>100.031359991423</v>
      </c>
      <c r="U122" s="55" t="n">
        <f aca="false">IF(U107=0,0,U118/U107*Assumptions!$B$31)</f>
        <v>106.416339876467</v>
      </c>
      <c r="V122" s="55" t="n">
        <f aca="false">IF(V107=0,0,V118/V107*Assumptions!$B$31)</f>
        <v>112.905034079282</v>
      </c>
      <c r="W122" s="55" t="n">
        <f aca="false">IF(W107=0,0,W118/W107*Assumptions!$B$31)</f>
        <v>118.472241649848</v>
      </c>
      <c r="X122" s="55" t="n">
        <f aca="false">IF(X107=0,0,X118/X107*Assumptions!$B$31)</f>
        <v>120.429680819439</v>
      </c>
      <c r="Y122" s="55" t="n">
        <f aca="false">IF(Y107=0,0,Y118/Y107*Assumptions!$B$31)</f>
        <v>124.439545252595</v>
      </c>
      <c r="Z122" s="55" t="n">
        <f aca="false">IF(Z107=0,0,Z118/Z107*Assumptions!$B$31)</f>
        <v>130.474297592361</v>
      </c>
      <c r="AA122" s="55" t="n">
        <f aca="false">IF(AA107=0,0,AA118/AA107*Assumptions!$B$31)</f>
        <v>237.44296011233</v>
      </c>
      <c r="AB122" s="55" t="n">
        <f aca="false">IF(AB107=0,0,AB118/AB107*Assumptions!$B$31)</f>
        <v>297.340063368138</v>
      </c>
      <c r="AC122" s="55" t="n">
        <f aca="false">IF(AC107=0,0,AC118/AC107*Assumptions!$B$31)</f>
        <v>340.627129419121</v>
      </c>
      <c r="AD122" s="55" t="n">
        <f aca="false">IF(AD107=0,0,AD118/AD107*Assumptions!$B$31)</f>
        <v>384.142321285046</v>
      </c>
      <c r="AE122" s="55" t="n">
        <f aca="false">IF(AE107=0,0,AE118/AE107*Assumptions!$B$31)</f>
        <v>435.929715121548</v>
      </c>
    </row>
    <row r="123" customFormat="false" ht="15" hidden="false" customHeight="false" outlineLevel="0" collapsed="false">
      <c r="A123" s="6" t="s">
        <v>461</v>
      </c>
      <c r="B123" s="23" t="s">
        <v>76</v>
      </c>
      <c r="C123" s="55" t="n">
        <f aca="false">C122*Assumptions!$B$156*Assumptions!$B$158</f>
        <v>15.7159482758621</v>
      </c>
      <c r="D123" s="55" t="n">
        <f aca="false">D122*Assumptions!$B$156*Assumptions!$B$158</f>
        <v>23.8408844385817</v>
      </c>
      <c r="E123" s="55" t="n">
        <f aca="false">E122*Assumptions!$B$156*Assumptions!$B$158</f>
        <v>32.1015140243885</v>
      </c>
      <c r="F123" s="55" t="n">
        <f aca="false">F122*Assumptions!$B$156*Assumptions!$B$158</f>
        <v>38.7492480946219</v>
      </c>
      <c r="G123" s="55" t="n">
        <f aca="false">G122*Assumptions!$B$156*Assumptions!$B$158</f>
        <v>46.7347432908189</v>
      </c>
      <c r="H123" s="55" t="n">
        <f aca="false">H122*Assumptions!$B$156*Assumptions!$B$158</f>
        <v>55.9311796526383</v>
      </c>
      <c r="I123" s="55" t="n">
        <f aca="false">I122*Assumptions!$B$156*Assumptions!$B$158</f>
        <v>65.104569186226</v>
      </c>
      <c r="J123" s="55" t="n">
        <f aca="false">J122*Assumptions!$B$156*Assumptions!$B$158</f>
        <v>74.049199040022</v>
      </c>
      <c r="K123" s="55" t="n">
        <f aca="false">K122*Assumptions!$B$156*Assumptions!$B$158</f>
        <v>82.0720700363118</v>
      </c>
      <c r="L123" s="55" t="n">
        <f aca="false">L122*Assumptions!$B$156*Assumptions!$B$158</f>
        <v>87.1294281318931</v>
      </c>
      <c r="M123" s="55" t="n">
        <f aca="false">M122*Assumptions!$B$156*Assumptions!$B$158</f>
        <v>93.7855194687851</v>
      </c>
      <c r="N123" s="55" t="n">
        <f aca="false">N122*Assumptions!$B$156*Assumptions!$B$158</f>
        <v>101.992968775686</v>
      </c>
      <c r="O123" s="55" t="n">
        <f aca="false">O122*Assumptions!$B$156*Assumptions!$B$158</f>
        <v>98.627969008694</v>
      </c>
      <c r="P123" s="55" t="n">
        <f aca="false">P122*Assumptions!$B$156*Assumptions!$B$158</f>
        <v>95.4884903702903</v>
      </c>
      <c r="Q123" s="55" t="n">
        <f aca="false">Q122*Assumptions!$B$156*Assumptions!$B$158</f>
        <v>96.398921793975</v>
      </c>
      <c r="R123" s="55" t="n">
        <f aca="false">R122*Assumptions!$B$156*Assumptions!$B$158</f>
        <v>95.8482790989209</v>
      </c>
      <c r="S123" s="55" t="n">
        <f aca="false">S122*Assumptions!$B$156*Assumptions!$B$158</f>
        <v>98.9510155816421</v>
      </c>
      <c r="T123" s="55" t="n">
        <f aca="false">T122*Assumptions!$B$156*Assumptions!$B$158</f>
        <v>105.032927990994</v>
      </c>
      <c r="U123" s="55" t="n">
        <f aca="false">U122*Assumptions!$B$156*Assumptions!$B$158</f>
        <v>111.73715687029</v>
      </c>
      <c r="V123" s="55" t="n">
        <f aca="false">V122*Assumptions!$B$156*Assumptions!$B$158</f>
        <v>118.550285783246</v>
      </c>
      <c r="W123" s="55" t="n">
        <f aca="false">W122*Assumptions!$B$156*Assumptions!$B$158</f>
        <v>124.395853732341</v>
      </c>
      <c r="X123" s="55" t="n">
        <f aca="false">X122*Assumptions!$B$156*Assumptions!$B$158</f>
        <v>126.451164860411</v>
      </c>
      <c r="Y123" s="55" t="n">
        <f aca="false">Y122*Assumptions!$B$156*Assumptions!$B$158</f>
        <v>130.661522515224</v>
      </c>
      <c r="Z123" s="55" t="n">
        <f aca="false">Z122*Assumptions!$B$156*Assumptions!$B$158</f>
        <v>136.998012471979</v>
      </c>
      <c r="AA123" s="55" t="n">
        <f aca="false">AA122*Assumptions!$B$156*Assumptions!$B$158</f>
        <v>249.315108117947</v>
      </c>
      <c r="AB123" s="55" t="n">
        <f aca="false">AB122*Assumptions!$B$156*Assumptions!$B$158</f>
        <v>312.207066536545</v>
      </c>
      <c r="AC123" s="55" t="n">
        <f aca="false">AC122*Assumptions!$B$156*Assumptions!$B$158</f>
        <v>357.658485890077</v>
      </c>
      <c r="AD123" s="55" t="n">
        <f aca="false">AD122*Assumptions!$B$156*Assumptions!$B$158</f>
        <v>403.349437349299</v>
      </c>
      <c r="AE123" s="55" t="n">
        <f aca="false">AE122*Assumptions!$B$156*Assumptions!$B$158</f>
        <v>457.726200877625</v>
      </c>
    </row>
    <row r="124" customFormat="false" ht="15" hidden="false" customHeight="false" outlineLevel="0" collapsed="false">
      <c r="A124" s="6" t="s">
        <v>462</v>
      </c>
      <c r="B124" s="23" t="s">
        <v>114</v>
      </c>
      <c r="C124" s="55" t="n">
        <f aca="false">C123/12*C16</f>
        <v>1.44062859195402</v>
      </c>
      <c r="D124" s="55" t="n">
        <f aca="false">D123/12*D16</f>
        <v>1.98674036988181</v>
      </c>
      <c r="E124" s="55" t="n">
        <f aca="false">E123/12*E16</f>
        <v>2.62162364532506</v>
      </c>
      <c r="F124" s="55" t="n">
        <f aca="false">F123/12*F16</f>
        <v>3.16452192772746</v>
      </c>
      <c r="G124" s="55" t="n">
        <f aca="false">G123/12*G16</f>
        <v>3.89456194090157</v>
      </c>
      <c r="H124" s="55" t="n">
        <f aca="false">H123/12*H16</f>
        <v>4.42788505583387</v>
      </c>
      <c r="I124" s="55" t="n">
        <f aca="false">I123/12*I16</f>
        <v>4.77433507365657</v>
      </c>
      <c r="J124" s="55" t="n">
        <f aca="false">J123/12*J16</f>
        <v>5.55368992800165</v>
      </c>
      <c r="K124" s="55" t="n">
        <f aca="false">K123/12*K16</f>
        <v>6.83933916969265</v>
      </c>
      <c r="L124" s="55" t="n">
        <f aca="false">L123/12*L16</f>
        <v>7.40600139121091</v>
      </c>
      <c r="M124" s="55" t="n">
        <f aca="false">M123/12*M16</f>
        <v>8.20623295351869</v>
      </c>
      <c r="N124" s="55" t="n">
        <f aca="false">N123/12*N16</f>
        <v>9.68933203369018</v>
      </c>
      <c r="O124" s="55" t="n">
        <f aca="false">O123/12*O16</f>
        <v>9.04089715913028</v>
      </c>
      <c r="P124" s="55" t="n">
        <f aca="false">P123/12*P16</f>
        <v>7.95737419752419</v>
      </c>
      <c r="Q124" s="55" t="n">
        <f aca="false">Q123/12*Q16</f>
        <v>7.87257861317463</v>
      </c>
      <c r="R124" s="55" t="n">
        <f aca="false">R123/12*R16</f>
        <v>7.82760945974521</v>
      </c>
      <c r="S124" s="55" t="n">
        <f aca="false">S123/12*S16</f>
        <v>8.24591796513684</v>
      </c>
      <c r="T124" s="55" t="n">
        <f aca="false">T123/12*T16</f>
        <v>8.31510679928705</v>
      </c>
      <c r="U124" s="55" t="n">
        <f aca="false">U123/12*U16</f>
        <v>8.19405817048796</v>
      </c>
      <c r="V124" s="55" t="n">
        <f aca="false">V123/12*V16</f>
        <v>8.89127143374348</v>
      </c>
      <c r="W124" s="55" t="n">
        <f aca="false">W123/12*W16</f>
        <v>10.3663211443617</v>
      </c>
      <c r="X124" s="55" t="n">
        <f aca="false">X123/12*X16</f>
        <v>10.7483490131349</v>
      </c>
      <c r="Y124" s="55" t="n">
        <f aca="false">Y123/12*Y16</f>
        <v>11.4328832200821</v>
      </c>
      <c r="Z124" s="55" t="n">
        <f aca="false">Z123/12*Z16</f>
        <v>13.014811184838</v>
      </c>
      <c r="AA124" s="55" t="n">
        <f aca="false">AA123/12*AA16</f>
        <v>20.7762590098289</v>
      </c>
      <c r="AB124" s="55" t="n">
        <f aca="false">AB123/12*AB16</f>
        <v>26.0172555447121</v>
      </c>
      <c r="AC124" s="55" t="n">
        <f aca="false">AC123/12*AC16</f>
        <v>29.8048738241731</v>
      </c>
      <c r="AD124" s="55" t="n">
        <f aca="false">AD123/12*AD16</f>
        <v>33.6124531124416</v>
      </c>
      <c r="AE124" s="55" t="n">
        <f aca="false">AE123/12*AE16</f>
        <v>38.1438500731354</v>
      </c>
    </row>
    <row r="125" customFormat="false" ht="15" hidden="false" customHeight="false" outlineLevel="0" collapsed="false">
      <c r="A125" s="6" t="s">
        <v>463</v>
      </c>
      <c r="B125" s="23" t="s">
        <v>464</v>
      </c>
      <c r="C125" s="45" t="n">
        <f aca="false">C121*C124*Assumptions!$B$7*C7</f>
        <v>0</v>
      </c>
      <c r="D125" s="45" t="n">
        <f aca="false">D121*D124*Assumptions!$B$7*D7</f>
        <v>0</v>
      </c>
      <c r="E125" s="45" t="n">
        <f aca="false">E121*E124*Assumptions!$B$7*E7</f>
        <v>0</v>
      </c>
      <c r="F125" s="45" t="n">
        <f aca="false">F121*F124*Assumptions!$B$7*F7</f>
        <v>0</v>
      </c>
      <c r="G125" s="45" t="n">
        <f aca="false">G121*G124*Assumptions!$B$7*G7</f>
        <v>0</v>
      </c>
      <c r="H125" s="45" t="n">
        <f aca="false">H121*H124*Assumptions!$B$7*H7</f>
        <v>0</v>
      </c>
      <c r="I125" s="45" t="n">
        <f aca="false">I121*I124*Assumptions!$B$7*I7</f>
        <v>0</v>
      </c>
      <c r="J125" s="45" t="n">
        <f aca="false">J121*J124*Assumptions!$B$7*J7</f>
        <v>0</v>
      </c>
      <c r="K125" s="45" t="n">
        <f aca="false">K121*K124*Assumptions!$B$7*K7</f>
        <v>0</v>
      </c>
      <c r="L125" s="45" t="n">
        <f aca="false">L121*L124*Assumptions!$B$7*L7</f>
        <v>0</v>
      </c>
      <c r="M125" s="45" t="n">
        <f aca="false">M121*M124*Assumptions!$B$7*M7</f>
        <v>0</v>
      </c>
      <c r="N125" s="45" t="n">
        <f aca="false">N121*N124*Assumptions!$B$7*N7</f>
        <v>0</v>
      </c>
      <c r="O125" s="45" t="n">
        <f aca="false">O121*O124*Assumptions!$B$7*O7</f>
        <v>1314.14404458921</v>
      </c>
      <c r="P125" s="45" t="n">
        <f aca="false">P121*P124*Assumptions!$B$7*P7</f>
        <v>1356.62704684891</v>
      </c>
      <c r="Q125" s="45" t="n">
        <f aca="false">Q121*Q124*Assumptions!$B$7*Q7</f>
        <v>1533.16768102383</v>
      </c>
      <c r="R125" s="45" t="n">
        <f aca="false">R121*R124*Assumptions!$B$7*R7</f>
        <v>1714.21443624429</v>
      </c>
      <c r="S125" s="45" t="n">
        <f aca="false">S121*S124*Assumptions!$B$7*S7</f>
        <v>2024.47123193566</v>
      </c>
      <c r="T125" s="45" t="n">
        <f aca="false">T121*T124*Assumptions!$B$7*T7</f>
        <v>2337.63304290337</v>
      </c>
      <c r="U125" s="45" t="n">
        <f aca="false">U121*U124*Assumptions!$B$7*U7</f>
        <v>2571.90537451028</v>
      </c>
      <c r="V125" s="45" t="n">
        <f aca="false">V121*V124*Assumptions!$B$7*V7</f>
        <v>3046.24735682547</v>
      </c>
      <c r="W125" s="45" t="n">
        <f aca="false">W121*W124*Assumptions!$B$7*W7</f>
        <v>4526.02945610914</v>
      </c>
      <c r="X125" s="45" t="n">
        <f aca="false">X121*X124*Assumptions!$B$7*X7</f>
        <v>5669.92477069505</v>
      </c>
      <c r="Y125" s="45" t="n">
        <f aca="false">Y121*Y124*Assumptions!$B$7*Y7</f>
        <v>7042.49729172357</v>
      </c>
      <c r="Z125" s="45" t="n">
        <f aca="false">Z121*Z124*Assumptions!$B$7*Z7</f>
        <v>9476.16180735878</v>
      </c>
      <c r="AA125" s="45" t="n">
        <f aca="false">AA121*AA124*Assumptions!$B$7*AA7</f>
        <v>852700.246358104</v>
      </c>
      <c r="AB125" s="45" t="n">
        <f aca="false">AB121*AB124*Assumptions!$B$7*AB7</f>
        <v>1973954.73788737</v>
      </c>
      <c r="AC125" s="45" t="n">
        <f aca="false">AC121*AC124*Assumptions!$B$7*AC7</f>
        <v>3734945.90977069</v>
      </c>
      <c r="AD125" s="45" t="n">
        <f aca="false">AD121*AD124*Assumptions!$B$7*AD7</f>
        <v>6287741.49007221</v>
      </c>
      <c r="AE125" s="45" t="n">
        <f aca="false">AE121*AE124*Assumptions!$B$7*AE7</f>
        <v>9722726.58764228</v>
      </c>
    </row>
    <row r="126" customFormat="false" ht="15" hidden="false" customHeight="false" outlineLevel="0" collapsed="false">
      <c r="A126" s="6" t="s">
        <v>463</v>
      </c>
      <c r="B126" s="23" t="s">
        <v>114</v>
      </c>
      <c r="C126" s="55" t="n">
        <f aca="false">C125/Assumptions!$B$7</f>
        <v>0</v>
      </c>
      <c r="D126" s="55" t="n">
        <f aca="false">D125/Assumptions!$B$7</f>
        <v>0</v>
      </c>
      <c r="E126" s="55" t="n">
        <f aca="false">E125/Assumptions!$B$7</f>
        <v>0</v>
      </c>
      <c r="F126" s="55" t="n">
        <f aca="false">F125/Assumptions!$B$7</f>
        <v>0</v>
      </c>
      <c r="G126" s="55" t="n">
        <f aca="false">G125/Assumptions!$B$7</f>
        <v>0</v>
      </c>
      <c r="H126" s="55" t="n">
        <f aca="false">H125/Assumptions!$B$7</f>
        <v>0</v>
      </c>
      <c r="I126" s="55" t="n">
        <f aca="false">I125/Assumptions!$B$7</f>
        <v>0</v>
      </c>
      <c r="J126" s="55" t="n">
        <f aca="false">J125/Assumptions!$B$7</f>
        <v>0</v>
      </c>
      <c r="K126" s="55" t="n">
        <f aca="false">K125/Assumptions!$B$7</f>
        <v>0</v>
      </c>
      <c r="L126" s="55" t="n">
        <f aca="false">L125/Assumptions!$B$7</f>
        <v>0</v>
      </c>
      <c r="M126" s="55" t="n">
        <f aca="false">M125/Assumptions!$B$7</f>
        <v>0</v>
      </c>
      <c r="N126" s="55" t="n">
        <f aca="false">N125/Assumptions!$B$7</f>
        <v>0</v>
      </c>
      <c r="O126" s="55" t="n">
        <f aca="false">O125/Assumptions!$B$7</f>
        <v>357.833640459962</v>
      </c>
      <c r="P126" s="55" t="n">
        <f aca="false">P125/Assumptions!$B$7</f>
        <v>369.401510374107</v>
      </c>
      <c r="Q126" s="55" t="n">
        <f aca="false">Q125/Assumptions!$B$7</f>
        <v>417.472479516359</v>
      </c>
      <c r="R126" s="55" t="n">
        <f aca="false">R125/Assumptions!$B$7</f>
        <v>466.770438732278</v>
      </c>
      <c r="S126" s="55" t="n">
        <f aca="false">S125/Assumptions!$B$7</f>
        <v>551.251526735373</v>
      </c>
      <c r="T126" s="55" t="n">
        <f aca="false">T125/Assumptions!$B$7</f>
        <v>636.523633193565</v>
      </c>
      <c r="U126" s="55" t="n">
        <f aca="false">U125/Assumptions!$B$7</f>
        <v>700.314601636564</v>
      </c>
      <c r="V126" s="55" t="n">
        <f aca="false">V125/Assumptions!$B$7</f>
        <v>829.475114179843</v>
      </c>
      <c r="W126" s="55" t="n">
        <f aca="false">W125/Assumptions!$B$7</f>
        <v>1232.41101595892</v>
      </c>
      <c r="X126" s="55" t="n">
        <f aca="false">X125/Assumptions!$B$7</f>
        <v>1543.88693551942</v>
      </c>
      <c r="Y126" s="55" t="n">
        <f aca="false">Y125/Assumptions!$B$7</f>
        <v>1917.63030407721</v>
      </c>
      <c r="Z126" s="55" t="n">
        <f aca="false">Z125/Assumptions!$B$7</f>
        <v>2580.30273855923</v>
      </c>
      <c r="AA126" s="55" t="n">
        <f aca="false">AA125/Assumptions!$B$7</f>
        <v>232185.227054623</v>
      </c>
      <c r="AB126" s="55" t="n">
        <f aca="false">AB125/Assumptions!$B$7</f>
        <v>537496.184584715</v>
      </c>
      <c r="AC126" s="55" t="n">
        <f aca="false">AC125/Assumptions!$B$7</f>
        <v>1017003.65140114</v>
      </c>
      <c r="AD126" s="55" t="n">
        <f aca="false">AD125/Assumptions!$B$7</f>
        <v>1712114.76925043</v>
      </c>
      <c r="AE126" s="55" t="n">
        <f aca="false">AE125/Assumptions!$B$7</f>
        <v>2647440.86797611</v>
      </c>
    </row>
    <row r="127" customFormat="false" ht="15" hidden="false" customHeight="false" outlineLevel="0" collapsed="false">
      <c r="A127" s="6" t="s">
        <v>465</v>
      </c>
      <c r="B127" s="23" t="s">
        <v>464</v>
      </c>
      <c r="C127" s="45" t="n">
        <f aca="false">IF(Assumptions!$B$144=0,0,C122*Assumptions!$B$156*Assumptions!$B$7/Assumptions!$B$144)</f>
        <v>6.87105000513137</v>
      </c>
      <c r="D127" s="45" t="n">
        <f aca="false">IF(Assumptions!$B$144=0,0,D122*Assumptions!$B$156*Assumptions!$B$7/Assumptions!$B$144)</f>
        <v>10.4232914405585</v>
      </c>
      <c r="E127" s="45" t="n">
        <f aca="false">IF(Assumptions!$B$144=0,0,E122*Assumptions!$B$156*Assumptions!$B$7/Assumptions!$B$144)</f>
        <v>14.0348583636389</v>
      </c>
      <c r="F127" s="45" t="n">
        <f aca="false">IF(Assumptions!$B$144=0,0,F122*Assumptions!$B$156*Assumptions!$B$7/Assumptions!$B$144)</f>
        <v>16.9412635270832</v>
      </c>
      <c r="G127" s="45" t="n">
        <f aca="false">IF(Assumptions!$B$144=0,0,G122*Assumptions!$B$156*Assumptions!$B$7/Assumptions!$B$144)</f>
        <v>20.4325410399443</v>
      </c>
      <c r="H127" s="45" t="n">
        <f aca="false">IF(Assumptions!$B$144=0,0,H122*Assumptions!$B$156*Assumptions!$B$7/Assumptions!$B$144)</f>
        <v>24.4532449136088</v>
      </c>
      <c r="I127" s="45" t="n">
        <f aca="false">IF(Assumptions!$B$144=0,0,I122*Assumptions!$B$156*Assumptions!$B$7/Assumptions!$B$144)</f>
        <v>28.463872659097</v>
      </c>
      <c r="J127" s="45" t="n">
        <f aca="false">IF(Assumptions!$B$144=0,0,J122*Assumptions!$B$156*Assumptions!$B$7/Assumptions!$B$144)</f>
        <v>32.3744861279144</v>
      </c>
      <c r="K127" s="45" t="n">
        <f aca="false">IF(Assumptions!$B$144=0,0,K122*Assumptions!$B$156*Assumptions!$B$7/Assumptions!$B$144)</f>
        <v>35.8821044295661</v>
      </c>
      <c r="L127" s="45" t="n">
        <f aca="false">IF(Assumptions!$B$144=0,0,L122*Assumptions!$B$156*Assumptions!$B$7/Assumptions!$B$144)</f>
        <v>38.093193430283</v>
      </c>
      <c r="M127" s="45" t="n">
        <f aca="false">IF(Assumptions!$B$144=0,0,M122*Assumptions!$B$156*Assumptions!$B$7/Assumptions!$B$144)</f>
        <v>41.0032524106087</v>
      </c>
      <c r="N127" s="45" t="n">
        <f aca="false">IF(Assumptions!$B$144=0,0,N122*Assumptions!$B$156*Assumptions!$B$7/Assumptions!$B$144)</f>
        <v>44.5915687891318</v>
      </c>
      <c r="O127" s="45" t="n">
        <f aca="false">IF(Assumptions!$B$144=0,0,O122*Assumptions!$B$156*Assumptions!$B$7/Assumptions!$B$144)</f>
        <v>43.1203828790986</v>
      </c>
      <c r="P127" s="45" t="n">
        <f aca="false">IF(Assumptions!$B$144=0,0,P122*Assumptions!$B$156*Assumptions!$B$7/Assumptions!$B$144)</f>
        <v>41.7477953434394</v>
      </c>
      <c r="Q127" s="45" t="n">
        <f aca="false">IF(Assumptions!$B$144=0,0,Q122*Assumptions!$B$156*Assumptions!$B$7/Assumptions!$B$144)</f>
        <v>42.1458381295683</v>
      </c>
      <c r="R127" s="45" t="n">
        <f aca="false">IF(Assumptions!$B$144=0,0,R122*Assumptions!$B$156*Assumptions!$B$7/Assumptions!$B$144)</f>
        <v>41.9050958322366</v>
      </c>
      <c r="S127" s="45" t="n">
        <f aca="false">IF(Assumptions!$B$144=0,0,S122*Assumptions!$B$156*Assumptions!$B$7/Assumptions!$B$144)</f>
        <v>43.26161960995</v>
      </c>
      <c r="T127" s="45" t="n">
        <f aca="false">IF(Assumptions!$B$144=0,0,T122*Assumptions!$B$156*Assumptions!$B$7/Assumptions!$B$144)</f>
        <v>45.9206461960627</v>
      </c>
      <c r="U127" s="45" t="n">
        <f aca="false">IF(Assumptions!$B$144=0,0,U122*Assumptions!$B$156*Assumptions!$B$7/Assumptions!$B$144)</f>
        <v>48.8517510245406</v>
      </c>
      <c r="V127" s="45" t="n">
        <f aca="false">IF(Assumptions!$B$144=0,0,V122*Assumptions!$B$156*Assumptions!$B$7/Assumptions!$B$144)</f>
        <v>51.8304672070205</v>
      </c>
      <c r="W127" s="45" t="n">
        <f aca="false">IF(Assumptions!$B$144=0,0,W122*Assumptions!$B$156*Assumptions!$B$7/Assumptions!$B$144)</f>
        <v>54.3861634323835</v>
      </c>
      <c r="X127" s="45" t="n">
        <f aca="false">IF(Assumptions!$B$144=0,0,X122*Assumptions!$B$156*Assumptions!$B$7/Assumptions!$B$144)</f>
        <v>55.2847503511737</v>
      </c>
      <c r="Y127" s="45" t="n">
        <f aca="false">IF(Assumptions!$B$144=0,0,Y122*Assumptions!$B$156*Assumptions!$B$7/Assumptions!$B$144)</f>
        <v>57.1255287425192</v>
      </c>
      <c r="Z127" s="45" t="n">
        <f aca="false">IF(Assumptions!$B$144=0,0,Z122*Assumptions!$B$156*Assumptions!$B$7/Assumptions!$B$144)</f>
        <v>59.895857238493</v>
      </c>
      <c r="AA127" s="45" t="n">
        <f aca="false">IF(Assumptions!$B$144=0,0,AA122*Assumptions!$B$156*Assumptions!$B$7/Assumptions!$B$144)</f>
        <v>109.001158876567</v>
      </c>
      <c r="AB127" s="45" t="n">
        <f aca="false">IF(Assumptions!$B$144=0,0,AB122*Assumptions!$B$156*Assumptions!$B$7/Assumptions!$B$144)</f>
        <v>136.497672839936</v>
      </c>
      <c r="AC127" s="45" t="n">
        <f aca="false">IF(Assumptions!$B$144=0,0,AC122*Assumptions!$B$156*Assumptions!$B$7/Assumptions!$B$144)</f>
        <v>156.369141598965</v>
      </c>
      <c r="AD127" s="45" t="n">
        <f aca="false">IF(Assumptions!$B$144=0,0,AD122*Assumptions!$B$156*Assumptions!$B$7/Assumptions!$B$144)</f>
        <v>176.345334364917</v>
      </c>
      <c r="AE127" s="45" t="n">
        <f aca="false">IF(Assumptions!$B$144=0,0,AE122*Assumptions!$B$156*Assumptions!$B$7/Assumptions!$B$144)</f>
        <v>200.118984847985</v>
      </c>
    </row>
    <row r="128" customFormat="false" ht="15" hidden="false" customHeight="false" outlineLevel="0" collapsed="false">
      <c r="A128" s="6" t="s">
        <v>466</v>
      </c>
      <c r="B128" s="23" t="s">
        <v>467</v>
      </c>
      <c r="C128" s="45" t="n">
        <f aca="false">C121*Assumptions!$B$158*Assumptions!$B$144*C7/12*(1+Assumptions!$B$16)</f>
        <v>0</v>
      </c>
      <c r="D128" s="45" t="n">
        <f aca="false">D121*Assumptions!$B$158*Assumptions!$B$144*D7/12*(1+Assumptions!$B$16)</f>
        <v>0</v>
      </c>
      <c r="E128" s="45" t="n">
        <f aca="false">E121*Assumptions!$B$158*Assumptions!$B$144*E7/12*(1+Assumptions!$B$16)</f>
        <v>0</v>
      </c>
      <c r="F128" s="45" t="n">
        <f aca="false">F121*Assumptions!$B$158*Assumptions!$B$144*F7/12*(1+Assumptions!$B$16)</f>
        <v>0</v>
      </c>
      <c r="G128" s="45" t="n">
        <f aca="false">G121*Assumptions!$B$158*Assumptions!$B$144*G7/12*(1+Assumptions!$B$16)</f>
        <v>0</v>
      </c>
      <c r="H128" s="45" t="n">
        <f aca="false">H121*Assumptions!$B$158*Assumptions!$B$144*H7/12*(1+Assumptions!$B$16)</f>
        <v>0</v>
      </c>
      <c r="I128" s="45" t="n">
        <f aca="false">I121*Assumptions!$B$158*Assumptions!$B$144*I7/12*(1+Assumptions!$B$16)</f>
        <v>0</v>
      </c>
      <c r="J128" s="45" t="n">
        <f aca="false">J121*Assumptions!$B$158*Assumptions!$B$144*J7/12*(1+Assumptions!$B$16)</f>
        <v>0</v>
      </c>
      <c r="K128" s="45" t="n">
        <f aca="false">K121*Assumptions!$B$158*Assumptions!$B$144*K7/12*(1+Assumptions!$B$16)</f>
        <v>0</v>
      </c>
      <c r="L128" s="45" t="n">
        <f aca="false">L121*Assumptions!$B$158*Assumptions!$B$144*L7/12*(1+Assumptions!$B$16)</f>
        <v>0</v>
      </c>
      <c r="M128" s="45" t="n">
        <f aca="false">M121*Assumptions!$B$158*Assumptions!$B$144*M7/12*(1+Assumptions!$B$16)</f>
        <v>0</v>
      </c>
      <c r="N128" s="45" t="n">
        <f aca="false">N121*Assumptions!$B$158*Assumptions!$B$144*N7/12*(1+Assumptions!$B$16)</f>
        <v>0</v>
      </c>
      <c r="O128" s="45" t="n">
        <f aca="false">O121*Assumptions!$B$158*Assumptions!$B$144*O7/12*(1+Assumptions!$B$16)</f>
        <v>29.3679439714846</v>
      </c>
      <c r="P128" s="45" t="n">
        <f aca="false">P121*Assumptions!$B$158*Assumptions!$B$144*P7/12*(1+Assumptions!$B$16)</f>
        <v>34.4455235978305</v>
      </c>
      <c r="Q128" s="45" t="n">
        <f aca="false">Q121*Assumptions!$B$158*Assumptions!$B$144*Q7/12*(1+Assumptions!$B$16)</f>
        <v>39.3472831484659</v>
      </c>
      <c r="R128" s="45" t="n">
        <f aca="false">R121*Assumptions!$B$158*Assumptions!$B$144*R7/12*(1+Assumptions!$B$16)</f>
        <v>44.2464161402636</v>
      </c>
      <c r="S128" s="45" t="n">
        <f aca="false">S121*Assumptions!$B$158*Assumptions!$B$144*S7/12*(1+Assumptions!$B$16)</f>
        <v>49.6037717773802</v>
      </c>
      <c r="T128" s="45" t="n">
        <f aca="false">T121*Assumptions!$B$158*Assumptions!$B$144*T7/12*(1+Assumptions!$B$16)</f>
        <v>56.8002970052196</v>
      </c>
      <c r="U128" s="45" t="n">
        <f aca="false">U121*Assumptions!$B$158*Assumptions!$B$144*U7/12*(1+Assumptions!$B$16)</f>
        <v>63.4158830219027</v>
      </c>
      <c r="V128" s="45" t="n">
        <f aca="false">V121*Assumptions!$B$158*Assumptions!$B$144*V7/12*(1+Assumptions!$B$16)</f>
        <v>69.2218811795191</v>
      </c>
      <c r="W128" s="45" t="n">
        <f aca="false">W121*Assumptions!$B$158*Assumptions!$B$144*W7/12*(1+Assumptions!$B$16)</f>
        <v>88.2134521115902</v>
      </c>
      <c r="X128" s="45" t="n">
        <f aca="false">X121*Assumptions!$B$158*Assumptions!$B$144*X7/12*(1+Assumptions!$B$16)</f>
        <v>106.580471545488</v>
      </c>
      <c r="Y128" s="45" t="n">
        <f aca="false">Y121*Assumptions!$B$158*Assumptions!$B$144*Y7/12*(1+Assumptions!$B$16)</f>
        <v>124.455192818376</v>
      </c>
      <c r="Z128" s="45" t="n">
        <f aca="false">Z121*Assumptions!$B$158*Assumptions!$B$144*Z7/12*(1+Assumptions!$B$16)</f>
        <v>147.10813739975</v>
      </c>
      <c r="AA128" s="45" t="n">
        <f aca="false">AA121*Assumptions!$B$158*Assumptions!$B$144*AA7/12*(1+Assumptions!$B$16)</f>
        <v>8292.22616030283</v>
      </c>
      <c r="AB128" s="45" t="n">
        <f aca="false">AB121*Assumptions!$B$158*Assumptions!$B$144*AB7/12*(1+Assumptions!$B$16)</f>
        <v>15329.140626553</v>
      </c>
      <c r="AC128" s="45" t="n">
        <f aca="false">AC121*Assumptions!$B$158*Assumptions!$B$144*AC7/12*(1+Assumptions!$B$16)</f>
        <v>25318.5674863559</v>
      </c>
      <c r="AD128" s="45" t="n">
        <f aca="false">AD121*Assumptions!$B$158*Assumptions!$B$144*AD7/12*(1+Assumptions!$B$16)</f>
        <v>37795.1931843258</v>
      </c>
      <c r="AE128" s="45" t="n">
        <f aca="false">AE121*Assumptions!$B$158*Assumptions!$B$144*AE7/12*(1+Assumptions!$B$16)</f>
        <v>51499.8124277391</v>
      </c>
    </row>
    <row r="129" customFormat="false" ht="15" hidden="false" customHeight="false" outlineLevel="0" collapsed="false">
      <c r="A129" s="6" t="s">
        <v>468</v>
      </c>
      <c r="B129" s="23" t="s">
        <v>114</v>
      </c>
      <c r="C129" s="55" t="n">
        <f aca="false">C111*Assumptions!$B$8</f>
        <v>116.444942041603</v>
      </c>
      <c r="D129" s="55" t="n">
        <f aca="false">D111*Assumptions!$B$8</f>
        <v>221.395692876811</v>
      </c>
      <c r="E129" s="55" t="n">
        <f aca="false">E111*Assumptions!$B$8</f>
        <v>316.573036789415</v>
      </c>
      <c r="F129" s="55" t="n">
        <f aca="false">F111*Assumptions!$B$8</f>
        <v>433.532291170355</v>
      </c>
      <c r="G129" s="55" t="n">
        <f aca="false">G111*Assumptions!$B$8</f>
        <v>532.061632397668</v>
      </c>
      <c r="H129" s="55" t="n">
        <f aca="false">H111*Assumptions!$B$8</f>
        <v>607.336400824408</v>
      </c>
      <c r="I129" s="55" t="n">
        <f aca="false">I111*Assumptions!$B$8</f>
        <v>675.450993979265</v>
      </c>
      <c r="J129" s="55" t="n">
        <f aca="false">J111*Assumptions!$B$8</f>
        <v>740.202964763007</v>
      </c>
      <c r="K129" s="55" t="n">
        <f aca="false">K111*Assumptions!$B$8</f>
        <v>810.934678856986</v>
      </c>
      <c r="L129" s="55" t="n">
        <f aca="false">L111*Assumptions!$B$8</f>
        <v>914.86048066233</v>
      </c>
      <c r="M129" s="55" t="n">
        <f aca="false">M111*Assumptions!$B$8</f>
        <v>1002.16474884782</v>
      </c>
      <c r="N129" s="55" t="n">
        <f aca="false">N111*Assumptions!$B$8</f>
        <v>1069.10117487092</v>
      </c>
      <c r="O129" s="55" t="n">
        <f aca="false">O111*Assumptions!$B$8</f>
        <v>1395.40765955796</v>
      </c>
      <c r="P129" s="55" t="n">
        <f aca="false">P111*Assumptions!$B$8</f>
        <v>1693.41646340627</v>
      </c>
      <c r="Q129" s="55" t="n">
        <f aca="false">Q111*Assumptions!$B$8</f>
        <v>1967.13697872235</v>
      </c>
      <c r="R129" s="55" t="n">
        <f aca="false">R111*Assumptions!$B$8</f>
        <v>2322.72499123654</v>
      </c>
      <c r="S129" s="55" t="n">
        <f aca="false">S111*Assumptions!$B$8</f>
        <v>2625.10629173451</v>
      </c>
      <c r="T129" s="55" t="n">
        <f aca="false">T111*Assumptions!$B$8</f>
        <v>2854.01872493871</v>
      </c>
      <c r="U129" s="55" t="n">
        <f aca="false">U111*Assumptions!$B$8</f>
        <v>3063.29271327552</v>
      </c>
      <c r="V129" s="55" t="n">
        <f aca="false">V111*Assumptions!$B$8</f>
        <v>3265.66510608552</v>
      </c>
      <c r="W129" s="55" t="n">
        <f aca="false">W111*Assumptions!$B$8</f>
        <v>3494.67143948118</v>
      </c>
      <c r="X129" s="55" t="n">
        <f aca="false">X111*Assumptions!$B$8</f>
        <v>3851.14526165014</v>
      </c>
      <c r="Y129" s="55" t="n">
        <f aca="false">Y111*Assumptions!$B$8</f>
        <v>4155.78547479243</v>
      </c>
      <c r="Z129" s="55" t="n">
        <f aca="false">Z111*Assumptions!$B$8</f>
        <v>4391.30874512639</v>
      </c>
      <c r="AA129" s="55" t="n">
        <f aca="false">AA111*Assumptions!$B$8</f>
        <v>97585.5035003599</v>
      </c>
      <c r="AB129" s="55" t="n">
        <f aca="false">AB111*Assumptions!$B$8</f>
        <v>160237.318149625</v>
      </c>
      <c r="AC129" s="55" t="n">
        <f aca="false">AC111*Assumptions!$B$8</f>
        <v>239407.933225009</v>
      </c>
      <c r="AD129" s="55" t="n">
        <f aca="false">AD111*Assumptions!$B$8</f>
        <v>320617.295204946</v>
      </c>
      <c r="AE129" s="55" t="n">
        <f aca="false">AE111*Assumptions!$B$8</f>
        <v>383878.874649791</v>
      </c>
    </row>
    <row r="130" customFormat="false" ht="15" hidden="false" customHeight="false" outlineLevel="0" collapsed="false">
      <c r="A130" s="6" t="s">
        <v>469</v>
      </c>
      <c r="B130" s="23" t="s">
        <v>114</v>
      </c>
      <c r="C130" s="55" t="n">
        <f aca="false">C112*Assumptions!$B$8</f>
        <v>7.69830450163933</v>
      </c>
      <c r="D130" s="55" t="n">
        <f aca="false">D112*Assumptions!$B$8</f>
        <v>14.6367152513003</v>
      </c>
      <c r="E130" s="55" t="n">
        <f aca="false">E112*Assumptions!$B$8</f>
        <v>20.9289952099669</v>
      </c>
      <c r="F130" s="55" t="n">
        <f aca="false">F112*Assumptions!$B$8</f>
        <v>28.6613014718179</v>
      </c>
      <c r="G130" s="55" t="n">
        <f aca="false">G112*Assumptions!$B$8</f>
        <v>35.1751856974014</v>
      </c>
      <c r="H130" s="55" t="n">
        <f aca="false">H112*Assumptions!$B$8</f>
        <v>40.1516842767248</v>
      </c>
      <c r="I130" s="55" t="n">
        <f aca="false">I112*Assumptions!$B$8</f>
        <v>44.6548157130737</v>
      </c>
      <c r="J130" s="55" t="n">
        <f aca="false">J112*Assumptions!$B$8</f>
        <v>48.935640448221</v>
      </c>
      <c r="K130" s="55" t="n">
        <f aca="false">K112*Assumptions!$B$8</f>
        <v>53.6117926577674</v>
      </c>
      <c r="L130" s="55" t="n">
        <f aca="false">L112*Assumptions!$B$8</f>
        <v>60.4824428882318</v>
      </c>
      <c r="M130" s="55" t="n">
        <f aca="false">M112*Assumptions!$B$8</f>
        <v>66.254225062717</v>
      </c>
      <c r="N130" s="55" t="n">
        <f aca="false">N112*Assumptions!$B$8</f>
        <v>70.6794665609107</v>
      </c>
      <c r="O130" s="55" t="n">
        <f aca="false">O112*Assumptions!$B$8</f>
        <v>92.2519508263317</v>
      </c>
      <c r="P130" s="55" t="n">
        <f aca="false">P112*Assumptions!$B$8</f>
        <v>111.953643969636</v>
      </c>
      <c r="Q130" s="55" t="n">
        <f aca="false">Q112*Assumptions!$B$8</f>
        <v>130.049611371088</v>
      </c>
      <c r="R130" s="55" t="n">
        <f aca="false">R112*Assumptions!$B$8</f>
        <v>153.557929976194</v>
      </c>
      <c r="S130" s="55" t="n">
        <f aca="false">S112*Assumptions!$B$8</f>
        <v>173.548693731337</v>
      </c>
      <c r="T130" s="55" t="n">
        <f aca="false">T112*Assumptions!$B$8</f>
        <v>188.682349037615</v>
      </c>
      <c r="U130" s="55" t="n">
        <f aca="false">U112*Assumptions!$B$8</f>
        <v>202.517684933215</v>
      </c>
      <c r="V130" s="55" t="n">
        <f aca="false">V112*Assumptions!$B$8</f>
        <v>215.896748680098</v>
      </c>
      <c r="W130" s="55" t="n">
        <f aca="false">W112*Assumptions!$B$8</f>
        <v>231.036611832367</v>
      </c>
      <c r="X130" s="55" t="n">
        <f aca="false">X112*Assumptions!$B$8</f>
        <v>254.603492297981</v>
      </c>
      <c r="Y130" s="55" t="n">
        <f aca="false">Y112*Assumptions!$B$8</f>
        <v>274.743595277944</v>
      </c>
      <c r="Z130" s="55" t="n">
        <f aca="false">Z112*Assumptions!$B$8</f>
        <v>290.314300372244</v>
      </c>
      <c r="AA130" s="55" t="n">
        <f aca="false">AA112*Assumptions!$B$8</f>
        <v>6451.48606474602</v>
      </c>
      <c r="AB130" s="55" t="n">
        <f aca="false">AB112*Assumptions!$B$8</f>
        <v>10593.4671443363</v>
      </c>
      <c r="AC130" s="55" t="n">
        <f aca="false">AC112*Assumptions!$B$8</f>
        <v>15827.52447432</v>
      </c>
      <c r="AD130" s="55" t="n">
        <f aca="false">AD112*Assumptions!$B$8</f>
        <v>21196.3656274381</v>
      </c>
      <c r="AE130" s="55" t="n">
        <f aca="false">AE112*Assumptions!$B$8</f>
        <v>25378.6589351806</v>
      </c>
    </row>
    <row r="131" customFormat="false" ht="15" hidden="false" customHeight="false" outlineLevel="0" collapsed="false">
      <c r="A131" s="6" t="s">
        <v>470</v>
      </c>
      <c r="B131" s="23" t="s">
        <v>114</v>
      </c>
      <c r="C131" s="55" t="n">
        <f aca="false">C126*IF(Assumptions!$B$171=1,MIN(Assumptions!$B$14,1%),Assumptions!$B$14)*(1-Assumptions!$B$142)</f>
        <v>0</v>
      </c>
      <c r="D131" s="55" t="n">
        <f aca="false">D126*IF(Assumptions!$B$171=1,MIN(Assumptions!$B$14,1%),Assumptions!$B$14)*(1-Assumptions!$B$142)</f>
        <v>0</v>
      </c>
      <c r="E131" s="55" t="n">
        <f aca="false">E126*IF(Assumptions!$B$171=1,MIN(Assumptions!$B$14,1%),Assumptions!$B$14)*(1-Assumptions!$B$142)</f>
        <v>0</v>
      </c>
      <c r="F131" s="55" t="n">
        <f aca="false">F126*IF(Assumptions!$B$171=1,MIN(Assumptions!$B$14,1%),Assumptions!$B$14)*(1-Assumptions!$B$142)</f>
        <v>0</v>
      </c>
      <c r="G131" s="55" t="n">
        <f aca="false">G126*IF(Assumptions!$B$171=1,MIN(Assumptions!$B$14,1%),Assumptions!$B$14)*(1-Assumptions!$B$142)</f>
        <v>0</v>
      </c>
      <c r="H131" s="55" t="n">
        <f aca="false">H126*IF(Assumptions!$B$171=1,MIN(Assumptions!$B$14,1%),Assumptions!$B$14)*(1-Assumptions!$B$142)</f>
        <v>0</v>
      </c>
      <c r="I131" s="55" t="n">
        <f aca="false">I126*IF(Assumptions!$B$171=1,MIN(Assumptions!$B$14,1%),Assumptions!$B$14)*(1-Assumptions!$B$142)</f>
        <v>0</v>
      </c>
      <c r="J131" s="55" t="n">
        <f aca="false">J126*IF(Assumptions!$B$171=1,MIN(Assumptions!$B$14,1%),Assumptions!$B$14)*(1-Assumptions!$B$142)</f>
        <v>0</v>
      </c>
      <c r="K131" s="55" t="n">
        <f aca="false">K126*IF(Assumptions!$B$171=1,MIN(Assumptions!$B$14,1%),Assumptions!$B$14)*(1-Assumptions!$B$142)</f>
        <v>0</v>
      </c>
      <c r="L131" s="55" t="n">
        <f aca="false">L126*IF(Assumptions!$B$171=1,MIN(Assumptions!$B$14,1%),Assumptions!$B$14)*(1-Assumptions!$B$142)</f>
        <v>0</v>
      </c>
      <c r="M131" s="55" t="n">
        <f aca="false">M126*IF(Assumptions!$B$171=1,MIN(Assumptions!$B$14,1%),Assumptions!$B$14)*(1-Assumptions!$B$142)</f>
        <v>0</v>
      </c>
      <c r="N131" s="55" t="n">
        <f aca="false">N126*IF(Assumptions!$B$171=1,MIN(Assumptions!$B$14,1%),Assumptions!$B$14)*(1-Assumptions!$B$142)</f>
        <v>0</v>
      </c>
      <c r="O131" s="55" t="n">
        <f aca="false">O126*IF(Assumptions!$B$171=1,MIN(Assumptions!$B$14,1%),Assumptions!$B$14)*(1-Assumptions!$B$142)</f>
        <v>1.80348154791821</v>
      </c>
      <c r="P131" s="55" t="n">
        <f aca="false">P126*IF(Assumptions!$B$171=1,MIN(Assumptions!$B$14,1%),Assumptions!$B$14)*(1-Assumptions!$B$142)</f>
        <v>1.8617836122855</v>
      </c>
      <c r="Q131" s="55" t="n">
        <f aca="false">Q126*IF(Assumptions!$B$171=1,MIN(Assumptions!$B$14,1%),Assumptions!$B$14)*(1-Assumptions!$B$142)</f>
        <v>2.10406129676245</v>
      </c>
      <c r="R131" s="55" t="n">
        <f aca="false">R126*IF(Assumptions!$B$171=1,MIN(Assumptions!$B$14,1%),Assumptions!$B$14)*(1-Assumptions!$B$142)</f>
        <v>2.35252301121068</v>
      </c>
      <c r="S131" s="55" t="n">
        <f aca="false">S126*IF(Assumptions!$B$171=1,MIN(Assumptions!$B$14,1%),Assumptions!$B$14)*(1-Assumptions!$B$142)</f>
        <v>2.77830769474628</v>
      </c>
      <c r="T131" s="55" t="n">
        <f aca="false">T126*IF(Assumptions!$B$171=1,MIN(Assumptions!$B$14,1%),Assumptions!$B$14)*(1-Assumptions!$B$142)</f>
        <v>3.20807911129557</v>
      </c>
      <c r="U131" s="55" t="n">
        <f aca="false">U126*IF(Assumptions!$B$171=1,MIN(Assumptions!$B$14,1%),Assumptions!$B$14)*(1-Assumptions!$B$142)</f>
        <v>3.52958559224828</v>
      </c>
      <c r="V131" s="55" t="n">
        <f aca="false">V126*IF(Assumptions!$B$171=1,MIN(Assumptions!$B$14,1%),Assumptions!$B$14)*(1-Assumptions!$B$142)</f>
        <v>4.18055457546641</v>
      </c>
      <c r="W131" s="55" t="n">
        <f aca="false">W126*IF(Assumptions!$B$171=1,MIN(Assumptions!$B$14,1%),Assumptions!$B$14)*(1-Assumptions!$B$142)</f>
        <v>6.21135152043296</v>
      </c>
      <c r="X131" s="55" t="n">
        <f aca="false">X126*IF(Assumptions!$B$171=1,MIN(Assumptions!$B$14,1%),Assumptions!$B$14)*(1-Assumptions!$B$142)</f>
        <v>7.78119015501786</v>
      </c>
      <c r="Y131" s="55" t="n">
        <f aca="false">Y126*IF(Assumptions!$B$171=1,MIN(Assumptions!$B$14,1%),Assumptions!$B$14)*(1-Assumptions!$B$142)</f>
        <v>9.66485673254916</v>
      </c>
      <c r="Z131" s="55" t="n">
        <f aca="false">Z126*IF(Assumptions!$B$171=1,MIN(Assumptions!$B$14,1%),Assumptions!$B$14)*(1-Assumptions!$B$142)</f>
        <v>13.0047258023385</v>
      </c>
      <c r="AA131" s="55" t="n">
        <f aca="false">AA126*IF(Assumptions!$B$171=1,MIN(Assumptions!$B$14,1%),Assumptions!$B$14)*(1-Assumptions!$B$142)</f>
        <v>1170.2135443553</v>
      </c>
      <c r="AB131" s="55" t="n">
        <f aca="false">AB126*IF(Assumptions!$B$171=1,MIN(Assumptions!$B$14,1%),Assumptions!$B$14)*(1-Assumptions!$B$142)</f>
        <v>2708.98077030696</v>
      </c>
      <c r="AC131" s="55" t="n">
        <f aca="false">AC126*IF(Assumptions!$B$171=1,MIN(Assumptions!$B$14,1%),Assumptions!$B$14)*(1-Assumptions!$B$142)</f>
        <v>5125.69840306175</v>
      </c>
      <c r="AD131" s="55" t="n">
        <f aca="false">AD126*IF(Assumptions!$B$171=1,MIN(Assumptions!$B$14,1%),Assumptions!$B$14)*(1-Assumptions!$B$142)</f>
        <v>8629.05843702217</v>
      </c>
      <c r="AE131" s="55" t="n">
        <f aca="false">AE126*IF(Assumptions!$B$171=1,MIN(Assumptions!$B$14,1%),Assumptions!$B$14)*(1-Assumptions!$B$142)</f>
        <v>13343.1019745996</v>
      </c>
    </row>
    <row r="132" customFormat="false" ht="15" hidden="false" customHeight="false" outlineLevel="0" collapsed="false">
      <c r="A132" s="6" t="s">
        <v>471</v>
      </c>
      <c r="B132" s="23" t="s">
        <v>114</v>
      </c>
      <c r="C132" s="55" t="n">
        <f aca="false">IF(C2&gt;=Assumptions!$B$50,C107*Assumptions!$B$159*Assumptions!$B$25/12*C7,0)</f>
        <v>0</v>
      </c>
      <c r="D132" s="55" t="n">
        <f aca="false">IF(D2&gt;=Assumptions!$B$50,D107*Assumptions!$B$159*Assumptions!$B$25/12*D7,0)</f>
        <v>0</v>
      </c>
      <c r="E132" s="55" t="n">
        <f aca="false">IF(E2&gt;=Assumptions!$B$50,E107*Assumptions!$B$159*Assumptions!$B$25/12*E7,0)</f>
        <v>0</v>
      </c>
      <c r="F132" s="55" t="n">
        <f aca="false">IF(F2&gt;=Assumptions!$B$50,F107*Assumptions!$B$159*Assumptions!$B$25/12*F7,0)</f>
        <v>0</v>
      </c>
      <c r="G132" s="55" t="n">
        <f aca="false">IF(G2&gt;=Assumptions!$B$50,G107*Assumptions!$B$159*Assumptions!$B$25/12*G7,0)</f>
        <v>0</v>
      </c>
      <c r="H132" s="55" t="n">
        <f aca="false">IF(H2&gt;=Assumptions!$B$50,H107*Assumptions!$B$159*Assumptions!$B$25/12*H7,0)</f>
        <v>0</v>
      </c>
      <c r="I132" s="55" t="n">
        <f aca="false">IF(I2&gt;=Assumptions!$B$50,I107*Assumptions!$B$159*Assumptions!$B$25/12*I7,0)</f>
        <v>900.601325305687</v>
      </c>
      <c r="J132" s="55" t="n">
        <f aca="false">IF(J2&gt;=Assumptions!$B$50,J107*Assumptions!$B$159*Assumptions!$B$25/12*J7,0)</f>
        <v>986.937286350676</v>
      </c>
      <c r="K132" s="55" t="n">
        <f aca="false">IF(K2&gt;=Assumptions!$B$50,K107*Assumptions!$B$159*Assumptions!$B$25/12*K7,0)</f>
        <v>1081.24623847598</v>
      </c>
      <c r="L132" s="55" t="n">
        <f aca="false">IF(L2&gt;=Assumptions!$B$50,L107*Assumptions!$B$159*Assumptions!$B$25/12*L7,0)</f>
        <v>1219.81397421644</v>
      </c>
      <c r="M132" s="55" t="n">
        <f aca="false">IF(M2&gt;=Assumptions!$B$50,M107*Assumptions!$B$159*Assumptions!$B$25/12*M7,0)</f>
        <v>1336.21966513043</v>
      </c>
      <c r="N132" s="55" t="n">
        <f aca="false">IF(N2&gt;=Assumptions!$B$50,N107*Assumptions!$B$159*Assumptions!$B$25/12*N7,0)</f>
        <v>1425.46823316123</v>
      </c>
      <c r="O132" s="55" t="n">
        <f aca="false">IF(O2&gt;=Assumptions!$B$50,O107*Assumptions!$B$159*Assumptions!$B$25/12*O7,0)</f>
        <v>1860.54354607728</v>
      </c>
      <c r="P132" s="55" t="n">
        <f aca="false">IF(P2&gt;=Assumptions!$B$50,P107*Assumptions!$B$159*Assumptions!$B$25/12*P7,0)</f>
        <v>2257.88861787502</v>
      </c>
      <c r="Q132" s="55" t="n">
        <f aca="false">IF(Q2&gt;=Assumptions!$B$50,Q107*Assumptions!$B$159*Assumptions!$B$25/12*Q7,0)</f>
        <v>2622.84930496313</v>
      </c>
      <c r="R132" s="55" t="n">
        <f aca="false">IF(R2&gt;=Assumptions!$B$50,R107*Assumptions!$B$159*Assumptions!$B$25/12*R7,0)</f>
        <v>3096.96665498206</v>
      </c>
      <c r="S132" s="55" t="n">
        <f aca="false">IF(S2&gt;=Assumptions!$B$50,S107*Assumptions!$B$159*Assumptions!$B$25/12*S7,0)</f>
        <v>3500.14172231268</v>
      </c>
      <c r="T132" s="55" t="n">
        <f aca="false">IF(T2&gt;=Assumptions!$B$50,T107*Assumptions!$B$159*Assumptions!$B$25/12*T7,0)</f>
        <v>3805.35829991829</v>
      </c>
      <c r="U132" s="55" t="n">
        <f aca="false">IF(U2&gt;=Assumptions!$B$50,U107*Assumptions!$B$159*Assumptions!$B$25/12*U7,0)</f>
        <v>4084.39028436735</v>
      </c>
      <c r="V132" s="55" t="n">
        <f aca="false">IF(V2&gt;=Assumptions!$B$50,V107*Assumptions!$B$159*Assumptions!$B$25/12*V7,0)</f>
        <v>4354.22014144736</v>
      </c>
      <c r="W132" s="55" t="n">
        <f aca="false">IF(W2&gt;=Assumptions!$B$50,W107*Assumptions!$B$159*Assumptions!$B$25/12*W7,0)</f>
        <v>4659.56191930824</v>
      </c>
      <c r="X132" s="55" t="n">
        <f aca="false">IF(X2&gt;=Assumptions!$B$50,X107*Assumptions!$B$159*Assumptions!$B$25/12*X7,0)</f>
        <v>5134.86034886685</v>
      </c>
      <c r="Y132" s="55" t="n">
        <f aca="false">IF(Y2&gt;=Assumptions!$B$50,Y107*Assumptions!$B$159*Assumptions!$B$25/12*Y7,0)</f>
        <v>5541.04729972324</v>
      </c>
      <c r="Z132" s="55" t="n">
        <f aca="false">IF(Z2&gt;=Assumptions!$B$50,Z107*Assumptions!$B$159*Assumptions!$B$25/12*Z7,0)</f>
        <v>5855.07832683518</v>
      </c>
      <c r="AA132" s="55" t="n">
        <f aca="false">IF(AA2&gt;=Assumptions!$B$50,AA107*Assumptions!$B$159*Assumptions!$B$25/12*AA7,0)</f>
        <v>130114.004667147</v>
      </c>
      <c r="AB132" s="55" t="n">
        <f aca="false">IF(AB2&gt;=Assumptions!$B$50,AB107*Assumptions!$B$159*Assumptions!$B$25/12*AB7,0)</f>
        <v>213649.757532833</v>
      </c>
      <c r="AC132" s="55" t="n">
        <f aca="false">IF(AC2&gt;=Assumptions!$B$50,AC107*Assumptions!$B$159*Assumptions!$B$25/12*AC7,0)</f>
        <v>319210.577633345</v>
      </c>
      <c r="AD132" s="55" t="n">
        <f aca="false">IF(AD2&gt;=Assumptions!$B$50,AD107*Assumptions!$B$159*Assumptions!$B$25/12*AD7,0)</f>
        <v>427489.726939928</v>
      </c>
      <c r="AE132" s="55" t="n">
        <f aca="false">IF(AE2&gt;=Assumptions!$B$50,AE107*Assumptions!$B$159*Assumptions!$B$25/12*AE7,0)</f>
        <v>511838.499533055</v>
      </c>
    </row>
    <row r="133" customFormat="false" ht="15" hidden="false" customHeight="false" outlineLevel="0" collapsed="false">
      <c r="A133" s="6" t="s">
        <v>472</v>
      </c>
      <c r="B133" s="23" t="s">
        <v>114</v>
      </c>
      <c r="C133" s="55" t="n">
        <f aca="false">IF(C2&gt;=Assumptions!$B$52,C126*C17*Assumptions!$B$17+C121*(Assumptions!$B$148*MAX(0,Assumptions!$B$152-Assumptions!$B$18)+Assumptions!$B$149*MAX(0,Assumptions!$B$153-Assumptions!$B$18)+Assumptions!$B$150*MAX(0,Assumptions!$B$154-Assumptions!$B$18)+Assumptions!$B$151*MAX(0,Assumptions!$B$155-Assumptions!$B$18))*Assumptions!$B$19/Assumptions!$B$7*C7+C121*(Assumptions!$B$146*Assumptions!$B$20+Assumptions!$B$147*Assumptions!$B$21)/12/Assumptions!$B$7*C7,0)</f>
        <v>0</v>
      </c>
      <c r="D133" s="55" t="n">
        <f aca="false">IF(D2&gt;=Assumptions!$B$52,D126*D17*Assumptions!$B$17+D121*(Assumptions!$B$148*MAX(0,Assumptions!$B$152-Assumptions!$B$18)+Assumptions!$B$149*MAX(0,Assumptions!$B$153-Assumptions!$B$18)+Assumptions!$B$150*MAX(0,Assumptions!$B$154-Assumptions!$B$18)+Assumptions!$B$151*MAX(0,Assumptions!$B$155-Assumptions!$B$18))*Assumptions!$B$19/Assumptions!$B$7*D7+D121*(Assumptions!$B$146*Assumptions!$B$20+Assumptions!$B$147*Assumptions!$B$21)/12/Assumptions!$B$7*D7,0)</f>
        <v>0</v>
      </c>
      <c r="E133" s="55" t="n">
        <f aca="false">IF(E2&gt;=Assumptions!$B$52,E126*E17*Assumptions!$B$17+E121*(Assumptions!$B$148*MAX(0,Assumptions!$B$152-Assumptions!$B$18)+Assumptions!$B$149*MAX(0,Assumptions!$B$153-Assumptions!$B$18)+Assumptions!$B$150*MAX(0,Assumptions!$B$154-Assumptions!$B$18)+Assumptions!$B$151*MAX(0,Assumptions!$B$155-Assumptions!$B$18))*Assumptions!$B$19/Assumptions!$B$7*E7+E121*(Assumptions!$B$146*Assumptions!$B$20+Assumptions!$B$147*Assumptions!$B$21)/12/Assumptions!$B$7*E7,0)</f>
        <v>0</v>
      </c>
      <c r="F133" s="55" t="n">
        <f aca="false">IF(F2&gt;=Assumptions!$B$52,F126*F17*Assumptions!$B$17+F121*(Assumptions!$B$148*MAX(0,Assumptions!$B$152-Assumptions!$B$18)+Assumptions!$B$149*MAX(0,Assumptions!$B$153-Assumptions!$B$18)+Assumptions!$B$150*MAX(0,Assumptions!$B$154-Assumptions!$B$18)+Assumptions!$B$151*MAX(0,Assumptions!$B$155-Assumptions!$B$18))*Assumptions!$B$19/Assumptions!$B$7*F7+F121*(Assumptions!$B$146*Assumptions!$B$20+Assumptions!$B$147*Assumptions!$B$21)/12/Assumptions!$B$7*F7,0)</f>
        <v>0</v>
      </c>
      <c r="G133" s="55" t="n">
        <f aca="false">IF(G2&gt;=Assumptions!$B$52,G126*G17*Assumptions!$B$17+G121*(Assumptions!$B$148*MAX(0,Assumptions!$B$152-Assumptions!$B$18)+Assumptions!$B$149*MAX(0,Assumptions!$B$153-Assumptions!$B$18)+Assumptions!$B$150*MAX(0,Assumptions!$B$154-Assumptions!$B$18)+Assumptions!$B$151*MAX(0,Assumptions!$B$155-Assumptions!$B$18))*Assumptions!$B$19/Assumptions!$B$7*G7+G121*(Assumptions!$B$146*Assumptions!$B$20+Assumptions!$B$147*Assumptions!$B$21)/12/Assumptions!$B$7*G7,0)</f>
        <v>0</v>
      </c>
      <c r="H133" s="55" t="n">
        <f aca="false">IF(H2&gt;=Assumptions!$B$52,H126*H17*Assumptions!$B$17+H121*(Assumptions!$B$148*MAX(0,Assumptions!$B$152-Assumptions!$B$18)+Assumptions!$B$149*MAX(0,Assumptions!$B$153-Assumptions!$B$18)+Assumptions!$B$150*MAX(0,Assumptions!$B$154-Assumptions!$B$18)+Assumptions!$B$151*MAX(0,Assumptions!$B$155-Assumptions!$B$18))*Assumptions!$B$19/Assumptions!$B$7*H7+H121*(Assumptions!$B$146*Assumptions!$B$20+Assumptions!$B$147*Assumptions!$B$21)/12/Assumptions!$B$7*H7,0)</f>
        <v>0</v>
      </c>
      <c r="I133" s="55" t="n">
        <f aca="false">IF(I2&gt;=Assumptions!$B$52,I126*I17*Assumptions!$B$17+I121*(Assumptions!$B$148*MAX(0,Assumptions!$B$152-Assumptions!$B$18)+Assumptions!$B$149*MAX(0,Assumptions!$B$153-Assumptions!$B$18)+Assumptions!$B$150*MAX(0,Assumptions!$B$154-Assumptions!$B$18)+Assumptions!$B$151*MAX(0,Assumptions!$B$155-Assumptions!$B$18))*Assumptions!$B$19/Assumptions!$B$7*I7+I121*(Assumptions!$B$146*Assumptions!$B$20+Assumptions!$B$147*Assumptions!$B$21)/12/Assumptions!$B$7*I7,0)</f>
        <v>0</v>
      </c>
      <c r="J133" s="55" t="n">
        <f aca="false">IF(J2&gt;=Assumptions!$B$52,J126*J17*Assumptions!$B$17+J121*(Assumptions!$B$148*MAX(0,Assumptions!$B$152-Assumptions!$B$18)+Assumptions!$B$149*MAX(0,Assumptions!$B$153-Assumptions!$B$18)+Assumptions!$B$150*MAX(0,Assumptions!$B$154-Assumptions!$B$18)+Assumptions!$B$151*MAX(0,Assumptions!$B$155-Assumptions!$B$18))*Assumptions!$B$19/Assumptions!$B$7*J7+J121*(Assumptions!$B$146*Assumptions!$B$20+Assumptions!$B$147*Assumptions!$B$21)/12/Assumptions!$B$7*J7,0)</f>
        <v>0</v>
      </c>
      <c r="K133" s="55" t="n">
        <f aca="false">IF(K2&gt;=Assumptions!$B$52,K126*K17*Assumptions!$B$17+K121*(Assumptions!$B$148*MAX(0,Assumptions!$B$152-Assumptions!$B$18)+Assumptions!$B$149*MAX(0,Assumptions!$B$153-Assumptions!$B$18)+Assumptions!$B$150*MAX(0,Assumptions!$B$154-Assumptions!$B$18)+Assumptions!$B$151*MAX(0,Assumptions!$B$155-Assumptions!$B$18))*Assumptions!$B$19/Assumptions!$B$7*K7+K121*(Assumptions!$B$146*Assumptions!$B$20+Assumptions!$B$147*Assumptions!$B$21)/12/Assumptions!$B$7*K7,0)</f>
        <v>0</v>
      </c>
      <c r="L133" s="55" t="n">
        <f aca="false">IF(L2&gt;=Assumptions!$B$52,L126*L17*Assumptions!$B$17+L121*(Assumptions!$B$148*MAX(0,Assumptions!$B$152-Assumptions!$B$18)+Assumptions!$B$149*MAX(0,Assumptions!$B$153-Assumptions!$B$18)+Assumptions!$B$150*MAX(0,Assumptions!$B$154-Assumptions!$B$18)+Assumptions!$B$151*MAX(0,Assumptions!$B$155-Assumptions!$B$18))*Assumptions!$B$19/Assumptions!$B$7*L7+L121*(Assumptions!$B$146*Assumptions!$B$20+Assumptions!$B$147*Assumptions!$B$21)/12/Assumptions!$B$7*L7,0)</f>
        <v>0</v>
      </c>
      <c r="M133" s="55" t="n">
        <f aca="false">IF(M2&gt;=Assumptions!$B$52,M126*M17*Assumptions!$B$17+M121*(Assumptions!$B$148*MAX(0,Assumptions!$B$152-Assumptions!$B$18)+Assumptions!$B$149*MAX(0,Assumptions!$B$153-Assumptions!$B$18)+Assumptions!$B$150*MAX(0,Assumptions!$B$154-Assumptions!$B$18)+Assumptions!$B$151*MAX(0,Assumptions!$B$155-Assumptions!$B$18))*Assumptions!$B$19/Assumptions!$B$7*M7+M121*(Assumptions!$B$146*Assumptions!$B$20+Assumptions!$B$147*Assumptions!$B$21)/12/Assumptions!$B$7*M7,0)</f>
        <v>0</v>
      </c>
      <c r="N133" s="55" t="n">
        <f aca="false">IF(N2&gt;=Assumptions!$B$52,N126*N17*Assumptions!$B$17+N121*(Assumptions!$B$148*MAX(0,Assumptions!$B$152-Assumptions!$B$18)+Assumptions!$B$149*MAX(0,Assumptions!$B$153-Assumptions!$B$18)+Assumptions!$B$150*MAX(0,Assumptions!$B$154-Assumptions!$B$18)+Assumptions!$B$151*MAX(0,Assumptions!$B$155-Assumptions!$B$18))*Assumptions!$B$19/Assumptions!$B$7*N7+N121*(Assumptions!$B$146*Assumptions!$B$20+Assumptions!$B$147*Assumptions!$B$21)/12/Assumptions!$B$7*N7,0)</f>
        <v>0</v>
      </c>
      <c r="O133" s="55" t="n">
        <f aca="false">IF(O2&gt;=Assumptions!$B$52,O126*O17*Assumptions!$B$17+O121*(Assumptions!$B$148*MAX(0,Assumptions!$B$152-Assumptions!$B$18)+Assumptions!$B$149*MAX(0,Assumptions!$B$153-Assumptions!$B$18)+Assumptions!$B$150*MAX(0,Assumptions!$B$154-Assumptions!$B$18)+Assumptions!$B$151*MAX(0,Assumptions!$B$155-Assumptions!$B$18))*Assumptions!$B$19/Assumptions!$B$7*O7+O121*(Assumptions!$B$146*Assumptions!$B$20+Assumptions!$B$147*Assumptions!$B$21)/12/Assumptions!$B$7*O7,0)</f>
        <v>134.84561832341</v>
      </c>
      <c r="P133" s="55" t="n">
        <f aca="false">IF(P2&gt;=Assumptions!$B$52,P126*P17*Assumptions!$B$17+P121*(Assumptions!$B$148*MAX(0,Assumptions!$B$152-Assumptions!$B$18)+Assumptions!$B$149*MAX(0,Assumptions!$B$153-Assumptions!$B$18)+Assumptions!$B$150*MAX(0,Assumptions!$B$154-Assumptions!$B$18)+Assumptions!$B$151*MAX(0,Assumptions!$B$155-Assumptions!$B$18))*Assumptions!$B$19/Assumptions!$B$7*P7+P121*(Assumptions!$B$146*Assumptions!$B$20+Assumptions!$B$147*Assumptions!$B$21)/12/Assumptions!$B$7*P7,0)</f>
        <v>157.901649800321</v>
      </c>
      <c r="Q133" s="55" t="n">
        <f aca="false">IF(Q2&gt;=Assumptions!$B$52,Q126*Q17*Assumptions!$B$17+Q121*(Assumptions!$B$148*MAX(0,Assumptions!$B$152-Assumptions!$B$18)+Assumptions!$B$149*MAX(0,Assumptions!$B$153-Assumptions!$B$18)+Assumptions!$B$150*MAX(0,Assumptions!$B$154-Assumptions!$B$18)+Assumptions!$B$151*MAX(0,Assumptions!$B$155-Assumptions!$B$18))*Assumptions!$B$19/Assumptions!$B$7*Q7+Q121*(Assumptions!$B$146*Assumptions!$B$20+Assumptions!$B$147*Assumptions!$B$21)/12/Assumptions!$B$7*Q7,0)</f>
        <v>180.348718212934</v>
      </c>
      <c r="R133" s="55" t="n">
        <f aca="false">IF(R2&gt;=Assumptions!$B$52,R126*R17*Assumptions!$B$17+R121*(Assumptions!$B$148*MAX(0,Assumptions!$B$152-Assumptions!$B$18)+Assumptions!$B$149*MAX(0,Assumptions!$B$153-Assumptions!$B$18)+Assumptions!$B$150*MAX(0,Assumptions!$B$154-Assumptions!$B$18)+Assumptions!$B$151*MAX(0,Assumptions!$B$155-Assumptions!$B$18))*Assumptions!$B$19/Assumptions!$B$7*R7+R121*(Assumptions!$B$146*Assumptions!$B$20+Assumptions!$B$147*Assumptions!$B$21)/12/Assumptions!$B$7*R7,0)</f>
        <v>202.949887862492</v>
      </c>
      <c r="S133" s="55" t="n">
        <f aca="false">IF(S2&gt;=Assumptions!$B$52,S126*S17*Assumptions!$B$17+S121*(Assumptions!$B$148*MAX(0,Assumptions!$B$152-Assumptions!$B$18)+Assumptions!$B$149*MAX(0,Assumptions!$B$153-Assumptions!$B$18)+Assumptions!$B$150*MAX(0,Assumptions!$B$154-Assumptions!$B$18)+Assumptions!$B$151*MAX(0,Assumptions!$B$155-Assumptions!$B$18))*Assumptions!$B$19/Assumptions!$B$7*S7+S121*(Assumptions!$B$146*Assumptions!$B$20+Assumptions!$B$147*Assumptions!$B$21)/12/Assumptions!$B$7*S7,0)</f>
        <v>227.86474641747</v>
      </c>
      <c r="T133" s="55" t="n">
        <f aca="false">IF(T2&gt;=Assumptions!$B$52,T126*T17*Assumptions!$B$17+T121*(Assumptions!$B$148*MAX(0,Assumptions!$B$152-Assumptions!$B$18)+Assumptions!$B$149*MAX(0,Assumptions!$B$153-Assumptions!$B$18)+Assumptions!$B$150*MAX(0,Assumptions!$B$154-Assumptions!$B$18)+Assumptions!$B$151*MAX(0,Assumptions!$B$155-Assumptions!$B$18))*Assumptions!$B$19/Assumptions!$B$7*T7+T121*(Assumptions!$B$146*Assumptions!$B$20+Assumptions!$B$147*Assumptions!$B$21)/12/Assumptions!$B$7*T7,0)</f>
        <v>263.240896841869</v>
      </c>
      <c r="U133" s="55" t="n">
        <f aca="false">IF(U2&gt;=Assumptions!$B$52,U126*U17*Assumptions!$B$17+U121*(Assumptions!$B$148*MAX(0,Assumptions!$B$152-Assumptions!$B$18)+Assumptions!$B$149*MAX(0,Assumptions!$B$153-Assumptions!$B$18)+Assumptions!$B$150*MAX(0,Assumptions!$B$154-Assumptions!$B$18)+Assumptions!$B$151*MAX(0,Assumptions!$B$155-Assumptions!$B$18))*Assumptions!$B$19/Assumptions!$B$7*U7+U121*(Assumptions!$B$146*Assumptions!$B$20+Assumptions!$B$147*Assumptions!$B$21)/12/Assumptions!$B$7*U7,0)</f>
        <v>294.402492834269</v>
      </c>
      <c r="V133" s="55" t="n">
        <f aca="false">IF(V2&gt;=Assumptions!$B$52,V126*V17*Assumptions!$B$17+V121*(Assumptions!$B$148*MAX(0,Assumptions!$B$152-Assumptions!$B$18)+Assumptions!$B$149*MAX(0,Assumptions!$B$153-Assumptions!$B$18)+Assumptions!$B$150*MAX(0,Assumptions!$B$154-Assumptions!$B$18)+Assumptions!$B$151*MAX(0,Assumptions!$B$155-Assumptions!$B$18))*Assumptions!$B$19/Assumptions!$B$7*V7+V121*(Assumptions!$B$146*Assumptions!$B$20+Assumptions!$B$147*Assumptions!$B$21)/12/Assumptions!$B$7*V7,0)</f>
        <v>321.456341058305</v>
      </c>
      <c r="W133" s="55" t="n">
        <f aca="false">IF(W2&gt;=Assumptions!$B$52,W126*W17*Assumptions!$B$17+W121*(Assumptions!$B$148*MAX(0,Assumptions!$B$152-Assumptions!$B$18)+Assumptions!$B$149*MAX(0,Assumptions!$B$153-Assumptions!$B$18)+Assumptions!$B$150*MAX(0,Assumptions!$B$154-Assumptions!$B$18)+Assumptions!$B$151*MAX(0,Assumptions!$B$155-Assumptions!$B$18))*Assumptions!$B$19/Assumptions!$B$7*W7+W121*(Assumptions!$B$146*Assumptions!$B$20+Assumptions!$B$147*Assumptions!$B$21)/12/Assumptions!$B$7*W7,0)</f>
        <v>407.113835320742</v>
      </c>
      <c r="X133" s="55" t="n">
        <f aca="false">IF(X2&gt;=Assumptions!$B$52,X126*X17*Assumptions!$B$17+X121*(Assumptions!$B$148*MAX(0,Assumptions!$B$152-Assumptions!$B$18)+Assumptions!$B$149*MAX(0,Assumptions!$B$153-Assumptions!$B$18)+Assumptions!$B$150*MAX(0,Assumptions!$B$154-Assumptions!$B$18)+Assumptions!$B$151*MAX(0,Assumptions!$B$155-Assumptions!$B$18))*Assumptions!$B$19/Assumptions!$B$7*X7+X121*(Assumptions!$B$146*Assumptions!$B$20+Assumptions!$B$147*Assumptions!$B$21)/12/Assumptions!$B$7*X7,0)</f>
        <v>493.802064197585</v>
      </c>
      <c r="Y133" s="55" t="n">
        <f aca="false">IF(Y2&gt;=Assumptions!$B$52,Y126*Y17*Assumptions!$B$17+Y121*(Assumptions!$B$148*MAX(0,Assumptions!$B$152-Assumptions!$B$18)+Assumptions!$B$149*MAX(0,Assumptions!$B$153-Assumptions!$B$18)+Assumptions!$B$150*MAX(0,Assumptions!$B$154-Assumptions!$B$18)+Assumptions!$B$151*MAX(0,Assumptions!$B$155-Assumptions!$B$18))*Assumptions!$B$19/Assumptions!$B$7*Y7+Y121*(Assumptions!$B$146*Assumptions!$B$20+Assumptions!$B$147*Assumptions!$B$21)/12/Assumptions!$B$7*Y7,0)</f>
        <v>576.786970599688</v>
      </c>
      <c r="Z133" s="55" t="n">
        <f aca="false">IF(Z2&gt;=Assumptions!$B$52,Z126*Z17*Assumptions!$B$17+Z121*(Assumptions!$B$148*MAX(0,Assumptions!$B$152-Assumptions!$B$18)+Assumptions!$B$149*MAX(0,Assumptions!$B$153-Assumptions!$B$18)+Assumptions!$B$150*MAX(0,Assumptions!$B$154-Assumptions!$B$18)+Assumptions!$B$151*MAX(0,Assumptions!$B$155-Assumptions!$B$18))*Assumptions!$B$19/Assumptions!$B$7*Z7+Z121*(Assumptions!$B$146*Assumptions!$B$20+Assumptions!$B$147*Assumptions!$B$21)/12/Assumptions!$B$7*Z7,0)</f>
        <v>680.386753559243</v>
      </c>
      <c r="AA133" s="55" t="n">
        <f aca="false">IF(AA2&gt;=Assumptions!$B$52,AA126*AA17*Assumptions!$B$17+AA121*(Assumptions!$B$148*MAX(0,Assumptions!$B$152-Assumptions!$B$18)+Assumptions!$B$149*MAX(0,Assumptions!$B$153-Assumptions!$B$18)+Assumptions!$B$150*MAX(0,Assumptions!$B$154-Assumptions!$B$18)+Assumptions!$B$151*MAX(0,Assumptions!$B$155-Assumptions!$B$18))*Assumptions!$B$19/Assumptions!$B$7*AA7+AA121*(Assumptions!$B$146*Assumptions!$B$20+Assumptions!$B$147*Assumptions!$B$21)/12/Assumptions!$B$7*AA7,0)</f>
        <v>39134.8518283869</v>
      </c>
      <c r="AB133" s="55" t="n">
        <f aca="false">IF(AB2&gt;=Assumptions!$B$52,AB126*AB17*Assumptions!$B$17+AB121*(Assumptions!$B$148*MAX(0,Assumptions!$B$152-Assumptions!$B$18)+Assumptions!$B$149*MAX(0,Assumptions!$B$153-Assumptions!$B$18)+Assumptions!$B$150*MAX(0,Assumptions!$B$154-Assumptions!$B$18)+Assumptions!$B$151*MAX(0,Assumptions!$B$155-Assumptions!$B$18))*Assumptions!$B$19/Assumptions!$B$7*AB7+AB121*(Assumptions!$B$146*Assumptions!$B$20+Assumptions!$B$147*Assumptions!$B$21)/12/Assumptions!$B$7*AB7,0)</f>
        <v>73081.5762688959</v>
      </c>
      <c r="AC133" s="55" t="n">
        <f aca="false">IF(AC2&gt;=Assumptions!$B$52,AC126*AC17*Assumptions!$B$17+AC121*(Assumptions!$B$148*MAX(0,Assumptions!$B$152-Assumptions!$B$18)+Assumptions!$B$149*MAX(0,Assumptions!$B$153-Assumptions!$B$18)+Assumptions!$B$150*MAX(0,Assumptions!$B$154-Assumptions!$B$18)+Assumptions!$B$151*MAX(0,Assumptions!$B$155-Assumptions!$B$18))*Assumptions!$B$19/Assumptions!$B$7*AC7+AC121*(Assumptions!$B$146*Assumptions!$B$20+Assumptions!$B$147*Assumptions!$B$21)/12/Assumptions!$B$7*AC7,0)</f>
        <v>121584.943633455</v>
      </c>
      <c r="AD133" s="55" t="n">
        <f aca="false">IF(AD2&gt;=Assumptions!$B$52,AD126*AD17*Assumptions!$B$17+AD121*(Assumptions!$B$148*MAX(0,Assumptions!$B$152-Assumptions!$B$18)+Assumptions!$B$149*MAX(0,Assumptions!$B$153-Assumptions!$B$18)+Assumptions!$B$150*MAX(0,Assumptions!$B$154-Assumptions!$B$18)+Assumptions!$B$151*MAX(0,Assumptions!$B$155-Assumptions!$B$18))*Assumptions!$B$19/Assumptions!$B$7*AD7+AD121*(Assumptions!$B$146*Assumptions!$B$20+Assumptions!$B$147*Assumptions!$B$21)/12/Assumptions!$B$7*AD7,0)</f>
        <v>182819.089336138</v>
      </c>
      <c r="AE133" s="55" t="n">
        <f aca="false">IF(AE2&gt;=Assumptions!$B$52,AE126*AE17*Assumptions!$B$17+AE121*(Assumptions!$B$148*MAX(0,Assumptions!$B$152-Assumptions!$B$18)+Assumptions!$B$149*MAX(0,Assumptions!$B$153-Assumptions!$B$18)+Assumptions!$B$150*MAX(0,Assumptions!$B$154-Assumptions!$B$18)+Assumptions!$B$151*MAX(0,Assumptions!$B$155-Assumptions!$B$18))*Assumptions!$B$19/Assumptions!$B$7*AE7+AE121*(Assumptions!$B$146*Assumptions!$B$20+Assumptions!$B$147*Assumptions!$B$21)/12/Assumptions!$B$7*AE7,0)</f>
        <v>251248.353721611</v>
      </c>
    </row>
    <row r="134" customFormat="false" ht="15" hidden="false" customHeight="false" outlineLevel="0" collapsed="false">
      <c r="A134" s="6" t="s">
        <v>473</v>
      </c>
      <c r="B134" s="23" t="s">
        <v>114</v>
      </c>
      <c r="C134" s="55" t="n">
        <f aca="false">IF(C2&gt;=Assumptions!$B$53,C121*C122*(1-Assumptions!$B$171)*Assumptions!$B$156*Assumptions!$B$157,0)</f>
        <v>0</v>
      </c>
      <c r="D134" s="55" t="n">
        <f aca="false">IF(D2&gt;=Assumptions!$B$53,D121*D122*(1-Assumptions!$B$171)*Assumptions!$B$156*Assumptions!$B$157,0)</f>
        <v>0</v>
      </c>
      <c r="E134" s="55" t="n">
        <f aca="false">IF(E2&gt;=Assumptions!$B$53,E121*E122*(1-Assumptions!$B$171)*Assumptions!$B$156*Assumptions!$B$157,0)</f>
        <v>0</v>
      </c>
      <c r="F134" s="55" t="n">
        <f aca="false">IF(F2&gt;=Assumptions!$B$53,F121*F122*(1-Assumptions!$B$171)*Assumptions!$B$156*Assumptions!$B$157,0)</f>
        <v>0</v>
      </c>
      <c r="G134" s="55" t="n">
        <f aca="false">IF(G2&gt;=Assumptions!$B$53,G121*G122*(1-Assumptions!$B$171)*Assumptions!$B$156*Assumptions!$B$157,0)</f>
        <v>0</v>
      </c>
      <c r="H134" s="55" t="n">
        <f aca="false">IF(H2&gt;=Assumptions!$B$53,H121*H122*(1-Assumptions!$B$171)*Assumptions!$B$156*Assumptions!$B$157,0)</f>
        <v>0</v>
      </c>
      <c r="I134" s="55" t="n">
        <f aca="false">IF(I2&gt;=Assumptions!$B$53,I121*I122*(1-Assumptions!$B$171)*Assumptions!$B$156*Assumptions!$B$157,0)</f>
        <v>0</v>
      </c>
      <c r="J134" s="55" t="n">
        <f aca="false">IF(J2&gt;=Assumptions!$B$53,J121*J122*(1-Assumptions!$B$171)*Assumptions!$B$156*Assumptions!$B$157,0)</f>
        <v>0</v>
      </c>
      <c r="K134" s="55" t="n">
        <f aca="false">IF(K2&gt;=Assumptions!$B$53,K121*K122*(1-Assumptions!$B$171)*Assumptions!$B$156*Assumptions!$B$157,0)</f>
        <v>0</v>
      </c>
      <c r="L134" s="55" t="n">
        <f aca="false">IF(L2&gt;=Assumptions!$B$53,L121*L122*(1-Assumptions!$B$171)*Assumptions!$B$156*Assumptions!$B$157,0)</f>
        <v>0</v>
      </c>
      <c r="M134" s="55" t="n">
        <f aca="false">IF(M2&gt;=Assumptions!$B$53,M121*M122*(1-Assumptions!$B$171)*Assumptions!$B$156*Assumptions!$B$157,0)</f>
        <v>0</v>
      </c>
      <c r="N134" s="55" t="n">
        <f aca="false">IF(N2&gt;=Assumptions!$B$53,N121*N122*(1-Assumptions!$B$171)*Assumptions!$B$156*Assumptions!$B$157,0)</f>
        <v>0</v>
      </c>
      <c r="O134" s="55" t="n">
        <f aca="false">IF(O2&gt;=Assumptions!$B$53,O121*O122*(1-Assumptions!$B$171)*Assumptions!$B$156*Assumptions!$B$157,0)</f>
        <v>780.727942821736</v>
      </c>
      <c r="P134" s="55" t="n">
        <f aca="false">IF(P2&gt;=Assumptions!$B$53,P121*P122*(1-Assumptions!$B$171)*Assumptions!$B$156*Assumptions!$B$157,0)</f>
        <v>886.563624897856</v>
      </c>
      <c r="Q134" s="55" t="n">
        <f aca="false">IF(Q2&gt;=Assumptions!$B$53,Q121*Q122*(1-Assumptions!$B$171)*Assumptions!$B$156*Assumptions!$B$157,0)</f>
        <v>1022.38158248904</v>
      </c>
      <c r="R134" s="55" t="n">
        <f aca="false">IF(R2&gt;=Assumptions!$B$53,R121*R122*(1-Assumptions!$B$171)*Assumptions!$B$156*Assumptions!$B$157,0)</f>
        <v>1143.11127852803</v>
      </c>
      <c r="S134" s="55" t="n">
        <f aca="false">IF(S2&gt;=Assumptions!$B$53,S121*S122*(1-Assumptions!$B$171)*Assumptions!$B$156*Assumptions!$B$157,0)</f>
        <v>1323.0036641649</v>
      </c>
      <c r="T134" s="55" t="n">
        <f aca="false">IF(T2&gt;=Assumptions!$B$53,T121*T122*(1-Assumptions!$B$171)*Assumptions!$B$156*Assumptions!$B$157,0)</f>
        <v>1608.05970491006</v>
      </c>
      <c r="U134" s="55" t="n">
        <f aca="false">IF(U2&gt;=Assumptions!$B$53,U121*U122*(1-Assumptions!$B$171)*Assumptions!$B$156*Assumptions!$B$157,0)</f>
        <v>1909.94891355427</v>
      </c>
      <c r="V134" s="55" t="n">
        <f aca="false">IF(V2&gt;=Assumptions!$B$53,V121*V122*(1-Assumptions!$B$171)*Assumptions!$B$156*Assumptions!$B$157,0)</f>
        <v>2211.93363781291</v>
      </c>
      <c r="W134" s="55" t="n">
        <f aca="false">IF(W2&gt;=Assumptions!$B$53,W121*W122*(1-Assumptions!$B$171)*Assumptions!$B$156*Assumptions!$B$157,0)</f>
        <v>2957.78643830141</v>
      </c>
      <c r="X134" s="55" t="n">
        <f aca="false">IF(X2&gt;=Assumptions!$B$53,X121*X122*(1-Assumptions!$B$171)*Assumptions!$B$156*Assumptions!$B$157,0)</f>
        <v>3632.67514239862</v>
      </c>
      <c r="Y134" s="55" t="n">
        <f aca="false">IF(Y2&gt;=Assumptions!$B$53,Y121*Y122*(1-Assumptions!$B$171)*Assumptions!$B$156*Assumptions!$B$157,0)</f>
        <v>4383.15498074792</v>
      </c>
      <c r="Z134" s="55" t="n">
        <f aca="false">IF(Z2&gt;=Assumptions!$B$53,Z121*Z122*(1-Assumptions!$B$171)*Assumptions!$B$156*Assumptions!$B$157,0)</f>
        <v>5432.21629170365</v>
      </c>
      <c r="AA134" s="55" t="n">
        <f aca="false">IF(AA2&gt;=Assumptions!$B$53,AA121*AA122*(1-Assumptions!$B$171)*Assumptions!$B$156*Assumptions!$B$157,0)</f>
        <v>46437.0454109246</v>
      </c>
      <c r="AB134" s="55" t="n">
        <f aca="false">IF(AB2&gt;=Assumptions!$B$53,AB121*AB122*(1-Assumptions!$B$171)*Assumptions!$B$156*Assumptions!$B$157,0)</f>
        <v>107499.236916943</v>
      </c>
      <c r="AC134" s="55" t="n">
        <f aca="false">IF(AC2&gt;=Assumptions!$B$53,AC121*AC122*(1-Assumptions!$B$171)*Assumptions!$B$156*Assumptions!$B$157,0)</f>
        <v>203400.730280228</v>
      </c>
      <c r="AD134" s="55" t="n">
        <f aca="false">IF(AD2&gt;=Assumptions!$B$53,AD121*AD122*(1-Assumptions!$B$171)*Assumptions!$B$156*Assumptions!$B$157,0)</f>
        <v>342422.953850086</v>
      </c>
      <c r="AE134" s="55" t="n">
        <f aca="false">IF(AE2&gt;=Assumptions!$B$53,AE121*AE122*(1-Assumptions!$B$171)*Assumptions!$B$156*Assumptions!$B$157,0)</f>
        <v>529488.173595223</v>
      </c>
    </row>
    <row r="135" customFormat="false" ht="15" hidden="false" customHeight="false" outlineLevel="0" collapsed="false">
      <c r="A135" s="6" t="s">
        <v>474</v>
      </c>
      <c r="B135" s="23" t="s">
        <v>114</v>
      </c>
      <c r="C135" s="55" t="n">
        <f aca="false">IF(C2&gt;=Assumptions!$B$53,(C134*Assumptions!$B$29*Assumptions!$B$30+C121*C123*(1-Assumptions!$B$171)*Assumptions!$B$27*Assumptions!$B$28)*C7/12,0)</f>
        <v>0</v>
      </c>
      <c r="D135" s="55" t="n">
        <f aca="false">IF(D2&gt;=Assumptions!$B$53,(D134*Assumptions!$B$29*Assumptions!$B$30+D121*D123*(1-Assumptions!$B$171)*Assumptions!$B$27*Assumptions!$B$28)*D7/12,0)</f>
        <v>0</v>
      </c>
      <c r="E135" s="55" t="n">
        <f aca="false">IF(E2&gt;=Assumptions!$B$53,(E134*Assumptions!$B$29*Assumptions!$B$30+E121*E123*(1-Assumptions!$B$171)*Assumptions!$B$27*Assumptions!$B$28)*E7/12,0)</f>
        <v>0</v>
      </c>
      <c r="F135" s="55" t="n">
        <f aca="false">IF(F2&gt;=Assumptions!$B$53,(F134*Assumptions!$B$29*Assumptions!$B$30+F121*F123*(1-Assumptions!$B$171)*Assumptions!$B$27*Assumptions!$B$28)*F7/12,0)</f>
        <v>0</v>
      </c>
      <c r="G135" s="55" t="n">
        <f aca="false">IF(G2&gt;=Assumptions!$B$53,(G134*Assumptions!$B$29*Assumptions!$B$30+G121*G123*(1-Assumptions!$B$171)*Assumptions!$B$27*Assumptions!$B$28)*G7/12,0)</f>
        <v>0</v>
      </c>
      <c r="H135" s="55" t="n">
        <f aca="false">IF(H2&gt;=Assumptions!$B$53,(H134*Assumptions!$B$29*Assumptions!$B$30+H121*H123*(1-Assumptions!$B$171)*Assumptions!$B$27*Assumptions!$B$28)*H7/12,0)</f>
        <v>0</v>
      </c>
      <c r="I135" s="55" t="n">
        <f aca="false">IF(I2&gt;=Assumptions!$B$53,(I134*Assumptions!$B$29*Assumptions!$B$30+I121*I123*(1-Assumptions!$B$171)*Assumptions!$B$27*Assumptions!$B$28)*I7/12,0)</f>
        <v>0</v>
      </c>
      <c r="J135" s="55" t="n">
        <f aca="false">IF(J2&gt;=Assumptions!$B$53,(J134*Assumptions!$B$29*Assumptions!$B$30+J121*J123*(1-Assumptions!$B$171)*Assumptions!$B$27*Assumptions!$B$28)*J7/12,0)</f>
        <v>0</v>
      </c>
      <c r="K135" s="55" t="n">
        <f aca="false">IF(K2&gt;=Assumptions!$B$53,(K134*Assumptions!$B$29*Assumptions!$B$30+K121*K123*(1-Assumptions!$B$171)*Assumptions!$B$27*Assumptions!$B$28)*K7/12,0)</f>
        <v>0</v>
      </c>
      <c r="L135" s="55" t="n">
        <f aca="false">IF(L2&gt;=Assumptions!$B$53,(L134*Assumptions!$B$29*Assumptions!$B$30+L121*L123*(1-Assumptions!$B$171)*Assumptions!$B$27*Assumptions!$B$28)*L7/12,0)</f>
        <v>0</v>
      </c>
      <c r="M135" s="55" t="n">
        <f aca="false">IF(M2&gt;=Assumptions!$B$53,(M134*Assumptions!$B$29*Assumptions!$B$30+M121*M123*(1-Assumptions!$B$171)*Assumptions!$B$27*Assumptions!$B$28)*M7/12,0)</f>
        <v>0</v>
      </c>
      <c r="N135" s="55" t="n">
        <f aca="false">IF(N2&gt;=Assumptions!$B$53,(N134*Assumptions!$B$29*Assumptions!$B$30+N121*N123*(1-Assumptions!$B$171)*Assumptions!$B$27*Assumptions!$B$28)*N7/12,0)</f>
        <v>0</v>
      </c>
      <c r="O135" s="55" t="n">
        <f aca="false">IF(O2&gt;=Assumptions!$B$53,(O134*Assumptions!$B$29*Assumptions!$B$30+O121*O123*(1-Assumptions!$B$171)*Assumptions!$B$27*Assumptions!$B$28)*O7/12,0)</f>
        <v>1.85422886420162</v>
      </c>
      <c r="P135" s="55" t="n">
        <f aca="false">IF(P2&gt;=Assumptions!$B$53,(P134*Assumptions!$B$29*Assumptions!$B$30+P121*P123*(1-Assumptions!$B$171)*Assumptions!$B$27*Assumptions!$B$28)*P7/12,0)</f>
        <v>2.10558860913241</v>
      </c>
      <c r="Q135" s="55" t="n">
        <f aca="false">IF(Q2&gt;=Assumptions!$B$53,(Q134*Assumptions!$B$29*Assumptions!$B$30+Q121*Q123*(1-Assumptions!$B$171)*Assumptions!$B$27*Assumptions!$B$28)*Q7/12,0)</f>
        <v>2.42815625841148</v>
      </c>
      <c r="R135" s="55" t="n">
        <f aca="false">IF(R2&gt;=Assumptions!$B$53,(R134*Assumptions!$B$29*Assumptions!$B$30+R121*R123*(1-Assumptions!$B$171)*Assumptions!$B$27*Assumptions!$B$28)*R7/12,0)</f>
        <v>2.71488928650407</v>
      </c>
      <c r="S135" s="55" t="n">
        <f aca="false">IF(S2&gt;=Assumptions!$B$53,(S134*Assumptions!$B$29*Assumptions!$B$30+S121*S123*(1-Assumptions!$B$171)*Assumptions!$B$27*Assumptions!$B$28)*S7/12,0)</f>
        <v>3.14213370239163</v>
      </c>
      <c r="T135" s="55" t="n">
        <f aca="false">IF(T2&gt;=Assumptions!$B$53,(T134*Assumptions!$B$29*Assumptions!$B$30+T121*T123*(1-Assumptions!$B$171)*Assumptions!$B$27*Assumptions!$B$28)*T7/12,0)</f>
        <v>3.81914179916139</v>
      </c>
      <c r="U135" s="55" t="n">
        <f aca="false">IF(U2&gt;=Assumptions!$B$53,(U134*Assumptions!$B$29*Assumptions!$B$30+U121*U123*(1-Assumptions!$B$171)*Assumptions!$B$27*Assumptions!$B$28)*U7/12,0)</f>
        <v>4.53612866969138</v>
      </c>
      <c r="V135" s="55" t="n">
        <f aca="false">IF(V2&gt;=Assumptions!$B$53,(V134*Assumptions!$B$29*Assumptions!$B$30+V121*V123*(1-Assumptions!$B$171)*Assumptions!$B$27*Assumptions!$B$28)*V7/12,0)</f>
        <v>5.25334238980567</v>
      </c>
      <c r="W135" s="55" t="n">
        <f aca="false">IF(W2&gt;=Assumptions!$B$53,(W134*Assumptions!$B$29*Assumptions!$B$30+W121*W123*(1-Assumptions!$B$171)*Assumptions!$B$27*Assumptions!$B$28)*W7/12,0)</f>
        <v>7.02474279096585</v>
      </c>
      <c r="X135" s="55" t="n">
        <f aca="false">IF(X2&gt;=Assumptions!$B$53,(X134*Assumptions!$B$29*Assumptions!$B$30+X121*X123*(1-Assumptions!$B$171)*Assumptions!$B$27*Assumptions!$B$28)*X7/12,0)</f>
        <v>8.62760346319673</v>
      </c>
      <c r="Y135" s="55" t="n">
        <f aca="false">IF(Y2&gt;=Assumptions!$B$53,(Y134*Assumptions!$B$29*Assumptions!$B$30+Y121*Y123*(1-Assumptions!$B$171)*Assumptions!$B$27*Assumptions!$B$28)*Y7/12,0)</f>
        <v>10.4099930792763</v>
      </c>
      <c r="Z135" s="55" t="n">
        <f aca="false">IF(Z2&gt;=Assumptions!$B$53,(Z134*Assumptions!$B$29*Assumptions!$B$30+Z121*Z123*(1-Assumptions!$B$171)*Assumptions!$B$27*Assumptions!$B$28)*Z7/12,0)</f>
        <v>12.9015136927962</v>
      </c>
      <c r="AA135" s="55" t="n">
        <f aca="false">IF(AA2&gt;=Assumptions!$B$53,(AA134*Assumptions!$B$29*Assumptions!$B$30+AA121*AA123*(1-Assumptions!$B$171)*Assumptions!$B$27*Assumptions!$B$28)*AA7/12,0)</f>
        <v>1323.45579421135</v>
      </c>
      <c r="AB135" s="55" t="n">
        <f aca="false">IF(AB2&gt;=Assumptions!$B$53,(AB134*Assumptions!$B$29*Assumptions!$B$30+AB121*AB123*(1-Assumptions!$B$171)*Assumptions!$B$27*Assumptions!$B$28)*AB7/12,0)</f>
        <v>3063.72825213288</v>
      </c>
      <c r="AC135" s="55" t="n">
        <f aca="false">IF(AC2&gt;=Assumptions!$B$53,(AC134*Assumptions!$B$29*Assumptions!$B$30+AC121*AC123*(1-Assumptions!$B$171)*Assumptions!$B$27*Assumptions!$B$28)*AC7/12,0)</f>
        <v>5796.92081298651</v>
      </c>
      <c r="AD135" s="55" t="n">
        <f aca="false">IF(AD2&gt;=Assumptions!$B$53,(AD134*Assumptions!$B$29*Assumptions!$B$30+AD121*AD123*(1-Assumptions!$B$171)*Assumptions!$B$27*Assumptions!$B$28)*AD7/12,0)</f>
        <v>9759.05418472745</v>
      </c>
      <c r="AE135" s="55" t="n">
        <f aca="false">IF(AE2&gt;=Assumptions!$B$53,(AE134*Assumptions!$B$29*Assumptions!$B$30+AE121*AE123*(1-Assumptions!$B$171)*Assumptions!$B$27*Assumptions!$B$28)*AE7/12,0)</f>
        <v>15090.4129474638</v>
      </c>
    </row>
    <row r="136" customFormat="false" ht="15" hidden="false" customHeight="false" outlineLevel="0" collapsed="false">
      <c r="A136" s="6" t="s">
        <v>475</v>
      </c>
      <c r="B136" s="23" t="s">
        <v>476</v>
      </c>
      <c r="C136" s="45" t="n">
        <f aca="false">IF(C2&gt;=Assumptions!$B$49,(C107+C109*Assumptions!$B$138)*Assumptions!$B$137*C7/12,0)</f>
        <v>0.546250975778116</v>
      </c>
      <c r="D136" s="45" t="n">
        <f aca="false">IF(D2&gt;=Assumptions!$B$49,(D107+D109*Assumptions!$B$138)*Assumptions!$B$137*D7/12,0)</f>
        <v>1.09531121235552</v>
      </c>
      <c r="E136" s="45" t="n">
        <f aca="false">IF(E2&gt;=Assumptions!$B$49,(E107+E109*Assumptions!$B$138)*Assumptions!$B$137*E7/12,0)</f>
        <v>1.64965331981</v>
      </c>
      <c r="F136" s="45" t="n">
        <f aca="false">IF(F2&gt;=Assumptions!$B$49,(F107+F109*Assumptions!$B$138)*Assumptions!$B$137*F7/12,0)</f>
        <v>2.35254401556758</v>
      </c>
      <c r="G136" s="45" t="n">
        <f aca="false">IF(G2&gt;=Assumptions!$B$49,(G107+G109*Assumptions!$B$138)*Assumptions!$B$137*G7/12,0)</f>
        <v>3.02595859975603</v>
      </c>
      <c r="H136" s="45" t="n">
        <f aca="false">IF(H2&gt;=Assumptions!$B$49,(H107+H109*Assumptions!$B$138)*Assumptions!$B$137*H7/12,0)</f>
        <v>3.63828564620324</v>
      </c>
      <c r="I136" s="45" t="n">
        <f aca="false">IF(I2&gt;=Assumptions!$B$49,(I107+I109*Assumptions!$B$138)*Assumptions!$B$137*I7/12,0)</f>
        <v>4.25369595633258</v>
      </c>
      <c r="J136" s="45" t="n">
        <f aca="false">IF(J2&gt;=Assumptions!$B$49,(J107+J109*Assumptions!$B$138)*Assumptions!$B$137*J7/12,0)</f>
        <v>4.88651583218811</v>
      </c>
      <c r="K136" s="45" t="n">
        <f aca="false">IF(K2&gt;=Assumptions!$B$49,(K107+K109*Assumptions!$B$138)*Assumptions!$B$137*K7/12,0)</f>
        <v>5.57893274148994</v>
      </c>
      <c r="L136" s="45" t="n">
        <f aca="false">IF(L2&gt;=Assumptions!$B$49,(L107+L109*Assumptions!$B$138)*Assumptions!$B$137*L7/12,0)</f>
        <v>6.46152417805081</v>
      </c>
      <c r="M136" s="45" t="n">
        <f aca="false">IF(M2&gt;=Assumptions!$B$49,(M107+M109*Assumptions!$B$138)*Assumptions!$B$137*M7/12,0)</f>
        <v>7.31677313580508</v>
      </c>
      <c r="N136" s="45" t="n">
        <f aca="false">IF(N2&gt;=Assumptions!$B$49,(N107+N109*Assumptions!$B$138)*Assumptions!$B$137*N7/12,0)</f>
        <v>8.11900780600323</v>
      </c>
      <c r="O136" s="45" t="n">
        <f aca="false">IF(O2&gt;=Assumptions!$B$49,(O107+O109*Assumptions!$B$138)*Assumptions!$B$137*O7/12,0)</f>
        <v>10.1705745651349</v>
      </c>
      <c r="P136" s="45" t="n">
        <f aca="false">IF(P2&gt;=Assumptions!$B$49,(P107+P109*Assumptions!$B$138)*Assumptions!$B$137*P7/12,0)</f>
        <v>12.2483639762364</v>
      </c>
      <c r="Q136" s="45" t="n">
        <f aca="false">IF(Q2&gt;=Assumptions!$B$49,(Q107+Q109*Assumptions!$B$138)*Assumptions!$B$137*Q7/12,0)</f>
        <v>14.3573983912837</v>
      </c>
      <c r="R136" s="45" t="n">
        <f aca="false">IF(R2&gt;=Assumptions!$B$49,(R107+R109*Assumptions!$B$138)*Assumptions!$B$137*R7/12,0)</f>
        <v>16.9838289775062</v>
      </c>
      <c r="S136" s="45" t="n">
        <f aca="false">IF(S2&gt;=Assumptions!$B$49,(S107+S109*Assumptions!$B$138)*Assumptions!$B$137*S7/12,0)</f>
        <v>19.5338975737756</v>
      </c>
      <c r="T136" s="45" t="n">
        <f aca="false">IF(T2&gt;=Assumptions!$B$49,(T107+T109*Assumptions!$B$138)*Assumptions!$B$137*T7/12,0)</f>
        <v>21.8866319837099</v>
      </c>
      <c r="U136" s="45" t="n">
        <f aca="false">IF(U2&gt;=Assumptions!$B$49,(U107+U109*Assumptions!$B$138)*Assumptions!$B$137*U7/12,0)</f>
        <v>24.2587619734141</v>
      </c>
      <c r="V136" s="45" t="n">
        <f aca="false">IF(V2&gt;=Assumptions!$B$49,(V107+V109*Assumptions!$B$138)*Assumptions!$B$137*V7/12,0)</f>
        <v>26.7004695559436</v>
      </c>
      <c r="W136" s="45" t="n">
        <f aca="false">IF(W2&gt;=Assumptions!$B$49,(W107+W109*Assumptions!$B$138)*Assumptions!$B$137*W7/12,0)</f>
        <v>29.3657098665401</v>
      </c>
      <c r="X136" s="45" t="n">
        <f aca="false">IF(X2&gt;=Assumptions!$B$49,(X107+X109*Assumptions!$B$138)*Assumptions!$B$137*X7/12,0)</f>
        <v>32.7404752316177</v>
      </c>
      <c r="Y136" s="45" t="n">
        <f aca="false">IF(Y2&gt;=Assumptions!$B$49,(Y107+Y109*Assumptions!$B$138)*Assumptions!$B$137*Y7/12,0)</f>
        <v>36.0457514702188</v>
      </c>
      <c r="Z136" s="45" t="n">
        <f aca="false">IF(Z2&gt;=Assumptions!$B$49,(Z107+Z109*Assumptions!$B$138)*Assumptions!$B$137*Z7/12,0)</f>
        <v>39.1752091798751</v>
      </c>
      <c r="AA136" s="45" t="n">
        <f aca="false">IF(AA2&gt;=Assumptions!$B$49,(AA107+AA109*Assumptions!$B$138)*Assumptions!$B$137*AA7/12,0)</f>
        <v>1135.17464127008</v>
      </c>
      <c r="AB136" s="45" t="n">
        <f aca="false">IF(AB2&gt;=Assumptions!$B$49,(AB107+AB109*Assumptions!$B$138)*Assumptions!$B$137*AB7/12,0)</f>
        <v>2206.02603257268</v>
      </c>
      <c r="AC136" s="45" t="n">
        <f aca="false">IF(AC2&gt;=Assumptions!$B$49,(AC107+AC109*Assumptions!$B$138)*Assumptions!$B$137*AC7/12,0)</f>
        <v>3778.27748308864</v>
      </c>
      <c r="AD136" s="45" t="n">
        <f aca="false">IF(AD2&gt;=Assumptions!$B$49,(AD107+AD109*Assumptions!$B$138)*Assumptions!$B$137*AD7/12,0)</f>
        <v>5836.25117196989</v>
      </c>
      <c r="AE136" s="45" t="n">
        <f aca="false">IF(AE2&gt;=Assumptions!$B$49,(AE107+AE109*Assumptions!$B$138)*Assumptions!$B$137*AE7/12,0)</f>
        <v>8235.12826756391</v>
      </c>
    </row>
    <row r="137" customFormat="false" ht="15" hidden="false" customHeight="false" outlineLevel="0" collapsed="false">
      <c r="A137" s="3" t="s">
        <v>481</v>
      </c>
      <c r="B137" s="23" t="s">
        <v>114</v>
      </c>
      <c r="C137" s="57" t="n">
        <f aca="false">C129+C130+C131+C132+C133+C135</f>
        <v>124.143246543243</v>
      </c>
      <c r="D137" s="57" t="n">
        <f aca="false">D129+D130+D131+D132+D133+D135</f>
        <v>236.032408128112</v>
      </c>
      <c r="E137" s="57" t="n">
        <f aca="false">E129+E130+E131+E132+E133+E135</f>
        <v>337.502031999382</v>
      </c>
      <c r="F137" s="57" t="n">
        <f aca="false">F129+F130+F131+F132+F133+F135</f>
        <v>462.193592642173</v>
      </c>
      <c r="G137" s="57" t="n">
        <f aca="false">G129+G130+G131+G132+G133+G135</f>
        <v>567.236818095069</v>
      </c>
      <c r="H137" s="57" t="n">
        <f aca="false">H129+H130+H131+H132+H133+H135</f>
        <v>647.488085101133</v>
      </c>
      <c r="I137" s="57" t="n">
        <f aca="false">I129+I130+I131+I132+I133+I135</f>
        <v>1620.70713499803</v>
      </c>
      <c r="J137" s="57" t="n">
        <f aca="false">J129+J130+J131+J132+J133+J135</f>
        <v>1776.0758915619</v>
      </c>
      <c r="K137" s="57" t="n">
        <f aca="false">K129+K130+K131+K132+K133+K135</f>
        <v>1945.79270999073</v>
      </c>
      <c r="L137" s="57" t="n">
        <f aca="false">L129+L130+L131+L132+L133+L135</f>
        <v>2195.156897767</v>
      </c>
      <c r="M137" s="57" t="n">
        <f aca="false">M129+M130+M131+M132+M133+M135</f>
        <v>2404.63863904096</v>
      </c>
      <c r="N137" s="57" t="n">
        <f aca="false">N129+N130+N131+N132+N133+N135</f>
        <v>2565.24887459305</v>
      </c>
      <c r="O137" s="57" t="n">
        <f aca="false">O129+O130+O131+O132+O133+O135</f>
        <v>3486.7064851971</v>
      </c>
      <c r="P137" s="57" t="n">
        <f aca="false">P129+P130+P131+P132+P133+P135</f>
        <v>4225.12774727266</v>
      </c>
      <c r="Q137" s="57" t="n">
        <f aca="false">Q129+Q130+Q131+Q132+Q133+Q135</f>
        <v>4904.91683082467</v>
      </c>
      <c r="R137" s="57" t="n">
        <f aca="false">R129+R130+R131+R132+R133+R135</f>
        <v>5781.26687635501</v>
      </c>
      <c r="S137" s="57" t="n">
        <f aca="false">S129+S130+S131+S132+S133+S135</f>
        <v>6532.58189559313</v>
      </c>
      <c r="T137" s="57" t="n">
        <f aca="false">T129+T130+T131+T132+T133+T135</f>
        <v>7118.32749164694</v>
      </c>
      <c r="U137" s="57" t="n">
        <f aca="false">U129+U130+U131+U132+U133+U135</f>
        <v>7652.66888967229</v>
      </c>
      <c r="V137" s="57" t="n">
        <f aca="false">V129+V130+V131+V132+V133+V135</f>
        <v>8166.67223423656</v>
      </c>
      <c r="W137" s="57" t="n">
        <f aca="false">W129+W130+W131+W132+W133+W135</f>
        <v>8805.61990025393</v>
      </c>
      <c r="X137" s="57" t="n">
        <f aca="false">X129+X130+X131+X132+X133+X135</f>
        <v>9750.81996063076</v>
      </c>
      <c r="Y137" s="57" t="n">
        <f aca="false">Y129+Y130+Y131+Y132+Y133+Y135</f>
        <v>10568.4381902051</v>
      </c>
      <c r="Z137" s="57" t="n">
        <f aca="false">Z129+Z130+Z131+Z132+Z133+Z135</f>
        <v>11242.9943653882</v>
      </c>
      <c r="AA137" s="57" t="n">
        <f aca="false">AA129+AA130+AA131+AA132+AA133+AA135</f>
        <v>275779.515399206</v>
      </c>
      <c r="AB137" s="57" t="n">
        <f aca="false">AB129+AB130+AB131+AB132+AB133+AB135</f>
        <v>463334.828118131</v>
      </c>
      <c r="AC137" s="57" t="n">
        <f aca="false">AC129+AC130+AC131+AC132+AC133+AC135</f>
        <v>706953.598182178</v>
      </c>
      <c r="AD137" s="57" t="n">
        <f aca="false">AD129+AD130+AD131+AD132+AD133+AD135</f>
        <v>970510.5897302</v>
      </c>
      <c r="AE137" s="57" t="n">
        <f aca="false">AE129+AE130+AE131+AE132+AE133+AE135</f>
        <v>1200777.9017617</v>
      </c>
    </row>
    <row r="139" customFormat="false" ht="15" hidden="false" customHeight="false" outlineLevel="0" collapsed="false">
      <c r="A139" s="46" t="s">
        <v>482</v>
      </c>
      <c r="B139" s="47"/>
      <c r="C139" s="47"/>
      <c r="D139" s="47"/>
      <c r="E139" s="47"/>
      <c r="F139" s="47"/>
      <c r="G139" s="47"/>
      <c r="H139" s="47"/>
      <c r="I139" s="47"/>
      <c r="J139" s="47"/>
      <c r="K139" s="47"/>
      <c r="L139" s="47"/>
      <c r="M139" s="47"/>
      <c r="N139" s="47"/>
      <c r="O139" s="47"/>
      <c r="P139" s="47"/>
      <c r="Q139" s="47"/>
      <c r="R139" s="47"/>
      <c r="S139" s="47"/>
      <c r="T139" s="47"/>
      <c r="U139" s="47"/>
      <c r="V139" s="47"/>
      <c r="W139" s="47"/>
      <c r="X139" s="47"/>
      <c r="Y139" s="47"/>
      <c r="Z139" s="47"/>
      <c r="AA139" s="47"/>
      <c r="AB139" s="47"/>
      <c r="AC139" s="47"/>
      <c r="AD139" s="47"/>
      <c r="AE139" s="47"/>
    </row>
    <row r="140" customFormat="false" ht="15" hidden="false" customHeight="false" outlineLevel="0" collapsed="false">
      <c r="A140" s="6" t="s">
        <v>483</v>
      </c>
      <c r="B140" s="23" t="s">
        <v>114</v>
      </c>
      <c r="C140" s="58" t="n">
        <f aca="false">IF(C2&gt;=Assumptions!$B$54,INDEX(Assumptions!$B$160:$B$166,C5)*Assumptions!$B$167,0)</f>
        <v>0</v>
      </c>
      <c r="D140" s="58" t="n">
        <f aca="false">IF(D2&gt;=Assumptions!$B$54,INDEX(Assumptions!$B$160:$B$166,D5)*Assumptions!$B$167,0)</f>
        <v>0</v>
      </c>
      <c r="E140" s="58" t="n">
        <f aca="false">IF(E2&gt;=Assumptions!$B$54,INDEX(Assumptions!$B$160:$B$166,E5)*Assumptions!$B$167,0)</f>
        <v>0</v>
      </c>
      <c r="F140" s="58" t="n">
        <f aca="false">IF(F2&gt;=Assumptions!$B$54,INDEX(Assumptions!$B$160:$B$166,F5)*Assumptions!$B$167,0)</f>
        <v>0</v>
      </c>
      <c r="G140" s="58" t="n">
        <f aca="false">IF(G2&gt;=Assumptions!$B$54,INDEX(Assumptions!$B$160:$B$166,G5)*Assumptions!$B$167,0)</f>
        <v>0</v>
      </c>
      <c r="H140" s="58" t="n">
        <f aca="false">IF(H2&gt;=Assumptions!$B$54,INDEX(Assumptions!$B$160:$B$166,H5)*Assumptions!$B$167,0)</f>
        <v>0</v>
      </c>
      <c r="I140" s="58" t="n">
        <f aca="false">IF(I2&gt;=Assumptions!$B$54,INDEX(Assumptions!$B$160:$B$166,I5)*Assumptions!$B$167,0)</f>
        <v>0</v>
      </c>
      <c r="J140" s="58" t="n">
        <f aca="false">IF(J2&gt;=Assumptions!$B$54,INDEX(Assumptions!$B$160:$B$166,J5)*Assumptions!$B$167,0)</f>
        <v>0</v>
      </c>
      <c r="K140" s="58" t="n">
        <f aca="false">IF(K2&gt;=Assumptions!$B$54,INDEX(Assumptions!$B$160:$B$166,K5)*Assumptions!$B$167,0)</f>
        <v>0</v>
      </c>
      <c r="L140" s="58" t="n">
        <f aca="false">IF(L2&gt;=Assumptions!$B$54,INDEX(Assumptions!$B$160:$B$166,L5)*Assumptions!$B$167,0)</f>
        <v>0</v>
      </c>
      <c r="M140" s="58" t="n">
        <f aca="false">IF(M2&gt;=Assumptions!$B$54,INDEX(Assumptions!$B$160:$B$166,M5)*Assumptions!$B$167,0)</f>
        <v>0</v>
      </c>
      <c r="N140" s="58" t="n">
        <f aca="false">IF(N2&gt;=Assumptions!$B$54,INDEX(Assumptions!$B$160:$B$166,N5)*Assumptions!$B$167,0)</f>
        <v>0</v>
      </c>
      <c r="O140" s="58" t="n">
        <f aca="false">IF(O2&gt;=Assumptions!$B$54,INDEX(Assumptions!$B$160:$B$166,O5)*Assumptions!$B$167,0)</f>
        <v>32000000</v>
      </c>
      <c r="P140" s="58" t="n">
        <f aca="false">IF(P2&gt;=Assumptions!$B$54,INDEX(Assumptions!$B$160:$B$166,P5)*Assumptions!$B$167,0)</f>
        <v>32000000</v>
      </c>
      <c r="Q140" s="58" t="n">
        <f aca="false">IF(Q2&gt;=Assumptions!$B$54,INDEX(Assumptions!$B$160:$B$166,Q5)*Assumptions!$B$167,0)</f>
        <v>32000000</v>
      </c>
      <c r="R140" s="58" t="n">
        <f aca="false">IF(R2&gt;=Assumptions!$B$54,INDEX(Assumptions!$B$160:$B$166,R5)*Assumptions!$B$167,0)</f>
        <v>32000000</v>
      </c>
      <c r="S140" s="58" t="n">
        <f aca="false">IF(S2&gt;=Assumptions!$B$54,INDEX(Assumptions!$B$160:$B$166,S5)*Assumptions!$B$167,0)</f>
        <v>32000000</v>
      </c>
      <c r="T140" s="58" t="n">
        <f aca="false">IF(T2&gt;=Assumptions!$B$54,INDEX(Assumptions!$B$160:$B$166,T5)*Assumptions!$B$167,0)</f>
        <v>32000000</v>
      </c>
      <c r="U140" s="58" t="n">
        <f aca="false">IF(U2&gt;=Assumptions!$B$54,INDEX(Assumptions!$B$160:$B$166,U5)*Assumptions!$B$167,0)</f>
        <v>32000000</v>
      </c>
      <c r="V140" s="58" t="n">
        <f aca="false">IF(V2&gt;=Assumptions!$B$54,INDEX(Assumptions!$B$160:$B$166,V5)*Assumptions!$B$167,0)</f>
        <v>32000000</v>
      </c>
      <c r="W140" s="58" t="n">
        <f aca="false">IF(W2&gt;=Assumptions!$B$54,INDEX(Assumptions!$B$160:$B$166,W5)*Assumptions!$B$167,0)</f>
        <v>32000000</v>
      </c>
      <c r="X140" s="58" t="n">
        <f aca="false">IF(X2&gt;=Assumptions!$B$54,INDEX(Assumptions!$B$160:$B$166,X5)*Assumptions!$B$167,0)</f>
        <v>32000000</v>
      </c>
      <c r="Y140" s="58" t="n">
        <f aca="false">IF(Y2&gt;=Assumptions!$B$54,INDEX(Assumptions!$B$160:$B$166,Y5)*Assumptions!$B$167,0)</f>
        <v>32000000</v>
      </c>
      <c r="Z140" s="58" t="n">
        <f aca="false">IF(Z2&gt;=Assumptions!$B$54,INDEX(Assumptions!$B$160:$B$166,Z5)*Assumptions!$B$167,0)</f>
        <v>32000000</v>
      </c>
      <c r="AA140" s="58" t="n">
        <f aca="false">IF(AA2&gt;=Assumptions!$B$54,INDEX(Assumptions!$B$160:$B$166,AA5)*Assumptions!$B$167,0)</f>
        <v>64000000</v>
      </c>
      <c r="AB140" s="58" t="n">
        <f aca="false">IF(AB2&gt;=Assumptions!$B$54,INDEX(Assumptions!$B$160:$B$166,AB5)*Assumptions!$B$167,0)</f>
        <v>96000000</v>
      </c>
      <c r="AC140" s="58" t="n">
        <f aca="false">IF(AC2&gt;=Assumptions!$B$54,INDEX(Assumptions!$B$160:$B$166,AC5)*Assumptions!$B$167,0)</f>
        <v>128000000</v>
      </c>
      <c r="AD140" s="58" t="n">
        <f aca="false">IF(AD2&gt;=Assumptions!$B$54,INDEX(Assumptions!$B$160:$B$166,AD5)*Assumptions!$B$167,0)</f>
        <v>160000000</v>
      </c>
      <c r="AE140" s="58" t="n">
        <f aca="false">IF(AE2&gt;=Assumptions!$B$54,INDEX(Assumptions!$B$160:$B$166,AE5)*Assumptions!$B$167,0)</f>
        <v>192000000</v>
      </c>
    </row>
    <row r="141" customFormat="false" ht="15" hidden="false" customHeight="false" outlineLevel="0" collapsed="false">
      <c r="A141" s="6" t="s">
        <v>132</v>
      </c>
      <c r="B141" s="23" t="s">
        <v>114</v>
      </c>
      <c r="C141" s="57" t="n">
        <f aca="false">C140*Assumptions!$B$26*C7/12</f>
        <v>0</v>
      </c>
      <c r="D141" s="57" t="n">
        <f aca="false">D140*Assumptions!$B$26*D7/12</f>
        <v>0</v>
      </c>
      <c r="E141" s="57" t="n">
        <f aca="false">E140*Assumptions!$B$26*E7/12</f>
        <v>0</v>
      </c>
      <c r="F141" s="57" t="n">
        <f aca="false">F140*Assumptions!$B$26*F7/12</f>
        <v>0</v>
      </c>
      <c r="G141" s="57" t="n">
        <f aca="false">G140*Assumptions!$B$26*G7/12</f>
        <v>0</v>
      </c>
      <c r="H141" s="57" t="n">
        <f aca="false">H140*Assumptions!$B$26*H7/12</f>
        <v>0</v>
      </c>
      <c r="I141" s="57" t="n">
        <f aca="false">I140*Assumptions!$B$26*I7/12</f>
        <v>0</v>
      </c>
      <c r="J141" s="57" t="n">
        <f aca="false">J140*Assumptions!$B$26*J7/12</f>
        <v>0</v>
      </c>
      <c r="K141" s="57" t="n">
        <f aca="false">K140*Assumptions!$B$26*K7/12</f>
        <v>0</v>
      </c>
      <c r="L141" s="57" t="n">
        <f aca="false">L140*Assumptions!$B$26*L7/12</f>
        <v>0</v>
      </c>
      <c r="M141" s="57" t="n">
        <f aca="false">M140*Assumptions!$B$26*M7/12</f>
        <v>0</v>
      </c>
      <c r="N141" s="57" t="n">
        <f aca="false">N140*Assumptions!$B$26*N7/12</f>
        <v>0</v>
      </c>
      <c r="O141" s="57" t="n">
        <f aca="false">O140*Assumptions!$B$26*O7/12</f>
        <v>16666.6666666667</v>
      </c>
      <c r="P141" s="57" t="n">
        <f aca="false">P140*Assumptions!$B$26*P7/12</f>
        <v>16666.6666666667</v>
      </c>
      <c r="Q141" s="57" t="n">
        <f aca="false">Q140*Assumptions!$B$26*Q7/12</f>
        <v>16666.6666666667</v>
      </c>
      <c r="R141" s="57" t="n">
        <f aca="false">R140*Assumptions!$B$26*R7/12</f>
        <v>16666.6666666667</v>
      </c>
      <c r="S141" s="57" t="n">
        <f aca="false">S140*Assumptions!$B$26*S7/12</f>
        <v>16666.6666666667</v>
      </c>
      <c r="T141" s="57" t="n">
        <f aca="false">T140*Assumptions!$B$26*T7/12</f>
        <v>16666.6666666667</v>
      </c>
      <c r="U141" s="57" t="n">
        <f aca="false">U140*Assumptions!$B$26*U7/12</f>
        <v>16666.6666666667</v>
      </c>
      <c r="V141" s="57" t="n">
        <f aca="false">V140*Assumptions!$B$26*V7/12</f>
        <v>16666.6666666667</v>
      </c>
      <c r="W141" s="57" t="n">
        <f aca="false">W140*Assumptions!$B$26*W7/12</f>
        <v>16666.6666666667</v>
      </c>
      <c r="X141" s="57" t="n">
        <f aca="false">X140*Assumptions!$B$26*X7/12</f>
        <v>16666.6666666667</v>
      </c>
      <c r="Y141" s="57" t="n">
        <f aca="false">Y140*Assumptions!$B$26*Y7/12</f>
        <v>16666.6666666667</v>
      </c>
      <c r="Z141" s="57" t="n">
        <f aca="false">Z140*Assumptions!$B$26*Z7/12</f>
        <v>16666.6666666667</v>
      </c>
      <c r="AA141" s="57" t="n">
        <f aca="false">AA140*Assumptions!$B$26*AA7/12</f>
        <v>400000</v>
      </c>
      <c r="AB141" s="57" t="n">
        <f aca="false">AB140*Assumptions!$B$26*AB7/12</f>
        <v>600000</v>
      </c>
      <c r="AC141" s="57" t="n">
        <f aca="false">AC140*Assumptions!$B$26*AC7/12</f>
        <v>800000</v>
      </c>
      <c r="AD141" s="57" t="n">
        <f aca="false">AD140*Assumptions!$B$26*AD7/12</f>
        <v>1000000</v>
      </c>
      <c r="AE141" s="57" t="n">
        <f aca="false">AE140*Assumptions!$B$26*AE7/12</f>
        <v>1200000</v>
      </c>
    </row>
    <row r="142" customFormat="false" ht="15" hidden="false" customHeight="false" outlineLevel="0" collapsed="false">
      <c r="A142" s="9" t="s">
        <v>484</v>
      </c>
    </row>
    <row r="144" customFormat="false" ht="15" hidden="false" customHeight="false" outlineLevel="0" collapsed="false">
      <c r="A144" s="46" t="s">
        <v>485</v>
      </c>
      <c r="B144" s="47"/>
      <c r="C144" s="47"/>
      <c r="D144" s="47"/>
      <c r="E144" s="47"/>
      <c r="F144" s="47"/>
      <c r="G144" s="47"/>
      <c r="H144" s="47"/>
      <c r="I144" s="47"/>
      <c r="J144" s="47"/>
      <c r="K144" s="47"/>
      <c r="L144" s="47"/>
      <c r="M144" s="47"/>
      <c r="N144" s="47"/>
      <c r="O144" s="47"/>
      <c r="P144" s="47"/>
      <c r="Q144" s="47"/>
      <c r="R144" s="47"/>
      <c r="S144" s="47"/>
      <c r="T144" s="47"/>
      <c r="U144" s="47"/>
      <c r="V144" s="47"/>
      <c r="W144" s="47"/>
      <c r="X144" s="47"/>
      <c r="Y144" s="47"/>
      <c r="Z144" s="47"/>
      <c r="AA144" s="47"/>
      <c r="AB144" s="47"/>
      <c r="AC144" s="47"/>
      <c r="AD144" s="47"/>
      <c r="AE144" s="47"/>
    </row>
    <row r="145" customFormat="false" ht="15" hidden="false" customHeight="false" outlineLevel="0" collapsed="false">
      <c r="A145" s="3" t="s">
        <v>486</v>
      </c>
      <c r="B145" s="23" t="s">
        <v>207</v>
      </c>
      <c r="C145" s="45" t="n">
        <f aca="false">C31+C69+C107</f>
        <v>110.205647346763</v>
      </c>
      <c r="D145" s="45" t="n">
        <f aca="false">D31+D69+D107</f>
        <v>209.545444020383</v>
      </c>
      <c r="E145" s="45" t="n">
        <f aca="false">E31+E69+E107</f>
        <v>299.645726393662</v>
      </c>
      <c r="F145" s="45" t="n">
        <f aca="false">F31+F69+F107</f>
        <v>410.379109519946</v>
      </c>
      <c r="G145" s="45" t="n">
        <f aca="false">G31+G69+G107</f>
        <v>503.679343612994</v>
      </c>
      <c r="H145" s="45" t="n">
        <f aca="false">H31+H69+H107</f>
        <v>574.972003444719</v>
      </c>
      <c r="I145" s="45" t="n">
        <f aca="false">I31+I69+I107</f>
        <v>639.493269377514</v>
      </c>
      <c r="J145" s="45" t="n">
        <f aca="false">J31+J69+J107</f>
        <v>700.83858881992</v>
      </c>
      <c r="K145" s="45" t="n">
        <f aca="false">K31+K69+K107</f>
        <v>767.857281781336</v>
      </c>
      <c r="L145" s="45" t="n">
        <f aca="false">L31+L69+L107</f>
        <v>866.334002660812</v>
      </c>
      <c r="M145" s="45" t="n">
        <f aca="false">M31+M69+M107</f>
        <v>949.081329500226</v>
      </c>
      <c r="N145" s="45" t="n">
        <f aca="false">N31+N69+N107</f>
        <v>1012.54343858223</v>
      </c>
      <c r="O145" s="45" t="n">
        <f aca="false">O31+O69+O107</f>
        <v>1356.18226368551</v>
      </c>
      <c r="P145" s="45" t="n">
        <f aca="false">P31+P69+P107</f>
        <v>1670.49247481974</v>
      </c>
      <c r="Q145" s="45" t="n">
        <f aca="false">Q31+Q69+Q107</f>
        <v>1959.61079221017</v>
      </c>
      <c r="R145" s="45" t="n">
        <f aca="false">R31+R69+R107</f>
        <v>2334.00509479146</v>
      </c>
      <c r="S145" s="45" t="n">
        <f aca="false">S31+S69+S107</f>
        <v>2653.17655335811</v>
      </c>
      <c r="T145" s="45" t="n">
        <f aca="false">T31+T69+T107</f>
        <v>2895.90409189904</v>
      </c>
      <c r="U145" s="45" t="n">
        <f aca="false">U31+U69+U107</f>
        <v>3118.21537865076</v>
      </c>
      <c r="V145" s="45" t="n">
        <f aca="false">V31+V69+V107</f>
        <v>3333.38558913969</v>
      </c>
      <c r="W145" s="45" t="n">
        <f aca="false">W31+W69+W107</f>
        <v>3576.45299901844</v>
      </c>
      <c r="X145" s="45" t="n">
        <f aca="false">X31+X69+X107</f>
        <v>3952.91560144634</v>
      </c>
      <c r="Y145" s="45" t="n">
        <f aca="false">Y31+Y69+Y107</f>
        <v>4275.49303874808</v>
      </c>
      <c r="Z145" s="45" t="n">
        <f aca="false">Z31+Z69+Z107</f>
        <v>4525.96881387523</v>
      </c>
      <c r="AA145" s="45" t="n">
        <f aca="false">AA31+AA69+AA107</f>
        <v>8719.20796642382</v>
      </c>
      <c r="AB145" s="45" t="n">
        <f aca="false">AB31+AB69+AB107</f>
        <v>14586.4925023412</v>
      </c>
      <c r="AC145" s="45" t="n">
        <f aca="false">AC31+AC69+AC107</f>
        <v>22200.6296965966</v>
      </c>
      <c r="AD145" s="45" t="n">
        <f aca="false">AD31+AD69+AD107</f>
        <v>30285.783669999</v>
      </c>
      <c r="AE145" s="45" t="n">
        <f aca="false">AE31+AE69+AE107</f>
        <v>37315.4527102112</v>
      </c>
    </row>
    <row r="146" customFormat="false" ht="15" hidden="false" customHeight="false" outlineLevel="0" collapsed="false">
      <c r="A146" s="3" t="s">
        <v>487</v>
      </c>
      <c r="B146" s="23" t="s">
        <v>207</v>
      </c>
      <c r="C146" s="45" t="n">
        <f aca="false">C33+C71+C109</f>
        <v>2.77968598657055</v>
      </c>
      <c r="D146" s="45" t="n">
        <f aca="false">D33+D71+D109</f>
        <v>10.7762913100418</v>
      </c>
      <c r="E146" s="45" t="n">
        <f aca="false">E33+E71+E109</f>
        <v>23.4894466448181</v>
      </c>
      <c r="F146" s="45" t="n">
        <f aca="false">F33+F71+F109</f>
        <v>41.2122626436271</v>
      </c>
      <c r="G146" s="45" t="n">
        <f aca="false">G33+G71+G109</f>
        <v>64.0126472472188</v>
      </c>
      <c r="H146" s="45" t="n">
        <f aca="false">H33+H71+H109</f>
        <v>90.9066160675156</v>
      </c>
      <c r="I146" s="45" t="n">
        <f aca="false">I33+I71+I109</f>
        <v>121.181941747862</v>
      </c>
      <c r="J146" s="45" t="n">
        <f aca="false">J33+J71+J109</f>
        <v>154.591927204695</v>
      </c>
      <c r="K146" s="45" t="n">
        <f aca="false">K33+K71+K109</f>
        <v>191.201535118824</v>
      </c>
      <c r="L146" s="45" t="n">
        <f aca="false">L33+L71+L109</f>
        <v>231.94379984396</v>
      </c>
      <c r="M146" s="45" t="n">
        <f aca="false">M33+M71+M109</f>
        <v>277.19591950537</v>
      </c>
      <c r="N146" s="45" t="n">
        <f aca="false">N33+N71+N109</f>
        <v>326.084491040137</v>
      </c>
      <c r="O146" s="45" t="n">
        <f aca="false">O33+O71+O109</f>
        <v>385.201874321092</v>
      </c>
      <c r="P146" s="45" t="n">
        <f aca="false">P33+P71+P109</f>
        <v>460.701281169072</v>
      </c>
      <c r="Q146" s="45" t="n">
        <f aca="false">Q33+Q71+Q109</f>
        <v>551.225755583131</v>
      </c>
      <c r="R146" s="45" t="n">
        <f aca="false">R33+R71+R109</f>
        <v>658.30641409545</v>
      </c>
      <c r="S146" s="45" t="n">
        <f aca="false">S33+S71+S109</f>
        <v>782.648361972022</v>
      </c>
      <c r="T146" s="45" t="n">
        <f aca="false">T33+T71+T109</f>
        <v>920.964873177834</v>
      </c>
      <c r="U146" s="45" t="n">
        <f aca="false">U33+U71+U109</f>
        <v>1070.86030694325</v>
      </c>
      <c r="V146" s="45" t="n">
        <f aca="false">V33+V71+V109</f>
        <v>1231.65226152615</v>
      </c>
      <c r="W146" s="45" t="n">
        <f aca="false">W33+W71+W109</f>
        <v>1403.86869405135</v>
      </c>
      <c r="X146" s="45" t="n">
        <f aca="false">X33+X71+X109</f>
        <v>1591.56052590817</v>
      </c>
      <c r="Y146" s="45" t="n">
        <f aca="false">Y33+Y71+Y109</f>
        <v>1796.65043986494</v>
      </c>
      <c r="Z146" s="45" t="n">
        <f aca="false">Z33+Z71+Z109</f>
        <v>2015.99414325522</v>
      </c>
      <c r="AA146" s="45" t="n">
        <f aca="false">AA33+AA71+AA109</f>
        <v>6223.18430719895</v>
      </c>
      <c r="AB146" s="45" t="n">
        <f aca="false">AB33+AB71+AB109</f>
        <v>13557.9845561542</v>
      </c>
      <c r="AC146" s="45" t="n">
        <f aca="false">AC33+AC71+AC109</f>
        <v>25061.5379751949</v>
      </c>
      <c r="AD146" s="45" t="n">
        <f aca="false">AD33+AD71+AD109</f>
        <v>41349.2987347551</v>
      </c>
      <c r="AE146" s="45" t="n">
        <f aca="false">AE33+AE71+AE109</f>
        <v>62175.2375611036</v>
      </c>
    </row>
    <row r="147" customFormat="false" ht="15" hidden="false" customHeight="false" outlineLevel="0" collapsed="false">
      <c r="A147" s="6" t="s">
        <v>488</v>
      </c>
      <c r="B147" s="23" t="s">
        <v>207</v>
      </c>
      <c r="C147" s="45" t="n">
        <f aca="false">C34+C72+C110</f>
        <v>112.985333333333</v>
      </c>
      <c r="D147" s="45" t="n">
        <f aca="false">D34+D72+D110</f>
        <v>220.321735330425</v>
      </c>
      <c r="E147" s="45" t="n">
        <f aca="false">E34+E72+E110</f>
        <v>323.135173038481</v>
      </c>
      <c r="F147" s="45" t="n">
        <f aca="false">F34+F72+F110</f>
        <v>451.591372163573</v>
      </c>
      <c r="G147" s="45" t="n">
        <f aca="false">G34+G72+G110</f>
        <v>567.691990860212</v>
      </c>
      <c r="H147" s="45" t="n">
        <f aca="false">H34+H72+H110</f>
        <v>665.878619512235</v>
      </c>
      <c r="I147" s="45" t="n">
        <f aca="false">I34+I72+I110</f>
        <v>760.675211125376</v>
      </c>
      <c r="J147" s="45" t="n">
        <f aca="false">J34+J72+J110</f>
        <v>855.430516024615</v>
      </c>
      <c r="K147" s="45" t="n">
        <f aca="false">K34+K72+K110</f>
        <v>959.05881690016</v>
      </c>
      <c r="L147" s="45" t="n">
        <f aca="false">L34+L72+L110</f>
        <v>1098.27780250477</v>
      </c>
      <c r="M147" s="45" t="n">
        <f aca="false">M34+M72+M110</f>
        <v>1226.2772490056</v>
      </c>
      <c r="N147" s="45" t="n">
        <f aca="false">N34+N72+N110</f>
        <v>1338.62792962237</v>
      </c>
      <c r="O147" s="45" t="n">
        <f aca="false">O34+O72+O110</f>
        <v>1741.3841380066</v>
      </c>
      <c r="P147" s="45" t="n">
        <f aca="false">P34+P72+P110</f>
        <v>2131.19375598881</v>
      </c>
      <c r="Q147" s="45" t="n">
        <f aca="false">Q34+Q72+Q110</f>
        <v>2510.8365477933</v>
      </c>
      <c r="R147" s="45" t="n">
        <f aca="false">R34+R72+R110</f>
        <v>2992.31150888691</v>
      </c>
      <c r="S147" s="45" t="n">
        <f aca="false">S34+S72+S110</f>
        <v>3435.82491533014</v>
      </c>
      <c r="T147" s="45" t="n">
        <f aca="false">T34+T72+T110</f>
        <v>3816.86896507687</v>
      </c>
      <c r="U147" s="45" t="n">
        <f aca="false">U34+U72+U110</f>
        <v>4189.075685594</v>
      </c>
      <c r="V147" s="45" t="n">
        <f aca="false">V34+V72+V110</f>
        <v>4565.03785066584</v>
      </c>
      <c r="W147" s="45" t="n">
        <f aca="false">W34+W72+W110</f>
        <v>4980.32169306979</v>
      </c>
      <c r="X147" s="45" t="n">
        <f aca="false">X34+X72+X110</f>
        <v>5544.47612735452</v>
      </c>
      <c r="Y147" s="45" t="n">
        <f aca="false">Y34+Y72+Y110</f>
        <v>6072.14347861302</v>
      </c>
      <c r="Z147" s="45" t="n">
        <f aca="false">Z34+Z72+Z110</f>
        <v>6541.96295713044</v>
      </c>
      <c r="AA147" s="45" t="n">
        <f aca="false">AA34+AA72+AA110</f>
        <v>14942.3922736228</v>
      </c>
      <c r="AB147" s="45" t="n">
        <f aca="false">AB34+AB72+AB110</f>
        <v>28144.4770584954</v>
      </c>
      <c r="AC147" s="45" t="n">
        <f aca="false">AC34+AC72+AC110</f>
        <v>47262.1676717915</v>
      </c>
      <c r="AD147" s="45" t="n">
        <f aca="false">AD34+AD72+AD110</f>
        <v>71635.0824047541</v>
      </c>
      <c r="AE147" s="45" t="n">
        <f aca="false">AE34+AE72+AE110</f>
        <v>99490.6902713148</v>
      </c>
    </row>
    <row r="148" customFormat="false" ht="15" hidden="false" customHeight="false" outlineLevel="0" collapsed="false">
      <c r="A148" s="3" t="s">
        <v>489</v>
      </c>
      <c r="B148" s="23" t="s">
        <v>207</v>
      </c>
      <c r="C148" s="45" t="n">
        <f aca="false">C30+C68+C106</f>
        <v>112.985333333333</v>
      </c>
      <c r="D148" s="45" t="n">
        <f aca="false">D30+D68+D106</f>
        <v>107.336401997092</v>
      </c>
      <c r="E148" s="45" t="n">
        <f aca="false">E30+E68+E106</f>
        <v>102.813437708056</v>
      </c>
      <c r="F148" s="45" t="n">
        <f aca="false">F30+F68+F106</f>
        <v>128.456199125092</v>
      </c>
      <c r="G148" s="45" t="n">
        <f aca="false">G30+G68+G106</f>
        <v>116.100618696639</v>
      </c>
      <c r="H148" s="45" t="n">
        <f aca="false">H30+H68+H106</f>
        <v>98.1866286520226</v>
      </c>
      <c r="I148" s="45" t="n">
        <f aca="false">I30+I68+I106</f>
        <v>94.7965916131406</v>
      </c>
      <c r="J148" s="45" t="n">
        <f aca="false">J30+J68+J106</f>
        <v>94.7553048992391</v>
      </c>
      <c r="K148" s="45" t="n">
        <f aca="false">K30+K68+K106</f>
        <v>103.628300875545</v>
      </c>
      <c r="L148" s="45" t="n">
        <f aca="false">L30+L68+L106</f>
        <v>139.218985604612</v>
      </c>
      <c r="M148" s="45" t="n">
        <f aca="false">M30+M68+M106</f>
        <v>127.999446500823</v>
      </c>
      <c r="N148" s="45" t="n">
        <f aca="false">N30+N68+N106</f>
        <v>112.350680616773</v>
      </c>
      <c r="O148" s="45" t="n">
        <f aca="false">O30+O68+O106</f>
        <v>402.75620838423</v>
      </c>
      <c r="P148" s="45" t="n">
        <f aca="false">P30+P68+P106</f>
        <v>389.809617982213</v>
      </c>
      <c r="Q148" s="45" t="n">
        <f aca="false">Q30+Q68+Q106</f>
        <v>379.642791804486</v>
      </c>
      <c r="R148" s="45" t="n">
        <f aca="false">R30+R68+R106</f>
        <v>481.474961093611</v>
      </c>
      <c r="S148" s="45" t="n">
        <f aca="false">S30+S68+S106</f>
        <v>443.513406443226</v>
      </c>
      <c r="T148" s="45" t="n">
        <f aca="false">T30+T68+T106</f>
        <v>381.044049746733</v>
      </c>
      <c r="U148" s="45" t="n">
        <f aca="false">U30+U68+U106</f>
        <v>372.206720517133</v>
      </c>
      <c r="V148" s="45" t="n">
        <f aca="false">V30+V68+V106</f>
        <v>375.962165071843</v>
      </c>
      <c r="W148" s="45" t="n">
        <f aca="false">W30+W68+W106</f>
        <v>415.283842403946</v>
      </c>
      <c r="X148" s="45" t="n">
        <f aca="false">X30+X68+X106</f>
        <v>564.154434284725</v>
      </c>
      <c r="Y148" s="45" t="n">
        <f aca="false">Y30+Y68+Y106</f>
        <v>527.667351258509</v>
      </c>
      <c r="Z148" s="45" t="n">
        <f aca="false">Z30+Z68+Z106</f>
        <v>469.819478517418</v>
      </c>
      <c r="AA148" s="45" t="n">
        <f aca="false">AA30+AA68+AA106</f>
        <v>8400.42931649233</v>
      </c>
      <c r="AB148" s="45" t="n">
        <f aca="false">AB30+AB68+AB106</f>
        <v>13202.0847848726</v>
      </c>
      <c r="AC148" s="45" t="n">
        <f aca="false">AC30+AC68+AC106</f>
        <v>19117.6906132962</v>
      </c>
      <c r="AD148" s="45" t="n">
        <f aca="false">AD30+AD68+AD106</f>
        <v>24372.9147329626</v>
      </c>
      <c r="AE148" s="45" t="n">
        <f aca="false">AE30+AE68+AE106</f>
        <v>27855.6078665607</v>
      </c>
    </row>
    <row r="149" customFormat="false" ht="15" hidden="false" customHeight="false" outlineLevel="0" collapsed="false">
      <c r="A149" s="3" t="s">
        <v>490</v>
      </c>
      <c r="B149" s="23" t="s">
        <v>207</v>
      </c>
      <c r="C149" s="45" t="n">
        <f aca="false">C45+C83+C121</f>
        <v>0</v>
      </c>
      <c r="D149" s="45" t="n">
        <f aca="false">D45+D83+D121</f>
        <v>0</v>
      </c>
      <c r="E149" s="45" t="n">
        <f aca="false">E45+E83+E121</f>
        <v>0</v>
      </c>
      <c r="F149" s="45" t="n">
        <f aca="false">F45+F83+F121</f>
        <v>0</v>
      </c>
      <c r="G149" s="45" t="n">
        <f aca="false">G45+G83+G121</f>
        <v>0</v>
      </c>
      <c r="H149" s="45" t="n">
        <f aca="false">H45+H83+H121</f>
        <v>0</v>
      </c>
      <c r="I149" s="45" t="n">
        <f aca="false">I45+I83+I121</f>
        <v>0</v>
      </c>
      <c r="J149" s="45" t="n">
        <f aca="false">J45+J83+J121</f>
        <v>0</v>
      </c>
      <c r="K149" s="45" t="n">
        <f aca="false">K45+K83+K121</f>
        <v>0</v>
      </c>
      <c r="L149" s="45" t="n">
        <f aca="false">L45+L83+L121</f>
        <v>0</v>
      </c>
      <c r="M149" s="45" t="n">
        <f aca="false">M45+M83+M121</f>
        <v>0</v>
      </c>
      <c r="N149" s="45" t="n">
        <f aca="false">N45+N83+N121</f>
        <v>0</v>
      </c>
      <c r="O149" s="45" t="n">
        <f aca="false">O45+O83+O121</f>
        <v>56.201507095161</v>
      </c>
      <c r="P149" s="45" t="n">
        <f aca="false">P45+P83+P121</f>
        <v>65.9219833317113</v>
      </c>
      <c r="Q149" s="45" t="n">
        <f aca="false">Q45+Q83+Q121</f>
        <v>75.3068459014122</v>
      </c>
      <c r="R149" s="45" t="n">
        <f aca="false">R45+R83+R121</f>
        <v>84.6876210864369</v>
      </c>
      <c r="S149" s="45" t="n">
        <f aca="false">S45+S83+S121</f>
        <v>94.9468228731159</v>
      </c>
      <c r="T149" s="45" t="n">
        <f aca="false">T45+T83+T121</f>
        <v>108.729502447972</v>
      </c>
      <c r="U149" s="45" t="n">
        <f aca="false">U45+U83+U121</f>
        <v>121.401447651554</v>
      </c>
      <c r="V149" s="45" t="n">
        <f aca="false">V45+V83+V121</f>
        <v>132.524165032615</v>
      </c>
      <c r="W149" s="45" t="n">
        <f aca="false">W45+W83+W121</f>
        <v>172.397029662653</v>
      </c>
      <c r="X149" s="45" t="n">
        <f aca="false">X45+X83+X121</f>
        <v>210.988181842892</v>
      </c>
      <c r="Y149" s="45" t="n">
        <f aca="false">Y45+Y83+Y121</f>
        <v>248.572818231537</v>
      </c>
      <c r="Z149" s="45" t="n">
        <f aca="false">Z45+Z83+Z121</f>
        <v>296.238839379804</v>
      </c>
      <c r="AA149" s="45" t="n">
        <f aca="false">AA45+AA83+AA121</f>
        <v>1479.29683508865</v>
      </c>
      <c r="AB149" s="45" t="n">
        <f aca="false">AB45+AB83+AB121</f>
        <v>2786.30322879104</v>
      </c>
      <c r="AC149" s="45" t="n">
        <f aca="false">AC45+AC83+AC121</f>
        <v>4678.95459950736</v>
      </c>
      <c r="AD149" s="45" t="n">
        <f aca="false">AD45+AD83+AD121</f>
        <v>7091.87315807066</v>
      </c>
      <c r="AE149" s="45" t="n">
        <f aca="false">AE45+AE83+AE121</f>
        <v>9849.57833686016</v>
      </c>
    </row>
    <row r="150" customFormat="false" ht="15" hidden="false" customHeight="false" outlineLevel="0" collapsed="false">
      <c r="A150" s="6" t="s">
        <v>491</v>
      </c>
      <c r="B150" s="23" t="s">
        <v>207</v>
      </c>
      <c r="C150" s="45" t="n">
        <f aca="false">C40+C78+C116</f>
        <v>24.3658572106377</v>
      </c>
      <c r="D150" s="45" t="n">
        <f aca="false">D40+D78+D116</f>
        <v>70.2798421107306</v>
      </c>
      <c r="E150" s="45" t="n">
        <f aca="false">E40+E78+E116</f>
        <v>135.318442800709</v>
      </c>
      <c r="F150" s="45" t="n">
        <f aca="false">F40+F78+F116</f>
        <v>223.698606797158</v>
      </c>
      <c r="G150" s="45" t="n">
        <f aca="false">G40+G78+G116</f>
        <v>331.132068562935</v>
      </c>
      <c r="H150" s="45" t="n">
        <f aca="false">H40+H78+H116</f>
        <v>452.378683758779</v>
      </c>
      <c r="I150" s="45" t="n">
        <f aca="false">I40+I78+I116</f>
        <v>585.656202931115</v>
      </c>
      <c r="J150" s="45" t="n">
        <f aca="false">J40+J78+J116</f>
        <v>730.00679572793</v>
      </c>
      <c r="K150" s="45" t="n">
        <f aca="false">K40+K78+K116</f>
        <v>886.453164986833</v>
      </c>
      <c r="L150" s="45" t="n">
        <f aca="false">L40+L78+L116</f>
        <v>1061.73408293405</v>
      </c>
      <c r="M150" s="45" t="n">
        <f aca="false">M40+M78+M116</f>
        <v>1251.96903035295</v>
      </c>
      <c r="N150" s="45" t="n">
        <f aca="false">N40+N78+N116</f>
        <v>1452.54727924063</v>
      </c>
      <c r="O150" s="45" t="n">
        <f aca="false">O40+O78+O116</f>
        <v>1702.15225951658</v>
      </c>
      <c r="P150" s="45" t="n">
        <f aca="false">P40+P78+P116</f>
        <v>2010.60249465988</v>
      </c>
      <c r="Q150" s="45" t="n">
        <f aca="false">Q40+Q78+Q116</f>
        <v>2371.62652854453</v>
      </c>
      <c r="R150" s="45" t="n">
        <f aca="false">R40+R78+R116</f>
        <v>2801.53201832454</v>
      </c>
      <c r="S150" s="45" t="n">
        <f aca="false">S40+S78+S116</f>
        <v>3287.73372809423</v>
      </c>
      <c r="T150" s="45" t="n">
        <f aca="false">T40+T78+T116</f>
        <v>3813.54394243302</v>
      </c>
      <c r="U150" s="45" t="n">
        <f aca="false">U40+U78+U116</f>
        <v>4373.97065046887</v>
      </c>
      <c r="V150" s="45" t="n">
        <f aca="false">V40+V78+V116</f>
        <v>4966.80936331324</v>
      </c>
      <c r="W150" s="45" t="n">
        <f aca="false">W40+W78+W116</f>
        <v>5597.04385188781</v>
      </c>
      <c r="X150" s="45" t="n">
        <f aca="false">X40+X78+X116</f>
        <v>6291.11788452774</v>
      </c>
      <c r="Y150" s="45" t="n">
        <f aca="false">Y40+Y78+Y116</f>
        <v>7036.70061218333</v>
      </c>
      <c r="Z150" s="45" t="n">
        <f aca="false">Z40+Z78+Z116</f>
        <v>7817.95188429086</v>
      </c>
      <c r="AA150" s="45" t="n">
        <f aca="false">AA40+AA78+AA116</f>
        <v>25548.6925371541</v>
      </c>
      <c r="AB150" s="45" t="n">
        <f aca="false">AB40+AB78+AB116</f>
        <v>49617.6094811976</v>
      </c>
      <c r="AC150" s="45" t="n">
        <f aca="false">AC40+AC78+AC116</f>
        <v>79950.4296637671</v>
      </c>
      <c r="AD150" s="45" t="n">
        <f aca="false">AD40+AD78+AD116</f>
        <v>113565.364993544</v>
      </c>
      <c r="AE150" s="45" t="n">
        <f aca="false">AE40+AE78+AE116</f>
        <v>145717.396509327</v>
      </c>
    </row>
    <row r="151" customFormat="false" ht="15" hidden="false" customHeight="false" outlineLevel="0" collapsed="false">
      <c r="A151" s="3" t="s">
        <v>492</v>
      </c>
      <c r="B151" s="23" t="s">
        <v>207</v>
      </c>
      <c r="C151" s="45" t="n">
        <f aca="false">C41+C79+C117</f>
        <v>24.3658572106377</v>
      </c>
      <c r="D151" s="45" t="n">
        <f aca="false">D41+D79+D117</f>
        <v>70.5235006828369</v>
      </c>
      <c r="E151" s="45" t="n">
        <f aca="false">E41+E79+E117</f>
        <v>136.263133707291</v>
      </c>
      <c r="F151" s="45" t="n">
        <f aca="false">F41+F79+F117</f>
        <v>225.989494497053</v>
      </c>
      <c r="G151" s="45" t="n">
        <f aca="false">G41+G79+G117</f>
        <v>335.642603211439</v>
      </c>
      <c r="H151" s="45" t="n">
        <f aca="false">H41+H79+H117</f>
        <v>460.165542642401</v>
      </c>
      <c r="I151" s="45" t="n">
        <f aca="false">I41+I79+I117</f>
        <v>597.905012284045</v>
      </c>
      <c r="J151" s="45" t="n">
        <f aca="false">J41+J79+J117</f>
        <v>748.012799950017</v>
      </c>
      <c r="K151" s="45" t="n">
        <f aca="false">K41+K79+K117</f>
        <v>911.610479623743</v>
      </c>
      <c r="L151" s="45" t="n">
        <f aca="false">L41+L79+L117</f>
        <v>1095.5457110564</v>
      </c>
      <c r="M151" s="45" t="n">
        <f aca="false">M41+M79+M117</f>
        <v>1296.11144565703</v>
      </c>
      <c r="N151" s="45" t="n">
        <f aca="false">N41+N79+N117</f>
        <v>1508.82908063099</v>
      </c>
      <c r="O151" s="45" t="n">
        <f aca="false">O41+O79+O117</f>
        <v>1772.48306846485</v>
      </c>
      <c r="P151" s="45" t="n">
        <f aca="false">P41+P79+P117</f>
        <v>2097.36145368935</v>
      </c>
      <c r="Q151" s="45" t="n">
        <f aca="false">Q41+Q79+Q117</f>
        <v>2477.7568547712</v>
      </c>
      <c r="R151" s="45" t="n">
        <f aca="false">R41+R79+R117</f>
        <v>2930.47942289074</v>
      </c>
      <c r="S151" s="45" t="n">
        <f aca="false">S41+S79+S117</f>
        <v>3443.59613995374</v>
      </c>
      <c r="T151" s="45" t="n">
        <f aca="false">T41+T79+T117</f>
        <v>4000.93733819849</v>
      </c>
      <c r="U151" s="45" t="n">
        <f aca="false">U41+U79+U117</f>
        <v>4597.85985512937</v>
      </c>
      <c r="V151" s="45" t="n">
        <f aca="false">V41+V79+V117</f>
        <v>5232.45463344904</v>
      </c>
      <c r="W151" s="45" t="n">
        <f aca="false">W41+W79+W117</f>
        <v>5909.97870084749</v>
      </c>
      <c r="X151" s="45" t="n">
        <f aca="false">X41+X79+X117</f>
        <v>6657.20906528008</v>
      </c>
      <c r="Y151" s="45" t="n">
        <f aca="false">Y41+Y79+Y117</f>
        <v>7462.3858960336</v>
      </c>
      <c r="Z151" s="45" t="n">
        <f aca="false">Z41+Z79+Z117</f>
        <v>8310.10632523785</v>
      </c>
      <c r="AA151" s="45" t="n">
        <f aca="false">AA41+AA79+AA117</f>
        <v>26919.8579208016</v>
      </c>
      <c r="AB151" s="45" t="n">
        <f aca="false">AB41+AB79+AB117</f>
        <v>53881.3629482092</v>
      </c>
      <c r="AC151" s="45" t="n">
        <f aca="false">AC41+AC79+AC117</f>
        <v>89609.9457199556</v>
      </c>
      <c r="AD151" s="45" t="n">
        <f aca="false">AD41+AD79+AD117</f>
        <v>131510.629369433</v>
      </c>
      <c r="AE151" s="45" t="n">
        <f aca="false">AE41+AE79+AE117</f>
        <v>174777.77159115</v>
      </c>
    </row>
    <row r="152" customFormat="false" ht="15" hidden="false" customHeight="false" outlineLevel="0" collapsed="false">
      <c r="A152" s="6" t="s">
        <v>493</v>
      </c>
      <c r="B152" s="23" t="s">
        <v>207</v>
      </c>
      <c r="C152" s="54" t="n">
        <f aca="false">C37+C75+C113</f>
        <v>24.3658572106377</v>
      </c>
      <c r="D152" s="54" t="n">
        <f aca="false">D37+D75+D113</f>
        <v>46.3296166791294</v>
      </c>
      <c r="E152" s="54" t="n">
        <f aca="false">E37+E75+E113</f>
        <v>66.2508016268667</v>
      </c>
      <c r="F152" s="54" t="n">
        <f aca="false">F37+F75+F113</f>
        <v>90.7342640023843</v>
      </c>
      <c r="G152" s="54" t="n">
        <f aca="false">G37+G75+G113</f>
        <v>111.3635630562</v>
      </c>
      <c r="H152" s="54" t="n">
        <f aca="false">H37+H75+H113</f>
        <v>127.127131757442</v>
      </c>
      <c r="I152" s="54" t="n">
        <f aca="false">I37+I75+I113</f>
        <v>141.393698680269</v>
      </c>
      <c r="J152" s="54" t="n">
        <f aca="false">J37+J75+J113</f>
        <v>154.958228315677</v>
      </c>
      <c r="K152" s="54" t="n">
        <f aca="false">K37+K75+K113</f>
        <v>169.777426367308</v>
      </c>
      <c r="L152" s="54" t="n">
        <f aca="false">L37+L75+L113</f>
        <v>191.552780546312</v>
      </c>
      <c r="M152" s="54" t="n">
        <f aca="false">M37+M75+M113</f>
        <v>209.850487594961</v>
      </c>
      <c r="N152" s="54" t="n">
        <f aca="false">N37+N75+N113</f>
        <v>223.884143127082</v>
      </c>
      <c r="O152" s="54" t="n">
        <f aca="false">O37+O75+O113</f>
        <v>276.427290697368</v>
      </c>
      <c r="P152" s="54" t="n">
        <f aca="false">P37+P75+P113</f>
        <v>339.825128673349</v>
      </c>
      <c r="Q152" s="54" t="n">
        <f aca="false">Q37+Q75+Q113</f>
        <v>398.137688582314</v>
      </c>
      <c r="R152" s="54" t="n">
        <f aca="false">R37+R75+R113</f>
        <v>473.687240430915</v>
      </c>
      <c r="S152" s="54" t="n">
        <f aca="false">S37+S75+S113</f>
        <v>538.083593639454</v>
      </c>
      <c r="T152" s="54" t="n">
        <f aca="false">T37+T75+T113</f>
        <v>587.038065654105</v>
      </c>
      <c r="U152" s="54" t="n">
        <f aca="false">U37+U75+U113</f>
        <v>631.871825718094</v>
      </c>
      <c r="V152" s="54" t="n">
        <f aca="false">V37+V75+V113</f>
        <v>675.267285488038</v>
      </c>
      <c r="W152" s="54" t="n">
        <f aca="false">W37+W75+W113</f>
        <v>724.304806682135</v>
      </c>
      <c r="X152" s="54" t="n">
        <f aca="false">X37+X75+X113</f>
        <v>800.303712207944</v>
      </c>
      <c r="Y152" s="54" t="n">
        <f aca="false">Y37+Y75+Y113</f>
        <v>865.419911367897</v>
      </c>
      <c r="Z152" s="54" t="n">
        <f aca="false">Z37+Z75+Z113</f>
        <v>915.97120030379</v>
      </c>
      <c r="AA152" s="54" t="n">
        <f aca="false">AA37+AA75+AA113</f>
        <v>19607.8124595759</v>
      </c>
      <c r="AB152" s="54" t="n">
        <f aca="false">AB37+AB75+AB113</f>
        <v>30360.7929928897</v>
      </c>
      <c r="AC152" s="54" t="n">
        <f aca="false">AC37+AC75+AC113</f>
        <v>42782.2988339907</v>
      </c>
      <c r="AD152" s="54" t="n">
        <f aca="false">AD37+AD75+AD113</f>
        <v>54034.7699426158</v>
      </c>
      <c r="AE152" s="54" t="n">
        <f aca="false">AE37+AE75+AE113</f>
        <v>61676.6245704157</v>
      </c>
    </row>
    <row r="153" customFormat="false" ht="15" hidden="false" customHeight="false" outlineLevel="0" collapsed="false">
      <c r="A153" s="3" t="s">
        <v>494</v>
      </c>
      <c r="B153" s="23" t="s">
        <v>207</v>
      </c>
      <c r="C153" s="55" t="n">
        <f aca="false">C42+C80+C118</f>
        <v>3446.79416101681</v>
      </c>
      <c r="D153" s="55" t="n">
        <f aca="false">D42+D80+D118</f>
        <v>9941.78646498395</v>
      </c>
      <c r="E153" s="55" t="n">
        <f aca="false">E42+E80+E118</f>
        <v>19142.1469185884</v>
      </c>
      <c r="F153" s="55" t="n">
        <f aca="false">F42+F80+F118</f>
        <v>31644.4049175259</v>
      </c>
      <c r="G153" s="55" t="n">
        <f aca="false">G42+G80+G118</f>
        <v>46841.9424189127</v>
      </c>
      <c r="H153" s="55" t="n">
        <f aca="false">H42+H80+H118</f>
        <v>63993.4886045168</v>
      </c>
      <c r="I153" s="55" t="n">
        <f aca="false">I42+I80+I118</f>
        <v>82846.9264666356</v>
      </c>
      <c r="J153" s="55" t="n">
        <f aca="false">J42+J80+J118</f>
        <v>103266.761323673</v>
      </c>
      <c r="K153" s="55" t="n">
        <f aca="false">K42+K80+K118</f>
        <v>125397.664719037</v>
      </c>
      <c r="L153" s="55" t="n">
        <f aca="false">L42+L80+L118</f>
        <v>150192.90337185</v>
      </c>
      <c r="M153" s="55" t="n">
        <f aca="false">M42+M80+M118</f>
        <v>177103.539033728</v>
      </c>
      <c r="N153" s="55" t="n">
        <f aca="false">N42+N80+N118</f>
        <v>205477.33812138</v>
      </c>
      <c r="O153" s="55" t="n">
        <f aca="false">O42+O80+O118</f>
        <v>260290.161780343</v>
      </c>
      <c r="P153" s="55" t="n">
        <f aca="false">P42+P80+P118</f>
        <v>307457.835035048</v>
      </c>
      <c r="Q153" s="55" t="n">
        <f aca="false">Q42+Q80+Q118</f>
        <v>362665.00211487</v>
      </c>
      <c r="R153" s="55" t="n">
        <f aca="false">R42+R80+R118</f>
        <v>428405.401576476</v>
      </c>
      <c r="S153" s="55" t="n">
        <f aca="false">S42+S80+S118</f>
        <v>502754.521043482</v>
      </c>
      <c r="T153" s="55" t="n">
        <f aca="false">T42+T80+T118</f>
        <v>583160.504110397</v>
      </c>
      <c r="U153" s="55" t="n">
        <f aca="false">U42+U80+U118</f>
        <v>668859.981160768</v>
      </c>
      <c r="V153" s="55" t="n">
        <f aca="false">V42+V80+V118</f>
        <v>759515.845589568</v>
      </c>
      <c r="W153" s="55" t="n">
        <f aca="false">W42+W80+W118</f>
        <v>855890.206974381</v>
      </c>
      <c r="X153" s="55" t="n">
        <f aca="false">X42+X80+X118</f>
        <v>962026.800356863</v>
      </c>
      <c r="Y153" s="55" t="n">
        <f aca="false">Y42+Y80+Y118</f>
        <v>1076040.01375601</v>
      </c>
      <c r="Z153" s="55" t="n">
        <f aca="false">Z42+Z80+Z118</f>
        <v>1195507.59890948</v>
      </c>
      <c r="AA153" s="55" t="n">
        <f aca="false">AA42+AA80+AA118</f>
        <v>4223317.39830918</v>
      </c>
      <c r="AB153" s="55" t="n">
        <f aca="false">AB42+AB80+AB118</f>
        <v>8866384.72944046</v>
      </c>
      <c r="AC153" s="55" t="n">
        <f aca="false">AC42+AC80+AC118</f>
        <v>15443908.9157799</v>
      </c>
      <c r="AD153" s="55" t="n">
        <f aca="false">AD42+AD80+AD118</f>
        <v>23714175.2246966</v>
      </c>
      <c r="AE153" s="55" t="n">
        <f aca="false">AE42+AE80+AE118</f>
        <v>32892677.0245833</v>
      </c>
    </row>
    <row r="154" customFormat="false" ht="15" hidden="false" customHeight="false" outlineLevel="0" collapsed="false">
      <c r="A154" s="6" t="s">
        <v>495</v>
      </c>
      <c r="B154" s="23" t="s">
        <v>207</v>
      </c>
      <c r="C154" s="45" t="n">
        <f aca="false">C44+C82+C120</f>
        <v>0</v>
      </c>
      <c r="D154" s="45" t="n">
        <f aca="false">D44+D82+D120</f>
        <v>0</v>
      </c>
      <c r="E154" s="45" t="n">
        <f aca="false">E44+E82+E120</f>
        <v>0</v>
      </c>
      <c r="F154" s="45" t="n">
        <f aca="false">F44+F82+F120</f>
        <v>0</v>
      </c>
      <c r="G154" s="45" t="n">
        <f aca="false">G44+G82+G120</f>
        <v>0</v>
      </c>
      <c r="H154" s="45" t="n">
        <f aca="false">H44+H82+H120</f>
        <v>0</v>
      </c>
      <c r="I154" s="45" t="n">
        <f aca="false">I44+I82+I120</f>
        <v>0</v>
      </c>
      <c r="J154" s="45" t="n">
        <f aca="false">J44+J82+J120</f>
        <v>0</v>
      </c>
      <c r="K154" s="45" t="n">
        <f aca="false">K44+K82+K120</f>
        <v>62.1419333333333</v>
      </c>
      <c r="L154" s="45" t="n">
        <f aca="false">L44+L82+L120</f>
        <v>121.176954431734</v>
      </c>
      <c r="M154" s="45" t="n">
        <f aca="false">M44+M82+M120</f>
        <v>177.724345171164</v>
      </c>
      <c r="N154" s="45" t="n">
        <f aca="false">N44+N82+N120</f>
        <v>248.375254689965</v>
      </c>
      <c r="O154" s="45" t="n">
        <f aca="false">O44+O82+O120</f>
        <v>312.230594973117</v>
      </c>
      <c r="P154" s="45" t="n">
        <f aca="false">P44+P82+P120</f>
        <v>366.233240731729</v>
      </c>
      <c r="Q154" s="45" t="n">
        <f aca="false">Q44+Q82+Q120</f>
        <v>418.371366118957</v>
      </c>
      <c r="R154" s="45" t="n">
        <f aca="false">R44+R82+R120</f>
        <v>470.486783813538</v>
      </c>
      <c r="S154" s="45" t="n">
        <f aca="false">S44+S82+S120</f>
        <v>527.482349295088</v>
      </c>
      <c r="T154" s="45" t="n">
        <f aca="false">T44+T82+T120</f>
        <v>604.052791377625</v>
      </c>
      <c r="U154" s="45" t="n">
        <f aca="false">U44+U82+U120</f>
        <v>674.452486953078</v>
      </c>
      <c r="V154" s="45" t="n">
        <f aca="false">V44+V82+V120</f>
        <v>736.245361292303</v>
      </c>
      <c r="W154" s="45" t="n">
        <f aca="false">W44+W82+W120</f>
        <v>957.76127590363</v>
      </c>
      <c r="X154" s="45" t="n">
        <f aca="false">X44+X82+X120</f>
        <v>1172.15656579385</v>
      </c>
      <c r="Y154" s="45" t="n">
        <f aca="false">Y44+Y82+Y120</f>
        <v>1380.96010128631</v>
      </c>
      <c r="Z154" s="45" t="n">
        <f aca="false">Z44+Z82+Z120</f>
        <v>1645.7713298878</v>
      </c>
      <c r="AA154" s="45" t="n">
        <f aca="false">AA44+AA82+AA120</f>
        <v>8218.31575049253</v>
      </c>
      <c r="AB154" s="45" t="n">
        <f aca="false">AB44+AB82+AB120</f>
        <v>15479.4623821724</v>
      </c>
      <c r="AC154" s="45" t="n">
        <f aca="false">AC44+AC82+AC120</f>
        <v>25994.1922194853</v>
      </c>
      <c r="AD154" s="45" t="n">
        <f aca="false">AD44+AD82+AD120</f>
        <v>39399.2953226148</v>
      </c>
      <c r="AE154" s="45" t="n">
        <f aca="false">AE44+AE82+AE120</f>
        <v>54719.8796492231</v>
      </c>
    </row>
    <row r="155" customFormat="false" ht="15" hidden="false" customHeight="false" outlineLevel="0" collapsed="false">
      <c r="A155" s="6" t="s">
        <v>496</v>
      </c>
      <c r="B155" s="23" t="s">
        <v>207</v>
      </c>
      <c r="C155" s="55" t="n">
        <f aca="false">C35+C73+C111</f>
        <v>3423.44188995138</v>
      </c>
      <c r="D155" s="55" t="n">
        <f aca="false">D35+D73+D111</f>
        <v>6509.37725618053</v>
      </c>
      <c r="E155" s="55" t="n">
        <f aca="false">E35+E73+E111</f>
        <v>9308.32111853246</v>
      </c>
      <c r="F155" s="55" t="n">
        <f aca="false">F35+F73+F111</f>
        <v>12748.2605810613</v>
      </c>
      <c r="G155" s="55" t="n">
        <f aca="false">G35+G73+G111</f>
        <v>15646.6780276422</v>
      </c>
      <c r="H155" s="55" t="n">
        <f aca="false">H35+H73+H111</f>
        <v>17861.451953764</v>
      </c>
      <c r="I155" s="55" t="n">
        <f aca="false">I35+I73+I111</f>
        <v>19865.8914655342</v>
      </c>
      <c r="J155" s="55" t="n">
        <f aca="false">J35+J73+J111</f>
        <v>21771.6894689181</v>
      </c>
      <c r="K155" s="55" t="n">
        <f aca="false">K35+K73+K111</f>
        <v>23853.7614385961</v>
      </c>
      <c r="L155" s="55" t="n">
        <f aca="false">L35+L73+L111</f>
        <v>26913.1573358137</v>
      </c>
      <c r="M155" s="55" t="n">
        <f aca="false">M35+M73+M111</f>
        <v>29483.9372739728</v>
      </c>
      <c r="N155" s="55" t="n">
        <f aca="false">N35+N73+N111</f>
        <v>31455.6167166728</v>
      </c>
      <c r="O155" s="55" t="n">
        <f aca="false">O35+O73+O111</f>
        <v>41979.3065036847</v>
      </c>
      <c r="P155" s="55" t="n">
        <f aca="false">P35+P73+P111</f>
        <v>51603.9554431384</v>
      </c>
      <c r="Q155" s="55" t="n">
        <f aca="false">Q35+Q73+Q111</f>
        <v>60456.4708014511</v>
      </c>
      <c r="R155" s="55" t="n">
        <f aca="false">R35+R73+R111</f>
        <v>71925.8224082534</v>
      </c>
      <c r="S155" s="55" t="n">
        <f aca="false">S35+S73+S111</f>
        <v>81701.7796393282</v>
      </c>
      <c r="T155" s="55" t="n">
        <f aca="false">T35+T73+T111</f>
        <v>89133.2916837157</v>
      </c>
      <c r="U155" s="55" t="n">
        <f aca="false">U35+U73+U111</f>
        <v>95939.1394707498</v>
      </c>
      <c r="V155" s="55" t="n">
        <f aca="false">V35+V73+V111</f>
        <v>102526.560154373</v>
      </c>
      <c r="W155" s="55" t="n">
        <f aca="false">W35+W73+W111</f>
        <v>109970.439623771</v>
      </c>
      <c r="X155" s="55" t="n">
        <f aca="false">X35+X73+X111</f>
        <v>121507.248979745</v>
      </c>
      <c r="Y155" s="55" t="n">
        <f aca="false">Y35+Y73+Y111</f>
        <v>131391.763094724</v>
      </c>
      <c r="Z155" s="55" t="n">
        <f aca="false">Z35+Z73+Z111</f>
        <v>139065.050063351</v>
      </c>
      <c r="AA155" s="55" t="n">
        <f aca="false">AA35+AA73+AA111</f>
        <v>3216256.35276667</v>
      </c>
      <c r="AB155" s="55" t="n">
        <f aca="false">AB35+AB73+AB111</f>
        <v>5382047.57193508</v>
      </c>
      <c r="AC155" s="55" t="n">
        <f aca="false">AC35+AC73+AC111</f>
        <v>8196066.8511873</v>
      </c>
      <c r="AD155" s="55" t="n">
        <f aca="false">AD35+AD73+AD111</f>
        <v>11187260.1434705</v>
      </c>
      <c r="AE155" s="55" t="n">
        <f aca="false">AE35+AE73+AE111</f>
        <v>13797973.9595642</v>
      </c>
    </row>
    <row r="156" customFormat="false" ht="15" hidden="false" customHeight="false" outlineLevel="0" collapsed="false">
      <c r="A156" s="6" t="s">
        <v>497</v>
      </c>
      <c r="B156" s="23" t="s">
        <v>207</v>
      </c>
      <c r="C156" s="55" t="n">
        <f aca="false">C36+C74+C112</f>
        <v>259.185555766578</v>
      </c>
      <c r="D156" s="55" t="n">
        <f aca="false">D36+D74+D112</f>
        <v>492.827363883777</v>
      </c>
      <c r="E156" s="55" t="n">
        <f aca="false">E36+E74+E112</f>
        <v>704.74832789766</v>
      </c>
      <c r="F156" s="55" t="n">
        <f aca="false">F36+F74+F112</f>
        <v>965.211019532286</v>
      </c>
      <c r="G156" s="55" t="n">
        <f aca="false">G36+G74+G112</f>
        <v>1184.68194538835</v>
      </c>
      <c r="H156" s="55" t="n">
        <f aca="false">H36+H74+H112</f>
        <v>1352.39554021905</v>
      </c>
      <c r="I156" s="55" t="n">
        <f aca="false">I36+I74+I112</f>
        <v>1504.18843398216</v>
      </c>
      <c r="J156" s="55" t="n">
        <f aca="false">J36+J74+J112</f>
        <v>1648.51773339642</v>
      </c>
      <c r="K156" s="55" t="n">
        <f aca="false">K36+K74+K112</f>
        <v>1806.20219817035</v>
      </c>
      <c r="L156" s="55" t="n">
        <f aca="false">L36+L74+L112</f>
        <v>2037.90811799951</v>
      </c>
      <c r="M156" s="55" t="n">
        <f aca="false">M36+M74+M112</f>
        <v>2232.62243635443</v>
      </c>
      <c r="N156" s="55" t="n">
        <f aca="false">N36+N74+N112</f>
        <v>2381.97344128345</v>
      </c>
      <c r="O156" s="55" t="n">
        <f aca="false">O36+O74+O112</f>
        <v>3183.68509063639</v>
      </c>
      <c r="P156" s="55" t="n">
        <f aca="false">P36+P74+P112</f>
        <v>3917.04391656659</v>
      </c>
      <c r="Q156" s="55" t="n">
        <f aca="false">Q36+Q74+Q112</f>
        <v>4591.69805866026</v>
      </c>
      <c r="R156" s="55" t="n">
        <f aca="false">R36+R74+R112</f>
        <v>5465.71445465248</v>
      </c>
      <c r="S156" s="55" t="n">
        <f aca="false">S36+S74+S112</f>
        <v>6210.90349435678</v>
      </c>
      <c r="T156" s="55" t="n">
        <f aca="false">T36+T74+T112</f>
        <v>6777.62636564784</v>
      </c>
      <c r="U156" s="55" t="n">
        <f aca="false">U36+U74+U112</f>
        <v>7296.76709115726</v>
      </c>
      <c r="V156" s="55" t="n">
        <f aca="false">V36+V74+V112</f>
        <v>7799.34385271187</v>
      </c>
      <c r="W156" s="55" t="n">
        <f aca="false">W36+W74+W112</f>
        <v>8367.26796431337</v>
      </c>
      <c r="X156" s="55" t="n">
        <f aca="false">X36+X74+X112</f>
        <v>9247.24250395499</v>
      </c>
      <c r="Y156" s="55" t="n">
        <f aca="false">Y36+Y74+Y112</f>
        <v>10001.4838747171</v>
      </c>
      <c r="Z156" s="55" t="n">
        <f aca="false">Z36+Z74+Z112</f>
        <v>10587.3215082021</v>
      </c>
      <c r="AA156" s="55" t="n">
        <f aca="false">AA36+AA74+AA112</f>
        <v>246776.591240867</v>
      </c>
      <c r="AB156" s="55" t="n">
        <f aca="false">AB36+AB74+AB112</f>
        <v>414458.341637642</v>
      </c>
      <c r="AC156" s="55" t="n">
        <f aca="false">AC36+AC74+AC112</f>
        <v>633572.873750963</v>
      </c>
      <c r="AD156" s="55" t="n">
        <f aca="false">AD36+AD74+AD112</f>
        <v>868035.549329495</v>
      </c>
      <c r="AE156" s="55" t="n">
        <f aca="false">AE36+AE74+AE112</f>
        <v>1076816.34772687</v>
      </c>
    </row>
    <row r="157" customFormat="false" ht="15" hidden="false" customHeight="false" outlineLevel="0" collapsed="false">
      <c r="A157" s="6" t="s">
        <v>498</v>
      </c>
      <c r="B157" s="23" t="s">
        <v>207</v>
      </c>
      <c r="C157" s="55" t="n">
        <f aca="false">C50+C88+C126</f>
        <v>0</v>
      </c>
      <c r="D157" s="55" t="n">
        <f aca="false">D50+D88+D126</f>
        <v>0</v>
      </c>
      <c r="E157" s="55" t="n">
        <f aca="false">E50+E88+E126</f>
        <v>0</v>
      </c>
      <c r="F157" s="55" t="n">
        <f aca="false">F50+F88+F126</f>
        <v>0</v>
      </c>
      <c r="G157" s="55" t="n">
        <f aca="false">G50+G88+G126</f>
        <v>0</v>
      </c>
      <c r="H157" s="55" t="n">
        <f aca="false">H50+H88+H126</f>
        <v>0</v>
      </c>
      <c r="I157" s="55" t="n">
        <f aca="false">I50+I88+I126</f>
        <v>0</v>
      </c>
      <c r="J157" s="55" t="n">
        <f aca="false">J50+J88+J126</f>
        <v>0</v>
      </c>
      <c r="K157" s="55" t="n">
        <f aca="false">K50+K88+K126</f>
        <v>0</v>
      </c>
      <c r="L157" s="55" t="n">
        <f aca="false">L50+L88+L126</f>
        <v>0</v>
      </c>
      <c r="M157" s="55" t="n">
        <f aca="false">M50+M88+M126</f>
        <v>0</v>
      </c>
      <c r="N157" s="55" t="n">
        <f aca="false">N50+N88+N126</f>
        <v>0</v>
      </c>
      <c r="O157" s="55" t="n">
        <f aca="false">O50+O88+O126</f>
        <v>529.621955310957</v>
      </c>
      <c r="P157" s="55" t="n">
        <f aca="false">P50+P88+P126</f>
        <v>546.272943212677</v>
      </c>
      <c r="Q157" s="55" t="n">
        <f aca="false">Q50+Q88+Q126</f>
        <v>617.154827926123</v>
      </c>
      <c r="R157" s="55" t="n">
        <f aca="false">R50+R88+R126</f>
        <v>689.877345994029</v>
      </c>
      <c r="S157" s="55" t="n">
        <f aca="false">S50+S88+S126</f>
        <v>814.764033250717</v>
      </c>
      <c r="T157" s="55" t="n">
        <f aca="false">T50+T88+T126</f>
        <v>940.965279786356</v>
      </c>
      <c r="U157" s="55" t="n">
        <f aca="false">U50+U88+U126</f>
        <v>1035.44759136875</v>
      </c>
      <c r="V157" s="55" t="n">
        <f aca="false">V50+V88+V126</f>
        <v>1226.597715487</v>
      </c>
      <c r="W157" s="55" t="n">
        <f aca="false">W50+W88+W126</f>
        <v>1844.92300632151</v>
      </c>
      <c r="X157" s="55" t="n">
        <f aca="false">X50+X88+X126</f>
        <v>2330.41873472712</v>
      </c>
      <c r="Y157" s="55" t="n">
        <f aca="false">Y50+Y88+Y126</f>
        <v>2912.96066447774</v>
      </c>
      <c r="Z157" s="55" t="n">
        <f aca="false">Z50+Z88+Z126</f>
        <v>3944.17556343908</v>
      </c>
      <c r="AA157" s="55" t="n">
        <f aca="false">AA50+AA88+AA126</f>
        <v>376446.546444254</v>
      </c>
      <c r="AB157" s="55" t="n">
        <f aca="false">AB50+AB88+AB126</f>
        <v>889401.159214707</v>
      </c>
      <c r="AC157" s="55" t="n">
        <f aca="false">AC50+AC88+AC126</f>
        <v>1708824.35394891</v>
      </c>
      <c r="AD157" s="55" t="n">
        <f aca="false">AD50+AD88+AD126</f>
        <v>2914930.29949058</v>
      </c>
      <c r="AE157" s="55" t="n">
        <f aca="false">AE50+AE88+AE126</f>
        <v>4557395.28503812</v>
      </c>
    </row>
    <row r="158" customFormat="false" ht="15" hidden="false" customHeight="false" outlineLevel="0" collapsed="false">
      <c r="A158" s="6" t="s">
        <v>499</v>
      </c>
      <c r="B158" s="23" t="s">
        <v>114</v>
      </c>
      <c r="C158" s="57" t="n">
        <f aca="false">C151*C21</f>
        <v>3446.79416101681</v>
      </c>
      <c r="D158" s="57" t="n">
        <f aca="false">D151*D21</f>
        <v>9976.25440659411</v>
      </c>
      <c r="E158" s="57" t="n">
        <f aca="false">E151*E21</f>
        <v>19275.7828942334</v>
      </c>
      <c r="F158" s="57" t="n">
        <f aca="false">F151*F21</f>
        <v>31968.4738915531</v>
      </c>
      <c r="G158" s="57" t="n">
        <f aca="false">G151*G21</f>
        <v>47480.0026502901</v>
      </c>
      <c r="H158" s="57" t="n">
        <f aca="false">H151*H21</f>
        <v>65095.017662194</v>
      </c>
      <c r="I158" s="57" t="n">
        <f aca="false">I151*I21</f>
        <v>84579.6430377011</v>
      </c>
      <c r="J158" s="57" t="n">
        <f aca="false">J151*J21</f>
        <v>105813.890680929</v>
      </c>
      <c r="K158" s="57" t="n">
        <f aca="false">K151*K21</f>
        <v>128956.418447575</v>
      </c>
      <c r="L158" s="57" t="n">
        <f aca="false">L151*L21</f>
        <v>154975.896286038</v>
      </c>
      <c r="M158" s="57" t="n">
        <f aca="false">M151*M21</f>
        <v>183347.925102643</v>
      </c>
      <c r="N158" s="57" t="n">
        <f aca="false">N151*N21</f>
        <v>213438.96174606</v>
      </c>
      <c r="O158" s="57" t="n">
        <f aca="false">O151*O21</f>
        <v>271045.026709106</v>
      </c>
      <c r="P158" s="57" t="n">
        <f aca="false">P151*P21</f>
        <v>320724.864089245</v>
      </c>
      <c r="Q158" s="57" t="n">
        <f aca="false">Q151*Q21</f>
        <v>378894.266934684</v>
      </c>
      <c r="R158" s="57" t="n">
        <f aca="false">R151*R21</f>
        <v>448123.814314256</v>
      </c>
      <c r="S158" s="57" t="n">
        <f aca="false">S151*S21</f>
        <v>526588.729864443</v>
      </c>
      <c r="T158" s="57" t="n">
        <f aca="false">T151*T21</f>
        <v>611816.376126345</v>
      </c>
      <c r="U158" s="57" t="n">
        <f aca="false">U151*U21</f>
        <v>703096.728770236</v>
      </c>
      <c r="V158" s="57" t="n">
        <f aca="false">V151*V21</f>
        <v>800137.858075965</v>
      </c>
      <c r="W158" s="57" t="n">
        <f aca="false">W151*W21</f>
        <v>903743.659570659</v>
      </c>
      <c r="X158" s="57" t="n">
        <f aca="false">X151*X21</f>
        <v>1018008.82671886</v>
      </c>
      <c r="Y158" s="57" t="n">
        <f aca="false">Y151*Y21</f>
        <v>1141135.06667</v>
      </c>
      <c r="Z158" s="57" t="n">
        <f aca="false">Z151*Z21</f>
        <v>1270766.99967037</v>
      </c>
      <c r="AA158" s="57" t="n">
        <f aca="false">AA151*AA21</f>
        <v>4449977.39714459</v>
      </c>
      <c r="AB158" s="57" t="n">
        <f aca="false">AB151*AB21</f>
        <v>9628293.23380596</v>
      </c>
      <c r="AC158" s="57" t="n">
        <f aca="false">AC151*AC21</f>
        <v>17309823.667829</v>
      </c>
      <c r="AD158" s="57" t="n">
        <f aca="false">AD151*AD21</f>
        <v>27461419.3240532</v>
      </c>
      <c r="AE158" s="57" t="n">
        <f aca="false">AE151*AE21</f>
        <v>39452453.3771514</v>
      </c>
    </row>
    <row r="159" customFormat="false" ht="15" hidden="false" customHeight="false" outlineLevel="0" collapsed="false">
      <c r="A159" s="9" t="s">
        <v>500</v>
      </c>
    </row>
    <row r="160" customFormat="false" ht="15" hidden="false" customHeight="false" outlineLevel="0" collapsed="false">
      <c r="A160" s="6" t="s">
        <v>501</v>
      </c>
      <c r="B160" s="23" t="s">
        <v>114</v>
      </c>
      <c r="C160" s="55" t="n">
        <f aca="false">C151*Assumptions!$B$6</f>
        <v>3446.79416101681</v>
      </c>
      <c r="D160" s="55" t="n">
        <f aca="false">D151*Assumptions!$B$6</f>
        <v>9976.25440659411</v>
      </c>
      <c r="E160" s="55" t="n">
        <f aca="false">E151*Assumptions!$B$6</f>
        <v>19275.7828942334</v>
      </c>
      <c r="F160" s="55" t="n">
        <f aca="false">F151*Assumptions!$B$6</f>
        <v>31968.4738915531</v>
      </c>
      <c r="G160" s="55" t="n">
        <f aca="false">G151*Assumptions!$B$6</f>
        <v>47480.0026502901</v>
      </c>
      <c r="H160" s="55" t="n">
        <f aca="false">H151*Assumptions!$B$6</f>
        <v>65095.017662194</v>
      </c>
      <c r="I160" s="55" t="n">
        <f aca="false">I151*Assumptions!$B$6</f>
        <v>84579.6430377011</v>
      </c>
      <c r="J160" s="55" t="n">
        <f aca="false">J151*Assumptions!$B$6</f>
        <v>105813.890680929</v>
      </c>
      <c r="K160" s="55" t="n">
        <f aca="false">K151*Assumptions!$B$6</f>
        <v>128956.418447575</v>
      </c>
      <c r="L160" s="55" t="n">
        <f aca="false">L151*Assumptions!$B$6</f>
        <v>154975.896286038</v>
      </c>
      <c r="M160" s="55" t="n">
        <f aca="false">M151*Assumptions!$B$6</f>
        <v>183347.925102643</v>
      </c>
      <c r="N160" s="55" t="n">
        <f aca="false">N151*Assumptions!$B$6</f>
        <v>213438.96174606</v>
      </c>
      <c r="O160" s="55" t="n">
        <f aca="false">O151*Assumptions!$B$6</f>
        <v>250735.454865038</v>
      </c>
      <c r="P160" s="55" t="n">
        <f aca="false">P151*Assumptions!$B$6</f>
        <v>296692.751238895</v>
      </c>
      <c r="Q160" s="55" t="n">
        <f aca="false">Q151*Assumptions!$B$6</f>
        <v>350503.484675933</v>
      </c>
      <c r="R160" s="55" t="n">
        <f aca="false">R151*Assumptions!$B$6</f>
        <v>414545.619162124</v>
      </c>
      <c r="S160" s="55" t="n">
        <f aca="false">S151*Assumptions!$B$6</f>
        <v>487131.109957857</v>
      </c>
      <c r="T160" s="55" t="n">
        <f aca="false">T151*Assumptions!$B$6</f>
        <v>565972.595861558</v>
      </c>
      <c r="U160" s="55" t="n">
        <f aca="false">U151*Assumptions!$B$6</f>
        <v>650413.255106601</v>
      </c>
      <c r="V160" s="55" t="n">
        <f aca="false">V151*Assumptions!$B$6</f>
        <v>740183.032447702</v>
      </c>
      <c r="W160" s="55" t="n">
        <f aca="false">W151*Assumptions!$B$6</f>
        <v>836025.587021886</v>
      </c>
      <c r="X160" s="55" t="n">
        <f aca="false">X151*Assumptions!$B$6</f>
        <v>941728.79437452</v>
      </c>
      <c r="Y160" s="55" t="n">
        <f aca="false">Y151*Assumptions!$B$6</f>
        <v>1055629.10885291</v>
      </c>
      <c r="Z160" s="55" t="n">
        <f aca="false">Z151*Assumptions!$B$6</f>
        <v>1175547.64076815</v>
      </c>
      <c r="AA160" s="55" t="n">
        <f aca="false">AA151*Assumptions!$B$6</f>
        <v>3808083.1014766</v>
      </c>
      <c r="AB160" s="55" t="n">
        <f aca="false">AB151*Assumptions!$B$6</f>
        <v>7622057.60265368</v>
      </c>
      <c r="AC160" s="55" t="n">
        <f aca="false">AC151*Assumptions!$B$6</f>
        <v>12676222.9215449</v>
      </c>
      <c r="AD160" s="55" t="n">
        <f aca="false">AD151*Assumptions!$B$6</f>
        <v>18603493.6306</v>
      </c>
      <c r="AE160" s="55" t="n">
        <f aca="false">AE151*Assumptions!$B$6</f>
        <v>24724063.5692841</v>
      </c>
    </row>
    <row r="161" customFormat="false" ht="15" hidden="false" customHeight="false" outlineLevel="0" collapsed="false">
      <c r="A161" s="6" t="s">
        <v>502</v>
      </c>
      <c r="B161" s="23" t="s">
        <v>114</v>
      </c>
      <c r="C161" s="55" t="n">
        <f aca="false">C158-C160</f>
        <v>0</v>
      </c>
      <c r="D161" s="55" t="n">
        <f aca="false">D158-D160</f>
        <v>0</v>
      </c>
      <c r="E161" s="55" t="n">
        <f aca="false">E158-E160</f>
        <v>0</v>
      </c>
      <c r="F161" s="55" t="n">
        <f aca="false">F158-F160</f>
        <v>0</v>
      </c>
      <c r="G161" s="55" t="n">
        <f aca="false">G158-G160</f>
        <v>0</v>
      </c>
      <c r="H161" s="55" t="n">
        <f aca="false">H158-H160</f>
        <v>0</v>
      </c>
      <c r="I161" s="55" t="n">
        <f aca="false">I158-I160</f>
        <v>0</v>
      </c>
      <c r="J161" s="55" t="n">
        <f aca="false">J158-J160</f>
        <v>0</v>
      </c>
      <c r="K161" s="55" t="n">
        <f aca="false">K158-K160</f>
        <v>0</v>
      </c>
      <c r="L161" s="55" t="n">
        <f aca="false">L158-L160</f>
        <v>0</v>
      </c>
      <c r="M161" s="55" t="n">
        <f aca="false">M158-M160</f>
        <v>0</v>
      </c>
      <c r="N161" s="55" t="n">
        <f aca="false">N158-N160</f>
        <v>0</v>
      </c>
      <c r="O161" s="55" t="n">
        <f aca="false">O158-O160</f>
        <v>20309.5718440681</v>
      </c>
      <c r="P161" s="55" t="n">
        <f aca="false">P158-P160</f>
        <v>24032.1128503505</v>
      </c>
      <c r="Q161" s="55" t="n">
        <f aca="false">Q158-Q160</f>
        <v>28390.7822587506</v>
      </c>
      <c r="R161" s="55" t="n">
        <f aca="false">R158-R160</f>
        <v>33578.195152132</v>
      </c>
      <c r="S161" s="55" t="n">
        <f aca="false">S158-S160</f>
        <v>39457.6199065864</v>
      </c>
      <c r="T161" s="55" t="n">
        <f aca="false">T158-T160</f>
        <v>45843.7802647862</v>
      </c>
      <c r="U161" s="55" t="n">
        <f aca="false">U158-U160</f>
        <v>52683.4736636346</v>
      </c>
      <c r="V161" s="55" t="n">
        <f aca="false">V158-V160</f>
        <v>59954.8256282639</v>
      </c>
      <c r="W161" s="55" t="n">
        <f aca="false">W158-W160</f>
        <v>67718.0725487727</v>
      </c>
      <c r="X161" s="55" t="n">
        <f aca="false">X158-X160</f>
        <v>76280.032344336</v>
      </c>
      <c r="Y161" s="55" t="n">
        <f aca="false">Y158-Y160</f>
        <v>85505.9578170858</v>
      </c>
      <c r="Z161" s="55" t="n">
        <f aca="false">Z158-Z160</f>
        <v>95219.3589022197</v>
      </c>
      <c r="AA161" s="55" t="n">
        <f aca="false">AA158-AA160</f>
        <v>641894.295667996</v>
      </c>
      <c r="AB161" s="55" t="n">
        <f aca="false">AB158-AB160</f>
        <v>2006235.63115229</v>
      </c>
      <c r="AC161" s="55" t="n">
        <f aca="false">AC158-AC160</f>
        <v>4633600.74628412</v>
      </c>
      <c r="AD161" s="55" t="n">
        <f aca="false">AD158-AD160</f>
        <v>8857925.69345317</v>
      </c>
      <c r="AE161" s="55" t="n">
        <f aca="false">AE158-AE160</f>
        <v>14728389.8078673</v>
      </c>
    </row>
    <row r="162" customFormat="false" ht="15" hidden="false" customHeight="false" outlineLevel="0" collapsed="false">
      <c r="A162" s="9" t="s">
        <v>503</v>
      </c>
    </row>
    <row r="163" customFormat="false" ht="15" hidden="false" customHeight="false" outlineLevel="0" collapsed="false">
      <c r="A163" s="6" t="s">
        <v>504</v>
      </c>
      <c r="B163" s="23" t="s">
        <v>505</v>
      </c>
      <c r="C163" s="59" t="n">
        <f aca="false">C145+C146-C147</f>
        <v>0</v>
      </c>
      <c r="D163" s="59" t="n">
        <f aca="false">D145+D146-D147</f>
        <v>0</v>
      </c>
      <c r="E163" s="59" t="n">
        <f aca="false">E145+E146-E147</f>
        <v>0</v>
      </c>
      <c r="F163" s="59" t="n">
        <f aca="false">F145+F146-F147</f>
        <v>0</v>
      </c>
      <c r="G163" s="59" t="n">
        <f aca="false">G145+G146-G147</f>
        <v>0</v>
      </c>
      <c r="H163" s="59" t="n">
        <f aca="false">H145+H146-H147</f>
        <v>0</v>
      </c>
      <c r="I163" s="59" t="n">
        <f aca="false">I145+I146-I147</f>
        <v>0</v>
      </c>
      <c r="J163" s="59" t="n">
        <f aca="false">J145+J146-J147</f>
        <v>0</v>
      </c>
      <c r="K163" s="59" t="n">
        <f aca="false">K145+K146-K147</f>
        <v>0</v>
      </c>
      <c r="L163" s="59" t="n">
        <f aca="false">L145+L146-L147</f>
        <v>0</v>
      </c>
      <c r="M163" s="59" t="n">
        <f aca="false">M145+M146-M147</f>
        <v>0</v>
      </c>
      <c r="N163" s="59" t="n">
        <f aca="false">N145+N146-N147</f>
        <v>0</v>
      </c>
      <c r="O163" s="59" t="n">
        <f aca="false">O145+O146-O147</f>
        <v>0</v>
      </c>
      <c r="P163" s="59" t="n">
        <f aca="false">P145+P146-P147</f>
        <v>0</v>
      </c>
      <c r="Q163" s="59" t="n">
        <f aca="false">Q145+Q146-Q147</f>
        <v>0</v>
      </c>
      <c r="R163" s="59" t="n">
        <f aca="false">R145+R146-R147</f>
        <v>0</v>
      </c>
      <c r="S163" s="59" t="n">
        <f aca="false">S145+S146-S147</f>
        <v>0</v>
      </c>
      <c r="T163" s="59" t="n">
        <f aca="false">T145+T146-T147</f>
        <v>0</v>
      </c>
      <c r="U163" s="59" t="n">
        <f aca="false">U145+U146-U147</f>
        <v>0</v>
      </c>
      <c r="V163" s="59" t="n">
        <f aca="false">V145+V146-V147</f>
        <v>0</v>
      </c>
      <c r="W163" s="59" t="n">
        <f aca="false">W145+W146-W147</f>
        <v>0</v>
      </c>
      <c r="X163" s="59" t="n">
        <f aca="false">X145+X146-X147</f>
        <v>0</v>
      </c>
      <c r="Y163" s="59" t="n">
        <f aca="false">Y145+Y146-Y147</f>
        <v>0</v>
      </c>
      <c r="Z163" s="59" t="n">
        <f aca="false">Z145+Z146-Z147</f>
        <v>0</v>
      </c>
      <c r="AA163" s="59" t="n">
        <f aca="false">AA145+AA146-AA147</f>
        <v>0</v>
      </c>
      <c r="AB163" s="59" t="n">
        <f aca="false">AB145+AB146-AB147</f>
        <v>0</v>
      </c>
      <c r="AC163" s="59" t="n">
        <f aca="false">AC145+AC146-AC147</f>
        <v>0</v>
      </c>
      <c r="AD163" s="59" t="n">
        <f aca="false">AD145+AD146-AD147</f>
        <v>0</v>
      </c>
      <c r="AE163" s="59" t="n">
        <f aca="false">AE145+AE146-AE147</f>
        <v>0</v>
      </c>
    </row>
    <row r="164" customFormat="false" ht="15" hidden="false" customHeight="false" outlineLevel="0" collapsed="false">
      <c r="A164" s="6" t="s">
        <v>506</v>
      </c>
      <c r="B164" s="23" t="s">
        <v>47</v>
      </c>
      <c r="C164" s="59" t="n">
        <f aca="false">C151-C150</f>
        <v>0</v>
      </c>
      <c r="D164" s="59" t="n">
        <f aca="false">D151-D150</f>
        <v>0.243658572106369</v>
      </c>
      <c r="E164" s="59" t="n">
        <f aca="false">E151-E150</f>
        <v>0.9446909065814</v>
      </c>
      <c r="F164" s="59" t="n">
        <f aca="false">F151-F150</f>
        <v>2.29088769989517</v>
      </c>
      <c r="G164" s="59" t="n">
        <f aca="false">G151-G150</f>
        <v>4.51053464850418</v>
      </c>
      <c r="H164" s="59" t="n">
        <f aca="false">H151-H150</f>
        <v>7.78685888362236</v>
      </c>
      <c r="I164" s="59" t="n">
        <f aca="false">I151-I150</f>
        <v>12.24880935293</v>
      </c>
      <c r="J164" s="59" t="n">
        <f aca="false">J151-J150</f>
        <v>18.0060042220867</v>
      </c>
      <c r="K164" s="59" t="n">
        <f aca="false">K151-K150</f>
        <v>25.1573146369095</v>
      </c>
      <c r="L164" s="59" t="n">
        <f aca="false">L151-L150</f>
        <v>33.8116281223506</v>
      </c>
      <c r="M164" s="59" t="n">
        <f aca="false">M151-M150</f>
        <v>44.1424153040775</v>
      </c>
      <c r="N164" s="59" t="n">
        <f aca="false">N151-N150</f>
        <v>56.2818013903598</v>
      </c>
      <c r="O164" s="59" t="n">
        <f aca="false">O151-O150</f>
        <v>70.3308089482759</v>
      </c>
      <c r="P164" s="59" t="n">
        <f aca="false">P151-P150</f>
        <v>86.7589590294638</v>
      </c>
      <c r="Q164" s="59" t="n">
        <f aca="false">Q151-Q150</f>
        <v>106.130326226666</v>
      </c>
      <c r="R164" s="59" t="n">
        <f aca="false">R151-R150</f>
        <v>128.947404566202</v>
      </c>
      <c r="S164" s="59" t="n">
        <f aca="false">S151-S150</f>
        <v>155.862411859518</v>
      </c>
      <c r="T164" s="59" t="n">
        <f aca="false">T151-T150</f>
        <v>187.393395765472</v>
      </c>
      <c r="U164" s="59" t="n">
        <f aca="false">U151-U150</f>
        <v>223.889204660504</v>
      </c>
      <c r="V164" s="59" t="n">
        <f aca="false">V151-V150</f>
        <v>265.645270135803</v>
      </c>
      <c r="W164" s="59" t="n">
        <f aca="false">W151-W150</f>
        <v>312.934848959681</v>
      </c>
      <c r="X164" s="59" t="n">
        <f aca="false">X151-X150</f>
        <v>366.091180752343</v>
      </c>
      <c r="Y164" s="59" t="n">
        <f aca="false">Y151-Y150</f>
        <v>425.685283850264</v>
      </c>
      <c r="Z164" s="59" t="n">
        <f aca="false">Z151-Z150</f>
        <v>492.154440946986</v>
      </c>
      <c r="AA164" s="59" t="n">
        <f aca="false">AA151-AA150</f>
        <v>1371.1653836475</v>
      </c>
      <c r="AB164" s="59" t="n">
        <f aca="false">AB151-AB150</f>
        <v>4263.75346701163</v>
      </c>
      <c r="AC164" s="59" t="n">
        <f aca="false">AC151-AC150</f>
        <v>9659.51605618856</v>
      </c>
      <c r="AD164" s="59" t="n">
        <f aca="false">AD151-AD150</f>
        <v>17945.264375889</v>
      </c>
      <c r="AE164" s="59" t="n">
        <f aca="false">AE151-AE150</f>
        <v>29060.3750818234</v>
      </c>
    </row>
    <row r="165" customFormat="false" ht="15" hidden="false" customHeight="false" outlineLevel="0" collapsed="false">
      <c r="A165" s="6" t="s">
        <v>507</v>
      </c>
      <c r="B165" s="23" t="s">
        <v>114</v>
      </c>
      <c r="C165" s="55" t="n">
        <f aca="false">IF(C145=0,0,C153/C145)</f>
        <v>31.2760211840274</v>
      </c>
      <c r="D165" s="55" t="n">
        <f aca="false">IF(D145=0,0,D153/D145)</f>
        <v>47.4445364892633</v>
      </c>
      <c r="E165" s="55" t="n">
        <f aca="false">IF(E145=0,0,E153/E145)</f>
        <v>63.8825961209945</v>
      </c>
      <c r="F165" s="55" t="n">
        <f aca="false">IF(F145=0,0,F153/F145)</f>
        <v>77.1101749173903</v>
      </c>
      <c r="G165" s="55" t="n">
        <f aca="false">IF(G145=0,0,G153/G145)</f>
        <v>92.9995303815837</v>
      </c>
      <c r="H165" s="55" t="n">
        <f aca="false">IF(H145=0,0,H153/H145)</f>
        <v>111.298442743516</v>
      </c>
      <c r="I165" s="55" t="n">
        <f aca="false">IF(I145=0,0,I153/I145)</f>
        <v>129.5508966768</v>
      </c>
      <c r="J165" s="55" t="n">
        <f aca="false">IF(J145=0,0,J153/J145)</f>
        <v>147.347424886456</v>
      </c>
      <c r="K165" s="55" t="n">
        <f aca="false">IF(K145=0,0,K153/K145)</f>
        <v>163.308557064315</v>
      </c>
      <c r="L165" s="55" t="n">
        <f aca="false">IF(L145=0,0,L153/L145)</f>
        <v>173.366049249545</v>
      </c>
      <c r="M165" s="55" t="n">
        <f aca="false">IF(M145=0,0,M153/M145)</f>
        <v>186.60522921359</v>
      </c>
      <c r="N165" s="55" t="n">
        <f aca="false">IF(N145=0,0,N153/N145)</f>
        <v>202.93187461576</v>
      </c>
      <c r="O165" s="55" t="n">
        <f aca="false">IF(O145=0,0,O153/O145)</f>
        <v>191.92859894288</v>
      </c>
      <c r="P165" s="55" t="n">
        <f aca="false">IF(P145=0,0,P153/P145)</f>
        <v>184.052211949189</v>
      </c>
      <c r="Q165" s="55" t="n">
        <f aca="false">IF(Q145=0,0,Q153/Q145)</f>
        <v>185.069914677207</v>
      </c>
      <c r="R165" s="55" t="n">
        <f aca="false">IF(R145=0,0,R153/R145)</f>
        <v>183.549471478233</v>
      </c>
      <c r="S165" s="55" t="n">
        <f aca="false">IF(S145=0,0,S153/S145)</f>
        <v>189.491543790084</v>
      </c>
      <c r="T165" s="55" t="n">
        <f aca="false">IF(T145=0,0,T153/T145)</f>
        <v>201.374246385342</v>
      </c>
      <c r="U165" s="55" t="n">
        <f aca="false">IF(U145=0,0,U153/U145)</f>
        <v>214.500892318151</v>
      </c>
      <c r="V165" s="55" t="n">
        <f aca="false">IF(V145=0,0,V153/V145)</f>
        <v>227.851181712702</v>
      </c>
      <c r="W165" s="55" t="n">
        <f aca="false">IF(W145=0,0,W153/W145)</f>
        <v>239.312583503622</v>
      </c>
      <c r="X165" s="55" t="n">
        <f aca="false">IF(X145=0,0,X153/X145)</f>
        <v>243.371449672455</v>
      </c>
      <c r="Y165" s="55" t="n">
        <f aca="false">IF(Y145=0,0,Y153/Y145)</f>
        <v>251.67624037837</v>
      </c>
      <c r="Z165" s="55" t="n">
        <f aca="false">IF(Z145=0,0,Z153/Z145)</f>
        <v>264.144020445837</v>
      </c>
      <c r="AA165" s="55" t="n">
        <f aca="false">IF(AA145=0,0,AA153/AA145)</f>
        <v>484.369384762062</v>
      </c>
      <c r="AB165" s="55" t="n">
        <f aca="false">IF(AB145=0,0,AB153/AB145)</f>
        <v>607.848989605787</v>
      </c>
      <c r="AC165" s="55" t="n">
        <f aca="false">IF(AC145=0,0,AC153/AC145)</f>
        <v>695.651840819068</v>
      </c>
      <c r="AD165" s="55" t="n">
        <f aca="false">IF(AD145=0,0,AD153/AD145)</f>
        <v>783.013425807031</v>
      </c>
      <c r="AE165" s="55" t="n">
        <f aca="false">IF(AE145=0,0,AE153/AE145)</f>
        <v>881.476027639949</v>
      </c>
    </row>
    <row r="166" customFormat="false" ht="15" hidden="false" customHeight="false" outlineLevel="0" collapsed="false">
      <c r="A166" s="6" t="s">
        <v>508</v>
      </c>
      <c r="B166" s="23" t="s">
        <v>114</v>
      </c>
      <c r="C166" s="55" t="n">
        <f aca="false">C45*C46+C83*C84+C121*C122</f>
        <v>0</v>
      </c>
      <c r="D166" s="55" t="n">
        <f aca="false">D45*D46+D83*D84+D121*D122</f>
        <v>0</v>
      </c>
      <c r="E166" s="55" t="n">
        <f aca="false">E45*E46+E83*E84+E121*E122</f>
        <v>0</v>
      </c>
      <c r="F166" s="55" t="n">
        <f aca="false">F45*F46+F83*F84+F121*F122</f>
        <v>0</v>
      </c>
      <c r="G166" s="55" t="n">
        <f aca="false">G45*G46+G83*G84+G121*G122</f>
        <v>0</v>
      </c>
      <c r="H166" s="55" t="n">
        <f aca="false">H45*H46+H83*H84+H121*H122</f>
        <v>0</v>
      </c>
      <c r="I166" s="55" t="n">
        <f aca="false">I45*I46+I83*I84+I121*I122</f>
        <v>0</v>
      </c>
      <c r="J166" s="55" t="n">
        <f aca="false">J45*J46+J83*J84+J121*J122</f>
        <v>0</v>
      </c>
      <c r="K166" s="55" t="n">
        <f aca="false">K45*K46+K83*K84+K121*K122</f>
        <v>0</v>
      </c>
      <c r="L166" s="55" t="n">
        <f aca="false">L45*L46+L83*L84+L121*L122</f>
        <v>0</v>
      </c>
      <c r="M166" s="55" t="n">
        <f aca="false">M45*M46+M83*M84+M121*M122</f>
        <v>0</v>
      </c>
      <c r="N166" s="55" t="n">
        <f aca="false">N45*N46+N83*N84+N121*N122</f>
        <v>0</v>
      </c>
      <c r="O166" s="55" t="n">
        <f aca="false">O45*O46+O83*O84+O121*O122</f>
        <v>5502.56576946449</v>
      </c>
      <c r="P166" s="55" t="n">
        <f aca="false">P45*P46+P83*P84+P121*P122</f>
        <v>6243.11935100202</v>
      </c>
      <c r="Q166" s="55" t="n">
        <f aca="false">Q45*Q46+Q83*Q84+Q121*Q122</f>
        <v>7197.14085045041</v>
      </c>
      <c r="R166" s="55" t="n">
        <f aca="false">R45*R46+R83*R84+R121*R122</f>
        <v>8045.21686290413</v>
      </c>
      <c r="S166" s="55" t="n">
        <f aca="false">S45*S46+S83*S84+S121*S122</f>
        <v>9311.58895143676</v>
      </c>
      <c r="T166" s="55" t="n">
        <f aca="false">T45*T46+T83*T84+T121*T122</f>
        <v>11319.883065099</v>
      </c>
      <c r="U166" s="55" t="n">
        <f aca="false">U45*U46+U83*U84+U121*U122</f>
        <v>13447.3713164773</v>
      </c>
      <c r="V166" s="55" t="n">
        <f aca="false">V45*V46+V83*V84+V121*V122</f>
        <v>15575.8440061841</v>
      </c>
      <c r="W166" s="55" t="n">
        <f aca="false">W45*W46+W83*W84+W121*W122</f>
        <v>21084.8343579601</v>
      </c>
      <c r="X166" s="55" t="n">
        <f aca="false">X45*X46+X83*X84+X121*X122</f>
        <v>26111.1342826568</v>
      </c>
      <c r="Y166" s="55" t="n">
        <f aca="false">Y45*Y46+Y83*Y84+Y121*Y122</f>
        <v>31705.6943072407</v>
      </c>
      <c r="Z166" s="55" t="n">
        <f aca="false">Z45*Z46+Z83*Z84+Z121*Z122</f>
        <v>39540.6071522715</v>
      </c>
      <c r="AA166" s="55" t="n">
        <f aca="false">AA45*AA46+AA83*AA84+AA121*AA122</f>
        <v>358520.520423099</v>
      </c>
      <c r="AB166" s="55" t="n">
        <f aca="false">AB45*AB46+AB83*AB84+AB121*AB122</f>
        <v>847048.723061626</v>
      </c>
      <c r="AC166" s="55" t="n">
        <f aca="false">AC45*AC46+AC83*AC84+AC121*AC122</f>
        <v>1627451.76566563</v>
      </c>
      <c r="AD166" s="55" t="n">
        <f aca="false">AD45*AD46+AD83*AD84+AD121*AD122</f>
        <v>2776124.09475294</v>
      </c>
      <c r="AE166" s="55" t="n">
        <f aca="false">AE45*AE46+AE83*AE84+AE121*AE122</f>
        <v>4340376.46194107</v>
      </c>
    </row>
    <row r="167" customFormat="false" ht="15" hidden="false" customHeight="false" outlineLevel="0" collapsed="false">
      <c r="A167" s="6" t="s">
        <v>509</v>
      </c>
      <c r="B167" s="23" t="s">
        <v>436</v>
      </c>
      <c r="C167" s="60" t="n">
        <f aca="false">IF(C166=0,0,((C50+C88+C126)/C7)/C166)</f>
        <v>0</v>
      </c>
      <c r="D167" s="60" t="n">
        <f aca="false">IF(D166=0,0,((D50+D88+D126)/D7)/D166)</f>
        <v>0</v>
      </c>
      <c r="E167" s="60" t="n">
        <f aca="false">IF(E166=0,0,((E50+E88+E126)/E7)/E166)</f>
        <v>0</v>
      </c>
      <c r="F167" s="60" t="n">
        <f aca="false">IF(F166=0,0,((F50+F88+F126)/F7)/F166)</f>
        <v>0</v>
      </c>
      <c r="G167" s="60" t="n">
        <f aca="false">IF(G166=0,0,((G50+G88+G126)/G7)/G166)</f>
        <v>0</v>
      </c>
      <c r="H167" s="60" t="n">
        <f aca="false">IF(H166=0,0,((H50+H88+H126)/H7)/H166)</f>
        <v>0</v>
      </c>
      <c r="I167" s="60" t="n">
        <f aca="false">IF(I166=0,0,((I50+I88+I126)/I7)/I166)</f>
        <v>0</v>
      </c>
      <c r="J167" s="60" t="n">
        <f aca="false">IF(J166=0,0,((J50+J88+J126)/J7)/J166)</f>
        <v>0</v>
      </c>
      <c r="K167" s="60" t="n">
        <f aca="false">IF(K166=0,0,((K50+K88+K126)/K7)/K166)</f>
        <v>0</v>
      </c>
      <c r="L167" s="60" t="n">
        <f aca="false">IF(L166=0,0,((L50+L88+L126)/L7)/L166)</f>
        <v>0</v>
      </c>
      <c r="M167" s="60" t="n">
        <f aca="false">IF(M166=0,0,((M50+M88+M126)/M7)/M166)</f>
        <v>0</v>
      </c>
      <c r="N167" s="60" t="n">
        <f aca="false">IF(N166=0,0,((N50+N88+N126)/N7)/N166)</f>
        <v>0</v>
      </c>
      <c r="O167" s="60" t="n">
        <f aca="false">IF(O166=0,0,((O50+O88+O126)/O7)/O166)</f>
        <v>0.09625</v>
      </c>
      <c r="P167" s="60" t="n">
        <f aca="false">IF(P166=0,0,((P50+P88+P126)/P7)/P166)</f>
        <v>0.0875</v>
      </c>
      <c r="Q167" s="60" t="n">
        <f aca="false">IF(Q166=0,0,((Q50+Q88+Q126)/Q7)/Q166)</f>
        <v>0.08575</v>
      </c>
      <c r="R167" s="60" t="n">
        <f aca="false">IF(R166=0,0,((R50+R88+R126)/R7)/R166)</f>
        <v>0.08575</v>
      </c>
      <c r="S167" s="60" t="n">
        <f aca="false">IF(S166=0,0,((S50+S88+S126)/S7)/S166)</f>
        <v>0.0875</v>
      </c>
      <c r="T167" s="60" t="n">
        <f aca="false">IF(T166=0,0,((T50+T88+T126)/T7)/T166)</f>
        <v>0.083125</v>
      </c>
      <c r="U167" s="60" t="n">
        <f aca="false">IF(U166=0,0,((U50+U88+U126)/U7)/U166)</f>
        <v>0.077</v>
      </c>
      <c r="V167" s="60" t="n">
        <f aca="false">IF(V166=0,0,((V50+V88+V126)/V7)/V166)</f>
        <v>0.07875</v>
      </c>
      <c r="W167" s="60" t="n">
        <f aca="false">IF(W166=0,0,((W50+W88+W126)/W7)/W166)</f>
        <v>0.0875</v>
      </c>
      <c r="X167" s="60" t="n">
        <f aca="false">IF(X166=0,0,((X50+X88+X126)/X7)/X166)</f>
        <v>0.08925</v>
      </c>
      <c r="Y167" s="60" t="n">
        <f aca="false">IF(Y166=0,0,((Y50+Y88+Y126)/Y7)/Y166)</f>
        <v>0.091875</v>
      </c>
      <c r="Z167" s="60" t="n">
        <f aca="false">IF(Z166=0,0,((Z50+Z88+Z126)/Z7)/Z166)</f>
        <v>0.09975</v>
      </c>
      <c r="AA167" s="60" t="n">
        <f aca="false">IF(AA166=0,0,((AA50+AA88+AA126)/AA7)/AA166)</f>
        <v>0.0875</v>
      </c>
      <c r="AB167" s="60" t="n">
        <f aca="false">IF(AB166=0,0,((AB50+AB88+AB126)/AB7)/AB166)</f>
        <v>0.0875</v>
      </c>
      <c r="AC167" s="60" t="n">
        <f aca="false">IF(AC166=0,0,((AC50+AC88+AC126)/AC7)/AC166)</f>
        <v>0.0875</v>
      </c>
      <c r="AD167" s="60" t="n">
        <f aca="false">IF(AD166=0,0,((AD50+AD88+AD126)/AD7)/AD166)</f>
        <v>0.0875</v>
      </c>
      <c r="AE167" s="60" t="n">
        <f aca="false">IF(AE166=0,0,((AE50+AE88+AE126)/AE7)/AE166)</f>
        <v>0.0875</v>
      </c>
    </row>
    <row r="169" customFormat="false" ht="15" hidden="false" customHeight="false" outlineLevel="0" collapsed="false">
      <c r="A169" s="6" t="s">
        <v>117</v>
      </c>
      <c r="B169" s="23" t="s">
        <v>114</v>
      </c>
      <c r="C169" s="55" t="n">
        <f aca="false">C53+C91+C129</f>
        <v>171.172094497569</v>
      </c>
      <c r="D169" s="55" t="n">
        <f aca="false">D53+D91+D129</f>
        <v>325.468862809026</v>
      </c>
      <c r="E169" s="55" t="n">
        <f aca="false">E53+E91+E129</f>
        <v>465.416055926623</v>
      </c>
      <c r="F169" s="55" t="n">
        <f aca="false">F53+F91+F129</f>
        <v>637.413029053067</v>
      </c>
      <c r="G169" s="55" t="n">
        <f aca="false">G53+G91+G129</f>
        <v>782.333901382109</v>
      </c>
      <c r="H169" s="55" t="n">
        <f aca="false">H53+H91+H129</f>
        <v>893.0725976882</v>
      </c>
      <c r="I169" s="55" t="n">
        <f aca="false">I53+I91+I129</f>
        <v>993.294573276711</v>
      </c>
      <c r="J169" s="55" t="n">
        <f aca="false">J53+J91+J129</f>
        <v>1088.5844734459</v>
      </c>
      <c r="K169" s="55" t="n">
        <f aca="false">K53+K91+K129</f>
        <v>1192.68807192981</v>
      </c>
      <c r="L169" s="55" t="n">
        <f aca="false">L53+L91+L129</f>
        <v>1345.65786679069</v>
      </c>
      <c r="M169" s="55" t="n">
        <f aca="false">M53+M91+M129</f>
        <v>1474.19686369864</v>
      </c>
      <c r="N169" s="55" t="n">
        <f aca="false">N53+N91+N129</f>
        <v>1572.78083583364</v>
      </c>
      <c r="O169" s="55" t="n">
        <f aca="false">O53+O91+O129</f>
        <v>2098.96532518424</v>
      </c>
      <c r="P169" s="55" t="n">
        <f aca="false">P53+P91+P129</f>
        <v>2580.19777215692</v>
      </c>
      <c r="Q169" s="55" t="n">
        <f aca="false">Q53+Q91+Q129</f>
        <v>3022.82354007256</v>
      </c>
      <c r="R169" s="55" t="n">
        <f aca="false">R53+R91+R129</f>
        <v>3596.29112041267</v>
      </c>
      <c r="S169" s="55" t="n">
        <f aca="false">S53+S91+S129</f>
        <v>4085.08898196641</v>
      </c>
      <c r="T169" s="55" t="n">
        <f aca="false">T53+T91+T129</f>
        <v>4456.66458418578</v>
      </c>
      <c r="U169" s="55" t="n">
        <f aca="false">U53+U91+U129</f>
        <v>4796.95697353749</v>
      </c>
      <c r="V169" s="55" t="n">
        <f aca="false">V53+V91+V129</f>
        <v>5126.32800771864</v>
      </c>
      <c r="W169" s="55" t="n">
        <f aca="false">W53+W91+W129</f>
        <v>5498.52198118857</v>
      </c>
      <c r="X169" s="55" t="n">
        <f aca="false">X53+X91+X129</f>
        <v>6075.36244898726</v>
      </c>
      <c r="Y169" s="55" t="n">
        <f aca="false">Y53+Y91+Y129</f>
        <v>6569.58815473619</v>
      </c>
      <c r="Z169" s="55" t="n">
        <f aca="false">Z53+Z91+Z129</f>
        <v>6953.25250316755</v>
      </c>
      <c r="AA169" s="55" t="n">
        <f aca="false">AA53+AA91+AA129</f>
        <v>160812.817638333</v>
      </c>
      <c r="AB169" s="55" t="n">
        <f aca="false">AB53+AB91+AB129</f>
        <v>269102.378596754</v>
      </c>
      <c r="AC169" s="55" t="n">
        <f aca="false">AC53+AC91+AC129</f>
        <v>409803.342559365</v>
      </c>
      <c r="AD169" s="55" t="n">
        <f aca="false">AD53+AD91+AD129</f>
        <v>559363.007173527</v>
      </c>
      <c r="AE169" s="55" t="n">
        <f aca="false">AE53+AE91+AE129</f>
        <v>689898.697978208</v>
      </c>
    </row>
    <row r="170" customFormat="false" ht="15" hidden="false" customHeight="false" outlineLevel="0" collapsed="false">
      <c r="A170" s="6" t="s">
        <v>120</v>
      </c>
      <c r="B170" s="23" t="s">
        <v>114</v>
      </c>
      <c r="C170" s="55" t="n">
        <f aca="false">C54+C92+C130</f>
        <v>12.9592777883289</v>
      </c>
      <c r="D170" s="55" t="n">
        <f aca="false">D54+D92+D130</f>
        <v>24.6413681941888</v>
      </c>
      <c r="E170" s="55" t="n">
        <f aca="false">E54+E92+E130</f>
        <v>35.237416394883</v>
      </c>
      <c r="F170" s="55" t="n">
        <f aca="false">F54+F92+F130</f>
        <v>48.2605509766143</v>
      </c>
      <c r="G170" s="55" t="n">
        <f aca="false">G54+G92+G130</f>
        <v>59.2340972694176</v>
      </c>
      <c r="H170" s="55" t="n">
        <f aca="false">H54+H92+H130</f>
        <v>67.6197770109523</v>
      </c>
      <c r="I170" s="55" t="n">
        <f aca="false">I54+I92+I130</f>
        <v>75.2094216991079</v>
      </c>
      <c r="J170" s="55" t="n">
        <f aca="false">J54+J92+J130</f>
        <v>82.4258866698209</v>
      </c>
      <c r="K170" s="55" t="n">
        <f aca="false">K54+K92+K130</f>
        <v>90.3101099085178</v>
      </c>
      <c r="L170" s="55" t="n">
        <f aca="false">L54+L92+L130</f>
        <v>101.895405899976</v>
      </c>
      <c r="M170" s="55" t="n">
        <f aca="false">M54+M92+M130</f>
        <v>111.631121817721</v>
      </c>
      <c r="N170" s="55" t="n">
        <f aca="false">N54+N92+N130</f>
        <v>119.098672064172</v>
      </c>
      <c r="O170" s="55" t="n">
        <f aca="false">O54+O92+O130</f>
        <v>159.18425453182</v>
      </c>
      <c r="P170" s="55" t="n">
        <f aca="false">P54+P92+P130</f>
        <v>195.85219582833</v>
      </c>
      <c r="Q170" s="55" t="n">
        <f aca="false">Q54+Q92+Q130</f>
        <v>229.584902933013</v>
      </c>
      <c r="R170" s="55" t="n">
        <f aca="false">R54+R92+R130</f>
        <v>273.285722732624</v>
      </c>
      <c r="S170" s="55" t="n">
        <f aca="false">S54+S92+S130</f>
        <v>310.545174717839</v>
      </c>
      <c r="T170" s="55" t="n">
        <f aca="false">T54+T92+T130</f>
        <v>338.881318282392</v>
      </c>
      <c r="U170" s="55" t="n">
        <f aca="false">U54+U92+U130</f>
        <v>364.838354557863</v>
      </c>
      <c r="V170" s="55" t="n">
        <f aca="false">V54+V92+V130</f>
        <v>389.967192635593</v>
      </c>
      <c r="W170" s="55" t="n">
        <f aca="false">W54+W92+W130</f>
        <v>418.363398215669</v>
      </c>
      <c r="X170" s="55" t="n">
        <f aca="false">X54+X92+X130</f>
        <v>462.362125197749</v>
      </c>
      <c r="Y170" s="55" t="n">
        <f aca="false">Y54+Y92+Y130</f>
        <v>500.074193735856</v>
      </c>
      <c r="Z170" s="55" t="n">
        <f aca="false">Z54+Z92+Z130</f>
        <v>529.366075410107</v>
      </c>
      <c r="AA170" s="55" t="n">
        <f aca="false">AA54+AA92+AA130</f>
        <v>12338.8295620433</v>
      </c>
      <c r="AB170" s="55" t="n">
        <f aca="false">AB54+AB92+AB130</f>
        <v>20722.9170818821</v>
      </c>
      <c r="AC170" s="55" t="n">
        <f aca="false">AC54+AC92+AC130</f>
        <v>31678.6436875481</v>
      </c>
      <c r="AD170" s="55" t="n">
        <f aca="false">AD54+AD92+AD130</f>
        <v>43401.7774664748</v>
      </c>
      <c r="AE170" s="55" t="n">
        <f aca="false">AE54+AE92+AE130</f>
        <v>53840.8173863433</v>
      </c>
    </row>
    <row r="171" customFormat="false" ht="15" hidden="false" customHeight="false" outlineLevel="0" collapsed="false">
      <c r="A171" s="6" t="s">
        <v>126</v>
      </c>
      <c r="B171" s="23" t="s">
        <v>114</v>
      </c>
      <c r="C171" s="55" t="n">
        <f aca="false">C55+C93+C131</f>
        <v>0</v>
      </c>
      <c r="D171" s="55" t="n">
        <f aca="false">D55+D93+D131</f>
        <v>0</v>
      </c>
      <c r="E171" s="55" t="n">
        <f aca="false">E55+E93+E131</f>
        <v>0</v>
      </c>
      <c r="F171" s="55" t="n">
        <f aca="false">F55+F93+F131</f>
        <v>0</v>
      </c>
      <c r="G171" s="55" t="n">
        <f aca="false">G55+G93+G131</f>
        <v>0</v>
      </c>
      <c r="H171" s="55" t="n">
        <f aca="false">H55+H93+H131</f>
        <v>0</v>
      </c>
      <c r="I171" s="55" t="n">
        <f aca="false">I55+I93+I131</f>
        <v>0</v>
      </c>
      <c r="J171" s="55" t="n">
        <f aca="false">J55+J93+J131</f>
        <v>0</v>
      </c>
      <c r="K171" s="55" t="n">
        <f aca="false">K55+K93+K131</f>
        <v>0</v>
      </c>
      <c r="L171" s="55" t="n">
        <f aca="false">L55+L93+L131</f>
        <v>0</v>
      </c>
      <c r="M171" s="55" t="n">
        <f aca="false">M55+M93+M131</f>
        <v>0</v>
      </c>
      <c r="N171" s="55" t="n">
        <f aca="false">N55+N93+N131</f>
        <v>0</v>
      </c>
      <c r="O171" s="55" t="n">
        <f aca="false">O55+O93+O131</f>
        <v>2.66929465476722</v>
      </c>
      <c r="P171" s="55" t="n">
        <f aca="false">P55+P93+P131</f>
        <v>2.75321563379189</v>
      </c>
      <c r="Q171" s="55" t="n">
        <f aca="false">Q55+Q93+Q131</f>
        <v>3.11046033274766</v>
      </c>
      <c r="R171" s="55" t="n">
        <f aca="false">R55+R93+R131</f>
        <v>3.47698182380991</v>
      </c>
      <c r="S171" s="55" t="n">
        <f aca="false">S55+S93+S131</f>
        <v>4.10641072758361</v>
      </c>
      <c r="T171" s="55" t="n">
        <f aca="false">T55+T93+T131</f>
        <v>4.74246501012323</v>
      </c>
      <c r="U171" s="55" t="n">
        <f aca="false">U55+U93+U131</f>
        <v>5.2186558604985</v>
      </c>
      <c r="V171" s="55" t="n">
        <f aca="false">V55+V93+V131</f>
        <v>6.18205248605448</v>
      </c>
      <c r="W171" s="55" t="n">
        <f aca="false">W55+W93+W131</f>
        <v>9.29841195186039</v>
      </c>
      <c r="X171" s="55" t="n">
        <f aca="false">X55+X93+X131</f>
        <v>11.7453104230247</v>
      </c>
      <c r="Y171" s="55" t="n">
        <f aca="false">Y55+Y93+Y131</f>
        <v>14.6813217489678</v>
      </c>
      <c r="Z171" s="55" t="n">
        <f aca="false">Z55+Z93+Z131</f>
        <v>19.878644839733</v>
      </c>
      <c r="AA171" s="55" t="n">
        <f aca="false">AA55+AA93+AA131</f>
        <v>1897.29059407904</v>
      </c>
      <c r="AB171" s="55" t="n">
        <f aca="false">AB55+AB93+AB131</f>
        <v>4482.58184244213</v>
      </c>
      <c r="AC171" s="55" t="n">
        <f aca="false">AC55+AC93+AC131</f>
        <v>8612.47474390253</v>
      </c>
      <c r="AD171" s="55" t="n">
        <f aca="false">AD55+AD93+AD131</f>
        <v>14691.2487094325</v>
      </c>
      <c r="AE171" s="55" t="n">
        <f aca="false">AE55+AE93+AE131</f>
        <v>22969.2722365921</v>
      </c>
    </row>
    <row r="172" customFormat="false" ht="15" hidden="false" customHeight="false" outlineLevel="0" collapsed="false">
      <c r="A172" s="6" t="s">
        <v>124</v>
      </c>
      <c r="B172" s="23" t="s">
        <v>114</v>
      </c>
      <c r="C172" s="55" t="n">
        <f aca="false">C56+C94+C132</f>
        <v>0</v>
      </c>
      <c r="D172" s="55" t="n">
        <f aca="false">D56+D94+D132</f>
        <v>0</v>
      </c>
      <c r="E172" s="55" t="n">
        <f aca="false">E56+E94+E132</f>
        <v>0</v>
      </c>
      <c r="F172" s="55" t="n">
        <f aca="false">F56+F94+F132</f>
        <v>0</v>
      </c>
      <c r="G172" s="55" t="n">
        <f aca="false">G56+G94+G132</f>
        <v>0</v>
      </c>
      <c r="H172" s="55" t="n">
        <f aca="false">H56+H94+H132</f>
        <v>0</v>
      </c>
      <c r="I172" s="55" t="n">
        <f aca="false">I56+I94+I132</f>
        <v>1278.98653875503</v>
      </c>
      <c r="J172" s="55" t="n">
        <f aca="false">J56+J94+J132</f>
        <v>1401.67717763984</v>
      </c>
      <c r="K172" s="55" t="n">
        <f aca="false">K56+K94+K132</f>
        <v>1535.71456356267</v>
      </c>
      <c r="L172" s="55" t="n">
        <f aca="false">L56+L94+L132</f>
        <v>1732.66800532162</v>
      </c>
      <c r="M172" s="55" t="n">
        <f aca="false">M56+M94+M132</f>
        <v>1898.16265900045</v>
      </c>
      <c r="N172" s="55" t="n">
        <f aca="false">N56+N94+N132</f>
        <v>2025.08687716446</v>
      </c>
      <c r="O172" s="55" t="n">
        <f aca="false">O56+O94+O132</f>
        <v>2712.36452737101</v>
      </c>
      <c r="P172" s="55" t="n">
        <f aca="false">P56+P94+P132</f>
        <v>3340.98494963948</v>
      </c>
      <c r="Q172" s="55" t="n">
        <f aca="false">Q56+Q94+Q132</f>
        <v>3919.22158442033</v>
      </c>
      <c r="R172" s="55" t="n">
        <f aca="false">R56+R94+R132</f>
        <v>4668.01018958292</v>
      </c>
      <c r="S172" s="55" t="n">
        <f aca="false">S56+S94+S132</f>
        <v>5306.35310671623</v>
      </c>
      <c r="T172" s="55" t="n">
        <f aca="false">T56+T94+T132</f>
        <v>5791.80818379807</v>
      </c>
      <c r="U172" s="55" t="n">
        <f aca="false">U56+U94+U132</f>
        <v>6236.43075730151</v>
      </c>
      <c r="V172" s="55" t="n">
        <f aca="false">V56+V94+V132</f>
        <v>6666.77117827938</v>
      </c>
      <c r="W172" s="55" t="n">
        <f aca="false">W56+W94+W132</f>
        <v>7152.90599803688</v>
      </c>
      <c r="X172" s="55" t="n">
        <f aca="false">X56+X94+X132</f>
        <v>7905.83120289269</v>
      </c>
      <c r="Y172" s="55" t="n">
        <f aca="false">Y56+Y94+Y132</f>
        <v>8550.98607749617</v>
      </c>
      <c r="Z172" s="55" t="n">
        <f aca="false">Z56+Z94+Z132</f>
        <v>9051.93762775045</v>
      </c>
      <c r="AA172" s="55" t="n">
        <f aca="false">AA56+AA94+AA132</f>
        <v>209260.991194172</v>
      </c>
      <c r="AB172" s="55" t="n">
        <f aca="false">AB56+AB94+AB132</f>
        <v>350075.820056188</v>
      </c>
      <c r="AC172" s="55" t="n">
        <f aca="false">AC56+AC94+AC132</f>
        <v>532815.112718319</v>
      </c>
      <c r="AD172" s="55" t="n">
        <f aca="false">AD56+AD94+AD132</f>
        <v>726858.808079976</v>
      </c>
      <c r="AE172" s="55" t="n">
        <f aca="false">AE56+AE94+AE132</f>
        <v>895570.865045069</v>
      </c>
    </row>
    <row r="173" customFormat="false" ht="15" hidden="false" customHeight="false" outlineLevel="0" collapsed="false">
      <c r="A173" s="6" t="s">
        <v>128</v>
      </c>
      <c r="B173" s="23" t="s">
        <v>114</v>
      </c>
      <c r="C173" s="55" t="n">
        <f aca="false">C57+C95+C133</f>
        <v>0</v>
      </c>
      <c r="D173" s="55" t="n">
        <f aca="false">D57+D95+D133</f>
        <v>0</v>
      </c>
      <c r="E173" s="55" t="n">
        <f aca="false">E57+E95+E133</f>
        <v>0</v>
      </c>
      <c r="F173" s="55" t="n">
        <f aca="false">F57+F95+F133</f>
        <v>0</v>
      </c>
      <c r="G173" s="55" t="n">
        <f aca="false">G57+G95+G133</f>
        <v>0</v>
      </c>
      <c r="H173" s="55" t="n">
        <f aca="false">H57+H95+H133</f>
        <v>0</v>
      </c>
      <c r="I173" s="55" t="n">
        <f aca="false">I57+I95+I133</f>
        <v>0</v>
      </c>
      <c r="J173" s="55" t="n">
        <f aca="false">J57+J95+J133</f>
        <v>0</v>
      </c>
      <c r="K173" s="55" t="n">
        <f aca="false">K57+K95+K133</f>
        <v>0</v>
      </c>
      <c r="L173" s="55" t="n">
        <f aca="false">L57+L95+L133</f>
        <v>0</v>
      </c>
      <c r="M173" s="55" t="n">
        <f aca="false">M57+M95+M133</f>
        <v>0</v>
      </c>
      <c r="N173" s="55" t="n">
        <f aca="false">N57+N95+N133</f>
        <v>0</v>
      </c>
      <c r="O173" s="55" t="n">
        <f aca="false">O57+O95+O133</f>
        <v>191.586750583436</v>
      </c>
      <c r="P173" s="55" t="n">
        <f aca="false">P57+P95+P133</f>
        <v>224.338474976264</v>
      </c>
      <c r="Q173" s="55" t="n">
        <f aca="false">Q57+Q95+Q133</f>
        <v>256.240665640211</v>
      </c>
      <c r="R173" s="55" t="n">
        <f aca="false">R57+R95+R133</f>
        <v>288.374600167855</v>
      </c>
      <c r="S173" s="55" t="n">
        <f aca="false">S57+S95+S133</f>
        <v>323.813709910921</v>
      </c>
      <c r="T173" s="55" t="n">
        <f aca="false">T57+T95+T133</f>
        <v>374.245673643184</v>
      </c>
      <c r="U173" s="55" t="n">
        <f aca="false">U57+U95+U133</f>
        <v>418.605172064436</v>
      </c>
      <c r="V173" s="55" t="n">
        <f aca="false">V57+V95+V133</f>
        <v>457.106423128504</v>
      </c>
      <c r="W173" s="55" t="n">
        <f aca="false">W57+W95+W133</f>
        <v>590.712975489038</v>
      </c>
      <c r="X173" s="55" t="n">
        <f aca="false">X57+X95+X133</f>
        <v>725.78286147052</v>
      </c>
      <c r="Y173" s="55" t="n">
        <f aca="false">Y57+Y95+Y133</f>
        <v>855.277263365812</v>
      </c>
      <c r="Z173" s="55" t="n">
        <f aca="false">Z57+Z95+Z133</f>
        <v>1017.12046652749</v>
      </c>
      <c r="AA173" s="55" t="n">
        <f aca="false">AA57+AA95+AA133</f>
        <v>62215.0744400224</v>
      </c>
      <c r="AB173" s="55" t="n">
        <f aca="false">AB57+AB95+AB133</f>
        <v>118410.489675431</v>
      </c>
      <c r="AC173" s="55" t="n">
        <f aca="false">AC57+AC95+AC133</f>
        <v>200307.051539335</v>
      </c>
      <c r="AD173" s="55" t="n">
        <f aca="false">AD57+AD95+AD133</f>
        <v>305813.742431434</v>
      </c>
      <c r="AE173" s="55" t="n">
        <f aca="false">AE57+AE95+AE133</f>
        <v>428191.799630292</v>
      </c>
    </row>
    <row r="174" customFormat="false" ht="15" hidden="false" customHeight="false" outlineLevel="0" collapsed="false">
      <c r="A174" s="6" t="s">
        <v>130</v>
      </c>
      <c r="B174" s="23" t="s">
        <v>114</v>
      </c>
      <c r="C174" s="55" t="n">
        <f aca="false">C59+C97+C135</f>
        <v>0</v>
      </c>
      <c r="D174" s="55" t="n">
        <f aca="false">D59+D97+D135</f>
        <v>0</v>
      </c>
      <c r="E174" s="55" t="n">
        <f aca="false">E59+E97+E135</f>
        <v>0</v>
      </c>
      <c r="F174" s="55" t="n">
        <f aca="false">F59+F97+F135</f>
        <v>0</v>
      </c>
      <c r="G174" s="55" t="n">
        <f aca="false">G59+G97+G135</f>
        <v>0</v>
      </c>
      <c r="H174" s="55" t="n">
        <f aca="false">H59+H97+H135</f>
        <v>0</v>
      </c>
      <c r="I174" s="55" t="n">
        <f aca="false">I59+I97+I135</f>
        <v>0</v>
      </c>
      <c r="J174" s="55" t="n">
        <f aca="false">J59+J97+J135</f>
        <v>0</v>
      </c>
      <c r="K174" s="55" t="n">
        <f aca="false">K59+K97+K135</f>
        <v>0</v>
      </c>
      <c r="L174" s="55" t="n">
        <f aca="false">L59+L97+L135</f>
        <v>0</v>
      </c>
      <c r="M174" s="55" t="n">
        <f aca="false">M59+M97+M135</f>
        <v>0</v>
      </c>
      <c r="N174" s="55" t="n">
        <f aca="false">N59+N97+N135</f>
        <v>0</v>
      </c>
      <c r="O174" s="55" t="n">
        <f aca="false">O59+O97+O135</f>
        <v>2.74440467752041</v>
      </c>
      <c r="P174" s="55" t="n">
        <f aca="false">P59+P97+P135</f>
        <v>3.11375577631226</v>
      </c>
      <c r="Q174" s="55" t="n">
        <f aca="false">Q59+Q97+Q135</f>
        <v>3.58957399916214</v>
      </c>
      <c r="R174" s="55" t="n">
        <f aca="false">R59+R97+R135</f>
        <v>4.01255191037344</v>
      </c>
      <c r="S174" s="55" t="n">
        <f aca="false">S59+S97+S135</f>
        <v>4.64415498952909</v>
      </c>
      <c r="T174" s="55" t="n">
        <f aca="false">T59+T97+T135</f>
        <v>5.64579167871814</v>
      </c>
      <c r="U174" s="55" t="n">
        <f aca="false">U59+U97+U135</f>
        <v>6.70687644409304</v>
      </c>
      <c r="V174" s="55" t="n">
        <f aca="false">V59+V97+V135</f>
        <v>7.76845219808434</v>
      </c>
      <c r="W174" s="55" t="n">
        <f aca="false">W59+W97+W135</f>
        <v>10.5160611360326</v>
      </c>
      <c r="X174" s="55" t="n">
        <f aca="false">X59+X97+X135</f>
        <v>13.0229282234751</v>
      </c>
      <c r="Y174" s="55" t="n">
        <f aca="false">Y59+Y97+Y135</f>
        <v>15.8132150357363</v>
      </c>
      <c r="Z174" s="55" t="n">
        <f aca="false">Z59+Z97+Z135</f>
        <v>19.7208778171954</v>
      </c>
      <c r="AA174" s="55" t="n">
        <f aca="false">AA59+AA97+AA135</f>
        <v>2145.74531473225</v>
      </c>
      <c r="AB174" s="55" t="n">
        <f aca="false">AB59+AB97+AB135</f>
        <v>5069.58660752383</v>
      </c>
      <c r="AC174" s="55" t="n">
        <f aca="false">AC59+AC97+AC135</f>
        <v>9740.29881750881</v>
      </c>
      <c r="AD174" s="55" t="n">
        <f aca="false">AD59+AD97+AD135</f>
        <v>16615.1027070963</v>
      </c>
      <c r="AE174" s="55" t="n">
        <f aca="false">AE59+AE97+AE135</f>
        <v>25977.1531247173</v>
      </c>
    </row>
    <row r="175" customFormat="false" ht="15" hidden="false" customHeight="false" outlineLevel="0" collapsed="false">
      <c r="A175" s="6" t="s">
        <v>510</v>
      </c>
      <c r="B175" s="23" t="s">
        <v>476</v>
      </c>
      <c r="C175" s="45" t="n">
        <f aca="false">C60+C98+C136</f>
        <v>0.77547304344812</v>
      </c>
      <c r="D175" s="45" t="n">
        <f aca="false">D60+D98+D136</f>
        <v>1.55502189934983</v>
      </c>
      <c r="E175" s="45" t="n">
        <f aca="false">E60+E98+E136</f>
        <v>2.34215006008175</v>
      </c>
      <c r="F175" s="45" t="n">
        <f aca="false">F60+F98+F136</f>
        <v>3.34030724890617</v>
      </c>
      <c r="G175" s="45" t="n">
        <f aca="false">G60+G98+G136</f>
        <v>4.29671445037917</v>
      </c>
      <c r="H175" s="45" t="n">
        <f aca="false">H60+H98+H136</f>
        <v>5.16644372528836</v>
      </c>
      <c r="I175" s="45" t="n">
        <f aca="false">I60+I98+I136</f>
        <v>6.04062360815207</v>
      </c>
      <c r="J175" s="45" t="n">
        <f aca="false">J60+J98+J136</f>
        <v>6.93960552446833</v>
      </c>
      <c r="K175" s="45" t="n">
        <f aca="false">K60+K98+K136</f>
        <v>7.92333772695166</v>
      </c>
      <c r="L175" s="45" t="n">
        <f aca="false">L60+L98+L136</f>
        <v>9.17740241545016</v>
      </c>
      <c r="M175" s="45" t="n">
        <f aca="false">M60+M98+M136</f>
        <v>10.3927490160803</v>
      </c>
      <c r="N175" s="45" t="n">
        <f aca="false">N60+N98+N136</f>
        <v>11.5328621258036</v>
      </c>
      <c r="O175" s="45" t="n">
        <f aca="false">O60+O98+O136</f>
        <v>14.6908425812794</v>
      </c>
      <c r="P175" s="45" t="n">
        <f aca="false">P60+P98+P136</f>
        <v>17.8935686226113</v>
      </c>
      <c r="Q175" s="45" t="n">
        <f aca="false">Q60+Q98+Q136</f>
        <v>21.148716363287</v>
      </c>
      <c r="R175" s="45" t="n">
        <f aca="false">R60+R98+R136</f>
        <v>25.215194705343</v>
      </c>
      <c r="S175" s="45" t="n">
        <f aca="false">S60+S98+S136</f>
        <v>29.1666863313104</v>
      </c>
      <c r="T175" s="45" t="n">
        <f aca="false">T60+T98+T136</f>
        <v>32.8135120859351</v>
      </c>
      <c r="U175" s="45" t="n">
        <f aca="false">U60+U98+U136</f>
        <v>36.4940536928393</v>
      </c>
      <c r="V175" s="45" t="n">
        <f aca="false">V60+V98+V136</f>
        <v>40.2868037633149</v>
      </c>
      <c r="W175" s="45" t="n">
        <f aca="false">W60+W98+W136</f>
        <v>44.4330941728761</v>
      </c>
      <c r="X175" s="45" t="n">
        <f aca="false">X60+X98+X136</f>
        <v>49.6956583896288</v>
      </c>
      <c r="Y175" s="45" t="n">
        <f aca="false">Y60+Y98+Y136</f>
        <v>54.8541600430064</v>
      </c>
      <c r="Z175" s="45" t="n">
        <f aca="false">Z60+Z98+Z136</f>
        <v>59.7410395269114</v>
      </c>
      <c r="AA175" s="45" t="n">
        <f aca="false">AA60+AA98+AA136</f>
        <v>1792.81707538092</v>
      </c>
      <c r="AB175" s="45" t="n">
        <f aca="false">AB60+AB98+AB136</f>
        <v>3553.12468207043</v>
      </c>
      <c r="AC175" s="45" t="n">
        <f aca="false">AC60+AC98+AC136</f>
        <v>6186.88105936203</v>
      </c>
      <c r="AD175" s="45" t="n">
        <f aca="false">AD60+AD98+AD136</f>
        <v>9700.33927091682</v>
      </c>
      <c r="AE175" s="45" t="n">
        <f aca="false">AE60+AE98+AE136</f>
        <v>13928.0780275711</v>
      </c>
    </row>
    <row r="176" customFormat="false" ht="15" hidden="false" customHeight="false" outlineLevel="0" collapsed="false">
      <c r="A176" s="6" t="s">
        <v>511</v>
      </c>
      <c r="B176" s="23" t="s">
        <v>476</v>
      </c>
      <c r="C176" s="45" t="n">
        <f aca="false">C52+C90+C128</f>
        <v>0</v>
      </c>
      <c r="D176" s="45" t="n">
        <f aca="false">D52+D90+D128</f>
        <v>0</v>
      </c>
      <c r="E176" s="45" t="n">
        <f aca="false">E52+E90+E128</f>
        <v>0</v>
      </c>
      <c r="F176" s="45" t="n">
        <f aca="false">F52+F90+F128</f>
        <v>0</v>
      </c>
      <c r="G176" s="45" t="n">
        <f aca="false">G52+G90+G128</f>
        <v>0</v>
      </c>
      <c r="H176" s="45" t="n">
        <f aca="false">H52+H90+H128</f>
        <v>0</v>
      </c>
      <c r="I176" s="45" t="n">
        <f aca="false">I52+I90+I128</f>
        <v>0</v>
      </c>
      <c r="J176" s="45" t="n">
        <f aca="false">J52+J90+J128</f>
        <v>0</v>
      </c>
      <c r="K176" s="45" t="n">
        <f aca="false">K52+K90+K128</f>
        <v>0</v>
      </c>
      <c r="L176" s="45" t="n">
        <f aca="false">L52+L90+L128</f>
        <v>0</v>
      </c>
      <c r="M176" s="45" t="n">
        <f aca="false">M52+M90+M128</f>
        <v>0</v>
      </c>
      <c r="N176" s="45" t="n">
        <f aca="false">N52+N90+N128</f>
        <v>0</v>
      </c>
      <c r="O176" s="45" t="n">
        <f aca="false">O52+O90+O128</f>
        <v>41.7015182646095</v>
      </c>
      <c r="P176" s="45" t="n">
        <f aca="false">P52+P90+P128</f>
        <v>48.9141116321298</v>
      </c>
      <c r="Q176" s="45" t="n">
        <f aca="false">Q52+Q90+Q128</f>
        <v>55.8776796588478</v>
      </c>
      <c r="R176" s="45" t="n">
        <f aca="false">R52+R90+R128</f>
        <v>62.8382148461362</v>
      </c>
      <c r="S176" s="45" t="n">
        <f aca="false">S52+S90+S128</f>
        <v>70.450542571852</v>
      </c>
      <c r="T176" s="45" t="n">
        <f aca="false">T52+T90+T128</f>
        <v>80.6772908163956</v>
      </c>
      <c r="U176" s="45" t="n">
        <f aca="false">U52+U90+U128</f>
        <v>90.0798741574531</v>
      </c>
      <c r="V176" s="45" t="n">
        <f aca="false">V52+V90+V128</f>
        <v>98.3329304542</v>
      </c>
      <c r="W176" s="45" t="n">
        <f aca="false">W52+W90+W128</f>
        <v>127.918596009689</v>
      </c>
      <c r="X176" s="45" t="n">
        <f aca="false">X52+X90+X128</f>
        <v>156.553230927426</v>
      </c>
      <c r="Y176" s="45" t="n">
        <f aca="false">Y52+Y90+Y128</f>
        <v>184.4410311278</v>
      </c>
      <c r="Z176" s="45" t="n">
        <f aca="false">Z52+Z90+Z128</f>
        <v>219.809218819815</v>
      </c>
      <c r="AA176" s="45" t="n">
        <f aca="false">AA52+AA90+AA128</f>
        <v>13171.6590196294</v>
      </c>
      <c r="AB176" s="45" t="n">
        <f aca="false">AB52+AB90+AB128</f>
        <v>24809.2439491554</v>
      </c>
      <c r="AC176" s="45" t="n">
        <f aca="false">AC52+AC90+AC128</f>
        <v>41661.4117540135</v>
      </c>
      <c r="AD176" s="45" t="n">
        <f aca="false">AD52+AD90+AD128</f>
        <v>63146.0385994611</v>
      </c>
      <c r="AE176" s="45" t="n">
        <f aca="false">AE52+AE90+AE128</f>
        <v>87700.6455114029</v>
      </c>
    </row>
    <row r="177" customFormat="false" ht="15" hidden="false" customHeight="false" outlineLevel="0" collapsed="false">
      <c r="A177" s="3" t="s">
        <v>512</v>
      </c>
      <c r="B177" s="23" t="s">
        <v>114</v>
      </c>
      <c r="C177" s="57" t="n">
        <f aca="false">C61+C99+C137+C141</f>
        <v>184.131372285898</v>
      </c>
      <c r="D177" s="57" t="n">
        <f aca="false">D61+D99+D137+D141</f>
        <v>350.110231003215</v>
      </c>
      <c r="E177" s="57" t="n">
        <f aca="false">E61+E99+E137+E141</f>
        <v>500.653472321506</v>
      </c>
      <c r="F177" s="57" t="n">
        <f aca="false">F61+F99+F137+F141</f>
        <v>685.673580029681</v>
      </c>
      <c r="G177" s="57" t="n">
        <f aca="false">G61+G99+G137+G141</f>
        <v>841.567998651527</v>
      </c>
      <c r="H177" s="57" t="n">
        <f aca="false">H61+H99+H137+H141</f>
        <v>960.692374699152</v>
      </c>
      <c r="I177" s="57" t="n">
        <f aca="false">I61+I99+I137+I141</f>
        <v>2347.49053373085</v>
      </c>
      <c r="J177" s="57" t="n">
        <f aca="false">J61+J99+J137+J141</f>
        <v>2572.68753775556</v>
      </c>
      <c r="K177" s="57" t="n">
        <f aca="false">K61+K99+K137+K141</f>
        <v>2818.712745401</v>
      </c>
      <c r="L177" s="57" t="n">
        <f aca="false">L61+L99+L137+L141</f>
        <v>3180.22127801229</v>
      </c>
      <c r="M177" s="57" t="n">
        <f aca="false">M61+M99+M137+M141</f>
        <v>3483.99064451681</v>
      </c>
      <c r="N177" s="57" t="n">
        <f aca="false">N61+N99+N137+N141</f>
        <v>3716.96638506228</v>
      </c>
      <c r="O177" s="57" t="n">
        <f aca="false">O61+O99+O137+O141</f>
        <v>21834.1812236695</v>
      </c>
      <c r="P177" s="57" t="n">
        <f aca="false">P61+P99+P137+P141</f>
        <v>23013.9070306778</v>
      </c>
      <c r="Q177" s="57" t="n">
        <f aca="false">Q61+Q99+Q137+Q141</f>
        <v>24101.2373940647</v>
      </c>
      <c r="R177" s="57" t="n">
        <f aca="false">R61+R99+R137+R141</f>
        <v>25500.1178332969</v>
      </c>
      <c r="S177" s="57" t="n">
        <f aca="false">S61+S99+S137+S141</f>
        <v>26701.2182056952</v>
      </c>
      <c r="T177" s="57" t="n">
        <f aca="false">T61+T99+T137+T141</f>
        <v>27638.6546832649</v>
      </c>
      <c r="U177" s="57" t="n">
        <f aca="false">U61+U99+U137+U141</f>
        <v>28495.4234564326</v>
      </c>
      <c r="V177" s="57" t="n">
        <f aca="false">V61+V99+V137+V141</f>
        <v>29320.7899731129</v>
      </c>
      <c r="W177" s="57" t="n">
        <f aca="false">W61+W99+W137+W141</f>
        <v>30346.9854926847</v>
      </c>
      <c r="X177" s="57" t="n">
        <f aca="false">X61+X99+X137+X141</f>
        <v>31860.7735438614</v>
      </c>
      <c r="Y177" s="57" t="n">
        <f aca="false">Y61+Y99+Y137+Y141</f>
        <v>33173.0868927854</v>
      </c>
      <c r="Z177" s="57" t="n">
        <f aca="false">Z61+Z99+Z137+Z141</f>
        <v>34257.9428621792</v>
      </c>
      <c r="AA177" s="57" t="n">
        <f aca="false">AA61+AA99+AA137+AA141</f>
        <v>848670.748743382</v>
      </c>
      <c r="AB177" s="57" t="n">
        <f aca="false">AB61+AB99+AB137+AB141</f>
        <v>1367863.77386022</v>
      </c>
      <c r="AC177" s="57" t="n">
        <f aca="false">AC61+AC99+AC137+AC141</f>
        <v>1992956.92406598</v>
      </c>
      <c r="AD177" s="57" t="n">
        <f aca="false">AD61+AD99+AD137+AD141</f>
        <v>2666743.68656794</v>
      </c>
      <c r="AE177" s="57" t="n">
        <f aca="false">AE61+AE99+AE137+AE141</f>
        <v>3316448.60540122</v>
      </c>
    </row>
    <row r="178" customFormat="false" ht="15" hidden="false" customHeight="false" outlineLevel="0" collapsed="false">
      <c r="A178" s="6" t="s">
        <v>513</v>
      </c>
      <c r="B178" s="23" t="s">
        <v>114</v>
      </c>
      <c r="C178" s="55" t="n">
        <f aca="false">IF(C145=0,0,C177/C145/C7*12)</f>
        <v>20.0495756853397</v>
      </c>
      <c r="D178" s="55" t="n">
        <f aca="false">IF(D145=0,0,D177/D145/D7*12)</f>
        <v>20.0496975330559</v>
      </c>
      <c r="E178" s="55" t="n">
        <f aca="false">IF(E145=0,0,E177/E145/E7*12)</f>
        <v>20.0498159615506</v>
      </c>
      <c r="F178" s="55" t="n">
        <f aca="false">IF(F145=0,0,F177/F145/F7*12)</f>
        <v>20.0499556860515</v>
      </c>
      <c r="G178" s="55" t="n">
        <f aca="false">IF(G145=0,0,G177/G145/G7*12)</f>
        <v>20.0500896292023</v>
      </c>
      <c r="H178" s="55" t="n">
        <f aca="false">IF(H145=0,0,H177/H145/H7*12)</f>
        <v>20.0502084054919</v>
      </c>
      <c r="I178" s="55" t="n">
        <f aca="false">IF(I145=0,0,I177/I145/I7*12)</f>
        <v>44.0503250834694</v>
      </c>
      <c r="J178" s="55" t="n">
        <f aca="false">IF(J145=0,0,J177/J145/J7*12)</f>
        <v>44.0504432055459</v>
      </c>
      <c r="K178" s="55" t="n">
        <f aca="false">IF(K145=0,0,K177/K145/K7*12)</f>
        <v>44.0505726094608</v>
      </c>
      <c r="L178" s="55" t="n">
        <f aca="false">IF(L145=0,0,L177/L145/L7*12)</f>
        <v>44.0507416526844</v>
      </c>
      <c r="M178" s="55" t="n">
        <f aca="false">IF(M145=0,0,M177/M145/M7*12)</f>
        <v>44.0509010499841</v>
      </c>
      <c r="N178" s="55" t="n">
        <f aca="false">IF(N145=0,0,N177/N145/N7*12)</f>
        <v>44.0510450427702</v>
      </c>
      <c r="O178" s="55" t="n">
        <f aca="false">IF(O145=0,0,O177/O145/O7*12)</f>
        <v>193.196874564636</v>
      </c>
      <c r="P178" s="55" t="n">
        <f aca="false">IF(P145=0,0,P177/P145/P7*12)</f>
        <v>165.32063959039</v>
      </c>
      <c r="Q178" s="55" t="n">
        <f aca="false">IF(Q145=0,0,Q177/Q145/Q7*12)</f>
        <v>147.587903617627</v>
      </c>
      <c r="R178" s="55" t="n">
        <f aca="false">IF(R145=0,0,R177/R145/R7*12)</f>
        <v>131.105718099087</v>
      </c>
      <c r="S178" s="55" t="n">
        <f aca="false">IF(S145=0,0,S177/S145/S7*12)</f>
        <v>120.766414154684</v>
      </c>
      <c r="T178" s="55" t="n">
        <f aca="false">IF(T145=0,0,T177/T145/T7*12)</f>
        <v>114.528605117473</v>
      </c>
      <c r="U178" s="55" t="n">
        <f aca="false">IF(U145=0,0,U177/U145/U7*12)</f>
        <v>109.660507679604</v>
      </c>
      <c r="V178" s="55" t="n">
        <f aca="false">IF(V145=0,0,V177/V145/V7*12)</f>
        <v>105.553189173102</v>
      </c>
      <c r="W178" s="55" t="n">
        <f aca="false">IF(W145=0,0,W177/W145/W7*12)</f>
        <v>101.822623144261</v>
      </c>
      <c r="X178" s="55" t="n">
        <f aca="false">IF(X145=0,0,X177/X145/X7*12)</f>
        <v>96.720831172425</v>
      </c>
      <c r="Y178" s="55" t="n">
        <f aca="false">IF(Y145=0,0,Y177/Y145/Y7*12)</f>
        <v>93.1066988311567</v>
      </c>
      <c r="Z178" s="55" t="n">
        <f aca="false">IF(Z145=0,0,Z177/Z145/Z7*12)</f>
        <v>90.8303462202079</v>
      </c>
      <c r="AA178" s="55" t="n">
        <f aca="false">IF(AA145=0,0,AA177/AA145/AA7*12)</f>
        <v>97.3334679034458</v>
      </c>
      <c r="AB178" s="55" t="n">
        <f aca="false">IF(AB145=0,0,AB177/AB145/AB7*12)</f>
        <v>93.7760584760645</v>
      </c>
      <c r="AC178" s="55" t="n">
        <f aca="false">IF(AC145=0,0,AC177/AC145/AC7*12)</f>
        <v>89.7702881090575</v>
      </c>
      <c r="AD178" s="55" t="n">
        <f aca="false">IF(AD145=0,0,AD177/AD145/AD7*12)</f>
        <v>88.0526558475556</v>
      </c>
      <c r="AE178" s="55" t="n">
        <f aca="false">IF(AE145=0,0,AE177/AE145/AE7*12)</f>
        <v>88.8760115321793</v>
      </c>
    </row>
    <row r="179" customFormat="false" ht="15" hidden="false" customHeight="false" outlineLevel="0" collapsed="false">
      <c r="A179" s="6" t="s">
        <v>514</v>
      </c>
      <c r="B179" s="23" t="s">
        <v>505</v>
      </c>
      <c r="C179" s="59" t="n">
        <f aca="false">C177-(C169+C170+C171+C172+C173+C174+C141)</f>
        <v>0</v>
      </c>
      <c r="D179" s="59" t="n">
        <f aca="false">D177-(D169+D170+D171+D172+D173+D174+D141)</f>
        <v>0</v>
      </c>
      <c r="E179" s="59" t="n">
        <f aca="false">E177-(E169+E170+E171+E172+E173+E174+E141)</f>
        <v>0</v>
      </c>
      <c r="F179" s="59" t="n">
        <f aca="false">F177-(F169+F170+F171+F172+F173+F174+F141)</f>
        <v>0</v>
      </c>
      <c r="G179" s="59" t="n">
        <f aca="false">G177-(G169+G170+G171+G172+G173+G174+G141)</f>
        <v>0</v>
      </c>
      <c r="H179" s="59" t="n">
        <f aca="false">H177-(H169+H170+H171+H172+H173+H174+H141)</f>
        <v>0</v>
      </c>
      <c r="I179" s="59" t="n">
        <f aca="false">I177-(I169+I170+I171+I172+I173+I174+I141)</f>
        <v>0</v>
      </c>
      <c r="J179" s="59" t="n">
        <f aca="false">J177-(J169+J170+J171+J172+J173+J174+J141)</f>
        <v>0</v>
      </c>
      <c r="K179" s="59" t="n">
        <f aca="false">K177-(K169+K170+K171+K172+K173+K174+K141)</f>
        <v>0</v>
      </c>
      <c r="L179" s="59" t="n">
        <f aca="false">L177-(L169+L170+L171+L172+L173+L174+L141)</f>
        <v>0</v>
      </c>
      <c r="M179" s="59" t="n">
        <f aca="false">M177-(M169+M170+M171+M172+M173+M174+M141)</f>
        <v>0</v>
      </c>
      <c r="N179" s="59" t="n">
        <f aca="false">N177-(N169+N170+N171+N172+N173+N174+N141)</f>
        <v>0</v>
      </c>
      <c r="O179" s="59" t="n">
        <f aca="false">O177-(O169+O170+O171+O172+O173+O174+O141)</f>
        <v>0</v>
      </c>
      <c r="P179" s="59" t="n">
        <f aca="false">P177-(P169+P170+P171+P172+P173+P174+P141)</f>
        <v>0</v>
      </c>
      <c r="Q179" s="59" t="n">
        <f aca="false">Q177-(Q169+Q170+Q171+Q172+Q173+Q174+Q141)</f>
        <v>0</v>
      </c>
      <c r="R179" s="59" t="n">
        <f aca="false">R177-(R169+R170+R171+R172+R173+R174+R141)</f>
        <v>0</v>
      </c>
      <c r="S179" s="59" t="n">
        <f aca="false">S177-(S169+S170+S171+S172+S173+S174+S141)</f>
        <v>0</v>
      </c>
      <c r="T179" s="59" t="n">
        <f aca="false">T177-(T169+T170+T171+T172+T173+T174+T141)</f>
        <v>0</v>
      </c>
      <c r="U179" s="59" t="n">
        <f aca="false">U177-(U169+U170+U171+U172+U173+U174+U141)</f>
        <v>0</v>
      </c>
      <c r="V179" s="59" t="n">
        <f aca="false">V177-(V169+V170+V171+V172+V173+V174+V141)</f>
        <v>0</v>
      </c>
      <c r="W179" s="59" t="n">
        <f aca="false">W177-(W169+W170+W171+W172+W173+W174+W141)</f>
        <v>0</v>
      </c>
      <c r="X179" s="59" t="n">
        <f aca="false">X177-(X169+X170+X171+X172+X173+X174+X141)</f>
        <v>0</v>
      </c>
      <c r="Y179" s="59" t="n">
        <f aca="false">Y177-(Y169+Y170+Y171+Y172+Y173+Y174+Y141)</f>
        <v>0</v>
      </c>
      <c r="Z179" s="59" t="n">
        <f aca="false">Z177-(Z169+Z170+Z171+Z172+Z173+Z174+Z141)</f>
        <v>0</v>
      </c>
      <c r="AA179" s="59" t="n">
        <f aca="false">AA177-(AA169+AA170+AA171+AA172+AA173+AA174+AA141)</f>
        <v>0</v>
      </c>
      <c r="AB179" s="59" t="n">
        <f aca="false">AB177-(AB169+AB170+AB171+AB172+AB173+AB174+AB141)</f>
        <v>0</v>
      </c>
      <c r="AC179" s="59" t="n">
        <f aca="false">AC177-(AC169+AC170+AC171+AC172+AC173+AC174+AC141)</f>
        <v>0</v>
      </c>
      <c r="AD179" s="59" t="n">
        <f aca="false">AD177-(AD169+AD170+AD171+AD172+AD173+AD174+AD141)</f>
        <v>0</v>
      </c>
      <c r="AE179" s="59" t="n">
        <f aca="false">AE177-(AE169+AE170+AE171+AE172+AE173+AE174+AE141)</f>
        <v>0</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6"/>
    <col collapsed="false" customWidth="true" hidden="false" outlineLevel="0" max="2" min="2" style="0" width="4"/>
    <col collapsed="false" customWidth="true" hidden="false" outlineLevel="0" max="10" min="4" style="0" width="16"/>
  </cols>
  <sheetData>
    <row r="1" customFormat="false" ht="22.05" hidden="false" customHeight="false" outlineLevel="0" collapsed="false">
      <c r="A1" s="10" t="str">
        <f aca="false">Cover!$B$2</f>
        <v>Aurumix Revenue Model</v>
      </c>
    </row>
    <row r="2" customFormat="false" ht="17.35" hidden="false" customHeight="false" outlineLevel="0" collapsed="false">
      <c r="A2" s="11" t="s">
        <v>515</v>
      </c>
    </row>
    <row r="4" customFormat="false" ht="15" hidden="false" customHeight="false" outlineLevel="0" collapsed="false">
      <c r="D4" s="61" t="s">
        <v>516</v>
      </c>
      <c r="E4" s="61" t="s">
        <v>517</v>
      </c>
      <c r="F4" s="61" t="s">
        <v>405</v>
      </c>
      <c r="G4" s="61" t="s">
        <v>406</v>
      </c>
      <c r="H4" s="61" t="s">
        <v>407</v>
      </c>
      <c r="I4" s="61" t="s">
        <v>408</v>
      </c>
      <c r="J4" s="61" t="s">
        <v>409</v>
      </c>
    </row>
    <row r="6" customFormat="false" ht="18" hidden="false" customHeight="true" outlineLevel="0" collapsed="false">
      <c r="A6" s="12" t="s">
        <v>518</v>
      </c>
      <c r="B6" s="13"/>
      <c r="C6" s="13"/>
      <c r="D6" s="13"/>
      <c r="E6" s="13"/>
      <c r="F6" s="13"/>
      <c r="G6" s="13"/>
      <c r="H6" s="13"/>
      <c r="I6" s="13"/>
      <c r="J6" s="13"/>
      <c r="K6" s="13"/>
    </row>
    <row r="7" customFormat="false" ht="15" hidden="false" customHeight="false" outlineLevel="0" collapsed="false">
      <c r="A7" s="6" t="s">
        <v>519</v>
      </c>
      <c r="D7" s="36" t="n">
        <f aca="false">SUM(Model!C61:N61)</f>
        <v>6760.68182300897</v>
      </c>
      <c r="E7" s="36" t="n">
        <f aca="false">SUM(Model!O61:Z61)</f>
        <v>40505.4029270336</v>
      </c>
      <c r="F7" s="36" t="n">
        <f aca="false">Model!AA61</f>
        <v>138760.86236574</v>
      </c>
      <c r="G7" s="36" t="n">
        <f aca="false">Model!AB61</f>
        <v>242928.385659256</v>
      </c>
      <c r="H7" s="36" t="n">
        <f aca="false">Model!AC61</f>
        <v>386852.950087483</v>
      </c>
      <c r="I7" s="36" t="n">
        <f aca="false">Model!AD61</f>
        <v>553260.354466789</v>
      </c>
      <c r="J7" s="36" t="n">
        <f aca="false">Model!AE61</f>
        <v>727310.670337961</v>
      </c>
    </row>
    <row r="8" customFormat="false" ht="15" hidden="false" customHeight="false" outlineLevel="0" collapsed="false">
      <c r="A8" s="6" t="s">
        <v>520</v>
      </c>
      <c r="D8" s="36" t="n">
        <f aca="false">SUM(Model!C99:N99)</f>
        <v>0</v>
      </c>
      <c r="E8" s="36" t="n">
        <f aca="false">SUM(Model!O99:Z99)</f>
        <v>7502.77479741518</v>
      </c>
      <c r="F8" s="36" t="n">
        <f aca="false">Model!AA99</f>
        <v>34130.3709784358</v>
      </c>
      <c r="G8" s="36" t="n">
        <f aca="false">Model!AB99</f>
        <v>61600.5600828353</v>
      </c>
      <c r="H8" s="36" t="n">
        <f aca="false">Model!AC99</f>
        <v>99150.3757963176</v>
      </c>
      <c r="I8" s="36" t="n">
        <f aca="false">Model!AD99</f>
        <v>142972.742370952</v>
      </c>
      <c r="J8" s="36" t="n">
        <f aca="false">Model!AE99</f>
        <v>188360.033301559</v>
      </c>
    </row>
    <row r="9" customFormat="false" ht="15" hidden="false" customHeight="false" outlineLevel="0" collapsed="false">
      <c r="A9" s="6" t="s">
        <v>521</v>
      </c>
      <c r="D9" s="36" t="n">
        <f aca="false">SUM(Model!C137:N137)</f>
        <v>14882.2163304608</v>
      </c>
      <c r="E9" s="36" t="n">
        <f aca="false">SUM(Model!O137:Z137)</f>
        <v>88236.1408672764</v>
      </c>
      <c r="F9" s="36" t="n">
        <f aca="false">Model!AA137</f>
        <v>275779.515399206</v>
      </c>
      <c r="G9" s="36" t="n">
        <f aca="false">Model!AB137</f>
        <v>463334.828118131</v>
      </c>
      <c r="H9" s="36" t="n">
        <f aca="false">Model!AC137</f>
        <v>706953.598182178</v>
      </c>
      <c r="I9" s="36" t="n">
        <f aca="false">Model!AD137</f>
        <v>970510.5897302</v>
      </c>
      <c r="J9" s="36" t="n">
        <f aca="false">Model!AE137</f>
        <v>1200777.9017617</v>
      </c>
    </row>
    <row r="10" customFormat="false" ht="15" hidden="false" customHeight="false" outlineLevel="0" collapsed="false">
      <c r="A10" s="6" t="s">
        <v>522</v>
      </c>
      <c r="D10" s="36" t="n">
        <f aca="false">SUM(Model!C141:N141)</f>
        <v>0</v>
      </c>
      <c r="E10" s="36" t="n">
        <f aca="false">SUM(Model!O141:Z141)</f>
        <v>200000</v>
      </c>
      <c r="F10" s="36" t="n">
        <f aca="false">Model!AA141</f>
        <v>400000</v>
      </c>
      <c r="G10" s="36" t="n">
        <f aca="false">Model!AB141</f>
        <v>600000</v>
      </c>
      <c r="H10" s="36" t="n">
        <f aca="false">Model!AC141</f>
        <v>800000</v>
      </c>
      <c r="I10" s="36" t="n">
        <f aca="false">Model!AD141</f>
        <v>1000000</v>
      </c>
      <c r="J10" s="36" t="n">
        <f aca="false">Model!AE141</f>
        <v>1200000</v>
      </c>
    </row>
    <row r="11" customFormat="false" ht="15" hidden="false" customHeight="false" outlineLevel="0" collapsed="false">
      <c r="A11" s="3" t="s">
        <v>523</v>
      </c>
      <c r="D11" s="62" t="n">
        <f aca="false">SUM(Model!C177:N177)</f>
        <v>21642.8981534698</v>
      </c>
      <c r="E11" s="62" t="n">
        <f aca="false">SUM(Model!O177:Z177)</f>
        <v>336244.318591725</v>
      </c>
      <c r="F11" s="62" t="n">
        <f aca="false">Model!AA177</f>
        <v>848670.748743382</v>
      </c>
      <c r="G11" s="62" t="n">
        <f aca="false">Model!AB177</f>
        <v>1367863.77386022</v>
      </c>
      <c r="H11" s="62" t="n">
        <f aca="false">Model!AC177</f>
        <v>1992956.92406598</v>
      </c>
      <c r="I11" s="62" t="n">
        <f aca="false">Model!AD177</f>
        <v>2666743.68656794</v>
      </c>
      <c r="J11" s="62" t="n">
        <f aca="false">Model!AE177</f>
        <v>3316448.60540122</v>
      </c>
    </row>
    <row r="13" customFormat="false" ht="18" hidden="false" customHeight="true" outlineLevel="0" collapsed="false">
      <c r="A13" s="12" t="s">
        <v>524</v>
      </c>
      <c r="B13" s="13"/>
      <c r="C13" s="13"/>
      <c r="D13" s="13"/>
      <c r="E13" s="13"/>
      <c r="F13" s="13"/>
      <c r="G13" s="13"/>
      <c r="H13" s="13"/>
      <c r="I13" s="13"/>
      <c r="J13" s="13"/>
      <c r="K13" s="13"/>
    </row>
    <row r="14" customFormat="false" ht="15" hidden="false" customHeight="false" outlineLevel="0" collapsed="false">
      <c r="A14" s="6" t="s">
        <v>525</v>
      </c>
      <c r="D14" s="36" t="n">
        <f aca="false">SUM(Model!C169:N169)</f>
        <v>10942.079226332</v>
      </c>
      <c r="E14" s="36" t="n">
        <f aca="false">SUM(Model!O169:Z169)</f>
        <v>54860.0413933143</v>
      </c>
      <c r="F14" s="36" t="n">
        <f aca="false">Model!AA169</f>
        <v>160812.817638333</v>
      </c>
      <c r="G14" s="36" t="n">
        <f aca="false">Model!AB169</f>
        <v>269102.378596754</v>
      </c>
      <c r="H14" s="36" t="n">
        <f aca="false">Model!AC169</f>
        <v>409803.342559365</v>
      </c>
      <c r="I14" s="36" t="n">
        <f aca="false">Model!AD169</f>
        <v>559363.007173527</v>
      </c>
      <c r="J14" s="36" t="n">
        <f aca="false">Model!AE169</f>
        <v>689898.697978208</v>
      </c>
    </row>
    <row r="15" customFormat="false" ht="15" hidden="false" customHeight="false" outlineLevel="0" collapsed="false">
      <c r="A15" s="6" t="s">
        <v>526</v>
      </c>
      <c r="D15" s="36" t="n">
        <f aca="false">SUM(Model!C170:N170)</f>
        <v>828.523105693701</v>
      </c>
      <c r="E15" s="36" t="n">
        <f aca="false">SUM(Model!O170:Z170)</f>
        <v>4172.30490877886</v>
      </c>
      <c r="F15" s="36" t="n">
        <f aca="false">Model!AA170</f>
        <v>12338.8295620433</v>
      </c>
      <c r="G15" s="36" t="n">
        <f aca="false">Model!AB170</f>
        <v>20722.9170818821</v>
      </c>
      <c r="H15" s="36" t="n">
        <f aca="false">Model!AC170</f>
        <v>31678.6436875481</v>
      </c>
      <c r="I15" s="36" t="n">
        <f aca="false">Model!AD170</f>
        <v>43401.7774664748</v>
      </c>
      <c r="J15" s="36" t="n">
        <f aca="false">Model!AE170</f>
        <v>53840.8173863433</v>
      </c>
    </row>
    <row r="16" customFormat="false" ht="15" hidden="false" customHeight="false" outlineLevel="0" collapsed="false">
      <c r="A16" s="6" t="s">
        <v>527</v>
      </c>
      <c r="D16" s="36" t="n">
        <f aca="false">SUM(Model!C171:N171)</f>
        <v>0</v>
      </c>
      <c r="E16" s="36" t="n">
        <f aca="false">SUM(Model!O171:Z171)</f>
        <v>87.8632254929623</v>
      </c>
      <c r="F16" s="36" t="n">
        <f aca="false">Model!AA171</f>
        <v>1897.29059407904</v>
      </c>
      <c r="G16" s="36" t="n">
        <f aca="false">Model!AB171</f>
        <v>4482.58184244213</v>
      </c>
      <c r="H16" s="36" t="n">
        <f aca="false">Model!AC171</f>
        <v>8612.47474390253</v>
      </c>
      <c r="I16" s="36" t="n">
        <f aca="false">Model!AD171</f>
        <v>14691.2487094325</v>
      </c>
      <c r="J16" s="36" t="n">
        <f aca="false">Model!AE171</f>
        <v>22969.2722365921</v>
      </c>
    </row>
    <row r="17" customFormat="false" ht="15" hidden="false" customHeight="false" outlineLevel="0" collapsed="false">
      <c r="A17" s="6" t="s">
        <v>528</v>
      </c>
      <c r="D17" s="36" t="n">
        <f aca="false">SUM(Model!C172:N172)</f>
        <v>9872.29582144408</v>
      </c>
      <c r="E17" s="36" t="n">
        <f aca="false">SUM(Model!O172:Z172)</f>
        <v>71303.6053832851</v>
      </c>
      <c r="F17" s="36" t="n">
        <f aca="false">Model!AA172</f>
        <v>209260.991194172</v>
      </c>
      <c r="G17" s="36" t="n">
        <f aca="false">Model!AB172</f>
        <v>350075.820056188</v>
      </c>
      <c r="H17" s="36" t="n">
        <f aca="false">Model!AC172</f>
        <v>532815.112718319</v>
      </c>
      <c r="I17" s="36" t="n">
        <f aca="false">Model!AD172</f>
        <v>726858.808079976</v>
      </c>
      <c r="J17" s="36" t="n">
        <f aca="false">Model!AE172</f>
        <v>895570.865045069</v>
      </c>
    </row>
    <row r="18" customFormat="false" ht="15" hidden="false" customHeight="false" outlineLevel="0" collapsed="false">
      <c r="A18" s="6" t="s">
        <v>529</v>
      </c>
      <c r="D18" s="36" t="n">
        <f aca="false">SUM(Model!C173:N173)</f>
        <v>0</v>
      </c>
      <c r="E18" s="36" t="n">
        <f aca="false">SUM(Model!O173:Z173)</f>
        <v>5723.20503696767</v>
      </c>
      <c r="F18" s="36" t="n">
        <f aca="false">Model!AA173</f>
        <v>62215.0744400224</v>
      </c>
      <c r="G18" s="36" t="n">
        <f aca="false">Model!AB173</f>
        <v>118410.489675431</v>
      </c>
      <c r="H18" s="36" t="n">
        <f aca="false">Model!AC173</f>
        <v>200307.051539335</v>
      </c>
      <c r="I18" s="36" t="n">
        <f aca="false">Model!AD173</f>
        <v>305813.742431434</v>
      </c>
      <c r="J18" s="36" t="n">
        <f aca="false">Model!AE173</f>
        <v>428191.799630292</v>
      </c>
    </row>
    <row r="19" customFormat="false" ht="15" hidden="false" customHeight="false" outlineLevel="0" collapsed="false">
      <c r="A19" s="6" t="s">
        <v>530</v>
      </c>
      <c r="D19" s="36" t="n">
        <f aca="false">SUM(Model!C174:N174)</f>
        <v>0</v>
      </c>
      <c r="E19" s="36" t="n">
        <f aca="false">SUM(Model!O174:Z174)</f>
        <v>97.2986438862322</v>
      </c>
      <c r="F19" s="36" t="n">
        <f aca="false">Model!AA174</f>
        <v>2145.74531473225</v>
      </c>
      <c r="G19" s="36" t="n">
        <f aca="false">Model!AB174</f>
        <v>5069.58660752383</v>
      </c>
      <c r="H19" s="36" t="n">
        <f aca="false">Model!AC174</f>
        <v>9740.29881750881</v>
      </c>
      <c r="I19" s="36" t="n">
        <f aca="false">Model!AD174</f>
        <v>16615.1027070963</v>
      </c>
      <c r="J19" s="36" t="n">
        <f aca="false">Model!AE174</f>
        <v>25977.1531247173</v>
      </c>
    </row>
    <row r="20" customFormat="false" ht="15" hidden="false" customHeight="false" outlineLevel="0" collapsed="false">
      <c r="A20" s="6" t="s">
        <v>531</v>
      </c>
      <c r="D20" s="36" t="n">
        <f aca="false">SUM(Model!C141:N141)</f>
        <v>0</v>
      </c>
      <c r="E20" s="36" t="n">
        <f aca="false">SUM(Model!O141:Z141)</f>
        <v>200000</v>
      </c>
      <c r="F20" s="36" t="n">
        <f aca="false">Model!AA141</f>
        <v>400000</v>
      </c>
      <c r="G20" s="36" t="n">
        <f aca="false">Model!AB141</f>
        <v>600000</v>
      </c>
      <c r="H20" s="36" t="n">
        <f aca="false">Model!AC141</f>
        <v>800000</v>
      </c>
      <c r="I20" s="36" t="n">
        <f aca="false">Model!AD141</f>
        <v>1000000</v>
      </c>
      <c r="J20" s="36" t="n">
        <f aca="false">Model!AE141</f>
        <v>1200000</v>
      </c>
    </row>
    <row r="21" customFormat="false" ht="15" hidden="false" customHeight="false" outlineLevel="0" collapsed="false">
      <c r="A21" s="3" t="s">
        <v>532</v>
      </c>
      <c r="D21" s="62" t="n">
        <f aca="false">SUM(Model!C177:N177)</f>
        <v>21642.8981534698</v>
      </c>
      <c r="E21" s="62" t="n">
        <f aca="false">SUM(Model!O177:Z177)</f>
        <v>336244.318591725</v>
      </c>
      <c r="F21" s="62" t="n">
        <f aca="false">Model!AA177</f>
        <v>848670.748743382</v>
      </c>
      <c r="G21" s="62" t="n">
        <f aca="false">Model!AB177</f>
        <v>1367863.77386022</v>
      </c>
      <c r="H21" s="62" t="n">
        <f aca="false">Model!AC177</f>
        <v>1992956.92406598</v>
      </c>
      <c r="I21" s="62" t="n">
        <f aca="false">Model!AD177</f>
        <v>2666743.68656794</v>
      </c>
      <c r="J21" s="62" t="n">
        <f aca="false">Model!AE177</f>
        <v>3316448.60540122</v>
      </c>
    </row>
    <row r="23" customFormat="false" ht="18" hidden="false" customHeight="true" outlineLevel="0" collapsed="false">
      <c r="A23" s="12" t="s">
        <v>533</v>
      </c>
      <c r="B23" s="13"/>
      <c r="C23" s="13"/>
      <c r="D23" s="13"/>
      <c r="E23" s="13"/>
      <c r="F23" s="13"/>
      <c r="G23" s="13"/>
      <c r="H23" s="13"/>
      <c r="I23" s="13"/>
      <c r="J23" s="13"/>
      <c r="K23" s="13"/>
    </row>
    <row r="24" customFormat="false" ht="15" hidden="false" customHeight="false" outlineLevel="0" collapsed="false">
      <c r="A24" s="0" t="s">
        <v>534</v>
      </c>
      <c r="D24" s="63" t="n">
        <f aca="false">IF(D$11=0,0,D14/D$11)</f>
        <v>0.505573659716999</v>
      </c>
      <c r="E24" s="63" t="n">
        <f aca="false">IF(E$11=0,0,E14/E$11)</f>
        <v>0.163155296193797</v>
      </c>
      <c r="F24" s="63" t="n">
        <f aca="false">IF(F$11=0,0,F14/F$11)</f>
        <v>0.189487876041972</v>
      </c>
      <c r="G24" s="63" t="n">
        <f aca="false">IF(G$11=0,0,G14/G$11)</f>
        <v>0.196731855714934</v>
      </c>
      <c r="H24" s="63" t="n">
        <f aca="false">IF(H$11=0,0,H14/H$11)</f>
        <v>0.205625790307246</v>
      </c>
      <c r="I24" s="63" t="n">
        <f aca="false">IF(I$11=0,0,I14/I$11)</f>
        <v>0.209755069447045</v>
      </c>
      <c r="J24" s="63" t="n">
        <f aca="false">IF(J$11=0,0,J14/J$11)</f>
        <v>0.208023334616019</v>
      </c>
    </row>
    <row r="25" customFormat="false" ht="15" hidden="false" customHeight="false" outlineLevel="0" collapsed="false">
      <c r="A25" s="0" t="s">
        <v>535</v>
      </c>
      <c r="D25" s="63" t="n">
        <f aca="false">IF(D$11=0,0,D15/D$11)</f>
        <v>0.0382815231037287</v>
      </c>
      <c r="E25" s="63" t="n">
        <f aca="false">IF(E$11=0,0,E15/E$11)</f>
        <v>0.0124085513957634</v>
      </c>
      <c r="F25" s="63" t="n">
        <f aca="false">IF(F$11=0,0,F15/F$11)</f>
        <v>0.014539006535</v>
      </c>
      <c r="G25" s="63" t="n">
        <f aca="false">IF(G$11=0,0,G15/G$11)</f>
        <v>0.015149839829006</v>
      </c>
      <c r="H25" s="63" t="n">
        <f aca="false">IF(H$11=0,0,H15/H$11)</f>
        <v>0.0158952977382563</v>
      </c>
      <c r="I25" s="63" t="n">
        <f aca="false">IF(I$11=0,0,I15/I$11)</f>
        <v>0.0162751964821682</v>
      </c>
      <c r="J25" s="63" t="n">
        <f aca="false">IF(J$11=0,0,J15/J$11)</f>
        <v>0.0162344796474932</v>
      </c>
    </row>
    <row r="26" customFormat="false" ht="15" hidden="false" customHeight="false" outlineLevel="0" collapsed="false">
      <c r="A26" s="0" t="s">
        <v>536</v>
      </c>
      <c r="D26" s="63" t="n">
        <f aca="false">IF(D$11=0,0,D16/D$11)</f>
        <v>0</v>
      </c>
      <c r="E26" s="63" t="n">
        <f aca="false">IF(E$11=0,0,E16/E$11)</f>
        <v>0.000261307687995905</v>
      </c>
      <c r="F26" s="63" t="n">
        <f aca="false">IF(F$11=0,0,F16/F$11)</f>
        <v>0.0022356026726364</v>
      </c>
      <c r="G26" s="63" t="n">
        <f aca="false">IF(G$11=0,0,G16/G$11)</f>
        <v>0.00327706744494879</v>
      </c>
      <c r="H26" s="63" t="n">
        <f aca="false">IF(H$11=0,0,H16/H$11)</f>
        <v>0.00432145554171416</v>
      </c>
      <c r="I26" s="63" t="n">
        <f aca="false">IF(I$11=0,0,I16/I$11)</f>
        <v>0.00550905915084024</v>
      </c>
      <c r="J26" s="63" t="n">
        <f aca="false">IF(J$11=0,0,J16/J$11)</f>
        <v>0.00692586407013334</v>
      </c>
    </row>
    <row r="27" customFormat="false" ht="15" hidden="false" customHeight="false" outlineLevel="0" collapsed="false">
      <c r="A27" s="0" t="s">
        <v>537</v>
      </c>
      <c r="D27" s="63" t="n">
        <f aca="false">IF(D$11=0,0,D17/D$11)</f>
        <v>0.456144817179273</v>
      </c>
      <c r="E27" s="63" t="n">
        <f aca="false">IF(E$11=0,0,E17/E$11)</f>
        <v>0.212058915023226</v>
      </c>
      <c r="F27" s="63" t="n">
        <f aca="false">IF(F$11=0,0,F17/F$11)</f>
        <v>0.24657500155864</v>
      </c>
      <c r="G27" s="63" t="n">
        <f aca="false">IF(G$11=0,0,G17/G$11)</f>
        <v>0.255928862761126</v>
      </c>
      <c r="H27" s="63" t="n">
        <f aca="false">IF(H$11=0,0,H17/H$11)</f>
        <v>0.267349036140372</v>
      </c>
      <c r="I27" s="63" t="n">
        <f aca="false">IF(I$11=0,0,I17/I$11)</f>
        <v>0.272564180705133</v>
      </c>
      <c r="J27" s="63" t="n">
        <f aca="false">IF(J$11=0,0,J17/J$11)</f>
        <v>0.270039120638423</v>
      </c>
    </row>
    <row r="28" customFormat="false" ht="15" hidden="false" customHeight="false" outlineLevel="0" collapsed="false">
      <c r="A28" s="0" t="s">
        <v>538</v>
      </c>
      <c r="D28" s="63" t="n">
        <f aca="false">IF(D$11=0,0,D18/D$11)</f>
        <v>0</v>
      </c>
      <c r="E28" s="63" t="n">
        <f aca="false">IF(E$11=0,0,E18/E$11)</f>
        <v>0.0170209717176423</v>
      </c>
      <c r="F28" s="63" t="n">
        <f aca="false">IF(F$11=0,0,F18/F$11)</f>
        <v>0.0733088474324626</v>
      </c>
      <c r="G28" s="63" t="n">
        <f aca="false">IF(G$11=0,0,G18/G$11)</f>
        <v>0.0865659957798776</v>
      </c>
      <c r="H28" s="63" t="n">
        <f aca="false">IF(H$11=0,0,H18/H$11)</f>
        <v>0.100507466629371</v>
      </c>
      <c r="I28" s="63" t="n">
        <f aca="false">IF(I$11=0,0,I18/I$11)</f>
        <v>0.114676841262166</v>
      </c>
      <c r="J28" s="63" t="n">
        <f aca="false">IF(J$11=0,0,J18/J$11)</f>
        <v>0.129111543876462</v>
      </c>
    </row>
    <row r="29" customFormat="false" ht="15" hidden="false" customHeight="false" outlineLevel="0" collapsed="false">
      <c r="A29" s="0" t="s">
        <v>539</v>
      </c>
      <c r="D29" s="63" t="n">
        <f aca="false">IF(D$11=0,0,D19/D$11)</f>
        <v>0</v>
      </c>
      <c r="E29" s="63" t="n">
        <f aca="false">IF(E$11=0,0,E19/E$11)</f>
        <v>0.000289368885974767</v>
      </c>
      <c r="F29" s="63" t="n">
        <f aca="false">IF(F$11=0,0,F19/F$11)</f>
        <v>0.00252836016548165</v>
      </c>
      <c r="G29" s="63" t="n">
        <f aca="false">IF(G$11=0,0,G19/G$11)</f>
        <v>0.00370620722940637</v>
      </c>
      <c r="H29" s="63" t="n">
        <f aca="false">IF(H$11=0,0,H19/H$11)</f>
        <v>0.00488736043408149</v>
      </c>
      <c r="I29" s="63" t="n">
        <f aca="false">IF(I$11=0,0,I19/I$11)</f>
        <v>0.00623048356345027</v>
      </c>
      <c r="J29" s="63" t="n">
        <f aca="false">IF(J$11=0,0,J19/J$11)</f>
        <v>0.00783282246026985</v>
      </c>
    </row>
    <row r="30" customFormat="false" ht="15" hidden="false" customHeight="false" outlineLevel="0" collapsed="false">
      <c r="A30" s="0" t="s">
        <v>540</v>
      </c>
      <c r="D30" s="63" t="n">
        <f aca="false">IF(D$11=0,0,D20/D$11)</f>
        <v>0</v>
      </c>
      <c r="E30" s="63" t="n">
        <f aca="false">IF(E$11=0,0,E20/E$11)</f>
        <v>0.594805589095601</v>
      </c>
      <c r="F30" s="63" t="n">
        <f aca="false">IF(F$11=0,0,F20/F$11)</f>
        <v>0.471325305593808</v>
      </c>
      <c r="G30" s="63" t="n">
        <f aca="false">IF(G$11=0,0,G20/G$11)</f>
        <v>0.438640171240702</v>
      </c>
      <c r="H30" s="63" t="n">
        <f aca="false">IF(H$11=0,0,H20/H$11)</f>
        <v>0.40141359320896</v>
      </c>
      <c r="I30" s="63" t="n">
        <f aca="false">IF(I$11=0,0,I20/I$11)</f>
        <v>0.374989169389198</v>
      </c>
      <c r="J30" s="63" t="n">
        <f aca="false">IF(J$11=0,0,J20/J$11)</f>
        <v>0.3618328346912</v>
      </c>
    </row>
    <row r="31" customFormat="false" ht="15" hidden="false" customHeight="false" outlineLevel="0" collapsed="false">
      <c r="A31" s="3" t="s">
        <v>541</v>
      </c>
      <c r="D31" s="40" t="n">
        <f aca="false">SUM(D24:D30)</f>
        <v>1</v>
      </c>
      <c r="E31" s="40" t="n">
        <f aca="false">SUM(E24:E30)</f>
        <v>1</v>
      </c>
      <c r="F31" s="40" t="n">
        <f aca="false">SUM(F24:F30)</f>
        <v>1</v>
      </c>
      <c r="G31" s="40" t="n">
        <f aca="false">SUM(G24:G30)</f>
        <v>1</v>
      </c>
      <c r="H31" s="40" t="n">
        <f aca="false">SUM(H24:H30)</f>
        <v>1</v>
      </c>
      <c r="I31" s="40" t="n">
        <f aca="false">SUM(I24:I30)</f>
        <v>1</v>
      </c>
      <c r="J31" s="40" t="n">
        <f aca="false">SUM(J24:J30)</f>
        <v>1</v>
      </c>
    </row>
    <row r="33" customFormat="false" ht="18" hidden="false" customHeight="true" outlineLevel="0" collapsed="false">
      <c r="A33" s="12" t="s">
        <v>542</v>
      </c>
      <c r="B33" s="13"/>
      <c r="C33" s="13"/>
      <c r="D33" s="13"/>
      <c r="E33" s="13"/>
      <c r="F33" s="13"/>
      <c r="G33" s="13"/>
      <c r="H33" s="13"/>
      <c r="I33" s="13"/>
      <c r="J33" s="13"/>
      <c r="K33" s="13"/>
    </row>
    <row r="34" customFormat="false" ht="15" hidden="false" customHeight="false" outlineLevel="0" collapsed="false">
      <c r="A34" s="6" t="s">
        <v>543</v>
      </c>
      <c r="D34" s="37" t="n">
        <f aca="false">SUM(Model!C148:N148)</f>
        <v>1338.62792962237</v>
      </c>
      <c r="E34" s="37" t="n">
        <f aca="false">SUM(Model!O148:Z148)</f>
        <v>5203.33502750807</v>
      </c>
      <c r="F34" s="37" t="n">
        <f aca="false">Model!AA148</f>
        <v>8400.42931649233</v>
      </c>
      <c r="G34" s="37" t="n">
        <f aca="false">Model!AB148</f>
        <v>13202.0847848726</v>
      </c>
      <c r="H34" s="37" t="n">
        <f aca="false">Model!AC148</f>
        <v>19117.6906132962</v>
      </c>
      <c r="I34" s="37" t="n">
        <f aca="false">Model!AD148</f>
        <v>24372.9147329626</v>
      </c>
      <c r="J34" s="37" t="n">
        <f aca="false">Model!AE148</f>
        <v>27855.6078665607</v>
      </c>
    </row>
    <row r="35" customFormat="false" ht="15" hidden="false" customHeight="false" outlineLevel="0" collapsed="false">
      <c r="A35" s="3" t="s">
        <v>544</v>
      </c>
      <c r="D35" s="64" t="n">
        <f aca="false">Model!N145</f>
        <v>1012.54343858223</v>
      </c>
      <c r="E35" s="64" t="n">
        <f aca="false">Model!Z145</f>
        <v>4525.96881387523</v>
      </c>
      <c r="F35" s="64" t="n">
        <f aca="false">Model!AA145</f>
        <v>8719.20796642382</v>
      </c>
      <c r="G35" s="64" t="n">
        <f aca="false">Model!AB145</f>
        <v>14586.4925023412</v>
      </c>
      <c r="H35" s="64" t="n">
        <f aca="false">Model!AC145</f>
        <v>22200.6296965966</v>
      </c>
      <c r="I35" s="64" t="n">
        <f aca="false">Model!AD145</f>
        <v>30285.783669999</v>
      </c>
      <c r="J35" s="64" t="n">
        <f aca="false">Model!AE145</f>
        <v>37315.4527102112</v>
      </c>
    </row>
    <row r="36" customFormat="false" ht="15" hidden="false" customHeight="false" outlineLevel="0" collapsed="false">
      <c r="A36" s="6" t="s">
        <v>545</v>
      </c>
      <c r="D36" s="37" t="n">
        <f aca="false">Model!N146</f>
        <v>326.084491040137</v>
      </c>
      <c r="E36" s="37" t="n">
        <f aca="false">Model!Z146</f>
        <v>2015.99414325522</v>
      </c>
      <c r="F36" s="37" t="n">
        <f aca="false">Model!AA146</f>
        <v>6223.18430719895</v>
      </c>
      <c r="G36" s="37" t="n">
        <f aca="false">Model!AB146</f>
        <v>13557.9845561542</v>
      </c>
      <c r="H36" s="37" t="n">
        <f aca="false">Model!AC146</f>
        <v>25061.5379751949</v>
      </c>
      <c r="I36" s="37" t="n">
        <f aca="false">Model!AD146</f>
        <v>41349.2987347551</v>
      </c>
      <c r="J36" s="37" t="n">
        <f aca="false">Model!AE146</f>
        <v>62175.2375611036</v>
      </c>
    </row>
    <row r="37" customFormat="false" ht="15" hidden="false" customHeight="false" outlineLevel="0" collapsed="false">
      <c r="A37" s="6" t="s">
        <v>488</v>
      </c>
      <c r="D37" s="37" t="n">
        <f aca="false">Model!N147</f>
        <v>1338.62792962237</v>
      </c>
      <c r="E37" s="37" t="n">
        <f aca="false">Model!Z147</f>
        <v>6541.96295713044</v>
      </c>
      <c r="F37" s="37" t="n">
        <f aca="false">Model!AA147</f>
        <v>14942.3922736228</v>
      </c>
      <c r="G37" s="37" t="n">
        <f aca="false">Model!AB147</f>
        <v>28144.4770584954</v>
      </c>
      <c r="H37" s="37" t="n">
        <f aca="false">Model!AC147</f>
        <v>47262.1676717915</v>
      </c>
      <c r="I37" s="37" t="n">
        <f aca="false">Model!AD147</f>
        <v>71635.0824047541</v>
      </c>
      <c r="J37" s="37" t="n">
        <f aca="false">Model!AE147</f>
        <v>99490.6902713148</v>
      </c>
    </row>
    <row r="38" customFormat="false" ht="15" hidden="false" customHeight="false" outlineLevel="0" collapsed="false">
      <c r="A38" s="6" t="s">
        <v>546</v>
      </c>
      <c r="D38" s="37" t="n">
        <f aca="false">Model!N149</f>
        <v>0</v>
      </c>
      <c r="E38" s="37" t="n">
        <f aca="false">Model!Z149</f>
        <v>296.238839379804</v>
      </c>
      <c r="F38" s="37" t="n">
        <f aca="false">Model!AA149</f>
        <v>1479.29683508865</v>
      </c>
      <c r="G38" s="37" t="n">
        <f aca="false">Model!AB149</f>
        <v>2786.30322879104</v>
      </c>
      <c r="H38" s="37" t="n">
        <f aca="false">Model!AC149</f>
        <v>4678.95459950736</v>
      </c>
      <c r="I38" s="37" t="n">
        <f aca="false">Model!AD149</f>
        <v>7091.87315807066</v>
      </c>
      <c r="J38" s="37" t="n">
        <f aca="false">Model!AE149</f>
        <v>9849.57833686016</v>
      </c>
    </row>
    <row r="39" customFormat="false" ht="15" hidden="false" customHeight="false" outlineLevel="0" collapsed="false">
      <c r="A39" s="6" t="s">
        <v>547</v>
      </c>
      <c r="D39" s="37" t="n">
        <f aca="false">Model!N151</f>
        <v>1508.82908063099</v>
      </c>
      <c r="E39" s="37" t="n">
        <f aca="false">Model!Z151</f>
        <v>8310.10632523785</v>
      </c>
      <c r="F39" s="37" t="n">
        <f aca="false">Model!AA151</f>
        <v>26919.8579208016</v>
      </c>
      <c r="G39" s="37" t="n">
        <f aca="false">Model!AB151</f>
        <v>53881.3629482092</v>
      </c>
      <c r="H39" s="37" t="n">
        <f aca="false">Model!AC151</f>
        <v>89609.9457199556</v>
      </c>
      <c r="I39" s="37" t="n">
        <f aca="false">Model!AD151</f>
        <v>131510.629369433</v>
      </c>
      <c r="J39" s="37" t="n">
        <f aca="false">Model!AE151</f>
        <v>174777.77159115</v>
      </c>
    </row>
    <row r="40" customFormat="false" ht="15" hidden="false" customHeight="false" outlineLevel="0" collapsed="false">
      <c r="A40" s="3" t="s">
        <v>548</v>
      </c>
      <c r="D40" s="62" t="n">
        <f aca="false">Model!N158</f>
        <v>213438.96174606</v>
      </c>
      <c r="E40" s="62" t="n">
        <f aca="false">Model!Z158</f>
        <v>1270766.99967037</v>
      </c>
      <c r="F40" s="62" t="n">
        <f aca="false">Model!AA158</f>
        <v>4449977.39714459</v>
      </c>
      <c r="G40" s="62" t="n">
        <f aca="false">Model!AB158</f>
        <v>9628293.23380596</v>
      </c>
      <c r="H40" s="62" t="n">
        <f aca="false">Model!AC158</f>
        <v>17309823.667829</v>
      </c>
      <c r="I40" s="62" t="n">
        <f aca="false">Model!AD158</f>
        <v>27461419.3240532</v>
      </c>
      <c r="J40" s="62" t="n">
        <f aca="false">Model!AE158</f>
        <v>39452453.3771514</v>
      </c>
    </row>
    <row r="41" customFormat="false" ht="15" hidden="false" customHeight="false" outlineLevel="0" collapsed="false">
      <c r="A41" s="6" t="s">
        <v>549</v>
      </c>
      <c r="D41" s="37" t="n">
        <f aca="false">Model!N150</f>
        <v>1452.54727924063</v>
      </c>
      <c r="E41" s="37" t="n">
        <f aca="false">Model!Z150</f>
        <v>7817.95188429086</v>
      </c>
      <c r="F41" s="37" t="n">
        <f aca="false">Model!AA150</f>
        <v>25548.6925371541</v>
      </c>
      <c r="G41" s="37" t="n">
        <f aca="false">Model!AB150</f>
        <v>49617.6094811976</v>
      </c>
      <c r="H41" s="37" t="n">
        <f aca="false">Model!AC150</f>
        <v>79950.4296637671</v>
      </c>
      <c r="I41" s="37" t="n">
        <f aca="false">Model!AD150</f>
        <v>113565.364993544</v>
      </c>
      <c r="J41" s="37" t="n">
        <f aca="false">Model!AE150</f>
        <v>145717.396509327</v>
      </c>
    </row>
    <row r="42" customFormat="false" ht="15" hidden="false" customHeight="false" outlineLevel="0" collapsed="false">
      <c r="A42" s="3" t="s">
        <v>550</v>
      </c>
      <c r="D42" s="62" t="n">
        <f aca="false">Model!N153</f>
        <v>205477.33812138</v>
      </c>
      <c r="E42" s="62" t="n">
        <f aca="false">Model!Z153</f>
        <v>1195507.59890948</v>
      </c>
      <c r="F42" s="62" t="n">
        <f aca="false">Model!AA153</f>
        <v>4223317.39830918</v>
      </c>
      <c r="G42" s="62" t="n">
        <f aca="false">Model!AB153</f>
        <v>8866384.72944046</v>
      </c>
      <c r="H42" s="62" t="n">
        <f aca="false">Model!AC153</f>
        <v>15443908.9157799</v>
      </c>
      <c r="I42" s="62" t="n">
        <f aca="false">Model!AD153</f>
        <v>23714175.2246966</v>
      </c>
      <c r="J42" s="62" t="n">
        <f aca="false">Model!AE153</f>
        <v>32892677.0245833</v>
      </c>
    </row>
    <row r="43" customFormat="false" ht="15" hidden="false" customHeight="false" outlineLevel="0" collapsed="false">
      <c r="A43" s="6" t="s">
        <v>513</v>
      </c>
      <c r="D43" s="36" t="n">
        <f aca="false">Model!N178</f>
        <v>44.0510450427702</v>
      </c>
      <c r="E43" s="36" t="n">
        <f aca="false">Model!Z178</f>
        <v>90.8303462202079</v>
      </c>
      <c r="F43" s="36" t="n">
        <f aca="false">Model!AA178</f>
        <v>97.3334679034458</v>
      </c>
      <c r="G43" s="36" t="n">
        <f aca="false">Model!AB178</f>
        <v>93.7760584760645</v>
      </c>
      <c r="H43" s="36" t="n">
        <f aca="false">Model!AC178</f>
        <v>89.7702881090575</v>
      </c>
      <c r="I43" s="36" t="n">
        <f aca="false">Model!AD178</f>
        <v>88.0526558475556</v>
      </c>
      <c r="J43" s="36" t="n">
        <f aca="false">Model!AE178</f>
        <v>88.8760115321793</v>
      </c>
    </row>
    <row r="45" customFormat="false" ht="15" hidden="false" customHeight="false" outlineLevel="0" collapsed="false">
      <c r="A45" s="9" t="s">
        <v>551</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2026-08-21T10:26:33Z</dcterms:created>
  <dc:creator>openpyxl</dc:creator>
  <dc:description/>
  <dc:language>en-US</dc:language>
  <cp:lastModifiedBy/>
  <dcterms:modified xsi:type="dcterms:W3CDTF">2026-08-21T10:26:33Z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