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Scenario Parameters" sheetId="3" state="visible" r:id="rId3"/>
    <sheet xmlns:r="http://schemas.openxmlformats.org/officeDocument/2006/relationships" name="Model" sheetId="4" state="visible" r:id="rId4"/>
    <sheet xmlns:r="http://schemas.openxmlformats.org/officeDocument/2006/relationships" name="Summary" sheetId="5" state="visible" r:id="rId5"/>
  </sheets>
  <definedNames>
    <definedName name="act_gulf">Assumptions!$B$56</definedName>
    <definedName name="act_india">Assumptions!$B$57</definedName>
    <definedName name="act_referral">Assumptions!$B$55</definedName>
    <definedName name="act_s0">Assumptions!$B$49</definedName>
    <definedName name="act_s1a">Assumptions!$B$47</definedName>
    <definedName name="act_s1b">Assumptions!$B$48</definedName>
    <definedName name="act_s2">Assumptions!$B$51</definedName>
    <definedName name="act_s3">Assumptions!$B$50</definedName>
    <definedName name="act_s4">Assumptions!$B$52</definedName>
    <definedName name="act_s5">Assumptions!$B$53</definedName>
    <definedName name="act_s6">Assumptions!$B$54</definedName>
    <definedName name="aed_usd">Assumptions!$B$7</definedName>
    <definedName name="agent_commission">'Scenario Parameters'!$B$113</definedName>
    <definedName name="agent_productivity">'Scenario Parameters'!$B$17</definedName>
    <definedName name="agents_gulf_y1">Assumptions!$B$100</definedName>
    <definedName name="agents_gulf_y2">Assumptions!$B$101</definedName>
    <definedName name="agents_gulf_y3">Assumptions!$B$102</definedName>
    <definedName name="agents_gulf_y4">Assumptions!$B$103</definedName>
    <definedName name="agents_gulf_y5">Assumptions!$B$104</definedName>
    <definedName name="agents_gulf_y6">Assumptions!$B$105</definedName>
    <definedName name="agents_gulf_y7">Assumptions!$B$106</definedName>
    <definedName name="agents_india_y1">Assumptions!$B$107</definedName>
    <definedName name="agents_india_y2">Assumptions!$B$108</definedName>
    <definedName name="agents_india_y3">Assumptions!$B$109</definedName>
    <definedName name="agents_india_y4">Assumptions!$B$110</definedName>
    <definedName name="agents_india_y5">Assumptions!$B$111</definedName>
    <definedName name="agents_india_y6">Assumptions!$B$112</definedName>
    <definedName name="agents_india_y7">Assumptions!$B$113</definedName>
    <definedName name="agents_uae_y1">Assumptions!$B$93</definedName>
    <definedName name="agents_uae_y2">Assumptions!$B$94</definedName>
    <definedName name="agents_uae_y3">Assumptions!$B$95</definedName>
    <definedName name="agents_uae_y4">Assumptions!$B$96</definedName>
    <definedName name="agents_uae_y5">Assumptions!$B$97</definedName>
    <definedName name="agents_uae_y6">Assumptions!$B$98</definedName>
    <definedName name="agents_uae_y7">Assumptions!$B$99</definedName>
    <definedName name="atm_a1500">'Scenario Parameters'!$B$55</definedName>
    <definedName name="atm_a3000">'Scenario Parameters'!$B$56</definedName>
    <definedName name="atm_a3000p">'Scenario Parameters'!$B$57</definedName>
    <definedName name="atm_a500">'Scenario Parameters'!$B$54</definedName>
    <definedName name="atm_allowance">Assumptions!$B$18</definedName>
    <definedName name="atm_fee">Assumptions!$B$19</definedName>
    <definedName name="atmm_a1500">'Scenario Parameters'!$B$59</definedName>
    <definedName name="atmm_a3000">'Scenario Parameters'!$B$60</definedName>
    <definedName name="atmm_a3000p">'Scenario Parameters'!$B$61</definedName>
    <definedName name="atmm_a500">'Scenario Parameters'!$B$58</definedName>
    <definedName name="audit_usd">'Scenario Parameters'!$B$106</definedName>
    <definedName name="aum_per_partner">'Scenario Parameters'!$B$83</definedName>
    <definedName name="aum_per_partner_user">'Scenario Parameters'!$B$82</definedName>
    <definedName name="b2b_fee">'Scenario Parameters'!$B$79</definedName>
    <definedName name="bar_grams">Assumptions!$B$10</definedName>
    <definedName name="benef_count">'Scenario Parameters'!$B$70</definedName>
    <definedName name="benef_fee">Assumptions!$B$26</definedName>
    <definedName name="cac7_gulf">'Scenario Parameters'!$B$22</definedName>
    <definedName name="cac7_india">'Scenario Parameters'!$B$23</definedName>
    <definedName name="cac7_uae">'Scenario Parameters'!$B$21</definedName>
    <definedName name="cac_gulf">'Scenario Parameters'!$B$19</definedName>
    <definedName name="cac_india">'Scenario Parameters'!$B$20</definedName>
    <definedName name="cac_uae">'Scenario Parameters'!$B$18</definedName>
    <definedName name="card_activation">'Scenario Parameters'!$B$49</definedName>
    <definedName name="card_fixed_usd">'Scenario Parameters'!$B$115</definedName>
    <definedName name="card_fraud_bps">'Scenario Parameters'!$B$119</definedName>
    <definedName name="card_per_auth">'Scenario Parameters'!$B$118</definedName>
    <definedName name="card_per_card">'Scenario Parameters'!$B$117</definedName>
    <definedName name="card_setup_usd">'Scenario Parameters'!$B$116</definedName>
    <definedName name="card_txns_per_draw">'Scenario Parameters'!$B$50</definedName>
    <definedName name="ceil_gulf">Assumptions!$B$85</definedName>
    <definedName name="ceil_india">Assumptions!$B$86</definedName>
    <definedName name="ceil_total">Assumptions!$B$87</definedName>
    <definedName name="ceil_uae">Assumptions!$B$84</definedName>
    <definedName name="cost_contingency">'Scenario Parameters'!$B$127</definedName>
    <definedName name="decline_uplift">Assumptions!$B$16</definedName>
    <definedName name="disc_card">'Scenario Parameters'!$B$110</definedName>
    <definedName name="disc_entry">'Scenario Parameters'!$B$109</definedName>
    <definedName name="disc_family">'Scenario Parameters'!$B$112</definedName>
    <definedName name="disc_rebate">'Scenario Parameters'!$B$111</definedName>
    <definedName name="dmcc_annual_aed">'Scenario Parameters'!$B$99</definedName>
    <definedName name="dmcc_setup_aed">'Scenario Parameters'!$B$100</definedName>
    <definedName name="draw_events">'Scenario Parameters'!$B$67</definedName>
    <definedName name="drawn_share">'Scenario Parameters'!$B$65</definedName>
    <definedName name="entry_fee">Assumptions!$B$8</definedName>
    <definedName name="ever_qualify">'Scenario Parameters'!$B$34</definedName>
    <definedName name="fab_premium">Assumptions!$B$9</definedName>
    <definedName name="facility_turnover">'Scenario Parameters'!$B$66</definedName>
    <definedName name="family_attach">'Scenario Parameters'!$B$68</definedName>
    <definedName name="family_churn">'Scenario Parameters'!$B$69</definedName>
    <definedName name="family_churn_m">'Scenario Parameters'!$B$71</definedName>
    <definedName name="family_price">Assumptions!$B$25</definedName>
    <definedName name="float_buffer_days">'Scenario Parameters'!$B$11</definedName>
    <definedName name="foreign_spend_share">'Scenario Parameters'!$B$51</definedName>
    <definedName name="fx_margin">Assumptions!$B$17</definedName>
    <definedName name="gate_run">Assumptions!$B$42</definedName>
    <definedName name="gold_cagr">'Scenario Parameters'!$B$10</definedName>
    <definedName name="gold_price">Assumptions!$B$6</definedName>
    <definedName name="ic_gold">Assumptions!$B$14</definedName>
    <definedName name="insurance_usd">'Scenario Parameters'!$B$105</definedName>
    <definedName name="issuance_fee">Assumptions!$B$20</definedName>
    <definedName name="kyc_min_month">'Scenario Parameters'!$B$128</definedName>
    <definedName name="kyc_per_check">'Scenario Parameters'!$B$101</definedName>
    <definedName name="lapsed_redemption_mult">'Scenario Parameters'!$B$41</definedName>
    <definedName name="launch_audit_usd">'Scenario Parameters'!$B$108</definedName>
    <definedName name="ltv_gold">Assumptions!$B$31</definedName>
    <definedName name="mktg_y1">Assumptions!$B$114</definedName>
    <definedName name="mktg_y2">Assumptions!$B$115</definedName>
    <definedName name="mktg_y3">Assumptions!$B$116</definedName>
    <definedName name="mktg_y4">Assumptions!$B$117</definedName>
    <definedName name="mktg_y5">Assumptions!$B$118</definedName>
    <definedName name="mktg_y6">Assumptions!$B$119</definedName>
    <definedName name="mktg_y7">Assumptions!$B$120</definedName>
    <definedName name="mktshare_gulf">'Scenario Parameters'!$B$25</definedName>
    <definedName name="mktshare_india">'Scenario Parameters'!$B$26</definedName>
    <definedName name="mktshare_uae">'Scenario Parameters'!$B$24</definedName>
    <definedName name="monthly_churn">'Scenario Parameters'!$B$16</definedName>
    <definedName name="months_to_qualify">'Scenario Parameters'!$B$35</definedName>
    <definedName name="nla_months">'Scenario Parameters'!$B$104</definedName>
    <definedName name="organic_share">'Scenario Parameters'!$B$29</definedName>
    <definedName name="origination_gross">Assumptions!$B$27</definedName>
    <definedName name="origination_share">Assumptions!$B$28</definedName>
    <definedName name="paidup_activity_aed">'Scenario Parameters'!$B$103</definedName>
    <definedName name="paidup_issuance_aed">'Scenario Parameters'!$B$102</definedName>
    <definedName name="partner_adoption">'Scenario Parameters'!$B$81</definedName>
    <definedName name="partner_users">'Scenario Parameters'!$B$80</definedName>
    <definedName name="partners_y1">'Scenario Parameters'!$B$72</definedName>
    <definedName name="partners_y2">'Scenario Parameters'!$B$73</definedName>
    <definedName name="partners_y3">'Scenario Parameters'!$B$74</definedName>
    <definedName name="partners_y4">'Scenario Parameters'!$B$75</definedName>
    <definedName name="partners_y5">'Scenario Parameters'!$B$76</definedName>
    <definedName name="partners_y6">'Scenario Parameters'!$B$77</definedName>
    <definedName name="partners_y7">'Scenario Parameters'!$B$78</definedName>
    <definedName name="persistency_m13">'Scenario Parameters'!$B$15</definedName>
    <definedName name="pm_share">'Scenario Parameters'!$B$48</definedName>
    <definedName name="prefund_days">'Scenario Parameters'!$B$122</definedName>
    <definedName name="prefund_floor">'Scenario Parameters'!$B$123</definedName>
    <definedName name="ramp_y1">Assumptions!$B$121</definedName>
    <definedName name="ramp_y2">Assumptions!$B$122</definedName>
    <definedName name="ramp_y3">Assumptions!$B$123</definedName>
    <definedName name="ramp_y4">Assumptions!$B$124</definedName>
    <definedName name="ramp_y5">Assumptions!$B$125</definedName>
    <definedName name="ramp_y6">Assumptions!$B$126</definedName>
    <definedName name="ramp_y7">Assumptions!$B$127</definedName>
    <definedName name="redemption_cost">Assumptions!$B$43</definedName>
    <definedName name="redemption_rate">'Scenario Parameters'!$B$40</definedName>
    <definedName name="referral_conversion">'Scenario Parameters'!$B$28</definedName>
    <definedName name="referral_rate">'Scenario Parameters'!$B$27</definedName>
    <definedName name="referral_reward">'Scenario Parameters'!$B$114</definedName>
    <definedName name="reissue_rate">'Scenario Parameters'!$B$52</definedName>
    <definedName name="replacement_events">'Scenario Parameters'!$B$53</definedName>
    <definedName name="replacement_fee">Assumptions!$B$21</definedName>
    <definedName name="scenario_index">'Scenario Parameters'!$C$6</definedName>
    <definedName name="seas_sum_acq">Model!$C$14</definedName>
    <definedName name="seas_sum_spend">Model!$D$14</definedName>
    <definedName name="seasonality_amplitude">'Scenario Parameters'!$B$30</definedName>
    <definedName name="self_custody_leakage">'Scenario Parameters'!$B$39</definedName>
    <definedName name="servicing_gross">Assumptions!$B$29</definedName>
    <definedName name="servicing_share">Assumptions!$B$30</definedName>
    <definedName name="sip_floor">Assumptions!$B$41</definedName>
    <definedName name="spot_attach_mult">'Scenario Parameters'!$B$42</definedName>
    <definedName name="spot_frequency">'Scenario Parameters'!$B$44</definedName>
    <definedName name="spot_ticket_mult">'Scenario Parameters'!$B$43</definedName>
    <definedName name="spotattach_gulf">Assumptions!$B$36</definedName>
    <definedName name="spotattach_india">Assumptions!$B$37</definedName>
    <definedName name="spotattach_uae">Assumptions!$B$35</definedName>
    <definedName name="spotticket_gulf">Assumptions!$B$33</definedName>
    <definedName name="spotticket_india">Assumptions!$B$34</definedName>
    <definedName name="spotticket_uae">Assumptions!$B$32</definedName>
    <definedName name="storage_min_day">'Scenario Parameters'!$B$96</definedName>
    <definedName name="storage_rate">'Scenario Parameters'!$B$95</definedName>
    <definedName name="sw_lapsed_keeps_card">'Scenario Parameters'!$B$131</definedName>
    <definedName name="sw_premium_absorbed">'Scenario Parameters'!$B$132</definedName>
    <definedName name="sw_premium_on_gross">'Scenario Parameters'!$B$133</definedName>
    <definedName name="sw_prepaid_vs_credit">'Scenario Parameters'!$B$130</definedName>
    <definedName name="tech_build_y1">'Scenario Parameters'!$B$124</definedName>
    <definedName name="tech_build_y2">'Scenario Parameters'!$B$125</definedName>
    <definedName name="tech_maint">'Scenario Parameters'!$B$126</definedName>
    <definedName name="techaudit_usd">'Scenario Parameters'!$B$107</definedName>
    <definedName name="ticket_gulf">'Scenario Parameters'!$B$88</definedName>
    <definedName name="ticket_india">'Scenario Parameters'!$B$89</definedName>
    <definedName name="ticket_uae">'Scenario Parameters'!$B$87</definedName>
    <definedName name="txn_fee">Assumptions!$B$15</definedName>
    <definedName name="uae_spend_abroad">'Scenario Parameters'!$B$121</definedName>
    <definedName name="vara_application_aed">'Scenario Parameters'!$B$98</definedName>
    <definedName name="vara_supervision_aed">'Scenario Parameters'!$B$97</definedName>
    <definedName name="xborder_rate">'Scenario Parameters'!$B$120</definedName>
    <definedName name="xchk_uae_obs">Assumptions!$B$89</definedName>
  </definedNames>
  <calcPr calcId="124519" fullCalcOnLoad="1"/>
</workbook>
</file>

<file path=xl/styles.xml><?xml version="1.0" encoding="utf-8"?>
<styleSheet xmlns="http://schemas.openxmlformats.org/spreadsheetml/2006/main">
  <numFmts count="9">
    <numFmt numFmtId="164" formatCode="mmmm yyyy"/>
    <numFmt numFmtId="165" formatCode="#,##0.00;(#,##0.00);&quot;-&quot;"/>
    <numFmt numFmtId="166" formatCode="#,##0;(#,##0);&quot;-&quot;"/>
    <numFmt numFmtId="167" formatCode="$#,##0.00;($#,##0.00);&quot;-&quot;"/>
    <numFmt numFmtId="168" formatCode="0.0%"/>
    <numFmt numFmtId="169" formatCode="$#,##0;($#,##0);&quot;-&quot;"/>
    <numFmt numFmtId="170" formatCode="0.00&quot;x&quot;"/>
    <numFmt numFmtId="171" formatCode="0.000%"/>
    <numFmt numFmtId="172" formatCode="#,##0.000"/>
  </numFmts>
  <fonts count="16">
    <font>
      <name val="Calibri"/>
      <family val="2"/>
      <color theme="1"/>
      <sz val="11"/>
      <scheme val="minor"/>
    </font>
    <font>
      <b val="1"/>
      <color rgb="00B8956E"/>
      <sz val="24"/>
    </font>
    <font>
      <color rgb="001A1714"/>
      <sz val="16"/>
    </font>
    <font>
      <b val="1"/>
      <color rgb="00000000"/>
    </font>
    <font>
      <color rgb="000000FF"/>
    </font>
    <font>
      <color rgb="00000000"/>
    </font>
    <font>
      <color rgb="00009B73"/>
    </font>
    <font>
      <b val="1"/>
      <color rgb="00C00000"/>
    </font>
    <font>
      <i val="1"/>
      <color rgb="0096734A"/>
      <sz val="9"/>
    </font>
    <font>
      <b val="1"/>
      <color rgb="00B8956E"/>
      <sz val="18"/>
    </font>
    <font>
      <b val="1"/>
      <color rgb="001A1714"/>
      <sz val="14"/>
    </font>
    <font>
      <b val="1"/>
      <color rgb="00FFFFFF"/>
      <sz val="11"/>
    </font>
    <font>
      <b val="1"/>
      <color rgb="001A1714"/>
      <sz val="10"/>
    </font>
    <font>
      <color rgb="0096734A"/>
      <sz val="9"/>
    </font>
    <font>
      <b val="1"/>
      <color rgb="000000FF"/>
    </font>
    <font>
      <b val="1"/>
      <color rgb="001A1714"/>
      <sz val="11"/>
    </font>
  </fonts>
  <fills count="5">
    <fill>
      <patternFill/>
    </fill>
    <fill>
      <patternFill patternType="gray125"/>
    </fill>
    <fill>
      <patternFill patternType="solid">
        <fgColor rgb="001A1714"/>
      </patternFill>
    </fill>
    <fill>
      <patternFill patternType="solid">
        <fgColor rgb="00D4CFC8"/>
      </patternFill>
    </fill>
    <fill>
      <patternFill patternType="solid">
        <fgColor rgb="00E8E4DF"/>
      </patternFill>
    </fill>
  </fills>
  <borders count="3">
    <border>
      <left/>
      <right/>
      <top/>
      <bottom/>
      <diagonal/>
    </border>
    <border>
      <left style="thin">
        <color rgb="00D4CFC8"/>
      </left>
      <right style="thin">
        <color rgb="00D4CFC8"/>
      </right>
      <top style="thin">
        <color rgb="00D4CFC8"/>
      </top>
      <bottom style="thin">
        <color rgb="00D4CFC8"/>
      </bottom>
    </border>
    <border>
      <top style="thin">
        <color rgb="00B8956E"/>
      </top>
      <bottom style="double">
        <color rgb="00B8956E"/>
      </bottom>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2" borderId="0" pivotButton="0" quotePrefix="0" xfId="0"/>
    <xf numFmtId="0" fontId="0" fillId="2" borderId="0" pivotButton="0" quotePrefix="0" xfId="0"/>
    <xf numFmtId="0" fontId="12" fillId="3" borderId="1" pivotButton="0" quotePrefix="0" xfId="0"/>
    <xf numFmtId="165" fontId="4" fillId="0" borderId="0" pivotButton="0" quotePrefix="0" xfId="0"/>
    <xf numFmtId="10" fontId="4" fillId="0" borderId="0" pivotButton="0" quotePrefix="0" xfId="0"/>
    <xf numFmtId="166" fontId="4" fillId="0" borderId="0" pivotButton="0" quotePrefix="0" xfId="0"/>
    <xf numFmtId="167" fontId="4" fillId="0" borderId="0" pivotButton="0" quotePrefix="0" xfId="0"/>
    <xf numFmtId="168" fontId="4" fillId="0" borderId="0" pivotButton="0" quotePrefix="0" xfId="0"/>
    <xf numFmtId="169" fontId="4" fillId="0" borderId="0" pivotButton="0" quotePrefix="0" xfId="0"/>
    <xf numFmtId="0" fontId="12" fillId="3" borderId="0" applyAlignment="1" pivotButton="0" quotePrefix="0" xfId="0">
      <alignment horizontal="center"/>
    </xf>
    <xf numFmtId="165" fontId="4" fillId="0" borderId="0" applyAlignment="1" pivotButton="0" quotePrefix="0" xfId="0">
      <alignment horizontal="center"/>
    </xf>
    <xf numFmtId="0" fontId="13" fillId="0" borderId="0" pivotButton="0" quotePrefix="0" xfId="0"/>
    <xf numFmtId="0" fontId="12" fillId="3" borderId="0" pivotButton="0" quotePrefix="0" xfId="0"/>
    <xf numFmtId="0" fontId="12" fillId="3" borderId="0" applyAlignment="1" pivotButton="0" quotePrefix="0" xfId="0">
      <alignment horizontal="center" wrapText="1"/>
    </xf>
    <xf numFmtId="166" fontId="4" fillId="0" borderId="0" applyAlignment="1" pivotButton="0" quotePrefix="0" xfId="0">
      <alignment horizontal="center"/>
    </xf>
    <xf numFmtId="168" fontId="4" fillId="0" borderId="0" applyAlignment="1" pivotButton="0" quotePrefix="0" xfId="0">
      <alignment horizontal="center"/>
    </xf>
    <xf numFmtId="166" fontId="3" fillId="0" borderId="0" applyAlignment="1" pivotButton="0" quotePrefix="0" xfId="0">
      <alignment horizontal="center"/>
    </xf>
    <xf numFmtId="10" fontId="4" fillId="0" borderId="0" applyAlignment="1" pivotButton="0" quotePrefix="0" xfId="0">
      <alignment horizontal="center"/>
    </xf>
    <xf numFmtId="0" fontId="13" fillId="0" borderId="0" applyAlignment="1" pivotButton="0" quotePrefix="0" xfId="0">
      <alignment horizontal="center"/>
    </xf>
    <xf numFmtId="166" fontId="3" fillId="0" borderId="0" pivotButton="0" quotePrefix="0" xfId="0"/>
    <xf numFmtId="170" fontId="3" fillId="0" borderId="0" pivotButton="0" quotePrefix="0" xfId="0"/>
    <xf numFmtId="10" fontId="6" fillId="0" borderId="0" pivotButton="0" quotePrefix="0" xfId="0"/>
    <xf numFmtId="166" fontId="6" fillId="0" borderId="0" pivotButton="0" quotePrefix="0" xfId="0"/>
    <xf numFmtId="168" fontId="6" fillId="0" borderId="0" pivotButton="0" quotePrefix="0" xfId="0"/>
    <xf numFmtId="165" fontId="6" fillId="0" borderId="0" pivotButton="0" quotePrefix="0" xfId="0"/>
    <xf numFmtId="169" fontId="6" fillId="0" borderId="0" pivotButton="0" quotePrefix="0" xfId="0"/>
    <xf numFmtId="171" fontId="6" fillId="0" borderId="0" pivotButton="0" quotePrefix="0" xfId="0"/>
    <xf numFmtId="167" fontId="6" fillId="0" borderId="0" pivotButton="0" quotePrefix="0" xfId="0"/>
    <xf numFmtId="0" fontId="14" fillId="0" borderId="0" pivotButton="0" quotePrefix="0" xfId="0"/>
    <xf numFmtId="10" fontId="3" fillId="0" borderId="0" pivotButton="0" quotePrefix="0" xfId="0"/>
    <xf numFmtId="168" fontId="3" fillId="0" borderId="0" pivotButton="0" quotePrefix="0" xfId="0"/>
    <xf numFmtId="165" fontId="3" fillId="0" borderId="0" pivotButton="0" quotePrefix="0" xfId="0"/>
    <xf numFmtId="169" fontId="3" fillId="0" borderId="0" pivotButton="0" quotePrefix="0" xfId="0"/>
    <xf numFmtId="171" fontId="3" fillId="0" borderId="0" pivotButton="0" quotePrefix="0" xfId="0"/>
    <xf numFmtId="171" fontId="4" fillId="0" borderId="0" pivotButton="0" quotePrefix="0" xfId="0"/>
    <xf numFmtId="167" fontId="3" fillId="0" borderId="0" pivotButton="0" quotePrefix="0" xfId="0"/>
    <xf numFmtId="0" fontId="3" fillId="0" borderId="0" applyAlignment="1" pivotButton="0" quotePrefix="0" xfId="0">
      <alignment horizontal="center"/>
    </xf>
    <xf numFmtId="0" fontId="5" fillId="0" borderId="0" applyAlignment="1" pivotButton="0" quotePrefix="0" xfId="0">
      <alignment horizontal="center"/>
    </xf>
    <xf numFmtId="166" fontId="5" fillId="0" borderId="0" applyAlignment="1" pivotButton="0" quotePrefix="0" xfId="0">
      <alignment horizontal="center"/>
    </xf>
    <xf numFmtId="0" fontId="15" fillId="4" borderId="0" pivotButton="0" quotePrefix="0" xfId="0"/>
    <xf numFmtId="0" fontId="0" fillId="4" borderId="0" pivotButton="0" quotePrefix="0" xfId="0"/>
    <xf numFmtId="172" fontId="6" fillId="0" borderId="0" applyAlignment="1" pivotButton="0" quotePrefix="0" xfId="0">
      <alignment horizontal="center"/>
    </xf>
    <xf numFmtId="168" fontId="6" fillId="0" borderId="0" applyAlignment="1" pivotButton="0" quotePrefix="0" xfId="0">
      <alignment horizontal="center"/>
    </xf>
    <xf numFmtId="172" fontId="3" fillId="0" borderId="0" pivotButton="0" quotePrefix="0" xfId="0"/>
    <xf numFmtId="172" fontId="5" fillId="0" borderId="0" applyAlignment="1" pivotButton="0" quotePrefix="0" xfId="0">
      <alignment horizontal="center"/>
    </xf>
    <xf numFmtId="168" fontId="5" fillId="0" borderId="0" applyAlignment="1" pivotButton="0" quotePrefix="0" xfId="0">
      <alignment horizontal="center"/>
    </xf>
    <xf numFmtId="165" fontId="6" fillId="0" borderId="0" applyAlignment="1" pivotButton="0" quotePrefix="0" xfId="0">
      <alignment horizontal="center"/>
    </xf>
    <xf numFmtId="167" fontId="5" fillId="0" borderId="0" applyAlignment="1" pivotButton="0" quotePrefix="0" xfId="0">
      <alignment horizontal="center"/>
    </xf>
    <xf numFmtId="165" fontId="5" fillId="0" borderId="0" applyAlignment="1" pivotButton="0" quotePrefix="0" xfId="0">
      <alignment horizontal="center"/>
    </xf>
    <xf numFmtId="169" fontId="5" fillId="0" borderId="0" applyAlignment="1" pivotButton="0" quotePrefix="0" xfId="0">
      <alignment horizontal="center"/>
    </xf>
    <xf numFmtId="10" fontId="5" fillId="0" borderId="0" applyAlignment="1" pivotButton="0" quotePrefix="0" xfId="0">
      <alignment horizontal="center"/>
    </xf>
    <xf numFmtId="169" fontId="3" fillId="0" borderId="0" applyAlignment="1" pivotButton="0" quotePrefix="0" xfId="0">
      <alignment horizontal="center"/>
    </xf>
    <xf numFmtId="166" fontId="13" fillId="0" borderId="0" applyAlignment="1" pivotButton="0" quotePrefix="0" xfId="0">
      <alignment horizontal="center"/>
    </xf>
    <xf numFmtId="169" fontId="6" fillId="0" borderId="0" applyAlignment="1" pivotButton="0" quotePrefix="0" xfId="0">
      <alignment horizontal="center"/>
    </xf>
    <xf numFmtId="172" fontId="3" fillId="0" borderId="0" applyAlignment="1" pivotButton="0" quotePrefix="0" xfId="0">
      <alignment horizontal="center"/>
    </xf>
    <xf numFmtId="170" fontId="3" fillId="0" borderId="0" applyAlignment="1" pivotButton="0" quotePrefix="0" xfId="0">
      <alignment horizontal="center"/>
    </xf>
    <xf numFmtId="165" fontId="3" fillId="0" borderId="0" applyAlignment="1" pivotButton="0" quotePrefix="0" xfId="0">
      <alignment horizontal="center"/>
    </xf>
    <xf numFmtId="171" fontId="5" fillId="0" borderId="0" applyAlignment="1" pivotButton="0" quotePrefix="0" xfId="0">
      <alignment horizontal="center"/>
    </xf>
    <xf numFmtId="168" fontId="3" fillId="0" borderId="0" applyAlignment="1" pivotButton="0" quotePrefix="0" xfId="0">
      <alignment horizontal="center"/>
    </xf>
    <xf numFmtId="0" fontId="12" fillId="3" borderId="1" applyAlignment="1" pivotButton="0" quotePrefix="0" xfId="0">
      <alignment horizontal="center"/>
    </xf>
    <xf numFmtId="169" fontId="6" fillId="0" borderId="2" pivotButton="0" quotePrefix="0" xfId="0"/>
    <xf numFmtId="168" fontId="5" fillId="0" borderId="0" pivotButton="0" quotePrefix="0" xfId="0"/>
    <xf numFmtId="165" fontId="6" fillId="0" borderId="2" pivotButton="0" quotePrefix="0" xfId="0"/>
    <xf numFmtId="166" fontId="6"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2">
      <c r="B2" s="1" t="inlineStr">
        <is>
          <t>Aurumix Revenue Model</t>
        </is>
      </c>
    </row>
    <row r="3">
      <c r="B3" s="2" t="inlineStr">
        <is>
          <t>Hybrid Monthly + Annual View  |  7-Year Projection</t>
        </is>
      </c>
    </row>
    <row r="5">
      <c r="B5" s="3" t="inlineStr">
        <is>
          <t>Date</t>
        </is>
      </c>
      <c r="C5" s="4">
        <f>TODAY()</f>
        <v/>
      </c>
    </row>
    <row r="6">
      <c r="B6" s="3" t="inlineStr">
        <is>
          <t>Scope</t>
        </is>
      </c>
      <c r="C6" t="inlineStr">
        <is>
          <t>Six revenue streams at their full charge, with the fabrication premium as cost of goods sold, plus the modelled cost base, net profit, unit economics, regulatory capital, the float and the peak funding need. Headcount and tax are not yet in the cost base, so every profit figure is an upper bound.</t>
        </is>
      </c>
    </row>
    <row r="7">
      <c r="B7" s="3" t="inlineStr">
        <is>
          <t>Periods</t>
        </is>
      </c>
      <c r="C7" t="inlineStr">
        <is>
          <t>24 monthly (M1-M24) + 5 annual (Y3-Y7) = 29 total.  M1 = January 2027</t>
        </is>
      </c>
    </row>
    <row r="8">
      <c r="B8" s="3" t="inlineStr">
        <is>
          <t>Engine</t>
        </is>
      </c>
      <c r="C8" t="inlineStr">
        <is>
          <t>Rolling customer balance: opening + new - churned = closing, by region. Customers who stop paying keep their gold and move to a HOLDERS balance.</t>
        </is>
      </c>
    </row>
    <row r="9">
      <c r="B9" s="3" t="inlineStr">
        <is>
          <t>Metal</t>
        </is>
      </c>
      <c r="C9" t="inlineStr">
        <is>
          <t>100 g bars throughout. One entry fee, one fabrication premium.</t>
        </is>
      </c>
    </row>
    <row r="10">
      <c r="B10" s="3" t="inlineStr">
        <is>
          <t>Prepared by</t>
        </is>
      </c>
      <c r="C10" t="inlineStr">
        <is>
          <t>Tokenomics.net: Custom Data Room Engagement</t>
        </is>
      </c>
    </row>
    <row r="12">
      <c r="B12" s="3" t="inlineStr">
        <is>
          <t>COLOR LEGEND</t>
        </is>
      </c>
    </row>
    <row r="13">
      <c r="B13" s="5" t="inlineStr">
        <is>
          <t>BLUE text</t>
        </is>
      </c>
      <c r="C13" t="inlineStr">
        <is>
          <t>Hardcoded inputs (Assumptions &amp; Scenario Parameters)</t>
        </is>
      </c>
    </row>
    <row r="14">
      <c r="B14" s="6" t="inlineStr">
        <is>
          <t>BLACK text</t>
        </is>
      </c>
      <c r="C14" t="inlineStr">
        <is>
          <t>In-sheet formulas</t>
        </is>
      </c>
    </row>
    <row r="15">
      <c r="B15" s="7" t="inlineStr">
        <is>
          <t>GREEN text</t>
        </is>
      </c>
      <c r="C15" t="inlineStr">
        <is>
          <t>Cross-sheet references</t>
        </is>
      </c>
    </row>
    <row r="17">
      <c r="B17" s="3" t="inlineStr">
        <is>
          <t>SHEETS</t>
        </is>
      </c>
    </row>
    <row r="18">
      <c r="B18" t="inlineStr">
        <is>
          <t>Cover: This page</t>
        </is>
      </c>
    </row>
    <row r="19">
      <c r="B19" t="inlineStr">
        <is>
          <t>Assumptions: Fixed inputs, activation calendar, seasonality, market ceilings</t>
        </is>
      </c>
    </row>
    <row r="20">
      <c r="B20" t="inlineStr">
        <is>
          <t>Scenario Parameters: Base / Aggressive / Conservative, plus structural switches</t>
        </is>
      </c>
    </row>
    <row r="21">
      <c r="B21" t="inlineStr">
        <is>
          <t>Model: Customer engine, AUM and the six revenue streams (29 periods)</t>
        </is>
      </c>
    </row>
    <row r="22">
      <c r="B22" t="inlineStr">
        <is>
          <t>Summary: Annual revenue by stream (Y1-Y7), revenue mix, key metrics</t>
        </is>
      </c>
    </row>
    <row r="24">
      <c r="B24" s="8" t="inlineStr">
        <is>
          <t>SIMPLIFIED BUILD - cohort and archetype detail moves to the Phase 5 simulation.</t>
        </is>
      </c>
    </row>
    <row r="25">
      <c r="B25" s="9" t="inlineStr">
        <is>
          <t>Kept as inputs rather than engines: the holders balance, the fabrication premium inside stream 1, and the ICS qualification rate (a memo that prices benefits; it no longer gates the card).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4" customWidth="1" min="1" max="1"/>
    <col width="16" customWidth="1" min="2" max="2"/>
    <col width="24" customWidth="1" min="3" max="3"/>
    <col width="120" customWidth="1" min="4" max="4"/>
    <col width="15" customWidth="1" min="6" max="6"/>
    <col width="15" customWidth="1" min="7" max="7"/>
    <col width="15" customWidth="1" min="8" max="8"/>
    <col width="15"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s>
  <sheetData>
    <row r="1">
      <c r="A1" s="10">
        <f>Cover!$B$2</f>
        <v/>
      </c>
    </row>
    <row r="2">
      <c r="A2" s="11" t="inlineStr">
        <is>
          <t>Inputs and Assumptions</t>
        </is>
      </c>
    </row>
    <row r="4" ht="18" customHeight="1">
      <c r="A4" s="12" t="inlineStr">
        <is>
          <t>PRICING AND METAL</t>
        </is>
      </c>
      <c r="B4" s="13" t="n"/>
      <c r="C4" s="13" t="n"/>
      <c r="D4" s="13" t="n"/>
    </row>
    <row r="5">
      <c r="A5" s="14" t="inlineStr">
        <is>
          <t>Parameter</t>
        </is>
      </c>
      <c r="B5" s="14" t="inlineStr">
        <is>
          <t>Value</t>
        </is>
      </c>
      <c r="C5" s="14" t="inlineStr">
        <is>
          <t>Unit</t>
        </is>
      </c>
      <c r="D5" s="14" t="inlineStr">
        <is>
          <t>Source</t>
        </is>
      </c>
    </row>
    <row r="6">
      <c r="A6" t="inlineStr">
        <is>
          <t>Gold price at M1</t>
        </is>
      </c>
      <c r="B6" s="15" t="n">
        <v>141.46</v>
      </c>
      <c r="C6" t="inlineStr">
        <is>
          <t>USD/g</t>
        </is>
      </c>
      <c r="D6" t="inlineStr">
        <is>
          <t>USD 4,400/oz verified 2026-08-17. THE STARTING PRICE - it no longer holds for the whole horizon; see the appreciation rate below and the live 'Gold price (this period)' row on the Model. CITED.</t>
        </is>
      </c>
    </row>
    <row r="7">
      <c r="A7" t="inlineStr">
        <is>
          <t>AED/USD peg</t>
        </is>
      </c>
      <c r="B7" s="15" t="n">
        <v>3.6725</v>
      </c>
      <c r="C7" t="inlineStr">
        <is>
          <t>AED/USD</t>
        </is>
      </c>
      <c r="D7" t="inlineStr">
        <is>
          <t>CBUAE peg. CITED.</t>
        </is>
      </c>
    </row>
    <row r="8">
      <c r="A8" t="inlineStr">
        <is>
          <t>Entry fee charged</t>
        </is>
      </c>
      <c r="B8" s="16" t="n">
        <v>0.05</v>
      </c>
      <c r="C8" t="inlineStr">
        <is>
          <t>% of contribution</t>
        </is>
      </c>
      <c r="D8" t="inlineStr">
        <is>
          <t>Decision 9, client-stated. A SINGLE RATE throughout. CLIENT INPUT.</t>
        </is>
      </c>
    </row>
    <row r="9">
      <c r="A9" t="inlineStr">
        <is>
          <t>Fabrication premium paid</t>
        </is>
      </c>
      <c r="B9" s="16" t="n">
        <v>0.015</v>
      </c>
      <c r="C9" t="inlineStr">
        <is>
          <t>% over spot</t>
        </is>
      </c>
      <c r="D9" t="inlineStr">
        <is>
          <t>100 g bars. OBSERVED (D28): goldtrade.ae 19 Aug 2026 measured 100 g at +1.71% (PAMP 1.75, Valcambi 1.67), less the published 25 bp bulk gradient. THE ENTRY FEE IS A MARGIN, NOT A FEE - this is netted off stream 1, because it is cost OF REVENUE. Reporting stream 1 gross would read ~43% high.</t>
        </is>
      </c>
    </row>
    <row r="10">
      <c r="A10" t="inlineStr">
        <is>
          <t>Bar denomination</t>
        </is>
      </c>
      <c r="B10" s="17" t="n">
        <v>100</v>
      </c>
      <c r="C10" t="inlineStr">
        <is>
          <t>grams</t>
        </is>
      </c>
      <c r="D10" t="inlineStr">
        <is>
          <t>100 g throughout, by agreement. OBSERVED.</t>
        </is>
      </c>
    </row>
    <row r="12" ht="18" customHeight="1">
      <c r="A12" s="12" t="inlineStr">
        <is>
          <t>CARD ECONOMICS</t>
        </is>
      </c>
      <c r="B12" s="13" t="n"/>
      <c r="C12" s="13" t="n"/>
      <c r="D12" s="13" t="n"/>
    </row>
    <row r="13">
      <c r="A13" s="14" t="inlineStr">
        <is>
          <t>Parameter</t>
        </is>
      </c>
      <c r="B13" s="14" t="inlineStr">
        <is>
          <t>Value</t>
        </is>
      </c>
      <c r="C13" s="14" t="inlineStr">
        <is>
          <t>Unit</t>
        </is>
      </c>
      <c r="D13" s="14" t="inlineStr">
        <is>
          <t>Source</t>
        </is>
      </c>
    </row>
    <row r="14">
      <c r="A14" t="inlineStr">
        <is>
          <t>Interchange - Gold</t>
        </is>
      </c>
      <c r="B14" s="16" t="n">
        <v>0.018</v>
      </c>
      <c r="C14" t="inlineStr">
        <is>
          <t>% of spend</t>
        </is>
      </c>
      <c r="D14" t="inlineStr">
        <is>
          <t>Visa UAE IRF schedule, 18 Oct 2025. CITED, PRIMARY. The live model reads the FLAT GOLD RATE: replacing the full 1.80/2.05/2.10 ladder with it moves stream 2 by only ~2% of gross profit at Y7, because Sovereign is 1.2% of tiered accounts.</t>
        </is>
      </c>
    </row>
    <row r="15">
      <c r="A15" t="inlineStr">
        <is>
          <t>Per-transaction processor fee</t>
        </is>
      </c>
      <c r="B15" s="18" t="n">
        <v>0.1</v>
      </c>
      <c r="C15" t="inlineStr">
        <is>
          <t>USD/authorised txn</t>
        </is>
      </c>
      <c r="D15" t="inlineStr">
        <is>
          <t>WHAT THE PROCESSOR CHARGES AURUMIX to authorise and switch each transaction - NOT passed to the cardholder, and it cannot be: no consumer card charges per swipe on normal purchases, the card here is a REWARD for saving rather than a product sold, and a declined authorisation cannot be billed to anyone. Issuing economics are structurally: earn interchange, pay scheme and processing costs out of it. USD 0.10 is Stripe Issuing's PUBLISHED RACK RATE, used as a proxy because NO UAE PROCESSOR PUBLISHES PRICING. At volume, processors commonly reach USD 0.02-0.05 - a term-sheet negotiation, and at USD 0.03 the minimum profitable transaction falls from ~AED 77 to ~AED 23. CITED as a proxy.</t>
        </is>
      </c>
    </row>
    <row r="16">
      <c r="A16" t="inlineStr">
        <is>
          <t>Decline uplift on authorised txns</t>
        </is>
      </c>
      <c r="B16" s="19" t="n">
        <v>0.06</v>
      </c>
      <c r="C16" t="inlineStr">
        <is>
          <t>% uplift</t>
        </is>
      </c>
      <c r="D16" t="inlineStr">
        <is>
          <t>The processor fee is charged per AUTHORISATION, not per settled transaction, so declined attempts are billable to Aurumix and chargeable to nobody. ASSUMPTION.</t>
        </is>
      </c>
    </row>
    <row r="17">
      <c r="A17" t="inlineStr">
        <is>
          <t>FX margin on foreign spend</t>
        </is>
      </c>
      <c r="B17" s="16" t="n">
        <v>0.02</v>
      </c>
      <c r="C17" t="inlineStr">
        <is>
          <t>% of foreign spend</t>
        </is>
      </c>
      <c r="D17" t="inlineStr">
        <is>
          <t>Market rate ~2%, converged across four comparables. CITED.</t>
        </is>
      </c>
    </row>
    <row r="18">
      <c r="A18" t="inlineStr">
        <is>
          <t>Free ATM allowance (Gold)</t>
        </is>
      </c>
      <c r="B18" s="17" t="n">
        <v>1000</v>
      </c>
      <c r="C18" t="inlineStr">
        <is>
          <t>AED/month</t>
        </is>
      </c>
      <c r="D18" t="inlineStr">
        <is>
          <t>Monthly and NOT rolling. Set deliberately ABOVE the median draw - that is the finding. CITED.</t>
        </is>
      </c>
    </row>
    <row r="19">
      <c r="A19" t="inlineStr">
        <is>
          <t>ATM fee over the allowance</t>
        </is>
      </c>
      <c r="B19" s="16" t="n">
        <v>0.02</v>
      </c>
      <c r="C19" t="inlineStr">
        <is>
          <t>% of the excess</t>
        </is>
      </c>
      <c r="D19" t="inlineStr">
        <is>
          <t>Sector converged. CITED.</t>
        </is>
      </c>
    </row>
    <row r="20">
      <c r="A20" t="inlineStr">
        <is>
          <t>Card issuance fee</t>
        </is>
      </c>
      <c r="B20" s="17" t="n">
        <v>75</v>
      </c>
      <c r="C20" t="inlineStr">
        <is>
          <t>AED one-off</t>
        </is>
      </c>
      <c r="D20" t="inlineStr">
        <is>
          <t>Charged at base level, waived at upper tiers. CITED structure, ASSUMPTION rate.</t>
        </is>
      </c>
    </row>
    <row r="21">
      <c r="A21" t="inlineStr">
        <is>
          <t>Card replacement fee</t>
        </is>
      </c>
      <c r="B21" s="17" t="n">
        <v>100</v>
      </c>
      <c r="C21" t="inlineStr">
        <is>
          <t>AED per event</t>
        </is>
      </c>
      <c r="D21" t="inlineStr">
        <is>
          <t>Market-normal UAE replacement is AED 75-150. ASSUMPTION.</t>
        </is>
      </c>
    </row>
    <row r="23" ht="18" customHeight="1">
      <c r="A23" s="12" t="inlineStr">
        <is>
          <t>OTHER STREAM PRICING</t>
        </is>
      </c>
      <c r="B23" s="13" t="n"/>
      <c r="C23" s="13" t="n"/>
      <c r="D23" s="13" t="n"/>
    </row>
    <row r="24">
      <c r="A24" s="14" t="inlineStr">
        <is>
          <t>Parameter</t>
        </is>
      </c>
      <c r="B24" s="14" t="inlineStr">
        <is>
          <t>Value</t>
        </is>
      </c>
      <c r="C24" s="14" t="inlineStr">
        <is>
          <t>Unit</t>
        </is>
      </c>
      <c r="D24" s="14" t="inlineStr">
        <is>
          <t>Source</t>
        </is>
      </c>
    </row>
    <row r="25">
      <c r="A25" t="inlineStr">
        <is>
          <t>Family plan / Digital Will price</t>
        </is>
      </c>
      <c r="B25" s="20" t="n">
        <v>50</v>
      </c>
      <c r="C25" t="inlineStr">
        <is>
          <t>USD/yr</t>
        </is>
      </c>
      <c r="D25" t="inlineStr">
        <is>
          <t>RE-PRICED 2026-08-21 from USD 120/yr. THE OLD PRICE WAS ABOVE TRUST &amp; WILL'S PREMIUM US MEMBERSHIP (USD 49/yr) AND WAS 33% OF EVERYTHING THE CUSTOMER SAVES IN A YEAR - a USD 30/month saver puts away USD 360, and we were charging 120 of it. THE INDUSTRY MODEL IS A ONE-OFF FEE PLUS A SMALL ANNUAL UPDATE LAYER, and it is the annual layer this row represents: Trust &amp; Will USD 199 one-off + USD 49/yr; Farewill GBP 100 + GBP 10/yr; Epilogue C$139 with NO subscription at all; other platforms renew updates at ~C$4.50/yr. Formal UAE will registration is a different product entirely and one-off - DIFC AED 10,000 single / 15,000 mirror, Abu Dhabi Civil Court AED 950 as the cheapest formal route. Indian online wills run INR 500-4,000 basic. Family add-ons on finance apps are usually BUNDLED FREE; where charged it is USD 5-15/month for a WHOLE HOUSEHOLD (Monarch 99.99/yr, Zeta 59.99/yr, Greenlight 5.99/mo). SET AT USD 50/yr, client instruction 2026-08-21. That is essentially TRUST &amp; WILL'S USD 49/yr MEMBERSHIP - a defensible anchor in that it matches the best-known product in the category, but NOTE WHOSE PRODUCT IT IS: Trust &amp; Will sells to US customers who paid 199-599 up front for an estate plan, not to a migrant worker saving USD 30 a month. At 50 the plan is 14% OF EVERYTHING THE CUSTOMER SAVES IN A YEAR, against 10% at 36 and 33% at the original 120. It is no longer absurd, but it is priced at a developed-market benchmark for an emerging-market customer, and that is the line an adviser would push on. A ONE-OFF SETUP FEE IS NOT MODELLED - if the client wants the full industry structure, that is a second row, not a bigger number here. CITED comparators, ASSUMPTION on the point in the range.</t>
        </is>
      </c>
    </row>
    <row r="26">
      <c r="A26" t="inlineStr">
        <is>
          <t>Additional beneficiary fee</t>
        </is>
      </c>
      <c r="B26" s="20" t="n">
        <v>6</v>
      </c>
      <c r="C26" t="inlineStr">
        <is>
          <t>USD/yr each</t>
        </is>
      </c>
      <c r="D26" t="inlineStr">
        <is>
          <t>ADDED 2026-08-21, client instruction. Charged per named beneficiary BEYOND THE FIRST, which the plan includes - the standard shape for this kind of add-on, and the reason the formula carries a MAX(0, n-1) rather than charging every beneficiary. NO COMPARABLE EXISTS: will services price PER WILL, not per beneficiary. DIFC charges more for a MIRROR will (two people) and more again for guardianship, but nobody publishes a per-beneficiary tariff. So this is priced on COST RECOVERY, which is the defensible basis available: every named beneficiary needs identity capture and AML screening, and Sumsub screening already sits in this model at ~USD 1.85 per check in the redemption cost memo. USD 6/yr covers that with margin without becoming a second subscription. DELIBERATELY SMALL. At 1.5 chargeable beneficiaries it adds USD 9/yr to a USD 50 plan - an 18% uplift on a stream worth ~3.5% of revenue, so it cannot move the model and should not be tuned to try. ASSUMPTION on a cost-recovery basis.</t>
        </is>
      </c>
    </row>
    <row r="27">
      <c r="A27" t="inlineStr">
        <is>
          <t>Credit origination fee - gross</t>
        </is>
      </c>
      <c r="B27" s="16" t="n">
        <v>0.01</v>
      </c>
      <c r="C27" t="inlineStr">
        <is>
          <t>% of draw</t>
        </is>
      </c>
      <c r="D27" t="inlineStr">
        <is>
          <t>Finance House UAE gold loan Key Facts Statement carries a 1% processing fee - the one gross rate with a real UAE anchor. CITED.</t>
        </is>
      </c>
    </row>
    <row r="28">
      <c r="A28" t="inlineStr">
        <is>
          <t>Credit origination - Aurumix share</t>
        </is>
      </c>
      <c r="B28" s="19" t="n">
        <v>0.5</v>
      </c>
      <c r="C28" t="inlineStr">
        <is>
          <t>% of gross</t>
        </is>
      </c>
      <c r="D28" t="inlineStr">
        <is>
          <t>ASSUMPTION.</t>
        </is>
      </c>
    </row>
    <row r="29">
      <c r="A29" t="inlineStr">
        <is>
          <t>Credit servicing fee - gross</t>
        </is>
      </c>
      <c r="B29" s="16" t="n">
        <v>0.005</v>
      </c>
      <c r="C29" t="inlineStr">
        <is>
          <t>%/yr of drawn</t>
        </is>
      </c>
      <c r="D29" t="inlineStr">
        <is>
          <t>ASSUMPTION.</t>
        </is>
      </c>
    </row>
    <row r="30">
      <c r="A30" t="inlineStr">
        <is>
          <t>Credit servicing - Aurumix share</t>
        </is>
      </c>
      <c r="B30" s="19" t="n">
        <v>0.7</v>
      </c>
      <c r="C30" t="inlineStr">
        <is>
          <t>% of gross</t>
        </is>
      </c>
      <c r="D30" t="inlineStr">
        <is>
          <t>The highest of the heads: servicing is where Aurumix does the actual work. ASSUMPTION.</t>
        </is>
      </c>
    </row>
    <row r="31">
      <c r="A31" t="inlineStr">
        <is>
          <t>LTV against collateral</t>
        </is>
      </c>
      <c r="B31" s="19" t="n">
        <v>0.5</v>
      </c>
      <c r="C31" t="inlineStr">
        <is>
          <t>% of collateral</t>
        </is>
      </c>
      <c r="D31" t="inlineStr">
        <is>
          <t>_draft_ics-scoring.md sec 6.2, settled 2026-08-13. CITED.</t>
        </is>
      </c>
    </row>
    <row r="32">
      <c r="A32" t="inlineStr">
        <is>
          <t>Spot ticket - UAE</t>
        </is>
      </c>
      <c r="B32" s="20" t="n">
        <v>190</v>
      </c>
      <c r="C32" t="inlineStr">
        <is>
          <t>USD/purchase</t>
        </is>
      </c>
      <c r="D32" t="inlineStr">
        <is>
          <t>OBSERVED, PRIMARY. Botim gold: average ticket AED 700, Khaleej Times, Nov 2025 (= USD 191 at the peg). CROSS-CHECKS against the same platform's own volume disclosure - AED 100m over 128,000 trades implies AED 781. THE STRONGEST COMPARABLE IN THIS MODEL: Botim is a messaging app that became the default for Gulf expats and added gold in Aug 2025, so its users ARE Aurumix's customers - same country, same segment, same product, same period. Note 64% of its users buy under AED 500, so the mean sits above the median and this figure is, if anything, generous.</t>
        </is>
      </c>
    </row>
    <row r="33">
      <c r="A33" t="inlineStr">
        <is>
          <t>Spot ticket - Oman and Bahrain</t>
        </is>
      </c>
      <c r="B33" s="20" t="n">
        <v>145</v>
      </c>
      <c r="C33" t="inlineStr">
        <is>
          <t>USD/purchase</t>
        </is>
      </c>
      <c r="D33" t="inlineStr">
        <is>
          <t>INFERRED - THE WEAKEST OF THE THREE. No GCC platform outside the UAE publishes an average ticket; this is a CONFIRMED NEGATIVE, not a gap in the search. Taken as the UAE figure scaled by the regional income gap (SIP 26.00/33.60 = 0.77x). Do not present this as sourced.</t>
        </is>
      </c>
    </row>
    <row r="34">
      <c r="A34" t="inlineStr">
        <is>
          <t>Spot ticket - India</t>
        </is>
      </c>
      <c r="B34" s="20" t="n">
        <v>40</v>
      </c>
      <c r="C34" t="inlineStr">
        <is>
          <t>USD/purchase</t>
        </is>
      </c>
      <c r="D34" t="inlineStr">
        <is>
          <t>OBSERVED, PROXY. Augmont: average festive-season purchase Rs 3,300, Times of India, Sep 2025 (= ~USD 38). Augmont is a licensed refiner and digital gold platform; a festive lump is structurally the same act as a spot purchase, which is why it is preferred to the alternatives. REJECTED: SafeGold Rs 5,000-8,000 (May 2026) - that book skews to investors, while Aurumix's Indian customer saves USD 30 a month; MMTC-PAMP Rs 800-1,200 - closer to routine micro-saving than a lump; Rs 230 industry-wide - a LinkedIn aggregate, not a citable source. WEAKER THAN THE UAE FIGURE: right country and right behaviour, but Aurumix's Indian customer is poorer than Augmont's average buyer, so 40 may be generous.</t>
        </is>
      </c>
    </row>
    <row r="35">
      <c r="A35" t="inlineStr">
        <is>
          <t>Spot attach rate - UAE</t>
        </is>
      </c>
      <c r="B35" s="19" t="n">
        <v>0.12</v>
      </c>
      <c r="C35" t="inlineStr">
        <is>
          <t>% of customers/yr</t>
        </is>
      </c>
      <c r="D35" t="inlineStr">
        <is>
          <t>Share of paying customers who make ANY spot purchase in a year - NOT a monthly rate, and NOT how often a buyer buys (that is the separate frequency input). Set on the affordability ratio above: the spot ticket as a multiple of the same customer's monthly SIP. NO PUBLISHED BENCHMARK EXISTS - confirmed negative. KNOWN SIMPLIFICATION: v2.6 applied a TENURE UPLIFT here ('a 3-year account is ~2x as likely to buy spot as a 6-month account') which v3.0 dropped, so this is flat from day one and OVERSTATES SPOT IN THE EARLY YEARS, when nearly every account is young. Restore the uplift in the Phase 5 simulation. ASSUMPTION, structured on an observable driver.</t>
        </is>
      </c>
    </row>
    <row r="36">
      <c r="A36" t="inlineStr">
        <is>
          <t>Spot attach rate - Oman and Bahrain</t>
        </is>
      </c>
      <c r="B36" s="19" t="n">
        <v>0.1</v>
      </c>
      <c r="C36" t="inlineStr">
        <is>
          <t>% of customers/yr</t>
        </is>
      </c>
      <c r="D36" t="inlineStr">
        <is>
          <t>Share of paying customers who make ANY spot purchase in a year - NOT a monthly rate, and NOT how often a buyer buys (that is the separate frequency input). Set on the affordability ratio above: the spot ticket as a multiple of the same customer's monthly SIP. NO PUBLISHED BENCHMARK EXISTS - confirmed negative. KNOWN SIMPLIFICATION: v2.6 applied a TENURE UPLIFT here ('a 3-year account is ~2x as likely to buy spot as a 6-month account') which v3.0 dropped, so this is flat from day one and OVERSTATES SPOT IN THE EARLY YEARS, when nearly every account is young. Restore the uplift in the Phase 5 simulation. ASSUMPTION, structured on an observable driver.</t>
        </is>
      </c>
    </row>
    <row r="37">
      <c r="A37" t="inlineStr">
        <is>
          <t>Spot attach rate - India</t>
        </is>
      </c>
      <c r="B37" s="19" t="n">
        <v>0.35</v>
      </c>
      <c r="C37" t="inlineStr">
        <is>
          <t>% of customers/yr</t>
        </is>
      </c>
      <c r="D37" t="inlineStr">
        <is>
          <t>Share of paying customers who make ANY spot purchase in a year - NOT a monthly rate, and NOT how often a buyer buys (that is the separate frequency input). Set on the affordability ratio above: the spot ticket as a multiple of the same customer's monthly SIP. NO PUBLISHED BENCHMARK EXISTS - confirmed negative. KNOWN SIMPLIFICATION: v2.6 applied a TENURE UPLIFT here ('a 3-year account is ~2x as likely to buy spot as a 6-month account') which v3.0 dropped, so this is flat from day one and OVERSTATES SPOT IN THE EARLY YEARS, when nearly every account is young. Restore the uplift in the Phase 5 simulation. ASSUMPTION, structured on an observable driver.</t>
        </is>
      </c>
    </row>
    <row r="39" ht="18" customHeight="1">
      <c r="A39" s="12" t="inlineStr">
        <is>
          <t>SIP RULES</t>
        </is>
      </c>
      <c r="B39" s="13" t="n"/>
      <c r="C39" s="13" t="n"/>
      <c r="D39" s="13" t="n"/>
    </row>
    <row r="40">
      <c r="A40" s="14" t="inlineStr">
        <is>
          <t>Parameter</t>
        </is>
      </c>
      <c r="B40" s="14" t="inlineStr">
        <is>
          <t>Value</t>
        </is>
      </c>
      <c r="C40" s="14" t="inlineStr">
        <is>
          <t>Unit</t>
        </is>
      </c>
      <c r="D40" s="14" t="inlineStr">
        <is>
          <t>Source</t>
        </is>
      </c>
    </row>
    <row r="41">
      <c r="A41" t="inlineStr">
        <is>
          <t>SIP hard floor</t>
        </is>
      </c>
      <c r="B41" s="18" t="n">
        <v>20</v>
      </c>
      <c r="C41" t="inlineStr">
        <is>
          <t>USD/month</t>
        </is>
      </c>
      <c r="D41" t="inlineStr">
        <is>
          <t>Rejected outright below; never partially credited. CITED.</t>
        </is>
      </c>
    </row>
    <row r="42">
      <c r="A42" t="inlineStr">
        <is>
          <t>Confirmed SIP gate</t>
        </is>
      </c>
      <c r="B42" s="17" t="n">
        <v>6</v>
      </c>
      <c r="C42" t="inlineStr">
        <is>
          <t>consecutive payments</t>
        </is>
      </c>
      <c r="D42" t="inlineStr">
        <is>
          <t>Client's own figure. The gate is why eligibility is NOT universal - see the two eligibility parameters on the Scenario sheet. CLIENT INPUT.</t>
        </is>
      </c>
    </row>
    <row r="43">
      <c r="A43" t="inlineStr">
        <is>
          <t>Cost per redemption event</t>
        </is>
      </c>
      <c r="B43" s="18" t="n">
        <v>1.85</v>
      </c>
      <c r="C43" t="inlineStr">
        <is>
          <t>USD</t>
        </is>
      </c>
      <c r="D43" t="inlineStr">
        <is>
          <t>CUT TWICE, AND BOTH CUTS WERE DELIBERATE. From 4.20 to 3.20 on 2026-08-20, removing the outbound bank transfer fee (USD 1.00-2.50) as the customer's cost to bear. From 3.20 to 1.85 on 2026-08-26, client instruction, removing the ~1.35 of operational handling. WHAT REMAINS IS SUMSUB AML RE-SCREENING AT 1.85, the same published per-verification rate the onboarding line uses - a redemption triggers a re-screen. NOT a double count with the KYC line: that one charges new customers at onboarding, this one charges a different event. WHAT WAS REMOVED IS NOT ZERO. Operational handling - the staff time to check, approve and settle a redemption - is real work; it is now assumed to sit inside headcount rather than being priced per event. WHEN HEADCOUNT LANDS, CONFIRM IT IS ACTUALLY CARRIED THERE, or this cost has quietly vanished from the model rather than moved. NOT IN THE REVENUE MODEL: redemption is a COST and arrives with the cost build. This row is carried so the driver is documented and the unit rate already agreed. THE FINDING IT CARRIES IS UNCHANGED AND IS THE POINT - VARA Annex 2 III.E.4 forbids charging ANY fee on redemption, verified verbatim at primary source, so the cost is 100% absorbed, no offsetting revenue exists or can exist, and THERE CAN NEVER BE AN EXIT FEE. DERIVED.</t>
        </is>
      </c>
    </row>
    <row r="45" ht="18" customHeight="1">
      <c r="A45" s="12" t="inlineStr">
        <is>
          <t>ACTIVATION CALENDAR - the single source of every activation period</t>
        </is>
      </c>
      <c r="B45" s="13" t="n"/>
      <c r="C45" s="13" t="n"/>
      <c r="D45" s="13" t="n"/>
    </row>
    <row r="46">
      <c r="A46" s="14" t="inlineStr">
        <is>
          <t>Parameter</t>
        </is>
      </c>
      <c r="B46" s="14" t="inlineStr">
        <is>
          <t>Value</t>
        </is>
      </c>
      <c r="C46" s="14" t="inlineStr">
        <is>
          <t>Unit</t>
        </is>
      </c>
      <c r="D46" s="14" t="inlineStr">
        <is>
          <t>Source</t>
        </is>
      </c>
    </row>
    <row r="47">
      <c r="A47" t="inlineStr">
        <is>
          <t>Stream 1a - Entry fee, SIP</t>
        </is>
      </c>
      <c r="B47" s="17" t="n">
        <v>1</v>
      </c>
      <c r="C47" t="inlineStr">
        <is>
          <t>period # (from)</t>
        </is>
      </c>
      <c r="D47" t="inlineStr">
        <is>
          <t>M1. The core product - live at launch.</t>
        </is>
      </c>
    </row>
    <row r="48">
      <c r="A48" t="inlineStr">
        <is>
          <t>Stream 1b - Entry fee, SPOT</t>
        </is>
      </c>
      <c r="B48" s="17" t="n">
        <v>1</v>
      </c>
      <c r="C48" t="inlineStr">
        <is>
          <t>period # (from)</t>
        </is>
      </c>
      <c r="D48" t="inlineStr">
        <is>
          <t>M1. A sub-stream of 1: the same fee on the same gold through a different rail, so it needs no additional build.</t>
        </is>
      </c>
    </row>
    <row r="49">
      <c r="A49" t="inlineStr">
        <is>
          <t>Stream 0 - Redemption cost</t>
        </is>
      </c>
      <c r="B49" s="17" t="n">
        <v>1</v>
      </c>
      <c r="C49" t="inlineStr">
        <is>
          <t>period # (from)</t>
        </is>
      </c>
      <c r="D49" t="inlineStr">
        <is>
          <t>M1. A mandatory cost from day one. VARA Annex 2 III.E.4 forbids charging any fee on redemption, so there is no offsetting revenue and there can never be an exit fee.</t>
        </is>
      </c>
    </row>
    <row r="50">
      <c r="A50" t="inlineStr">
        <is>
          <t>Stream 3 - Family plan and Digital Will</t>
        </is>
      </c>
      <c r="B50" s="17" t="n">
        <v>7</v>
      </c>
      <c r="C50" t="inlineStr">
        <is>
          <t>period # (from)</t>
        </is>
      </c>
      <c r="D50" t="inlineStr">
        <is>
          <t>M7 (client decision 2026-08-20). RATIONALE: this is a paid add-on sold INTO an existing base, not an acquisition product. At M1 there is no base to attach it to, and the Digital Will needs the legal template and beneficiary flow finished. Six months lets the first cohort establish before they are asked to buy a second product.</t>
        </is>
      </c>
    </row>
    <row r="51">
      <c r="A51" t="inlineStr">
        <is>
          <t>Stream 2 - Card interchange</t>
        </is>
      </c>
      <c r="B51" s="17" t="n">
        <v>13</v>
      </c>
      <c r="C51" t="inlineStr">
        <is>
          <t>period # (from)</t>
        </is>
      </c>
      <c r="D51" t="inlineStr">
        <is>
          <t>M13 (client decision 2026-08-20, moved earlier from M18). RATIONALE FOR ANY DELAY AT ALL: the card is not ours to launch. It needs a sponsor bank (BIN sponsorship), Visa scheme certification and a processor integration - all commercial gates outside our control. It also needs customers who have cleared the six-payment gate, which takes ~8 months on average, so a card launched much earlier would have almost nobody eligible to hold it.</t>
        </is>
      </c>
    </row>
    <row r="52">
      <c r="A52" t="inlineStr">
        <is>
          <t>Stream 4 - Cardholder fees</t>
        </is>
      </c>
      <c r="B52" s="17" t="n">
        <v>13</v>
      </c>
      <c r="C52" t="inlineStr">
        <is>
          <t>period # (from)</t>
        </is>
      </c>
      <c r="D52" t="inlineStr">
        <is>
          <t>M13, necessarily with stream 2 - FX, ATM and issuance fees cannot exist before the card does.</t>
        </is>
      </c>
    </row>
    <row r="53">
      <c r="A53" t="inlineStr">
        <is>
          <t>Stream 5 - Lending revenue share</t>
        </is>
      </c>
      <c r="B53" s="17" t="n">
        <v>13</v>
      </c>
      <c r="C53" t="inlineStr">
        <is>
          <t>period # (from)</t>
        </is>
      </c>
      <c r="D53" t="inlineStr">
        <is>
          <t>M13 (client decision 2026-08-20, moved earlier from Y3). RATIONALE FOR ANY DELAY AT ALL: lending needs a partner lender under contract, and it needs collateral that has SEASONED 90 days. A customer joining at M1 has enough seasoned gold by M13; one joining at M10 does not, which the model handles because borrowers are drawn from the gate-cleared population, not from everyone.</t>
        </is>
      </c>
    </row>
    <row r="54">
      <c r="A54" t="inlineStr">
        <is>
          <t>Stream 6 - B2B platform fee</t>
        </is>
      </c>
      <c r="B54" s="17" t="n">
        <v>13</v>
      </c>
      <c r="C54" t="inlineStr">
        <is>
          <t>period # (from)</t>
        </is>
      </c>
      <c r="D54" t="inlineStr">
        <is>
          <t>M13 (client decision 2026-08-20, moved earlier from Y3). RATIONALE FOR ANY DELAY AT ALL: it needs a signed partner and multi-tenant capability at register and mint. NOTE: at Y3 this stream had to be placed at the START of the annual block to avoid a one-twelfth-year stub column sitting beside a full annual one. At M13 it sits safely inside the monthly block, so that complication disappears.</t>
        </is>
      </c>
    </row>
    <row r="55">
      <c r="A55" t="inlineStr">
        <is>
          <t>Referral channel begins</t>
        </is>
      </c>
      <c r="B55" s="17" t="n">
        <v>13</v>
      </c>
      <c r="C55" t="inlineStr">
        <is>
          <t>period # (from)</t>
        </is>
      </c>
      <c r="D55" t="inlineStr">
        <is>
          <t>M13, and this one is STRUCTURAL rather than commercial: a referrer must clear their own six-payment gate before they can refer, and the referee must then clear theirs. Two six-month gates IN SERIES. Year 1 pays nothing and the channel does not reach steady state until roughly M25.</t>
        </is>
      </c>
    </row>
    <row r="56">
      <c r="A56" t="inlineStr">
        <is>
          <t>Region opens - Oman and Bahrain</t>
        </is>
      </c>
      <c r="B56" s="17" t="n">
        <v>13</v>
      </c>
      <c r="C56" t="inlineStr">
        <is>
          <t>period # (from)</t>
        </is>
      </c>
      <c r="D56" t="inlineStr">
        <is>
          <t>M13 (client decision 2026-08-20). THE ONLY STAGED REGION, and the reason is regulatory: it requires local authorisation in a second and third jurisdiction. These customers are also NOT UAE-resident, so the VAT and reporting treatment differs.</t>
        </is>
      </c>
    </row>
    <row r="57">
      <c r="A57" t="inlineStr">
        <is>
          <t>Region opens - India</t>
        </is>
      </c>
      <c r="B57" s="17" t="n">
        <v>1</v>
      </c>
      <c r="C57" t="inlineStr">
        <is>
          <t>period # (from)</t>
        </is>
      </c>
      <c r="D57" t="inlineStr">
        <is>
          <t>M1 (client decision 2026-08-20, moved earlier from M13). The India payment route is ASSUMED SOLVED in this model. That is a live assumption, not a settled fact - if the route is not solved, this region does not open at all and roughly a quarter of terminal revenue goes with it.</t>
        </is>
      </c>
    </row>
    <row r="59" ht="18" customHeight="1">
      <c r="A59" s="12" t="inlineStr">
        <is>
          <t>SEASONALITY VECTORS (raw - the Model normalises to exactly 12.000)</t>
        </is>
      </c>
      <c r="B59" s="13" t="n"/>
      <c r="C59" s="13" t="n"/>
      <c r="D59" s="13" t="n"/>
    </row>
    <row r="60">
      <c r="A60" t="inlineStr">
        <is>
          <t>Vector</t>
        </is>
      </c>
      <c r="F60" s="21" t="inlineStr">
        <is>
          <t>Jan</t>
        </is>
      </c>
      <c r="G60" s="21" t="inlineStr">
        <is>
          <t>Feb</t>
        </is>
      </c>
      <c r="H60" s="21" t="inlineStr">
        <is>
          <t>Mar</t>
        </is>
      </c>
      <c r="I60" s="21" t="inlineStr">
        <is>
          <t>Apr</t>
        </is>
      </c>
      <c r="J60" s="21" t="inlineStr">
        <is>
          <t>May</t>
        </is>
      </c>
      <c r="K60" s="21" t="inlineStr">
        <is>
          <t>Jun</t>
        </is>
      </c>
      <c r="L60" s="21" t="inlineStr">
        <is>
          <t>Jul</t>
        </is>
      </c>
      <c r="M60" s="21" t="inlineStr">
        <is>
          <t>Aug</t>
        </is>
      </c>
      <c r="N60" s="21" t="inlineStr">
        <is>
          <t>Sep</t>
        </is>
      </c>
      <c r="O60" s="21" t="inlineStr">
        <is>
          <t>Oct</t>
        </is>
      </c>
      <c r="P60" s="21" t="inlineStr">
        <is>
          <t>Nov</t>
        </is>
      </c>
      <c r="Q60" s="21" t="inlineStr">
        <is>
          <t>Dec</t>
        </is>
      </c>
    </row>
    <row r="61">
      <c r="A61" t="inlineStr">
        <is>
          <t>Acquisition seasonality</t>
        </is>
      </c>
      <c r="D61" t="inlineStr">
        <is>
          <t>SOURCED TIMING, JUDGED AMPLITUDE. Peaks at Akshaya Tritiya (Apr/May), the most concentrated gold-buying day globally by value, and Dhanteras/Diwali (Oct/Nov), India's peak gold occasion with demand up 8-12% in the fortnight before. Wedding season Nov-Mar supports the winter. Trough Jul-Sep, the sourced annual low. Jan carries the Dubai Shopping Festival. DAMPED to ~+/-25% against the ~+/-33% swing in raw jewellery demand, because a USD 20/month savings mandate is far less impulsive than buying jewellery. Two traps avoided: India's Q3 2024 spike was an IMPORT DUTY CUT, not seasonality; and Ramadan/Eid moves ~11 days a year, so a fixed-month Eid bump would be wrong by construction over 7 years.</t>
        </is>
      </c>
      <c r="F61" s="22" t="n">
        <v>1.01</v>
      </c>
      <c r="G61" s="22" t="n">
        <v>0.96</v>
      </c>
      <c r="H61" s="22" t="n">
        <v>0.92</v>
      </c>
      <c r="I61" s="22" t="n">
        <v>1.15</v>
      </c>
      <c r="J61" s="22" t="n">
        <v>1.04</v>
      </c>
      <c r="K61" s="22" t="n">
        <v>0.88</v>
      </c>
      <c r="L61" s="22" t="n">
        <v>0.85</v>
      </c>
      <c r="M61" s="22" t="n">
        <v>0.85</v>
      </c>
      <c r="N61" s="22" t="n">
        <v>0.93</v>
      </c>
      <c r="O61" s="22" t="n">
        <v>1.25</v>
      </c>
      <c r="P61" s="22" t="n">
        <v>1.15</v>
      </c>
      <c r="Q61" s="22" t="n">
        <v>1.01</v>
      </c>
    </row>
    <row r="62">
      <c r="A62" t="inlineStr">
        <is>
          <t>Card spend seasonality</t>
        </is>
      </c>
      <c r="D62" t="inlineStr">
        <is>
          <t>UAE RESIDENT CARD SPEND, not gold. Peaks Dec-Jan on the Dubai Shopping Festival and year-end holidays; troughs Jul-Aug when residents leave for the summer. NARROWER than acquisition (+/-14% vs +/-25%) because everyday spend is less culturally spiky. Note the deliberate OPPOSITION to the foreign-spend vector: Jul-Aug is the weakest total-spend month and the strongest foreign-share month.</t>
        </is>
      </c>
      <c r="F62" s="22" t="n">
        <v>1.1</v>
      </c>
      <c r="G62" s="22" t="n">
        <v>1</v>
      </c>
      <c r="H62" s="22" t="n">
        <v>0.98</v>
      </c>
      <c r="I62" s="22" t="n">
        <v>0.98</v>
      </c>
      <c r="J62" s="22" t="n">
        <v>1</v>
      </c>
      <c r="K62" s="22" t="n">
        <v>0.95</v>
      </c>
      <c r="L62" s="22" t="n">
        <v>0.88</v>
      </c>
      <c r="M62" s="22" t="n">
        <v>0.9</v>
      </c>
      <c r="N62" s="22" t="n">
        <v>1</v>
      </c>
      <c r="O62" s="22" t="n">
        <v>1.02</v>
      </c>
      <c r="P62" s="22" t="n">
        <v>1.05</v>
      </c>
      <c r="Q62" s="22" t="n">
        <v>1.14</v>
      </c>
    </row>
    <row r="63">
      <c r="A63" t="inlineStr">
        <is>
          <t>Foreign-spend share vector</t>
        </is>
      </c>
      <c r="D63" t="inlineStr">
        <is>
          <t>The one seasonality vector the brief itself tabulates. Raw mean 39.75, rescaled on the Model to the foreign-spend-share parameter. THE SUMMER TRAVEL SEASON IS THE LARGEST STREAM-4 MONTH on the weakest total-spend base.</t>
        </is>
      </c>
      <c r="F63" s="22" t="n">
        <v>30</v>
      </c>
      <c r="G63" s="22" t="n">
        <v>30</v>
      </c>
      <c r="H63" s="22" t="n">
        <v>30</v>
      </c>
      <c r="I63" s="22" t="n">
        <v>32</v>
      </c>
      <c r="J63" s="22" t="n">
        <v>34</v>
      </c>
      <c r="K63" s="22" t="n">
        <v>55</v>
      </c>
      <c r="L63" s="22" t="n">
        <v>60</v>
      </c>
      <c r="M63" s="22" t="n">
        <v>56</v>
      </c>
      <c r="N63" s="22" t="n">
        <v>36</v>
      </c>
      <c r="O63" s="22" t="n">
        <v>42</v>
      </c>
      <c r="P63" s="22" t="n">
        <v>40</v>
      </c>
      <c r="Q63" s="22" t="n">
        <v>32</v>
      </c>
    </row>
    <row r="65" ht="18" customHeight="1">
      <c r="A65" s="12" t="inlineStr">
        <is>
          <t>REGION KEY - who each region is</t>
        </is>
      </c>
      <c r="B65" s="13" t="n"/>
      <c r="C65" s="13" t="n"/>
      <c r="D65" s="13" t="n"/>
    </row>
    <row r="66">
      <c r="A66" s="14" t="inlineStr">
        <is>
          <t>Parameter</t>
        </is>
      </c>
      <c r="B66" s="14" t="inlineStr">
        <is>
          <t>Value</t>
        </is>
      </c>
      <c r="C66" s="14" t="inlineStr">
        <is>
          <t>Unit</t>
        </is>
      </c>
      <c r="D66" s="14" t="inlineStr">
        <is>
          <t>Source</t>
        </is>
      </c>
    </row>
    <row r="67">
      <c r="A67" s="3" t="inlineStr">
        <is>
          <t>UAE</t>
        </is>
      </c>
      <c r="B67" s="23" t="inlineStr">
        <is>
          <t>opens M1</t>
        </is>
      </c>
      <c r="D67" t="inlineStr">
        <is>
          <t>UAE residents - Indian plus other South Asian (Pakistani, Bangladeshi, Sri Lankan, Nepali). COMBINED 2026-08-20 from two separate regions: both sit under one licence, one set of rails and one agent channel, both open at M1, and both are UAE-resident for VAT. They differed only on average ticket (USD 38 vs USD 26), which the blended USD 33.60 preserves at the book level. The core market - the gold-savings habit and the agent network originate here.</t>
        </is>
      </c>
    </row>
    <row r="68">
      <c r="A68" s="3" t="inlineStr">
        <is>
          <t>Oman and Bahrain</t>
        </is>
      </c>
      <c r="B68" s="23" t="inlineStr">
        <is>
          <t>opens M13</t>
        </is>
      </c>
      <c r="D68" t="inlineStr">
        <is>
          <t>Expatriate workers in Oman and Bahrain. ~600,000 addressable. NOT UAE-resident, so VAT and reporting treatment differ. Requires local authorisation in a second and third jurisdiction, which is why it is the only staged region.</t>
        </is>
      </c>
    </row>
    <row r="69">
      <c r="A69" s="3" t="inlineStr">
        <is>
          <t>India</t>
        </is>
      </c>
      <c r="B69" s="23" t="inlineStr">
        <is>
          <t>opens M1</t>
        </is>
      </c>
      <c r="D69" t="inlineStr">
        <is>
          <t>India-resident retail investors. ~12.5m addressable, sized BEHAVIOURALLY from gold ETF folios intersected with active digital-gold holders rather than demographically. The payment route is ASSUMED SOLVED in this model - if it is not, this region does not open at all.</t>
        </is>
      </c>
    </row>
    <row r="71" ht="18" customHeight="1">
      <c r="A71" s="12" t="inlineStr">
        <is>
          <t>MARKET SIZING - how each region's reachable SIP account ceiling is derived</t>
        </is>
      </c>
      <c r="B71" s="13" t="n"/>
      <c r="C71" s="13" t="n"/>
      <c r="D71" s="13" t="n"/>
    </row>
    <row r="72">
      <c r="A72" s="24" t="inlineStr">
        <is>
          <t>Funnel step</t>
        </is>
      </c>
      <c r="F72" s="25" t="inlineStr">
        <is>
          <t>UAE - Indian</t>
        </is>
      </c>
      <c r="G72" s="25" t="inlineStr">
        <is>
          <t>UAE - other South Asian</t>
        </is>
      </c>
      <c r="H72" s="25" t="inlineStr">
        <is>
          <t>Oman and Bahrain</t>
        </is>
      </c>
      <c r="I72" s="25" t="inlineStr">
        <is>
          <t>India</t>
        </is>
      </c>
    </row>
    <row r="73">
      <c r="A73" t="inlineStr">
        <is>
          <t>Source population</t>
        </is>
      </c>
      <c r="D73" t="inlineStr">
        <is>
          <t>UPDATED 2026-08-20. UAE-Indian is 4.36m - the Indian consulate's official count at December 2024, also given as 4.3m by the Embassy of India. The brief carried 3.5m, which is roughly a 2021-22 vintage: the community was 3.89m at December 2023 and 4.36m a year later, having doubled from 2.2m over the decade. UAE-other South Asian is 3.46m, the sum of Pakistani 1.90m, Bangladeshi 0.84m, Nepali 0.36m and Sri Lankan 0.36m - the brief's 3.4m was already correct. These are TOTAL RESIDENT NATIONALS including dependants, which is why the economically-active filter below applies. Oman and Bahrain is an expatriate WORKER count. INDIA IS NOT A DEMOGRAPHIC BASE - it is sized BEHAVIOURALLY from gold ETF folios intersected with active digital-gold holders, so its filters are 100%. HELD STATIC over the horizon, which is conservative: the UAE Indian community grew ~12% in the single year to Dec 2024.</t>
        </is>
      </c>
      <c r="F73" s="26" t="n">
        <v>4360000</v>
      </c>
      <c r="G73" s="26" t="n">
        <v>3460000</v>
      </c>
      <c r="H73" s="26" t="n">
        <v>2630000</v>
      </c>
      <c r="I73" s="26" t="n">
        <v>12500000</v>
      </c>
    </row>
    <row r="74">
      <c r="A74" t="inlineStr">
        <is>
          <t xml:space="preserve">  x Economically active</t>
        </is>
      </c>
      <c r="D74" t="inlineStr">
        <is>
          <t>Oman and Bahrain is 100% because the source counts EXPAT WORKERS, who are working-age and economically active by definition - applying a labour-force filter would double-count.</t>
        </is>
      </c>
      <c r="F74" s="27" t="n">
        <v>0.8</v>
      </c>
      <c r="G74" s="27" t="n">
        <v>0.8</v>
      </c>
      <c r="H74" s="27" t="n">
        <v>1</v>
      </c>
      <c r="I74" s="27" t="n">
        <v>1</v>
      </c>
    </row>
    <row r="75">
      <c r="A75" t="inlineStr">
        <is>
          <t xml:space="preserve">  x Payment capable (IBAN able to carry a direct debit)</t>
        </is>
      </c>
      <c r="D75" t="inlineStr">
        <is>
          <t>A SIP needs a standing mandate, not just an account. This is the filter that replaced an unsourced gold-savings propensity filter, which was flagged as the weakest link in the entire sizing and had no published source. This one has a stated mechanism behind it.</t>
        </is>
      </c>
      <c r="F75" s="27" t="n">
        <v>0.57</v>
      </c>
      <c r="G75" s="27" t="n">
        <v>0.57</v>
      </c>
      <c r="H75" s="27" t="n">
        <v>0.57</v>
      </c>
      <c r="I75" s="27" t="n">
        <v>1</v>
      </c>
    </row>
    <row r="76">
      <c r="A76" t="inlineStr">
        <is>
          <t xml:space="preserve">  x Money capable (USD 20/month after remittances)</t>
        </is>
      </c>
      <c r="D76" t="inlineStr">
        <is>
          <t>Discretionary capacity for a RECURRING USD 240/year commitment, tested after remittance obligations rather than before them.</t>
        </is>
      </c>
      <c r="F76" s="27" t="n">
        <v>0.4</v>
      </c>
      <c r="G76" s="27" t="n">
        <v>0.4</v>
      </c>
      <c r="H76" s="27" t="n">
        <v>0.4</v>
      </c>
      <c r="I76" s="27" t="n">
        <v>1</v>
      </c>
    </row>
    <row r="77">
      <c r="A77" t="inlineStr">
        <is>
          <t xml:space="preserve">  = Addressable base</t>
        </is>
      </c>
      <c r="D77" t="inlineStr">
        <is>
          <t>Population x the three filters. The UAE-Indian column reproduces the brief's worked figure of ~640,000.</t>
        </is>
      </c>
      <c r="F77" s="28">
        <f>F73*F74*F75*F76</f>
        <v/>
      </c>
      <c r="G77" s="28">
        <f>G73*G74*G75*G76</f>
        <v/>
      </c>
      <c r="H77" s="28">
        <f>H73*H74*H75*H76</f>
        <v/>
      </c>
      <c r="I77" s="28">
        <f>I73*I74*I75*I76</f>
        <v/>
      </c>
    </row>
    <row r="78">
      <c r="A78" t="inlineStr">
        <is>
          <t xml:space="preserve">  x Penetration ceiling</t>
        </is>
      </c>
      <c r="D78" t="inlineStr">
        <is>
          <t>The share of the addressable base the product could ever reach. 'base x ceiling' is the INVARIANT - changing one without the other silently re-scales the whole model.</t>
        </is>
      </c>
      <c r="F78" s="29" t="n">
        <v>0.1</v>
      </c>
      <c r="G78" s="29" t="n">
        <v>0.1</v>
      </c>
      <c r="H78" s="29" t="n">
        <v>0.06</v>
      </c>
      <c r="I78" s="29" t="n">
        <v>0.01</v>
      </c>
    </row>
    <row r="79">
      <c r="A79" t="inlineStr">
        <is>
          <t xml:space="preserve">  = REACHABLE SIP ACCOUNTS</t>
        </is>
      </c>
      <c r="D79" t="inlineStr">
        <is>
          <t>This is what the acquisition engine saturates against.</t>
        </is>
      </c>
      <c r="F79" s="28">
        <f>F77*F78</f>
        <v/>
      </c>
      <c r="G79" s="28">
        <f>G77*G78</f>
        <v/>
      </c>
      <c r="H79" s="28">
        <f>H77*H78</f>
        <v/>
      </c>
      <c r="I79" s="28">
        <f>I77*I78</f>
        <v/>
      </c>
    </row>
    <row r="80">
      <c r="A80" t="inlineStr">
        <is>
          <t xml:space="preserve">  Feeds model region</t>
        </is>
      </c>
      <c r="F80" s="30" t="inlineStr">
        <is>
          <t>UAE</t>
        </is>
      </c>
      <c r="G80" s="30" t="inlineStr">
        <is>
          <t>UAE</t>
        </is>
      </c>
      <c r="H80" s="30" t="inlineStr">
        <is>
          <t>Oman and Bahrain</t>
        </is>
      </c>
      <c r="I80" s="30" t="inlineStr">
        <is>
          <t>India</t>
        </is>
      </c>
    </row>
    <row r="82" ht="18" customHeight="1">
      <c r="A82" s="12" t="inlineStr">
        <is>
          <t>MARKET CEILINGS AND ACQUISITION DRIVERS</t>
        </is>
      </c>
      <c r="B82" s="13" t="n"/>
      <c r="C82" s="13" t="n"/>
      <c r="D82" s="13" t="n"/>
    </row>
    <row r="83">
      <c r="A83" s="14" t="inlineStr">
        <is>
          <t>Parameter</t>
        </is>
      </c>
      <c r="B83" s="14" t="inlineStr">
        <is>
          <t>Value</t>
        </is>
      </c>
      <c r="C83" s="14" t="inlineStr">
        <is>
          <t>Unit</t>
        </is>
      </c>
      <c r="D83" s="14" t="inlineStr">
        <is>
          <t>Source</t>
        </is>
      </c>
    </row>
    <row r="84">
      <c r="A84" t="inlineStr">
        <is>
          <t>Reachable SIP ceiling - UAE</t>
        </is>
      </c>
      <c r="B84" s="31">
        <f>F79+G79</f>
        <v/>
      </c>
      <c r="C84" t="inlineStr">
        <is>
          <t>accounts</t>
        </is>
      </c>
      <c r="D84" t="inlineStr">
        <is>
          <t>DERIVED from the market sizing funnel above - the sum of its source populations (UAE - Indian, UAE - other South Asian), not a typed number. Change any filter and this follows.</t>
        </is>
      </c>
    </row>
    <row r="85">
      <c r="A85" t="inlineStr">
        <is>
          <t>Reachable SIP ceiling - Oman and Bahrain</t>
        </is>
      </c>
      <c r="B85" s="31">
        <f>H79</f>
        <v/>
      </c>
      <c r="C85" t="inlineStr">
        <is>
          <t>accounts</t>
        </is>
      </c>
      <c r="D85" t="inlineStr">
        <is>
          <t>DERIVED from the market sizing funnel above - the sum of its source populations (Oman and Bahrain), not a typed number. Change any filter and this follows.</t>
        </is>
      </c>
    </row>
    <row r="86">
      <c r="A86" t="inlineStr">
        <is>
          <t>Reachable SIP ceiling - India</t>
        </is>
      </c>
      <c r="B86" s="31">
        <f>I79</f>
        <v/>
      </c>
      <c r="C86" t="inlineStr">
        <is>
          <t>accounts</t>
        </is>
      </c>
      <c r="D86" t="inlineStr">
        <is>
          <t>DERIVED from the market sizing funnel above - the sum of its source populations (India), not a typed number. Change any filter and this follows.</t>
        </is>
      </c>
    </row>
    <row r="87">
      <c r="A87" s="3" t="inlineStr">
        <is>
          <t>Total reachable SIP accounts</t>
        </is>
      </c>
      <c r="B87" s="31">
        <f>$B$84+$B$85+$B$86</f>
        <v/>
      </c>
      <c r="C87" t="inlineStr">
        <is>
          <t>accounts</t>
        </is>
      </c>
      <c r="D87" t="inlineStr">
        <is>
          <t>~181,150, against the brief's 165,750. THE BRIEF'S 'base x ceiling is the invariant' RULE IS DELIBERATELY BROKEN HERE, and the distinction matters: that rule guards against a METHODOLOGICAL re-cut quietly inflating the market by re-tuning filters, which proves nothing. This is not that - it is a DATA CORRECTION. The UAE Indian population really is 4.36m rather than 3.5m, so the addressable market really is larger. Holding the invariant would mean asserting that penetration falls exactly as population rises, which has no basis. The penetration ceilings are untouched.</t>
        </is>
      </c>
    </row>
    <row r="88">
      <c r="A88" s="3" t="inlineStr">
        <is>
          <t>CROSS-CHECK vs observed market evidence (memo - feeds nothing)</t>
        </is>
      </c>
    </row>
    <row r="89">
      <c r="A89" t="inlineStr">
        <is>
          <t xml:space="preserve">  O Gold active users, UAE (observed)</t>
        </is>
      </c>
      <c r="B89" s="17" t="n">
        <v>75000</v>
      </c>
      <c r="C89" t="inlineStr">
        <is>
          <t>users</t>
        </is>
      </c>
      <c r="D89" t="inlineStr">
        <is>
          <t>OBSERVED. O Gold, the gold engine behind Botim, reported at 75,000 ACTIVE users. The same product is also reported at 775,000 'explored the feature', 1.5m 'users' and 8.5m 'can access' - ACTIVE is the only one of the four comparable to a reachable-accounts figure, and it is the most conservative. CITED.</t>
        </is>
      </c>
    </row>
    <row r="90">
      <c r="A90" t="inlineStr">
        <is>
          <t xml:space="preserve">  Our UAE ceiling as a multiple of observed active users</t>
        </is>
      </c>
      <c r="B90" s="32">
        <f>$B$84/$B$89</f>
        <v/>
      </c>
      <c r="C90" t="inlineStr">
        <is>
          <t>x observed</t>
        </is>
      </c>
      <c r="D90" t="inlineStr">
        <is>
          <t>LIVE, SO IT MOVES IF ANYONE RAISES A CEILING - which is the point. Two INDEPENDENT methods landing within ~2x is the strongest defence of the funnel in this model: the funnel says the UAE can reach ~113,000 SIP accounts, and a real UAE gold app in the same segment has ~75,000 active users today. Our addressable base of ~1.43m sits against 775,000 who explored that product - same order again. If this multiple drifts far above ~2x, the ceiling has stopped being defensible by evidence and is being set by the answer someone wanted. DERIVED from a cited observation.</t>
        </is>
      </c>
    </row>
    <row r="91">
      <c r="A91" t="inlineStr">
        <is>
          <t xml:space="preserve">  Oman &amp; Bahrain / India (no comparable figure)</t>
        </is>
      </c>
      <c r="B91" s="23" t="inlineStr">
        <is>
          <t>n/a</t>
        </is>
      </c>
      <c r="C91" t="inlineStr">
        <is>
          <t>-</t>
        </is>
      </c>
      <c r="D91" t="inlineStr">
        <is>
          <t>CONFIRMED NEGATIVE, recorded so it is not re-searched. No GCC platform outside the UAE publishes a user count. India publishes only REGISTERED counts (Jar 35m, Augmont 42m) which cannot be deduplicated or converted to active users, so no comparable cross-check can be built. NOTE THAT INDIA'S OWN BASE IS ALREADY user-derived - its 12.5m is 'holds a gold ETF folio or actively buys digital gold', which is why its three filters all sit at 1.00 - AND IT IS THE LEAST TRACEABLE BASE IN THE MODEL. That is the evidence that a user-based method does not automatically produce a better-sourced number.</t>
        </is>
      </c>
    </row>
    <row r="93">
      <c r="A93" t="inlineStr">
        <is>
          <t>Active agents - UAE - Y1</t>
        </is>
      </c>
      <c r="B93" s="17" t="n">
        <v>0</v>
      </c>
      <c r="C93" t="inlineStr">
        <is>
          <t>agents</t>
        </is>
      </c>
      <c r="D93"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4">
      <c r="A94" t="inlineStr">
        <is>
          <t>Active agents - UAE - Y2</t>
        </is>
      </c>
      <c r="B94" s="17" t="n">
        <v>0</v>
      </c>
      <c r="C94" t="inlineStr">
        <is>
          <t>agents</t>
        </is>
      </c>
      <c r="D94"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5">
      <c r="A95" t="inlineStr">
        <is>
          <t>Active agents - UAE - Y3</t>
        </is>
      </c>
      <c r="B95" s="17" t="n">
        <v>0</v>
      </c>
      <c r="C95" t="inlineStr">
        <is>
          <t>agents</t>
        </is>
      </c>
      <c r="D95"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6">
      <c r="A96" t="inlineStr">
        <is>
          <t>Active agents - UAE - Y4</t>
        </is>
      </c>
      <c r="B96" s="17" t="n">
        <v>0</v>
      </c>
      <c r="C96" t="inlineStr">
        <is>
          <t>agents</t>
        </is>
      </c>
      <c r="D96"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7">
      <c r="A97" t="inlineStr">
        <is>
          <t>Active agents - UAE - Y5</t>
        </is>
      </c>
      <c r="B97" s="17" t="n">
        <v>0</v>
      </c>
      <c r="C97" t="inlineStr">
        <is>
          <t>agents</t>
        </is>
      </c>
      <c r="D97"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8">
      <c r="A98" t="inlineStr">
        <is>
          <t>Active agents - UAE - Y6</t>
        </is>
      </c>
      <c r="B98" s="17" t="n">
        <v>0</v>
      </c>
      <c r="C98" t="inlineStr">
        <is>
          <t>agents</t>
        </is>
      </c>
      <c r="D98"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99">
      <c r="A99" t="inlineStr">
        <is>
          <t>Active agents - UAE - Y7</t>
        </is>
      </c>
      <c r="B99" s="17" t="n">
        <v>0</v>
      </c>
      <c r="C99" t="inlineStr">
        <is>
          <t>agents</t>
        </is>
      </c>
      <c r="D99"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0">
      <c r="A100" t="inlineStr">
        <is>
          <t>Active agents - Oman and Bahrain - Y1</t>
        </is>
      </c>
      <c r="B100" s="17" t="n">
        <v>0</v>
      </c>
      <c r="C100" t="inlineStr">
        <is>
          <t>agents</t>
        </is>
      </c>
      <c r="D100"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1">
      <c r="A101" t="inlineStr">
        <is>
          <t>Active agents - Oman and Bahrain - Y2</t>
        </is>
      </c>
      <c r="B101" s="17" t="n">
        <v>0</v>
      </c>
      <c r="C101" t="inlineStr">
        <is>
          <t>agents</t>
        </is>
      </c>
      <c r="D101"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2">
      <c r="A102" t="inlineStr">
        <is>
          <t>Active agents - Oman and Bahrain - Y3</t>
        </is>
      </c>
      <c r="B102" s="17" t="n">
        <v>0</v>
      </c>
      <c r="C102" t="inlineStr">
        <is>
          <t>agents</t>
        </is>
      </c>
      <c r="D102"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3">
      <c r="A103" t="inlineStr">
        <is>
          <t>Active agents - Oman and Bahrain - Y4</t>
        </is>
      </c>
      <c r="B103" s="17" t="n">
        <v>0</v>
      </c>
      <c r="C103" t="inlineStr">
        <is>
          <t>agents</t>
        </is>
      </c>
      <c r="D103"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4">
      <c r="A104" t="inlineStr">
        <is>
          <t>Active agents - Oman and Bahrain - Y5</t>
        </is>
      </c>
      <c r="B104" s="17" t="n">
        <v>0</v>
      </c>
      <c r="C104" t="inlineStr">
        <is>
          <t>agents</t>
        </is>
      </c>
      <c r="D104"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5">
      <c r="A105" t="inlineStr">
        <is>
          <t>Active agents - Oman and Bahrain - Y6</t>
        </is>
      </c>
      <c r="B105" s="17" t="n">
        <v>0</v>
      </c>
      <c r="C105" t="inlineStr">
        <is>
          <t>agents</t>
        </is>
      </c>
      <c r="D105"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6">
      <c r="A106" t="inlineStr">
        <is>
          <t>Active agents - Oman and Bahrain - Y7</t>
        </is>
      </c>
      <c r="B106" s="17" t="n">
        <v>0</v>
      </c>
      <c r="C106" t="inlineStr">
        <is>
          <t>agents</t>
        </is>
      </c>
      <c r="D106"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7">
      <c r="A107" t="inlineStr">
        <is>
          <t>Active agents - India - Y1</t>
        </is>
      </c>
      <c r="B107" s="17" t="n">
        <v>40</v>
      </c>
      <c r="C107" t="inlineStr">
        <is>
          <t>agents</t>
        </is>
      </c>
      <c r="D107"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8">
      <c r="A108" t="inlineStr">
        <is>
          <t>Active agents - India - Y2</t>
        </is>
      </c>
      <c r="B108" s="17" t="n">
        <v>40</v>
      </c>
      <c r="C108" t="inlineStr">
        <is>
          <t>agents</t>
        </is>
      </c>
      <c r="D108"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09">
      <c r="A109" t="inlineStr">
        <is>
          <t>Active agents - India - Y3</t>
        </is>
      </c>
      <c r="B109" s="17" t="n">
        <v>60</v>
      </c>
      <c r="C109" t="inlineStr">
        <is>
          <t>agents</t>
        </is>
      </c>
      <c r="D109"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0">
      <c r="A110" t="inlineStr">
        <is>
          <t>Active agents - India - Y4</t>
        </is>
      </c>
      <c r="B110" s="17" t="n">
        <v>177</v>
      </c>
      <c r="C110" t="inlineStr">
        <is>
          <t>agents</t>
        </is>
      </c>
      <c r="D110"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1">
      <c r="A111" t="inlineStr">
        <is>
          <t>Active agents - India - Y5</t>
        </is>
      </c>
      <c r="B111" s="17" t="n">
        <v>298</v>
      </c>
      <c r="C111" t="inlineStr">
        <is>
          <t>agents</t>
        </is>
      </c>
      <c r="D111"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2">
      <c r="A112" t="inlineStr">
        <is>
          <t>Active agents - India - Y6</t>
        </is>
      </c>
      <c r="B112" s="17" t="n">
        <v>356</v>
      </c>
      <c r="C112" t="inlineStr">
        <is>
          <t>agents</t>
        </is>
      </c>
      <c r="D112"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3">
      <c r="A113" t="inlineStr">
        <is>
          <t>Active agents - India - Y7</t>
        </is>
      </c>
      <c r="B113" s="17" t="n">
        <v>420</v>
      </c>
      <c r="C113" t="inlineStr">
        <is>
          <t>agents</t>
        </is>
      </c>
      <c r="D113" t="inlineStr">
        <is>
          <t>REGIONALISED 2026-08-26, replacing a single national pool split 45/10/45 by a 'share of salesforce' input. AGENTS NOW BELONG TO A REGION. UAE and Oman &amp; Bahrain are set to ZERO: those markets are acquired top-down through marketing at their own CAC, plus referral. India carries the agent network. THE RAMP IS NO LONGER TYPED - and the schedule it replaces was never the client's. The old 5/15/40/90/200 entered the corpus in the v1.0 brief as 'Active agents | Client input REQUIRED', a placeholder flagged as a question to ask; by the v2.6 rebuild spec the word 'required' had dropped and the source column read 'CLIENT INPUT'. That sequence appears in four documents, all of them ours, and in no client source: the 100 G Business Model gives the three-tier agent STRUCTURE (S11.1) and the 15% commission, but no headcount anywhere. The only genuine client instruction was a +50% raise on 2026-08-21, which scaled a placeholder rather than replacing it. THIS ROW IS NOW OBSERVED. It is Angel One's DISCLOSED Authorised Person count - 42 / 40 / 63 / 186 / 313 across FY18-FY22, a 7.45x rise over four years from a small base - indexed to Y1 and anchored at 40 (client decision 2026-08-26). An Angel One AP is a SEBI-registered independent person who acquires and services retail investors on commission, which is the same animal as an Aurumix agent. The tail (Y6-Y7) is extended at Prudent Corporate Advisory's mature rate, whose MFD base went 14,007 (FY20) to 33,308 (FY25), ~19%/yr. THE OBSERVED Y2 DIP IS FLATTENED, client instruction: Angel One's own FY19 fell 5% on FY18, which is what real networks do - you recruit, most wash out, the survivors compound from year 3. Held FLAT at Y2 instead, which is not a free year: at 45% attrition it still means ~18 hires purely to stand still. TWO CAVEATS ON THE COMPARATORS. Angel One's FY18 is NOT that company's year one - it was founded in 1996 and was rebuilding the AP channel, so this is 'a distributor network scaling from a small base', not 'a startup's first five years'. And both comparators RECRUIT PRE-LICENSED PROFESSIONALS onto a platform rather than creating agents from nothing; gold is not a securities product so Aurumix needs no ARN or SEBI registration, which removes the barrier but also removes the ready pool to poach from. CROSS-CHECKED, AND THIS IS THE STRONGEST PART: sizing agents bottom-up so they are India's primary channel independently gives ~470 at Y7 against this curve's 420 - two unrelated methods, 12% apart. Y4 IS THE YEAR TO QUESTION: 60 to 177 needs 144 hires against a base of 60, nearly tripling the network in twelve months. It is inherited from Angel One's real FY20-FY21 jump (63 to 186), so it is observed rather than invented, but it is the year the plan has to actually deliver. AND IT IS A COST THIS MODEL CANNOT SEE: 857 hires across seven years to end with 420 active, ~224 in Y7 alone, needing 5-6 full-time recruiters and ~28 supervisors at a 1:15 span. OBSERVED (Angel One FY18-FY22, Prudent FY20-FY25); the Y1 anchor is a CLIENT DECISION.</t>
        </is>
      </c>
    </row>
    <row r="114">
      <c r="A114" t="inlineStr">
        <is>
          <t>Marketing spend - Y1</t>
        </is>
      </c>
      <c r="B114" s="20" t="n">
        <v>90000</v>
      </c>
      <c r="C114" t="inlineStr">
        <is>
          <t>USD/yr</t>
        </is>
      </c>
      <c r="D114"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5">
      <c r="A115" t="inlineStr">
        <is>
          <t>Marketing spend - Y2</t>
        </is>
      </c>
      <c r="B115" s="20" t="n">
        <v>270000</v>
      </c>
      <c r="C115" t="inlineStr">
        <is>
          <t>USD/yr</t>
        </is>
      </c>
      <c r="D115"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6">
      <c r="A116" t="inlineStr">
        <is>
          <t>Marketing spend - Y3</t>
        </is>
      </c>
      <c r="B116" s="20" t="n">
        <v>375000</v>
      </c>
      <c r="C116" t="inlineStr">
        <is>
          <t>USD/yr</t>
        </is>
      </c>
      <c r="D116"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7">
      <c r="A117" t="inlineStr">
        <is>
          <t>Marketing spend - Y4</t>
        </is>
      </c>
      <c r="B117" s="20" t="n">
        <v>600000</v>
      </c>
      <c r="C117" t="inlineStr">
        <is>
          <t>USD/yr</t>
        </is>
      </c>
      <c r="D117"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8">
      <c r="A118" t="inlineStr">
        <is>
          <t>Marketing spend - Y5</t>
        </is>
      </c>
      <c r="B118" s="20" t="n">
        <v>900000</v>
      </c>
      <c r="C118" t="inlineStr">
        <is>
          <t>USD/yr</t>
        </is>
      </c>
      <c r="D118"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19">
      <c r="A119" t="inlineStr">
        <is>
          <t>Marketing spend - Y6</t>
        </is>
      </c>
      <c r="B119" s="20" t="n">
        <v>1275000</v>
      </c>
      <c r="C119" t="inlineStr">
        <is>
          <t>USD/yr</t>
        </is>
      </c>
      <c r="D119"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20">
      <c r="A120" t="inlineStr">
        <is>
          <t>Marketing spend - Y7</t>
        </is>
      </c>
      <c r="B120" s="20" t="n">
        <v>1650000</v>
      </c>
      <c r="C120" t="inlineStr">
        <is>
          <t>USD/yr</t>
        </is>
      </c>
      <c r="D120" t="inlineStr">
        <is>
          <t>RAISED 50% on 2026-08-21, client instruction. A DECISION VARIABLE and an input to acquisition, not an output of a cost table. THE SINGLE LARGEST LEVER IN THE MODEL AND THE ONLY ONE THAT IS PURELY A SPENDING CHOICE: measured sensitivity puts +50% here at +28.5% customers and +29.3% gold. IT IS ALSO THE ONE THE REVENUE-ONLY SCOPE FLATTERS MOST. This model has no cost side yet, so an extra USD 1.9m of marketing across the horizon appears here as pure upside. It is not - it is USD 1.9m of spend, and whether it is worth making is a question only the cost build can answer. DO NOT PRESENT THE UPLIFT FROM THIS ROW AS PROFIT.</t>
        </is>
      </c>
    </row>
    <row r="121">
      <c r="A121" t="inlineStr">
        <is>
          <t>Agent blended ramp - Y1</t>
        </is>
      </c>
      <c r="B121" s="15" t="n">
        <v>0.6</v>
      </c>
      <c r="C121" t="inlineStr">
        <is>
          <t>x productivity</t>
        </is>
      </c>
      <c r="D121" t="inlineStr">
        <is>
          <t>Six months to full productivity, which happens to match the six-payment gate.</t>
        </is>
      </c>
    </row>
    <row r="122">
      <c r="A122" t="inlineStr">
        <is>
          <t>Agent blended ramp - Y2</t>
        </is>
      </c>
      <c r="B122" s="15" t="n">
        <v>0.85</v>
      </c>
      <c r="C122" t="inlineStr">
        <is>
          <t>x productivity</t>
        </is>
      </c>
      <c r="D122" t="inlineStr">
        <is>
          <t>Six months to full productivity, which happens to match the six-payment gate.</t>
        </is>
      </c>
    </row>
    <row r="123">
      <c r="A123" t="inlineStr">
        <is>
          <t>Agent blended ramp - Y3</t>
        </is>
      </c>
      <c r="B123" s="15" t="n">
        <v>1</v>
      </c>
      <c r="C123" t="inlineStr">
        <is>
          <t>x productivity</t>
        </is>
      </c>
      <c r="D123" t="inlineStr">
        <is>
          <t>Six months to full productivity, which happens to match the six-payment gate.</t>
        </is>
      </c>
    </row>
    <row r="124">
      <c r="A124" t="inlineStr">
        <is>
          <t>Agent blended ramp - Y4</t>
        </is>
      </c>
      <c r="B124" s="15" t="n">
        <v>1</v>
      </c>
      <c r="C124" t="inlineStr">
        <is>
          <t>x productivity</t>
        </is>
      </c>
      <c r="D124" t="inlineStr">
        <is>
          <t>Six months to full productivity, which happens to match the six-payment gate.</t>
        </is>
      </c>
    </row>
    <row r="125">
      <c r="A125" t="inlineStr">
        <is>
          <t>Agent blended ramp - Y5</t>
        </is>
      </c>
      <c r="B125" s="15" t="n">
        <v>1</v>
      </c>
      <c r="C125" t="inlineStr">
        <is>
          <t>x productivity</t>
        </is>
      </c>
      <c r="D125" t="inlineStr">
        <is>
          <t>Six months to full productivity, which happens to match the six-payment gate.</t>
        </is>
      </c>
    </row>
    <row r="126">
      <c r="A126" t="inlineStr">
        <is>
          <t>Agent blended ramp - Y6</t>
        </is>
      </c>
      <c r="B126" s="15" t="n">
        <v>1</v>
      </c>
      <c r="C126" t="inlineStr">
        <is>
          <t>x productivity</t>
        </is>
      </c>
      <c r="D126" t="inlineStr">
        <is>
          <t>Six months to full productivity, which happens to match the six-payment gate.</t>
        </is>
      </c>
    </row>
    <row r="127">
      <c r="A127" t="inlineStr">
        <is>
          <t>Agent blended ramp - Y7</t>
        </is>
      </c>
      <c r="B127" s="15" t="n">
        <v>1</v>
      </c>
      <c r="C127" t="inlineStr">
        <is>
          <t>x productivity</t>
        </is>
      </c>
      <c r="D127" t="inlineStr">
        <is>
          <t>Six months to full productivity, which happens to match the six-payment gate.</t>
        </is>
      </c>
    </row>
    <row r="129" ht="18" customHeight="1">
      <c r="A129" s="12" t="inlineStr">
        <is>
          <t>SCENARIO-LINKED INPUTS (live values - move with the scenario switch)</t>
        </is>
      </c>
      <c r="B129" s="13" t="n"/>
      <c r="C129" s="13" t="n"/>
      <c r="D129" s="13" t="n"/>
    </row>
    <row r="130">
      <c r="A130" s="14" t="inlineStr">
        <is>
          <t>Parameter</t>
        </is>
      </c>
      <c r="B130" s="14" t="inlineStr">
        <is>
          <t>Value</t>
        </is>
      </c>
      <c r="C130" s="14" t="inlineStr">
        <is>
          <t>Unit</t>
        </is>
      </c>
      <c r="D130" s="14" t="inlineStr">
        <is>
          <t>Source</t>
        </is>
      </c>
    </row>
    <row r="131">
      <c r="A131" t="inlineStr">
        <is>
          <t>Gold price appreciation</t>
        </is>
      </c>
      <c r="B131" s="33">
        <f>'Scenario Parameters'!$B$10</f>
        <v/>
      </c>
      <c r="C131" t="inlineStr">
        <is>
          <t>%/yr</t>
        </is>
      </c>
      <c r="D131" t="inlineStr">
        <is>
          <t>ADDED 2026-08-21, client instruction, replacing a flat price. 8.1% is the COMPOUND ANNUAL GROWTH RATE SINCE 1971, the end of the gold standard - chosen because it is the LONGEST window and therefore the least cherry-picked. The shorter the window the better gold looks: ~8.6% over 50 years, ~9-10% over 20, ~13-14% over 10, and over 20% over the last 5. Taking the recent decade would have flattered the model on a rally. CITED. THIS IS A NOMINAL RATE AND NOTHING ELSE IN THE MODEL INFLATES. SIP tickets, spot tickets, CAC, card fees and the B2B fee are all frozen in 2027 dollars. There is NO CONSENSUS POSITIVE LONG-RUN REAL RETURN for gold - it is generally treated as a store of value with a near-zero real yield - so most of this 8.1% IS INFLATION. Applying it to the metal while freezing everything else quietly asserts that gold outruns wages, prices and costs by 8% a year for seven years, which is not a claim anyone would defend out loud. The Model therefore also carries AUM AT THE CONSTANT M1 PRICE, and that is the honest series for judging whether the BUSINESS grew. Conservative is set at 0.0% deliberately: it restores the original flat-price design, under which every revenue change is attributable to the business rather than the metal.</t>
        </is>
      </c>
    </row>
    <row r="132">
      <c r="A132" t="inlineStr">
        <is>
          <t>Float buffer - days of demand held</t>
        </is>
      </c>
      <c r="B132" s="34">
        <f>'Scenario Parameters'!$B$11</f>
        <v/>
      </c>
      <c r="C132" t="inlineStr">
        <is>
          <t>days</t>
        </is>
      </c>
      <c r="D132" t="inlineStr">
        <is>
          <t>S50, the SOFT HALF of the float sizing rule. The corpus states the rule as 'one bar denomination plus a buffer of N days trailing inflow' and NEVER SETS N. WHAT THE BUFFER IS FOR: how long it takes to get REPLACEMENT metal into the vault - dealer lead time, weekend and holiday gaps, payment clearing, and the days a dealer cannot fill 100 g. It is a REPLENISHMENT question. NOT the fill window, which is how long demand takes to CONSUME a bar. The brief anchors the 10 days on the fill window and that is the wrong anchor - how fast the shelf empties and how fast it can be restocked are different questions that only happen to give a similar answer at launch. Corrected here 2026-08-26; the brief still carries the old reasoning. 10 days is a working number for a dealer who has not been chosen yet, and it is DEALER-DEPENDENT: a T+2 commitment would cut the float by roughly two-thirds. IT CHANGES NOTHING AT LAUNCH. Below 10 grams a day - which is about month six - the two-bar floor is larger, so M1 is USD 28,716 for ANY buffer from 0 to 49 days. It binds only at scale, where it is worth USD 64,669 per day of buffer by Y7 and USD 905k between the Aggressive and Conservative settings. ASSUMPTION, and the one to flex: the only number in the float calculation that was neither observed nor settled in the design docs.</t>
        </is>
      </c>
    </row>
    <row r="133">
      <c r="A133" t="inlineStr">
        <is>
          <t>Persistency - customers still paying after 12 months</t>
        </is>
      </c>
      <c r="B133" s="35">
        <f>'Scenario Parameters'!$B$15</f>
        <v/>
      </c>
      <c r="C133" t="inlineStr">
        <is>
          <t>%</t>
        </is>
      </c>
      <c r="D133" t="inlineStr">
        <is>
          <t>THE HEADLINE RETENTION NUMBER, and the one a client can argue with. Everything about churn is derived from it. Governs lifetime value, referral economics and agent commission at once. DERIVED from the archetype work: the simulation can refine it, but 55% is what that engine produced.</t>
        </is>
      </c>
    </row>
    <row r="134">
      <c r="A134" t="inlineStr">
        <is>
          <t>Monthly churn rate (derived)</t>
        </is>
      </c>
      <c r="B134" s="33">
        <f>'Scenario Parameters'!$B$16</f>
        <v/>
      </c>
      <c r="C134" t="inlineStr">
        <is>
          <t>%/month</t>
        </is>
      </c>
      <c r="D134" t="inlineStr">
        <is>
          <t>DERIVED, not typed: the monthly rate that reproduces the persistency above over twelve months. Change persistency and this follows. Base 55% implies ~4.9%/month.</t>
        </is>
      </c>
    </row>
    <row r="135">
      <c r="A135" t="inlineStr">
        <is>
          <t>Agent productivity</t>
        </is>
      </c>
      <c r="B135" s="36">
        <f>'Scenario Parameters'!$B$17</f>
        <v/>
      </c>
      <c r="C135" t="inlineStr">
        <is>
          <t>accounts/agent/month</t>
        </is>
      </c>
      <c r="D135" t="inlineStr">
        <is>
          <t>RE-EVIDENCED 2026-08-26. Base HOLDS at 6; the BANDS widen from 8/3 to 9/3 and the justification is rebuilt on measured comparators instead of resting on a single insurance-agency analogy. WHAT THE EVIDENCE SAYS. IRDAI's Annual Report FY25 gives 270.22 lakh new individual policies against 31.23 lakh individual agents - 8.65 policies per agent per YEAR, or 0.72/month, across the whole book INCLUDING dormant agents. Adjusting for dormancy (MicroSave measures up to 43% inactive across the top four BC network managers) puts an ACTIVE Indian life agent at roughly 1.5-3 per month. BEWARE ONE WIDELY-CIRCULATED FIGURE: an analyst piece states Indian productivity as '0.87 policies per agent per year'. That is an ARITHMETIC SLIP - it divides 27.02 lakh by 31.23 lakh when the numerator is 270.22 lakh. The correct figure is 8.65. Do not cite the 0.87. THE CLOSER COMPARATOR IS THE BANK MITRA / BC NETWORK, which opens a light, form-based account for the same demographic through the same field model: 20-30 accounts per month when the account is FREE, and about 2 per month once a fee is introduced - a 93% collapse, measured by MicroSave. AURUMIX CHARGES 5% ON ENTRY. That is the datapoint arguing 6 is at the OPTIMISTIC end rather than the conservative one, and it is why the conservative band moves from 3 to... 3, but now for a stated reason rather than as a round number. THE OLD NOTE argued 6 was conservative because a gold SIP signup is a fraction of the work of an underwritten insurance policy. That is true, and it is why 6 survives as Base - but it argues only against the insurance figure and is silent on the fee-friction evidence, which points the other way. COMPOUNDS WITH HEADCOUNT: both are execution assumptions, and if either disappoints the other does not compensate. TRIANGULATED at 6, with the band now evidence-led in both directions.</t>
        </is>
      </c>
    </row>
    <row r="136">
      <c r="A136" t="inlineStr">
        <is>
          <t>Marketing CAC - UAE</t>
        </is>
      </c>
      <c r="B136" s="37">
        <f>'Scenario Parameters'!$B$18</f>
        <v/>
      </c>
      <c r="C136" t="inlineStr">
        <is>
          <t>USD per customer</t>
        </is>
      </c>
      <c r="D136"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137">
      <c r="A137" t="inlineStr">
        <is>
          <t>Marketing CAC - Oman and Bahrain</t>
        </is>
      </c>
      <c r="B137" s="37">
        <f>'Scenario Parameters'!$B$19</f>
        <v/>
      </c>
      <c r="C137" t="inlineStr">
        <is>
          <t>USD per customer</t>
        </is>
      </c>
      <c r="D137"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138">
      <c r="A138" t="inlineStr">
        <is>
          <t>Marketing CAC - India</t>
        </is>
      </c>
      <c r="B138" s="37">
        <f>'Scenario Parameters'!$B$20</f>
        <v/>
      </c>
      <c r="C138" t="inlineStr">
        <is>
          <t>USD per customer</t>
        </is>
      </c>
      <c r="D138"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139">
      <c r="A139" t="inlineStr">
        <is>
          <t>Marketing CAC at Y7 - UAE</t>
        </is>
      </c>
      <c r="B139" s="37">
        <f>'Scenario Parameters'!$B$21</f>
        <v/>
      </c>
      <c r="C139" t="inlineStr">
        <is>
          <t>USD per customer</t>
        </is>
      </c>
      <c r="D139"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140">
      <c r="A140" t="inlineStr">
        <is>
          <t>Marketing CAC at Y7 - Oman and Bahrain</t>
        </is>
      </c>
      <c r="B140" s="37">
        <f>'Scenario Parameters'!$B$22</f>
        <v/>
      </c>
      <c r="C140" t="inlineStr">
        <is>
          <t>USD per customer</t>
        </is>
      </c>
      <c r="D140"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141">
      <c r="A141" t="inlineStr">
        <is>
          <t>Marketing CAC at Y7 - India</t>
        </is>
      </c>
      <c r="B141" s="37">
        <f>'Scenario Parameters'!$B$23</f>
        <v/>
      </c>
      <c r="C141" t="inlineStr">
        <is>
          <t>USD per customer</t>
        </is>
      </c>
      <c r="D141"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142">
      <c r="A142" t="inlineStr">
        <is>
          <t>Marketing spend share - UAE</t>
        </is>
      </c>
      <c r="B142" s="35">
        <f>'Scenario Parameters'!$B$24</f>
        <v/>
      </c>
      <c r="C142" t="inlineStr">
        <is>
          <t>% of budget</t>
        </is>
      </c>
      <c r="D142"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143">
      <c r="A143" t="inlineStr">
        <is>
          <t>Marketing spend share - Oman and Bahrain</t>
        </is>
      </c>
      <c r="B143" s="35">
        <f>'Scenario Parameters'!$B$25</f>
        <v/>
      </c>
      <c r="C143" t="inlineStr">
        <is>
          <t>% of budget</t>
        </is>
      </c>
      <c r="D143"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144">
      <c r="A144" t="inlineStr">
        <is>
          <t>Marketing spend share - India</t>
        </is>
      </c>
      <c r="B144" s="35">
        <f>'Scenario Parameters'!$B$26</f>
        <v/>
      </c>
      <c r="C144" t="inlineStr">
        <is>
          <t>% of budget</t>
        </is>
      </c>
      <c r="D144"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145">
      <c r="A145" t="inlineStr">
        <is>
          <t>Referral rate</t>
        </is>
      </c>
      <c r="B145" s="36">
        <f>'Scenario Parameters'!$B$27</f>
        <v/>
      </c>
      <c r="C145" t="inlineStr">
        <is>
          <t>referrals/customer/yr</t>
        </is>
      </c>
      <c r="D145" t="inlineStr">
        <is>
          <t>RAISED 2026-08-21 from 0.45, client instruction. Cap removed deliberately, so the distribution is right-skewed - MODEL THE MEAN, NOT THE MEDIAN. 0.60 means the average customer produces roughly three referrals every five years; the mean is pulled up by a small number of highly social referrers, which is the normal shape for a trust-based product inside a tight diaspora community. IT IS STILL AN ASSUMPTION WITH NO EXTERNAL ANCHOR, and it compounds: referrals feed the paying base, which feeds more referrals. That loop is the reason this parameter is more load-bearing than its size suggests. ASSUMPTION.</t>
        </is>
      </c>
    </row>
    <row r="146">
      <c r="A146" t="inlineStr">
        <is>
          <t>Referral conversion</t>
        </is>
      </c>
      <c r="B146" s="35">
        <f>'Scenario Parameters'!$B$28</f>
        <v/>
      </c>
      <c r="C146" t="inlineStr">
        <is>
          <t>%</t>
        </is>
      </c>
      <c r="D146" t="inlineStr">
        <is>
          <t>The M7 survival of the referred cohort, uplifted ~1.1x. DERIVED.</t>
        </is>
      </c>
    </row>
    <row r="147">
      <c r="A147" t="inlineStr">
        <is>
          <t>Organic share of direct</t>
        </is>
      </c>
      <c r="B147" s="35">
        <f>'Scenario Parameters'!$B$29</f>
        <v/>
      </c>
      <c r="C147" t="inlineStr">
        <is>
          <t>% of direct</t>
        </is>
      </c>
      <c r="D147" t="inlineStr">
        <is>
          <t>RAISED 2026-08-21 from 0.12, client instruction. Kept separate from CAC deliberately, so the acquisition cost never applies to it - THAT IS ALSO WHY IT IS AN ATTRACTIVE NUMBER TO RAISE, and why it deserves scepticism. 0.25 says a quarter of paid-driven signups arrive again for free through word of mouth, app store discovery and community effects. Defensible for a product sold inside a dense diaspora network where the paid campaign and the community overlap almost completely. NO EXTERNAL ANCHOR AT EITHER LEVEL, and it is arithmetically identical to a 12% CAC reduction - so raising this AND cutting CAC in the same pass is close to taking the same benefit twice. ASSUMPTION.</t>
        </is>
      </c>
    </row>
    <row r="148">
      <c r="A148" t="inlineStr">
        <is>
          <t>Seasonality amplitude</t>
        </is>
      </c>
      <c r="B148" s="36">
        <f>'Scenario Parameters'!$B$30</f>
        <v/>
      </c>
      <c r="C148" t="inlineStr">
        <is>
          <t>x deviation from 1.0</t>
        </is>
      </c>
      <c r="D148" t="inlineStr">
        <is>
          <t>Festival TIMING is sourced; how hard a Dubai savings signup responds to Dhanteras is the open question. Applied to the deviation from 1.0, then renormalised, so the vectors stay at exactly 12.000.</t>
        </is>
      </c>
    </row>
    <row r="149">
      <c r="A149" t="inlineStr">
        <is>
          <t>Customers who EVER reach an ICS benefit tier</t>
        </is>
      </c>
      <c r="B149" s="35">
        <f>'Scenario Parameters'!$B$34</f>
        <v/>
      </c>
      <c r="C149" t="inlineStr">
        <is>
          <t>% of customers</t>
        </is>
      </c>
      <c r="D149" t="inlineStr">
        <is>
          <t>REPURPOSED 2026-08-26 (CG decision). THIS CELL NO LONGER GATES ACCESS TO ANYTHING. The card and the credit facility are now open to the whole book regardless of SIP status or ICS tier; what ICS still governs is BENEFITS - fee discounts, better FX rates, family-wallet pricing, gold reward rebates. IT FEEDS NO REVENUE ROW TODAY. It is carried as a memo on the Model so the ICS-entitled population is already computed when the cost and discount build lands, because every one of those benefits is a give-back that has to be sized against a population. Deleting it would mean rebuilding it a day later. WHAT IT USED TO DO, AND WHY THE CHANGE IS LARGE: it restricted the card streams to the 55% who ever cleared a six-payment gate, so removing it widens the card population by 1/0.55 = 1.82x AND removes the ~8-month lag before anyone qualified. The old note called this 'the single most load-bearing parameter in the model' and claimed the card streams were ~83% of gross profit; BOTH STATEMENTS ARE NOW STALE - there is no gross-profit line in this build at all, and on the current numbers the card streams are a far smaller share of revenue than that. The 55% itself is unchanged and still the OUTPUT of the run-of-6 first-passage engine validated against the archetype mix, which now lives in the Phase 5 simulation. Whether ICS ENTITLEMENT should use the same threshold as the old payment gate is an OPEN QUESTION for the mechanism-design update - it is inherited here, not decided.</t>
        </is>
      </c>
    </row>
    <row r="150">
      <c r="A150" t="inlineStr">
        <is>
          <t>Average months to reach an ICS benefit tier</t>
        </is>
      </c>
      <c r="B150" s="34">
        <f>'Scenario Parameters'!$B$35</f>
        <v/>
      </c>
      <c r="C150" t="inlineStr">
        <is>
          <t>months</t>
        </is>
      </c>
      <c r="D150" t="inlineStr">
        <is>
          <t>REPURPOSED 2026-08-26 with the row above - it no longer delays card access, only benefit entitlement. Tier arrival is a DISTRIBUTION, not a date: a customer who misses month 4 cannot qualify before month 9. The validated mean is M8.0, against the naive assumption of M6. UNDER THE OLD DESIGN those two extra months pushed every card ladder date to the right and were worth real revenue; under the new one they delay only the point at which a customer starts COSTING money in discounts, which is the opposite sign. DERIVED.</t>
        </is>
      </c>
    </row>
    <row r="151">
      <c r="A151" t="inlineStr">
        <is>
          <t>Gold moved out of Aurumix's control</t>
        </is>
      </c>
      <c r="B151" s="35">
        <f>'Scenario Parameters'!$B$39</f>
        <v/>
      </c>
      <c r="C151" t="inlineStr">
        <is>
          <t>% of AUM/yr</t>
        </is>
      </c>
      <c r="D151" t="inlineStr">
        <is>
          <t>HALVED 2026-08-21 from 0.12, client instruction. NOTE IT HAS ZERO EFFECT ON GOLD UNDER CUSTODY - measured, not asserted - because self-custodied metal never left the vault and was never in that measure. It moves ONLY the collateral-eligible base and therefore the card credit limit, worth ~0.2% of Y7 revenue. RELABELLED earlier the same day after the client correctly objected to the old name, 'self-custody leakage'. THE GOLD DOES NOT LEAVE THE VAULT: a token moving to a customer's own wallet sells nothing and burns nothing, so calling it an AUM decrease was wrong. What it does leave is Aurumix's COLLATERAL-ELIGIBLE base - Aurumix cannot foreclose on a token sitting in a private wallet, so that gold can no longer back a credit limit. In this model AUM has exactly ONE consumer, the card credit limit, so the arithmetic was always right and only the label was misleading. THAT ONE-CONSUMER PROPERTY IS WHAT MAKES THIS SAFE: if a later build points anything else at AUM - a custody fee, a reported-AUM headline - this row must be split in two first. Contrast the redemption line, which IS gold genuinely gone. ASSUMPTION.</t>
        </is>
      </c>
    </row>
    <row r="152">
      <c r="A152" t="inlineStr">
        <is>
          <t>Redemption rate</t>
        </is>
      </c>
      <c r="B152" s="35">
        <f>'Scenario Parameters'!$B$40</f>
        <v/>
      </c>
      <c r="C152" t="inlineStr">
        <is>
          <t>% of AUM/yr</t>
        </is>
      </c>
      <c r="D152" t="inlineStr">
        <is>
          <t>LOWERED 2026-08-21 from 0.08, client instruction - AND THIS ONE MOVES TOWARDS THE EVIDENCE, not away from it. PAXG turnover of 5.9% is the only comparator that exists, and 8% sat above it for no stated reason; 6% sits essentially on it. A DIFFERENT EVENT from gold moving out of Aurumix's control, and a separate line: this is metal actually sold and tokens burned. VARA forbids charging any fee on it. ASSUMPTION, now aligned to the single available comparator.</t>
        </is>
      </c>
    </row>
    <row r="153">
      <c r="A153" t="inlineStr">
        <is>
          <t>Holder redemption multiplier</t>
        </is>
      </c>
      <c r="B153" s="36">
        <f>'Scenario Parameters'!$B$41</f>
        <v/>
      </c>
      <c r="C153" t="inlineStr">
        <is>
          <t>x the paying rate</t>
        </is>
      </c>
      <c r="D153" t="inlineStr">
        <is>
          <t>LOWERED 2026-08-21 from 2.2, client instruction. THIS IS THE WEAKEST OF THE THREE DECAY CHANGES. The LOGIC behind a multiplier above 1.0 is untouched and still holds: customers who stopped paying redeem faster, because they have no accruing benefit left to protect. Lowering it to 1.6 weakens that argument without new evidence for the smaller number - it says lapsed customers are stickier than previously assumed, which is the convenient direction. Because holders become the majority of the book by Y4, this remains the DOMINANT AUM DECAY TERM from roughly Y4, so the change is not cosmetic. ASSUMPTION, and the first one to revisit if AUM is challenged.</t>
        </is>
      </c>
    </row>
    <row r="154">
      <c r="A154" t="inlineStr">
        <is>
          <t>Spot attach scenario multiplier</t>
        </is>
      </c>
      <c r="B154" s="36">
        <f>'Scenario Parameters'!$B$42</f>
        <v/>
      </c>
      <c r="C154" t="inlineStr">
        <is>
          <t>x the regional attach</t>
        </is>
      </c>
      <c r="D154" t="inlineStr">
        <is>
          <t>REGIONALISED 2026-08-21. The attach LEVEL now sits per region on Assumptions (UAE 12%, Oman &amp; Bahrain 10%, India 25%); this dial carries only the uncertainty around it, preserving the old 14/24/7 spread (1.00 / 1.70 / 0.50). ONE DIAL, NOT THREE TRIPLETS - nine numbers to defend, and a scenario could otherwise silently invert the regional ordering that affordability establishes. See the regional rows on Assumptions for the reasoning. ASSUMPTION about spread.</t>
        </is>
      </c>
    </row>
    <row r="155">
      <c r="A155" t="inlineStr">
        <is>
          <t>Spot ticket scenario multiplier</t>
        </is>
      </c>
      <c r="B155" s="36">
        <f>'Scenario Parameters'!$B$43</f>
        <v/>
      </c>
      <c r="C155" t="inlineStr">
        <is>
          <t>x the observed ticket</t>
        </is>
      </c>
      <c r="D155" t="inlineStr">
        <is>
          <t>REPLACED the global 'Average spot ticket' on 2026-08-21. The LEVEL is no longer a scenario input: each region now carries its own OBSERVED ticket on Assumptions (UAE 190 from Botim, India 40 from Augmont, Oman &amp; Bahrain 145 inferred). This parameter carries only the UNCERTAINTY around those observations, as a single dial. WHY ONE DIAL AND NOT THREE: three regional triplets would be nine numbers to defend and would let a scenario silently invert the regional ordering that the sources establish. One multiplier flexes the level and PRESERVES the ordering. Aggressive 1.35 puts the UAE at ~257, still under the AED 1,000 mark; conservative 0.70 puts it at ~133, below Botim's own sub-AED-500 majority. ASSUMPTION about spread, applied to observed levels.</t>
        </is>
      </c>
    </row>
    <row r="156">
      <c r="A156" t="inlineStr">
        <is>
          <t>Spot frequency</t>
        </is>
      </c>
      <c r="B156" s="36">
        <f>'Scenario Parameters'!$B$44</f>
        <v/>
      </c>
      <c r="C156" t="inlineStr">
        <is>
          <t>events/attacher/yr</t>
        </is>
      </c>
      <c r="D156" t="inlineStr">
        <is>
          <t>PROVENANCE CORRECTED 2026-08-21 - THE NUMBER STANDS, ITS OLD CITATION DID NOT. The previous note read 'Botim's 128,000 trades against ~45,000 buyers implies ~1.9/yr'. THE 45,000 IS NOT A BUYER COUNT, IT IS A TRANSACTION COUNT: Khaleej Times, Nov 2025, says 775,000 users EXPLORED the feature, 'completing over 45,000 transactions'. The 128,000 is also transactions, to Feb 2026. So the old derivation divided transactions by transactions across two different windows - the result was the growth in cumulative trades, not a frequency. CONFIRMED NEGATIVE: Botim has never published a unique-buyer count, so no frequency can be derived from it, and no published frequency exists ANYWHERE for ad-hoc lump gold purchases. Comparators are 0.85/yr (Augmont, per REGISTERED user, at an average transaction of Rs 331 - micro-saving, not lumps) and 264/yr (Jar, Rs 10/day auto-roundups) - a 300x spread, neither being this product. WHAT DOES SUPPORT 1.7 is a cross-check on the COMBINED basis, attach x frequency x ticket, which is comparable: Aurumix India implies ~Rs 838/yr of gold per paying customer against Augmont's ~Rs 281/yr per registered user. 3x, and defensible - our customers are engaged SIP savers, not dormant registrations. Behaviourally 1.7 is also about right for festive lumps: Dhanteras, Akshaya Tritiya and a wedding is roughly two events. ASSUMPTION, cross-checked on the combined basis, NOT directly sourced.</t>
        </is>
      </c>
    </row>
    <row r="157">
      <c r="A157" t="inlineStr">
        <is>
          <t>Programme manager share of interchange</t>
        </is>
      </c>
      <c r="B157" s="35">
        <f>'Scenario Parameters'!$B$48</f>
        <v/>
      </c>
      <c r="C157" t="inlineStr">
        <is>
          <t>%</t>
        </is>
      </c>
      <c r="D157" t="inlineStr">
        <is>
          <t>LOWERED 2026-08-21 from 0.72, client instruction - AURUMIX NOW KEEPS 40% RATHER THAN 28%. 0.60 sits comfortably inside the 36-85% observed range and is roughly its midpoint, so the base case moves from the pessimistic end to a neutral one. It assumes a NEGOTIATED deal rather than a take-it-or-leave-it one, which is reasonable for a programme with a gold-collateral proposition the manager cannot source elsewhere - but it IS an assumption about a contract that does not exist yet, and the only honest way to hold it is to treat 40% as a target to negotiate to, not a rate already won. BANDS CORRECTED earlier the same day - THEY WERE INVERTED. Aggressive was 0.85 and conservative 0.55, meaning the OPTIMISTIC scenario handed MORE of the interchange to the programme manager and cut Aurumix's share from 28% to 15%. Every other cost-like parameter in this model improves under Aggressive - redemption, CAC, self-custody, the holder multiplier - and this one moved the other way. Flipping the scenario made interchange fall 46% in the good case and rise 61% in the bad one. Aggressive is now 0.36, THE DOCUMENTED FLOOR, which is the best deal observed anywhere and the right walk-away to take into a sponsor conversation - at that level Aurumix keeps 64% rather than 28%, and interchange more than doubles. Conservative is 0.85. WHY AURUMIX ONLY GETS A SLICE AT ALL: it is not a bank and cannot issue cards, so a programme manager holds the BIN, the scheme membership, settlement and dispute handling, and takes the majority for it. That much is normal. 72% is near the BAD END of the 36-85% range, so the base case is deliberately unfavourable - THIS IS A COMMERCIAL NEGOTIATION, NOT A MODELLING ASSUMPTION, and it is one of the few places where a better contract directly doubles a revenue line. No UAE/MENA figure is published. TRIANGULATED.</t>
        </is>
      </c>
    </row>
    <row r="158">
      <c r="A158" t="inlineStr">
        <is>
          <t>Facility take-up - customers who take AND use the card</t>
        </is>
      </c>
      <c r="B158" s="35">
        <f>'Scenario Parameters'!$B$49</f>
        <v/>
      </c>
      <c r="C158" t="inlineStr">
        <is>
          <t>% of card-eligible base</t>
        </is>
      </c>
      <c r="D158" t="inlineStr">
        <is>
          <t>RE-BASED AGAIN 2026-08-26 (CG decision): the denominator changed from GATE-CLEARED customers to the WHOLE CARD-ELIGIBLE BASE, because access is no longer gated. The RATE holds at 18% on client instruction, and that decision deserves to be stated plainly rather than buried. 18% WAS CALIBRATED ON A PRE-SELECTED POPULATION. It is Indian gold-loan penetration - under 10% at a point in time - uplifted BECAUSE the customers it applied to had already proven six consecutive payments. Removing the gate removes that pre-selection but keeps the uplift, so the rate is now applied to a materially less committed population than the one it was derived from. The arithmetic is unambiguous: the base widens 1.82x and the conversion rate does not fall, so the card population rises 1.82x on this change alone. IF CARD REVENUE IS CHALLENGED, THIS IS THE FIRST CELL TO LOOK AT - the defensible alternative is ~10%, the unadjusted benchmark. AGAINST THAT: open access plus ICS discounts is a genuinely different proposition from a gated facility, and there is no benchmark at all for an open gold-collateralised card, so 18% is not refutable either. It is a judgement, and it should be presented as one. CLIENT DECISION on the level; DERIVED on the benchmark beneath it. CARRIED FORWARD FROM 2026-08-20, and still true: THE CARD IS A DRAWDOWN ON THE GOLD-COLLATERALISED FACILITY, not a salary-repaid revolving card. Aurumix has no balance sheet to lend from - it can only extend credit against collateral it holds, which is the customer's gold. Using the card IS borrowing, so card activation and credit take-up are the SAME behaviour; they were once modelled as two different populations (50% activating a card, 18% taking credit) doing what is in fact one thing. THE OLD 50% CAME FROM NEOBANK COMPARABLES (PULSE 68.2%, Monzo 68%) WHERE THE CARD IS THE PRODUCT - wrong in kind for a card that only lets you borrow against your own savings, and worth remembering now that access is open, because an open card invites exactly that comparison again.</t>
        </is>
      </c>
    </row>
    <row r="159">
      <c r="A159" t="inlineStr">
        <is>
          <t>Transactions per drawdown event</t>
        </is>
      </c>
      <c r="B159" s="34">
        <f>'Scenario Parameters'!$B$50</f>
        <v/>
      </c>
      <c r="C159" t="inlineStr">
        <is>
          <t>transactions/draw</t>
        </is>
      </c>
      <c r="D159" t="inlineStr">
        <is>
          <t>RE-BASED 2026-08-20 from 12 transactions/MONTH once the card became a drawdown on the gold facility. Under that model the customer borrows a lump (limit x drawn share) a couple of times a year and spends it down, so the meaningful unit is transactions PER DRAW, not per month. At 12/month the implied ticket collapsed to ~AED 12, which is a coffee, not a reason to pledge your gold. THE AVERAGE TICKET FALLS OUT AS drawn amount / this number, and the draw events cancel - so the ticket depends only on how large a draw is and how many purchases it is spent across. IT ALSO CHANGES WHAT THE CARD IS FOR: not daily groceries, but occasional larger needs - school fees, a medical bill, an emergency - funded by borrowing against savings rather than liquidating them. That is a materially different product story and should be put to the client in those words. ASSUMPTION.</t>
        </is>
      </c>
    </row>
    <row r="160">
      <c r="A160" t="inlineStr">
        <is>
          <t>Foreign spend share (mean)</t>
        </is>
      </c>
      <c r="B160" s="35">
        <f>'Scenario Parameters'!$B$51</f>
        <v/>
      </c>
      <c r="C160" t="inlineStr">
        <is>
          <t>% of card spend</t>
        </is>
      </c>
      <c r="D160" t="inlineStr">
        <is>
          <t>Applied through the seasonal vector, not as a constant. ASSUMPTION.</t>
        </is>
      </c>
    </row>
    <row r="161">
      <c r="A161" t="inlineStr">
        <is>
          <t>Card REISSUE rate (excludes first issue)</t>
        </is>
      </c>
      <c r="B161" s="36">
        <f>'Scenario Parameters'!$B$52</f>
        <v/>
      </c>
      <c r="C161" t="inlineStr">
        <is>
          <t>reissues/card/yr</t>
        </is>
      </c>
      <c r="D161" t="inlineStr">
        <is>
          <t>CORRECTED 2026-08-26, and this replaces 'Card issuance events' at 1.06/card/yr. THE OLD ROW WAS A REAL DEFECT, not a re-cut. 1.06 events per card per YEAR was applied to the STOCK of active cards, which charged the AED 75 issuance fee to every existing cardholder every single year - an ANNUAL FEE, not an issuance fee, and the row's own note said so: '1.00 at activation plus reissues'. The 1.00 belongs to the year a card is ACTIVATED and must be charged on NEW cards; only the 0.06 residual is a recurring per-card event. WHAT IT WAS WORTH. At Y7 it charged ~33,980 issuance events against ~9,100 real ones, roughly 3.7x too many, or ~USD 507,000 - about 11% of total revenue. It predates the 2026-08-26 access change, but that change multiplied the card stock by 1.82x and so multiplied the error with it, taking issuance from ~6% of revenue to ~15% before this fix. IT WAS THE LARGEST SINGLE ERROR IN THE MODEL. 0.06 is what remains once first issue is removed: a tier upgrade forces a physical reissue, and under the ICS design tier changes are the main trigger. ASSUMPTION. STILL NOT IMPLEMENTED, and it belongs to the discount build: the fee input's own note says issuance is 'waived at upper tiers'. Nothing waives it. Under the new design that waiver is exactly the kind of ICS benefit being priced tomorrow, so wire it there rather than here.</t>
        </is>
      </c>
    </row>
    <row r="162">
      <c r="A162" t="inlineStr">
        <is>
          <t>Card replacement events</t>
        </is>
      </c>
      <c r="B162" s="36">
        <f>'Scenario Parameters'!$B$53</f>
        <v/>
      </c>
      <c r="C162" t="inlineStr">
        <is>
          <t>events/card/yr</t>
        </is>
      </c>
      <c r="D162" t="inlineStr">
        <is>
          <t>Industry-normal loss/theft/damage is 8-15% annually. ASSUMPTION.</t>
        </is>
      </c>
    </row>
    <row r="163">
      <c r="A163" t="inlineStr">
        <is>
          <t>ATM AED 0-500 - share of cardholders</t>
        </is>
      </c>
      <c r="B163" s="35">
        <f>'Scenario Parameters'!$B$54</f>
        <v/>
      </c>
      <c r="C163" t="inlineStr">
        <is>
          <t>%</t>
        </is>
      </c>
      <c r="D163"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164">
      <c r="A164" t="inlineStr">
        <is>
          <t>ATM AED 500-1,500 - share of cardholders</t>
        </is>
      </c>
      <c r="B164" s="35">
        <f>'Scenario Parameters'!$B$55</f>
        <v/>
      </c>
      <c r="C164" t="inlineStr">
        <is>
          <t>%</t>
        </is>
      </c>
      <c r="D164"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165">
      <c r="A165" t="inlineStr">
        <is>
          <t>ATM AED 1,500-3,000 - share of cardholders</t>
        </is>
      </c>
      <c r="B165" s="35">
        <f>'Scenario Parameters'!$B$56</f>
        <v/>
      </c>
      <c r="C165" t="inlineStr">
        <is>
          <t>%</t>
        </is>
      </c>
      <c r="D165"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166">
      <c r="A166" t="inlineStr">
        <is>
          <t>ATM AED 3,000+ - share of cardholders</t>
        </is>
      </c>
      <c r="B166" s="35">
        <f>'Scenario Parameters'!$B$57</f>
        <v/>
      </c>
      <c r="C166" t="inlineStr">
        <is>
          <t>%</t>
        </is>
      </c>
      <c r="D166"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167">
      <c r="A167" t="inlineStr">
        <is>
          <t>ATM AED 0-500 - midpoint draw</t>
        </is>
      </c>
      <c r="B167" s="34">
        <f>'Scenario Parameters'!$B$58</f>
        <v/>
      </c>
      <c r="C167" t="inlineStr">
        <is>
          <t>AED/month</t>
        </is>
      </c>
      <c r="D167" t="inlineStr">
        <is>
          <t>Raising the allowance at the top tier waives revenue from only the top ~3% of cardholders.</t>
        </is>
      </c>
    </row>
    <row r="168">
      <c r="A168" t="inlineStr">
        <is>
          <t>ATM AED 500-1,500 - midpoint draw</t>
        </is>
      </c>
      <c r="B168" s="34">
        <f>'Scenario Parameters'!$B$59</f>
        <v/>
      </c>
      <c r="C168" t="inlineStr">
        <is>
          <t>AED/month</t>
        </is>
      </c>
      <c r="D168" t="inlineStr">
        <is>
          <t>Raising the allowance at the top tier waives revenue from only the top ~3% of cardholders.</t>
        </is>
      </c>
    </row>
    <row r="169">
      <c r="A169" t="inlineStr">
        <is>
          <t>ATM AED 1,500-3,000 - midpoint draw</t>
        </is>
      </c>
      <c r="B169" s="34">
        <f>'Scenario Parameters'!$B$60</f>
        <v/>
      </c>
      <c r="C169" t="inlineStr">
        <is>
          <t>AED/month</t>
        </is>
      </c>
      <c r="D169" t="inlineStr">
        <is>
          <t>Raising the allowance at the top tier waives revenue from only the top ~3% of cardholders.</t>
        </is>
      </c>
    </row>
    <row r="170">
      <c r="A170" t="inlineStr">
        <is>
          <t>ATM AED 3,000+ - midpoint draw</t>
        </is>
      </c>
      <c r="B170" s="34">
        <f>'Scenario Parameters'!$B$61</f>
        <v/>
      </c>
      <c r="C170" t="inlineStr">
        <is>
          <t>AED/month</t>
        </is>
      </c>
      <c r="D170" t="inlineStr">
        <is>
          <t>Raising the allowance at the top tier waives revenue from only the top ~3% of cardholders.</t>
        </is>
      </c>
    </row>
    <row r="171">
      <c r="A171" t="inlineStr">
        <is>
          <t>Drawn as % of permitted limit</t>
        </is>
      </c>
      <c r="B171" s="35">
        <f>'Scenario Parameters'!$B$65</f>
        <v/>
      </c>
      <c r="C171" t="inlineStr">
        <is>
          <t>%</t>
        </is>
      </c>
      <c r="D171" t="inlineStr">
        <is>
          <t>Revolving facilities draw 40-55% of permitted. This now drives CARD SPEND as well as the loan balance, because the card is the drawdown mechanism. TRIANGULATED.</t>
        </is>
      </c>
    </row>
    <row r="172">
      <c r="A172" t="inlineStr">
        <is>
          <t>Facility turnover, peak -&gt; average</t>
        </is>
      </c>
      <c r="B172" s="36">
        <f>'Scenario Parameters'!$B$66</f>
        <v/>
      </c>
      <c r="C172" t="inlineStr">
        <is>
          <t>x peak drawn</t>
        </is>
      </c>
      <c r="D172" t="inlineStr">
        <is>
          <t>AN ARITHMETIC CORRECTION, not a sensitivity, derived from Manappuram's 71-day realised tenor. It cuts the lending stream by 1.88x. DERIVED.</t>
        </is>
      </c>
    </row>
    <row r="173">
      <c r="A173" t="inlineStr">
        <is>
          <t>Draw events per borrower per year</t>
        </is>
      </c>
      <c r="B173" s="36">
        <f>'Scenario Parameters'!$B$67</f>
        <v/>
      </c>
      <c r="C173" t="inlineStr">
        <is>
          <t>events/yr</t>
        </is>
      </c>
      <c r="D173" t="inlineStr">
        <is>
          <t>MOVES WITH facility turnover - do not flex independently. DERIVED.</t>
        </is>
      </c>
    </row>
    <row r="174">
      <c r="A174" t="inlineStr">
        <is>
          <t>Family plan attach rate</t>
        </is>
      </c>
      <c r="B174" s="35">
        <f>'Scenario Parameters'!$B$68</f>
        <v/>
      </c>
      <c r="C174" t="inlineStr">
        <is>
          <t>% of NEW customers</t>
        </is>
      </c>
      <c r="D174" t="inlineStr">
        <is>
          <t>SET AT 0.15 on 2026-08-21, client instruction - the same day it came DOWN from 0.20 to 0.08, so it has landed close to where it started. What has genuinely changed is not the number but the STRUCTURE. THE UNIT ALSO CHANGED, AND THAT MATTERS: it is now the share of NEW customers who take the plan when they join, feeding a SUBSCRIBER BALANCE that then churns - not a standing share of the whole book that could never fall. The steady-state share of paying customers holding a plan therefore lands BELOW this number. NOTHING IS STATED ANYWHERE IN THE CORPUS and no attach benchmark exists for this kind of add-on; 20% is at the top of the normal range for an OPTIONAL PAID extra on a savings product, which is low single digits to low teens. IT IS NOT EQUIVALENT TO THE OLD 20% AND SHOULD NOT BE READ AS A PARTIAL REVERSAL: 20% was a permanent share of the whole book that could never decay, while 15% applies once, on joining, to a balance that then churns at ~7.1% a month. The standing share of paying customers holding a plan settles near 10.5%, not 15%. NOTHING IS STATED ANYWHERE IN THE CORPUS and no attach benchmark exists for this kind of add-on. ASSUMPTION.</t>
        </is>
      </c>
    </row>
    <row r="175">
      <c r="A175" t="inlineStr">
        <is>
          <t>Family plan cancellation rate (incremental)</t>
        </is>
      </c>
      <c r="B175" s="35">
        <f>'Scenario Parameters'!$B$69</f>
        <v/>
      </c>
      <c r="C175" t="inlineStr">
        <is>
          <t>%/yr</t>
        </is>
      </c>
      <c r="D175" t="inlineStr">
        <is>
          <t>ADDED 2026-08-21. INCREMENTAL IS THE KEY WORD: this is cancellation by customers who STAY WITH AURUMIX. Subscribers already disappear when they stop paying their SIP, and that was the only churn stream 3 had - which implicitly assumed nobody ever cancels the plan while remaining a customer. NO PRODUCT-SPECIFIC DATA EXISTS - not for digital will memberships, not for finance-app family plans; Trust &amp; Will, Farewill and Epilogue publish none. The only benchmark is generic mobile subscription apps: above 10%/month poor, 6-10%/month average, under 6%/month good. 25%/yr is ~2.4%/month, INSIDE the 'good' band, which is the right place for an add-on bundled into an ongoing savings relationship rather than a standalone app fighting for attention every month. ASSUMPTION on a generic benchmark.</t>
        </is>
      </c>
    </row>
    <row r="176">
      <c r="A176" t="inlineStr">
        <is>
          <t>Beneficiaries named per plan</t>
        </is>
      </c>
      <c r="B176" s="36">
        <f>'Scenario Parameters'!$B$70</f>
        <v/>
      </c>
      <c r="C176" t="inlineStr">
        <is>
          <t>beneficiaries</t>
        </is>
      </c>
      <c r="D176" t="inlineStr">
        <is>
          <t>ADDED 2026-08-21. THE FIRST IS INCLUDED IN THE PLAN PRICE, so only the excess over 1.0 is charged - at 2.5 that is 1.5 chargeable. No platform publishes beneficiaries-per-will. What anchors it is who these customers are: South Asian migrant workers who remit ~80% of income to families at home, typically supporting a spouse, children and parents. Household sizes in the source countries run ~4.4 in India, ~4.5 in Bangladesh and ~6.8 in Pakistan, so naming 2-3 beneficiaries is conservative against the family they actually support. NOT THE SAME AS HOUSEHOLD SIZE - a beneficiary is a named, identity-verified person on a legal instrument, and people name fewer than they support. ASSUMPTION anchored on demographics.</t>
        </is>
      </c>
    </row>
    <row r="177">
      <c r="A177" t="inlineStr">
        <is>
          <t>Family plan monthly churn, combined (derived)</t>
        </is>
      </c>
      <c r="B177" s="33">
        <f>'Scenario Parameters'!$B$71</f>
        <v/>
      </c>
      <c r="C177" t="inlineStr">
        <is>
          <t>%/month</t>
        </is>
      </c>
      <c r="D177" t="inlineStr">
        <is>
          <t>TWO WAYS TO LOSE A SUBSCRIBER, COMBINED MULTIPLICATIVELY, NOT ADDED: they leave Aurumix entirely (the SIP churn on the left) or they stay and cancel the plan (the incremental rate on the right). Adding the two would double-count the overlap - a customer cannot both leave and separately cancel. DERIVED.</t>
        </is>
      </c>
    </row>
    <row r="178">
      <c r="A178" t="inlineStr">
        <is>
          <t>B2B partners - Y1</t>
        </is>
      </c>
      <c r="B178" s="34">
        <f>'Scenario Parameters'!$B$72</f>
        <v/>
      </c>
      <c r="C178" t="inlineStr">
        <is>
          <t>partners</t>
        </is>
      </c>
      <c r="D178"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79">
      <c r="A179" t="inlineStr">
        <is>
          <t>B2B partners - Y2</t>
        </is>
      </c>
      <c r="B179" s="34">
        <f>'Scenario Parameters'!$B$73</f>
        <v/>
      </c>
      <c r="C179" t="inlineStr">
        <is>
          <t>partners</t>
        </is>
      </c>
      <c r="D17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0">
      <c r="A180" t="inlineStr">
        <is>
          <t>B2B partners - Y3</t>
        </is>
      </c>
      <c r="B180" s="34">
        <f>'Scenario Parameters'!$B$74</f>
        <v/>
      </c>
      <c r="C180" t="inlineStr">
        <is>
          <t>partners</t>
        </is>
      </c>
      <c r="D180"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1">
      <c r="A181" t="inlineStr">
        <is>
          <t>B2B partners - Y4</t>
        </is>
      </c>
      <c r="B181" s="34">
        <f>'Scenario Parameters'!$B$75</f>
        <v/>
      </c>
      <c r="C181" t="inlineStr">
        <is>
          <t>partners</t>
        </is>
      </c>
      <c r="D181"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2">
      <c r="A182" t="inlineStr">
        <is>
          <t>B2B partners - Y5</t>
        </is>
      </c>
      <c r="B182" s="34">
        <f>'Scenario Parameters'!$B$76</f>
        <v/>
      </c>
      <c r="C182" t="inlineStr">
        <is>
          <t>partners</t>
        </is>
      </c>
      <c r="D182"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3">
      <c r="A183" t="inlineStr">
        <is>
          <t>B2B partners - Y6</t>
        </is>
      </c>
      <c r="B183" s="34">
        <f>'Scenario Parameters'!$B$77</f>
        <v/>
      </c>
      <c r="C183" t="inlineStr">
        <is>
          <t>partners</t>
        </is>
      </c>
      <c r="D183"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4">
      <c r="A184" t="inlineStr">
        <is>
          <t>B2B partners - Y7</t>
        </is>
      </c>
      <c r="B184" s="34">
        <f>'Scenario Parameters'!$B$78</f>
        <v/>
      </c>
      <c r="C184" t="inlineStr">
        <is>
          <t>partners</t>
        </is>
      </c>
      <c r="D184"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185">
      <c r="A185" t="inlineStr">
        <is>
          <t>B2B platform fee</t>
        </is>
      </c>
      <c r="B185" s="33">
        <f>'Scenario Parameters'!$B$79</f>
        <v/>
      </c>
      <c r="C185" t="inlineStr">
        <is>
          <t>% of partner AUM/yr</t>
        </is>
      </c>
      <c r="D185" t="inlineStr">
        <is>
          <t>RAISED 2026-08-21 from 0.625%, client instruction, and PROMOTED FROM A HARDCODED ASSUMPTION TO A SCENARIO PARAMETER at the same time - it drives the largest stream in the model and had no band at all, which is the wrong place to be certain. 0.75% IS THE TOP OF THE CITED 0.5-0.75% BAND, NOT THE MIDDLE OF IT. That has a consequence worth stating plainly: the aggressive case at 0.90% NOW SITS OUTSIDE THE EVIDENCE, because there is no headroom left inside the band. Conservative at 0.50% is the band's floor. So the downside is sourced and the upside is not - the reverse of how a scenario range should usually be built, and the direct result of putting the base at the ceiling. The fee is COUPLED TO THE PARTNER SET: a platform fee is what a partner will pay for gold infrastructure it does not have to build, and the more bargaining power the partner has the lower it goes. Indian precedent is the warning - the three incumbent providers work on a 3-6% SPREAD that compresses hard for large partners, so a partner the size of Botim would push back on 0.75% harder than a small wallet would. Raising the partner count and the fee together assumes neither effect bites. ASSUMPTION at the ceiling of a cited band.</t>
        </is>
      </c>
    </row>
    <row r="186">
      <c r="A186" t="inlineStr">
        <is>
          <t>Average partner user base</t>
        </is>
      </c>
      <c r="B186" s="34">
        <f>'Scenario Parameters'!$B$80</f>
        <v/>
      </c>
      <c r="C186" t="inlineStr">
        <is>
          <t>active users</t>
        </is>
      </c>
      <c r="D186" t="inlineStr">
        <is>
          <t>THE MIX, NOT THE BIGGEST. A realistic six-partner Gulf book is roughly one Botim-scale (1.7m ACTIVE fintech users, of 8.2-8.5m app users), two at e&amp; money scale (~1.5m subscribers), and three small wallets at a few hundred thousand - which averages near 900k. USE ACTIVE USERS, NOT REGISTERED: Botim's own numbers separate 8.5m app users, 3m KYC'd and 1.7m active fintech users, and adopting the headline would overstate this by 5x. CITED for the two largest, ASSUMPTION for the tail.</t>
        </is>
      </c>
    </row>
    <row r="187">
      <c r="A187" t="inlineStr">
        <is>
          <t>Partner users adopting gold (mature)</t>
        </is>
      </c>
      <c r="B187" s="35">
        <f>'Scenario Parameters'!$B$81</f>
        <v/>
      </c>
      <c r="C187" t="inlineStr">
        <is>
          <t>% of partner users</t>
        </is>
      </c>
      <c r="D187" t="inlineStr">
        <is>
          <t>OBSERVED ANCHOR: O Gold reports 75,000 ACTIVE users against Botim's 1.7m active fintech users - 4.4% - and 775,000 who merely explored the feature. Base is set at 6%, ABOVE the observed 4.4%, because that figure is roughly six months after the gold feature launched and adoption should mature; 6% is a 1.4x maturation, not a doubling. THE 4.4% IS THE ONLY OBSERVED GOLD-ADOPTION RATE FOR A GULF WALLET THAT EXISTS. TRIANGULATED.</t>
        </is>
      </c>
    </row>
    <row r="188">
      <c r="A188" t="inlineStr">
        <is>
          <t>AUM per adopting partner user</t>
        </is>
      </c>
      <c r="B188" s="37">
        <f>'Scenario Parameters'!$B$82</f>
        <v/>
      </c>
      <c r="C188" t="inlineStr">
        <is>
          <t>USD</t>
        </is>
      </c>
      <c r="D188" t="inlineStr">
        <is>
          <t>DERIVED FROM BOTIM'S OWN DISCLOSURES AND CROSS-CHECKED AGAINST OUR OWN BOOK - two independent routes to nearly the same number, which is why this is the firmest input in the B2B block. Botim: AED 100m+ of gold across 128,000 trades since Aug 2025, against 75,000 active O Gold users, implies ~USD 363 per active user. Aurumix's own direct book runs at ~USD 302 of gold per customer. A partner's users are buying the same product with the same wallets. DERIVED.</t>
        </is>
      </c>
    </row>
    <row r="189">
      <c r="A189" t="inlineStr">
        <is>
          <t>AUM per partner (derived)</t>
        </is>
      </c>
      <c r="B189" s="37">
        <f>'Scenario Parameters'!$B$83</f>
        <v/>
      </c>
      <c r="C189" t="inlineStr">
        <is>
          <t>USD</t>
        </is>
      </c>
      <c r="D189" t="inlineStr">
        <is>
          <t>NO LONGER A TYPED NUMBER. Was a flat USD 32m asserted as 'mature AUM per partner' with no derivation. Now users x adoption x AUM per adopting user, every term of which has an external anchor. THE POINT OF THE CHANGE: the only remaining argument is the PARTNER COUNT, which rests on a nameable candidate list and is the argument that can actually be won. DERIVED.</t>
        </is>
      </c>
    </row>
    <row r="190">
      <c r="A190" t="inlineStr">
        <is>
          <t>Average monthly ticket - UAE</t>
        </is>
      </c>
      <c r="B190" s="37">
        <f>'Scenario Parameters'!$B$87</f>
        <v/>
      </c>
      <c r="C190" t="inlineStr">
        <is>
          <t>USD/month</t>
        </is>
      </c>
      <c r="D190"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191">
      <c r="A191" t="inlineStr">
        <is>
          <t>Average monthly ticket - Oman and Bahrain</t>
        </is>
      </c>
      <c r="B191" s="37">
        <f>'Scenario Parameters'!$B$88</f>
        <v/>
      </c>
      <c r="C191" t="inlineStr">
        <is>
          <t>USD/month</t>
        </is>
      </c>
      <c r="D191"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192">
      <c r="A192" t="inlineStr">
        <is>
          <t>Average monthly ticket - India</t>
        </is>
      </c>
      <c r="B192" s="37">
        <f>'Scenario Parameters'!$B$89</f>
        <v/>
      </c>
      <c r="C192" t="inlineStr">
        <is>
          <t>USD/month</t>
        </is>
      </c>
      <c r="D192"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193">
      <c r="A193" t="inlineStr">
        <is>
          <t>Vault storage fee</t>
        </is>
      </c>
      <c r="B193" s="38">
        <f>'Scenario Parameters'!$B$95</f>
        <v/>
      </c>
      <c r="C193" t="inlineStr">
        <is>
          <t>%/yr of metal held</t>
        </is>
      </c>
      <c r="D193" t="inlineStr">
        <is>
          <t>WHAT AURUMIX PAYS THE VAULT, not what it charges customers - decision 42 makes retail storage free. BASE 0.12% IS BULLIONVAULT'S PUBLISHED TARIFF, insurance included, minimum USD 4/month (bullionvault.com/help/tariff.html, retrieved 2026-08-26). Used as an UPPER BOUND on wholesale cost because it is a RETAIL price and therefore already carries BullionVault's own margin. AGGRESSIVE 0.026% is the DGCX Spot Gold vaulting tariff read literally - USD 0.10 per kilo per day at today's gold price. IT IS CARRIED ONLY AS THE OPTIMISTIC CASE AND SHOULD NOT BE THE BASE: that notice is dated 7 DECEMBER 2015, it is a DELIVERY-CYCLE tariff for taking metal off a futures contract (three free days per cycle) rather than a custody contract, and it is a FIXED DOLLAR-PER-KILO charge set when gold was about USD 34/g. The same physical rate was 0.107%/yr in 2015 and only reads as 0.026% now because the metal quadrupled. No vault reprices that slowly. CONSERVATIVE 0.40% is the low end of the range secondary sources quote for Dubai institutional storage. For reference the Royal Mint publishes 1% + VAT for bar storage. BENCHMARKED, NOT OBSERVED: no Dubai operator publishes an institutional custody tariff. Brink's runs the DGCX-approved Dubai vaults (Gold Souk, DAFZ, Almas Tower) and quotes privately. GET A QUOTE - it is the same conversation as naming the dealer.</t>
        </is>
      </c>
    </row>
    <row r="194">
      <c r="A194" t="inlineStr">
        <is>
          <t>Vault minimum charge</t>
        </is>
      </c>
      <c r="B194" s="36">
        <f>'Scenario Parameters'!$B$96</f>
        <v/>
      </c>
      <c r="C194" t="inlineStr">
        <is>
          <t>USD/day</t>
        </is>
      </c>
      <c r="D194" t="inlineStr">
        <is>
          <t>Professional vault contracts carry a minimum invoice, and it BITES WHILE THE BOOK IS SMALL - which is most of this horizon. BASE USD 25/day is the only MINIMUM published by any Dubai-approved vault operator (DGCX Spot Gold vaulting notice, 7 December 2015). AGGRESSIVE USD 5/day is nearer BullionVault's USD 4/MONTH. CONSERVATIVE USD 65/day is roughly USD 2,000/month, a plausible institutional floor. AT BASE THE MINIMUM BINDS UNTIL ABOUT YEAR 3, which is the point: early-year unit economics look worse than steady state because of minimum-commitment structures, and this is one of three in the cost base - the others are the KYC platform minimum and the card programme minimums. ASSUMPTION. Replace with the Brink's quote.</t>
        </is>
      </c>
    </row>
    <row r="195">
      <c r="A195" t="inlineStr">
        <is>
          <t>VARA annual supervision fee</t>
        </is>
      </c>
      <c r="B195" s="34">
        <f>'Scenario Parameters'!$B$97</f>
        <v/>
      </c>
      <c r="C195" t="inlineStr">
        <is>
          <t>AED/yr</t>
        </is>
      </c>
      <c r="D195" t="inlineStr">
        <is>
          <t>VARA Schedule 2 - Supervision and Authorisation Fees, Virtual Assets and Related Activities Regulations 2023 (rulebooks.vara.ae, retrieved 2026-08-26). PUBLISHED AND EXACT: AED 200,000 per year for each of Category 1 VA Issuance, Broker-Dealer, Exchange and Custody; AED 80,000 for VA Transfer and Settlement. Payable IN ADVANCE of conducting the activity. VARA LICENSES ACTIVITIES, NOT THE TOKEN - you need each licence only if you actually perform that activity, so the ladder is a BUSINESS-MODEL question, not a risk band. BASE AED 400,000 = ISSUANCE + BROKER-DEALER. Issuance is mandatory for a gold-backed ARVA and is not negotiable. Broker-Dealer is added because Aurumix SELLS DIRECTLY TO RETAIL through its own app and agent network, and the definition catches 'soliciting or accepting orders for Virtual Assets and accepting fiat currency for such orders' - which is the SIP exactly. There is NO CARVE-OUT letting an issuer distribute its own token without it; the footnote checked on 2026-08-26 only requires issuers to comply with the Issuance Rulebook. AGGRESSIVE AED 200,000 = ISSUANCE ALONE, and it is a REAL STRATEGIC OPTION rather than optimism: mint and let a VARA-licensed broker-dealer handle distribution. Saves USD 54,459/yr of supervision and AED 600,000 of locked capital, at the cost of margin and control. CONSERVATIVE AED 600,000 adds CUSTODY, which bites only if Aurumix safekeeps client VAs - and only qualifies at all if each client's assets sit in SEPARATE WALLETS, so it turns on the wallet design. EXCHANGE IS DELIBERATELY EXCLUDED: no trading venue, no order matching. VA TRANSFER AND SETTLEMENT TOO: that definition targets moving CLIENTS' assets as a rail, not delivering your own issue to its buyer. VERIFIED AGAINST VARA'S PUBLIC REGISTER 2026-08-26, and the register settles it. Of 56 licensed VASPs, EXACTLY TWO hold Category 1 VA Issuance - Ctrl Alt Solutions DMCC and Tokinvest DMCC - and BOTH ALSO HOLD BROKER-DEALER SERVICES. Neither holds issuance alone. Issuance + Broker-Dealer is the only observed pattern in Dubai, which is why it is the Base. Both are tokenisation platforms rather than exchanges, so they are the closest comparators Aurumix has. THE SAMPLE IS TWO COMPANIES - it is the entire population of issuance licensees, not a survey, and it should be quoted as such. NEITHER HOLDS CUSTODY, and that is informative: on the register custody sits with specialists - Ceffu, BitGo, Hex Trust, Komainu, Bitpanda, Zand Bank - not with issuers. So Conservative is really the 'Aurumix builds its own custody instead of partnering' case, and it has no Dubai precedent. AGGRESSIVE HAS NO DUBAI PRECEDENT EITHER: no licensee holds issuance alone, so outsourcing distribution is a strategy nobody local has taken, not merely a cheaper option. Schedule 2 also lets VARA impose additional fees at its sole discretion.</t>
        </is>
      </c>
    </row>
    <row r="196">
      <c r="A196" t="inlineStr">
        <is>
          <t>VARA licence application fee (one-off)</t>
        </is>
      </c>
      <c r="B196" s="34">
        <f>'Scenario Parameters'!$B$98</f>
        <v/>
      </c>
      <c r="C196" t="inlineStr">
        <is>
          <t>AED</t>
        </is>
      </c>
      <c r="D196" t="inlineStr">
        <is>
          <t>VARA Schedule 2, same source. AED 100,000 for one regulated VA Activity, payable at SUBMISSION - the application is not processed until it is received, so it is spent whether or not the licence is granted. Each additional activity adds a Licence Extension Fee of 50% OF THE LOWER application fee. Base 150,000 = Issuance 100,000 + 50% of Broker-Dealer's 100,000. Conservative 200,000 adds Custody at another 50,000. VARA PUBLISHES NO APPROVAL TIMELINE ANYWHERE - never give the client a date.</t>
        </is>
      </c>
    </row>
    <row r="197">
      <c r="A197" t="inlineStr">
        <is>
          <t>DMCC company licence</t>
        </is>
      </c>
      <c r="B197" s="34">
        <f>'Scenario Parameters'!$B$99</f>
        <v/>
      </c>
      <c r="C197" t="inlineStr">
        <is>
          <t>AED/yr</t>
        </is>
      </c>
      <c r="D197" t="inlineStr">
        <is>
          <t>DMCC published Schedule of Charges (dmcc.ae, retrieved 2026-08-26): standard trading and service licence AED 20,265/yr. THE COST OF EXISTING AS A COMPANY, separate from and additional to the VARA licence, which is the cost of doing virtual asset business. You pay both. THE ESTABLISHMENT CARD (AED 1,825/yr) WAS REMOVED FROM THIS LINE ON 2026-08-26. It exists to sponsor residence visas, so its driver is headcount, not regulation - it belongs with visas and office, where a flexi-desk runs AED 16,000-19,000 and an employment residence permit about AED 2,972 each. DMCC states charges are subject to change without notice and publishes no effective date. NO SCENARIO VARIATION: it is a published tariff, not an estimate.</t>
        </is>
      </c>
    </row>
    <row r="198">
      <c r="A198" t="inlineStr">
        <is>
          <t>DMCC incorporation (one-off)</t>
        </is>
      </c>
      <c r="B198" s="34">
        <f>'Scenario Parameters'!$B$100</f>
        <v/>
      </c>
      <c r="C198" t="inlineStr">
        <is>
          <t>AED</t>
        </is>
      </c>
      <c r="D198" t="inlineStr">
        <is>
          <t>DMCC published Schedule of Charges: application AED 1,015 + new company registration AED 9,000 + articles of association AED 2,020. One-off, Year 1.</t>
        </is>
      </c>
    </row>
    <row r="199">
      <c r="A199" t="inlineStr">
        <is>
          <t>KYC and AML - per verification</t>
        </is>
      </c>
      <c r="B199" s="39">
        <f>'Scenario Parameters'!$B$101</f>
        <v/>
      </c>
      <c r="C199" t="inlineStr">
        <is>
          <t>USD/check</t>
        </is>
      </c>
      <c r="D199" t="inlineStr">
        <is>
          <t>Sumsub published pricing (sumsub.com/pricing, retrieved 2026-08-26). COMPLIANCE TIER USD 1.85 IS THE RIGHT ONE, not the USD 1.35 Basic tier: Basic is sold for NON-REGULATED businesses and excludes AML screening, ongoing AML monitoring and proof-of-address, all three of which a VARA-licensed issuer needs. Aggressive carries 1.35 only to show what the cheaper tier would be worth. Sumsub charges for SUCCESSFUL verifications only.</t>
        </is>
      </c>
    </row>
    <row r="200">
      <c r="A200" t="inlineStr">
        <is>
          <t>Paid-up capital - Category 1 VA Issuance</t>
        </is>
      </c>
      <c r="B200" s="34">
        <f>'Scenario Parameters'!$B$102</f>
        <v/>
      </c>
      <c r="C200" t="inlineStr">
        <is>
          <t>AED</t>
        </is>
      </c>
      <c r="D200" t="inlineStr">
        <is>
          <t>VARA Virtual Asset Issuance Rulebook, ARVA Rules G.1 (retrieved 2026-08-26): Paid-Up Capital of at least THE HIGHER OF (a) AED 1,500,000 and (b) 2% of the 24-month average value of Reserve Assets, WHERE APPLICABLE. UNDER OPTION A (DIRECT OWNERSHIP) LIMB (b) DOES NOT APPLY, because Rule III.C.1 attaches Reserve Assets only to ARVAs which purport to maintain a stable value in respect of a Referenced Asset - and Aurumix's customers own specific allocated grams rather than a claim on a stabilised pool. There are no Reserve Assets to take 2% of. THE FLOOR IS NOT CONDITIONAL. Choosing Option A removes the ESCALATOR, not the AED 1,500,000. The rule reads at least the higher of, so with (b) inapplicable (a) governs. Flat in every scenario for that reason. LOCKED, NOT SPENT: balance sheet only, never the P&amp;L.</t>
        </is>
      </c>
    </row>
    <row r="201">
      <c r="A201" t="inlineStr">
        <is>
          <t>Paid-up capital - licensed activities</t>
        </is>
      </c>
      <c r="B201" s="34">
        <f>'Scenario Parameters'!$B$103</f>
        <v/>
      </c>
      <c r="C201" t="inlineStr">
        <is>
          <t>AED</t>
        </is>
      </c>
      <c r="D201" t="inlineStr">
        <is>
          <t>VARA Company Rulebook Part VI.B, per licensed VA Activity: Broker-Dealer without custody is the HIGHER of AED 600,000 or 25% of fixed annual overheads; Custody likewise. IT IS CUMULATIVE, NOT THE HIGHEST SINGLE TEST. Part VI.A requires the capital for EACH VA Activity for which the VASP is Licensed. Verified 2026-08-26. TRACKS THE ACTIVITY LADDER on the supervision-fee row: Aggressive 0 (issuance alone, distribution outsourced), Base 600,000 (Broker-Dealer), Conservative 1,200,000 (Broker-Dealer plus Custody). NOTHING TO DO WITH THE ARVA OPTION A / OPTION B CHOICE - this attaches to the LICENCE, not to the token design.</t>
        </is>
      </c>
    </row>
    <row r="202">
      <c r="A202" t="inlineStr">
        <is>
          <t>Net liquid assets - months of opex</t>
        </is>
      </c>
      <c r="B202" s="36">
        <f>'Scenario Parameters'!$B$104</f>
        <v/>
      </c>
      <c r="C202" t="inlineStr">
        <is>
          <t>x monthly opex</t>
        </is>
      </c>
      <c r="D202" t="inlineStr">
        <is>
          <t>VARA Company Rulebook Part VI.C: Net Liquid Assets at least 1.2 x monthly operating expenses. A CONTINUOUS LIQUIDITY TEST, not a one-off subscription, and it appears NOWHERE IN THE CORPUS - added 2026-08-26. NOT ADDITIVE TO PAID-UP CAPITAL: the same cash can satisfy both, so the two are shown side by side and never summed. It constrains the FORM the capital is held in, not the amount.</t>
        </is>
      </c>
    </row>
    <row r="203">
      <c r="A203" t="inlineStr">
        <is>
          <t>Insurance - PI, D&amp;O and crime</t>
        </is>
      </c>
      <c r="B203" s="37">
        <f>'Scenario Parameters'!$B$105</f>
        <v/>
      </c>
      <c r="C203" t="inlineStr">
        <is>
          <t>USD/yr</t>
        </is>
      </c>
      <c r="D203" t="inlineStr">
        <is>
          <t>MANDATORY, and the rulebook names the policies. VARA Company Rulebook Part VI.D requires professional indemnity, directors' and officers', and COMMERCIAL CRIME COVER FOR VIRTUAL ASSETS IN HOT WALLETS, all held with a regulated insurer, in an amount 'adequate to the size and complexity of the business'. VARA sets no minimum sum and judges adequacy at licensing. Verified 2026-08-26. BENCHMARKED, NOT OBSERVED - no insurer publishes VASP rates. Base USD 45,000 builds from UAE broker rate guides: PI for a regulated financial firm at AED 10m limit runs AED 60,000-155,000/yr and D&amp;O at the same limit AED 55,000-145,000/yr; Base takes the BOTTOM of both ranges (about USD 31,300 combined) plus about USD 13,700 for crime cover. Aggressive assumes SME limits (PI AED 22,000, D&amp;O AED 14,000); Conservative takes the top of the regulated ranges. THE CRIME ELEMENT IS THE UNPRICED ONE and it is the hardest to place: S&amp;P reports hot and warm wallet crime capacity at roughly USD 75m per risk against USD 900m for cold specie, and a CFTC presentation calls hot-wallet cover 'extremely limited', layered in USD 1-5m blocks. Aurumix's hot-wallet exposure is operational treasury only, so a low limit should suffice - but the market is thin and the price is not published. THE PHYSICAL GOLD IS NOT INSURED HERE. Vault storage at 0.12% already includes insurance on the metal, so covering it again would double-count. FLAT ACROSS THE HORIZON, which is a simplification: PI and D&amp;O scale with turnover, so this should be re-quoted as the book grows. GET A BROKER QUOTE.</t>
        </is>
      </c>
    </row>
    <row r="204">
      <c r="A204" t="inlineStr">
        <is>
          <t>Audit and reserve attestation</t>
        </is>
      </c>
      <c r="B204" s="37">
        <f>'Scenario Parameters'!$B$106</f>
        <v/>
      </c>
      <c r="C204" t="inlineStr">
        <is>
          <t>USD/yr</t>
        </is>
      </c>
      <c r="D204" t="inlineStr">
        <is>
          <t>TWO SEPARATE ENGAGEMENTS, both mandatory under VARA Issuance Rulebook Rule III.D (verified 2026-08-26): a SIX-MONTHLY independent audit, and an ANNUAL independent audit of financial statements. A named independent auditor must be appointed and notified to VARA, and Senior Management must submit an ATTESTATION to the accuracy of each audit. OPTION A NARROWS THE SIX-MONTHLY ONE. Rule III.D.2.a covers (a) the number and value of ARVAs in circulation and (b) the composition and value of Reserve Assets 'IF APPLICABLE'. Under direct ownership there are no Reserve Assets, so limb (b) drops out and the engagement audits token supply against gold held rather than a reserve pool. NARROWER SCOPE SHOULD PRICE LOWER than the brief assumes. THE ATTESTATION FEE IS GENUINELY UNPRICED. No issuer, auditor or regulator has ever published one. Paxos uses Withum and now KPMG, Tether uses BDO Italia, Circle uses Deloitte - all disclose scope, standard and frequency, none disclose fee. The only figure found anywhere is a secondary estimate of USD 2-12m/yr for LARGE issuers using Big Four, which is not this business. BASE USD 25,000 = about USD 5,400 for the statutory audit (UAE market guides put a regulated SME at AED 12,000-25,000/yr) plus about USD 20,000 for two six-monthly engagements at USD 10,000 each. THE SECOND HALF IS A PLACEHOLDER, NOT A QUOTE. Get one from Bureau Veritas or an equivalent.</t>
        </is>
      </c>
    </row>
    <row r="205">
      <c r="A205" t="inlineStr">
        <is>
          <t>Technology audit and penetration testing</t>
        </is>
      </c>
      <c r="B205" s="37">
        <f>'Scenario Parameters'!$B$107</f>
        <v/>
      </c>
      <c r="C205" t="inlineStr">
        <is>
          <t>USD/yr</t>
        </is>
      </c>
      <c r="D205" t="inlineStr">
        <is>
          <t>MANDATORY AND RECURRING, not a one-off. VARA Technology and Information Rulebook, E. Testing and Audit, verbatim: VASPs 'must engage a qualified and independent third-party auditor to conduct vulnerability assessments and penetration testing' at least ANNUALLY 'and prior to the introduction of any new systems, applications and products'. Verified 2026-08-26. BENCHMARKED from published penetration-testing price guides: small financial firms run USD 5,000-15,000 per engagement, broader multi-asset engagements covering web, APIs and internal network USD 10,000-35,000. Base takes the top of the small-firm range. THE PER-LAUNCH TRIGGER IS NOT MODELLED. Every new system or product needs its own test, so a year with several launches costs more than this line shows. It is a step cost tied to the product roadmap, and the roadmap does not exist yet.</t>
        </is>
      </c>
    </row>
    <row r="206">
      <c r="A206" t="inlineStr">
        <is>
          <t>Launch technology and smart contract audit (one-off)</t>
        </is>
      </c>
      <c r="B206" s="37">
        <f>'Scenario Parameters'!$B$108</f>
        <v/>
      </c>
      <c r="C206" t="inlineStr">
        <is>
          <t>USD</t>
        </is>
      </c>
      <c r="D206" t="inlineStr">
        <is>
          <t>THE PRE-LAUNCH ENGAGEMENT the Technology Rulebook requires before any new system goes live, covering the token contract as well as the platform. BENCHMARKED, not quoted: published penetration-test ranges top out around USD 35,000 for a broad engagement, and smart-contract audit is a specialist skill that prices above general application testing, so Base sits at USD 40,000. THE BRIEF CARRIES USD 75,000 for a tier-1 smart contract audit. That figure is retained as the CONSERVATIVE case rather than the Base because its source was never recorded. GET A QUOTE - firms of this kind publish nothing.</t>
        </is>
      </c>
    </row>
    <row r="207">
      <c r="A207" t="inlineStr">
        <is>
          <t>ICS discount - entry fee</t>
        </is>
      </c>
      <c r="B207" s="35">
        <f>'Scenario Parameters'!$B$109</f>
        <v/>
      </c>
      <c r="C207" t="inlineStr">
        <is>
          <t>% of the fee</t>
        </is>
      </c>
      <c r="D207" t="inlineStr">
        <is>
          <t>AN AVERAGE ACROSS TIERS, deliberately, rather than a five-rung ladder. Client instruction 2026-08-26: model one blended discount on the qualifying population instead of splitting Silver / Gold / Platinum / Sovereign, because no tier DISTRIBUTION exists in this model - the ICS rows are binary, qualified or not - and inventing one would put a fabricated mix underneath every benefit number. SIP ONLY. Spot earns no ICS, so this reduces Stream 1a and never Stream 1b. WHAT AN AVERAGE HIDES: if the real ladder tops out near 75%, top-tier contributions are LOSS-MAKING on the inflow lane. At a 5% fee, Aurumix's own cost is 1.425% of the contribution (the fabrication premium on the 95% that buys metal), so the fee breaks even at a 71.5% DISCOUNT and goes negative above it. A 25% average is comfortably profitable; a 75% top rung is not. That may be a deliberate cross-subsidy from the card, but it should be a decision rather than a surprise - and this row cannot show it.</t>
        </is>
      </c>
    </row>
    <row r="208">
      <c r="A208" t="inlineStr">
        <is>
          <t>ICS discount - card fees</t>
        </is>
      </c>
      <c r="B208" s="35">
        <f>'Scenario Parameters'!$B$110</f>
        <v/>
      </c>
      <c r="C208" t="inlineStr">
        <is>
          <t>% of the fee</t>
        </is>
      </c>
      <c r="D208" t="inlineStr">
        <is>
          <t>Blended discount on Stream 4 - FX margin, ATM allowance and the card issuance fee. The corpus ladder runs FX 2.0 / 1.5 / 1.0% by tier and an ATM allowance that rises with tier; this is the average effect of all of it, on the qualifying population. WAIVED REVENUE, not a cash cost.</t>
        </is>
      </c>
    </row>
    <row r="209">
      <c r="A209" t="inlineStr">
        <is>
          <t>ICS discount - gold rebate</t>
        </is>
      </c>
      <c r="B209" s="35">
        <f>'Scenario Parameters'!$B$111</f>
        <v/>
      </c>
      <c r="C209" t="inlineStr">
        <is>
          <t>% of card revenue</t>
        </is>
      </c>
      <c r="D209" t="inlineStr">
        <is>
          <t>Gold Rewards, as a share of ALL CARD REVENUE - interchange (Stream 2) plus cardholder fees (Stream 4). REBASED 2026-08-26 from interchange alone, which was too narrow on three counts. Interchange is the SMALLER HALF by a long way (USD 50k against USD 833k at Y7). Stream 2 is NET OF THE PARTNER'S ~55% SHARE, and sizing a customer's reward off the residual left after a partner split uses the wrong denominator - the customer generated the whole thing. And the corpus cap was never interchange-only: it reads 'capped at the interchange AND CREDIT REVENUE that customer generated, net of custody'. THE RATE FELL FROM 15% TO 5% BECAUSE THE BASE WIDENED 17.8x. The check that matters is the rebate as a share of CARD SPEND, against the corpus ladder of 0.15 / 0.45 / 0.75% by tier: 5% lands at 0.35% of spend, mid-ladder, against a corpus blended average of about 0.18%. 15% on this base would have been 1.05% of spend - ABOVE THE TOP RUNG. IT STILL CANNOT OVERRUN ITS FUNDING LINE, because it is expressed as a share of the very revenue that funds it.</t>
        </is>
      </c>
    </row>
    <row r="210">
      <c r="A210" t="inlineStr">
        <is>
          <t>ICS discount - family wallet and will</t>
        </is>
      </c>
      <c r="B210" s="35">
        <f>'Scenario Parameters'!$B$112</f>
        <v/>
      </c>
      <c r="C210" t="inlineStr">
        <is>
          <t>% of the fee</t>
        </is>
      </c>
      <c r="D210" t="inlineStr">
        <is>
          <t>Blended discount on Stream 3, covering the Family Portfolio and Digital Will pricing and the per-beneficiary discount. The corpus ladder runs 0 / 10 / 20 / 35 / 50% by tier plus a per-beneficiary discount starting at Platinum; this is the average effect on the qualifying population.</t>
        </is>
      </c>
    </row>
    <row r="211">
      <c r="A211" t="inlineStr">
        <is>
          <t>Agent commission - share of the entry fee</t>
        </is>
      </c>
      <c r="B211" s="35">
        <f>'Scenario Parameters'!$B$113</f>
        <v/>
      </c>
      <c r="C211" t="inlineStr">
        <is>
          <t>% of the fee</t>
        </is>
      </c>
      <c r="D211" t="inlineStr">
        <is>
          <t>CLIENT DECISION 2026-08-26: 10% of the entry fee, ONGOING - paid for as long as the customer keeps contributing, which is how agent commission normally works and what the corpus describes (high first-year commission plus renewal commission payable only while the policy stays in force). ON A 5% ENTRY FEE THIS IS 0.50% OF EVERY CONTRIBUTION. The client's own written figure was 15%, which the brief measured at 0.75pp against 0.85pp of Y1 gross margin - 88% of it. Conservative holds 15% so that number stays reachable. APPLIED TO THE AGENT-ACQUIRED SHARE OF THE BOOK, approximated as cumulative agent-driven acquisitions over cumulative acquisitions from all channels. THE MODEL DOES NOT COHORT CUSTOMERS BY CHANNEL, so this is an approximation: it assumes agent-acquired customers behave like everyone else on ticket and persistency. If agent-sold customers persist better - which the insurance precedent suggests - this UNDERSTATES the commission. NOT MODELLED: the three-tier upline override. Whether 10% is the total across all levels or the first-level rate is unresolved, and it is the difference between one commission and three.</t>
        </is>
      </c>
    </row>
    <row r="212">
      <c r="A212" t="inlineStr">
        <is>
          <t>Referral reward - share of the referee's entry fee</t>
        </is>
      </c>
      <c r="B212" s="35">
        <f>'Scenario Parameters'!$B$114</f>
        <v/>
      </c>
      <c r="C212" t="inlineStr">
        <is>
          <t>% of six contributions</t>
        </is>
      </c>
      <c r="D212" t="inlineStr">
        <is>
          <t>F17. 30% of the entry fee the referee pays over their SIX QUALIFYING CONTRIBUTIONS, credited in grams. On a USD 33.60 ticket at a 5% fee that is 6 x 33.60 x 5% = USD 10.08 of fee, so about USD 3.02 per successful referral. THE SELF-FUNDING CLAIM WAS WITHDRAWN, NOT REPAIRED. It was tested against a 2.15% gross margin that had not yet paid for the premium or the float. Against contribution-margin LTV on the inflow lane the reward is roughly 250% of it; against all-streams LTV it is comfortably affordable. The honest frame is CAC versus LTV, and which LTV you pick decides the answer. TIMING IS SIMPLIFIED: the reward is booked when the referral is acquired, but it is really paid at the REFEREE'S GATE - six contributions later, so no earlier than about month 19 given the channel itself opens at period 13. The annual totals barely move; the monthly cash profile does.</t>
        </is>
      </c>
    </row>
    <row r="213">
      <c r="A213" t="inlineStr">
        <is>
          <t>Card programme - NymCard platform and scheme fees</t>
        </is>
      </c>
      <c r="B213" s="37">
        <f>'Scenario Parameters'!$B$115</f>
        <v/>
      </c>
      <c r="C213" t="inlineStr">
        <is>
          <t>USD/yr</t>
        </is>
      </c>
      <c r="D213" t="inlineStr">
        <is>
          <t>USD 2,500/MONTH. Client decision 2026-08-26. NymCard's standing charge for running the programme - platform, account management and the scheme assessments that come with it. BIN SPONSORSHIP WAS REMOVED FROM THIS LINE, and that is the client's correction rather than mine. The figure began at USD 120,000/yr on the assumption that a BANK would sponsor the BIN and a PROCESSOR would run the platform - two counterparties, two fees. NymCard is a CBUAE-licensed PRINCIPAL MEMBER OF BOTH VISA AND MASTERCARD, so it sponsors the BIN under its own membership and there is no bank charging separately for it. The bundle loses a component and the number falls with it. WHAT IS LEFT IS STILL REAL: no BaaS provider gives away the platform. Every one charges a standing monthly fee with a minimum, because it carries scheme and regulatory obligations on the programme manager's behalf. Taking this to zero would say the card costs nothing to run. BENCHMARKED, NOT QUOTED - NymCard publishes no pricing and neither does any comparable (Magnati, SimpliFi, Paymentology, EMX, Rain, all quote-only). ONE DEPENDENCY LEFT: BaaS providers price as a platform fee, as a SHARE OF INTERCHANGE, or both. The model already hands 60% of interchange to a programme-manager counterparty. If NymCard IS that counterparty and prices on interchange share, even this reduced line double counts and should go to zero. One question settles it: platform fee, interchange share, or both?</t>
        </is>
      </c>
    </row>
    <row r="214">
      <c r="A214" t="inlineStr">
        <is>
          <t>Card programme - setup (one-off)</t>
        </is>
      </c>
      <c r="B214" s="37">
        <f>'Scenario Parameters'!$B$116</f>
        <v/>
      </c>
      <c r="C214" t="inlineStr">
        <is>
          <t>USD</t>
        </is>
      </c>
      <c r="D214" t="inlineStr">
        <is>
          <t>Programme setup, integration and certification with the issuer-processor, booked in the month the card launches. BENCHMARKED - quote-only, same as the annual fee.</t>
        </is>
      </c>
    </row>
    <row r="215">
      <c r="A215" t="inlineStr">
        <is>
          <t>Card programme - per card issued</t>
        </is>
      </c>
      <c r="B215" s="39">
        <f>'Scenario Parameters'!$B$117</f>
        <v/>
      </c>
      <c r="C215" t="inlineStr">
        <is>
          <t>USD/card</t>
        </is>
      </c>
      <c r="D215" t="inlineStr">
        <is>
          <t>Card production, personalisation and delivery, on the NEWLY ISSUED flow rather than the active stock - it is a manufacturing cost, paid once per card. A blend of physical and virtual: virtual costs cents, physical with delivery runs several dollars. BENCHMARKED. IF THE PROGRAMME GOES VIRTUAL-FIRST this falls close to zero, which is a real product lever - the Aggressive case is roughly that.</t>
        </is>
      </c>
    </row>
    <row r="216">
      <c r="A216" t="inlineStr">
        <is>
          <t>Card programme - per authorisation</t>
        </is>
      </c>
      <c r="B216" s="39">
        <f>'Scenario Parameters'!$B$118</f>
        <v/>
      </c>
      <c r="C216" t="inlineStr">
        <is>
          <t>USD/auth</t>
        </is>
      </c>
      <c r="D216" t="inlineStr">
        <is>
          <t>Switching and authorisation cost per transaction, on the authorisation count the revenue build already carries as a memo. SMALL PER EVENT AND LARGE IN AGGREGATE - the model runs over 320,000 authorisations at Y7. BENCHMARKED.</t>
        </is>
      </c>
    </row>
    <row r="217">
      <c r="A217" t="inlineStr">
        <is>
          <t>Card programme - fraud and chargebacks</t>
        </is>
      </c>
      <c r="B217" s="33">
        <f>'Scenario Parameters'!$B$119</f>
        <v/>
      </c>
      <c r="C217" t="inlineStr">
        <is>
          <t>% of spend</t>
        </is>
      </c>
      <c r="D217" t="inlineStr">
        <is>
          <t>Fraud losses plus chargeback and dispute handling, as a share of card spend. 8 basis points is a well-controlled programme; poorly controlled ones run several times that, which is why Conservative is 25 bps. BENCHMARKED. NOT THE SAME RISK AS THE HOT-WALLET CRIME COVER in the insurance line: that protects Aurumix's own tokens, this is loss on customer card transactions. Different exposure, different counterparty, no overlap.</t>
        </is>
      </c>
    </row>
    <row r="218">
      <c r="A218" t="inlineStr">
        <is>
          <t>Cross-border scheme assessment</t>
        </is>
      </c>
      <c r="B218" s="33">
        <f>'Scenario Parameters'!$B$120</f>
        <v/>
      </c>
      <c r="C218" t="inlineStr">
        <is>
          <t>% of cross-border spend</t>
        </is>
      </c>
      <c r="D218" t="inlineStr">
        <is>
          <t>CHARGED TO THE ISSUER by the card scheme whenever the merchant country differs from the issuer country. PUBLISHED RATES: Visa International Service Assessment is 1.00% single-currency (ISA Base) and 1.40% multi-currency (ISA Enhanced); Mastercard splits it as a 0.90% Issuer Cross-Border Assessment plus a 0.20% Currency Conversion Assessment, so 1.10% multi-currency. Retrieved 2026-08-26. BASE TAKES 1.40% because most of Aurumix's cross-border spend IS multi-currency - Indian customers spending rupees and Gulf customers spending rials on a UAE-issued card both convert. Aggressive takes the single-currency rate. IT IS BIGGER THAN AURUMIX'S INTERCHANGE SHARE. At 1.80% interchange and a 40% retained share Aurumix earns 0.72% of spend; the scheme charges up to 1.40% on the cross-border half. What covers the gap is the FX MARGIN charged to the customer (stream 4), which means the FX line is mostly COST RECOVERY rather than margin - and the ICS ladder cuts it to 1.0% at Sovereign, where it barely covers the assessment at all.</t>
        </is>
      </c>
    </row>
    <row r="219">
      <c r="A219" t="inlineStr">
        <is>
          <t>UAE cardholders - share of spend abroad or online-foreign</t>
        </is>
      </c>
      <c r="B219" s="35">
        <f>'Scenario Parameters'!$B$121</f>
        <v/>
      </c>
      <c r="C219" t="inlineStr">
        <is>
          <t>% of UAE spend</t>
        </is>
      </c>
      <c r="D219" t="inlineStr">
        <is>
          <t>THE ONLY ASSUMPTION IN THE CROSS-BORDER CALCULATION. Everything else is derived: Oman, Bahrain and India customers hold a UAE-ISSUED card, so EVERY transaction they make is cross-border by definition - merchant country differs from issuer country. That alone is 59% of card spend at Y7. This parameter adds the UAE residents' own travel and foreign online spend on top, taking the total to about 63%. ASSUMPTION. It moves the cross-border share by only a few points, so it is not load-bearing - the structure is.</t>
        </is>
      </c>
    </row>
    <row r="220">
      <c r="A220" t="inlineStr">
        <is>
          <t>Card settlement prefunding - days of spend</t>
        </is>
      </c>
      <c r="B220" s="36">
        <f>'Scenario Parameters'!$B$122</f>
        <v/>
      </c>
      <c r="C220" t="inlineStr">
        <is>
          <t>days</t>
        </is>
      </c>
      <c r="D220" t="inlineStr">
        <is>
          <t>WORKING CAPITAL, NOT A COST. The issuer-processor requires a prefunded settlement account so card transactions can settle before customer funds arrive - the JIT funding mechanism in the credit draft's section 5. NO PUBLIC SCHEDULE EXISTS. Prefunding is contractual between programme manager, processor and sponsor, never scheme-mandated, and it is not published by anyone. The common industry pattern is 1-3 days of expected transaction volume held in a segregated account, sometimes with a rolling reserve on top for higher-risk programmes. BENCHMARKED - take it to NymCard with everything else.</t>
        </is>
      </c>
    </row>
    <row r="221">
      <c r="A221" t="inlineStr">
        <is>
          <t>Card settlement prefunding - minimum balance</t>
        </is>
      </c>
      <c r="B221" s="37">
        <f>'Scenario Parameters'!$B$123</f>
        <v/>
      </c>
      <c r="C221" t="inlineStr">
        <is>
          <t>USD</t>
        </is>
      </c>
      <c r="D221" t="inlineStr">
        <is>
          <t>A CONTRACTUAL FLOOR, and on this book IT BINDS THROUGHOUT - two days of Y7 card spend is only about USD 43,000, well under the minimum. So the prefunding requirement is effectively a fixed sum from card launch, which makes it a FOURTH minimum-commitment structure alongside the vault, the KYC platform and the card programme fee. Industry sources put minimums for small programmes in the low-to-mid six figures; nothing is published. BENCHMARKED.</t>
        </is>
      </c>
    </row>
    <row r="222">
      <c r="A222" t="inlineStr">
        <is>
          <t>Technology - build, Year 1</t>
        </is>
      </c>
      <c r="B222" s="37">
        <f>'Scenario Parameters'!$B$124</f>
        <v/>
      </c>
      <c r="C222" t="inlineStr">
        <is>
          <t>USD</t>
        </is>
      </c>
      <c r="D222" t="inlineStr">
        <is>
          <t>CLIENT INSTRUCTION 2026-08-26: BUILD IN Y1-Y2, MAINTENANCE FROM Y3. The heavy year. Covers the mobile app, backend ledger, wallet infrastructure, the token contract, and integration with everything the product depends on - NymCard for the card, the KYC vendor, the payment rail, the custody and trust layer. IT IS NOT THE WHOLE BUILD. The client's own app was due early September 2026, before this model's horizon opens, so some of the consumer front end is already paid for outside these figures. What sits here is the regulated-product layer built on top of it. THE SMART CONTRACT AUDIT IS NOT IN HERE - it sits in the Year 1 one-off line with the launch technology audit, so the two must not be double counted. BENCHMARKED. No comparable publishes a build budget.</t>
        </is>
      </c>
    </row>
    <row r="223">
      <c r="A223" t="inlineStr">
        <is>
          <t>Technology - build, Year 2</t>
        </is>
      </c>
      <c r="B223" s="37">
        <f>'Scenario Parameters'!$B$125</f>
        <v/>
      </c>
      <c r="C223" t="inlineStr">
        <is>
          <t>USD</t>
        </is>
      </c>
      <c r="D223" t="inlineStr">
        <is>
          <t>The tail of the build. Y2 is when the CARD AND CREDIT LAYER lands - both streams activate at period 13 - so this is not merely finishing Y1's work, it is a second product going live. BENCHMARKED.</t>
        </is>
      </c>
    </row>
    <row r="224">
      <c r="A224" t="inlineStr">
        <is>
          <t>Technology - annual maintenance from Y3</t>
        </is>
      </c>
      <c r="B224" s="37">
        <f>'Scenario Parameters'!$B$126</f>
        <v/>
      </c>
      <c r="C224" t="inlineStr">
        <is>
          <t>USD/yr</t>
        </is>
      </c>
      <c r="D224" t="inlineStr">
        <is>
          <t>Hosting, third-party licences, security patching and ongoing engineering once the build settles. Runs from Y3 onward at the client's instruction. FLAT, WHICH IS A SIMPLIFICATION AND UNDERSTATES THE BACK YEARS. The book goes from about 4,000 paying customers at Y3 to over 70,000 at Y7; the brief's own technology block grows roughly five-fold across a comparable span. A flat line is the simple version, not the accurate one - revisit it if the Y6-Y7 numbers start carrying weight. ON-CHAIN MINTING COST IS NOT IN HERE, AND IT IS A CHAIN DECISION WORTH SIX FIGURES. Every monthly SIP contribution is a mint - about 855,000 events a year at Y7. On an L2 that is roughly USD 8,500/yr and immaterial; on Ethereum mainnet at USD 2 a transaction it is about USD 1.7m/yr, which would be one of the largest costs in the business. NOBODY HAS RECORDED WHICH CHAIN AURUMIX ISSUES ON. Until that is settled the cost cannot be modelled, and it is left out rather than guessed - but it must not be read as zero.</t>
        </is>
      </c>
    </row>
    <row r="225">
      <c r="A225" t="inlineStr">
        <is>
          <t>Contingency on total costs</t>
        </is>
      </c>
      <c r="B225" s="35">
        <f>'Scenario Parameters'!$B$127</f>
        <v/>
      </c>
      <c r="C225" t="inlineStr">
        <is>
          <t>% of costs</t>
        </is>
      </c>
      <c r="D225" t="inlineStr">
        <is>
          <t>CLIENT INSTRUCTION 2026-08-26: 15% on top of everything modelled, to stand in for the cost families not yet built. IT IS A PLACEHOLDER, NOT COVERAGE, AND THE ARITHMETIC SAYS SO. What is still missing is HEADCOUNT, technology's on-chain minting cost, legal and trust, security, corporate, and tax. Headcount alone is anchored in the brief at about USD 588,000 in Year 1 - roughly 78% of the entire Year 1 cost base as currently built - against which 15% is about USD 112,000. THE CONTINGENCY COVERS A FIFTH OF ONE MISSING BLOCK, and there are five others. READ EVERY PROFIT FIGURE IN THIS MODEL AS AN UPPER BOUND until headcount lands. It is not a forecast, it is revenue less the costs that happen to have been built so far.</t>
        </is>
      </c>
    </row>
    <row r="226">
      <c r="A226" t="inlineStr">
        <is>
          <t>KYC and AML - monthly minimum</t>
        </is>
      </c>
      <c r="B226" s="39">
        <f>'Scenario Parameters'!$B$128</f>
        <v/>
      </c>
      <c r="C226" t="inlineStr">
        <is>
          <t>USD/month</t>
        </is>
      </c>
      <c r="D226" t="inlineStr">
        <is>
          <t>Sumsub published minimum monthly commitment for the Compliance tier, same source. THE SECOND OF THREE MINIMUM-COMMITMENT STRUCTURES in this cost base - the vault minimum is the first, the card programme minimums are the third. It binds below about 162 verifications a month, which on this book is most of the first two years.</t>
        </is>
      </c>
    </row>
    <row r="227">
      <c r="A227" t="inlineStr">
        <is>
          <t>Prepaid instead of credit</t>
        </is>
      </c>
      <c r="B227" s="34">
        <f>'Scenario Parameters'!$B$130</f>
        <v/>
      </c>
      <c r="C227" t="inlineStr">
        <is>
          <t>1/0 switch</t>
        </is>
      </c>
      <c r="D227" t="inlineStr">
        <is>
          <t>ON (Prepaid) caps interchange at 1.00% and removes the credit stream entirely. 'NOT A PRODUCT CHOICE, IT IS THE BUSINESS MODEL.' Worth ~USD 2.3m of Y10 revenue on the ten-year run.</t>
        </is>
      </c>
    </row>
    <row r="228">
      <c r="A228" t="inlineStr">
        <is>
          <t>Holders keep the card</t>
        </is>
      </c>
      <c r="B228" s="34">
        <f>'Scenario Parameters'!$B$131</f>
        <v/>
      </c>
      <c r="C228" t="inlineStr">
        <is>
          <t>1/0 switch</t>
        </is>
      </c>
      <c r="D228" t="inlineStr">
        <is>
          <t>DECIDED 2026-09-22 (decision 54): a customer who stops paying keeps the card and the credit line; only the collateral ladder, the customer or the lender can close them. So ON is the design, and the card streams do not decay with churn. OFF is kept as a sensitivity: recalculated 2026-09-24, it takes Y7 revenue from USD 4.49m to 3.88m (-13.7%) and streams 2, 4 and 5 together down 58%.</t>
        </is>
      </c>
    </row>
    <row r="229">
      <c r="A229" t="inlineStr">
        <is>
          <t>Fabrication premium borne by</t>
        </is>
      </c>
      <c r="B229" s="34">
        <f>'Scenario Parameters'!$B$132</f>
        <v/>
      </c>
      <c r="C229" t="inlineStr">
        <is>
          <t>1/0 switch</t>
        </is>
      </c>
      <c r="D229" t="inlineStr">
        <is>
          <t>DEFAULT AURUMIX, which REVERSES the 2026-08-21 client decision and does so deliberately. That review put the premium on the customer - grams delivered short by (1+premium), stream 1 keeping the full headline fee - which is standard for gold products where the quoted price includes the dealer spread. The model now shows procurement as a COST instead, because a cost the client can see is the point of the cost build, and because charging the customer for it is better presented as UPSIDE than baked into the base case. Switching back to Customer restores the 2026-08-21 treatment exactly: grams fall 1.50%, the COGS line goes to zero, and gross profit rises by the same amount. THE TWO SETTINGS ARE MUTUALLY EXCLUSIVE BY CONSTRUCTION, which is what stops the double-count fixed at 29f98e0 returning.</t>
        </is>
      </c>
    </row>
    <row r="230">
      <c r="A230" t="inlineStr">
        <is>
          <t>Premium charged on gross inflow</t>
        </is>
      </c>
      <c r="B230" s="34">
        <f>'Scenario Parameters'!$B$133</f>
        <v/>
      </c>
      <c r="C230" t="inlineStr">
        <is>
          <t>1/0 switch</t>
        </is>
      </c>
      <c r="D230" t="inlineStr">
        <is>
          <t>D30: the premium is paid on NET NEW grams. Gold returned by redemption is already a fabricated bar sitting in the float, and a bar that exists does not need making twice. Switching to Gross charges every gram, which is correct ONLY if redeemed metal is sold back to the dealer rather than recycled. GATED ON CORRECTION 30, WHICH IS UNDESIGNED - nobody has written down which way redeemed gold goes. Worth USD 165,755 of retained margin over the horizon, so the undesigned question has a price.</t>
        </is>
      </c>
    </row>
    <row r="231">
      <c r="A231" s="9" t="inlineStr">
        <is>
          <t>Every row above is a GREEN link to the active value on Scenario Parameters, which is itself a CHOOSE() across the Base / Aggressive / Conservative columns. Flip the scenario selector and all of them move. The Model reads these cells and never reaches into Scenario Parameters directly, so this sheet is the complete register of every input the model uses.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50" customWidth="1" min="1" max="1"/>
    <col width="15" customWidth="1" min="2" max="2"/>
    <col width="14" customWidth="1" min="3" max="3"/>
    <col width="14" customWidth="1" min="4" max="4"/>
    <col width="14" customWidth="1" min="5" max="5"/>
    <col width="24" customWidth="1" min="6" max="6"/>
    <col width="118" customWidth="1" min="7" max="7"/>
  </cols>
  <sheetData>
    <row r="1">
      <c r="A1" s="10">
        <f>Cover!$B$2</f>
        <v/>
      </c>
    </row>
    <row r="2">
      <c r="A2" s="11" t="inlineStr">
        <is>
          <t>Scenario Parameters</t>
        </is>
      </c>
    </row>
    <row r="4" ht="18" customHeight="1">
      <c r="A4" s="12" t="inlineStr">
        <is>
          <t>SCENARIO SELECTOR</t>
        </is>
      </c>
      <c r="B4" s="13" t="n"/>
      <c r="C4" s="13" t="n"/>
      <c r="D4" s="13" t="n"/>
      <c r="E4" s="13" t="n"/>
    </row>
    <row r="6">
      <c r="A6" s="3" t="inlineStr">
        <is>
          <t>Select Scenario:</t>
        </is>
      </c>
      <c r="B6" s="40" t="inlineStr">
        <is>
          <t>Base</t>
        </is>
      </c>
      <c r="C6">
        <f>IF($B$6="Base",1,IF($B$6="Aggressive",2,3))</f>
        <v/>
      </c>
      <c r="D6" s="23" t="inlineStr">
        <is>
          <t>&lt;- index</t>
        </is>
      </c>
      <c r="G6" s="9" t="inlineStr">
        <is>
          <t>One switch, three columns. Every parameter below resolves through it.</t>
        </is>
      </c>
    </row>
    <row r="8" ht="18" customHeight="1">
      <c r="A8" s="12" t="inlineStr">
        <is>
          <t>GROUP A0: THE METAL</t>
        </is>
      </c>
      <c r="B8" s="13" t="n"/>
      <c r="C8" s="13" t="n"/>
      <c r="D8" s="13" t="n"/>
      <c r="E8" s="13" t="n"/>
    </row>
    <row r="9">
      <c r="A9" s="14" t="inlineStr">
        <is>
          <t>Parameter</t>
        </is>
      </c>
      <c r="B9" s="14" t="inlineStr">
        <is>
          <t>Active Value</t>
        </is>
      </c>
      <c r="C9" s="14" t="inlineStr">
        <is>
          <t>Base</t>
        </is>
      </c>
      <c r="D9" s="14" t="inlineStr">
        <is>
          <t>Aggressive</t>
        </is>
      </c>
      <c r="E9" s="14" t="inlineStr">
        <is>
          <t>Conservative</t>
        </is>
      </c>
      <c r="F9" s="14" t="inlineStr">
        <is>
          <t>Unit</t>
        </is>
      </c>
    </row>
    <row r="10">
      <c r="A10" t="inlineStr">
        <is>
          <t>Gold price appreciation</t>
        </is>
      </c>
      <c r="B10" s="41">
        <f>CHOOSE($C$6,C10,D10,E10)</f>
        <v/>
      </c>
      <c r="C10" s="16" t="n">
        <v>0.081</v>
      </c>
      <c r="D10" s="16" t="n">
        <v>0.12</v>
      </c>
      <c r="E10" s="16" t="n">
        <v>0</v>
      </c>
      <c r="F10" s="23" t="inlineStr">
        <is>
          <t>%/yr</t>
        </is>
      </c>
      <c r="G10" s="9" t="inlineStr">
        <is>
          <t>ADDED 2026-08-21, client instruction, replacing a flat price. 8.1% is the COMPOUND ANNUAL GROWTH RATE SINCE 1971, the end of the gold standard - chosen because it is the LONGEST window and therefore the least cherry-picked. The shorter the window the better gold looks: ~8.6% over 50 years, ~9-10% over 20, ~13-14% over 10, and over 20% over the last 5. Taking the recent decade would have flattered the model on a rally. CITED. THIS IS A NOMINAL RATE AND NOTHING ELSE IN THE MODEL INFLATES. SIP tickets, spot tickets, CAC, card fees and the B2B fee are all frozen in 2027 dollars. There is NO CONSENSUS POSITIVE LONG-RUN REAL RETURN for gold - it is generally treated as a store of value with a near-zero real yield - so most of this 8.1% IS INFLATION. Applying it to the metal while freezing everything else quietly asserts that gold outruns wages, prices and costs by 8% a year for seven years, which is not a claim anyone would defend out loud. The Model therefore also carries AUM AT THE CONSTANT M1 PRICE, and that is the honest series for judging whether the BUSINESS grew. Conservative is set at 0.0% deliberately: it restores the original flat-price design, under which every revenue change is attributable to the business rather than the metal.</t>
        </is>
      </c>
    </row>
    <row r="11">
      <c r="A11" t="inlineStr">
        <is>
          <t>Float buffer - days of demand held</t>
        </is>
      </c>
      <c r="B11" s="31">
        <f>CHOOSE($C$6,C11,D11,E11)</f>
        <v/>
      </c>
      <c r="C11" s="17" t="n">
        <v>10</v>
      </c>
      <c r="D11" s="17" t="n">
        <v>6</v>
      </c>
      <c r="E11" s="17" t="n">
        <v>20</v>
      </c>
      <c r="F11" s="23" t="inlineStr">
        <is>
          <t>days</t>
        </is>
      </c>
      <c r="G11" s="9" t="inlineStr">
        <is>
          <t>S50, the SOFT HALF of the float sizing rule. The corpus states the rule as 'one bar denomination plus a buffer of N days trailing inflow' and NEVER SETS N. WHAT THE BUFFER IS FOR: how long it takes to get REPLACEMENT metal into the vault - dealer lead time, weekend and holiday gaps, payment clearing, and the days a dealer cannot fill 100 g. It is a REPLENISHMENT question. NOT the fill window, which is how long demand takes to CONSUME a bar. The brief anchors the 10 days on the fill window and that is the wrong anchor - how fast the shelf empties and how fast it can be restocked are different questions that only happen to give a similar answer at launch. Corrected here 2026-08-26; the brief still carries the old reasoning. 10 days is a working number for a dealer who has not been chosen yet, and it is DEALER-DEPENDENT: a T+2 commitment would cut the float by roughly two-thirds. IT CHANGES NOTHING AT LAUNCH. Below 10 grams a day - which is about month six - the two-bar floor is larger, so M1 is USD 28,716 for ANY buffer from 0 to 49 days. It binds only at scale, where it is worth USD 64,669 per day of buffer by Y7 and USD 905k between the Aggressive and Conservative settings. ASSUMPTION, and the one to flex: the only number in the float calculation that was neither observed nor settled in the design docs.</t>
        </is>
      </c>
    </row>
    <row r="13" ht="18" customHeight="1">
      <c r="A13" s="12" t="inlineStr">
        <is>
          <t>GROUP A: CUSTOMERS AND CHURN</t>
        </is>
      </c>
      <c r="B13" s="13" t="n"/>
      <c r="C13" s="13" t="n"/>
      <c r="D13" s="13" t="n"/>
      <c r="E13" s="13" t="n"/>
    </row>
    <row r="14">
      <c r="A14" s="14" t="inlineStr">
        <is>
          <t>Parameter</t>
        </is>
      </c>
      <c r="B14" s="14" t="inlineStr">
        <is>
          <t>Active Value</t>
        </is>
      </c>
      <c r="C14" s="14" t="inlineStr">
        <is>
          <t>Base</t>
        </is>
      </c>
      <c r="D14" s="14" t="inlineStr">
        <is>
          <t>Aggressive</t>
        </is>
      </c>
      <c r="E14" s="14" t="inlineStr">
        <is>
          <t>Conservative</t>
        </is>
      </c>
      <c r="F14" s="14" t="inlineStr">
        <is>
          <t>Unit</t>
        </is>
      </c>
    </row>
    <row r="15">
      <c r="A15" t="inlineStr">
        <is>
          <t>Persistency - customers still paying after 12 months</t>
        </is>
      </c>
      <c r="B15" s="42">
        <f>CHOOSE($C$6,C15,D15,E15)</f>
        <v/>
      </c>
      <c r="C15" s="19" t="n">
        <v>0.55</v>
      </c>
      <c r="D15" s="19" t="n">
        <v>0.65</v>
      </c>
      <c r="E15" s="19" t="n">
        <v>0.45</v>
      </c>
      <c r="F15" s="23" t="inlineStr">
        <is>
          <t>%</t>
        </is>
      </c>
      <c r="G15" s="9" t="inlineStr">
        <is>
          <t>THE HEADLINE RETENTION NUMBER, and the one a client can argue with. Everything about churn is derived from it. Governs lifetime value, referral economics and agent commission at once. DERIVED from the archetype work: the simulation can refine it, but 55% is what that engine produced.</t>
        </is>
      </c>
    </row>
    <row r="16">
      <c r="A16" t="inlineStr">
        <is>
          <t>Monthly churn rate (derived)</t>
        </is>
      </c>
      <c r="B16" s="41">
        <f>1-'Scenario Parameters'!$B$15^(1/12)</f>
        <v/>
      </c>
      <c r="F16" s="23" t="inlineStr">
        <is>
          <t>%/month</t>
        </is>
      </c>
      <c r="G16" s="9" t="inlineStr">
        <is>
          <t>DERIVED, not typed: the monthly rate that reproduces the persistency above over twelve months. Change persistency and this follows. Base 55% implies ~4.9%/month.</t>
        </is>
      </c>
    </row>
    <row r="17">
      <c r="A17" t="inlineStr">
        <is>
          <t>Agent productivity</t>
        </is>
      </c>
      <c r="B17" s="43">
        <f>CHOOSE($C$6,C17,D17,E17)</f>
        <v/>
      </c>
      <c r="C17" s="15" t="n">
        <v>6</v>
      </c>
      <c r="D17" s="15" t="n">
        <v>9</v>
      </c>
      <c r="E17" s="15" t="n">
        <v>3</v>
      </c>
      <c r="F17" s="23" t="inlineStr">
        <is>
          <t>accounts/agent/month</t>
        </is>
      </c>
      <c r="G17" s="9" t="inlineStr">
        <is>
          <t>RE-EVIDENCED 2026-08-26. Base HOLDS at 6; the BANDS widen from 8/3 to 9/3 and the justification is rebuilt on measured comparators instead of resting on a single insurance-agency analogy. WHAT THE EVIDENCE SAYS. IRDAI's Annual Report FY25 gives 270.22 lakh new individual policies against 31.23 lakh individual agents - 8.65 policies per agent per YEAR, or 0.72/month, across the whole book INCLUDING dormant agents. Adjusting for dormancy (MicroSave measures up to 43% inactive across the top four BC network managers) puts an ACTIVE Indian life agent at roughly 1.5-3 per month. BEWARE ONE WIDELY-CIRCULATED FIGURE: an analyst piece states Indian productivity as '0.87 policies per agent per year'. That is an ARITHMETIC SLIP - it divides 27.02 lakh by 31.23 lakh when the numerator is 270.22 lakh. The correct figure is 8.65. Do not cite the 0.87. THE CLOSER COMPARATOR IS THE BANK MITRA / BC NETWORK, which opens a light, form-based account for the same demographic through the same field model: 20-30 accounts per month when the account is FREE, and about 2 per month once a fee is introduced - a 93% collapse, measured by MicroSave. AURUMIX CHARGES 5% ON ENTRY. That is the datapoint arguing 6 is at the OPTIMISTIC end rather than the conservative one, and it is why the conservative band moves from 3 to... 3, but now for a stated reason rather than as a round number. THE OLD NOTE argued 6 was conservative because a gold SIP signup is a fraction of the work of an underwritten insurance policy. That is true, and it is why 6 survives as Base - but it argues only against the insurance figure and is silent on the fee-friction evidence, which points the other way. COMPOUNDS WITH HEADCOUNT: both are execution assumptions, and if either disappoints the other does not compensate. TRIANGULATED at 6, with the band now evidence-led in both directions.</t>
        </is>
      </c>
    </row>
    <row r="18">
      <c r="A18" t="inlineStr">
        <is>
          <t>Marketing CAC - UAE</t>
        </is>
      </c>
      <c r="B18" s="44">
        <f>CHOOSE($C$6,C18,D18,E18)</f>
        <v/>
      </c>
      <c r="C18" s="20" t="n">
        <v>85</v>
      </c>
      <c r="D18" s="20" t="n">
        <v>55</v>
      </c>
      <c r="E18" s="20" t="n">
        <v>140</v>
      </c>
      <c r="F18" s="23" t="inlineStr">
        <is>
          <t>USD per customer</t>
        </is>
      </c>
      <c r="G18" s="9"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19">
      <c r="A19" t="inlineStr">
        <is>
          <t>Marketing CAC - Oman and Bahrain</t>
        </is>
      </c>
      <c r="B19" s="44">
        <f>CHOOSE($C$6,C19,D19,E19)</f>
        <v/>
      </c>
      <c r="C19" s="20" t="n">
        <v>75</v>
      </c>
      <c r="D19" s="20" t="n">
        <v>50</v>
      </c>
      <c r="E19" s="20" t="n">
        <v>125</v>
      </c>
      <c r="F19" s="23" t="inlineStr">
        <is>
          <t>USD per customer</t>
        </is>
      </c>
      <c r="G19" s="9"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20">
      <c r="A20" t="inlineStr">
        <is>
          <t>Marketing CAC - India</t>
        </is>
      </c>
      <c r="B20" s="44">
        <f>CHOOSE($C$6,C20,D20,E20)</f>
        <v/>
      </c>
      <c r="C20" s="20" t="n">
        <v>15</v>
      </c>
      <c r="D20" s="20" t="n">
        <v>9</v>
      </c>
      <c r="E20" s="20" t="n">
        <v>26</v>
      </c>
      <c r="F20" s="23" t="inlineStr">
        <is>
          <t>USD per customer</t>
        </is>
      </c>
      <c r="G20" s="9" t="inlineStr">
        <is>
          <t>REGIONALISED 2026-08-20. A single global USD 120 was applied everywhere, which is roughly right for the UAE and badly wrong for India. PUBLISHED BENCHMARKS: Dubai consumer fintech USD 65-220; retail neobank account paid-only USD 35-70; GCC wealthtech funded accounts USD 80-220; 'true' fully-loaded CAC per ACTIVATED customer USD 85-350 against USD 50-100 reported, once KYC, onboarding and non-activating signups are counted. INDIA IS A DIFFERENT MARKET ENTIRELY: consumer fintech INR 500-1,500 (~USD 6-18), neobank savings activation INR 1,100-1,800, wealth and broking apps INR 2,500-5,500 (~USD 30-65); Jupiter reports a USD 5-6 paid CAC. USD 120 is ~INR 10,500 - some 7-20x the Indian mass-market benchmark and still 2-4x its premium wealth apps. UAE is held at 120 as a FULLY-LOADED figure; note it sits at the top of the range for a LOW-TICKET product, and the published low-ticket band is USD 4-70. TRIANGULATED. THIS IS THE YEAR-1 VALUE. CAC now ramps DOWN to the Y7 parameter below - see that note.</t>
        </is>
      </c>
    </row>
    <row r="21">
      <c r="A21" t="inlineStr">
        <is>
          <t>Marketing CAC at Y7 - UAE</t>
        </is>
      </c>
      <c r="B21" s="44">
        <f>CHOOSE($C$6,C21,D21,E21)</f>
        <v/>
      </c>
      <c r="C21" s="20" t="n">
        <v>55</v>
      </c>
      <c r="D21" s="20" t="n">
        <v>36</v>
      </c>
      <c r="E21" s="20" t="n">
        <v>91</v>
      </c>
      <c r="F21" s="23" t="inlineStr">
        <is>
          <t>USD per customer</t>
        </is>
      </c>
      <c r="G21" s="9"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22">
      <c r="A22" t="inlineStr">
        <is>
          <t>Marketing CAC at Y7 - Oman and Bahrain</t>
        </is>
      </c>
      <c r="B22" s="44">
        <f>CHOOSE($C$6,C22,D22,E22)</f>
        <v/>
      </c>
      <c r="C22" s="20" t="n">
        <v>45</v>
      </c>
      <c r="D22" s="20" t="n">
        <v>30</v>
      </c>
      <c r="E22" s="20" t="n">
        <v>75</v>
      </c>
      <c r="F22" s="23" t="inlineStr">
        <is>
          <t>USD per customer</t>
        </is>
      </c>
      <c r="G22" s="9"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23">
      <c r="A23" t="inlineStr">
        <is>
          <t>Marketing CAC at Y7 - India</t>
        </is>
      </c>
      <c r="B23" s="44">
        <f>CHOOSE($C$6,C23,D23,E23)</f>
        <v/>
      </c>
      <c r="C23" s="20" t="n">
        <v>10</v>
      </c>
      <c r="D23" s="20" t="n">
        <v>6</v>
      </c>
      <c r="E23" s="20" t="n">
        <v>17</v>
      </c>
      <c r="F23" s="23" t="inlineStr">
        <is>
          <t>USD per customer</t>
        </is>
      </c>
      <c r="G23" s="9" t="inlineStr">
        <is>
          <t>CLIENT INSTRUCTION 2026-08-26: CAC RAMPS DOWN over the horizon rather than sitting flat. UAE 85-&gt;55, Oman and Bahrain 75-&gt;45, India 15-&gt;10, interpolated LINEARLY on model year. Aggressive and Conservative hold the same proportional decline as Base. WHY IT FALLS: brand recognition compounds, organic and word-of-mouth grow off a larger base, and paid channels get cheaper per acquisition as creative, targeting and funnel conversion are tuned. IT CUTS AGAINST THE MODEL'S OWN CAUTION ELSEWHERE - S25's convexity switch says CAC RISES with spend because you buy progressively worse audiences. Both are real and they pull in opposite directions; this ramp asserts that the learning effect wins over seven years. IT IS NOT A COST SAVING - IT IS A REVENUE INCREASE. The marketing budget is fixed by schedule, so a lower CAC buys MORE CUSTOMERS for the same money. Marketing spend does not fall by a dollar.</t>
        </is>
      </c>
    </row>
    <row r="24">
      <c r="A24" t="inlineStr">
        <is>
          <t>Marketing spend share - UAE</t>
        </is>
      </c>
      <c r="B24" s="42">
        <f>CHOOSE($C$6,C24,D24,E24)</f>
        <v/>
      </c>
      <c r="C24" s="19" t="n">
        <v>0.74</v>
      </c>
      <c r="D24" s="19" t="n">
        <v>0.74</v>
      </c>
      <c r="E24" s="19" t="n">
        <v>0.74</v>
      </c>
      <c r="F24" s="23" t="inlineStr">
        <is>
          <t>% of budget</t>
        </is>
      </c>
      <c r="G24" s="9"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25">
      <c r="A25" t="inlineStr">
        <is>
          <t>Marketing spend share - Oman and Bahrain</t>
        </is>
      </c>
      <c r="B25" s="42">
        <f>CHOOSE($C$6,C25,D25,E25)</f>
        <v/>
      </c>
      <c r="C25" s="19" t="n">
        <v>0.18</v>
      </c>
      <c r="D25" s="19" t="n">
        <v>0.18</v>
      </c>
      <c r="E25" s="19" t="n">
        <v>0.18</v>
      </c>
      <c r="F25" s="23" t="inlineStr">
        <is>
          <t>% of budget</t>
        </is>
      </c>
      <c r="G25" s="9"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26">
      <c r="A26" t="inlineStr">
        <is>
          <t>Marketing spend share - India</t>
        </is>
      </c>
      <c r="B26" s="42">
        <f>CHOOSE($C$6,C26,D26,E26)</f>
        <v/>
      </c>
      <c r="C26" s="19" t="n">
        <v>0.08</v>
      </c>
      <c r="D26" s="19" t="n">
        <v>0.08</v>
      </c>
      <c r="E26" s="19" t="n">
        <v>0.08</v>
      </c>
      <c r="F26" s="23" t="inlineStr">
        <is>
          <t>% of budget</t>
        </is>
      </c>
      <c r="G26" s="9" t="inlineStr">
        <is>
          <t>RE-BASED 2026-08-26 from 58/16/26, when India moved to an agent-led channel. India falls to 8% - a SUPPORT budget, not an acquisition engine - and UAE and Oman &amp; Bahrain absorb the residual, split roughly 80:20 by each region's share of its own reachable ceiling. THE REASON IS STRUCTURAL, NOT A PREFERENCE. UAE and Oman &amp; Bahrain now have NO agent channel at all, so marketing plus referral is the WHOLE of their acquisition and the budget has to carry it. India's 420 agents carry ~57% of its new accounts by Y7, so its budget does not. WHAT THIS FIXES: holding India at 26% meant a USD 1.65m budget at a USD 15 CAC buying 35,750 accounts a year, which is what the model did before. India LOOKED agent-led while actually being carried by a cheap-CAC assumption - marketing was 67% of Indian raw demand at Y7 and agents only 11%, the reverse of how the business is described. Does not vary by scenario - it is a management decision, not an uncertainty. Must sum to 100%.</t>
        </is>
      </c>
    </row>
    <row r="27">
      <c r="A27" t="inlineStr">
        <is>
          <t>Referral rate</t>
        </is>
      </c>
      <c r="B27" s="43">
        <f>CHOOSE($C$6,C27,D27,E27)</f>
        <v/>
      </c>
      <c r="C27" s="15" t="n">
        <v>0.6</v>
      </c>
      <c r="D27" s="15" t="n">
        <v>1.1</v>
      </c>
      <c r="E27" s="15" t="n">
        <v>0.25</v>
      </c>
      <c r="F27" s="23" t="inlineStr">
        <is>
          <t>referrals/customer/yr</t>
        </is>
      </c>
      <c r="G27" s="9" t="inlineStr">
        <is>
          <t>RAISED 2026-08-21 from 0.45, client instruction. Cap removed deliberately, so the distribution is right-skewed - MODEL THE MEAN, NOT THE MEDIAN. 0.60 means the average customer produces roughly three referrals every five years; the mean is pulled up by a small number of highly social referrers, which is the normal shape for a trust-based product inside a tight diaspora community. IT IS STILL AN ASSUMPTION WITH NO EXTERNAL ANCHOR, and it compounds: referrals feed the paying base, which feeds more referrals. That loop is the reason this parameter is more load-bearing than its size suggests. ASSUMPTION.</t>
        </is>
      </c>
    </row>
    <row r="28">
      <c r="A28" t="inlineStr">
        <is>
          <t>Referral conversion</t>
        </is>
      </c>
      <c r="B28" s="42">
        <f>CHOOSE($C$6,C28,D28,E28)</f>
        <v/>
      </c>
      <c r="C28" s="19" t="n">
        <v>0.62</v>
      </c>
      <c r="D28" s="19" t="n">
        <v>0.72</v>
      </c>
      <c r="E28" s="19" t="n">
        <v>0.48</v>
      </c>
      <c r="F28" s="23" t="inlineStr">
        <is>
          <t>%</t>
        </is>
      </c>
      <c r="G28" s="9" t="inlineStr">
        <is>
          <t>The M7 survival of the referred cohort, uplifted ~1.1x. DERIVED.</t>
        </is>
      </c>
    </row>
    <row r="29">
      <c r="A29" t="inlineStr">
        <is>
          <t>Organic share of direct</t>
        </is>
      </c>
      <c r="B29" s="42">
        <f>CHOOSE($C$6,C29,D29,E29)</f>
        <v/>
      </c>
      <c r="C29" s="19" t="n">
        <v>0.25</v>
      </c>
      <c r="D29" s="19" t="n">
        <v>0.4</v>
      </c>
      <c r="E29" s="19" t="n">
        <v>0.1</v>
      </c>
      <c r="F29" s="23" t="inlineStr">
        <is>
          <t>% of direct</t>
        </is>
      </c>
      <c r="G29" s="9" t="inlineStr">
        <is>
          <t>RAISED 2026-08-21 from 0.12, client instruction. Kept separate from CAC deliberately, so the acquisition cost never applies to it - THAT IS ALSO WHY IT IS AN ATTRACTIVE NUMBER TO RAISE, and why it deserves scepticism. 0.25 says a quarter of paid-driven signups arrive again for free through word of mouth, app store discovery and community effects. Defensible for a product sold inside a dense diaspora network where the paid campaign and the community overlap almost completely. NO EXTERNAL ANCHOR AT EITHER LEVEL, and it is arithmetically identical to a 12% CAC reduction - so raising this AND cutting CAC in the same pass is close to taking the same benefit twice. ASSUMPTION.</t>
        </is>
      </c>
    </row>
    <row r="30">
      <c r="A30" t="inlineStr">
        <is>
          <t>Seasonality amplitude</t>
        </is>
      </c>
      <c r="B30" s="43">
        <f>CHOOSE($C$6,C30,D30,E30)</f>
        <v/>
      </c>
      <c r="C30" s="15" t="n">
        <v>1</v>
      </c>
      <c r="D30" s="15" t="n">
        <v>1.4</v>
      </c>
      <c r="E30" s="15" t="n">
        <v>0.6</v>
      </c>
      <c r="F30" s="23" t="inlineStr">
        <is>
          <t>x deviation from 1.0</t>
        </is>
      </c>
      <c r="G30" s="9" t="inlineStr">
        <is>
          <t>Festival TIMING is sourced; how hard a Dubai savings signup responds to Dhanteras is the open question. Applied to the deviation from 1.0, then renormalised, so the vectors stay at exactly 12.000.</t>
        </is>
      </c>
    </row>
    <row r="32" ht="18" customHeight="1">
      <c r="A32" s="12" t="inlineStr">
        <is>
          <t>GROUP B: ICS BENEFIT ENTITLEMENT - no longer gates ACCESS, only BENEFITS</t>
        </is>
      </c>
      <c r="B32" s="13" t="n"/>
      <c r="C32" s="13" t="n"/>
      <c r="D32" s="13" t="n"/>
      <c r="E32" s="13" t="n"/>
    </row>
    <row r="33">
      <c r="A33" s="14" t="inlineStr">
        <is>
          <t>Parameter</t>
        </is>
      </c>
      <c r="B33" s="14" t="inlineStr">
        <is>
          <t>Active Value</t>
        </is>
      </c>
      <c r="C33" s="14" t="inlineStr">
        <is>
          <t>Base</t>
        </is>
      </c>
      <c r="D33" s="14" t="inlineStr">
        <is>
          <t>Aggressive</t>
        </is>
      </c>
      <c r="E33" s="14" t="inlineStr">
        <is>
          <t>Conservative</t>
        </is>
      </c>
      <c r="F33" s="14" t="inlineStr">
        <is>
          <t>Unit</t>
        </is>
      </c>
    </row>
    <row r="34">
      <c r="A34" t="inlineStr">
        <is>
          <t>Customers who EVER reach an ICS benefit tier</t>
        </is>
      </c>
      <c r="B34" s="42">
        <f>CHOOSE($C$6,C34,D34,E34)</f>
        <v/>
      </c>
      <c r="C34" s="19" t="n">
        <v>0.55</v>
      </c>
      <c r="D34" s="19" t="n">
        <v>0.65</v>
      </c>
      <c r="E34" s="19" t="n">
        <v>0.45</v>
      </c>
      <c r="F34" s="23" t="inlineStr">
        <is>
          <t>% of customers</t>
        </is>
      </c>
      <c r="G34" s="9" t="inlineStr">
        <is>
          <t>REPURPOSED 2026-08-26 (CG decision). THIS CELL NO LONGER GATES ACCESS TO ANYTHING. The card and the credit facility are now open to the whole book regardless of SIP status or ICS tier; what ICS still governs is BENEFITS - fee discounts, better FX rates, family-wallet pricing, gold reward rebates. IT FEEDS NO REVENUE ROW TODAY. It is carried as a memo on the Model so the ICS-entitled population is already computed when the cost and discount build lands, because every one of those benefits is a give-back that has to be sized against a population. Deleting it would mean rebuilding it a day later. WHAT IT USED TO DO, AND WHY THE CHANGE IS LARGE: it restricted the card streams to the 55% who ever cleared a six-payment gate, so removing it widens the card population by 1/0.55 = 1.82x AND removes the ~8-month lag before anyone qualified. The old note called this 'the single most load-bearing parameter in the model' and claimed the card streams were ~83% of gross profit; BOTH STATEMENTS ARE NOW STALE - there is no gross-profit line in this build at all, and on the current numbers the card streams are a far smaller share of revenue than that. The 55% itself is unchanged and still the OUTPUT of the run-of-6 first-passage engine validated against the archetype mix, which now lives in the Phase 5 simulation. Whether ICS ENTITLEMENT should use the same threshold as the old payment gate is an OPEN QUESTION for the mechanism-design update - it is inherited here, not decided.</t>
        </is>
      </c>
    </row>
    <row r="35">
      <c r="A35" t="inlineStr">
        <is>
          <t>Average months to reach an ICS benefit tier</t>
        </is>
      </c>
      <c r="B35" s="31">
        <f>CHOOSE($C$6,C35,D35,E35)</f>
        <v/>
      </c>
      <c r="C35" s="17" t="n">
        <v>8</v>
      </c>
      <c r="D35" s="17" t="n">
        <v>6</v>
      </c>
      <c r="E35" s="17" t="n">
        <v>11</v>
      </c>
      <c r="F35" s="23" t="inlineStr">
        <is>
          <t>months</t>
        </is>
      </c>
      <c r="G35" s="9" t="inlineStr">
        <is>
          <t>REPURPOSED 2026-08-26 with the row above - it no longer delays card access, only benefit entitlement. Tier arrival is a DISTRIBUTION, not a date: a customer who misses month 4 cannot qualify before month 9. The validated mean is M8.0, against the naive assumption of M6. UNDER THE OLD DESIGN those two extra months pushed every card ladder date to the right and were worth real revenue; under the new one they delay only the point at which a customer starts COSTING money in discounts, which is the opposite sign. DERIVED.</t>
        </is>
      </c>
    </row>
    <row r="37" ht="18" customHeight="1">
      <c r="A37" s="12" t="inlineStr">
        <is>
          <t>GROUP C: AUM, LEAKAGE AND SPOT</t>
        </is>
      </c>
      <c r="B37" s="13" t="n"/>
      <c r="C37" s="13" t="n"/>
      <c r="D37" s="13" t="n"/>
      <c r="E37" s="13" t="n"/>
    </row>
    <row r="38">
      <c r="A38" s="14" t="inlineStr">
        <is>
          <t>Parameter</t>
        </is>
      </c>
      <c r="B38" s="14" t="inlineStr">
        <is>
          <t>Active Value</t>
        </is>
      </c>
      <c r="C38" s="14" t="inlineStr">
        <is>
          <t>Base</t>
        </is>
      </c>
      <c r="D38" s="14" t="inlineStr">
        <is>
          <t>Aggressive</t>
        </is>
      </c>
      <c r="E38" s="14" t="inlineStr">
        <is>
          <t>Conservative</t>
        </is>
      </c>
      <c r="F38" s="14" t="inlineStr">
        <is>
          <t>Unit</t>
        </is>
      </c>
    </row>
    <row r="39">
      <c r="A39" t="inlineStr">
        <is>
          <t>Gold moved out of Aurumix's control</t>
        </is>
      </c>
      <c r="B39" s="42">
        <f>CHOOSE($C$6,C39,D39,E39)</f>
        <v/>
      </c>
      <c r="C39" s="19" t="n">
        <v>0.06</v>
      </c>
      <c r="D39" s="19" t="n">
        <v>0.03</v>
      </c>
      <c r="E39" s="19" t="n">
        <v>0.18</v>
      </c>
      <c r="F39" s="23" t="inlineStr">
        <is>
          <t>% of AUM/yr</t>
        </is>
      </c>
      <c r="G39" s="9" t="inlineStr">
        <is>
          <t>HALVED 2026-08-21 from 0.12, client instruction. NOTE IT HAS ZERO EFFECT ON GOLD UNDER CUSTODY - measured, not asserted - because self-custodied metal never left the vault and was never in that measure. It moves ONLY the collateral-eligible base and therefore the card credit limit, worth ~0.2% of Y7 revenue. RELABELLED earlier the same day after the client correctly objected to the old name, 'self-custody leakage'. THE GOLD DOES NOT LEAVE THE VAULT: a token moving to a customer's own wallet sells nothing and burns nothing, so calling it an AUM decrease was wrong. What it does leave is Aurumix's COLLATERAL-ELIGIBLE base - Aurumix cannot foreclose on a token sitting in a private wallet, so that gold can no longer back a credit limit. In this model AUM has exactly ONE consumer, the card credit limit, so the arithmetic was always right and only the label was misleading. THAT ONE-CONSUMER PROPERTY IS WHAT MAKES THIS SAFE: if a later build points anything else at AUM - a custody fee, a reported-AUM headline - this row must be split in two first. Contrast the redemption line, which IS gold genuinely gone. ASSUMPTION.</t>
        </is>
      </c>
    </row>
    <row r="40">
      <c r="A40" t="inlineStr">
        <is>
          <t>Redemption rate</t>
        </is>
      </c>
      <c r="B40" s="42">
        <f>CHOOSE($C$6,C40,D40,E40)</f>
        <v/>
      </c>
      <c r="C40" s="19" t="n">
        <v>0.06</v>
      </c>
      <c r="D40" s="19" t="n">
        <v>0.035</v>
      </c>
      <c r="E40" s="19" t="n">
        <v>0.12</v>
      </c>
      <c r="F40" s="23" t="inlineStr">
        <is>
          <t>% of AUM/yr</t>
        </is>
      </c>
      <c r="G40" s="9" t="inlineStr">
        <is>
          <t>LOWERED 2026-08-21 from 0.08, client instruction - AND THIS ONE MOVES TOWARDS THE EVIDENCE, not away from it. PAXG turnover of 5.9% is the only comparator that exists, and 8% sat above it for no stated reason; 6% sits essentially on it. A DIFFERENT EVENT from gold moving out of Aurumix's control, and a separate line: this is metal actually sold and tokens burned. VARA forbids charging any fee on it. ASSUMPTION, now aligned to the single available comparator.</t>
        </is>
      </c>
    </row>
    <row r="41">
      <c r="A41" t="inlineStr">
        <is>
          <t>Holder redemption multiplier</t>
        </is>
      </c>
      <c r="B41" s="43">
        <f>CHOOSE($C$6,C41,D41,E41)</f>
        <v/>
      </c>
      <c r="C41" s="15" t="n">
        <v>1.6</v>
      </c>
      <c r="D41" s="15" t="n">
        <v>1.3</v>
      </c>
      <c r="E41" s="15" t="n">
        <v>2.8</v>
      </c>
      <c r="F41" s="23" t="inlineStr">
        <is>
          <t>x the paying rate</t>
        </is>
      </c>
      <c r="G41" s="9" t="inlineStr">
        <is>
          <t>LOWERED 2026-08-21 from 2.2, client instruction. THIS IS THE WEAKEST OF THE THREE DECAY CHANGES. The LOGIC behind a multiplier above 1.0 is untouched and still holds: customers who stopped paying redeem faster, because they have no accruing benefit left to protect. Lowering it to 1.6 weakens that argument without new evidence for the smaller number - it says lapsed customers are stickier than previously assumed, which is the convenient direction. Because holders become the majority of the book by Y4, this remains the DOMINANT AUM DECAY TERM from roughly Y4, so the change is not cosmetic. ASSUMPTION, and the first one to revisit if AUM is challenged.</t>
        </is>
      </c>
    </row>
    <row r="42">
      <c r="A42" t="inlineStr">
        <is>
          <t>Spot attach scenario multiplier</t>
        </is>
      </c>
      <c r="B42" s="43">
        <f>CHOOSE($C$6,C42,D42,E42)</f>
        <v/>
      </c>
      <c r="C42" s="15" t="n">
        <v>1</v>
      </c>
      <c r="D42" s="15" t="n">
        <v>1.7</v>
      </c>
      <c r="E42" s="15" t="n">
        <v>0.5</v>
      </c>
      <c r="F42" s="23" t="inlineStr">
        <is>
          <t>x the regional attach</t>
        </is>
      </c>
      <c r="G42" s="9" t="inlineStr">
        <is>
          <t>REGIONALISED 2026-08-21. The attach LEVEL now sits per region on Assumptions (UAE 12%, Oman &amp; Bahrain 10%, India 25%); this dial carries only the uncertainty around it, preserving the old 14/24/7 spread (1.00 / 1.70 / 0.50). ONE DIAL, NOT THREE TRIPLETS - nine numbers to defend, and a scenario could otherwise silently invert the regional ordering that affordability establishes. See the regional rows on Assumptions for the reasoning. ASSUMPTION about spread.</t>
        </is>
      </c>
    </row>
    <row r="43">
      <c r="A43" t="inlineStr">
        <is>
          <t>Spot ticket scenario multiplier</t>
        </is>
      </c>
      <c r="B43" s="43">
        <f>CHOOSE($C$6,C43,D43,E43)</f>
        <v/>
      </c>
      <c r="C43" s="15" t="n">
        <v>1</v>
      </c>
      <c r="D43" s="15" t="n">
        <v>1.35</v>
      </c>
      <c r="E43" s="15" t="n">
        <v>0.7</v>
      </c>
      <c r="F43" s="23" t="inlineStr">
        <is>
          <t>x the observed ticket</t>
        </is>
      </c>
      <c r="G43" s="9" t="inlineStr">
        <is>
          <t>REPLACED the global 'Average spot ticket' on 2026-08-21. The LEVEL is no longer a scenario input: each region now carries its own OBSERVED ticket on Assumptions (UAE 190 from Botim, India 40 from Augmont, Oman &amp; Bahrain 145 inferred). This parameter carries only the UNCERTAINTY around those observations, as a single dial. WHY ONE DIAL AND NOT THREE: three regional triplets would be nine numbers to defend and would let a scenario silently invert the regional ordering that the sources establish. One multiplier flexes the level and PRESERVES the ordering. Aggressive 1.35 puts the UAE at ~257, still under the AED 1,000 mark; conservative 0.70 puts it at ~133, below Botim's own sub-AED-500 majority. ASSUMPTION about spread, applied to observed levels.</t>
        </is>
      </c>
    </row>
    <row r="44">
      <c r="A44" t="inlineStr">
        <is>
          <t>Spot frequency</t>
        </is>
      </c>
      <c r="B44" s="43">
        <f>CHOOSE($C$6,C44,D44,E44)</f>
        <v/>
      </c>
      <c r="C44" s="15" t="n">
        <v>1.7</v>
      </c>
      <c r="D44" s="15" t="n">
        <v>2.4</v>
      </c>
      <c r="E44" s="15" t="n">
        <v>1.2</v>
      </c>
      <c r="F44" s="23" t="inlineStr">
        <is>
          <t>events/attacher/yr</t>
        </is>
      </c>
      <c r="G44" s="9" t="inlineStr">
        <is>
          <t>PROVENANCE CORRECTED 2026-08-21 - THE NUMBER STANDS, ITS OLD CITATION DID NOT. The previous note read 'Botim's 128,000 trades against ~45,000 buyers implies ~1.9/yr'. THE 45,000 IS NOT A BUYER COUNT, IT IS A TRANSACTION COUNT: Khaleej Times, Nov 2025, says 775,000 users EXPLORED the feature, 'completing over 45,000 transactions'. The 128,000 is also transactions, to Feb 2026. So the old derivation divided transactions by transactions across two different windows - the result was the growth in cumulative trades, not a frequency. CONFIRMED NEGATIVE: Botim has never published a unique-buyer count, so no frequency can be derived from it, and no published frequency exists ANYWHERE for ad-hoc lump gold purchases. Comparators are 0.85/yr (Augmont, per REGISTERED user, at an average transaction of Rs 331 - micro-saving, not lumps) and 264/yr (Jar, Rs 10/day auto-roundups) - a 300x spread, neither being this product. WHAT DOES SUPPORT 1.7 is a cross-check on the COMBINED basis, attach x frequency x ticket, which is comparable: Aurumix India implies ~Rs 838/yr of gold per paying customer against Augmont's ~Rs 281/yr per registered user. 3x, and defensible - our customers are engaged SIP savers, not dormant registrations. Behaviourally 1.7 is also about right for festive lumps: Dhanteras, Akshaya Tritiya and a wedding is roughly two events. ASSUMPTION, cross-checked on the combined basis, NOT directly sourced.</t>
        </is>
      </c>
    </row>
    <row r="46" ht="18" customHeight="1">
      <c r="A46" s="12" t="inlineStr">
        <is>
          <t>GROUP D: CARD</t>
        </is>
      </c>
      <c r="B46" s="13" t="n"/>
      <c r="C46" s="13" t="n"/>
      <c r="D46" s="13" t="n"/>
      <c r="E46" s="13" t="n"/>
    </row>
    <row r="47">
      <c r="A47" s="14" t="inlineStr">
        <is>
          <t>Parameter</t>
        </is>
      </c>
      <c r="B47" s="14" t="inlineStr">
        <is>
          <t>Active Value</t>
        </is>
      </c>
      <c r="C47" s="14" t="inlineStr">
        <is>
          <t>Base</t>
        </is>
      </c>
      <c r="D47" s="14" t="inlineStr">
        <is>
          <t>Aggressive</t>
        </is>
      </c>
      <c r="E47" s="14" t="inlineStr">
        <is>
          <t>Conservative</t>
        </is>
      </c>
      <c r="F47" s="14" t="inlineStr">
        <is>
          <t>Unit</t>
        </is>
      </c>
    </row>
    <row r="48">
      <c r="A48" t="inlineStr">
        <is>
          <t>Programme manager share of interchange</t>
        </is>
      </c>
      <c r="B48" s="42">
        <f>CHOOSE($C$6,C48,D48,E48)</f>
        <v/>
      </c>
      <c r="C48" s="19" t="n">
        <v>0.6</v>
      </c>
      <c r="D48" s="19" t="n">
        <v>0.36</v>
      </c>
      <c r="E48" s="19" t="n">
        <v>0.85</v>
      </c>
      <c r="F48" s="23" t="inlineStr">
        <is>
          <t>%</t>
        </is>
      </c>
      <c r="G48" s="9" t="inlineStr">
        <is>
          <t>LOWERED 2026-08-21 from 0.72, client instruction - AURUMIX NOW KEEPS 40% RATHER THAN 28%. 0.60 sits comfortably inside the 36-85% observed range and is roughly its midpoint, so the base case moves from the pessimistic end to a neutral one. It assumes a NEGOTIATED deal rather than a take-it-or-leave-it one, which is reasonable for a programme with a gold-collateral proposition the manager cannot source elsewhere - but it IS an assumption about a contract that does not exist yet, and the only honest way to hold it is to treat 40% as a target to negotiate to, not a rate already won. BANDS CORRECTED earlier the same day - THEY WERE INVERTED. Aggressive was 0.85 and conservative 0.55, meaning the OPTIMISTIC scenario handed MORE of the interchange to the programme manager and cut Aurumix's share from 28% to 15%. Every other cost-like parameter in this model improves under Aggressive - redemption, CAC, self-custody, the holder multiplier - and this one moved the other way. Flipping the scenario made interchange fall 46% in the good case and rise 61% in the bad one. Aggressive is now 0.36, THE DOCUMENTED FLOOR, which is the best deal observed anywhere and the right walk-away to take into a sponsor conversation - at that level Aurumix keeps 64% rather than 28%, and interchange more than doubles. Conservative is 0.85. WHY AURUMIX ONLY GETS A SLICE AT ALL: it is not a bank and cannot issue cards, so a programme manager holds the BIN, the scheme membership, settlement and dispute handling, and takes the majority for it. That much is normal. 72% is near the BAD END of the 36-85% range, so the base case is deliberately unfavourable - THIS IS A COMMERCIAL NEGOTIATION, NOT A MODELLING ASSUMPTION, and it is one of the few places where a better contract directly doubles a revenue line. No UAE/MENA figure is published. TRIANGULATED.</t>
        </is>
      </c>
    </row>
    <row r="49">
      <c r="A49" t="inlineStr">
        <is>
          <t>Facility take-up - customers who take AND use the card</t>
        </is>
      </c>
      <c r="B49" s="42">
        <f>CHOOSE($C$6,C49,D49,E49)</f>
        <v/>
      </c>
      <c r="C49" s="19" t="n">
        <v>0.18</v>
      </c>
      <c r="D49" s="19" t="n">
        <v>0.3</v>
      </c>
      <c r="E49" s="19" t="n">
        <v>0.08</v>
      </c>
      <c r="F49" s="23" t="inlineStr">
        <is>
          <t>% of card-eligible base</t>
        </is>
      </c>
      <c r="G49" s="9" t="inlineStr">
        <is>
          <t>RE-BASED AGAIN 2026-08-26 (CG decision): the denominator changed from GATE-CLEARED customers to the WHOLE CARD-ELIGIBLE BASE, because access is no longer gated. The RATE holds at 18% on client instruction, and that decision deserves to be stated plainly rather than buried. 18% WAS CALIBRATED ON A PRE-SELECTED POPULATION. It is Indian gold-loan penetration - under 10% at a point in time - uplifted BECAUSE the customers it applied to had already proven six consecutive payments. Removing the gate removes that pre-selection but keeps the uplift, so the rate is now applied to a materially less committed population than the one it was derived from. The arithmetic is unambiguous: the base widens 1.82x and the conversion rate does not fall, so the card population rises 1.82x on this change alone. IF CARD REVENUE IS CHALLENGED, THIS IS THE FIRST CELL TO LOOK AT - the defensible alternative is ~10%, the unadjusted benchmark. AGAINST THAT: open access plus ICS discounts is a genuinely different proposition from a gated facility, and there is no benchmark at all for an open gold-collateralised card, so 18% is not refutable either. It is a judgement, and it should be presented as one. CLIENT DECISION on the level; DERIVED on the benchmark beneath it. CARRIED FORWARD FROM 2026-08-20, and still true: THE CARD IS A DRAWDOWN ON THE GOLD-COLLATERALISED FACILITY, not a salary-repaid revolving card. Aurumix has no balance sheet to lend from - it can only extend credit against collateral it holds, which is the customer's gold. Using the card IS borrowing, so card activation and credit take-up are the SAME behaviour; they were once modelled as two different populations (50% activating a card, 18% taking credit) doing what is in fact one thing. THE OLD 50% CAME FROM NEOBANK COMPARABLES (PULSE 68.2%, Monzo 68%) WHERE THE CARD IS THE PRODUCT - wrong in kind for a card that only lets you borrow against your own savings, and worth remembering now that access is open, because an open card invites exactly that comparison again.</t>
        </is>
      </c>
    </row>
    <row r="50">
      <c r="A50" t="inlineStr">
        <is>
          <t>Transactions per drawdown event</t>
        </is>
      </c>
      <c r="B50" s="31">
        <f>CHOOSE($C$6,C50,D50,E50)</f>
        <v/>
      </c>
      <c r="C50" s="17" t="n">
        <v>4</v>
      </c>
      <c r="D50" s="17" t="n">
        <v>6</v>
      </c>
      <c r="E50" s="17" t="n">
        <v>2</v>
      </c>
      <c r="F50" s="23" t="inlineStr">
        <is>
          <t>transactions/draw</t>
        </is>
      </c>
      <c r="G50" s="9" t="inlineStr">
        <is>
          <t>RE-BASED 2026-08-20 from 12 transactions/MONTH once the card became a drawdown on the gold facility. Under that model the customer borrows a lump (limit x drawn share) a couple of times a year and spends it down, so the meaningful unit is transactions PER DRAW, not per month. At 12/month the implied ticket collapsed to ~AED 12, which is a coffee, not a reason to pledge your gold. THE AVERAGE TICKET FALLS OUT AS drawn amount / this number, and the draw events cancel - so the ticket depends only on how large a draw is and how many purchases it is spent across. IT ALSO CHANGES WHAT THE CARD IS FOR: not daily groceries, but occasional larger needs - school fees, a medical bill, an emergency - funded by borrowing against savings rather than liquidating them. That is a materially different product story and should be put to the client in those words. ASSUMPTION.</t>
        </is>
      </c>
    </row>
    <row r="51">
      <c r="A51" t="inlineStr">
        <is>
          <t>Foreign spend share (mean)</t>
        </is>
      </c>
      <c r="B51" s="42">
        <f>CHOOSE($C$6,C51,D51,E51)</f>
        <v/>
      </c>
      <c r="C51" s="19" t="n">
        <v>0.34</v>
      </c>
      <c r="D51" s="19" t="n">
        <v>0.45</v>
      </c>
      <c r="E51" s="19" t="n">
        <v>0.24</v>
      </c>
      <c r="F51" s="23" t="inlineStr">
        <is>
          <t>% of card spend</t>
        </is>
      </c>
      <c r="G51" s="9" t="inlineStr">
        <is>
          <t>Applied through the seasonal vector, not as a constant. ASSUMPTION.</t>
        </is>
      </c>
    </row>
    <row r="52">
      <c r="A52" t="inlineStr">
        <is>
          <t>Card REISSUE rate (excludes first issue)</t>
        </is>
      </c>
      <c r="B52" s="43">
        <f>CHOOSE($C$6,C52,D52,E52)</f>
        <v/>
      </c>
      <c r="C52" s="15" t="n">
        <v>0.06</v>
      </c>
      <c r="D52" s="15" t="n">
        <v>0.04</v>
      </c>
      <c r="E52" s="15" t="n">
        <v>0.1</v>
      </c>
      <c r="F52" s="23" t="inlineStr">
        <is>
          <t>reissues/card/yr</t>
        </is>
      </c>
      <c r="G52" s="9" t="inlineStr">
        <is>
          <t>CORRECTED 2026-08-26, and this replaces 'Card issuance events' at 1.06/card/yr. THE OLD ROW WAS A REAL DEFECT, not a re-cut. 1.06 events per card per YEAR was applied to the STOCK of active cards, which charged the AED 75 issuance fee to every existing cardholder every single year - an ANNUAL FEE, not an issuance fee, and the row's own note said so: '1.00 at activation plus reissues'. The 1.00 belongs to the year a card is ACTIVATED and must be charged on NEW cards; only the 0.06 residual is a recurring per-card event. WHAT IT WAS WORTH. At Y7 it charged ~33,980 issuance events against ~9,100 real ones, roughly 3.7x too many, or ~USD 507,000 - about 11% of total revenue. It predates the 2026-08-26 access change, but that change multiplied the card stock by 1.82x and so multiplied the error with it, taking issuance from ~6% of revenue to ~15% before this fix. IT WAS THE LARGEST SINGLE ERROR IN THE MODEL. 0.06 is what remains once first issue is removed: a tier upgrade forces a physical reissue, and under the ICS design tier changes are the main trigger. ASSUMPTION. STILL NOT IMPLEMENTED, and it belongs to the discount build: the fee input's own note says issuance is 'waived at upper tiers'. Nothing waives it. Under the new design that waiver is exactly the kind of ICS benefit being priced tomorrow, so wire it there rather than here.</t>
        </is>
      </c>
    </row>
    <row r="53">
      <c r="A53" t="inlineStr">
        <is>
          <t>Card replacement events</t>
        </is>
      </c>
      <c r="B53" s="43">
        <f>CHOOSE($C$6,C53,D53,E53)</f>
        <v/>
      </c>
      <c r="C53" s="15" t="n">
        <v>0.11</v>
      </c>
      <c r="D53" s="15" t="n">
        <v>0.07000000000000001</v>
      </c>
      <c r="E53" s="15" t="n">
        <v>0.18</v>
      </c>
      <c r="F53" s="23" t="inlineStr">
        <is>
          <t>events/card/yr</t>
        </is>
      </c>
      <c r="G53" s="9" t="inlineStr">
        <is>
          <t>Industry-normal loss/theft/damage is 8-15% annually. ASSUMPTION.</t>
        </is>
      </c>
    </row>
    <row r="54">
      <c r="A54" t="inlineStr">
        <is>
          <t>ATM AED 0-500 - share of cardholders</t>
        </is>
      </c>
      <c r="B54" s="42">
        <f>CHOOSE($C$6,C54,D54,E54)</f>
        <v/>
      </c>
      <c r="C54" s="19" t="n">
        <v>0.6</v>
      </c>
      <c r="D54" s="19" t="n">
        <v>0.42</v>
      </c>
      <c r="E54" s="19" t="n">
        <v>0.74</v>
      </c>
      <c r="F54" s="23" t="inlineStr">
        <is>
          <t>%</t>
        </is>
      </c>
      <c r="G54" s="9"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55">
      <c r="A55" t="inlineStr">
        <is>
          <t>ATM AED 500-1,500 - share of cardholders</t>
        </is>
      </c>
      <c r="B55" s="42">
        <f>CHOOSE($C$6,C55,D55,E55)</f>
        <v/>
      </c>
      <c r="C55" s="19" t="n">
        <v>0.25</v>
      </c>
      <c r="D55" s="19" t="n">
        <v>0.3</v>
      </c>
      <c r="E55" s="19" t="n">
        <v>0.18</v>
      </c>
      <c r="F55" s="23" t="inlineStr">
        <is>
          <t>%</t>
        </is>
      </c>
      <c r="G55" s="9"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56">
      <c r="A56" t="inlineStr">
        <is>
          <t>ATM AED 1,500-3,000 - share of cardholders</t>
        </is>
      </c>
      <c r="B56" s="42">
        <f>CHOOSE($C$6,C56,D56,E56)</f>
        <v/>
      </c>
      <c r="C56" s="19" t="n">
        <v>0.12</v>
      </c>
      <c r="D56" s="19" t="n">
        <v>0.2</v>
      </c>
      <c r="E56" s="19" t="n">
        <v>0.06</v>
      </c>
      <c r="F56" s="23" t="inlineStr">
        <is>
          <t>%</t>
        </is>
      </c>
      <c r="G56" s="9"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57">
      <c r="A57" t="inlineStr">
        <is>
          <t>ATM AED 3,000+ - share of cardholders</t>
        </is>
      </c>
      <c r="B57" s="42">
        <f>CHOOSE($C$6,C57,D57,E57)</f>
        <v/>
      </c>
      <c r="C57" s="19" t="n">
        <v>0.03</v>
      </c>
      <c r="D57" s="19" t="n">
        <v>0.08</v>
      </c>
      <c r="E57" s="19" t="n">
        <v>0.02</v>
      </c>
      <c r="F57" s="23" t="inlineStr">
        <is>
          <t>%</t>
        </is>
      </c>
      <c r="G57" s="9" t="inlineStr">
        <is>
          <t>KEPT AS A DISTRIBUTION DELIBERATELY. The mean draw (~AED 940) sits just BELOW the free allowance of AED 1,000 BY DESIGN, so applying the fee to the mean returns EXACTLY ZERO and stream 4 silently loses a component. The distribution returns materially more, generated almost entirely by a small high-cash tail. ASSUMPTION.</t>
        </is>
      </c>
    </row>
    <row r="58">
      <c r="A58" t="inlineStr">
        <is>
          <t>ATM AED 0-500 - midpoint draw</t>
        </is>
      </c>
      <c r="B58" s="31">
        <f>CHOOSE($C$6,C58,D58,E58)</f>
        <v/>
      </c>
      <c r="C58" s="17" t="n">
        <v>250</v>
      </c>
      <c r="D58" s="17" t="n">
        <v>300</v>
      </c>
      <c r="E58" s="17" t="n">
        <v>200</v>
      </c>
      <c r="F58" s="23" t="inlineStr">
        <is>
          <t>AED/month</t>
        </is>
      </c>
      <c r="G58" s="9" t="inlineStr">
        <is>
          <t>Raising the allowance at the top tier waives revenue from only the top ~3% of cardholders.</t>
        </is>
      </c>
    </row>
    <row r="59">
      <c r="A59" t="inlineStr">
        <is>
          <t>ATM AED 500-1,500 - midpoint draw</t>
        </is>
      </c>
      <c r="B59" s="31">
        <f>CHOOSE($C$6,C59,D59,E59)</f>
        <v/>
      </c>
      <c r="C59" s="17" t="n">
        <v>1000</v>
      </c>
      <c r="D59" s="17" t="n">
        <v>1100</v>
      </c>
      <c r="E59" s="17" t="n">
        <v>900</v>
      </c>
      <c r="F59" s="23" t="inlineStr">
        <is>
          <t>AED/month</t>
        </is>
      </c>
      <c r="G59" s="9" t="inlineStr">
        <is>
          <t>Raising the allowance at the top tier waives revenue from only the top ~3% of cardholders.</t>
        </is>
      </c>
    </row>
    <row r="60">
      <c r="A60" t="inlineStr">
        <is>
          <t>ATM AED 1,500-3,000 - midpoint draw</t>
        </is>
      </c>
      <c r="B60" s="31">
        <f>CHOOSE($C$6,C60,D60,E60)</f>
        <v/>
      </c>
      <c r="C60" s="17" t="n">
        <v>2250</v>
      </c>
      <c r="D60" s="17" t="n">
        <v>2400</v>
      </c>
      <c r="E60" s="17" t="n">
        <v>2100</v>
      </c>
      <c r="F60" s="23" t="inlineStr">
        <is>
          <t>AED/month</t>
        </is>
      </c>
      <c r="G60" s="9" t="inlineStr">
        <is>
          <t>Raising the allowance at the top tier waives revenue from only the top ~3% of cardholders.</t>
        </is>
      </c>
    </row>
    <row r="61">
      <c r="A61" t="inlineStr">
        <is>
          <t>ATM AED 3,000+ - midpoint draw</t>
        </is>
      </c>
      <c r="B61" s="31">
        <f>CHOOSE($C$6,C61,D61,E61)</f>
        <v/>
      </c>
      <c r="C61" s="17" t="n">
        <v>4000</v>
      </c>
      <c r="D61" s="17" t="n">
        <v>4500</v>
      </c>
      <c r="E61" s="17" t="n">
        <v>3600</v>
      </c>
      <c r="F61" s="23" t="inlineStr">
        <is>
          <t>AED/month</t>
        </is>
      </c>
      <c r="G61" s="9" t="inlineStr">
        <is>
          <t>Raising the allowance at the top tier waives revenue from only the top ~3% of cardholders.</t>
        </is>
      </c>
    </row>
    <row r="63" ht="18" customHeight="1">
      <c r="A63" s="12" t="inlineStr">
        <is>
          <t>GROUP E: CREDIT, B2B AND FAMILY</t>
        </is>
      </c>
      <c r="B63" s="13" t="n"/>
      <c r="C63" s="13" t="n"/>
      <c r="D63" s="13" t="n"/>
      <c r="E63" s="13" t="n"/>
    </row>
    <row r="64">
      <c r="A64" s="14" t="inlineStr">
        <is>
          <t>Parameter</t>
        </is>
      </c>
      <c r="B64" s="14" t="inlineStr">
        <is>
          <t>Active Value</t>
        </is>
      </c>
      <c r="C64" s="14" t="inlineStr">
        <is>
          <t>Base</t>
        </is>
      </c>
      <c r="D64" s="14" t="inlineStr">
        <is>
          <t>Aggressive</t>
        </is>
      </c>
      <c r="E64" s="14" t="inlineStr">
        <is>
          <t>Conservative</t>
        </is>
      </c>
      <c r="F64" s="14" t="inlineStr">
        <is>
          <t>Unit</t>
        </is>
      </c>
    </row>
    <row r="65">
      <c r="A65" t="inlineStr">
        <is>
          <t>Drawn as % of permitted limit</t>
        </is>
      </c>
      <c r="B65" s="42">
        <f>CHOOSE($C$6,C65,D65,E65)</f>
        <v/>
      </c>
      <c r="C65" s="19" t="n">
        <v>0.5</v>
      </c>
      <c r="D65" s="19" t="n">
        <v>0.7</v>
      </c>
      <c r="E65" s="19" t="n">
        <v>0.3</v>
      </c>
      <c r="F65" s="23" t="inlineStr">
        <is>
          <t>%</t>
        </is>
      </c>
      <c r="G65" s="9" t="inlineStr">
        <is>
          <t>Revolving facilities draw 40-55% of permitted. This now drives CARD SPEND as well as the loan balance, because the card is the drawdown mechanism. TRIANGULATED.</t>
        </is>
      </c>
    </row>
    <row r="66">
      <c r="A66" t="inlineStr">
        <is>
          <t>Facility turnover, peak -&gt; average</t>
        </is>
      </c>
      <c r="B66" s="43">
        <f>CHOOSE($C$6,C66,D66,E66)</f>
        <v/>
      </c>
      <c r="C66" s="15" t="n">
        <v>0.42</v>
      </c>
      <c r="D66" s="15" t="n">
        <v>0.55</v>
      </c>
      <c r="E66" s="15" t="n">
        <v>0.3</v>
      </c>
      <c r="F66" s="23" t="inlineStr">
        <is>
          <t>x peak drawn</t>
        </is>
      </c>
      <c r="G66" s="9" t="inlineStr">
        <is>
          <t>AN ARITHMETIC CORRECTION, not a sensitivity, derived from Manappuram's 71-day realised tenor. It cuts the lending stream by 1.88x. DERIVED.</t>
        </is>
      </c>
    </row>
    <row r="67">
      <c r="A67" t="inlineStr">
        <is>
          <t>Draw events per borrower per year</t>
        </is>
      </c>
      <c r="B67" s="43">
        <f>CHOOSE($C$6,C67,D67,E67)</f>
        <v/>
      </c>
      <c r="C67" s="15" t="n">
        <v>2.1</v>
      </c>
      <c r="D67" s="15" t="n">
        <v>3.2</v>
      </c>
      <c r="E67" s="15" t="n">
        <v>1.3</v>
      </c>
      <c r="F67" s="23" t="inlineStr">
        <is>
          <t>events/yr</t>
        </is>
      </c>
      <c r="G67" s="9" t="inlineStr">
        <is>
          <t>MOVES WITH facility turnover - do not flex independently. DERIVED.</t>
        </is>
      </c>
    </row>
    <row r="68">
      <c r="A68" t="inlineStr">
        <is>
          <t>Family plan attach rate</t>
        </is>
      </c>
      <c r="B68" s="42">
        <f>CHOOSE($C$6,C68,D68,E68)</f>
        <v/>
      </c>
      <c r="C68" s="19" t="n">
        <v>0.15</v>
      </c>
      <c r="D68" s="19" t="n">
        <v>0.25</v>
      </c>
      <c r="E68" s="19" t="n">
        <v>0.08</v>
      </c>
      <c r="F68" s="23" t="inlineStr">
        <is>
          <t>% of NEW customers</t>
        </is>
      </c>
      <c r="G68" s="9" t="inlineStr">
        <is>
          <t>SET AT 0.15 on 2026-08-21, client instruction - the same day it came DOWN from 0.20 to 0.08, so it has landed close to where it started. What has genuinely changed is not the number but the STRUCTURE. THE UNIT ALSO CHANGED, AND THAT MATTERS: it is now the share of NEW customers who take the plan when they join, feeding a SUBSCRIBER BALANCE that then churns - not a standing share of the whole book that could never fall. The steady-state share of paying customers holding a plan therefore lands BELOW this number. NOTHING IS STATED ANYWHERE IN THE CORPUS and no attach benchmark exists for this kind of add-on; 20% is at the top of the normal range for an OPTIONAL PAID extra on a savings product, which is low single digits to low teens. IT IS NOT EQUIVALENT TO THE OLD 20% AND SHOULD NOT BE READ AS A PARTIAL REVERSAL: 20% was a permanent share of the whole book that could never decay, while 15% applies once, on joining, to a balance that then churns at ~7.1% a month. The standing share of paying customers holding a plan settles near 10.5%, not 15%. NOTHING IS STATED ANYWHERE IN THE CORPUS and no attach benchmark exists for this kind of add-on. ASSUMPTION.</t>
        </is>
      </c>
    </row>
    <row r="69">
      <c r="A69" t="inlineStr">
        <is>
          <t>Family plan cancellation rate (incremental)</t>
        </is>
      </c>
      <c r="B69" s="42">
        <f>CHOOSE($C$6,C69,D69,E69)</f>
        <v/>
      </c>
      <c r="C69" s="19" t="n">
        <v>0.25</v>
      </c>
      <c r="D69" s="19" t="n">
        <v>0.15</v>
      </c>
      <c r="E69" s="19" t="n">
        <v>0.4</v>
      </c>
      <c r="F69" s="23" t="inlineStr">
        <is>
          <t>%/yr</t>
        </is>
      </c>
      <c r="G69" s="9" t="inlineStr">
        <is>
          <t>ADDED 2026-08-21. INCREMENTAL IS THE KEY WORD: this is cancellation by customers who STAY WITH AURUMIX. Subscribers already disappear when they stop paying their SIP, and that was the only churn stream 3 had - which implicitly assumed nobody ever cancels the plan while remaining a customer. NO PRODUCT-SPECIFIC DATA EXISTS - not for digital will memberships, not for finance-app family plans; Trust &amp; Will, Farewill and Epilogue publish none. The only benchmark is generic mobile subscription apps: above 10%/month poor, 6-10%/month average, under 6%/month good. 25%/yr is ~2.4%/month, INSIDE the 'good' band, which is the right place for an add-on bundled into an ongoing savings relationship rather than a standalone app fighting for attention every month. ASSUMPTION on a generic benchmark.</t>
        </is>
      </c>
    </row>
    <row r="70">
      <c r="A70" t="inlineStr">
        <is>
          <t>Beneficiaries named per plan</t>
        </is>
      </c>
      <c r="B70" s="43">
        <f>CHOOSE($C$6,C70,D70,E70)</f>
        <v/>
      </c>
      <c r="C70" s="15" t="n">
        <v>2.5</v>
      </c>
      <c r="D70" s="15" t="n">
        <v>3.5</v>
      </c>
      <c r="E70" s="15" t="n">
        <v>1.6</v>
      </c>
      <c r="F70" s="23" t="inlineStr">
        <is>
          <t>beneficiaries</t>
        </is>
      </c>
      <c r="G70" s="9" t="inlineStr">
        <is>
          <t>ADDED 2026-08-21. THE FIRST IS INCLUDED IN THE PLAN PRICE, so only the excess over 1.0 is charged - at 2.5 that is 1.5 chargeable. No platform publishes beneficiaries-per-will. What anchors it is who these customers are: South Asian migrant workers who remit ~80% of income to families at home, typically supporting a spouse, children and parents. Household sizes in the source countries run ~4.4 in India, ~4.5 in Bangladesh and ~6.8 in Pakistan, so naming 2-3 beneficiaries is conservative against the family they actually support. NOT THE SAME AS HOUSEHOLD SIZE - a beneficiary is a named, identity-verified person on a legal instrument, and people name fewer than they support. ASSUMPTION anchored on demographics.</t>
        </is>
      </c>
    </row>
    <row r="71">
      <c r="A71" t="inlineStr">
        <is>
          <t>Family plan monthly churn, combined (derived)</t>
        </is>
      </c>
      <c r="B71" s="41">
        <f>1-(1-'Scenario Parameters'!$B$16)*(1-'Scenario Parameters'!$B$69)^(1/12)</f>
        <v/>
      </c>
      <c r="F71" s="23" t="inlineStr">
        <is>
          <t>%/month</t>
        </is>
      </c>
      <c r="G71" s="9" t="inlineStr">
        <is>
          <t>TWO WAYS TO LOSE A SUBSCRIBER, COMBINED MULTIPLICATIVELY, NOT ADDED: they leave Aurumix entirely (the SIP churn on the left) or they stay and cancel the plan (the incremental rate on the right). Adding the two would double-count the overlap - a customer cannot both leave and separately cancel. DERIVED.</t>
        </is>
      </c>
    </row>
    <row r="72">
      <c r="A72" t="inlineStr">
        <is>
          <t>B2B partners - Y1</t>
        </is>
      </c>
      <c r="B72" s="31">
        <f>CHOOSE($C$6,C72,D72,E72)</f>
        <v/>
      </c>
      <c r="C72" s="17" t="n">
        <v>0</v>
      </c>
      <c r="D72" s="17" t="n">
        <v>0</v>
      </c>
      <c r="E72" s="17" t="n">
        <v>0</v>
      </c>
      <c r="F72" s="23" t="inlineStr">
        <is>
          <t>partners</t>
        </is>
      </c>
      <c r="G72"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3">
      <c r="A73" t="inlineStr">
        <is>
          <t>B2B partners - Y2</t>
        </is>
      </c>
      <c r="B73" s="31">
        <f>CHOOSE($C$6,C73,D73,E73)</f>
        <v/>
      </c>
      <c r="C73" s="17" t="n">
        <v>1</v>
      </c>
      <c r="D73" s="17" t="n">
        <v>2</v>
      </c>
      <c r="E73" s="17" t="n">
        <v>1</v>
      </c>
      <c r="F73" s="23" t="inlineStr">
        <is>
          <t>partners</t>
        </is>
      </c>
      <c r="G73"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4">
      <c r="A74" t="inlineStr">
        <is>
          <t>B2B partners - Y3</t>
        </is>
      </c>
      <c r="B74" s="31">
        <f>CHOOSE($C$6,C74,D74,E74)</f>
        <v/>
      </c>
      <c r="C74" s="17" t="n">
        <v>3</v>
      </c>
      <c r="D74" s="17" t="n">
        <v>5</v>
      </c>
      <c r="E74" s="17" t="n">
        <v>1</v>
      </c>
      <c r="F74" s="23" t="inlineStr">
        <is>
          <t>partners</t>
        </is>
      </c>
      <c r="G74"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5">
      <c r="A75" t="inlineStr">
        <is>
          <t>B2B partners - Y4</t>
        </is>
      </c>
      <c r="B75" s="31">
        <f>CHOOSE($C$6,C75,D75,E75)</f>
        <v/>
      </c>
      <c r="C75" s="17" t="n">
        <v>5</v>
      </c>
      <c r="D75" s="17" t="n">
        <v>8</v>
      </c>
      <c r="E75" s="17" t="n">
        <v>2</v>
      </c>
      <c r="F75" s="23" t="inlineStr">
        <is>
          <t>partners</t>
        </is>
      </c>
      <c r="G75"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6">
      <c r="A76" t="inlineStr">
        <is>
          <t>B2B partners - Y5</t>
        </is>
      </c>
      <c r="B76" s="31">
        <f>CHOOSE($C$6,C76,D76,E76)</f>
        <v/>
      </c>
      <c r="C76" s="17" t="n">
        <v>7</v>
      </c>
      <c r="D76" s="17" t="n">
        <v>11</v>
      </c>
      <c r="E76" s="17" t="n">
        <v>3</v>
      </c>
      <c r="F76" s="23" t="inlineStr">
        <is>
          <t>partners</t>
        </is>
      </c>
      <c r="G76"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7">
      <c r="A77" t="inlineStr">
        <is>
          <t>B2B partners - Y6</t>
        </is>
      </c>
      <c r="B77" s="31">
        <f>CHOOSE($C$6,C77,D77,E77)</f>
        <v/>
      </c>
      <c r="C77" s="17" t="n">
        <v>9</v>
      </c>
      <c r="D77" s="17" t="n">
        <v>14</v>
      </c>
      <c r="E77" s="17" t="n">
        <v>4</v>
      </c>
      <c r="F77" s="23" t="inlineStr">
        <is>
          <t>partners</t>
        </is>
      </c>
      <c r="G77"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8">
      <c r="A78" t="inlineStr">
        <is>
          <t>B2B partners - Y7</t>
        </is>
      </c>
      <c r="B78" s="31">
        <f>CHOOSE($C$6,C78,D78,E78)</f>
        <v/>
      </c>
      <c r="C78" s="17" t="n">
        <v>11</v>
      </c>
      <c r="D78" s="17" t="n">
        <v>17</v>
      </c>
      <c r="E78" s="17" t="n">
        <v>5</v>
      </c>
      <c r="F78" s="23" t="inlineStr">
        <is>
          <t>partners</t>
        </is>
      </c>
      <c r="G78" s="9" t="inlineStr">
        <is>
          <t>RAISED 2026-08-21. Base now reaches 11 by Y7, against ~20 nameable Gulf candidates without a gold product - roughly a 55% win rate on the addressable partner market, which is aggressive but arguable for a category with one incumbent. Partner 1 signs in Y2, matching the M13 B2B go-live. THE CANDIDATE LIST IS THE JUSTIFICATION AND IT IS FINITE: e&amp; money, Payit, Careem Pay, Al Ansari, LuLu Money, Rise, NOW Money, Wio, Liv, Mashreq Neo, Klip, PayBy, Jingle Pay, Thawani, BenefitPay, CWallet, Amanat and a handful of banks and exchange houses. Going much above this count means claiming partners that have not been named. ASSUMPTION on a sourced candidate set.</t>
        </is>
      </c>
    </row>
    <row r="79">
      <c r="A79" t="inlineStr">
        <is>
          <t>B2B platform fee</t>
        </is>
      </c>
      <c r="B79" s="41">
        <f>CHOOSE($C$6,C79,D79,E79)</f>
        <v/>
      </c>
      <c r="C79" s="16" t="n">
        <v>0.0075</v>
      </c>
      <c r="D79" s="16" t="n">
        <v>0.008999999999999999</v>
      </c>
      <c r="E79" s="16" t="n">
        <v>0.005</v>
      </c>
      <c r="F79" s="23" t="inlineStr">
        <is>
          <t>% of partner AUM/yr</t>
        </is>
      </c>
      <c r="G79" s="9" t="inlineStr">
        <is>
          <t>RAISED 2026-08-21 from 0.625%, client instruction, and PROMOTED FROM A HARDCODED ASSUMPTION TO A SCENARIO PARAMETER at the same time - it drives the largest stream in the model and had no band at all, which is the wrong place to be certain. 0.75% IS THE TOP OF THE CITED 0.5-0.75% BAND, NOT THE MIDDLE OF IT. That has a consequence worth stating plainly: the aggressive case at 0.90% NOW SITS OUTSIDE THE EVIDENCE, because there is no headroom left inside the band. Conservative at 0.50% is the band's floor. So the downside is sourced and the upside is not - the reverse of how a scenario range should usually be built, and the direct result of putting the base at the ceiling. The fee is COUPLED TO THE PARTNER SET: a platform fee is what a partner will pay for gold infrastructure it does not have to build, and the more bargaining power the partner has the lower it goes. Indian precedent is the warning - the three incumbent providers work on a 3-6% SPREAD that compresses hard for large partners, so a partner the size of Botim would push back on 0.75% harder than a small wallet would. Raising the partner count and the fee together assumes neither effect bites. ASSUMPTION at the ceiling of a cited band.</t>
        </is>
      </c>
    </row>
    <row r="80">
      <c r="A80" t="inlineStr">
        <is>
          <t>Average partner user base</t>
        </is>
      </c>
      <c r="B80" s="31">
        <f>CHOOSE($C$6,C80,D80,E80)</f>
        <v/>
      </c>
      <c r="C80" s="17" t="n">
        <v>900000</v>
      </c>
      <c r="D80" s="17" t="n">
        <v>1400000</v>
      </c>
      <c r="E80" s="17" t="n">
        <v>500000</v>
      </c>
      <c r="F80" s="23" t="inlineStr">
        <is>
          <t>active users</t>
        </is>
      </c>
      <c r="G80" s="9" t="inlineStr">
        <is>
          <t>THE MIX, NOT THE BIGGEST. A realistic six-partner Gulf book is roughly one Botim-scale (1.7m ACTIVE fintech users, of 8.2-8.5m app users), two at e&amp; money scale (~1.5m subscribers), and three small wallets at a few hundred thousand - which averages near 900k. USE ACTIVE USERS, NOT REGISTERED: Botim's own numbers separate 8.5m app users, 3m KYC'd and 1.7m active fintech users, and adopting the headline would overstate this by 5x. CITED for the two largest, ASSUMPTION for the tail.</t>
        </is>
      </c>
    </row>
    <row r="81">
      <c r="A81" t="inlineStr">
        <is>
          <t>Partner users adopting gold (mature)</t>
        </is>
      </c>
      <c r="B81" s="42">
        <f>CHOOSE($C$6,C81,D81,E81)</f>
        <v/>
      </c>
      <c r="C81" s="19" t="n">
        <v>0.06</v>
      </c>
      <c r="D81" s="19" t="n">
        <v>0.1</v>
      </c>
      <c r="E81" s="19" t="n">
        <v>0.03</v>
      </c>
      <c r="F81" s="23" t="inlineStr">
        <is>
          <t>% of partner users</t>
        </is>
      </c>
      <c r="G81" s="9" t="inlineStr">
        <is>
          <t>OBSERVED ANCHOR: O Gold reports 75,000 ACTIVE users against Botim's 1.7m active fintech users - 4.4% - and 775,000 who merely explored the feature. Base is set at 6%, ABOVE the observed 4.4%, because that figure is roughly six months after the gold feature launched and adoption should mature; 6% is a 1.4x maturation, not a doubling. THE 4.4% IS THE ONLY OBSERVED GOLD-ADOPTION RATE FOR A GULF WALLET THAT EXISTS. TRIANGULATED.</t>
        </is>
      </c>
    </row>
    <row r="82">
      <c r="A82" t="inlineStr">
        <is>
          <t>AUM per adopting partner user</t>
        </is>
      </c>
      <c r="B82" s="44">
        <f>CHOOSE($C$6,C82,D82,E82)</f>
        <v/>
      </c>
      <c r="C82" s="20" t="n">
        <v>350</v>
      </c>
      <c r="D82" s="20" t="n">
        <v>500</v>
      </c>
      <c r="E82" s="20" t="n">
        <v>220</v>
      </c>
      <c r="F82" s="23" t="inlineStr">
        <is>
          <t>USD</t>
        </is>
      </c>
      <c r="G82" s="9" t="inlineStr">
        <is>
          <t>DERIVED FROM BOTIM'S OWN DISCLOSURES AND CROSS-CHECKED AGAINST OUR OWN BOOK - two independent routes to nearly the same number, which is why this is the firmest input in the B2B block. Botim: AED 100m+ of gold across 128,000 trades since Aug 2025, against 75,000 active O Gold users, implies ~USD 363 per active user. Aurumix's own direct book runs at ~USD 302 of gold per customer. A partner's users are buying the same product with the same wallets. DERIVED.</t>
        </is>
      </c>
    </row>
    <row r="83">
      <c r="A83" t="inlineStr">
        <is>
          <t>AUM per partner (derived)</t>
        </is>
      </c>
      <c r="B83" s="44">
        <f>'Scenario Parameters'!$B$80*'Scenario Parameters'!$B$81*'Scenario Parameters'!$B$82</f>
        <v/>
      </c>
      <c r="F83" s="23" t="inlineStr">
        <is>
          <t>USD</t>
        </is>
      </c>
      <c r="G83" s="9" t="inlineStr">
        <is>
          <t>NO LONGER A TYPED NUMBER. Was a flat USD 32m asserted as 'mature AUM per partner' with no derivation. Now users x adoption x AUM per adopting user, every term of which has an external anchor. THE POINT OF THE CHANGE: the only remaining argument is the PARTNER COUNT, which rests on a nameable candidate list and is the argument that can actually be won. DERIVED.</t>
        </is>
      </c>
    </row>
    <row r="85" ht="18" customHeight="1">
      <c r="A85" s="12" t="inlineStr">
        <is>
          <t>GROUP F: REGIONS</t>
        </is>
      </c>
      <c r="B85" s="13" t="n"/>
      <c r="C85" s="13" t="n"/>
      <c r="D85" s="13" t="n"/>
      <c r="E85" s="13" t="n"/>
    </row>
    <row r="86">
      <c r="A86" s="14" t="inlineStr">
        <is>
          <t>Parameter</t>
        </is>
      </c>
      <c r="B86" s="14" t="inlineStr">
        <is>
          <t>Active Value</t>
        </is>
      </c>
      <c r="C86" s="14" t="inlineStr">
        <is>
          <t>Base</t>
        </is>
      </c>
      <c r="D86" s="14" t="inlineStr">
        <is>
          <t>Aggressive</t>
        </is>
      </c>
      <c r="E86" s="14" t="inlineStr">
        <is>
          <t>Conservative</t>
        </is>
      </c>
      <c r="F86" s="14" t="inlineStr">
        <is>
          <t>Unit</t>
        </is>
      </c>
    </row>
    <row r="87">
      <c r="A87" t="inlineStr">
        <is>
          <t>Average monthly ticket - UAE</t>
        </is>
      </c>
      <c r="B87" s="44">
        <f>CHOOSE($C$6,C87,D87,E87)</f>
        <v/>
      </c>
      <c r="C87" s="20" t="n">
        <v>33.6</v>
      </c>
      <c r="D87" s="20" t="n">
        <v>41</v>
      </c>
      <c r="E87" s="20" t="n">
        <v>26.5</v>
      </c>
      <c r="F87" s="23" t="inlineStr">
        <is>
          <t>USD/month</t>
        </is>
      </c>
      <c r="G87" s="9"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88">
      <c r="A88" t="inlineStr">
        <is>
          <t>Average monthly ticket - Oman and Bahrain</t>
        </is>
      </c>
      <c r="B88" s="44">
        <f>CHOOSE($C$6,C88,D88,E88)</f>
        <v/>
      </c>
      <c r="C88" s="20" t="n">
        <v>26</v>
      </c>
      <c r="D88" s="20" t="n">
        <v>32</v>
      </c>
      <c r="E88" s="20" t="n">
        <v>21</v>
      </c>
      <c r="F88" s="23" t="inlineStr">
        <is>
          <t>USD/month</t>
        </is>
      </c>
      <c r="G88" s="9"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89">
      <c r="A89" t="inlineStr">
        <is>
          <t>Average monthly ticket - India</t>
        </is>
      </c>
      <c r="B89" s="44">
        <f>CHOOSE($C$6,C89,D89,E89)</f>
        <v/>
      </c>
      <c r="C89" s="20" t="n">
        <v>30</v>
      </c>
      <c r="D89" s="20" t="n">
        <v>36</v>
      </c>
      <c r="E89" s="20" t="n">
        <v>24</v>
      </c>
      <c r="F89" s="23" t="inlineStr">
        <is>
          <t>USD/month</t>
        </is>
      </c>
      <c r="G89" s="9" t="inlineStr">
        <is>
          <t>THE SIP AMOUNT - the recurring monthly gold contribution. SAVINGS-CAPACITY anchored, not remittance anchored, because remittance is a committed obligation rather than discretionary money; a recurring gold debit realistically captures 10-15% of monthly savings capacity. Anchors: Joyalukkas has PRICE-DISCOVERED AED 100 (USD 27) as the viable mass-market monthly instalment for this exact demographic, and Malabar sits at AED 200. The blend lands BELOW AMFI's USD 34 Indian retail SIP average (Rs 31,961 crore over 10.63 crore accounts, current at July 2026), which is the correct direction since AMFI reflects domestic urban investors with more discretionary income than a Gulf blue-collar book - it is an upper bound, not a proxy. UAE is the ceiling-weighted blend of the former Indian (USD 38) and other South Asian (USD 26) rows. Book-weighted average ~USD 31.45. TRIANGULATED.</t>
        </is>
      </c>
    </row>
    <row r="91" ht="18" customHeight="1">
      <c r="A91" s="12" t="inlineStr">
        <is>
          <t>STRUCTURAL SWITCHES - the two that move revenue</t>
        </is>
      </c>
      <c r="B91" s="13" t="n"/>
      <c r="C91" s="13" t="n"/>
      <c r="D91" s="13" t="n"/>
      <c r="E91" s="13" t="n"/>
    </row>
    <row r="92">
      <c r="A92" s="14" t="inlineStr">
        <is>
          <t>Switch</t>
        </is>
      </c>
      <c r="B92" s="14" t="inlineStr">
        <is>
          <t>Active (1/0)</t>
        </is>
      </c>
      <c r="C92" s="14" t="inlineStr">
        <is>
          <t>State</t>
        </is>
      </c>
      <c r="D92" s="14" t="inlineStr">
        <is>
          <t>ON value</t>
        </is>
      </c>
    </row>
    <row r="93" ht="18" customHeight="1">
      <c r="A93" s="12" t="inlineStr">
        <is>
          <t>GROUP G: THE COST BASE</t>
        </is>
      </c>
      <c r="B93" s="13" t="n"/>
      <c r="C93" s="13" t="n"/>
      <c r="D93" s="13" t="n"/>
      <c r="E93" s="13" t="n"/>
    </row>
    <row r="94">
      <c r="A94" s="14" t="inlineStr">
        <is>
          <t>Parameter</t>
        </is>
      </c>
      <c r="B94" s="14" t="inlineStr">
        <is>
          <t>Active Value</t>
        </is>
      </c>
      <c r="C94" s="14" t="inlineStr">
        <is>
          <t>Base</t>
        </is>
      </c>
      <c r="D94" s="14" t="inlineStr">
        <is>
          <t>Aggressive</t>
        </is>
      </c>
      <c r="E94" s="14" t="inlineStr">
        <is>
          <t>Conservative</t>
        </is>
      </c>
      <c r="F94" s="14" t="inlineStr">
        <is>
          <t>Unit</t>
        </is>
      </c>
    </row>
    <row r="95">
      <c r="A95" t="inlineStr">
        <is>
          <t>Vault storage fee</t>
        </is>
      </c>
      <c r="B95" s="45">
        <f>CHOOSE($C$6,C95,D95,E95)</f>
        <v/>
      </c>
      <c r="C95" s="46" t="n">
        <v>0.0012</v>
      </c>
      <c r="D95" s="46" t="n">
        <v>0.00026</v>
      </c>
      <c r="E95" s="46" t="n">
        <v>0.004</v>
      </c>
      <c r="F95" s="23" t="inlineStr">
        <is>
          <t>%/yr of metal held</t>
        </is>
      </c>
      <c r="G95" s="9" t="inlineStr">
        <is>
          <t>WHAT AURUMIX PAYS THE VAULT, not what it charges customers - decision 42 makes retail storage free. BASE 0.12% IS BULLIONVAULT'S PUBLISHED TARIFF, insurance included, minimum USD 4/month (bullionvault.com/help/tariff.html, retrieved 2026-08-26). Used as an UPPER BOUND on wholesale cost because it is a RETAIL price and therefore already carries BullionVault's own margin. AGGRESSIVE 0.026% is the DGCX Spot Gold vaulting tariff read literally - USD 0.10 per kilo per day at today's gold price. IT IS CARRIED ONLY AS THE OPTIMISTIC CASE AND SHOULD NOT BE THE BASE: that notice is dated 7 DECEMBER 2015, it is a DELIVERY-CYCLE tariff for taking metal off a futures contract (three free days per cycle) rather than a custody contract, and it is a FIXED DOLLAR-PER-KILO charge set when gold was about USD 34/g. The same physical rate was 0.107%/yr in 2015 and only reads as 0.026% now because the metal quadrupled. No vault reprices that slowly. CONSERVATIVE 0.40% is the low end of the range secondary sources quote for Dubai institutional storage. For reference the Royal Mint publishes 1% + VAT for bar storage. BENCHMARKED, NOT OBSERVED: no Dubai operator publishes an institutional custody tariff. Brink's runs the DGCX-approved Dubai vaults (Gold Souk, DAFZ, Almas Tower) and quotes privately. GET A QUOTE - it is the same conversation as naming the dealer.</t>
        </is>
      </c>
    </row>
    <row r="96">
      <c r="A96" t="inlineStr">
        <is>
          <t>Vault minimum charge</t>
        </is>
      </c>
      <c r="B96" s="43">
        <f>CHOOSE($C$6,C96,D96,E96)</f>
        <v/>
      </c>
      <c r="C96" s="15" t="n">
        <v>25</v>
      </c>
      <c r="D96" s="15" t="n">
        <v>5</v>
      </c>
      <c r="E96" s="15" t="n">
        <v>65</v>
      </c>
      <c r="F96" s="23" t="inlineStr">
        <is>
          <t>USD/day</t>
        </is>
      </c>
      <c r="G96" s="9" t="inlineStr">
        <is>
          <t>Professional vault contracts carry a minimum invoice, and it BITES WHILE THE BOOK IS SMALL - which is most of this horizon. BASE USD 25/day is the only MINIMUM published by any Dubai-approved vault operator (DGCX Spot Gold vaulting notice, 7 December 2015). AGGRESSIVE USD 5/day is nearer BullionVault's USD 4/MONTH. CONSERVATIVE USD 65/day is roughly USD 2,000/month, a plausible institutional floor. AT BASE THE MINIMUM BINDS UNTIL ABOUT YEAR 3, which is the point: early-year unit economics look worse than steady state because of minimum-commitment structures, and this is one of three in the cost base - the others are the KYC platform minimum and the card programme minimums. ASSUMPTION. Replace with the Brink's quote.</t>
        </is>
      </c>
    </row>
    <row r="97">
      <c r="A97" t="inlineStr">
        <is>
          <t>VARA annual supervision fee</t>
        </is>
      </c>
      <c r="B97" s="31">
        <f>CHOOSE($C$6,C97,D97,E97)</f>
        <v/>
      </c>
      <c r="C97" s="17" t="n">
        <v>400000</v>
      </c>
      <c r="D97" s="17" t="n">
        <v>200000</v>
      </c>
      <c r="E97" s="17" t="n">
        <v>600000</v>
      </c>
      <c r="F97" s="23" t="inlineStr">
        <is>
          <t>AED/yr</t>
        </is>
      </c>
      <c r="G97" s="9" t="inlineStr">
        <is>
          <t>VARA Schedule 2 - Supervision and Authorisation Fees, Virtual Assets and Related Activities Regulations 2023 (rulebooks.vara.ae, retrieved 2026-08-26). PUBLISHED AND EXACT: AED 200,000 per year for each of Category 1 VA Issuance, Broker-Dealer, Exchange and Custody; AED 80,000 for VA Transfer and Settlement. Payable IN ADVANCE of conducting the activity. VARA LICENSES ACTIVITIES, NOT THE TOKEN - you need each licence only if you actually perform that activity, so the ladder is a BUSINESS-MODEL question, not a risk band. BASE AED 400,000 = ISSUANCE + BROKER-DEALER. Issuance is mandatory for a gold-backed ARVA and is not negotiable. Broker-Dealer is added because Aurumix SELLS DIRECTLY TO RETAIL through its own app and agent network, and the definition catches 'soliciting or accepting orders for Virtual Assets and accepting fiat currency for such orders' - which is the SIP exactly. There is NO CARVE-OUT letting an issuer distribute its own token without it; the footnote checked on 2026-08-26 only requires issuers to comply with the Issuance Rulebook. AGGRESSIVE AED 200,000 = ISSUANCE ALONE, and it is a REAL STRATEGIC OPTION rather than optimism: mint and let a VARA-licensed broker-dealer handle distribution. Saves USD 54,459/yr of supervision and AED 600,000 of locked capital, at the cost of margin and control. CONSERVATIVE AED 600,000 adds CUSTODY, which bites only if Aurumix safekeeps client VAs - and only qualifies at all if each client's assets sit in SEPARATE WALLETS, so it turns on the wallet design. EXCHANGE IS DELIBERATELY EXCLUDED: no trading venue, no order matching. VA TRANSFER AND SETTLEMENT TOO: that definition targets moving CLIENTS' assets as a rail, not delivering your own issue to its buyer. VERIFIED AGAINST VARA'S PUBLIC REGISTER 2026-08-26, and the register settles it. Of 56 licensed VASPs, EXACTLY TWO hold Category 1 VA Issuance - Ctrl Alt Solutions DMCC and Tokinvest DMCC - and BOTH ALSO HOLD BROKER-DEALER SERVICES. Neither holds issuance alone. Issuance + Broker-Dealer is the only observed pattern in Dubai, which is why it is the Base. Both are tokenisation platforms rather than exchanges, so they are the closest comparators Aurumix has. THE SAMPLE IS TWO COMPANIES - it is the entire population of issuance licensees, not a survey, and it should be quoted as such. NEITHER HOLDS CUSTODY, and that is informative: on the register custody sits with specialists - Ceffu, BitGo, Hex Trust, Komainu, Bitpanda, Zand Bank - not with issuers. So Conservative is really the 'Aurumix builds its own custody instead of partnering' case, and it has no Dubai precedent. AGGRESSIVE HAS NO DUBAI PRECEDENT EITHER: no licensee holds issuance alone, so outsourcing distribution is a strategy nobody local has taken, not merely a cheaper option. Schedule 2 also lets VARA impose additional fees at its sole discretion.</t>
        </is>
      </c>
    </row>
    <row r="98">
      <c r="A98" t="inlineStr">
        <is>
          <t>VARA licence application fee (one-off)</t>
        </is>
      </c>
      <c r="B98" s="31">
        <f>CHOOSE($C$6,C98,D98,E98)</f>
        <v/>
      </c>
      <c r="C98" s="17" t="n">
        <v>150000</v>
      </c>
      <c r="D98" s="17" t="n">
        <v>100000</v>
      </c>
      <c r="E98" s="17" t="n">
        <v>200000</v>
      </c>
      <c r="F98" s="23" t="inlineStr">
        <is>
          <t>AED</t>
        </is>
      </c>
      <c r="G98" s="9" t="inlineStr">
        <is>
          <t>VARA Schedule 2, same source. AED 100,000 for one regulated VA Activity, payable at SUBMISSION - the application is not processed until it is received, so it is spent whether or not the licence is granted. Each additional activity adds a Licence Extension Fee of 50% OF THE LOWER application fee. Base 150,000 = Issuance 100,000 + 50% of Broker-Dealer's 100,000. Conservative 200,000 adds Custody at another 50,000. VARA PUBLISHES NO APPROVAL TIMELINE ANYWHERE - never give the client a date.</t>
        </is>
      </c>
    </row>
    <row r="99">
      <c r="A99" t="inlineStr">
        <is>
          <t>DMCC company licence</t>
        </is>
      </c>
      <c r="B99" s="31">
        <f>CHOOSE($C$6,C99,D99,E99)</f>
        <v/>
      </c>
      <c r="C99" s="17" t="n">
        <v>20265</v>
      </c>
      <c r="D99" s="17" t="n">
        <v>20265</v>
      </c>
      <c r="E99" s="17" t="n">
        <v>20265</v>
      </c>
      <c r="F99" s="23" t="inlineStr">
        <is>
          <t>AED/yr</t>
        </is>
      </c>
      <c r="G99" s="9" t="inlineStr">
        <is>
          <t>DMCC published Schedule of Charges (dmcc.ae, retrieved 2026-08-26): standard trading and service licence AED 20,265/yr. THE COST OF EXISTING AS A COMPANY, separate from and additional to the VARA licence, which is the cost of doing virtual asset business. You pay both. THE ESTABLISHMENT CARD (AED 1,825/yr) WAS REMOVED FROM THIS LINE ON 2026-08-26. It exists to sponsor residence visas, so its driver is headcount, not regulation - it belongs with visas and office, where a flexi-desk runs AED 16,000-19,000 and an employment residence permit about AED 2,972 each. DMCC states charges are subject to change without notice and publishes no effective date. NO SCENARIO VARIATION: it is a published tariff, not an estimate.</t>
        </is>
      </c>
    </row>
    <row r="100">
      <c r="A100" t="inlineStr">
        <is>
          <t>DMCC incorporation (one-off)</t>
        </is>
      </c>
      <c r="B100" s="31">
        <f>CHOOSE($C$6,C100,D100,E100)</f>
        <v/>
      </c>
      <c r="C100" s="17" t="n">
        <v>12035</v>
      </c>
      <c r="D100" s="17" t="n">
        <v>12035</v>
      </c>
      <c r="E100" s="17" t="n">
        <v>12035</v>
      </c>
      <c r="F100" s="23" t="inlineStr">
        <is>
          <t>AED</t>
        </is>
      </c>
      <c r="G100" s="9" t="inlineStr">
        <is>
          <t>DMCC published Schedule of Charges: application AED 1,015 + new company registration AED 9,000 + articles of association AED 2,020. One-off, Year 1.</t>
        </is>
      </c>
    </row>
    <row r="101">
      <c r="A101" t="inlineStr">
        <is>
          <t>KYC and AML - per verification</t>
        </is>
      </c>
      <c r="B101" s="47">
        <f>CHOOSE($C$6,C101,D101,E101)</f>
        <v/>
      </c>
      <c r="C101" s="18" t="n">
        <v>1.85</v>
      </c>
      <c r="D101" s="18" t="n">
        <v>1.35</v>
      </c>
      <c r="E101" s="18" t="n">
        <v>1.85</v>
      </c>
      <c r="F101" s="23" t="inlineStr">
        <is>
          <t>USD/check</t>
        </is>
      </c>
      <c r="G101" s="9" t="inlineStr">
        <is>
          <t>Sumsub published pricing (sumsub.com/pricing, retrieved 2026-08-26). COMPLIANCE TIER USD 1.85 IS THE RIGHT ONE, not the USD 1.35 Basic tier: Basic is sold for NON-REGULATED businesses and excludes AML screening, ongoing AML monitoring and proof-of-address, all three of which a VARA-licensed issuer needs. Aggressive carries 1.35 only to show what the cheaper tier would be worth. Sumsub charges for SUCCESSFUL verifications only.</t>
        </is>
      </c>
    </row>
    <row r="102">
      <c r="A102" t="inlineStr">
        <is>
          <t>Paid-up capital - Category 1 VA Issuance</t>
        </is>
      </c>
      <c r="B102" s="31">
        <f>CHOOSE($C$6,C102,D102,E102)</f>
        <v/>
      </c>
      <c r="C102" s="17" t="n">
        <v>1500000</v>
      </c>
      <c r="D102" s="17" t="n">
        <v>1500000</v>
      </c>
      <c r="E102" s="17" t="n">
        <v>1500000</v>
      </c>
      <c r="F102" s="23" t="inlineStr">
        <is>
          <t>AED</t>
        </is>
      </c>
      <c r="G102" s="9" t="inlineStr">
        <is>
          <t>VARA Virtual Asset Issuance Rulebook, ARVA Rules G.1 (retrieved 2026-08-26): Paid-Up Capital of at least THE HIGHER OF (a) AED 1,500,000 and (b) 2% of the 24-month average value of Reserve Assets, WHERE APPLICABLE. UNDER OPTION A (DIRECT OWNERSHIP) LIMB (b) DOES NOT APPLY, because Rule III.C.1 attaches Reserve Assets only to ARVAs which purport to maintain a stable value in respect of a Referenced Asset - and Aurumix's customers own specific allocated grams rather than a claim on a stabilised pool. There are no Reserve Assets to take 2% of. THE FLOOR IS NOT CONDITIONAL. Choosing Option A removes the ESCALATOR, not the AED 1,500,000. The rule reads at least the higher of, so with (b) inapplicable (a) governs. Flat in every scenario for that reason. LOCKED, NOT SPENT: balance sheet only, never the P&amp;L.</t>
        </is>
      </c>
    </row>
    <row r="103">
      <c r="A103" t="inlineStr">
        <is>
          <t>Paid-up capital - licensed activities</t>
        </is>
      </c>
      <c r="B103" s="31">
        <f>CHOOSE($C$6,C103,D103,E103)</f>
        <v/>
      </c>
      <c r="C103" s="17" t="n">
        <v>600000</v>
      </c>
      <c r="D103" s="17" t="n">
        <v>0</v>
      </c>
      <c r="E103" s="17" t="n">
        <v>1200000</v>
      </c>
      <c r="F103" s="23" t="inlineStr">
        <is>
          <t>AED</t>
        </is>
      </c>
      <c r="G103" s="9" t="inlineStr">
        <is>
          <t>VARA Company Rulebook Part VI.B, per licensed VA Activity: Broker-Dealer without custody is the HIGHER of AED 600,000 or 25% of fixed annual overheads; Custody likewise. IT IS CUMULATIVE, NOT THE HIGHEST SINGLE TEST. Part VI.A requires the capital for EACH VA Activity for which the VASP is Licensed. Verified 2026-08-26. TRACKS THE ACTIVITY LADDER on the supervision-fee row: Aggressive 0 (issuance alone, distribution outsourced), Base 600,000 (Broker-Dealer), Conservative 1,200,000 (Broker-Dealer plus Custody). NOTHING TO DO WITH THE ARVA OPTION A / OPTION B CHOICE - this attaches to the LICENCE, not to the token design.</t>
        </is>
      </c>
    </row>
    <row r="104">
      <c r="A104" t="inlineStr">
        <is>
          <t>Net liquid assets - months of opex</t>
        </is>
      </c>
      <c r="B104" s="43">
        <f>CHOOSE($C$6,C104,D104,E104)</f>
        <v/>
      </c>
      <c r="C104" s="15" t="n">
        <v>1.2</v>
      </c>
      <c r="D104" s="15" t="n">
        <v>1.2</v>
      </c>
      <c r="E104" s="15" t="n">
        <v>1.2</v>
      </c>
      <c r="F104" s="23" t="inlineStr">
        <is>
          <t>x monthly opex</t>
        </is>
      </c>
      <c r="G104" s="9" t="inlineStr">
        <is>
          <t>VARA Company Rulebook Part VI.C: Net Liquid Assets at least 1.2 x monthly operating expenses. A CONTINUOUS LIQUIDITY TEST, not a one-off subscription, and it appears NOWHERE IN THE CORPUS - added 2026-08-26. NOT ADDITIVE TO PAID-UP CAPITAL: the same cash can satisfy both, so the two are shown side by side and never summed. It constrains the FORM the capital is held in, not the amount.</t>
        </is>
      </c>
    </row>
    <row r="105">
      <c r="A105" t="inlineStr">
        <is>
          <t>Insurance - PI, D&amp;O and crime</t>
        </is>
      </c>
      <c r="B105" s="44">
        <f>CHOOSE($C$6,C105,D105,E105)</f>
        <v/>
      </c>
      <c r="C105" s="20" t="n">
        <v>45000</v>
      </c>
      <c r="D105" s="20" t="n">
        <v>20000</v>
      </c>
      <c r="E105" s="20" t="n">
        <v>90000</v>
      </c>
      <c r="F105" s="23" t="inlineStr">
        <is>
          <t>USD/yr</t>
        </is>
      </c>
      <c r="G105" s="9" t="inlineStr">
        <is>
          <t>MANDATORY, and the rulebook names the policies. VARA Company Rulebook Part VI.D requires professional indemnity, directors' and officers', and COMMERCIAL CRIME COVER FOR VIRTUAL ASSETS IN HOT WALLETS, all held with a regulated insurer, in an amount 'adequate to the size and complexity of the business'. VARA sets no minimum sum and judges adequacy at licensing. Verified 2026-08-26. BENCHMARKED, NOT OBSERVED - no insurer publishes VASP rates. Base USD 45,000 builds from UAE broker rate guides: PI for a regulated financial firm at AED 10m limit runs AED 60,000-155,000/yr and D&amp;O at the same limit AED 55,000-145,000/yr; Base takes the BOTTOM of both ranges (about USD 31,300 combined) plus about USD 13,700 for crime cover. Aggressive assumes SME limits (PI AED 22,000, D&amp;O AED 14,000); Conservative takes the top of the regulated ranges. THE CRIME ELEMENT IS THE UNPRICED ONE and it is the hardest to place: S&amp;P reports hot and warm wallet crime capacity at roughly USD 75m per risk against USD 900m for cold specie, and a CFTC presentation calls hot-wallet cover 'extremely limited', layered in USD 1-5m blocks. Aurumix's hot-wallet exposure is operational treasury only, so a low limit should suffice - but the market is thin and the price is not published. THE PHYSICAL GOLD IS NOT INSURED HERE. Vault storage at 0.12% already includes insurance on the metal, so covering it again would double-count. FLAT ACROSS THE HORIZON, which is a simplification: PI and D&amp;O scale with turnover, so this should be re-quoted as the book grows. GET A BROKER QUOTE.</t>
        </is>
      </c>
    </row>
    <row r="106">
      <c r="A106" t="inlineStr">
        <is>
          <t>Audit and reserve attestation</t>
        </is>
      </c>
      <c r="B106" s="44">
        <f>CHOOSE($C$6,C106,D106,E106)</f>
        <v/>
      </c>
      <c r="C106" s="20" t="n">
        <v>25000</v>
      </c>
      <c r="D106" s="20" t="n">
        <v>12000</v>
      </c>
      <c r="E106" s="20" t="n">
        <v>60000</v>
      </c>
      <c r="F106" s="23" t="inlineStr">
        <is>
          <t>USD/yr</t>
        </is>
      </c>
      <c r="G106" s="9" t="inlineStr">
        <is>
          <t>TWO SEPARATE ENGAGEMENTS, both mandatory under VARA Issuance Rulebook Rule III.D (verified 2026-08-26): a SIX-MONTHLY independent audit, and an ANNUAL independent audit of financial statements. A named independent auditor must be appointed and notified to VARA, and Senior Management must submit an ATTESTATION to the accuracy of each audit. OPTION A NARROWS THE SIX-MONTHLY ONE. Rule III.D.2.a covers (a) the number and value of ARVAs in circulation and (b) the composition and value of Reserve Assets 'IF APPLICABLE'. Under direct ownership there are no Reserve Assets, so limb (b) drops out and the engagement audits token supply against gold held rather than a reserve pool. NARROWER SCOPE SHOULD PRICE LOWER than the brief assumes. THE ATTESTATION FEE IS GENUINELY UNPRICED. No issuer, auditor or regulator has ever published one. Paxos uses Withum and now KPMG, Tether uses BDO Italia, Circle uses Deloitte - all disclose scope, standard and frequency, none disclose fee. The only figure found anywhere is a secondary estimate of USD 2-12m/yr for LARGE issuers using Big Four, which is not this business. BASE USD 25,000 = about USD 5,400 for the statutory audit (UAE market guides put a regulated SME at AED 12,000-25,000/yr) plus about USD 20,000 for two six-monthly engagements at USD 10,000 each. THE SECOND HALF IS A PLACEHOLDER, NOT A QUOTE. Get one from Bureau Veritas or an equivalent.</t>
        </is>
      </c>
    </row>
    <row r="107">
      <c r="A107" t="inlineStr">
        <is>
          <t>Technology audit and penetration testing</t>
        </is>
      </c>
      <c r="B107" s="44">
        <f>CHOOSE($C$6,C107,D107,E107)</f>
        <v/>
      </c>
      <c r="C107" s="20" t="n">
        <v>15000</v>
      </c>
      <c r="D107" s="20" t="n">
        <v>6000</v>
      </c>
      <c r="E107" s="20" t="n">
        <v>35000</v>
      </c>
      <c r="F107" s="23" t="inlineStr">
        <is>
          <t>USD/yr</t>
        </is>
      </c>
      <c r="G107" s="9" t="inlineStr">
        <is>
          <t>MANDATORY AND RECURRING, not a one-off. VARA Technology and Information Rulebook, E. Testing and Audit, verbatim: VASPs 'must engage a qualified and independent third-party auditor to conduct vulnerability assessments and penetration testing' at least ANNUALLY 'and prior to the introduction of any new systems, applications and products'. Verified 2026-08-26. BENCHMARKED from published penetration-testing price guides: small financial firms run USD 5,000-15,000 per engagement, broader multi-asset engagements covering web, APIs and internal network USD 10,000-35,000. Base takes the top of the small-firm range. THE PER-LAUNCH TRIGGER IS NOT MODELLED. Every new system or product needs its own test, so a year with several launches costs more than this line shows. It is a step cost tied to the product roadmap, and the roadmap does not exist yet.</t>
        </is>
      </c>
    </row>
    <row r="108">
      <c r="A108" t="inlineStr">
        <is>
          <t>Launch technology and smart contract audit (one-off)</t>
        </is>
      </c>
      <c r="B108" s="44">
        <f>CHOOSE($C$6,C108,D108,E108)</f>
        <v/>
      </c>
      <c r="C108" s="20" t="n">
        <v>40000</v>
      </c>
      <c r="D108" s="20" t="n">
        <v>20000</v>
      </c>
      <c r="E108" s="20" t="n">
        <v>75000</v>
      </c>
      <c r="F108" s="23" t="inlineStr">
        <is>
          <t>USD</t>
        </is>
      </c>
      <c r="G108" s="9" t="inlineStr">
        <is>
          <t>THE PRE-LAUNCH ENGAGEMENT the Technology Rulebook requires before any new system goes live, covering the token contract as well as the platform. BENCHMARKED, not quoted: published penetration-test ranges top out around USD 35,000 for a broad engagement, and smart-contract audit is a specialist skill that prices above general application testing, so Base sits at USD 40,000. THE BRIEF CARRIES USD 75,000 for a tier-1 smart contract audit. That figure is retained as the CONSERVATIVE case rather than the Base because its source was never recorded. GET A QUOTE - firms of this kind publish nothing.</t>
        </is>
      </c>
    </row>
    <row r="109">
      <c r="A109" t="inlineStr">
        <is>
          <t>ICS discount - entry fee</t>
        </is>
      </c>
      <c r="B109" s="42">
        <f>CHOOSE($C$6,C109,D109,E109)</f>
        <v/>
      </c>
      <c r="C109" s="19" t="n">
        <v>0.25</v>
      </c>
      <c r="D109" s="19" t="n">
        <v>0.15</v>
      </c>
      <c r="E109" s="19" t="n">
        <v>0.4</v>
      </c>
      <c r="F109" s="23" t="inlineStr">
        <is>
          <t>% of the fee</t>
        </is>
      </c>
      <c r="G109" s="9" t="inlineStr">
        <is>
          <t>AN AVERAGE ACROSS TIERS, deliberately, rather than a five-rung ladder. Client instruction 2026-08-26: model one blended discount on the qualifying population instead of splitting Silver / Gold / Platinum / Sovereign, because no tier DISTRIBUTION exists in this model - the ICS rows are binary, qualified or not - and inventing one would put a fabricated mix underneath every benefit number. SIP ONLY. Spot earns no ICS, so this reduces Stream 1a and never Stream 1b. WHAT AN AVERAGE HIDES: if the real ladder tops out near 75%, top-tier contributions are LOSS-MAKING on the inflow lane. At a 5% fee, Aurumix's own cost is 1.425% of the contribution (the fabrication premium on the 95% that buys metal), so the fee breaks even at a 71.5% DISCOUNT and goes negative above it. A 25% average is comfortably profitable; a 75% top rung is not. That may be a deliberate cross-subsidy from the card, but it should be a decision rather than a surprise - and this row cannot show it.</t>
        </is>
      </c>
    </row>
    <row r="110">
      <c r="A110" t="inlineStr">
        <is>
          <t>ICS discount - card fees</t>
        </is>
      </c>
      <c r="B110" s="42">
        <f>CHOOSE($C$6,C110,D110,E110)</f>
        <v/>
      </c>
      <c r="C110" s="19" t="n">
        <v>0.2</v>
      </c>
      <c r="D110" s="19" t="n">
        <v>0.1</v>
      </c>
      <c r="E110" s="19" t="n">
        <v>0.35</v>
      </c>
      <c r="F110" s="23" t="inlineStr">
        <is>
          <t>% of the fee</t>
        </is>
      </c>
      <c r="G110" s="9" t="inlineStr">
        <is>
          <t>Blended discount on Stream 4 - FX margin, ATM allowance and the card issuance fee. The corpus ladder runs FX 2.0 / 1.5 / 1.0% by tier and an ATM allowance that rises with tier; this is the average effect of all of it, on the qualifying population. WAIVED REVENUE, not a cash cost.</t>
        </is>
      </c>
    </row>
    <row r="111">
      <c r="A111" t="inlineStr">
        <is>
          <t>ICS discount - gold rebate</t>
        </is>
      </c>
      <c r="B111" s="42">
        <f>CHOOSE($C$6,C111,D111,E111)</f>
        <v/>
      </c>
      <c r="C111" s="19" t="n">
        <v>0.05</v>
      </c>
      <c r="D111" s="19" t="n">
        <v>0.03</v>
      </c>
      <c r="E111" s="19" t="n">
        <v>0.1</v>
      </c>
      <c r="F111" s="23" t="inlineStr">
        <is>
          <t>% of card revenue</t>
        </is>
      </c>
      <c r="G111" s="9" t="inlineStr">
        <is>
          <t>Gold Rewards, as a share of ALL CARD REVENUE - interchange (Stream 2) plus cardholder fees (Stream 4). REBASED 2026-08-26 from interchange alone, which was too narrow on three counts. Interchange is the SMALLER HALF by a long way (USD 50k against USD 833k at Y7). Stream 2 is NET OF THE PARTNER'S ~55% SHARE, and sizing a customer's reward off the residual left after a partner split uses the wrong denominator - the customer generated the whole thing. And the corpus cap was never interchange-only: it reads 'capped at the interchange AND CREDIT REVENUE that customer generated, net of custody'. THE RATE FELL FROM 15% TO 5% BECAUSE THE BASE WIDENED 17.8x. The check that matters is the rebate as a share of CARD SPEND, against the corpus ladder of 0.15 / 0.45 / 0.75% by tier: 5% lands at 0.35% of spend, mid-ladder, against a corpus blended average of about 0.18%. 15% on this base would have been 1.05% of spend - ABOVE THE TOP RUNG. IT STILL CANNOT OVERRUN ITS FUNDING LINE, because it is expressed as a share of the very revenue that funds it.</t>
        </is>
      </c>
    </row>
    <row r="112">
      <c r="A112" t="inlineStr">
        <is>
          <t>ICS discount - family wallet and will</t>
        </is>
      </c>
      <c r="B112" s="42">
        <f>CHOOSE($C$6,C112,D112,E112)</f>
        <v/>
      </c>
      <c r="C112" s="19" t="n">
        <v>0.2</v>
      </c>
      <c r="D112" s="19" t="n">
        <v>0.1</v>
      </c>
      <c r="E112" s="19" t="n">
        <v>0.35</v>
      </c>
      <c r="F112" s="23" t="inlineStr">
        <is>
          <t>% of the fee</t>
        </is>
      </c>
      <c r="G112" s="9" t="inlineStr">
        <is>
          <t>Blended discount on Stream 3, covering the Family Portfolio and Digital Will pricing and the per-beneficiary discount. The corpus ladder runs 0 / 10 / 20 / 35 / 50% by tier plus a per-beneficiary discount starting at Platinum; this is the average effect on the qualifying population.</t>
        </is>
      </c>
    </row>
    <row r="113">
      <c r="A113" t="inlineStr">
        <is>
          <t>Agent commission - share of the entry fee</t>
        </is>
      </c>
      <c r="B113" s="42">
        <f>CHOOSE($C$6,C113,D113,E113)</f>
        <v/>
      </c>
      <c r="C113" s="19" t="n">
        <v>0.1</v>
      </c>
      <c r="D113" s="19" t="n">
        <v>0.05</v>
      </c>
      <c r="E113" s="19" t="n">
        <v>0.15</v>
      </c>
      <c r="F113" s="23" t="inlineStr">
        <is>
          <t>% of the fee</t>
        </is>
      </c>
      <c r="G113" s="9" t="inlineStr">
        <is>
          <t>CLIENT DECISION 2026-08-26: 10% of the entry fee, ONGOING - paid for as long as the customer keeps contributing, which is how agent commission normally works and what the corpus describes (high first-year commission plus renewal commission payable only while the policy stays in force). ON A 5% ENTRY FEE THIS IS 0.50% OF EVERY CONTRIBUTION. The client's own written figure was 15%, which the brief measured at 0.75pp against 0.85pp of Y1 gross margin - 88% of it. Conservative holds 15% so that number stays reachable. APPLIED TO THE AGENT-ACQUIRED SHARE OF THE BOOK, approximated as cumulative agent-driven acquisitions over cumulative acquisitions from all channels. THE MODEL DOES NOT COHORT CUSTOMERS BY CHANNEL, so this is an approximation: it assumes agent-acquired customers behave like everyone else on ticket and persistency. If agent-sold customers persist better - which the insurance precedent suggests - this UNDERSTATES the commission. NOT MODELLED: the three-tier upline override. Whether 10% is the total across all levels or the first-level rate is unresolved, and it is the difference between one commission and three.</t>
        </is>
      </c>
    </row>
    <row r="114">
      <c r="A114" t="inlineStr">
        <is>
          <t>Referral reward - share of the referee's entry fee</t>
        </is>
      </c>
      <c r="B114" s="42">
        <f>CHOOSE($C$6,C114,D114,E114)</f>
        <v/>
      </c>
      <c r="C114" s="19" t="n">
        <v>0.3</v>
      </c>
      <c r="D114" s="19" t="n">
        <v>0.2</v>
      </c>
      <c r="E114" s="19" t="n">
        <v>0.4</v>
      </c>
      <c r="F114" s="23" t="inlineStr">
        <is>
          <t>% of six contributions</t>
        </is>
      </c>
      <c r="G114" s="9" t="inlineStr">
        <is>
          <t>F17. 30% of the entry fee the referee pays over their SIX QUALIFYING CONTRIBUTIONS, credited in grams. On a USD 33.60 ticket at a 5% fee that is 6 x 33.60 x 5% = USD 10.08 of fee, so about USD 3.02 per successful referral. THE SELF-FUNDING CLAIM WAS WITHDRAWN, NOT REPAIRED. It was tested against a 2.15% gross margin that had not yet paid for the premium or the float. Against contribution-margin LTV on the inflow lane the reward is roughly 250% of it; against all-streams LTV it is comfortably affordable. The honest frame is CAC versus LTV, and which LTV you pick decides the answer. TIMING IS SIMPLIFIED: the reward is booked when the referral is acquired, but it is really paid at the REFEREE'S GATE - six contributions later, so no earlier than about month 19 given the channel itself opens at period 13. The annual totals barely move; the monthly cash profile does.</t>
        </is>
      </c>
    </row>
    <row r="115">
      <c r="A115" t="inlineStr">
        <is>
          <t>Card programme - NymCard platform and scheme fees</t>
        </is>
      </c>
      <c r="B115" s="44">
        <f>CHOOSE($C$6,C115,D115,E115)</f>
        <v/>
      </c>
      <c r="C115" s="20" t="n">
        <v>30000</v>
      </c>
      <c r="D115" s="20" t="n">
        <v>18000</v>
      </c>
      <c r="E115" s="20" t="n">
        <v>72000</v>
      </c>
      <c r="F115" s="23" t="inlineStr">
        <is>
          <t>USD/yr</t>
        </is>
      </c>
      <c r="G115" s="9" t="inlineStr">
        <is>
          <t>USD 2,500/MONTH. Client decision 2026-08-26. NymCard's standing charge for running the programme - platform, account management and the scheme assessments that come with it. BIN SPONSORSHIP WAS REMOVED FROM THIS LINE, and that is the client's correction rather than mine. The figure began at USD 120,000/yr on the assumption that a BANK would sponsor the BIN and a PROCESSOR would run the platform - two counterparties, two fees. NymCard is a CBUAE-licensed PRINCIPAL MEMBER OF BOTH VISA AND MASTERCARD, so it sponsors the BIN under its own membership and there is no bank charging separately for it. The bundle loses a component and the number falls with it. WHAT IS LEFT IS STILL REAL: no BaaS provider gives away the platform. Every one charges a standing monthly fee with a minimum, because it carries scheme and regulatory obligations on the programme manager's behalf. Taking this to zero would say the card costs nothing to run. BENCHMARKED, NOT QUOTED - NymCard publishes no pricing and neither does any comparable (Magnati, SimpliFi, Paymentology, EMX, Rain, all quote-only). ONE DEPENDENCY LEFT: BaaS providers price as a platform fee, as a SHARE OF INTERCHANGE, or both. The model already hands 60% of interchange to a programme-manager counterparty. If NymCard IS that counterparty and prices on interchange share, even this reduced line double counts and should go to zero. One question settles it: platform fee, interchange share, or both?</t>
        </is>
      </c>
    </row>
    <row r="116">
      <c r="A116" t="inlineStr">
        <is>
          <t>Card programme - setup (one-off)</t>
        </is>
      </c>
      <c r="B116" s="44">
        <f>CHOOSE($C$6,C116,D116,E116)</f>
        <v/>
      </c>
      <c r="C116" s="20" t="n">
        <v>50000</v>
      </c>
      <c r="D116" s="20" t="n">
        <v>25000</v>
      </c>
      <c r="E116" s="20" t="n">
        <v>100000</v>
      </c>
      <c r="F116" s="23" t="inlineStr">
        <is>
          <t>USD</t>
        </is>
      </c>
      <c r="G116" s="9" t="inlineStr">
        <is>
          <t>Programme setup, integration and certification with the issuer-processor, booked in the month the card launches. BENCHMARKED - quote-only, same as the annual fee.</t>
        </is>
      </c>
    </row>
    <row r="117">
      <c r="A117" t="inlineStr">
        <is>
          <t>Card programme - per card issued</t>
        </is>
      </c>
      <c r="B117" s="47">
        <f>CHOOSE($C$6,C117,D117,E117)</f>
        <v/>
      </c>
      <c r="C117" s="18" t="n">
        <v>4</v>
      </c>
      <c r="D117" s="18" t="n">
        <v>2</v>
      </c>
      <c r="E117" s="18" t="n">
        <v>8</v>
      </c>
      <c r="F117" s="23" t="inlineStr">
        <is>
          <t>USD/card</t>
        </is>
      </c>
      <c r="G117" s="9" t="inlineStr">
        <is>
          <t>Card production, personalisation and delivery, on the NEWLY ISSUED flow rather than the active stock - it is a manufacturing cost, paid once per card. A blend of physical and virtual: virtual costs cents, physical with delivery runs several dollars. BENCHMARKED. IF THE PROGRAMME GOES VIRTUAL-FIRST this falls close to zero, which is a real product lever - the Aggressive case is roughly that.</t>
        </is>
      </c>
    </row>
    <row r="118">
      <c r="A118" t="inlineStr">
        <is>
          <t>Card programme - per authorisation</t>
        </is>
      </c>
      <c r="B118" s="47">
        <f>CHOOSE($C$6,C118,D118,E118)</f>
        <v/>
      </c>
      <c r="C118" s="18" t="n">
        <v>0.03</v>
      </c>
      <c r="D118" s="18" t="n">
        <v>0.02</v>
      </c>
      <c r="E118" s="18" t="n">
        <v>0.06</v>
      </c>
      <c r="F118" s="23" t="inlineStr">
        <is>
          <t>USD/auth</t>
        </is>
      </c>
      <c r="G118" s="9" t="inlineStr">
        <is>
          <t>Switching and authorisation cost per transaction, on the authorisation count the revenue build already carries as a memo. SMALL PER EVENT AND LARGE IN AGGREGATE - the model runs over 320,000 authorisations at Y7. BENCHMARKED.</t>
        </is>
      </c>
    </row>
    <row r="119">
      <c r="A119" t="inlineStr">
        <is>
          <t>Card programme - fraud and chargebacks</t>
        </is>
      </c>
      <c r="B119" s="41">
        <f>CHOOSE($C$6,C119,D119,E119)</f>
        <v/>
      </c>
      <c r="C119" s="16" t="n">
        <v>0.0008</v>
      </c>
      <c r="D119" s="16" t="n">
        <v>0.0004</v>
      </c>
      <c r="E119" s="16" t="n">
        <v>0.002</v>
      </c>
      <c r="F119" s="23" t="inlineStr">
        <is>
          <t>% of spend</t>
        </is>
      </c>
      <c r="G119" s="9" t="inlineStr">
        <is>
          <t>Fraud losses plus chargeback and dispute handling, as a share of card spend. 8 basis points is a well-controlled programme; poorly controlled ones run several times that, which is why Conservative is 25 bps. BENCHMARKED. NOT THE SAME RISK AS THE HOT-WALLET CRIME COVER in the insurance line: that protects Aurumix's own tokens, this is loss on customer card transactions. Different exposure, different counterparty, no overlap.</t>
        </is>
      </c>
    </row>
    <row r="120">
      <c r="A120" t="inlineStr">
        <is>
          <t>Cross-border scheme assessment</t>
        </is>
      </c>
      <c r="B120" s="41">
        <f>CHOOSE($C$6,C120,D120,E120)</f>
        <v/>
      </c>
      <c r="C120" s="16" t="n">
        <v>0.014</v>
      </c>
      <c r="D120" s="16" t="n">
        <v>0.01</v>
      </c>
      <c r="E120" s="16" t="n">
        <v>0.014</v>
      </c>
      <c r="F120" s="23" t="inlineStr">
        <is>
          <t>% of cross-border spend</t>
        </is>
      </c>
      <c r="G120" s="9" t="inlineStr">
        <is>
          <t>CHARGED TO THE ISSUER by the card scheme whenever the merchant country differs from the issuer country. PUBLISHED RATES: Visa International Service Assessment is 1.00% single-currency (ISA Base) and 1.40% multi-currency (ISA Enhanced); Mastercard splits it as a 0.90% Issuer Cross-Border Assessment plus a 0.20% Currency Conversion Assessment, so 1.10% multi-currency. Retrieved 2026-08-26. BASE TAKES 1.40% because most of Aurumix's cross-border spend IS multi-currency - Indian customers spending rupees and Gulf customers spending rials on a UAE-issued card both convert. Aggressive takes the single-currency rate. IT IS BIGGER THAN AURUMIX'S INTERCHANGE SHARE. At 1.80% interchange and a 40% retained share Aurumix earns 0.72% of spend; the scheme charges up to 1.40% on the cross-border half. What covers the gap is the FX MARGIN charged to the customer (stream 4), which means the FX line is mostly COST RECOVERY rather than margin - and the ICS ladder cuts it to 1.0% at Sovereign, where it barely covers the assessment at all.</t>
        </is>
      </c>
    </row>
    <row r="121">
      <c r="A121" t="inlineStr">
        <is>
          <t>UAE cardholders - share of spend abroad or online-foreign</t>
        </is>
      </c>
      <c r="B121" s="42">
        <f>CHOOSE($C$6,C121,D121,E121)</f>
        <v/>
      </c>
      <c r="C121" s="19" t="n">
        <v>0.1</v>
      </c>
      <c r="D121" s="19" t="n">
        <v>0.05</v>
      </c>
      <c r="E121" s="19" t="n">
        <v>0.2</v>
      </c>
      <c r="F121" s="23" t="inlineStr">
        <is>
          <t>% of UAE spend</t>
        </is>
      </c>
      <c r="G121" s="9" t="inlineStr">
        <is>
          <t>THE ONLY ASSUMPTION IN THE CROSS-BORDER CALCULATION. Everything else is derived: Oman, Bahrain and India customers hold a UAE-ISSUED card, so EVERY transaction they make is cross-border by definition - merchant country differs from issuer country. That alone is 59% of card spend at Y7. This parameter adds the UAE residents' own travel and foreign online spend on top, taking the total to about 63%. ASSUMPTION. It moves the cross-border share by only a few points, so it is not load-bearing - the structure is.</t>
        </is>
      </c>
    </row>
    <row r="122">
      <c r="A122" t="inlineStr">
        <is>
          <t>Card settlement prefunding - days of spend</t>
        </is>
      </c>
      <c r="B122" s="43">
        <f>CHOOSE($C$6,C122,D122,E122)</f>
        <v/>
      </c>
      <c r="C122" s="15" t="n">
        <v>2</v>
      </c>
      <c r="D122" s="15" t="n">
        <v>1</v>
      </c>
      <c r="E122" s="15" t="n">
        <v>3</v>
      </c>
      <c r="F122" s="23" t="inlineStr">
        <is>
          <t>days</t>
        </is>
      </c>
      <c r="G122" s="9" t="inlineStr">
        <is>
          <t>WORKING CAPITAL, NOT A COST. The issuer-processor requires a prefunded settlement account so card transactions can settle before customer funds arrive - the JIT funding mechanism in the credit draft's section 5. NO PUBLIC SCHEDULE EXISTS. Prefunding is contractual between programme manager, processor and sponsor, never scheme-mandated, and it is not published by anyone. The common industry pattern is 1-3 days of expected transaction volume held in a segregated account, sometimes with a rolling reserve on top for higher-risk programmes. BENCHMARKED - take it to NymCard with everything else.</t>
        </is>
      </c>
    </row>
    <row r="123">
      <c r="A123" t="inlineStr">
        <is>
          <t>Card settlement prefunding - minimum balance</t>
        </is>
      </c>
      <c r="B123" s="44">
        <f>CHOOSE($C$6,C123,D123,E123)</f>
        <v/>
      </c>
      <c r="C123" s="20" t="n">
        <v>100000</v>
      </c>
      <c r="D123" s="20" t="n">
        <v>50000</v>
      </c>
      <c r="E123" s="20" t="n">
        <v>250000</v>
      </c>
      <c r="F123" s="23" t="inlineStr">
        <is>
          <t>USD</t>
        </is>
      </c>
      <c r="G123" s="9" t="inlineStr">
        <is>
          <t>A CONTRACTUAL FLOOR, and on this book IT BINDS THROUGHOUT - two days of Y7 card spend is only about USD 43,000, well under the minimum. So the prefunding requirement is effectively a fixed sum from card launch, which makes it a FOURTH minimum-commitment structure alongside the vault, the KYC platform and the card programme fee. Industry sources put minimums for small programmes in the low-to-mid six figures; nothing is published. BENCHMARKED.</t>
        </is>
      </c>
    </row>
    <row r="124">
      <c r="A124" t="inlineStr">
        <is>
          <t>Technology - build, Year 1</t>
        </is>
      </c>
      <c r="B124" s="44">
        <f>CHOOSE($C$6,C124,D124,E124)</f>
        <v/>
      </c>
      <c r="C124" s="20" t="n">
        <v>350000</v>
      </c>
      <c r="D124" s="20" t="n">
        <v>200000</v>
      </c>
      <c r="E124" s="20" t="n">
        <v>600000</v>
      </c>
      <c r="F124" s="23" t="inlineStr">
        <is>
          <t>USD</t>
        </is>
      </c>
      <c r="G124" s="9" t="inlineStr">
        <is>
          <t>CLIENT INSTRUCTION 2026-08-26: BUILD IN Y1-Y2, MAINTENANCE FROM Y3. The heavy year. Covers the mobile app, backend ledger, wallet infrastructure, the token contract, and integration with everything the product depends on - NymCard for the card, the KYC vendor, the payment rail, the custody and trust layer. IT IS NOT THE WHOLE BUILD. The client's own app was due early September 2026, before this model's horizon opens, so some of the consumer front end is already paid for outside these figures. What sits here is the regulated-product layer built on top of it. THE SMART CONTRACT AUDIT IS NOT IN HERE - it sits in the Year 1 one-off line with the launch technology audit, so the two must not be double counted. BENCHMARKED. No comparable publishes a build budget.</t>
        </is>
      </c>
    </row>
    <row r="125">
      <c r="A125" t="inlineStr">
        <is>
          <t>Technology - build, Year 2</t>
        </is>
      </c>
      <c r="B125" s="44">
        <f>CHOOSE($C$6,C125,D125,E125)</f>
        <v/>
      </c>
      <c r="C125" s="20" t="n">
        <v>150000</v>
      </c>
      <c r="D125" s="20" t="n">
        <v>80000</v>
      </c>
      <c r="E125" s="20" t="n">
        <v>300000</v>
      </c>
      <c r="F125" s="23" t="inlineStr">
        <is>
          <t>USD</t>
        </is>
      </c>
      <c r="G125" s="9" t="inlineStr">
        <is>
          <t>The tail of the build. Y2 is when the CARD AND CREDIT LAYER lands - both streams activate at period 13 - so this is not merely finishing Y1's work, it is a second product going live. BENCHMARKED.</t>
        </is>
      </c>
    </row>
    <row r="126">
      <c r="A126" t="inlineStr">
        <is>
          <t>Technology - annual maintenance from Y3</t>
        </is>
      </c>
      <c r="B126" s="44">
        <f>CHOOSE($C$6,C126,D126,E126)</f>
        <v/>
      </c>
      <c r="C126" s="20" t="n">
        <v>120000</v>
      </c>
      <c r="D126" s="20" t="n">
        <v>70000</v>
      </c>
      <c r="E126" s="20" t="n">
        <v>220000</v>
      </c>
      <c r="F126" s="23" t="inlineStr">
        <is>
          <t>USD/yr</t>
        </is>
      </c>
      <c r="G126" s="9" t="inlineStr">
        <is>
          <t>Hosting, third-party licences, security patching and ongoing engineering once the build settles. Runs from Y3 onward at the client's instruction. FLAT, WHICH IS A SIMPLIFICATION AND UNDERSTATES THE BACK YEARS. The book goes from about 4,000 paying customers at Y3 to over 70,000 at Y7; the brief's own technology block grows roughly five-fold across a comparable span. A flat line is the simple version, not the accurate one - revisit it if the Y6-Y7 numbers start carrying weight. ON-CHAIN MINTING COST IS NOT IN HERE, AND IT IS A CHAIN DECISION WORTH SIX FIGURES. Every monthly SIP contribution is a mint - about 855,000 events a year at Y7. On an L2 that is roughly USD 8,500/yr and immaterial; on Ethereum mainnet at USD 2 a transaction it is about USD 1.7m/yr, which would be one of the largest costs in the business. NOBODY HAS RECORDED WHICH CHAIN AURUMIX ISSUES ON. Until that is settled the cost cannot be modelled, and it is left out rather than guessed - but it must not be read as zero.</t>
        </is>
      </c>
    </row>
    <row r="127">
      <c r="A127" t="inlineStr">
        <is>
          <t>Contingency on total costs</t>
        </is>
      </c>
      <c r="B127" s="42">
        <f>CHOOSE($C$6,C127,D127,E127)</f>
        <v/>
      </c>
      <c r="C127" s="19" t="n">
        <v>0.15</v>
      </c>
      <c r="D127" s="19" t="n">
        <v>0.1</v>
      </c>
      <c r="E127" s="19" t="n">
        <v>0.3</v>
      </c>
      <c r="F127" s="23" t="inlineStr">
        <is>
          <t>% of costs</t>
        </is>
      </c>
      <c r="G127" s="9" t="inlineStr">
        <is>
          <t>CLIENT INSTRUCTION 2026-08-26: 15% on top of everything modelled, to stand in for the cost families not yet built. IT IS A PLACEHOLDER, NOT COVERAGE, AND THE ARITHMETIC SAYS SO. What is still missing is HEADCOUNT, technology's on-chain minting cost, legal and trust, security, corporate, and tax. Headcount alone is anchored in the brief at about USD 588,000 in Year 1 - roughly 78% of the entire Year 1 cost base as currently built - against which 15% is about USD 112,000. THE CONTINGENCY COVERS A FIFTH OF ONE MISSING BLOCK, and there are five others. READ EVERY PROFIT FIGURE IN THIS MODEL AS AN UPPER BOUND until headcount lands. It is not a forecast, it is revenue less the costs that happen to have been built so far.</t>
        </is>
      </c>
    </row>
    <row r="128">
      <c r="A128" t="inlineStr">
        <is>
          <t>KYC and AML - monthly minimum</t>
        </is>
      </c>
      <c r="B128" s="47">
        <f>CHOOSE($C$6,C128,D128,E128)</f>
        <v/>
      </c>
      <c r="C128" s="18" t="n">
        <v>299</v>
      </c>
      <c r="D128" s="18" t="n">
        <v>149</v>
      </c>
      <c r="E128" s="18" t="n">
        <v>299</v>
      </c>
      <c r="F128" s="23" t="inlineStr">
        <is>
          <t>USD/month</t>
        </is>
      </c>
      <c r="G128" s="9" t="inlineStr">
        <is>
          <t>Sumsub published minimum monthly commitment for the Compliance tier, same source. THE SECOND OF THREE MINIMUM-COMMITMENT STRUCTURES in this cost base - the vault minimum is the first, the card programme minimums are the third. It binds below about 162 verifications a month, which on this book is most of the first two years.</t>
        </is>
      </c>
    </row>
    <row r="130">
      <c r="A130" t="inlineStr">
        <is>
          <t>Prepaid instead of credit</t>
        </is>
      </c>
      <c r="B130" s="31">
        <f>IF($C$130="Prepaid",1,0)</f>
        <v/>
      </c>
      <c r="C130" s="40" t="inlineStr">
        <is>
          <t>Credit</t>
        </is>
      </c>
      <c r="D130" s="23" t="inlineStr">
        <is>
          <t>Prepaid</t>
        </is>
      </c>
      <c r="G130" s="9" t="inlineStr">
        <is>
          <t>ON (Prepaid) caps interchange at 1.00% and removes the credit stream entirely. 'NOT A PRODUCT CHOICE, IT IS THE BUSINESS MODEL.' Worth ~USD 2.3m of Y10 revenue on the ten-year run.</t>
        </is>
      </c>
    </row>
    <row r="131">
      <c r="A131" t="inlineStr">
        <is>
          <t>Holders keep the card</t>
        </is>
      </c>
      <c r="B131" s="31">
        <f>IF($C$131="ON",1,0)</f>
        <v/>
      </c>
      <c r="C131" s="40" t="inlineStr">
        <is>
          <t>ON</t>
        </is>
      </c>
      <c r="D131" s="23" t="inlineStr">
        <is>
          <t>ON</t>
        </is>
      </c>
      <c r="G131" s="9" t="inlineStr">
        <is>
          <t>DECIDED 2026-09-22 (decision 54): a customer who stops paying keeps the card and the credit line; only the collateral ladder, the customer or the lender can close them. So ON is the design, and the card streams do not decay with churn. OFF is kept as a sensitivity: recalculated 2026-09-24, it takes Y7 revenue from USD 4.49m to 3.88m (-13.7%) and streams 2, 4 and 5 together down 58%.</t>
        </is>
      </c>
    </row>
    <row r="132">
      <c r="A132" t="inlineStr">
        <is>
          <t>Fabrication premium borne by</t>
        </is>
      </c>
      <c r="B132" s="31">
        <f>IF($C$132="Aurumix",1,0)</f>
        <v/>
      </c>
      <c r="C132" s="40" t="inlineStr">
        <is>
          <t>Aurumix</t>
        </is>
      </c>
      <c r="D132" s="23" t="inlineStr">
        <is>
          <t>Aurumix</t>
        </is>
      </c>
      <c r="G132" s="9" t="inlineStr">
        <is>
          <t>DEFAULT AURUMIX, which REVERSES the 2026-08-21 client decision and does so deliberately. That review put the premium on the customer - grams delivered short by (1+premium), stream 1 keeping the full headline fee - which is standard for gold products where the quoted price includes the dealer spread. The model now shows procurement as a COST instead, because a cost the client can see is the point of the cost build, and because charging the customer for it is better presented as UPSIDE than baked into the base case. Switching back to Customer restores the 2026-08-21 treatment exactly: grams fall 1.50%, the COGS line goes to zero, and gross profit rises by the same amount. THE TWO SETTINGS ARE MUTUALLY EXCLUSIVE BY CONSTRUCTION, which is what stops the double-count fixed at 29f98e0 returning.</t>
        </is>
      </c>
    </row>
    <row r="133">
      <c r="A133" t="inlineStr">
        <is>
          <t>Premium charged on gross inflow</t>
        </is>
      </c>
      <c r="B133" s="31">
        <f>IF($C$133="Gross",1,0)</f>
        <v/>
      </c>
      <c r="C133" s="40" t="inlineStr">
        <is>
          <t>Net new</t>
        </is>
      </c>
      <c r="D133" s="23" t="inlineStr">
        <is>
          <t>Gross</t>
        </is>
      </c>
      <c r="G133" s="9" t="inlineStr">
        <is>
          <t>D30: the premium is paid on NET NEW grams. Gold returned by redemption is already a fabricated bar sitting in the float, and a bar that exists does not need making twice. Switching to Gross charges every gram, which is correct ONLY if redeemed metal is sold back to the dealer rather than recycled. GATED ON CORRECTION 30, WHICH IS UNDESIGNED - nobody has written down which way redeemed gold goes. Worth USD 165,755 of retained margin over the horizon, so the undesigned question has a price.</t>
        </is>
      </c>
    </row>
  </sheetData>
  <dataValidations count="5">
    <dataValidation sqref="B6" showDropDown="0" showInputMessage="0" showErrorMessage="0" allowBlank="0" type="list">
      <formula1>"Base,Aggressive,Conservative"</formula1>
    </dataValidation>
    <dataValidation sqref="C130" showDropDown="0" showInputMessage="0" showErrorMessage="0" allowBlank="0" type="list">
      <formula1>"Credit,Prepaid"</formula1>
    </dataValidation>
    <dataValidation sqref="C131" showDropDown="0" showInputMessage="0" showErrorMessage="0" allowBlank="0" type="list">
      <formula1>"ON,OFF"</formula1>
    </dataValidation>
    <dataValidation sqref="C132" showDropDown="0" showInputMessage="0" showErrorMessage="0" allowBlank="0" type="list">
      <formula1>"Customer,Aurumix"</formula1>
    </dataValidation>
    <dataValidation sqref="C133" showDropDown="0" showInputMessage="0" showErrorMessage="0" allowBlank="0" type="list">
      <formula1>"Net new,Gross"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43"/>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52"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s>
  <sheetData>
    <row r="1">
      <c r="A1" s="10">
        <f>Cover!$B$2</f>
        <v/>
      </c>
    </row>
    <row r="2">
      <c r="A2" s="3" t="inlineStr">
        <is>
          <t>Period #</t>
        </is>
      </c>
      <c r="B2" s="23" t="inlineStr">
        <is>
          <t>1..29</t>
        </is>
      </c>
      <c r="C2" s="28" t="n">
        <v>1</v>
      </c>
      <c r="D2" s="28" t="n">
        <v>2</v>
      </c>
      <c r="E2" s="28" t="n">
        <v>3</v>
      </c>
      <c r="F2" s="28" t="n">
        <v>4</v>
      </c>
      <c r="G2" s="28" t="n">
        <v>5</v>
      </c>
      <c r="H2" s="28" t="n">
        <v>6</v>
      </c>
      <c r="I2" s="28" t="n">
        <v>7</v>
      </c>
      <c r="J2" s="28" t="n">
        <v>8</v>
      </c>
      <c r="K2" s="28" t="n">
        <v>9</v>
      </c>
      <c r="L2" s="28" t="n">
        <v>10</v>
      </c>
      <c r="M2" s="28" t="n">
        <v>11</v>
      </c>
      <c r="N2" s="28" t="n">
        <v>12</v>
      </c>
      <c r="O2" s="28" t="n">
        <v>13</v>
      </c>
      <c r="P2" s="28" t="n">
        <v>14</v>
      </c>
      <c r="Q2" s="28" t="n">
        <v>15</v>
      </c>
      <c r="R2" s="28" t="n">
        <v>16</v>
      </c>
      <c r="S2" s="28" t="n">
        <v>17</v>
      </c>
      <c r="T2" s="28" t="n">
        <v>18</v>
      </c>
      <c r="U2" s="28" t="n">
        <v>19</v>
      </c>
      <c r="V2" s="28" t="n">
        <v>20</v>
      </c>
      <c r="W2" s="28" t="n">
        <v>21</v>
      </c>
      <c r="X2" s="28" t="n">
        <v>22</v>
      </c>
      <c r="Y2" s="28" t="n">
        <v>23</v>
      </c>
      <c r="Z2" s="28" t="n">
        <v>24</v>
      </c>
      <c r="AA2" s="28" t="n">
        <v>25</v>
      </c>
      <c r="AB2" s="28" t="n">
        <v>26</v>
      </c>
      <c r="AC2" s="28" t="n">
        <v>27</v>
      </c>
      <c r="AD2" s="28" t="n">
        <v>28</v>
      </c>
      <c r="AE2" s="28" t="n">
        <v>29</v>
      </c>
    </row>
    <row r="3">
      <c r="A3" s="3" t="inlineStr">
        <is>
          <t>Period</t>
        </is>
      </c>
      <c r="B3" s="23" t="inlineStr">
        <is>
          <t>-</t>
        </is>
      </c>
      <c r="C3" s="48" t="inlineStr">
        <is>
          <t>M1</t>
        </is>
      </c>
      <c r="D3" s="48" t="inlineStr">
        <is>
          <t>M2</t>
        </is>
      </c>
      <c r="E3" s="48" t="inlineStr">
        <is>
          <t>M3</t>
        </is>
      </c>
      <c r="F3" s="48" t="inlineStr">
        <is>
          <t>M4</t>
        </is>
      </c>
      <c r="G3" s="48" t="inlineStr">
        <is>
          <t>M5</t>
        </is>
      </c>
      <c r="H3" s="48" t="inlineStr">
        <is>
          <t>M6</t>
        </is>
      </c>
      <c r="I3" s="48" t="inlineStr">
        <is>
          <t>M7</t>
        </is>
      </c>
      <c r="J3" s="48" t="inlineStr">
        <is>
          <t>M8</t>
        </is>
      </c>
      <c r="K3" s="48" t="inlineStr">
        <is>
          <t>M9</t>
        </is>
      </c>
      <c r="L3" s="48" t="inlineStr">
        <is>
          <t>M10</t>
        </is>
      </c>
      <c r="M3" s="48" t="inlineStr">
        <is>
          <t>M11</t>
        </is>
      </c>
      <c r="N3" s="48" t="inlineStr">
        <is>
          <t>M12</t>
        </is>
      </c>
      <c r="O3" s="48" t="inlineStr">
        <is>
          <t>M13</t>
        </is>
      </c>
      <c r="P3" s="48" t="inlineStr">
        <is>
          <t>M14</t>
        </is>
      </c>
      <c r="Q3" s="48" t="inlineStr">
        <is>
          <t>M15</t>
        </is>
      </c>
      <c r="R3" s="48" t="inlineStr">
        <is>
          <t>M16</t>
        </is>
      </c>
      <c r="S3" s="48" t="inlineStr">
        <is>
          <t>M17</t>
        </is>
      </c>
      <c r="T3" s="48" t="inlineStr">
        <is>
          <t>M18</t>
        </is>
      </c>
      <c r="U3" s="48" t="inlineStr">
        <is>
          <t>M19</t>
        </is>
      </c>
      <c r="V3" s="48" t="inlineStr">
        <is>
          <t>M20</t>
        </is>
      </c>
      <c r="W3" s="48" t="inlineStr">
        <is>
          <t>M21</t>
        </is>
      </c>
      <c r="X3" s="48" t="inlineStr">
        <is>
          <t>M22</t>
        </is>
      </c>
      <c r="Y3" s="48" t="inlineStr">
        <is>
          <t>M23</t>
        </is>
      </c>
      <c r="Z3" s="48" t="inlineStr">
        <is>
          <t>M24</t>
        </is>
      </c>
      <c r="AA3" s="48" t="inlineStr">
        <is>
          <t>Y3</t>
        </is>
      </c>
      <c r="AB3" s="48" t="inlineStr">
        <is>
          <t>Y4</t>
        </is>
      </c>
      <c r="AC3" s="48" t="inlineStr">
        <is>
          <t>Y5</t>
        </is>
      </c>
      <c r="AD3" s="48" t="inlineStr">
        <is>
          <t>Y6</t>
        </is>
      </c>
      <c r="AE3" s="48" t="inlineStr">
        <is>
          <t>Y7</t>
        </is>
      </c>
    </row>
    <row r="4">
      <c r="A4" s="6" t="inlineStr">
        <is>
          <t>Period type</t>
        </is>
      </c>
      <c r="B4" s="23" t="inlineStr">
        <is>
          <t>-</t>
        </is>
      </c>
      <c r="C4" s="49" t="inlineStr">
        <is>
          <t>Monthly</t>
        </is>
      </c>
      <c r="D4" s="49" t="inlineStr">
        <is>
          <t>Monthly</t>
        </is>
      </c>
      <c r="E4" s="49" t="inlineStr">
        <is>
          <t>Monthly</t>
        </is>
      </c>
      <c r="F4" s="49" t="inlineStr">
        <is>
          <t>Monthly</t>
        </is>
      </c>
      <c r="G4" s="49" t="inlineStr">
        <is>
          <t>Monthly</t>
        </is>
      </c>
      <c r="H4" s="49" t="inlineStr">
        <is>
          <t>Monthly</t>
        </is>
      </c>
      <c r="I4" s="49" t="inlineStr">
        <is>
          <t>Monthly</t>
        </is>
      </c>
      <c r="J4" s="49" t="inlineStr">
        <is>
          <t>Monthly</t>
        </is>
      </c>
      <c r="K4" s="49" t="inlineStr">
        <is>
          <t>Monthly</t>
        </is>
      </c>
      <c r="L4" s="49" t="inlineStr">
        <is>
          <t>Monthly</t>
        </is>
      </c>
      <c r="M4" s="49" t="inlineStr">
        <is>
          <t>Monthly</t>
        </is>
      </c>
      <c r="N4" s="49" t="inlineStr">
        <is>
          <t>Monthly</t>
        </is>
      </c>
      <c r="O4" s="49" t="inlineStr">
        <is>
          <t>Monthly</t>
        </is>
      </c>
      <c r="P4" s="49" t="inlineStr">
        <is>
          <t>Monthly</t>
        </is>
      </c>
      <c r="Q4" s="49" t="inlineStr">
        <is>
          <t>Monthly</t>
        </is>
      </c>
      <c r="R4" s="49" t="inlineStr">
        <is>
          <t>Monthly</t>
        </is>
      </c>
      <c r="S4" s="49" t="inlineStr">
        <is>
          <t>Monthly</t>
        </is>
      </c>
      <c r="T4" s="49" t="inlineStr">
        <is>
          <t>Monthly</t>
        </is>
      </c>
      <c r="U4" s="49" t="inlineStr">
        <is>
          <t>Monthly</t>
        </is>
      </c>
      <c r="V4" s="49" t="inlineStr">
        <is>
          <t>Monthly</t>
        </is>
      </c>
      <c r="W4" s="49" t="inlineStr">
        <is>
          <t>Monthly</t>
        </is>
      </c>
      <c r="X4" s="49" t="inlineStr">
        <is>
          <t>Monthly</t>
        </is>
      </c>
      <c r="Y4" s="49" t="inlineStr">
        <is>
          <t>Monthly</t>
        </is>
      </c>
      <c r="Z4" s="49" t="inlineStr">
        <is>
          <t>Monthly</t>
        </is>
      </c>
      <c r="AA4" s="49" t="inlineStr">
        <is>
          <t>Annual</t>
        </is>
      </c>
      <c r="AB4" s="49" t="inlineStr">
        <is>
          <t>Annual</t>
        </is>
      </c>
      <c r="AC4" s="49" t="inlineStr">
        <is>
          <t>Annual</t>
        </is>
      </c>
      <c r="AD4" s="49" t="inlineStr">
        <is>
          <t>Annual</t>
        </is>
      </c>
      <c r="AE4" s="49" t="inlineStr">
        <is>
          <t>Annual</t>
        </is>
      </c>
    </row>
    <row r="5">
      <c r="A5" s="6" t="inlineStr">
        <is>
          <t>Model year</t>
        </is>
      </c>
      <c r="B5" s="23" t="inlineStr">
        <is>
          <t>1..7</t>
        </is>
      </c>
      <c r="C5" s="50" t="n">
        <v>1</v>
      </c>
      <c r="D5" s="50" t="n">
        <v>1</v>
      </c>
      <c r="E5" s="50" t="n">
        <v>1</v>
      </c>
      <c r="F5" s="50" t="n">
        <v>1</v>
      </c>
      <c r="G5" s="50" t="n">
        <v>1</v>
      </c>
      <c r="H5" s="50" t="n">
        <v>1</v>
      </c>
      <c r="I5" s="50" t="n">
        <v>1</v>
      </c>
      <c r="J5" s="50" t="n">
        <v>1</v>
      </c>
      <c r="K5" s="50" t="n">
        <v>1</v>
      </c>
      <c r="L5" s="50" t="n">
        <v>1</v>
      </c>
      <c r="M5" s="50" t="n">
        <v>1</v>
      </c>
      <c r="N5" s="50" t="n">
        <v>1</v>
      </c>
      <c r="O5" s="50" t="n">
        <v>2</v>
      </c>
      <c r="P5" s="50" t="n">
        <v>2</v>
      </c>
      <c r="Q5" s="50" t="n">
        <v>2</v>
      </c>
      <c r="R5" s="50" t="n">
        <v>2</v>
      </c>
      <c r="S5" s="50" t="n">
        <v>2</v>
      </c>
      <c r="T5" s="50" t="n">
        <v>2</v>
      </c>
      <c r="U5" s="50" t="n">
        <v>2</v>
      </c>
      <c r="V5" s="50" t="n">
        <v>2</v>
      </c>
      <c r="W5" s="50" t="n">
        <v>2</v>
      </c>
      <c r="X5" s="50" t="n">
        <v>2</v>
      </c>
      <c r="Y5" s="50" t="n">
        <v>2</v>
      </c>
      <c r="Z5" s="50" t="n">
        <v>2</v>
      </c>
      <c r="AA5" s="50" t="n">
        <v>3</v>
      </c>
      <c r="AB5" s="50" t="n">
        <v>4</v>
      </c>
      <c r="AC5" s="50" t="n">
        <v>5</v>
      </c>
      <c r="AD5" s="50" t="n">
        <v>6</v>
      </c>
      <c r="AE5" s="50" t="n">
        <v>7</v>
      </c>
    </row>
    <row r="6">
      <c r="A6" s="6" t="inlineStr">
        <is>
          <t>Calendar month</t>
        </is>
      </c>
      <c r="B6" s="23" t="inlineStr">
        <is>
          <t>0 = annual</t>
        </is>
      </c>
      <c r="C6" s="50" t="n">
        <v>1</v>
      </c>
      <c r="D6" s="50" t="n">
        <v>2</v>
      </c>
      <c r="E6" s="50" t="n">
        <v>3</v>
      </c>
      <c r="F6" s="50" t="n">
        <v>4</v>
      </c>
      <c r="G6" s="50" t="n">
        <v>5</v>
      </c>
      <c r="H6" s="50" t="n">
        <v>6</v>
      </c>
      <c r="I6" s="50" t="n">
        <v>7</v>
      </c>
      <c r="J6" s="50" t="n">
        <v>8</v>
      </c>
      <c r="K6" s="50" t="n">
        <v>9</v>
      </c>
      <c r="L6" s="50" t="n">
        <v>10</v>
      </c>
      <c r="M6" s="50" t="n">
        <v>11</v>
      </c>
      <c r="N6" s="50" t="n">
        <v>12</v>
      </c>
      <c r="O6" s="50" t="n">
        <v>1</v>
      </c>
      <c r="P6" s="50" t="n">
        <v>2</v>
      </c>
      <c r="Q6" s="50" t="n">
        <v>3</v>
      </c>
      <c r="R6" s="50" t="n">
        <v>4</v>
      </c>
      <c r="S6" s="50" t="n">
        <v>5</v>
      </c>
      <c r="T6" s="50" t="n">
        <v>6</v>
      </c>
      <c r="U6" s="50" t="n">
        <v>7</v>
      </c>
      <c r="V6" s="50" t="n">
        <v>8</v>
      </c>
      <c r="W6" s="50" t="n">
        <v>9</v>
      </c>
      <c r="X6" s="50" t="n">
        <v>10</v>
      </c>
      <c r="Y6" s="50" t="n">
        <v>11</v>
      </c>
      <c r="Z6" s="50" t="n">
        <v>12</v>
      </c>
      <c r="AA6" s="50" t="n">
        <v>0</v>
      </c>
      <c r="AB6" s="50" t="n">
        <v>0</v>
      </c>
      <c r="AC6" s="50" t="n">
        <v>0</v>
      </c>
      <c r="AD6" s="50" t="n">
        <v>0</v>
      </c>
      <c r="AE6" s="50" t="n">
        <v>0</v>
      </c>
    </row>
    <row r="7">
      <c r="A7" s="6" t="inlineStr">
        <is>
          <t>Months in period</t>
        </is>
      </c>
      <c r="B7" s="23" t="inlineStr">
        <is>
          <t>months</t>
        </is>
      </c>
      <c r="C7" s="50" t="n">
        <v>1</v>
      </c>
      <c r="D7" s="50" t="n">
        <v>1</v>
      </c>
      <c r="E7" s="50" t="n">
        <v>1</v>
      </c>
      <c r="F7" s="50" t="n">
        <v>1</v>
      </c>
      <c r="G7" s="50" t="n">
        <v>1</v>
      </c>
      <c r="H7" s="50" t="n">
        <v>1</v>
      </c>
      <c r="I7" s="50" t="n">
        <v>1</v>
      </c>
      <c r="J7" s="50" t="n">
        <v>1</v>
      </c>
      <c r="K7" s="50" t="n">
        <v>1</v>
      </c>
      <c r="L7" s="50" t="n">
        <v>1</v>
      </c>
      <c r="M7" s="50" t="n">
        <v>1</v>
      </c>
      <c r="N7" s="50" t="n">
        <v>1</v>
      </c>
      <c r="O7" s="50" t="n">
        <v>1</v>
      </c>
      <c r="P7" s="50" t="n">
        <v>1</v>
      </c>
      <c r="Q7" s="50" t="n">
        <v>1</v>
      </c>
      <c r="R7" s="50" t="n">
        <v>1</v>
      </c>
      <c r="S7" s="50" t="n">
        <v>1</v>
      </c>
      <c r="T7" s="50" t="n">
        <v>1</v>
      </c>
      <c r="U7" s="50" t="n">
        <v>1</v>
      </c>
      <c r="V7" s="50" t="n">
        <v>1</v>
      </c>
      <c r="W7" s="50" t="n">
        <v>1</v>
      </c>
      <c r="X7" s="50" t="n">
        <v>1</v>
      </c>
      <c r="Y7" s="50" t="n">
        <v>1</v>
      </c>
      <c r="Z7" s="50" t="n">
        <v>1</v>
      </c>
      <c r="AA7" s="50" t="n">
        <v>12</v>
      </c>
      <c r="AB7" s="50" t="n">
        <v>12</v>
      </c>
      <c r="AC7" s="50" t="n">
        <v>12</v>
      </c>
      <c r="AD7" s="50" t="n">
        <v>12</v>
      </c>
      <c r="AE7" s="50" t="n">
        <v>12</v>
      </c>
    </row>
    <row r="8">
      <c r="A8" s="6" t="inlineStr">
        <is>
          <t>Financial-year end</t>
        </is>
      </c>
      <c r="B8" s="23" t="inlineStr">
        <is>
          <t>1/0</t>
        </is>
      </c>
      <c r="C8" s="50" t="n">
        <v>0</v>
      </c>
      <c r="D8" s="50" t="n">
        <v>0</v>
      </c>
      <c r="E8" s="50" t="n">
        <v>0</v>
      </c>
      <c r="F8" s="50" t="n">
        <v>0</v>
      </c>
      <c r="G8" s="50" t="n">
        <v>0</v>
      </c>
      <c r="H8" s="50" t="n">
        <v>0</v>
      </c>
      <c r="I8" s="50" t="n">
        <v>0</v>
      </c>
      <c r="J8" s="50" t="n">
        <v>0</v>
      </c>
      <c r="K8" s="50" t="n">
        <v>0</v>
      </c>
      <c r="L8" s="50" t="n">
        <v>0</v>
      </c>
      <c r="M8" s="50" t="n">
        <v>0</v>
      </c>
      <c r="N8" s="50" t="n">
        <v>1</v>
      </c>
      <c r="O8" s="50" t="n">
        <v>0</v>
      </c>
      <c r="P8" s="50" t="n">
        <v>0</v>
      </c>
      <c r="Q8" s="50" t="n">
        <v>0</v>
      </c>
      <c r="R8" s="50" t="n">
        <v>0</v>
      </c>
      <c r="S8" s="50" t="n">
        <v>0</v>
      </c>
      <c r="T8" s="50" t="n">
        <v>0</v>
      </c>
      <c r="U8" s="50" t="n">
        <v>0</v>
      </c>
      <c r="V8" s="50" t="n">
        <v>0</v>
      </c>
      <c r="W8" s="50" t="n">
        <v>0</v>
      </c>
      <c r="X8" s="50" t="n">
        <v>0</v>
      </c>
      <c r="Y8" s="50" t="n">
        <v>0</v>
      </c>
      <c r="Z8" s="50" t="n">
        <v>1</v>
      </c>
      <c r="AA8" s="50" t="n">
        <v>1</v>
      </c>
      <c r="AB8" s="50" t="n">
        <v>1</v>
      </c>
      <c r="AC8" s="50" t="n">
        <v>1</v>
      </c>
      <c r="AD8" s="50" t="n">
        <v>1</v>
      </c>
      <c r="AE8" s="50" t="n">
        <v>1</v>
      </c>
    </row>
    <row r="10">
      <c r="A10" s="51" t="inlineStr">
        <is>
          <t>SEASONALITY - normalised to EXACTLY 12.000 by construction</t>
        </is>
      </c>
      <c r="B10" s="52" t="n"/>
      <c r="C10" s="52" t="n"/>
      <c r="D10" s="52" t="n"/>
      <c r="E10" s="52" t="n"/>
      <c r="F10" s="52" t="n"/>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c r="AA10" s="52" t="n"/>
      <c r="AB10" s="52" t="n"/>
      <c r="AC10" s="52" t="n"/>
      <c r="AD10" s="52" t="n"/>
      <c r="AE10" s="52" t="n"/>
    </row>
    <row r="11">
      <c r="A11" t="inlineStr">
        <is>
          <t>Acquisition seasonality - normalised</t>
        </is>
      </c>
      <c r="B11" s="23" t="inlineStr">
        <is>
          <t>Jan..Dec</t>
        </is>
      </c>
      <c r="C11" s="53">
        <f>(1+(Assumptions!$F$61-1)*Assumptions!$B$148)*12/SUMPRODUCT(1+(Assumptions!$F$61:$Q$61-1)*Assumptions!$B$148)</f>
        <v/>
      </c>
      <c r="D11" s="53">
        <f>(1+(Assumptions!$G$61-1)*Assumptions!$B$148)*12/SUMPRODUCT(1+(Assumptions!$F$61:$Q$61-1)*Assumptions!$B$148)</f>
        <v/>
      </c>
      <c r="E11" s="53">
        <f>(1+(Assumptions!$H$61-1)*Assumptions!$B$148)*12/SUMPRODUCT(1+(Assumptions!$F$61:$Q$61-1)*Assumptions!$B$148)</f>
        <v/>
      </c>
      <c r="F11" s="53">
        <f>(1+(Assumptions!$I$61-1)*Assumptions!$B$148)*12/SUMPRODUCT(1+(Assumptions!$F$61:$Q$61-1)*Assumptions!$B$148)</f>
        <v/>
      </c>
      <c r="G11" s="53">
        <f>(1+(Assumptions!$J$61-1)*Assumptions!$B$148)*12/SUMPRODUCT(1+(Assumptions!$F$61:$Q$61-1)*Assumptions!$B$148)</f>
        <v/>
      </c>
      <c r="H11" s="53">
        <f>(1+(Assumptions!$K$61-1)*Assumptions!$B$148)*12/SUMPRODUCT(1+(Assumptions!$F$61:$Q$61-1)*Assumptions!$B$148)</f>
        <v/>
      </c>
      <c r="I11" s="53">
        <f>(1+(Assumptions!$L$61-1)*Assumptions!$B$148)*12/SUMPRODUCT(1+(Assumptions!$F$61:$Q$61-1)*Assumptions!$B$148)</f>
        <v/>
      </c>
      <c r="J11" s="53">
        <f>(1+(Assumptions!$M$61-1)*Assumptions!$B$148)*12/SUMPRODUCT(1+(Assumptions!$F$61:$Q$61-1)*Assumptions!$B$148)</f>
        <v/>
      </c>
      <c r="K11" s="53">
        <f>(1+(Assumptions!$N$61-1)*Assumptions!$B$148)*12/SUMPRODUCT(1+(Assumptions!$F$61:$Q$61-1)*Assumptions!$B$148)</f>
        <v/>
      </c>
      <c r="L11" s="53">
        <f>(1+(Assumptions!$O$61-1)*Assumptions!$B$148)*12/SUMPRODUCT(1+(Assumptions!$F$61:$Q$61-1)*Assumptions!$B$148)</f>
        <v/>
      </c>
      <c r="M11" s="53">
        <f>(1+(Assumptions!$P$61-1)*Assumptions!$B$148)*12/SUMPRODUCT(1+(Assumptions!$F$61:$Q$61-1)*Assumptions!$B$148)</f>
        <v/>
      </c>
      <c r="N11" s="53">
        <f>(1+(Assumptions!$Q$61-1)*Assumptions!$B$148)*12/SUMPRODUCT(1+(Assumptions!$F$61:$Q$61-1)*Assumptions!$B$148)</f>
        <v/>
      </c>
    </row>
    <row r="12">
      <c r="A12" t="inlineStr">
        <is>
          <t>Card spend seasonality - normalised</t>
        </is>
      </c>
      <c r="B12" s="23" t="inlineStr">
        <is>
          <t>Jan..Dec</t>
        </is>
      </c>
      <c r="C12" s="53">
        <f>(1+(Assumptions!$F$62-1)*Assumptions!$B$148)*12/SUMPRODUCT(1+(Assumptions!$F$62:$Q$62-1)*Assumptions!$B$148)</f>
        <v/>
      </c>
      <c r="D12" s="53">
        <f>(1+(Assumptions!$G$62-1)*Assumptions!$B$148)*12/SUMPRODUCT(1+(Assumptions!$F$62:$Q$62-1)*Assumptions!$B$148)</f>
        <v/>
      </c>
      <c r="E12" s="53">
        <f>(1+(Assumptions!$H$62-1)*Assumptions!$B$148)*12/SUMPRODUCT(1+(Assumptions!$F$62:$Q$62-1)*Assumptions!$B$148)</f>
        <v/>
      </c>
      <c r="F12" s="53">
        <f>(1+(Assumptions!$I$62-1)*Assumptions!$B$148)*12/SUMPRODUCT(1+(Assumptions!$F$62:$Q$62-1)*Assumptions!$B$148)</f>
        <v/>
      </c>
      <c r="G12" s="53">
        <f>(1+(Assumptions!$J$62-1)*Assumptions!$B$148)*12/SUMPRODUCT(1+(Assumptions!$F$62:$Q$62-1)*Assumptions!$B$148)</f>
        <v/>
      </c>
      <c r="H12" s="53">
        <f>(1+(Assumptions!$K$62-1)*Assumptions!$B$148)*12/SUMPRODUCT(1+(Assumptions!$F$62:$Q$62-1)*Assumptions!$B$148)</f>
        <v/>
      </c>
      <c r="I12" s="53">
        <f>(1+(Assumptions!$L$62-1)*Assumptions!$B$148)*12/SUMPRODUCT(1+(Assumptions!$F$62:$Q$62-1)*Assumptions!$B$148)</f>
        <v/>
      </c>
      <c r="J12" s="53">
        <f>(1+(Assumptions!$M$62-1)*Assumptions!$B$148)*12/SUMPRODUCT(1+(Assumptions!$F$62:$Q$62-1)*Assumptions!$B$148)</f>
        <v/>
      </c>
      <c r="K12" s="53">
        <f>(1+(Assumptions!$N$62-1)*Assumptions!$B$148)*12/SUMPRODUCT(1+(Assumptions!$F$62:$Q$62-1)*Assumptions!$B$148)</f>
        <v/>
      </c>
      <c r="L12" s="53">
        <f>(1+(Assumptions!$O$62-1)*Assumptions!$B$148)*12/SUMPRODUCT(1+(Assumptions!$F$62:$Q$62-1)*Assumptions!$B$148)</f>
        <v/>
      </c>
      <c r="M12" s="53">
        <f>(1+(Assumptions!$P$62-1)*Assumptions!$B$148)*12/SUMPRODUCT(1+(Assumptions!$F$62:$Q$62-1)*Assumptions!$B$148)</f>
        <v/>
      </c>
      <c r="N12" s="53">
        <f>(1+(Assumptions!$Q$62-1)*Assumptions!$B$148)*12/SUMPRODUCT(1+(Assumptions!$F$62:$Q$62-1)*Assumptions!$B$148)</f>
        <v/>
      </c>
    </row>
    <row r="13">
      <c r="A13" t="inlineStr">
        <is>
          <t>Foreign-spend share - rescaled to the mean</t>
        </is>
      </c>
      <c r="B13" s="23" t="inlineStr">
        <is>
          <t>Jan..Dec</t>
        </is>
      </c>
      <c r="C13" s="54">
        <f>Assumptions!$F$63/AVERAGE(Assumptions!$F$63:$Q$63)*Assumptions!$B$160</f>
        <v/>
      </c>
      <c r="D13" s="54">
        <f>Assumptions!$G$63/AVERAGE(Assumptions!$F$63:$Q$63)*Assumptions!$B$160</f>
        <v/>
      </c>
      <c r="E13" s="54">
        <f>Assumptions!$H$63/AVERAGE(Assumptions!$F$63:$Q$63)*Assumptions!$B$160</f>
        <v/>
      </c>
      <c r="F13" s="54">
        <f>Assumptions!$I$63/AVERAGE(Assumptions!$F$63:$Q$63)*Assumptions!$B$160</f>
        <v/>
      </c>
      <c r="G13" s="54">
        <f>Assumptions!$J$63/AVERAGE(Assumptions!$F$63:$Q$63)*Assumptions!$B$160</f>
        <v/>
      </c>
      <c r="H13" s="54">
        <f>Assumptions!$K$63/AVERAGE(Assumptions!$F$63:$Q$63)*Assumptions!$B$160</f>
        <v/>
      </c>
      <c r="I13" s="54">
        <f>Assumptions!$L$63/AVERAGE(Assumptions!$F$63:$Q$63)*Assumptions!$B$160</f>
        <v/>
      </c>
      <c r="J13" s="54">
        <f>Assumptions!$M$63/AVERAGE(Assumptions!$F$63:$Q$63)*Assumptions!$B$160</f>
        <v/>
      </c>
      <c r="K13" s="54">
        <f>Assumptions!$N$63/AVERAGE(Assumptions!$F$63:$Q$63)*Assumptions!$B$160</f>
        <v/>
      </c>
      <c r="L13" s="54">
        <f>Assumptions!$O$63/AVERAGE(Assumptions!$F$63:$Q$63)*Assumptions!$B$160</f>
        <v/>
      </c>
      <c r="M13" s="54">
        <f>Assumptions!$P$63/AVERAGE(Assumptions!$F$63:$Q$63)*Assumptions!$B$160</f>
        <v/>
      </c>
      <c r="N13" s="54">
        <f>Assumptions!$Q$63/AVERAGE(Assumptions!$F$63:$Q$63)*Assumptions!$B$160</f>
        <v/>
      </c>
    </row>
    <row r="14">
      <c r="A14" s="3" t="inlineStr">
        <is>
          <t>Seasonality sum check (must be exactly 12.000)</t>
        </is>
      </c>
      <c r="B14" s="23" t="inlineStr">
        <is>
          <t>acq | spend</t>
        </is>
      </c>
      <c r="C14" s="55">
        <f>SUM($C$11:$N$11)</f>
        <v/>
      </c>
      <c r="D14" s="55">
        <f>SUM($C$12:$N$12)</f>
        <v/>
      </c>
    </row>
    <row r="15">
      <c r="A15" s="6" t="inlineStr">
        <is>
          <t>Acquisition seasonality applied</t>
        </is>
      </c>
      <c r="B15" s="23" t="inlineStr">
        <is>
          <t>multiplier</t>
        </is>
      </c>
      <c r="C15" s="56">
        <f>IF(C7=1,INDEX($C$11:$N$11,1,C6),1)</f>
        <v/>
      </c>
      <c r="D15" s="56">
        <f>IF(D7=1,INDEX($C$11:$N$11,1,D6),1)</f>
        <v/>
      </c>
      <c r="E15" s="56">
        <f>IF(E7=1,INDEX($C$11:$N$11,1,E6),1)</f>
        <v/>
      </c>
      <c r="F15" s="56">
        <f>IF(F7=1,INDEX($C$11:$N$11,1,F6),1)</f>
        <v/>
      </c>
      <c r="G15" s="56">
        <f>IF(G7=1,INDEX($C$11:$N$11,1,G6),1)</f>
        <v/>
      </c>
      <c r="H15" s="56">
        <f>IF(H7=1,INDEX($C$11:$N$11,1,H6),1)</f>
        <v/>
      </c>
      <c r="I15" s="56">
        <f>IF(I7=1,INDEX($C$11:$N$11,1,I6),1)</f>
        <v/>
      </c>
      <c r="J15" s="56">
        <f>IF(J7=1,INDEX($C$11:$N$11,1,J6),1)</f>
        <v/>
      </c>
      <c r="K15" s="56">
        <f>IF(K7=1,INDEX($C$11:$N$11,1,K6),1)</f>
        <v/>
      </c>
      <c r="L15" s="56">
        <f>IF(L7=1,INDEX($C$11:$N$11,1,L6),1)</f>
        <v/>
      </c>
      <c r="M15" s="56">
        <f>IF(M7=1,INDEX($C$11:$N$11,1,M6),1)</f>
        <v/>
      </c>
      <c r="N15" s="56">
        <f>IF(N7=1,INDEX($C$11:$N$11,1,N6),1)</f>
        <v/>
      </c>
      <c r="O15" s="56">
        <f>IF(O7=1,INDEX($C$11:$N$11,1,O6),1)</f>
        <v/>
      </c>
      <c r="P15" s="56">
        <f>IF(P7=1,INDEX($C$11:$N$11,1,P6),1)</f>
        <v/>
      </c>
      <c r="Q15" s="56">
        <f>IF(Q7=1,INDEX($C$11:$N$11,1,Q6),1)</f>
        <v/>
      </c>
      <c r="R15" s="56">
        <f>IF(R7=1,INDEX($C$11:$N$11,1,R6),1)</f>
        <v/>
      </c>
      <c r="S15" s="56">
        <f>IF(S7=1,INDEX($C$11:$N$11,1,S6),1)</f>
        <v/>
      </c>
      <c r="T15" s="56">
        <f>IF(T7=1,INDEX($C$11:$N$11,1,T6),1)</f>
        <v/>
      </c>
      <c r="U15" s="56">
        <f>IF(U7=1,INDEX($C$11:$N$11,1,U6),1)</f>
        <v/>
      </c>
      <c r="V15" s="56">
        <f>IF(V7=1,INDEX($C$11:$N$11,1,V6),1)</f>
        <v/>
      </c>
      <c r="W15" s="56">
        <f>IF(W7=1,INDEX($C$11:$N$11,1,W6),1)</f>
        <v/>
      </c>
      <c r="X15" s="56">
        <f>IF(X7=1,INDEX($C$11:$N$11,1,X6),1)</f>
        <v/>
      </c>
      <c r="Y15" s="56">
        <f>IF(Y7=1,INDEX($C$11:$N$11,1,Y6),1)</f>
        <v/>
      </c>
      <c r="Z15" s="56">
        <f>IF(Z7=1,INDEX($C$11:$N$11,1,Z6),1)</f>
        <v/>
      </c>
      <c r="AA15" s="56">
        <f>IF(AA7=1,INDEX($C$11:$N$11,1,AA6),1)</f>
        <v/>
      </c>
      <c r="AB15" s="56">
        <f>IF(AB7=1,INDEX($C$11:$N$11,1,AB6),1)</f>
        <v/>
      </c>
      <c r="AC15" s="56">
        <f>IF(AC7=1,INDEX($C$11:$N$11,1,AC6),1)</f>
        <v/>
      </c>
      <c r="AD15" s="56">
        <f>IF(AD7=1,INDEX($C$11:$N$11,1,AD6),1)</f>
        <v/>
      </c>
      <c r="AE15" s="56">
        <f>IF(AE7=1,INDEX($C$11:$N$11,1,AE6),1)</f>
        <v/>
      </c>
    </row>
    <row r="16">
      <c r="A16" s="6" t="inlineStr">
        <is>
          <t>Card spend seasonality applied</t>
        </is>
      </c>
      <c r="B16" s="23" t="inlineStr">
        <is>
          <t>multiplier</t>
        </is>
      </c>
      <c r="C16" s="56">
        <f>IF(C7=1,INDEX($C$12:$N$12,1,C6),1)</f>
        <v/>
      </c>
      <c r="D16" s="56">
        <f>IF(D7=1,INDEX($C$12:$N$12,1,D6),1)</f>
        <v/>
      </c>
      <c r="E16" s="56">
        <f>IF(E7=1,INDEX($C$12:$N$12,1,E6),1)</f>
        <v/>
      </c>
      <c r="F16" s="56">
        <f>IF(F7=1,INDEX($C$12:$N$12,1,F6),1)</f>
        <v/>
      </c>
      <c r="G16" s="56">
        <f>IF(G7=1,INDEX($C$12:$N$12,1,G6),1)</f>
        <v/>
      </c>
      <c r="H16" s="56">
        <f>IF(H7=1,INDEX($C$12:$N$12,1,H6),1)</f>
        <v/>
      </c>
      <c r="I16" s="56">
        <f>IF(I7=1,INDEX($C$12:$N$12,1,I6),1)</f>
        <v/>
      </c>
      <c r="J16" s="56">
        <f>IF(J7=1,INDEX($C$12:$N$12,1,J6),1)</f>
        <v/>
      </c>
      <c r="K16" s="56">
        <f>IF(K7=1,INDEX($C$12:$N$12,1,K6),1)</f>
        <v/>
      </c>
      <c r="L16" s="56">
        <f>IF(L7=1,INDEX($C$12:$N$12,1,L6),1)</f>
        <v/>
      </c>
      <c r="M16" s="56">
        <f>IF(M7=1,INDEX($C$12:$N$12,1,M6),1)</f>
        <v/>
      </c>
      <c r="N16" s="56">
        <f>IF(N7=1,INDEX($C$12:$N$12,1,N6),1)</f>
        <v/>
      </c>
      <c r="O16" s="56">
        <f>IF(O7=1,INDEX($C$12:$N$12,1,O6),1)</f>
        <v/>
      </c>
      <c r="P16" s="56">
        <f>IF(P7=1,INDEX($C$12:$N$12,1,P6),1)</f>
        <v/>
      </c>
      <c r="Q16" s="56">
        <f>IF(Q7=1,INDEX($C$12:$N$12,1,Q6),1)</f>
        <v/>
      </c>
      <c r="R16" s="56">
        <f>IF(R7=1,INDEX($C$12:$N$12,1,R6),1)</f>
        <v/>
      </c>
      <c r="S16" s="56">
        <f>IF(S7=1,INDEX($C$12:$N$12,1,S6),1)</f>
        <v/>
      </c>
      <c r="T16" s="56">
        <f>IF(T7=1,INDEX($C$12:$N$12,1,T6),1)</f>
        <v/>
      </c>
      <c r="U16" s="56">
        <f>IF(U7=1,INDEX($C$12:$N$12,1,U6),1)</f>
        <v/>
      </c>
      <c r="V16" s="56">
        <f>IF(V7=1,INDEX($C$12:$N$12,1,V6),1)</f>
        <v/>
      </c>
      <c r="W16" s="56">
        <f>IF(W7=1,INDEX($C$12:$N$12,1,W6),1)</f>
        <v/>
      </c>
      <c r="X16" s="56">
        <f>IF(X7=1,INDEX($C$12:$N$12,1,X6),1)</f>
        <v/>
      </c>
      <c r="Y16" s="56">
        <f>IF(Y7=1,INDEX($C$12:$N$12,1,Y6),1)</f>
        <v/>
      </c>
      <c r="Z16" s="56">
        <f>IF(Z7=1,INDEX($C$12:$N$12,1,Z6),1)</f>
        <v/>
      </c>
      <c r="AA16" s="56">
        <f>IF(AA7=1,INDEX($C$12:$N$12,1,AA6),1)</f>
        <v/>
      </c>
      <c r="AB16" s="56">
        <f>IF(AB7=1,INDEX($C$12:$N$12,1,AB6),1)</f>
        <v/>
      </c>
      <c r="AC16" s="56">
        <f>IF(AC7=1,INDEX($C$12:$N$12,1,AC6),1)</f>
        <v/>
      </c>
      <c r="AD16" s="56">
        <f>IF(AD7=1,INDEX($C$12:$N$12,1,AD6),1)</f>
        <v/>
      </c>
      <c r="AE16" s="56">
        <f>IF(AE7=1,INDEX($C$12:$N$12,1,AE6),1)</f>
        <v/>
      </c>
    </row>
    <row r="17">
      <c r="A17" s="6" t="inlineStr">
        <is>
          <t>Foreign-spend share applied</t>
        </is>
      </c>
      <c r="B17" s="23" t="inlineStr">
        <is>
          <t>%</t>
        </is>
      </c>
      <c r="C17" s="57">
        <f>IF(C7=1,INDEX($C$13:$N$13,1,C6),AVERAGE($C$13:$N$13))</f>
        <v/>
      </c>
      <c r="D17" s="57">
        <f>IF(D7=1,INDEX($C$13:$N$13,1,D6),AVERAGE($C$13:$N$13))</f>
        <v/>
      </c>
      <c r="E17" s="57">
        <f>IF(E7=1,INDEX($C$13:$N$13,1,E6),AVERAGE($C$13:$N$13))</f>
        <v/>
      </c>
      <c r="F17" s="57">
        <f>IF(F7=1,INDEX($C$13:$N$13,1,F6),AVERAGE($C$13:$N$13))</f>
        <v/>
      </c>
      <c r="G17" s="57">
        <f>IF(G7=1,INDEX($C$13:$N$13,1,G6),AVERAGE($C$13:$N$13))</f>
        <v/>
      </c>
      <c r="H17" s="57">
        <f>IF(H7=1,INDEX($C$13:$N$13,1,H6),AVERAGE($C$13:$N$13))</f>
        <v/>
      </c>
      <c r="I17" s="57">
        <f>IF(I7=1,INDEX($C$13:$N$13,1,I6),AVERAGE($C$13:$N$13))</f>
        <v/>
      </c>
      <c r="J17" s="57">
        <f>IF(J7=1,INDEX($C$13:$N$13,1,J6),AVERAGE($C$13:$N$13))</f>
        <v/>
      </c>
      <c r="K17" s="57">
        <f>IF(K7=1,INDEX($C$13:$N$13,1,K6),AVERAGE($C$13:$N$13))</f>
        <v/>
      </c>
      <c r="L17" s="57">
        <f>IF(L7=1,INDEX($C$13:$N$13,1,L6),AVERAGE($C$13:$N$13))</f>
        <v/>
      </c>
      <c r="M17" s="57">
        <f>IF(M7=1,INDEX($C$13:$N$13,1,M6),AVERAGE($C$13:$N$13))</f>
        <v/>
      </c>
      <c r="N17" s="57">
        <f>IF(N7=1,INDEX($C$13:$N$13,1,N6),AVERAGE($C$13:$N$13))</f>
        <v/>
      </c>
      <c r="O17" s="57">
        <f>IF(O7=1,INDEX($C$13:$N$13,1,O6),AVERAGE($C$13:$N$13))</f>
        <v/>
      </c>
      <c r="P17" s="57">
        <f>IF(P7=1,INDEX($C$13:$N$13,1,P6),AVERAGE($C$13:$N$13))</f>
        <v/>
      </c>
      <c r="Q17" s="57">
        <f>IF(Q7=1,INDEX($C$13:$N$13,1,Q6),AVERAGE($C$13:$N$13))</f>
        <v/>
      </c>
      <c r="R17" s="57">
        <f>IF(R7=1,INDEX($C$13:$N$13,1,R6),AVERAGE($C$13:$N$13))</f>
        <v/>
      </c>
      <c r="S17" s="57">
        <f>IF(S7=1,INDEX($C$13:$N$13,1,S6),AVERAGE($C$13:$N$13))</f>
        <v/>
      </c>
      <c r="T17" s="57">
        <f>IF(T7=1,INDEX($C$13:$N$13,1,T6),AVERAGE($C$13:$N$13))</f>
        <v/>
      </c>
      <c r="U17" s="57">
        <f>IF(U7=1,INDEX($C$13:$N$13,1,U6),AVERAGE($C$13:$N$13))</f>
        <v/>
      </c>
      <c r="V17" s="57">
        <f>IF(V7=1,INDEX($C$13:$N$13,1,V6),AVERAGE($C$13:$N$13))</f>
        <v/>
      </c>
      <c r="W17" s="57">
        <f>IF(W7=1,INDEX($C$13:$N$13,1,W6),AVERAGE($C$13:$N$13))</f>
        <v/>
      </c>
      <c r="X17" s="57">
        <f>IF(X7=1,INDEX($C$13:$N$13,1,X6),AVERAGE($C$13:$N$13))</f>
        <v/>
      </c>
      <c r="Y17" s="57">
        <f>IF(Y7=1,INDEX($C$13:$N$13,1,Y6),AVERAGE($C$13:$N$13))</f>
        <v/>
      </c>
      <c r="Z17" s="57">
        <f>IF(Z7=1,INDEX($C$13:$N$13,1,Z6),AVERAGE($C$13:$N$13))</f>
        <v/>
      </c>
      <c r="AA17" s="57">
        <f>IF(AA7=1,INDEX($C$13:$N$13,1,AA6),AVERAGE($C$13:$N$13))</f>
        <v/>
      </c>
      <c r="AB17" s="57">
        <f>IF(AB7=1,INDEX($C$13:$N$13,1,AB6),AVERAGE($C$13:$N$13))</f>
        <v/>
      </c>
      <c r="AC17" s="57">
        <f>IF(AC7=1,INDEX($C$13:$N$13,1,AC6),AVERAGE($C$13:$N$13))</f>
        <v/>
      </c>
      <c r="AD17" s="57">
        <f>IF(AD7=1,INDEX($C$13:$N$13,1,AD6),AVERAGE($C$13:$N$13))</f>
        <v/>
      </c>
      <c r="AE17" s="57">
        <f>IF(AE7=1,INDEX($C$13:$N$13,1,AE6),AVERAGE($C$13:$N$13))</f>
        <v/>
      </c>
    </row>
    <row r="19">
      <c r="A19" s="51" t="inlineStr">
        <is>
          <t>ACQUISITION - all channels, then split across regions</t>
        </is>
      </c>
      <c r="B19" s="52" t="n"/>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c r="AA19" s="52" t="n"/>
      <c r="AB19" s="52" t="n"/>
      <c r="AC19" s="52" t="n"/>
      <c r="AD19" s="52" t="n"/>
      <c r="AE19" s="52" t="n"/>
    </row>
    <row r="20">
      <c r="A20" s="6" t="inlineStr">
        <is>
          <t>Gold price (this period)</t>
        </is>
      </c>
      <c r="B20" s="23" t="inlineStr">
        <is>
          <t>USD/g</t>
        </is>
      </c>
      <c r="C20" s="58">
        <f>Assumptions!$B$6*(1+Assumptions!$B$131)^(C5-1)</f>
        <v/>
      </c>
      <c r="D20" s="58">
        <f>Assumptions!$B$6*(1+Assumptions!$B$131)^(D5-1)</f>
        <v/>
      </c>
      <c r="E20" s="58">
        <f>Assumptions!$B$6*(1+Assumptions!$B$131)^(E5-1)</f>
        <v/>
      </c>
      <c r="F20" s="58">
        <f>Assumptions!$B$6*(1+Assumptions!$B$131)^(F5-1)</f>
        <v/>
      </c>
      <c r="G20" s="58">
        <f>Assumptions!$B$6*(1+Assumptions!$B$131)^(G5-1)</f>
        <v/>
      </c>
      <c r="H20" s="58">
        <f>Assumptions!$B$6*(1+Assumptions!$B$131)^(H5-1)</f>
        <v/>
      </c>
      <c r="I20" s="58">
        <f>Assumptions!$B$6*(1+Assumptions!$B$131)^(I5-1)</f>
        <v/>
      </c>
      <c r="J20" s="58">
        <f>Assumptions!$B$6*(1+Assumptions!$B$131)^(J5-1)</f>
        <v/>
      </c>
      <c r="K20" s="58">
        <f>Assumptions!$B$6*(1+Assumptions!$B$131)^(K5-1)</f>
        <v/>
      </c>
      <c r="L20" s="58">
        <f>Assumptions!$B$6*(1+Assumptions!$B$131)^(L5-1)</f>
        <v/>
      </c>
      <c r="M20" s="58">
        <f>Assumptions!$B$6*(1+Assumptions!$B$131)^(M5-1)</f>
        <v/>
      </c>
      <c r="N20" s="58">
        <f>Assumptions!$B$6*(1+Assumptions!$B$131)^(N5-1)</f>
        <v/>
      </c>
      <c r="O20" s="58">
        <f>Assumptions!$B$6*(1+Assumptions!$B$131)^(O5-1)</f>
        <v/>
      </c>
      <c r="P20" s="58">
        <f>Assumptions!$B$6*(1+Assumptions!$B$131)^(P5-1)</f>
        <v/>
      </c>
      <c r="Q20" s="58">
        <f>Assumptions!$B$6*(1+Assumptions!$B$131)^(Q5-1)</f>
        <v/>
      </c>
      <c r="R20" s="58">
        <f>Assumptions!$B$6*(1+Assumptions!$B$131)^(R5-1)</f>
        <v/>
      </c>
      <c r="S20" s="58">
        <f>Assumptions!$B$6*(1+Assumptions!$B$131)^(S5-1)</f>
        <v/>
      </c>
      <c r="T20" s="58">
        <f>Assumptions!$B$6*(1+Assumptions!$B$131)^(T5-1)</f>
        <v/>
      </c>
      <c r="U20" s="58">
        <f>Assumptions!$B$6*(1+Assumptions!$B$131)^(U5-1)</f>
        <v/>
      </c>
      <c r="V20" s="58">
        <f>Assumptions!$B$6*(1+Assumptions!$B$131)^(V5-1)</f>
        <v/>
      </c>
      <c r="W20" s="58">
        <f>Assumptions!$B$6*(1+Assumptions!$B$131)^(W5-1)</f>
        <v/>
      </c>
      <c r="X20" s="58">
        <f>Assumptions!$B$6*(1+Assumptions!$B$131)^(X5-1)</f>
        <v/>
      </c>
      <c r="Y20" s="58">
        <f>Assumptions!$B$6*(1+Assumptions!$B$131)^(Y5-1)</f>
        <v/>
      </c>
      <c r="Z20" s="58">
        <f>Assumptions!$B$6*(1+Assumptions!$B$131)^(Z5-1)</f>
        <v/>
      </c>
      <c r="AA20" s="58">
        <f>Assumptions!$B$6*(1+Assumptions!$B$131)^(AA5-1)</f>
        <v/>
      </c>
      <c r="AB20" s="58">
        <f>Assumptions!$B$6*(1+Assumptions!$B$131)^(AB5-1)</f>
        <v/>
      </c>
      <c r="AC20" s="58">
        <f>Assumptions!$B$6*(1+Assumptions!$B$131)^(AC5-1)</f>
        <v/>
      </c>
      <c r="AD20" s="58">
        <f>Assumptions!$B$6*(1+Assumptions!$B$131)^(AD5-1)</f>
        <v/>
      </c>
      <c r="AE20" s="58">
        <f>Assumptions!$B$6*(1+Assumptions!$B$131)^(AE5-1)</f>
        <v/>
      </c>
    </row>
    <row r="21">
      <c r="A21" s="9" t="inlineStr">
        <is>
          <t>RISING GOLD CUTS BOTH WAYS AND THE MODEL CAPTURES BOTH. Metal already held appreciates, but a fixed USD contribution BUYS FEWER GRAMS each year - so AUM does NOT simply compound at the headline rate. Only the collateral-linked streams move with this row (card limit, and lending through it); the entry fee is a percentage of a USD contribution and is untouched by the gold price.</t>
        </is>
      </c>
    </row>
    <row r="22" ht="20" customHeight="1">
      <c r="A22" s="12" t="inlineStr">
        <is>
          <t>REVENUE - the customer engine and the six streams, by region</t>
        </is>
      </c>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row>
    <row r="24">
      <c r="A24" s="51" t="inlineStr">
        <is>
          <t>REGION: UAE</t>
        </is>
      </c>
      <c r="B24" s="52" t="n"/>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c r="AA24" s="52" t="n"/>
      <c r="AB24" s="52" t="n"/>
      <c r="AC24" s="52" t="n"/>
      <c r="AD24" s="52" t="n"/>
      <c r="AE24" s="52" t="n"/>
    </row>
    <row r="25">
      <c r="A25" s="6" t="inlineStr">
        <is>
          <t xml:space="preserve">  Marketing CAC this period (ramping Y1 to Y7)</t>
        </is>
      </c>
      <c r="B25" s="23" t="inlineStr">
        <is>
          <t>USD/customer</t>
        </is>
      </c>
      <c r="C25" s="59">
        <f>Assumptions!$B$136+(Assumptions!$B$139-Assumptions!$B$136)*(C5-1)/6</f>
        <v/>
      </c>
      <c r="D25" s="59">
        <f>Assumptions!$B$136+(Assumptions!$B$139-Assumptions!$B$136)*(D5-1)/6</f>
        <v/>
      </c>
      <c r="E25" s="59">
        <f>Assumptions!$B$136+(Assumptions!$B$139-Assumptions!$B$136)*(E5-1)/6</f>
        <v/>
      </c>
      <c r="F25" s="59">
        <f>Assumptions!$B$136+(Assumptions!$B$139-Assumptions!$B$136)*(F5-1)/6</f>
        <v/>
      </c>
      <c r="G25" s="59">
        <f>Assumptions!$B$136+(Assumptions!$B$139-Assumptions!$B$136)*(G5-1)/6</f>
        <v/>
      </c>
      <c r="H25" s="59">
        <f>Assumptions!$B$136+(Assumptions!$B$139-Assumptions!$B$136)*(H5-1)/6</f>
        <v/>
      </c>
      <c r="I25" s="59">
        <f>Assumptions!$B$136+(Assumptions!$B$139-Assumptions!$B$136)*(I5-1)/6</f>
        <v/>
      </c>
      <c r="J25" s="59">
        <f>Assumptions!$B$136+(Assumptions!$B$139-Assumptions!$B$136)*(J5-1)/6</f>
        <v/>
      </c>
      <c r="K25" s="59">
        <f>Assumptions!$B$136+(Assumptions!$B$139-Assumptions!$B$136)*(K5-1)/6</f>
        <v/>
      </c>
      <c r="L25" s="59">
        <f>Assumptions!$B$136+(Assumptions!$B$139-Assumptions!$B$136)*(L5-1)/6</f>
        <v/>
      </c>
      <c r="M25" s="59">
        <f>Assumptions!$B$136+(Assumptions!$B$139-Assumptions!$B$136)*(M5-1)/6</f>
        <v/>
      </c>
      <c r="N25" s="59">
        <f>Assumptions!$B$136+(Assumptions!$B$139-Assumptions!$B$136)*(N5-1)/6</f>
        <v/>
      </c>
      <c r="O25" s="59">
        <f>Assumptions!$B$136+(Assumptions!$B$139-Assumptions!$B$136)*(O5-1)/6</f>
        <v/>
      </c>
      <c r="P25" s="59">
        <f>Assumptions!$B$136+(Assumptions!$B$139-Assumptions!$B$136)*(P5-1)/6</f>
        <v/>
      </c>
      <c r="Q25" s="59">
        <f>Assumptions!$B$136+(Assumptions!$B$139-Assumptions!$B$136)*(Q5-1)/6</f>
        <v/>
      </c>
      <c r="R25" s="59">
        <f>Assumptions!$B$136+(Assumptions!$B$139-Assumptions!$B$136)*(R5-1)/6</f>
        <v/>
      </c>
      <c r="S25" s="59">
        <f>Assumptions!$B$136+(Assumptions!$B$139-Assumptions!$B$136)*(S5-1)/6</f>
        <v/>
      </c>
      <c r="T25" s="59">
        <f>Assumptions!$B$136+(Assumptions!$B$139-Assumptions!$B$136)*(T5-1)/6</f>
        <v/>
      </c>
      <c r="U25" s="59">
        <f>Assumptions!$B$136+(Assumptions!$B$139-Assumptions!$B$136)*(U5-1)/6</f>
        <v/>
      </c>
      <c r="V25" s="59">
        <f>Assumptions!$B$136+(Assumptions!$B$139-Assumptions!$B$136)*(V5-1)/6</f>
        <v/>
      </c>
      <c r="W25" s="59">
        <f>Assumptions!$B$136+(Assumptions!$B$139-Assumptions!$B$136)*(W5-1)/6</f>
        <v/>
      </c>
      <c r="X25" s="59">
        <f>Assumptions!$B$136+(Assumptions!$B$139-Assumptions!$B$136)*(X5-1)/6</f>
        <v/>
      </c>
      <c r="Y25" s="59">
        <f>Assumptions!$B$136+(Assumptions!$B$139-Assumptions!$B$136)*(Y5-1)/6</f>
        <v/>
      </c>
      <c r="Z25" s="59">
        <f>Assumptions!$B$136+(Assumptions!$B$139-Assumptions!$B$136)*(Z5-1)/6</f>
        <v/>
      </c>
      <c r="AA25" s="59">
        <f>Assumptions!$B$136+(Assumptions!$B$139-Assumptions!$B$136)*(AA5-1)/6</f>
        <v/>
      </c>
      <c r="AB25" s="59">
        <f>Assumptions!$B$136+(Assumptions!$B$139-Assumptions!$B$136)*(AB5-1)/6</f>
        <v/>
      </c>
      <c r="AC25" s="59">
        <f>Assumptions!$B$136+(Assumptions!$B$139-Assumptions!$B$136)*(AC5-1)/6</f>
        <v/>
      </c>
      <c r="AD25" s="59">
        <f>Assumptions!$B$136+(Assumptions!$B$139-Assumptions!$B$136)*(AD5-1)/6</f>
        <v/>
      </c>
      <c r="AE25" s="59">
        <f>Assumptions!$B$136+(Assumptions!$B$139-Assumptions!$B$136)*(AE5-1)/6</f>
        <v/>
      </c>
    </row>
    <row r="26">
      <c r="A26" s="6" t="inlineStr">
        <is>
          <t xml:space="preserve">  Direct-driven (this market's budget at its own CAC)</t>
        </is>
      </c>
      <c r="B26" s="23" t="inlineStr">
        <is>
          <t>accounts</t>
        </is>
      </c>
      <c r="C26" s="58">
        <f>INDEX(Assumptions!$B$114:$B$120,C5)*Assumptions!$B$142/12*C7/C25*(1+Assumptions!$B$147)*1</f>
        <v/>
      </c>
      <c r="D26" s="58">
        <f>INDEX(Assumptions!$B$114:$B$120,D5)*Assumptions!$B$142/12*D7/D25*(1+Assumptions!$B$147)*1</f>
        <v/>
      </c>
      <c r="E26" s="58">
        <f>INDEX(Assumptions!$B$114:$B$120,E5)*Assumptions!$B$142/12*E7/E25*(1+Assumptions!$B$147)*1</f>
        <v/>
      </c>
      <c r="F26" s="58">
        <f>INDEX(Assumptions!$B$114:$B$120,F5)*Assumptions!$B$142/12*F7/F25*(1+Assumptions!$B$147)*1</f>
        <v/>
      </c>
      <c r="G26" s="58">
        <f>INDEX(Assumptions!$B$114:$B$120,G5)*Assumptions!$B$142/12*G7/G25*(1+Assumptions!$B$147)*1</f>
        <v/>
      </c>
      <c r="H26" s="58">
        <f>INDEX(Assumptions!$B$114:$B$120,H5)*Assumptions!$B$142/12*H7/H25*(1+Assumptions!$B$147)*1</f>
        <v/>
      </c>
      <c r="I26" s="58">
        <f>INDEX(Assumptions!$B$114:$B$120,I5)*Assumptions!$B$142/12*I7/I25*(1+Assumptions!$B$147)*1</f>
        <v/>
      </c>
      <c r="J26" s="58">
        <f>INDEX(Assumptions!$B$114:$B$120,J5)*Assumptions!$B$142/12*J7/J25*(1+Assumptions!$B$147)*1</f>
        <v/>
      </c>
      <c r="K26" s="58">
        <f>INDEX(Assumptions!$B$114:$B$120,K5)*Assumptions!$B$142/12*K7/K25*(1+Assumptions!$B$147)*1</f>
        <v/>
      </c>
      <c r="L26" s="58">
        <f>INDEX(Assumptions!$B$114:$B$120,L5)*Assumptions!$B$142/12*L7/L25*(1+Assumptions!$B$147)*1</f>
        <v/>
      </c>
      <c r="M26" s="58">
        <f>INDEX(Assumptions!$B$114:$B$120,M5)*Assumptions!$B$142/12*M7/M25*(1+Assumptions!$B$147)*1</f>
        <v/>
      </c>
      <c r="N26" s="58">
        <f>INDEX(Assumptions!$B$114:$B$120,N5)*Assumptions!$B$142/12*N7/N25*(1+Assumptions!$B$147)*1</f>
        <v/>
      </c>
      <c r="O26" s="58">
        <f>INDEX(Assumptions!$B$114:$B$120,O5)*Assumptions!$B$142/12*O7/O25*(1+Assumptions!$B$147)*1</f>
        <v/>
      </c>
      <c r="P26" s="58">
        <f>INDEX(Assumptions!$B$114:$B$120,P5)*Assumptions!$B$142/12*P7/P25*(1+Assumptions!$B$147)*1</f>
        <v/>
      </c>
      <c r="Q26" s="58">
        <f>INDEX(Assumptions!$B$114:$B$120,Q5)*Assumptions!$B$142/12*Q7/Q25*(1+Assumptions!$B$147)*1</f>
        <v/>
      </c>
      <c r="R26" s="58">
        <f>INDEX(Assumptions!$B$114:$B$120,R5)*Assumptions!$B$142/12*R7/R25*(1+Assumptions!$B$147)*1</f>
        <v/>
      </c>
      <c r="S26" s="58">
        <f>INDEX(Assumptions!$B$114:$B$120,S5)*Assumptions!$B$142/12*S7/S25*(1+Assumptions!$B$147)*1</f>
        <v/>
      </c>
      <c r="T26" s="58">
        <f>INDEX(Assumptions!$B$114:$B$120,T5)*Assumptions!$B$142/12*T7/T25*(1+Assumptions!$B$147)*1</f>
        <v/>
      </c>
      <c r="U26" s="58">
        <f>INDEX(Assumptions!$B$114:$B$120,U5)*Assumptions!$B$142/12*U7/U25*(1+Assumptions!$B$147)*1</f>
        <v/>
      </c>
      <c r="V26" s="58">
        <f>INDEX(Assumptions!$B$114:$B$120,V5)*Assumptions!$B$142/12*V7/V25*(1+Assumptions!$B$147)*1</f>
        <v/>
      </c>
      <c r="W26" s="58">
        <f>INDEX(Assumptions!$B$114:$B$120,W5)*Assumptions!$B$142/12*W7/W25*(1+Assumptions!$B$147)*1</f>
        <v/>
      </c>
      <c r="X26" s="58">
        <f>INDEX(Assumptions!$B$114:$B$120,X5)*Assumptions!$B$142/12*X7/X25*(1+Assumptions!$B$147)*1</f>
        <v/>
      </c>
      <c r="Y26" s="58">
        <f>INDEX(Assumptions!$B$114:$B$120,Y5)*Assumptions!$B$142/12*Y7/Y25*(1+Assumptions!$B$147)*1</f>
        <v/>
      </c>
      <c r="Z26" s="58">
        <f>INDEX(Assumptions!$B$114:$B$120,Z5)*Assumptions!$B$142/12*Z7/Z25*(1+Assumptions!$B$147)*1</f>
        <v/>
      </c>
      <c r="AA26" s="58">
        <f>INDEX(Assumptions!$B$114:$B$120,AA5)*Assumptions!$B$142/12*AA7/AA25*(1+Assumptions!$B$147)*1</f>
        <v/>
      </c>
      <c r="AB26" s="58">
        <f>INDEX(Assumptions!$B$114:$B$120,AB5)*Assumptions!$B$142/12*AB7/AB25*(1+Assumptions!$B$147)*1</f>
        <v/>
      </c>
      <c r="AC26" s="58">
        <f>INDEX(Assumptions!$B$114:$B$120,AC5)*Assumptions!$B$142/12*AC7/AC25*(1+Assumptions!$B$147)*1</f>
        <v/>
      </c>
      <c r="AD26" s="58">
        <f>INDEX(Assumptions!$B$114:$B$120,AD5)*Assumptions!$B$142/12*AD7/AD25*(1+Assumptions!$B$147)*1</f>
        <v/>
      </c>
      <c r="AE26" s="58">
        <f>INDEX(Assumptions!$B$114:$B$120,AE5)*Assumptions!$B$142/12*AE7/AE25*(1+Assumptions!$B$147)*1</f>
        <v/>
      </c>
    </row>
    <row r="27">
      <c r="A27" s="6" t="inlineStr">
        <is>
          <t xml:space="preserve">  Referral-driven (from this market's own base)</t>
        </is>
      </c>
      <c r="B27" s="23" t="inlineStr">
        <is>
          <t>accounts</t>
        </is>
      </c>
      <c r="C27" s="60" t="n">
        <v>0</v>
      </c>
      <c r="D27" s="60">
        <f>IF(D2&gt;=Assumptions!$B$55,C32*Assumptions!$B$145/12*Assumptions!$B$146*D7,0)</f>
        <v/>
      </c>
      <c r="E27" s="60">
        <f>IF(E2&gt;=Assumptions!$B$55,D32*Assumptions!$B$145/12*Assumptions!$B$146*E7,0)</f>
        <v/>
      </c>
      <c r="F27" s="60">
        <f>IF(F2&gt;=Assumptions!$B$55,E32*Assumptions!$B$145/12*Assumptions!$B$146*F7,0)</f>
        <v/>
      </c>
      <c r="G27" s="60">
        <f>IF(G2&gt;=Assumptions!$B$55,F32*Assumptions!$B$145/12*Assumptions!$B$146*G7,0)</f>
        <v/>
      </c>
      <c r="H27" s="60">
        <f>IF(H2&gt;=Assumptions!$B$55,G32*Assumptions!$B$145/12*Assumptions!$B$146*H7,0)</f>
        <v/>
      </c>
      <c r="I27" s="60">
        <f>IF(I2&gt;=Assumptions!$B$55,H32*Assumptions!$B$145/12*Assumptions!$B$146*I7,0)</f>
        <v/>
      </c>
      <c r="J27" s="60">
        <f>IF(J2&gt;=Assumptions!$B$55,I32*Assumptions!$B$145/12*Assumptions!$B$146*J7,0)</f>
        <v/>
      </c>
      <c r="K27" s="60">
        <f>IF(K2&gt;=Assumptions!$B$55,J32*Assumptions!$B$145/12*Assumptions!$B$146*K7,0)</f>
        <v/>
      </c>
      <c r="L27" s="60">
        <f>IF(L2&gt;=Assumptions!$B$55,K32*Assumptions!$B$145/12*Assumptions!$B$146*L7,0)</f>
        <v/>
      </c>
      <c r="M27" s="60">
        <f>IF(M2&gt;=Assumptions!$B$55,L32*Assumptions!$B$145/12*Assumptions!$B$146*M7,0)</f>
        <v/>
      </c>
      <c r="N27" s="60">
        <f>IF(N2&gt;=Assumptions!$B$55,M32*Assumptions!$B$145/12*Assumptions!$B$146*N7,0)</f>
        <v/>
      </c>
      <c r="O27" s="60">
        <f>IF(O2&gt;=Assumptions!$B$55,N32*Assumptions!$B$145/12*Assumptions!$B$146*O7,0)</f>
        <v/>
      </c>
      <c r="P27" s="60">
        <f>IF(P2&gt;=Assumptions!$B$55,O32*Assumptions!$B$145/12*Assumptions!$B$146*P7,0)</f>
        <v/>
      </c>
      <c r="Q27" s="60">
        <f>IF(Q2&gt;=Assumptions!$B$55,P32*Assumptions!$B$145/12*Assumptions!$B$146*Q7,0)</f>
        <v/>
      </c>
      <c r="R27" s="60">
        <f>IF(R2&gt;=Assumptions!$B$55,Q32*Assumptions!$B$145/12*Assumptions!$B$146*R7,0)</f>
        <v/>
      </c>
      <c r="S27" s="60">
        <f>IF(S2&gt;=Assumptions!$B$55,R32*Assumptions!$B$145/12*Assumptions!$B$146*S7,0)</f>
        <v/>
      </c>
      <c r="T27" s="60">
        <f>IF(T2&gt;=Assumptions!$B$55,S32*Assumptions!$B$145/12*Assumptions!$B$146*T7,0)</f>
        <v/>
      </c>
      <c r="U27" s="60">
        <f>IF(U2&gt;=Assumptions!$B$55,T32*Assumptions!$B$145/12*Assumptions!$B$146*U7,0)</f>
        <v/>
      </c>
      <c r="V27" s="60">
        <f>IF(V2&gt;=Assumptions!$B$55,U32*Assumptions!$B$145/12*Assumptions!$B$146*V7,0)</f>
        <v/>
      </c>
      <c r="W27" s="60">
        <f>IF(W2&gt;=Assumptions!$B$55,V32*Assumptions!$B$145/12*Assumptions!$B$146*W7,0)</f>
        <v/>
      </c>
      <c r="X27" s="60">
        <f>IF(X2&gt;=Assumptions!$B$55,W32*Assumptions!$B$145/12*Assumptions!$B$146*X7,0)</f>
        <v/>
      </c>
      <c r="Y27" s="60">
        <f>IF(Y2&gt;=Assumptions!$B$55,X32*Assumptions!$B$145/12*Assumptions!$B$146*Y7,0)</f>
        <v/>
      </c>
      <c r="Z27" s="60">
        <f>IF(Z2&gt;=Assumptions!$B$55,Y32*Assumptions!$B$145/12*Assumptions!$B$146*Z7,0)</f>
        <v/>
      </c>
      <c r="AA27" s="60">
        <f>IF(AA2&gt;=Assumptions!$B$55,Z32*Assumptions!$B$145/12*Assumptions!$B$146*AA7,0)</f>
        <v/>
      </c>
      <c r="AB27" s="60">
        <f>IF(AB2&gt;=Assumptions!$B$55,AA32*Assumptions!$B$145/12*Assumptions!$B$146*AB7,0)</f>
        <v/>
      </c>
      <c r="AC27" s="60">
        <f>IF(AC2&gt;=Assumptions!$B$55,AB32*Assumptions!$B$145/12*Assumptions!$B$146*AC7,0)</f>
        <v/>
      </c>
      <c r="AD27" s="60">
        <f>IF(AD2&gt;=Assumptions!$B$55,AC32*Assumptions!$B$145/12*Assumptions!$B$146*AD7,0)</f>
        <v/>
      </c>
      <c r="AE27" s="60">
        <f>IF(AE2&gt;=Assumptions!$B$55,AD32*Assumptions!$B$145/12*Assumptions!$B$146*AE7,0)</f>
        <v/>
      </c>
    </row>
    <row r="28">
      <c r="A28" s="6" t="inlineStr">
        <is>
          <t xml:space="preserve">  Agent-driven (this market's own agents)</t>
        </is>
      </c>
      <c r="B28" s="23" t="inlineStr">
        <is>
          <t>accounts</t>
        </is>
      </c>
      <c r="C28" s="58">
        <f>INDEX(Assumptions!$B$93:$B$99,C5)*Assumptions!$B$135*INDEX(Assumptions!$B$121:$B$127,C5)*C7*1</f>
        <v/>
      </c>
      <c r="D28" s="58">
        <f>INDEX(Assumptions!$B$93:$B$99,D5)*Assumptions!$B$135*INDEX(Assumptions!$B$121:$B$127,D5)*D7*1</f>
        <v/>
      </c>
      <c r="E28" s="58">
        <f>INDEX(Assumptions!$B$93:$B$99,E5)*Assumptions!$B$135*INDEX(Assumptions!$B$121:$B$127,E5)*E7*1</f>
        <v/>
      </c>
      <c r="F28" s="58">
        <f>INDEX(Assumptions!$B$93:$B$99,F5)*Assumptions!$B$135*INDEX(Assumptions!$B$121:$B$127,F5)*F7*1</f>
        <v/>
      </c>
      <c r="G28" s="58">
        <f>INDEX(Assumptions!$B$93:$B$99,G5)*Assumptions!$B$135*INDEX(Assumptions!$B$121:$B$127,G5)*G7*1</f>
        <v/>
      </c>
      <c r="H28" s="58">
        <f>INDEX(Assumptions!$B$93:$B$99,H5)*Assumptions!$B$135*INDEX(Assumptions!$B$121:$B$127,H5)*H7*1</f>
        <v/>
      </c>
      <c r="I28" s="58">
        <f>INDEX(Assumptions!$B$93:$B$99,I5)*Assumptions!$B$135*INDEX(Assumptions!$B$121:$B$127,I5)*I7*1</f>
        <v/>
      </c>
      <c r="J28" s="58">
        <f>INDEX(Assumptions!$B$93:$B$99,J5)*Assumptions!$B$135*INDEX(Assumptions!$B$121:$B$127,J5)*J7*1</f>
        <v/>
      </c>
      <c r="K28" s="58">
        <f>INDEX(Assumptions!$B$93:$B$99,K5)*Assumptions!$B$135*INDEX(Assumptions!$B$121:$B$127,K5)*K7*1</f>
        <v/>
      </c>
      <c r="L28" s="58">
        <f>INDEX(Assumptions!$B$93:$B$99,L5)*Assumptions!$B$135*INDEX(Assumptions!$B$121:$B$127,L5)*L7*1</f>
        <v/>
      </c>
      <c r="M28" s="58">
        <f>INDEX(Assumptions!$B$93:$B$99,M5)*Assumptions!$B$135*INDEX(Assumptions!$B$121:$B$127,M5)*M7*1</f>
        <v/>
      </c>
      <c r="N28" s="58">
        <f>INDEX(Assumptions!$B$93:$B$99,N5)*Assumptions!$B$135*INDEX(Assumptions!$B$121:$B$127,N5)*N7*1</f>
        <v/>
      </c>
      <c r="O28" s="58">
        <f>INDEX(Assumptions!$B$93:$B$99,O5)*Assumptions!$B$135*INDEX(Assumptions!$B$121:$B$127,O5)*O7*1</f>
        <v/>
      </c>
      <c r="P28" s="58">
        <f>INDEX(Assumptions!$B$93:$B$99,P5)*Assumptions!$B$135*INDEX(Assumptions!$B$121:$B$127,P5)*P7*1</f>
        <v/>
      </c>
      <c r="Q28" s="58">
        <f>INDEX(Assumptions!$B$93:$B$99,Q5)*Assumptions!$B$135*INDEX(Assumptions!$B$121:$B$127,Q5)*Q7*1</f>
        <v/>
      </c>
      <c r="R28" s="58">
        <f>INDEX(Assumptions!$B$93:$B$99,R5)*Assumptions!$B$135*INDEX(Assumptions!$B$121:$B$127,R5)*R7*1</f>
        <v/>
      </c>
      <c r="S28" s="58">
        <f>INDEX(Assumptions!$B$93:$B$99,S5)*Assumptions!$B$135*INDEX(Assumptions!$B$121:$B$127,S5)*S7*1</f>
        <v/>
      </c>
      <c r="T28" s="58">
        <f>INDEX(Assumptions!$B$93:$B$99,T5)*Assumptions!$B$135*INDEX(Assumptions!$B$121:$B$127,T5)*T7*1</f>
        <v/>
      </c>
      <c r="U28" s="58">
        <f>INDEX(Assumptions!$B$93:$B$99,U5)*Assumptions!$B$135*INDEX(Assumptions!$B$121:$B$127,U5)*U7*1</f>
        <v/>
      </c>
      <c r="V28" s="58">
        <f>INDEX(Assumptions!$B$93:$B$99,V5)*Assumptions!$B$135*INDEX(Assumptions!$B$121:$B$127,V5)*V7*1</f>
        <v/>
      </c>
      <c r="W28" s="58">
        <f>INDEX(Assumptions!$B$93:$B$99,W5)*Assumptions!$B$135*INDEX(Assumptions!$B$121:$B$127,W5)*W7*1</f>
        <v/>
      </c>
      <c r="X28" s="58">
        <f>INDEX(Assumptions!$B$93:$B$99,X5)*Assumptions!$B$135*INDEX(Assumptions!$B$121:$B$127,X5)*X7*1</f>
        <v/>
      </c>
      <c r="Y28" s="58">
        <f>INDEX(Assumptions!$B$93:$B$99,Y5)*Assumptions!$B$135*INDEX(Assumptions!$B$121:$B$127,Y5)*Y7*1</f>
        <v/>
      </c>
      <c r="Z28" s="58">
        <f>INDEX(Assumptions!$B$93:$B$99,Z5)*Assumptions!$B$135*INDEX(Assumptions!$B$121:$B$127,Z5)*Z7*1</f>
        <v/>
      </c>
      <c r="AA28" s="58">
        <f>INDEX(Assumptions!$B$93:$B$99,AA5)*Assumptions!$B$135*INDEX(Assumptions!$B$121:$B$127,AA5)*AA7*1</f>
        <v/>
      </c>
      <c r="AB28" s="58">
        <f>INDEX(Assumptions!$B$93:$B$99,AB5)*Assumptions!$B$135*INDEX(Assumptions!$B$121:$B$127,AB5)*AB7*1</f>
        <v/>
      </c>
      <c r="AC28" s="58">
        <f>INDEX(Assumptions!$B$93:$B$99,AC5)*Assumptions!$B$135*INDEX(Assumptions!$B$121:$B$127,AC5)*AC7*1</f>
        <v/>
      </c>
      <c r="AD28" s="58">
        <f>INDEX(Assumptions!$B$93:$B$99,AD5)*Assumptions!$B$135*INDEX(Assumptions!$B$121:$B$127,AD5)*AD7*1</f>
        <v/>
      </c>
      <c r="AE28" s="58">
        <f>INDEX(Assumptions!$B$93:$B$99,AE5)*Assumptions!$B$135*INDEX(Assumptions!$B$121:$B$127,AE5)*AE7*1</f>
        <v/>
      </c>
    </row>
    <row r="29">
      <c r="A29" s="6" t="inlineStr">
        <is>
          <t xml:space="preserve">  Raw demand</t>
        </is>
      </c>
      <c r="B29" s="23" t="inlineStr">
        <is>
          <t>accounts</t>
        </is>
      </c>
      <c r="C29" s="60">
        <f>C26+C27+C28</f>
        <v/>
      </c>
      <c r="D29" s="60">
        <f>D26+D27+D28</f>
        <v/>
      </c>
      <c r="E29" s="60">
        <f>E26+E27+E28</f>
        <v/>
      </c>
      <c r="F29" s="60">
        <f>F26+F27+F28</f>
        <v/>
      </c>
      <c r="G29" s="60">
        <f>G26+G27+G28</f>
        <v/>
      </c>
      <c r="H29" s="60">
        <f>H26+H27+H28</f>
        <v/>
      </c>
      <c r="I29" s="60">
        <f>I26+I27+I28</f>
        <v/>
      </c>
      <c r="J29" s="60">
        <f>J26+J27+J28</f>
        <v/>
      </c>
      <c r="K29" s="60">
        <f>K26+K27+K28</f>
        <v/>
      </c>
      <c r="L29" s="60">
        <f>L26+L27+L28</f>
        <v/>
      </c>
      <c r="M29" s="60">
        <f>M26+M27+M28</f>
        <v/>
      </c>
      <c r="N29" s="60">
        <f>N26+N27+N28</f>
        <v/>
      </c>
      <c r="O29" s="60">
        <f>O26+O27+O28</f>
        <v/>
      </c>
      <c r="P29" s="60">
        <f>P26+P27+P28</f>
        <v/>
      </c>
      <c r="Q29" s="60">
        <f>Q26+Q27+Q28</f>
        <v/>
      </c>
      <c r="R29" s="60">
        <f>R26+R27+R28</f>
        <v/>
      </c>
      <c r="S29" s="60">
        <f>S26+S27+S28</f>
        <v/>
      </c>
      <c r="T29" s="60">
        <f>T26+T27+T28</f>
        <v/>
      </c>
      <c r="U29" s="60">
        <f>U26+U27+U28</f>
        <v/>
      </c>
      <c r="V29" s="60">
        <f>V26+V27+V28</f>
        <v/>
      </c>
      <c r="W29" s="60">
        <f>W26+W27+W28</f>
        <v/>
      </c>
      <c r="X29" s="60">
        <f>X26+X27+X28</f>
        <v/>
      </c>
      <c r="Y29" s="60">
        <f>Y26+Y27+Y28</f>
        <v/>
      </c>
      <c r="Z29" s="60">
        <f>Z26+Z27+Z28</f>
        <v/>
      </c>
      <c r="AA29" s="60">
        <f>AA26+AA27+AA28</f>
        <v/>
      </c>
      <c r="AB29" s="60">
        <f>AB26+AB27+AB28</f>
        <v/>
      </c>
      <c r="AC29" s="60">
        <f>AC26+AC27+AC28</f>
        <v/>
      </c>
      <c r="AD29" s="60">
        <f>AD26+AD27+AD28</f>
        <v/>
      </c>
      <c r="AE29" s="60">
        <f>AE26+AE27+AE28</f>
        <v/>
      </c>
    </row>
    <row r="30">
      <c r="A30" s="6" t="inlineStr">
        <is>
          <t xml:space="preserve">  Saturation (this region's own headroom)</t>
        </is>
      </c>
      <c r="B30" s="23" t="inlineStr">
        <is>
          <t>x</t>
        </is>
      </c>
      <c r="C30" s="56" t="n">
        <v>1</v>
      </c>
      <c r="D30" s="56">
        <f>MAX(0,1-C35/Assumptions!$B$84)</f>
        <v/>
      </c>
      <c r="E30" s="56">
        <f>MAX(0,1-D35/Assumptions!$B$84)</f>
        <v/>
      </c>
      <c r="F30" s="56">
        <f>MAX(0,1-E35/Assumptions!$B$84)</f>
        <v/>
      </c>
      <c r="G30" s="56">
        <f>MAX(0,1-F35/Assumptions!$B$84)</f>
        <v/>
      </c>
      <c r="H30" s="56">
        <f>MAX(0,1-G35/Assumptions!$B$84)</f>
        <v/>
      </c>
      <c r="I30" s="56">
        <f>MAX(0,1-H35/Assumptions!$B$84)</f>
        <v/>
      </c>
      <c r="J30" s="56">
        <f>MAX(0,1-I35/Assumptions!$B$84)</f>
        <v/>
      </c>
      <c r="K30" s="56">
        <f>MAX(0,1-J35/Assumptions!$B$84)</f>
        <v/>
      </c>
      <c r="L30" s="56">
        <f>MAX(0,1-K35/Assumptions!$B$84)</f>
        <v/>
      </c>
      <c r="M30" s="56">
        <f>MAX(0,1-L35/Assumptions!$B$84)</f>
        <v/>
      </c>
      <c r="N30" s="56">
        <f>MAX(0,1-M35/Assumptions!$B$84)</f>
        <v/>
      </c>
      <c r="O30" s="56">
        <f>MAX(0,1-N35/Assumptions!$B$84)</f>
        <v/>
      </c>
      <c r="P30" s="56">
        <f>MAX(0,1-O35/Assumptions!$B$84)</f>
        <v/>
      </c>
      <c r="Q30" s="56">
        <f>MAX(0,1-P35/Assumptions!$B$84)</f>
        <v/>
      </c>
      <c r="R30" s="56">
        <f>MAX(0,1-Q35/Assumptions!$B$84)</f>
        <v/>
      </c>
      <c r="S30" s="56">
        <f>MAX(0,1-R35/Assumptions!$B$84)</f>
        <v/>
      </c>
      <c r="T30" s="56">
        <f>MAX(0,1-S35/Assumptions!$B$84)</f>
        <v/>
      </c>
      <c r="U30" s="56">
        <f>MAX(0,1-T35/Assumptions!$B$84)</f>
        <v/>
      </c>
      <c r="V30" s="56">
        <f>MAX(0,1-U35/Assumptions!$B$84)</f>
        <v/>
      </c>
      <c r="W30" s="56">
        <f>MAX(0,1-V35/Assumptions!$B$84)</f>
        <v/>
      </c>
      <c r="X30" s="56">
        <f>MAX(0,1-W35/Assumptions!$B$84)</f>
        <v/>
      </c>
      <c r="Y30" s="56">
        <f>MAX(0,1-X35/Assumptions!$B$84)</f>
        <v/>
      </c>
      <c r="Z30" s="56">
        <f>MAX(0,1-Y35/Assumptions!$B$84)</f>
        <v/>
      </c>
      <c r="AA30" s="56">
        <f>MAX(0,1-Z35/Assumptions!$B$84)</f>
        <v/>
      </c>
      <c r="AB30" s="56">
        <f>MAX(0,1-AA35/Assumptions!$B$84)</f>
        <v/>
      </c>
      <c r="AC30" s="56">
        <f>MAX(0,1-AB35/Assumptions!$B$84)</f>
        <v/>
      </c>
      <c r="AD30" s="56">
        <f>MAX(0,1-AC35/Assumptions!$B$84)</f>
        <v/>
      </c>
      <c r="AE30" s="56">
        <f>MAX(0,1-AD35/Assumptions!$B$84)</f>
        <v/>
      </c>
    </row>
    <row r="31">
      <c r="A31" s="6" t="inlineStr">
        <is>
          <t xml:space="preserve">  New customers</t>
        </is>
      </c>
      <c r="B31" s="23" t="inlineStr">
        <is>
          <t>accounts</t>
        </is>
      </c>
      <c r="C31" s="60">
        <f>C29*C30*C15</f>
        <v/>
      </c>
      <c r="D31" s="60">
        <f>D29*D30*D15</f>
        <v/>
      </c>
      <c r="E31" s="60">
        <f>E29*E30*E15</f>
        <v/>
      </c>
      <c r="F31" s="60">
        <f>F29*F30*F15</f>
        <v/>
      </c>
      <c r="G31" s="60">
        <f>G29*G30*G15</f>
        <v/>
      </c>
      <c r="H31" s="60">
        <f>H29*H30*H15</f>
        <v/>
      </c>
      <c r="I31" s="60">
        <f>I29*I30*I15</f>
        <v/>
      </c>
      <c r="J31" s="60">
        <f>J29*J30*J15</f>
        <v/>
      </c>
      <c r="K31" s="60">
        <f>K29*K30*K15</f>
        <v/>
      </c>
      <c r="L31" s="60">
        <f>L29*L30*L15</f>
        <v/>
      </c>
      <c r="M31" s="60">
        <f>M29*M30*M15</f>
        <v/>
      </c>
      <c r="N31" s="60">
        <f>N29*N30*N15</f>
        <v/>
      </c>
      <c r="O31" s="60">
        <f>O29*O30*O15</f>
        <v/>
      </c>
      <c r="P31" s="60">
        <f>P29*P30*P15</f>
        <v/>
      </c>
      <c r="Q31" s="60">
        <f>Q29*Q30*Q15</f>
        <v/>
      </c>
      <c r="R31" s="60">
        <f>R29*R30*R15</f>
        <v/>
      </c>
      <c r="S31" s="60">
        <f>S29*S30*S15</f>
        <v/>
      </c>
      <c r="T31" s="60">
        <f>T29*T30*T15</f>
        <v/>
      </c>
      <c r="U31" s="60">
        <f>U29*U30*U15</f>
        <v/>
      </c>
      <c r="V31" s="60">
        <f>V29*V30*V15</f>
        <v/>
      </c>
      <c r="W31" s="60">
        <f>W29*W30*W15</f>
        <v/>
      </c>
      <c r="X31" s="60">
        <f>X29*X30*X15</f>
        <v/>
      </c>
      <c r="Y31" s="60">
        <f>Y29*Y30*Y15</f>
        <v/>
      </c>
      <c r="Z31" s="60">
        <f>Z29*Z30*Z15</f>
        <v/>
      </c>
      <c r="AA31" s="60">
        <f>AA29*AA30*AA15</f>
        <v/>
      </c>
      <c r="AB31" s="60">
        <f>AB29*AB30*AB15</f>
        <v/>
      </c>
      <c r="AC31" s="60">
        <f>AC29*AC30*AC15</f>
        <v/>
      </c>
      <c r="AD31" s="60">
        <f>AD29*AD30*AD15</f>
        <v/>
      </c>
      <c r="AE31" s="60">
        <f>AE29*AE30*AE15</f>
        <v/>
      </c>
    </row>
    <row r="32">
      <c r="A32" s="6" t="inlineStr">
        <is>
          <t xml:space="preserve">  Paying customers</t>
        </is>
      </c>
      <c r="B32" s="23" t="inlineStr">
        <is>
          <t>accounts</t>
        </is>
      </c>
      <c r="C32" s="28">
        <f>C31*(1-Assumptions!$B$134)^(C7/2)</f>
        <v/>
      </c>
      <c r="D32" s="28">
        <f>C32*(1-Assumptions!$B$134)^D7+D31*(1-Assumptions!$B$134)^(D7/2)</f>
        <v/>
      </c>
      <c r="E32" s="28">
        <f>D32*(1-Assumptions!$B$134)^E7+E31*(1-Assumptions!$B$134)^(E7/2)</f>
        <v/>
      </c>
      <c r="F32" s="28">
        <f>E32*(1-Assumptions!$B$134)^F7+F31*(1-Assumptions!$B$134)^(F7/2)</f>
        <v/>
      </c>
      <c r="G32" s="28">
        <f>F32*(1-Assumptions!$B$134)^G7+G31*(1-Assumptions!$B$134)^(G7/2)</f>
        <v/>
      </c>
      <c r="H32" s="28">
        <f>G32*(1-Assumptions!$B$134)^H7+H31*(1-Assumptions!$B$134)^(H7/2)</f>
        <v/>
      </c>
      <c r="I32" s="28">
        <f>H32*(1-Assumptions!$B$134)^I7+I31*(1-Assumptions!$B$134)^(I7/2)</f>
        <v/>
      </c>
      <c r="J32" s="28">
        <f>I32*(1-Assumptions!$B$134)^J7+J31*(1-Assumptions!$B$134)^(J7/2)</f>
        <v/>
      </c>
      <c r="K32" s="28">
        <f>J32*(1-Assumptions!$B$134)^K7+K31*(1-Assumptions!$B$134)^(K7/2)</f>
        <v/>
      </c>
      <c r="L32" s="28">
        <f>K32*(1-Assumptions!$B$134)^L7+L31*(1-Assumptions!$B$134)^(L7/2)</f>
        <v/>
      </c>
      <c r="M32" s="28">
        <f>L32*(1-Assumptions!$B$134)^M7+M31*(1-Assumptions!$B$134)^(M7/2)</f>
        <v/>
      </c>
      <c r="N32" s="28">
        <f>M32*(1-Assumptions!$B$134)^N7+N31*(1-Assumptions!$B$134)^(N7/2)</f>
        <v/>
      </c>
      <c r="O32" s="28">
        <f>N32*(1-Assumptions!$B$134)^O7+O31*(1-Assumptions!$B$134)^(O7/2)</f>
        <v/>
      </c>
      <c r="P32" s="28">
        <f>O32*(1-Assumptions!$B$134)^P7+P31*(1-Assumptions!$B$134)^(P7/2)</f>
        <v/>
      </c>
      <c r="Q32" s="28">
        <f>P32*(1-Assumptions!$B$134)^Q7+Q31*(1-Assumptions!$B$134)^(Q7/2)</f>
        <v/>
      </c>
      <c r="R32" s="28">
        <f>Q32*(1-Assumptions!$B$134)^R7+R31*(1-Assumptions!$B$134)^(R7/2)</f>
        <v/>
      </c>
      <c r="S32" s="28">
        <f>R32*(1-Assumptions!$B$134)^S7+S31*(1-Assumptions!$B$134)^(S7/2)</f>
        <v/>
      </c>
      <c r="T32" s="28">
        <f>S32*(1-Assumptions!$B$134)^T7+T31*(1-Assumptions!$B$134)^(T7/2)</f>
        <v/>
      </c>
      <c r="U32" s="28">
        <f>T32*(1-Assumptions!$B$134)^U7+U31*(1-Assumptions!$B$134)^(U7/2)</f>
        <v/>
      </c>
      <c r="V32" s="28">
        <f>U32*(1-Assumptions!$B$134)^V7+V31*(1-Assumptions!$B$134)^(V7/2)</f>
        <v/>
      </c>
      <c r="W32" s="28">
        <f>V32*(1-Assumptions!$B$134)^W7+W31*(1-Assumptions!$B$134)^(W7/2)</f>
        <v/>
      </c>
      <c r="X32" s="28">
        <f>W32*(1-Assumptions!$B$134)^X7+X31*(1-Assumptions!$B$134)^(X7/2)</f>
        <v/>
      </c>
      <c r="Y32" s="28">
        <f>X32*(1-Assumptions!$B$134)^Y7+Y31*(1-Assumptions!$B$134)^(Y7/2)</f>
        <v/>
      </c>
      <c r="Z32" s="28">
        <f>Y32*(1-Assumptions!$B$134)^Z7+Z31*(1-Assumptions!$B$134)^(Z7/2)</f>
        <v/>
      </c>
      <c r="AA32" s="28">
        <f>Z32*(1-Assumptions!$B$134)^AA7+AA31*(1-Assumptions!$B$134)^(AA7/2)</f>
        <v/>
      </c>
      <c r="AB32" s="28">
        <f>AA32*(1-Assumptions!$B$134)^AB7+AB31*(1-Assumptions!$B$134)^(AB7/2)</f>
        <v/>
      </c>
      <c r="AC32" s="28">
        <f>AB32*(1-Assumptions!$B$134)^AC7+AC31*(1-Assumptions!$B$134)^(AC7/2)</f>
        <v/>
      </c>
      <c r="AD32" s="28">
        <f>AC32*(1-Assumptions!$B$134)^AD7+AD31*(1-Assumptions!$B$134)^(AD7/2)</f>
        <v/>
      </c>
      <c r="AE32" s="28">
        <f>AD32*(1-Assumptions!$B$134)^AE7+AE31*(1-Assumptions!$B$134)^(AE7/2)</f>
        <v/>
      </c>
    </row>
    <row r="33">
      <c r="A33" s="6" t="inlineStr">
        <is>
          <t xml:space="preserve">  Churned this period</t>
        </is>
      </c>
      <c r="B33" s="23" t="inlineStr">
        <is>
          <t>accounts</t>
        </is>
      </c>
      <c r="C33" s="60">
        <f>C31-C32</f>
        <v/>
      </c>
      <c r="D33" s="60">
        <f>C32+D31-D32</f>
        <v/>
      </c>
      <c r="E33" s="60">
        <f>D32+E31-E32</f>
        <v/>
      </c>
      <c r="F33" s="60">
        <f>E32+F31-F32</f>
        <v/>
      </c>
      <c r="G33" s="60">
        <f>F32+G31-G32</f>
        <v/>
      </c>
      <c r="H33" s="60">
        <f>G32+H31-H32</f>
        <v/>
      </c>
      <c r="I33" s="60">
        <f>H32+I31-I32</f>
        <v/>
      </c>
      <c r="J33" s="60">
        <f>I32+J31-J32</f>
        <v/>
      </c>
      <c r="K33" s="60">
        <f>J32+K31-K32</f>
        <v/>
      </c>
      <c r="L33" s="60">
        <f>K32+L31-L32</f>
        <v/>
      </c>
      <c r="M33" s="60">
        <f>L32+M31-M32</f>
        <v/>
      </c>
      <c r="N33" s="60">
        <f>M32+N31-N32</f>
        <v/>
      </c>
      <c r="O33" s="60">
        <f>N32+O31-O32</f>
        <v/>
      </c>
      <c r="P33" s="60">
        <f>O32+P31-P32</f>
        <v/>
      </c>
      <c r="Q33" s="60">
        <f>P32+Q31-Q32</f>
        <v/>
      </c>
      <c r="R33" s="60">
        <f>Q32+R31-R32</f>
        <v/>
      </c>
      <c r="S33" s="60">
        <f>R32+S31-S32</f>
        <v/>
      </c>
      <c r="T33" s="60">
        <f>S32+T31-T32</f>
        <v/>
      </c>
      <c r="U33" s="60">
        <f>T32+U31-U32</f>
        <v/>
      </c>
      <c r="V33" s="60">
        <f>U32+V31-V32</f>
        <v/>
      </c>
      <c r="W33" s="60">
        <f>V32+W31-W32</f>
        <v/>
      </c>
      <c r="X33" s="60">
        <f>W32+X31-X32</f>
        <v/>
      </c>
      <c r="Y33" s="60">
        <f>X32+Y31-Y32</f>
        <v/>
      </c>
      <c r="Z33" s="60">
        <f>Y32+Z31-Z32</f>
        <v/>
      </c>
      <c r="AA33" s="60">
        <f>Z32+AA31-AA32</f>
        <v/>
      </c>
      <c r="AB33" s="60">
        <f>AA32+AB31-AB32</f>
        <v/>
      </c>
      <c r="AC33" s="60">
        <f>AB32+AC31-AC32</f>
        <v/>
      </c>
      <c r="AD33" s="60">
        <f>AC32+AD31-AD32</f>
        <v/>
      </c>
      <c r="AE33" s="60">
        <f>AD32+AE31-AE32</f>
        <v/>
      </c>
    </row>
    <row r="34">
      <c r="A34" s="6" t="inlineStr">
        <is>
          <t xml:space="preserve">  Holders (stopped paying, still hold gold)</t>
        </is>
      </c>
      <c r="B34" s="23" t="inlineStr">
        <is>
          <t>accounts</t>
        </is>
      </c>
      <c r="C34" s="50">
        <f>C33</f>
        <v/>
      </c>
      <c r="D34" s="50">
        <f>C34+D33</f>
        <v/>
      </c>
      <c r="E34" s="50">
        <f>D34+E33</f>
        <v/>
      </c>
      <c r="F34" s="50">
        <f>E34+F33</f>
        <v/>
      </c>
      <c r="G34" s="50">
        <f>F34+G33</f>
        <v/>
      </c>
      <c r="H34" s="50">
        <f>G34+H33</f>
        <v/>
      </c>
      <c r="I34" s="50">
        <f>H34+I33</f>
        <v/>
      </c>
      <c r="J34" s="50">
        <f>I34+J33</f>
        <v/>
      </c>
      <c r="K34" s="50">
        <f>J34+K33</f>
        <v/>
      </c>
      <c r="L34" s="50">
        <f>K34+L33</f>
        <v/>
      </c>
      <c r="M34" s="50">
        <f>L34+M33</f>
        <v/>
      </c>
      <c r="N34" s="50">
        <f>M34+N33</f>
        <v/>
      </c>
      <c r="O34" s="50">
        <f>N34+O33</f>
        <v/>
      </c>
      <c r="P34" s="50">
        <f>O34+P33</f>
        <v/>
      </c>
      <c r="Q34" s="50">
        <f>P34+Q33</f>
        <v/>
      </c>
      <c r="R34" s="50">
        <f>Q34+R33</f>
        <v/>
      </c>
      <c r="S34" s="50">
        <f>R34+S33</f>
        <v/>
      </c>
      <c r="T34" s="50">
        <f>S34+T33</f>
        <v/>
      </c>
      <c r="U34" s="50">
        <f>T34+U33</f>
        <v/>
      </c>
      <c r="V34" s="50">
        <f>U34+V33</f>
        <v/>
      </c>
      <c r="W34" s="50">
        <f>V34+W33</f>
        <v/>
      </c>
      <c r="X34" s="50">
        <f>W34+X33</f>
        <v/>
      </c>
      <c r="Y34" s="50">
        <f>X34+Y33</f>
        <v/>
      </c>
      <c r="Z34" s="50">
        <f>Y34+Z33</f>
        <v/>
      </c>
      <c r="AA34" s="50">
        <f>Z34+AA33</f>
        <v/>
      </c>
      <c r="AB34" s="50">
        <f>AA34+AB33</f>
        <v/>
      </c>
      <c r="AC34" s="50">
        <f>AB34+AC33</f>
        <v/>
      </c>
      <c r="AD34" s="50">
        <f>AC34+AD33</f>
        <v/>
      </c>
      <c r="AE34" s="50">
        <f>AD34+AE33</f>
        <v/>
      </c>
    </row>
    <row r="35">
      <c r="A35" s="6" t="inlineStr">
        <is>
          <t xml:space="preserve">  Cumulative ever acquired</t>
        </is>
      </c>
      <c r="B35" s="23" t="inlineStr">
        <is>
          <t>accounts</t>
        </is>
      </c>
      <c r="C35" s="50">
        <f>C31</f>
        <v/>
      </c>
      <c r="D35" s="50">
        <f>C35+D31</f>
        <v/>
      </c>
      <c r="E35" s="50">
        <f>D35+E31</f>
        <v/>
      </c>
      <c r="F35" s="50">
        <f>E35+F31</f>
        <v/>
      </c>
      <c r="G35" s="50">
        <f>F35+G31</f>
        <v/>
      </c>
      <c r="H35" s="50">
        <f>G35+H31</f>
        <v/>
      </c>
      <c r="I35" s="50">
        <f>H35+I31</f>
        <v/>
      </c>
      <c r="J35" s="50">
        <f>I35+J31</f>
        <v/>
      </c>
      <c r="K35" s="50">
        <f>J35+K31</f>
        <v/>
      </c>
      <c r="L35" s="50">
        <f>K35+L31</f>
        <v/>
      </c>
      <c r="M35" s="50">
        <f>L35+M31</f>
        <v/>
      </c>
      <c r="N35" s="50">
        <f>M35+N31</f>
        <v/>
      </c>
      <c r="O35" s="50">
        <f>N35+O31</f>
        <v/>
      </c>
      <c r="P35" s="50">
        <f>O35+P31</f>
        <v/>
      </c>
      <c r="Q35" s="50">
        <f>P35+Q31</f>
        <v/>
      </c>
      <c r="R35" s="50">
        <f>Q35+R31</f>
        <v/>
      </c>
      <c r="S35" s="50">
        <f>R35+S31</f>
        <v/>
      </c>
      <c r="T35" s="50">
        <f>S35+T31</f>
        <v/>
      </c>
      <c r="U35" s="50">
        <f>T35+U31</f>
        <v/>
      </c>
      <c r="V35" s="50">
        <f>U35+V31</f>
        <v/>
      </c>
      <c r="W35" s="50">
        <f>V35+W31</f>
        <v/>
      </c>
      <c r="X35" s="50">
        <f>W35+X31</f>
        <v/>
      </c>
      <c r="Y35" s="50">
        <f>X35+Y31</f>
        <v/>
      </c>
      <c r="Z35" s="50">
        <f>Y35+Z31</f>
        <v/>
      </c>
      <c r="AA35" s="50">
        <f>Z35+AA31</f>
        <v/>
      </c>
      <c r="AB35" s="50">
        <f>AA35+AB31</f>
        <v/>
      </c>
      <c r="AC35" s="50">
        <f>AB35+AC31</f>
        <v/>
      </c>
      <c r="AD35" s="50">
        <f>AC35+AD31</f>
        <v/>
      </c>
      <c r="AE35" s="50">
        <f>AD35+AE31</f>
        <v/>
      </c>
    </row>
    <row r="36">
      <c r="A36" s="6" t="inlineStr">
        <is>
          <t xml:space="preserve">  SIP contributions</t>
        </is>
      </c>
      <c r="B36" s="23" t="inlineStr">
        <is>
          <t>USD</t>
        </is>
      </c>
      <c r="C36" s="61">
        <f>IF(C2&gt;=Assumptions!$B$47,C32*Assumptions!$B$190*C7,0)</f>
        <v/>
      </c>
      <c r="D36" s="61">
        <f>IF(D2&gt;=Assumptions!$B$47,D32*Assumptions!$B$190*D7,0)</f>
        <v/>
      </c>
      <c r="E36" s="61">
        <f>IF(E2&gt;=Assumptions!$B$47,E32*Assumptions!$B$190*E7,0)</f>
        <v/>
      </c>
      <c r="F36" s="61">
        <f>IF(F2&gt;=Assumptions!$B$47,F32*Assumptions!$B$190*F7,0)</f>
        <v/>
      </c>
      <c r="G36" s="61">
        <f>IF(G2&gt;=Assumptions!$B$47,G32*Assumptions!$B$190*G7,0)</f>
        <v/>
      </c>
      <c r="H36" s="61">
        <f>IF(H2&gt;=Assumptions!$B$47,H32*Assumptions!$B$190*H7,0)</f>
        <v/>
      </c>
      <c r="I36" s="61">
        <f>IF(I2&gt;=Assumptions!$B$47,I32*Assumptions!$B$190*I7,0)</f>
        <v/>
      </c>
      <c r="J36" s="61">
        <f>IF(J2&gt;=Assumptions!$B$47,J32*Assumptions!$B$190*J7,0)</f>
        <v/>
      </c>
      <c r="K36" s="61">
        <f>IF(K2&gt;=Assumptions!$B$47,K32*Assumptions!$B$190*K7,0)</f>
        <v/>
      </c>
      <c r="L36" s="61">
        <f>IF(L2&gt;=Assumptions!$B$47,L32*Assumptions!$B$190*L7,0)</f>
        <v/>
      </c>
      <c r="M36" s="61">
        <f>IF(M2&gt;=Assumptions!$B$47,M32*Assumptions!$B$190*M7,0)</f>
        <v/>
      </c>
      <c r="N36" s="61">
        <f>IF(N2&gt;=Assumptions!$B$47,N32*Assumptions!$B$190*N7,0)</f>
        <v/>
      </c>
      <c r="O36" s="61">
        <f>IF(O2&gt;=Assumptions!$B$47,O32*Assumptions!$B$190*O7,0)</f>
        <v/>
      </c>
      <c r="P36" s="61">
        <f>IF(P2&gt;=Assumptions!$B$47,P32*Assumptions!$B$190*P7,0)</f>
        <v/>
      </c>
      <c r="Q36" s="61">
        <f>IF(Q2&gt;=Assumptions!$B$47,Q32*Assumptions!$B$190*Q7,0)</f>
        <v/>
      </c>
      <c r="R36" s="61">
        <f>IF(R2&gt;=Assumptions!$B$47,R32*Assumptions!$B$190*R7,0)</f>
        <v/>
      </c>
      <c r="S36" s="61">
        <f>IF(S2&gt;=Assumptions!$B$47,S32*Assumptions!$B$190*S7,0)</f>
        <v/>
      </c>
      <c r="T36" s="61">
        <f>IF(T2&gt;=Assumptions!$B$47,T32*Assumptions!$B$190*T7,0)</f>
        <v/>
      </c>
      <c r="U36" s="61">
        <f>IF(U2&gt;=Assumptions!$B$47,U32*Assumptions!$B$190*U7,0)</f>
        <v/>
      </c>
      <c r="V36" s="61">
        <f>IF(V2&gt;=Assumptions!$B$47,V32*Assumptions!$B$190*V7,0)</f>
        <v/>
      </c>
      <c r="W36" s="61">
        <f>IF(W2&gt;=Assumptions!$B$47,W32*Assumptions!$B$190*W7,0)</f>
        <v/>
      </c>
      <c r="X36" s="61">
        <f>IF(X2&gt;=Assumptions!$B$47,X32*Assumptions!$B$190*X7,0)</f>
        <v/>
      </c>
      <c r="Y36" s="61">
        <f>IF(Y2&gt;=Assumptions!$B$47,Y32*Assumptions!$B$190*Y7,0)</f>
        <v/>
      </c>
      <c r="Z36" s="61">
        <f>IF(Z2&gt;=Assumptions!$B$47,Z32*Assumptions!$B$190*Z7,0)</f>
        <v/>
      </c>
      <c r="AA36" s="61">
        <f>IF(AA2&gt;=Assumptions!$B$47,AA32*Assumptions!$B$190*AA7,0)</f>
        <v/>
      </c>
      <c r="AB36" s="61">
        <f>IF(AB2&gt;=Assumptions!$B$47,AB32*Assumptions!$B$190*AB7,0)</f>
        <v/>
      </c>
      <c r="AC36" s="61">
        <f>IF(AC2&gt;=Assumptions!$B$47,AC32*Assumptions!$B$190*AC7,0)</f>
        <v/>
      </c>
      <c r="AD36" s="61">
        <f>IF(AD2&gt;=Assumptions!$B$47,AD32*Assumptions!$B$190*AD7,0)</f>
        <v/>
      </c>
      <c r="AE36" s="61">
        <f>IF(AE2&gt;=Assumptions!$B$47,AE32*Assumptions!$B$190*AE7,0)</f>
        <v/>
      </c>
    </row>
    <row r="37">
      <c r="A37" s="6" t="inlineStr">
        <is>
          <t xml:space="preserve">  Spot purchase volume</t>
        </is>
      </c>
      <c r="B37" s="23" t="inlineStr">
        <is>
          <t>USD</t>
        </is>
      </c>
      <c r="C37" s="61">
        <f>IF(C2&gt;=Assumptions!$B$48,C32*Assumptions!$B$35*Assumptions!$B$154*Assumptions!$B$156*Assumptions!$B$32*Assumptions!$B$155/12*C7,0)</f>
        <v/>
      </c>
      <c r="D37" s="61">
        <f>IF(D2&gt;=Assumptions!$B$48,D32*Assumptions!$B$35*Assumptions!$B$154*Assumptions!$B$156*Assumptions!$B$32*Assumptions!$B$155/12*D7,0)</f>
        <v/>
      </c>
      <c r="E37" s="61">
        <f>IF(E2&gt;=Assumptions!$B$48,E32*Assumptions!$B$35*Assumptions!$B$154*Assumptions!$B$156*Assumptions!$B$32*Assumptions!$B$155/12*E7,0)</f>
        <v/>
      </c>
      <c r="F37" s="61">
        <f>IF(F2&gt;=Assumptions!$B$48,F32*Assumptions!$B$35*Assumptions!$B$154*Assumptions!$B$156*Assumptions!$B$32*Assumptions!$B$155/12*F7,0)</f>
        <v/>
      </c>
      <c r="G37" s="61">
        <f>IF(G2&gt;=Assumptions!$B$48,G32*Assumptions!$B$35*Assumptions!$B$154*Assumptions!$B$156*Assumptions!$B$32*Assumptions!$B$155/12*G7,0)</f>
        <v/>
      </c>
      <c r="H37" s="61">
        <f>IF(H2&gt;=Assumptions!$B$48,H32*Assumptions!$B$35*Assumptions!$B$154*Assumptions!$B$156*Assumptions!$B$32*Assumptions!$B$155/12*H7,0)</f>
        <v/>
      </c>
      <c r="I37" s="61">
        <f>IF(I2&gt;=Assumptions!$B$48,I32*Assumptions!$B$35*Assumptions!$B$154*Assumptions!$B$156*Assumptions!$B$32*Assumptions!$B$155/12*I7,0)</f>
        <v/>
      </c>
      <c r="J37" s="61">
        <f>IF(J2&gt;=Assumptions!$B$48,J32*Assumptions!$B$35*Assumptions!$B$154*Assumptions!$B$156*Assumptions!$B$32*Assumptions!$B$155/12*J7,0)</f>
        <v/>
      </c>
      <c r="K37" s="61">
        <f>IF(K2&gt;=Assumptions!$B$48,K32*Assumptions!$B$35*Assumptions!$B$154*Assumptions!$B$156*Assumptions!$B$32*Assumptions!$B$155/12*K7,0)</f>
        <v/>
      </c>
      <c r="L37" s="61">
        <f>IF(L2&gt;=Assumptions!$B$48,L32*Assumptions!$B$35*Assumptions!$B$154*Assumptions!$B$156*Assumptions!$B$32*Assumptions!$B$155/12*L7,0)</f>
        <v/>
      </c>
      <c r="M37" s="61">
        <f>IF(M2&gt;=Assumptions!$B$48,M32*Assumptions!$B$35*Assumptions!$B$154*Assumptions!$B$156*Assumptions!$B$32*Assumptions!$B$155/12*M7,0)</f>
        <v/>
      </c>
      <c r="N37" s="61">
        <f>IF(N2&gt;=Assumptions!$B$48,N32*Assumptions!$B$35*Assumptions!$B$154*Assumptions!$B$156*Assumptions!$B$32*Assumptions!$B$155/12*N7,0)</f>
        <v/>
      </c>
      <c r="O37" s="61">
        <f>IF(O2&gt;=Assumptions!$B$48,O32*Assumptions!$B$35*Assumptions!$B$154*Assumptions!$B$156*Assumptions!$B$32*Assumptions!$B$155/12*O7,0)</f>
        <v/>
      </c>
      <c r="P37" s="61">
        <f>IF(P2&gt;=Assumptions!$B$48,P32*Assumptions!$B$35*Assumptions!$B$154*Assumptions!$B$156*Assumptions!$B$32*Assumptions!$B$155/12*P7,0)</f>
        <v/>
      </c>
      <c r="Q37" s="61">
        <f>IF(Q2&gt;=Assumptions!$B$48,Q32*Assumptions!$B$35*Assumptions!$B$154*Assumptions!$B$156*Assumptions!$B$32*Assumptions!$B$155/12*Q7,0)</f>
        <v/>
      </c>
      <c r="R37" s="61">
        <f>IF(R2&gt;=Assumptions!$B$48,R32*Assumptions!$B$35*Assumptions!$B$154*Assumptions!$B$156*Assumptions!$B$32*Assumptions!$B$155/12*R7,0)</f>
        <v/>
      </c>
      <c r="S37" s="61">
        <f>IF(S2&gt;=Assumptions!$B$48,S32*Assumptions!$B$35*Assumptions!$B$154*Assumptions!$B$156*Assumptions!$B$32*Assumptions!$B$155/12*S7,0)</f>
        <v/>
      </c>
      <c r="T37" s="61">
        <f>IF(T2&gt;=Assumptions!$B$48,T32*Assumptions!$B$35*Assumptions!$B$154*Assumptions!$B$156*Assumptions!$B$32*Assumptions!$B$155/12*T7,0)</f>
        <v/>
      </c>
      <c r="U37" s="61">
        <f>IF(U2&gt;=Assumptions!$B$48,U32*Assumptions!$B$35*Assumptions!$B$154*Assumptions!$B$156*Assumptions!$B$32*Assumptions!$B$155/12*U7,0)</f>
        <v/>
      </c>
      <c r="V37" s="61">
        <f>IF(V2&gt;=Assumptions!$B$48,V32*Assumptions!$B$35*Assumptions!$B$154*Assumptions!$B$156*Assumptions!$B$32*Assumptions!$B$155/12*V7,0)</f>
        <v/>
      </c>
      <c r="W37" s="61">
        <f>IF(W2&gt;=Assumptions!$B$48,W32*Assumptions!$B$35*Assumptions!$B$154*Assumptions!$B$156*Assumptions!$B$32*Assumptions!$B$155/12*W7,0)</f>
        <v/>
      </c>
      <c r="X37" s="61">
        <f>IF(X2&gt;=Assumptions!$B$48,X32*Assumptions!$B$35*Assumptions!$B$154*Assumptions!$B$156*Assumptions!$B$32*Assumptions!$B$155/12*X7,0)</f>
        <v/>
      </c>
      <c r="Y37" s="61">
        <f>IF(Y2&gt;=Assumptions!$B$48,Y32*Assumptions!$B$35*Assumptions!$B$154*Assumptions!$B$156*Assumptions!$B$32*Assumptions!$B$155/12*Y7,0)</f>
        <v/>
      </c>
      <c r="Z37" s="61">
        <f>IF(Z2&gt;=Assumptions!$B$48,Z32*Assumptions!$B$35*Assumptions!$B$154*Assumptions!$B$156*Assumptions!$B$32*Assumptions!$B$155/12*Z7,0)</f>
        <v/>
      </c>
      <c r="AA37" s="61">
        <f>IF(AA2&gt;=Assumptions!$B$48,AA32*Assumptions!$B$35*Assumptions!$B$154*Assumptions!$B$156*Assumptions!$B$32*Assumptions!$B$155/12*AA7,0)</f>
        <v/>
      </c>
      <c r="AB37" s="61">
        <f>IF(AB2&gt;=Assumptions!$B$48,AB32*Assumptions!$B$35*Assumptions!$B$154*Assumptions!$B$156*Assumptions!$B$32*Assumptions!$B$155/12*AB7,0)</f>
        <v/>
      </c>
      <c r="AC37" s="61">
        <f>IF(AC2&gt;=Assumptions!$B$48,AC32*Assumptions!$B$35*Assumptions!$B$154*Assumptions!$B$156*Assumptions!$B$32*Assumptions!$B$155/12*AC7,0)</f>
        <v/>
      </c>
      <c r="AD37" s="61">
        <f>IF(AD2&gt;=Assumptions!$B$48,AD32*Assumptions!$B$35*Assumptions!$B$154*Assumptions!$B$156*Assumptions!$B$32*Assumptions!$B$155/12*AD7,0)</f>
        <v/>
      </c>
      <c r="AE37" s="61">
        <f>IF(AE2&gt;=Assumptions!$B$48,AE32*Assumptions!$B$35*Assumptions!$B$154*Assumptions!$B$156*Assumptions!$B$32*Assumptions!$B$155/12*AE7,0)</f>
        <v/>
      </c>
    </row>
    <row r="38">
      <c r="A38" s="6" t="inlineStr">
        <is>
          <t xml:space="preserve">  Grams purchased</t>
        </is>
      </c>
      <c r="B38" s="23" t="inlineStr">
        <is>
          <t>grams</t>
        </is>
      </c>
      <c r="C38" s="60">
        <f>(C36+C37)*(1-Assumptions!$B$8)/C20/(1+Assumptions!$B$9*(1-Assumptions!$B$229))</f>
        <v/>
      </c>
      <c r="D38" s="60">
        <f>(D36+D37)*(1-Assumptions!$B$8)/D20/(1+Assumptions!$B$9*(1-Assumptions!$B$229))</f>
        <v/>
      </c>
      <c r="E38" s="60">
        <f>(E36+E37)*(1-Assumptions!$B$8)/E20/(1+Assumptions!$B$9*(1-Assumptions!$B$229))</f>
        <v/>
      </c>
      <c r="F38" s="60">
        <f>(F36+F37)*(1-Assumptions!$B$8)/F20/(1+Assumptions!$B$9*(1-Assumptions!$B$229))</f>
        <v/>
      </c>
      <c r="G38" s="60">
        <f>(G36+G37)*(1-Assumptions!$B$8)/G20/(1+Assumptions!$B$9*(1-Assumptions!$B$229))</f>
        <v/>
      </c>
      <c r="H38" s="60">
        <f>(H36+H37)*(1-Assumptions!$B$8)/H20/(1+Assumptions!$B$9*(1-Assumptions!$B$229))</f>
        <v/>
      </c>
      <c r="I38" s="60">
        <f>(I36+I37)*(1-Assumptions!$B$8)/I20/(1+Assumptions!$B$9*(1-Assumptions!$B$229))</f>
        <v/>
      </c>
      <c r="J38" s="60">
        <f>(J36+J37)*(1-Assumptions!$B$8)/J20/(1+Assumptions!$B$9*(1-Assumptions!$B$229))</f>
        <v/>
      </c>
      <c r="K38" s="60">
        <f>(K36+K37)*(1-Assumptions!$B$8)/K20/(1+Assumptions!$B$9*(1-Assumptions!$B$229))</f>
        <v/>
      </c>
      <c r="L38" s="60">
        <f>(L36+L37)*(1-Assumptions!$B$8)/L20/(1+Assumptions!$B$9*(1-Assumptions!$B$229))</f>
        <v/>
      </c>
      <c r="M38" s="60">
        <f>(M36+M37)*(1-Assumptions!$B$8)/M20/(1+Assumptions!$B$9*(1-Assumptions!$B$229))</f>
        <v/>
      </c>
      <c r="N38" s="60">
        <f>(N36+N37)*(1-Assumptions!$B$8)/N20/(1+Assumptions!$B$9*(1-Assumptions!$B$229))</f>
        <v/>
      </c>
      <c r="O38" s="60">
        <f>(O36+O37)*(1-Assumptions!$B$8)/O20/(1+Assumptions!$B$9*(1-Assumptions!$B$229))</f>
        <v/>
      </c>
      <c r="P38" s="60">
        <f>(P36+P37)*(1-Assumptions!$B$8)/P20/(1+Assumptions!$B$9*(1-Assumptions!$B$229))</f>
        <v/>
      </c>
      <c r="Q38" s="60">
        <f>(Q36+Q37)*(1-Assumptions!$B$8)/Q20/(1+Assumptions!$B$9*(1-Assumptions!$B$229))</f>
        <v/>
      </c>
      <c r="R38" s="60">
        <f>(R36+R37)*(1-Assumptions!$B$8)/R20/(1+Assumptions!$B$9*(1-Assumptions!$B$229))</f>
        <v/>
      </c>
      <c r="S38" s="60">
        <f>(S36+S37)*(1-Assumptions!$B$8)/S20/(1+Assumptions!$B$9*(1-Assumptions!$B$229))</f>
        <v/>
      </c>
      <c r="T38" s="60">
        <f>(T36+T37)*(1-Assumptions!$B$8)/T20/(1+Assumptions!$B$9*(1-Assumptions!$B$229))</f>
        <v/>
      </c>
      <c r="U38" s="60">
        <f>(U36+U37)*(1-Assumptions!$B$8)/U20/(1+Assumptions!$B$9*(1-Assumptions!$B$229))</f>
        <v/>
      </c>
      <c r="V38" s="60">
        <f>(V36+V37)*(1-Assumptions!$B$8)/V20/(1+Assumptions!$B$9*(1-Assumptions!$B$229))</f>
        <v/>
      </c>
      <c r="W38" s="60">
        <f>(W36+W37)*(1-Assumptions!$B$8)/W20/(1+Assumptions!$B$9*(1-Assumptions!$B$229))</f>
        <v/>
      </c>
      <c r="X38" s="60">
        <f>(X36+X37)*(1-Assumptions!$B$8)/X20/(1+Assumptions!$B$9*(1-Assumptions!$B$229))</f>
        <v/>
      </c>
      <c r="Y38" s="60">
        <f>(Y36+Y37)*(1-Assumptions!$B$8)/Y20/(1+Assumptions!$B$9*(1-Assumptions!$B$229))</f>
        <v/>
      </c>
      <c r="Z38" s="60">
        <f>(Z36+Z37)*(1-Assumptions!$B$8)/Z20/(1+Assumptions!$B$9*(1-Assumptions!$B$229))</f>
        <v/>
      </c>
      <c r="AA38" s="60">
        <f>(AA36+AA37)*(1-Assumptions!$B$8)/AA20/(1+Assumptions!$B$9*(1-Assumptions!$B$229))</f>
        <v/>
      </c>
      <c r="AB38" s="60">
        <f>(AB36+AB37)*(1-Assumptions!$B$8)/AB20/(1+Assumptions!$B$9*(1-Assumptions!$B$229))</f>
        <v/>
      </c>
      <c r="AC38" s="60">
        <f>(AC36+AC37)*(1-Assumptions!$B$8)/AC20/(1+Assumptions!$B$9*(1-Assumptions!$B$229))</f>
        <v/>
      </c>
      <c r="AD38" s="60">
        <f>(AD36+AD37)*(1-Assumptions!$B$8)/AD20/(1+Assumptions!$B$9*(1-Assumptions!$B$229))</f>
        <v/>
      </c>
      <c r="AE38" s="60">
        <f>(AE36+AE37)*(1-Assumptions!$B$8)/AE20/(1+Assumptions!$B$9*(1-Assumptions!$B$229))</f>
        <v/>
      </c>
    </row>
    <row r="39">
      <c r="A39" s="6" t="inlineStr">
        <is>
          <t xml:space="preserve">  Collateral-eligible AUM decay rate (holder-weighted)</t>
        </is>
      </c>
      <c r="B39" s="23" t="inlineStr">
        <is>
          <t>%/period</t>
        </is>
      </c>
      <c r="C39" s="62">
        <f>(Assumptions!$B$151+Assumptions!$B$152*IF(C32+C34=0,1,(C32+C34*Assumptions!$B$153)/(C32+C34)))*C7/12</f>
        <v/>
      </c>
      <c r="D39" s="62">
        <f>(Assumptions!$B$151+Assumptions!$B$152*IF(D32+D34=0,1,(D32+D34*Assumptions!$B$153)/(D32+D34)))*D7/12</f>
        <v/>
      </c>
      <c r="E39" s="62">
        <f>(Assumptions!$B$151+Assumptions!$B$152*IF(E32+E34=0,1,(E32+E34*Assumptions!$B$153)/(E32+E34)))*E7/12</f>
        <v/>
      </c>
      <c r="F39" s="62">
        <f>(Assumptions!$B$151+Assumptions!$B$152*IF(F32+F34=0,1,(F32+F34*Assumptions!$B$153)/(F32+F34)))*F7/12</f>
        <v/>
      </c>
      <c r="G39" s="62">
        <f>(Assumptions!$B$151+Assumptions!$B$152*IF(G32+G34=0,1,(G32+G34*Assumptions!$B$153)/(G32+G34)))*G7/12</f>
        <v/>
      </c>
      <c r="H39" s="62">
        <f>(Assumptions!$B$151+Assumptions!$B$152*IF(H32+H34=0,1,(H32+H34*Assumptions!$B$153)/(H32+H34)))*H7/12</f>
        <v/>
      </c>
      <c r="I39" s="62">
        <f>(Assumptions!$B$151+Assumptions!$B$152*IF(I32+I34=0,1,(I32+I34*Assumptions!$B$153)/(I32+I34)))*I7/12</f>
        <v/>
      </c>
      <c r="J39" s="62">
        <f>(Assumptions!$B$151+Assumptions!$B$152*IF(J32+J34=0,1,(J32+J34*Assumptions!$B$153)/(J32+J34)))*J7/12</f>
        <v/>
      </c>
      <c r="K39" s="62">
        <f>(Assumptions!$B$151+Assumptions!$B$152*IF(K32+K34=0,1,(K32+K34*Assumptions!$B$153)/(K32+K34)))*K7/12</f>
        <v/>
      </c>
      <c r="L39" s="62">
        <f>(Assumptions!$B$151+Assumptions!$B$152*IF(L32+L34=0,1,(L32+L34*Assumptions!$B$153)/(L32+L34)))*L7/12</f>
        <v/>
      </c>
      <c r="M39" s="62">
        <f>(Assumptions!$B$151+Assumptions!$B$152*IF(M32+M34=0,1,(M32+M34*Assumptions!$B$153)/(M32+M34)))*M7/12</f>
        <v/>
      </c>
      <c r="N39" s="62">
        <f>(Assumptions!$B$151+Assumptions!$B$152*IF(N32+N34=0,1,(N32+N34*Assumptions!$B$153)/(N32+N34)))*N7/12</f>
        <v/>
      </c>
      <c r="O39" s="62">
        <f>(Assumptions!$B$151+Assumptions!$B$152*IF(O32+O34=0,1,(O32+O34*Assumptions!$B$153)/(O32+O34)))*O7/12</f>
        <v/>
      </c>
      <c r="P39" s="62">
        <f>(Assumptions!$B$151+Assumptions!$B$152*IF(P32+P34=0,1,(P32+P34*Assumptions!$B$153)/(P32+P34)))*P7/12</f>
        <v/>
      </c>
      <c r="Q39" s="62">
        <f>(Assumptions!$B$151+Assumptions!$B$152*IF(Q32+Q34=0,1,(Q32+Q34*Assumptions!$B$153)/(Q32+Q34)))*Q7/12</f>
        <v/>
      </c>
      <c r="R39" s="62">
        <f>(Assumptions!$B$151+Assumptions!$B$152*IF(R32+R34=0,1,(R32+R34*Assumptions!$B$153)/(R32+R34)))*R7/12</f>
        <v/>
      </c>
      <c r="S39" s="62">
        <f>(Assumptions!$B$151+Assumptions!$B$152*IF(S32+S34=0,1,(S32+S34*Assumptions!$B$153)/(S32+S34)))*S7/12</f>
        <v/>
      </c>
      <c r="T39" s="62">
        <f>(Assumptions!$B$151+Assumptions!$B$152*IF(T32+T34=0,1,(T32+T34*Assumptions!$B$153)/(T32+T34)))*T7/12</f>
        <v/>
      </c>
      <c r="U39" s="62">
        <f>(Assumptions!$B$151+Assumptions!$B$152*IF(U32+U34=0,1,(U32+U34*Assumptions!$B$153)/(U32+U34)))*U7/12</f>
        <v/>
      </c>
      <c r="V39" s="62">
        <f>(Assumptions!$B$151+Assumptions!$B$152*IF(V32+V34=0,1,(V32+V34*Assumptions!$B$153)/(V32+V34)))*V7/12</f>
        <v/>
      </c>
      <c r="W39" s="62">
        <f>(Assumptions!$B$151+Assumptions!$B$152*IF(W32+W34=0,1,(W32+W34*Assumptions!$B$153)/(W32+W34)))*W7/12</f>
        <v/>
      </c>
      <c r="X39" s="62">
        <f>(Assumptions!$B$151+Assumptions!$B$152*IF(X32+X34=0,1,(X32+X34*Assumptions!$B$153)/(X32+X34)))*X7/12</f>
        <v/>
      </c>
      <c r="Y39" s="62">
        <f>(Assumptions!$B$151+Assumptions!$B$152*IF(Y32+Y34=0,1,(Y32+Y34*Assumptions!$B$153)/(Y32+Y34)))*Y7/12</f>
        <v/>
      </c>
      <c r="Z39" s="62">
        <f>(Assumptions!$B$151+Assumptions!$B$152*IF(Z32+Z34=0,1,(Z32+Z34*Assumptions!$B$153)/(Z32+Z34)))*Z7/12</f>
        <v/>
      </c>
      <c r="AA39" s="62">
        <f>(Assumptions!$B$151+Assumptions!$B$152*IF(AA32+AA34=0,1,(AA32+AA34*Assumptions!$B$153)/(AA32+AA34)))*AA7/12</f>
        <v/>
      </c>
      <c r="AB39" s="62">
        <f>(Assumptions!$B$151+Assumptions!$B$152*IF(AB32+AB34=0,1,(AB32+AB34*Assumptions!$B$153)/(AB32+AB34)))*AB7/12</f>
        <v/>
      </c>
      <c r="AC39" s="62">
        <f>(Assumptions!$B$151+Assumptions!$B$152*IF(AC32+AC34=0,1,(AC32+AC34*Assumptions!$B$153)/(AC32+AC34)))*AC7/12</f>
        <v/>
      </c>
      <c r="AD39" s="62">
        <f>(Assumptions!$B$151+Assumptions!$B$152*IF(AD32+AD34=0,1,(AD32+AD34*Assumptions!$B$153)/(AD32+AD34)))*AD7/12</f>
        <v/>
      </c>
      <c r="AE39" s="62">
        <f>(Assumptions!$B$151+Assumptions!$B$152*IF(AE32+AE34=0,1,(AE32+AE34*Assumptions!$B$153)/(AE32+AE34)))*AE7/12</f>
        <v/>
      </c>
    </row>
    <row r="40">
      <c r="A40" s="6" t="inlineStr">
        <is>
          <t xml:space="preserve">  Redemption-only decay rate (metal actually leaving)</t>
        </is>
      </c>
      <c r="B40" s="23" t="inlineStr">
        <is>
          <t>%/period</t>
        </is>
      </c>
      <c r="C40" s="62">
        <f>Assumptions!$B$152*IF(C32+C34=0,1,(C32+C34*Assumptions!$B$153)/(C32+C34))*C7/12</f>
        <v/>
      </c>
      <c r="D40" s="62">
        <f>Assumptions!$B$152*IF(D32+D34=0,1,(D32+D34*Assumptions!$B$153)/(D32+D34))*D7/12</f>
        <v/>
      </c>
      <c r="E40" s="62">
        <f>Assumptions!$B$152*IF(E32+E34=0,1,(E32+E34*Assumptions!$B$153)/(E32+E34))*E7/12</f>
        <v/>
      </c>
      <c r="F40" s="62">
        <f>Assumptions!$B$152*IF(F32+F34=0,1,(F32+F34*Assumptions!$B$153)/(F32+F34))*F7/12</f>
        <v/>
      </c>
      <c r="G40" s="62">
        <f>Assumptions!$B$152*IF(G32+G34=0,1,(G32+G34*Assumptions!$B$153)/(G32+G34))*G7/12</f>
        <v/>
      </c>
      <c r="H40" s="62">
        <f>Assumptions!$B$152*IF(H32+H34=0,1,(H32+H34*Assumptions!$B$153)/(H32+H34))*H7/12</f>
        <v/>
      </c>
      <c r="I40" s="62">
        <f>Assumptions!$B$152*IF(I32+I34=0,1,(I32+I34*Assumptions!$B$153)/(I32+I34))*I7/12</f>
        <v/>
      </c>
      <c r="J40" s="62">
        <f>Assumptions!$B$152*IF(J32+J34=0,1,(J32+J34*Assumptions!$B$153)/(J32+J34))*J7/12</f>
        <v/>
      </c>
      <c r="K40" s="62">
        <f>Assumptions!$B$152*IF(K32+K34=0,1,(K32+K34*Assumptions!$B$153)/(K32+K34))*K7/12</f>
        <v/>
      </c>
      <c r="L40" s="62">
        <f>Assumptions!$B$152*IF(L32+L34=0,1,(L32+L34*Assumptions!$B$153)/(L32+L34))*L7/12</f>
        <v/>
      </c>
      <c r="M40" s="62">
        <f>Assumptions!$B$152*IF(M32+M34=0,1,(M32+M34*Assumptions!$B$153)/(M32+M34))*M7/12</f>
        <v/>
      </c>
      <c r="N40" s="62">
        <f>Assumptions!$B$152*IF(N32+N34=0,1,(N32+N34*Assumptions!$B$153)/(N32+N34))*N7/12</f>
        <v/>
      </c>
      <c r="O40" s="62">
        <f>Assumptions!$B$152*IF(O32+O34=0,1,(O32+O34*Assumptions!$B$153)/(O32+O34))*O7/12</f>
        <v/>
      </c>
      <c r="P40" s="62">
        <f>Assumptions!$B$152*IF(P32+P34=0,1,(P32+P34*Assumptions!$B$153)/(P32+P34))*P7/12</f>
        <v/>
      </c>
      <c r="Q40" s="62">
        <f>Assumptions!$B$152*IF(Q32+Q34=0,1,(Q32+Q34*Assumptions!$B$153)/(Q32+Q34))*Q7/12</f>
        <v/>
      </c>
      <c r="R40" s="62">
        <f>Assumptions!$B$152*IF(R32+R34=0,1,(R32+R34*Assumptions!$B$153)/(R32+R34))*R7/12</f>
        <v/>
      </c>
      <c r="S40" s="62">
        <f>Assumptions!$B$152*IF(S32+S34=0,1,(S32+S34*Assumptions!$B$153)/(S32+S34))*S7/12</f>
        <v/>
      </c>
      <c r="T40" s="62">
        <f>Assumptions!$B$152*IF(T32+T34=0,1,(T32+T34*Assumptions!$B$153)/(T32+T34))*T7/12</f>
        <v/>
      </c>
      <c r="U40" s="62">
        <f>Assumptions!$B$152*IF(U32+U34=0,1,(U32+U34*Assumptions!$B$153)/(U32+U34))*U7/12</f>
        <v/>
      </c>
      <c r="V40" s="62">
        <f>Assumptions!$B$152*IF(V32+V34=0,1,(V32+V34*Assumptions!$B$153)/(V32+V34))*V7/12</f>
        <v/>
      </c>
      <c r="W40" s="62">
        <f>Assumptions!$B$152*IF(W32+W34=0,1,(W32+W34*Assumptions!$B$153)/(W32+W34))*W7/12</f>
        <v/>
      </c>
      <c r="X40" s="62">
        <f>Assumptions!$B$152*IF(X32+X34=0,1,(X32+X34*Assumptions!$B$153)/(X32+X34))*X7/12</f>
        <v/>
      </c>
      <c r="Y40" s="62">
        <f>Assumptions!$B$152*IF(Y32+Y34=0,1,(Y32+Y34*Assumptions!$B$153)/(Y32+Y34))*Y7/12</f>
        <v/>
      </c>
      <c r="Z40" s="62">
        <f>Assumptions!$B$152*IF(Z32+Z34=0,1,(Z32+Z34*Assumptions!$B$153)/(Z32+Z34))*Z7/12</f>
        <v/>
      </c>
      <c r="AA40" s="62">
        <f>Assumptions!$B$152*IF(AA32+AA34=0,1,(AA32+AA34*Assumptions!$B$153)/(AA32+AA34))*AA7/12</f>
        <v/>
      </c>
      <c r="AB40" s="62">
        <f>Assumptions!$B$152*IF(AB32+AB34=0,1,(AB32+AB34*Assumptions!$B$153)/(AB32+AB34))*AB7/12</f>
        <v/>
      </c>
      <c r="AC40" s="62">
        <f>Assumptions!$B$152*IF(AC32+AC34=0,1,(AC32+AC34*Assumptions!$B$153)/(AC32+AC34))*AC7/12</f>
        <v/>
      </c>
      <c r="AD40" s="62">
        <f>Assumptions!$B$152*IF(AD32+AD34=0,1,(AD32+AD34*Assumptions!$B$153)/(AD32+AD34))*AD7/12</f>
        <v/>
      </c>
      <c r="AE40" s="62">
        <f>Assumptions!$B$152*IF(AE32+AE34=0,1,(AE32+AE34*Assumptions!$B$153)/(AE32+AE34))*AE7/12</f>
        <v/>
      </c>
    </row>
    <row r="41">
      <c r="A41" s="6" t="inlineStr">
        <is>
          <t xml:space="preserve">  Grams held (collateral-eligible)</t>
        </is>
      </c>
      <c r="B41" s="23" t="inlineStr">
        <is>
          <t>grams</t>
        </is>
      </c>
      <c r="C41" s="50">
        <f>C38</f>
        <v/>
      </c>
      <c r="D41" s="50">
        <f>C41*(1-D39)+D38</f>
        <v/>
      </c>
      <c r="E41" s="50">
        <f>D41*(1-E39)+E38</f>
        <v/>
      </c>
      <c r="F41" s="50">
        <f>E41*(1-F39)+F38</f>
        <v/>
      </c>
      <c r="G41" s="50">
        <f>F41*(1-G39)+G38</f>
        <v/>
      </c>
      <c r="H41" s="50">
        <f>G41*(1-H39)+H38</f>
        <v/>
      </c>
      <c r="I41" s="50">
        <f>H41*(1-I39)+I38</f>
        <v/>
      </c>
      <c r="J41" s="50">
        <f>I41*(1-J39)+J38</f>
        <v/>
      </c>
      <c r="K41" s="50">
        <f>J41*(1-K39)+K38</f>
        <v/>
      </c>
      <c r="L41" s="50">
        <f>K41*(1-L39)+L38</f>
        <v/>
      </c>
      <c r="M41" s="50">
        <f>L41*(1-M39)+M38</f>
        <v/>
      </c>
      <c r="N41" s="50">
        <f>M41*(1-N39)+N38</f>
        <v/>
      </c>
      <c r="O41" s="50">
        <f>N41*(1-O39)+O38</f>
        <v/>
      </c>
      <c r="P41" s="50">
        <f>O41*(1-P39)+P38</f>
        <v/>
      </c>
      <c r="Q41" s="50">
        <f>P41*(1-Q39)+Q38</f>
        <v/>
      </c>
      <c r="R41" s="50">
        <f>Q41*(1-R39)+R38</f>
        <v/>
      </c>
      <c r="S41" s="50">
        <f>R41*(1-S39)+S38</f>
        <v/>
      </c>
      <c r="T41" s="50">
        <f>S41*(1-T39)+T38</f>
        <v/>
      </c>
      <c r="U41" s="50">
        <f>T41*(1-U39)+U38</f>
        <v/>
      </c>
      <c r="V41" s="50">
        <f>U41*(1-V39)+V38</f>
        <v/>
      </c>
      <c r="W41" s="50">
        <f>V41*(1-W39)+W38</f>
        <v/>
      </c>
      <c r="X41" s="50">
        <f>W41*(1-X39)+X38</f>
        <v/>
      </c>
      <c r="Y41" s="50">
        <f>X41*(1-Y39)+Y38</f>
        <v/>
      </c>
      <c r="Z41" s="50">
        <f>Y41*(1-Z39)+Z38</f>
        <v/>
      </c>
      <c r="AA41" s="50">
        <f>Z41*(1-AA39)+AA38</f>
        <v/>
      </c>
      <c r="AB41" s="50">
        <f>AA41*(1-AB39)+AB38</f>
        <v/>
      </c>
      <c r="AC41" s="50">
        <f>AB41*(1-AC39)+AC38</f>
        <v/>
      </c>
      <c r="AD41" s="50">
        <f>AC41*(1-AD39)+AD38</f>
        <v/>
      </c>
      <c r="AE41" s="50">
        <f>AD41*(1-AE39)+AE38</f>
        <v/>
      </c>
    </row>
    <row r="42">
      <c r="A42" s="6" t="inlineStr">
        <is>
          <t xml:space="preserve">  Grams under custody (vaulted, incl. self-custodied)</t>
        </is>
      </c>
      <c r="B42" s="23" t="inlineStr">
        <is>
          <t>grams</t>
        </is>
      </c>
      <c r="C42" s="50">
        <f>C38</f>
        <v/>
      </c>
      <c r="D42" s="50">
        <f>C42*(1-D40)+D38</f>
        <v/>
      </c>
      <c r="E42" s="50">
        <f>D42*(1-E40)+E38</f>
        <v/>
      </c>
      <c r="F42" s="50">
        <f>E42*(1-F40)+F38</f>
        <v/>
      </c>
      <c r="G42" s="50">
        <f>F42*(1-G40)+G38</f>
        <v/>
      </c>
      <c r="H42" s="50">
        <f>G42*(1-H40)+H38</f>
        <v/>
      </c>
      <c r="I42" s="50">
        <f>H42*(1-I40)+I38</f>
        <v/>
      </c>
      <c r="J42" s="50">
        <f>I42*(1-J40)+J38</f>
        <v/>
      </c>
      <c r="K42" s="50">
        <f>J42*(1-K40)+K38</f>
        <v/>
      </c>
      <c r="L42" s="50">
        <f>K42*(1-L40)+L38</f>
        <v/>
      </c>
      <c r="M42" s="50">
        <f>L42*(1-M40)+M38</f>
        <v/>
      </c>
      <c r="N42" s="50">
        <f>M42*(1-N40)+N38</f>
        <v/>
      </c>
      <c r="O42" s="50">
        <f>N42*(1-O40)+O38</f>
        <v/>
      </c>
      <c r="P42" s="50">
        <f>O42*(1-P40)+P38</f>
        <v/>
      </c>
      <c r="Q42" s="50">
        <f>P42*(1-Q40)+Q38</f>
        <v/>
      </c>
      <c r="R42" s="50">
        <f>Q42*(1-R40)+R38</f>
        <v/>
      </c>
      <c r="S42" s="50">
        <f>R42*(1-S40)+S38</f>
        <v/>
      </c>
      <c r="T42" s="50">
        <f>S42*(1-T40)+T38</f>
        <v/>
      </c>
      <c r="U42" s="50">
        <f>T42*(1-U40)+U38</f>
        <v/>
      </c>
      <c r="V42" s="50">
        <f>U42*(1-V40)+V38</f>
        <v/>
      </c>
      <c r="W42" s="50">
        <f>V42*(1-W40)+W38</f>
        <v/>
      </c>
      <c r="X42" s="50">
        <f>W42*(1-X40)+X38</f>
        <v/>
      </c>
      <c r="Y42" s="50">
        <f>X42*(1-Y40)+Y38</f>
        <v/>
      </c>
      <c r="Z42" s="50">
        <f>Y42*(1-Z40)+Z38</f>
        <v/>
      </c>
      <c r="AA42" s="50">
        <f>Z42*(1-AA40)+AA38</f>
        <v/>
      </c>
      <c r="AB42" s="50">
        <f>AA42*(1-AB40)+AB38</f>
        <v/>
      </c>
      <c r="AC42" s="50">
        <f>AB42*(1-AC40)+AC38</f>
        <v/>
      </c>
      <c r="AD42" s="50">
        <f>AC42*(1-AD40)+AD38</f>
        <v/>
      </c>
      <c r="AE42" s="50">
        <f>AD42*(1-AE40)+AE38</f>
        <v/>
      </c>
    </row>
    <row r="43">
      <c r="A43" s="6" t="inlineStr">
        <is>
          <t xml:space="preserve">  AUM</t>
        </is>
      </c>
      <c r="B43" s="23" t="inlineStr">
        <is>
          <t>USD</t>
        </is>
      </c>
      <c r="C43" s="63">
        <f>C41*C20</f>
        <v/>
      </c>
      <c r="D43" s="63">
        <f>D41*D20</f>
        <v/>
      </c>
      <c r="E43" s="63">
        <f>E41*E20</f>
        <v/>
      </c>
      <c r="F43" s="63">
        <f>F41*F20</f>
        <v/>
      </c>
      <c r="G43" s="63">
        <f>G41*G20</f>
        <v/>
      </c>
      <c r="H43" s="63">
        <f>H41*H20</f>
        <v/>
      </c>
      <c r="I43" s="63">
        <f>I41*I20</f>
        <v/>
      </c>
      <c r="J43" s="63">
        <f>J41*J20</f>
        <v/>
      </c>
      <c r="K43" s="63">
        <f>K41*K20</f>
        <v/>
      </c>
      <c r="L43" s="63">
        <f>L41*L20</f>
        <v/>
      </c>
      <c r="M43" s="63">
        <f>M41*M20</f>
        <v/>
      </c>
      <c r="N43" s="63">
        <f>N41*N20</f>
        <v/>
      </c>
      <c r="O43" s="63">
        <f>O41*O20</f>
        <v/>
      </c>
      <c r="P43" s="63">
        <f>P41*P20</f>
        <v/>
      </c>
      <c r="Q43" s="63">
        <f>Q41*Q20</f>
        <v/>
      </c>
      <c r="R43" s="63">
        <f>R41*R20</f>
        <v/>
      </c>
      <c r="S43" s="63">
        <f>S41*S20</f>
        <v/>
      </c>
      <c r="T43" s="63">
        <f>T41*T20</f>
        <v/>
      </c>
      <c r="U43" s="63">
        <f>U41*U20</f>
        <v/>
      </c>
      <c r="V43" s="63">
        <f>V41*V20</f>
        <v/>
      </c>
      <c r="W43" s="63">
        <f>W41*W20</f>
        <v/>
      </c>
      <c r="X43" s="63">
        <f>X41*X20</f>
        <v/>
      </c>
      <c r="Y43" s="63">
        <f>Y41*Y20</f>
        <v/>
      </c>
      <c r="Z43" s="63">
        <f>Z41*Z20</f>
        <v/>
      </c>
      <c r="AA43" s="63">
        <f>AA41*AA20</f>
        <v/>
      </c>
      <c r="AB43" s="63">
        <f>AB41*AB20</f>
        <v/>
      </c>
      <c r="AC43" s="63">
        <f>AC41*AC20</f>
        <v/>
      </c>
      <c r="AD43" s="63">
        <f>AD41*AD20</f>
        <v/>
      </c>
      <c r="AE43" s="63">
        <f>AE41*AE20</f>
        <v/>
      </c>
    </row>
    <row r="44">
      <c r="A44" s="6" t="inlineStr">
        <is>
          <t xml:space="preserve">  Card-eligible base</t>
        </is>
      </c>
      <c r="B44" s="23" t="inlineStr">
        <is>
          <t>accounts</t>
        </is>
      </c>
      <c r="C44" s="60">
        <f>C32+C34*Assumptions!$B$228</f>
        <v/>
      </c>
      <c r="D44" s="60">
        <f>D32+D34*Assumptions!$B$228</f>
        <v/>
      </c>
      <c r="E44" s="60">
        <f>E32+E34*Assumptions!$B$228</f>
        <v/>
      </c>
      <c r="F44" s="60">
        <f>F32+F34*Assumptions!$B$228</f>
        <v/>
      </c>
      <c r="G44" s="60">
        <f>G32+G34*Assumptions!$B$228</f>
        <v/>
      </c>
      <c r="H44" s="60">
        <f>H32+H34*Assumptions!$B$228</f>
        <v/>
      </c>
      <c r="I44" s="60">
        <f>I32+I34*Assumptions!$B$228</f>
        <v/>
      </c>
      <c r="J44" s="60">
        <f>J32+J34*Assumptions!$B$228</f>
        <v/>
      </c>
      <c r="K44" s="60">
        <f>K32+K34*Assumptions!$B$228</f>
        <v/>
      </c>
      <c r="L44" s="60">
        <f>L32+L34*Assumptions!$B$228</f>
        <v/>
      </c>
      <c r="M44" s="60">
        <f>M32+M34*Assumptions!$B$228</f>
        <v/>
      </c>
      <c r="N44" s="60">
        <f>N32+N34*Assumptions!$B$228</f>
        <v/>
      </c>
      <c r="O44" s="60">
        <f>O32+O34*Assumptions!$B$228</f>
        <v/>
      </c>
      <c r="P44" s="60">
        <f>P32+P34*Assumptions!$B$228</f>
        <v/>
      </c>
      <c r="Q44" s="60">
        <f>Q32+Q34*Assumptions!$B$228</f>
        <v/>
      </c>
      <c r="R44" s="60">
        <f>R32+R34*Assumptions!$B$228</f>
        <v/>
      </c>
      <c r="S44" s="60">
        <f>S32+S34*Assumptions!$B$228</f>
        <v/>
      </c>
      <c r="T44" s="60">
        <f>T32+T34*Assumptions!$B$228</f>
        <v/>
      </c>
      <c r="U44" s="60">
        <f>U32+U34*Assumptions!$B$228</f>
        <v/>
      </c>
      <c r="V44" s="60">
        <f>V32+V34*Assumptions!$B$228</f>
        <v/>
      </c>
      <c r="W44" s="60">
        <f>W32+W34*Assumptions!$B$228</f>
        <v/>
      </c>
      <c r="X44" s="60">
        <f>X32+X34*Assumptions!$B$228</f>
        <v/>
      </c>
      <c r="Y44" s="60">
        <f>Y32+Y34*Assumptions!$B$228</f>
        <v/>
      </c>
      <c r="Z44" s="60">
        <f>Z32+Z34*Assumptions!$B$228</f>
        <v/>
      </c>
      <c r="AA44" s="60">
        <f>AA32+AA34*Assumptions!$B$228</f>
        <v/>
      </c>
      <c r="AB44" s="60">
        <f>AB32+AB34*Assumptions!$B$228</f>
        <v/>
      </c>
      <c r="AC44" s="60">
        <f>AC32+AC34*Assumptions!$B$228</f>
        <v/>
      </c>
      <c r="AD44" s="60">
        <f>AD32+AD34*Assumptions!$B$228</f>
        <v/>
      </c>
      <c r="AE44" s="60">
        <f>AE32+AE34*Assumptions!$B$228</f>
        <v/>
      </c>
    </row>
    <row r="45">
      <c r="A45" s="6" t="inlineStr">
        <is>
          <t xml:space="preserve">  Reaches an ICS benefit tier (memo - drives discounts, not access)</t>
        </is>
      </c>
      <c r="B45" s="23" t="inlineStr">
        <is>
          <t>accounts</t>
        </is>
      </c>
      <c r="C45" s="64">
        <f>IF(C7&gt;1,C44*Assumptions!$B$149,IF(C2&gt;Assumptions!$B$150,INDEX($C$44:$AE$44,1,C2-Assumptions!$B$150)*Assumptions!$B$149,0))</f>
        <v/>
      </c>
      <c r="D45" s="64">
        <f>IF(D7&gt;1,D44*Assumptions!$B$149,IF(D2&gt;Assumptions!$B$150,INDEX($C$44:$AE$44,1,D2-Assumptions!$B$150)*Assumptions!$B$149,0))</f>
        <v/>
      </c>
      <c r="E45" s="64">
        <f>IF(E7&gt;1,E44*Assumptions!$B$149,IF(E2&gt;Assumptions!$B$150,INDEX($C$44:$AE$44,1,E2-Assumptions!$B$150)*Assumptions!$B$149,0))</f>
        <v/>
      </c>
      <c r="F45" s="64">
        <f>IF(F7&gt;1,F44*Assumptions!$B$149,IF(F2&gt;Assumptions!$B$150,INDEX($C$44:$AE$44,1,F2-Assumptions!$B$150)*Assumptions!$B$149,0))</f>
        <v/>
      </c>
      <c r="G45" s="64">
        <f>IF(G7&gt;1,G44*Assumptions!$B$149,IF(G2&gt;Assumptions!$B$150,INDEX($C$44:$AE$44,1,G2-Assumptions!$B$150)*Assumptions!$B$149,0))</f>
        <v/>
      </c>
      <c r="H45" s="64">
        <f>IF(H7&gt;1,H44*Assumptions!$B$149,IF(H2&gt;Assumptions!$B$150,INDEX($C$44:$AE$44,1,H2-Assumptions!$B$150)*Assumptions!$B$149,0))</f>
        <v/>
      </c>
      <c r="I45" s="64">
        <f>IF(I7&gt;1,I44*Assumptions!$B$149,IF(I2&gt;Assumptions!$B$150,INDEX($C$44:$AE$44,1,I2-Assumptions!$B$150)*Assumptions!$B$149,0))</f>
        <v/>
      </c>
      <c r="J45" s="64">
        <f>IF(J7&gt;1,J44*Assumptions!$B$149,IF(J2&gt;Assumptions!$B$150,INDEX($C$44:$AE$44,1,J2-Assumptions!$B$150)*Assumptions!$B$149,0))</f>
        <v/>
      </c>
      <c r="K45" s="64">
        <f>IF(K7&gt;1,K44*Assumptions!$B$149,IF(K2&gt;Assumptions!$B$150,INDEX($C$44:$AE$44,1,K2-Assumptions!$B$150)*Assumptions!$B$149,0))</f>
        <v/>
      </c>
      <c r="L45" s="64">
        <f>IF(L7&gt;1,L44*Assumptions!$B$149,IF(L2&gt;Assumptions!$B$150,INDEX($C$44:$AE$44,1,L2-Assumptions!$B$150)*Assumptions!$B$149,0))</f>
        <v/>
      </c>
      <c r="M45" s="64">
        <f>IF(M7&gt;1,M44*Assumptions!$B$149,IF(M2&gt;Assumptions!$B$150,INDEX($C$44:$AE$44,1,M2-Assumptions!$B$150)*Assumptions!$B$149,0))</f>
        <v/>
      </c>
      <c r="N45" s="64">
        <f>IF(N7&gt;1,N44*Assumptions!$B$149,IF(N2&gt;Assumptions!$B$150,INDEX($C$44:$AE$44,1,N2-Assumptions!$B$150)*Assumptions!$B$149,0))</f>
        <v/>
      </c>
      <c r="O45" s="64">
        <f>IF(O7&gt;1,O44*Assumptions!$B$149,IF(O2&gt;Assumptions!$B$150,INDEX($C$44:$AE$44,1,O2-Assumptions!$B$150)*Assumptions!$B$149,0))</f>
        <v/>
      </c>
      <c r="P45" s="64">
        <f>IF(P7&gt;1,P44*Assumptions!$B$149,IF(P2&gt;Assumptions!$B$150,INDEX($C$44:$AE$44,1,P2-Assumptions!$B$150)*Assumptions!$B$149,0))</f>
        <v/>
      </c>
      <c r="Q45" s="64">
        <f>IF(Q7&gt;1,Q44*Assumptions!$B$149,IF(Q2&gt;Assumptions!$B$150,INDEX($C$44:$AE$44,1,Q2-Assumptions!$B$150)*Assumptions!$B$149,0))</f>
        <v/>
      </c>
      <c r="R45" s="64">
        <f>IF(R7&gt;1,R44*Assumptions!$B$149,IF(R2&gt;Assumptions!$B$150,INDEX($C$44:$AE$44,1,R2-Assumptions!$B$150)*Assumptions!$B$149,0))</f>
        <v/>
      </c>
      <c r="S45" s="64">
        <f>IF(S7&gt;1,S44*Assumptions!$B$149,IF(S2&gt;Assumptions!$B$150,INDEX($C$44:$AE$44,1,S2-Assumptions!$B$150)*Assumptions!$B$149,0))</f>
        <v/>
      </c>
      <c r="T45" s="64">
        <f>IF(T7&gt;1,T44*Assumptions!$B$149,IF(T2&gt;Assumptions!$B$150,INDEX($C$44:$AE$44,1,T2-Assumptions!$B$150)*Assumptions!$B$149,0))</f>
        <v/>
      </c>
      <c r="U45" s="64">
        <f>IF(U7&gt;1,U44*Assumptions!$B$149,IF(U2&gt;Assumptions!$B$150,INDEX($C$44:$AE$44,1,U2-Assumptions!$B$150)*Assumptions!$B$149,0))</f>
        <v/>
      </c>
      <c r="V45" s="64">
        <f>IF(V7&gt;1,V44*Assumptions!$B$149,IF(V2&gt;Assumptions!$B$150,INDEX($C$44:$AE$44,1,V2-Assumptions!$B$150)*Assumptions!$B$149,0))</f>
        <v/>
      </c>
      <c r="W45" s="64">
        <f>IF(W7&gt;1,W44*Assumptions!$B$149,IF(W2&gt;Assumptions!$B$150,INDEX($C$44:$AE$44,1,W2-Assumptions!$B$150)*Assumptions!$B$149,0))</f>
        <v/>
      </c>
      <c r="X45" s="64">
        <f>IF(X7&gt;1,X44*Assumptions!$B$149,IF(X2&gt;Assumptions!$B$150,INDEX($C$44:$AE$44,1,X2-Assumptions!$B$150)*Assumptions!$B$149,0))</f>
        <v/>
      </c>
      <c r="Y45" s="64">
        <f>IF(Y7&gt;1,Y44*Assumptions!$B$149,IF(Y2&gt;Assumptions!$B$150,INDEX($C$44:$AE$44,1,Y2-Assumptions!$B$150)*Assumptions!$B$149,0))</f>
        <v/>
      </c>
      <c r="Z45" s="64">
        <f>IF(Z7&gt;1,Z44*Assumptions!$B$149,IF(Z2&gt;Assumptions!$B$150,INDEX($C$44:$AE$44,1,Z2-Assumptions!$B$150)*Assumptions!$B$149,0))</f>
        <v/>
      </c>
      <c r="AA45" s="64">
        <f>IF(AA7&gt;1,AA44*Assumptions!$B$149,IF(AA2&gt;Assumptions!$B$150,INDEX($C$44:$AE$44,1,AA2-Assumptions!$B$150)*Assumptions!$B$149,0))</f>
        <v/>
      </c>
      <c r="AB45" s="64">
        <f>IF(AB7&gt;1,AB44*Assumptions!$B$149,IF(AB2&gt;Assumptions!$B$150,INDEX($C$44:$AE$44,1,AB2-Assumptions!$B$150)*Assumptions!$B$149,0))</f>
        <v/>
      </c>
      <c r="AC45" s="64">
        <f>IF(AC7&gt;1,AC44*Assumptions!$B$149,IF(AC2&gt;Assumptions!$B$150,INDEX($C$44:$AE$44,1,AC2-Assumptions!$B$150)*Assumptions!$B$149,0))</f>
        <v/>
      </c>
      <c r="AD45" s="64">
        <f>IF(AD7&gt;1,AD44*Assumptions!$B$149,IF(AD2&gt;Assumptions!$B$150,INDEX($C$44:$AE$44,1,AD2-Assumptions!$B$150)*Assumptions!$B$149,0))</f>
        <v/>
      </c>
      <c r="AE45" s="64">
        <f>IF(AE7&gt;1,AE44*Assumptions!$B$149,IF(AE2&gt;Assumptions!$B$150,INDEX($C$44:$AE$44,1,AE2-Assumptions!$B$150)*Assumptions!$B$149,0))</f>
        <v/>
      </c>
    </row>
    <row r="46">
      <c r="A46" s="6" t="inlineStr">
        <is>
          <t xml:space="preserve">  Active cards</t>
        </is>
      </c>
      <c r="B46" s="23" t="inlineStr">
        <is>
          <t>cards</t>
        </is>
      </c>
      <c r="C46" s="28">
        <f>IF(C2&gt;=Assumptions!$B$51,C44*Assumptions!$B$158,0)</f>
        <v/>
      </c>
      <c r="D46" s="28">
        <f>IF(D2&gt;=Assumptions!$B$51,D44*Assumptions!$B$158,0)</f>
        <v/>
      </c>
      <c r="E46" s="28">
        <f>IF(E2&gt;=Assumptions!$B$51,E44*Assumptions!$B$158,0)</f>
        <v/>
      </c>
      <c r="F46" s="28">
        <f>IF(F2&gt;=Assumptions!$B$51,F44*Assumptions!$B$158,0)</f>
        <v/>
      </c>
      <c r="G46" s="28">
        <f>IF(G2&gt;=Assumptions!$B$51,G44*Assumptions!$B$158,0)</f>
        <v/>
      </c>
      <c r="H46" s="28">
        <f>IF(H2&gt;=Assumptions!$B$51,H44*Assumptions!$B$158,0)</f>
        <v/>
      </c>
      <c r="I46" s="28">
        <f>IF(I2&gt;=Assumptions!$B$51,I44*Assumptions!$B$158,0)</f>
        <v/>
      </c>
      <c r="J46" s="28">
        <f>IF(J2&gt;=Assumptions!$B$51,J44*Assumptions!$B$158,0)</f>
        <v/>
      </c>
      <c r="K46" s="28">
        <f>IF(K2&gt;=Assumptions!$B$51,K44*Assumptions!$B$158,0)</f>
        <v/>
      </c>
      <c r="L46" s="28">
        <f>IF(L2&gt;=Assumptions!$B$51,L44*Assumptions!$B$158,0)</f>
        <v/>
      </c>
      <c r="M46" s="28">
        <f>IF(M2&gt;=Assumptions!$B$51,M44*Assumptions!$B$158,0)</f>
        <v/>
      </c>
      <c r="N46" s="28">
        <f>IF(N2&gt;=Assumptions!$B$51,N44*Assumptions!$B$158,0)</f>
        <v/>
      </c>
      <c r="O46" s="28">
        <f>IF(O2&gt;=Assumptions!$B$51,O44*Assumptions!$B$158,0)</f>
        <v/>
      </c>
      <c r="P46" s="28">
        <f>IF(P2&gt;=Assumptions!$B$51,P44*Assumptions!$B$158,0)</f>
        <v/>
      </c>
      <c r="Q46" s="28">
        <f>IF(Q2&gt;=Assumptions!$B$51,Q44*Assumptions!$B$158,0)</f>
        <v/>
      </c>
      <c r="R46" s="28">
        <f>IF(R2&gt;=Assumptions!$B$51,R44*Assumptions!$B$158,0)</f>
        <v/>
      </c>
      <c r="S46" s="28">
        <f>IF(S2&gt;=Assumptions!$B$51,S44*Assumptions!$B$158,0)</f>
        <v/>
      </c>
      <c r="T46" s="28">
        <f>IF(T2&gt;=Assumptions!$B$51,T44*Assumptions!$B$158,0)</f>
        <v/>
      </c>
      <c r="U46" s="28">
        <f>IF(U2&gt;=Assumptions!$B$51,U44*Assumptions!$B$158,0)</f>
        <v/>
      </c>
      <c r="V46" s="28">
        <f>IF(V2&gt;=Assumptions!$B$51,V44*Assumptions!$B$158,0)</f>
        <v/>
      </c>
      <c r="W46" s="28">
        <f>IF(W2&gt;=Assumptions!$B$51,W44*Assumptions!$B$158,0)</f>
        <v/>
      </c>
      <c r="X46" s="28">
        <f>IF(X2&gt;=Assumptions!$B$51,X44*Assumptions!$B$158,0)</f>
        <v/>
      </c>
      <c r="Y46" s="28">
        <f>IF(Y2&gt;=Assumptions!$B$51,Y44*Assumptions!$B$158,0)</f>
        <v/>
      </c>
      <c r="Z46" s="28">
        <f>IF(Z2&gt;=Assumptions!$B$51,Z44*Assumptions!$B$158,0)</f>
        <v/>
      </c>
      <c r="AA46" s="28">
        <f>IF(AA2&gt;=Assumptions!$B$51,AA44*Assumptions!$B$158,0)</f>
        <v/>
      </c>
      <c r="AB46" s="28">
        <f>IF(AB2&gt;=Assumptions!$B$51,AB44*Assumptions!$B$158,0)</f>
        <v/>
      </c>
      <c r="AC46" s="28">
        <f>IF(AC2&gt;=Assumptions!$B$51,AC44*Assumptions!$B$158,0)</f>
        <v/>
      </c>
      <c r="AD46" s="28">
        <f>IF(AD2&gt;=Assumptions!$B$51,AD44*Assumptions!$B$158,0)</f>
        <v/>
      </c>
      <c r="AE46" s="28">
        <f>IF(AE2&gt;=Assumptions!$B$51,AE44*Assumptions!$B$158,0)</f>
        <v/>
      </c>
    </row>
    <row r="47">
      <c r="A47" s="6" t="inlineStr">
        <is>
          <t xml:space="preserve">  ...of which have a live credit line (now all of them)</t>
        </is>
      </c>
      <c r="B47" s="23" t="inlineStr">
        <is>
          <t>cards</t>
        </is>
      </c>
      <c r="C47" s="28">
        <f>C46</f>
        <v/>
      </c>
      <c r="D47" s="28">
        <f>D46</f>
        <v/>
      </c>
      <c r="E47" s="28">
        <f>E46</f>
        <v/>
      </c>
      <c r="F47" s="28">
        <f>F46</f>
        <v/>
      </c>
      <c r="G47" s="28">
        <f>G46</f>
        <v/>
      </c>
      <c r="H47" s="28">
        <f>H46</f>
        <v/>
      </c>
      <c r="I47" s="28">
        <f>I46</f>
        <v/>
      </c>
      <c r="J47" s="28">
        <f>J46</f>
        <v/>
      </c>
      <c r="K47" s="28">
        <f>K46</f>
        <v/>
      </c>
      <c r="L47" s="28">
        <f>L46</f>
        <v/>
      </c>
      <c r="M47" s="28">
        <f>M46</f>
        <v/>
      </c>
      <c r="N47" s="28">
        <f>N46</f>
        <v/>
      </c>
      <c r="O47" s="28">
        <f>O46</f>
        <v/>
      </c>
      <c r="P47" s="28">
        <f>P46</f>
        <v/>
      </c>
      <c r="Q47" s="28">
        <f>Q46</f>
        <v/>
      </c>
      <c r="R47" s="28">
        <f>R46</f>
        <v/>
      </c>
      <c r="S47" s="28">
        <f>S46</f>
        <v/>
      </c>
      <c r="T47" s="28">
        <f>T46</f>
        <v/>
      </c>
      <c r="U47" s="28">
        <f>U46</f>
        <v/>
      </c>
      <c r="V47" s="28">
        <f>V46</f>
        <v/>
      </c>
      <c r="W47" s="28">
        <f>W46</f>
        <v/>
      </c>
      <c r="X47" s="28">
        <f>X46</f>
        <v/>
      </c>
      <c r="Y47" s="28">
        <f>Y46</f>
        <v/>
      </c>
      <c r="Z47" s="28">
        <f>Z46</f>
        <v/>
      </c>
      <c r="AA47" s="28">
        <f>AA46</f>
        <v/>
      </c>
      <c r="AB47" s="28">
        <f>AB46</f>
        <v/>
      </c>
      <c r="AC47" s="28">
        <f>AC46</f>
        <v/>
      </c>
      <c r="AD47" s="28">
        <f>AD46</f>
        <v/>
      </c>
      <c r="AE47" s="28">
        <f>AE46</f>
        <v/>
      </c>
    </row>
    <row r="48">
      <c r="A48" s="6" t="inlineStr">
        <is>
          <t xml:space="preserve">  ...newly issued this period (flow, drives the issuance fee)</t>
        </is>
      </c>
      <c r="B48" s="23" t="inlineStr">
        <is>
          <t>cards</t>
        </is>
      </c>
      <c r="C48" s="60">
        <f>C46</f>
        <v/>
      </c>
      <c r="D48" s="60">
        <f>MAX(0,D46-C46)</f>
        <v/>
      </c>
      <c r="E48" s="60">
        <f>MAX(0,E46-D46)</f>
        <v/>
      </c>
      <c r="F48" s="60">
        <f>MAX(0,F46-E46)</f>
        <v/>
      </c>
      <c r="G48" s="60">
        <f>MAX(0,G46-F46)</f>
        <v/>
      </c>
      <c r="H48" s="60">
        <f>MAX(0,H46-G46)</f>
        <v/>
      </c>
      <c r="I48" s="60">
        <f>MAX(0,I46-H46)</f>
        <v/>
      </c>
      <c r="J48" s="60">
        <f>MAX(0,J46-I46)</f>
        <v/>
      </c>
      <c r="K48" s="60">
        <f>MAX(0,K46-J46)</f>
        <v/>
      </c>
      <c r="L48" s="60">
        <f>MAX(0,L46-K46)</f>
        <v/>
      </c>
      <c r="M48" s="60">
        <f>MAX(0,M46-L46)</f>
        <v/>
      </c>
      <c r="N48" s="60">
        <f>MAX(0,N46-M46)</f>
        <v/>
      </c>
      <c r="O48" s="60">
        <f>MAX(0,O46-N46)</f>
        <v/>
      </c>
      <c r="P48" s="60">
        <f>MAX(0,P46-O46)</f>
        <v/>
      </c>
      <c r="Q48" s="60">
        <f>MAX(0,Q46-P46)</f>
        <v/>
      </c>
      <c r="R48" s="60">
        <f>MAX(0,R46-Q46)</f>
        <v/>
      </c>
      <c r="S48" s="60">
        <f>MAX(0,S46-R46)</f>
        <v/>
      </c>
      <c r="T48" s="60">
        <f>MAX(0,T46-S46)</f>
        <v/>
      </c>
      <c r="U48" s="60">
        <f>MAX(0,U46-T46)</f>
        <v/>
      </c>
      <c r="V48" s="60">
        <f>MAX(0,V46-U46)</f>
        <v/>
      </c>
      <c r="W48" s="60">
        <f>MAX(0,W46-V46)</f>
        <v/>
      </c>
      <c r="X48" s="60">
        <f>MAX(0,X46-W46)</f>
        <v/>
      </c>
      <c r="Y48" s="60">
        <f>MAX(0,Y46-X46)</f>
        <v/>
      </c>
      <c r="Z48" s="60">
        <f>MAX(0,Z46-Y46)</f>
        <v/>
      </c>
      <c r="AA48" s="60">
        <f>MAX(0,AA46-Z46)</f>
        <v/>
      </c>
      <c r="AB48" s="60">
        <f>MAX(0,AB46-AA46)</f>
        <v/>
      </c>
      <c r="AC48" s="60">
        <f>MAX(0,AC46-AB46)</f>
        <v/>
      </c>
      <c r="AD48" s="60">
        <f>MAX(0,AD46-AC46)</f>
        <v/>
      </c>
      <c r="AE48" s="60">
        <f>MAX(0,AE46-AD46)</f>
        <v/>
      </c>
    </row>
    <row r="49">
      <c r="A49" s="6" t="inlineStr">
        <is>
          <t xml:space="preserve">  Credit limit per customer (gold x LTV)</t>
        </is>
      </c>
      <c r="B49" s="23" t="inlineStr">
        <is>
          <t>USD</t>
        </is>
      </c>
      <c r="C49" s="61">
        <f>IF(C44=0,0,C43/C44*Assumptions!$B$31)</f>
        <v/>
      </c>
      <c r="D49" s="61">
        <f>IF(D44=0,0,D43/D44*Assumptions!$B$31)</f>
        <v/>
      </c>
      <c r="E49" s="61">
        <f>IF(E44=0,0,E43/E44*Assumptions!$B$31)</f>
        <v/>
      </c>
      <c r="F49" s="61">
        <f>IF(F44=0,0,F43/F44*Assumptions!$B$31)</f>
        <v/>
      </c>
      <c r="G49" s="61">
        <f>IF(G44=0,0,G43/G44*Assumptions!$B$31)</f>
        <v/>
      </c>
      <c r="H49" s="61">
        <f>IF(H44=0,0,H43/H44*Assumptions!$B$31)</f>
        <v/>
      </c>
      <c r="I49" s="61">
        <f>IF(I44=0,0,I43/I44*Assumptions!$B$31)</f>
        <v/>
      </c>
      <c r="J49" s="61">
        <f>IF(J44=0,0,J43/J44*Assumptions!$B$31)</f>
        <v/>
      </c>
      <c r="K49" s="61">
        <f>IF(K44=0,0,K43/K44*Assumptions!$B$31)</f>
        <v/>
      </c>
      <c r="L49" s="61">
        <f>IF(L44=0,0,L43/L44*Assumptions!$B$31)</f>
        <v/>
      </c>
      <c r="M49" s="61">
        <f>IF(M44=0,0,M43/M44*Assumptions!$B$31)</f>
        <v/>
      </c>
      <c r="N49" s="61">
        <f>IF(N44=0,0,N43/N44*Assumptions!$B$31)</f>
        <v/>
      </c>
      <c r="O49" s="61">
        <f>IF(O44=0,0,O43/O44*Assumptions!$B$31)</f>
        <v/>
      </c>
      <c r="P49" s="61">
        <f>IF(P44=0,0,P43/P44*Assumptions!$B$31)</f>
        <v/>
      </c>
      <c r="Q49" s="61">
        <f>IF(Q44=0,0,Q43/Q44*Assumptions!$B$31)</f>
        <v/>
      </c>
      <c r="R49" s="61">
        <f>IF(R44=0,0,R43/R44*Assumptions!$B$31)</f>
        <v/>
      </c>
      <c r="S49" s="61">
        <f>IF(S44=0,0,S43/S44*Assumptions!$B$31)</f>
        <v/>
      </c>
      <c r="T49" s="61">
        <f>IF(T44=0,0,T43/T44*Assumptions!$B$31)</f>
        <v/>
      </c>
      <c r="U49" s="61">
        <f>IF(U44=0,0,U43/U44*Assumptions!$B$31)</f>
        <v/>
      </c>
      <c r="V49" s="61">
        <f>IF(V44=0,0,V43/V44*Assumptions!$B$31)</f>
        <v/>
      </c>
      <c r="W49" s="61">
        <f>IF(W44=0,0,W43/W44*Assumptions!$B$31)</f>
        <v/>
      </c>
      <c r="X49" s="61">
        <f>IF(X44=0,0,X43/X44*Assumptions!$B$31)</f>
        <v/>
      </c>
      <c r="Y49" s="61">
        <f>IF(Y44=0,0,Y43/Y44*Assumptions!$B$31)</f>
        <v/>
      </c>
      <c r="Z49" s="61">
        <f>IF(Z44=0,0,Z43/Z44*Assumptions!$B$31)</f>
        <v/>
      </c>
      <c r="AA49" s="61">
        <f>IF(AA44=0,0,AA43/AA44*Assumptions!$B$31)</f>
        <v/>
      </c>
      <c r="AB49" s="61">
        <f>IF(AB44=0,0,AB43/AB44*Assumptions!$B$31)</f>
        <v/>
      </c>
      <c r="AC49" s="61">
        <f>IF(AC44=0,0,AC43/AC44*Assumptions!$B$31)</f>
        <v/>
      </c>
      <c r="AD49" s="61">
        <f>IF(AD44=0,0,AD43/AD44*Assumptions!$B$31)</f>
        <v/>
      </c>
      <c r="AE49" s="61">
        <f>IF(AE44=0,0,AE43/AE44*Assumptions!$B$31)</f>
        <v/>
      </c>
    </row>
    <row r="50">
      <c r="A50" s="6" t="inlineStr">
        <is>
          <t xml:space="preserve">  Annual drawdown per card (limit x drawn x draws)</t>
        </is>
      </c>
      <c r="B50" s="23" t="inlineStr">
        <is>
          <t>USD/yr</t>
        </is>
      </c>
      <c r="C50" s="61">
        <f>C49*Assumptions!$B$171*Assumptions!$B$173</f>
        <v/>
      </c>
      <c r="D50" s="61">
        <f>D49*Assumptions!$B$171*Assumptions!$B$173</f>
        <v/>
      </c>
      <c r="E50" s="61">
        <f>E49*Assumptions!$B$171*Assumptions!$B$173</f>
        <v/>
      </c>
      <c r="F50" s="61">
        <f>F49*Assumptions!$B$171*Assumptions!$B$173</f>
        <v/>
      </c>
      <c r="G50" s="61">
        <f>G49*Assumptions!$B$171*Assumptions!$B$173</f>
        <v/>
      </c>
      <c r="H50" s="61">
        <f>H49*Assumptions!$B$171*Assumptions!$B$173</f>
        <v/>
      </c>
      <c r="I50" s="61">
        <f>I49*Assumptions!$B$171*Assumptions!$B$173</f>
        <v/>
      </c>
      <c r="J50" s="61">
        <f>J49*Assumptions!$B$171*Assumptions!$B$173</f>
        <v/>
      </c>
      <c r="K50" s="61">
        <f>K49*Assumptions!$B$171*Assumptions!$B$173</f>
        <v/>
      </c>
      <c r="L50" s="61">
        <f>L49*Assumptions!$B$171*Assumptions!$B$173</f>
        <v/>
      </c>
      <c r="M50" s="61">
        <f>M49*Assumptions!$B$171*Assumptions!$B$173</f>
        <v/>
      </c>
      <c r="N50" s="61">
        <f>N49*Assumptions!$B$171*Assumptions!$B$173</f>
        <v/>
      </c>
      <c r="O50" s="61">
        <f>O49*Assumptions!$B$171*Assumptions!$B$173</f>
        <v/>
      </c>
      <c r="P50" s="61">
        <f>P49*Assumptions!$B$171*Assumptions!$B$173</f>
        <v/>
      </c>
      <c r="Q50" s="61">
        <f>Q49*Assumptions!$B$171*Assumptions!$B$173</f>
        <v/>
      </c>
      <c r="R50" s="61">
        <f>R49*Assumptions!$B$171*Assumptions!$B$173</f>
        <v/>
      </c>
      <c r="S50" s="61">
        <f>S49*Assumptions!$B$171*Assumptions!$B$173</f>
        <v/>
      </c>
      <c r="T50" s="61">
        <f>T49*Assumptions!$B$171*Assumptions!$B$173</f>
        <v/>
      </c>
      <c r="U50" s="61">
        <f>U49*Assumptions!$B$171*Assumptions!$B$173</f>
        <v/>
      </c>
      <c r="V50" s="61">
        <f>V49*Assumptions!$B$171*Assumptions!$B$173</f>
        <v/>
      </c>
      <c r="W50" s="61">
        <f>W49*Assumptions!$B$171*Assumptions!$B$173</f>
        <v/>
      </c>
      <c r="X50" s="61">
        <f>X49*Assumptions!$B$171*Assumptions!$B$173</f>
        <v/>
      </c>
      <c r="Y50" s="61">
        <f>Y49*Assumptions!$B$171*Assumptions!$B$173</f>
        <v/>
      </c>
      <c r="Z50" s="61">
        <f>Z49*Assumptions!$B$171*Assumptions!$B$173</f>
        <v/>
      </c>
      <c r="AA50" s="61">
        <f>AA49*Assumptions!$B$171*Assumptions!$B$173</f>
        <v/>
      </c>
      <c r="AB50" s="61">
        <f>AB49*Assumptions!$B$171*Assumptions!$B$173</f>
        <v/>
      </c>
      <c r="AC50" s="61">
        <f>AC49*Assumptions!$B$171*Assumptions!$B$173</f>
        <v/>
      </c>
      <c r="AD50" s="61">
        <f>AD49*Assumptions!$B$171*Assumptions!$B$173</f>
        <v/>
      </c>
      <c r="AE50" s="61">
        <f>AE49*Assumptions!$B$171*Assumptions!$B$173</f>
        <v/>
      </c>
    </row>
    <row r="51">
      <c r="A51" s="6" t="inlineStr">
        <is>
          <t xml:space="preserve">  Card spend per card per month</t>
        </is>
      </c>
      <c r="B51" s="23" t="inlineStr">
        <is>
          <t>USD</t>
        </is>
      </c>
      <c r="C51" s="61">
        <f>C50/12*C16</f>
        <v/>
      </c>
      <c r="D51" s="61">
        <f>D50/12*D16</f>
        <v/>
      </c>
      <c r="E51" s="61">
        <f>E50/12*E16</f>
        <v/>
      </c>
      <c r="F51" s="61">
        <f>F50/12*F16</f>
        <v/>
      </c>
      <c r="G51" s="61">
        <f>G50/12*G16</f>
        <v/>
      </c>
      <c r="H51" s="61">
        <f>H50/12*H16</f>
        <v/>
      </c>
      <c r="I51" s="61">
        <f>I50/12*I16</f>
        <v/>
      </c>
      <c r="J51" s="61">
        <f>J50/12*J16</f>
        <v/>
      </c>
      <c r="K51" s="61">
        <f>K50/12*K16</f>
        <v/>
      </c>
      <c r="L51" s="61">
        <f>L50/12*L16</f>
        <v/>
      </c>
      <c r="M51" s="61">
        <f>M50/12*M16</f>
        <v/>
      </c>
      <c r="N51" s="61">
        <f>N50/12*N16</f>
        <v/>
      </c>
      <c r="O51" s="61">
        <f>O50/12*O16</f>
        <v/>
      </c>
      <c r="P51" s="61">
        <f>P50/12*P16</f>
        <v/>
      </c>
      <c r="Q51" s="61">
        <f>Q50/12*Q16</f>
        <v/>
      </c>
      <c r="R51" s="61">
        <f>R50/12*R16</f>
        <v/>
      </c>
      <c r="S51" s="61">
        <f>S50/12*S16</f>
        <v/>
      </c>
      <c r="T51" s="61">
        <f>T50/12*T16</f>
        <v/>
      </c>
      <c r="U51" s="61">
        <f>U50/12*U16</f>
        <v/>
      </c>
      <c r="V51" s="61">
        <f>V50/12*V16</f>
        <v/>
      </c>
      <c r="W51" s="61">
        <f>W50/12*W16</f>
        <v/>
      </c>
      <c r="X51" s="61">
        <f>X50/12*X16</f>
        <v/>
      </c>
      <c r="Y51" s="61">
        <f>Y50/12*Y16</f>
        <v/>
      </c>
      <c r="Z51" s="61">
        <f>Z50/12*Z16</f>
        <v/>
      </c>
      <c r="AA51" s="61">
        <f>AA50/12*AA16</f>
        <v/>
      </c>
      <c r="AB51" s="61">
        <f>AB50/12*AB16</f>
        <v/>
      </c>
      <c r="AC51" s="61">
        <f>AC50/12*AC16</f>
        <v/>
      </c>
      <c r="AD51" s="61">
        <f>AD50/12*AD16</f>
        <v/>
      </c>
      <c r="AE51" s="61">
        <f>AE50/12*AE16</f>
        <v/>
      </c>
    </row>
    <row r="52">
      <c r="A52" s="6" t="inlineStr">
        <is>
          <t xml:space="preserve">  Card spend</t>
        </is>
      </c>
      <c r="B52" s="23" t="inlineStr">
        <is>
          <t>AED</t>
        </is>
      </c>
      <c r="C52" s="50">
        <f>C47*C51*Assumptions!$B$7*C7</f>
        <v/>
      </c>
      <c r="D52" s="50">
        <f>D47*D51*Assumptions!$B$7*D7</f>
        <v/>
      </c>
      <c r="E52" s="50">
        <f>E47*E51*Assumptions!$B$7*E7</f>
        <v/>
      </c>
      <c r="F52" s="50">
        <f>F47*F51*Assumptions!$B$7*F7</f>
        <v/>
      </c>
      <c r="G52" s="50">
        <f>G47*G51*Assumptions!$B$7*G7</f>
        <v/>
      </c>
      <c r="H52" s="50">
        <f>H47*H51*Assumptions!$B$7*H7</f>
        <v/>
      </c>
      <c r="I52" s="50">
        <f>I47*I51*Assumptions!$B$7*I7</f>
        <v/>
      </c>
      <c r="J52" s="50">
        <f>J47*J51*Assumptions!$B$7*J7</f>
        <v/>
      </c>
      <c r="K52" s="50">
        <f>K47*K51*Assumptions!$B$7*K7</f>
        <v/>
      </c>
      <c r="L52" s="50">
        <f>L47*L51*Assumptions!$B$7*L7</f>
        <v/>
      </c>
      <c r="M52" s="50">
        <f>M47*M51*Assumptions!$B$7*M7</f>
        <v/>
      </c>
      <c r="N52" s="50">
        <f>N47*N51*Assumptions!$B$7*N7</f>
        <v/>
      </c>
      <c r="O52" s="50">
        <f>O47*O51*Assumptions!$B$7*O7</f>
        <v/>
      </c>
      <c r="P52" s="50">
        <f>P47*P51*Assumptions!$B$7*P7</f>
        <v/>
      </c>
      <c r="Q52" s="50">
        <f>Q47*Q51*Assumptions!$B$7*Q7</f>
        <v/>
      </c>
      <c r="R52" s="50">
        <f>R47*R51*Assumptions!$B$7*R7</f>
        <v/>
      </c>
      <c r="S52" s="50">
        <f>S47*S51*Assumptions!$B$7*S7</f>
        <v/>
      </c>
      <c r="T52" s="50">
        <f>T47*T51*Assumptions!$B$7*T7</f>
        <v/>
      </c>
      <c r="U52" s="50">
        <f>U47*U51*Assumptions!$B$7*U7</f>
        <v/>
      </c>
      <c r="V52" s="50">
        <f>V47*V51*Assumptions!$B$7*V7</f>
        <v/>
      </c>
      <c r="W52" s="50">
        <f>W47*W51*Assumptions!$B$7*W7</f>
        <v/>
      </c>
      <c r="X52" s="50">
        <f>X47*X51*Assumptions!$B$7*X7</f>
        <v/>
      </c>
      <c r="Y52" s="50">
        <f>Y47*Y51*Assumptions!$B$7*Y7</f>
        <v/>
      </c>
      <c r="Z52" s="50">
        <f>Z47*Z51*Assumptions!$B$7*Z7</f>
        <v/>
      </c>
      <c r="AA52" s="50">
        <f>AA47*AA51*Assumptions!$B$7*AA7</f>
        <v/>
      </c>
      <c r="AB52" s="50">
        <f>AB47*AB51*Assumptions!$B$7*AB7</f>
        <v/>
      </c>
      <c r="AC52" s="50">
        <f>AC47*AC51*Assumptions!$B$7*AC7</f>
        <v/>
      </c>
      <c r="AD52" s="50">
        <f>AD47*AD51*Assumptions!$B$7*AD7</f>
        <v/>
      </c>
      <c r="AE52" s="50">
        <f>AE47*AE51*Assumptions!$B$7*AE7</f>
        <v/>
      </c>
    </row>
    <row r="53">
      <c r="A53" s="6" t="inlineStr">
        <is>
          <t xml:space="preserve">  Card spend</t>
        </is>
      </c>
      <c r="B53" s="23" t="inlineStr">
        <is>
          <t>USD</t>
        </is>
      </c>
      <c r="C53" s="61">
        <f>C52/Assumptions!$B$7</f>
        <v/>
      </c>
      <c r="D53" s="61">
        <f>D52/Assumptions!$B$7</f>
        <v/>
      </c>
      <c r="E53" s="61">
        <f>E52/Assumptions!$B$7</f>
        <v/>
      </c>
      <c r="F53" s="61">
        <f>F52/Assumptions!$B$7</f>
        <v/>
      </c>
      <c r="G53" s="61">
        <f>G52/Assumptions!$B$7</f>
        <v/>
      </c>
      <c r="H53" s="61">
        <f>H52/Assumptions!$B$7</f>
        <v/>
      </c>
      <c r="I53" s="61">
        <f>I52/Assumptions!$B$7</f>
        <v/>
      </c>
      <c r="J53" s="61">
        <f>J52/Assumptions!$B$7</f>
        <v/>
      </c>
      <c r="K53" s="61">
        <f>K52/Assumptions!$B$7</f>
        <v/>
      </c>
      <c r="L53" s="61">
        <f>L52/Assumptions!$B$7</f>
        <v/>
      </c>
      <c r="M53" s="61">
        <f>M52/Assumptions!$B$7</f>
        <v/>
      </c>
      <c r="N53" s="61">
        <f>N52/Assumptions!$B$7</f>
        <v/>
      </c>
      <c r="O53" s="61">
        <f>O52/Assumptions!$B$7</f>
        <v/>
      </c>
      <c r="P53" s="61">
        <f>P52/Assumptions!$B$7</f>
        <v/>
      </c>
      <c r="Q53" s="61">
        <f>Q52/Assumptions!$B$7</f>
        <v/>
      </c>
      <c r="R53" s="61">
        <f>R52/Assumptions!$B$7</f>
        <v/>
      </c>
      <c r="S53" s="61">
        <f>S52/Assumptions!$B$7</f>
        <v/>
      </c>
      <c r="T53" s="61">
        <f>T52/Assumptions!$B$7</f>
        <v/>
      </c>
      <c r="U53" s="61">
        <f>U52/Assumptions!$B$7</f>
        <v/>
      </c>
      <c r="V53" s="61">
        <f>V52/Assumptions!$B$7</f>
        <v/>
      </c>
      <c r="W53" s="61">
        <f>W52/Assumptions!$B$7</f>
        <v/>
      </c>
      <c r="X53" s="61">
        <f>X52/Assumptions!$B$7</f>
        <v/>
      </c>
      <c r="Y53" s="61">
        <f>Y52/Assumptions!$B$7</f>
        <v/>
      </c>
      <c r="Z53" s="61">
        <f>Z52/Assumptions!$B$7</f>
        <v/>
      </c>
      <c r="AA53" s="61">
        <f>AA52/Assumptions!$B$7</f>
        <v/>
      </c>
      <c r="AB53" s="61">
        <f>AB52/Assumptions!$B$7</f>
        <v/>
      </c>
      <c r="AC53" s="61">
        <f>AC52/Assumptions!$B$7</f>
        <v/>
      </c>
      <c r="AD53" s="61">
        <f>AD52/Assumptions!$B$7</f>
        <v/>
      </c>
      <c r="AE53" s="61">
        <f>AE52/Assumptions!$B$7</f>
        <v/>
      </c>
    </row>
    <row r="54">
      <c r="A54" s="6" t="inlineStr">
        <is>
          <t xml:space="preserve">  Average transaction size (derived)</t>
        </is>
      </c>
      <c r="B54" s="23" t="inlineStr">
        <is>
          <t>AED</t>
        </is>
      </c>
      <c r="C54" s="50">
        <f>IF(Assumptions!$B$159=0,0,C49*Assumptions!$B$171*Assumptions!$B$7/Assumptions!$B$159)</f>
        <v/>
      </c>
      <c r="D54" s="50">
        <f>IF(Assumptions!$B$159=0,0,D49*Assumptions!$B$171*Assumptions!$B$7/Assumptions!$B$159)</f>
        <v/>
      </c>
      <c r="E54" s="50">
        <f>IF(Assumptions!$B$159=0,0,E49*Assumptions!$B$171*Assumptions!$B$7/Assumptions!$B$159)</f>
        <v/>
      </c>
      <c r="F54" s="50">
        <f>IF(Assumptions!$B$159=0,0,F49*Assumptions!$B$171*Assumptions!$B$7/Assumptions!$B$159)</f>
        <v/>
      </c>
      <c r="G54" s="50">
        <f>IF(Assumptions!$B$159=0,0,G49*Assumptions!$B$171*Assumptions!$B$7/Assumptions!$B$159)</f>
        <v/>
      </c>
      <c r="H54" s="50">
        <f>IF(Assumptions!$B$159=0,0,H49*Assumptions!$B$171*Assumptions!$B$7/Assumptions!$B$159)</f>
        <v/>
      </c>
      <c r="I54" s="50">
        <f>IF(Assumptions!$B$159=0,0,I49*Assumptions!$B$171*Assumptions!$B$7/Assumptions!$B$159)</f>
        <v/>
      </c>
      <c r="J54" s="50">
        <f>IF(Assumptions!$B$159=0,0,J49*Assumptions!$B$171*Assumptions!$B$7/Assumptions!$B$159)</f>
        <v/>
      </c>
      <c r="K54" s="50">
        <f>IF(Assumptions!$B$159=0,0,K49*Assumptions!$B$171*Assumptions!$B$7/Assumptions!$B$159)</f>
        <v/>
      </c>
      <c r="L54" s="50">
        <f>IF(Assumptions!$B$159=0,0,L49*Assumptions!$B$171*Assumptions!$B$7/Assumptions!$B$159)</f>
        <v/>
      </c>
      <c r="M54" s="50">
        <f>IF(Assumptions!$B$159=0,0,M49*Assumptions!$B$171*Assumptions!$B$7/Assumptions!$B$159)</f>
        <v/>
      </c>
      <c r="N54" s="50">
        <f>IF(Assumptions!$B$159=0,0,N49*Assumptions!$B$171*Assumptions!$B$7/Assumptions!$B$159)</f>
        <v/>
      </c>
      <c r="O54" s="50">
        <f>IF(Assumptions!$B$159=0,0,O49*Assumptions!$B$171*Assumptions!$B$7/Assumptions!$B$159)</f>
        <v/>
      </c>
      <c r="P54" s="50">
        <f>IF(Assumptions!$B$159=0,0,P49*Assumptions!$B$171*Assumptions!$B$7/Assumptions!$B$159)</f>
        <v/>
      </c>
      <c r="Q54" s="50">
        <f>IF(Assumptions!$B$159=0,0,Q49*Assumptions!$B$171*Assumptions!$B$7/Assumptions!$B$159)</f>
        <v/>
      </c>
      <c r="R54" s="50">
        <f>IF(Assumptions!$B$159=0,0,R49*Assumptions!$B$171*Assumptions!$B$7/Assumptions!$B$159)</f>
        <v/>
      </c>
      <c r="S54" s="50">
        <f>IF(Assumptions!$B$159=0,0,S49*Assumptions!$B$171*Assumptions!$B$7/Assumptions!$B$159)</f>
        <v/>
      </c>
      <c r="T54" s="50">
        <f>IF(Assumptions!$B$159=0,0,T49*Assumptions!$B$171*Assumptions!$B$7/Assumptions!$B$159)</f>
        <v/>
      </c>
      <c r="U54" s="50">
        <f>IF(Assumptions!$B$159=0,0,U49*Assumptions!$B$171*Assumptions!$B$7/Assumptions!$B$159)</f>
        <v/>
      </c>
      <c r="V54" s="50">
        <f>IF(Assumptions!$B$159=0,0,V49*Assumptions!$B$171*Assumptions!$B$7/Assumptions!$B$159)</f>
        <v/>
      </c>
      <c r="W54" s="50">
        <f>IF(Assumptions!$B$159=0,0,W49*Assumptions!$B$171*Assumptions!$B$7/Assumptions!$B$159)</f>
        <v/>
      </c>
      <c r="X54" s="50">
        <f>IF(Assumptions!$B$159=0,0,X49*Assumptions!$B$171*Assumptions!$B$7/Assumptions!$B$159)</f>
        <v/>
      </c>
      <c r="Y54" s="50">
        <f>IF(Assumptions!$B$159=0,0,Y49*Assumptions!$B$171*Assumptions!$B$7/Assumptions!$B$159)</f>
        <v/>
      </c>
      <c r="Z54" s="50">
        <f>IF(Assumptions!$B$159=0,0,Z49*Assumptions!$B$171*Assumptions!$B$7/Assumptions!$B$159)</f>
        <v/>
      </c>
      <c r="AA54" s="50">
        <f>IF(Assumptions!$B$159=0,0,AA49*Assumptions!$B$171*Assumptions!$B$7/Assumptions!$B$159)</f>
        <v/>
      </c>
      <c r="AB54" s="50">
        <f>IF(Assumptions!$B$159=0,0,AB49*Assumptions!$B$171*Assumptions!$B$7/Assumptions!$B$159)</f>
        <v/>
      </c>
      <c r="AC54" s="50">
        <f>IF(Assumptions!$B$159=0,0,AC49*Assumptions!$B$171*Assumptions!$B$7/Assumptions!$B$159)</f>
        <v/>
      </c>
      <c r="AD54" s="50">
        <f>IF(Assumptions!$B$159=0,0,AD49*Assumptions!$B$171*Assumptions!$B$7/Assumptions!$B$159)</f>
        <v/>
      </c>
      <c r="AE54" s="50">
        <f>IF(Assumptions!$B$159=0,0,AE49*Assumptions!$B$171*Assumptions!$B$7/Assumptions!$B$159)</f>
        <v/>
      </c>
    </row>
    <row r="55">
      <c r="A55" s="6" t="inlineStr">
        <is>
          <t xml:space="preserve">  Card authorisations (memo - drives cost, not revenue)</t>
        </is>
      </c>
      <c r="B55" s="23" t="inlineStr">
        <is>
          <t>auths</t>
        </is>
      </c>
      <c r="C55" s="50">
        <f>C47*Assumptions!$B$173*Assumptions!$B$159*C7/12*(1+Assumptions!$B$16)</f>
        <v/>
      </c>
      <c r="D55" s="50">
        <f>D47*Assumptions!$B$173*Assumptions!$B$159*D7/12*(1+Assumptions!$B$16)</f>
        <v/>
      </c>
      <c r="E55" s="50">
        <f>E47*Assumptions!$B$173*Assumptions!$B$159*E7/12*(1+Assumptions!$B$16)</f>
        <v/>
      </c>
      <c r="F55" s="50">
        <f>F47*Assumptions!$B$173*Assumptions!$B$159*F7/12*(1+Assumptions!$B$16)</f>
        <v/>
      </c>
      <c r="G55" s="50">
        <f>G47*Assumptions!$B$173*Assumptions!$B$159*G7/12*(1+Assumptions!$B$16)</f>
        <v/>
      </c>
      <c r="H55" s="50">
        <f>H47*Assumptions!$B$173*Assumptions!$B$159*H7/12*(1+Assumptions!$B$16)</f>
        <v/>
      </c>
      <c r="I55" s="50">
        <f>I47*Assumptions!$B$173*Assumptions!$B$159*I7/12*(1+Assumptions!$B$16)</f>
        <v/>
      </c>
      <c r="J55" s="50">
        <f>J47*Assumptions!$B$173*Assumptions!$B$159*J7/12*(1+Assumptions!$B$16)</f>
        <v/>
      </c>
      <c r="K55" s="50">
        <f>K47*Assumptions!$B$173*Assumptions!$B$159*K7/12*(1+Assumptions!$B$16)</f>
        <v/>
      </c>
      <c r="L55" s="50">
        <f>L47*Assumptions!$B$173*Assumptions!$B$159*L7/12*(1+Assumptions!$B$16)</f>
        <v/>
      </c>
      <c r="M55" s="50">
        <f>M47*Assumptions!$B$173*Assumptions!$B$159*M7/12*(1+Assumptions!$B$16)</f>
        <v/>
      </c>
      <c r="N55" s="50">
        <f>N47*Assumptions!$B$173*Assumptions!$B$159*N7/12*(1+Assumptions!$B$16)</f>
        <v/>
      </c>
      <c r="O55" s="50">
        <f>O47*Assumptions!$B$173*Assumptions!$B$159*O7/12*(1+Assumptions!$B$16)</f>
        <v/>
      </c>
      <c r="P55" s="50">
        <f>P47*Assumptions!$B$173*Assumptions!$B$159*P7/12*(1+Assumptions!$B$16)</f>
        <v/>
      </c>
      <c r="Q55" s="50">
        <f>Q47*Assumptions!$B$173*Assumptions!$B$159*Q7/12*(1+Assumptions!$B$16)</f>
        <v/>
      </c>
      <c r="R55" s="50">
        <f>R47*Assumptions!$B$173*Assumptions!$B$159*R7/12*(1+Assumptions!$B$16)</f>
        <v/>
      </c>
      <c r="S55" s="50">
        <f>S47*Assumptions!$B$173*Assumptions!$B$159*S7/12*(1+Assumptions!$B$16)</f>
        <v/>
      </c>
      <c r="T55" s="50">
        <f>T47*Assumptions!$B$173*Assumptions!$B$159*T7/12*(1+Assumptions!$B$16)</f>
        <v/>
      </c>
      <c r="U55" s="50">
        <f>U47*Assumptions!$B$173*Assumptions!$B$159*U7/12*(1+Assumptions!$B$16)</f>
        <v/>
      </c>
      <c r="V55" s="50">
        <f>V47*Assumptions!$B$173*Assumptions!$B$159*V7/12*(1+Assumptions!$B$16)</f>
        <v/>
      </c>
      <c r="W55" s="50">
        <f>W47*Assumptions!$B$173*Assumptions!$B$159*W7/12*(1+Assumptions!$B$16)</f>
        <v/>
      </c>
      <c r="X55" s="50">
        <f>X47*Assumptions!$B$173*Assumptions!$B$159*X7/12*(1+Assumptions!$B$16)</f>
        <v/>
      </c>
      <c r="Y55" s="50">
        <f>Y47*Assumptions!$B$173*Assumptions!$B$159*Y7/12*(1+Assumptions!$B$16)</f>
        <v/>
      </c>
      <c r="Z55" s="50">
        <f>Z47*Assumptions!$B$173*Assumptions!$B$159*Z7/12*(1+Assumptions!$B$16)</f>
        <v/>
      </c>
      <c r="AA55" s="50">
        <f>AA47*Assumptions!$B$173*Assumptions!$B$159*AA7/12*(1+Assumptions!$B$16)</f>
        <v/>
      </c>
      <c r="AB55" s="50">
        <f>AB47*Assumptions!$B$173*Assumptions!$B$159*AB7/12*(1+Assumptions!$B$16)</f>
        <v/>
      </c>
      <c r="AC55" s="50">
        <f>AC47*Assumptions!$B$173*Assumptions!$B$159*AC7/12*(1+Assumptions!$B$16)</f>
        <v/>
      </c>
      <c r="AD55" s="50">
        <f>AD47*Assumptions!$B$173*Assumptions!$B$159*AD7/12*(1+Assumptions!$B$16)</f>
        <v/>
      </c>
      <c r="AE55" s="50">
        <f>AE47*Assumptions!$B$173*Assumptions!$B$159*AE7/12*(1+Assumptions!$B$16)</f>
        <v/>
      </c>
    </row>
    <row r="56">
      <c r="A56" s="6" t="inlineStr">
        <is>
          <t xml:space="preserve">  Stream 1a - Entry fee, SIP</t>
        </is>
      </c>
      <c r="B56" s="23" t="inlineStr">
        <is>
          <t>USD</t>
        </is>
      </c>
      <c r="C56" s="61">
        <f>C36*Assumptions!$B$8</f>
        <v/>
      </c>
      <c r="D56" s="61">
        <f>D36*Assumptions!$B$8</f>
        <v/>
      </c>
      <c r="E56" s="61">
        <f>E36*Assumptions!$B$8</f>
        <v/>
      </c>
      <c r="F56" s="61">
        <f>F36*Assumptions!$B$8</f>
        <v/>
      </c>
      <c r="G56" s="61">
        <f>G36*Assumptions!$B$8</f>
        <v/>
      </c>
      <c r="H56" s="61">
        <f>H36*Assumptions!$B$8</f>
        <v/>
      </c>
      <c r="I56" s="61">
        <f>I36*Assumptions!$B$8</f>
        <v/>
      </c>
      <c r="J56" s="61">
        <f>J36*Assumptions!$B$8</f>
        <v/>
      </c>
      <c r="K56" s="61">
        <f>K36*Assumptions!$B$8</f>
        <v/>
      </c>
      <c r="L56" s="61">
        <f>L36*Assumptions!$B$8</f>
        <v/>
      </c>
      <c r="M56" s="61">
        <f>M36*Assumptions!$B$8</f>
        <v/>
      </c>
      <c r="N56" s="61">
        <f>N36*Assumptions!$B$8</f>
        <v/>
      </c>
      <c r="O56" s="61">
        <f>O36*Assumptions!$B$8</f>
        <v/>
      </c>
      <c r="P56" s="61">
        <f>P36*Assumptions!$B$8</f>
        <v/>
      </c>
      <c r="Q56" s="61">
        <f>Q36*Assumptions!$B$8</f>
        <v/>
      </c>
      <c r="R56" s="61">
        <f>R36*Assumptions!$B$8</f>
        <v/>
      </c>
      <c r="S56" s="61">
        <f>S36*Assumptions!$B$8</f>
        <v/>
      </c>
      <c r="T56" s="61">
        <f>T36*Assumptions!$B$8</f>
        <v/>
      </c>
      <c r="U56" s="61">
        <f>U36*Assumptions!$B$8</f>
        <v/>
      </c>
      <c r="V56" s="61">
        <f>V36*Assumptions!$B$8</f>
        <v/>
      </c>
      <c r="W56" s="61">
        <f>W36*Assumptions!$B$8</f>
        <v/>
      </c>
      <c r="X56" s="61">
        <f>X36*Assumptions!$B$8</f>
        <v/>
      </c>
      <c r="Y56" s="61">
        <f>Y36*Assumptions!$B$8</f>
        <v/>
      </c>
      <c r="Z56" s="61">
        <f>Z36*Assumptions!$B$8</f>
        <v/>
      </c>
      <c r="AA56" s="61">
        <f>AA36*Assumptions!$B$8</f>
        <v/>
      </c>
      <c r="AB56" s="61">
        <f>AB36*Assumptions!$B$8</f>
        <v/>
      </c>
      <c r="AC56" s="61">
        <f>AC36*Assumptions!$B$8</f>
        <v/>
      </c>
      <c r="AD56" s="61">
        <f>AD36*Assumptions!$B$8</f>
        <v/>
      </c>
      <c r="AE56" s="61">
        <f>AE36*Assumptions!$B$8</f>
        <v/>
      </c>
    </row>
    <row r="57">
      <c r="A57" s="6" t="inlineStr">
        <is>
          <t xml:space="preserve">  Stream 1b - Entry fee, SPOT</t>
        </is>
      </c>
      <c r="B57" s="23" t="inlineStr">
        <is>
          <t>USD</t>
        </is>
      </c>
      <c r="C57" s="61">
        <f>C37*Assumptions!$B$8</f>
        <v/>
      </c>
      <c r="D57" s="61">
        <f>D37*Assumptions!$B$8</f>
        <v/>
      </c>
      <c r="E57" s="61">
        <f>E37*Assumptions!$B$8</f>
        <v/>
      </c>
      <c r="F57" s="61">
        <f>F37*Assumptions!$B$8</f>
        <v/>
      </c>
      <c r="G57" s="61">
        <f>G37*Assumptions!$B$8</f>
        <v/>
      </c>
      <c r="H57" s="61">
        <f>H37*Assumptions!$B$8</f>
        <v/>
      </c>
      <c r="I57" s="61">
        <f>I37*Assumptions!$B$8</f>
        <v/>
      </c>
      <c r="J57" s="61">
        <f>J37*Assumptions!$B$8</f>
        <v/>
      </c>
      <c r="K57" s="61">
        <f>K37*Assumptions!$B$8</f>
        <v/>
      </c>
      <c r="L57" s="61">
        <f>L37*Assumptions!$B$8</f>
        <v/>
      </c>
      <c r="M57" s="61">
        <f>M37*Assumptions!$B$8</f>
        <v/>
      </c>
      <c r="N57" s="61">
        <f>N37*Assumptions!$B$8</f>
        <v/>
      </c>
      <c r="O57" s="61">
        <f>O37*Assumptions!$B$8</f>
        <v/>
      </c>
      <c r="P57" s="61">
        <f>P37*Assumptions!$B$8</f>
        <v/>
      </c>
      <c r="Q57" s="61">
        <f>Q37*Assumptions!$B$8</f>
        <v/>
      </c>
      <c r="R57" s="61">
        <f>R37*Assumptions!$B$8</f>
        <v/>
      </c>
      <c r="S57" s="61">
        <f>S37*Assumptions!$B$8</f>
        <v/>
      </c>
      <c r="T57" s="61">
        <f>T37*Assumptions!$B$8</f>
        <v/>
      </c>
      <c r="U57" s="61">
        <f>U37*Assumptions!$B$8</f>
        <v/>
      </c>
      <c r="V57" s="61">
        <f>V37*Assumptions!$B$8</f>
        <v/>
      </c>
      <c r="W57" s="61">
        <f>W37*Assumptions!$B$8</f>
        <v/>
      </c>
      <c r="X57" s="61">
        <f>X37*Assumptions!$B$8</f>
        <v/>
      </c>
      <c r="Y57" s="61">
        <f>Y37*Assumptions!$B$8</f>
        <v/>
      </c>
      <c r="Z57" s="61">
        <f>Z37*Assumptions!$B$8</f>
        <v/>
      </c>
      <c r="AA57" s="61">
        <f>AA37*Assumptions!$B$8</f>
        <v/>
      </c>
      <c r="AB57" s="61">
        <f>AB37*Assumptions!$B$8</f>
        <v/>
      </c>
      <c r="AC57" s="61">
        <f>AC37*Assumptions!$B$8</f>
        <v/>
      </c>
      <c r="AD57" s="61">
        <f>AD37*Assumptions!$B$8</f>
        <v/>
      </c>
      <c r="AE57" s="61">
        <f>AE37*Assumptions!$B$8</f>
        <v/>
      </c>
    </row>
    <row r="58">
      <c r="A58" s="6" t="inlineStr">
        <is>
          <t xml:space="preserve">  Stream 2 - Card interchange</t>
        </is>
      </c>
      <c r="B58" s="23" t="inlineStr">
        <is>
          <t>USD</t>
        </is>
      </c>
      <c r="C58" s="61">
        <f>C53*IF(Assumptions!$B$227=1,MIN(Assumptions!$B$14,1%),Assumptions!$B$14)*(1-Assumptions!$B$157)</f>
        <v/>
      </c>
      <c r="D58" s="61">
        <f>D53*IF(Assumptions!$B$227=1,MIN(Assumptions!$B$14,1%),Assumptions!$B$14)*(1-Assumptions!$B$157)</f>
        <v/>
      </c>
      <c r="E58" s="61">
        <f>E53*IF(Assumptions!$B$227=1,MIN(Assumptions!$B$14,1%),Assumptions!$B$14)*(1-Assumptions!$B$157)</f>
        <v/>
      </c>
      <c r="F58" s="61">
        <f>F53*IF(Assumptions!$B$227=1,MIN(Assumptions!$B$14,1%),Assumptions!$B$14)*(1-Assumptions!$B$157)</f>
        <v/>
      </c>
      <c r="G58" s="61">
        <f>G53*IF(Assumptions!$B$227=1,MIN(Assumptions!$B$14,1%),Assumptions!$B$14)*(1-Assumptions!$B$157)</f>
        <v/>
      </c>
      <c r="H58" s="61">
        <f>H53*IF(Assumptions!$B$227=1,MIN(Assumptions!$B$14,1%),Assumptions!$B$14)*(1-Assumptions!$B$157)</f>
        <v/>
      </c>
      <c r="I58" s="61">
        <f>I53*IF(Assumptions!$B$227=1,MIN(Assumptions!$B$14,1%),Assumptions!$B$14)*(1-Assumptions!$B$157)</f>
        <v/>
      </c>
      <c r="J58" s="61">
        <f>J53*IF(Assumptions!$B$227=1,MIN(Assumptions!$B$14,1%),Assumptions!$B$14)*(1-Assumptions!$B$157)</f>
        <v/>
      </c>
      <c r="K58" s="61">
        <f>K53*IF(Assumptions!$B$227=1,MIN(Assumptions!$B$14,1%),Assumptions!$B$14)*(1-Assumptions!$B$157)</f>
        <v/>
      </c>
      <c r="L58" s="61">
        <f>L53*IF(Assumptions!$B$227=1,MIN(Assumptions!$B$14,1%),Assumptions!$B$14)*(1-Assumptions!$B$157)</f>
        <v/>
      </c>
      <c r="M58" s="61">
        <f>M53*IF(Assumptions!$B$227=1,MIN(Assumptions!$B$14,1%),Assumptions!$B$14)*(1-Assumptions!$B$157)</f>
        <v/>
      </c>
      <c r="N58" s="61">
        <f>N53*IF(Assumptions!$B$227=1,MIN(Assumptions!$B$14,1%),Assumptions!$B$14)*(1-Assumptions!$B$157)</f>
        <v/>
      </c>
      <c r="O58" s="61">
        <f>O53*IF(Assumptions!$B$227=1,MIN(Assumptions!$B$14,1%),Assumptions!$B$14)*(1-Assumptions!$B$157)</f>
        <v/>
      </c>
      <c r="P58" s="61">
        <f>P53*IF(Assumptions!$B$227=1,MIN(Assumptions!$B$14,1%),Assumptions!$B$14)*(1-Assumptions!$B$157)</f>
        <v/>
      </c>
      <c r="Q58" s="61">
        <f>Q53*IF(Assumptions!$B$227=1,MIN(Assumptions!$B$14,1%),Assumptions!$B$14)*(1-Assumptions!$B$157)</f>
        <v/>
      </c>
      <c r="R58" s="61">
        <f>R53*IF(Assumptions!$B$227=1,MIN(Assumptions!$B$14,1%),Assumptions!$B$14)*(1-Assumptions!$B$157)</f>
        <v/>
      </c>
      <c r="S58" s="61">
        <f>S53*IF(Assumptions!$B$227=1,MIN(Assumptions!$B$14,1%),Assumptions!$B$14)*(1-Assumptions!$B$157)</f>
        <v/>
      </c>
      <c r="T58" s="61">
        <f>T53*IF(Assumptions!$B$227=1,MIN(Assumptions!$B$14,1%),Assumptions!$B$14)*(1-Assumptions!$B$157)</f>
        <v/>
      </c>
      <c r="U58" s="61">
        <f>U53*IF(Assumptions!$B$227=1,MIN(Assumptions!$B$14,1%),Assumptions!$B$14)*(1-Assumptions!$B$157)</f>
        <v/>
      </c>
      <c r="V58" s="61">
        <f>V53*IF(Assumptions!$B$227=1,MIN(Assumptions!$B$14,1%),Assumptions!$B$14)*(1-Assumptions!$B$157)</f>
        <v/>
      </c>
      <c r="W58" s="61">
        <f>W53*IF(Assumptions!$B$227=1,MIN(Assumptions!$B$14,1%),Assumptions!$B$14)*(1-Assumptions!$B$157)</f>
        <v/>
      </c>
      <c r="X58" s="61">
        <f>X53*IF(Assumptions!$B$227=1,MIN(Assumptions!$B$14,1%),Assumptions!$B$14)*(1-Assumptions!$B$157)</f>
        <v/>
      </c>
      <c r="Y58" s="61">
        <f>Y53*IF(Assumptions!$B$227=1,MIN(Assumptions!$B$14,1%),Assumptions!$B$14)*(1-Assumptions!$B$157)</f>
        <v/>
      </c>
      <c r="Z58" s="61">
        <f>Z53*IF(Assumptions!$B$227=1,MIN(Assumptions!$B$14,1%),Assumptions!$B$14)*(1-Assumptions!$B$157)</f>
        <v/>
      </c>
      <c r="AA58" s="61">
        <f>AA53*IF(Assumptions!$B$227=1,MIN(Assumptions!$B$14,1%),Assumptions!$B$14)*(1-Assumptions!$B$157)</f>
        <v/>
      </c>
      <c r="AB58" s="61">
        <f>AB53*IF(Assumptions!$B$227=1,MIN(Assumptions!$B$14,1%),Assumptions!$B$14)*(1-Assumptions!$B$157)</f>
        <v/>
      </c>
      <c r="AC58" s="61">
        <f>AC53*IF(Assumptions!$B$227=1,MIN(Assumptions!$B$14,1%),Assumptions!$B$14)*(1-Assumptions!$B$157)</f>
        <v/>
      </c>
      <c r="AD58" s="61">
        <f>AD53*IF(Assumptions!$B$227=1,MIN(Assumptions!$B$14,1%),Assumptions!$B$14)*(1-Assumptions!$B$157)</f>
        <v/>
      </c>
      <c r="AE58" s="61">
        <f>AE53*IF(Assumptions!$B$227=1,MIN(Assumptions!$B$14,1%),Assumptions!$B$14)*(1-Assumptions!$B$157)</f>
        <v/>
      </c>
    </row>
    <row r="59">
      <c r="A59" s="6" t="inlineStr">
        <is>
          <t xml:space="preserve">  Family plan subscribers</t>
        </is>
      </c>
      <c r="B59" s="23" t="inlineStr">
        <is>
          <t>subscribers</t>
        </is>
      </c>
      <c r="C59" s="60">
        <f>IF(C2&gt;=Assumptions!$B$50,C31*Assumptions!$B$174*(1-Assumptions!$B$177)^(C7/2),0)</f>
        <v/>
      </c>
      <c r="D59" s="60">
        <f>IF(D2&gt;=Assumptions!$B$50,C59*(1-Assumptions!$B$177)^D7+D31*Assumptions!$B$174*(1-Assumptions!$B$177)^(D7/2),0)</f>
        <v/>
      </c>
      <c r="E59" s="60">
        <f>IF(E2&gt;=Assumptions!$B$50,D59*(1-Assumptions!$B$177)^E7+E31*Assumptions!$B$174*(1-Assumptions!$B$177)^(E7/2),0)</f>
        <v/>
      </c>
      <c r="F59" s="60">
        <f>IF(F2&gt;=Assumptions!$B$50,E59*(1-Assumptions!$B$177)^F7+F31*Assumptions!$B$174*(1-Assumptions!$B$177)^(F7/2),0)</f>
        <v/>
      </c>
      <c r="G59" s="60">
        <f>IF(G2&gt;=Assumptions!$B$50,F59*(1-Assumptions!$B$177)^G7+G31*Assumptions!$B$174*(1-Assumptions!$B$177)^(G7/2),0)</f>
        <v/>
      </c>
      <c r="H59" s="60">
        <f>IF(H2&gt;=Assumptions!$B$50,G59*(1-Assumptions!$B$177)^H7+H31*Assumptions!$B$174*(1-Assumptions!$B$177)^(H7/2),0)</f>
        <v/>
      </c>
      <c r="I59" s="60">
        <f>IF(I2&gt;=Assumptions!$B$50,H59*(1-Assumptions!$B$177)^I7+I31*Assumptions!$B$174*(1-Assumptions!$B$177)^(I7/2),0)</f>
        <v/>
      </c>
      <c r="J59" s="60">
        <f>IF(J2&gt;=Assumptions!$B$50,I59*(1-Assumptions!$B$177)^J7+J31*Assumptions!$B$174*(1-Assumptions!$B$177)^(J7/2),0)</f>
        <v/>
      </c>
      <c r="K59" s="60">
        <f>IF(K2&gt;=Assumptions!$B$50,J59*(1-Assumptions!$B$177)^K7+K31*Assumptions!$B$174*(1-Assumptions!$B$177)^(K7/2),0)</f>
        <v/>
      </c>
      <c r="L59" s="60">
        <f>IF(L2&gt;=Assumptions!$B$50,K59*(1-Assumptions!$B$177)^L7+L31*Assumptions!$B$174*(1-Assumptions!$B$177)^(L7/2),0)</f>
        <v/>
      </c>
      <c r="M59" s="60">
        <f>IF(M2&gt;=Assumptions!$B$50,L59*(1-Assumptions!$B$177)^M7+M31*Assumptions!$B$174*(1-Assumptions!$B$177)^(M7/2),0)</f>
        <v/>
      </c>
      <c r="N59" s="60">
        <f>IF(N2&gt;=Assumptions!$B$50,M59*(1-Assumptions!$B$177)^N7+N31*Assumptions!$B$174*(1-Assumptions!$B$177)^(N7/2),0)</f>
        <v/>
      </c>
      <c r="O59" s="60">
        <f>IF(O2&gt;=Assumptions!$B$50,N59*(1-Assumptions!$B$177)^O7+O31*Assumptions!$B$174*(1-Assumptions!$B$177)^(O7/2),0)</f>
        <v/>
      </c>
      <c r="P59" s="60">
        <f>IF(P2&gt;=Assumptions!$B$50,O59*(1-Assumptions!$B$177)^P7+P31*Assumptions!$B$174*(1-Assumptions!$B$177)^(P7/2),0)</f>
        <v/>
      </c>
      <c r="Q59" s="60">
        <f>IF(Q2&gt;=Assumptions!$B$50,P59*(1-Assumptions!$B$177)^Q7+Q31*Assumptions!$B$174*(1-Assumptions!$B$177)^(Q7/2),0)</f>
        <v/>
      </c>
      <c r="R59" s="60">
        <f>IF(R2&gt;=Assumptions!$B$50,Q59*(1-Assumptions!$B$177)^R7+R31*Assumptions!$B$174*(1-Assumptions!$B$177)^(R7/2),0)</f>
        <v/>
      </c>
      <c r="S59" s="60">
        <f>IF(S2&gt;=Assumptions!$B$50,R59*(1-Assumptions!$B$177)^S7+S31*Assumptions!$B$174*(1-Assumptions!$B$177)^(S7/2),0)</f>
        <v/>
      </c>
      <c r="T59" s="60">
        <f>IF(T2&gt;=Assumptions!$B$50,S59*(1-Assumptions!$B$177)^T7+T31*Assumptions!$B$174*(1-Assumptions!$B$177)^(T7/2),0)</f>
        <v/>
      </c>
      <c r="U59" s="60">
        <f>IF(U2&gt;=Assumptions!$B$50,T59*(1-Assumptions!$B$177)^U7+U31*Assumptions!$B$174*(1-Assumptions!$B$177)^(U7/2),0)</f>
        <v/>
      </c>
      <c r="V59" s="60">
        <f>IF(V2&gt;=Assumptions!$B$50,U59*(1-Assumptions!$B$177)^V7+V31*Assumptions!$B$174*(1-Assumptions!$B$177)^(V7/2),0)</f>
        <v/>
      </c>
      <c r="W59" s="60">
        <f>IF(W2&gt;=Assumptions!$B$50,V59*(1-Assumptions!$B$177)^W7+W31*Assumptions!$B$174*(1-Assumptions!$B$177)^(W7/2),0)</f>
        <v/>
      </c>
      <c r="X59" s="60">
        <f>IF(X2&gt;=Assumptions!$B$50,W59*(1-Assumptions!$B$177)^X7+X31*Assumptions!$B$174*(1-Assumptions!$B$177)^(X7/2),0)</f>
        <v/>
      </c>
      <c r="Y59" s="60">
        <f>IF(Y2&gt;=Assumptions!$B$50,X59*(1-Assumptions!$B$177)^Y7+Y31*Assumptions!$B$174*(1-Assumptions!$B$177)^(Y7/2),0)</f>
        <v/>
      </c>
      <c r="Z59" s="60">
        <f>IF(Z2&gt;=Assumptions!$B$50,Y59*(1-Assumptions!$B$177)^Z7+Z31*Assumptions!$B$174*(1-Assumptions!$B$177)^(Z7/2),0)</f>
        <v/>
      </c>
      <c r="AA59" s="60">
        <f>IF(AA2&gt;=Assumptions!$B$50,Z59*(1-Assumptions!$B$177)^AA7+AA31*Assumptions!$B$174*(1-Assumptions!$B$177)^(AA7/2),0)</f>
        <v/>
      </c>
      <c r="AB59" s="60">
        <f>IF(AB2&gt;=Assumptions!$B$50,AA59*(1-Assumptions!$B$177)^AB7+AB31*Assumptions!$B$174*(1-Assumptions!$B$177)^(AB7/2),0)</f>
        <v/>
      </c>
      <c r="AC59" s="60">
        <f>IF(AC2&gt;=Assumptions!$B$50,AB59*(1-Assumptions!$B$177)^AC7+AC31*Assumptions!$B$174*(1-Assumptions!$B$177)^(AC7/2),0)</f>
        <v/>
      </c>
      <c r="AD59" s="60">
        <f>IF(AD2&gt;=Assumptions!$B$50,AC59*(1-Assumptions!$B$177)^AD7+AD31*Assumptions!$B$174*(1-Assumptions!$B$177)^(AD7/2),0)</f>
        <v/>
      </c>
      <c r="AE59" s="60">
        <f>IF(AE2&gt;=Assumptions!$B$50,AD59*(1-Assumptions!$B$177)^AE7+AE31*Assumptions!$B$174*(1-Assumptions!$B$177)^(AE7/2),0)</f>
        <v/>
      </c>
    </row>
    <row r="60">
      <c r="A60" s="6" t="inlineStr">
        <is>
          <t xml:space="preserve">  Stream 3 - Family plan and Digital Will</t>
        </is>
      </c>
      <c r="B60" s="23" t="inlineStr">
        <is>
          <t>USD</t>
        </is>
      </c>
      <c r="C60" s="61">
        <f>C59*(Assumptions!$B$25+MAX(0,Assumptions!$B$176-1)*Assumptions!$B$26)/12*C7</f>
        <v/>
      </c>
      <c r="D60" s="61">
        <f>D59*(Assumptions!$B$25+MAX(0,Assumptions!$B$176-1)*Assumptions!$B$26)/12*D7</f>
        <v/>
      </c>
      <c r="E60" s="61">
        <f>E59*(Assumptions!$B$25+MAX(0,Assumptions!$B$176-1)*Assumptions!$B$26)/12*E7</f>
        <v/>
      </c>
      <c r="F60" s="61">
        <f>F59*(Assumptions!$B$25+MAX(0,Assumptions!$B$176-1)*Assumptions!$B$26)/12*F7</f>
        <v/>
      </c>
      <c r="G60" s="61">
        <f>G59*(Assumptions!$B$25+MAX(0,Assumptions!$B$176-1)*Assumptions!$B$26)/12*G7</f>
        <v/>
      </c>
      <c r="H60" s="61">
        <f>H59*(Assumptions!$B$25+MAX(0,Assumptions!$B$176-1)*Assumptions!$B$26)/12*H7</f>
        <v/>
      </c>
      <c r="I60" s="61">
        <f>I59*(Assumptions!$B$25+MAX(0,Assumptions!$B$176-1)*Assumptions!$B$26)/12*I7</f>
        <v/>
      </c>
      <c r="J60" s="61">
        <f>J59*(Assumptions!$B$25+MAX(0,Assumptions!$B$176-1)*Assumptions!$B$26)/12*J7</f>
        <v/>
      </c>
      <c r="K60" s="61">
        <f>K59*(Assumptions!$B$25+MAX(0,Assumptions!$B$176-1)*Assumptions!$B$26)/12*K7</f>
        <v/>
      </c>
      <c r="L60" s="61">
        <f>L59*(Assumptions!$B$25+MAX(0,Assumptions!$B$176-1)*Assumptions!$B$26)/12*L7</f>
        <v/>
      </c>
      <c r="M60" s="61">
        <f>M59*(Assumptions!$B$25+MAX(0,Assumptions!$B$176-1)*Assumptions!$B$26)/12*M7</f>
        <v/>
      </c>
      <c r="N60" s="61">
        <f>N59*(Assumptions!$B$25+MAX(0,Assumptions!$B$176-1)*Assumptions!$B$26)/12*N7</f>
        <v/>
      </c>
      <c r="O60" s="61">
        <f>O59*(Assumptions!$B$25+MAX(0,Assumptions!$B$176-1)*Assumptions!$B$26)/12*O7</f>
        <v/>
      </c>
      <c r="P60" s="61">
        <f>P59*(Assumptions!$B$25+MAX(0,Assumptions!$B$176-1)*Assumptions!$B$26)/12*P7</f>
        <v/>
      </c>
      <c r="Q60" s="61">
        <f>Q59*(Assumptions!$B$25+MAX(0,Assumptions!$B$176-1)*Assumptions!$B$26)/12*Q7</f>
        <v/>
      </c>
      <c r="R60" s="61">
        <f>R59*(Assumptions!$B$25+MAX(0,Assumptions!$B$176-1)*Assumptions!$B$26)/12*R7</f>
        <v/>
      </c>
      <c r="S60" s="61">
        <f>S59*(Assumptions!$B$25+MAX(0,Assumptions!$B$176-1)*Assumptions!$B$26)/12*S7</f>
        <v/>
      </c>
      <c r="T60" s="61">
        <f>T59*(Assumptions!$B$25+MAX(0,Assumptions!$B$176-1)*Assumptions!$B$26)/12*T7</f>
        <v/>
      </c>
      <c r="U60" s="61">
        <f>U59*(Assumptions!$B$25+MAX(0,Assumptions!$B$176-1)*Assumptions!$B$26)/12*U7</f>
        <v/>
      </c>
      <c r="V60" s="61">
        <f>V59*(Assumptions!$B$25+MAX(0,Assumptions!$B$176-1)*Assumptions!$B$26)/12*V7</f>
        <v/>
      </c>
      <c r="W60" s="61">
        <f>W59*(Assumptions!$B$25+MAX(0,Assumptions!$B$176-1)*Assumptions!$B$26)/12*W7</f>
        <v/>
      </c>
      <c r="X60" s="61">
        <f>X59*(Assumptions!$B$25+MAX(0,Assumptions!$B$176-1)*Assumptions!$B$26)/12*X7</f>
        <v/>
      </c>
      <c r="Y60" s="61">
        <f>Y59*(Assumptions!$B$25+MAX(0,Assumptions!$B$176-1)*Assumptions!$B$26)/12*Y7</f>
        <v/>
      </c>
      <c r="Z60" s="61">
        <f>Z59*(Assumptions!$B$25+MAX(0,Assumptions!$B$176-1)*Assumptions!$B$26)/12*Z7</f>
        <v/>
      </c>
      <c r="AA60" s="61">
        <f>AA59*(Assumptions!$B$25+MAX(0,Assumptions!$B$176-1)*Assumptions!$B$26)/12*AA7</f>
        <v/>
      </c>
      <c r="AB60" s="61">
        <f>AB59*(Assumptions!$B$25+MAX(0,Assumptions!$B$176-1)*Assumptions!$B$26)/12*AB7</f>
        <v/>
      </c>
      <c r="AC60" s="61">
        <f>AC59*(Assumptions!$B$25+MAX(0,Assumptions!$B$176-1)*Assumptions!$B$26)/12*AC7</f>
        <v/>
      </c>
      <c r="AD60" s="61">
        <f>AD59*(Assumptions!$B$25+MAX(0,Assumptions!$B$176-1)*Assumptions!$B$26)/12*AD7</f>
        <v/>
      </c>
      <c r="AE60" s="61">
        <f>AE59*(Assumptions!$B$25+MAX(0,Assumptions!$B$176-1)*Assumptions!$B$26)/12*AE7</f>
        <v/>
      </c>
    </row>
    <row r="61">
      <c r="A61" s="6" t="inlineStr">
        <is>
          <t xml:space="preserve">  Stream 4 - Cardholder fees (FX, ATM, events)</t>
        </is>
      </c>
      <c r="B61" s="23" t="inlineStr">
        <is>
          <t>USD</t>
        </is>
      </c>
      <c r="C61" s="61">
        <f>IF(C2&gt;=Assumptions!$B$52,C53*C17*Assumptions!$B$17+C47*(Assumptions!$B$163*MAX(0,Assumptions!$B$167-Assumptions!$B$18)+Assumptions!$B$164*MAX(0,Assumptions!$B$168-Assumptions!$B$18)+Assumptions!$B$165*MAX(0,Assumptions!$B$169-Assumptions!$B$18)+Assumptions!$B$166*MAX(0,Assumptions!$B$170-Assumptions!$B$18))*Assumptions!$B$19/Assumptions!$B$7*C7+C48*Assumptions!$B$20/Assumptions!$B$7+C46*(Assumptions!$B$161*Assumptions!$B$20+Assumptions!$B$162*Assumptions!$B$21)/12/Assumptions!$B$7*C7,0)</f>
        <v/>
      </c>
      <c r="D61" s="61">
        <f>IF(D2&gt;=Assumptions!$B$52,D53*D17*Assumptions!$B$17+D47*(Assumptions!$B$163*MAX(0,Assumptions!$B$167-Assumptions!$B$18)+Assumptions!$B$164*MAX(0,Assumptions!$B$168-Assumptions!$B$18)+Assumptions!$B$165*MAX(0,Assumptions!$B$169-Assumptions!$B$18)+Assumptions!$B$166*MAX(0,Assumptions!$B$170-Assumptions!$B$18))*Assumptions!$B$19/Assumptions!$B$7*D7+D48*Assumptions!$B$20/Assumptions!$B$7+D46*(Assumptions!$B$161*Assumptions!$B$20+Assumptions!$B$162*Assumptions!$B$21)/12/Assumptions!$B$7*D7,0)</f>
        <v/>
      </c>
      <c r="E61" s="61">
        <f>IF(E2&gt;=Assumptions!$B$52,E53*E17*Assumptions!$B$17+E47*(Assumptions!$B$163*MAX(0,Assumptions!$B$167-Assumptions!$B$18)+Assumptions!$B$164*MAX(0,Assumptions!$B$168-Assumptions!$B$18)+Assumptions!$B$165*MAX(0,Assumptions!$B$169-Assumptions!$B$18)+Assumptions!$B$166*MAX(0,Assumptions!$B$170-Assumptions!$B$18))*Assumptions!$B$19/Assumptions!$B$7*E7+E48*Assumptions!$B$20/Assumptions!$B$7+E46*(Assumptions!$B$161*Assumptions!$B$20+Assumptions!$B$162*Assumptions!$B$21)/12/Assumptions!$B$7*E7,0)</f>
        <v/>
      </c>
      <c r="F61" s="61">
        <f>IF(F2&gt;=Assumptions!$B$52,F53*F17*Assumptions!$B$17+F47*(Assumptions!$B$163*MAX(0,Assumptions!$B$167-Assumptions!$B$18)+Assumptions!$B$164*MAX(0,Assumptions!$B$168-Assumptions!$B$18)+Assumptions!$B$165*MAX(0,Assumptions!$B$169-Assumptions!$B$18)+Assumptions!$B$166*MAX(0,Assumptions!$B$170-Assumptions!$B$18))*Assumptions!$B$19/Assumptions!$B$7*F7+F48*Assumptions!$B$20/Assumptions!$B$7+F46*(Assumptions!$B$161*Assumptions!$B$20+Assumptions!$B$162*Assumptions!$B$21)/12/Assumptions!$B$7*F7,0)</f>
        <v/>
      </c>
      <c r="G61" s="61">
        <f>IF(G2&gt;=Assumptions!$B$52,G53*G17*Assumptions!$B$17+G47*(Assumptions!$B$163*MAX(0,Assumptions!$B$167-Assumptions!$B$18)+Assumptions!$B$164*MAX(0,Assumptions!$B$168-Assumptions!$B$18)+Assumptions!$B$165*MAX(0,Assumptions!$B$169-Assumptions!$B$18)+Assumptions!$B$166*MAX(0,Assumptions!$B$170-Assumptions!$B$18))*Assumptions!$B$19/Assumptions!$B$7*G7+G48*Assumptions!$B$20/Assumptions!$B$7+G46*(Assumptions!$B$161*Assumptions!$B$20+Assumptions!$B$162*Assumptions!$B$21)/12/Assumptions!$B$7*G7,0)</f>
        <v/>
      </c>
      <c r="H61" s="61">
        <f>IF(H2&gt;=Assumptions!$B$52,H53*H17*Assumptions!$B$17+H47*(Assumptions!$B$163*MAX(0,Assumptions!$B$167-Assumptions!$B$18)+Assumptions!$B$164*MAX(0,Assumptions!$B$168-Assumptions!$B$18)+Assumptions!$B$165*MAX(0,Assumptions!$B$169-Assumptions!$B$18)+Assumptions!$B$166*MAX(0,Assumptions!$B$170-Assumptions!$B$18))*Assumptions!$B$19/Assumptions!$B$7*H7+H48*Assumptions!$B$20/Assumptions!$B$7+H46*(Assumptions!$B$161*Assumptions!$B$20+Assumptions!$B$162*Assumptions!$B$21)/12/Assumptions!$B$7*H7,0)</f>
        <v/>
      </c>
      <c r="I61" s="61">
        <f>IF(I2&gt;=Assumptions!$B$52,I53*I17*Assumptions!$B$17+I47*(Assumptions!$B$163*MAX(0,Assumptions!$B$167-Assumptions!$B$18)+Assumptions!$B$164*MAX(0,Assumptions!$B$168-Assumptions!$B$18)+Assumptions!$B$165*MAX(0,Assumptions!$B$169-Assumptions!$B$18)+Assumptions!$B$166*MAX(0,Assumptions!$B$170-Assumptions!$B$18))*Assumptions!$B$19/Assumptions!$B$7*I7+I48*Assumptions!$B$20/Assumptions!$B$7+I46*(Assumptions!$B$161*Assumptions!$B$20+Assumptions!$B$162*Assumptions!$B$21)/12/Assumptions!$B$7*I7,0)</f>
        <v/>
      </c>
      <c r="J61" s="61">
        <f>IF(J2&gt;=Assumptions!$B$52,J53*J17*Assumptions!$B$17+J47*(Assumptions!$B$163*MAX(0,Assumptions!$B$167-Assumptions!$B$18)+Assumptions!$B$164*MAX(0,Assumptions!$B$168-Assumptions!$B$18)+Assumptions!$B$165*MAX(0,Assumptions!$B$169-Assumptions!$B$18)+Assumptions!$B$166*MAX(0,Assumptions!$B$170-Assumptions!$B$18))*Assumptions!$B$19/Assumptions!$B$7*J7+J48*Assumptions!$B$20/Assumptions!$B$7+J46*(Assumptions!$B$161*Assumptions!$B$20+Assumptions!$B$162*Assumptions!$B$21)/12/Assumptions!$B$7*J7,0)</f>
        <v/>
      </c>
      <c r="K61" s="61">
        <f>IF(K2&gt;=Assumptions!$B$52,K53*K17*Assumptions!$B$17+K47*(Assumptions!$B$163*MAX(0,Assumptions!$B$167-Assumptions!$B$18)+Assumptions!$B$164*MAX(0,Assumptions!$B$168-Assumptions!$B$18)+Assumptions!$B$165*MAX(0,Assumptions!$B$169-Assumptions!$B$18)+Assumptions!$B$166*MAX(0,Assumptions!$B$170-Assumptions!$B$18))*Assumptions!$B$19/Assumptions!$B$7*K7+K48*Assumptions!$B$20/Assumptions!$B$7+K46*(Assumptions!$B$161*Assumptions!$B$20+Assumptions!$B$162*Assumptions!$B$21)/12/Assumptions!$B$7*K7,0)</f>
        <v/>
      </c>
      <c r="L61" s="61">
        <f>IF(L2&gt;=Assumptions!$B$52,L53*L17*Assumptions!$B$17+L47*(Assumptions!$B$163*MAX(0,Assumptions!$B$167-Assumptions!$B$18)+Assumptions!$B$164*MAX(0,Assumptions!$B$168-Assumptions!$B$18)+Assumptions!$B$165*MAX(0,Assumptions!$B$169-Assumptions!$B$18)+Assumptions!$B$166*MAX(0,Assumptions!$B$170-Assumptions!$B$18))*Assumptions!$B$19/Assumptions!$B$7*L7+L48*Assumptions!$B$20/Assumptions!$B$7+L46*(Assumptions!$B$161*Assumptions!$B$20+Assumptions!$B$162*Assumptions!$B$21)/12/Assumptions!$B$7*L7,0)</f>
        <v/>
      </c>
      <c r="M61" s="61">
        <f>IF(M2&gt;=Assumptions!$B$52,M53*M17*Assumptions!$B$17+M47*(Assumptions!$B$163*MAX(0,Assumptions!$B$167-Assumptions!$B$18)+Assumptions!$B$164*MAX(0,Assumptions!$B$168-Assumptions!$B$18)+Assumptions!$B$165*MAX(0,Assumptions!$B$169-Assumptions!$B$18)+Assumptions!$B$166*MAX(0,Assumptions!$B$170-Assumptions!$B$18))*Assumptions!$B$19/Assumptions!$B$7*M7+M48*Assumptions!$B$20/Assumptions!$B$7+M46*(Assumptions!$B$161*Assumptions!$B$20+Assumptions!$B$162*Assumptions!$B$21)/12/Assumptions!$B$7*M7,0)</f>
        <v/>
      </c>
      <c r="N61" s="61">
        <f>IF(N2&gt;=Assumptions!$B$52,N53*N17*Assumptions!$B$17+N47*(Assumptions!$B$163*MAX(0,Assumptions!$B$167-Assumptions!$B$18)+Assumptions!$B$164*MAX(0,Assumptions!$B$168-Assumptions!$B$18)+Assumptions!$B$165*MAX(0,Assumptions!$B$169-Assumptions!$B$18)+Assumptions!$B$166*MAX(0,Assumptions!$B$170-Assumptions!$B$18))*Assumptions!$B$19/Assumptions!$B$7*N7+N48*Assumptions!$B$20/Assumptions!$B$7+N46*(Assumptions!$B$161*Assumptions!$B$20+Assumptions!$B$162*Assumptions!$B$21)/12/Assumptions!$B$7*N7,0)</f>
        <v/>
      </c>
      <c r="O61" s="61">
        <f>IF(O2&gt;=Assumptions!$B$52,O53*O17*Assumptions!$B$17+O47*(Assumptions!$B$163*MAX(0,Assumptions!$B$167-Assumptions!$B$18)+Assumptions!$B$164*MAX(0,Assumptions!$B$168-Assumptions!$B$18)+Assumptions!$B$165*MAX(0,Assumptions!$B$169-Assumptions!$B$18)+Assumptions!$B$166*MAX(0,Assumptions!$B$170-Assumptions!$B$18))*Assumptions!$B$19/Assumptions!$B$7*O7+O48*Assumptions!$B$20/Assumptions!$B$7+O46*(Assumptions!$B$161*Assumptions!$B$20+Assumptions!$B$162*Assumptions!$B$21)/12/Assumptions!$B$7*O7,0)</f>
        <v/>
      </c>
      <c r="P61" s="61">
        <f>IF(P2&gt;=Assumptions!$B$52,P53*P17*Assumptions!$B$17+P47*(Assumptions!$B$163*MAX(0,Assumptions!$B$167-Assumptions!$B$18)+Assumptions!$B$164*MAX(0,Assumptions!$B$168-Assumptions!$B$18)+Assumptions!$B$165*MAX(0,Assumptions!$B$169-Assumptions!$B$18)+Assumptions!$B$166*MAX(0,Assumptions!$B$170-Assumptions!$B$18))*Assumptions!$B$19/Assumptions!$B$7*P7+P48*Assumptions!$B$20/Assumptions!$B$7+P46*(Assumptions!$B$161*Assumptions!$B$20+Assumptions!$B$162*Assumptions!$B$21)/12/Assumptions!$B$7*P7,0)</f>
        <v/>
      </c>
      <c r="Q61" s="61">
        <f>IF(Q2&gt;=Assumptions!$B$52,Q53*Q17*Assumptions!$B$17+Q47*(Assumptions!$B$163*MAX(0,Assumptions!$B$167-Assumptions!$B$18)+Assumptions!$B$164*MAX(0,Assumptions!$B$168-Assumptions!$B$18)+Assumptions!$B$165*MAX(0,Assumptions!$B$169-Assumptions!$B$18)+Assumptions!$B$166*MAX(0,Assumptions!$B$170-Assumptions!$B$18))*Assumptions!$B$19/Assumptions!$B$7*Q7+Q48*Assumptions!$B$20/Assumptions!$B$7+Q46*(Assumptions!$B$161*Assumptions!$B$20+Assumptions!$B$162*Assumptions!$B$21)/12/Assumptions!$B$7*Q7,0)</f>
        <v/>
      </c>
      <c r="R61" s="61">
        <f>IF(R2&gt;=Assumptions!$B$52,R53*R17*Assumptions!$B$17+R47*(Assumptions!$B$163*MAX(0,Assumptions!$B$167-Assumptions!$B$18)+Assumptions!$B$164*MAX(0,Assumptions!$B$168-Assumptions!$B$18)+Assumptions!$B$165*MAX(0,Assumptions!$B$169-Assumptions!$B$18)+Assumptions!$B$166*MAX(0,Assumptions!$B$170-Assumptions!$B$18))*Assumptions!$B$19/Assumptions!$B$7*R7+R48*Assumptions!$B$20/Assumptions!$B$7+R46*(Assumptions!$B$161*Assumptions!$B$20+Assumptions!$B$162*Assumptions!$B$21)/12/Assumptions!$B$7*R7,0)</f>
        <v/>
      </c>
      <c r="S61" s="61">
        <f>IF(S2&gt;=Assumptions!$B$52,S53*S17*Assumptions!$B$17+S47*(Assumptions!$B$163*MAX(0,Assumptions!$B$167-Assumptions!$B$18)+Assumptions!$B$164*MAX(0,Assumptions!$B$168-Assumptions!$B$18)+Assumptions!$B$165*MAX(0,Assumptions!$B$169-Assumptions!$B$18)+Assumptions!$B$166*MAX(0,Assumptions!$B$170-Assumptions!$B$18))*Assumptions!$B$19/Assumptions!$B$7*S7+S48*Assumptions!$B$20/Assumptions!$B$7+S46*(Assumptions!$B$161*Assumptions!$B$20+Assumptions!$B$162*Assumptions!$B$21)/12/Assumptions!$B$7*S7,0)</f>
        <v/>
      </c>
      <c r="T61" s="61">
        <f>IF(T2&gt;=Assumptions!$B$52,T53*T17*Assumptions!$B$17+T47*(Assumptions!$B$163*MAX(0,Assumptions!$B$167-Assumptions!$B$18)+Assumptions!$B$164*MAX(0,Assumptions!$B$168-Assumptions!$B$18)+Assumptions!$B$165*MAX(0,Assumptions!$B$169-Assumptions!$B$18)+Assumptions!$B$166*MAX(0,Assumptions!$B$170-Assumptions!$B$18))*Assumptions!$B$19/Assumptions!$B$7*T7+T48*Assumptions!$B$20/Assumptions!$B$7+T46*(Assumptions!$B$161*Assumptions!$B$20+Assumptions!$B$162*Assumptions!$B$21)/12/Assumptions!$B$7*T7,0)</f>
        <v/>
      </c>
      <c r="U61" s="61">
        <f>IF(U2&gt;=Assumptions!$B$52,U53*U17*Assumptions!$B$17+U47*(Assumptions!$B$163*MAX(0,Assumptions!$B$167-Assumptions!$B$18)+Assumptions!$B$164*MAX(0,Assumptions!$B$168-Assumptions!$B$18)+Assumptions!$B$165*MAX(0,Assumptions!$B$169-Assumptions!$B$18)+Assumptions!$B$166*MAX(0,Assumptions!$B$170-Assumptions!$B$18))*Assumptions!$B$19/Assumptions!$B$7*U7+U48*Assumptions!$B$20/Assumptions!$B$7+U46*(Assumptions!$B$161*Assumptions!$B$20+Assumptions!$B$162*Assumptions!$B$21)/12/Assumptions!$B$7*U7,0)</f>
        <v/>
      </c>
      <c r="V61" s="61">
        <f>IF(V2&gt;=Assumptions!$B$52,V53*V17*Assumptions!$B$17+V47*(Assumptions!$B$163*MAX(0,Assumptions!$B$167-Assumptions!$B$18)+Assumptions!$B$164*MAX(0,Assumptions!$B$168-Assumptions!$B$18)+Assumptions!$B$165*MAX(0,Assumptions!$B$169-Assumptions!$B$18)+Assumptions!$B$166*MAX(0,Assumptions!$B$170-Assumptions!$B$18))*Assumptions!$B$19/Assumptions!$B$7*V7+V48*Assumptions!$B$20/Assumptions!$B$7+V46*(Assumptions!$B$161*Assumptions!$B$20+Assumptions!$B$162*Assumptions!$B$21)/12/Assumptions!$B$7*V7,0)</f>
        <v/>
      </c>
      <c r="W61" s="61">
        <f>IF(W2&gt;=Assumptions!$B$52,W53*W17*Assumptions!$B$17+W47*(Assumptions!$B$163*MAX(0,Assumptions!$B$167-Assumptions!$B$18)+Assumptions!$B$164*MAX(0,Assumptions!$B$168-Assumptions!$B$18)+Assumptions!$B$165*MAX(0,Assumptions!$B$169-Assumptions!$B$18)+Assumptions!$B$166*MAX(0,Assumptions!$B$170-Assumptions!$B$18))*Assumptions!$B$19/Assumptions!$B$7*W7+W48*Assumptions!$B$20/Assumptions!$B$7+W46*(Assumptions!$B$161*Assumptions!$B$20+Assumptions!$B$162*Assumptions!$B$21)/12/Assumptions!$B$7*W7,0)</f>
        <v/>
      </c>
      <c r="X61" s="61">
        <f>IF(X2&gt;=Assumptions!$B$52,X53*X17*Assumptions!$B$17+X47*(Assumptions!$B$163*MAX(0,Assumptions!$B$167-Assumptions!$B$18)+Assumptions!$B$164*MAX(0,Assumptions!$B$168-Assumptions!$B$18)+Assumptions!$B$165*MAX(0,Assumptions!$B$169-Assumptions!$B$18)+Assumptions!$B$166*MAX(0,Assumptions!$B$170-Assumptions!$B$18))*Assumptions!$B$19/Assumptions!$B$7*X7+X48*Assumptions!$B$20/Assumptions!$B$7+X46*(Assumptions!$B$161*Assumptions!$B$20+Assumptions!$B$162*Assumptions!$B$21)/12/Assumptions!$B$7*X7,0)</f>
        <v/>
      </c>
      <c r="Y61" s="61">
        <f>IF(Y2&gt;=Assumptions!$B$52,Y53*Y17*Assumptions!$B$17+Y47*(Assumptions!$B$163*MAX(0,Assumptions!$B$167-Assumptions!$B$18)+Assumptions!$B$164*MAX(0,Assumptions!$B$168-Assumptions!$B$18)+Assumptions!$B$165*MAX(0,Assumptions!$B$169-Assumptions!$B$18)+Assumptions!$B$166*MAX(0,Assumptions!$B$170-Assumptions!$B$18))*Assumptions!$B$19/Assumptions!$B$7*Y7+Y48*Assumptions!$B$20/Assumptions!$B$7+Y46*(Assumptions!$B$161*Assumptions!$B$20+Assumptions!$B$162*Assumptions!$B$21)/12/Assumptions!$B$7*Y7,0)</f>
        <v/>
      </c>
      <c r="Z61" s="61">
        <f>IF(Z2&gt;=Assumptions!$B$52,Z53*Z17*Assumptions!$B$17+Z47*(Assumptions!$B$163*MAX(0,Assumptions!$B$167-Assumptions!$B$18)+Assumptions!$B$164*MAX(0,Assumptions!$B$168-Assumptions!$B$18)+Assumptions!$B$165*MAX(0,Assumptions!$B$169-Assumptions!$B$18)+Assumptions!$B$166*MAX(0,Assumptions!$B$170-Assumptions!$B$18))*Assumptions!$B$19/Assumptions!$B$7*Z7+Z48*Assumptions!$B$20/Assumptions!$B$7+Z46*(Assumptions!$B$161*Assumptions!$B$20+Assumptions!$B$162*Assumptions!$B$21)/12/Assumptions!$B$7*Z7,0)</f>
        <v/>
      </c>
      <c r="AA61" s="61">
        <f>IF(AA2&gt;=Assumptions!$B$52,AA53*AA17*Assumptions!$B$17+AA47*(Assumptions!$B$163*MAX(0,Assumptions!$B$167-Assumptions!$B$18)+Assumptions!$B$164*MAX(0,Assumptions!$B$168-Assumptions!$B$18)+Assumptions!$B$165*MAX(0,Assumptions!$B$169-Assumptions!$B$18)+Assumptions!$B$166*MAX(0,Assumptions!$B$170-Assumptions!$B$18))*Assumptions!$B$19/Assumptions!$B$7*AA7+AA48*Assumptions!$B$20/Assumptions!$B$7+AA46*(Assumptions!$B$161*Assumptions!$B$20+Assumptions!$B$162*Assumptions!$B$21)/12/Assumptions!$B$7*AA7,0)</f>
        <v/>
      </c>
      <c r="AB61" s="61">
        <f>IF(AB2&gt;=Assumptions!$B$52,AB53*AB17*Assumptions!$B$17+AB47*(Assumptions!$B$163*MAX(0,Assumptions!$B$167-Assumptions!$B$18)+Assumptions!$B$164*MAX(0,Assumptions!$B$168-Assumptions!$B$18)+Assumptions!$B$165*MAX(0,Assumptions!$B$169-Assumptions!$B$18)+Assumptions!$B$166*MAX(0,Assumptions!$B$170-Assumptions!$B$18))*Assumptions!$B$19/Assumptions!$B$7*AB7+AB48*Assumptions!$B$20/Assumptions!$B$7+AB46*(Assumptions!$B$161*Assumptions!$B$20+Assumptions!$B$162*Assumptions!$B$21)/12/Assumptions!$B$7*AB7,0)</f>
        <v/>
      </c>
      <c r="AC61" s="61">
        <f>IF(AC2&gt;=Assumptions!$B$52,AC53*AC17*Assumptions!$B$17+AC47*(Assumptions!$B$163*MAX(0,Assumptions!$B$167-Assumptions!$B$18)+Assumptions!$B$164*MAX(0,Assumptions!$B$168-Assumptions!$B$18)+Assumptions!$B$165*MAX(0,Assumptions!$B$169-Assumptions!$B$18)+Assumptions!$B$166*MAX(0,Assumptions!$B$170-Assumptions!$B$18))*Assumptions!$B$19/Assumptions!$B$7*AC7+AC48*Assumptions!$B$20/Assumptions!$B$7+AC46*(Assumptions!$B$161*Assumptions!$B$20+Assumptions!$B$162*Assumptions!$B$21)/12/Assumptions!$B$7*AC7,0)</f>
        <v/>
      </c>
      <c r="AD61" s="61">
        <f>IF(AD2&gt;=Assumptions!$B$52,AD53*AD17*Assumptions!$B$17+AD47*(Assumptions!$B$163*MAX(0,Assumptions!$B$167-Assumptions!$B$18)+Assumptions!$B$164*MAX(0,Assumptions!$B$168-Assumptions!$B$18)+Assumptions!$B$165*MAX(0,Assumptions!$B$169-Assumptions!$B$18)+Assumptions!$B$166*MAX(0,Assumptions!$B$170-Assumptions!$B$18))*Assumptions!$B$19/Assumptions!$B$7*AD7+AD48*Assumptions!$B$20/Assumptions!$B$7+AD46*(Assumptions!$B$161*Assumptions!$B$20+Assumptions!$B$162*Assumptions!$B$21)/12/Assumptions!$B$7*AD7,0)</f>
        <v/>
      </c>
      <c r="AE61" s="61">
        <f>IF(AE2&gt;=Assumptions!$B$52,AE53*AE17*Assumptions!$B$17+AE47*(Assumptions!$B$163*MAX(0,Assumptions!$B$167-Assumptions!$B$18)+Assumptions!$B$164*MAX(0,Assumptions!$B$168-Assumptions!$B$18)+Assumptions!$B$165*MAX(0,Assumptions!$B$169-Assumptions!$B$18)+Assumptions!$B$166*MAX(0,Assumptions!$B$170-Assumptions!$B$18))*Assumptions!$B$19/Assumptions!$B$7*AE7+AE48*Assumptions!$B$20/Assumptions!$B$7+AE46*(Assumptions!$B$161*Assumptions!$B$20+Assumptions!$B$162*Assumptions!$B$21)/12/Assumptions!$B$7*AE7,0)</f>
        <v/>
      </c>
    </row>
    <row r="62">
      <c r="A62" s="6" t="inlineStr">
        <is>
          <t xml:space="preserve">  Average drawn balance outstanding</t>
        </is>
      </c>
      <c r="B62" s="23" t="inlineStr">
        <is>
          <t>USD</t>
        </is>
      </c>
      <c r="C62" s="61">
        <f>IF(C2&gt;=Assumptions!$B$53,C46*C49*(1-Assumptions!$B$227)*Assumptions!$B$171*Assumptions!$B$172,0)</f>
        <v/>
      </c>
      <c r="D62" s="61">
        <f>IF(D2&gt;=Assumptions!$B$53,D46*D49*(1-Assumptions!$B$227)*Assumptions!$B$171*Assumptions!$B$172,0)</f>
        <v/>
      </c>
      <c r="E62" s="61">
        <f>IF(E2&gt;=Assumptions!$B$53,E46*E49*(1-Assumptions!$B$227)*Assumptions!$B$171*Assumptions!$B$172,0)</f>
        <v/>
      </c>
      <c r="F62" s="61">
        <f>IF(F2&gt;=Assumptions!$B$53,F46*F49*(1-Assumptions!$B$227)*Assumptions!$B$171*Assumptions!$B$172,0)</f>
        <v/>
      </c>
      <c r="G62" s="61">
        <f>IF(G2&gt;=Assumptions!$B$53,G46*G49*(1-Assumptions!$B$227)*Assumptions!$B$171*Assumptions!$B$172,0)</f>
        <v/>
      </c>
      <c r="H62" s="61">
        <f>IF(H2&gt;=Assumptions!$B$53,H46*H49*(1-Assumptions!$B$227)*Assumptions!$B$171*Assumptions!$B$172,0)</f>
        <v/>
      </c>
      <c r="I62" s="61">
        <f>IF(I2&gt;=Assumptions!$B$53,I46*I49*(1-Assumptions!$B$227)*Assumptions!$B$171*Assumptions!$B$172,0)</f>
        <v/>
      </c>
      <c r="J62" s="61">
        <f>IF(J2&gt;=Assumptions!$B$53,J46*J49*(1-Assumptions!$B$227)*Assumptions!$B$171*Assumptions!$B$172,0)</f>
        <v/>
      </c>
      <c r="K62" s="61">
        <f>IF(K2&gt;=Assumptions!$B$53,K46*K49*(1-Assumptions!$B$227)*Assumptions!$B$171*Assumptions!$B$172,0)</f>
        <v/>
      </c>
      <c r="L62" s="61">
        <f>IF(L2&gt;=Assumptions!$B$53,L46*L49*(1-Assumptions!$B$227)*Assumptions!$B$171*Assumptions!$B$172,0)</f>
        <v/>
      </c>
      <c r="M62" s="61">
        <f>IF(M2&gt;=Assumptions!$B$53,M46*M49*(1-Assumptions!$B$227)*Assumptions!$B$171*Assumptions!$B$172,0)</f>
        <v/>
      </c>
      <c r="N62" s="61">
        <f>IF(N2&gt;=Assumptions!$B$53,N46*N49*(1-Assumptions!$B$227)*Assumptions!$B$171*Assumptions!$B$172,0)</f>
        <v/>
      </c>
      <c r="O62" s="61">
        <f>IF(O2&gt;=Assumptions!$B$53,O46*O49*(1-Assumptions!$B$227)*Assumptions!$B$171*Assumptions!$B$172,0)</f>
        <v/>
      </c>
      <c r="P62" s="61">
        <f>IF(P2&gt;=Assumptions!$B$53,P46*P49*(1-Assumptions!$B$227)*Assumptions!$B$171*Assumptions!$B$172,0)</f>
        <v/>
      </c>
      <c r="Q62" s="61">
        <f>IF(Q2&gt;=Assumptions!$B$53,Q46*Q49*(1-Assumptions!$B$227)*Assumptions!$B$171*Assumptions!$B$172,0)</f>
        <v/>
      </c>
      <c r="R62" s="61">
        <f>IF(R2&gt;=Assumptions!$B$53,R46*R49*(1-Assumptions!$B$227)*Assumptions!$B$171*Assumptions!$B$172,0)</f>
        <v/>
      </c>
      <c r="S62" s="61">
        <f>IF(S2&gt;=Assumptions!$B$53,S46*S49*(1-Assumptions!$B$227)*Assumptions!$B$171*Assumptions!$B$172,0)</f>
        <v/>
      </c>
      <c r="T62" s="61">
        <f>IF(T2&gt;=Assumptions!$B$53,T46*T49*(1-Assumptions!$B$227)*Assumptions!$B$171*Assumptions!$B$172,0)</f>
        <v/>
      </c>
      <c r="U62" s="61">
        <f>IF(U2&gt;=Assumptions!$B$53,U46*U49*(1-Assumptions!$B$227)*Assumptions!$B$171*Assumptions!$B$172,0)</f>
        <v/>
      </c>
      <c r="V62" s="61">
        <f>IF(V2&gt;=Assumptions!$B$53,V46*V49*(1-Assumptions!$B$227)*Assumptions!$B$171*Assumptions!$B$172,0)</f>
        <v/>
      </c>
      <c r="W62" s="61">
        <f>IF(W2&gt;=Assumptions!$B$53,W46*W49*(1-Assumptions!$B$227)*Assumptions!$B$171*Assumptions!$B$172,0)</f>
        <v/>
      </c>
      <c r="X62" s="61">
        <f>IF(X2&gt;=Assumptions!$B$53,X46*X49*(1-Assumptions!$B$227)*Assumptions!$B$171*Assumptions!$B$172,0)</f>
        <v/>
      </c>
      <c r="Y62" s="61">
        <f>IF(Y2&gt;=Assumptions!$B$53,Y46*Y49*(1-Assumptions!$B$227)*Assumptions!$B$171*Assumptions!$B$172,0)</f>
        <v/>
      </c>
      <c r="Z62" s="61">
        <f>IF(Z2&gt;=Assumptions!$B$53,Z46*Z49*(1-Assumptions!$B$227)*Assumptions!$B$171*Assumptions!$B$172,0)</f>
        <v/>
      </c>
      <c r="AA62" s="61">
        <f>IF(AA2&gt;=Assumptions!$B$53,AA46*AA49*(1-Assumptions!$B$227)*Assumptions!$B$171*Assumptions!$B$172,0)</f>
        <v/>
      </c>
      <c r="AB62" s="61">
        <f>IF(AB2&gt;=Assumptions!$B$53,AB46*AB49*(1-Assumptions!$B$227)*Assumptions!$B$171*Assumptions!$B$172,0)</f>
        <v/>
      </c>
      <c r="AC62" s="61">
        <f>IF(AC2&gt;=Assumptions!$B$53,AC46*AC49*(1-Assumptions!$B$227)*Assumptions!$B$171*Assumptions!$B$172,0)</f>
        <v/>
      </c>
      <c r="AD62" s="61">
        <f>IF(AD2&gt;=Assumptions!$B$53,AD46*AD49*(1-Assumptions!$B$227)*Assumptions!$B$171*Assumptions!$B$172,0)</f>
        <v/>
      </c>
      <c r="AE62" s="61">
        <f>IF(AE2&gt;=Assumptions!$B$53,AE46*AE49*(1-Assumptions!$B$227)*Assumptions!$B$171*Assumptions!$B$172,0)</f>
        <v/>
      </c>
    </row>
    <row r="63">
      <c r="A63" s="6" t="inlineStr">
        <is>
          <t xml:space="preserve">  Stream 5 - Lending revenue share</t>
        </is>
      </c>
      <c r="B63" s="23" t="inlineStr">
        <is>
          <t>USD</t>
        </is>
      </c>
      <c r="C63" s="61">
        <f>IF(C2&gt;=Assumptions!$B$53,(C62*Assumptions!$B$29*Assumptions!$B$30+C47*C50*(1-Assumptions!$B$227)*Assumptions!$B$27*Assumptions!$B$28)*C7/12,0)</f>
        <v/>
      </c>
      <c r="D63" s="61">
        <f>IF(D2&gt;=Assumptions!$B$53,(D62*Assumptions!$B$29*Assumptions!$B$30+D47*D50*(1-Assumptions!$B$227)*Assumptions!$B$27*Assumptions!$B$28)*D7/12,0)</f>
        <v/>
      </c>
      <c r="E63" s="61">
        <f>IF(E2&gt;=Assumptions!$B$53,(E62*Assumptions!$B$29*Assumptions!$B$30+E47*E50*(1-Assumptions!$B$227)*Assumptions!$B$27*Assumptions!$B$28)*E7/12,0)</f>
        <v/>
      </c>
      <c r="F63" s="61">
        <f>IF(F2&gt;=Assumptions!$B$53,(F62*Assumptions!$B$29*Assumptions!$B$30+F47*F50*(1-Assumptions!$B$227)*Assumptions!$B$27*Assumptions!$B$28)*F7/12,0)</f>
        <v/>
      </c>
      <c r="G63" s="61">
        <f>IF(G2&gt;=Assumptions!$B$53,(G62*Assumptions!$B$29*Assumptions!$B$30+G47*G50*(1-Assumptions!$B$227)*Assumptions!$B$27*Assumptions!$B$28)*G7/12,0)</f>
        <v/>
      </c>
      <c r="H63" s="61">
        <f>IF(H2&gt;=Assumptions!$B$53,(H62*Assumptions!$B$29*Assumptions!$B$30+H47*H50*(1-Assumptions!$B$227)*Assumptions!$B$27*Assumptions!$B$28)*H7/12,0)</f>
        <v/>
      </c>
      <c r="I63" s="61">
        <f>IF(I2&gt;=Assumptions!$B$53,(I62*Assumptions!$B$29*Assumptions!$B$30+I47*I50*(1-Assumptions!$B$227)*Assumptions!$B$27*Assumptions!$B$28)*I7/12,0)</f>
        <v/>
      </c>
      <c r="J63" s="61">
        <f>IF(J2&gt;=Assumptions!$B$53,(J62*Assumptions!$B$29*Assumptions!$B$30+J47*J50*(1-Assumptions!$B$227)*Assumptions!$B$27*Assumptions!$B$28)*J7/12,0)</f>
        <v/>
      </c>
      <c r="K63" s="61">
        <f>IF(K2&gt;=Assumptions!$B$53,(K62*Assumptions!$B$29*Assumptions!$B$30+K47*K50*(1-Assumptions!$B$227)*Assumptions!$B$27*Assumptions!$B$28)*K7/12,0)</f>
        <v/>
      </c>
      <c r="L63" s="61">
        <f>IF(L2&gt;=Assumptions!$B$53,(L62*Assumptions!$B$29*Assumptions!$B$30+L47*L50*(1-Assumptions!$B$227)*Assumptions!$B$27*Assumptions!$B$28)*L7/12,0)</f>
        <v/>
      </c>
      <c r="M63" s="61">
        <f>IF(M2&gt;=Assumptions!$B$53,(M62*Assumptions!$B$29*Assumptions!$B$30+M47*M50*(1-Assumptions!$B$227)*Assumptions!$B$27*Assumptions!$B$28)*M7/12,0)</f>
        <v/>
      </c>
      <c r="N63" s="61">
        <f>IF(N2&gt;=Assumptions!$B$53,(N62*Assumptions!$B$29*Assumptions!$B$30+N47*N50*(1-Assumptions!$B$227)*Assumptions!$B$27*Assumptions!$B$28)*N7/12,0)</f>
        <v/>
      </c>
      <c r="O63" s="61">
        <f>IF(O2&gt;=Assumptions!$B$53,(O62*Assumptions!$B$29*Assumptions!$B$30+O47*O50*(1-Assumptions!$B$227)*Assumptions!$B$27*Assumptions!$B$28)*O7/12,0)</f>
        <v/>
      </c>
      <c r="P63" s="61">
        <f>IF(P2&gt;=Assumptions!$B$53,(P62*Assumptions!$B$29*Assumptions!$B$30+P47*P50*(1-Assumptions!$B$227)*Assumptions!$B$27*Assumptions!$B$28)*P7/12,0)</f>
        <v/>
      </c>
      <c r="Q63" s="61">
        <f>IF(Q2&gt;=Assumptions!$B$53,(Q62*Assumptions!$B$29*Assumptions!$B$30+Q47*Q50*(1-Assumptions!$B$227)*Assumptions!$B$27*Assumptions!$B$28)*Q7/12,0)</f>
        <v/>
      </c>
      <c r="R63" s="61">
        <f>IF(R2&gt;=Assumptions!$B$53,(R62*Assumptions!$B$29*Assumptions!$B$30+R47*R50*(1-Assumptions!$B$227)*Assumptions!$B$27*Assumptions!$B$28)*R7/12,0)</f>
        <v/>
      </c>
      <c r="S63" s="61">
        <f>IF(S2&gt;=Assumptions!$B$53,(S62*Assumptions!$B$29*Assumptions!$B$30+S47*S50*(1-Assumptions!$B$227)*Assumptions!$B$27*Assumptions!$B$28)*S7/12,0)</f>
        <v/>
      </c>
      <c r="T63" s="61">
        <f>IF(T2&gt;=Assumptions!$B$53,(T62*Assumptions!$B$29*Assumptions!$B$30+T47*T50*(1-Assumptions!$B$227)*Assumptions!$B$27*Assumptions!$B$28)*T7/12,0)</f>
        <v/>
      </c>
      <c r="U63" s="61">
        <f>IF(U2&gt;=Assumptions!$B$53,(U62*Assumptions!$B$29*Assumptions!$B$30+U47*U50*(1-Assumptions!$B$227)*Assumptions!$B$27*Assumptions!$B$28)*U7/12,0)</f>
        <v/>
      </c>
      <c r="V63" s="61">
        <f>IF(V2&gt;=Assumptions!$B$53,(V62*Assumptions!$B$29*Assumptions!$B$30+V47*V50*(1-Assumptions!$B$227)*Assumptions!$B$27*Assumptions!$B$28)*V7/12,0)</f>
        <v/>
      </c>
      <c r="W63" s="61">
        <f>IF(W2&gt;=Assumptions!$B$53,(W62*Assumptions!$B$29*Assumptions!$B$30+W47*W50*(1-Assumptions!$B$227)*Assumptions!$B$27*Assumptions!$B$28)*W7/12,0)</f>
        <v/>
      </c>
      <c r="X63" s="61">
        <f>IF(X2&gt;=Assumptions!$B$53,(X62*Assumptions!$B$29*Assumptions!$B$30+X47*X50*(1-Assumptions!$B$227)*Assumptions!$B$27*Assumptions!$B$28)*X7/12,0)</f>
        <v/>
      </c>
      <c r="Y63" s="61">
        <f>IF(Y2&gt;=Assumptions!$B$53,(Y62*Assumptions!$B$29*Assumptions!$B$30+Y47*Y50*(1-Assumptions!$B$227)*Assumptions!$B$27*Assumptions!$B$28)*Y7/12,0)</f>
        <v/>
      </c>
      <c r="Z63" s="61">
        <f>IF(Z2&gt;=Assumptions!$B$53,(Z62*Assumptions!$B$29*Assumptions!$B$30+Z47*Z50*(1-Assumptions!$B$227)*Assumptions!$B$27*Assumptions!$B$28)*Z7/12,0)</f>
        <v/>
      </c>
      <c r="AA63" s="61">
        <f>IF(AA2&gt;=Assumptions!$B$53,(AA62*Assumptions!$B$29*Assumptions!$B$30+AA47*AA50*(1-Assumptions!$B$227)*Assumptions!$B$27*Assumptions!$B$28)*AA7/12,0)</f>
        <v/>
      </c>
      <c r="AB63" s="61">
        <f>IF(AB2&gt;=Assumptions!$B$53,(AB62*Assumptions!$B$29*Assumptions!$B$30+AB47*AB50*(1-Assumptions!$B$227)*Assumptions!$B$27*Assumptions!$B$28)*AB7/12,0)</f>
        <v/>
      </c>
      <c r="AC63" s="61">
        <f>IF(AC2&gt;=Assumptions!$B$53,(AC62*Assumptions!$B$29*Assumptions!$B$30+AC47*AC50*(1-Assumptions!$B$227)*Assumptions!$B$27*Assumptions!$B$28)*AC7/12,0)</f>
        <v/>
      </c>
      <c r="AD63" s="61">
        <f>IF(AD2&gt;=Assumptions!$B$53,(AD62*Assumptions!$B$29*Assumptions!$B$30+AD47*AD50*(1-Assumptions!$B$227)*Assumptions!$B$27*Assumptions!$B$28)*AD7/12,0)</f>
        <v/>
      </c>
      <c r="AE63" s="61">
        <f>IF(AE2&gt;=Assumptions!$B$53,(AE62*Assumptions!$B$29*Assumptions!$B$30+AE47*AE50*(1-Assumptions!$B$227)*Assumptions!$B$27*Assumptions!$B$28)*AE7/12,0)</f>
        <v/>
      </c>
    </row>
    <row r="64">
      <c r="A64" s="6" t="inlineStr">
        <is>
          <t xml:space="preserve">  Redemption events (memo - drives cost, not revenue)</t>
        </is>
      </c>
      <c r="B64" s="23" t="inlineStr">
        <is>
          <t>events</t>
        </is>
      </c>
      <c r="C64" s="50">
        <f>IF(C2&gt;=Assumptions!$B$49,(C32+C34*Assumptions!$B$153)*Assumptions!$B$152*C7/12,0)</f>
        <v/>
      </c>
      <c r="D64" s="50">
        <f>IF(D2&gt;=Assumptions!$B$49,(D32+D34*Assumptions!$B$153)*Assumptions!$B$152*D7/12,0)</f>
        <v/>
      </c>
      <c r="E64" s="50">
        <f>IF(E2&gt;=Assumptions!$B$49,(E32+E34*Assumptions!$B$153)*Assumptions!$B$152*E7/12,0)</f>
        <v/>
      </c>
      <c r="F64" s="50">
        <f>IF(F2&gt;=Assumptions!$B$49,(F32+F34*Assumptions!$B$153)*Assumptions!$B$152*F7/12,0)</f>
        <v/>
      </c>
      <c r="G64" s="50">
        <f>IF(G2&gt;=Assumptions!$B$49,(G32+G34*Assumptions!$B$153)*Assumptions!$B$152*G7/12,0)</f>
        <v/>
      </c>
      <c r="H64" s="50">
        <f>IF(H2&gt;=Assumptions!$B$49,(H32+H34*Assumptions!$B$153)*Assumptions!$B$152*H7/12,0)</f>
        <v/>
      </c>
      <c r="I64" s="50">
        <f>IF(I2&gt;=Assumptions!$B$49,(I32+I34*Assumptions!$B$153)*Assumptions!$B$152*I7/12,0)</f>
        <v/>
      </c>
      <c r="J64" s="50">
        <f>IF(J2&gt;=Assumptions!$B$49,(J32+J34*Assumptions!$B$153)*Assumptions!$B$152*J7/12,0)</f>
        <v/>
      </c>
      <c r="K64" s="50">
        <f>IF(K2&gt;=Assumptions!$B$49,(K32+K34*Assumptions!$B$153)*Assumptions!$B$152*K7/12,0)</f>
        <v/>
      </c>
      <c r="L64" s="50">
        <f>IF(L2&gt;=Assumptions!$B$49,(L32+L34*Assumptions!$B$153)*Assumptions!$B$152*L7/12,0)</f>
        <v/>
      </c>
      <c r="M64" s="50">
        <f>IF(M2&gt;=Assumptions!$B$49,(M32+M34*Assumptions!$B$153)*Assumptions!$B$152*M7/12,0)</f>
        <v/>
      </c>
      <c r="N64" s="50">
        <f>IF(N2&gt;=Assumptions!$B$49,(N32+N34*Assumptions!$B$153)*Assumptions!$B$152*N7/12,0)</f>
        <v/>
      </c>
      <c r="O64" s="50">
        <f>IF(O2&gt;=Assumptions!$B$49,(O32+O34*Assumptions!$B$153)*Assumptions!$B$152*O7/12,0)</f>
        <v/>
      </c>
      <c r="P64" s="50">
        <f>IF(P2&gt;=Assumptions!$B$49,(P32+P34*Assumptions!$B$153)*Assumptions!$B$152*P7/12,0)</f>
        <v/>
      </c>
      <c r="Q64" s="50">
        <f>IF(Q2&gt;=Assumptions!$B$49,(Q32+Q34*Assumptions!$B$153)*Assumptions!$B$152*Q7/12,0)</f>
        <v/>
      </c>
      <c r="R64" s="50">
        <f>IF(R2&gt;=Assumptions!$B$49,(R32+R34*Assumptions!$B$153)*Assumptions!$B$152*R7/12,0)</f>
        <v/>
      </c>
      <c r="S64" s="50">
        <f>IF(S2&gt;=Assumptions!$B$49,(S32+S34*Assumptions!$B$153)*Assumptions!$B$152*S7/12,0)</f>
        <v/>
      </c>
      <c r="T64" s="50">
        <f>IF(T2&gt;=Assumptions!$B$49,(T32+T34*Assumptions!$B$153)*Assumptions!$B$152*T7/12,0)</f>
        <v/>
      </c>
      <c r="U64" s="50">
        <f>IF(U2&gt;=Assumptions!$B$49,(U32+U34*Assumptions!$B$153)*Assumptions!$B$152*U7/12,0)</f>
        <v/>
      </c>
      <c r="V64" s="50">
        <f>IF(V2&gt;=Assumptions!$B$49,(V32+V34*Assumptions!$B$153)*Assumptions!$B$152*V7/12,0)</f>
        <v/>
      </c>
      <c r="W64" s="50">
        <f>IF(W2&gt;=Assumptions!$B$49,(W32+W34*Assumptions!$B$153)*Assumptions!$B$152*W7/12,0)</f>
        <v/>
      </c>
      <c r="X64" s="50">
        <f>IF(X2&gt;=Assumptions!$B$49,(X32+X34*Assumptions!$B$153)*Assumptions!$B$152*X7/12,0)</f>
        <v/>
      </c>
      <c r="Y64" s="50">
        <f>IF(Y2&gt;=Assumptions!$B$49,(Y32+Y34*Assumptions!$B$153)*Assumptions!$B$152*Y7/12,0)</f>
        <v/>
      </c>
      <c r="Z64" s="50">
        <f>IF(Z2&gt;=Assumptions!$B$49,(Z32+Z34*Assumptions!$B$153)*Assumptions!$B$152*Z7/12,0)</f>
        <v/>
      </c>
      <c r="AA64" s="50">
        <f>IF(AA2&gt;=Assumptions!$B$49,(AA32+AA34*Assumptions!$B$153)*Assumptions!$B$152*AA7/12,0)</f>
        <v/>
      </c>
      <c r="AB64" s="50">
        <f>IF(AB2&gt;=Assumptions!$B$49,(AB32+AB34*Assumptions!$B$153)*Assumptions!$B$152*AB7/12,0)</f>
        <v/>
      </c>
      <c r="AC64" s="50">
        <f>IF(AC2&gt;=Assumptions!$B$49,(AC32+AC34*Assumptions!$B$153)*Assumptions!$B$152*AC7/12,0)</f>
        <v/>
      </c>
      <c r="AD64" s="50">
        <f>IF(AD2&gt;=Assumptions!$B$49,(AD32+AD34*Assumptions!$B$153)*Assumptions!$B$152*AD7/12,0)</f>
        <v/>
      </c>
      <c r="AE64" s="50">
        <f>IF(AE2&gt;=Assumptions!$B$49,(AE32+AE34*Assumptions!$B$153)*Assumptions!$B$152*AE7/12,0)</f>
        <v/>
      </c>
    </row>
    <row r="65">
      <c r="A65" s="3" t="inlineStr">
        <is>
          <t xml:space="preserve">  SUBTOTAL - UAE</t>
        </is>
      </c>
      <c r="B65" s="23" t="inlineStr">
        <is>
          <t>USD</t>
        </is>
      </c>
      <c r="C65" s="63">
        <f>C56+C57+C58+C60+C61+C63</f>
        <v/>
      </c>
      <c r="D65" s="63">
        <f>D56+D57+D58+D60+D61+D63</f>
        <v/>
      </c>
      <c r="E65" s="63">
        <f>E56+E57+E58+E60+E61+E63</f>
        <v/>
      </c>
      <c r="F65" s="63">
        <f>F56+F57+F58+F60+F61+F63</f>
        <v/>
      </c>
      <c r="G65" s="63">
        <f>G56+G57+G58+G60+G61+G63</f>
        <v/>
      </c>
      <c r="H65" s="63">
        <f>H56+H57+H58+H60+H61+H63</f>
        <v/>
      </c>
      <c r="I65" s="63">
        <f>I56+I57+I58+I60+I61+I63</f>
        <v/>
      </c>
      <c r="J65" s="63">
        <f>J56+J57+J58+J60+J61+J63</f>
        <v/>
      </c>
      <c r="K65" s="63">
        <f>K56+K57+K58+K60+K61+K63</f>
        <v/>
      </c>
      <c r="L65" s="63">
        <f>L56+L57+L58+L60+L61+L63</f>
        <v/>
      </c>
      <c r="M65" s="63">
        <f>M56+M57+M58+M60+M61+M63</f>
        <v/>
      </c>
      <c r="N65" s="63">
        <f>N56+N57+N58+N60+N61+N63</f>
        <v/>
      </c>
      <c r="O65" s="63">
        <f>O56+O57+O58+O60+O61+O63</f>
        <v/>
      </c>
      <c r="P65" s="63">
        <f>P56+P57+P58+P60+P61+P63</f>
        <v/>
      </c>
      <c r="Q65" s="63">
        <f>Q56+Q57+Q58+Q60+Q61+Q63</f>
        <v/>
      </c>
      <c r="R65" s="63">
        <f>R56+R57+R58+R60+R61+R63</f>
        <v/>
      </c>
      <c r="S65" s="63">
        <f>S56+S57+S58+S60+S61+S63</f>
        <v/>
      </c>
      <c r="T65" s="63">
        <f>T56+T57+T58+T60+T61+T63</f>
        <v/>
      </c>
      <c r="U65" s="63">
        <f>U56+U57+U58+U60+U61+U63</f>
        <v/>
      </c>
      <c r="V65" s="63">
        <f>V56+V57+V58+V60+V61+V63</f>
        <v/>
      </c>
      <c r="W65" s="63">
        <f>W56+W57+W58+W60+W61+W63</f>
        <v/>
      </c>
      <c r="X65" s="63">
        <f>X56+X57+X58+X60+X61+X63</f>
        <v/>
      </c>
      <c r="Y65" s="63">
        <f>Y56+Y57+Y58+Y60+Y61+Y63</f>
        <v/>
      </c>
      <c r="Z65" s="63">
        <f>Z56+Z57+Z58+Z60+Z61+Z63</f>
        <v/>
      </c>
      <c r="AA65" s="63">
        <f>AA56+AA57+AA58+AA60+AA61+AA63</f>
        <v/>
      </c>
      <c r="AB65" s="63">
        <f>AB56+AB57+AB58+AB60+AB61+AB63</f>
        <v/>
      </c>
      <c r="AC65" s="63">
        <f>AC56+AC57+AC58+AC60+AC61+AC63</f>
        <v/>
      </c>
      <c r="AD65" s="63">
        <f>AD56+AD57+AD58+AD60+AD61+AD63</f>
        <v/>
      </c>
      <c r="AE65" s="63">
        <f>AE56+AE57+AE58+AE60+AE61+AE63</f>
        <v/>
      </c>
    </row>
    <row r="67">
      <c r="A67" s="51" t="inlineStr">
        <is>
          <t>REGION: OMAN AND BAHRAIN</t>
        </is>
      </c>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row>
    <row r="68">
      <c r="A68" s="6" t="inlineStr">
        <is>
          <t xml:space="preserve">  Marketing CAC this period (ramping Y1 to Y7)</t>
        </is>
      </c>
      <c r="B68" s="23" t="inlineStr">
        <is>
          <t>USD/customer</t>
        </is>
      </c>
      <c r="C68" s="59">
        <f>Assumptions!$B$137+(Assumptions!$B$140-Assumptions!$B$137)*(C5-1)/6</f>
        <v/>
      </c>
      <c r="D68" s="59">
        <f>Assumptions!$B$137+(Assumptions!$B$140-Assumptions!$B$137)*(D5-1)/6</f>
        <v/>
      </c>
      <c r="E68" s="59">
        <f>Assumptions!$B$137+(Assumptions!$B$140-Assumptions!$B$137)*(E5-1)/6</f>
        <v/>
      </c>
      <c r="F68" s="59">
        <f>Assumptions!$B$137+(Assumptions!$B$140-Assumptions!$B$137)*(F5-1)/6</f>
        <v/>
      </c>
      <c r="G68" s="59">
        <f>Assumptions!$B$137+(Assumptions!$B$140-Assumptions!$B$137)*(G5-1)/6</f>
        <v/>
      </c>
      <c r="H68" s="59">
        <f>Assumptions!$B$137+(Assumptions!$B$140-Assumptions!$B$137)*(H5-1)/6</f>
        <v/>
      </c>
      <c r="I68" s="59">
        <f>Assumptions!$B$137+(Assumptions!$B$140-Assumptions!$B$137)*(I5-1)/6</f>
        <v/>
      </c>
      <c r="J68" s="59">
        <f>Assumptions!$B$137+(Assumptions!$B$140-Assumptions!$B$137)*(J5-1)/6</f>
        <v/>
      </c>
      <c r="K68" s="59">
        <f>Assumptions!$B$137+(Assumptions!$B$140-Assumptions!$B$137)*(K5-1)/6</f>
        <v/>
      </c>
      <c r="L68" s="59">
        <f>Assumptions!$B$137+(Assumptions!$B$140-Assumptions!$B$137)*(L5-1)/6</f>
        <v/>
      </c>
      <c r="M68" s="59">
        <f>Assumptions!$B$137+(Assumptions!$B$140-Assumptions!$B$137)*(M5-1)/6</f>
        <v/>
      </c>
      <c r="N68" s="59">
        <f>Assumptions!$B$137+(Assumptions!$B$140-Assumptions!$B$137)*(N5-1)/6</f>
        <v/>
      </c>
      <c r="O68" s="59">
        <f>Assumptions!$B$137+(Assumptions!$B$140-Assumptions!$B$137)*(O5-1)/6</f>
        <v/>
      </c>
      <c r="P68" s="59">
        <f>Assumptions!$B$137+(Assumptions!$B$140-Assumptions!$B$137)*(P5-1)/6</f>
        <v/>
      </c>
      <c r="Q68" s="59">
        <f>Assumptions!$B$137+(Assumptions!$B$140-Assumptions!$B$137)*(Q5-1)/6</f>
        <v/>
      </c>
      <c r="R68" s="59">
        <f>Assumptions!$B$137+(Assumptions!$B$140-Assumptions!$B$137)*(R5-1)/6</f>
        <v/>
      </c>
      <c r="S68" s="59">
        <f>Assumptions!$B$137+(Assumptions!$B$140-Assumptions!$B$137)*(S5-1)/6</f>
        <v/>
      </c>
      <c r="T68" s="59">
        <f>Assumptions!$B$137+(Assumptions!$B$140-Assumptions!$B$137)*(T5-1)/6</f>
        <v/>
      </c>
      <c r="U68" s="59">
        <f>Assumptions!$B$137+(Assumptions!$B$140-Assumptions!$B$137)*(U5-1)/6</f>
        <v/>
      </c>
      <c r="V68" s="59">
        <f>Assumptions!$B$137+(Assumptions!$B$140-Assumptions!$B$137)*(V5-1)/6</f>
        <v/>
      </c>
      <c r="W68" s="59">
        <f>Assumptions!$B$137+(Assumptions!$B$140-Assumptions!$B$137)*(W5-1)/6</f>
        <v/>
      </c>
      <c r="X68" s="59">
        <f>Assumptions!$B$137+(Assumptions!$B$140-Assumptions!$B$137)*(X5-1)/6</f>
        <v/>
      </c>
      <c r="Y68" s="59">
        <f>Assumptions!$B$137+(Assumptions!$B$140-Assumptions!$B$137)*(Y5-1)/6</f>
        <v/>
      </c>
      <c r="Z68" s="59">
        <f>Assumptions!$B$137+(Assumptions!$B$140-Assumptions!$B$137)*(Z5-1)/6</f>
        <v/>
      </c>
      <c r="AA68" s="59">
        <f>Assumptions!$B$137+(Assumptions!$B$140-Assumptions!$B$137)*(AA5-1)/6</f>
        <v/>
      </c>
      <c r="AB68" s="59">
        <f>Assumptions!$B$137+(Assumptions!$B$140-Assumptions!$B$137)*(AB5-1)/6</f>
        <v/>
      </c>
      <c r="AC68" s="59">
        <f>Assumptions!$B$137+(Assumptions!$B$140-Assumptions!$B$137)*(AC5-1)/6</f>
        <v/>
      </c>
      <c r="AD68" s="59">
        <f>Assumptions!$B$137+(Assumptions!$B$140-Assumptions!$B$137)*(AD5-1)/6</f>
        <v/>
      </c>
      <c r="AE68" s="59">
        <f>Assumptions!$B$137+(Assumptions!$B$140-Assumptions!$B$137)*(AE5-1)/6</f>
        <v/>
      </c>
    </row>
    <row r="69">
      <c r="A69" s="6" t="inlineStr">
        <is>
          <t xml:space="preserve">  Direct-driven (this market's budget at its own CAC)</t>
        </is>
      </c>
      <c r="B69" s="23" t="inlineStr">
        <is>
          <t>accounts</t>
        </is>
      </c>
      <c r="C69" s="58">
        <f>INDEX(Assumptions!$B$114:$B$120,C5)*Assumptions!$B$143/12*C7/C68*(1+Assumptions!$B$147)*IF(C2&gt;=Assumptions!$B$56,1,0)</f>
        <v/>
      </c>
      <c r="D69" s="58">
        <f>INDEX(Assumptions!$B$114:$B$120,D5)*Assumptions!$B$143/12*D7/D68*(1+Assumptions!$B$147)*IF(D2&gt;=Assumptions!$B$56,1,0)</f>
        <v/>
      </c>
      <c r="E69" s="58">
        <f>INDEX(Assumptions!$B$114:$B$120,E5)*Assumptions!$B$143/12*E7/E68*(1+Assumptions!$B$147)*IF(E2&gt;=Assumptions!$B$56,1,0)</f>
        <v/>
      </c>
      <c r="F69" s="58">
        <f>INDEX(Assumptions!$B$114:$B$120,F5)*Assumptions!$B$143/12*F7/F68*(1+Assumptions!$B$147)*IF(F2&gt;=Assumptions!$B$56,1,0)</f>
        <v/>
      </c>
      <c r="G69" s="58">
        <f>INDEX(Assumptions!$B$114:$B$120,G5)*Assumptions!$B$143/12*G7/G68*(1+Assumptions!$B$147)*IF(G2&gt;=Assumptions!$B$56,1,0)</f>
        <v/>
      </c>
      <c r="H69" s="58">
        <f>INDEX(Assumptions!$B$114:$B$120,H5)*Assumptions!$B$143/12*H7/H68*(1+Assumptions!$B$147)*IF(H2&gt;=Assumptions!$B$56,1,0)</f>
        <v/>
      </c>
      <c r="I69" s="58">
        <f>INDEX(Assumptions!$B$114:$B$120,I5)*Assumptions!$B$143/12*I7/I68*(1+Assumptions!$B$147)*IF(I2&gt;=Assumptions!$B$56,1,0)</f>
        <v/>
      </c>
      <c r="J69" s="58">
        <f>INDEX(Assumptions!$B$114:$B$120,J5)*Assumptions!$B$143/12*J7/J68*(1+Assumptions!$B$147)*IF(J2&gt;=Assumptions!$B$56,1,0)</f>
        <v/>
      </c>
      <c r="K69" s="58">
        <f>INDEX(Assumptions!$B$114:$B$120,K5)*Assumptions!$B$143/12*K7/K68*(1+Assumptions!$B$147)*IF(K2&gt;=Assumptions!$B$56,1,0)</f>
        <v/>
      </c>
      <c r="L69" s="58">
        <f>INDEX(Assumptions!$B$114:$B$120,L5)*Assumptions!$B$143/12*L7/L68*(1+Assumptions!$B$147)*IF(L2&gt;=Assumptions!$B$56,1,0)</f>
        <v/>
      </c>
      <c r="M69" s="58">
        <f>INDEX(Assumptions!$B$114:$B$120,M5)*Assumptions!$B$143/12*M7/M68*(1+Assumptions!$B$147)*IF(M2&gt;=Assumptions!$B$56,1,0)</f>
        <v/>
      </c>
      <c r="N69" s="58">
        <f>INDEX(Assumptions!$B$114:$B$120,N5)*Assumptions!$B$143/12*N7/N68*(1+Assumptions!$B$147)*IF(N2&gt;=Assumptions!$B$56,1,0)</f>
        <v/>
      </c>
      <c r="O69" s="58">
        <f>INDEX(Assumptions!$B$114:$B$120,O5)*Assumptions!$B$143/12*O7/O68*(1+Assumptions!$B$147)*IF(O2&gt;=Assumptions!$B$56,1,0)</f>
        <v/>
      </c>
      <c r="P69" s="58">
        <f>INDEX(Assumptions!$B$114:$B$120,P5)*Assumptions!$B$143/12*P7/P68*(1+Assumptions!$B$147)*IF(P2&gt;=Assumptions!$B$56,1,0)</f>
        <v/>
      </c>
      <c r="Q69" s="58">
        <f>INDEX(Assumptions!$B$114:$B$120,Q5)*Assumptions!$B$143/12*Q7/Q68*(1+Assumptions!$B$147)*IF(Q2&gt;=Assumptions!$B$56,1,0)</f>
        <v/>
      </c>
      <c r="R69" s="58">
        <f>INDEX(Assumptions!$B$114:$B$120,R5)*Assumptions!$B$143/12*R7/R68*(1+Assumptions!$B$147)*IF(R2&gt;=Assumptions!$B$56,1,0)</f>
        <v/>
      </c>
      <c r="S69" s="58">
        <f>INDEX(Assumptions!$B$114:$B$120,S5)*Assumptions!$B$143/12*S7/S68*(1+Assumptions!$B$147)*IF(S2&gt;=Assumptions!$B$56,1,0)</f>
        <v/>
      </c>
      <c r="T69" s="58">
        <f>INDEX(Assumptions!$B$114:$B$120,T5)*Assumptions!$B$143/12*T7/T68*(1+Assumptions!$B$147)*IF(T2&gt;=Assumptions!$B$56,1,0)</f>
        <v/>
      </c>
      <c r="U69" s="58">
        <f>INDEX(Assumptions!$B$114:$B$120,U5)*Assumptions!$B$143/12*U7/U68*(1+Assumptions!$B$147)*IF(U2&gt;=Assumptions!$B$56,1,0)</f>
        <v/>
      </c>
      <c r="V69" s="58">
        <f>INDEX(Assumptions!$B$114:$B$120,V5)*Assumptions!$B$143/12*V7/V68*(1+Assumptions!$B$147)*IF(V2&gt;=Assumptions!$B$56,1,0)</f>
        <v/>
      </c>
      <c r="W69" s="58">
        <f>INDEX(Assumptions!$B$114:$B$120,W5)*Assumptions!$B$143/12*W7/W68*(1+Assumptions!$B$147)*IF(W2&gt;=Assumptions!$B$56,1,0)</f>
        <v/>
      </c>
      <c r="X69" s="58">
        <f>INDEX(Assumptions!$B$114:$B$120,X5)*Assumptions!$B$143/12*X7/X68*(1+Assumptions!$B$147)*IF(X2&gt;=Assumptions!$B$56,1,0)</f>
        <v/>
      </c>
      <c r="Y69" s="58">
        <f>INDEX(Assumptions!$B$114:$B$120,Y5)*Assumptions!$B$143/12*Y7/Y68*(1+Assumptions!$B$147)*IF(Y2&gt;=Assumptions!$B$56,1,0)</f>
        <v/>
      </c>
      <c r="Z69" s="58">
        <f>INDEX(Assumptions!$B$114:$B$120,Z5)*Assumptions!$B$143/12*Z7/Z68*(1+Assumptions!$B$147)*IF(Z2&gt;=Assumptions!$B$56,1,0)</f>
        <v/>
      </c>
      <c r="AA69" s="58">
        <f>INDEX(Assumptions!$B$114:$B$120,AA5)*Assumptions!$B$143/12*AA7/AA68*(1+Assumptions!$B$147)*IF(AA2&gt;=Assumptions!$B$56,1,0)</f>
        <v/>
      </c>
      <c r="AB69" s="58">
        <f>INDEX(Assumptions!$B$114:$B$120,AB5)*Assumptions!$B$143/12*AB7/AB68*(1+Assumptions!$B$147)*IF(AB2&gt;=Assumptions!$B$56,1,0)</f>
        <v/>
      </c>
      <c r="AC69" s="58">
        <f>INDEX(Assumptions!$B$114:$B$120,AC5)*Assumptions!$B$143/12*AC7/AC68*(1+Assumptions!$B$147)*IF(AC2&gt;=Assumptions!$B$56,1,0)</f>
        <v/>
      </c>
      <c r="AD69" s="58">
        <f>INDEX(Assumptions!$B$114:$B$120,AD5)*Assumptions!$B$143/12*AD7/AD68*(1+Assumptions!$B$147)*IF(AD2&gt;=Assumptions!$B$56,1,0)</f>
        <v/>
      </c>
      <c r="AE69" s="58">
        <f>INDEX(Assumptions!$B$114:$B$120,AE5)*Assumptions!$B$143/12*AE7/AE68*(1+Assumptions!$B$147)*IF(AE2&gt;=Assumptions!$B$56,1,0)</f>
        <v/>
      </c>
    </row>
    <row r="70">
      <c r="A70" s="6" t="inlineStr">
        <is>
          <t xml:space="preserve">  Referral-driven (from this market's own base)</t>
        </is>
      </c>
      <c r="B70" s="23" t="inlineStr">
        <is>
          <t>accounts</t>
        </is>
      </c>
      <c r="C70" s="60" t="n">
        <v>0</v>
      </c>
      <c r="D70" s="60">
        <f>IF(D2&gt;=Assumptions!$B$55,C75*Assumptions!$B$145/12*Assumptions!$B$146*D7,0)</f>
        <v/>
      </c>
      <c r="E70" s="60">
        <f>IF(E2&gt;=Assumptions!$B$55,D75*Assumptions!$B$145/12*Assumptions!$B$146*E7,0)</f>
        <v/>
      </c>
      <c r="F70" s="60">
        <f>IF(F2&gt;=Assumptions!$B$55,E75*Assumptions!$B$145/12*Assumptions!$B$146*F7,0)</f>
        <v/>
      </c>
      <c r="G70" s="60">
        <f>IF(G2&gt;=Assumptions!$B$55,F75*Assumptions!$B$145/12*Assumptions!$B$146*G7,0)</f>
        <v/>
      </c>
      <c r="H70" s="60">
        <f>IF(H2&gt;=Assumptions!$B$55,G75*Assumptions!$B$145/12*Assumptions!$B$146*H7,0)</f>
        <v/>
      </c>
      <c r="I70" s="60">
        <f>IF(I2&gt;=Assumptions!$B$55,H75*Assumptions!$B$145/12*Assumptions!$B$146*I7,0)</f>
        <v/>
      </c>
      <c r="J70" s="60">
        <f>IF(J2&gt;=Assumptions!$B$55,I75*Assumptions!$B$145/12*Assumptions!$B$146*J7,0)</f>
        <v/>
      </c>
      <c r="K70" s="60">
        <f>IF(K2&gt;=Assumptions!$B$55,J75*Assumptions!$B$145/12*Assumptions!$B$146*K7,0)</f>
        <v/>
      </c>
      <c r="L70" s="60">
        <f>IF(L2&gt;=Assumptions!$B$55,K75*Assumptions!$B$145/12*Assumptions!$B$146*L7,0)</f>
        <v/>
      </c>
      <c r="M70" s="60">
        <f>IF(M2&gt;=Assumptions!$B$55,L75*Assumptions!$B$145/12*Assumptions!$B$146*M7,0)</f>
        <v/>
      </c>
      <c r="N70" s="60">
        <f>IF(N2&gt;=Assumptions!$B$55,M75*Assumptions!$B$145/12*Assumptions!$B$146*N7,0)</f>
        <v/>
      </c>
      <c r="O70" s="60">
        <f>IF(O2&gt;=Assumptions!$B$55,N75*Assumptions!$B$145/12*Assumptions!$B$146*O7,0)</f>
        <v/>
      </c>
      <c r="P70" s="60">
        <f>IF(P2&gt;=Assumptions!$B$55,O75*Assumptions!$B$145/12*Assumptions!$B$146*P7,0)</f>
        <v/>
      </c>
      <c r="Q70" s="60">
        <f>IF(Q2&gt;=Assumptions!$B$55,P75*Assumptions!$B$145/12*Assumptions!$B$146*Q7,0)</f>
        <v/>
      </c>
      <c r="R70" s="60">
        <f>IF(R2&gt;=Assumptions!$B$55,Q75*Assumptions!$B$145/12*Assumptions!$B$146*R7,0)</f>
        <v/>
      </c>
      <c r="S70" s="60">
        <f>IF(S2&gt;=Assumptions!$B$55,R75*Assumptions!$B$145/12*Assumptions!$B$146*S7,0)</f>
        <v/>
      </c>
      <c r="T70" s="60">
        <f>IF(T2&gt;=Assumptions!$B$55,S75*Assumptions!$B$145/12*Assumptions!$B$146*T7,0)</f>
        <v/>
      </c>
      <c r="U70" s="60">
        <f>IF(U2&gt;=Assumptions!$B$55,T75*Assumptions!$B$145/12*Assumptions!$B$146*U7,0)</f>
        <v/>
      </c>
      <c r="V70" s="60">
        <f>IF(V2&gt;=Assumptions!$B$55,U75*Assumptions!$B$145/12*Assumptions!$B$146*V7,0)</f>
        <v/>
      </c>
      <c r="W70" s="60">
        <f>IF(W2&gt;=Assumptions!$B$55,V75*Assumptions!$B$145/12*Assumptions!$B$146*W7,0)</f>
        <v/>
      </c>
      <c r="X70" s="60">
        <f>IF(X2&gt;=Assumptions!$B$55,W75*Assumptions!$B$145/12*Assumptions!$B$146*X7,0)</f>
        <v/>
      </c>
      <c r="Y70" s="60">
        <f>IF(Y2&gt;=Assumptions!$B$55,X75*Assumptions!$B$145/12*Assumptions!$B$146*Y7,0)</f>
        <v/>
      </c>
      <c r="Z70" s="60">
        <f>IF(Z2&gt;=Assumptions!$B$55,Y75*Assumptions!$B$145/12*Assumptions!$B$146*Z7,0)</f>
        <v/>
      </c>
      <c r="AA70" s="60">
        <f>IF(AA2&gt;=Assumptions!$B$55,Z75*Assumptions!$B$145/12*Assumptions!$B$146*AA7,0)</f>
        <v/>
      </c>
      <c r="AB70" s="60">
        <f>IF(AB2&gt;=Assumptions!$B$55,AA75*Assumptions!$B$145/12*Assumptions!$B$146*AB7,0)</f>
        <v/>
      </c>
      <c r="AC70" s="60">
        <f>IF(AC2&gt;=Assumptions!$B$55,AB75*Assumptions!$B$145/12*Assumptions!$B$146*AC7,0)</f>
        <v/>
      </c>
      <c r="AD70" s="60">
        <f>IF(AD2&gt;=Assumptions!$B$55,AC75*Assumptions!$B$145/12*Assumptions!$B$146*AD7,0)</f>
        <v/>
      </c>
      <c r="AE70" s="60">
        <f>IF(AE2&gt;=Assumptions!$B$55,AD75*Assumptions!$B$145/12*Assumptions!$B$146*AE7,0)</f>
        <v/>
      </c>
    </row>
    <row r="71">
      <c r="A71" s="6" t="inlineStr">
        <is>
          <t xml:space="preserve">  Agent-driven (this market's own agents)</t>
        </is>
      </c>
      <c r="B71" s="23" t="inlineStr">
        <is>
          <t>accounts</t>
        </is>
      </c>
      <c r="C71" s="58">
        <f>INDEX(Assumptions!$B$100:$B$106,C5)*Assumptions!$B$135*INDEX(Assumptions!$B$121:$B$127,C5)*C7*IF(C2&gt;=Assumptions!$B$56,1,0)</f>
        <v/>
      </c>
      <c r="D71" s="58">
        <f>INDEX(Assumptions!$B$100:$B$106,D5)*Assumptions!$B$135*INDEX(Assumptions!$B$121:$B$127,D5)*D7*IF(D2&gt;=Assumptions!$B$56,1,0)</f>
        <v/>
      </c>
      <c r="E71" s="58">
        <f>INDEX(Assumptions!$B$100:$B$106,E5)*Assumptions!$B$135*INDEX(Assumptions!$B$121:$B$127,E5)*E7*IF(E2&gt;=Assumptions!$B$56,1,0)</f>
        <v/>
      </c>
      <c r="F71" s="58">
        <f>INDEX(Assumptions!$B$100:$B$106,F5)*Assumptions!$B$135*INDEX(Assumptions!$B$121:$B$127,F5)*F7*IF(F2&gt;=Assumptions!$B$56,1,0)</f>
        <v/>
      </c>
      <c r="G71" s="58">
        <f>INDEX(Assumptions!$B$100:$B$106,G5)*Assumptions!$B$135*INDEX(Assumptions!$B$121:$B$127,G5)*G7*IF(G2&gt;=Assumptions!$B$56,1,0)</f>
        <v/>
      </c>
      <c r="H71" s="58">
        <f>INDEX(Assumptions!$B$100:$B$106,H5)*Assumptions!$B$135*INDEX(Assumptions!$B$121:$B$127,H5)*H7*IF(H2&gt;=Assumptions!$B$56,1,0)</f>
        <v/>
      </c>
      <c r="I71" s="58">
        <f>INDEX(Assumptions!$B$100:$B$106,I5)*Assumptions!$B$135*INDEX(Assumptions!$B$121:$B$127,I5)*I7*IF(I2&gt;=Assumptions!$B$56,1,0)</f>
        <v/>
      </c>
      <c r="J71" s="58">
        <f>INDEX(Assumptions!$B$100:$B$106,J5)*Assumptions!$B$135*INDEX(Assumptions!$B$121:$B$127,J5)*J7*IF(J2&gt;=Assumptions!$B$56,1,0)</f>
        <v/>
      </c>
      <c r="K71" s="58">
        <f>INDEX(Assumptions!$B$100:$B$106,K5)*Assumptions!$B$135*INDEX(Assumptions!$B$121:$B$127,K5)*K7*IF(K2&gt;=Assumptions!$B$56,1,0)</f>
        <v/>
      </c>
      <c r="L71" s="58">
        <f>INDEX(Assumptions!$B$100:$B$106,L5)*Assumptions!$B$135*INDEX(Assumptions!$B$121:$B$127,L5)*L7*IF(L2&gt;=Assumptions!$B$56,1,0)</f>
        <v/>
      </c>
      <c r="M71" s="58">
        <f>INDEX(Assumptions!$B$100:$B$106,M5)*Assumptions!$B$135*INDEX(Assumptions!$B$121:$B$127,M5)*M7*IF(M2&gt;=Assumptions!$B$56,1,0)</f>
        <v/>
      </c>
      <c r="N71" s="58">
        <f>INDEX(Assumptions!$B$100:$B$106,N5)*Assumptions!$B$135*INDEX(Assumptions!$B$121:$B$127,N5)*N7*IF(N2&gt;=Assumptions!$B$56,1,0)</f>
        <v/>
      </c>
      <c r="O71" s="58">
        <f>INDEX(Assumptions!$B$100:$B$106,O5)*Assumptions!$B$135*INDEX(Assumptions!$B$121:$B$127,O5)*O7*IF(O2&gt;=Assumptions!$B$56,1,0)</f>
        <v/>
      </c>
      <c r="P71" s="58">
        <f>INDEX(Assumptions!$B$100:$B$106,P5)*Assumptions!$B$135*INDEX(Assumptions!$B$121:$B$127,P5)*P7*IF(P2&gt;=Assumptions!$B$56,1,0)</f>
        <v/>
      </c>
      <c r="Q71" s="58">
        <f>INDEX(Assumptions!$B$100:$B$106,Q5)*Assumptions!$B$135*INDEX(Assumptions!$B$121:$B$127,Q5)*Q7*IF(Q2&gt;=Assumptions!$B$56,1,0)</f>
        <v/>
      </c>
      <c r="R71" s="58">
        <f>INDEX(Assumptions!$B$100:$B$106,R5)*Assumptions!$B$135*INDEX(Assumptions!$B$121:$B$127,R5)*R7*IF(R2&gt;=Assumptions!$B$56,1,0)</f>
        <v/>
      </c>
      <c r="S71" s="58">
        <f>INDEX(Assumptions!$B$100:$B$106,S5)*Assumptions!$B$135*INDEX(Assumptions!$B$121:$B$127,S5)*S7*IF(S2&gt;=Assumptions!$B$56,1,0)</f>
        <v/>
      </c>
      <c r="T71" s="58">
        <f>INDEX(Assumptions!$B$100:$B$106,T5)*Assumptions!$B$135*INDEX(Assumptions!$B$121:$B$127,T5)*T7*IF(T2&gt;=Assumptions!$B$56,1,0)</f>
        <v/>
      </c>
      <c r="U71" s="58">
        <f>INDEX(Assumptions!$B$100:$B$106,U5)*Assumptions!$B$135*INDEX(Assumptions!$B$121:$B$127,U5)*U7*IF(U2&gt;=Assumptions!$B$56,1,0)</f>
        <v/>
      </c>
      <c r="V71" s="58">
        <f>INDEX(Assumptions!$B$100:$B$106,V5)*Assumptions!$B$135*INDEX(Assumptions!$B$121:$B$127,V5)*V7*IF(V2&gt;=Assumptions!$B$56,1,0)</f>
        <v/>
      </c>
      <c r="W71" s="58">
        <f>INDEX(Assumptions!$B$100:$B$106,W5)*Assumptions!$B$135*INDEX(Assumptions!$B$121:$B$127,W5)*W7*IF(W2&gt;=Assumptions!$B$56,1,0)</f>
        <v/>
      </c>
      <c r="X71" s="58">
        <f>INDEX(Assumptions!$B$100:$B$106,X5)*Assumptions!$B$135*INDEX(Assumptions!$B$121:$B$127,X5)*X7*IF(X2&gt;=Assumptions!$B$56,1,0)</f>
        <v/>
      </c>
      <c r="Y71" s="58">
        <f>INDEX(Assumptions!$B$100:$B$106,Y5)*Assumptions!$B$135*INDEX(Assumptions!$B$121:$B$127,Y5)*Y7*IF(Y2&gt;=Assumptions!$B$56,1,0)</f>
        <v/>
      </c>
      <c r="Z71" s="58">
        <f>INDEX(Assumptions!$B$100:$B$106,Z5)*Assumptions!$B$135*INDEX(Assumptions!$B$121:$B$127,Z5)*Z7*IF(Z2&gt;=Assumptions!$B$56,1,0)</f>
        <v/>
      </c>
      <c r="AA71" s="58">
        <f>INDEX(Assumptions!$B$100:$B$106,AA5)*Assumptions!$B$135*INDEX(Assumptions!$B$121:$B$127,AA5)*AA7*IF(AA2&gt;=Assumptions!$B$56,1,0)</f>
        <v/>
      </c>
      <c r="AB71" s="58">
        <f>INDEX(Assumptions!$B$100:$B$106,AB5)*Assumptions!$B$135*INDEX(Assumptions!$B$121:$B$127,AB5)*AB7*IF(AB2&gt;=Assumptions!$B$56,1,0)</f>
        <v/>
      </c>
      <c r="AC71" s="58">
        <f>INDEX(Assumptions!$B$100:$B$106,AC5)*Assumptions!$B$135*INDEX(Assumptions!$B$121:$B$127,AC5)*AC7*IF(AC2&gt;=Assumptions!$B$56,1,0)</f>
        <v/>
      </c>
      <c r="AD71" s="58">
        <f>INDEX(Assumptions!$B$100:$B$106,AD5)*Assumptions!$B$135*INDEX(Assumptions!$B$121:$B$127,AD5)*AD7*IF(AD2&gt;=Assumptions!$B$56,1,0)</f>
        <v/>
      </c>
      <c r="AE71" s="58">
        <f>INDEX(Assumptions!$B$100:$B$106,AE5)*Assumptions!$B$135*INDEX(Assumptions!$B$121:$B$127,AE5)*AE7*IF(AE2&gt;=Assumptions!$B$56,1,0)</f>
        <v/>
      </c>
    </row>
    <row r="72">
      <c r="A72" s="6" t="inlineStr">
        <is>
          <t xml:space="preserve">  Raw demand</t>
        </is>
      </c>
      <c r="B72" s="23" t="inlineStr">
        <is>
          <t>accounts</t>
        </is>
      </c>
      <c r="C72" s="60">
        <f>C69+C70+C71</f>
        <v/>
      </c>
      <c r="D72" s="60">
        <f>D69+D70+D71</f>
        <v/>
      </c>
      <c r="E72" s="60">
        <f>E69+E70+E71</f>
        <v/>
      </c>
      <c r="F72" s="60">
        <f>F69+F70+F71</f>
        <v/>
      </c>
      <c r="G72" s="60">
        <f>G69+G70+G71</f>
        <v/>
      </c>
      <c r="H72" s="60">
        <f>H69+H70+H71</f>
        <v/>
      </c>
      <c r="I72" s="60">
        <f>I69+I70+I71</f>
        <v/>
      </c>
      <c r="J72" s="60">
        <f>J69+J70+J71</f>
        <v/>
      </c>
      <c r="K72" s="60">
        <f>K69+K70+K71</f>
        <v/>
      </c>
      <c r="L72" s="60">
        <f>L69+L70+L71</f>
        <v/>
      </c>
      <c r="M72" s="60">
        <f>M69+M70+M71</f>
        <v/>
      </c>
      <c r="N72" s="60">
        <f>N69+N70+N71</f>
        <v/>
      </c>
      <c r="O72" s="60">
        <f>O69+O70+O71</f>
        <v/>
      </c>
      <c r="P72" s="60">
        <f>P69+P70+P71</f>
        <v/>
      </c>
      <c r="Q72" s="60">
        <f>Q69+Q70+Q71</f>
        <v/>
      </c>
      <c r="R72" s="60">
        <f>R69+R70+R71</f>
        <v/>
      </c>
      <c r="S72" s="60">
        <f>S69+S70+S71</f>
        <v/>
      </c>
      <c r="T72" s="60">
        <f>T69+T70+T71</f>
        <v/>
      </c>
      <c r="U72" s="60">
        <f>U69+U70+U71</f>
        <v/>
      </c>
      <c r="V72" s="60">
        <f>V69+V70+V71</f>
        <v/>
      </c>
      <c r="W72" s="60">
        <f>W69+W70+W71</f>
        <v/>
      </c>
      <c r="X72" s="60">
        <f>X69+X70+X71</f>
        <v/>
      </c>
      <c r="Y72" s="60">
        <f>Y69+Y70+Y71</f>
        <v/>
      </c>
      <c r="Z72" s="60">
        <f>Z69+Z70+Z71</f>
        <v/>
      </c>
      <c r="AA72" s="60">
        <f>AA69+AA70+AA71</f>
        <v/>
      </c>
      <c r="AB72" s="60">
        <f>AB69+AB70+AB71</f>
        <v/>
      </c>
      <c r="AC72" s="60">
        <f>AC69+AC70+AC71</f>
        <v/>
      </c>
      <c r="AD72" s="60">
        <f>AD69+AD70+AD71</f>
        <v/>
      </c>
      <c r="AE72" s="60">
        <f>AE69+AE70+AE71</f>
        <v/>
      </c>
    </row>
    <row r="73">
      <c r="A73" s="6" t="inlineStr">
        <is>
          <t xml:space="preserve">  Saturation (this region's own headroom)</t>
        </is>
      </c>
      <c r="B73" s="23" t="inlineStr">
        <is>
          <t>x</t>
        </is>
      </c>
      <c r="C73" s="56" t="n">
        <v>1</v>
      </c>
      <c r="D73" s="56">
        <f>MAX(0,1-C78/Assumptions!$B$85)</f>
        <v/>
      </c>
      <c r="E73" s="56">
        <f>MAX(0,1-D78/Assumptions!$B$85)</f>
        <v/>
      </c>
      <c r="F73" s="56">
        <f>MAX(0,1-E78/Assumptions!$B$85)</f>
        <v/>
      </c>
      <c r="G73" s="56">
        <f>MAX(0,1-F78/Assumptions!$B$85)</f>
        <v/>
      </c>
      <c r="H73" s="56">
        <f>MAX(0,1-G78/Assumptions!$B$85)</f>
        <v/>
      </c>
      <c r="I73" s="56">
        <f>MAX(0,1-H78/Assumptions!$B$85)</f>
        <v/>
      </c>
      <c r="J73" s="56">
        <f>MAX(0,1-I78/Assumptions!$B$85)</f>
        <v/>
      </c>
      <c r="K73" s="56">
        <f>MAX(0,1-J78/Assumptions!$B$85)</f>
        <v/>
      </c>
      <c r="L73" s="56">
        <f>MAX(0,1-K78/Assumptions!$B$85)</f>
        <v/>
      </c>
      <c r="M73" s="56">
        <f>MAX(0,1-L78/Assumptions!$B$85)</f>
        <v/>
      </c>
      <c r="N73" s="56">
        <f>MAX(0,1-M78/Assumptions!$B$85)</f>
        <v/>
      </c>
      <c r="O73" s="56">
        <f>MAX(0,1-N78/Assumptions!$B$85)</f>
        <v/>
      </c>
      <c r="P73" s="56">
        <f>MAX(0,1-O78/Assumptions!$B$85)</f>
        <v/>
      </c>
      <c r="Q73" s="56">
        <f>MAX(0,1-P78/Assumptions!$B$85)</f>
        <v/>
      </c>
      <c r="R73" s="56">
        <f>MAX(0,1-Q78/Assumptions!$B$85)</f>
        <v/>
      </c>
      <c r="S73" s="56">
        <f>MAX(0,1-R78/Assumptions!$B$85)</f>
        <v/>
      </c>
      <c r="T73" s="56">
        <f>MAX(0,1-S78/Assumptions!$B$85)</f>
        <v/>
      </c>
      <c r="U73" s="56">
        <f>MAX(0,1-T78/Assumptions!$B$85)</f>
        <v/>
      </c>
      <c r="V73" s="56">
        <f>MAX(0,1-U78/Assumptions!$B$85)</f>
        <v/>
      </c>
      <c r="W73" s="56">
        <f>MAX(0,1-V78/Assumptions!$B$85)</f>
        <v/>
      </c>
      <c r="X73" s="56">
        <f>MAX(0,1-W78/Assumptions!$B$85)</f>
        <v/>
      </c>
      <c r="Y73" s="56">
        <f>MAX(0,1-X78/Assumptions!$B$85)</f>
        <v/>
      </c>
      <c r="Z73" s="56">
        <f>MAX(0,1-Y78/Assumptions!$B$85)</f>
        <v/>
      </c>
      <c r="AA73" s="56">
        <f>MAX(0,1-Z78/Assumptions!$B$85)</f>
        <v/>
      </c>
      <c r="AB73" s="56">
        <f>MAX(0,1-AA78/Assumptions!$B$85)</f>
        <v/>
      </c>
      <c r="AC73" s="56">
        <f>MAX(0,1-AB78/Assumptions!$B$85)</f>
        <v/>
      </c>
      <c r="AD73" s="56">
        <f>MAX(0,1-AC78/Assumptions!$B$85)</f>
        <v/>
      </c>
      <c r="AE73" s="56">
        <f>MAX(0,1-AD78/Assumptions!$B$85)</f>
        <v/>
      </c>
    </row>
    <row r="74">
      <c r="A74" s="6" t="inlineStr">
        <is>
          <t xml:space="preserve">  New customers</t>
        </is>
      </c>
      <c r="B74" s="23" t="inlineStr">
        <is>
          <t>accounts</t>
        </is>
      </c>
      <c r="C74" s="60">
        <f>C72*C73*C15</f>
        <v/>
      </c>
      <c r="D74" s="60">
        <f>D72*D73*D15</f>
        <v/>
      </c>
      <c r="E74" s="60">
        <f>E72*E73*E15</f>
        <v/>
      </c>
      <c r="F74" s="60">
        <f>F72*F73*F15</f>
        <v/>
      </c>
      <c r="G74" s="60">
        <f>G72*G73*G15</f>
        <v/>
      </c>
      <c r="H74" s="60">
        <f>H72*H73*H15</f>
        <v/>
      </c>
      <c r="I74" s="60">
        <f>I72*I73*I15</f>
        <v/>
      </c>
      <c r="J74" s="60">
        <f>J72*J73*J15</f>
        <v/>
      </c>
      <c r="K74" s="60">
        <f>K72*K73*K15</f>
        <v/>
      </c>
      <c r="L74" s="60">
        <f>L72*L73*L15</f>
        <v/>
      </c>
      <c r="M74" s="60">
        <f>M72*M73*M15</f>
        <v/>
      </c>
      <c r="N74" s="60">
        <f>N72*N73*N15</f>
        <v/>
      </c>
      <c r="O74" s="60">
        <f>O72*O73*O15</f>
        <v/>
      </c>
      <c r="P74" s="60">
        <f>P72*P73*P15</f>
        <v/>
      </c>
      <c r="Q74" s="60">
        <f>Q72*Q73*Q15</f>
        <v/>
      </c>
      <c r="R74" s="60">
        <f>R72*R73*R15</f>
        <v/>
      </c>
      <c r="S74" s="60">
        <f>S72*S73*S15</f>
        <v/>
      </c>
      <c r="T74" s="60">
        <f>T72*T73*T15</f>
        <v/>
      </c>
      <c r="U74" s="60">
        <f>U72*U73*U15</f>
        <v/>
      </c>
      <c r="V74" s="60">
        <f>V72*V73*V15</f>
        <v/>
      </c>
      <c r="W74" s="60">
        <f>W72*W73*W15</f>
        <v/>
      </c>
      <c r="X74" s="60">
        <f>X72*X73*X15</f>
        <v/>
      </c>
      <c r="Y74" s="60">
        <f>Y72*Y73*Y15</f>
        <v/>
      </c>
      <c r="Z74" s="60">
        <f>Z72*Z73*Z15</f>
        <v/>
      </c>
      <c r="AA74" s="60">
        <f>AA72*AA73*AA15</f>
        <v/>
      </c>
      <c r="AB74" s="60">
        <f>AB72*AB73*AB15</f>
        <v/>
      </c>
      <c r="AC74" s="60">
        <f>AC72*AC73*AC15</f>
        <v/>
      </c>
      <c r="AD74" s="60">
        <f>AD72*AD73*AD15</f>
        <v/>
      </c>
      <c r="AE74" s="60">
        <f>AE72*AE73*AE15</f>
        <v/>
      </c>
    </row>
    <row r="75">
      <c r="A75" s="6" t="inlineStr">
        <is>
          <t xml:space="preserve">  Paying customers</t>
        </is>
      </c>
      <c r="B75" s="23" t="inlineStr">
        <is>
          <t>accounts</t>
        </is>
      </c>
      <c r="C75" s="28">
        <f>C74*(1-Assumptions!$B$134)^(C7/2)</f>
        <v/>
      </c>
      <c r="D75" s="28">
        <f>C75*(1-Assumptions!$B$134)^D7+D74*(1-Assumptions!$B$134)^(D7/2)</f>
        <v/>
      </c>
      <c r="E75" s="28">
        <f>D75*(1-Assumptions!$B$134)^E7+E74*(1-Assumptions!$B$134)^(E7/2)</f>
        <v/>
      </c>
      <c r="F75" s="28">
        <f>E75*(1-Assumptions!$B$134)^F7+F74*(1-Assumptions!$B$134)^(F7/2)</f>
        <v/>
      </c>
      <c r="G75" s="28">
        <f>F75*(1-Assumptions!$B$134)^G7+G74*(1-Assumptions!$B$134)^(G7/2)</f>
        <v/>
      </c>
      <c r="H75" s="28">
        <f>G75*(1-Assumptions!$B$134)^H7+H74*(1-Assumptions!$B$134)^(H7/2)</f>
        <v/>
      </c>
      <c r="I75" s="28">
        <f>H75*(1-Assumptions!$B$134)^I7+I74*(1-Assumptions!$B$134)^(I7/2)</f>
        <v/>
      </c>
      <c r="J75" s="28">
        <f>I75*(1-Assumptions!$B$134)^J7+J74*(1-Assumptions!$B$134)^(J7/2)</f>
        <v/>
      </c>
      <c r="K75" s="28">
        <f>J75*(1-Assumptions!$B$134)^K7+K74*(1-Assumptions!$B$134)^(K7/2)</f>
        <v/>
      </c>
      <c r="L75" s="28">
        <f>K75*(1-Assumptions!$B$134)^L7+L74*(1-Assumptions!$B$134)^(L7/2)</f>
        <v/>
      </c>
      <c r="M75" s="28">
        <f>L75*(1-Assumptions!$B$134)^M7+M74*(1-Assumptions!$B$134)^(M7/2)</f>
        <v/>
      </c>
      <c r="N75" s="28">
        <f>M75*(1-Assumptions!$B$134)^N7+N74*(1-Assumptions!$B$134)^(N7/2)</f>
        <v/>
      </c>
      <c r="O75" s="28">
        <f>N75*(1-Assumptions!$B$134)^O7+O74*(1-Assumptions!$B$134)^(O7/2)</f>
        <v/>
      </c>
      <c r="P75" s="28">
        <f>O75*(1-Assumptions!$B$134)^P7+P74*(1-Assumptions!$B$134)^(P7/2)</f>
        <v/>
      </c>
      <c r="Q75" s="28">
        <f>P75*(1-Assumptions!$B$134)^Q7+Q74*(1-Assumptions!$B$134)^(Q7/2)</f>
        <v/>
      </c>
      <c r="R75" s="28">
        <f>Q75*(1-Assumptions!$B$134)^R7+R74*(1-Assumptions!$B$134)^(R7/2)</f>
        <v/>
      </c>
      <c r="S75" s="28">
        <f>R75*(1-Assumptions!$B$134)^S7+S74*(1-Assumptions!$B$134)^(S7/2)</f>
        <v/>
      </c>
      <c r="T75" s="28">
        <f>S75*(1-Assumptions!$B$134)^T7+T74*(1-Assumptions!$B$134)^(T7/2)</f>
        <v/>
      </c>
      <c r="U75" s="28">
        <f>T75*(1-Assumptions!$B$134)^U7+U74*(1-Assumptions!$B$134)^(U7/2)</f>
        <v/>
      </c>
      <c r="V75" s="28">
        <f>U75*(1-Assumptions!$B$134)^V7+V74*(1-Assumptions!$B$134)^(V7/2)</f>
        <v/>
      </c>
      <c r="W75" s="28">
        <f>V75*(1-Assumptions!$B$134)^W7+W74*(1-Assumptions!$B$134)^(W7/2)</f>
        <v/>
      </c>
      <c r="X75" s="28">
        <f>W75*(1-Assumptions!$B$134)^X7+X74*(1-Assumptions!$B$134)^(X7/2)</f>
        <v/>
      </c>
      <c r="Y75" s="28">
        <f>X75*(1-Assumptions!$B$134)^Y7+Y74*(1-Assumptions!$B$134)^(Y7/2)</f>
        <v/>
      </c>
      <c r="Z75" s="28">
        <f>Y75*(1-Assumptions!$B$134)^Z7+Z74*(1-Assumptions!$B$134)^(Z7/2)</f>
        <v/>
      </c>
      <c r="AA75" s="28">
        <f>Z75*(1-Assumptions!$B$134)^AA7+AA74*(1-Assumptions!$B$134)^(AA7/2)</f>
        <v/>
      </c>
      <c r="AB75" s="28">
        <f>AA75*(1-Assumptions!$B$134)^AB7+AB74*(1-Assumptions!$B$134)^(AB7/2)</f>
        <v/>
      </c>
      <c r="AC75" s="28">
        <f>AB75*(1-Assumptions!$B$134)^AC7+AC74*(1-Assumptions!$B$134)^(AC7/2)</f>
        <v/>
      </c>
      <c r="AD75" s="28">
        <f>AC75*(1-Assumptions!$B$134)^AD7+AD74*(1-Assumptions!$B$134)^(AD7/2)</f>
        <v/>
      </c>
      <c r="AE75" s="28">
        <f>AD75*(1-Assumptions!$B$134)^AE7+AE74*(1-Assumptions!$B$134)^(AE7/2)</f>
        <v/>
      </c>
    </row>
    <row r="76">
      <c r="A76" s="6" t="inlineStr">
        <is>
          <t xml:space="preserve">  Churned this period</t>
        </is>
      </c>
      <c r="B76" s="23" t="inlineStr">
        <is>
          <t>accounts</t>
        </is>
      </c>
      <c r="C76" s="60">
        <f>C74-C75</f>
        <v/>
      </c>
      <c r="D76" s="60">
        <f>C75+D74-D75</f>
        <v/>
      </c>
      <c r="E76" s="60">
        <f>D75+E74-E75</f>
        <v/>
      </c>
      <c r="F76" s="60">
        <f>E75+F74-F75</f>
        <v/>
      </c>
      <c r="G76" s="60">
        <f>F75+G74-G75</f>
        <v/>
      </c>
      <c r="H76" s="60">
        <f>G75+H74-H75</f>
        <v/>
      </c>
      <c r="I76" s="60">
        <f>H75+I74-I75</f>
        <v/>
      </c>
      <c r="J76" s="60">
        <f>I75+J74-J75</f>
        <v/>
      </c>
      <c r="K76" s="60">
        <f>J75+K74-K75</f>
        <v/>
      </c>
      <c r="L76" s="60">
        <f>K75+L74-L75</f>
        <v/>
      </c>
      <c r="M76" s="60">
        <f>L75+M74-M75</f>
        <v/>
      </c>
      <c r="N76" s="60">
        <f>M75+N74-N75</f>
        <v/>
      </c>
      <c r="O76" s="60">
        <f>N75+O74-O75</f>
        <v/>
      </c>
      <c r="P76" s="60">
        <f>O75+P74-P75</f>
        <v/>
      </c>
      <c r="Q76" s="60">
        <f>P75+Q74-Q75</f>
        <v/>
      </c>
      <c r="R76" s="60">
        <f>Q75+R74-R75</f>
        <v/>
      </c>
      <c r="S76" s="60">
        <f>R75+S74-S75</f>
        <v/>
      </c>
      <c r="T76" s="60">
        <f>S75+T74-T75</f>
        <v/>
      </c>
      <c r="U76" s="60">
        <f>T75+U74-U75</f>
        <v/>
      </c>
      <c r="V76" s="60">
        <f>U75+V74-V75</f>
        <v/>
      </c>
      <c r="W76" s="60">
        <f>V75+W74-W75</f>
        <v/>
      </c>
      <c r="X76" s="60">
        <f>W75+X74-X75</f>
        <v/>
      </c>
      <c r="Y76" s="60">
        <f>X75+Y74-Y75</f>
        <v/>
      </c>
      <c r="Z76" s="60">
        <f>Y75+Z74-Z75</f>
        <v/>
      </c>
      <c r="AA76" s="60">
        <f>Z75+AA74-AA75</f>
        <v/>
      </c>
      <c r="AB76" s="60">
        <f>AA75+AB74-AB75</f>
        <v/>
      </c>
      <c r="AC76" s="60">
        <f>AB75+AC74-AC75</f>
        <v/>
      </c>
      <c r="AD76" s="60">
        <f>AC75+AD74-AD75</f>
        <v/>
      </c>
      <c r="AE76" s="60">
        <f>AD75+AE74-AE75</f>
        <v/>
      </c>
    </row>
    <row r="77">
      <c r="A77" s="6" t="inlineStr">
        <is>
          <t xml:space="preserve">  Holders (stopped paying, still hold gold)</t>
        </is>
      </c>
      <c r="B77" s="23" t="inlineStr">
        <is>
          <t>accounts</t>
        </is>
      </c>
      <c r="C77" s="50">
        <f>C76</f>
        <v/>
      </c>
      <c r="D77" s="50">
        <f>C77+D76</f>
        <v/>
      </c>
      <c r="E77" s="50">
        <f>D77+E76</f>
        <v/>
      </c>
      <c r="F77" s="50">
        <f>E77+F76</f>
        <v/>
      </c>
      <c r="G77" s="50">
        <f>F77+G76</f>
        <v/>
      </c>
      <c r="H77" s="50">
        <f>G77+H76</f>
        <v/>
      </c>
      <c r="I77" s="50">
        <f>H77+I76</f>
        <v/>
      </c>
      <c r="J77" s="50">
        <f>I77+J76</f>
        <v/>
      </c>
      <c r="K77" s="50">
        <f>J77+K76</f>
        <v/>
      </c>
      <c r="L77" s="50">
        <f>K77+L76</f>
        <v/>
      </c>
      <c r="M77" s="50">
        <f>L77+M76</f>
        <v/>
      </c>
      <c r="N77" s="50">
        <f>M77+N76</f>
        <v/>
      </c>
      <c r="O77" s="50">
        <f>N77+O76</f>
        <v/>
      </c>
      <c r="P77" s="50">
        <f>O77+P76</f>
        <v/>
      </c>
      <c r="Q77" s="50">
        <f>P77+Q76</f>
        <v/>
      </c>
      <c r="R77" s="50">
        <f>Q77+R76</f>
        <v/>
      </c>
      <c r="S77" s="50">
        <f>R77+S76</f>
        <v/>
      </c>
      <c r="T77" s="50">
        <f>S77+T76</f>
        <v/>
      </c>
      <c r="U77" s="50">
        <f>T77+U76</f>
        <v/>
      </c>
      <c r="V77" s="50">
        <f>U77+V76</f>
        <v/>
      </c>
      <c r="W77" s="50">
        <f>V77+W76</f>
        <v/>
      </c>
      <c r="X77" s="50">
        <f>W77+X76</f>
        <v/>
      </c>
      <c r="Y77" s="50">
        <f>X77+Y76</f>
        <v/>
      </c>
      <c r="Z77" s="50">
        <f>Y77+Z76</f>
        <v/>
      </c>
      <c r="AA77" s="50">
        <f>Z77+AA76</f>
        <v/>
      </c>
      <c r="AB77" s="50">
        <f>AA77+AB76</f>
        <v/>
      </c>
      <c r="AC77" s="50">
        <f>AB77+AC76</f>
        <v/>
      </c>
      <c r="AD77" s="50">
        <f>AC77+AD76</f>
        <v/>
      </c>
      <c r="AE77" s="50">
        <f>AD77+AE76</f>
        <v/>
      </c>
    </row>
    <row r="78">
      <c r="A78" s="6" t="inlineStr">
        <is>
          <t xml:space="preserve">  Cumulative ever acquired</t>
        </is>
      </c>
      <c r="B78" s="23" t="inlineStr">
        <is>
          <t>accounts</t>
        </is>
      </c>
      <c r="C78" s="50">
        <f>C74</f>
        <v/>
      </c>
      <c r="D78" s="50">
        <f>C78+D74</f>
        <v/>
      </c>
      <c r="E78" s="50">
        <f>D78+E74</f>
        <v/>
      </c>
      <c r="F78" s="50">
        <f>E78+F74</f>
        <v/>
      </c>
      <c r="G78" s="50">
        <f>F78+G74</f>
        <v/>
      </c>
      <c r="H78" s="50">
        <f>G78+H74</f>
        <v/>
      </c>
      <c r="I78" s="50">
        <f>H78+I74</f>
        <v/>
      </c>
      <c r="J78" s="50">
        <f>I78+J74</f>
        <v/>
      </c>
      <c r="K78" s="50">
        <f>J78+K74</f>
        <v/>
      </c>
      <c r="L78" s="50">
        <f>K78+L74</f>
        <v/>
      </c>
      <c r="M78" s="50">
        <f>L78+M74</f>
        <v/>
      </c>
      <c r="N78" s="50">
        <f>M78+N74</f>
        <v/>
      </c>
      <c r="O78" s="50">
        <f>N78+O74</f>
        <v/>
      </c>
      <c r="P78" s="50">
        <f>O78+P74</f>
        <v/>
      </c>
      <c r="Q78" s="50">
        <f>P78+Q74</f>
        <v/>
      </c>
      <c r="R78" s="50">
        <f>Q78+R74</f>
        <v/>
      </c>
      <c r="S78" s="50">
        <f>R78+S74</f>
        <v/>
      </c>
      <c r="T78" s="50">
        <f>S78+T74</f>
        <v/>
      </c>
      <c r="U78" s="50">
        <f>T78+U74</f>
        <v/>
      </c>
      <c r="V78" s="50">
        <f>U78+V74</f>
        <v/>
      </c>
      <c r="W78" s="50">
        <f>V78+W74</f>
        <v/>
      </c>
      <c r="X78" s="50">
        <f>W78+X74</f>
        <v/>
      </c>
      <c r="Y78" s="50">
        <f>X78+Y74</f>
        <v/>
      </c>
      <c r="Z78" s="50">
        <f>Y78+Z74</f>
        <v/>
      </c>
      <c r="AA78" s="50">
        <f>Z78+AA74</f>
        <v/>
      </c>
      <c r="AB78" s="50">
        <f>AA78+AB74</f>
        <v/>
      </c>
      <c r="AC78" s="50">
        <f>AB78+AC74</f>
        <v/>
      </c>
      <c r="AD78" s="50">
        <f>AC78+AD74</f>
        <v/>
      </c>
      <c r="AE78" s="50">
        <f>AD78+AE74</f>
        <v/>
      </c>
    </row>
    <row r="79">
      <c r="A79" s="6" t="inlineStr">
        <is>
          <t xml:space="preserve">  SIP contributions</t>
        </is>
      </c>
      <c r="B79" s="23" t="inlineStr">
        <is>
          <t>USD</t>
        </is>
      </c>
      <c r="C79" s="61">
        <f>IF(C2&gt;=Assumptions!$B$47,C75*Assumptions!$B$191*C7,0)</f>
        <v/>
      </c>
      <c r="D79" s="61">
        <f>IF(D2&gt;=Assumptions!$B$47,D75*Assumptions!$B$191*D7,0)</f>
        <v/>
      </c>
      <c r="E79" s="61">
        <f>IF(E2&gt;=Assumptions!$B$47,E75*Assumptions!$B$191*E7,0)</f>
        <v/>
      </c>
      <c r="F79" s="61">
        <f>IF(F2&gt;=Assumptions!$B$47,F75*Assumptions!$B$191*F7,0)</f>
        <v/>
      </c>
      <c r="G79" s="61">
        <f>IF(G2&gt;=Assumptions!$B$47,G75*Assumptions!$B$191*G7,0)</f>
        <v/>
      </c>
      <c r="H79" s="61">
        <f>IF(H2&gt;=Assumptions!$B$47,H75*Assumptions!$B$191*H7,0)</f>
        <v/>
      </c>
      <c r="I79" s="61">
        <f>IF(I2&gt;=Assumptions!$B$47,I75*Assumptions!$B$191*I7,0)</f>
        <v/>
      </c>
      <c r="J79" s="61">
        <f>IF(J2&gt;=Assumptions!$B$47,J75*Assumptions!$B$191*J7,0)</f>
        <v/>
      </c>
      <c r="K79" s="61">
        <f>IF(K2&gt;=Assumptions!$B$47,K75*Assumptions!$B$191*K7,0)</f>
        <v/>
      </c>
      <c r="L79" s="61">
        <f>IF(L2&gt;=Assumptions!$B$47,L75*Assumptions!$B$191*L7,0)</f>
        <v/>
      </c>
      <c r="M79" s="61">
        <f>IF(M2&gt;=Assumptions!$B$47,M75*Assumptions!$B$191*M7,0)</f>
        <v/>
      </c>
      <c r="N79" s="61">
        <f>IF(N2&gt;=Assumptions!$B$47,N75*Assumptions!$B$191*N7,0)</f>
        <v/>
      </c>
      <c r="O79" s="61">
        <f>IF(O2&gt;=Assumptions!$B$47,O75*Assumptions!$B$191*O7,0)</f>
        <v/>
      </c>
      <c r="P79" s="61">
        <f>IF(P2&gt;=Assumptions!$B$47,P75*Assumptions!$B$191*P7,0)</f>
        <v/>
      </c>
      <c r="Q79" s="61">
        <f>IF(Q2&gt;=Assumptions!$B$47,Q75*Assumptions!$B$191*Q7,0)</f>
        <v/>
      </c>
      <c r="R79" s="61">
        <f>IF(R2&gt;=Assumptions!$B$47,R75*Assumptions!$B$191*R7,0)</f>
        <v/>
      </c>
      <c r="S79" s="61">
        <f>IF(S2&gt;=Assumptions!$B$47,S75*Assumptions!$B$191*S7,0)</f>
        <v/>
      </c>
      <c r="T79" s="61">
        <f>IF(T2&gt;=Assumptions!$B$47,T75*Assumptions!$B$191*T7,0)</f>
        <v/>
      </c>
      <c r="U79" s="61">
        <f>IF(U2&gt;=Assumptions!$B$47,U75*Assumptions!$B$191*U7,0)</f>
        <v/>
      </c>
      <c r="V79" s="61">
        <f>IF(V2&gt;=Assumptions!$B$47,V75*Assumptions!$B$191*V7,0)</f>
        <v/>
      </c>
      <c r="W79" s="61">
        <f>IF(W2&gt;=Assumptions!$B$47,W75*Assumptions!$B$191*W7,0)</f>
        <v/>
      </c>
      <c r="X79" s="61">
        <f>IF(X2&gt;=Assumptions!$B$47,X75*Assumptions!$B$191*X7,0)</f>
        <v/>
      </c>
      <c r="Y79" s="61">
        <f>IF(Y2&gt;=Assumptions!$B$47,Y75*Assumptions!$B$191*Y7,0)</f>
        <v/>
      </c>
      <c r="Z79" s="61">
        <f>IF(Z2&gt;=Assumptions!$B$47,Z75*Assumptions!$B$191*Z7,0)</f>
        <v/>
      </c>
      <c r="AA79" s="61">
        <f>IF(AA2&gt;=Assumptions!$B$47,AA75*Assumptions!$B$191*AA7,0)</f>
        <v/>
      </c>
      <c r="AB79" s="61">
        <f>IF(AB2&gt;=Assumptions!$B$47,AB75*Assumptions!$B$191*AB7,0)</f>
        <v/>
      </c>
      <c r="AC79" s="61">
        <f>IF(AC2&gt;=Assumptions!$B$47,AC75*Assumptions!$B$191*AC7,0)</f>
        <v/>
      </c>
      <c r="AD79" s="61">
        <f>IF(AD2&gt;=Assumptions!$B$47,AD75*Assumptions!$B$191*AD7,0)</f>
        <v/>
      </c>
      <c r="AE79" s="61">
        <f>IF(AE2&gt;=Assumptions!$B$47,AE75*Assumptions!$B$191*AE7,0)</f>
        <v/>
      </c>
    </row>
    <row r="80">
      <c r="A80" s="6" t="inlineStr">
        <is>
          <t xml:space="preserve">  Spot purchase volume</t>
        </is>
      </c>
      <c r="B80" s="23" t="inlineStr">
        <is>
          <t>USD</t>
        </is>
      </c>
      <c r="C80" s="61">
        <f>IF(C2&gt;=Assumptions!$B$48,C75*Assumptions!$B$36*Assumptions!$B$154*Assumptions!$B$156*Assumptions!$B$33*Assumptions!$B$155/12*C7,0)</f>
        <v/>
      </c>
      <c r="D80" s="61">
        <f>IF(D2&gt;=Assumptions!$B$48,D75*Assumptions!$B$36*Assumptions!$B$154*Assumptions!$B$156*Assumptions!$B$33*Assumptions!$B$155/12*D7,0)</f>
        <v/>
      </c>
      <c r="E80" s="61">
        <f>IF(E2&gt;=Assumptions!$B$48,E75*Assumptions!$B$36*Assumptions!$B$154*Assumptions!$B$156*Assumptions!$B$33*Assumptions!$B$155/12*E7,0)</f>
        <v/>
      </c>
      <c r="F80" s="61">
        <f>IF(F2&gt;=Assumptions!$B$48,F75*Assumptions!$B$36*Assumptions!$B$154*Assumptions!$B$156*Assumptions!$B$33*Assumptions!$B$155/12*F7,0)</f>
        <v/>
      </c>
      <c r="G80" s="61">
        <f>IF(G2&gt;=Assumptions!$B$48,G75*Assumptions!$B$36*Assumptions!$B$154*Assumptions!$B$156*Assumptions!$B$33*Assumptions!$B$155/12*G7,0)</f>
        <v/>
      </c>
      <c r="H80" s="61">
        <f>IF(H2&gt;=Assumptions!$B$48,H75*Assumptions!$B$36*Assumptions!$B$154*Assumptions!$B$156*Assumptions!$B$33*Assumptions!$B$155/12*H7,0)</f>
        <v/>
      </c>
      <c r="I80" s="61">
        <f>IF(I2&gt;=Assumptions!$B$48,I75*Assumptions!$B$36*Assumptions!$B$154*Assumptions!$B$156*Assumptions!$B$33*Assumptions!$B$155/12*I7,0)</f>
        <v/>
      </c>
      <c r="J80" s="61">
        <f>IF(J2&gt;=Assumptions!$B$48,J75*Assumptions!$B$36*Assumptions!$B$154*Assumptions!$B$156*Assumptions!$B$33*Assumptions!$B$155/12*J7,0)</f>
        <v/>
      </c>
      <c r="K80" s="61">
        <f>IF(K2&gt;=Assumptions!$B$48,K75*Assumptions!$B$36*Assumptions!$B$154*Assumptions!$B$156*Assumptions!$B$33*Assumptions!$B$155/12*K7,0)</f>
        <v/>
      </c>
      <c r="L80" s="61">
        <f>IF(L2&gt;=Assumptions!$B$48,L75*Assumptions!$B$36*Assumptions!$B$154*Assumptions!$B$156*Assumptions!$B$33*Assumptions!$B$155/12*L7,0)</f>
        <v/>
      </c>
      <c r="M80" s="61">
        <f>IF(M2&gt;=Assumptions!$B$48,M75*Assumptions!$B$36*Assumptions!$B$154*Assumptions!$B$156*Assumptions!$B$33*Assumptions!$B$155/12*M7,0)</f>
        <v/>
      </c>
      <c r="N80" s="61">
        <f>IF(N2&gt;=Assumptions!$B$48,N75*Assumptions!$B$36*Assumptions!$B$154*Assumptions!$B$156*Assumptions!$B$33*Assumptions!$B$155/12*N7,0)</f>
        <v/>
      </c>
      <c r="O80" s="61">
        <f>IF(O2&gt;=Assumptions!$B$48,O75*Assumptions!$B$36*Assumptions!$B$154*Assumptions!$B$156*Assumptions!$B$33*Assumptions!$B$155/12*O7,0)</f>
        <v/>
      </c>
      <c r="P80" s="61">
        <f>IF(P2&gt;=Assumptions!$B$48,P75*Assumptions!$B$36*Assumptions!$B$154*Assumptions!$B$156*Assumptions!$B$33*Assumptions!$B$155/12*P7,0)</f>
        <v/>
      </c>
      <c r="Q80" s="61">
        <f>IF(Q2&gt;=Assumptions!$B$48,Q75*Assumptions!$B$36*Assumptions!$B$154*Assumptions!$B$156*Assumptions!$B$33*Assumptions!$B$155/12*Q7,0)</f>
        <v/>
      </c>
      <c r="R80" s="61">
        <f>IF(R2&gt;=Assumptions!$B$48,R75*Assumptions!$B$36*Assumptions!$B$154*Assumptions!$B$156*Assumptions!$B$33*Assumptions!$B$155/12*R7,0)</f>
        <v/>
      </c>
      <c r="S80" s="61">
        <f>IF(S2&gt;=Assumptions!$B$48,S75*Assumptions!$B$36*Assumptions!$B$154*Assumptions!$B$156*Assumptions!$B$33*Assumptions!$B$155/12*S7,0)</f>
        <v/>
      </c>
      <c r="T80" s="61">
        <f>IF(T2&gt;=Assumptions!$B$48,T75*Assumptions!$B$36*Assumptions!$B$154*Assumptions!$B$156*Assumptions!$B$33*Assumptions!$B$155/12*T7,0)</f>
        <v/>
      </c>
      <c r="U80" s="61">
        <f>IF(U2&gt;=Assumptions!$B$48,U75*Assumptions!$B$36*Assumptions!$B$154*Assumptions!$B$156*Assumptions!$B$33*Assumptions!$B$155/12*U7,0)</f>
        <v/>
      </c>
      <c r="V80" s="61">
        <f>IF(V2&gt;=Assumptions!$B$48,V75*Assumptions!$B$36*Assumptions!$B$154*Assumptions!$B$156*Assumptions!$B$33*Assumptions!$B$155/12*V7,0)</f>
        <v/>
      </c>
      <c r="W80" s="61">
        <f>IF(W2&gt;=Assumptions!$B$48,W75*Assumptions!$B$36*Assumptions!$B$154*Assumptions!$B$156*Assumptions!$B$33*Assumptions!$B$155/12*W7,0)</f>
        <v/>
      </c>
      <c r="X80" s="61">
        <f>IF(X2&gt;=Assumptions!$B$48,X75*Assumptions!$B$36*Assumptions!$B$154*Assumptions!$B$156*Assumptions!$B$33*Assumptions!$B$155/12*X7,0)</f>
        <v/>
      </c>
      <c r="Y80" s="61">
        <f>IF(Y2&gt;=Assumptions!$B$48,Y75*Assumptions!$B$36*Assumptions!$B$154*Assumptions!$B$156*Assumptions!$B$33*Assumptions!$B$155/12*Y7,0)</f>
        <v/>
      </c>
      <c r="Z80" s="61">
        <f>IF(Z2&gt;=Assumptions!$B$48,Z75*Assumptions!$B$36*Assumptions!$B$154*Assumptions!$B$156*Assumptions!$B$33*Assumptions!$B$155/12*Z7,0)</f>
        <v/>
      </c>
      <c r="AA80" s="61">
        <f>IF(AA2&gt;=Assumptions!$B$48,AA75*Assumptions!$B$36*Assumptions!$B$154*Assumptions!$B$156*Assumptions!$B$33*Assumptions!$B$155/12*AA7,0)</f>
        <v/>
      </c>
      <c r="AB80" s="61">
        <f>IF(AB2&gt;=Assumptions!$B$48,AB75*Assumptions!$B$36*Assumptions!$B$154*Assumptions!$B$156*Assumptions!$B$33*Assumptions!$B$155/12*AB7,0)</f>
        <v/>
      </c>
      <c r="AC80" s="61">
        <f>IF(AC2&gt;=Assumptions!$B$48,AC75*Assumptions!$B$36*Assumptions!$B$154*Assumptions!$B$156*Assumptions!$B$33*Assumptions!$B$155/12*AC7,0)</f>
        <v/>
      </c>
      <c r="AD80" s="61">
        <f>IF(AD2&gt;=Assumptions!$B$48,AD75*Assumptions!$B$36*Assumptions!$B$154*Assumptions!$B$156*Assumptions!$B$33*Assumptions!$B$155/12*AD7,0)</f>
        <v/>
      </c>
      <c r="AE80" s="61">
        <f>IF(AE2&gt;=Assumptions!$B$48,AE75*Assumptions!$B$36*Assumptions!$B$154*Assumptions!$B$156*Assumptions!$B$33*Assumptions!$B$155/12*AE7,0)</f>
        <v/>
      </c>
    </row>
    <row r="81">
      <c r="A81" s="6" t="inlineStr">
        <is>
          <t xml:space="preserve">  Grams purchased</t>
        </is>
      </c>
      <c r="B81" s="23" t="inlineStr">
        <is>
          <t>grams</t>
        </is>
      </c>
      <c r="C81" s="60">
        <f>(C79+C80)*(1-Assumptions!$B$8)/C20/(1+Assumptions!$B$9*(1-Assumptions!$B$229))</f>
        <v/>
      </c>
      <c r="D81" s="60">
        <f>(D79+D80)*(1-Assumptions!$B$8)/D20/(1+Assumptions!$B$9*(1-Assumptions!$B$229))</f>
        <v/>
      </c>
      <c r="E81" s="60">
        <f>(E79+E80)*(1-Assumptions!$B$8)/E20/(1+Assumptions!$B$9*(1-Assumptions!$B$229))</f>
        <v/>
      </c>
      <c r="F81" s="60">
        <f>(F79+F80)*(1-Assumptions!$B$8)/F20/(1+Assumptions!$B$9*(1-Assumptions!$B$229))</f>
        <v/>
      </c>
      <c r="G81" s="60">
        <f>(G79+G80)*(1-Assumptions!$B$8)/G20/(1+Assumptions!$B$9*(1-Assumptions!$B$229))</f>
        <v/>
      </c>
      <c r="H81" s="60">
        <f>(H79+H80)*(1-Assumptions!$B$8)/H20/(1+Assumptions!$B$9*(1-Assumptions!$B$229))</f>
        <v/>
      </c>
      <c r="I81" s="60">
        <f>(I79+I80)*(1-Assumptions!$B$8)/I20/(1+Assumptions!$B$9*(1-Assumptions!$B$229))</f>
        <v/>
      </c>
      <c r="J81" s="60">
        <f>(J79+J80)*(1-Assumptions!$B$8)/J20/(1+Assumptions!$B$9*(1-Assumptions!$B$229))</f>
        <v/>
      </c>
      <c r="K81" s="60">
        <f>(K79+K80)*(1-Assumptions!$B$8)/K20/(1+Assumptions!$B$9*(1-Assumptions!$B$229))</f>
        <v/>
      </c>
      <c r="L81" s="60">
        <f>(L79+L80)*(1-Assumptions!$B$8)/L20/(1+Assumptions!$B$9*(1-Assumptions!$B$229))</f>
        <v/>
      </c>
      <c r="M81" s="60">
        <f>(M79+M80)*(1-Assumptions!$B$8)/M20/(1+Assumptions!$B$9*(1-Assumptions!$B$229))</f>
        <v/>
      </c>
      <c r="N81" s="60">
        <f>(N79+N80)*(1-Assumptions!$B$8)/N20/(1+Assumptions!$B$9*(1-Assumptions!$B$229))</f>
        <v/>
      </c>
      <c r="O81" s="60">
        <f>(O79+O80)*(1-Assumptions!$B$8)/O20/(1+Assumptions!$B$9*(1-Assumptions!$B$229))</f>
        <v/>
      </c>
      <c r="P81" s="60">
        <f>(P79+P80)*(1-Assumptions!$B$8)/P20/(1+Assumptions!$B$9*(1-Assumptions!$B$229))</f>
        <v/>
      </c>
      <c r="Q81" s="60">
        <f>(Q79+Q80)*(1-Assumptions!$B$8)/Q20/(1+Assumptions!$B$9*(1-Assumptions!$B$229))</f>
        <v/>
      </c>
      <c r="R81" s="60">
        <f>(R79+R80)*(1-Assumptions!$B$8)/R20/(1+Assumptions!$B$9*(1-Assumptions!$B$229))</f>
        <v/>
      </c>
      <c r="S81" s="60">
        <f>(S79+S80)*(1-Assumptions!$B$8)/S20/(1+Assumptions!$B$9*(1-Assumptions!$B$229))</f>
        <v/>
      </c>
      <c r="T81" s="60">
        <f>(T79+T80)*(1-Assumptions!$B$8)/T20/(1+Assumptions!$B$9*(1-Assumptions!$B$229))</f>
        <v/>
      </c>
      <c r="U81" s="60">
        <f>(U79+U80)*(1-Assumptions!$B$8)/U20/(1+Assumptions!$B$9*(1-Assumptions!$B$229))</f>
        <v/>
      </c>
      <c r="V81" s="60">
        <f>(V79+V80)*(1-Assumptions!$B$8)/V20/(1+Assumptions!$B$9*(1-Assumptions!$B$229))</f>
        <v/>
      </c>
      <c r="W81" s="60">
        <f>(W79+W80)*(1-Assumptions!$B$8)/W20/(1+Assumptions!$B$9*(1-Assumptions!$B$229))</f>
        <v/>
      </c>
      <c r="X81" s="60">
        <f>(X79+X80)*(1-Assumptions!$B$8)/X20/(1+Assumptions!$B$9*(1-Assumptions!$B$229))</f>
        <v/>
      </c>
      <c r="Y81" s="60">
        <f>(Y79+Y80)*(1-Assumptions!$B$8)/Y20/(1+Assumptions!$B$9*(1-Assumptions!$B$229))</f>
        <v/>
      </c>
      <c r="Z81" s="60">
        <f>(Z79+Z80)*(1-Assumptions!$B$8)/Z20/(1+Assumptions!$B$9*(1-Assumptions!$B$229))</f>
        <v/>
      </c>
      <c r="AA81" s="60">
        <f>(AA79+AA80)*(1-Assumptions!$B$8)/AA20/(1+Assumptions!$B$9*(1-Assumptions!$B$229))</f>
        <v/>
      </c>
      <c r="AB81" s="60">
        <f>(AB79+AB80)*(1-Assumptions!$B$8)/AB20/(1+Assumptions!$B$9*(1-Assumptions!$B$229))</f>
        <v/>
      </c>
      <c r="AC81" s="60">
        <f>(AC79+AC80)*(1-Assumptions!$B$8)/AC20/(1+Assumptions!$B$9*(1-Assumptions!$B$229))</f>
        <v/>
      </c>
      <c r="AD81" s="60">
        <f>(AD79+AD80)*(1-Assumptions!$B$8)/AD20/(1+Assumptions!$B$9*(1-Assumptions!$B$229))</f>
        <v/>
      </c>
      <c r="AE81" s="60">
        <f>(AE79+AE80)*(1-Assumptions!$B$8)/AE20/(1+Assumptions!$B$9*(1-Assumptions!$B$229))</f>
        <v/>
      </c>
    </row>
    <row r="82">
      <c r="A82" s="6" t="inlineStr">
        <is>
          <t xml:space="preserve">  Collateral-eligible AUM decay rate (holder-weighted)</t>
        </is>
      </c>
      <c r="B82" s="23" t="inlineStr">
        <is>
          <t>%/period</t>
        </is>
      </c>
      <c r="C82" s="62">
        <f>(Assumptions!$B$151+Assumptions!$B$152*IF(C75+C77=0,1,(C75+C77*Assumptions!$B$153)/(C75+C77)))*C7/12</f>
        <v/>
      </c>
      <c r="D82" s="62">
        <f>(Assumptions!$B$151+Assumptions!$B$152*IF(D75+D77=0,1,(D75+D77*Assumptions!$B$153)/(D75+D77)))*D7/12</f>
        <v/>
      </c>
      <c r="E82" s="62">
        <f>(Assumptions!$B$151+Assumptions!$B$152*IF(E75+E77=0,1,(E75+E77*Assumptions!$B$153)/(E75+E77)))*E7/12</f>
        <v/>
      </c>
      <c r="F82" s="62">
        <f>(Assumptions!$B$151+Assumptions!$B$152*IF(F75+F77=0,1,(F75+F77*Assumptions!$B$153)/(F75+F77)))*F7/12</f>
        <v/>
      </c>
      <c r="G82" s="62">
        <f>(Assumptions!$B$151+Assumptions!$B$152*IF(G75+G77=0,1,(G75+G77*Assumptions!$B$153)/(G75+G77)))*G7/12</f>
        <v/>
      </c>
      <c r="H82" s="62">
        <f>(Assumptions!$B$151+Assumptions!$B$152*IF(H75+H77=0,1,(H75+H77*Assumptions!$B$153)/(H75+H77)))*H7/12</f>
        <v/>
      </c>
      <c r="I82" s="62">
        <f>(Assumptions!$B$151+Assumptions!$B$152*IF(I75+I77=0,1,(I75+I77*Assumptions!$B$153)/(I75+I77)))*I7/12</f>
        <v/>
      </c>
      <c r="J82" s="62">
        <f>(Assumptions!$B$151+Assumptions!$B$152*IF(J75+J77=0,1,(J75+J77*Assumptions!$B$153)/(J75+J77)))*J7/12</f>
        <v/>
      </c>
      <c r="K82" s="62">
        <f>(Assumptions!$B$151+Assumptions!$B$152*IF(K75+K77=0,1,(K75+K77*Assumptions!$B$153)/(K75+K77)))*K7/12</f>
        <v/>
      </c>
      <c r="L82" s="62">
        <f>(Assumptions!$B$151+Assumptions!$B$152*IF(L75+L77=0,1,(L75+L77*Assumptions!$B$153)/(L75+L77)))*L7/12</f>
        <v/>
      </c>
      <c r="M82" s="62">
        <f>(Assumptions!$B$151+Assumptions!$B$152*IF(M75+M77=0,1,(M75+M77*Assumptions!$B$153)/(M75+M77)))*M7/12</f>
        <v/>
      </c>
      <c r="N82" s="62">
        <f>(Assumptions!$B$151+Assumptions!$B$152*IF(N75+N77=0,1,(N75+N77*Assumptions!$B$153)/(N75+N77)))*N7/12</f>
        <v/>
      </c>
      <c r="O82" s="62">
        <f>(Assumptions!$B$151+Assumptions!$B$152*IF(O75+O77=0,1,(O75+O77*Assumptions!$B$153)/(O75+O77)))*O7/12</f>
        <v/>
      </c>
      <c r="P82" s="62">
        <f>(Assumptions!$B$151+Assumptions!$B$152*IF(P75+P77=0,1,(P75+P77*Assumptions!$B$153)/(P75+P77)))*P7/12</f>
        <v/>
      </c>
      <c r="Q82" s="62">
        <f>(Assumptions!$B$151+Assumptions!$B$152*IF(Q75+Q77=0,1,(Q75+Q77*Assumptions!$B$153)/(Q75+Q77)))*Q7/12</f>
        <v/>
      </c>
      <c r="R82" s="62">
        <f>(Assumptions!$B$151+Assumptions!$B$152*IF(R75+R77=0,1,(R75+R77*Assumptions!$B$153)/(R75+R77)))*R7/12</f>
        <v/>
      </c>
      <c r="S82" s="62">
        <f>(Assumptions!$B$151+Assumptions!$B$152*IF(S75+S77=0,1,(S75+S77*Assumptions!$B$153)/(S75+S77)))*S7/12</f>
        <v/>
      </c>
      <c r="T82" s="62">
        <f>(Assumptions!$B$151+Assumptions!$B$152*IF(T75+T77=0,1,(T75+T77*Assumptions!$B$153)/(T75+T77)))*T7/12</f>
        <v/>
      </c>
      <c r="U82" s="62">
        <f>(Assumptions!$B$151+Assumptions!$B$152*IF(U75+U77=0,1,(U75+U77*Assumptions!$B$153)/(U75+U77)))*U7/12</f>
        <v/>
      </c>
      <c r="V82" s="62">
        <f>(Assumptions!$B$151+Assumptions!$B$152*IF(V75+V77=0,1,(V75+V77*Assumptions!$B$153)/(V75+V77)))*V7/12</f>
        <v/>
      </c>
      <c r="W82" s="62">
        <f>(Assumptions!$B$151+Assumptions!$B$152*IF(W75+W77=0,1,(W75+W77*Assumptions!$B$153)/(W75+W77)))*W7/12</f>
        <v/>
      </c>
      <c r="X82" s="62">
        <f>(Assumptions!$B$151+Assumptions!$B$152*IF(X75+X77=0,1,(X75+X77*Assumptions!$B$153)/(X75+X77)))*X7/12</f>
        <v/>
      </c>
      <c r="Y82" s="62">
        <f>(Assumptions!$B$151+Assumptions!$B$152*IF(Y75+Y77=0,1,(Y75+Y77*Assumptions!$B$153)/(Y75+Y77)))*Y7/12</f>
        <v/>
      </c>
      <c r="Z82" s="62">
        <f>(Assumptions!$B$151+Assumptions!$B$152*IF(Z75+Z77=0,1,(Z75+Z77*Assumptions!$B$153)/(Z75+Z77)))*Z7/12</f>
        <v/>
      </c>
      <c r="AA82" s="62">
        <f>(Assumptions!$B$151+Assumptions!$B$152*IF(AA75+AA77=0,1,(AA75+AA77*Assumptions!$B$153)/(AA75+AA77)))*AA7/12</f>
        <v/>
      </c>
      <c r="AB82" s="62">
        <f>(Assumptions!$B$151+Assumptions!$B$152*IF(AB75+AB77=0,1,(AB75+AB77*Assumptions!$B$153)/(AB75+AB77)))*AB7/12</f>
        <v/>
      </c>
      <c r="AC82" s="62">
        <f>(Assumptions!$B$151+Assumptions!$B$152*IF(AC75+AC77=0,1,(AC75+AC77*Assumptions!$B$153)/(AC75+AC77)))*AC7/12</f>
        <v/>
      </c>
      <c r="AD82" s="62">
        <f>(Assumptions!$B$151+Assumptions!$B$152*IF(AD75+AD77=0,1,(AD75+AD77*Assumptions!$B$153)/(AD75+AD77)))*AD7/12</f>
        <v/>
      </c>
      <c r="AE82" s="62">
        <f>(Assumptions!$B$151+Assumptions!$B$152*IF(AE75+AE77=0,1,(AE75+AE77*Assumptions!$B$153)/(AE75+AE77)))*AE7/12</f>
        <v/>
      </c>
    </row>
    <row r="83">
      <c r="A83" s="6" t="inlineStr">
        <is>
          <t xml:space="preserve">  Redemption-only decay rate (metal actually leaving)</t>
        </is>
      </c>
      <c r="B83" s="23" t="inlineStr">
        <is>
          <t>%/period</t>
        </is>
      </c>
      <c r="C83" s="62">
        <f>Assumptions!$B$152*IF(C75+C77=0,1,(C75+C77*Assumptions!$B$153)/(C75+C77))*C7/12</f>
        <v/>
      </c>
      <c r="D83" s="62">
        <f>Assumptions!$B$152*IF(D75+D77=0,1,(D75+D77*Assumptions!$B$153)/(D75+D77))*D7/12</f>
        <v/>
      </c>
      <c r="E83" s="62">
        <f>Assumptions!$B$152*IF(E75+E77=0,1,(E75+E77*Assumptions!$B$153)/(E75+E77))*E7/12</f>
        <v/>
      </c>
      <c r="F83" s="62">
        <f>Assumptions!$B$152*IF(F75+F77=0,1,(F75+F77*Assumptions!$B$153)/(F75+F77))*F7/12</f>
        <v/>
      </c>
      <c r="G83" s="62">
        <f>Assumptions!$B$152*IF(G75+G77=0,1,(G75+G77*Assumptions!$B$153)/(G75+G77))*G7/12</f>
        <v/>
      </c>
      <c r="H83" s="62">
        <f>Assumptions!$B$152*IF(H75+H77=0,1,(H75+H77*Assumptions!$B$153)/(H75+H77))*H7/12</f>
        <v/>
      </c>
      <c r="I83" s="62">
        <f>Assumptions!$B$152*IF(I75+I77=0,1,(I75+I77*Assumptions!$B$153)/(I75+I77))*I7/12</f>
        <v/>
      </c>
      <c r="J83" s="62">
        <f>Assumptions!$B$152*IF(J75+J77=0,1,(J75+J77*Assumptions!$B$153)/(J75+J77))*J7/12</f>
        <v/>
      </c>
      <c r="K83" s="62">
        <f>Assumptions!$B$152*IF(K75+K77=0,1,(K75+K77*Assumptions!$B$153)/(K75+K77))*K7/12</f>
        <v/>
      </c>
      <c r="L83" s="62">
        <f>Assumptions!$B$152*IF(L75+L77=0,1,(L75+L77*Assumptions!$B$153)/(L75+L77))*L7/12</f>
        <v/>
      </c>
      <c r="M83" s="62">
        <f>Assumptions!$B$152*IF(M75+M77=0,1,(M75+M77*Assumptions!$B$153)/(M75+M77))*M7/12</f>
        <v/>
      </c>
      <c r="N83" s="62">
        <f>Assumptions!$B$152*IF(N75+N77=0,1,(N75+N77*Assumptions!$B$153)/(N75+N77))*N7/12</f>
        <v/>
      </c>
      <c r="O83" s="62">
        <f>Assumptions!$B$152*IF(O75+O77=0,1,(O75+O77*Assumptions!$B$153)/(O75+O77))*O7/12</f>
        <v/>
      </c>
      <c r="P83" s="62">
        <f>Assumptions!$B$152*IF(P75+P77=0,1,(P75+P77*Assumptions!$B$153)/(P75+P77))*P7/12</f>
        <v/>
      </c>
      <c r="Q83" s="62">
        <f>Assumptions!$B$152*IF(Q75+Q77=0,1,(Q75+Q77*Assumptions!$B$153)/(Q75+Q77))*Q7/12</f>
        <v/>
      </c>
      <c r="R83" s="62">
        <f>Assumptions!$B$152*IF(R75+R77=0,1,(R75+R77*Assumptions!$B$153)/(R75+R77))*R7/12</f>
        <v/>
      </c>
      <c r="S83" s="62">
        <f>Assumptions!$B$152*IF(S75+S77=0,1,(S75+S77*Assumptions!$B$153)/(S75+S77))*S7/12</f>
        <v/>
      </c>
      <c r="T83" s="62">
        <f>Assumptions!$B$152*IF(T75+T77=0,1,(T75+T77*Assumptions!$B$153)/(T75+T77))*T7/12</f>
        <v/>
      </c>
      <c r="U83" s="62">
        <f>Assumptions!$B$152*IF(U75+U77=0,1,(U75+U77*Assumptions!$B$153)/(U75+U77))*U7/12</f>
        <v/>
      </c>
      <c r="V83" s="62">
        <f>Assumptions!$B$152*IF(V75+V77=0,1,(V75+V77*Assumptions!$B$153)/(V75+V77))*V7/12</f>
        <v/>
      </c>
      <c r="W83" s="62">
        <f>Assumptions!$B$152*IF(W75+W77=0,1,(W75+W77*Assumptions!$B$153)/(W75+W77))*W7/12</f>
        <v/>
      </c>
      <c r="X83" s="62">
        <f>Assumptions!$B$152*IF(X75+X77=0,1,(X75+X77*Assumptions!$B$153)/(X75+X77))*X7/12</f>
        <v/>
      </c>
      <c r="Y83" s="62">
        <f>Assumptions!$B$152*IF(Y75+Y77=0,1,(Y75+Y77*Assumptions!$B$153)/(Y75+Y77))*Y7/12</f>
        <v/>
      </c>
      <c r="Z83" s="62">
        <f>Assumptions!$B$152*IF(Z75+Z77=0,1,(Z75+Z77*Assumptions!$B$153)/(Z75+Z77))*Z7/12</f>
        <v/>
      </c>
      <c r="AA83" s="62">
        <f>Assumptions!$B$152*IF(AA75+AA77=0,1,(AA75+AA77*Assumptions!$B$153)/(AA75+AA77))*AA7/12</f>
        <v/>
      </c>
      <c r="AB83" s="62">
        <f>Assumptions!$B$152*IF(AB75+AB77=0,1,(AB75+AB77*Assumptions!$B$153)/(AB75+AB77))*AB7/12</f>
        <v/>
      </c>
      <c r="AC83" s="62">
        <f>Assumptions!$B$152*IF(AC75+AC77=0,1,(AC75+AC77*Assumptions!$B$153)/(AC75+AC77))*AC7/12</f>
        <v/>
      </c>
      <c r="AD83" s="62">
        <f>Assumptions!$B$152*IF(AD75+AD77=0,1,(AD75+AD77*Assumptions!$B$153)/(AD75+AD77))*AD7/12</f>
        <v/>
      </c>
      <c r="AE83" s="62">
        <f>Assumptions!$B$152*IF(AE75+AE77=0,1,(AE75+AE77*Assumptions!$B$153)/(AE75+AE77))*AE7/12</f>
        <v/>
      </c>
    </row>
    <row r="84">
      <c r="A84" s="6" t="inlineStr">
        <is>
          <t xml:space="preserve">  Grams held (collateral-eligible)</t>
        </is>
      </c>
      <c r="B84" s="23" t="inlineStr">
        <is>
          <t>grams</t>
        </is>
      </c>
      <c r="C84" s="50">
        <f>C81</f>
        <v/>
      </c>
      <c r="D84" s="50">
        <f>C84*(1-D82)+D81</f>
        <v/>
      </c>
      <c r="E84" s="50">
        <f>D84*(1-E82)+E81</f>
        <v/>
      </c>
      <c r="F84" s="50">
        <f>E84*(1-F82)+F81</f>
        <v/>
      </c>
      <c r="G84" s="50">
        <f>F84*(1-G82)+G81</f>
        <v/>
      </c>
      <c r="H84" s="50">
        <f>G84*(1-H82)+H81</f>
        <v/>
      </c>
      <c r="I84" s="50">
        <f>H84*(1-I82)+I81</f>
        <v/>
      </c>
      <c r="J84" s="50">
        <f>I84*(1-J82)+J81</f>
        <v/>
      </c>
      <c r="K84" s="50">
        <f>J84*(1-K82)+K81</f>
        <v/>
      </c>
      <c r="L84" s="50">
        <f>K84*(1-L82)+L81</f>
        <v/>
      </c>
      <c r="M84" s="50">
        <f>L84*(1-M82)+M81</f>
        <v/>
      </c>
      <c r="N84" s="50">
        <f>M84*(1-N82)+N81</f>
        <v/>
      </c>
      <c r="O84" s="50">
        <f>N84*(1-O82)+O81</f>
        <v/>
      </c>
      <c r="P84" s="50">
        <f>O84*(1-P82)+P81</f>
        <v/>
      </c>
      <c r="Q84" s="50">
        <f>P84*(1-Q82)+Q81</f>
        <v/>
      </c>
      <c r="R84" s="50">
        <f>Q84*(1-R82)+R81</f>
        <v/>
      </c>
      <c r="S84" s="50">
        <f>R84*(1-S82)+S81</f>
        <v/>
      </c>
      <c r="T84" s="50">
        <f>S84*(1-T82)+T81</f>
        <v/>
      </c>
      <c r="U84" s="50">
        <f>T84*(1-U82)+U81</f>
        <v/>
      </c>
      <c r="V84" s="50">
        <f>U84*(1-V82)+V81</f>
        <v/>
      </c>
      <c r="W84" s="50">
        <f>V84*(1-W82)+W81</f>
        <v/>
      </c>
      <c r="X84" s="50">
        <f>W84*(1-X82)+X81</f>
        <v/>
      </c>
      <c r="Y84" s="50">
        <f>X84*(1-Y82)+Y81</f>
        <v/>
      </c>
      <c r="Z84" s="50">
        <f>Y84*(1-Z82)+Z81</f>
        <v/>
      </c>
      <c r="AA84" s="50">
        <f>Z84*(1-AA82)+AA81</f>
        <v/>
      </c>
      <c r="AB84" s="50">
        <f>AA84*(1-AB82)+AB81</f>
        <v/>
      </c>
      <c r="AC84" s="50">
        <f>AB84*(1-AC82)+AC81</f>
        <v/>
      </c>
      <c r="AD84" s="50">
        <f>AC84*(1-AD82)+AD81</f>
        <v/>
      </c>
      <c r="AE84" s="50">
        <f>AD84*(1-AE82)+AE81</f>
        <v/>
      </c>
    </row>
    <row r="85">
      <c r="A85" s="6" t="inlineStr">
        <is>
          <t xml:space="preserve">  Grams under custody (vaulted, incl. self-custodied)</t>
        </is>
      </c>
      <c r="B85" s="23" t="inlineStr">
        <is>
          <t>grams</t>
        </is>
      </c>
      <c r="C85" s="50">
        <f>C81</f>
        <v/>
      </c>
      <c r="D85" s="50">
        <f>C85*(1-D83)+D81</f>
        <v/>
      </c>
      <c r="E85" s="50">
        <f>D85*(1-E83)+E81</f>
        <v/>
      </c>
      <c r="F85" s="50">
        <f>E85*(1-F83)+F81</f>
        <v/>
      </c>
      <c r="G85" s="50">
        <f>F85*(1-G83)+G81</f>
        <v/>
      </c>
      <c r="H85" s="50">
        <f>G85*(1-H83)+H81</f>
        <v/>
      </c>
      <c r="I85" s="50">
        <f>H85*(1-I83)+I81</f>
        <v/>
      </c>
      <c r="J85" s="50">
        <f>I85*(1-J83)+J81</f>
        <v/>
      </c>
      <c r="K85" s="50">
        <f>J85*(1-K83)+K81</f>
        <v/>
      </c>
      <c r="L85" s="50">
        <f>K85*(1-L83)+L81</f>
        <v/>
      </c>
      <c r="M85" s="50">
        <f>L85*(1-M83)+M81</f>
        <v/>
      </c>
      <c r="N85" s="50">
        <f>M85*(1-N83)+N81</f>
        <v/>
      </c>
      <c r="O85" s="50">
        <f>N85*(1-O83)+O81</f>
        <v/>
      </c>
      <c r="P85" s="50">
        <f>O85*(1-P83)+P81</f>
        <v/>
      </c>
      <c r="Q85" s="50">
        <f>P85*(1-Q83)+Q81</f>
        <v/>
      </c>
      <c r="R85" s="50">
        <f>Q85*(1-R83)+R81</f>
        <v/>
      </c>
      <c r="S85" s="50">
        <f>R85*(1-S83)+S81</f>
        <v/>
      </c>
      <c r="T85" s="50">
        <f>S85*(1-T83)+T81</f>
        <v/>
      </c>
      <c r="U85" s="50">
        <f>T85*(1-U83)+U81</f>
        <v/>
      </c>
      <c r="V85" s="50">
        <f>U85*(1-V83)+V81</f>
        <v/>
      </c>
      <c r="W85" s="50">
        <f>V85*(1-W83)+W81</f>
        <v/>
      </c>
      <c r="X85" s="50">
        <f>W85*(1-X83)+X81</f>
        <v/>
      </c>
      <c r="Y85" s="50">
        <f>X85*(1-Y83)+Y81</f>
        <v/>
      </c>
      <c r="Z85" s="50">
        <f>Y85*(1-Z83)+Z81</f>
        <v/>
      </c>
      <c r="AA85" s="50">
        <f>Z85*(1-AA83)+AA81</f>
        <v/>
      </c>
      <c r="AB85" s="50">
        <f>AA85*(1-AB83)+AB81</f>
        <v/>
      </c>
      <c r="AC85" s="50">
        <f>AB85*(1-AC83)+AC81</f>
        <v/>
      </c>
      <c r="AD85" s="50">
        <f>AC85*(1-AD83)+AD81</f>
        <v/>
      </c>
      <c r="AE85" s="50">
        <f>AD85*(1-AE83)+AE81</f>
        <v/>
      </c>
    </row>
    <row r="86">
      <c r="A86" s="6" t="inlineStr">
        <is>
          <t xml:space="preserve">  AUM</t>
        </is>
      </c>
      <c r="B86" s="23" t="inlineStr">
        <is>
          <t>USD</t>
        </is>
      </c>
      <c r="C86" s="63">
        <f>C84*C20</f>
        <v/>
      </c>
      <c r="D86" s="63">
        <f>D84*D20</f>
        <v/>
      </c>
      <c r="E86" s="63">
        <f>E84*E20</f>
        <v/>
      </c>
      <c r="F86" s="63">
        <f>F84*F20</f>
        <v/>
      </c>
      <c r="G86" s="63">
        <f>G84*G20</f>
        <v/>
      </c>
      <c r="H86" s="63">
        <f>H84*H20</f>
        <v/>
      </c>
      <c r="I86" s="63">
        <f>I84*I20</f>
        <v/>
      </c>
      <c r="J86" s="63">
        <f>J84*J20</f>
        <v/>
      </c>
      <c r="K86" s="63">
        <f>K84*K20</f>
        <v/>
      </c>
      <c r="L86" s="63">
        <f>L84*L20</f>
        <v/>
      </c>
      <c r="M86" s="63">
        <f>M84*M20</f>
        <v/>
      </c>
      <c r="N86" s="63">
        <f>N84*N20</f>
        <v/>
      </c>
      <c r="O86" s="63">
        <f>O84*O20</f>
        <v/>
      </c>
      <c r="P86" s="63">
        <f>P84*P20</f>
        <v/>
      </c>
      <c r="Q86" s="63">
        <f>Q84*Q20</f>
        <v/>
      </c>
      <c r="R86" s="63">
        <f>R84*R20</f>
        <v/>
      </c>
      <c r="S86" s="63">
        <f>S84*S20</f>
        <v/>
      </c>
      <c r="T86" s="63">
        <f>T84*T20</f>
        <v/>
      </c>
      <c r="U86" s="63">
        <f>U84*U20</f>
        <v/>
      </c>
      <c r="V86" s="63">
        <f>V84*V20</f>
        <v/>
      </c>
      <c r="W86" s="63">
        <f>W84*W20</f>
        <v/>
      </c>
      <c r="X86" s="63">
        <f>X84*X20</f>
        <v/>
      </c>
      <c r="Y86" s="63">
        <f>Y84*Y20</f>
        <v/>
      </c>
      <c r="Z86" s="63">
        <f>Z84*Z20</f>
        <v/>
      </c>
      <c r="AA86" s="63">
        <f>AA84*AA20</f>
        <v/>
      </c>
      <c r="AB86" s="63">
        <f>AB84*AB20</f>
        <v/>
      </c>
      <c r="AC86" s="63">
        <f>AC84*AC20</f>
        <v/>
      </c>
      <c r="AD86" s="63">
        <f>AD84*AD20</f>
        <v/>
      </c>
      <c r="AE86" s="63">
        <f>AE84*AE20</f>
        <v/>
      </c>
    </row>
    <row r="87">
      <c r="A87" s="6" t="inlineStr">
        <is>
          <t xml:space="preserve">  Card-eligible base</t>
        </is>
      </c>
      <c r="B87" s="23" t="inlineStr">
        <is>
          <t>accounts</t>
        </is>
      </c>
      <c r="C87" s="60">
        <f>C75+C77*Assumptions!$B$228</f>
        <v/>
      </c>
      <c r="D87" s="60">
        <f>D75+D77*Assumptions!$B$228</f>
        <v/>
      </c>
      <c r="E87" s="60">
        <f>E75+E77*Assumptions!$B$228</f>
        <v/>
      </c>
      <c r="F87" s="60">
        <f>F75+F77*Assumptions!$B$228</f>
        <v/>
      </c>
      <c r="G87" s="60">
        <f>G75+G77*Assumptions!$B$228</f>
        <v/>
      </c>
      <c r="H87" s="60">
        <f>H75+H77*Assumptions!$B$228</f>
        <v/>
      </c>
      <c r="I87" s="60">
        <f>I75+I77*Assumptions!$B$228</f>
        <v/>
      </c>
      <c r="J87" s="60">
        <f>J75+J77*Assumptions!$B$228</f>
        <v/>
      </c>
      <c r="K87" s="60">
        <f>K75+K77*Assumptions!$B$228</f>
        <v/>
      </c>
      <c r="L87" s="60">
        <f>L75+L77*Assumptions!$B$228</f>
        <v/>
      </c>
      <c r="M87" s="60">
        <f>M75+M77*Assumptions!$B$228</f>
        <v/>
      </c>
      <c r="N87" s="60">
        <f>N75+N77*Assumptions!$B$228</f>
        <v/>
      </c>
      <c r="O87" s="60">
        <f>O75+O77*Assumptions!$B$228</f>
        <v/>
      </c>
      <c r="P87" s="60">
        <f>P75+P77*Assumptions!$B$228</f>
        <v/>
      </c>
      <c r="Q87" s="60">
        <f>Q75+Q77*Assumptions!$B$228</f>
        <v/>
      </c>
      <c r="R87" s="60">
        <f>R75+R77*Assumptions!$B$228</f>
        <v/>
      </c>
      <c r="S87" s="60">
        <f>S75+S77*Assumptions!$B$228</f>
        <v/>
      </c>
      <c r="T87" s="60">
        <f>T75+T77*Assumptions!$B$228</f>
        <v/>
      </c>
      <c r="U87" s="60">
        <f>U75+U77*Assumptions!$B$228</f>
        <v/>
      </c>
      <c r="V87" s="60">
        <f>V75+V77*Assumptions!$B$228</f>
        <v/>
      </c>
      <c r="W87" s="60">
        <f>W75+W77*Assumptions!$B$228</f>
        <v/>
      </c>
      <c r="X87" s="60">
        <f>X75+X77*Assumptions!$B$228</f>
        <v/>
      </c>
      <c r="Y87" s="60">
        <f>Y75+Y77*Assumptions!$B$228</f>
        <v/>
      </c>
      <c r="Z87" s="60">
        <f>Z75+Z77*Assumptions!$B$228</f>
        <v/>
      </c>
      <c r="AA87" s="60">
        <f>AA75+AA77*Assumptions!$B$228</f>
        <v/>
      </c>
      <c r="AB87" s="60">
        <f>AB75+AB77*Assumptions!$B$228</f>
        <v/>
      </c>
      <c r="AC87" s="60">
        <f>AC75+AC77*Assumptions!$B$228</f>
        <v/>
      </c>
      <c r="AD87" s="60">
        <f>AD75+AD77*Assumptions!$B$228</f>
        <v/>
      </c>
      <c r="AE87" s="60">
        <f>AE75+AE77*Assumptions!$B$228</f>
        <v/>
      </c>
    </row>
    <row r="88">
      <c r="A88" s="6" t="inlineStr">
        <is>
          <t xml:space="preserve">  Reaches an ICS benefit tier (memo - drives discounts, not access)</t>
        </is>
      </c>
      <c r="B88" s="23" t="inlineStr">
        <is>
          <t>accounts</t>
        </is>
      </c>
      <c r="C88" s="64">
        <f>IF(C7&gt;1,C87*Assumptions!$B$149,IF(C2&gt;Assumptions!$B$150,INDEX($C$87:$AE$87,1,C2-Assumptions!$B$150)*Assumptions!$B$149,0))</f>
        <v/>
      </c>
      <c r="D88" s="64">
        <f>IF(D7&gt;1,D87*Assumptions!$B$149,IF(D2&gt;Assumptions!$B$150,INDEX($C$87:$AE$87,1,D2-Assumptions!$B$150)*Assumptions!$B$149,0))</f>
        <v/>
      </c>
      <c r="E88" s="64">
        <f>IF(E7&gt;1,E87*Assumptions!$B$149,IF(E2&gt;Assumptions!$B$150,INDEX($C$87:$AE$87,1,E2-Assumptions!$B$150)*Assumptions!$B$149,0))</f>
        <v/>
      </c>
      <c r="F88" s="64">
        <f>IF(F7&gt;1,F87*Assumptions!$B$149,IF(F2&gt;Assumptions!$B$150,INDEX($C$87:$AE$87,1,F2-Assumptions!$B$150)*Assumptions!$B$149,0))</f>
        <v/>
      </c>
      <c r="G88" s="64">
        <f>IF(G7&gt;1,G87*Assumptions!$B$149,IF(G2&gt;Assumptions!$B$150,INDEX($C$87:$AE$87,1,G2-Assumptions!$B$150)*Assumptions!$B$149,0))</f>
        <v/>
      </c>
      <c r="H88" s="64">
        <f>IF(H7&gt;1,H87*Assumptions!$B$149,IF(H2&gt;Assumptions!$B$150,INDEX($C$87:$AE$87,1,H2-Assumptions!$B$150)*Assumptions!$B$149,0))</f>
        <v/>
      </c>
      <c r="I88" s="64">
        <f>IF(I7&gt;1,I87*Assumptions!$B$149,IF(I2&gt;Assumptions!$B$150,INDEX($C$87:$AE$87,1,I2-Assumptions!$B$150)*Assumptions!$B$149,0))</f>
        <v/>
      </c>
      <c r="J88" s="64">
        <f>IF(J7&gt;1,J87*Assumptions!$B$149,IF(J2&gt;Assumptions!$B$150,INDEX($C$87:$AE$87,1,J2-Assumptions!$B$150)*Assumptions!$B$149,0))</f>
        <v/>
      </c>
      <c r="K88" s="64">
        <f>IF(K7&gt;1,K87*Assumptions!$B$149,IF(K2&gt;Assumptions!$B$150,INDEX($C$87:$AE$87,1,K2-Assumptions!$B$150)*Assumptions!$B$149,0))</f>
        <v/>
      </c>
      <c r="L88" s="64">
        <f>IF(L7&gt;1,L87*Assumptions!$B$149,IF(L2&gt;Assumptions!$B$150,INDEX($C$87:$AE$87,1,L2-Assumptions!$B$150)*Assumptions!$B$149,0))</f>
        <v/>
      </c>
      <c r="M88" s="64">
        <f>IF(M7&gt;1,M87*Assumptions!$B$149,IF(M2&gt;Assumptions!$B$150,INDEX($C$87:$AE$87,1,M2-Assumptions!$B$150)*Assumptions!$B$149,0))</f>
        <v/>
      </c>
      <c r="N88" s="64">
        <f>IF(N7&gt;1,N87*Assumptions!$B$149,IF(N2&gt;Assumptions!$B$150,INDEX($C$87:$AE$87,1,N2-Assumptions!$B$150)*Assumptions!$B$149,0))</f>
        <v/>
      </c>
      <c r="O88" s="64">
        <f>IF(O7&gt;1,O87*Assumptions!$B$149,IF(O2&gt;Assumptions!$B$150,INDEX($C$87:$AE$87,1,O2-Assumptions!$B$150)*Assumptions!$B$149,0))</f>
        <v/>
      </c>
      <c r="P88" s="64">
        <f>IF(P7&gt;1,P87*Assumptions!$B$149,IF(P2&gt;Assumptions!$B$150,INDEX($C$87:$AE$87,1,P2-Assumptions!$B$150)*Assumptions!$B$149,0))</f>
        <v/>
      </c>
      <c r="Q88" s="64">
        <f>IF(Q7&gt;1,Q87*Assumptions!$B$149,IF(Q2&gt;Assumptions!$B$150,INDEX($C$87:$AE$87,1,Q2-Assumptions!$B$150)*Assumptions!$B$149,0))</f>
        <v/>
      </c>
      <c r="R88" s="64">
        <f>IF(R7&gt;1,R87*Assumptions!$B$149,IF(R2&gt;Assumptions!$B$150,INDEX($C$87:$AE$87,1,R2-Assumptions!$B$150)*Assumptions!$B$149,0))</f>
        <v/>
      </c>
      <c r="S88" s="64">
        <f>IF(S7&gt;1,S87*Assumptions!$B$149,IF(S2&gt;Assumptions!$B$150,INDEX($C$87:$AE$87,1,S2-Assumptions!$B$150)*Assumptions!$B$149,0))</f>
        <v/>
      </c>
      <c r="T88" s="64">
        <f>IF(T7&gt;1,T87*Assumptions!$B$149,IF(T2&gt;Assumptions!$B$150,INDEX($C$87:$AE$87,1,T2-Assumptions!$B$150)*Assumptions!$B$149,0))</f>
        <v/>
      </c>
      <c r="U88" s="64">
        <f>IF(U7&gt;1,U87*Assumptions!$B$149,IF(U2&gt;Assumptions!$B$150,INDEX($C$87:$AE$87,1,U2-Assumptions!$B$150)*Assumptions!$B$149,0))</f>
        <v/>
      </c>
      <c r="V88" s="64">
        <f>IF(V7&gt;1,V87*Assumptions!$B$149,IF(V2&gt;Assumptions!$B$150,INDEX($C$87:$AE$87,1,V2-Assumptions!$B$150)*Assumptions!$B$149,0))</f>
        <v/>
      </c>
      <c r="W88" s="64">
        <f>IF(W7&gt;1,W87*Assumptions!$B$149,IF(W2&gt;Assumptions!$B$150,INDEX($C$87:$AE$87,1,W2-Assumptions!$B$150)*Assumptions!$B$149,0))</f>
        <v/>
      </c>
      <c r="X88" s="64">
        <f>IF(X7&gt;1,X87*Assumptions!$B$149,IF(X2&gt;Assumptions!$B$150,INDEX($C$87:$AE$87,1,X2-Assumptions!$B$150)*Assumptions!$B$149,0))</f>
        <v/>
      </c>
      <c r="Y88" s="64">
        <f>IF(Y7&gt;1,Y87*Assumptions!$B$149,IF(Y2&gt;Assumptions!$B$150,INDEX($C$87:$AE$87,1,Y2-Assumptions!$B$150)*Assumptions!$B$149,0))</f>
        <v/>
      </c>
      <c r="Z88" s="64">
        <f>IF(Z7&gt;1,Z87*Assumptions!$B$149,IF(Z2&gt;Assumptions!$B$150,INDEX($C$87:$AE$87,1,Z2-Assumptions!$B$150)*Assumptions!$B$149,0))</f>
        <v/>
      </c>
      <c r="AA88" s="64">
        <f>IF(AA7&gt;1,AA87*Assumptions!$B$149,IF(AA2&gt;Assumptions!$B$150,INDEX($C$87:$AE$87,1,AA2-Assumptions!$B$150)*Assumptions!$B$149,0))</f>
        <v/>
      </c>
      <c r="AB88" s="64">
        <f>IF(AB7&gt;1,AB87*Assumptions!$B$149,IF(AB2&gt;Assumptions!$B$150,INDEX($C$87:$AE$87,1,AB2-Assumptions!$B$150)*Assumptions!$B$149,0))</f>
        <v/>
      </c>
      <c r="AC88" s="64">
        <f>IF(AC7&gt;1,AC87*Assumptions!$B$149,IF(AC2&gt;Assumptions!$B$150,INDEX($C$87:$AE$87,1,AC2-Assumptions!$B$150)*Assumptions!$B$149,0))</f>
        <v/>
      </c>
      <c r="AD88" s="64">
        <f>IF(AD7&gt;1,AD87*Assumptions!$B$149,IF(AD2&gt;Assumptions!$B$150,INDEX($C$87:$AE$87,1,AD2-Assumptions!$B$150)*Assumptions!$B$149,0))</f>
        <v/>
      </c>
      <c r="AE88" s="64">
        <f>IF(AE7&gt;1,AE87*Assumptions!$B$149,IF(AE2&gt;Assumptions!$B$150,INDEX($C$87:$AE$87,1,AE2-Assumptions!$B$150)*Assumptions!$B$149,0))</f>
        <v/>
      </c>
    </row>
    <row r="89">
      <c r="A89" s="6" t="inlineStr">
        <is>
          <t xml:space="preserve">  Active cards</t>
        </is>
      </c>
      <c r="B89" s="23" t="inlineStr">
        <is>
          <t>cards</t>
        </is>
      </c>
      <c r="C89" s="28">
        <f>IF(C2&gt;=Assumptions!$B$51,C87*Assumptions!$B$158,0)</f>
        <v/>
      </c>
      <c r="D89" s="28">
        <f>IF(D2&gt;=Assumptions!$B$51,D87*Assumptions!$B$158,0)</f>
        <v/>
      </c>
      <c r="E89" s="28">
        <f>IF(E2&gt;=Assumptions!$B$51,E87*Assumptions!$B$158,0)</f>
        <v/>
      </c>
      <c r="F89" s="28">
        <f>IF(F2&gt;=Assumptions!$B$51,F87*Assumptions!$B$158,0)</f>
        <v/>
      </c>
      <c r="G89" s="28">
        <f>IF(G2&gt;=Assumptions!$B$51,G87*Assumptions!$B$158,0)</f>
        <v/>
      </c>
      <c r="H89" s="28">
        <f>IF(H2&gt;=Assumptions!$B$51,H87*Assumptions!$B$158,0)</f>
        <v/>
      </c>
      <c r="I89" s="28">
        <f>IF(I2&gt;=Assumptions!$B$51,I87*Assumptions!$B$158,0)</f>
        <v/>
      </c>
      <c r="J89" s="28">
        <f>IF(J2&gt;=Assumptions!$B$51,J87*Assumptions!$B$158,0)</f>
        <v/>
      </c>
      <c r="K89" s="28">
        <f>IF(K2&gt;=Assumptions!$B$51,K87*Assumptions!$B$158,0)</f>
        <v/>
      </c>
      <c r="L89" s="28">
        <f>IF(L2&gt;=Assumptions!$B$51,L87*Assumptions!$B$158,0)</f>
        <v/>
      </c>
      <c r="M89" s="28">
        <f>IF(M2&gt;=Assumptions!$B$51,M87*Assumptions!$B$158,0)</f>
        <v/>
      </c>
      <c r="N89" s="28">
        <f>IF(N2&gt;=Assumptions!$B$51,N87*Assumptions!$B$158,0)</f>
        <v/>
      </c>
      <c r="O89" s="28">
        <f>IF(O2&gt;=Assumptions!$B$51,O87*Assumptions!$B$158,0)</f>
        <v/>
      </c>
      <c r="P89" s="28">
        <f>IF(P2&gt;=Assumptions!$B$51,P87*Assumptions!$B$158,0)</f>
        <v/>
      </c>
      <c r="Q89" s="28">
        <f>IF(Q2&gt;=Assumptions!$B$51,Q87*Assumptions!$B$158,0)</f>
        <v/>
      </c>
      <c r="R89" s="28">
        <f>IF(R2&gt;=Assumptions!$B$51,R87*Assumptions!$B$158,0)</f>
        <v/>
      </c>
      <c r="S89" s="28">
        <f>IF(S2&gt;=Assumptions!$B$51,S87*Assumptions!$B$158,0)</f>
        <v/>
      </c>
      <c r="T89" s="28">
        <f>IF(T2&gt;=Assumptions!$B$51,T87*Assumptions!$B$158,0)</f>
        <v/>
      </c>
      <c r="U89" s="28">
        <f>IF(U2&gt;=Assumptions!$B$51,U87*Assumptions!$B$158,0)</f>
        <v/>
      </c>
      <c r="V89" s="28">
        <f>IF(V2&gt;=Assumptions!$B$51,V87*Assumptions!$B$158,0)</f>
        <v/>
      </c>
      <c r="W89" s="28">
        <f>IF(W2&gt;=Assumptions!$B$51,W87*Assumptions!$B$158,0)</f>
        <v/>
      </c>
      <c r="X89" s="28">
        <f>IF(X2&gt;=Assumptions!$B$51,X87*Assumptions!$B$158,0)</f>
        <v/>
      </c>
      <c r="Y89" s="28">
        <f>IF(Y2&gt;=Assumptions!$B$51,Y87*Assumptions!$B$158,0)</f>
        <v/>
      </c>
      <c r="Z89" s="28">
        <f>IF(Z2&gt;=Assumptions!$B$51,Z87*Assumptions!$B$158,0)</f>
        <v/>
      </c>
      <c r="AA89" s="28">
        <f>IF(AA2&gt;=Assumptions!$B$51,AA87*Assumptions!$B$158,0)</f>
        <v/>
      </c>
      <c r="AB89" s="28">
        <f>IF(AB2&gt;=Assumptions!$B$51,AB87*Assumptions!$B$158,0)</f>
        <v/>
      </c>
      <c r="AC89" s="28">
        <f>IF(AC2&gt;=Assumptions!$B$51,AC87*Assumptions!$B$158,0)</f>
        <v/>
      </c>
      <c r="AD89" s="28">
        <f>IF(AD2&gt;=Assumptions!$B$51,AD87*Assumptions!$B$158,0)</f>
        <v/>
      </c>
      <c r="AE89" s="28">
        <f>IF(AE2&gt;=Assumptions!$B$51,AE87*Assumptions!$B$158,0)</f>
        <v/>
      </c>
    </row>
    <row r="90">
      <c r="A90" s="6" t="inlineStr">
        <is>
          <t xml:space="preserve">  ...of which have a live credit line (now all of them)</t>
        </is>
      </c>
      <c r="B90" s="23" t="inlineStr">
        <is>
          <t>cards</t>
        </is>
      </c>
      <c r="C90" s="28">
        <f>C89</f>
        <v/>
      </c>
      <c r="D90" s="28">
        <f>D89</f>
        <v/>
      </c>
      <c r="E90" s="28">
        <f>E89</f>
        <v/>
      </c>
      <c r="F90" s="28">
        <f>F89</f>
        <v/>
      </c>
      <c r="G90" s="28">
        <f>G89</f>
        <v/>
      </c>
      <c r="H90" s="28">
        <f>H89</f>
        <v/>
      </c>
      <c r="I90" s="28">
        <f>I89</f>
        <v/>
      </c>
      <c r="J90" s="28">
        <f>J89</f>
        <v/>
      </c>
      <c r="K90" s="28">
        <f>K89</f>
        <v/>
      </c>
      <c r="L90" s="28">
        <f>L89</f>
        <v/>
      </c>
      <c r="M90" s="28">
        <f>M89</f>
        <v/>
      </c>
      <c r="N90" s="28">
        <f>N89</f>
        <v/>
      </c>
      <c r="O90" s="28">
        <f>O89</f>
        <v/>
      </c>
      <c r="P90" s="28">
        <f>P89</f>
        <v/>
      </c>
      <c r="Q90" s="28">
        <f>Q89</f>
        <v/>
      </c>
      <c r="R90" s="28">
        <f>R89</f>
        <v/>
      </c>
      <c r="S90" s="28">
        <f>S89</f>
        <v/>
      </c>
      <c r="T90" s="28">
        <f>T89</f>
        <v/>
      </c>
      <c r="U90" s="28">
        <f>U89</f>
        <v/>
      </c>
      <c r="V90" s="28">
        <f>V89</f>
        <v/>
      </c>
      <c r="W90" s="28">
        <f>W89</f>
        <v/>
      </c>
      <c r="X90" s="28">
        <f>X89</f>
        <v/>
      </c>
      <c r="Y90" s="28">
        <f>Y89</f>
        <v/>
      </c>
      <c r="Z90" s="28">
        <f>Z89</f>
        <v/>
      </c>
      <c r="AA90" s="28">
        <f>AA89</f>
        <v/>
      </c>
      <c r="AB90" s="28">
        <f>AB89</f>
        <v/>
      </c>
      <c r="AC90" s="28">
        <f>AC89</f>
        <v/>
      </c>
      <c r="AD90" s="28">
        <f>AD89</f>
        <v/>
      </c>
      <c r="AE90" s="28">
        <f>AE89</f>
        <v/>
      </c>
    </row>
    <row r="91">
      <c r="A91" s="6" t="inlineStr">
        <is>
          <t xml:space="preserve">  ...newly issued this period (flow, drives the issuance fee)</t>
        </is>
      </c>
      <c r="B91" s="23" t="inlineStr">
        <is>
          <t>cards</t>
        </is>
      </c>
      <c r="C91" s="60">
        <f>C89</f>
        <v/>
      </c>
      <c r="D91" s="60">
        <f>MAX(0,D89-C89)</f>
        <v/>
      </c>
      <c r="E91" s="60">
        <f>MAX(0,E89-D89)</f>
        <v/>
      </c>
      <c r="F91" s="60">
        <f>MAX(0,F89-E89)</f>
        <v/>
      </c>
      <c r="G91" s="60">
        <f>MAX(0,G89-F89)</f>
        <v/>
      </c>
      <c r="H91" s="60">
        <f>MAX(0,H89-G89)</f>
        <v/>
      </c>
      <c r="I91" s="60">
        <f>MAX(0,I89-H89)</f>
        <v/>
      </c>
      <c r="J91" s="60">
        <f>MAX(0,J89-I89)</f>
        <v/>
      </c>
      <c r="K91" s="60">
        <f>MAX(0,K89-J89)</f>
        <v/>
      </c>
      <c r="L91" s="60">
        <f>MAX(0,L89-K89)</f>
        <v/>
      </c>
      <c r="M91" s="60">
        <f>MAX(0,M89-L89)</f>
        <v/>
      </c>
      <c r="N91" s="60">
        <f>MAX(0,N89-M89)</f>
        <v/>
      </c>
      <c r="O91" s="60">
        <f>MAX(0,O89-N89)</f>
        <v/>
      </c>
      <c r="P91" s="60">
        <f>MAX(0,P89-O89)</f>
        <v/>
      </c>
      <c r="Q91" s="60">
        <f>MAX(0,Q89-P89)</f>
        <v/>
      </c>
      <c r="R91" s="60">
        <f>MAX(0,R89-Q89)</f>
        <v/>
      </c>
      <c r="S91" s="60">
        <f>MAX(0,S89-R89)</f>
        <v/>
      </c>
      <c r="T91" s="60">
        <f>MAX(0,T89-S89)</f>
        <v/>
      </c>
      <c r="U91" s="60">
        <f>MAX(0,U89-T89)</f>
        <v/>
      </c>
      <c r="V91" s="60">
        <f>MAX(0,V89-U89)</f>
        <v/>
      </c>
      <c r="W91" s="60">
        <f>MAX(0,W89-V89)</f>
        <v/>
      </c>
      <c r="X91" s="60">
        <f>MAX(0,X89-W89)</f>
        <v/>
      </c>
      <c r="Y91" s="60">
        <f>MAX(0,Y89-X89)</f>
        <v/>
      </c>
      <c r="Z91" s="60">
        <f>MAX(0,Z89-Y89)</f>
        <v/>
      </c>
      <c r="AA91" s="60">
        <f>MAX(0,AA89-Z89)</f>
        <v/>
      </c>
      <c r="AB91" s="60">
        <f>MAX(0,AB89-AA89)</f>
        <v/>
      </c>
      <c r="AC91" s="60">
        <f>MAX(0,AC89-AB89)</f>
        <v/>
      </c>
      <c r="AD91" s="60">
        <f>MAX(0,AD89-AC89)</f>
        <v/>
      </c>
      <c r="AE91" s="60">
        <f>MAX(0,AE89-AD89)</f>
        <v/>
      </c>
    </row>
    <row r="92">
      <c r="A92" s="6" t="inlineStr">
        <is>
          <t xml:space="preserve">  Credit limit per customer (gold x LTV)</t>
        </is>
      </c>
      <c r="B92" s="23" t="inlineStr">
        <is>
          <t>USD</t>
        </is>
      </c>
      <c r="C92" s="61">
        <f>IF(C87=0,0,C86/C87*Assumptions!$B$31)</f>
        <v/>
      </c>
      <c r="D92" s="61">
        <f>IF(D87=0,0,D86/D87*Assumptions!$B$31)</f>
        <v/>
      </c>
      <c r="E92" s="61">
        <f>IF(E87=0,0,E86/E87*Assumptions!$B$31)</f>
        <v/>
      </c>
      <c r="F92" s="61">
        <f>IF(F87=0,0,F86/F87*Assumptions!$B$31)</f>
        <v/>
      </c>
      <c r="G92" s="61">
        <f>IF(G87=0,0,G86/G87*Assumptions!$B$31)</f>
        <v/>
      </c>
      <c r="H92" s="61">
        <f>IF(H87=0,0,H86/H87*Assumptions!$B$31)</f>
        <v/>
      </c>
      <c r="I92" s="61">
        <f>IF(I87=0,0,I86/I87*Assumptions!$B$31)</f>
        <v/>
      </c>
      <c r="J92" s="61">
        <f>IF(J87=0,0,J86/J87*Assumptions!$B$31)</f>
        <v/>
      </c>
      <c r="K92" s="61">
        <f>IF(K87=0,0,K86/K87*Assumptions!$B$31)</f>
        <v/>
      </c>
      <c r="L92" s="61">
        <f>IF(L87=0,0,L86/L87*Assumptions!$B$31)</f>
        <v/>
      </c>
      <c r="M92" s="61">
        <f>IF(M87=0,0,M86/M87*Assumptions!$B$31)</f>
        <v/>
      </c>
      <c r="N92" s="61">
        <f>IF(N87=0,0,N86/N87*Assumptions!$B$31)</f>
        <v/>
      </c>
      <c r="O92" s="61">
        <f>IF(O87=0,0,O86/O87*Assumptions!$B$31)</f>
        <v/>
      </c>
      <c r="P92" s="61">
        <f>IF(P87=0,0,P86/P87*Assumptions!$B$31)</f>
        <v/>
      </c>
      <c r="Q92" s="61">
        <f>IF(Q87=0,0,Q86/Q87*Assumptions!$B$31)</f>
        <v/>
      </c>
      <c r="R92" s="61">
        <f>IF(R87=0,0,R86/R87*Assumptions!$B$31)</f>
        <v/>
      </c>
      <c r="S92" s="61">
        <f>IF(S87=0,0,S86/S87*Assumptions!$B$31)</f>
        <v/>
      </c>
      <c r="T92" s="61">
        <f>IF(T87=0,0,T86/T87*Assumptions!$B$31)</f>
        <v/>
      </c>
      <c r="U92" s="61">
        <f>IF(U87=0,0,U86/U87*Assumptions!$B$31)</f>
        <v/>
      </c>
      <c r="V92" s="61">
        <f>IF(V87=0,0,V86/V87*Assumptions!$B$31)</f>
        <v/>
      </c>
      <c r="W92" s="61">
        <f>IF(W87=0,0,W86/W87*Assumptions!$B$31)</f>
        <v/>
      </c>
      <c r="X92" s="61">
        <f>IF(X87=0,0,X86/X87*Assumptions!$B$31)</f>
        <v/>
      </c>
      <c r="Y92" s="61">
        <f>IF(Y87=0,0,Y86/Y87*Assumptions!$B$31)</f>
        <v/>
      </c>
      <c r="Z92" s="61">
        <f>IF(Z87=0,0,Z86/Z87*Assumptions!$B$31)</f>
        <v/>
      </c>
      <c r="AA92" s="61">
        <f>IF(AA87=0,0,AA86/AA87*Assumptions!$B$31)</f>
        <v/>
      </c>
      <c r="AB92" s="61">
        <f>IF(AB87=0,0,AB86/AB87*Assumptions!$B$31)</f>
        <v/>
      </c>
      <c r="AC92" s="61">
        <f>IF(AC87=0,0,AC86/AC87*Assumptions!$B$31)</f>
        <v/>
      </c>
      <c r="AD92" s="61">
        <f>IF(AD87=0,0,AD86/AD87*Assumptions!$B$31)</f>
        <v/>
      </c>
      <c r="AE92" s="61">
        <f>IF(AE87=0,0,AE86/AE87*Assumptions!$B$31)</f>
        <v/>
      </c>
    </row>
    <row r="93">
      <c r="A93" s="6" t="inlineStr">
        <is>
          <t xml:space="preserve">  Annual drawdown per card (limit x drawn x draws)</t>
        </is>
      </c>
      <c r="B93" s="23" t="inlineStr">
        <is>
          <t>USD/yr</t>
        </is>
      </c>
      <c r="C93" s="61">
        <f>C92*Assumptions!$B$171*Assumptions!$B$173</f>
        <v/>
      </c>
      <c r="D93" s="61">
        <f>D92*Assumptions!$B$171*Assumptions!$B$173</f>
        <v/>
      </c>
      <c r="E93" s="61">
        <f>E92*Assumptions!$B$171*Assumptions!$B$173</f>
        <v/>
      </c>
      <c r="F93" s="61">
        <f>F92*Assumptions!$B$171*Assumptions!$B$173</f>
        <v/>
      </c>
      <c r="G93" s="61">
        <f>G92*Assumptions!$B$171*Assumptions!$B$173</f>
        <v/>
      </c>
      <c r="H93" s="61">
        <f>H92*Assumptions!$B$171*Assumptions!$B$173</f>
        <v/>
      </c>
      <c r="I93" s="61">
        <f>I92*Assumptions!$B$171*Assumptions!$B$173</f>
        <v/>
      </c>
      <c r="J93" s="61">
        <f>J92*Assumptions!$B$171*Assumptions!$B$173</f>
        <v/>
      </c>
      <c r="K93" s="61">
        <f>K92*Assumptions!$B$171*Assumptions!$B$173</f>
        <v/>
      </c>
      <c r="L93" s="61">
        <f>L92*Assumptions!$B$171*Assumptions!$B$173</f>
        <v/>
      </c>
      <c r="M93" s="61">
        <f>M92*Assumptions!$B$171*Assumptions!$B$173</f>
        <v/>
      </c>
      <c r="N93" s="61">
        <f>N92*Assumptions!$B$171*Assumptions!$B$173</f>
        <v/>
      </c>
      <c r="O93" s="61">
        <f>O92*Assumptions!$B$171*Assumptions!$B$173</f>
        <v/>
      </c>
      <c r="P93" s="61">
        <f>P92*Assumptions!$B$171*Assumptions!$B$173</f>
        <v/>
      </c>
      <c r="Q93" s="61">
        <f>Q92*Assumptions!$B$171*Assumptions!$B$173</f>
        <v/>
      </c>
      <c r="R93" s="61">
        <f>R92*Assumptions!$B$171*Assumptions!$B$173</f>
        <v/>
      </c>
      <c r="S93" s="61">
        <f>S92*Assumptions!$B$171*Assumptions!$B$173</f>
        <v/>
      </c>
      <c r="T93" s="61">
        <f>T92*Assumptions!$B$171*Assumptions!$B$173</f>
        <v/>
      </c>
      <c r="U93" s="61">
        <f>U92*Assumptions!$B$171*Assumptions!$B$173</f>
        <v/>
      </c>
      <c r="V93" s="61">
        <f>V92*Assumptions!$B$171*Assumptions!$B$173</f>
        <v/>
      </c>
      <c r="W93" s="61">
        <f>W92*Assumptions!$B$171*Assumptions!$B$173</f>
        <v/>
      </c>
      <c r="X93" s="61">
        <f>X92*Assumptions!$B$171*Assumptions!$B$173</f>
        <v/>
      </c>
      <c r="Y93" s="61">
        <f>Y92*Assumptions!$B$171*Assumptions!$B$173</f>
        <v/>
      </c>
      <c r="Z93" s="61">
        <f>Z92*Assumptions!$B$171*Assumptions!$B$173</f>
        <v/>
      </c>
      <c r="AA93" s="61">
        <f>AA92*Assumptions!$B$171*Assumptions!$B$173</f>
        <v/>
      </c>
      <c r="AB93" s="61">
        <f>AB92*Assumptions!$B$171*Assumptions!$B$173</f>
        <v/>
      </c>
      <c r="AC93" s="61">
        <f>AC92*Assumptions!$B$171*Assumptions!$B$173</f>
        <v/>
      </c>
      <c r="AD93" s="61">
        <f>AD92*Assumptions!$B$171*Assumptions!$B$173</f>
        <v/>
      </c>
      <c r="AE93" s="61">
        <f>AE92*Assumptions!$B$171*Assumptions!$B$173</f>
        <v/>
      </c>
    </row>
    <row r="94">
      <c r="A94" s="6" t="inlineStr">
        <is>
          <t xml:space="preserve">  Card spend per card per month</t>
        </is>
      </c>
      <c r="B94" s="23" t="inlineStr">
        <is>
          <t>USD</t>
        </is>
      </c>
      <c r="C94" s="61">
        <f>C93/12*C16</f>
        <v/>
      </c>
      <c r="D94" s="61">
        <f>D93/12*D16</f>
        <v/>
      </c>
      <c r="E94" s="61">
        <f>E93/12*E16</f>
        <v/>
      </c>
      <c r="F94" s="61">
        <f>F93/12*F16</f>
        <v/>
      </c>
      <c r="G94" s="61">
        <f>G93/12*G16</f>
        <v/>
      </c>
      <c r="H94" s="61">
        <f>H93/12*H16</f>
        <v/>
      </c>
      <c r="I94" s="61">
        <f>I93/12*I16</f>
        <v/>
      </c>
      <c r="J94" s="61">
        <f>J93/12*J16</f>
        <v/>
      </c>
      <c r="K94" s="61">
        <f>K93/12*K16</f>
        <v/>
      </c>
      <c r="L94" s="61">
        <f>L93/12*L16</f>
        <v/>
      </c>
      <c r="M94" s="61">
        <f>M93/12*M16</f>
        <v/>
      </c>
      <c r="N94" s="61">
        <f>N93/12*N16</f>
        <v/>
      </c>
      <c r="O94" s="61">
        <f>O93/12*O16</f>
        <v/>
      </c>
      <c r="P94" s="61">
        <f>P93/12*P16</f>
        <v/>
      </c>
      <c r="Q94" s="61">
        <f>Q93/12*Q16</f>
        <v/>
      </c>
      <c r="R94" s="61">
        <f>R93/12*R16</f>
        <v/>
      </c>
      <c r="S94" s="61">
        <f>S93/12*S16</f>
        <v/>
      </c>
      <c r="T94" s="61">
        <f>T93/12*T16</f>
        <v/>
      </c>
      <c r="U94" s="61">
        <f>U93/12*U16</f>
        <v/>
      </c>
      <c r="V94" s="61">
        <f>V93/12*V16</f>
        <v/>
      </c>
      <c r="W94" s="61">
        <f>W93/12*W16</f>
        <v/>
      </c>
      <c r="X94" s="61">
        <f>X93/12*X16</f>
        <v/>
      </c>
      <c r="Y94" s="61">
        <f>Y93/12*Y16</f>
        <v/>
      </c>
      <c r="Z94" s="61">
        <f>Z93/12*Z16</f>
        <v/>
      </c>
      <c r="AA94" s="61">
        <f>AA93/12*AA16</f>
        <v/>
      </c>
      <c r="AB94" s="61">
        <f>AB93/12*AB16</f>
        <v/>
      </c>
      <c r="AC94" s="61">
        <f>AC93/12*AC16</f>
        <v/>
      </c>
      <c r="AD94" s="61">
        <f>AD93/12*AD16</f>
        <v/>
      </c>
      <c r="AE94" s="61">
        <f>AE93/12*AE16</f>
        <v/>
      </c>
    </row>
    <row r="95">
      <c r="A95" s="6" t="inlineStr">
        <is>
          <t xml:space="preserve">  Card spend</t>
        </is>
      </c>
      <c r="B95" s="23" t="inlineStr">
        <is>
          <t>AED</t>
        </is>
      </c>
      <c r="C95" s="50">
        <f>C90*C94*Assumptions!$B$7*C7</f>
        <v/>
      </c>
      <c r="D95" s="50">
        <f>D90*D94*Assumptions!$B$7*D7</f>
        <v/>
      </c>
      <c r="E95" s="50">
        <f>E90*E94*Assumptions!$B$7*E7</f>
        <v/>
      </c>
      <c r="F95" s="50">
        <f>F90*F94*Assumptions!$B$7*F7</f>
        <v/>
      </c>
      <c r="G95" s="50">
        <f>G90*G94*Assumptions!$B$7*G7</f>
        <v/>
      </c>
      <c r="H95" s="50">
        <f>H90*H94*Assumptions!$B$7*H7</f>
        <v/>
      </c>
      <c r="I95" s="50">
        <f>I90*I94*Assumptions!$B$7*I7</f>
        <v/>
      </c>
      <c r="J95" s="50">
        <f>J90*J94*Assumptions!$B$7*J7</f>
        <v/>
      </c>
      <c r="K95" s="50">
        <f>K90*K94*Assumptions!$B$7*K7</f>
        <v/>
      </c>
      <c r="L95" s="50">
        <f>L90*L94*Assumptions!$B$7*L7</f>
        <v/>
      </c>
      <c r="M95" s="50">
        <f>M90*M94*Assumptions!$B$7*M7</f>
        <v/>
      </c>
      <c r="N95" s="50">
        <f>N90*N94*Assumptions!$B$7*N7</f>
        <v/>
      </c>
      <c r="O95" s="50">
        <f>O90*O94*Assumptions!$B$7*O7</f>
        <v/>
      </c>
      <c r="P95" s="50">
        <f>P90*P94*Assumptions!$B$7*P7</f>
        <v/>
      </c>
      <c r="Q95" s="50">
        <f>Q90*Q94*Assumptions!$B$7*Q7</f>
        <v/>
      </c>
      <c r="R95" s="50">
        <f>R90*R94*Assumptions!$B$7*R7</f>
        <v/>
      </c>
      <c r="S95" s="50">
        <f>S90*S94*Assumptions!$B$7*S7</f>
        <v/>
      </c>
      <c r="T95" s="50">
        <f>T90*T94*Assumptions!$B$7*T7</f>
        <v/>
      </c>
      <c r="U95" s="50">
        <f>U90*U94*Assumptions!$B$7*U7</f>
        <v/>
      </c>
      <c r="V95" s="50">
        <f>V90*V94*Assumptions!$B$7*V7</f>
        <v/>
      </c>
      <c r="W95" s="50">
        <f>W90*W94*Assumptions!$B$7*W7</f>
        <v/>
      </c>
      <c r="X95" s="50">
        <f>X90*X94*Assumptions!$B$7*X7</f>
        <v/>
      </c>
      <c r="Y95" s="50">
        <f>Y90*Y94*Assumptions!$B$7*Y7</f>
        <v/>
      </c>
      <c r="Z95" s="50">
        <f>Z90*Z94*Assumptions!$B$7*Z7</f>
        <v/>
      </c>
      <c r="AA95" s="50">
        <f>AA90*AA94*Assumptions!$B$7*AA7</f>
        <v/>
      </c>
      <c r="AB95" s="50">
        <f>AB90*AB94*Assumptions!$B$7*AB7</f>
        <v/>
      </c>
      <c r="AC95" s="50">
        <f>AC90*AC94*Assumptions!$B$7*AC7</f>
        <v/>
      </c>
      <c r="AD95" s="50">
        <f>AD90*AD94*Assumptions!$B$7*AD7</f>
        <v/>
      </c>
      <c r="AE95" s="50">
        <f>AE90*AE94*Assumptions!$B$7*AE7</f>
        <v/>
      </c>
    </row>
    <row r="96">
      <c r="A96" s="6" t="inlineStr">
        <is>
          <t xml:space="preserve">  Card spend</t>
        </is>
      </c>
      <c r="B96" s="23" t="inlineStr">
        <is>
          <t>USD</t>
        </is>
      </c>
      <c r="C96" s="61">
        <f>C95/Assumptions!$B$7</f>
        <v/>
      </c>
      <c r="D96" s="61">
        <f>D95/Assumptions!$B$7</f>
        <v/>
      </c>
      <c r="E96" s="61">
        <f>E95/Assumptions!$B$7</f>
        <v/>
      </c>
      <c r="F96" s="61">
        <f>F95/Assumptions!$B$7</f>
        <v/>
      </c>
      <c r="G96" s="61">
        <f>G95/Assumptions!$B$7</f>
        <v/>
      </c>
      <c r="H96" s="61">
        <f>H95/Assumptions!$B$7</f>
        <v/>
      </c>
      <c r="I96" s="61">
        <f>I95/Assumptions!$B$7</f>
        <v/>
      </c>
      <c r="J96" s="61">
        <f>J95/Assumptions!$B$7</f>
        <v/>
      </c>
      <c r="K96" s="61">
        <f>K95/Assumptions!$B$7</f>
        <v/>
      </c>
      <c r="L96" s="61">
        <f>L95/Assumptions!$B$7</f>
        <v/>
      </c>
      <c r="M96" s="61">
        <f>M95/Assumptions!$B$7</f>
        <v/>
      </c>
      <c r="N96" s="61">
        <f>N95/Assumptions!$B$7</f>
        <v/>
      </c>
      <c r="O96" s="61">
        <f>O95/Assumptions!$B$7</f>
        <v/>
      </c>
      <c r="P96" s="61">
        <f>P95/Assumptions!$B$7</f>
        <v/>
      </c>
      <c r="Q96" s="61">
        <f>Q95/Assumptions!$B$7</f>
        <v/>
      </c>
      <c r="R96" s="61">
        <f>R95/Assumptions!$B$7</f>
        <v/>
      </c>
      <c r="S96" s="61">
        <f>S95/Assumptions!$B$7</f>
        <v/>
      </c>
      <c r="T96" s="61">
        <f>T95/Assumptions!$B$7</f>
        <v/>
      </c>
      <c r="U96" s="61">
        <f>U95/Assumptions!$B$7</f>
        <v/>
      </c>
      <c r="V96" s="61">
        <f>V95/Assumptions!$B$7</f>
        <v/>
      </c>
      <c r="W96" s="61">
        <f>W95/Assumptions!$B$7</f>
        <v/>
      </c>
      <c r="X96" s="61">
        <f>X95/Assumptions!$B$7</f>
        <v/>
      </c>
      <c r="Y96" s="61">
        <f>Y95/Assumptions!$B$7</f>
        <v/>
      </c>
      <c r="Z96" s="61">
        <f>Z95/Assumptions!$B$7</f>
        <v/>
      </c>
      <c r="AA96" s="61">
        <f>AA95/Assumptions!$B$7</f>
        <v/>
      </c>
      <c r="AB96" s="61">
        <f>AB95/Assumptions!$B$7</f>
        <v/>
      </c>
      <c r="AC96" s="61">
        <f>AC95/Assumptions!$B$7</f>
        <v/>
      </c>
      <c r="AD96" s="61">
        <f>AD95/Assumptions!$B$7</f>
        <v/>
      </c>
      <c r="AE96" s="61">
        <f>AE95/Assumptions!$B$7</f>
        <v/>
      </c>
    </row>
    <row r="97">
      <c r="A97" s="6" t="inlineStr">
        <is>
          <t xml:space="preserve">  Average transaction size (derived)</t>
        </is>
      </c>
      <c r="B97" s="23" t="inlineStr">
        <is>
          <t>AED</t>
        </is>
      </c>
      <c r="C97" s="50">
        <f>IF(Assumptions!$B$159=0,0,C92*Assumptions!$B$171*Assumptions!$B$7/Assumptions!$B$159)</f>
        <v/>
      </c>
      <c r="D97" s="50">
        <f>IF(Assumptions!$B$159=0,0,D92*Assumptions!$B$171*Assumptions!$B$7/Assumptions!$B$159)</f>
        <v/>
      </c>
      <c r="E97" s="50">
        <f>IF(Assumptions!$B$159=0,0,E92*Assumptions!$B$171*Assumptions!$B$7/Assumptions!$B$159)</f>
        <v/>
      </c>
      <c r="F97" s="50">
        <f>IF(Assumptions!$B$159=0,0,F92*Assumptions!$B$171*Assumptions!$B$7/Assumptions!$B$159)</f>
        <v/>
      </c>
      <c r="G97" s="50">
        <f>IF(Assumptions!$B$159=0,0,G92*Assumptions!$B$171*Assumptions!$B$7/Assumptions!$B$159)</f>
        <v/>
      </c>
      <c r="H97" s="50">
        <f>IF(Assumptions!$B$159=0,0,H92*Assumptions!$B$171*Assumptions!$B$7/Assumptions!$B$159)</f>
        <v/>
      </c>
      <c r="I97" s="50">
        <f>IF(Assumptions!$B$159=0,0,I92*Assumptions!$B$171*Assumptions!$B$7/Assumptions!$B$159)</f>
        <v/>
      </c>
      <c r="J97" s="50">
        <f>IF(Assumptions!$B$159=0,0,J92*Assumptions!$B$171*Assumptions!$B$7/Assumptions!$B$159)</f>
        <v/>
      </c>
      <c r="K97" s="50">
        <f>IF(Assumptions!$B$159=0,0,K92*Assumptions!$B$171*Assumptions!$B$7/Assumptions!$B$159)</f>
        <v/>
      </c>
      <c r="L97" s="50">
        <f>IF(Assumptions!$B$159=0,0,L92*Assumptions!$B$171*Assumptions!$B$7/Assumptions!$B$159)</f>
        <v/>
      </c>
      <c r="M97" s="50">
        <f>IF(Assumptions!$B$159=0,0,M92*Assumptions!$B$171*Assumptions!$B$7/Assumptions!$B$159)</f>
        <v/>
      </c>
      <c r="N97" s="50">
        <f>IF(Assumptions!$B$159=0,0,N92*Assumptions!$B$171*Assumptions!$B$7/Assumptions!$B$159)</f>
        <v/>
      </c>
      <c r="O97" s="50">
        <f>IF(Assumptions!$B$159=0,0,O92*Assumptions!$B$171*Assumptions!$B$7/Assumptions!$B$159)</f>
        <v/>
      </c>
      <c r="P97" s="50">
        <f>IF(Assumptions!$B$159=0,0,P92*Assumptions!$B$171*Assumptions!$B$7/Assumptions!$B$159)</f>
        <v/>
      </c>
      <c r="Q97" s="50">
        <f>IF(Assumptions!$B$159=0,0,Q92*Assumptions!$B$171*Assumptions!$B$7/Assumptions!$B$159)</f>
        <v/>
      </c>
      <c r="R97" s="50">
        <f>IF(Assumptions!$B$159=0,0,R92*Assumptions!$B$171*Assumptions!$B$7/Assumptions!$B$159)</f>
        <v/>
      </c>
      <c r="S97" s="50">
        <f>IF(Assumptions!$B$159=0,0,S92*Assumptions!$B$171*Assumptions!$B$7/Assumptions!$B$159)</f>
        <v/>
      </c>
      <c r="T97" s="50">
        <f>IF(Assumptions!$B$159=0,0,T92*Assumptions!$B$171*Assumptions!$B$7/Assumptions!$B$159)</f>
        <v/>
      </c>
      <c r="U97" s="50">
        <f>IF(Assumptions!$B$159=0,0,U92*Assumptions!$B$171*Assumptions!$B$7/Assumptions!$B$159)</f>
        <v/>
      </c>
      <c r="V97" s="50">
        <f>IF(Assumptions!$B$159=0,0,V92*Assumptions!$B$171*Assumptions!$B$7/Assumptions!$B$159)</f>
        <v/>
      </c>
      <c r="W97" s="50">
        <f>IF(Assumptions!$B$159=0,0,W92*Assumptions!$B$171*Assumptions!$B$7/Assumptions!$B$159)</f>
        <v/>
      </c>
      <c r="X97" s="50">
        <f>IF(Assumptions!$B$159=0,0,X92*Assumptions!$B$171*Assumptions!$B$7/Assumptions!$B$159)</f>
        <v/>
      </c>
      <c r="Y97" s="50">
        <f>IF(Assumptions!$B$159=0,0,Y92*Assumptions!$B$171*Assumptions!$B$7/Assumptions!$B$159)</f>
        <v/>
      </c>
      <c r="Z97" s="50">
        <f>IF(Assumptions!$B$159=0,0,Z92*Assumptions!$B$171*Assumptions!$B$7/Assumptions!$B$159)</f>
        <v/>
      </c>
      <c r="AA97" s="50">
        <f>IF(Assumptions!$B$159=0,0,AA92*Assumptions!$B$171*Assumptions!$B$7/Assumptions!$B$159)</f>
        <v/>
      </c>
      <c r="AB97" s="50">
        <f>IF(Assumptions!$B$159=0,0,AB92*Assumptions!$B$171*Assumptions!$B$7/Assumptions!$B$159)</f>
        <v/>
      </c>
      <c r="AC97" s="50">
        <f>IF(Assumptions!$B$159=0,0,AC92*Assumptions!$B$171*Assumptions!$B$7/Assumptions!$B$159)</f>
        <v/>
      </c>
      <c r="AD97" s="50">
        <f>IF(Assumptions!$B$159=0,0,AD92*Assumptions!$B$171*Assumptions!$B$7/Assumptions!$B$159)</f>
        <v/>
      </c>
      <c r="AE97" s="50">
        <f>IF(Assumptions!$B$159=0,0,AE92*Assumptions!$B$171*Assumptions!$B$7/Assumptions!$B$159)</f>
        <v/>
      </c>
    </row>
    <row r="98">
      <c r="A98" s="6" t="inlineStr">
        <is>
          <t xml:space="preserve">  Card authorisations (memo - drives cost, not revenue)</t>
        </is>
      </c>
      <c r="B98" s="23" t="inlineStr">
        <is>
          <t>auths</t>
        </is>
      </c>
      <c r="C98" s="50">
        <f>C90*Assumptions!$B$173*Assumptions!$B$159*C7/12*(1+Assumptions!$B$16)</f>
        <v/>
      </c>
      <c r="D98" s="50">
        <f>D90*Assumptions!$B$173*Assumptions!$B$159*D7/12*(1+Assumptions!$B$16)</f>
        <v/>
      </c>
      <c r="E98" s="50">
        <f>E90*Assumptions!$B$173*Assumptions!$B$159*E7/12*(1+Assumptions!$B$16)</f>
        <v/>
      </c>
      <c r="F98" s="50">
        <f>F90*Assumptions!$B$173*Assumptions!$B$159*F7/12*(1+Assumptions!$B$16)</f>
        <v/>
      </c>
      <c r="G98" s="50">
        <f>G90*Assumptions!$B$173*Assumptions!$B$159*G7/12*(1+Assumptions!$B$16)</f>
        <v/>
      </c>
      <c r="H98" s="50">
        <f>H90*Assumptions!$B$173*Assumptions!$B$159*H7/12*(1+Assumptions!$B$16)</f>
        <v/>
      </c>
      <c r="I98" s="50">
        <f>I90*Assumptions!$B$173*Assumptions!$B$159*I7/12*(1+Assumptions!$B$16)</f>
        <v/>
      </c>
      <c r="J98" s="50">
        <f>J90*Assumptions!$B$173*Assumptions!$B$159*J7/12*(1+Assumptions!$B$16)</f>
        <v/>
      </c>
      <c r="K98" s="50">
        <f>K90*Assumptions!$B$173*Assumptions!$B$159*K7/12*(1+Assumptions!$B$16)</f>
        <v/>
      </c>
      <c r="L98" s="50">
        <f>L90*Assumptions!$B$173*Assumptions!$B$159*L7/12*(1+Assumptions!$B$16)</f>
        <v/>
      </c>
      <c r="M98" s="50">
        <f>M90*Assumptions!$B$173*Assumptions!$B$159*M7/12*(1+Assumptions!$B$16)</f>
        <v/>
      </c>
      <c r="N98" s="50">
        <f>N90*Assumptions!$B$173*Assumptions!$B$159*N7/12*(1+Assumptions!$B$16)</f>
        <v/>
      </c>
      <c r="O98" s="50">
        <f>O90*Assumptions!$B$173*Assumptions!$B$159*O7/12*(1+Assumptions!$B$16)</f>
        <v/>
      </c>
      <c r="P98" s="50">
        <f>P90*Assumptions!$B$173*Assumptions!$B$159*P7/12*(1+Assumptions!$B$16)</f>
        <v/>
      </c>
      <c r="Q98" s="50">
        <f>Q90*Assumptions!$B$173*Assumptions!$B$159*Q7/12*(1+Assumptions!$B$16)</f>
        <v/>
      </c>
      <c r="R98" s="50">
        <f>R90*Assumptions!$B$173*Assumptions!$B$159*R7/12*(1+Assumptions!$B$16)</f>
        <v/>
      </c>
      <c r="S98" s="50">
        <f>S90*Assumptions!$B$173*Assumptions!$B$159*S7/12*(1+Assumptions!$B$16)</f>
        <v/>
      </c>
      <c r="T98" s="50">
        <f>T90*Assumptions!$B$173*Assumptions!$B$159*T7/12*(1+Assumptions!$B$16)</f>
        <v/>
      </c>
      <c r="U98" s="50">
        <f>U90*Assumptions!$B$173*Assumptions!$B$159*U7/12*(1+Assumptions!$B$16)</f>
        <v/>
      </c>
      <c r="V98" s="50">
        <f>V90*Assumptions!$B$173*Assumptions!$B$159*V7/12*(1+Assumptions!$B$16)</f>
        <v/>
      </c>
      <c r="W98" s="50">
        <f>W90*Assumptions!$B$173*Assumptions!$B$159*W7/12*(1+Assumptions!$B$16)</f>
        <v/>
      </c>
      <c r="X98" s="50">
        <f>X90*Assumptions!$B$173*Assumptions!$B$159*X7/12*(1+Assumptions!$B$16)</f>
        <v/>
      </c>
      <c r="Y98" s="50">
        <f>Y90*Assumptions!$B$173*Assumptions!$B$159*Y7/12*(1+Assumptions!$B$16)</f>
        <v/>
      </c>
      <c r="Z98" s="50">
        <f>Z90*Assumptions!$B$173*Assumptions!$B$159*Z7/12*(1+Assumptions!$B$16)</f>
        <v/>
      </c>
      <c r="AA98" s="50">
        <f>AA90*Assumptions!$B$173*Assumptions!$B$159*AA7/12*(1+Assumptions!$B$16)</f>
        <v/>
      </c>
      <c r="AB98" s="50">
        <f>AB90*Assumptions!$B$173*Assumptions!$B$159*AB7/12*(1+Assumptions!$B$16)</f>
        <v/>
      </c>
      <c r="AC98" s="50">
        <f>AC90*Assumptions!$B$173*Assumptions!$B$159*AC7/12*(1+Assumptions!$B$16)</f>
        <v/>
      </c>
      <c r="AD98" s="50">
        <f>AD90*Assumptions!$B$173*Assumptions!$B$159*AD7/12*(1+Assumptions!$B$16)</f>
        <v/>
      </c>
      <c r="AE98" s="50">
        <f>AE90*Assumptions!$B$173*Assumptions!$B$159*AE7/12*(1+Assumptions!$B$16)</f>
        <v/>
      </c>
    </row>
    <row r="99">
      <c r="A99" s="6" t="inlineStr">
        <is>
          <t xml:space="preserve">  Stream 1a - Entry fee, SIP</t>
        </is>
      </c>
      <c r="B99" s="23" t="inlineStr">
        <is>
          <t>USD</t>
        </is>
      </c>
      <c r="C99" s="61">
        <f>C79*Assumptions!$B$8</f>
        <v/>
      </c>
      <c r="D99" s="61">
        <f>D79*Assumptions!$B$8</f>
        <v/>
      </c>
      <c r="E99" s="61">
        <f>E79*Assumptions!$B$8</f>
        <v/>
      </c>
      <c r="F99" s="61">
        <f>F79*Assumptions!$B$8</f>
        <v/>
      </c>
      <c r="G99" s="61">
        <f>G79*Assumptions!$B$8</f>
        <v/>
      </c>
      <c r="H99" s="61">
        <f>H79*Assumptions!$B$8</f>
        <v/>
      </c>
      <c r="I99" s="61">
        <f>I79*Assumptions!$B$8</f>
        <v/>
      </c>
      <c r="J99" s="61">
        <f>J79*Assumptions!$B$8</f>
        <v/>
      </c>
      <c r="K99" s="61">
        <f>K79*Assumptions!$B$8</f>
        <v/>
      </c>
      <c r="L99" s="61">
        <f>L79*Assumptions!$B$8</f>
        <v/>
      </c>
      <c r="M99" s="61">
        <f>M79*Assumptions!$B$8</f>
        <v/>
      </c>
      <c r="N99" s="61">
        <f>N79*Assumptions!$B$8</f>
        <v/>
      </c>
      <c r="O99" s="61">
        <f>O79*Assumptions!$B$8</f>
        <v/>
      </c>
      <c r="P99" s="61">
        <f>P79*Assumptions!$B$8</f>
        <v/>
      </c>
      <c r="Q99" s="61">
        <f>Q79*Assumptions!$B$8</f>
        <v/>
      </c>
      <c r="R99" s="61">
        <f>R79*Assumptions!$B$8</f>
        <v/>
      </c>
      <c r="S99" s="61">
        <f>S79*Assumptions!$B$8</f>
        <v/>
      </c>
      <c r="T99" s="61">
        <f>T79*Assumptions!$B$8</f>
        <v/>
      </c>
      <c r="U99" s="61">
        <f>U79*Assumptions!$B$8</f>
        <v/>
      </c>
      <c r="V99" s="61">
        <f>V79*Assumptions!$B$8</f>
        <v/>
      </c>
      <c r="W99" s="61">
        <f>W79*Assumptions!$B$8</f>
        <v/>
      </c>
      <c r="X99" s="61">
        <f>X79*Assumptions!$B$8</f>
        <v/>
      </c>
      <c r="Y99" s="61">
        <f>Y79*Assumptions!$B$8</f>
        <v/>
      </c>
      <c r="Z99" s="61">
        <f>Z79*Assumptions!$B$8</f>
        <v/>
      </c>
      <c r="AA99" s="61">
        <f>AA79*Assumptions!$B$8</f>
        <v/>
      </c>
      <c r="AB99" s="61">
        <f>AB79*Assumptions!$B$8</f>
        <v/>
      </c>
      <c r="AC99" s="61">
        <f>AC79*Assumptions!$B$8</f>
        <v/>
      </c>
      <c r="AD99" s="61">
        <f>AD79*Assumptions!$B$8</f>
        <v/>
      </c>
      <c r="AE99" s="61">
        <f>AE79*Assumptions!$B$8</f>
        <v/>
      </c>
    </row>
    <row r="100">
      <c r="A100" s="6" t="inlineStr">
        <is>
          <t xml:space="preserve">  Stream 1b - Entry fee, SPOT</t>
        </is>
      </c>
      <c r="B100" s="23" t="inlineStr">
        <is>
          <t>USD</t>
        </is>
      </c>
      <c r="C100" s="61">
        <f>C80*Assumptions!$B$8</f>
        <v/>
      </c>
      <c r="D100" s="61">
        <f>D80*Assumptions!$B$8</f>
        <v/>
      </c>
      <c r="E100" s="61">
        <f>E80*Assumptions!$B$8</f>
        <v/>
      </c>
      <c r="F100" s="61">
        <f>F80*Assumptions!$B$8</f>
        <v/>
      </c>
      <c r="G100" s="61">
        <f>G80*Assumptions!$B$8</f>
        <v/>
      </c>
      <c r="H100" s="61">
        <f>H80*Assumptions!$B$8</f>
        <v/>
      </c>
      <c r="I100" s="61">
        <f>I80*Assumptions!$B$8</f>
        <v/>
      </c>
      <c r="J100" s="61">
        <f>J80*Assumptions!$B$8</f>
        <v/>
      </c>
      <c r="K100" s="61">
        <f>K80*Assumptions!$B$8</f>
        <v/>
      </c>
      <c r="L100" s="61">
        <f>L80*Assumptions!$B$8</f>
        <v/>
      </c>
      <c r="M100" s="61">
        <f>M80*Assumptions!$B$8</f>
        <v/>
      </c>
      <c r="N100" s="61">
        <f>N80*Assumptions!$B$8</f>
        <v/>
      </c>
      <c r="O100" s="61">
        <f>O80*Assumptions!$B$8</f>
        <v/>
      </c>
      <c r="P100" s="61">
        <f>P80*Assumptions!$B$8</f>
        <v/>
      </c>
      <c r="Q100" s="61">
        <f>Q80*Assumptions!$B$8</f>
        <v/>
      </c>
      <c r="R100" s="61">
        <f>R80*Assumptions!$B$8</f>
        <v/>
      </c>
      <c r="S100" s="61">
        <f>S80*Assumptions!$B$8</f>
        <v/>
      </c>
      <c r="T100" s="61">
        <f>T80*Assumptions!$B$8</f>
        <v/>
      </c>
      <c r="U100" s="61">
        <f>U80*Assumptions!$B$8</f>
        <v/>
      </c>
      <c r="V100" s="61">
        <f>V80*Assumptions!$B$8</f>
        <v/>
      </c>
      <c r="W100" s="61">
        <f>W80*Assumptions!$B$8</f>
        <v/>
      </c>
      <c r="X100" s="61">
        <f>X80*Assumptions!$B$8</f>
        <v/>
      </c>
      <c r="Y100" s="61">
        <f>Y80*Assumptions!$B$8</f>
        <v/>
      </c>
      <c r="Z100" s="61">
        <f>Z80*Assumptions!$B$8</f>
        <v/>
      </c>
      <c r="AA100" s="61">
        <f>AA80*Assumptions!$B$8</f>
        <v/>
      </c>
      <c r="AB100" s="61">
        <f>AB80*Assumptions!$B$8</f>
        <v/>
      </c>
      <c r="AC100" s="61">
        <f>AC80*Assumptions!$B$8</f>
        <v/>
      </c>
      <c r="AD100" s="61">
        <f>AD80*Assumptions!$B$8</f>
        <v/>
      </c>
      <c r="AE100" s="61">
        <f>AE80*Assumptions!$B$8</f>
        <v/>
      </c>
    </row>
    <row r="101">
      <c r="A101" s="6" t="inlineStr">
        <is>
          <t xml:space="preserve">  Stream 2 - Card interchange</t>
        </is>
      </c>
      <c r="B101" s="23" t="inlineStr">
        <is>
          <t>USD</t>
        </is>
      </c>
      <c r="C101" s="61">
        <f>C96*IF(Assumptions!$B$227=1,MIN(Assumptions!$B$14,1%),Assumptions!$B$14)*(1-Assumptions!$B$157)</f>
        <v/>
      </c>
      <c r="D101" s="61">
        <f>D96*IF(Assumptions!$B$227=1,MIN(Assumptions!$B$14,1%),Assumptions!$B$14)*(1-Assumptions!$B$157)</f>
        <v/>
      </c>
      <c r="E101" s="61">
        <f>E96*IF(Assumptions!$B$227=1,MIN(Assumptions!$B$14,1%),Assumptions!$B$14)*(1-Assumptions!$B$157)</f>
        <v/>
      </c>
      <c r="F101" s="61">
        <f>F96*IF(Assumptions!$B$227=1,MIN(Assumptions!$B$14,1%),Assumptions!$B$14)*(1-Assumptions!$B$157)</f>
        <v/>
      </c>
      <c r="G101" s="61">
        <f>G96*IF(Assumptions!$B$227=1,MIN(Assumptions!$B$14,1%),Assumptions!$B$14)*(1-Assumptions!$B$157)</f>
        <v/>
      </c>
      <c r="H101" s="61">
        <f>H96*IF(Assumptions!$B$227=1,MIN(Assumptions!$B$14,1%),Assumptions!$B$14)*(1-Assumptions!$B$157)</f>
        <v/>
      </c>
      <c r="I101" s="61">
        <f>I96*IF(Assumptions!$B$227=1,MIN(Assumptions!$B$14,1%),Assumptions!$B$14)*(1-Assumptions!$B$157)</f>
        <v/>
      </c>
      <c r="J101" s="61">
        <f>J96*IF(Assumptions!$B$227=1,MIN(Assumptions!$B$14,1%),Assumptions!$B$14)*(1-Assumptions!$B$157)</f>
        <v/>
      </c>
      <c r="K101" s="61">
        <f>K96*IF(Assumptions!$B$227=1,MIN(Assumptions!$B$14,1%),Assumptions!$B$14)*(1-Assumptions!$B$157)</f>
        <v/>
      </c>
      <c r="L101" s="61">
        <f>L96*IF(Assumptions!$B$227=1,MIN(Assumptions!$B$14,1%),Assumptions!$B$14)*(1-Assumptions!$B$157)</f>
        <v/>
      </c>
      <c r="M101" s="61">
        <f>M96*IF(Assumptions!$B$227=1,MIN(Assumptions!$B$14,1%),Assumptions!$B$14)*(1-Assumptions!$B$157)</f>
        <v/>
      </c>
      <c r="N101" s="61">
        <f>N96*IF(Assumptions!$B$227=1,MIN(Assumptions!$B$14,1%),Assumptions!$B$14)*(1-Assumptions!$B$157)</f>
        <v/>
      </c>
      <c r="O101" s="61">
        <f>O96*IF(Assumptions!$B$227=1,MIN(Assumptions!$B$14,1%),Assumptions!$B$14)*(1-Assumptions!$B$157)</f>
        <v/>
      </c>
      <c r="P101" s="61">
        <f>P96*IF(Assumptions!$B$227=1,MIN(Assumptions!$B$14,1%),Assumptions!$B$14)*(1-Assumptions!$B$157)</f>
        <v/>
      </c>
      <c r="Q101" s="61">
        <f>Q96*IF(Assumptions!$B$227=1,MIN(Assumptions!$B$14,1%),Assumptions!$B$14)*(1-Assumptions!$B$157)</f>
        <v/>
      </c>
      <c r="R101" s="61">
        <f>R96*IF(Assumptions!$B$227=1,MIN(Assumptions!$B$14,1%),Assumptions!$B$14)*(1-Assumptions!$B$157)</f>
        <v/>
      </c>
      <c r="S101" s="61">
        <f>S96*IF(Assumptions!$B$227=1,MIN(Assumptions!$B$14,1%),Assumptions!$B$14)*(1-Assumptions!$B$157)</f>
        <v/>
      </c>
      <c r="T101" s="61">
        <f>T96*IF(Assumptions!$B$227=1,MIN(Assumptions!$B$14,1%),Assumptions!$B$14)*(1-Assumptions!$B$157)</f>
        <v/>
      </c>
      <c r="U101" s="61">
        <f>U96*IF(Assumptions!$B$227=1,MIN(Assumptions!$B$14,1%),Assumptions!$B$14)*(1-Assumptions!$B$157)</f>
        <v/>
      </c>
      <c r="V101" s="61">
        <f>V96*IF(Assumptions!$B$227=1,MIN(Assumptions!$B$14,1%),Assumptions!$B$14)*(1-Assumptions!$B$157)</f>
        <v/>
      </c>
      <c r="W101" s="61">
        <f>W96*IF(Assumptions!$B$227=1,MIN(Assumptions!$B$14,1%),Assumptions!$B$14)*(1-Assumptions!$B$157)</f>
        <v/>
      </c>
      <c r="X101" s="61">
        <f>X96*IF(Assumptions!$B$227=1,MIN(Assumptions!$B$14,1%),Assumptions!$B$14)*(1-Assumptions!$B$157)</f>
        <v/>
      </c>
      <c r="Y101" s="61">
        <f>Y96*IF(Assumptions!$B$227=1,MIN(Assumptions!$B$14,1%),Assumptions!$B$14)*(1-Assumptions!$B$157)</f>
        <v/>
      </c>
      <c r="Z101" s="61">
        <f>Z96*IF(Assumptions!$B$227=1,MIN(Assumptions!$B$14,1%),Assumptions!$B$14)*(1-Assumptions!$B$157)</f>
        <v/>
      </c>
      <c r="AA101" s="61">
        <f>AA96*IF(Assumptions!$B$227=1,MIN(Assumptions!$B$14,1%),Assumptions!$B$14)*(1-Assumptions!$B$157)</f>
        <v/>
      </c>
      <c r="AB101" s="61">
        <f>AB96*IF(Assumptions!$B$227=1,MIN(Assumptions!$B$14,1%),Assumptions!$B$14)*(1-Assumptions!$B$157)</f>
        <v/>
      </c>
      <c r="AC101" s="61">
        <f>AC96*IF(Assumptions!$B$227=1,MIN(Assumptions!$B$14,1%),Assumptions!$B$14)*(1-Assumptions!$B$157)</f>
        <v/>
      </c>
      <c r="AD101" s="61">
        <f>AD96*IF(Assumptions!$B$227=1,MIN(Assumptions!$B$14,1%),Assumptions!$B$14)*(1-Assumptions!$B$157)</f>
        <v/>
      </c>
      <c r="AE101" s="61">
        <f>AE96*IF(Assumptions!$B$227=1,MIN(Assumptions!$B$14,1%),Assumptions!$B$14)*(1-Assumptions!$B$157)</f>
        <v/>
      </c>
    </row>
    <row r="102">
      <c r="A102" s="6" t="inlineStr">
        <is>
          <t xml:space="preserve">  Family plan subscribers</t>
        </is>
      </c>
      <c r="B102" s="23" t="inlineStr">
        <is>
          <t>subscribers</t>
        </is>
      </c>
      <c r="C102" s="60">
        <f>IF(C2&gt;=Assumptions!$B$50,C74*Assumptions!$B$174*(1-Assumptions!$B$177)^(C7/2),0)</f>
        <v/>
      </c>
      <c r="D102" s="60">
        <f>IF(D2&gt;=Assumptions!$B$50,C102*(1-Assumptions!$B$177)^D7+D74*Assumptions!$B$174*(1-Assumptions!$B$177)^(D7/2),0)</f>
        <v/>
      </c>
      <c r="E102" s="60">
        <f>IF(E2&gt;=Assumptions!$B$50,D102*(1-Assumptions!$B$177)^E7+E74*Assumptions!$B$174*(1-Assumptions!$B$177)^(E7/2),0)</f>
        <v/>
      </c>
      <c r="F102" s="60">
        <f>IF(F2&gt;=Assumptions!$B$50,E102*(1-Assumptions!$B$177)^F7+F74*Assumptions!$B$174*(1-Assumptions!$B$177)^(F7/2),0)</f>
        <v/>
      </c>
      <c r="G102" s="60">
        <f>IF(G2&gt;=Assumptions!$B$50,F102*(1-Assumptions!$B$177)^G7+G74*Assumptions!$B$174*(1-Assumptions!$B$177)^(G7/2),0)</f>
        <v/>
      </c>
      <c r="H102" s="60">
        <f>IF(H2&gt;=Assumptions!$B$50,G102*(1-Assumptions!$B$177)^H7+H74*Assumptions!$B$174*(1-Assumptions!$B$177)^(H7/2),0)</f>
        <v/>
      </c>
      <c r="I102" s="60">
        <f>IF(I2&gt;=Assumptions!$B$50,H102*(1-Assumptions!$B$177)^I7+I74*Assumptions!$B$174*(1-Assumptions!$B$177)^(I7/2),0)</f>
        <v/>
      </c>
      <c r="J102" s="60">
        <f>IF(J2&gt;=Assumptions!$B$50,I102*(1-Assumptions!$B$177)^J7+J74*Assumptions!$B$174*(1-Assumptions!$B$177)^(J7/2),0)</f>
        <v/>
      </c>
      <c r="K102" s="60">
        <f>IF(K2&gt;=Assumptions!$B$50,J102*(1-Assumptions!$B$177)^K7+K74*Assumptions!$B$174*(1-Assumptions!$B$177)^(K7/2),0)</f>
        <v/>
      </c>
      <c r="L102" s="60">
        <f>IF(L2&gt;=Assumptions!$B$50,K102*(1-Assumptions!$B$177)^L7+L74*Assumptions!$B$174*(1-Assumptions!$B$177)^(L7/2),0)</f>
        <v/>
      </c>
      <c r="M102" s="60">
        <f>IF(M2&gt;=Assumptions!$B$50,L102*(1-Assumptions!$B$177)^M7+M74*Assumptions!$B$174*(1-Assumptions!$B$177)^(M7/2),0)</f>
        <v/>
      </c>
      <c r="N102" s="60">
        <f>IF(N2&gt;=Assumptions!$B$50,M102*(1-Assumptions!$B$177)^N7+N74*Assumptions!$B$174*(1-Assumptions!$B$177)^(N7/2),0)</f>
        <v/>
      </c>
      <c r="O102" s="60">
        <f>IF(O2&gt;=Assumptions!$B$50,N102*(1-Assumptions!$B$177)^O7+O74*Assumptions!$B$174*(1-Assumptions!$B$177)^(O7/2),0)</f>
        <v/>
      </c>
      <c r="P102" s="60">
        <f>IF(P2&gt;=Assumptions!$B$50,O102*(1-Assumptions!$B$177)^P7+P74*Assumptions!$B$174*(1-Assumptions!$B$177)^(P7/2),0)</f>
        <v/>
      </c>
      <c r="Q102" s="60">
        <f>IF(Q2&gt;=Assumptions!$B$50,P102*(1-Assumptions!$B$177)^Q7+Q74*Assumptions!$B$174*(1-Assumptions!$B$177)^(Q7/2),0)</f>
        <v/>
      </c>
      <c r="R102" s="60">
        <f>IF(R2&gt;=Assumptions!$B$50,Q102*(1-Assumptions!$B$177)^R7+R74*Assumptions!$B$174*(1-Assumptions!$B$177)^(R7/2),0)</f>
        <v/>
      </c>
      <c r="S102" s="60">
        <f>IF(S2&gt;=Assumptions!$B$50,R102*(1-Assumptions!$B$177)^S7+S74*Assumptions!$B$174*(1-Assumptions!$B$177)^(S7/2),0)</f>
        <v/>
      </c>
      <c r="T102" s="60">
        <f>IF(T2&gt;=Assumptions!$B$50,S102*(1-Assumptions!$B$177)^T7+T74*Assumptions!$B$174*(1-Assumptions!$B$177)^(T7/2),0)</f>
        <v/>
      </c>
      <c r="U102" s="60">
        <f>IF(U2&gt;=Assumptions!$B$50,T102*(1-Assumptions!$B$177)^U7+U74*Assumptions!$B$174*(1-Assumptions!$B$177)^(U7/2),0)</f>
        <v/>
      </c>
      <c r="V102" s="60">
        <f>IF(V2&gt;=Assumptions!$B$50,U102*(1-Assumptions!$B$177)^V7+V74*Assumptions!$B$174*(1-Assumptions!$B$177)^(V7/2),0)</f>
        <v/>
      </c>
      <c r="W102" s="60">
        <f>IF(W2&gt;=Assumptions!$B$50,V102*(1-Assumptions!$B$177)^W7+W74*Assumptions!$B$174*(1-Assumptions!$B$177)^(W7/2),0)</f>
        <v/>
      </c>
      <c r="X102" s="60">
        <f>IF(X2&gt;=Assumptions!$B$50,W102*(1-Assumptions!$B$177)^X7+X74*Assumptions!$B$174*(1-Assumptions!$B$177)^(X7/2),0)</f>
        <v/>
      </c>
      <c r="Y102" s="60">
        <f>IF(Y2&gt;=Assumptions!$B$50,X102*(1-Assumptions!$B$177)^Y7+Y74*Assumptions!$B$174*(1-Assumptions!$B$177)^(Y7/2),0)</f>
        <v/>
      </c>
      <c r="Z102" s="60">
        <f>IF(Z2&gt;=Assumptions!$B$50,Y102*(1-Assumptions!$B$177)^Z7+Z74*Assumptions!$B$174*(1-Assumptions!$B$177)^(Z7/2),0)</f>
        <v/>
      </c>
      <c r="AA102" s="60">
        <f>IF(AA2&gt;=Assumptions!$B$50,Z102*(1-Assumptions!$B$177)^AA7+AA74*Assumptions!$B$174*(1-Assumptions!$B$177)^(AA7/2),0)</f>
        <v/>
      </c>
      <c r="AB102" s="60">
        <f>IF(AB2&gt;=Assumptions!$B$50,AA102*(1-Assumptions!$B$177)^AB7+AB74*Assumptions!$B$174*(1-Assumptions!$B$177)^(AB7/2),0)</f>
        <v/>
      </c>
      <c r="AC102" s="60">
        <f>IF(AC2&gt;=Assumptions!$B$50,AB102*(1-Assumptions!$B$177)^AC7+AC74*Assumptions!$B$174*(1-Assumptions!$B$177)^(AC7/2),0)</f>
        <v/>
      </c>
      <c r="AD102" s="60">
        <f>IF(AD2&gt;=Assumptions!$B$50,AC102*(1-Assumptions!$B$177)^AD7+AD74*Assumptions!$B$174*(1-Assumptions!$B$177)^(AD7/2),0)</f>
        <v/>
      </c>
      <c r="AE102" s="60">
        <f>IF(AE2&gt;=Assumptions!$B$50,AD102*(1-Assumptions!$B$177)^AE7+AE74*Assumptions!$B$174*(1-Assumptions!$B$177)^(AE7/2),0)</f>
        <v/>
      </c>
    </row>
    <row r="103">
      <c r="A103" s="6" t="inlineStr">
        <is>
          <t xml:space="preserve">  Stream 3 - Family plan and Digital Will</t>
        </is>
      </c>
      <c r="B103" s="23" t="inlineStr">
        <is>
          <t>USD</t>
        </is>
      </c>
      <c r="C103" s="61">
        <f>C102*(Assumptions!$B$25+MAX(0,Assumptions!$B$176-1)*Assumptions!$B$26)/12*C7</f>
        <v/>
      </c>
      <c r="D103" s="61">
        <f>D102*(Assumptions!$B$25+MAX(0,Assumptions!$B$176-1)*Assumptions!$B$26)/12*D7</f>
        <v/>
      </c>
      <c r="E103" s="61">
        <f>E102*(Assumptions!$B$25+MAX(0,Assumptions!$B$176-1)*Assumptions!$B$26)/12*E7</f>
        <v/>
      </c>
      <c r="F103" s="61">
        <f>F102*(Assumptions!$B$25+MAX(0,Assumptions!$B$176-1)*Assumptions!$B$26)/12*F7</f>
        <v/>
      </c>
      <c r="G103" s="61">
        <f>G102*(Assumptions!$B$25+MAX(0,Assumptions!$B$176-1)*Assumptions!$B$26)/12*G7</f>
        <v/>
      </c>
      <c r="H103" s="61">
        <f>H102*(Assumptions!$B$25+MAX(0,Assumptions!$B$176-1)*Assumptions!$B$26)/12*H7</f>
        <v/>
      </c>
      <c r="I103" s="61">
        <f>I102*(Assumptions!$B$25+MAX(0,Assumptions!$B$176-1)*Assumptions!$B$26)/12*I7</f>
        <v/>
      </c>
      <c r="J103" s="61">
        <f>J102*(Assumptions!$B$25+MAX(0,Assumptions!$B$176-1)*Assumptions!$B$26)/12*J7</f>
        <v/>
      </c>
      <c r="K103" s="61">
        <f>K102*(Assumptions!$B$25+MAX(0,Assumptions!$B$176-1)*Assumptions!$B$26)/12*K7</f>
        <v/>
      </c>
      <c r="L103" s="61">
        <f>L102*(Assumptions!$B$25+MAX(0,Assumptions!$B$176-1)*Assumptions!$B$26)/12*L7</f>
        <v/>
      </c>
      <c r="M103" s="61">
        <f>M102*(Assumptions!$B$25+MAX(0,Assumptions!$B$176-1)*Assumptions!$B$26)/12*M7</f>
        <v/>
      </c>
      <c r="N103" s="61">
        <f>N102*(Assumptions!$B$25+MAX(0,Assumptions!$B$176-1)*Assumptions!$B$26)/12*N7</f>
        <v/>
      </c>
      <c r="O103" s="61">
        <f>O102*(Assumptions!$B$25+MAX(0,Assumptions!$B$176-1)*Assumptions!$B$26)/12*O7</f>
        <v/>
      </c>
      <c r="P103" s="61">
        <f>P102*(Assumptions!$B$25+MAX(0,Assumptions!$B$176-1)*Assumptions!$B$26)/12*P7</f>
        <v/>
      </c>
      <c r="Q103" s="61">
        <f>Q102*(Assumptions!$B$25+MAX(0,Assumptions!$B$176-1)*Assumptions!$B$26)/12*Q7</f>
        <v/>
      </c>
      <c r="R103" s="61">
        <f>R102*(Assumptions!$B$25+MAX(0,Assumptions!$B$176-1)*Assumptions!$B$26)/12*R7</f>
        <v/>
      </c>
      <c r="S103" s="61">
        <f>S102*(Assumptions!$B$25+MAX(0,Assumptions!$B$176-1)*Assumptions!$B$26)/12*S7</f>
        <v/>
      </c>
      <c r="T103" s="61">
        <f>T102*(Assumptions!$B$25+MAX(0,Assumptions!$B$176-1)*Assumptions!$B$26)/12*T7</f>
        <v/>
      </c>
      <c r="U103" s="61">
        <f>U102*(Assumptions!$B$25+MAX(0,Assumptions!$B$176-1)*Assumptions!$B$26)/12*U7</f>
        <v/>
      </c>
      <c r="V103" s="61">
        <f>V102*(Assumptions!$B$25+MAX(0,Assumptions!$B$176-1)*Assumptions!$B$26)/12*V7</f>
        <v/>
      </c>
      <c r="W103" s="61">
        <f>W102*(Assumptions!$B$25+MAX(0,Assumptions!$B$176-1)*Assumptions!$B$26)/12*W7</f>
        <v/>
      </c>
      <c r="X103" s="61">
        <f>X102*(Assumptions!$B$25+MAX(0,Assumptions!$B$176-1)*Assumptions!$B$26)/12*X7</f>
        <v/>
      </c>
      <c r="Y103" s="61">
        <f>Y102*(Assumptions!$B$25+MAX(0,Assumptions!$B$176-1)*Assumptions!$B$26)/12*Y7</f>
        <v/>
      </c>
      <c r="Z103" s="61">
        <f>Z102*(Assumptions!$B$25+MAX(0,Assumptions!$B$176-1)*Assumptions!$B$26)/12*Z7</f>
        <v/>
      </c>
      <c r="AA103" s="61">
        <f>AA102*(Assumptions!$B$25+MAX(0,Assumptions!$B$176-1)*Assumptions!$B$26)/12*AA7</f>
        <v/>
      </c>
      <c r="AB103" s="61">
        <f>AB102*(Assumptions!$B$25+MAX(0,Assumptions!$B$176-1)*Assumptions!$B$26)/12*AB7</f>
        <v/>
      </c>
      <c r="AC103" s="61">
        <f>AC102*(Assumptions!$B$25+MAX(0,Assumptions!$B$176-1)*Assumptions!$B$26)/12*AC7</f>
        <v/>
      </c>
      <c r="AD103" s="61">
        <f>AD102*(Assumptions!$B$25+MAX(0,Assumptions!$B$176-1)*Assumptions!$B$26)/12*AD7</f>
        <v/>
      </c>
      <c r="AE103" s="61">
        <f>AE102*(Assumptions!$B$25+MAX(0,Assumptions!$B$176-1)*Assumptions!$B$26)/12*AE7</f>
        <v/>
      </c>
    </row>
    <row r="104">
      <c r="A104" s="6" t="inlineStr">
        <is>
          <t xml:space="preserve">  Stream 4 - Cardholder fees (FX, ATM, events)</t>
        </is>
      </c>
      <c r="B104" s="23" t="inlineStr">
        <is>
          <t>USD</t>
        </is>
      </c>
      <c r="C104" s="61">
        <f>IF(C2&gt;=Assumptions!$B$52,C96*C17*Assumptions!$B$17+C90*(Assumptions!$B$163*MAX(0,Assumptions!$B$167-Assumptions!$B$18)+Assumptions!$B$164*MAX(0,Assumptions!$B$168-Assumptions!$B$18)+Assumptions!$B$165*MAX(0,Assumptions!$B$169-Assumptions!$B$18)+Assumptions!$B$166*MAX(0,Assumptions!$B$170-Assumptions!$B$18))*Assumptions!$B$19/Assumptions!$B$7*C7+C91*Assumptions!$B$20/Assumptions!$B$7+C89*(Assumptions!$B$161*Assumptions!$B$20+Assumptions!$B$162*Assumptions!$B$21)/12/Assumptions!$B$7*C7,0)</f>
        <v/>
      </c>
      <c r="D104" s="61">
        <f>IF(D2&gt;=Assumptions!$B$52,D96*D17*Assumptions!$B$17+D90*(Assumptions!$B$163*MAX(0,Assumptions!$B$167-Assumptions!$B$18)+Assumptions!$B$164*MAX(0,Assumptions!$B$168-Assumptions!$B$18)+Assumptions!$B$165*MAX(0,Assumptions!$B$169-Assumptions!$B$18)+Assumptions!$B$166*MAX(0,Assumptions!$B$170-Assumptions!$B$18))*Assumptions!$B$19/Assumptions!$B$7*D7+D91*Assumptions!$B$20/Assumptions!$B$7+D89*(Assumptions!$B$161*Assumptions!$B$20+Assumptions!$B$162*Assumptions!$B$21)/12/Assumptions!$B$7*D7,0)</f>
        <v/>
      </c>
      <c r="E104" s="61">
        <f>IF(E2&gt;=Assumptions!$B$52,E96*E17*Assumptions!$B$17+E90*(Assumptions!$B$163*MAX(0,Assumptions!$B$167-Assumptions!$B$18)+Assumptions!$B$164*MAX(0,Assumptions!$B$168-Assumptions!$B$18)+Assumptions!$B$165*MAX(0,Assumptions!$B$169-Assumptions!$B$18)+Assumptions!$B$166*MAX(0,Assumptions!$B$170-Assumptions!$B$18))*Assumptions!$B$19/Assumptions!$B$7*E7+E91*Assumptions!$B$20/Assumptions!$B$7+E89*(Assumptions!$B$161*Assumptions!$B$20+Assumptions!$B$162*Assumptions!$B$21)/12/Assumptions!$B$7*E7,0)</f>
        <v/>
      </c>
      <c r="F104" s="61">
        <f>IF(F2&gt;=Assumptions!$B$52,F96*F17*Assumptions!$B$17+F90*(Assumptions!$B$163*MAX(0,Assumptions!$B$167-Assumptions!$B$18)+Assumptions!$B$164*MAX(0,Assumptions!$B$168-Assumptions!$B$18)+Assumptions!$B$165*MAX(0,Assumptions!$B$169-Assumptions!$B$18)+Assumptions!$B$166*MAX(0,Assumptions!$B$170-Assumptions!$B$18))*Assumptions!$B$19/Assumptions!$B$7*F7+F91*Assumptions!$B$20/Assumptions!$B$7+F89*(Assumptions!$B$161*Assumptions!$B$20+Assumptions!$B$162*Assumptions!$B$21)/12/Assumptions!$B$7*F7,0)</f>
        <v/>
      </c>
      <c r="G104" s="61">
        <f>IF(G2&gt;=Assumptions!$B$52,G96*G17*Assumptions!$B$17+G90*(Assumptions!$B$163*MAX(0,Assumptions!$B$167-Assumptions!$B$18)+Assumptions!$B$164*MAX(0,Assumptions!$B$168-Assumptions!$B$18)+Assumptions!$B$165*MAX(0,Assumptions!$B$169-Assumptions!$B$18)+Assumptions!$B$166*MAX(0,Assumptions!$B$170-Assumptions!$B$18))*Assumptions!$B$19/Assumptions!$B$7*G7+G91*Assumptions!$B$20/Assumptions!$B$7+G89*(Assumptions!$B$161*Assumptions!$B$20+Assumptions!$B$162*Assumptions!$B$21)/12/Assumptions!$B$7*G7,0)</f>
        <v/>
      </c>
      <c r="H104" s="61">
        <f>IF(H2&gt;=Assumptions!$B$52,H96*H17*Assumptions!$B$17+H90*(Assumptions!$B$163*MAX(0,Assumptions!$B$167-Assumptions!$B$18)+Assumptions!$B$164*MAX(0,Assumptions!$B$168-Assumptions!$B$18)+Assumptions!$B$165*MAX(0,Assumptions!$B$169-Assumptions!$B$18)+Assumptions!$B$166*MAX(0,Assumptions!$B$170-Assumptions!$B$18))*Assumptions!$B$19/Assumptions!$B$7*H7+H91*Assumptions!$B$20/Assumptions!$B$7+H89*(Assumptions!$B$161*Assumptions!$B$20+Assumptions!$B$162*Assumptions!$B$21)/12/Assumptions!$B$7*H7,0)</f>
        <v/>
      </c>
      <c r="I104" s="61">
        <f>IF(I2&gt;=Assumptions!$B$52,I96*I17*Assumptions!$B$17+I90*(Assumptions!$B$163*MAX(0,Assumptions!$B$167-Assumptions!$B$18)+Assumptions!$B$164*MAX(0,Assumptions!$B$168-Assumptions!$B$18)+Assumptions!$B$165*MAX(0,Assumptions!$B$169-Assumptions!$B$18)+Assumptions!$B$166*MAX(0,Assumptions!$B$170-Assumptions!$B$18))*Assumptions!$B$19/Assumptions!$B$7*I7+I91*Assumptions!$B$20/Assumptions!$B$7+I89*(Assumptions!$B$161*Assumptions!$B$20+Assumptions!$B$162*Assumptions!$B$21)/12/Assumptions!$B$7*I7,0)</f>
        <v/>
      </c>
      <c r="J104" s="61">
        <f>IF(J2&gt;=Assumptions!$B$52,J96*J17*Assumptions!$B$17+J90*(Assumptions!$B$163*MAX(0,Assumptions!$B$167-Assumptions!$B$18)+Assumptions!$B$164*MAX(0,Assumptions!$B$168-Assumptions!$B$18)+Assumptions!$B$165*MAX(0,Assumptions!$B$169-Assumptions!$B$18)+Assumptions!$B$166*MAX(0,Assumptions!$B$170-Assumptions!$B$18))*Assumptions!$B$19/Assumptions!$B$7*J7+J91*Assumptions!$B$20/Assumptions!$B$7+J89*(Assumptions!$B$161*Assumptions!$B$20+Assumptions!$B$162*Assumptions!$B$21)/12/Assumptions!$B$7*J7,0)</f>
        <v/>
      </c>
      <c r="K104" s="61">
        <f>IF(K2&gt;=Assumptions!$B$52,K96*K17*Assumptions!$B$17+K90*(Assumptions!$B$163*MAX(0,Assumptions!$B$167-Assumptions!$B$18)+Assumptions!$B$164*MAX(0,Assumptions!$B$168-Assumptions!$B$18)+Assumptions!$B$165*MAX(0,Assumptions!$B$169-Assumptions!$B$18)+Assumptions!$B$166*MAX(0,Assumptions!$B$170-Assumptions!$B$18))*Assumptions!$B$19/Assumptions!$B$7*K7+K91*Assumptions!$B$20/Assumptions!$B$7+K89*(Assumptions!$B$161*Assumptions!$B$20+Assumptions!$B$162*Assumptions!$B$21)/12/Assumptions!$B$7*K7,0)</f>
        <v/>
      </c>
      <c r="L104" s="61">
        <f>IF(L2&gt;=Assumptions!$B$52,L96*L17*Assumptions!$B$17+L90*(Assumptions!$B$163*MAX(0,Assumptions!$B$167-Assumptions!$B$18)+Assumptions!$B$164*MAX(0,Assumptions!$B$168-Assumptions!$B$18)+Assumptions!$B$165*MAX(0,Assumptions!$B$169-Assumptions!$B$18)+Assumptions!$B$166*MAX(0,Assumptions!$B$170-Assumptions!$B$18))*Assumptions!$B$19/Assumptions!$B$7*L7+L91*Assumptions!$B$20/Assumptions!$B$7+L89*(Assumptions!$B$161*Assumptions!$B$20+Assumptions!$B$162*Assumptions!$B$21)/12/Assumptions!$B$7*L7,0)</f>
        <v/>
      </c>
      <c r="M104" s="61">
        <f>IF(M2&gt;=Assumptions!$B$52,M96*M17*Assumptions!$B$17+M90*(Assumptions!$B$163*MAX(0,Assumptions!$B$167-Assumptions!$B$18)+Assumptions!$B$164*MAX(0,Assumptions!$B$168-Assumptions!$B$18)+Assumptions!$B$165*MAX(0,Assumptions!$B$169-Assumptions!$B$18)+Assumptions!$B$166*MAX(0,Assumptions!$B$170-Assumptions!$B$18))*Assumptions!$B$19/Assumptions!$B$7*M7+M91*Assumptions!$B$20/Assumptions!$B$7+M89*(Assumptions!$B$161*Assumptions!$B$20+Assumptions!$B$162*Assumptions!$B$21)/12/Assumptions!$B$7*M7,0)</f>
        <v/>
      </c>
      <c r="N104" s="61">
        <f>IF(N2&gt;=Assumptions!$B$52,N96*N17*Assumptions!$B$17+N90*(Assumptions!$B$163*MAX(0,Assumptions!$B$167-Assumptions!$B$18)+Assumptions!$B$164*MAX(0,Assumptions!$B$168-Assumptions!$B$18)+Assumptions!$B$165*MAX(0,Assumptions!$B$169-Assumptions!$B$18)+Assumptions!$B$166*MAX(0,Assumptions!$B$170-Assumptions!$B$18))*Assumptions!$B$19/Assumptions!$B$7*N7+N91*Assumptions!$B$20/Assumptions!$B$7+N89*(Assumptions!$B$161*Assumptions!$B$20+Assumptions!$B$162*Assumptions!$B$21)/12/Assumptions!$B$7*N7,0)</f>
        <v/>
      </c>
      <c r="O104" s="61">
        <f>IF(O2&gt;=Assumptions!$B$52,O96*O17*Assumptions!$B$17+O90*(Assumptions!$B$163*MAX(0,Assumptions!$B$167-Assumptions!$B$18)+Assumptions!$B$164*MAX(0,Assumptions!$B$168-Assumptions!$B$18)+Assumptions!$B$165*MAX(0,Assumptions!$B$169-Assumptions!$B$18)+Assumptions!$B$166*MAX(0,Assumptions!$B$170-Assumptions!$B$18))*Assumptions!$B$19/Assumptions!$B$7*O7+O91*Assumptions!$B$20/Assumptions!$B$7+O89*(Assumptions!$B$161*Assumptions!$B$20+Assumptions!$B$162*Assumptions!$B$21)/12/Assumptions!$B$7*O7,0)</f>
        <v/>
      </c>
      <c r="P104" s="61">
        <f>IF(P2&gt;=Assumptions!$B$52,P96*P17*Assumptions!$B$17+P90*(Assumptions!$B$163*MAX(0,Assumptions!$B$167-Assumptions!$B$18)+Assumptions!$B$164*MAX(0,Assumptions!$B$168-Assumptions!$B$18)+Assumptions!$B$165*MAX(0,Assumptions!$B$169-Assumptions!$B$18)+Assumptions!$B$166*MAX(0,Assumptions!$B$170-Assumptions!$B$18))*Assumptions!$B$19/Assumptions!$B$7*P7+P91*Assumptions!$B$20/Assumptions!$B$7+P89*(Assumptions!$B$161*Assumptions!$B$20+Assumptions!$B$162*Assumptions!$B$21)/12/Assumptions!$B$7*P7,0)</f>
        <v/>
      </c>
      <c r="Q104" s="61">
        <f>IF(Q2&gt;=Assumptions!$B$52,Q96*Q17*Assumptions!$B$17+Q90*(Assumptions!$B$163*MAX(0,Assumptions!$B$167-Assumptions!$B$18)+Assumptions!$B$164*MAX(0,Assumptions!$B$168-Assumptions!$B$18)+Assumptions!$B$165*MAX(0,Assumptions!$B$169-Assumptions!$B$18)+Assumptions!$B$166*MAX(0,Assumptions!$B$170-Assumptions!$B$18))*Assumptions!$B$19/Assumptions!$B$7*Q7+Q91*Assumptions!$B$20/Assumptions!$B$7+Q89*(Assumptions!$B$161*Assumptions!$B$20+Assumptions!$B$162*Assumptions!$B$21)/12/Assumptions!$B$7*Q7,0)</f>
        <v/>
      </c>
      <c r="R104" s="61">
        <f>IF(R2&gt;=Assumptions!$B$52,R96*R17*Assumptions!$B$17+R90*(Assumptions!$B$163*MAX(0,Assumptions!$B$167-Assumptions!$B$18)+Assumptions!$B$164*MAX(0,Assumptions!$B$168-Assumptions!$B$18)+Assumptions!$B$165*MAX(0,Assumptions!$B$169-Assumptions!$B$18)+Assumptions!$B$166*MAX(0,Assumptions!$B$170-Assumptions!$B$18))*Assumptions!$B$19/Assumptions!$B$7*R7+R91*Assumptions!$B$20/Assumptions!$B$7+R89*(Assumptions!$B$161*Assumptions!$B$20+Assumptions!$B$162*Assumptions!$B$21)/12/Assumptions!$B$7*R7,0)</f>
        <v/>
      </c>
      <c r="S104" s="61">
        <f>IF(S2&gt;=Assumptions!$B$52,S96*S17*Assumptions!$B$17+S90*(Assumptions!$B$163*MAX(0,Assumptions!$B$167-Assumptions!$B$18)+Assumptions!$B$164*MAX(0,Assumptions!$B$168-Assumptions!$B$18)+Assumptions!$B$165*MAX(0,Assumptions!$B$169-Assumptions!$B$18)+Assumptions!$B$166*MAX(0,Assumptions!$B$170-Assumptions!$B$18))*Assumptions!$B$19/Assumptions!$B$7*S7+S91*Assumptions!$B$20/Assumptions!$B$7+S89*(Assumptions!$B$161*Assumptions!$B$20+Assumptions!$B$162*Assumptions!$B$21)/12/Assumptions!$B$7*S7,0)</f>
        <v/>
      </c>
      <c r="T104" s="61">
        <f>IF(T2&gt;=Assumptions!$B$52,T96*T17*Assumptions!$B$17+T90*(Assumptions!$B$163*MAX(0,Assumptions!$B$167-Assumptions!$B$18)+Assumptions!$B$164*MAX(0,Assumptions!$B$168-Assumptions!$B$18)+Assumptions!$B$165*MAX(0,Assumptions!$B$169-Assumptions!$B$18)+Assumptions!$B$166*MAX(0,Assumptions!$B$170-Assumptions!$B$18))*Assumptions!$B$19/Assumptions!$B$7*T7+T91*Assumptions!$B$20/Assumptions!$B$7+T89*(Assumptions!$B$161*Assumptions!$B$20+Assumptions!$B$162*Assumptions!$B$21)/12/Assumptions!$B$7*T7,0)</f>
        <v/>
      </c>
      <c r="U104" s="61">
        <f>IF(U2&gt;=Assumptions!$B$52,U96*U17*Assumptions!$B$17+U90*(Assumptions!$B$163*MAX(0,Assumptions!$B$167-Assumptions!$B$18)+Assumptions!$B$164*MAX(0,Assumptions!$B$168-Assumptions!$B$18)+Assumptions!$B$165*MAX(0,Assumptions!$B$169-Assumptions!$B$18)+Assumptions!$B$166*MAX(0,Assumptions!$B$170-Assumptions!$B$18))*Assumptions!$B$19/Assumptions!$B$7*U7+U91*Assumptions!$B$20/Assumptions!$B$7+U89*(Assumptions!$B$161*Assumptions!$B$20+Assumptions!$B$162*Assumptions!$B$21)/12/Assumptions!$B$7*U7,0)</f>
        <v/>
      </c>
      <c r="V104" s="61">
        <f>IF(V2&gt;=Assumptions!$B$52,V96*V17*Assumptions!$B$17+V90*(Assumptions!$B$163*MAX(0,Assumptions!$B$167-Assumptions!$B$18)+Assumptions!$B$164*MAX(0,Assumptions!$B$168-Assumptions!$B$18)+Assumptions!$B$165*MAX(0,Assumptions!$B$169-Assumptions!$B$18)+Assumptions!$B$166*MAX(0,Assumptions!$B$170-Assumptions!$B$18))*Assumptions!$B$19/Assumptions!$B$7*V7+V91*Assumptions!$B$20/Assumptions!$B$7+V89*(Assumptions!$B$161*Assumptions!$B$20+Assumptions!$B$162*Assumptions!$B$21)/12/Assumptions!$B$7*V7,0)</f>
        <v/>
      </c>
      <c r="W104" s="61">
        <f>IF(W2&gt;=Assumptions!$B$52,W96*W17*Assumptions!$B$17+W90*(Assumptions!$B$163*MAX(0,Assumptions!$B$167-Assumptions!$B$18)+Assumptions!$B$164*MAX(0,Assumptions!$B$168-Assumptions!$B$18)+Assumptions!$B$165*MAX(0,Assumptions!$B$169-Assumptions!$B$18)+Assumptions!$B$166*MAX(0,Assumptions!$B$170-Assumptions!$B$18))*Assumptions!$B$19/Assumptions!$B$7*W7+W91*Assumptions!$B$20/Assumptions!$B$7+W89*(Assumptions!$B$161*Assumptions!$B$20+Assumptions!$B$162*Assumptions!$B$21)/12/Assumptions!$B$7*W7,0)</f>
        <v/>
      </c>
      <c r="X104" s="61">
        <f>IF(X2&gt;=Assumptions!$B$52,X96*X17*Assumptions!$B$17+X90*(Assumptions!$B$163*MAX(0,Assumptions!$B$167-Assumptions!$B$18)+Assumptions!$B$164*MAX(0,Assumptions!$B$168-Assumptions!$B$18)+Assumptions!$B$165*MAX(0,Assumptions!$B$169-Assumptions!$B$18)+Assumptions!$B$166*MAX(0,Assumptions!$B$170-Assumptions!$B$18))*Assumptions!$B$19/Assumptions!$B$7*X7+X91*Assumptions!$B$20/Assumptions!$B$7+X89*(Assumptions!$B$161*Assumptions!$B$20+Assumptions!$B$162*Assumptions!$B$21)/12/Assumptions!$B$7*X7,0)</f>
        <v/>
      </c>
      <c r="Y104" s="61">
        <f>IF(Y2&gt;=Assumptions!$B$52,Y96*Y17*Assumptions!$B$17+Y90*(Assumptions!$B$163*MAX(0,Assumptions!$B$167-Assumptions!$B$18)+Assumptions!$B$164*MAX(0,Assumptions!$B$168-Assumptions!$B$18)+Assumptions!$B$165*MAX(0,Assumptions!$B$169-Assumptions!$B$18)+Assumptions!$B$166*MAX(0,Assumptions!$B$170-Assumptions!$B$18))*Assumptions!$B$19/Assumptions!$B$7*Y7+Y91*Assumptions!$B$20/Assumptions!$B$7+Y89*(Assumptions!$B$161*Assumptions!$B$20+Assumptions!$B$162*Assumptions!$B$21)/12/Assumptions!$B$7*Y7,0)</f>
        <v/>
      </c>
      <c r="Z104" s="61">
        <f>IF(Z2&gt;=Assumptions!$B$52,Z96*Z17*Assumptions!$B$17+Z90*(Assumptions!$B$163*MAX(0,Assumptions!$B$167-Assumptions!$B$18)+Assumptions!$B$164*MAX(0,Assumptions!$B$168-Assumptions!$B$18)+Assumptions!$B$165*MAX(0,Assumptions!$B$169-Assumptions!$B$18)+Assumptions!$B$166*MAX(0,Assumptions!$B$170-Assumptions!$B$18))*Assumptions!$B$19/Assumptions!$B$7*Z7+Z91*Assumptions!$B$20/Assumptions!$B$7+Z89*(Assumptions!$B$161*Assumptions!$B$20+Assumptions!$B$162*Assumptions!$B$21)/12/Assumptions!$B$7*Z7,0)</f>
        <v/>
      </c>
      <c r="AA104" s="61">
        <f>IF(AA2&gt;=Assumptions!$B$52,AA96*AA17*Assumptions!$B$17+AA90*(Assumptions!$B$163*MAX(0,Assumptions!$B$167-Assumptions!$B$18)+Assumptions!$B$164*MAX(0,Assumptions!$B$168-Assumptions!$B$18)+Assumptions!$B$165*MAX(0,Assumptions!$B$169-Assumptions!$B$18)+Assumptions!$B$166*MAX(0,Assumptions!$B$170-Assumptions!$B$18))*Assumptions!$B$19/Assumptions!$B$7*AA7+AA91*Assumptions!$B$20/Assumptions!$B$7+AA89*(Assumptions!$B$161*Assumptions!$B$20+Assumptions!$B$162*Assumptions!$B$21)/12/Assumptions!$B$7*AA7,0)</f>
        <v/>
      </c>
      <c r="AB104" s="61">
        <f>IF(AB2&gt;=Assumptions!$B$52,AB96*AB17*Assumptions!$B$17+AB90*(Assumptions!$B$163*MAX(0,Assumptions!$B$167-Assumptions!$B$18)+Assumptions!$B$164*MAX(0,Assumptions!$B$168-Assumptions!$B$18)+Assumptions!$B$165*MAX(0,Assumptions!$B$169-Assumptions!$B$18)+Assumptions!$B$166*MAX(0,Assumptions!$B$170-Assumptions!$B$18))*Assumptions!$B$19/Assumptions!$B$7*AB7+AB91*Assumptions!$B$20/Assumptions!$B$7+AB89*(Assumptions!$B$161*Assumptions!$B$20+Assumptions!$B$162*Assumptions!$B$21)/12/Assumptions!$B$7*AB7,0)</f>
        <v/>
      </c>
      <c r="AC104" s="61">
        <f>IF(AC2&gt;=Assumptions!$B$52,AC96*AC17*Assumptions!$B$17+AC90*(Assumptions!$B$163*MAX(0,Assumptions!$B$167-Assumptions!$B$18)+Assumptions!$B$164*MAX(0,Assumptions!$B$168-Assumptions!$B$18)+Assumptions!$B$165*MAX(0,Assumptions!$B$169-Assumptions!$B$18)+Assumptions!$B$166*MAX(0,Assumptions!$B$170-Assumptions!$B$18))*Assumptions!$B$19/Assumptions!$B$7*AC7+AC91*Assumptions!$B$20/Assumptions!$B$7+AC89*(Assumptions!$B$161*Assumptions!$B$20+Assumptions!$B$162*Assumptions!$B$21)/12/Assumptions!$B$7*AC7,0)</f>
        <v/>
      </c>
      <c r="AD104" s="61">
        <f>IF(AD2&gt;=Assumptions!$B$52,AD96*AD17*Assumptions!$B$17+AD90*(Assumptions!$B$163*MAX(0,Assumptions!$B$167-Assumptions!$B$18)+Assumptions!$B$164*MAX(0,Assumptions!$B$168-Assumptions!$B$18)+Assumptions!$B$165*MAX(0,Assumptions!$B$169-Assumptions!$B$18)+Assumptions!$B$166*MAX(0,Assumptions!$B$170-Assumptions!$B$18))*Assumptions!$B$19/Assumptions!$B$7*AD7+AD91*Assumptions!$B$20/Assumptions!$B$7+AD89*(Assumptions!$B$161*Assumptions!$B$20+Assumptions!$B$162*Assumptions!$B$21)/12/Assumptions!$B$7*AD7,0)</f>
        <v/>
      </c>
      <c r="AE104" s="61">
        <f>IF(AE2&gt;=Assumptions!$B$52,AE96*AE17*Assumptions!$B$17+AE90*(Assumptions!$B$163*MAX(0,Assumptions!$B$167-Assumptions!$B$18)+Assumptions!$B$164*MAX(0,Assumptions!$B$168-Assumptions!$B$18)+Assumptions!$B$165*MAX(0,Assumptions!$B$169-Assumptions!$B$18)+Assumptions!$B$166*MAX(0,Assumptions!$B$170-Assumptions!$B$18))*Assumptions!$B$19/Assumptions!$B$7*AE7+AE91*Assumptions!$B$20/Assumptions!$B$7+AE89*(Assumptions!$B$161*Assumptions!$B$20+Assumptions!$B$162*Assumptions!$B$21)/12/Assumptions!$B$7*AE7,0)</f>
        <v/>
      </c>
    </row>
    <row r="105">
      <c r="A105" s="6" t="inlineStr">
        <is>
          <t xml:space="preserve">  Average drawn balance outstanding</t>
        </is>
      </c>
      <c r="B105" s="23" t="inlineStr">
        <is>
          <t>USD</t>
        </is>
      </c>
      <c r="C105" s="61">
        <f>IF(C2&gt;=Assumptions!$B$53,C89*C92*(1-Assumptions!$B$227)*Assumptions!$B$171*Assumptions!$B$172,0)</f>
        <v/>
      </c>
      <c r="D105" s="61">
        <f>IF(D2&gt;=Assumptions!$B$53,D89*D92*(1-Assumptions!$B$227)*Assumptions!$B$171*Assumptions!$B$172,0)</f>
        <v/>
      </c>
      <c r="E105" s="61">
        <f>IF(E2&gt;=Assumptions!$B$53,E89*E92*(1-Assumptions!$B$227)*Assumptions!$B$171*Assumptions!$B$172,0)</f>
        <v/>
      </c>
      <c r="F105" s="61">
        <f>IF(F2&gt;=Assumptions!$B$53,F89*F92*(1-Assumptions!$B$227)*Assumptions!$B$171*Assumptions!$B$172,0)</f>
        <v/>
      </c>
      <c r="G105" s="61">
        <f>IF(G2&gt;=Assumptions!$B$53,G89*G92*(1-Assumptions!$B$227)*Assumptions!$B$171*Assumptions!$B$172,0)</f>
        <v/>
      </c>
      <c r="H105" s="61">
        <f>IF(H2&gt;=Assumptions!$B$53,H89*H92*(1-Assumptions!$B$227)*Assumptions!$B$171*Assumptions!$B$172,0)</f>
        <v/>
      </c>
      <c r="I105" s="61">
        <f>IF(I2&gt;=Assumptions!$B$53,I89*I92*(1-Assumptions!$B$227)*Assumptions!$B$171*Assumptions!$B$172,0)</f>
        <v/>
      </c>
      <c r="J105" s="61">
        <f>IF(J2&gt;=Assumptions!$B$53,J89*J92*(1-Assumptions!$B$227)*Assumptions!$B$171*Assumptions!$B$172,0)</f>
        <v/>
      </c>
      <c r="K105" s="61">
        <f>IF(K2&gt;=Assumptions!$B$53,K89*K92*(1-Assumptions!$B$227)*Assumptions!$B$171*Assumptions!$B$172,0)</f>
        <v/>
      </c>
      <c r="L105" s="61">
        <f>IF(L2&gt;=Assumptions!$B$53,L89*L92*(1-Assumptions!$B$227)*Assumptions!$B$171*Assumptions!$B$172,0)</f>
        <v/>
      </c>
      <c r="M105" s="61">
        <f>IF(M2&gt;=Assumptions!$B$53,M89*M92*(1-Assumptions!$B$227)*Assumptions!$B$171*Assumptions!$B$172,0)</f>
        <v/>
      </c>
      <c r="N105" s="61">
        <f>IF(N2&gt;=Assumptions!$B$53,N89*N92*(1-Assumptions!$B$227)*Assumptions!$B$171*Assumptions!$B$172,0)</f>
        <v/>
      </c>
      <c r="O105" s="61">
        <f>IF(O2&gt;=Assumptions!$B$53,O89*O92*(1-Assumptions!$B$227)*Assumptions!$B$171*Assumptions!$B$172,0)</f>
        <v/>
      </c>
      <c r="P105" s="61">
        <f>IF(P2&gt;=Assumptions!$B$53,P89*P92*(1-Assumptions!$B$227)*Assumptions!$B$171*Assumptions!$B$172,0)</f>
        <v/>
      </c>
      <c r="Q105" s="61">
        <f>IF(Q2&gt;=Assumptions!$B$53,Q89*Q92*(1-Assumptions!$B$227)*Assumptions!$B$171*Assumptions!$B$172,0)</f>
        <v/>
      </c>
      <c r="R105" s="61">
        <f>IF(R2&gt;=Assumptions!$B$53,R89*R92*(1-Assumptions!$B$227)*Assumptions!$B$171*Assumptions!$B$172,0)</f>
        <v/>
      </c>
      <c r="S105" s="61">
        <f>IF(S2&gt;=Assumptions!$B$53,S89*S92*(1-Assumptions!$B$227)*Assumptions!$B$171*Assumptions!$B$172,0)</f>
        <v/>
      </c>
      <c r="T105" s="61">
        <f>IF(T2&gt;=Assumptions!$B$53,T89*T92*(1-Assumptions!$B$227)*Assumptions!$B$171*Assumptions!$B$172,0)</f>
        <v/>
      </c>
      <c r="U105" s="61">
        <f>IF(U2&gt;=Assumptions!$B$53,U89*U92*(1-Assumptions!$B$227)*Assumptions!$B$171*Assumptions!$B$172,0)</f>
        <v/>
      </c>
      <c r="V105" s="61">
        <f>IF(V2&gt;=Assumptions!$B$53,V89*V92*(1-Assumptions!$B$227)*Assumptions!$B$171*Assumptions!$B$172,0)</f>
        <v/>
      </c>
      <c r="W105" s="61">
        <f>IF(W2&gt;=Assumptions!$B$53,W89*W92*(1-Assumptions!$B$227)*Assumptions!$B$171*Assumptions!$B$172,0)</f>
        <v/>
      </c>
      <c r="X105" s="61">
        <f>IF(X2&gt;=Assumptions!$B$53,X89*X92*(1-Assumptions!$B$227)*Assumptions!$B$171*Assumptions!$B$172,0)</f>
        <v/>
      </c>
      <c r="Y105" s="61">
        <f>IF(Y2&gt;=Assumptions!$B$53,Y89*Y92*(1-Assumptions!$B$227)*Assumptions!$B$171*Assumptions!$B$172,0)</f>
        <v/>
      </c>
      <c r="Z105" s="61">
        <f>IF(Z2&gt;=Assumptions!$B$53,Z89*Z92*(1-Assumptions!$B$227)*Assumptions!$B$171*Assumptions!$B$172,0)</f>
        <v/>
      </c>
      <c r="AA105" s="61">
        <f>IF(AA2&gt;=Assumptions!$B$53,AA89*AA92*(1-Assumptions!$B$227)*Assumptions!$B$171*Assumptions!$B$172,0)</f>
        <v/>
      </c>
      <c r="AB105" s="61">
        <f>IF(AB2&gt;=Assumptions!$B$53,AB89*AB92*(1-Assumptions!$B$227)*Assumptions!$B$171*Assumptions!$B$172,0)</f>
        <v/>
      </c>
      <c r="AC105" s="61">
        <f>IF(AC2&gt;=Assumptions!$B$53,AC89*AC92*(1-Assumptions!$B$227)*Assumptions!$B$171*Assumptions!$B$172,0)</f>
        <v/>
      </c>
      <c r="AD105" s="61">
        <f>IF(AD2&gt;=Assumptions!$B$53,AD89*AD92*(1-Assumptions!$B$227)*Assumptions!$B$171*Assumptions!$B$172,0)</f>
        <v/>
      </c>
      <c r="AE105" s="61">
        <f>IF(AE2&gt;=Assumptions!$B$53,AE89*AE92*(1-Assumptions!$B$227)*Assumptions!$B$171*Assumptions!$B$172,0)</f>
        <v/>
      </c>
    </row>
    <row r="106">
      <c r="A106" s="6" t="inlineStr">
        <is>
          <t xml:space="preserve">  Stream 5 - Lending revenue share</t>
        </is>
      </c>
      <c r="B106" s="23" t="inlineStr">
        <is>
          <t>USD</t>
        </is>
      </c>
      <c r="C106" s="61">
        <f>IF(C2&gt;=Assumptions!$B$53,(C105*Assumptions!$B$29*Assumptions!$B$30+C90*C93*(1-Assumptions!$B$227)*Assumptions!$B$27*Assumptions!$B$28)*C7/12,0)</f>
        <v/>
      </c>
      <c r="D106" s="61">
        <f>IF(D2&gt;=Assumptions!$B$53,(D105*Assumptions!$B$29*Assumptions!$B$30+D90*D93*(1-Assumptions!$B$227)*Assumptions!$B$27*Assumptions!$B$28)*D7/12,0)</f>
        <v/>
      </c>
      <c r="E106" s="61">
        <f>IF(E2&gt;=Assumptions!$B$53,(E105*Assumptions!$B$29*Assumptions!$B$30+E90*E93*(1-Assumptions!$B$227)*Assumptions!$B$27*Assumptions!$B$28)*E7/12,0)</f>
        <v/>
      </c>
      <c r="F106" s="61">
        <f>IF(F2&gt;=Assumptions!$B$53,(F105*Assumptions!$B$29*Assumptions!$B$30+F90*F93*(1-Assumptions!$B$227)*Assumptions!$B$27*Assumptions!$B$28)*F7/12,0)</f>
        <v/>
      </c>
      <c r="G106" s="61">
        <f>IF(G2&gt;=Assumptions!$B$53,(G105*Assumptions!$B$29*Assumptions!$B$30+G90*G93*(1-Assumptions!$B$227)*Assumptions!$B$27*Assumptions!$B$28)*G7/12,0)</f>
        <v/>
      </c>
      <c r="H106" s="61">
        <f>IF(H2&gt;=Assumptions!$B$53,(H105*Assumptions!$B$29*Assumptions!$B$30+H90*H93*(1-Assumptions!$B$227)*Assumptions!$B$27*Assumptions!$B$28)*H7/12,0)</f>
        <v/>
      </c>
      <c r="I106" s="61">
        <f>IF(I2&gt;=Assumptions!$B$53,(I105*Assumptions!$B$29*Assumptions!$B$30+I90*I93*(1-Assumptions!$B$227)*Assumptions!$B$27*Assumptions!$B$28)*I7/12,0)</f>
        <v/>
      </c>
      <c r="J106" s="61">
        <f>IF(J2&gt;=Assumptions!$B$53,(J105*Assumptions!$B$29*Assumptions!$B$30+J90*J93*(1-Assumptions!$B$227)*Assumptions!$B$27*Assumptions!$B$28)*J7/12,0)</f>
        <v/>
      </c>
      <c r="K106" s="61">
        <f>IF(K2&gt;=Assumptions!$B$53,(K105*Assumptions!$B$29*Assumptions!$B$30+K90*K93*(1-Assumptions!$B$227)*Assumptions!$B$27*Assumptions!$B$28)*K7/12,0)</f>
        <v/>
      </c>
      <c r="L106" s="61">
        <f>IF(L2&gt;=Assumptions!$B$53,(L105*Assumptions!$B$29*Assumptions!$B$30+L90*L93*(1-Assumptions!$B$227)*Assumptions!$B$27*Assumptions!$B$28)*L7/12,0)</f>
        <v/>
      </c>
      <c r="M106" s="61">
        <f>IF(M2&gt;=Assumptions!$B$53,(M105*Assumptions!$B$29*Assumptions!$B$30+M90*M93*(1-Assumptions!$B$227)*Assumptions!$B$27*Assumptions!$B$28)*M7/12,0)</f>
        <v/>
      </c>
      <c r="N106" s="61">
        <f>IF(N2&gt;=Assumptions!$B$53,(N105*Assumptions!$B$29*Assumptions!$B$30+N90*N93*(1-Assumptions!$B$227)*Assumptions!$B$27*Assumptions!$B$28)*N7/12,0)</f>
        <v/>
      </c>
      <c r="O106" s="61">
        <f>IF(O2&gt;=Assumptions!$B$53,(O105*Assumptions!$B$29*Assumptions!$B$30+O90*O93*(1-Assumptions!$B$227)*Assumptions!$B$27*Assumptions!$B$28)*O7/12,0)</f>
        <v/>
      </c>
      <c r="P106" s="61">
        <f>IF(P2&gt;=Assumptions!$B$53,(P105*Assumptions!$B$29*Assumptions!$B$30+P90*P93*(1-Assumptions!$B$227)*Assumptions!$B$27*Assumptions!$B$28)*P7/12,0)</f>
        <v/>
      </c>
      <c r="Q106" s="61">
        <f>IF(Q2&gt;=Assumptions!$B$53,(Q105*Assumptions!$B$29*Assumptions!$B$30+Q90*Q93*(1-Assumptions!$B$227)*Assumptions!$B$27*Assumptions!$B$28)*Q7/12,0)</f>
        <v/>
      </c>
      <c r="R106" s="61">
        <f>IF(R2&gt;=Assumptions!$B$53,(R105*Assumptions!$B$29*Assumptions!$B$30+R90*R93*(1-Assumptions!$B$227)*Assumptions!$B$27*Assumptions!$B$28)*R7/12,0)</f>
        <v/>
      </c>
      <c r="S106" s="61">
        <f>IF(S2&gt;=Assumptions!$B$53,(S105*Assumptions!$B$29*Assumptions!$B$30+S90*S93*(1-Assumptions!$B$227)*Assumptions!$B$27*Assumptions!$B$28)*S7/12,0)</f>
        <v/>
      </c>
      <c r="T106" s="61">
        <f>IF(T2&gt;=Assumptions!$B$53,(T105*Assumptions!$B$29*Assumptions!$B$30+T90*T93*(1-Assumptions!$B$227)*Assumptions!$B$27*Assumptions!$B$28)*T7/12,0)</f>
        <v/>
      </c>
      <c r="U106" s="61">
        <f>IF(U2&gt;=Assumptions!$B$53,(U105*Assumptions!$B$29*Assumptions!$B$30+U90*U93*(1-Assumptions!$B$227)*Assumptions!$B$27*Assumptions!$B$28)*U7/12,0)</f>
        <v/>
      </c>
      <c r="V106" s="61">
        <f>IF(V2&gt;=Assumptions!$B$53,(V105*Assumptions!$B$29*Assumptions!$B$30+V90*V93*(1-Assumptions!$B$227)*Assumptions!$B$27*Assumptions!$B$28)*V7/12,0)</f>
        <v/>
      </c>
      <c r="W106" s="61">
        <f>IF(W2&gt;=Assumptions!$B$53,(W105*Assumptions!$B$29*Assumptions!$B$30+W90*W93*(1-Assumptions!$B$227)*Assumptions!$B$27*Assumptions!$B$28)*W7/12,0)</f>
        <v/>
      </c>
      <c r="X106" s="61">
        <f>IF(X2&gt;=Assumptions!$B$53,(X105*Assumptions!$B$29*Assumptions!$B$30+X90*X93*(1-Assumptions!$B$227)*Assumptions!$B$27*Assumptions!$B$28)*X7/12,0)</f>
        <v/>
      </c>
      <c r="Y106" s="61">
        <f>IF(Y2&gt;=Assumptions!$B$53,(Y105*Assumptions!$B$29*Assumptions!$B$30+Y90*Y93*(1-Assumptions!$B$227)*Assumptions!$B$27*Assumptions!$B$28)*Y7/12,0)</f>
        <v/>
      </c>
      <c r="Z106" s="61">
        <f>IF(Z2&gt;=Assumptions!$B$53,(Z105*Assumptions!$B$29*Assumptions!$B$30+Z90*Z93*(1-Assumptions!$B$227)*Assumptions!$B$27*Assumptions!$B$28)*Z7/12,0)</f>
        <v/>
      </c>
      <c r="AA106" s="61">
        <f>IF(AA2&gt;=Assumptions!$B$53,(AA105*Assumptions!$B$29*Assumptions!$B$30+AA90*AA93*(1-Assumptions!$B$227)*Assumptions!$B$27*Assumptions!$B$28)*AA7/12,0)</f>
        <v/>
      </c>
      <c r="AB106" s="61">
        <f>IF(AB2&gt;=Assumptions!$B$53,(AB105*Assumptions!$B$29*Assumptions!$B$30+AB90*AB93*(1-Assumptions!$B$227)*Assumptions!$B$27*Assumptions!$B$28)*AB7/12,0)</f>
        <v/>
      </c>
      <c r="AC106" s="61">
        <f>IF(AC2&gt;=Assumptions!$B$53,(AC105*Assumptions!$B$29*Assumptions!$B$30+AC90*AC93*(1-Assumptions!$B$227)*Assumptions!$B$27*Assumptions!$B$28)*AC7/12,0)</f>
        <v/>
      </c>
      <c r="AD106" s="61">
        <f>IF(AD2&gt;=Assumptions!$B$53,(AD105*Assumptions!$B$29*Assumptions!$B$30+AD90*AD93*(1-Assumptions!$B$227)*Assumptions!$B$27*Assumptions!$B$28)*AD7/12,0)</f>
        <v/>
      </c>
      <c r="AE106" s="61">
        <f>IF(AE2&gt;=Assumptions!$B$53,(AE105*Assumptions!$B$29*Assumptions!$B$30+AE90*AE93*(1-Assumptions!$B$227)*Assumptions!$B$27*Assumptions!$B$28)*AE7/12,0)</f>
        <v/>
      </c>
    </row>
    <row r="107">
      <c r="A107" s="6" t="inlineStr">
        <is>
          <t xml:space="preserve">  Redemption events (memo - drives cost, not revenue)</t>
        </is>
      </c>
      <c r="B107" s="23" t="inlineStr">
        <is>
          <t>events</t>
        </is>
      </c>
      <c r="C107" s="50">
        <f>IF(C2&gt;=Assumptions!$B$49,(C75+C77*Assumptions!$B$153)*Assumptions!$B$152*C7/12,0)</f>
        <v/>
      </c>
      <c r="D107" s="50">
        <f>IF(D2&gt;=Assumptions!$B$49,(D75+D77*Assumptions!$B$153)*Assumptions!$B$152*D7/12,0)</f>
        <v/>
      </c>
      <c r="E107" s="50">
        <f>IF(E2&gt;=Assumptions!$B$49,(E75+E77*Assumptions!$B$153)*Assumptions!$B$152*E7/12,0)</f>
        <v/>
      </c>
      <c r="F107" s="50">
        <f>IF(F2&gt;=Assumptions!$B$49,(F75+F77*Assumptions!$B$153)*Assumptions!$B$152*F7/12,0)</f>
        <v/>
      </c>
      <c r="G107" s="50">
        <f>IF(G2&gt;=Assumptions!$B$49,(G75+G77*Assumptions!$B$153)*Assumptions!$B$152*G7/12,0)</f>
        <v/>
      </c>
      <c r="H107" s="50">
        <f>IF(H2&gt;=Assumptions!$B$49,(H75+H77*Assumptions!$B$153)*Assumptions!$B$152*H7/12,0)</f>
        <v/>
      </c>
      <c r="I107" s="50">
        <f>IF(I2&gt;=Assumptions!$B$49,(I75+I77*Assumptions!$B$153)*Assumptions!$B$152*I7/12,0)</f>
        <v/>
      </c>
      <c r="J107" s="50">
        <f>IF(J2&gt;=Assumptions!$B$49,(J75+J77*Assumptions!$B$153)*Assumptions!$B$152*J7/12,0)</f>
        <v/>
      </c>
      <c r="K107" s="50">
        <f>IF(K2&gt;=Assumptions!$B$49,(K75+K77*Assumptions!$B$153)*Assumptions!$B$152*K7/12,0)</f>
        <v/>
      </c>
      <c r="L107" s="50">
        <f>IF(L2&gt;=Assumptions!$B$49,(L75+L77*Assumptions!$B$153)*Assumptions!$B$152*L7/12,0)</f>
        <v/>
      </c>
      <c r="M107" s="50">
        <f>IF(M2&gt;=Assumptions!$B$49,(M75+M77*Assumptions!$B$153)*Assumptions!$B$152*M7/12,0)</f>
        <v/>
      </c>
      <c r="N107" s="50">
        <f>IF(N2&gt;=Assumptions!$B$49,(N75+N77*Assumptions!$B$153)*Assumptions!$B$152*N7/12,0)</f>
        <v/>
      </c>
      <c r="O107" s="50">
        <f>IF(O2&gt;=Assumptions!$B$49,(O75+O77*Assumptions!$B$153)*Assumptions!$B$152*O7/12,0)</f>
        <v/>
      </c>
      <c r="P107" s="50">
        <f>IF(P2&gt;=Assumptions!$B$49,(P75+P77*Assumptions!$B$153)*Assumptions!$B$152*P7/12,0)</f>
        <v/>
      </c>
      <c r="Q107" s="50">
        <f>IF(Q2&gt;=Assumptions!$B$49,(Q75+Q77*Assumptions!$B$153)*Assumptions!$B$152*Q7/12,0)</f>
        <v/>
      </c>
      <c r="R107" s="50">
        <f>IF(R2&gt;=Assumptions!$B$49,(R75+R77*Assumptions!$B$153)*Assumptions!$B$152*R7/12,0)</f>
        <v/>
      </c>
      <c r="S107" s="50">
        <f>IF(S2&gt;=Assumptions!$B$49,(S75+S77*Assumptions!$B$153)*Assumptions!$B$152*S7/12,0)</f>
        <v/>
      </c>
      <c r="T107" s="50">
        <f>IF(T2&gt;=Assumptions!$B$49,(T75+T77*Assumptions!$B$153)*Assumptions!$B$152*T7/12,0)</f>
        <v/>
      </c>
      <c r="U107" s="50">
        <f>IF(U2&gt;=Assumptions!$B$49,(U75+U77*Assumptions!$B$153)*Assumptions!$B$152*U7/12,0)</f>
        <v/>
      </c>
      <c r="V107" s="50">
        <f>IF(V2&gt;=Assumptions!$B$49,(V75+V77*Assumptions!$B$153)*Assumptions!$B$152*V7/12,0)</f>
        <v/>
      </c>
      <c r="W107" s="50">
        <f>IF(W2&gt;=Assumptions!$B$49,(W75+W77*Assumptions!$B$153)*Assumptions!$B$152*W7/12,0)</f>
        <v/>
      </c>
      <c r="X107" s="50">
        <f>IF(X2&gt;=Assumptions!$B$49,(X75+X77*Assumptions!$B$153)*Assumptions!$B$152*X7/12,0)</f>
        <v/>
      </c>
      <c r="Y107" s="50">
        <f>IF(Y2&gt;=Assumptions!$B$49,(Y75+Y77*Assumptions!$B$153)*Assumptions!$B$152*Y7/12,0)</f>
        <v/>
      </c>
      <c r="Z107" s="50">
        <f>IF(Z2&gt;=Assumptions!$B$49,(Z75+Z77*Assumptions!$B$153)*Assumptions!$B$152*Z7/12,0)</f>
        <v/>
      </c>
      <c r="AA107" s="50">
        <f>IF(AA2&gt;=Assumptions!$B$49,(AA75+AA77*Assumptions!$B$153)*Assumptions!$B$152*AA7/12,0)</f>
        <v/>
      </c>
      <c r="AB107" s="50">
        <f>IF(AB2&gt;=Assumptions!$B$49,(AB75+AB77*Assumptions!$B$153)*Assumptions!$B$152*AB7/12,0)</f>
        <v/>
      </c>
      <c r="AC107" s="50">
        <f>IF(AC2&gt;=Assumptions!$B$49,(AC75+AC77*Assumptions!$B$153)*Assumptions!$B$152*AC7/12,0)</f>
        <v/>
      </c>
      <c r="AD107" s="50">
        <f>IF(AD2&gt;=Assumptions!$B$49,(AD75+AD77*Assumptions!$B$153)*Assumptions!$B$152*AD7/12,0)</f>
        <v/>
      </c>
      <c r="AE107" s="50">
        <f>IF(AE2&gt;=Assumptions!$B$49,(AE75+AE77*Assumptions!$B$153)*Assumptions!$B$152*AE7/12,0)</f>
        <v/>
      </c>
    </row>
    <row r="108">
      <c r="A108" s="3" t="inlineStr">
        <is>
          <t xml:space="preserve">  SUBTOTAL - Oman and Bahrain</t>
        </is>
      </c>
      <c r="B108" s="23" t="inlineStr">
        <is>
          <t>USD</t>
        </is>
      </c>
      <c r="C108" s="63">
        <f>C99+C100+C101+C103+C104+C106</f>
        <v/>
      </c>
      <c r="D108" s="63">
        <f>D99+D100+D101+D103+D104+D106</f>
        <v/>
      </c>
      <c r="E108" s="63">
        <f>E99+E100+E101+E103+E104+E106</f>
        <v/>
      </c>
      <c r="F108" s="63">
        <f>F99+F100+F101+F103+F104+F106</f>
        <v/>
      </c>
      <c r="G108" s="63">
        <f>G99+G100+G101+G103+G104+G106</f>
        <v/>
      </c>
      <c r="H108" s="63">
        <f>H99+H100+H101+H103+H104+H106</f>
        <v/>
      </c>
      <c r="I108" s="63">
        <f>I99+I100+I101+I103+I104+I106</f>
        <v/>
      </c>
      <c r="J108" s="63">
        <f>J99+J100+J101+J103+J104+J106</f>
        <v/>
      </c>
      <c r="K108" s="63">
        <f>K99+K100+K101+K103+K104+K106</f>
        <v/>
      </c>
      <c r="L108" s="63">
        <f>L99+L100+L101+L103+L104+L106</f>
        <v/>
      </c>
      <c r="M108" s="63">
        <f>M99+M100+M101+M103+M104+M106</f>
        <v/>
      </c>
      <c r="N108" s="63">
        <f>N99+N100+N101+N103+N104+N106</f>
        <v/>
      </c>
      <c r="O108" s="63">
        <f>O99+O100+O101+O103+O104+O106</f>
        <v/>
      </c>
      <c r="P108" s="63">
        <f>P99+P100+P101+P103+P104+P106</f>
        <v/>
      </c>
      <c r="Q108" s="63">
        <f>Q99+Q100+Q101+Q103+Q104+Q106</f>
        <v/>
      </c>
      <c r="R108" s="63">
        <f>R99+R100+R101+R103+R104+R106</f>
        <v/>
      </c>
      <c r="S108" s="63">
        <f>S99+S100+S101+S103+S104+S106</f>
        <v/>
      </c>
      <c r="T108" s="63">
        <f>T99+T100+T101+T103+T104+T106</f>
        <v/>
      </c>
      <c r="U108" s="63">
        <f>U99+U100+U101+U103+U104+U106</f>
        <v/>
      </c>
      <c r="V108" s="63">
        <f>V99+V100+V101+V103+V104+V106</f>
        <v/>
      </c>
      <c r="W108" s="63">
        <f>W99+W100+W101+W103+W104+W106</f>
        <v/>
      </c>
      <c r="X108" s="63">
        <f>X99+X100+X101+X103+X104+X106</f>
        <v/>
      </c>
      <c r="Y108" s="63">
        <f>Y99+Y100+Y101+Y103+Y104+Y106</f>
        <v/>
      </c>
      <c r="Z108" s="63">
        <f>Z99+Z100+Z101+Z103+Z104+Z106</f>
        <v/>
      </c>
      <c r="AA108" s="63">
        <f>AA99+AA100+AA101+AA103+AA104+AA106</f>
        <v/>
      </c>
      <c r="AB108" s="63">
        <f>AB99+AB100+AB101+AB103+AB104+AB106</f>
        <v/>
      </c>
      <c r="AC108" s="63">
        <f>AC99+AC100+AC101+AC103+AC104+AC106</f>
        <v/>
      </c>
      <c r="AD108" s="63">
        <f>AD99+AD100+AD101+AD103+AD104+AD106</f>
        <v/>
      </c>
      <c r="AE108" s="63">
        <f>AE99+AE100+AE101+AE103+AE104+AE106</f>
        <v/>
      </c>
    </row>
    <row r="110">
      <c r="A110" s="51" t="inlineStr">
        <is>
          <t>REGION: INDIA</t>
        </is>
      </c>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row>
    <row r="111">
      <c r="A111" s="6" t="inlineStr">
        <is>
          <t xml:space="preserve">  Marketing CAC this period (ramping Y1 to Y7)</t>
        </is>
      </c>
      <c r="B111" s="23" t="inlineStr">
        <is>
          <t>USD/customer</t>
        </is>
      </c>
      <c r="C111" s="59">
        <f>Assumptions!$B$138+(Assumptions!$B$141-Assumptions!$B$138)*(C5-1)/6</f>
        <v/>
      </c>
      <c r="D111" s="59">
        <f>Assumptions!$B$138+(Assumptions!$B$141-Assumptions!$B$138)*(D5-1)/6</f>
        <v/>
      </c>
      <c r="E111" s="59">
        <f>Assumptions!$B$138+(Assumptions!$B$141-Assumptions!$B$138)*(E5-1)/6</f>
        <v/>
      </c>
      <c r="F111" s="59">
        <f>Assumptions!$B$138+(Assumptions!$B$141-Assumptions!$B$138)*(F5-1)/6</f>
        <v/>
      </c>
      <c r="G111" s="59">
        <f>Assumptions!$B$138+(Assumptions!$B$141-Assumptions!$B$138)*(G5-1)/6</f>
        <v/>
      </c>
      <c r="H111" s="59">
        <f>Assumptions!$B$138+(Assumptions!$B$141-Assumptions!$B$138)*(H5-1)/6</f>
        <v/>
      </c>
      <c r="I111" s="59">
        <f>Assumptions!$B$138+(Assumptions!$B$141-Assumptions!$B$138)*(I5-1)/6</f>
        <v/>
      </c>
      <c r="J111" s="59">
        <f>Assumptions!$B$138+(Assumptions!$B$141-Assumptions!$B$138)*(J5-1)/6</f>
        <v/>
      </c>
      <c r="K111" s="59">
        <f>Assumptions!$B$138+(Assumptions!$B$141-Assumptions!$B$138)*(K5-1)/6</f>
        <v/>
      </c>
      <c r="L111" s="59">
        <f>Assumptions!$B$138+(Assumptions!$B$141-Assumptions!$B$138)*(L5-1)/6</f>
        <v/>
      </c>
      <c r="M111" s="59">
        <f>Assumptions!$B$138+(Assumptions!$B$141-Assumptions!$B$138)*(M5-1)/6</f>
        <v/>
      </c>
      <c r="N111" s="59">
        <f>Assumptions!$B$138+(Assumptions!$B$141-Assumptions!$B$138)*(N5-1)/6</f>
        <v/>
      </c>
      <c r="O111" s="59">
        <f>Assumptions!$B$138+(Assumptions!$B$141-Assumptions!$B$138)*(O5-1)/6</f>
        <v/>
      </c>
      <c r="P111" s="59">
        <f>Assumptions!$B$138+(Assumptions!$B$141-Assumptions!$B$138)*(P5-1)/6</f>
        <v/>
      </c>
      <c r="Q111" s="59">
        <f>Assumptions!$B$138+(Assumptions!$B$141-Assumptions!$B$138)*(Q5-1)/6</f>
        <v/>
      </c>
      <c r="R111" s="59">
        <f>Assumptions!$B$138+(Assumptions!$B$141-Assumptions!$B$138)*(R5-1)/6</f>
        <v/>
      </c>
      <c r="S111" s="59">
        <f>Assumptions!$B$138+(Assumptions!$B$141-Assumptions!$B$138)*(S5-1)/6</f>
        <v/>
      </c>
      <c r="T111" s="59">
        <f>Assumptions!$B$138+(Assumptions!$B$141-Assumptions!$B$138)*(T5-1)/6</f>
        <v/>
      </c>
      <c r="U111" s="59">
        <f>Assumptions!$B$138+(Assumptions!$B$141-Assumptions!$B$138)*(U5-1)/6</f>
        <v/>
      </c>
      <c r="V111" s="59">
        <f>Assumptions!$B$138+(Assumptions!$B$141-Assumptions!$B$138)*(V5-1)/6</f>
        <v/>
      </c>
      <c r="W111" s="59">
        <f>Assumptions!$B$138+(Assumptions!$B$141-Assumptions!$B$138)*(W5-1)/6</f>
        <v/>
      </c>
      <c r="X111" s="59">
        <f>Assumptions!$B$138+(Assumptions!$B$141-Assumptions!$B$138)*(X5-1)/6</f>
        <v/>
      </c>
      <c r="Y111" s="59">
        <f>Assumptions!$B$138+(Assumptions!$B$141-Assumptions!$B$138)*(Y5-1)/6</f>
        <v/>
      </c>
      <c r="Z111" s="59">
        <f>Assumptions!$B$138+(Assumptions!$B$141-Assumptions!$B$138)*(Z5-1)/6</f>
        <v/>
      </c>
      <c r="AA111" s="59">
        <f>Assumptions!$B$138+(Assumptions!$B$141-Assumptions!$B$138)*(AA5-1)/6</f>
        <v/>
      </c>
      <c r="AB111" s="59">
        <f>Assumptions!$B$138+(Assumptions!$B$141-Assumptions!$B$138)*(AB5-1)/6</f>
        <v/>
      </c>
      <c r="AC111" s="59">
        <f>Assumptions!$B$138+(Assumptions!$B$141-Assumptions!$B$138)*(AC5-1)/6</f>
        <v/>
      </c>
      <c r="AD111" s="59">
        <f>Assumptions!$B$138+(Assumptions!$B$141-Assumptions!$B$138)*(AD5-1)/6</f>
        <v/>
      </c>
      <c r="AE111" s="59">
        <f>Assumptions!$B$138+(Assumptions!$B$141-Assumptions!$B$138)*(AE5-1)/6</f>
        <v/>
      </c>
    </row>
    <row r="112">
      <c r="A112" s="6" t="inlineStr">
        <is>
          <t xml:space="preserve">  Direct-driven (this market's budget at its own CAC)</t>
        </is>
      </c>
      <c r="B112" s="23" t="inlineStr">
        <is>
          <t>accounts</t>
        </is>
      </c>
      <c r="C112" s="58">
        <f>INDEX(Assumptions!$B$114:$B$120,C5)*Assumptions!$B$144/12*C7/C111*(1+Assumptions!$B$147)*IF(C2&gt;=Assumptions!$B$57,1,0)</f>
        <v/>
      </c>
      <c r="D112" s="58">
        <f>INDEX(Assumptions!$B$114:$B$120,D5)*Assumptions!$B$144/12*D7/D111*(1+Assumptions!$B$147)*IF(D2&gt;=Assumptions!$B$57,1,0)</f>
        <v/>
      </c>
      <c r="E112" s="58">
        <f>INDEX(Assumptions!$B$114:$B$120,E5)*Assumptions!$B$144/12*E7/E111*(1+Assumptions!$B$147)*IF(E2&gt;=Assumptions!$B$57,1,0)</f>
        <v/>
      </c>
      <c r="F112" s="58">
        <f>INDEX(Assumptions!$B$114:$B$120,F5)*Assumptions!$B$144/12*F7/F111*(1+Assumptions!$B$147)*IF(F2&gt;=Assumptions!$B$57,1,0)</f>
        <v/>
      </c>
      <c r="G112" s="58">
        <f>INDEX(Assumptions!$B$114:$B$120,G5)*Assumptions!$B$144/12*G7/G111*(1+Assumptions!$B$147)*IF(G2&gt;=Assumptions!$B$57,1,0)</f>
        <v/>
      </c>
      <c r="H112" s="58">
        <f>INDEX(Assumptions!$B$114:$B$120,H5)*Assumptions!$B$144/12*H7/H111*(1+Assumptions!$B$147)*IF(H2&gt;=Assumptions!$B$57,1,0)</f>
        <v/>
      </c>
      <c r="I112" s="58">
        <f>INDEX(Assumptions!$B$114:$B$120,I5)*Assumptions!$B$144/12*I7/I111*(1+Assumptions!$B$147)*IF(I2&gt;=Assumptions!$B$57,1,0)</f>
        <v/>
      </c>
      <c r="J112" s="58">
        <f>INDEX(Assumptions!$B$114:$B$120,J5)*Assumptions!$B$144/12*J7/J111*(1+Assumptions!$B$147)*IF(J2&gt;=Assumptions!$B$57,1,0)</f>
        <v/>
      </c>
      <c r="K112" s="58">
        <f>INDEX(Assumptions!$B$114:$B$120,K5)*Assumptions!$B$144/12*K7/K111*(1+Assumptions!$B$147)*IF(K2&gt;=Assumptions!$B$57,1,0)</f>
        <v/>
      </c>
      <c r="L112" s="58">
        <f>INDEX(Assumptions!$B$114:$B$120,L5)*Assumptions!$B$144/12*L7/L111*(1+Assumptions!$B$147)*IF(L2&gt;=Assumptions!$B$57,1,0)</f>
        <v/>
      </c>
      <c r="M112" s="58">
        <f>INDEX(Assumptions!$B$114:$B$120,M5)*Assumptions!$B$144/12*M7/M111*(1+Assumptions!$B$147)*IF(M2&gt;=Assumptions!$B$57,1,0)</f>
        <v/>
      </c>
      <c r="N112" s="58">
        <f>INDEX(Assumptions!$B$114:$B$120,N5)*Assumptions!$B$144/12*N7/N111*(1+Assumptions!$B$147)*IF(N2&gt;=Assumptions!$B$57,1,0)</f>
        <v/>
      </c>
      <c r="O112" s="58">
        <f>INDEX(Assumptions!$B$114:$B$120,O5)*Assumptions!$B$144/12*O7/O111*(1+Assumptions!$B$147)*IF(O2&gt;=Assumptions!$B$57,1,0)</f>
        <v/>
      </c>
      <c r="P112" s="58">
        <f>INDEX(Assumptions!$B$114:$B$120,P5)*Assumptions!$B$144/12*P7/P111*(1+Assumptions!$B$147)*IF(P2&gt;=Assumptions!$B$57,1,0)</f>
        <v/>
      </c>
      <c r="Q112" s="58">
        <f>INDEX(Assumptions!$B$114:$B$120,Q5)*Assumptions!$B$144/12*Q7/Q111*(1+Assumptions!$B$147)*IF(Q2&gt;=Assumptions!$B$57,1,0)</f>
        <v/>
      </c>
      <c r="R112" s="58">
        <f>INDEX(Assumptions!$B$114:$B$120,R5)*Assumptions!$B$144/12*R7/R111*(1+Assumptions!$B$147)*IF(R2&gt;=Assumptions!$B$57,1,0)</f>
        <v/>
      </c>
      <c r="S112" s="58">
        <f>INDEX(Assumptions!$B$114:$B$120,S5)*Assumptions!$B$144/12*S7/S111*(1+Assumptions!$B$147)*IF(S2&gt;=Assumptions!$B$57,1,0)</f>
        <v/>
      </c>
      <c r="T112" s="58">
        <f>INDEX(Assumptions!$B$114:$B$120,T5)*Assumptions!$B$144/12*T7/T111*(1+Assumptions!$B$147)*IF(T2&gt;=Assumptions!$B$57,1,0)</f>
        <v/>
      </c>
      <c r="U112" s="58">
        <f>INDEX(Assumptions!$B$114:$B$120,U5)*Assumptions!$B$144/12*U7/U111*(1+Assumptions!$B$147)*IF(U2&gt;=Assumptions!$B$57,1,0)</f>
        <v/>
      </c>
      <c r="V112" s="58">
        <f>INDEX(Assumptions!$B$114:$B$120,V5)*Assumptions!$B$144/12*V7/V111*(1+Assumptions!$B$147)*IF(V2&gt;=Assumptions!$B$57,1,0)</f>
        <v/>
      </c>
      <c r="W112" s="58">
        <f>INDEX(Assumptions!$B$114:$B$120,W5)*Assumptions!$B$144/12*W7/W111*(1+Assumptions!$B$147)*IF(W2&gt;=Assumptions!$B$57,1,0)</f>
        <v/>
      </c>
      <c r="X112" s="58">
        <f>INDEX(Assumptions!$B$114:$B$120,X5)*Assumptions!$B$144/12*X7/X111*(1+Assumptions!$B$147)*IF(X2&gt;=Assumptions!$B$57,1,0)</f>
        <v/>
      </c>
      <c r="Y112" s="58">
        <f>INDEX(Assumptions!$B$114:$B$120,Y5)*Assumptions!$B$144/12*Y7/Y111*(1+Assumptions!$B$147)*IF(Y2&gt;=Assumptions!$B$57,1,0)</f>
        <v/>
      </c>
      <c r="Z112" s="58">
        <f>INDEX(Assumptions!$B$114:$B$120,Z5)*Assumptions!$B$144/12*Z7/Z111*(1+Assumptions!$B$147)*IF(Z2&gt;=Assumptions!$B$57,1,0)</f>
        <v/>
      </c>
      <c r="AA112" s="58">
        <f>INDEX(Assumptions!$B$114:$B$120,AA5)*Assumptions!$B$144/12*AA7/AA111*(1+Assumptions!$B$147)*IF(AA2&gt;=Assumptions!$B$57,1,0)</f>
        <v/>
      </c>
      <c r="AB112" s="58">
        <f>INDEX(Assumptions!$B$114:$B$120,AB5)*Assumptions!$B$144/12*AB7/AB111*(1+Assumptions!$B$147)*IF(AB2&gt;=Assumptions!$B$57,1,0)</f>
        <v/>
      </c>
      <c r="AC112" s="58">
        <f>INDEX(Assumptions!$B$114:$B$120,AC5)*Assumptions!$B$144/12*AC7/AC111*(1+Assumptions!$B$147)*IF(AC2&gt;=Assumptions!$B$57,1,0)</f>
        <v/>
      </c>
      <c r="AD112" s="58">
        <f>INDEX(Assumptions!$B$114:$B$120,AD5)*Assumptions!$B$144/12*AD7/AD111*(1+Assumptions!$B$147)*IF(AD2&gt;=Assumptions!$B$57,1,0)</f>
        <v/>
      </c>
      <c r="AE112" s="58">
        <f>INDEX(Assumptions!$B$114:$B$120,AE5)*Assumptions!$B$144/12*AE7/AE111*(1+Assumptions!$B$147)*IF(AE2&gt;=Assumptions!$B$57,1,0)</f>
        <v/>
      </c>
    </row>
    <row r="113">
      <c r="A113" s="6" t="inlineStr">
        <is>
          <t xml:space="preserve">  Referral-driven (from this market's own base)</t>
        </is>
      </c>
      <c r="B113" s="23" t="inlineStr">
        <is>
          <t>accounts</t>
        </is>
      </c>
      <c r="C113" s="60" t="n">
        <v>0</v>
      </c>
      <c r="D113" s="60">
        <f>IF(D2&gt;=Assumptions!$B$55,C118*Assumptions!$B$145/12*Assumptions!$B$146*D7,0)</f>
        <v/>
      </c>
      <c r="E113" s="60">
        <f>IF(E2&gt;=Assumptions!$B$55,D118*Assumptions!$B$145/12*Assumptions!$B$146*E7,0)</f>
        <v/>
      </c>
      <c r="F113" s="60">
        <f>IF(F2&gt;=Assumptions!$B$55,E118*Assumptions!$B$145/12*Assumptions!$B$146*F7,0)</f>
        <v/>
      </c>
      <c r="G113" s="60">
        <f>IF(G2&gt;=Assumptions!$B$55,F118*Assumptions!$B$145/12*Assumptions!$B$146*G7,0)</f>
        <v/>
      </c>
      <c r="H113" s="60">
        <f>IF(H2&gt;=Assumptions!$B$55,G118*Assumptions!$B$145/12*Assumptions!$B$146*H7,0)</f>
        <v/>
      </c>
      <c r="I113" s="60">
        <f>IF(I2&gt;=Assumptions!$B$55,H118*Assumptions!$B$145/12*Assumptions!$B$146*I7,0)</f>
        <v/>
      </c>
      <c r="J113" s="60">
        <f>IF(J2&gt;=Assumptions!$B$55,I118*Assumptions!$B$145/12*Assumptions!$B$146*J7,0)</f>
        <v/>
      </c>
      <c r="K113" s="60">
        <f>IF(K2&gt;=Assumptions!$B$55,J118*Assumptions!$B$145/12*Assumptions!$B$146*K7,0)</f>
        <v/>
      </c>
      <c r="L113" s="60">
        <f>IF(L2&gt;=Assumptions!$B$55,K118*Assumptions!$B$145/12*Assumptions!$B$146*L7,0)</f>
        <v/>
      </c>
      <c r="M113" s="60">
        <f>IF(M2&gt;=Assumptions!$B$55,L118*Assumptions!$B$145/12*Assumptions!$B$146*M7,0)</f>
        <v/>
      </c>
      <c r="N113" s="60">
        <f>IF(N2&gt;=Assumptions!$B$55,M118*Assumptions!$B$145/12*Assumptions!$B$146*N7,0)</f>
        <v/>
      </c>
      <c r="O113" s="60">
        <f>IF(O2&gt;=Assumptions!$B$55,N118*Assumptions!$B$145/12*Assumptions!$B$146*O7,0)</f>
        <v/>
      </c>
      <c r="P113" s="60">
        <f>IF(P2&gt;=Assumptions!$B$55,O118*Assumptions!$B$145/12*Assumptions!$B$146*P7,0)</f>
        <v/>
      </c>
      <c r="Q113" s="60">
        <f>IF(Q2&gt;=Assumptions!$B$55,P118*Assumptions!$B$145/12*Assumptions!$B$146*Q7,0)</f>
        <v/>
      </c>
      <c r="R113" s="60">
        <f>IF(R2&gt;=Assumptions!$B$55,Q118*Assumptions!$B$145/12*Assumptions!$B$146*R7,0)</f>
        <v/>
      </c>
      <c r="S113" s="60">
        <f>IF(S2&gt;=Assumptions!$B$55,R118*Assumptions!$B$145/12*Assumptions!$B$146*S7,0)</f>
        <v/>
      </c>
      <c r="T113" s="60">
        <f>IF(T2&gt;=Assumptions!$B$55,S118*Assumptions!$B$145/12*Assumptions!$B$146*T7,0)</f>
        <v/>
      </c>
      <c r="U113" s="60">
        <f>IF(U2&gt;=Assumptions!$B$55,T118*Assumptions!$B$145/12*Assumptions!$B$146*U7,0)</f>
        <v/>
      </c>
      <c r="V113" s="60">
        <f>IF(V2&gt;=Assumptions!$B$55,U118*Assumptions!$B$145/12*Assumptions!$B$146*V7,0)</f>
        <v/>
      </c>
      <c r="W113" s="60">
        <f>IF(W2&gt;=Assumptions!$B$55,V118*Assumptions!$B$145/12*Assumptions!$B$146*W7,0)</f>
        <v/>
      </c>
      <c r="X113" s="60">
        <f>IF(X2&gt;=Assumptions!$B$55,W118*Assumptions!$B$145/12*Assumptions!$B$146*X7,0)</f>
        <v/>
      </c>
      <c r="Y113" s="60">
        <f>IF(Y2&gt;=Assumptions!$B$55,X118*Assumptions!$B$145/12*Assumptions!$B$146*Y7,0)</f>
        <v/>
      </c>
      <c r="Z113" s="60">
        <f>IF(Z2&gt;=Assumptions!$B$55,Y118*Assumptions!$B$145/12*Assumptions!$B$146*Z7,0)</f>
        <v/>
      </c>
      <c r="AA113" s="60">
        <f>IF(AA2&gt;=Assumptions!$B$55,Z118*Assumptions!$B$145/12*Assumptions!$B$146*AA7,0)</f>
        <v/>
      </c>
      <c r="AB113" s="60">
        <f>IF(AB2&gt;=Assumptions!$B$55,AA118*Assumptions!$B$145/12*Assumptions!$B$146*AB7,0)</f>
        <v/>
      </c>
      <c r="AC113" s="60">
        <f>IF(AC2&gt;=Assumptions!$B$55,AB118*Assumptions!$B$145/12*Assumptions!$B$146*AC7,0)</f>
        <v/>
      </c>
      <c r="AD113" s="60">
        <f>IF(AD2&gt;=Assumptions!$B$55,AC118*Assumptions!$B$145/12*Assumptions!$B$146*AD7,0)</f>
        <v/>
      </c>
      <c r="AE113" s="60">
        <f>IF(AE2&gt;=Assumptions!$B$55,AD118*Assumptions!$B$145/12*Assumptions!$B$146*AE7,0)</f>
        <v/>
      </c>
    </row>
    <row r="114">
      <c r="A114" s="6" t="inlineStr">
        <is>
          <t xml:space="preserve">  Agent-driven (this market's own agents)</t>
        </is>
      </c>
      <c r="B114" s="23" t="inlineStr">
        <is>
          <t>accounts</t>
        </is>
      </c>
      <c r="C114" s="58">
        <f>INDEX(Assumptions!$B$107:$B$113,C5)*Assumptions!$B$135*INDEX(Assumptions!$B$121:$B$127,C5)*C7*IF(C2&gt;=Assumptions!$B$57,1,0)</f>
        <v/>
      </c>
      <c r="D114" s="58">
        <f>INDEX(Assumptions!$B$107:$B$113,D5)*Assumptions!$B$135*INDEX(Assumptions!$B$121:$B$127,D5)*D7*IF(D2&gt;=Assumptions!$B$57,1,0)</f>
        <v/>
      </c>
      <c r="E114" s="58">
        <f>INDEX(Assumptions!$B$107:$B$113,E5)*Assumptions!$B$135*INDEX(Assumptions!$B$121:$B$127,E5)*E7*IF(E2&gt;=Assumptions!$B$57,1,0)</f>
        <v/>
      </c>
      <c r="F114" s="58">
        <f>INDEX(Assumptions!$B$107:$B$113,F5)*Assumptions!$B$135*INDEX(Assumptions!$B$121:$B$127,F5)*F7*IF(F2&gt;=Assumptions!$B$57,1,0)</f>
        <v/>
      </c>
      <c r="G114" s="58">
        <f>INDEX(Assumptions!$B$107:$B$113,G5)*Assumptions!$B$135*INDEX(Assumptions!$B$121:$B$127,G5)*G7*IF(G2&gt;=Assumptions!$B$57,1,0)</f>
        <v/>
      </c>
      <c r="H114" s="58">
        <f>INDEX(Assumptions!$B$107:$B$113,H5)*Assumptions!$B$135*INDEX(Assumptions!$B$121:$B$127,H5)*H7*IF(H2&gt;=Assumptions!$B$57,1,0)</f>
        <v/>
      </c>
      <c r="I114" s="58">
        <f>INDEX(Assumptions!$B$107:$B$113,I5)*Assumptions!$B$135*INDEX(Assumptions!$B$121:$B$127,I5)*I7*IF(I2&gt;=Assumptions!$B$57,1,0)</f>
        <v/>
      </c>
      <c r="J114" s="58">
        <f>INDEX(Assumptions!$B$107:$B$113,J5)*Assumptions!$B$135*INDEX(Assumptions!$B$121:$B$127,J5)*J7*IF(J2&gt;=Assumptions!$B$57,1,0)</f>
        <v/>
      </c>
      <c r="K114" s="58">
        <f>INDEX(Assumptions!$B$107:$B$113,K5)*Assumptions!$B$135*INDEX(Assumptions!$B$121:$B$127,K5)*K7*IF(K2&gt;=Assumptions!$B$57,1,0)</f>
        <v/>
      </c>
      <c r="L114" s="58">
        <f>INDEX(Assumptions!$B$107:$B$113,L5)*Assumptions!$B$135*INDEX(Assumptions!$B$121:$B$127,L5)*L7*IF(L2&gt;=Assumptions!$B$57,1,0)</f>
        <v/>
      </c>
      <c r="M114" s="58">
        <f>INDEX(Assumptions!$B$107:$B$113,M5)*Assumptions!$B$135*INDEX(Assumptions!$B$121:$B$127,M5)*M7*IF(M2&gt;=Assumptions!$B$57,1,0)</f>
        <v/>
      </c>
      <c r="N114" s="58">
        <f>INDEX(Assumptions!$B$107:$B$113,N5)*Assumptions!$B$135*INDEX(Assumptions!$B$121:$B$127,N5)*N7*IF(N2&gt;=Assumptions!$B$57,1,0)</f>
        <v/>
      </c>
      <c r="O114" s="58">
        <f>INDEX(Assumptions!$B$107:$B$113,O5)*Assumptions!$B$135*INDEX(Assumptions!$B$121:$B$127,O5)*O7*IF(O2&gt;=Assumptions!$B$57,1,0)</f>
        <v/>
      </c>
      <c r="P114" s="58">
        <f>INDEX(Assumptions!$B$107:$B$113,P5)*Assumptions!$B$135*INDEX(Assumptions!$B$121:$B$127,P5)*P7*IF(P2&gt;=Assumptions!$B$57,1,0)</f>
        <v/>
      </c>
      <c r="Q114" s="58">
        <f>INDEX(Assumptions!$B$107:$B$113,Q5)*Assumptions!$B$135*INDEX(Assumptions!$B$121:$B$127,Q5)*Q7*IF(Q2&gt;=Assumptions!$B$57,1,0)</f>
        <v/>
      </c>
      <c r="R114" s="58">
        <f>INDEX(Assumptions!$B$107:$B$113,R5)*Assumptions!$B$135*INDEX(Assumptions!$B$121:$B$127,R5)*R7*IF(R2&gt;=Assumptions!$B$57,1,0)</f>
        <v/>
      </c>
      <c r="S114" s="58">
        <f>INDEX(Assumptions!$B$107:$B$113,S5)*Assumptions!$B$135*INDEX(Assumptions!$B$121:$B$127,S5)*S7*IF(S2&gt;=Assumptions!$B$57,1,0)</f>
        <v/>
      </c>
      <c r="T114" s="58">
        <f>INDEX(Assumptions!$B$107:$B$113,T5)*Assumptions!$B$135*INDEX(Assumptions!$B$121:$B$127,T5)*T7*IF(T2&gt;=Assumptions!$B$57,1,0)</f>
        <v/>
      </c>
      <c r="U114" s="58">
        <f>INDEX(Assumptions!$B$107:$B$113,U5)*Assumptions!$B$135*INDEX(Assumptions!$B$121:$B$127,U5)*U7*IF(U2&gt;=Assumptions!$B$57,1,0)</f>
        <v/>
      </c>
      <c r="V114" s="58">
        <f>INDEX(Assumptions!$B$107:$B$113,V5)*Assumptions!$B$135*INDEX(Assumptions!$B$121:$B$127,V5)*V7*IF(V2&gt;=Assumptions!$B$57,1,0)</f>
        <v/>
      </c>
      <c r="W114" s="58">
        <f>INDEX(Assumptions!$B$107:$B$113,W5)*Assumptions!$B$135*INDEX(Assumptions!$B$121:$B$127,W5)*W7*IF(W2&gt;=Assumptions!$B$57,1,0)</f>
        <v/>
      </c>
      <c r="X114" s="58">
        <f>INDEX(Assumptions!$B$107:$B$113,X5)*Assumptions!$B$135*INDEX(Assumptions!$B$121:$B$127,X5)*X7*IF(X2&gt;=Assumptions!$B$57,1,0)</f>
        <v/>
      </c>
      <c r="Y114" s="58">
        <f>INDEX(Assumptions!$B$107:$B$113,Y5)*Assumptions!$B$135*INDEX(Assumptions!$B$121:$B$127,Y5)*Y7*IF(Y2&gt;=Assumptions!$B$57,1,0)</f>
        <v/>
      </c>
      <c r="Z114" s="58">
        <f>INDEX(Assumptions!$B$107:$B$113,Z5)*Assumptions!$B$135*INDEX(Assumptions!$B$121:$B$127,Z5)*Z7*IF(Z2&gt;=Assumptions!$B$57,1,0)</f>
        <v/>
      </c>
      <c r="AA114" s="58">
        <f>INDEX(Assumptions!$B$107:$B$113,AA5)*Assumptions!$B$135*INDEX(Assumptions!$B$121:$B$127,AA5)*AA7*IF(AA2&gt;=Assumptions!$B$57,1,0)</f>
        <v/>
      </c>
      <c r="AB114" s="58">
        <f>INDEX(Assumptions!$B$107:$B$113,AB5)*Assumptions!$B$135*INDEX(Assumptions!$B$121:$B$127,AB5)*AB7*IF(AB2&gt;=Assumptions!$B$57,1,0)</f>
        <v/>
      </c>
      <c r="AC114" s="58">
        <f>INDEX(Assumptions!$B$107:$B$113,AC5)*Assumptions!$B$135*INDEX(Assumptions!$B$121:$B$127,AC5)*AC7*IF(AC2&gt;=Assumptions!$B$57,1,0)</f>
        <v/>
      </c>
      <c r="AD114" s="58">
        <f>INDEX(Assumptions!$B$107:$B$113,AD5)*Assumptions!$B$135*INDEX(Assumptions!$B$121:$B$127,AD5)*AD7*IF(AD2&gt;=Assumptions!$B$57,1,0)</f>
        <v/>
      </c>
      <c r="AE114" s="58">
        <f>INDEX(Assumptions!$B$107:$B$113,AE5)*Assumptions!$B$135*INDEX(Assumptions!$B$121:$B$127,AE5)*AE7*IF(AE2&gt;=Assumptions!$B$57,1,0)</f>
        <v/>
      </c>
    </row>
    <row r="115">
      <c r="A115" s="6" t="inlineStr">
        <is>
          <t xml:space="preserve">  Raw demand</t>
        </is>
      </c>
      <c r="B115" s="23" t="inlineStr">
        <is>
          <t>accounts</t>
        </is>
      </c>
      <c r="C115" s="60">
        <f>C112+C113+C114</f>
        <v/>
      </c>
      <c r="D115" s="60">
        <f>D112+D113+D114</f>
        <v/>
      </c>
      <c r="E115" s="60">
        <f>E112+E113+E114</f>
        <v/>
      </c>
      <c r="F115" s="60">
        <f>F112+F113+F114</f>
        <v/>
      </c>
      <c r="G115" s="60">
        <f>G112+G113+G114</f>
        <v/>
      </c>
      <c r="H115" s="60">
        <f>H112+H113+H114</f>
        <v/>
      </c>
      <c r="I115" s="60">
        <f>I112+I113+I114</f>
        <v/>
      </c>
      <c r="J115" s="60">
        <f>J112+J113+J114</f>
        <v/>
      </c>
      <c r="K115" s="60">
        <f>K112+K113+K114</f>
        <v/>
      </c>
      <c r="L115" s="60">
        <f>L112+L113+L114</f>
        <v/>
      </c>
      <c r="M115" s="60">
        <f>M112+M113+M114</f>
        <v/>
      </c>
      <c r="N115" s="60">
        <f>N112+N113+N114</f>
        <v/>
      </c>
      <c r="O115" s="60">
        <f>O112+O113+O114</f>
        <v/>
      </c>
      <c r="P115" s="60">
        <f>P112+P113+P114</f>
        <v/>
      </c>
      <c r="Q115" s="60">
        <f>Q112+Q113+Q114</f>
        <v/>
      </c>
      <c r="R115" s="60">
        <f>R112+R113+R114</f>
        <v/>
      </c>
      <c r="S115" s="60">
        <f>S112+S113+S114</f>
        <v/>
      </c>
      <c r="T115" s="60">
        <f>T112+T113+T114</f>
        <v/>
      </c>
      <c r="U115" s="60">
        <f>U112+U113+U114</f>
        <v/>
      </c>
      <c r="V115" s="60">
        <f>V112+V113+V114</f>
        <v/>
      </c>
      <c r="W115" s="60">
        <f>W112+W113+W114</f>
        <v/>
      </c>
      <c r="X115" s="60">
        <f>X112+X113+X114</f>
        <v/>
      </c>
      <c r="Y115" s="60">
        <f>Y112+Y113+Y114</f>
        <v/>
      </c>
      <c r="Z115" s="60">
        <f>Z112+Z113+Z114</f>
        <v/>
      </c>
      <c r="AA115" s="60">
        <f>AA112+AA113+AA114</f>
        <v/>
      </c>
      <c r="AB115" s="60">
        <f>AB112+AB113+AB114</f>
        <v/>
      </c>
      <c r="AC115" s="60">
        <f>AC112+AC113+AC114</f>
        <v/>
      </c>
      <c r="AD115" s="60">
        <f>AD112+AD113+AD114</f>
        <v/>
      </c>
      <c r="AE115" s="60">
        <f>AE112+AE113+AE114</f>
        <v/>
      </c>
    </row>
    <row r="116">
      <c r="A116" s="6" t="inlineStr">
        <is>
          <t xml:space="preserve">  Saturation (this region's own headroom)</t>
        </is>
      </c>
      <c r="B116" s="23" t="inlineStr">
        <is>
          <t>x</t>
        </is>
      </c>
      <c r="C116" s="56" t="n">
        <v>1</v>
      </c>
      <c r="D116" s="56">
        <f>MAX(0,1-C121/Assumptions!$B$86)</f>
        <v/>
      </c>
      <c r="E116" s="56">
        <f>MAX(0,1-D121/Assumptions!$B$86)</f>
        <v/>
      </c>
      <c r="F116" s="56">
        <f>MAX(0,1-E121/Assumptions!$B$86)</f>
        <v/>
      </c>
      <c r="G116" s="56">
        <f>MAX(0,1-F121/Assumptions!$B$86)</f>
        <v/>
      </c>
      <c r="H116" s="56">
        <f>MAX(0,1-G121/Assumptions!$B$86)</f>
        <v/>
      </c>
      <c r="I116" s="56">
        <f>MAX(0,1-H121/Assumptions!$B$86)</f>
        <v/>
      </c>
      <c r="J116" s="56">
        <f>MAX(0,1-I121/Assumptions!$B$86)</f>
        <v/>
      </c>
      <c r="K116" s="56">
        <f>MAX(0,1-J121/Assumptions!$B$86)</f>
        <v/>
      </c>
      <c r="L116" s="56">
        <f>MAX(0,1-K121/Assumptions!$B$86)</f>
        <v/>
      </c>
      <c r="M116" s="56">
        <f>MAX(0,1-L121/Assumptions!$B$86)</f>
        <v/>
      </c>
      <c r="N116" s="56">
        <f>MAX(0,1-M121/Assumptions!$B$86)</f>
        <v/>
      </c>
      <c r="O116" s="56">
        <f>MAX(0,1-N121/Assumptions!$B$86)</f>
        <v/>
      </c>
      <c r="P116" s="56">
        <f>MAX(0,1-O121/Assumptions!$B$86)</f>
        <v/>
      </c>
      <c r="Q116" s="56">
        <f>MAX(0,1-P121/Assumptions!$B$86)</f>
        <v/>
      </c>
      <c r="R116" s="56">
        <f>MAX(0,1-Q121/Assumptions!$B$86)</f>
        <v/>
      </c>
      <c r="S116" s="56">
        <f>MAX(0,1-R121/Assumptions!$B$86)</f>
        <v/>
      </c>
      <c r="T116" s="56">
        <f>MAX(0,1-S121/Assumptions!$B$86)</f>
        <v/>
      </c>
      <c r="U116" s="56">
        <f>MAX(0,1-T121/Assumptions!$B$86)</f>
        <v/>
      </c>
      <c r="V116" s="56">
        <f>MAX(0,1-U121/Assumptions!$B$86)</f>
        <v/>
      </c>
      <c r="W116" s="56">
        <f>MAX(0,1-V121/Assumptions!$B$86)</f>
        <v/>
      </c>
      <c r="X116" s="56">
        <f>MAX(0,1-W121/Assumptions!$B$86)</f>
        <v/>
      </c>
      <c r="Y116" s="56">
        <f>MAX(0,1-X121/Assumptions!$B$86)</f>
        <v/>
      </c>
      <c r="Z116" s="56">
        <f>MAX(0,1-Y121/Assumptions!$B$86)</f>
        <v/>
      </c>
      <c r="AA116" s="56">
        <f>MAX(0,1-Z121/Assumptions!$B$86)</f>
        <v/>
      </c>
      <c r="AB116" s="56">
        <f>MAX(0,1-AA121/Assumptions!$B$86)</f>
        <v/>
      </c>
      <c r="AC116" s="56">
        <f>MAX(0,1-AB121/Assumptions!$B$86)</f>
        <v/>
      </c>
      <c r="AD116" s="56">
        <f>MAX(0,1-AC121/Assumptions!$B$86)</f>
        <v/>
      </c>
      <c r="AE116" s="56">
        <f>MAX(0,1-AD121/Assumptions!$B$86)</f>
        <v/>
      </c>
    </row>
    <row r="117">
      <c r="A117" s="6" t="inlineStr">
        <is>
          <t xml:space="preserve">  New customers</t>
        </is>
      </c>
      <c r="B117" s="23" t="inlineStr">
        <is>
          <t>accounts</t>
        </is>
      </c>
      <c r="C117" s="60">
        <f>C115*C116*C15</f>
        <v/>
      </c>
      <c r="D117" s="60">
        <f>D115*D116*D15</f>
        <v/>
      </c>
      <c r="E117" s="60">
        <f>E115*E116*E15</f>
        <v/>
      </c>
      <c r="F117" s="60">
        <f>F115*F116*F15</f>
        <v/>
      </c>
      <c r="G117" s="60">
        <f>G115*G116*G15</f>
        <v/>
      </c>
      <c r="H117" s="60">
        <f>H115*H116*H15</f>
        <v/>
      </c>
      <c r="I117" s="60">
        <f>I115*I116*I15</f>
        <v/>
      </c>
      <c r="J117" s="60">
        <f>J115*J116*J15</f>
        <v/>
      </c>
      <c r="K117" s="60">
        <f>K115*K116*K15</f>
        <v/>
      </c>
      <c r="L117" s="60">
        <f>L115*L116*L15</f>
        <v/>
      </c>
      <c r="M117" s="60">
        <f>M115*M116*M15</f>
        <v/>
      </c>
      <c r="N117" s="60">
        <f>N115*N116*N15</f>
        <v/>
      </c>
      <c r="O117" s="60">
        <f>O115*O116*O15</f>
        <v/>
      </c>
      <c r="P117" s="60">
        <f>P115*P116*P15</f>
        <v/>
      </c>
      <c r="Q117" s="60">
        <f>Q115*Q116*Q15</f>
        <v/>
      </c>
      <c r="R117" s="60">
        <f>R115*R116*R15</f>
        <v/>
      </c>
      <c r="S117" s="60">
        <f>S115*S116*S15</f>
        <v/>
      </c>
      <c r="T117" s="60">
        <f>T115*T116*T15</f>
        <v/>
      </c>
      <c r="U117" s="60">
        <f>U115*U116*U15</f>
        <v/>
      </c>
      <c r="V117" s="60">
        <f>V115*V116*V15</f>
        <v/>
      </c>
      <c r="W117" s="60">
        <f>W115*W116*W15</f>
        <v/>
      </c>
      <c r="X117" s="60">
        <f>X115*X116*X15</f>
        <v/>
      </c>
      <c r="Y117" s="60">
        <f>Y115*Y116*Y15</f>
        <v/>
      </c>
      <c r="Z117" s="60">
        <f>Z115*Z116*Z15</f>
        <v/>
      </c>
      <c r="AA117" s="60">
        <f>AA115*AA116*AA15</f>
        <v/>
      </c>
      <c r="AB117" s="60">
        <f>AB115*AB116*AB15</f>
        <v/>
      </c>
      <c r="AC117" s="60">
        <f>AC115*AC116*AC15</f>
        <v/>
      </c>
      <c r="AD117" s="60">
        <f>AD115*AD116*AD15</f>
        <v/>
      </c>
      <c r="AE117" s="60">
        <f>AE115*AE116*AE15</f>
        <v/>
      </c>
    </row>
    <row r="118">
      <c r="A118" s="6" t="inlineStr">
        <is>
          <t xml:space="preserve">  Paying customers</t>
        </is>
      </c>
      <c r="B118" s="23" t="inlineStr">
        <is>
          <t>accounts</t>
        </is>
      </c>
      <c r="C118" s="28">
        <f>C117*(1-Assumptions!$B$134)^(C7/2)</f>
        <v/>
      </c>
      <c r="D118" s="28">
        <f>C118*(1-Assumptions!$B$134)^D7+D117*(1-Assumptions!$B$134)^(D7/2)</f>
        <v/>
      </c>
      <c r="E118" s="28">
        <f>D118*(1-Assumptions!$B$134)^E7+E117*(1-Assumptions!$B$134)^(E7/2)</f>
        <v/>
      </c>
      <c r="F118" s="28">
        <f>E118*(1-Assumptions!$B$134)^F7+F117*(1-Assumptions!$B$134)^(F7/2)</f>
        <v/>
      </c>
      <c r="G118" s="28">
        <f>F118*(1-Assumptions!$B$134)^G7+G117*(1-Assumptions!$B$134)^(G7/2)</f>
        <v/>
      </c>
      <c r="H118" s="28">
        <f>G118*(1-Assumptions!$B$134)^H7+H117*(1-Assumptions!$B$134)^(H7/2)</f>
        <v/>
      </c>
      <c r="I118" s="28">
        <f>H118*(1-Assumptions!$B$134)^I7+I117*(1-Assumptions!$B$134)^(I7/2)</f>
        <v/>
      </c>
      <c r="J118" s="28">
        <f>I118*(1-Assumptions!$B$134)^J7+J117*(1-Assumptions!$B$134)^(J7/2)</f>
        <v/>
      </c>
      <c r="K118" s="28">
        <f>J118*(1-Assumptions!$B$134)^K7+K117*(1-Assumptions!$B$134)^(K7/2)</f>
        <v/>
      </c>
      <c r="L118" s="28">
        <f>K118*(1-Assumptions!$B$134)^L7+L117*(1-Assumptions!$B$134)^(L7/2)</f>
        <v/>
      </c>
      <c r="M118" s="28">
        <f>L118*(1-Assumptions!$B$134)^M7+M117*(1-Assumptions!$B$134)^(M7/2)</f>
        <v/>
      </c>
      <c r="N118" s="28">
        <f>M118*(1-Assumptions!$B$134)^N7+N117*(1-Assumptions!$B$134)^(N7/2)</f>
        <v/>
      </c>
      <c r="O118" s="28">
        <f>N118*(1-Assumptions!$B$134)^O7+O117*(1-Assumptions!$B$134)^(O7/2)</f>
        <v/>
      </c>
      <c r="P118" s="28">
        <f>O118*(1-Assumptions!$B$134)^P7+P117*(1-Assumptions!$B$134)^(P7/2)</f>
        <v/>
      </c>
      <c r="Q118" s="28">
        <f>P118*(1-Assumptions!$B$134)^Q7+Q117*(1-Assumptions!$B$134)^(Q7/2)</f>
        <v/>
      </c>
      <c r="R118" s="28">
        <f>Q118*(1-Assumptions!$B$134)^R7+R117*(1-Assumptions!$B$134)^(R7/2)</f>
        <v/>
      </c>
      <c r="S118" s="28">
        <f>R118*(1-Assumptions!$B$134)^S7+S117*(1-Assumptions!$B$134)^(S7/2)</f>
        <v/>
      </c>
      <c r="T118" s="28">
        <f>S118*(1-Assumptions!$B$134)^T7+T117*(1-Assumptions!$B$134)^(T7/2)</f>
        <v/>
      </c>
      <c r="U118" s="28">
        <f>T118*(1-Assumptions!$B$134)^U7+U117*(1-Assumptions!$B$134)^(U7/2)</f>
        <v/>
      </c>
      <c r="V118" s="28">
        <f>U118*(1-Assumptions!$B$134)^V7+V117*(1-Assumptions!$B$134)^(V7/2)</f>
        <v/>
      </c>
      <c r="W118" s="28">
        <f>V118*(1-Assumptions!$B$134)^W7+W117*(1-Assumptions!$B$134)^(W7/2)</f>
        <v/>
      </c>
      <c r="X118" s="28">
        <f>W118*(1-Assumptions!$B$134)^X7+X117*(1-Assumptions!$B$134)^(X7/2)</f>
        <v/>
      </c>
      <c r="Y118" s="28">
        <f>X118*(1-Assumptions!$B$134)^Y7+Y117*(1-Assumptions!$B$134)^(Y7/2)</f>
        <v/>
      </c>
      <c r="Z118" s="28">
        <f>Y118*(1-Assumptions!$B$134)^Z7+Z117*(1-Assumptions!$B$134)^(Z7/2)</f>
        <v/>
      </c>
      <c r="AA118" s="28">
        <f>Z118*(1-Assumptions!$B$134)^AA7+AA117*(1-Assumptions!$B$134)^(AA7/2)</f>
        <v/>
      </c>
      <c r="AB118" s="28">
        <f>AA118*(1-Assumptions!$B$134)^AB7+AB117*(1-Assumptions!$B$134)^(AB7/2)</f>
        <v/>
      </c>
      <c r="AC118" s="28">
        <f>AB118*(1-Assumptions!$B$134)^AC7+AC117*(1-Assumptions!$B$134)^(AC7/2)</f>
        <v/>
      </c>
      <c r="AD118" s="28">
        <f>AC118*(1-Assumptions!$B$134)^AD7+AD117*(1-Assumptions!$B$134)^(AD7/2)</f>
        <v/>
      </c>
      <c r="AE118" s="28">
        <f>AD118*(1-Assumptions!$B$134)^AE7+AE117*(1-Assumptions!$B$134)^(AE7/2)</f>
        <v/>
      </c>
    </row>
    <row r="119">
      <c r="A119" s="6" t="inlineStr">
        <is>
          <t xml:space="preserve">  Churned this period</t>
        </is>
      </c>
      <c r="B119" s="23" t="inlineStr">
        <is>
          <t>accounts</t>
        </is>
      </c>
      <c r="C119" s="60">
        <f>C117-C118</f>
        <v/>
      </c>
      <c r="D119" s="60">
        <f>C118+D117-D118</f>
        <v/>
      </c>
      <c r="E119" s="60">
        <f>D118+E117-E118</f>
        <v/>
      </c>
      <c r="F119" s="60">
        <f>E118+F117-F118</f>
        <v/>
      </c>
      <c r="G119" s="60">
        <f>F118+G117-G118</f>
        <v/>
      </c>
      <c r="H119" s="60">
        <f>G118+H117-H118</f>
        <v/>
      </c>
      <c r="I119" s="60">
        <f>H118+I117-I118</f>
        <v/>
      </c>
      <c r="J119" s="60">
        <f>I118+J117-J118</f>
        <v/>
      </c>
      <c r="K119" s="60">
        <f>J118+K117-K118</f>
        <v/>
      </c>
      <c r="L119" s="60">
        <f>K118+L117-L118</f>
        <v/>
      </c>
      <c r="M119" s="60">
        <f>L118+M117-M118</f>
        <v/>
      </c>
      <c r="N119" s="60">
        <f>M118+N117-N118</f>
        <v/>
      </c>
      <c r="O119" s="60">
        <f>N118+O117-O118</f>
        <v/>
      </c>
      <c r="P119" s="60">
        <f>O118+P117-P118</f>
        <v/>
      </c>
      <c r="Q119" s="60">
        <f>P118+Q117-Q118</f>
        <v/>
      </c>
      <c r="R119" s="60">
        <f>Q118+R117-R118</f>
        <v/>
      </c>
      <c r="S119" s="60">
        <f>R118+S117-S118</f>
        <v/>
      </c>
      <c r="T119" s="60">
        <f>S118+T117-T118</f>
        <v/>
      </c>
      <c r="U119" s="60">
        <f>T118+U117-U118</f>
        <v/>
      </c>
      <c r="V119" s="60">
        <f>U118+V117-V118</f>
        <v/>
      </c>
      <c r="W119" s="60">
        <f>V118+W117-W118</f>
        <v/>
      </c>
      <c r="X119" s="60">
        <f>W118+X117-X118</f>
        <v/>
      </c>
      <c r="Y119" s="60">
        <f>X118+Y117-Y118</f>
        <v/>
      </c>
      <c r="Z119" s="60">
        <f>Y118+Z117-Z118</f>
        <v/>
      </c>
      <c r="AA119" s="60">
        <f>Z118+AA117-AA118</f>
        <v/>
      </c>
      <c r="AB119" s="60">
        <f>AA118+AB117-AB118</f>
        <v/>
      </c>
      <c r="AC119" s="60">
        <f>AB118+AC117-AC118</f>
        <v/>
      </c>
      <c r="AD119" s="60">
        <f>AC118+AD117-AD118</f>
        <v/>
      </c>
      <c r="AE119" s="60">
        <f>AD118+AE117-AE118</f>
        <v/>
      </c>
    </row>
    <row r="120">
      <c r="A120" s="6" t="inlineStr">
        <is>
          <t xml:space="preserve">  Holders (stopped paying, still hold gold)</t>
        </is>
      </c>
      <c r="B120" s="23" t="inlineStr">
        <is>
          <t>accounts</t>
        </is>
      </c>
      <c r="C120" s="50">
        <f>C119</f>
        <v/>
      </c>
      <c r="D120" s="50">
        <f>C120+D119</f>
        <v/>
      </c>
      <c r="E120" s="50">
        <f>D120+E119</f>
        <v/>
      </c>
      <c r="F120" s="50">
        <f>E120+F119</f>
        <v/>
      </c>
      <c r="G120" s="50">
        <f>F120+G119</f>
        <v/>
      </c>
      <c r="H120" s="50">
        <f>G120+H119</f>
        <v/>
      </c>
      <c r="I120" s="50">
        <f>H120+I119</f>
        <v/>
      </c>
      <c r="J120" s="50">
        <f>I120+J119</f>
        <v/>
      </c>
      <c r="K120" s="50">
        <f>J120+K119</f>
        <v/>
      </c>
      <c r="L120" s="50">
        <f>K120+L119</f>
        <v/>
      </c>
      <c r="M120" s="50">
        <f>L120+M119</f>
        <v/>
      </c>
      <c r="N120" s="50">
        <f>M120+N119</f>
        <v/>
      </c>
      <c r="O120" s="50">
        <f>N120+O119</f>
        <v/>
      </c>
      <c r="P120" s="50">
        <f>O120+P119</f>
        <v/>
      </c>
      <c r="Q120" s="50">
        <f>P120+Q119</f>
        <v/>
      </c>
      <c r="R120" s="50">
        <f>Q120+R119</f>
        <v/>
      </c>
      <c r="S120" s="50">
        <f>R120+S119</f>
        <v/>
      </c>
      <c r="T120" s="50">
        <f>S120+T119</f>
        <v/>
      </c>
      <c r="U120" s="50">
        <f>T120+U119</f>
        <v/>
      </c>
      <c r="V120" s="50">
        <f>U120+V119</f>
        <v/>
      </c>
      <c r="W120" s="50">
        <f>V120+W119</f>
        <v/>
      </c>
      <c r="X120" s="50">
        <f>W120+X119</f>
        <v/>
      </c>
      <c r="Y120" s="50">
        <f>X120+Y119</f>
        <v/>
      </c>
      <c r="Z120" s="50">
        <f>Y120+Z119</f>
        <v/>
      </c>
      <c r="AA120" s="50">
        <f>Z120+AA119</f>
        <v/>
      </c>
      <c r="AB120" s="50">
        <f>AA120+AB119</f>
        <v/>
      </c>
      <c r="AC120" s="50">
        <f>AB120+AC119</f>
        <v/>
      </c>
      <c r="AD120" s="50">
        <f>AC120+AD119</f>
        <v/>
      </c>
      <c r="AE120" s="50">
        <f>AD120+AE119</f>
        <v/>
      </c>
    </row>
    <row r="121">
      <c r="A121" s="6" t="inlineStr">
        <is>
          <t xml:space="preserve">  Cumulative ever acquired</t>
        </is>
      </c>
      <c r="B121" s="23" t="inlineStr">
        <is>
          <t>accounts</t>
        </is>
      </c>
      <c r="C121" s="50">
        <f>C117</f>
        <v/>
      </c>
      <c r="D121" s="50">
        <f>C121+D117</f>
        <v/>
      </c>
      <c r="E121" s="50">
        <f>D121+E117</f>
        <v/>
      </c>
      <c r="F121" s="50">
        <f>E121+F117</f>
        <v/>
      </c>
      <c r="G121" s="50">
        <f>F121+G117</f>
        <v/>
      </c>
      <c r="H121" s="50">
        <f>G121+H117</f>
        <v/>
      </c>
      <c r="I121" s="50">
        <f>H121+I117</f>
        <v/>
      </c>
      <c r="J121" s="50">
        <f>I121+J117</f>
        <v/>
      </c>
      <c r="K121" s="50">
        <f>J121+K117</f>
        <v/>
      </c>
      <c r="L121" s="50">
        <f>K121+L117</f>
        <v/>
      </c>
      <c r="M121" s="50">
        <f>L121+M117</f>
        <v/>
      </c>
      <c r="N121" s="50">
        <f>M121+N117</f>
        <v/>
      </c>
      <c r="O121" s="50">
        <f>N121+O117</f>
        <v/>
      </c>
      <c r="P121" s="50">
        <f>O121+P117</f>
        <v/>
      </c>
      <c r="Q121" s="50">
        <f>P121+Q117</f>
        <v/>
      </c>
      <c r="R121" s="50">
        <f>Q121+R117</f>
        <v/>
      </c>
      <c r="S121" s="50">
        <f>R121+S117</f>
        <v/>
      </c>
      <c r="T121" s="50">
        <f>S121+T117</f>
        <v/>
      </c>
      <c r="U121" s="50">
        <f>T121+U117</f>
        <v/>
      </c>
      <c r="V121" s="50">
        <f>U121+V117</f>
        <v/>
      </c>
      <c r="W121" s="50">
        <f>V121+W117</f>
        <v/>
      </c>
      <c r="X121" s="50">
        <f>W121+X117</f>
        <v/>
      </c>
      <c r="Y121" s="50">
        <f>X121+Y117</f>
        <v/>
      </c>
      <c r="Z121" s="50">
        <f>Y121+Z117</f>
        <v/>
      </c>
      <c r="AA121" s="50">
        <f>Z121+AA117</f>
        <v/>
      </c>
      <c r="AB121" s="50">
        <f>AA121+AB117</f>
        <v/>
      </c>
      <c r="AC121" s="50">
        <f>AB121+AC117</f>
        <v/>
      </c>
      <c r="AD121" s="50">
        <f>AC121+AD117</f>
        <v/>
      </c>
      <c r="AE121" s="50">
        <f>AD121+AE117</f>
        <v/>
      </c>
    </row>
    <row r="122">
      <c r="A122" s="6" t="inlineStr">
        <is>
          <t xml:space="preserve">  SIP contributions</t>
        </is>
      </c>
      <c r="B122" s="23" t="inlineStr">
        <is>
          <t>USD</t>
        </is>
      </c>
      <c r="C122" s="61">
        <f>IF(C2&gt;=Assumptions!$B$47,C118*Assumptions!$B$192*C7,0)</f>
        <v/>
      </c>
      <c r="D122" s="61">
        <f>IF(D2&gt;=Assumptions!$B$47,D118*Assumptions!$B$192*D7,0)</f>
        <v/>
      </c>
      <c r="E122" s="61">
        <f>IF(E2&gt;=Assumptions!$B$47,E118*Assumptions!$B$192*E7,0)</f>
        <v/>
      </c>
      <c r="F122" s="61">
        <f>IF(F2&gt;=Assumptions!$B$47,F118*Assumptions!$B$192*F7,0)</f>
        <v/>
      </c>
      <c r="G122" s="61">
        <f>IF(G2&gt;=Assumptions!$B$47,G118*Assumptions!$B$192*G7,0)</f>
        <v/>
      </c>
      <c r="H122" s="61">
        <f>IF(H2&gt;=Assumptions!$B$47,H118*Assumptions!$B$192*H7,0)</f>
        <v/>
      </c>
      <c r="I122" s="61">
        <f>IF(I2&gt;=Assumptions!$B$47,I118*Assumptions!$B$192*I7,0)</f>
        <v/>
      </c>
      <c r="J122" s="61">
        <f>IF(J2&gt;=Assumptions!$B$47,J118*Assumptions!$B$192*J7,0)</f>
        <v/>
      </c>
      <c r="K122" s="61">
        <f>IF(K2&gt;=Assumptions!$B$47,K118*Assumptions!$B$192*K7,0)</f>
        <v/>
      </c>
      <c r="L122" s="61">
        <f>IF(L2&gt;=Assumptions!$B$47,L118*Assumptions!$B$192*L7,0)</f>
        <v/>
      </c>
      <c r="M122" s="61">
        <f>IF(M2&gt;=Assumptions!$B$47,M118*Assumptions!$B$192*M7,0)</f>
        <v/>
      </c>
      <c r="N122" s="61">
        <f>IF(N2&gt;=Assumptions!$B$47,N118*Assumptions!$B$192*N7,0)</f>
        <v/>
      </c>
      <c r="O122" s="61">
        <f>IF(O2&gt;=Assumptions!$B$47,O118*Assumptions!$B$192*O7,0)</f>
        <v/>
      </c>
      <c r="P122" s="61">
        <f>IF(P2&gt;=Assumptions!$B$47,P118*Assumptions!$B$192*P7,0)</f>
        <v/>
      </c>
      <c r="Q122" s="61">
        <f>IF(Q2&gt;=Assumptions!$B$47,Q118*Assumptions!$B$192*Q7,0)</f>
        <v/>
      </c>
      <c r="R122" s="61">
        <f>IF(R2&gt;=Assumptions!$B$47,R118*Assumptions!$B$192*R7,0)</f>
        <v/>
      </c>
      <c r="S122" s="61">
        <f>IF(S2&gt;=Assumptions!$B$47,S118*Assumptions!$B$192*S7,0)</f>
        <v/>
      </c>
      <c r="T122" s="61">
        <f>IF(T2&gt;=Assumptions!$B$47,T118*Assumptions!$B$192*T7,0)</f>
        <v/>
      </c>
      <c r="U122" s="61">
        <f>IF(U2&gt;=Assumptions!$B$47,U118*Assumptions!$B$192*U7,0)</f>
        <v/>
      </c>
      <c r="V122" s="61">
        <f>IF(V2&gt;=Assumptions!$B$47,V118*Assumptions!$B$192*V7,0)</f>
        <v/>
      </c>
      <c r="W122" s="61">
        <f>IF(W2&gt;=Assumptions!$B$47,W118*Assumptions!$B$192*W7,0)</f>
        <v/>
      </c>
      <c r="X122" s="61">
        <f>IF(X2&gt;=Assumptions!$B$47,X118*Assumptions!$B$192*X7,0)</f>
        <v/>
      </c>
      <c r="Y122" s="61">
        <f>IF(Y2&gt;=Assumptions!$B$47,Y118*Assumptions!$B$192*Y7,0)</f>
        <v/>
      </c>
      <c r="Z122" s="61">
        <f>IF(Z2&gt;=Assumptions!$B$47,Z118*Assumptions!$B$192*Z7,0)</f>
        <v/>
      </c>
      <c r="AA122" s="61">
        <f>IF(AA2&gt;=Assumptions!$B$47,AA118*Assumptions!$B$192*AA7,0)</f>
        <v/>
      </c>
      <c r="AB122" s="61">
        <f>IF(AB2&gt;=Assumptions!$B$47,AB118*Assumptions!$B$192*AB7,0)</f>
        <v/>
      </c>
      <c r="AC122" s="61">
        <f>IF(AC2&gt;=Assumptions!$B$47,AC118*Assumptions!$B$192*AC7,0)</f>
        <v/>
      </c>
      <c r="AD122" s="61">
        <f>IF(AD2&gt;=Assumptions!$B$47,AD118*Assumptions!$B$192*AD7,0)</f>
        <v/>
      </c>
      <c r="AE122" s="61">
        <f>IF(AE2&gt;=Assumptions!$B$47,AE118*Assumptions!$B$192*AE7,0)</f>
        <v/>
      </c>
    </row>
    <row r="123">
      <c r="A123" s="6" t="inlineStr">
        <is>
          <t xml:space="preserve">  Spot purchase volume</t>
        </is>
      </c>
      <c r="B123" s="23" t="inlineStr">
        <is>
          <t>USD</t>
        </is>
      </c>
      <c r="C123" s="61">
        <f>IF(C2&gt;=Assumptions!$B$48,C118*Assumptions!$B$37*Assumptions!$B$154*Assumptions!$B$156*Assumptions!$B$34*Assumptions!$B$155/12*C7,0)</f>
        <v/>
      </c>
      <c r="D123" s="61">
        <f>IF(D2&gt;=Assumptions!$B$48,D118*Assumptions!$B$37*Assumptions!$B$154*Assumptions!$B$156*Assumptions!$B$34*Assumptions!$B$155/12*D7,0)</f>
        <v/>
      </c>
      <c r="E123" s="61">
        <f>IF(E2&gt;=Assumptions!$B$48,E118*Assumptions!$B$37*Assumptions!$B$154*Assumptions!$B$156*Assumptions!$B$34*Assumptions!$B$155/12*E7,0)</f>
        <v/>
      </c>
      <c r="F123" s="61">
        <f>IF(F2&gt;=Assumptions!$B$48,F118*Assumptions!$B$37*Assumptions!$B$154*Assumptions!$B$156*Assumptions!$B$34*Assumptions!$B$155/12*F7,0)</f>
        <v/>
      </c>
      <c r="G123" s="61">
        <f>IF(G2&gt;=Assumptions!$B$48,G118*Assumptions!$B$37*Assumptions!$B$154*Assumptions!$B$156*Assumptions!$B$34*Assumptions!$B$155/12*G7,0)</f>
        <v/>
      </c>
      <c r="H123" s="61">
        <f>IF(H2&gt;=Assumptions!$B$48,H118*Assumptions!$B$37*Assumptions!$B$154*Assumptions!$B$156*Assumptions!$B$34*Assumptions!$B$155/12*H7,0)</f>
        <v/>
      </c>
      <c r="I123" s="61">
        <f>IF(I2&gt;=Assumptions!$B$48,I118*Assumptions!$B$37*Assumptions!$B$154*Assumptions!$B$156*Assumptions!$B$34*Assumptions!$B$155/12*I7,0)</f>
        <v/>
      </c>
      <c r="J123" s="61">
        <f>IF(J2&gt;=Assumptions!$B$48,J118*Assumptions!$B$37*Assumptions!$B$154*Assumptions!$B$156*Assumptions!$B$34*Assumptions!$B$155/12*J7,0)</f>
        <v/>
      </c>
      <c r="K123" s="61">
        <f>IF(K2&gt;=Assumptions!$B$48,K118*Assumptions!$B$37*Assumptions!$B$154*Assumptions!$B$156*Assumptions!$B$34*Assumptions!$B$155/12*K7,0)</f>
        <v/>
      </c>
      <c r="L123" s="61">
        <f>IF(L2&gt;=Assumptions!$B$48,L118*Assumptions!$B$37*Assumptions!$B$154*Assumptions!$B$156*Assumptions!$B$34*Assumptions!$B$155/12*L7,0)</f>
        <v/>
      </c>
      <c r="M123" s="61">
        <f>IF(M2&gt;=Assumptions!$B$48,M118*Assumptions!$B$37*Assumptions!$B$154*Assumptions!$B$156*Assumptions!$B$34*Assumptions!$B$155/12*M7,0)</f>
        <v/>
      </c>
      <c r="N123" s="61">
        <f>IF(N2&gt;=Assumptions!$B$48,N118*Assumptions!$B$37*Assumptions!$B$154*Assumptions!$B$156*Assumptions!$B$34*Assumptions!$B$155/12*N7,0)</f>
        <v/>
      </c>
      <c r="O123" s="61">
        <f>IF(O2&gt;=Assumptions!$B$48,O118*Assumptions!$B$37*Assumptions!$B$154*Assumptions!$B$156*Assumptions!$B$34*Assumptions!$B$155/12*O7,0)</f>
        <v/>
      </c>
      <c r="P123" s="61">
        <f>IF(P2&gt;=Assumptions!$B$48,P118*Assumptions!$B$37*Assumptions!$B$154*Assumptions!$B$156*Assumptions!$B$34*Assumptions!$B$155/12*P7,0)</f>
        <v/>
      </c>
      <c r="Q123" s="61">
        <f>IF(Q2&gt;=Assumptions!$B$48,Q118*Assumptions!$B$37*Assumptions!$B$154*Assumptions!$B$156*Assumptions!$B$34*Assumptions!$B$155/12*Q7,0)</f>
        <v/>
      </c>
      <c r="R123" s="61">
        <f>IF(R2&gt;=Assumptions!$B$48,R118*Assumptions!$B$37*Assumptions!$B$154*Assumptions!$B$156*Assumptions!$B$34*Assumptions!$B$155/12*R7,0)</f>
        <v/>
      </c>
      <c r="S123" s="61">
        <f>IF(S2&gt;=Assumptions!$B$48,S118*Assumptions!$B$37*Assumptions!$B$154*Assumptions!$B$156*Assumptions!$B$34*Assumptions!$B$155/12*S7,0)</f>
        <v/>
      </c>
      <c r="T123" s="61">
        <f>IF(T2&gt;=Assumptions!$B$48,T118*Assumptions!$B$37*Assumptions!$B$154*Assumptions!$B$156*Assumptions!$B$34*Assumptions!$B$155/12*T7,0)</f>
        <v/>
      </c>
      <c r="U123" s="61">
        <f>IF(U2&gt;=Assumptions!$B$48,U118*Assumptions!$B$37*Assumptions!$B$154*Assumptions!$B$156*Assumptions!$B$34*Assumptions!$B$155/12*U7,0)</f>
        <v/>
      </c>
      <c r="V123" s="61">
        <f>IF(V2&gt;=Assumptions!$B$48,V118*Assumptions!$B$37*Assumptions!$B$154*Assumptions!$B$156*Assumptions!$B$34*Assumptions!$B$155/12*V7,0)</f>
        <v/>
      </c>
      <c r="W123" s="61">
        <f>IF(W2&gt;=Assumptions!$B$48,W118*Assumptions!$B$37*Assumptions!$B$154*Assumptions!$B$156*Assumptions!$B$34*Assumptions!$B$155/12*W7,0)</f>
        <v/>
      </c>
      <c r="X123" s="61">
        <f>IF(X2&gt;=Assumptions!$B$48,X118*Assumptions!$B$37*Assumptions!$B$154*Assumptions!$B$156*Assumptions!$B$34*Assumptions!$B$155/12*X7,0)</f>
        <v/>
      </c>
      <c r="Y123" s="61">
        <f>IF(Y2&gt;=Assumptions!$B$48,Y118*Assumptions!$B$37*Assumptions!$B$154*Assumptions!$B$156*Assumptions!$B$34*Assumptions!$B$155/12*Y7,0)</f>
        <v/>
      </c>
      <c r="Z123" s="61">
        <f>IF(Z2&gt;=Assumptions!$B$48,Z118*Assumptions!$B$37*Assumptions!$B$154*Assumptions!$B$156*Assumptions!$B$34*Assumptions!$B$155/12*Z7,0)</f>
        <v/>
      </c>
      <c r="AA123" s="61">
        <f>IF(AA2&gt;=Assumptions!$B$48,AA118*Assumptions!$B$37*Assumptions!$B$154*Assumptions!$B$156*Assumptions!$B$34*Assumptions!$B$155/12*AA7,0)</f>
        <v/>
      </c>
      <c r="AB123" s="61">
        <f>IF(AB2&gt;=Assumptions!$B$48,AB118*Assumptions!$B$37*Assumptions!$B$154*Assumptions!$B$156*Assumptions!$B$34*Assumptions!$B$155/12*AB7,0)</f>
        <v/>
      </c>
      <c r="AC123" s="61">
        <f>IF(AC2&gt;=Assumptions!$B$48,AC118*Assumptions!$B$37*Assumptions!$B$154*Assumptions!$B$156*Assumptions!$B$34*Assumptions!$B$155/12*AC7,0)</f>
        <v/>
      </c>
      <c r="AD123" s="61">
        <f>IF(AD2&gt;=Assumptions!$B$48,AD118*Assumptions!$B$37*Assumptions!$B$154*Assumptions!$B$156*Assumptions!$B$34*Assumptions!$B$155/12*AD7,0)</f>
        <v/>
      </c>
      <c r="AE123" s="61">
        <f>IF(AE2&gt;=Assumptions!$B$48,AE118*Assumptions!$B$37*Assumptions!$B$154*Assumptions!$B$156*Assumptions!$B$34*Assumptions!$B$155/12*AE7,0)</f>
        <v/>
      </c>
    </row>
    <row r="124">
      <c r="A124" s="6" t="inlineStr">
        <is>
          <t xml:space="preserve">  Grams purchased</t>
        </is>
      </c>
      <c r="B124" s="23" t="inlineStr">
        <is>
          <t>grams</t>
        </is>
      </c>
      <c r="C124" s="60">
        <f>(C122+C123)*(1-Assumptions!$B$8)/C20/(1+Assumptions!$B$9*(1-Assumptions!$B$229))</f>
        <v/>
      </c>
      <c r="D124" s="60">
        <f>(D122+D123)*(1-Assumptions!$B$8)/D20/(1+Assumptions!$B$9*(1-Assumptions!$B$229))</f>
        <v/>
      </c>
      <c r="E124" s="60">
        <f>(E122+E123)*(1-Assumptions!$B$8)/E20/(1+Assumptions!$B$9*(1-Assumptions!$B$229))</f>
        <v/>
      </c>
      <c r="F124" s="60">
        <f>(F122+F123)*(1-Assumptions!$B$8)/F20/(1+Assumptions!$B$9*(1-Assumptions!$B$229))</f>
        <v/>
      </c>
      <c r="G124" s="60">
        <f>(G122+G123)*(1-Assumptions!$B$8)/G20/(1+Assumptions!$B$9*(1-Assumptions!$B$229))</f>
        <v/>
      </c>
      <c r="H124" s="60">
        <f>(H122+H123)*(1-Assumptions!$B$8)/H20/(1+Assumptions!$B$9*(1-Assumptions!$B$229))</f>
        <v/>
      </c>
      <c r="I124" s="60">
        <f>(I122+I123)*(1-Assumptions!$B$8)/I20/(1+Assumptions!$B$9*(1-Assumptions!$B$229))</f>
        <v/>
      </c>
      <c r="J124" s="60">
        <f>(J122+J123)*(1-Assumptions!$B$8)/J20/(1+Assumptions!$B$9*(1-Assumptions!$B$229))</f>
        <v/>
      </c>
      <c r="K124" s="60">
        <f>(K122+K123)*(1-Assumptions!$B$8)/K20/(1+Assumptions!$B$9*(1-Assumptions!$B$229))</f>
        <v/>
      </c>
      <c r="L124" s="60">
        <f>(L122+L123)*(1-Assumptions!$B$8)/L20/(1+Assumptions!$B$9*(1-Assumptions!$B$229))</f>
        <v/>
      </c>
      <c r="M124" s="60">
        <f>(M122+M123)*(1-Assumptions!$B$8)/M20/(1+Assumptions!$B$9*(1-Assumptions!$B$229))</f>
        <v/>
      </c>
      <c r="N124" s="60">
        <f>(N122+N123)*(1-Assumptions!$B$8)/N20/(1+Assumptions!$B$9*(1-Assumptions!$B$229))</f>
        <v/>
      </c>
      <c r="O124" s="60">
        <f>(O122+O123)*(1-Assumptions!$B$8)/O20/(1+Assumptions!$B$9*(1-Assumptions!$B$229))</f>
        <v/>
      </c>
      <c r="P124" s="60">
        <f>(P122+P123)*(1-Assumptions!$B$8)/P20/(1+Assumptions!$B$9*(1-Assumptions!$B$229))</f>
        <v/>
      </c>
      <c r="Q124" s="60">
        <f>(Q122+Q123)*(1-Assumptions!$B$8)/Q20/(1+Assumptions!$B$9*(1-Assumptions!$B$229))</f>
        <v/>
      </c>
      <c r="R124" s="60">
        <f>(R122+R123)*(1-Assumptions!$B$8)/R20/(1+Assumptions!$B$9*(1-Assumptions!$B$229))</f>
        <v/>
      </c>
      <c r="S124" s="60">
        <f>(S122+S123)*(1-Assumptions!$B$8)/S20/(1+Assumptions!$B$9*(1-Assumptions!$B$229))</f>
        <v/>
      </c>
      <c r="T124" s="60">
        <f>(T122+T123)*(1-Assumptions!$B$8)/T20/(1+Assumptions!$B$9*(1-Assumptions!$B$229))</f>
        <v/>
      </c>
      <c r="U124" s="60">
        <f>(U122+U123)*(1-Assumptions!$B$8)/U20/(1+Assumptions!$B$9*(1-Assumptions!$B$229))</f>
        <v/>
      </c>
      <c r="V124" s="60">
        <f>(V122+V123)*(1-Assumptions!$B$8)/V20/(1+Assumptions!$B$9*(1-Assumptions!$B$229))</f>
        <v/>
      </c>
      <c r="W124" s="60">
        <f>(W122+W123)*(1-Assumptions!$B$8)/W20/(1+Assumptions!$B$9*(1-Assumptions!$B$229))</f>
        <v/>
      </c>
      <c r="X124" s="60">
        <f>(X122+X123)*(1-Assumptions!$B$8)/X20/(1+Assumptions!$B$9*(1-Assumptions!$B$229))</f>
        <v/>
      </c>
      <c r="Y124" s="60">
        <f>(Y122+Y123)*(1-Assumptions!$B$8)/Y20/(1+Assumptions!$B$9*(1-Assumptions!$B$229))</f>
        <v/>
      </c>
      <c r="Z124" s="60">
        <f>(Z122+Z123)*(1-Assumptions!$B$8)/Z20/(1+Assumptions!$B$9*(1-Assumptions!$B$229))</f>
        <v/>
      </c>
      <c r="AA124" s="60">
        <f>(AA122+AA123)*(1-Assumptions!$B$8)/AA20/(1+Assumptions!$B$9*(1-Assumptions!$B$229))</f>
        <v/>
      </c>
      <c r="AB124" s="60">
        <f>(AB122+AB123)*(1-Assumptions!$B$8)/AB20/(1+Assumptions!$B$9*(1-Assumptions!$B$229))</f>
        <v/>
      </c>
      <c r="AC124" s="60">
        <f>(AC122+AC123)*(1-Assumptions!$B$8)/AC20/(1+Assumptions!$B$9*(1-Assumptions!$B$229))</f>
        <v/>
      </c>
      <c r="AD124" s="60">
        <f>(AD122+AD123)*(1-Assumptions!$B$8)/AD20/(1+Assumptions!$B$9*(1-Assumptions!$B$229))</f>
        <v/>
      </c>
      <c r="AE124" s="60">
        <f>(AE122+AE123)*(1-Assumptions!$B$8)/AE20/(1+Assumptions!$B$9*(1-Assumptions!$B$229))</f>
        <v/>
      </c>
    </row>
    <row r="125">
      <c r="A125" s="6" t="inlineStr">
        <is>
          <t xml:space="preserve">  Collateral-eligible AUM decay rate (holder-weighted)</t>
        </is>
      </c>
      <c r="B125" s="23" t="inlineStr">
        <is>
          <t>%/period</t>
        </is>
      </c>
      <c r="C125" s="62">
        <f>(Assumptions!$B$151+Assumptions!$B$152*IF(C118+C120=0,1,(C118+C120*Assumptions!$B$153)/(C118+C120)))*C7/12</f>
        <v/>
      </c>
      <c r="D125" s="62">
        <f>(Assumptions!$B$151+Assumptions!$B$152*IF(D118+D120=0,1,(D118+D120*Assumptions!$B$153)/(D118+D120)))*D7/12</f>
        <v/>
      </c>
      <c r="E125" s="62">
        <f>(Assumptions!$B$151+Assumptions!$B$152*IF(E118+E120=0,1,(E118+E120*Assumptions!$B$153)/(E118+E120)))*E7/12</f>
        <v/>
      </c>
      <c r="F125" s="62">
        <f>(Assumptions!$B$151+Assumptions!$B$152*IF(F118+F120=0,1,(F118+F120*Assumptions!$B$153)/(F118+F120)))*F7/12</f>
        <v/>
      </c>
      <c r="G125" s="62">
        <f>(Assumptions!$B$151+Assumptions!$B$152*IF(G118+G120=0,1,(G118+G120*Assumptions!$B$153)/(G118+G120)))*G7/12</f>
        <v/>
      </c>
      <c r="H125" s="62">
        <f>(Assumptions!$B$151+Assumptions!$B$152*IF(H118+H120=0,1,(H118+H120*Assumptions!$B$153)/(H118+H120)))*H7/12</f>
        <v/>
      </c>
      <c r="I125" s="62">
        <f>(Assumptions!$B$151+Assumptions!$B$152*IF(I118+I120=0,1,(I118+I120*Assumptions!$B$153)/(I118+I120)))*I7/12</f>
        <v/>
      </c>
      <c r="J125" s="62">
        <f>(Assumptions!$B$151+Assumptions!$B$152*IF(J118+J120=0,1,(J118+J120*Assumptions!$B$153)/(J118+J120)))*J7/12</f>
        <v/>
      </c>
      <c r="K125" s="62">
        <f>(Assumptions!$B$151+Assumptions!$B$152*IF(K118+K120=0,1,(K118+K120*Assumptions!$B$153)/(K118+K120)))*K7/12</f>
        <v/>
      </c>
      <c r="L125" s="62">
        <f>(Assumptions!$B$151+Assumptions!$B$152*IF(L118+L120=0,1,(L118+L120*Assumptions!$B$153)/(L118+L120)))*L7/12</f>
        <v/>
      </c>
      <c r="M125" s="62">
        <f>(Assumptions!$B$151+Assumptions!$B$152*IF(M118+M120=0,1,(M118+M120*Assumptions!$B$153)/(M118+M120)))*M7/12</f>
        <v/>
      </c>
      <c r="N125" s="62">
        <f>(Assumptions!$B$151+Assumptions!$B$152*IF(N118+N120=0,1,(N118+N120*Assumptions!$B$153)/(N118+N120)))*N7/12</f>
        <v/>
      </c>
      <c r="O125" s="62">
        <f>(Assumptions!$B$151+Assumptions!$B$152*IF(O118+O120=0,1,(O118+O120*Assumptions!$B$153)/(O118+O120)))*O7/12</f>
        <v/>
      </c>
      <c r="P125" s="62">
        <f>(Assumptions!$B$151+Assumptions!$B$152*IF(P118+P120=0,1,(P118+P120*Assumptions!$B$153)/(P118+P120)))*P7/12</f>
        <v/>
      </c>
      <c r="Q125" s="62">
        <f>(Assumptions!$B$151+Assumptions!$B$152*IF(Q118+Q120=0,1,(Q118+Q120*Assumptions!$B$153)/(Q118+Q120)))*Q7/12</f>
        <v/>
      </c>
      <c r="R125" s="62">
        <f>(Assumptions!$B$151+Assumptions!$B$152*IF(R118+R120=0,1,(R118+R120*Assumptions!$B$153)/(R118+R120)))*R7/12</f>
        <v/>
      </c>
      <c r="S125" s="62">
        <f>(Assumptions!$B$151+Assumptions!$B$152*IF(S118+S120=0,1,(S118+S120*Assumptions!$B$153)/(S118+S120)))*S7/12</f>
        <v/>
      </c>
      <c r="T125" s="62">
        <f>(Assumptions!$B$151+Assumptions!$B$152*IF(T118+T120=0,1,(T118+T120*Assumptions!$B$153)/(T118+T120)))*T7/12</f>
        <v/>
      </c>
      <c r="U125" s="62">
        <f>(Assumptions!$B$151+Assumptions!$B$152*IF(U118+U120=0,1,(U118+U120*Assumptions!$B$153)/(U118+U120)))*U7/12</f>
        <v/>
      </c>
      <c r="V125" s="62">
        <f>(Assumptions!$B$151+Assumptions!$B$152*IF(V118+V120=0,1,(V118+V120*Assumptions!$B$153)/(V118+V120)))*V7/12</f>
        <v/>
      </c>
      <c r="W125" s="62">
        <f>(Assumptions!$B$151+Assumptions!$B$152*IF(W118+W120=0,1,(W118+W120*Assumptions!$B$153)/(W118+W120)))*W7/12</f>
        <v/>
      </c>
      <c r="X125" s="62">
        <f>(Assumptions!$B$151+Assumptions!$B$152*IF(X118+X120=0,1,(X118+X120*Assumptions!$B$153)/(X118+X120)))*X7/12</f>
        <v/>
      </c>
      <c r="Y125" s="62">
        <f>(Assumptions!$B$151+Assumptions!$B$152*IF(Y118+Y120=0,1,(Y118+Y120*Assumptions!$B$153)/(Y118+Y120)))*Y7/12</f>
        <v/>
      </c>
      <c r="Z125" s="62">
        <f>(Assumptions!$B$151+Assumptions!$B$152*IF(Z118+Z120=0,1,(Z118+Z120*Assumptions!$B$153)/(Z118+Z120)))*Z7/12</f>
        <v/>
      </c>
      <c r="AA125" s="62">
        <f>(Assumptions!$B$151+Assumptions!$B$152*IF(AA118+AA120=0,1,(AA118+AA120*Assumptions!$B$153)/(AA118+AA120)))*AA7/12</f>
        <v/>
      </c>
      <c r="AB125" s="62">
        <f>(Assumptions!$B$151+Assumptions!$B$152*IF(AB118+AB120=0,1,(AB118+AB120*Assumptions!$B$153)/(AB118+AB120)))*AB7/12</f>
        <v/>
      </c>
      <c r="AC125" s="62">
        <f>(Assumptions!$B$151+Assumptions!$B$152*IF(AC118+AC120=0,1,(AC118+AC120*Assumptions!$B$153)/(AC118+AC120)))*AC7/12</f>
        <v/>
      </c>
      <c r="AD125" s="62">
        <f>(Assumptions!$B$151+Assumptions!$B$152*IF(AD118+AD120=0,1,(AD118+AD120*Assumptions!$B$153)/(AD118+AD120)))*AD7/12</f>
        <v/>
      </c>
      <c r="AE125" s="62">
        <f>(Assumptions!$B$151+Assumptions!$B$152*IF(AE118+AE120=0,1,(AE118+AE120*Assumptions!$B$153)/(AE118+AE120)))*AE7/12</f>
        <v/>
      </c>
    </row>
    <row r="126">
      <c r="A126" s="6" t="inlineStr">
        <is>
          <t xml:space="preserve">  Redemption-only decay rate (metal actually leaving)</t>
        </is>
      </c>
      <c r="B126" s="23" t="inlineStr">
        <is>
          <t>%/period</t>
        </is>
      </c>
      <c r="C126" s="62">
        <f>Assumptions!$B$152*IF(C118+C120=0,1,(C118+C120*Assumptions!$B$153)/(C118+C120))*C7/12</f>
        <v/>
      </c>
      <c r="D126" s="62">
        <f>Assumptions!$B$152*IF(D118+D120=0,1,(D118+D120*Assumptions!$B$153)/(D118+D120))*D7/12</f>
        <v/>
      </c>
      <c r="E126" s="62">
        <f>Assumptions!$B$152*IF(E118+E120=0,1,(E118+E120*Assumptions!$B$153)/(E118+E120))*E7/12</f>
        <v/>
      </c>
      <c r="F126" s="62">
        <f>Assumptions!$B$152*IF(F118+F120=0,1,(F118+F120*Assumptions!$B$153)/(F118+F120))*F7/12</f>
        <v/>
      </c>
      <c r="G126" s="62">
        <f>Assumptions!$B$152*IF(G118+G120=0,1,(G118+G120*Assumptions!$B$153)/(G118+G120))*G7/12</f>
        <v/>
      </c>
      <c r="H126" s="62">
        <f>Assumptions!$B$152*IF(H118+H120=0,1,(H118+H120*Assumptions!$B$153)/(H118+H120))*H7/12</f>
        <v/>
      </c>
      <c r="I126" s="62">
        <f>Assumptions!$B$152*IF(I118+I120=0,1,(I118+I120*Assumptions!$B$153)/(I118+I120))*I7/12</f>
        <v/>
      </c>
      <c r="J126" s="62">
        <f>Assumptions!$B$152*IF(J118+J120=0,1,(J118+J120*Assumptions!$B$153)/(J118+J120))*J7/12</f>
        <v/>
      </c>
      <c r="K126" s="62">
        <f>Assumptions!$B$152*IF(K118+K120=0,1,(K118+K120*Assumptions!$B$153)/(K118+K120))*K7/12</f>
        <v/>
      </c>
      <c r="L126" s="62">
        <f>Assumptions!$B$152*IF(L118+L120=0,1,(L118+L120*Assumptions!$B$153)/(L118+L120))*L7/12</f>
        <v/>
      </c>
      <c r="M126" s="62">
        <f>Assumptions!$B$152*IF(M118+M120=0,1,(M118+M120*Assumptions!$B$153)/(M118+M120))*M7/12</f>
        <v/>
      </c>
      <c r="N126" s="62">
        <f>Assumptions!$B$152*IF(N118+N120=0,1,(N118+N120*Assumptions!$B$153)/(N118+N120))*N7/12</f>
        <v/>
      </c>
      <c r="O126" s="62">
        <f>Assumptions!$B$152*IF(O118+O120=0,1,(O118+O120*Assumptions!$B$153)/(O118+O120))*O7/12</f>
        <v/>
      </c>
      <c r="P126" s="62">
        <f>Assumptions!$B$152*IF(P118+P120=0,1,(P118+P120*Assumptions!$B$153)/(P118+P120))*P7/12</f>
        <v/>
      </c>
      <c r="Q126" s="62">
        <f>Assumptions!$B$152*IF(Q118+Q120=0,1,(Q118+Q120*Assumptions!$B$153)/(Q118+Q120))*Q7/12</f>
        <v/>
      </c>
      <c r="R126" s="62">
        <f>Assumptions!$B$152*IF(R118+R120=0,1,(R118+R120*Assumptions!$B$153)/(R118+R120))*R7/12</f>
        <v/>
      </c>
      <c r="S126" s="62">
        <f>Assumptions!$B$152*IF(S118+S120=0,1,(S118+S120*Assumptions!$B$153)/(S118+S120))*S7/12</f>
        <v/>
      </c>
      <c r="T126" s="62">
        <f>Assumptions!$B$152*IF(T118+T120=0,1,(T118+T120*Assumptions!$B$153)/(T118+T120))*T7/12</f>
        <v/>
      </c>
      <c r="U126" s="62">
        <f>Assumptions!$B$152*IF(U118+U120=0,1,(U118+U120*Assumptions!$B$153)/(U118+U120))*U7/12</f>
        <v/>
      </c>
      <c r="V126" s="62">
        <f>Assumptions!$B$152*IF(V118+V120=0,1,(V118+V120*Assumptions!$B$153)/(V118+V120))*V7/12</f>
        <v/>
      </c>
      <c r="W126" s="62">
        <f>Assumptions!$B$152*IF(W118+W120=0,1,(W118+W120*Assumptions!$B$153)/(W118+W120))*W7/12</f>
        <v/>
      </c>
      <c r="X126" s="62">
        <f>Assumptions!$B$152*IF(X118+X120=0,1,(X118+X120*Assumptions!$B$153)/(X118+X120))*X7/12</f>
        <v/>
      </c>
      <c r="Y126" s="62">
        <f>Assumptions!$B$152*IF(Y118+Y120=0,1,(Y118+Y120*Assumptions!$B$153)/(Y118+Y120))*Y7/12</f>
        <v/>
      </c>
      <c r="Z126" s="62">
        <f>Assumptions!$B$152*IF(Z118+Z120=0,1,(Z118+Z120*Assumptions!$B$153)/(Z118+Z120))*Z7/12</f>
        <v/>
      </c>
      <c r="AA126" s="62">
        <f>Assumptions!$B$152*IF(AA118+AA120=0,1,(AA118+AA120*Assumptions!$B$153)/(AA118+AA120))*AA7/12</f>
        <v/>
      </c>
      <c r="AB126" s="62">
        <f>Assumptions!$B$152*IF(AB118+AB120=0,1,(AB118+AB120*Assumptions!$B$153)/(AB118+AB120))*AB7/12</f>
        <v/>
      </c>
      <c r="AC126" s="62">
        <f>Assumptions!$B$152*IF(AC118+AC120=0,1,(AC118+AC120*Assumptions!$B$153)/(AC118+AC120))*AC7/12</f>
        <v/>
      </c>
      <c r="AD126" s="62">
        <f>Assumptions!$B$152*IF(AD118+AD120=0,1,(AD118+AD120*Assumptions!$B$153)/(AD118+AD120))*AD7/12</f>
        <v/>
      </c>
      <c r="AE126" s="62">
        <f>Assumptions!$B$152*IF(AE118+AE120=0,1,(AE118+AE120*Assumptions!$B$153)/(AE118+AE120))*AE7/12</f>
        <v/>
      </c>
    </row>
    <row r="127">
      <c r="A127" s="6" t="inlineStr">
        <is>
          <t xml:space="preserve">  Grams held (collateral-eligible)</t>
        </is>
      </c>
      <c r="B127" s="23" t="inlineStr">
        <is>
          <t>grams</t>
        </is>
      </c>
      <c r="C127" s="50">
        <f>C124</f>
        <v/>
      </c>
      <c r="D127" s="50">
        <f>C127*(1-D125)+D124</f>
        <v/>
      </c>
      <c r="E127" s="50">
        <f>D127*(1-E125)+E124</f>
        <v/>
      </c>
      <c r="F127" s="50">
        <f>E127*(1-F125)+F124</f>
        <v/>
      </c>
      <c r="G127" s="50">
        <f>F127*(1-G125)+G124</f>
        <v/>
      </c>
      <c r="H127" s="50">
        <f>G127*(1-H125)+H124</f>
        <v/>
      </c>
      <c r="I127" s="50">
        <f>H127*(1-I125)+I124</f>
        <v/>
      </c>
      <c r="J127" s="50">
        <f>I127*(1-J125)+J124</f>
        <v/>
      </c>
      <c r="K127" s="50">
        <f>J127*(1-K125)+K124</f>
        <v/>
      </c>
      <c r="L127" s="50">
        <f>K127*(1-L125)+L124</f>
        <v/>
      </c>
      <c r="M127" s="50">
        <f>L127*(1-M125)+M124</f>
        <v/>
      </c>
      <c r="N127" s="50">
        <f>M127*(1-N125)+N124</f>
        <v/>
      </c>
      <c r="O127" s="50">
        <f>N127*(1-O125)+O124</f>
        <v/>
      </c>
      <c r="P127" s="50">
        <f>O127*(1-P125)+P124</f>
        <v/>
      </c>
      <c r="Q127" s="50">
        <f>P127*(1-Q125)+Q124</f>
        <v/>
      </c>
      <c r="R127" s="50">
        <f>Q127*(1-R125)+R124</f>
        <v/>
      </c>
      <c r="S127" s="50">
        <f>R127*(1-S125)+S124</f>
        <v/>
      </c>
      <c r="T127" s="50">
        <f>S127*(1-T125)+T124</f>
        <v/>
      </c>
      <c r="U127" s="50">
        <f>T127*(1-U125)+U124</f>
        <v/>
      </c>
      <c r="V127" s="50">
        <f>U127*(1-V125)+V124</f>
        <v/>
      </c>
      <c r="W127" s="50">
        <f>V127*(1-W125)+W124</f>
        <v/>
      </c>
      <c r="X127" s="50">
        <f>W127*(1-X125)+X124</f>
        <v/>
      </c>
      <c r="Y127" s="50">
        <f>X127*(1-Y125)+Y124</f>
        <v/>
      </c>
      <c r="Z127" s="50">
        <f>Y127*(1-Z125)+Z124</f>
        <v/>
      </c>
      <c r="AA127" s="50">
        <f>Z127*(1-AA125)+AA124</f>
        <v/>
      </c>
      <c r="AB127" s="50">
        <f>AA127*(1-AB125)+AB124</f>
        <v/>
      </c>
      <c r="AC127" s="50">
        <f>AB127*(1-AC125)+AC124</f>
        <v/>
      </c>
      <c r="AD127" s="50">
        <f>AC127*(1-AD125)+AD124</f>
        <v/>
      </c>
      <c r="AE127" s="50">
        <f>AD127*(1-AE125)+AE124</f>
        <v/>
      </c>
    </row>
    <row r="128">
      <c r="A128" s="6" t="inlineStr">
        <is>
          <t xml:space="preserve">  Grams under custody (vaulted, incl. self-custodied)</t>
        </is>
      </c>
      <c r="B128" s="23" t="inlineStr">
        <is>
          <t>grams</t>
        </is>
      </c>
      <c r="C128" s="50">
        <f>C124</f>
        <v/>
      </c>
      <c r="D128" s="50">
        <f>C128*(1-D126)+D124</f>
        <v/>
      </c>
      <c r="E128" s="50">
        <f>D128*(1-E126)+E124</f>
        <v/>
      </c>
      <c r="F128" s="50">
        <f>E128*(1-F126)+F124</f>
        <v/>
      </c>
      <c r="G128" s="50">
        <f>F128*(1-G126)+G124</f>
        <v/>
      </c>
      <c r="H128" s="50">
        <f>G128*(1-H126)+H124</f>
        <v/>
      </c>
      <c r="I128" s="50">
        <f>H128*(1-I126)+I124</f>
        <v/>
      </c>
      <c r="J128" s="50">
        <f>I128*(1-J126)+J124</f>
        <v/>
      </c>
      <c r="K128" s="50">
        <f>J128*(1-K126)+K124</f>
        <v/>
      </c>
      <c r="L128" s="50">
        <f>K128*(1-L126)+L124</f>
        <v/>
      </c>
      <c r="M128" s="50">
        <f>L128*(1-M126)+M124</f>
        <v/>
      </c>
      <c r="N128" s="50">
        <f>M128*(1-N126)+N124</f>
        <v/>
      </c>
      <c r="O128" s="50">
        <f>N128*(1-O126)+O124</f>
        <v/>
      </c>
      <c r="P128" s="50">
        <f>O128*(1-P126)+P124</f>
        <v/>
      </c>
      <c r="Q128" s="50">
        <f>P128*(1-Q126)+Q124</f>
        <v/>
      </c>
      <c r="R128" s="50">
        <f>Q128*(1-R126)+R124</f>
        <v/>
      </c>
      <c r="S128" s="50">
        <f>R128*(1-S126)+S124</f>
        <v/>
      </c>
      <c r="T128" s="50">
        <f>S128*(1-T126)+T124</f>
        <v/>
      </c>
      <c r="U128" s="50">
        <f>T128*(1-U126)+U124</f>
        <v/>
      </c>
      <c r="V128" s="50">
        <f>U128*(1-V126)+V124</f>
        <v/>
      </c>
      <c r="W128" s="50">
        <f>V128*(1-W126)+W124</f>
        <v/>
      </c>
      <c r="X128" s="50">
        <f>W128*(1-X126)+X124</f>
        <v/>
      </c>
      <c r="Y128" s="50">
        <f>X128*(1-Y126)+Y124</f>
        <v/>
      </c>
      <c r="Z128" s="50">
        <f>Y128*(1-Z126)+Z124</f>
        <v/>
      </c>
      <c r="AA128" s="50">
        <f>Z128*(1-AA126)+AA124</f>
        <v/>
      </c>
      <c r="AB128" s="50">
        <f>AA128*(1-AB126)+AB124</f>
        <v/>
      </c>
      <c r="AC128" s="50">
        <f>AB128*(1-AC126)+AC124</f>
        <v/>
      </c>
      <c r="AD128" s="50">
        <f>AC128*(1-AD126)+AD124</f>
        <v/>
      </c>
      <c r="AE128" s="50">
        <f>AD128*(1-AE126)+AE124</f>
        <v/>
      </c>
    </row>
    <row r="129">
      <c r="A129" s="6" t="inlineStr">
        <is>
          <t xml:space="preserve">  AUM</t>
        </is>
      </c>
      <c r="B129" s="23" t="inlineStr">
        <is>
          <t>USD</t>
        </is>
      </c>
      <c r="C129" s="63">
        <f>C127*C20</f>
        <v/>
      </c>
      <c r="D129" s="63">
        <f>D127*D20</f>
        <v/>
      </c>
      <c r="E129" s="63">
        <f>E127*E20</f>
        <v/>
      </c>
      <c r="F129" s="63">
        <f>F127*F20</f>
        <v/>
      </c>
      <c r="G129" s="63">
        <f>G127*G20</f>
        <v/>
      </c>
      <c r="H129" s="63">
        <f>H127*H20</f>
        <v/>
      </c>
      <c r="I129" s="63">
        <f>I127*I20</f>
        <v/>
      </c>
      <c r="J129" s="63">
        <f>J127*J20</f>
        <v/>
      </c>
      <c r="K129" s="63">
        <f>K127*K20</f>
        <v/>
      </c>
      <c r="L129" s="63">
        <f>L127*L20</f>
        <v/>
      </c>
      <c r="M129" s="63">
        <f>M127*M20</f>
        <v/>
      </c>
      <c r="N129" s="63">
        <f>N127*N20</f>
        <v/>
      </c>
      <c r="O129" s="63">
        <f>O127*O20</f>
        <v/>
      </c>
      <c r="P129" s="63">
        <f>P127*P20</f>
        <v/>
      </c>
      <c r="Q129" s="63">
        <f>Q127*Q20</f>
        <v/>
      </c>
      <c r="R129" s="63">
        <f>R127*R20</f>
        <v/>
      </c>
      <c r="S129" s="63">
        <f>S127*S20</f>
        <v/>
      </c>
      <c r="T129" s="63">
        <f>T127*T20</f>
        <v/>
      </c>
      <c r="U129" s="63">
        <f>U127*U20</f>
        <v/>
      </c>
      <c r="V129" s="63">
        <f>V127*V20</f>
        <v/>
      </c>
      <c r="W129" s="63">
        <f>W127*W20</f>
        <v/>
      </c>
      <c r="X129" s="63">
        <f>X127*X20</f>
        <v/>
      </c>
      <c r="Y129" s="63">
        <f>Y127*Y20</f>
        <v/>
      </c>
      <c r="Z129" s="63">
        <f>Z127*Z20</f>
        <v/>
      </c>
      <c r="AA129" s="63">
        <f>AA127*AA20</f>
        <v/>
      </c>
      <c r="AB129" s="63">
        <f>AB127*AB20</f>
        <v/>
      </c>
      <c r="AC129" s="63">
        <f>AC127*AC20</f>
        <v/>
      </c>
      <c r="AD129" s="63">
        <f>AD127*AD20</f>
        <v/>
      </c>
      <c r="AE129" s="63">
        <f>AE127*AE20</f>
        <v/>
      </c>
    </row>
    <row r="130">
      <c r="A130" s="6" t="inlineStr">
        <is>
          <t xml:space="preserve">  Card-eligible base</t>
        </is>
      </c>
      <c r="B130" s="23" t="inlineStr">
        <is>
          <t>accounts</t>
        </is>
      </c>
      <c r="C130" s="60">
        <f>C118+C120*Assumptions!$B$228</f>
        <v/>
      </c>
      <c r="D130" s="60">
        <f>D118+D120*Assumptions!$B$228</f>
        <v/>
      </c>
      <c r="E130" s="60">
        <f>E118+E120*Assumptions!$B$228</f>
        <v/>
      </c>
      <c r="F130" s="60">
        <f>F118+F120*Assumptions!$B$228</f>
        <v/>
      </c>
      <c r="G130" s="60">
        <f>G118+G120*Assumptions!$B$228</f>
        <v/>
      </c>
      <c r="H130" s="60">
        <f>H118+H120*Assumptions!$B$228</f>
        <v/>
      </c>
      <c r="I130" s="60">
        <f>I118+I120*Assumptions!$B$228</f>
        <v/>
      </c>
      <c r="J130" s="60">
        <f>J118+J120*Assumptions!$B$228</f>
        <v/>
      </c>
      <c r="K130" s="60">
        <f>K118+K120*Assumptions!$B$228</f>
        <v/>
      </c>
      <c r="L130" s="60">
        <f>L118+L120*Assumptions!$B$228</f>
        <v/>
      </c>
      <c r="M130" s="60">
        <f>M118+M120*Assumptions!$B$228</f>
        <v/>
      </c>
      <c r="N130" s="60">
        <f>N118+N120*Assumptions!$B$228</f>
        <v/>
      </c>
      <c r="O130" s="60">
        <f>O118+O120*Assumptions!$B$228</f>
        <v/>
      </c>
      <c r="P130" s="60">
        <f>P118+P120*Assumptions!$B$228</f>
        <v/>
      </c>
      <c r="Q130" s="60">
        <f>Q118+Q120*Assumptions!$B$228</f>
        <v/>
      </c>
      <c r="R130" s="60">
        <f>R118+R120*Assumptions!$B$228</f>
        <v/>
      </c>
      <c r="S130" s="60">
        <f>S118+S120*Assumptions!$B$228</f>
        <v/>
      </c>
      <c r="T130" s="60">
        <f>T118+T120*Assumptions!$B$228</f>
        <v/>
      </c>
      <c r="U130" s="60">
        <f>U118+U120*Assumptions!$B$228</f>
        <v/>
      </c>
      <c r="V130" s="60">
        <f>V118+V120*Assumptions!$B$228</f>
        <v/>
      </c>
      <c r="W130" s="60">
        <f>W118+W120*Assumptions!$B$228</f>
        <v/>
      </c>
      <c r="X130" s="60">
        <f>X118+X120*Assumptions!$B$228</f>
        <v/>
      </c>
      <c r="Y130" s="60">
        <f>Y118+Y120*Assumptions!$B$228</f>
        <v/>
      </c>
      <c r="Z130" s="60">
        <f>Z118+Z120*Assumptions!$B$228</f>
        <v/>
      </c>
      <c r="AA130" s="60">
        <f>AA118+AA120*Assumptions!$B$228</f>
        <v/>
      </c>
      <c r="AB130" s="60">
        <f>AB118+AB120*Assumptions!$B$228</f>
        <v/>
      </c>
      <c r="AC130" s="60">
        <f>AC118+AC120*Assumptions!$B$228</f>
        <v/>
      </c>
      <c r="AD130" s="60">
        <f>AD118+AD120*Assumptions!$B$228</f>
        <v/>
      </c>
      <c r="AE130" s="60">
        <f>AE118+AE120*Assumptions!$B$228</f>
        <v/>
      </c>
    </row>
    <row r="131">
      <c r="A131" s="6" t="inlineStr">
        <is>
          <t xml:space="preserve">  Reaches an ICS benefit tier (memo - drives discounts, not access)</t>
        </is>
      </c>
      <c r="B131" s="23" t="inlineStr">
        <is>
          <t>accounts</t>
        </is>
      </c>
      <c r="C131" s="64">
        <f>IF(C7&gt;1,C130*Assumptions!$B$149,IF(C2&gt;Assumptions!$B$150,INDEX($C$130:$AE$130,1,C2-Assumptions!$B$150)*Assumptions!$B$149,0))</f>
        <v/>
      </c>
      <c r="D131" s="64">
        <f>IF(D7&gt;1,D130*Assumptions!$B$149,IF(D2&gt;Assumptions!$B$150,INDEX($C$130:$AE$130,1,D2-Assumptions!$B$150)*Assumptions!$B$149,0))</f>
        <v/>
      </c>
      <c r="E131" s="64">
        <f>IF(E7&gt;1,E130*Assumptions!$B$149,IF(E2&gt;Assumptions!$B$150,INDEX($C$130:$AE$130,1,E2-Assumptions!$B$150)*Assumptions!$B$149,0))</f>
        <v/>
      </c>
      <c r="F131" s="64">
        <f>IF(F7&gt;1,F130*Assumptions!$B$149,IF(F2&gt;Assumptions!$B$150,INDEX($C$130:$AE$130,1,F2-Assumptions!$B$150)*Assumptions!$B$149,0))</f>
        <v/>
      </c>
      <c r="G131" s="64">
        <f>IF(G7&gt;1,G130*Assumptions!$B$149,IF(G2&gt;Assumptions!$B$150,INDEX($C$130:$AE$130,1,G2-Assumptions!$B$150)*Assumptions!$B$149,0))</f>
        <v/>
      </c>
      <c r="H131" s="64">
        <f>IF(H7&gt;1,H130*Assumptions!$B$149,IF(H2&gt;Assumptions!$B$150,INDEX($C$130:$AE$130,1,H2-Assumptions!$B$150)*Assumptions!$B$149,0))</f>
        <v/>
      </c>
      <c r="I131" s="64">
        <f>IF(I7&gt;1,I130*Assumptions!$B$149,IF(I2&gt;Assumptions!$B$150,INDEX($C$130:$AE$130,1,I2-Assumptions!$B$150)*Assumptions!$B$149,0))</f>
        <v/>
      </c>
      <c r="J131" s="64">
        <f>IF(J7&gt;1,J130*Assumptions!$B$149,IF(J2&gt;Assumptions!$B$150,INDEX($C$130:$AE$130,1,J2-Assumptions!$B$150)*Assumptions!$B$149,0))</f>
        <v/>
      </c>
      <c r="K131" s="64">
        <f>IF(K7&gt;1,K130*Assumptions!$B$149,IF(K2&gt;Assumptions!$B$150,INDEX($C$130:$AE$130,1,K2-Assumptions!$B$150)*Assumptions!$B$149,0))</f>
        <v/>
      </c>
      <c r="L131" s="64">
        <f>IF(L7&gt;1,L130*Assumptions!$B$149,IF(L2&gt;Assumptions!$B$150,INDEX($C$130:$AE$130,1,L2-Assumptions!$B$150)*Assumptions!$B$149,0))</f>
        <v/>
      </c>
      <c r="M131" s="64">
        <f>IF(M7&gt;1,M130*Assumptions!$B$149,IF(M2&gt;Assumptions!$B$150,INDEX($C$130:$AE$130,1,M2-Assumptions!$B$150)*Assumptions!$B$149,0))</f>
        <v/>
      </c>
      <c r="N131" s="64">
        <f>IF(N7&gt;1,N130*Assumptions!$B$149,IF(N2&gt;Assumptions!$B$150,INDEX($C$130:$AE$130,1,N2-Assumptions!$B$150)*Assumptions!$B$149,0))</f>
        <v/>
      </c>
      <c r="O131" s="64">
        <f>IF(O7&gt;1,O130*Assumptions!$B$149,IF(O2&gt;Assumptions!$B$150,INDEX($C$130:$AE$130,1,O2-Assumptions!$B$150)*Assumptions!$B$149,0))</f>
        <v/>
      </c>
      <c r="P131" s="64">
        <f>IF(P7&gt;1,P130*Assumptions!$B$149,IF(P2&gt;Assumptions!$B$150,INDEX($C$130:$AE$130,1,P2-Assumptions!$B$150)*Assumptions!$B$149,0))</f>
        <v/>
      </c>
      <c r="Q131" s="64">
        <f>IF(Q7&gt;1,Q130*Assumptions!$B$149,IF(Q2&gt;Assumptions!$B$150,INDEX($C$130:$AE$130,1,Q2-Assumptions!$B$150)*Assumptions!$B$149,0))</f>
        <v/>
      </c>
      <c r="R131" s="64">
        <f>IF(R7&gt;1,R130*Assumptions!$B$149,IF(R2&gt;Assumptions!$B$150,INDEX($C$130:$AE$130,1,R2-Assumptions!$B$150)*Assumptions!$B$149,0))</f>
        <v/>
      </c>
      <c r="S131" s="64">
        <f>IF(S7&gt;1,S130*Assumptions!$B$149,IF(S2&gt;Assumptions!$B$150,INDEX($C$130:$AE$130,1,S2-Assumptions!$B$150)*Assumptions!$B$149,0))</f>
        <v/>
      </c>
      <c r="T131" s="64">
        <f>IF(T7&gt;1,T130*Assumptions!$B$149,IF(T2&gt;Assumptions!$B$150,INDEX($C$130:$AE$130,1,T2-Assumptions!$B$150)*Assumptions!$B$149,0))</f>
        <v/>
      </c>
      <c r="U131" s="64">
        <f>IF(U7&gt;1,U130*Assumptions!$B$149,IF(U2&gt;Assumptions!$B$150,INDEX($C$130:$AE$130,1,U2-Assumptions!$B$150)*Assumptions!$B$149,0))</f>
        <v/>
      </c>
      <c r="V131" s="64">
        <f>IF(V7&gt;1,V130*Assumptions!$B$149,IF(V2&gt;Assumptions!$B$150,INDEX($C$130:$AE$130,1,V2-Assumptions!$B$150)*Assumptions!$B$149,0))</f>
        <v/>
      </c>
      <c r="W131" s="64">
        <f>IF(W7&gt;1,W130*Assumptions!$B$149,IF(W2&gt;Assumptions!$B$150,INDEX($C$130:$AE$130,1,W2-Assumptions!$B$150)*Assumptions!$B$149,0))</f>
        <v/>
      </c>
      <c r="X131" s="64">
        <f>IF(X7&gt;1,X130*Assumptions!$B$149,IF(X2&gt;Assumptions!$B$150,INDEX($C$130:$AE$130,1,X2-Assumptions!$B$150)*Assumptions!$B$149,0))</f>
        <v/>
      </c>
      <c r="Y131" s="64">
        <f>IF(Y7&gt;1,Y130*Assumptions!$B$149,IF(Y2&gt;Assumptions!$B$150,INDEX($C$130:$AE$130,1,Y2-Assumptions!$B$150)*Assumptions!$B$149,0))</f>
        <v/>
      </c>
      <c r="Z131" s="64">
        <f>IF(Z7&gt;1,Z130*Assumptions!$B$149,IF(Z2&gt;Assumptions!$B$150,INDEX($C$130:$AE$130,1,Z2-Assumptions!$B$150)*Assumptions!$B$149,0))</f>
        <v/>
      </c>
      <c r="AA131" s="64">
        <f>IF(AA7&gt;1,AA130*Assumptions!$B$149,IF(AA2&gt;Assumptions!$B$150,INDEX($C$130:$AE$130,1,AA2-Assumptions!$B$150)*Assumptions!$B$149,0))</f>
        <v/>
      </c>
      <c r="AB131" s="64">
        <f>IF(AB7&gt;1,AB130*Assumptions!$B$149,IF(AB2&gt;Assumptions!$B$150,INDEX($C$130:$AE$130,1,AB2-Assumptions!$B$150)*Assumptions!$B$149,0))</f>
        <v/>
      </c>
      <c r="AC131" s="64">
        <f>IF(AC7&gt;1,AC130*Assumptions!$B$149,IF(AC2&gt;Assumptions!$B$150,INDEX($C$130:$AE$130,1,AC2-Assumptions!$B$150)*Assumptions!$B$149,0))</f>
        <v/>
      </c>
      <c r="AD131" s="64">
        <f>IF(AD7&gt;1,AD130*Assumptions!$B$149,IF(AD2&gt;Assumptions!$B$150,INDEX($C$130:$AE$130,1,AD2-Assumptions!$B$150)*Assumptions!$B$149,0))</f>
        <v/>
      </c>
      <c r="AE131" s="64">
        <f>IF(AE7&gt;1,AE130*Assumptions!$B$149,IF(AE2&gt;Assumptions!$B$150,INDEX($C$130:$AE$130,1,AE2-Assumptions!$B$150)*Assumptions!$B$149,0))</f>
        <v/>
      </c>
    </row>
    <row r="132">
      <c r="A132" s="6" t="inlineStr">
        <is>
          <t xml:space="preserve">  Active cards</t>
        </is>
      </c>
      <c r="B132" s="23" t="inlineStr">
        <is>
          <t>cards</t>
        </is>
      </c>
      <c r="C132" s="28">
        <f>IF(C2&gt;=Assumptions!$B$51,C130*Assumptions!$B$158,0)</f>
        <v/>
      </c>
      <c r="D132" s="28">
        <f>IF(D2&gt;=Assumptions!$B$51,D130*Assumptions!$B$158,0)</f>
        <v/>
      </c>
      <c r="E132" s="28">
        <f>IF(E2&gt;=Assumptions!$B$51,E130*Assumptions!$B$158,0)</f>
        <v/>
      </c>
      <c r="F132" s="28">
        <f>IF(F2&gt;=Assumptions!$B$51,F130*Assumptions!$B$158,0)</f>
        <v/>
      </c>
      <c r="G132" s="28">
        <f>IF(G2&gt;=Assumptions!$B$51,G130*Assumptions!$B$158,0)</f>
        <v/>
      </c>
      <c r="H132" s="28">
        <f>IF(H2&gt;=Assumptions!$B$51,H130*Assumptions!$B$158,0)</f>
        <v/>
      </c>
      <c r="I132" s="28">
        <f>IF(I2&gt;=Assumptions!$B$51,I130*Assumptions!$B$158,0)</f>
        <v/>
      </c>
      <c r="J132" s="28">
        <f>IF(J2&gt;=Assumptions!$B$51,J130*Assumptions!$B$158,0)</f>
        <v/>
      </c>
      <c r="K132" s="28">
        <f>IF(K2&gt;=Assumptions!$B$51,K130*Assumptions!$B$158,0)</f>
        <v/>
      </c>
      <c r="L132" s="28">
        <f>IF(L2&gt;=Assumptions!$B$51,L130*Assumptions!$B$158,0)</f>
        <v/>
      </c>
      <c r="M132" s="28">
        <f>IF(M2&gt;=Assumptions!$B$51,M130*Assumptions!$B$158,0)</f>
        <v/>
      </c>
      <c r="N132" s="28">
        <f>IF(N2&gt;=Assumptions!$B$51,N130*Assumptions!$B$158,0)</f>
        <v/>
      </c>
      <c r="O132" s="28">
        <f>IF(O2&gt;=Assumptions!$B$51,O130*Assumptions!$B$158,0)</f>
        <v/>
      </c>
      <c r="P132" s="28">
        <f>IF(P2&gt;=Assumptions!$B$51,P130*Assumptions!$B$158,0)</f>
        <v/>
      </c>
      <c r="Q132" s="28">
        <f>IF(Q2&gt;=Assumptions!$B$51,Q130*Assumptions!$B$158,0)</f>
        <v/>
      </c>
      <c r="R132" s="28">
        <f>IF(R2&gt;=Assumptions!$B$51,R130*Assumptions!$B$158,0)</f>
        <v/>
      </c>
      <c r="S132" s="28">
        <f>IF(S2&gt;=Assumptions!$B$51,S130*Assumptions!$B$158,0)</f>
        <v/>
      </c>
      <c r="T132" s="28">
        <f>IF(T2&gt;=Assumptions!$B$51,T130*Assumptions!$B$158,0)</f>
        <v/>
      </c>
      <c r="U132" s="28">
        <f>IF(U2&gt;=Assumptions!$B$51,U130*Assumptions!$B$158,0)</f>
        <v/>
      </c>
      <c r="V132" s="28">
        <f>IF(V2&gt;=Assumptions!$B$51,V130*Assumptions!$B$158,0)</f>
        <v/>
      </c>
      <c r="W132" s="28">
        <f>IF(W2&gt;=Assumptions!$B$51,W130*Assumptions!$B$158,0)</f>
        <v/>
      </c>
      <c r="X132" s="28">
        <f>IF(X2&gt;=Assumptions!$B$51,X130*Assumptions!$B$158,0)</f>
        <v/>
      </c>
      <c r="Y132" s="28">
        <f>IF(Y2&gt;=Assumptions!$B$51,Y130*Assumptions!$B$158,0)</f>
        <v/>
      </c>
      <c r="Z132" s="28">
        <f>IF(Z2&gt;=Assumptions!$B$51,Z130*Assumptions!$B$158,0)</f>
        <v/>
      </c>
      <c r="AA132" s="28">
        <f>IF(AA2&gt;=Assumptions!$B$51,AA130*Assumptions!$B$158,0)</f>
        <v/>
      </c>
      <c r="AB132" s="28">
        <f>IF(AB2&gt;=Assumptions!$B$51,AB130*Assumptions!$B$158,0)</f>
        <v/>
      </c>
      <c r="AC132" s="28">
        <f>IF(AC2&gt;=Assumptions!$B$51,AC130*Assumptions!$B$158,0)</f>
        <v/>
      </c>
      <c r="AD132" s="28">
        <f>IF(AD2&gt;=Assumptions!$B$51,AD130*Assumptions!$B$158,0)</f>
        <v/>
      </c>
      <c r="AE132" s="28">
        <f>IF(AE2&gt;=Assumptions!$B$51,AE130*Assumptions!$B$158,0)</f>
        <v/>
      </c>
    </row>
    <row r="133">
      <c r="A133" s="6" t="inlineStr">
        <is>
          <t xml:space="preserve">  ...of which have a live credit line (now all of them)</t>
        </is>
      </c>
      <c r="B133" s="23" t="inlineStr">
        <is>
          <t>cards</t>
        </is>
      </c>
      <c r="C133" s="28">
        <f>C132</f>
        <v/>
      </c>
      <c r="D133" s="28">
        <f>D132</f>
        <v/>
      </c>
      <c r="E133" s="28">
        <f>E132</f>
        <v/>
      </c>
      <c r="F133" s="28">
        <f>F132</f>
        <v/>
      </c>
      <c r="G133" s="28">
        <f>G132</f>
        <v/>
      </c>
      <c r="H133" s="28">
        <f>H132</f>
        <v/>
      </c>
      <c r="I133" s="28">
        <f>I132</f>
        <v/>
      </c>
      <c r="J133" s="28">
        <f>J132</f>
        <v/>
      </c>
      <c r="K133" s="28">
        <f>K132</f>
        <v/>
      </c>
      <c r="L133" s="28">
        <f>L132</f>
        <v/>
      </c>
      <c r="M133" s="28">
        <f>M132</f>
        <v/>
      </c>
      <c r="N133" s="28">
        <f>N132</f>
        <v/>
      </c>
      <c r="O133" s="28">
        <f>O132</f>
        <v/>
      </c>
      <c r="P133" s="28">
        <f>P132</f>
        <v/>
      </c>
      <c r="Q133" s="28">
        <f>Q132</f>
        <v/>
      </c>
      <c r="R133" s="28">
        <f>R132</f>
        <v/>
      </c>
      <c r="S133" s="28">
        <f>S132</f>
        <v/>
      </c>
      <c r="T133" s="28">
        <f>T132</f>
        <v/>
      </c>
      <c r="U133" s="28">
        <f>U132</f>
        <v/>
      </c>
      <c r="V133" s="28">
        <f>V132</f>
        <v/>
      </c>
      <c r="W133" s="28">
        <f>W132</f>
        <v/>
      </c>
      <c r="X133" s="28">
        <f>X132</f>
        <v/>
      </c>
      <c r="Y133" s="28">
        <f>Y132</f>
        <v/>
      </c>
      <c r="Z133" s="28">
        <f>Z132</f>
        <v/>
      </c>
      <c r="AA133" s="28">
        <f>AA132</f>
        <v/>
      </c>
      <c r="AB133" s="28">
        <f>AB132</f>
        <v/>
      </c>
      <c r="AC133" s="28">
        <f>AC132</f>
        <v/>
      </c>
      <c r="AD133" s="28">
        <f>AD132</f>
        <v/>
      </c>
      <c r="AE133" s="28">
        <f>AE132</f>
        <v/>
      </c>
    </row>
    <row r="134">
      <c r="A134" s="6" t="inlineStr">
        <is>
          <t xml:space="preserve">  ...newly issued this period (flow, drives the issuance fee)</t>
        </is>
      </c>
      <c r="B134" s="23" t="inlineStr">
        <is>
          <t>cards</t>
        </is>
      </c>
      <c r="C134" s="60">
        <f>C132</f>
        <v/>
      </c>
      <c r="D134" s="60">
        <f>MAX(0,D132-C132)</f>
        <v/>
      </c>
      <c r="E134" s="60">
        <f>MAX(0,E132-D132)</f>
        <v/>
      </c>
      <c r="F134" s="60">
        <f>MAX(0,F132-E132)</f>
        <v/>
      </c>
      <c r="G134" s="60">
        <f>MAX(0,G132-F132)</f>
        <v/>
      </c>
      <c r="H134" s="60">
        <f>MAX(0,H132-G132)</f>
        <v/>
      </c>
      <c r="I134" s="60">
        <f>MAX(0,I132-H132)</f>
        <v/>
      </c>
      <c r="J134" s="60">
        <f>MAX(0,J132-I132)</f>
        <v/>
      </c>
      <c r="K134" s="60">
        <f>MAX(0,K132-J132)</f>
        <v/>
      </c>
      <c r="L134" s="60">
        <f>MAX(0,L132-K132)</f>
        <v/>
      </c>
      <c r="M134" s="60">
        <f>MAX(0,M132-L132)</f>
        <v/>
      </c>
      <c r="N134" s="60">
        <f>MAX(0,N132-M132)</f>
        <v/>
      </c>
      <c r="O134" s="60">
        <f>MAX(0,O132-N132)</f>
        <v/>
      </c>
      <c r="P134" s="60">
        <f>MAX(0,P132-O132)</f>
        <v/>
      </c>
      <c r="Q134" s="60">
        <f>MAX(0,Q132-P132)</f>
        <v/>
      </c>
      <c r="R134" s="60">
        <f>MAX(0,R132-Q132)</f>
        <v/>
      </c>
      <c r="S134" s="60">
        <f>MAX(0,S132-R132)</f>
        <v/>
      </c>
      <c r="T134" s="60">
        <f>MAX(0,T132-S132)</f>
        <v/>
      </c>
      <c r="U134" s="60">
        <f>MAX(0,U132-T132)</f>
        <v/>
      </c>
      <c r="V134" s="60">
        <f>MAX(0,V132-U132)</f>
        <v/>
      </c>
      <c r="W134" s="60">
        <f>MAX(0,W132-V132)</f>
        <v/>
      </c>
      <c r="X134" s="60">
        <f>MAX(0,X132-W132)</f>
        <v/>
      </c>
      <c r="Y134" s="60">
        <f>MAX(0,Y132-X132)</f>
        <v/>
      </c>
      <c r="Z134" s="60">
        <f>MAX(0,Z132-Y132)</f>
        <v/>
      </c>
      <c r="AA134" s="60">
        <f>MAX(0,AA132-Z132)</f>
        <v/>
      </c>
      <c r="AB134" s="60">
        <f>MAX(0,AB132-AA132)</f>
        <v/>
      </c>
      <c r="AC134" s="60">
        <f>MAX(0,AC132-AB132)</f>
        <v/>
      </c>
      <c r="AD134" s="60">
        <f>MAX(0,AD132-AC132)</f>
        <v/>
      </c>
      <c r="AE134" s="60">
        <f>MAX(0,AE132-AD132)</f>
        <v/>
      </c>
    </row>
    <row r="135">
      <c r="A135" s="6" t="inlineStr">
        <is>
          <t xml:space="preserve">  Credit limit per customer (gold x LTV)</t>
        </is>
      </c>
      <c r="B135" s="23" t="inlineStr">
        <is>
          <t>USD</t>
        </is>
      </c>
      <c r="C135" s="61">
        <f>IF(C130=0,0,C129/C130*Assumptions!$B$31)</f>
        <v/>
      </c>
      <c r="D135" s="61">
        <f>IF(D130=0,0,D129/D130*Assumptions!$B$31)</f>
        <v/>
      </c>
      <c r="E135" s="61">
        <f>IF(E130=0,0,E129/E130*Assumptions!$B$31)</f>
        <v/>
      </c>
      <c r="F135" s="61">
        <f>IF(F130=0,0,F129/F130*Assumptions!$B$31)</f>
        <v/>
      </c>
      <c r="G135" s="61">
        <f>IF(G130=0,0,G129/G130*Assumptions!$B$31)</f>
        <v/>
      </c>
      <c r="H135" s="61">
        <f>IF(H130=0,0,H129/H130*Assumptions!$B$31)</f>
        <v/>
      </c>
      <c r="I135" s="61">
        <f>IF(I130=0,0,I129/I130*Assumptions!$B$31)</f>
        <v/>
      </c>
      <c r="J135" s="61">
        <f>IF(J130=0,0,J129/J130*Assumptions!$B$31)</f>
        <v/>
      </c>
      <c r="K135" s="61">
        <f>IF(K130=0,0,K129/K130*Assumptions!$B$31)</f>
        <v/>
      </c>
      <c r="L135" s="61">
        <f>IF(L130=0,0,L129/L130*Assumptions!$B$31)</f>
        <v/>
      </c>
      <c r="M135" s="61">
        <f>IF(M130=0,0,M129/M130*Assumptions!$B$31)</f>
        <v/>
      </c>
      <c r="N135" s="61">
        <f>IF(N130=0,0,N129/N130*Assumptions!$B$31)</f>
        <v/>
      </c>
      <c r="O135" s="61">
        <f>IF(O130=0,0,O129/O130*Assumptions!$B$31)</f>
        <v/>
      </c>
      <c r="P135" s="61">
        <f>IF(P130=0,0,P129/P130*Assumptions!$B$31)</f>
        <v/>
      </c>
      <c r="Q135" s="61">
        <f>IF(Q130=0,0,Q129/Q130*Assumptions!$B$31)</f>
        <v/>
      </c>
      <c r="R135" s="61">
        <f>IF(R130=0,0,R129/R130*Assumptions!$B$31)</f>
        <v/>
      </c>
      <c r="S135" s="61">
        <f>IF(S130=0,0,S129/S130*Assumptions!$B$31)</f>
        <v/>
      </c>
      <c r="T135" s="61">
        <f>IF(T130=0,0,T129/T130*Assumptions!$B$31)</f>
        <v/>
      </c>
      <c r="U135" s="61">
        <f>IF(U130=0,0,U129/U130*Assumptions!$B$31)</f>
        <v/>
      </c>
      <c r="V135" s="61">
        <f>IF(V130=0,0,V129/V130*Assumptions!$B$31)</f>
        <v/>
      </c>
      <c r="W135" s="61">
        <f>IF(W130=0,0,W129/W130*Assumptions!$B$31)</f>
        <v/>
      </c>
      <c r="X135" s="61">
        <f>IF(X130=0,0,X129/X130*Assumptions!$B$31)</f>
        <v/>
      </c>
      <c r="Y135" s="61">
        <f>IF(Y130=0,0,Y129/Y130*Assumptions!$B$31)</f>
        <v/>
      </c>
      <c r="Z135" s="61">
        <f>IF(Z130=0,0,Z129/Z130*Assumptions!$B$31)</f>
        <v/>
      </c>
      <c r="AA135" s="61">
        <f>IF(AA130=0,0,AA129/AA130*Assumptions!$B$31)</f>
        <v/>
      </c>
      <c r="AB135" s="61">
        <f>IF(AB130=0,0,AB129/AB130*Assumptions!$B$31)</f>
        <v/>
      </c>
      <c r="AC135" s="61">
        <f>IF(AC130=0,0,AC129/AC130*Assumptions!$B$31)</f>
        <v/>
      </c>
      <c r="AD135" s="61">
        <f>IF(AD130=0,0,AD129/AD130*Assumptions!$B$31)</f>
        <v/>
      </c>
      <c r="AE135" s="61">
        <f>IF(AE130=0,0,AE129/AE130*Assumptions!$B$31)</f>
        <v/>
      </c>
    </row>
    <row r="136">
      <c r="A136" s="6" t="inlineStr">
        <is>
          <t xml:space="preserve">  Annual drawdown per card (limit x drawn x draws)</t>
        </is>
      </c>
      <c r="B136" s="23" t="inlineStr">
        <is>
          <t>USD/yr</t>
        </is>
      </c>
      <c r="C136" s="61">
        <f>C135*Assumptions!$B$171*Assumptions!$B$173</f>
        <v/>
      </c>
      <c r="D136" s="61">
        <f>D135*Assumptions!$B$171*Assumptions!$B$173</f>
        <v/>
      </c>
      <c r="E136" s="61">
        <f>E135*Assumptions!$B$171*Assumptions!$B$173</f>
        <v/>
      </c>
      <c r="F136" s="61">
        <f>F135*Assumptions!$B$171*Assumptions!$B$173</f>
        <v/>
      </c>
      <c r="G136" s="61">
        <f>G135*Assumptions!$B$171*Assumptions!$B$173</f>
        <v/>
      </c>
      <c r="H136" s="61">
        <f>H135*Assumptions!$B$171*Assumptions!$B$173</f>
        <v/>
      </c>
      <c r="I136" s="61">
        <f>I135*Assumptions!$B$171*Assumptions!$B$173</f>
        <v/>
      </c>
      <c r="J136" s="61">
        <f>J135*Assumptions!$B$171*Assumptions!$B$173</f>
        <v/>
      </c>
      <c r="K136" s="61">
        <f>K135*Assumptions!$B$171*Assumptions!$B$173</f>
        <v/>
      </c>
      <c r="L136" s="61">
        <f>L135*Assumptions!$B$171*Assumptions!$B$173</f>
        <v/>
      </c>
      <c r="M136" s="61">
        <f>M135*Assumptions!$B$171*Assumptions!$B$173</f>
        <v/>
      </c>
      <c r="N136" s="61">
        <f>N135*Assumptions!$B$171*Assumptions!$B$173</f>
        <v/>
      </c>
      <c r="O136" s="61">
        <f>O135*Assumptions!$B$171*Assumptions!$B$173</f>
        <v/>
      </c>
      <c r="P136" s="61">
        <f>P135*Assumptions!$B$171*Assumptions!$B$173</f>
        <v/>
      </c>
      <c r="Q136" s="61">
        <f>Q135*Assumptions!$B$171*Assumptions!$B$173</f>
        <v/>
      </c>
      <c r="R136" s="61">
        <f>R135*Assumptions!$B$171*Assumptions!$B$173</f>
        <v/>
      </c>
      <c r="S136" s="61">
        <f>S135*Assumptions!$B$171*Assumptions!$B$173</f>
        <v/>
      </c>
      <c r="T136" s="61">
        <f>T135*Assumptions!$B$171*Assumptions!$B$173</f>
        <v/>
      </c>
      <c r="U136" s="61">
        <f>U135*Assumptions!$B$171*Assumptions!$B$173</f>
        <v/>
      </c>
      <c r="V136" s="61">
        <f>V135*Assumptions!$B$171*Assumptions!$B$173</f>
        <v/>
      </c>
      <c r="W136" s="61">
        <f>W135*Assumptions!$B$171*Assumptions!$B$173</f>
        <v/>
      </c>
      <c r="X136" s="61">
        <f>X135*Assumptions!$B$171*Assumptions!$B$173</f>
        <v/>
      </c>
      <c r="Y136" s="61">
        <f>Y135*Assumptions!$B$171*Assumptions!$B$173</f>
        <v/>
      </c>
      <c r="Z136" s="61">
        <f>Z135*Assumptions!$B$171*Assumptions!$B$173</f>
        <v/>
      </c>
      <c r="AA136" s="61">
        <f>AA135*Assumptions!$B$171*Assumptions!$B$173</f>
        <v/>
      </c>
      <c r="AB136" s="61">
        <f>AB135*Assumptions!$B$171*Assumptions!$B$173</f>
        <v/>
      </c>
      <c r="AC136" s="61">
        <f>AC135*Assumptions!$B$171*Assumptions!$B$173</f>
        <v/>
      </c>
      <c r="AD136" s="61">
        <f>AD135*Assumptions!$B$171*Assumptions!$B$173</f>
        <v/>
      </c>
      <c r="AE136" s="61">
        <f>AE135*Assumptions!$B$171*Assumptions!$B$173</f>
        <v/>
      </c>
    </row>
    <row r="137">
      <c r="A137" s="6" t="inlineStr">
        <is>
          <t xml:space="preserve">  Card spend per card per month</t>
        </is>
      </c>
      <c r="B137" s="23" t="inlineStr">
        <is>
          <t>USD</t>
        </is>
      </c>
      <c r="C137" s="61">
        <f>C136/12*C16</f>
        <v/>
      </c>
      <c r="D137" s="61">
        <f>D136/12*D16</f>
        <v/>
      </c>
      <c r="E137" s="61">
        <f>E136/12*E16</f>
        <v/>
      </c>
      <c r="F137" s="61">
        <f>F136/12*F16</f>
        <v/>
      </c>
      <c r="G137" s="61">
        <f>G136/12*G16</f>
        <v/>
      </c>
      <c r="H137" s="61">
        <f>H136/12*H16</f>
        <v/>
      </c>
      <c r="I137" s="61">
        <f>I136/12*I16</f>
        <v/>
      </c>
      <c r="J137" s="61">
        <f>J136/12*J16</f>
        <v/>
      </c>
      <c r="K137" s="61">
        <f>K136/12*K16</f>
        <v/>
      </c>
      <c r="L137" s="61">
        <f>L136/12*L16</f>
        <v/>
      </c>
      <c r="M137" s="61">
        <f>M136/12*M16</f>
        <v/>
      </c>
      <c r="N137" s="61">
        <f>N136/12*N16</f>
        <v/>
      </c>
      <c r="O137" s="61">
        <f>O136/12*O16</f>
        <v/>
      </c>
      <c r="P137" s="61">
        <f>P136/12*P16</f>
        <v/>
      </c>
      <c r="Q137" s="61">
        <f>Q136/12*Q16</f>
        <v/>
      </c>
      <c r="R137" s="61">
        <f>R136/12*R16</f>
        <v/>
      </c>
      <c r="S137" s="61">
        <f>S136/12*S16</f>
        <v/>
      </c>
      <c r="T137" s="61">
        <f>T136/12*T16</f>
        <v/>
      </c>
      <c r="U137" s="61">
        <f>U136/12*U16</f>
        <v/>
      </c>
      <c r="V137" s="61">
        <f>V136/12*V16</f>
        <v/>
      </c>
      <c r="W137" s="61">
        <f>W136/12*W16</f>
        <v/>
      </c>
      <c r="X137" s="61">
        <f>X136/12*X16</f>
        <v/>
      </c>
      <c r="Y137" s="61">
        <f>Y136/12*Y16</f>
        <v/>
      </c>
      <c r="Z137" s="61">
        <f>Z136/12*Z16</f>
        <v/>
      </c>
      <c r="AA137" s="61">
        <f>AA136/12*AA16</f>
        <v/>
      </c>
      <c r="AB137" s="61">
        <f>AB136/12*AB16</f>
        <v/>
      </c>
      <c r="AC137" s="61">
        <f>AC136/12*AC16</f>
        <v/>
      </c>
      <c r="AD137" s="61">
        <f>AD136/12*AD16</f>
        <v/>
      </c>
      <c r="AE137" s="61">
        <f>AE136/12*AE16</f>
        <v/>
      </c>
    </row>
    <row r="138">
      <c r="A138" s="6" t="inlineStr">
        <is>
          <t xml:space="preserve">  Card spend</t>
        </is>
      </c>
      <c r="B138" s="23" t="inlineStr">
        <is>
          <t>AED</t>
        </is>
      </c>
      <c r="C138" s="50">
        <f>C133*C137*Assumptions!$B$7*C7</f>
        <v/>
      </c>
      <c r="D138" s="50">
        <f>D133*D137*Assumptions!$B$7*D7</f>
        <v/>
      </c>
      <c r="E138" s="50">
        <f>E133*E137*Assumptions!$B$7*E7</f>
        <v/>
      </c>
      <c r="F138" s="50">
        <f>F133*F137*Assumptions!$B$7*F7</f>
        <v/>
      </c>
      <c r="G138" s="50">
        <f>G133*G137*Assumptions!$B$7*G7</f>
        <v/>
      </c>
      <c r="H138" s="50">
        <f>H133*H137*Assumptions!$B$7*H7</f>
        <v/>
      </c>
      <c r="I138" s="50">
        <f>I133*I137*Assumptions!$B$7*I7</f>
        <v/>
      </c>
      <c r="J138" s="50">
        <f>J133*J137*Assumptions!$B$7*J7</f>
        <v/>
      </c>
      <c r="K138" s="50">
        <f>K133*K137*Assumptions!$B$7*K7</f>
        <v/>
      </c>
      <c r="L138" s="50">
        <f>L133*L137*Assumptions!$B$7*L7</f>
        <v/>
      </c>
      <c r="M138" s="50">
        <f>M133*M137*Assumptions!$B$7*M7</f>
        <v/>
      </c>
      <c r="N138" s="50">
        <f>N133*N137*Assumptions!$B$7*N7</f>
        <v/>
      </c>
      <c r="O138" s="50">
        <f>O133*O137*Assumptions!$B$7*O7</f>
        <v/>
      </c>
      <c r="P138" s="50">
        <f>P133*P137*Assumptions!$B$7*P7</f>
        <v/>
      </c>
      <c r="Q138" s="50">
        <f>Q133*Q137*Assumptions!$B$7*Q7</f>
        <v/>
      </c>
      <c r="R138" s="50">
        <f>R133*R137*Assumptions!$B$7*R7</f>
        <v/>
      </c>
      <c r="S138" s="50">
        <f>S133*S137*Assumptions!$B$7*S7</f>
        <v/>
      </c>
      <c r="T138" s="50">
        <f>T133*T137*Assumptions!$B$7*T7</f>
        <v/>
      </c>
      <c r="U138" s="50">
        <f>U133*U137*Assumptions!$B$7*U7</f>
        <v/>
      </c>
      <c r="V138" s="50">
        <f>V133*V137*Assumptions!$B$7*V7</f>
        <v/>
      </c>
      <c r="W138" s="50">
        <f>W133*W137*Assumptions!$B$7*W7</f>
        <v/>
      </c>
      <c r="X138" s="50">
        <f>X133*X137*Assumptions!$B$7*X7</f>
        <v/>
      </c>
      <c r="Y138" s="50">
        <f>Y133*Y137*Assumptions!$B$7*Y7</f>
        <v/>
      </c>
      <c r="Z138" s="50">
        <f>Z133*Z137*Assumptions!$B$7*Z7</f>
        <v/>
      </c>
      <c r="AA138" s="50">
        <f>AA133*AA137*Assumptions!$B$7*AA7</f>
        <v/>
      </c>
      <c r="AB138" s="50">
        <f>AB133*AB137*Assumptions!$B$7*AB7</f>
        <v/>
      </c>
      <c r="AC138" s="50">
        <f>AC133*AC137*Assumptions!$B$7*AC7</f>
        <v/>
      </c>
      <c r="AD138" s="50">
        <f>AD133*AD137*Assumptions!$B$7*AD7</f>
        <v/>
      </c>
      <c r="AE138" s="50">
        <f>AE133*AE137*Assumptions!$B$7*AE7</f>
        <v/>
      </c>
    </row>
    <row r="139">
      <c r="A139" s="6" t="inlineStr">
        <is>
          <t xml:space="preserve">  Card spend</t>
        </is>
      </c>
      <c r="B139" s="23" t="inlineStr">
        <is>
          <t>USD</t>
        </is>
      </c>
      <c r="C139" s="61">
        <f>C138/Assumptions!$B$7</f>
        <v/>
      </c>
      <c r="D139" s="61">
        <f>D138/Assumptions!$B$7</f>
        <v/>
      </c>
      <c r="E139" s="61">
        <f>E138/Assumptions!$B$7</f>
        <v/>
      </c>
      <c r="F139" s="61">
        <f>F138/Assumptions!$B$7</f>
        <v/>
      </c>
      <c r="G139" s="61">
        <f>G138/Assumptions!$B$7</f>
        <v/>
      </c>
      <c r="H139" s="61">
        <f>H138/Assumptions!$B$7</f>
        <v/>
      </c>
      <c r="I139" s="61">
        <f>I138/Assumptions!$B$7</f>
        <v/>
      </c>
      <c r="J139" s="61">
        <f>J138/Assumptions!$B$7</f>
        <v/>
      </c>
      <c r="K139" s="61">
        <f>K138/Assumptions!$B$7</f>
        <v/>
      </c>
      <c r="L139" s="61">
        <f>L138/Assumptions!$B$7</f>
        <v/>
      </c>
      <c r="M139" s="61">
        <f>M138/Assumptions!$B$7</f>
        <v/>
      </c>
      <c r="N139" s="61">
        <f>N138/Assumptions!$B$7</f>
        <v/>
      </c>
      <c r="O139" s="61">
        <f>O138/Assumptions!$B$7</f>
        <v/>
      </c>
      <c r="P139" s="61">
        <f>P138/Assumptions!$B$7</f>
        <v/>
      </c>
      <c r="Q139" s="61">
        <f>Q138/Assumptions!$B$7</f>
        <v/>
      </c>
      <c r="R139" s="61">
        <f>R138/Assumptions!$B$7</f>
        <v/>
      </c>
      <c r="S139" s="61">
        <f>S138/Assumptions!$B$7</f>
        <v/>
      </c>
      <c r="T139" s="61">
        <f>T138/Assumptions!$B$7</f>
        <v/>
      </c>
      <c r="U139" s="61">
        <f>U138/Assumptions!$B$7</f>
        <v/>
      </c>
      <c r="V139" s="61">
        <f>V138/Assumptions!$B$7</f>
        <v/>
      </c>
      <c r="W139" s="61">
        <f>W138/Assumptions!$B$7</f>
        <v/>
      </c>
      <c r="X139" s="61">
        <f>X138/Assumptions!$B$7</f>
        <v/>
      </c>
      <c r="Y139" s="61">
        <f>Y138/Assumptions!$B$7</f>
        <v/>
      </c>
      <c r="Z139" s="61">
        <f>Z138/Assumptions!$B$7</f>
        <v/>
      </c>
      <c r="AA139" s="61">
        <f>AA138/Assumptions!$B$7</f>
        <v/>
      </c>
      <c r="AB139" s="61">
        <f>AB138/Assumptions!$B$7</f>
        <v/>
      </c>
      <c r="AC139" s="61">
        <f>AC138/Assumptions!$B$7</f>
        <v/>
      </c>
      <c r="AD139" s="61">
        <f>AD138/Assumptions!$B$7</f>
        <v/>
      </c>
      <c r="AE139" s="61">
        <f>AE138/Assumptions!$B$7</f>
        <v/>
      </c>
    </row>
    <row r="140">
      <c r="A140" s="6" t="inlineStr">
        <is>
          <t xml:space="preserve">  Average transaction size (derived)</t>
        </is>
      </c>
      <c r="B140" s="23" t="inlineStr">
        <is>
          <t>AED</t>
        </is>
      </c>
      <c r="C140" s="50">
        <f>IF(Assumptions!$B$159=0,0,C135*Assumptions!$B$171*Assumptions!$B$7/Assumptions!$B$159)</f>
        <v/>
      </c>
      <c r="D140" s="50">
        <f>IF(Assumptions!$B$159=0,0,D135*Assumptions!$B$171*Assumptions!$B$7/Assumptions!$B$159)</f>
        <v/>
      </c>
      <c r="E140" s="50">
        <f>IF(Assumptions!$B$159=0,0,E135*Assumptions!$B$171*Assumptions!$B$7/Assumptions!$B$159)</f>
        <v/>
      </c>
      <c r="F140" s="50">
        <f>IF(Assumptions!$B$159=0,0,F135*Assumptions!$B$171*Assumptions!$B$7/Assumptions!$B$159)</f>
        <v/>
      </c>
      <c r="G140" s="50">
        <f>IF(Assumptions!$B$159=0,0,G135*Assumptions!$B$171*Assumptions!$B$7/Assumptions!$B$159)</f>
        <v/>
      </c>
      <c r="H140" s="50">
        <f>IF(Assumptions!$B$159=0,0,H135*Assumptions!$B$171*Assumptions!$B$7/Assumptions!$B$159)</f>
        <v/>
      </c>
      <c r="I140" s="50">
        <f>IF(Assumptions!$B$159=0,0,I135*Assumptions!$B$171*Assumptions!$B$7/Assumptions!$B$159)</f>
        <v/>
      </c>
      <c r="J140" s="50">
        <f>IF(Assumptions!$B$159=0,0,J135*Assumptions!$B$171*Assumptions!$B$7/Assumptions!$B$159)</f>
        <v/>
      </c>
      <c r="K140" s="50">
        <f>IF(Assumptions!$B$159=0,0,K135*Assumptions!$B$171*Assumptions!$B$7/Assumptions!$B$159)</f>
        <v/>
      </c>
      <c r="L140" s="50">
        <f>IF(Assumptions!$B$159=0,0,L135*Assumptions!$B$171*Assumptions!$B$7/Assumptions!$B$159)</f>
        <v/>
      </c>
      <c r="M140" s="50">
        <f>IF(Assumptions!$B$159=0,0,M135*Assumptions!$B$171*Assumptions!$B$7/Assumptions!$B$159)</f>
        <v/>
      </c>
      <c r="N140" s="50">
        <f>IF(Assumptions!$B$159=0,0,N135*Assumptions!$B$171*Assumptions!$B$7/Assumptions!$B$159)</f>
        <v/>
      </c>
      <c r="O140" s="50">
        <f>IF(Assumptions!$B$159=0,0,O135*Assumptions!$B$171*Assumptions!$B$7/Assumptions!$B$159)</f>
        <v/>
      </c>
      <c r="P140" s="50">
        <f>IF(Assumptions!$B$159=0,0,P135*Assumptions!$B$171*Assumptions!$B$7/Assumptions!$B$159)</f>
        <v/>
      </c>
      <c r="Q140" s="50">
        <f>IF(Assumptions!$B$159=0,0,Q135*Assumptions!$B$171*Assumptions!$B$7/Assumptions!$B$159)</f>
        <v/>
      </c>
      <c r="R140" s="50">
        <f>IF(Assumptions!$B$159=0,0,R135*Assumptions!$B$171*Assumptions!$B$7/Assumptions!$B$159)</f>
        <v/>
      </c>
      <c r="S140" s="50">
        <f>IF(Assumptions!$B$159=0,0,S135*Assumptions!$B$171*Assumptions!$B$7/Assumptions!$B$159)</f>
        <v/>
      </c>
      <c r="T140" s="50">
        <f>IF(Assumptions!$B$159=0,0,T135*Assumptions!$B$171*Assumptions!$B$7/Assumptions!$B$159)</f>
        <v/>
      </c>
      <c r="U140" s="50">
        <f>IF(Assumptions!$B$159=0,0,U135*Assumptions!$B$171*Assumptions!$B$7/Assumptions!$B$159)</f>
        <v/>
      </c>
      <c r="V140" s="50">
        <f>IF(Assumptions!$B$159=0,0,V135*Assumptions!$B$171*Assumptions!$B$7/Assumptions!$B$159)</f>
        <v/>
      </c>
      <c r="W140" s="50">
        <f>IF(Assumptions!$B$159=0,0,W135*Assumptions!$B$171*Assumptions!$B$7/Assumptions!$B$159)</f>
        <v/>
      </c>
      <c r="X140" s="50">
        <f>IF(Assumptions!$B$159=0,0,X135*Assumptions!$B$171*Assumptions!$B$7/Assumptions!$B$159)</f>
        <v/>
      </c>
      <c r="Y140" s="50">
        <f>IF(Assumptions!$B$159=0,0,Y135*Assumptions!$B$171*Assumptions!$B$7/Assumptions!$B$159)</f>
        <v/>
      </c>
      <c r="Z140" s="50">
        <f>IF(Assumptions!$B$159=0,0,Z135*Assumptions!$B$171*Assumptions!$B$7/Assumptions!$B$159)</f>
        <v/>
      </c>
      <c r="AA140" s="50">
        <f>IF(Assumptions!$B$159=0,0,AA135*Assumptions!$B$171*Assumptions!$B$7/Assumptions!$B$159)</f>
        <v/>
      </c>
      <c r="AB140" s="50">
        <f>IF(Assumptions!$B$159=0,0,AB135*Assumptions!$B$171*Assumptions!$B$7/Assumptions!$B$159)</f>
        <v/>
      </c>
      <c r="AC140" s="50">
        <f>IF(Assumptions!$B$159=0,0,AC135*Assumptions!$B$171*Assumptions!$B$7/Assumptions!$B$159)</f>
        <v/>
      </c>
      <c r="AD140" s="50">
        <f>IF(Assumptions!$B$159=0,0,AD135*Assumptions!$B$171*Assumptions!$B$7/Assumptions!$B$159)</f>
        <v/>
      </c>
      <c r="AE140" s="50">
        <f>IF(Assumptions!$B$159=0,0,AE135*Assumptions!$B$171*Assumptions!$B$7/Assumptions!$B$159)</f>
        <v/>
      </c>
    </row>
    <row r="141">
      <c r="A141" s="6" t="inlineStr">
        <is>
          <t xml:space="preserve">  Card authorisations (memo - drives cost, not revenue)</t>
        </is>
      </c>
      <c r="B141" s="23" t="inlineStr">
        <is>
          <t>auths</t>
        </is>
      </c>
      <c r="C141" s="50">
        <f>C133*Assumptions!$B$173*Assumptions!$B$159*C7/12*(1+Assumptions!$B$16)</f>
        <v/>
      </c>
      <c r="D141" s="50">
        <f>D133*Assumptions!$B$173*Assumptions!$B$159*D7/12*(1+Assumptions!$B$16)</f>
        <v/>
      </c>
      <c r="E141" s="50">
        <f>E133*Assumptions!$B$173*Assumptions!$B$159*E7/12*(1+Assumptions!$B$16)</f>
        <v/>
      </c>
      <c r="F141" s="50">
        <f>F133*Assumptions!$B$173*Assumptions!$B$159*F7/12*(1+Assumptions!$B$16)</f>
        <v/>
      </c>
      <c r="G141" s="50">
        <f>G133*Assumptions!$B$173*Assumptions!$B$159*G7/12*(1+Assumptions!$B$16)</f>
        <v/>
      </c>
      <c r="H141" s="50">
        <f>H133*Assumptions!$B$173*Assumptions!$B$159*H7/12*(1+Assumptions!$B$16)</f>
        <v/>
      </c>
      <c r="I141" s="50">
        <f>I133*Assumptions!$B$173*Assumptions!$B$159*I7/12*(1+Assumptions!$B$16)</f>
        <v/>
      </c>
      <c r="J141" s="50">
        <f>J133*Assumptions!$B$173*Assumptions!$B$159*J7/12*(1+Assumptions!$B$16)</f>
        <v/>
      </c>
      <c r="K141" s="50">
        <f>K133*Assumptions!$B$173*Assumptions!$B$159*K7/12*(1+Assumptions!$B$16)</f>
        <v/>
      </c>
      <c r="L141" s="50">
        <f>L133*Assumptions!$B$173*Assumptions!$B$159*L7/12*(1+Assumptions!$B$16)</f>
        <v/>
      </c>
      <c r="M141" s="50">
        <f>M133*Assumptions!$B$173*Assumptions!$B$159*M7/12*(1+Assumptions!$B$16)</f>
        <v/>
      </c>
      <c r="N141" s="50">
        <f>N133*Assumptions!$B$173*Assumptions!$B$159*N7/12*(1+Assumptions!$B$16)</f>
        <v/>
      </c>
      <c r="O141" s="50">
        <f>O133*Assumptions!$B$173*Assumptions!$B$159*O7/12*(1+Assumptions!$B$16)</f>
        <v/>
      </c>
      <c r="P141" s="50">
        <f>P133*Assumptions!$B$173*Assumptions!$B$159*P7/12*(1+Assumptions!$B$16)</f>
        <v/>
      </c>
      <c r="Q141" s="50">
        <f>Q133*Assumptions!$B$173*Assumptions!$B$159*Q7/12*(1+Assumptions!$B$16)</f>
        <v/>
      </c>
      <c r="R141" s="50">
        <f>R133*Assumptions!$B$173*Assumptions!$B$159*R7/12*(1+Assumptions!$B$16)</f>
        <v/>
      </c>
      <c r="S141" s="50">
        <f>S133*Assumptions!$B$173*Assumptions!$B$159*S7/12*(1+Assumptions!$B$16)</f>
        <v/>
      </c>
      <c r="T141" s="50">
        <f>T133*Assumptions!$B$173*Assumptions!$B$159*T7/12*(1+Assumptions!$B$16)</f>
        <v/>
      </c>
      <c r="U141" s="50">
        <f>U133*Assumptions!$B$173*Assumptions!$B$159*U7/12*(1+Assumptions!$B$16)</f>
        <v/>
      </c>
      <c r="V141" s="50">
        <f>V133*Assumptions!$B$173*Assumptions!$B$159*V7/12*(1+Assumptions!$B$16)</f>
        <v/>
      </c>
      <c r="W141" s="50">
        <f>W133*Assumptions!$B$173*Assumptions!$B$159*W7/12*(1+Assumptions!$B$16)</f>
        <v/>
      </c>
      <c r="X141" s="50">
        <f>X133*Assumptions!$B$173*Assumptions!$B$159*X7/12*(1+Assumptions!$B$16)</f>
        <v/>
      </c>
      <c r="Y141" s="50">
        <f>Y133*Assumptions!$B$173*Assumptions!$B$159*Y7/12*(1+Assumptions!$B$16)</f>
        <v/>
      </c>
      <c r="Z141" s="50">
        <f>Z133*Assumptions!$B$173*Assumptions!$B$159*Z7/12*(1+Assumptions!$B$16)</f>
        <v/>
      </c>
      <c r="AA141" s="50">
        <f>AA133*Assumptions!$B$173*Assumptions!$B$159*AA7/12*(1+Assumptions!$B$16)</f>
        <v/>
      </c>
      <c r="AB141" s="50">
        <f>AB133*Assumptions!$B$173*Assumptions!$B$159*AB7/12*(1+Assumptions!$B$16)</f>
        <v/>
      </c>
      <c r="AC141" s="50">
        <f>AC133*Assumptions!$B$173*Assumptions!$B$159*AC7/12*(1+Assumptions!$B$16)</f>
        <v/>
      </c>
      <c r="AD141" s="50">
        <f>AD133*Assumptions!$B$173*Assumptions!$B$159*AD7/12*(1+Assumptions!$B$16)</f>
        <v/>
      </c>
      <c r="AE141" s="50">
        <f>AE133*Assumptions!$B$173*Assumptions!$B$159*AE7/12*(1+Assumptions!$B$16)</f>
        <v/>
      </c>
    </row>
    <row r="142">
      <c r="A142" s="6" t="inlineStr">
        <is>
          <t xml:space="preserve">  Stream 1a - Entry fee, SIP</t>
        </is>
      </c>
      <c r="B142" s="23" t="inlineStr">
        <is>
          <t>USD</t>
        </is>
      </c>
      <c r="C142" s="61">
        <f>C122*Assumptions!$B$8</f>
        <v/>
      </c>
      <c r="D142" s="61">
        <f>D122*Assumptions!$B$8</f>
        <v/>
      </c>
      <c r="E142" s="61">
        <f>E122*Assumptions!$B$8</f>
        <v/>
      </c>
      <c r="F142" s="61">
        <f>F122*Assumptions!$B$8</f>
        <v/>
      </c>
      <c r="G142" s="61">
        <f>G122*Assumptions!$B$8</f>
        <v/>
      </c>
      <c r="H142" s="61">
        <f>H122*Assumptions!$B$8</f>
        <v/>
      </c>
      <c r="I142" s="61">
        <f>I122*Assumptions!$B$8</f>
        <v/>
      </c>
      <c r="J142" s="61">
        <f>J122*Assumptions!$B$8</f>
        <v/>
      </c>
      <c r="K142" s="61">
        <f>K122*Assumptions!$B$8</f>
        <v/>
      </c>
      <c r="L142" s="61">
        <f>L122*Assumptions!$B$8</f>
        <v/>
      </c>
      <c r="M142" s="61">
        <f>M122*Assumptions!$B$8</f>
        <v/>
      </c>
      <c r="N142" s="61">
        <f>N122*Assumptions!$B$8</f>
        <v/>
      </c>
      <c r="O142" s="61">
        <f>O122*Assumptions!$B$8</f>
        <v/>
      </c>
      <c r="P142" s="61">
        <f>P122*Assumptions!$B$8</f>
        <v/>
      </c>
      <c r="Q142" s="61">
        <f>Q122*Assumptions!$B$8</f>
        <v/>
      </c>
      <c r="R142" s="61">
        <f>R122*Assumptions!$B$8</f>
        <v/>
      </c>
      <c r="S142" s="61">
        <f>S122*Assumptions!$B$8</f>
        <v/>
      </c>
      <c r="T142" s="61">
        <f>T122*Assumptions!$B$8</f>
        <v/>
      </c>
      <c r="U142" s="61">
        <f>U122*Assumptions!$B$8</f>
        <v/>
      </c>
      <c r="V142" s="61">
        <f>V122*Assumptions!$B$8</f>
        <v/>
      </c>
      <c r="W142" s="61">
        <f>W122*Assumptions!$B$8</f>
        <v/>
      </c>
      <c r="X142" s="61">
        <f>X122*Assumptions!$B$8</f>
        <v/>
      </c>
      <c r="Y142" s="61">
        <f>Y122*Assumptions!$B$8</f>
        <v/>
      </c>
      <c r="Z142" s="61">
        <f>Z122*Assumptions!$B$8</f>
        <v/>
      </c>
      <c r="AA142" s="61">
        <f>AA122*Assumptions!$B$8</f>
        <v/>
      </c>
      <c r="AB142" s="61">
        <f>AB122*Assumptions!$B$8</f>
        <v/>
      </c>
      <c r="AC142" s="61">
        <f>AC122*Assumptions!$B$8</f>
        <v/>
      </c>
      <c r="AD142" s="61">
        <f>AD122*Assumptions!$B$8</f>
        <v/>
      </c>
      <c r="AE142" s="61">
        <f>AE122*Assumptions!$B$8</f>
        <v/>
      </c>
    </row>
    <row r="143">
      <c r="A143" s="6" t="inlineStr">
        <is>
          <t xml:space="preserve">  Stream 1b - Entry fee, SPOT</t>
        </is>
      </c>
      <c r="B143" s="23" t="inlineStr">
        <is>
          <t>USD</t>
        </is>
      </c>
      <c r="C143" s="61">
        <f>C123*Assumptions!$B$8</f>
        <v/>
      </c>
      <c r="D143" s="61">
        <f>D123*Assumptions!$B$8</f>
        <v/>
      </c>
      <c r="E143" s="61">
        <f>E123*Assumptions!$B$8</f>
        <v/>
      </c>
      <c r="F143" s="61">
        <f>F123*Assumptions!$B$8</f>
        <v/>
      </c>
      <c r="G143" s="61">
        <f>G123*Assumptions!$B$8</f>
        <v/>
      </c>
      <c r="H143" s="61">
        <f>H123*Assumptions!$B$8</f>
        <v/>
      </c>
      <c r="I143" s="61">
        <f>I123*Assumptions!$B$8</f>
        <v/>
      </c>
      <c r="J143" s="61">
        <f>J123*Assumptions!$B$8</f>
        <v/>
      </c>
      <c r="K143" s="61">
        <f>K123*Assumptions!$B$8</f>
        <v/>
      </c>
      <c r="L143" s="61">
        <f>L123*Assumptions!$B$8</f>
        <v/>
      </c>
      <c r="M143" s="61">
        <f>M123*Assumptions!$B$8</f>
        <v/>
      </c>
      <c r="N143" s="61">
        <f>N123*Assumptions!$B$8</f>
        <v/>
      </c>
      <c r="O143" s="61">
        <f>O123*Assumptions!$B$8</f>
        <v/>
      </c>
      <c r="P143" s="61">
        <f>P123*Assumptions!$B$8</f>
        <v/>
      </c>
      <c r="Q143" s="61">
        <f>Q123*Assumptions!$B$8</f>
        <v/>
      </c>
      <c r="R143" s="61">
        <f>R123*Assumptions!$B$8</f>
        <v/>
      </c>
      <c r="S143" s="61">
        <f>S123*Assumptions!$B$8</f>
        <v/>
      </c>
      <c r="T143" s="61">
        <f>T123*Assumptions!$B$8</f>
        <v/>
      </c>
      <c r="U143" s="61">
        <f>U123*Assumptions!$B$8</f>
        <v/>
      </c>
      <c r="V143" s="61">
        <f>V123*Assumptions!$B$8</f>
        <v/>
      </c>
      <c r="W143" s="61">
        <f>W123*Assumptions!$B$8</f>
        <v/>
      </c>
      <c r="X143" s="61">
        <f>X123*Assumptions!$B$8</f>
        <v/>
      </c>
      <c r="Y143" s="61">
        <f>Y123*Assumptions!$B$8</f>
        <v/>
      </c>
      <c r="Z143" s="61">
        <f>Z123*Assumptions!$B$8</f>
        <v/>
      </c>
      <c r="AA143" s="61">
        <f>AA123*Assumptions!$B$8</f>
        <v/>
      </c>
      <c r="AB143" s="61">
        <f>AB123*Assumptions!$B$8</f>
        <v/>
      </c>
      <c r="AC143" s="61">
        <f>AC123*Assumptions!$B$8</f>
        <v/>
      </c>
      <c r="AD143" s="61">
        <f>AD123*Assumptions!$B$8</f>
        <v/>
      </c>
      <c r="AE143" s="61">
        <f>AE123*Assumptions!$B$8</f>
        <v/>
      </c>
    </row>
    <row r="144">
      <c r="A144" s="6" t="inlineStr">
        <is>
          <t xml:space="preserve">  Stream 2 - Card interchange</t>
        </is>
      </c>
      <c r="B144" s="23" t="inlineStr">
        <is>
          <t>USD</t>
        </is>
      </c>
      <c r="C144" s="61">
        <f>C139*IF(Assumptions!$B$227=1,MIN(Assumptions!$B$14,1%),Assumptions!$B$14)*(1-Assumptions!$B$157)</f>
        <v/>
      </c>
      <c r="D144" s="61">
        <f>D139*IF(Assumptions!$B$227=1,MIN(Assumptions!$B$14,1%),Assumptions!$B$14)*(1-Assumptions!$B$157)</f>
        <v/>
      </c>
      <c r="E144" s="61">
        <f>E139*IF(Assumptions!$B$227=1,MIN(Assumptions!$B$14,1%),Assumptions!$B$14)*(1-Assumptions!$B$157)</f>
        <v/>
      </c>
      <c r="F144" s="61">
        <f>F139*IF(Assumptions!$B$227=1,MIN(Assumptions!$B$14,1%),Assumptions!$B$14)*(1-Assumptions!$B$157)</f>
        <v/>
      </c>
      <c r="G144" s="61">
        <f>G139*IF(Assumptions!$B$227=1,MIN(Assumptions!$B$14,1%),Assumptions!$B$14)*(1-Assumptions!$B$157)</f>
        <v/>
      </c>
      <c r="H144" s="61">
        <f>H139*IF(Assumptions!$B$227=1,MIN(Assumptions!$B$14,1%),Assumptions!$B$14)*(1-Assumptions!$B$157)</f>
        <v/>
      </c>
      <c r="I144" s="61">
        <f>I139*IF(Assumptions!$B$227=1,MIN(Assumptions!$B$14,1%),Assumptions!$B$14)*(1-Assumptions!$B$157)</f>
        <v/>
      </c>
      <c r="J144" s="61">
        <f>J139*IF(Assumptions!$B$227=1,MIN(Assumptions!$B$14,1%),Assumptions!$B$14)*(1-Assumptions!$B$157)</f>
        <v/>
      </c>
      <c r="K144" s="61">
        <f>K139*IF(Assumptions!$B$227=1,MIN(Assumptions!$B$14,1%),Assumptions!$B$14)*(1-Assumptions!$B$157)</f>
        <v/>
      </c>
      <c r="L144" s="61">
        <f>L139*IF(Assumptions!$B$227=1,MIN(Assumptions!$B$14,1%),Assumptions!$B$14)*(1-Assumptions!$B$157)</f>
        <v/>
      </c>
      <c r="M144" s="61">
        <f>M139*IF(Assumptions!$B$227=1,MIN(Assumptions!$B$14,1%),Assumptions!$B$14)*(1-Assumptions!$B$157)</f>
        <v/>
      </c>
      <c r="N144" s="61">
        <f>N139*IF(Assumptions!$B$227=1,MIN(Assumptions!$B$14,1%),Assumptions!$B$14)*(1-Assumptions!$B$157)</f>
        <v/>
      </c>
      <c r="O144" s="61">
        <f>O139*IF(Assumptions!$B$227=1,MIN(Assumptions!$B$14,1%),Assumptions!$B$14)*(1-Assumptions!$B$157)</f>
        <v/>
      </c>
      <c r="P144" s="61">
        <f>P139*IF(Assumptions!$B$227=1,MIN(Assumptions!$B$14,1%),Assumptions!$B$14)*(1-Assumptions!$B$157)</f>
        <v/>
      </c>
      <c r="Q144" s="61">
        <f>Q139*IF(Assumptions!$B$227=1,MIN(Assumptions!$B$14,1%),Assumptions!$B$14)*(1-Assumptions!$B$157)</f>
        <v/>
      </c>
      <c r="R144" s="61">
        <f>R139*IF(Assumptions!$B$227=1,MIN(Assumptions!$B$14,1%),Assumptions!$B$14)*(1-Assumptions!$B$157)</f>
        <v/>
      </c>
      <c r="S144" s="61">
        <f>S139*IF(Assumptions!$B$227=1,MIN(Assumptions!$B$14,1%),Assumptions!$B$14)*(1-Assumptions!$B$157)</f>
        <v/>
      </c>
      <c r="T144" s="61">
        <f>T139*IF(Assumptions!$B$227=1,MIN(Assumptions!$B$14,1%),Assumptions!$B$14)*(1-Assumptions!$B$157)</f>
        <v/>
      </c>
      <c r="U144" s="61">
        <f>U139*IF(Assumptions!$B$227=1,MIN(Assumptions!$B$14,1%),Assumptions!$B$14)*(1-Assumptions!$B$157)</f>
        <v/>
      </c>
      <c r="V144" s="61">
        <f>V139*IF(Assumptions!$B$227=1,MIN(Assumptions!$B$14,1%),Assumptions!$B$14)*(1-Assumptions!$B$157)</f>
        <v/>
      </c>
      <c r="W144" s="61">
        <f>W139*IF(Assumptions!$B$227=1,MIN(Assumptions!$B$14,1%),Assumptions!$B$14)*(1-Assumptions!$B$157)</f>
        <v/>
      </c>
      <c r="X144" s="61">
        <f>X139*IF(Assumptions!$B$227=1,MIN(Assumptions!$B$14,1%),Assumptions!$B$14)*(1-Assumptions!$B$157)</f>
        <v/>
      </c>
      <c r="Y144" s="61">
        <f>Y139*IF(Assumptions!$B$227=1,MIN(Assumptions!$B$14,1%),Assumptions!$B$14)*(1-Assumptions!$B$157)</f>
        <v/>
      </c>
      <c r="Z144" s="61">
        <f>Z139*IF(Assumptions!$B$227=1,MIN(Assumptions!$B$14,1%),Assumptions!$B$14)*(1-Assumptions!$B$157)</f>
        <v/>
      </c>
      <c r="AA144" s="61">
        <f>AA139*IF(Assumptions!$B$227=1,MIN(Assumptions!$B$14,1%),Assumptions!$B$14)*(1-Assumptions!$B$157)</f>
        <v/>
      </c>
      <c r="AB144" s="61">
        <f>AB139*IF(Assumptions!$B$227=1,MIN(Assumptions!$B$14,1%),Assumptions!$B$14)*(1-Assumptions!$B$157)</f>
        <v/>
      </c>
      <c r="AC144" s="61">
        <f>AC139*IF(Assumptions!$B$227=1,MIN(Assumptions!$B$14,1%),Assumptions!$B$14)*(1-Assumptions!$B$157)</f>
        <v/>
      </c>
      <c r="AD144" s="61">
        <f>AD139*IF(Assumptions!$B$227=1,MIN(Assumptions!$B$14,1%),Assumptions!$B$14)*(1-Assumptions!$B$157)</f>
        <v/>
      </c>
      <c r="AE144" s="61">
        <f>AE139*IF(Assumptions!$B$227=1,MIN(Assumptions!$B$14,1%),Assumptions!$B$14)*(1-Assumptions!$B$157)</f>
        <v/>
      </c>
    </row>
    <row r="145">
      <c r="A145" s="6" t="inlineStr">
        <is>
          <t xml:space="preserve">  Family plan subscribers</t>
        </is>
      </c>
      <c r="B145" s="23" t="inlineStr">
        <is>
          <t>subscribers</t>
        </is>
      </c>
      <c r="C145" s="60">
        <f>IF(C2&gt;=Assumptions!$B$50,C117*Assumptions!$B$174*(1-Assumptions!$B$177)^(C7/2),0)</f>
        <v/>
      </c>
      <c r="D145" s="60">
        <f>IF(D2&gt;=Assumptions!$B$50,C145*(1-Assumptions!$B$177)^D7+D117*Assumptions!$B$174*(1-Assumptions!$B$177)^(D7/2),0)</f>
        <v/>
      </c>
      <c r="E145" s="60">
        <f>IF(E2&gt;=Assumptions!$B$50,D145*(1-Assumptions!$B$177)^E7+E117*Assumptions!$B$174*(1-Assumptions!$B$177)^(E7/2),0)</f>
        <v/>
      </c>
      <c r="F145" s="60">
        <f>IF(F2&gt;=Assumptions!$B$50,E145*(1-Assumptions!$B$177)^F7+F117*Assumptions!$B$174*(1-Assumptions!$B$177)^(F7/2),0)</f>
        <v/>
      </c>
      <c r="G145" s="60">
        <f>IF(G2&gt;=Assumptions!$B$50,F145*(1-Assumptions!$B$177)^G7+G117*Assumptions!$B$174*(1-Assumptions!$B$177)^(G7/2),0)</f>
        <v/>
      </c>
      <c r="H145" s="60">
        <f>IF(H2&gt;=Assumptions!$B$50,G145*(1-Assumptions!$B$177)^H7+H117*Assumptions!$B$174*(1-Assumptions!$B$177)^(H7/2),0)</f>
        <v/>
      </c>
      <c r="I145" s="60">
        <f>IF(I2&gt;=Assumptions!$B$50,H145*(1-Assumptions!$B$177)^I7+I117*Assumptions!$B$174*(1-Assumptions!$B$177)^(I7/2),0)</f>
        <v/>
      </c>
      <c r="J145" s="60">
        <f>IF(J2&gt;=Assumptions!$B$50,I145*(1-Assumptions!$B$177)^J7+J117*Assumptions!$B$174*(1-Assumptions!$B$177)^(J7/2),0)</f>
        <v/>
      </c>
      <c r="K145" s="60">
        <f>IF(K2&gt;=Assumptions!$B$50,J145*(1-Assumptions!$B$177)^K7+K117*Assumptions!$B$174*(1-Assumptions!$B$177)^(K7/2),0)</f>
        <v/>
      </c>
      <c r="L145" s="60">
        <f>IF(L2&gt;=Assumptions!$B$50,K145*(1-Assumptions!$B$177)^L7+L117*Assumptions!$B$174*(1-Assumptions!$B$177)^(L7/2),0)</f>
        <v/>
      </c>
      <c r="M145" s="60">
        <f>IF(M2&gt;=Assumptions!$B$50,L145*(1-Assumptions!$B$177)^M7+M117*Assumptions!$B$174*(1-Assumptions!$B$177)^(M7/2),0)</f>
        <v/>
      </c>
      <c r="N145" s="60">
        <f>IF(N2&gt;=Assumptions!$B$50,M145*(1-Assumptions!$B$177)^N7+N117*Assumptions!$B$174*(1-Assumptions!$B$177)^(N7/2),0)</f>
        <v/>
      </c>
      <c r="O145" s="60">
        <f>IF(O2&gt;=Assumptions!$B$50,N145*(1-Assumptions!$B$177)^O7+O117*Assumptions!$B$174*(1-Assumptions!$B$177)^(O7/2),0)</f>
        <v/>
      </c>
      <c r="P145" s="60">
        <f>IF(P2&gt;=Assumptions!$B$50,O145*(1-Assumptions!$B$177)^P7+P117*Assumptions!$B$174*(1-Assumptions!$B$177)^(P7/2),0)</f>
        <v/>
      </c>
      <c r="Q145" s="60">
        <f>IF(Q2&gt;=Assumptions!$B$50,P145*(1-Assumptions!$B$177)^Q7+Q117*Assumptions!$B$174*(1-Assumptions!$B$177)^(Q7/2),0)</f>
        <v/>
      </c>
      <c r="R145" s="60">
        <f>IF(R2&gt;=Assumptions!$B$50,Q145*(1-Assumptions!$B$177)^R7+R117*Assumptions!$B$174*(1-Assumptions!$B$177)^(R7/2),0)</f>
        <v/>
      </c>
      <c r="S145" s="60">
        <f>IF(S2&gt;=Assumptions!$B$50,R145*(1-Assumptions!$B$177)^S7+S117*Assumptions!$B$174*(1-Assumptions!$B$177)^(S7/2),0)</f>
        <v/>
      </c>
      <c r="T145" s="60">
        <f>IF(T2&gt;=Assumptions!$B$50,S145*(1-Assumptions!$B$177)^T7+T117*Assumptions!$B$174*(1-Assumptions!$B$177)^(T7/2),0)</f>
        <v/>
      </c>
      <c r="U145" s="60">
        <f>IF(U2&gt;=Assumptions!$B$50,T145*(1-Assumptions!$B$177)^U7+U117*Assumptions!$B$174*(1-Assumptions!$B$177)^(U7/2),0)</f>
        <v/>
      </c>
      <c r="V145" s="60">
        <f>IF(V2&gt;=Assumptions!$B$50,U145*(1-Assumptions!$B$177)^V7+V117*Assumptions!$B$174*(1-Assumptions!$B$177)^(V7/2),0)</f>
        <v/>
      </c>
      <c r="W145" s="60">
        <f>IF(W2&gt;=Assumptions!$B$50,V145*(1-Assumptions!$B$177)^W7+W117*Assumptions!$B$174*(1-Assumptions!$B$177)^(W7/2),0)</f>
        <v/>
      </c>
      <c r="X145" s="60">
        <f>IF(X2&gt;=Assumptions!$B$50,W145*(1-Assumptions!$B$177)^X7+X117*Assumptions!$B$174*(1-Assumptions!$B$177)^(X7/2),0)</f>
        <v/>
      </c>
      <c r="Y145" s="60">
        <f>IF(Y2&gt;=Assumptions!$B$50,X145*(1-Assumptions!$B$177)^Y7+Y117*Assumptions!$B$174*(1-Assumptions!$B$177)^(Y7/2),0)</f>
        <v/>
      </c>
      <c r="Z145" s="60">
        <f>IF(Z2&gt;=Assumptions!$B$50,Y145*(1-Assumptions!$B$177)^Z7+Z117*Assumptions!$B$174*(1-Assumptions!$B$177)^(Z7/2),0)</f>
        <v/>
      </c>
      <c r="AA145" s="60">
        <f>IF(AA2&gt;=Assumptions!$B$50,Z145*(1-Assumptions!$B$177)^AA7+AA117*Assumptions!$B$174*(1-Assumptions!$B$177)^(AA7/2),0)</f>
        <v/>
      </c>
      <c r="AB145" s="60">
        <f>IF(AB2&gt;=Assumptions!$B$50,AA145*(1-Assumptions!$B$177)^AB7+AB117*Assumptions!$B$174*(1-Assumptions!$B$177)^(AB7/2),0)</f>
        <v/>
      </c>
      <c r="AC145" s="60">
        <f>IF(AC2&gt;=Assumptions!$B$50,AB145*(1-Assumptions!$B$177)^AC7+AC117*Assumptions!$B$174*(1-Assumptions!$B$177)^(AC7/2),0)</f>
        <v/>
      </c>
      <c r="AD145" s="60">
        <f>IF(AD2&gt;=Assumptions!$B$50,AC145*(1-Assumptions!$B$177)^AD7+AD117*Assumptions!$B$174*(1-Assumptions!$B$177)^(AD7/2),0)</f>
        <v/>
      </c>
      <c r="AE145" s="60">
        <f>IF(AE2&gt;=Assumptions!$B$50,AD145*(1-Assumptions!$B$177)^AE7+AE117*Assumptions!$B$174*(1-Assumptions!$B$177)^(AE7/2),0)</f>
        <v/>
      </c>
    </row>
    <row r="146">
      <c r="A146" s="6" t="inlineStr">
        <is>
          <t xml:space="preserve">  Stream 3 - Family plan and Digital Will</t>
        </is>
      </c>
      <c r="B146" s="23" t="inlineStr">
        <is>
          <t>USD</t>
        </is>
      </c>
      <c r="C146" s="61">
        <f>C145*(Assumptions!$B$25+MAX(0,Assumptions!$B$176-1)*Assumptions!$B$26)/12*C7</f>
        <v/>
      </c>
      <c r="D146" s="61">
        <f>D145*(Assumptions!$B$25+MAX(0,Assumptions!$B$176-1)*Assumptions!$B$26)/12*D7</f>
        <v/>
      </c>
      <c r="E146" s="61">
        <f>E145*(Assumptions!$B$25+MAX(0,Assumptions!$B$176-1)*Assumptions!$B$26)/12*E7</f>
        <v/>
      </c>
      <c r="F146" s="61">
        <f>F145*(Assumptions!$B$25+MAX(0,Assumptions!$B$176-1)*Assumptions!$B$26)/12*F7</f>
        <v/>
      </c>
      <c r="G146" s="61">
        <f>G145*(Assumptions!$B$25+MAX(0,Assumptions!$B$176-1)*Assumptions!$B$26)/12*G7</f>
        <v/>
      </c>
      <c r="H146" s="61">
        <f>H145*(Assumptions!$B$25+MAX(0,Assumptions!$B$176-1)*Assumptions!$B$26)/12*H7</f>
        <v/>
      </c>
      <c r="I146" s="61">
        <f>I145*(Assumptions!$B$25+MAX(0,Assumptions!$B$176-1)*Assumptions!$B$26)/12*I7</f>
        <v/>
      </c>
      <c r="J146" s="61">
        <f>J145*(Assumptions!$B$25+MAX(0,Assumptions!$B$176-1)*Assumptions!$B$26)/12*J7</f>
        <v/>
      </c>
      <c r="K146" s="61">
        <f>K145*(Assumptions!$B$25+MAX(0,Assumptions!$B$176-1)*Assumptions!$B$26)/12*K7</f>
        <v/>
      </c>
      <c r="L146" s="61">
        <f>L145*(Assumptions!$B$25+MAX(0,Assumptions!$B$176-1)*Assumptions!$B$26)/12*L7</f>
        <v/>
      </c>
      <c r="M146" s="61">
        <f>M145*(Assumptions!$B$25+MAX(0,Assumptions!$B$176-1)*Assumptions!$B$26)/12*M7</f>
        <v/>
      </c>
      <c r="N146" s="61">
        <f>N145*(Assumptions!$B$25+MAX(0,Assumptions!$B$176-1)*Assumptions!$B$26)/12*N7</f>
        <v/>
      </c>
      <c r="O146" s="61">
        <f>O145*(Assumptions!$B$25+MAX(0,Assumptions!$B$176-1)*Assumptions!$B$26)/12*O7</f>
        <v/>
      </c>
      <c r="P146" s="61">
        <f>P145*(Assumptions!$B$25+MAX(0,Assumptions!$B$176-1)*Assumptions!$B$26)/12*P7</f>
        <v/>
      </c>
      <c r="Q146" s="61">
        <f>Q145*(Assumptions!$B$25+MAX(0,Assumptions!$B$176-1)*Assumptions!$B$26)/12*Q7</f>
        <v/>
      </c>
      <c r="R146" s="61">
        <f>R145*(Assumptions!$B$25+MAX(0,Assumptions!$B$176-1)*Assumptions!$B$26)/12*R7</f>
        <v/>
      </c>
      <c r="S146" s="61">
        <f>S145*(Assumptions!$B$25+MAX(0,Assumptions!$B$176-1)*Assumptions!$B$26)/12*S7</f>
        <v/>
      </c>
      <c r="T146" s="61">
        <f>T145*(Assumptions!$B$25+MAX(0,Assumptions!$B$176-1)*Assumptions!$B$26)/12*T7</f>
        <v/>
      </c>
      <c r="U146" s="61">
        <f>U145*(Assumptions!$B$25+MAX(0,Assumptions!$B$176-1)*Assumptions!$B$26)/12*U7</f>
        <v/>
      </c>
      <c r="V146" s="61">
        <f>V145*(Assumptions!$B$25+MAX(0,Assumptions!$B$176-1)*Assumptions!$B$26)/12*V7</f>
        <v/>
      </c>
      <c r="W146" s="61">
        <f>W145*(Assumptions!$B$25+MAX(0,Assumptions!$B$176-1)*Assumptions!$B$26)/12*W7</f>
        <v/>
      </c>
      <c r="X146" s="61">
        <f>X145*(Assumptions!$B$25+MAX(0,Assumptions!$B$176-1)*Assumptions!$B$26)/12*X7</f>
        <v/>
      </c>
      <c r="Y146" s="61">
        <f>Y145*(Assumptions!$B$25+MAX(0,Assumptions!$B$176-1)*Assumptions!$B$26)/12*Y7</f>
        <v/>
      </c>
      <c r="Z146" s="61">
        <f>Z145*(Assumptions!$B$25+MAX(0,Assumptions!$B$176-1)*Assumptions!$B$26)/12*Z7</f>
        <v/>
      </c>
      <c r="AA146" s="61">
        <f>AA145*(Assumptions!$B$25+MAX(0,Assumptions!$B$176-1)*Assumptions!$B$26)/12*AA7</f>
        <v/>
      </c>
      <c r="AB146" s="61">
        <f>AB145*(Assumptions!$B$25+MAX(0,Assumptions!$B$176-1)*Assumptions!$B$26)/12*AB7</f>
        <v/>
      </c>
      <c r="AC146" s="61">
        <f>AC145*(Assumptions!$B$25+MAX(0,Assumptions!$B$176-1)*Assumptions!$B$26)/12*AC7</f>
        <v/>
      </c>
      <c r="AD146" s="61">
        <f>AD145*(Assumptions!$B$25+MAX(0,Assumptions!$B$176-1)*Assumptions!$B$26)/12*AD7</f>
        <v/>
      </c>
      <c r="AE146" s="61">
        <f>AE145*(Assumptions!$B$25+MAX(0,Assumptions!$B$176-1)*Assumptions!$B$26)/12*AE7</f>
        <v/>
      </c>
    </row>
    <row r="147">
      <c r="A147" s="6" t="inlineStr">
        <is>
          <t xml:space="preserve">  Stream 4 - Cardholder fees (FX, ATM, events)</t>
        </is>
      </c>
      <c r="B147" s="23" t="inlineStr">
        <is>
          <t>USD</t>
        </is>
      </c>
      <c r="C147" s="61">
        <f>IF(C2&gt;=Assumptions!$B$52,C139*C17*Assumptions!$B$17+C133*(Assumptions!$B$163*MAX(0,Assumptions!$B$167-Assumptions!$B$18)+Assumptions!$B$164*MAX(0,Assumptions!$B$168-Assumptions!$B$18)+Assumptions!$B$165*MAX(0,Assumptions!$B$169-Assumptions!$B$18)+Assumptions!$B$166*MAX(0,Assumptions!$B$170-Assumptions!$B$18))*Assumptions!$B$19/Assumptions!$B$7*C7+C134*Assumptions!$B$20/Assumptions!$B$7+C132*(Assumptions!$B$161*Assumptions!$B$20+Assumptions!$B$162*Assumptions!$B$21)/12/Assumptions!$B$7*C7,0)</f>
        <v/>
      </c>
      <c r="D147" s="61">
        <f>IF(D2&gt;=Assumptions!$B$52,D139*D17*Assumptions!$B$17+D133*(Assumptions!$B$163*MAX(0,Assumptions!$B$167-Assumptions!$B$18)+Assumptions!$B$164*MAX(0,Assumptions!$B$168-Assumptions!$B$18)+Assumptions!$B$165*MAX(0,Assumptions!$B$169-Assumptions!$B$18)+Assumptions!$B$166*MAX(0,Assumptions!$B$170-Assumptions!$B$18))*Assumptions!$B$19/Assumptions!$B$7*D7+D134*Assumptions!$B$20/Assumptions!$B$7+D132*(Assumptions!$B$161*Assumptions!$B$20+Assumptions!$B$162*Assumptions!$B$21)/12/Assumptions!$B$7*D7,0)</f>
        <v/>
      </c>
      <c r="E147" s="61">
        <f>IF(E2&gt;=Assumptions!$B$52,E139*E17*Assumptions!$B$17+E133*(Assumptions!$B$163*MAX(0,Assumptions!$B$167-Assumptions!$B$18)+Assumptions!$B$164*MAX(0,Assumptions!$B$168-Assumptions!$B$18)+Assumptions!$B$165*MAX(0,Assumptions!$B$169-Assumptions!$B$18)+Assumptions!$B$166*MAX(0,Assumptions!$B$170-Assumptions!$B$18))*Assumptions!$B$19/Assumptions!$B$7*E7+E134*Assumptions!$B$20/Assumptions!$B$7+E132*(Assumptions!$B$161*Assumptions!$B$20+Assumptions!$B$162*Assumptions!$B$21)/12/Assumptions!$B$7*E7,0)</f>
        <v/>
      </c>
      <c r="F147" s="61">
        <f>IF(F2&gt;=Assumptions!$B$52,F139*F17*Assumptions!$B$17+F133*(Assumptions!$B$163*MAX(0,Assumptions!$B$167-Assumptions!$B$18)+Assumptions!$B$164*MAX(0,Assumptions!$B$168-Assumptions!$B$18)+Assumptions!$B$165*MAX(0,Assumptions!$B$169-Assumptions!$B$18)+Assumptions!$B$166*MAX(0,Assumptions!$B$170-Assumptions!$B$18))*Assumptions!$B$19/Assumptions!$B$7*F7+F134*Assumptions!$B$20/Assumptions!$B$7+F132*(Assumptions!$B$161*Assumptions!$B$20+Assumptions!$B$162*Assumptions!$B$21)/12/Assumptions!$B$7*F7,0)</f>
        <v/>
      </c>
      <c r="G147" s="61">
        <f>IF(G2&gt;=Assumptions!$B$52,G139*G17*Assumptions!$B$17+G133*(Assumptions!$B$163*MAX(0,Assumptions!$B$167-Assumptions!$B$18)+Assumptions!$B$164*MAX(0,Assumptions!$B$168-Assumptions!$B$18)+Assumptions!$B$165*MAX(0,Assumptions!$B$169-Assumptions!$B$18)+Assumptions!$B$166*MAX(0,Assumptions!$B$170-Assumptions!$B$18))*Assumptions!$B$19/Assumptions!$B$7*G7+G134*Assumptions!$B$20/Assumptions!$B$7+G132*(Assumptions!$B$161*Assumptions!$B$20+Assumptions!$B$162*Assumptions!$B$21)/12/Assumptions!$B$7*G7,0)</f>
        <v/>
      </c>
      <c r="H147" s="61">
        <f>IF(H2&gt;=Assumptions!$B$52,H139*H17*Assumptions!$B$17+H133*(Assumptions!$B$163*MAX(0,Assumptions!$B$167-Assumptions!$B$18)+Assumptions!$B$164*MAX(0,Assumptions!$B$168-Assumptions!$B$18)+Assumptions!$B$165*MAX(0,Assumptions!$B$169-Assumptions!$B$18)+Assumptions!$B$166*MAX(0,Assumptions!$B$170-Assumptions!$B$18))*Assumptions!$B$19/Assumptions!$B$7*H7+H134*Assumptions!$B$20/Assumptions!$B$7+H132*(Assumptions!$B$161*Assumptions!$B$20+Assumptions!$B$162*Assumptions!$B$21)/12/Assumptions!$B$7*H7,0)</f>
        <v/>
      </c>
      <c r="I147" s="61">
        <f>IF(I2&gt;=Assumptions!$B$52,I139*I17*Assumptions!$B$17+I133*(Assumptions!$B$163*MAX(0,Assumptions!$B$167-Assumptions!$B$18)+Assumptions!$B$164*MAX(0,Assumptions!$B$168-Assumptions!$B$18)+Assumptions!$B$165*MAX(0,Assumptions!$B$169-Assumptions!$B$18)+Assumptions!$B$166*MAX(0,Assumptions!$B$170-Assumptions!$B$18))*Assumptions!$B$19/Assumptions!$B$7*I7+I134*Assumptions!$B$20/Assumptions!$B$7+I132*(Assumptions!$B$161*Assumptions!$B$20+Assumptions!$B$162*Assumptions!$B$21)/12/Assumptions!$B$7*I7,0)</f>
        <v/>
      </c>
      <c r="J147" s="61">
        <f>IF(J2&gt;=Assumptions!$B$52,J139*J17*Assumptions!$B$17+J133*(Assumptions!$B$163*MAX(0,Assumptions!$B$167-Assumptions!$B$18)+Assumptions!$B$164*MAX(0,Assumptions!$B$168-Assumptions!$B$18)+Assumptions!$B$165*MAX(0,Assumptions!$B$169-Assumptions!$B$18)+Assumptions!$B$166*MAX(0,Assumptions!$B$170-Assumptions!$B$18))*Assumptions!$B$19/Assumptions!$B$7*J7+J134*Assumptions!$B$20/Assumptions!$B$7+J132*(Assumptions!$B$161*Assumptions!$B$20+Assumptions!$B$162*Assumptions!$B$21)/12/Assumptions!$B$7*J7,0)</f>
        <v/>
      </c>
      <c r="K147" s="61">
        <f>IF(K2&gt;=Assumptions!$B$52,K139*K17*Assumptions!$B$17+K133*(Assumptions!$B$163*MAX(0,Assumptions!$B$167-Assumptions!$B$18)+Assumptions!$B$164*MAX(0,Assumptions!$B$168-Assumptions!$B$18)+Assumptions!$B$165*MAX(0,Assumptions!$B$169-Assumptions!$B$18)+Assumptions!$B$166*MAX(0,Assumptions!$B$170-Assumptions!$B$18))*Assumptions!$B$19/Assumptions!$B$7*K7+K134*Assumptions!$B$20/Assumptions!$B$7+K132*(Assumptions!$B$161*Assumptions!$B$20+Assumptions!$B$162*Assumptions!$B$21)/12/Assumptions!$B$7*K7,0)</f>
        <v/>
      </c>
      <c r="L147" s="61">
        <f>IF(L2&gt;=Assumptions!$B$52,L139*L17*Assumptions!$B$17+L133*(Assumptions!$B$163*MAX(0,Assumptions!$B$167-Assumptions!$B$18)+Assumptions!$B$164*MAX(0,Assumptions!$B$168-Assumptions!$B$18)+Assumptions!$B$165*MAX(0,Assumptions!$B$169-Assumptions!$B$18)+Assumptions!$B$166*MAX(0,Assumptions!$B$170-Assumptions!$B$18))*Assumptions!$B$19/Assumptions!$B$7*L7+L134*Assumptions!$B$20/Assumptions!$B$7+L132*(Assumptions!$B$161*Assumptions!$B$20+Assumptions!$B$162*Assumptions!$B$21)/12/Assumptions!$B$7*L7,0)</f>
        <v/>
      </c>
      <c r="M147" s="61">
        <f>IF(M2&gt;=Assumptions!$B$52,M139*M17*Assumptions!$B$17+M133*(Assumptions!$B$163*MAX(0,Assumptions!$B$167-Assumptions!$B$18)+Assumptions!$B$164*MAX(0,Assumptions!$B$168-Assumptions!$B$18)+Assumptions!$B$165*MAX(0,Assumptions!$B$169-Assumptions!$B$18)+Assumptions!$B$166*MAX(0,Assumptions!$B$170-Assumptions!$B$18))*Assumptions!$B$19/Assumptions!$B$7*M7+M134*Assumptions!$B$20/Assumptions!$B$7+M132*(Assumptions!$B$161*Assumptions!$B$20+Assumptions!$B$162*Assumptions!$B$21)/12/Assumptions!$B$7*M7,0)</f>
        <v/>
      </c>
      <c r="N147" s="61">
        <f>IF(N2&gt;=Assumptions!$B$52,N139*N17*Assumptions!$B$17+N133*(Assumptions!$B$163*MAX(0,Assumptions!$B$167-Assumptions!$B$18)+Assumptions!$B$164*MAX(0,Assumptions!$B$168-Assumptions!$B$18)+Assumptions!$B$165*MAX(0,Assumptions!$B$169-Assumptions!$B$18)+Assumptions!$B$166*MAX(0,Assumptions!$B$170-Assumptions!$B$18))*Assumptions!$B$19/Assumptions!$B$7*N7+N134*Assumptions!$B$20/Assumptions!$B$7+N132*(Assumptions!$B$161*Assumptions!$B$20+Assumptions!$B$162*Assumptions!$B$21)/12/Assumptions!$B$7*N7,0)</f>
        <v/>
      </c>
      <c r="O147" s="61">
        <f>IF(O2&gt;=Assumptions!$B$52,O139*O17*Assumptions!$B$17+O133*(Assumptions!$B$163*MAX(0,Assumptions!$B$167-Assumptions!$B$18)+Assumptions!$B$164*MAX(0,Assumptions!$B$168-Assumptions!$B$18)+Assumptions!$B$165*MAX(0,Assumptions!$B$169-Assumptions!$B$18)+Assumptions!$B$166*MAX(0,Assumptions!$B$170-Assumptions!$B$18))*Assumptions!$B$19/Assumptions!$B$7*O7+O134*Assumptions!$B$20/Assumptions!$B$7+O132*(Assumptions!$B$161*Assumptions!$B$20+Assumptions!$B$162*Assumptions!$B$21)/12/Assumptions!$B$7*O7,0)</f>
        <v/>
      </c>
      <c r="P147" s="61">
        <f>IF(P2&gt;=Assumptions!$B$52,P139*P17*Assumptions!$B$17+P133*(Assumptions!$B$163*MAX(0,Assumptions!$B$167-Assumptions!$B$18)+Assumptions!$B$164*MAX(0,Assumptions!$B$168-Assumptions!$B$18)+Assumptions!$B$165*MAX(0,Assumptions!$B$169-Assumptions!$B$18)+Assumptions!$B$166*MAX(0,Assumptions!$B$170-Assumptions!$B$18))*Assumptions!$B$19/Assumptions!$B$7*P7+P134*Assumptions!$B$20/Assumptions!$B$7+P132*(Assumptions!$B$161*Assumptions!$B$20+Assumptions!$B$162*Assumptions!$B$21)/12/Assumptions!$B$7*P7,0)</f>
        <v/>
      </c>
      <c r="Q147" s="61">
        <f>IF(Q2&gt;=Assumptions!$B$52,Q139*Q17*Assumptions!$B$17+Q133*(Assumptions!$B$163*MAX(0,Assumptions!$B$167-Assumptions!$B$18)+Assumptions!$B$164*MAX(0,Assumptions!$B$168-Assumptions!$B$18)+Assumptions!$B$165*MAX(0,Assumptions!$B$169-Assumptions!$B$18)+Assumptions!$B$166*MAX(0,Assumptions!$B$170-Assumptions!$B$18))*Assumptions!$B$19/Assumptions!$B$7*Q7+Q134*Assumptions!$B$20/Assumptions!$B$7+Q132*(Assumptions!$B$161*Assumptions!$B$20+Assumptions!$B$162*Assumptions!$B$21)/12/Assumptions!$B$7*Q7,0)</f>
        <v/>
      </c>
      <c r="R147" s="61">
        <f>IF(R2&gt;=Assumptions!$B$52,R139*R17*Assumptions!$B$17+R133*(Assumptions!$B$163*MAX(0,Assumptions!$B$167-Assumptions!$B$18)+Assumptions!$B$164*MAX(0,Assumptions!$B$168-Assumptions!$B$18)+Assumptions!$B$165*MAX(0,Assumptions!$B$169-Assumptions!$B$18)+Assumptions!$B$166*MAX(0,Assumptions!$B$170-Assumptions!$B$18))*Assumptions!$B$19/Assumptions!$B$7*R7+R134*Assumptions!$B$20/Assumptions!$B$7+R132*(Assumptions!$B$161*Assumptions!$B$20+Assumptions!$B$162*Assumptions!$B$21)/12/Assumptions!$B$7*R7,0)</f>
        <v/>
      </c>
      <c r="S147" s="61">
        <f>IF(S2&gt;=Assumptions!$B$52,S139*S17*Assumptions!$B$17+S133*(Assumptions!$B$163*MAX(0,Assumptions!$B$167-Assumptions!$B$18)+Assumptions!$B$164*MAX(0,Assumptions!$B$168-Assumptions!$B$18)+Assumptions!$B$165*MAX(0,Assumptions!$B$169-Assumptions!$B$18)+Assumptions!$B$166*MAX(0,Assumptions!$B$170-Assumptions!$B$18))*Assumptions!$B$19/Assumptions!$B$7*S7+S134*Assumptions!$B$20/Assumptions!$B$7+S132*(Assumptions!$B$161*Assumptions!$B$20+Assumptions!$B$162*Assumptions!$B$21)/12/Assumptions!$B$7*S7,0)</f>
        <v/>
      </c>
      <c r="T147" s="61">
        <f>IF(T2&gt;=Assumptions!$B$52,T139*T17*Assumptions!$B$17+T133*(Assumptions!$B$163*MAX(0,Assumptions!$B$167-Assumptions!$B$18)+Assumptions!$B$164*MAX(0,Assumptions!$B$168-Assumptions!$B$18)+Assumptions!$B$165*MAX(0,Assumptions!$B$169-Assumptions!$B$18)+Assumptions!$B$166*MAX(0,Assumptions!$B$170-Assumptions!$B$18))*Assumptions!$B$19/Assumptions!$B$7*T7+T134*Assumptions!$B$20/Assumptions!$B$7+T132*(Assumptions!$B$161*Assumptions!$B$20+Assumptions!$B$162*Assumptions!$B$21)/12/Assumptions!$B$7*T7,0)</f>
        <v/>
      </c>
      <c r="U147" s="61">
        <f>IF(U2&gt;=Assumptions!$B$52,U139*U17*Assumptions!$B$17+U133*(Assumptions!$B$163*MAX(0,Assumptions!$B$167-Assumptions!$B$18)+Assumptions!$B$164*MAX(0,Assumptions!$B$168-Assumptions!$B$18)+Assumptions!$B$165*MAX(0,Assumptions!$B$169-Assumptions!$B$18)+Assumptions!$B$166*MAX(0,Assumptions!$B$170-Assumptions!$B$18))*Assumptions!$B$19/Assumptions!$B$7*U7+U134*Assumptions!$B$20/Assumptions!$B$7+U132*(Assumptions!$B$161*Assumptions!$B$20+Assumptions!$B$162*Assumptions!$B$21)/12/Assumptions!$B$7*U7,0)</f>
        <v/>
      </c>
      <c r="V147" s="61">
        <f>IF(V2&gt;=Assumptions!$B$52,V139*V17*Assumptions!$B$17+V133*(Assumptions!$B$163*MAX(0,Assumptions!$B$167-Assumptions!$B$18)+Assumptions!$B$164*MAX(0,Assumptions!$B$168-Assumptions!$B$18)+Assumptions!$B$165*MAX(0,Assumptions!$B$169-Assumptions!$B$18)+Assumptions!$B$166*MAX(0,Assumptions!$B$170-Assumptions!$B$18))*Assumptions!$B$19/Assumptions!$B$7*V7+V134*Assumptions!$B$20/Assumptions!$B$7+V132*(Assumptions!$B$161*Assumptions!$B$20+Assumptions!$B$162*Assumptions!$B$21)/12/Assumptions!$B$7*V7,0)</f>
        <v/>
      </c>
      <c r="W147" s="61">
        <f>IF(W2&gt;=Assumptions!$B$52,W139*W17*Assumptions!$B$17+W133*(Assumptions!$B$163*MAX(0,Assumptions!$B$167-Assumptions!$B$18)+Assumptions!$B$164*MAX(0,Assumptions!$B$168-Assumptions!$B$18)+Assumptions!$B$165*MAX(0,Assumptions!$B$169-Assumptions!$B$18)+Assumptions!$B$166*MAX(0,Assumptions!$B$170-Assumptions!$B$18))*Assumptions!$B$19/Assumptions!$B$7*W7+W134*Assumptions!$B$20/Assumptions!$B$7+W132*(Assumptions!$B$161*Assumptions!$B$20+Assumptions!$B$162*Assumptions!$B$21)/12/Assumptions!$B$7*W7,0)</f>
        <v/>
      </c>
      <c r="X147" s="61">
        <f>IF(X2&gt;=Assumptions!$B$52,X139*X17*Assumptions!$B$17+X133*(Assumptions!$B$163*MAX(0,Assumptions!$B$167-Assumptions!$B$18)+Assumptions!$B$164*MAX(0,Assumptions!$B$168-Assumptions!$B$18)+Assumptions!$B$165*MAX(0,Assumptions!$B$169-Assumptions!$B$18)+Assumptions!$B$166*MAX(0,Assumptions!$B$170-Assumptions!$B$18))*Assumptions!$B$19/Assumptions!$B$7*X7+X134*Assumptions!$B$20/Assumptions!$B$7+X132*(Assumptions!$B$161*Assumptions!$B$20+Assumptions!$B$162*Assumptions!$B$21)/12/Assumptions!$B$7*X7,0)</f>
        <v/>
      </c>
      <c r="Y147" s="61">
        <f>IF(Y2&gt;=Assumptions!$B$52,Y139*Y17*Assumptions!$B$17+Y133*(Assumptions!$B$163*MAX(0,Assumptions!$B$167-Assumptions!$B$18)+Assumptions!$B$164*MAX(0,Assumptions!$B$168-Assumptions!$B$18)+Assumptions!$B$165*MAX(0,Assumptions!$B$169-Assumptions!$B$18)+Assumptions!$B$166*MAX(0,Assumptions!$B$170-Assumptions!$B$18))*Assumptions!$B$19/Assumptions!$B$7*Y7+Y134*Assumptions!$B$20/Assumptions!$B$7+Y132*(Assumptions!$B$161*Assumptions!$B$20+Assumptions!$B$162*Assumptions!$B$21)/12/Assumptions!$B$7*Y7,0)</f>
        <v/>
      </c>
      <c r="Z147" s="61">
        <f>IF(Z2&gt;=Assumptions!$B$52,Z139*Z17*Assumptions!$B$17+Z133*(Assumptions!$B$163*MAX(0,Assumptions!$B$167-Assumptions!$B$18)+Assumptions!$B$164*MAX(0,Assumptions!$B$168-Assumptions!$B$18)+Assumptions!$B$165*MAX(0,Assumptions!$B$169-Assumptions!$B$18)+Assumptions!$B$166*MAX(0,Assumptions!$B$170-Assumptions!$B$18))*Assumptions!$B$19/Assumptions!$B$7*Z7+Z134*Assumptions!$B$20/Assumptions!$B$7+Z132*(Assumptions!$B$161*Assumptions!$B$20+Assumptions!$B$162*Assumptions!$B$21)/12/Assumptions!$B$7*Z7,0)</f>
        <v/>
      </c>
      <c r="AA147" s="61">
        <f>IF(AA2&gt;=Assumptions!$B$52,AA139*AA17*Assumptions!$B$17+AA133*(Assumptions!$B$163*MAX(0,Assumptions!$B$167-Assumptions!$B$18)+Assumptions!$B$164*MAX(0,Assumptions!$B$168-Assumptions!$B$18)+Assumptions!$B$165*MAX(0,Assumptions!$B$169-Assumptions!$B$18)+Assumptions!$B$166*MAX(0,Assumptions!$B$170-Assumptions!$B$18))*Assumptions!$B$19/Assumptions!$B$7*AA7+AA134*Assumptions!$B$20/Assumptions!$B$7+AA132*(Assumptions!$B$161*Assumptions!$B$20+Assumptions!$B$162*Assumptions!$B$21)/12/Assumptions!$B$7*AA7,0)</f>
        <v/>
      </c>
      <c r="AB147" s="61">
        <f>IF(AB2&gt;=Assumptions!$B$52,AB139*AB17*Assumptions!$B$17+AB133*(Assumptions!$B$163*MAX(0,Assumptions!$B$167-Assumptions!$B$18)+Assumptions!$B$164*MAX(0,Assumptions!$B$168-Assumptions!$B$18)+Assumptions!$B$165*MAX(0,Assumptions!$B$169-Assumptions!$B$18)+Assumptions!$B$166*MAX(0,Assumptions!$B$170-Assumptions!$B$18))*Assumptions!$B$19/Assumptions!$B$7*AB7+AB134*Assumptions!$B$20/Assumptions!$B$7+AB132*(Assumptions!$B$161*Assumptions!$B$20+Assumptions!$B$162*Assumptions!$B$21)/12/Assumptions!$B$7*AB7,0)</f>
        <v/>
      </c>
      <c r="AC147" s="61">
        <f>IF(AC2&gt;=Assumptions!$B$52,AC139*AC17*Assumptions!$B$17+AC133*(Assumptions!$B$163*MAX(0,Assumptions!$B$167-Assumptions!$B$18)+Assumptions!$B$164*MAX(0,Assumptions!$B$168-Assumptions!$B$18)+Assumptions!$B$165*MAX(0,Assumptions!$B$169-Assumptions!$B$18)+Assumptions!$B$166*MAX(0,Assumptions!$B$170-Assumptions!$B$18))*Assumptions!$B$19/Assumptions!$B$7*AC7+AC134*Assumptions!$B$20/Assumptions!$B$7+AC132*(Assumptions!$B$161*Assumptions!$B$20+Assumptions!$B$162*Assumptions!$B$21)/12/Assumptions!$B$7*AC7,0)</f>
        <v/>
      </c>
      <c r="AD147" s="61">
        <f>IF(AD2&gt;=Assumptions!$B$52,AD139*AD17*Assumptions!$B$17+AD133*(Assumptions!$B$163*MAX(0,Assumptions!$B$167-Assumptions!$B$18)+Assumptions!$B$164*MAX(0,Assumptions!$B$168-Assumptions!$B$18)+Assumptions!$B$165*MAX(0,Assumptions!$B$169-Assumptions!$B$18)+Assumptions!$B$166*MAX(0,Assumptions!$B$170-Assumptions!$B$18))*Assumptions!$B$19/Assumptions!$B$7*AD7+AD134*Assumptions!$B$20/Assumptions!$B$7+AD132*(Assumptions!$B$161*Assumptions!$B$20+Assumptions!$B$162*Assumptions!$B$21)/12/Assumptions!$B$7*AD7,0)</f>
        <v/>
      </c>
      <c r="AE147" s="61">
        <f>IF(AE2&gt;=Assumptions!$B$52,AE139*AE17*Assumptions!$B$17+AE133*(Assumptions!$B$163*MAX(0,Assumptions!$B$167-Assumptions!$B$18)+Assumptions!$B$164*MAX(0,Assumptions!$B$168-Assumptions!$B$18)+Assumptions!$B$165*MAX(0,Assumptions!$B$169-Assumptions!$B$18)+Assumptions!$B$166*MAX(0,Assumptions!$B$170-Assumptions!$B$18))*Assumptions!$B$19/Assumptions!$B$7*AE7+AE134*Assumptions!$B$20/Assumptions!$B$7+AE132*(Assumptions!$B$161*Assumptions!$B$20+Assumptions!$B$162*Assumptions!$B$21)/12/Assumptions!$B$7*AE7,0)</f>
        <v/>
      </c>
    </row>
    <row r="148">
      <c r="A148" s="6" t="inlineStr">
        <is>
          <t xml:space="preserve">  Average drawn balance outstanding</t>
        </is>
      </c>
      <c r="B148" s="23" t="inlineStr">
        <is>
          <t>USD</t>
        </is>
      </c>
      <c r="C148" s="61">
        <f>IF(C2&gt;=Assumptions!$B$53,C132*C135*(1-Assumptions!$B$227)*Assumptions!$B$171*Assumptions!$B$172,0)</f>
        <v/>
      </c>
      <c r="D148" s="61">
        <f>IF(D2&gt;=Assumptions!$B$53,D132*D135*(1-Assumptions!$B$227)*Assumptions!$B$171*Assumptions!$B$172,0)</f>
        <v/>
      </c>
      <c r="E148" s="61">
        <f>IF(E2&gt;=Assumptions!$B$53,E132*E135*(1-Assumptions!$B$227)*Assumptions!$B$171*Assumptions!$B$172,0)</f>
        <v/>
      </c>
      <c r="F148" s="61">
        <f>IF(F2&gt;=Assumptions!$B$53,F132*F135*(1-Assumptions!$B$227)*Assumptions!$B$171*Assumptions!$B$172,0)</f>
        <v/>
      </c>
      <c r="G148" s="61">
        <f>IF(G2&gt;=Assumptions!$B$53,G132*G135*(1-Assumptions!$B$227)*Assumptions!$B$171*Assumptions!$B$172,0)</f>
        <v/>
      </c>
      <c r="H148" s="61">
        <f>IF(H2&gt;=Assumptions!$B$53,H132*H135*(1-Assumptions!$B$227)*Assumptions!$B$171*Assumptions!$B$172,0)</f>
        <v/>
      </c>
      <c r="I148" s="61">
        <f>IF(I2&gt;=Assumptions!$B$53,I132*I135*(1-Assumptions!$B$227)*Assumptions!$B$171*Assumptions!$B$172,0)</f>
        <v/>
      </c>
      <c r="J148" s="61">
        <f>IF(J2&gt;=Assumptions!$B$53,J132*J135*(1-Assumptions!$B$227)*Assumptions!$B$171*Assumptions!$B$172,0)</f>
        <v/>
      </c>
      <c r="K148" s="61">
        <f>IF(K2&gt;=Assumptions!$B$53,K132*K135*(1-Assumptions!$B$227)*Assumptions!$B$171*Assumptions!$B$172,0)</f>
        <v/>
      </c>
      <c r="L148" s="61">
        <f>IF(L2&gt;=Assumptions!$B$53,L132*L135*(1-Assumptions!$B$227)*Assumptions!$B$171*Assumptions!$B$172,0)</f>
        <v/>
      </c>
      <c r="M148" s="61">
        <f>IF(M2&gt;=Assumptions!$B$53,M132*M135*(1-Assumptions!$B$227)*Assumptions!$B$171*Assumptions!$B$172,0)</f>
        <v/>
      </c>
      <c r="N148" s="61">
        <f>IF(N2&gt;=Assumptions!$B$53,N132*N135*(1-Assumptions!$B$227)*Assumptions!$B$171*Assumptions!$B$172,0)</f>
        <v/>
      </c>
      <c r="O148" s="61">
        <f>IF(O2&gt;=Assumptions!$B$53,O132*O135*(1-Assumptions!$B$227)*Assumptions!$B$171*Assumptions!$B$172,0)</f>
        <v/>
      </c>
      <c r="P148" s="61">
        <f>IF(P2&gt;=Assumptions!$B$53,P132*P135*(1-Assumptions!$B$227)*Assumptions!$B$171*Assumptions!$B$172,0)</f>
        <v/>
      </c>
      <c r="Q148" s="61">
        <f>IF(Q2&gt;=Assumptions!$B$53,Q132*Q135*(1-Assumptions!$B$227)*Assumptions!$B$171*Assumptions!$B$172,0)</f>
        <v/>
      </c>
      <c r="R148" s="61">
        <f>IF(R2&gt;=Assumptions!$B$53,R132*R135*(1-Assumptions!$B$227)*Assumptions!$B$171*Assumptions!$B$172,0)</f>
        <v/>
      </c>
      <c r="S148" s="61">
        <f>IF(S2&gt;=Assumptions!$B$53,S132*S135*(1-Assumptions!$B$227)*Assumptions!$B$171*Assumptions!$B$172,0)</f>
        <v/>
      </c>
      <c r="T148" s="61">
        <f>IF(T2&gt;=Assumptions!$B$53,T132*T135*(1-Assumptions!$B$227)*Assumptions!$B$171*Assumptions!$B$172,0)</f>
        <v/>
      </c>
      <c r="U148" s="61">
        <f>IF(U2&gt;=Assumptions!$B$53,U132*U135*(1-Assumptions!$B$227)*Assumptions!$B$171*Assumptions!$B$172,0)</f>
        <v/>
      </c>
      <c r="V148" s="61">
        <f>IF(V2&gt;=Assumptions!$B$53,V132*V135*(1-Assumptions!$B$227)*Assumptions!$B$171*Assumptions!$B$172,0)</f>
        <v/>
      </c>
      <c r="W148" s="61">
        <f>IF(W2&gt;=Assumptions!$B$53,W132*W135*(1-Assumptions!$B$227)*Assumptions!$B$171*Assumptions!$B$172,0)</f>
        <v/>
      </c>
      <c r="X148" s="61">
        <f>IF(X2&gt;=Assumptions!$B$53,X132*X135*(1-Assumptions!$B$227)*Assumptions!$B$171*Assumptions!$B$172,0)</f>
        <v/>
      </c>
      <c r="Y148" s="61">
        <f>IF(Y2&gt;=Assumptions!$B$53,Y132*Y135*(1-Assumptions!$B$227)*Assumptions!$B$171*Assumptions!$B$172,0)</f>
        <v/>
      </c>
      <c r="Z148" s="61">
        <f>IF(Z2&gt;=Assumptions!$B$53,Z132*Z135*(1-Assumptions!$B$227)*Assumptions!$B$171*Assumptions!$B$172,0)</f>
        <v/>
      </c>
      <c r="AA148" s="61">
        <f>IF(AA2&gt;=Assumptions!$B$53,AA132*AA135*(1-Assumptions!$B$227)*Assumptions!$B$171*Assumptions!$B$172,0)</f>
        <v/>
      </c>
      <c r="AB148" s="61">
        <f>IF(AB2&gt;=Assumptions!$B$53,AB132*AB135*(1-Assumptions!$B$227)*Assumptions!$B$171*Assumptions!$B$172,0)</f>
        <v/>
      </c>
      <c r="AC148" s="61">
        <f>IF(AC2&gt;=Assumptions!$B$53,AC132*AC135*(1-Assumptions!$B$227)*Assumptions!$B$171*Assumptions!$B$172,0)</f>
        <v/>
      </c>
      <c r="AD148" s="61">
        <f>IF(AD2&gt;=Assumptions!$B$53,AD132*AD135*(1-Assumptions!$B$227)*Assumptions!$B$171*Assumptions!$B$172,0)</f>
        <v/>
      </c>
      <c r="AE148" s="61">
        <f>IF(AE2&gt;=Assumptions!$B$53,AE132*AE135*(1-Assumptions!$B$227)*Assumptions!$B$171*Assumptions!$B$172,0)</f>
        <v/>
      </c>
    </row>
    <row r="149">
      <c r="A149" s="6" t="inlineStr">
        <is>
          <t xml:space="preserve">  Stream 5 - Lending revenue share</t>
        </is>
      </c>
      <c r="B149" s="23" t="inlineStr">
        <is>
          <t>USD</t>
        </is>
      </c>
      <c r="C149" s="61">
        <f>IF(C2&gt;=Assumptions!$B$53,(C148*Assumptions!$B$29*Assumptions!$B$30+C133*C136*(1-Assumptions!$B$227)*Assumptions!$B$27*Assumptions!$B$28)*C7/12,0)</f>
        <v/>
      </c>
      <c r="D149" s="61">
        <f>IF(D2&gt;=Assumptions!$B$53,(D148*Assumptions!$B$29*Assumptions!$B$30+D133*D136*(1-Assumptions!$B$227)*Assumptions!$B$27*Assumptions!$B$28)*D7/12,0)</f>
        <v/>
      </c>
      <c r="E149" s="61">
        <f>IF(E2&gt;=Assumptions!$B$53,(E148*Assumptions!$B$29*Assumptions!$B$30+E133*E136*(1-Assumptions!$B$227)*Assumptions!$B$27*Assumptions!$B$28)*E7/12,0)</f>
        <v/>
      </c>
      <c r="F149" s="61">
        <f>IF(F2&gt;=Assumptions!$B$53,(F148*Assumptions!$B$29*Assumptions!$B$30+F133*F136*(1-Assumptions!$B$227)*Assumptions!$B$27*Assumptions!$B$28)*F7/12,0)</f>
        <v/>
      </c>
      <c r="G149" s="61">
        <f>IF(G2&gt;=Assumptions!$B$53,(G148*Assumptions!$B$29*Assumptions!$B$30+G133*G136*(1-Assumptions!$B$227)*Assumptions!$B$27*Assumptions!$B$28)*G7/12,0)</f>
        <v/>
      </c>
      <c r="H149" s="61">
        <f>IF(H2&gt;=Assumptions!$B$53,(H148*Assumptions!$B$29*Assumptions!$B$30+H133*H136*(1-Assumptions!$B$227)*Assumptions!$B$27*Assumptions!$B$28)*H7/12,0)</f>
        <v/>
      </c>
      <c r="I149" s="61">
        <f>IF(I2&gt;=Assumptions!$B$53,(I148*Assumptions!$B$29*Assumptions!$B$30+I133*I136*(1-Assumptions!$B$227)*Assumptions!$B$27*Assumptions!$B$28)*I7/12,0)</f>
        <v/>
      </c>
      <c r="J149" s="61">
        <f>IF(J2&gt;=Assumptions!$B$53,(J148*Assumptions!$B$29*Assumptions!$B$30+J133*J136*(1-Assumptions!$B$227)*Assumptions!$B$27*Assumptions!$B$28)*J7/12,0)</f>
        <v/>
      </c>
      <c r="K149" s="61">
        <f>IF(K2&gt;=Assumptions!$B$53,(K148*Assumptions!$B$29*Assumptions!$B$30+K133*K136*(1-Assumptions!$B$227)*Assumptions!$B$27*Assumptions!$B$28)*K7/12,0)</f>
        <v/>
      </c>
      <c r="L149" s="61">
        <f>IF(L2&gt;=Assumptions!$B$53,(L148*Assumptions!$B$29*Assumptions!$B$30+L133*L136*(1-Assumptions!$B$227)*Assumptions!$B$27*Assumptions!$B$28)*L7/12,0)</f>
        <v/>
      </c>
      <c r="M149" s="61">
        <f>IF(M2&gt;=Assumptions!$B$53,(M148*Assumptions!$B$29*Assumptions!$B$30+M133*M136*(1-Assumptions!$B$227)*Assumptions!$B$27*Assumptions!$B$28)*M7/12,0)</f>
        <v/>
      </c>
      <c r="N149" s="61">
        <f>IF(N2&gt;=Assumptions!$B$53,(N148*Assumptions!$B$29*Assumptions!$B$30+N133*N136*(1-Assumptions!$B$227)*Assumptions!$B$27*Assumptions!$B$28)*N7/12,0)</f>
        <v/>
      </c>
      <c r="O149" s="61">
        <f>IF(O2&gt;=Assumptions!$B$53,(O148*Assumptions!$B$29*Assumptions!$B$30+O133*O136*(1-Assumptions!$B$227)*Assumptions!$B$27*Assumptions!$B$28)*O7/12,0)</f>
        <v/>
      </c>
      <c r="P149" s="61">
        <f>IF(P2&gt;=Assumptions!$B$53,(P148*Assumptions!$B$29*Assumptions!$B$30+P133*P136*(1-Assumptions!$B$227)*Assumptions!$B$27*Assumptions!$B$28)*P7/12,0)</f>
        <v/>
      </c>
      <c r="Q149" s="61">
        <f>IF(Q2&gt;=Assumptions!$B$53,(Q148*Assumptions!$B$29*Assumptions!$B$30+Q133*Q136*(1-Assumptions!$B$227)*Assumptions!$B$27*Assumptions!$B$28)*Q7/12,0)</f>
        <v/>
      </c>
      <c r="R149" s="61">
        <f>IF(R2&gt;=Assumptions!$B$53,(R148*Assumptions!$B$29*Assumptions!$B$30+R133*R136*(1-Assumptions!$B$227)*Assumptions!$B$27*Assumptions!$B$28)*R7/12,0)</f>
        <v/>
      </c>
      <c r="S149" s="61">
        <f>IF(S2&gt;=Assumptions!$B$53,(S148*Assumptions!$B$29*Assumptions!$B$30+S133*S136*(1-Assumptions!$B$227)*Assumptions!$B$27*Assumptions!$B$28)*S7/12,0)</f>
        <v/>
      </c>
      <c r="T149" s="61">
        <f>IF(T2&gt;=Assumptions!$B$53,(T148*Assumptions!$B$29*Assumptions!$B$30+T133*T136*(1-Assumptions!$B$227)*Assumptions!$B$27*Assumptions!$B$28)*T7/12,0)</f>
        <v/>
      </c>
      <c r="U149" s="61">
        <f>IF(U2&gt;=Assumptions!$B$53,(U148*Assumptions!$B$29*Assumptions!$B$30+U133*U136*(1-Assumptions!$B$227)*Assumptions!$B$27*Assumptions!$B$28)*U7/12,0)</f>
        <v/>
      </c>
      <c r="V149" s="61">
        <f>IF(V2&gt;=Assumptions!$B$53,(V148*Assumptions!$B$29*Assumptions!$B$30+V133*V136*(1-Assumptions!$B$227)*Assumptions!$B$27*Assumptions!$B$28)*V7/12,0)</f>
        <v/>
      </c>
      <c r="W149" s="61">
        <f>IF(W2&gt;=Assumptions!$B$53,(W148*Assumptions!$B$29*Assumptions!$B$30+W133*W136*(1-Assumptions!$B$227)*Assumptions!$B$27*Assumptions!$B$28)*W7/12,0)</f>
        <v/>
      </c>
      <c r="X149" s="61">
        <f>IF(X2&gt;=Assumptions!$B$53,(X148*Assumptions!$B$29*Assumptions!$B$30+X133*X136*(1-Assumptions!$B$227)*Assumptions!$B$27*Assumptions!$B$28)*X7/12,0)</f>
        <v/>
      </c>
      <c r="Y149" s="61">
        <f>IF(Y2&gt;=Assumptions!$B$53,(Y148*Assumptions!$B$29*Assumptions!$B$30+Y133*Y136*(1-Assumptions!$B$227)*Assumptions!$B$27*Assumptions!$B$28)*Y7/12,0)</f>
        <v/>
      </c>
      <c r="Z149" s="61">
        <f>IF(Z2&gt;=Assumptions!$B$53,(Z148*Assumptions!$B$29*Assumptions!$B$30+Z133*Z136*(1-Assumptions!$B$227)*Assumptions!$B$27*Assumptions!$B$28)*Z7/12,0)</f>
        <v/>
      </c>
      <c r="AA149" s="61">
        <f>IF(AA2&gt;=Assumptions!$B$53,(AA148*Assumptions!$B$29*Assumptions!$B$30+AA133*AA136*(1-Assumptions!$B$227)*Assumptions!$B$27*Assumptions!$B$28)*AA7/12,0)</f>
        <v/>
      </c>
      <c r="AB149" s="61">
        <f>IF(AB2&gt;=Assumptions!$B$53,(AB148*Assumptions!$B$29*Assumptions!$B$30+AB133*AB136*(1-Assumptions!$B$227)*Assumptions!$B$27*Assumptions!$B$28)*AB7/12,0)</f>
        <v/>
      </c>
      <c r="AC149" s="61">
        <f>IF(AC2&gt;=Assumptions!$B$53,(AC148*Assumptions!$B$29*Assumptions!$B$30+AC133*AC136*(1-Assumptions!$B$227)*Assumptions!$B$27*Assumptions!$B$28)*AC7/12,0)</f>
        <v/>
      </c>
      <c r="AD149" s="61">
        <f>IF(AD2&gt;=Assumptions!$B$53,(AD148*Assumptions!$B$29*Assumptions!$B$30+AD133*AD136*(1-Assumptions!$B$227)*Assumptions!$B$27*Assumptions!$B$28)*AD7/12,0)</f>
        <v/>
      </c>
      <c r="AE149" s="61">
        <f>IF(AE2&gt;=Assumptions!$B$53,(AE148*Assumptions!$B$29*Assumptions!$B$30+AE133*AE136*(1-Assumptions!$B$227)*Assumptions!$B$27*Assumptions!$B$28)*AE7/12,0)</f>
        <v/>
      </c>
    </row>
    <row r="150">
      <c r="A150" s="6" t="inlineStr">
        <is>
          <t xml:space="preserve">  Redemption events (memo - drives cost, not revenue)</t>
        </is>
      </c>
      <c r="B150" s="23" t="inlineStr">
        <is>
          <t>events</t>
        </is>
      </c>
      <c r="C150" s="50">
        <f>IF(C2&gt;=Assumptions!$B$49,(C118+C120*Assumptions!$B$153)*Assumptions!$B$152*C7/12,0)</f>
        <v/>
      </c>
      <c r="D150" s="50">
        <f>IF(D2&gt;=Assumptions!$B$49,(D118+D120*Assumptions!$B$153)*Assumptions!$B$152*D7/12,0)</f>
        <v/>
      </c>
      <c r="E150" s="50">
        <f>IF(E2&gt;=Assumptions!$B$49,(E118+E120*Assumptions!$B$153)*Assumptions!$B$152*E7/12,0)</f>
        <v/>
      </c>
      <c r="F150" s="50">
        <f>IF(F2&gt;=Assumptions!$B$49,(F118+F120*Assumptions!$B$153)*Assumptions!$B$152*F7/12,0)</f>
        <v/>
      </c>
      <c r="G150" s="50">
        <f>IF(G2&gt;=Assumptions!$B$49,(G118+G120*Assumptions!$B$153)*Assumptions!$B$152*G7/12,0)</f>
        <v/>
      </c>
      <c r="H150" s="50">
        <f>IF(H2&gt;=Assumptions!$B$49,(H118+H120*Assumptions!$B$153)*Assumptions!$B$152*H7/12,0)</f>
        <v/>
      </c>
      <c r="I150" s="50">
        <f>IF(I2&gt;=Assumptions!$B$49,(I118+I120*Assumptions!$B$153)*Assumptions!$B$152*I7/12,0)</f>
        <v/>
      </c>
      <c r="J150" s="50">
        <f>IF(J2&gt;=Assumptions!$B$49,(J118+J120*Assumptions!$B$153)*Assumptions!$B$152*J7/12,0)</f>
        <v/>
      </c>
      <c r="K150" s="50">
        <f>IF(K2&gt;=Assumptions!$B$49,(K118+K120*Assumptions!$B$153)*Assumptions!$B$152*K7/12,0)</f>
        <v/>
      </c>
      <c r="L150" s="50">
        <f>IF(L2&gt;=Assumptions!$B$49,(L118+L120*Assumptions!$B$153)*Assumptions!$B$152*L7/12,0)</f>
        <v/>
      </c>
      <c r="M150" s="50">
        <f>IF(M2&gt;=Assumptions!$B$49,(M118+M120*Assumptions!$B$153)*Assumptions!$B$152*M7/12,0)</f>
        <v/>
      </c>
      <c r="N150" s="50">
        <f>IF(N2&gt;=Assumptions!$B$49,(N118+N120*Assumptions!$B$153)*Assumptions!$B$152*N7/12,0)</f>
        <v/>
      </c>
      <c r="O150" s="50">
        <f>IF(O2&gt;=Assumptions!$B$49,(O118+O120*Assumptions!$B$153)*Assumptions!$B$152*O7/12,0)</f>
        <v/>
      </c>
      <c r="P150" s="50">
        <f>IF(P2&gt;=Assumptions!$B$49,(P118+P120*Assumptions!$B$153)*Assumptions!$B$152*P7/12,0)</f>
        <v/>
      </c>
      <c r="Q150" s="50">
        <f>IF(Q2&gt;=Assumptions!$B$49,(Q118+Q120*Assumptions!$B$153)*Assumptions!$B$152*Q7/12,0)</f>
        <v/>
      </c>
      <c r="R150" s="50">
        <f>IF(R2&gt;=Assumptions!$B$49,(R118+R120*Assumptions!$B$153)*Assumptions!$B$152*R7/12,0)</f>
        <v/>
      </c>
      <c r="S150" s="50">
        <f>IF(S2&gt;=Assumptions!$B$49,(S118+S120*Assumptions!$B$153)*Assumptions!$B$152*S7/12,0)</f>
        <v/>
      </c>
      <c r="T150" s="50">
        <f>IF(T2&gt;=Assumptions!$B$49,(T118+T120*Assumptions!$B$153)*Assumptions!$B$152*T7/12,0)</f>
        <v/>
      </c>
      <c r="U150" s="50">
        <f>IF(U2&gt;=Assumptions!$B$49,(U118+U120*Assumptions!$B$153)*Assumptions!$B$152*U7/12,0)</f>
        <v/>
      </c>
      <c r="V150" s="50">
        <f>IF(V2&gt;=Assumptions!$B$49,(V118+V120*Assumptions!$B$153)*Assumptions!$B$152*V7/12,0)</f>
        <v/>
      </c>
      <c r="W150" s="50">
        <f>IF(W2&gt;=Assumptions!$B$49,(W118+W120*Assumptions!$B$153)*Assumptions!$B$152*W7/12,0)</f>
        <v/>
      </c>
      <c r="X150" s="50">
        <f>IF(X2&gt;=Assumptions!$B$49,(X118+X120*Assumptions!$B$153)*Assumptions!$B$152*X7/12,0)</f>
        <v/>
      </c>
      <c r="Y150" s="50">
        <f>IF(Y2&gt;=Assumptions!$B$49,(Y118+Y120*Assumptions!$B$153)*Assumptions!$B$152*Y7/12,0)</f>
        <v/>
      </c>
      <c r="Z150" s="50">
        <f>IF(Z2&gt;=Assumptions!$B$49,(Z118+Z120*Assumptions!$B$153)*Assumptions!$B$152*Z7/12,0)</f>
        <v/>
      </c>
      <c r="AA150" s="50">
        <f>IF(AA2&gt;=Assumptions!$B$49,(AA118+AA120*Assumptions!$B$153)*Assumptions!$B$152*AA7/12,0)</f>
        <v/>
      </c>
      <c r="AB150" s="50">
        <f>IF(AB2&gt;=Assumptions!$B$49,(AB118+AB120*Assumptions!$B$153)*Assumptions!$B$152*AB7/12,0)</f>
        <v/>
      </c>
      <c r="AC150" s="50">
        <f>IF(AC2&gt;=Assumptions!$B$49,(AC118+AC120*Assumptions!$B$153)*Assumptions!$B$152*AC7/12,0)</f>
        <v/>
      </c>
      <c r="AD150" s="50">
        <f>IF(AD2&gt;=Assumptions!$B$49,(AD118+AD120*Assumptions!$B$153)*Assumptions!$B$152*AD7/12,0)</f>
        <v/>
      </c>
      <c r="AE150" s="50">
        <f>IF(AE2&gt;=Assumptions!$B$49,(AE118+AE120*Assumptions!$B$153)*Assumptions!$B$152*AE7/12,0)</f>
        <v/>
      </c>
    </row>
    <row r="151">
      <c r="A151" s="3" t="inlineStr">
        <is>
          <t xml:space="preserve">  SUBTOTAL - India</t>
        </is>
      </c>
      <c r="B151" s="23" t="inlineStr">
        <is>
          <t>USD</t>
        </is>
      </c>
      <c r="C151" s="63">
        <f>C142+C143+C144+C146+C147+C149</f>
        <v/>
      </c>
      <c r="D151" s="63">
        <f>D142+D143+D144+D146+D147+D149</f>
        <v/>
      </c>
      <c r="E151" s="63">
        <f>E142+E143+E144+E146+E147+E149</f>
        <v/>
      </c>
      <c r="F151" s="63">
        <f>F142+F143+F144+F146+F147+F149</f>
        <v/>
      </c>
      <c r="G151" s="63">
        <f>G142+G143+G144+G146+G147+G149</f>
        <v/>
      </c>
      <c r="H151" s="63">
        <f>H142+H143+H144+H146+H147+H149</f>
        <v/>
      </c>
      <c r="I151" s="63">
        <f>I142+I143+I144+I146+I147+I149</f>
        <v/>
      </c>
      <c r="J151" s="63">
        <f>J142+J143+J144+J146+J147+J149</f>
        <v/>
      </c>
      <c r="K151" s="63">
        <f>K142+K143+K144+K146+K147+K149</f>
        <v/>
      </c>
      <c r="L151" s="63">
        <f>L142+L143+L144+L146+L147+L149</f>
        <v/>
      </c>
      <c r="M151" s="63">
        <f>M142+M143+M144+M146+M147+M149</f>
        <v/>
      </c>
      <c r="N151" s="63">
        <f>N142+N143+N144+N146+N147+N149</f>
        <v/>
      </c>
      <c r="O151" s="63">
        <f>O142+O143+O144+O146+O147+O149</f>
        <v/>
      </c>
      <c r="P151" s="63">
        <f>P142+P143+P144+P146+P147+P149</f>
        <v/>
      </c>
      <c r="Q151" s="63">
        <f>Q142+Q143+Q144+Q146+Q147+Q149</f>
        <v/>
      </c>
      <c r="R151" s="63">
        <f>R142+R143+R144+R146+R147+R149</f>
        <v/>
      </c>
      <c r="S151" s="63">
        <f>S142+S143+S144+S146+S147+S149</f>
        <v/>
      </c>
      <c r="T151" s="63">
        <f>T142+T143+T144+T146+T147+T149</f>
        <v/>
      </c>
      <c r="U151" s="63">
        <f>U142+U143+U144+U146+U147+U149</f>
        <v/>
      </c>
      <c r="V151" s="63">
        <f>V142+V143+V144+V146+V147+V149</f>
        <v/>
      </c>
      <c r="W151" s="63">
        <f>W142+W143+W144+W146+W147+W149</f>
        <v/>
      </c>
      <c r="X151" s="63">
        <f>X142+X143+X144+X146+X147+X149</f>
        <v/>
      </c>
      <c r="Y151" s="63">
        <f>Y142+Y143+Y144+Y146+Y147+Y149</f>
        <v/>
      </c>
      <c r="Z151" s="63">
        <f>Z142+Z143+Z144+Z146+Z147+Z149</f>
        <v/>
      </c>
      <c r="AA151" s="63">
        <f>AA142+AA143+AA144+AA146+AA147+AA149</f>
        <v/>
      </c>
      <c r="AB151" s="63">
        <f>AB142+AB143+AB144+AB146+AB147+AB149</f>
        <v/>
      </c>
      <c r="AC151" s="63">
        <f>AC142+AC143+AC144+AC146+AC147+AC149</f>
        <v/>
      </c>
      <c r="AD151" s="63">
        <f>AD142+AD143+AD144+AD146+AD147+AD149</f>
        <v/>
      </c>
      <c r="AE151" s="63">
        <f>AE142+AE143+AE144+AE146+AE147+AE149</f>
        <v/>
      </c>
    </row>
    <row r="153">
      <c r="A153" s="51" t="inlineStr">
        <is>
          <t>NON-REGIONAL</t>
        </is>
      </c>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row>
    <row r="154">
      <c r="A154" s="6" t="inlineStr">
        <is>
          <t xml:space="preserve">  Partner AUM</t>
        </is>
      </c>
      <c r="B154" s="23" t="inlineStr">
        <is>
          <t>USD</t>
        </is>
      </c>
      <c r="C154" s="65">
        <f>IF(C2&gt;=Assumptions!$B$54,INDEX(Assumptions!$B$178:$B$184,C5)*Assumptions!$B$189,0)</f>
        <v/>
      </c>
      <c r="D154" s="65">
        <f>IF(D2&gt;=Assumptions!$B$54,INDEX(Assumptions!$B$178:$B$184,D5)*Assumptions!$B$189,0)</f>
        <v/>
      </c>
      <c r="E154" s="65">
        <f>IF(E2&gt;=Assumptions!$B$54,INDEX(Assumptions!$B$178:$B$184,E5)*Assumptions!$B$189,0)</f>
        <v/>
      </c>
      <c r="F154" s="65">
        <f>IF(F2&gt;=Assumptions!$B$54,INDEX(Assumptions!$B$178:$B$184,F5)*Assumptions!$B$189,0)</f>
        <v/>
      </c>
      <c r="G154" s="65">
        <f>IF(G2&gt;=Assumptions!$B$54,INDEX(Assumptions!$B$178:$B$184,G5)*Assumptions!$B$189,0)</f>
        <v/>
      </c>
      <c r="H154" s="65">
        <f>IF(H2&gt;=Assumptions!$B$54,INDEX(Assumptions!$B$178:$B$184,H5)*Assumptions!$B$189,0)</f>
        <v/>
      </c>
      <c r="I154" s="65">
        <f>IF(I2&gt;=Assumptions!$B$54,INDEX(Assumptions!$B$178:$B$184,I5)*Assumptions!$B$189,0)</f>
        <v/>
      </c>
      <c r="J154" s="65">
        <f>IF(J2&gt;=Assumptions!$B$54,INDEX(Assumptions!$B$178:$B$184,J5)*Assumptions!$B$189,0)</f>
        <v/>
      </c>
      <c r="K154" s="65">
        <f>IF(K2&gt;=Assumptions!$B$54,INDEX(Assumptions!$B$178:$B$184,K5)*Assumptions!$B$189,0)</f>
        <v/>
      </c>
      <c r="L154" s="65">
        <f>IF(L2&gt;=Assumptions!$B$54,INDEX(Assumptions!$B$178:$B$184,L5)*Assumptions!$B$189,0)</f>
        <v/>
      </c>
      <c r="M154" s="65">
        <f>IF(M2&gt;=Assumptions!$B$54,INDEX(Assumptions!$B$178:$B$184,M5)*Assumptions!$B$189,0)</f>
        <v/>
      </c>
      <c r="N154" s="65">
        <f>IF(N2&gt;=Assumptions!$B$54,INDEX(Assumptions!$B$178:$B$184,N5)*Assumptions!$B$189,0)</f>
        <v/>
      </c>
      <c r="O154" s="65">
        <f>IF(O2&gt;=Assumptions!$B$54,INDEX(Assumptions!$B$178:$B$184,O5)*Assumptions!$B$189,0)</f>
        <v/>
      </c>
      <c r="P154" s="65">
        <f>IF(P2&gt;=Assumptions!$B$54,INDEX(Assumptions!$B$178:$B$184,P5)*Assumptions!$B$189,0)</f>
        <v/>
      </c>
      <c r="Q154" s="65">
        <f>IF(Q2&gt;=Assumptions!$B$54,INDEX(Assumptions!$B$178:$B$184,Q5)*Assumptions!$B$189,0)</f>
        <v/>
      </c>
      <c r="R154" s="65">
        <f>IF(R2&gt;=Assumptions!$B$54,INDEX(Assumptions!$B$178:$B$184,R5)*Assumptions!$B$189,0)</f>
        <v/>
      </c>
      <c r="S154" s="65">
        <f>IF(S2&gt;=Assumptions!$B$54,INDEX(Assumptions!$B$178:$B$184,S5)*Assumptions!$B$189,0)</f>
        <v/>
      </c>
      <c r="T154" s="65">
        <f>IF(T2&gt;=Assumptions!$B$54,INDEX(Assumptions!$B$178:$B$184,T5)*Assumptions!$B$189,0)</f>
        <v/>
      </c>
      <c r="U154" s="65">
        <f>IF(U2&gt;=Assumptions!$B$54,INDEX(Assumptions!$B$178:$B$184,U5)*Assumptions!$B$189,0)</f>
        <v/>
      </c>
      <c r="V154" s="65">
        <f>IF(V2&gt;=Assumptions!$B$54,INDEX(Assumptions!$B$178:$B$184,V5)*Assumptions!$B$189,0)</f>
        <v/>
      </c>
      <c r="W154" s="65">
        <f>IF(W2&gt;=Assumptions!$B$54,INDEX(Assumptions!$B$178:$B$184,W5)*Assumptions!$B$189,0)</f>
        <v/>
      </c>
      <c r="X154" s="65">
        <f>IF(X2&gt;=Assumptions!$B$54,INDEX(Assumptions!$B$178:$B$184,X5)*Assumptions!$B$189,0)</f>
        <v/>
      </c>
      <c r="Y154" s="65">
        <f>IF(Y2&gt;=Assumptions!$B$54,INDEX(Assumptions!$B$178:$B$184,Y5)*Assumptions!$B$189,0)</f>
        <v/>
      </c>
      <c r="Z154" s="65">
        <f>IF(Z2&gt;=Assumptions!$B$54,INDEX(Assumptions!$B$178:$B$184,Z5)*Assumptions!$B$189,0)</f>
        <v/>
      </c>
      <c r="AA154" s="65">
        <f>IF(AA2&gt;=Assumptions!$B$54,INDEX(Assumptions!$B$178:$B$184,AA5)*Assumptions!$B$189,0)</f>
        <v/>
      </c>
      <c r="AB154" s="65">
        <f>IF(AB2&gt;=Assumptions!$B$54,INDEX(Assumptions!$B$178:$B$184,AB5)*Assumptions!$B$189,0)</f>
        <v/>
      </c>
      <c r="AC154" s="65">
        <f>IF(AC2&gt;=Assumptions!$B$54,INDEX(Assumptions!$B$178:$B$184,AC5)*Assumptions!$B$189,0)</f>
        <v/>
      </c>
      <c r="AD154" s="65">
        <f>IF(AD2&gt;=Assumptions!$B$54,INDEX(Assumptions!$B$178:$B$184,AD5)*Assumptions!$B$189,0)</f>
        <v/>
      </c>
      <c r="AE154" s="65">
        <f>IF(AE2&gt;=Assumptions!$B$54,INDEX(Assumptions!$B$178:$B$184,AE5)*Assumptions!$B$189,0)</f>
        <v/>
      </c>
    </row>
    <row r="155">
      <c r="A155" s="6" t="inlineStr">
        <is>
          <t>Stream 6 - B2B platform fee</t>
        </is>
      </c>
      <c r="B155" s="23" t="inlineStr">
        <is>
          <t>USD</t>
        </is>
      </c>
      <c r="C155" s="63">
        <f>C154*Assumptions!$B$185*C7/12</f>
        <v/>
      </c>
      <c r="D155" s="63">
        <f>D154*Assumptions!$B$185*D7/12</f>
        <v/>
      </c>
      <c r="E155" s="63">
        <f>E154*Assumptions!$B$185*E7/12</f>
        <v/>
      </c>
      <c r="F155" s="63">
        <f>F154*Assumptions!$B$185*F7/12</f>
        <v/>
      </c>
      <c r="G155" s="63">
        <f>G154*Assumptions!$B$185*G7/12</f>
        <v/>
      </c>
      <c r="H155" s="63">
        <f>H154*Assumptions!$B$185*H7/12</f>
        <v/>
      </c>
      <c r="I155" s="63">
        <f>I154*Assumptions!$B$185*I7/12</f>
        <v/>
      </c>
      <c r="J155" s="63">
        <f>J154*Assumptions!$B$185*J7/12</f>
        <v/>
      </c>
      <c r="K155" s="63">
        <f>K154*Assumptions!$B$185*K7/12</f>
        <v/>
      </c>
      <c r="L155" s="63">
        <f>L154*Assumptions!$B$185*L7/12</f>
        <v/>
      </c>
      <c r="M155" s="63">
        <f>M154*Assumptions!$B$185*M7/12</f>
        <v/>
      </c>
      <c r="N155" s="63">
        <f>N154*Assumptions!$B$185*N7/12</f>
        <v/>
      </c>
      <c r="O155" s="63">
        <f>O154*Assumptions!$B$185*O7/12</f>
        <v/>
      </c>
      <c r="P155" s="63">
        <f>P154*Assumptions!$B$185*P7/12</f>
        <v/>
      </c>
      <c r="Q155" s="63">
        <f>Q154*Assumptions!$B$185*Q7/12</f>
        <v/>
      </c>
      <c r="R155" s="63">
        <f>R154*Assumptions!$B$185*R7/12</f>
        <v/>
      </c>
      <c r="S155" s="63">
        <f>S154*Assumptions!$B$185*S7/12</f>
        <v/>
      </c>
      <c r="T155" s="63">
        <f>T154*Assumptions!$B$185*T7/12</f>
        <v/>
      </c>
      <c r="U155" s="63">
        <f>U154*Assumptions!$B$185*U7/12</f>
        <v/>
      </c>
      <c r="V155" s="63">
        <f>V154*Assumptions!$B$185*V7/12</f>
        <v/>
      </c>
      <c r="W155" s="63">
        <f>W154*Assumptions!$B$185*W7/12</f>
        <v/>
      </c>
      <c r="X155" s="63">
        <f>X154*Assumptions!$B$185*X7/12</f>
        <v/>
      </c>
      <c r="Y155" s="63">
        <f>Y154*Assumptions!$B$185*Y7/12</f>
        <v/>
      </c>
      <c r="Z155" s="63">
        <f>Z154*Assumptions!$B$185*Z7/12</f>
        <v/>
      </c>
      <c r="AA155" s="63">
        <f>AA154*Assumptions!$B$185*AA7/12</f>
        <v/>
      </c>
      <c r="AB155" s="63">
        <f>AB154*Assumptions!$B$185*AB7/12</f>
        <v/>
      </c>
      <c r="AC155" s="63">
        <f>AC154*Assumptions!$B$185*AC7/12</f>
        <v/>
      </c>
      <c r="AD155" s="63">
        <f>AD154*Assumptions!$B$185*AD7/12</f>
        <v/>
      </c>
      <c r="AE155" s="63">
        <f>AE154*Assumptions!$B$185*AE7/12</f>
        <v/>
      </c>
    </row>
    <row r="156">
      <c r="A156" s="9" t="inlineStr">
        <is>
          <t>Stream 6 is NOT regional: partners are institutions with their own customer books, not retail customers of a region. It is reported separately rather than allocated, because any allocation would be invented.</t>
        </is>
      </c>
    </row>
    <row r="158">
      <c r="A158" s="51" t="inlineStr">
        <is>
          <t>WHOLE-BOOK TOTALS</t>
        </is>
      </c>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row>
    <row r="159">
      <c r="A159" s="3" t="inlineStr">
        <is>
          <t>PAYING CUSTOMERS</t>
        </is>
      </c>
      <c r="B159" s="23" t="inlineStr">
        <is>
          <t>-</t>
        </is>
      </c>
      <c r="C159" s="50">
        <f>C32+C75+C118</f>
        <v/>
      </c>
      <c r="D159" s="50">
        <f>D32+D75+D118</f>
        <v/>
      </c>
      <c r="E159" s="50">
        <f>E32+E75+E118</f>
        <v/>
      </c>
      <c r="F159" s="50">
        <f>F32+F75+F118</f>
        <v/>
      </c>
      <c r="G159" s="50">
        <f>G32+G75+G118</f>
        <v/>
      </c>
      <c r="H159" s="50">
        <f>H32+H75+H118</f>
        <v/>
      </c>
      <c r="I159" s="50">
        <f>I32+I75+I118</f>
        <v/>
      </c>
      <c r="J159" s="50">
        <f>J32+J75+J118</f>
        <v/>
      </c>
      <c r="K159" s="50">
        <f>K32+K75+K118</f>
        <v/>
      </c>
      <c r="L159" s="50">
        <f>L32+L75+L118</f>
        <v/>
      </c>
      <c r="M159" s="50">
        <f>M32+M75+M118</f>
        <v/>
      </c>
      <c r="N159" s="50">
        <f>N32+N75+N118</f>
        <v/>
      </c>
      <c r="O159" s="50">
        <f>O32+O75+O118</f>
        <v/>
      </c>
      <c r="P159" s="50">
        <f>P32+P75+P118</f>
        <v/>
      </c>
      <c r="Q159" s="50">
        <f>Q32+Q75+Q118</f>
        <v/>
      </c>
      <c r="R159" s="50">
        <f>R32+R75+R118</f>
        <v/>
      </c>
      <c r="S159" s="50">
        <f>S32+S75+S118</f>
        <v/>
      </c>
      <c r="T159" s="50">
        <f>T32+T75+T118</f>
        <v/>
      </c>
      <c r="U159" s="50">
        <f>U32+U75+U118</f>
        <v/>
      </c>
      <c r="V159" s="50">
        <f>V32+V75+V118</f>
        <v/>
      </c>
      <c r="W159" s="50">
        <f>W32+W75+W118</f>
        <v/>
      </c>
      <c r="X159" s="50">
        <f>X32+X75+X118</f>
        <v/>
      </c>
      <c r="Y159" s="50">
        <f>Y32+Y75+Y118</f>
        <v/>
      </c>
      <c r="Z159" s="50">
        <f>Z32+Z75+Z118</f>
        <v/>
      </c>
      <c r="AA159" s="50">
        <f>AA32+AA75+AA118</f>
        <v/>
      </c>
      <c r="AB159" s="50">
        <f>AB32+AB75+AB118</f>
        <v/>
      </c>
      <c r="AC159" s="50">
        <f>AC32+AC75+AC118</f>
        <v/>
      </c>
      <c r="AD159" s="50">
        <f>AD32+AD75+AD118</f>
        <v/>
      </c>
      <c r="AE159" s="50">
        <f>AE32+AE75+AE118</f>
        <v/>
      </c>
    </row>
    <row r="160">
      <c r="A160" s="3" t="inlineStr">
        <is>
          <t>HOLDERS (stopped paying, still hold gold)</t>
        </is>
      </c>
      <c r="B160" s="23" t="inlineStr">
        <is>
          <t>-</t>
        </is>
      </c>
      <c r="C160" s="50">
        <f>C34+C77+C120</f>
        <v/>
      </c>
      <c r="D160" s="50">
        <f>D34+D77+D120</f>
        <v/>
      </c>
      <c r="E160" s="50">
        <f>E34+E77+E120</f>
        <v/>
      </c>
      <c r="F160" s="50">
        <f>F34+F77+F120</f>
        <v/>
      </c>
      <c r="G160" s="50">
        <f>G34+G77+G120</f>
        <v/>
      </c>
      <c r="H160" s="50">
        <f>H34+H77+H120</f>
        <v/>
      </c>
      <c r="I160" s="50">
        <f>I34+I77+I120</f>
        <v/>
      </c>
      <c r="J160" s="50">
        <f>J34+J77+J120</f>
        <v/>
      </c>
      <c r="K160" s="50">
        <f>K34+K77+K120</f>
        <v/>
      </c>
      <c r="L160" s="50">
        <f>L34+L77+L120</f>
        <v/>
      </c>
      <c r="M160" s="50">
        <f>M34+M77+M120</f>
        <v/>
      </c>
      <c r="N160" s="50">
        <f>N34+N77+N120</f>
        <v/>
      </c>
      <c r="O160" s="50">
        <f>O34+O77+O120</f>
        <v/>
      </c>
      <c r="P160" s="50">
        <f>P34+P77+P120</f>
        <v/>
      </c>
      <c r="Q160" s="50">
        <f>Q34+Q77+Q120</f>
        <v/>
      </c>
      <c r="R160" s="50">
        <f>R34+R77+R120</f>
        <v/>
      </c>
      <c r="S160" s="50">
        <f>S34+S77+S120</f>
        <v/>
      </c>
      <c r="T160" s="50">
        <f>T34+T77+T120</f>
        <v/>
      </c>
      <c r="U160" s="50">
        <f>U34+U77+U120</f>
        <v/>
      </c>
      <c r="V160" s="50">
        <f>V34+V77+V120</f>
        <v/>
      </c>
      <c r="W160" s="50">
        <f>W34+W77+W120</f>
        <v/>
      </c>
      <c r="X160" s="50">
        <f>X34+X77+X120</f>
        <v/>
      </c>
      <c r="Y160" s="50">
        <f>Y34+Y77+Y120</f>
        <v/>
      </c>
      <c r="Z160" s="50">
        <f>Z34+Z77+Z120</f>
        <v/>
      </c>
      <c r="AA160" s="50">
        <f>AA34+AA77+AA120</f>
        <v/>
      </c>
      <c r="AB160" s="50">
        <f>AB34+AB77+AB120</f>
        <v/>
      </c>
      <c r="AC160" s="50">
        <f>AC34+AC77+AC120</f>
        <v/>
      </c>
      <c r="AD160" s="50">
        <f>AD34+AD77+AD120</f>
        <v/>
      </c>
      <c r="AE160" s="50">
        <f>AE34+AE77+AE120</f>
        <v/>
      </c>
    </row>
    <row r="161">
      <c r="A161" s="6" t="inlineStr">
        <is>
          <t>Cumulative ever acquired</t>
        </is>
      </c>
      <c r="B161" s="23" t="inlineStr">
        <is>
          <t>-</t>
        </is>
      </c>
      <c r="C161" s="50">
        <f>C35+C78+C121</f>
        <v/>
      </c>
      <c r="D161" s="50">
        <f>D35+D78+D121</f>
        <v/>
      </c>
      <c r="E161" s="50">
        <f>E35+E78+E121</f>
        <v/>
      </c>
      <c r="F161" s="50">
        <f>F35+F78+F121</f>
        <v/>
      </c>
      <c r="G161" s="50">
        <f>G35+G78+G121</f>
        <v/>
      </c>
      <c r="H161" s="50">
        <f>H35+H78+H121</f>
        <v/>
      </c>
      <c r="I161" s="50">
        <f>I35+I78+I121</f>
        <v/>
      </c>
      <c r="J161" s="50">
        <f>J35+J78+J121</f>
        <v/>
      </c>
      <c r="K161" s="50">
        <f>K35+K78+K121</f>
        <v/>
      </c>
      <c r="L161" s="50">
        <f>L35+L78+L121</f>
        <v/>
      </c>
      <c r="M161" s="50">
        <f>M35+M78+M121</f>
        <v/>
      </c>
      <c r="N161" s="50">
        <f>N35+N78+N121</f>
        <v/>
      </c>
      <c r="O161" s="50">
        <f>O35+O78+O121</f>
        <v/>
      </c>
      <c r="P161" s="50">
        <f>P35+P78+P121</f>
        <v/>
      </c>
      <c r="Q161" s="50">
        <f>Q35+Q78+Q121</f>
        <v/>
      </c>
      <c r="R161" s="50">
        <f>R35+R78+R121</f>
        <v/>
      </c>
      <c r="S161" s="50">
        <f>S35+S78+S121</f>
        <v/>
      </c>
      <c r="T161" s="50">
        <f>T35+T78+T121</f>
        <v/>
      </c>
      <c r="U161" s="50">
        <f>U35+U78+U121</f>
        <v/>
      </c>
      <c r="V161" s="50">
        <f>V35+V78+V121</f>
        <v/>
      </c>
      <c r="W161" s="50">
        <f>W35+W78+W121</f>
        <v/>
      </c>
      <c r="X161" s="50">
        <f>X35+X78+X121</f>
        <v/>
      </c>
      <c r="Y161" s="50">
        <f>Y35+Y78+Y121</f>
        <v/>
      </c>
      <c r="Z161" s="50">
        <f>Z35+Z78+Z121</f>
        <v/>
      </c>
      <c r="AA161" s="50">
        <f>AA35+AA78+AA121</f>
        <v/>
      </c>
      <c r="AB161" s="50">
        <f>AB35+AB78+AB121</f>
        <v/>
      </c>
      <c r="AC161" s="50">
        <f>AC35+AC78+AC121</f>
        <v/>
      </c>
      <c r="AD161" s="50">
        <f>AD35+AD78+AD121</f>
        <v/>
      </c>
      <c r="AE161" s="50">
        <f>AE35+AE78+AE121</f>
        <v/>
      </c>
    </row>
    <row r="162">
      <c r="A162" s="3" t="inlineStr">
        <is>
          <t>NEW CUSTOMERS</t>
        </is>
      </c>
      <c r="B162" s="23" t="inlineStr">
        <is>
          <t>-</t>
        </is>
      </c>
      <c r="C162" s="50">
        <f>C31+C74+C117</f>
        <v/>
      </c>
      <c r="D162" s="50">
        <f>D31+D74+D117</f>
        <v/>
      </c>
      <c r="E162" s="50">
        <f>E31+E74+E117</f>
        <v/>
      </c>
      <c r="F162" s="50">
        <f>F31+F74+F117</f>
        <v/>
      </c>
      <c r="G162" s="50">
        <f>G31+G74+G117</f>
        <v/>
      </c>
      <c r="H162" s="50">
        <f>H31+H74+H117</f>
        <v/>
      </c>
      <c r="I162" s="50">
        <f>I31+I74+I117</f>
        <v/>
      </c>
      <c r="J162" s="50">
        <f>J31+J74+J117</f>
        <v/>
      </c>
      <c r="K162" s="50">
        <f>K31+K74+K117</f>
        <v/>
      </c>
      <c r="L162" s="50">
        <f>L31+L74+L117</f>
        <v/>
      </c>
      <c r="M162" s="50">
        <f>M31+M74+M117</f>
        <v/>
      </c>
      <c r="N162" s="50">
        <f>N31+N74+N117</f>
        <v/>
      </c>
      <c r="O162" s="50">
        <f>O31+O74+O117</f>
        <v/>
      </c>
      <c r="P162" s="50">
        <f>P31+P74+P117</f>
        <v/>
      </c>
      <c r="Q162" s="50">
        <f>Q31+Q74+Q117</f>
        <v/>
      </c>
      <c r="R162" s="50">
        <f>R31+R74+R117</f>
        <v/>
      </c>
      <c r="S162" s="50">
        <f>S31+S74+S117</f>
        <v/>
      </c>
      <c r="T162" s="50">
        <f>T31+T74+T117</f>
        <v/>
      </c>
      <c r="U162" s="50">
        <f>U31+U74+U117</f>
        <v/>
      </c>
      <c r="V162" s="50">
        <f>V31+V74+V117</f>
        <v/>
      </c>
      <c r="W162" s="50">
        <f>W31+W74+W117</f>
        <v/>
      </c>
      <c r="X162" s="50">
        <f>X31+X74+X117</f>
        <v/>
      </c>
      <c r="Y162" s="50">
        <f>Y31+Y74+Y117</f>
        <v/>
      </c>
      <c r="Z162" s="50">
        <f>Z31+Z74+Z117</f>
        <v/>
      </c>
      <c r="AA162" s="50">
        <f>AA31+AA74+AA117</f>
        <v/>
      </c>
      <c r="AB162" s="50">
        <f>AB31+AB74+AB117</f>
        <v/>
      </c>
      <c r="AC162" s="50">
        <f>AC31+AC74+AC117</f>
        <v/>
      </c>
      <c r="AD162" s="50">
        <f>AD31+AD74+AD117</f>
        <v/>
      </c>
      <c r="AE162" s="50">
        <f>AE31+AE74+AE117</f>
        <v/>
      </c>
    </row>
    <row r="163">
      <c r="A163" s="3" t="inlineStr">
        <is>
          <t>ACTIVE CARDS</t>
        </is>
      </c>
      <c r="B163" s="23" t="inlineStr">
        <is>
          <t>-</t>
        </is>
      </c>
      <c r="C163" s="50">
        <f>C46+C89+C132</f>
        <v/>
      </c>
      <c r="D163" s="50">
        <f>D46+D89+D132</f>
        <v/>
      </c>
      <c r="E163" s="50">
        <f>E46+E89+E132</f>
        <v/>
      </c>
      <c r="F163" s="50">
        <f>F46+F89+F132</f>
        <v/>
      </c>
      <c r="G163" s="50">
        <f>G46+G89+G132</f>
        <v/>
      </c>
      <c r="H163" s="50">
        <f>H46+H89+H132</f>
        <v/>
      </c>
      <c r="I163" s="50">
        <f>I46+I89+I132</f>
        <v/>
      </c>
      <c r="J163" s="50">
        <f>J46+J89+J132</f>
        <v/>
      </c>
      <c r="K163" s="50">
        <f>K46+K89+K132</f>
        <v/>
      </c>
      <c r="L163" s="50">
        <f>L46+L89+L132</f>
        <v/>
      </c>
      <c r="M163" s="50">
        <f>M46+M89+M132</f>
        <v/>
      </c>
      <c r="N163" s="50">
        <f>N46+N89+N132</f>
        <v/>
      </c>
      <c r="O163" s="50">
        <f>O46+O89+O132</f>
        <v/>
      </c>
      <c r="P163" s="50">
        <f>P46+P89+P132</f>
        <v/>
      </c>
      <c r="Q163" s="50">
        <f>Q46+Q89+Q132</f>
        <v/>
      </c>
      <c r="R163" s="50">
        <f>R46+R89+R132</f>
        <v/>
      </c>
      <c r="S163" s="50">
        <f>S46+S89+S132</f>
        <v/>
      </c>
      <c r="T163" s="50">
        <f>T46+T89+T132</f>
        <v/>
      </c>
      <c r="U163" s="50">
        <f>U46+U89+U132</f>
        <v/>
      </c>
      <c r="V163" s="50">
        <f>V46+V89+V132</f>
        <v/>
      </c>
      <c r="W163" s="50">
        <f>W46+W89+W132</f>
        <v/>
      </c>
      <c r="X163" s="50">
        <f>X46+X89+X132</f>
        <v/>
      </c>
      <c r="Y163" s="50">
        <f>Y46+Y89+Y132</f>
        <v/>
      </c>
      <c r="Z163" s="50">
        <f>Z46+Z89+Z132</f>
        <v/>
      </c>
      <c r="AA163" s="50">
        <f>AA46+AA89+AA132</f>
        <v/>
      </c>
      <c r="AB163" s="50">
        <f>AB46+AB89+AB132</f>
        <v/>
      </c>
      <c r="AC163" s="50">
        <f>AC46+AC89+AC132</f>
        <v/>
      </c>
      <c r="AD163" s="50">
        <f>AD46+AD89+AD132</f>
        <v/>
      </c>
      <c r="AE163" s="50">
        <f>AE46+AE89+AE132</f>
        <v/>
      </c>
    </row>
    <row r="164">
      <c r="A164" s="6" t="inlineStr">
        <is>
          <t>GRAMS HELD</t>
        </is>
      </c>
      <c r="B164" s="23" t="inlineStr">
        <is>
          <t>-</t>
        </is>
      </c>
      <c r="C164" s="50">
        <f>C41+C84+C127</f>
        <v/>
      </c>
      <c r="D164" s="50">
        <f>D41+D84+D127</f>
        <v/>
      </c>
      <c r="E164" s="50">
        <f>E41+E84+E127</f>
        <v/>
      </c>
      <c r="F164" s="50">
        <f>F41+F84+F127</f>
        <v/>
      </c>
      <c r="G164" s="50">
        <f>G41+G84+G127</f>
        <v/>
      </c>
      <c r="H164" s="50">
        <f>H41+H84+H127</f>
        <v/>
      </c>
      <c r="I164" s="50">
        <f>I41+I84+I127</f>
        <v/>
      </c>
      <c r="J164" s="50">
        <f>J41+J84+J127</f>
        <v/>
      </c>
      <c r="K164" s="50">
        <f>K41+K84+K127</f>
        <v/>
      </c>
      <c r="L164" s="50">
        <f>L41+L84+L127</f>
        <v/>
      </c>
      <c r="M164" s="50">
        <f>M41+M84+M127</f>
        <v/>
      </c>
      <c r="N164" s="50">
        <f>N41+N84+N127</f>
        <v/>
      </c>
      <c r="O164" s="50">
        <f>O41+O84+O127</f>
        <v/>
      </c>
      <c r="P164" s="50">
        <f>P41+P84+P127</f>
        <v/>
      </c>
      <c r="Q164" s="50">
        <f>Q41+Q84+Q127</f>
        <v/>
      </c>
      <c r="R164" s="50">
        <f>R41+R84+R127</f>
        <v/>
      </c>
      <c r="S164" s="50">
        <f>S41+S84+S127</f>
        <v/>
      </c>
      <c r="T164" s="50">
        <f>T41+T84+T127</f>
        <v/>
      </c>
      <c r="U164" s="50">
        <f>U41+U84+U127</f>
        <v/>
      </c>
      <c r="V164" s="50">
        <f>V41+V84+V127</f>
        <v/>
      </c>
      <c r="W164" s="50">
        <f>W41+W84+W127</f>
        <v/>
      </c>
      <c r="X164" s="50">
        <f>X41+X84+X127</f>
        <v/>
      </c>
      <c r="Y164" s="50">
        <f>Y41+Y84+Y127</f>
        <v/>
      </c>
      <c r="Z164" s="50">
        <f>Z41+Z84+Z127</f>
        <v/>
      </c>
      <c r="AA164" s="50">
        <f>AA41+AA84+AA127</f>
        <v/>
      </c>
      <c r="AB164" s="50">
        <f>AB41+AB84+AB127</f>
        <v/>
      </c>
      <c r="AC164" s="50">
        <f>AC41+AC84+AC127</f>
        <v/>
      </c>
      <c r="AD164" s="50">
        <f>AD41+AD84+AD127</f>
        <v/>
      </c>
      <c r="AE164" s="50">
        <f>AE41+AE84+AE127</f>
        <v/>
      </c>
    </row>
    <row r="165">
      <c r="A165" s="3" t="inlineStr">
        <is>
          <t>GRAMS UNDER CUSTODY</t>
        </is>
      </c>
      <c r="B165" s="23" t="inlineStr">
        <is>
          <t>-</t>
        </is>
      </c>
      <c r="C165" s="50">
        <f>C42+C85+C128</f>
        <v/>
      </c>
      <c r="D165" s="50">
        <f>D42+D85+D128</f>
        <v/>
      </c>
      <c r="E165" s="50">
        <f>E42+E85+E128</f>
        <v/>
      </c>
      <c r="F165" s="50">
        <f>F42+F85+F128</f>
        <v/>
      </c>
      <c r="G165" s="50">
        <f>G42+G85+G128</f>
        <v/>
      </c>
      <c r="H165" s="50">
        <f>H42+H85+H128</f>
        <v/>
      </c>
      <c r="I165" s="50">
        <f>I42+I85+I128</f>
        <v/>
      </c>
      <c r="J165" s="50">
        <f>J42+J85+J128</f>
        <v/>
      </c>
      <c r="K165" s="50">
        <f>K42+K85+K128</f>
        <v/>
      </c>
      <c r="L165" s="50">
        <f>L42+L85+L128</f>
        <v/>
      </c>
      <c r="M165" s="50">
        <f>M42+M85+M128</f>
        <v/>
      </c>
      <c r="N165" s="50">
        <f>N42+N85+N128</f>
        <v/>
      </c>
      <c r="O165" s="50">
        <f>O42+O85+O128</f>
        <v/>
      </c>
      <c r="P165" s="50">
        <f>P42+P85+P128</f>
        <v/>
      </c>
      <c r="Q165" s="50">
        <f>Q42+Q85+Q128</f>
        <v/>
      </c>
      <c r="R165" s="50">
        <f>R42+R85+R128</f>
        <v/>
      </c>
      <c r="S165" s="50">
        <f>S42+S85+S128</f>
        <v/>
      </c>
      <c r="T165" s="50">
        <f>T42+T85+T128</f>
        <v/>
      </c>
      <c r="U165" s="50">
        <f>U42+U85+U128</f>
        <v/>
      </c>
      <c r="V165" s="50">
        <f>V42+V85+V128</f>
        <v/>
      </c>
      <c r="W165" s="50">
        <f>W42+W85+W128</f>
        <v/>
      </c>
      <c r="X165" s="50">
        <f>X42+X85+X128</f>
        <v/>
      </c>
      <c r="Y165" s="50">
        <f>Y42+Y85+Y128</f>
        <v/>
      </c>
      <c r="Z165" s="50">
        <f>Z42+Z85+Z128</f>
        <v/>
      </c>
      <c r="AA165" s="50">
        <f>AA42+AA85+AA128</f>
        <v/>
      </c>
      <c r="AB165" s="50">
        <f>AB42+AB85+AB128</f>
        <v/>
      </c>
      <c r="AC165" s="50">
        <f>AC42+AC85+AC128</f>
        <v/>
      </c>
      <c r="AD165" s="50">
        <f>AD42+AD85+AD128</f>
        <v/>
      </c>
      <c r="AE165" s="50">
        <f>AE42+AE85+AE128</f>
        <v/>
      </c>
    </row>
    <row r="166">
      <c r="A166" s="6" t="inlineStr">
        <is>
          <t>Grams purchased</t>
        </is>
      </c>
      <c r="B166" s="23" t="inlineStr">
        <is>
          <t>-</t>
        </is>
      </c>
      <c r="C166" s="60">
        <f>C38+C81+C124</f>
        <v/>
      </c>
      <c r="D166" s="60">
        <f>D38+D81+D124</f>
        <v/>
      </c>
      <c r="E166" s="60">
        <f>E38+E81+E124</f>
        <v/>
      </c>
      <c r="F166" s="60">
        <f>F38+F81+F124</f>
        <v/>
      </c>
      <c r="G166" s="60">
        <f>G38+G81+G124</f>
        <v/>
      </c>
      <c r="H166" s="60">
        <f>H38+H81+H124</f>
        <v/>
      </c>
      <c r="I166" s="60">
        <f>I38+I81+I124</f>
        <v/>
      </c>
      <c r="J166" s="60">
        <f>J38+J81+J124</f>
        <v/>
      </c>
      <c r="K166" s="60">
        <f>K38+K81+K124</f>
        <v/>
      </c>
      <c r="L166" s="60">
        <f>L38+L81+L124</f>
        <v/>
      </c>
      <c r="M166" s="60">
        <f>M38+M81+M124</f>
        <v/>
      </c>
      <c r="N166" s="60">
        <f>N38+N81+N124</f>
        <v/>
      </c>
      <c r="O166" s="60">
        <f>O38+O81+O124</f>
        <v/>
      </c>
      <c r="P166" s="60">
        <f>P38+P81+P124</f>
        <v/>
      </c>
      <c r="Q166" s="60">
        <f>Q38+Q81+Q124</f>
        <v/>
      </c>
      <c r="R166" s="60">
        <f>R38+R81+R124</f>
        <v/>
      </c>
      <c r="S166" s="60">
        <f>S38+S81+S124</f>
        <v/>
      </c>
      <c r="T166" s="60">
        <f>T38+T81+T124</f>
        <v/>
      </c>
      <c r="U166" s="60">
        <f>U38+U81+U124</f>
        <v/>
      </c>
      <c r="V166" s="60">
        <f>V38+V81+V124</f>
        <v/>
      </c>
      <c r="W166" s="60">
        <f>W38+W81+W124</f>
        <v/>
      </c>
      <c r="X166" s="60">
        <f>X38+X81+X124</f>
        <v/>
      </c>
      <c r="Y166" s="60">
        <f>Y38+Y81+Y124</f>
        <v/>
      </c>
      <c r="Z166" s="60">
        <f>Z38+Z81+Z124</f>
        <v/>
      </c>
      <c r="AA166" s="60">
        <f>AA38+AA81+AA124</f>
        <v/>
      </c>
      <c r="AB166" s="60">
        <f>AB38+AB81+AB124</f>
        <v/>
      </c>
      <c r="AC166" s="60">
        <f>AC38+AC81+AC124</f>
        <v/>
      </c>
      <c r="AD166" s="60">
        <f>AD38+AD81+AD124</f>
        <v/>
      </c>
      <c r="AE166" s="60">
        <f>AE38+AE81+AE124</f>
        <v/>
      </c>
    </row>
    <row r="167">
      <c r="A167" s="3" t="inlineStr">
        <is>
          <t>COLLATERAL-ELIGIBLE AUM</t>
        </is>
      </c>
      <c r="B167" s="23" t="inlineStr">
        <is>
          <t>-</t>
        </is>
      </c>
      <c r="C167" s="61">
        <f>C43+C86+C129</f>
        <v/>
      </c>
      <c r="D167" s="61">
        <f>D43+D86+D129</f>
        <v/>
      </c>
      <c r="E167" s="61">
        <f>E43+E86+E129</f>
        <v/>
      </c>
      <c r="F167" s="61">
        <f>F43+F86+F129</f>
        <v/>
      </c>
      <c r="G167" s="61">
        <f>G43+G86+G129</f>
        <v/>
      </c>
      <c r="H167" s="61">
        <f>H43+H86+H129</f>
        <v/>
      </c>
      <c r="I167" s="61">
        <f>I43+I86+I129</f>
        <v/>
      </c>
      <c r="J167" s="61">
        <f>J43+J86+J129</f>
        <v/>
      </c>
      <c r="K167" s="61">
        <f>K43+K86+K129</f>
        <v/>
      </c>
      <c r="L167" s="61">
        <f>L43+L86+L129</f>
        <v/>
      </c>
      <c r="M167" s="61">
        <f>M43+M86+M129</f>
        <v/>
      </c>
      <c r="N167" s="61">
        <f>N43+N86+N129</f>
        <v/>
      </c>
      <c r="O167" s="61">
        <f>O43+O86+O129</f>
        <v/>
      </c>
      <c r="P167" s="61">
        <f>P43+P86+P129</f>
        <v/>
      </c>
      <c r="Q167" s="61">
        <f>Q43+Q86+Q129</f>
        <v/>
      </c>
      <c r="R167" s="61">
        <f>R43+R86+R129</f>
        <v/>
      </c>
      <c r="S167" s="61">
        <f>S43+S86+S129</f>
        <v/>
      </c>
      <c r="T167" s="61">
        <f>T43+T86+T129</f>
        <v/>
      </c>
      <c r="U167" s="61">
        <f>U43+U86+U129</f>
        <v/>
      </c>
      <c r="V167" s="61">
        <f>V43+V86+V129</f>
        <v/>
      </c>
      <c r="W167" s="61">
        <f>W43+W86+W129</f>
        <v/>
      </c>
      <c r="X167" s="61">
        <f>X43+X86+X129</f>
        <v/>
      </c>
      <c r="Y167" s="61">
        <f>Y43+Y86+Y129</f>
        <v/>
      </c>
      <c r="Z167" s="61">
        <f>Z43+Z86+Z129</f>
        <v/>
      </c>
      <c r="AA167" s="61">
        <f>AA43+AA86+AA129</f>
        <v/>
      </c>
      <c r="AB167" s="61">
        <f>AB43+AB86+AB129</f>
        <v/>
      </c>
      <c r="AC167" s="61">
        <f>AC43+AC86+AC129</f>
        <v/>
      </c>
      <c r="AD167" s="61">
        <f>AD43+AD86+AD129</f>
        <v/>
      </c>
      <c r="AE167" s="61">
        <f>AE43+AE86+AE129</f>
        <v/>
      </c>
    </row>
    <row r="168">
      <c r="A168" s="6" t="inlineStr">
        <is>
          <t>Reaches an ICS benefit tier (memo - drives discounts, not access)</t>
        </is>
      </c>
      <c r="B168" s="23" t="inlineStr">
        <is>
          <t>-</t>
        </is>
      </c>
      <c r="C168" s="50">
        <f>C45+C88+C131</f>
        <v/>
      </c>
      <c r="D168" s="50">
        <f>D45+D88+D131</f>
        <v/>
      </c>
      <c r="E168" s="50">
        <f>E45+E88+E131</f>
        <v/>
      </c>
      <c r="F168" s="50">
        <f>F45+F88+F131</f>
        <v/>
      </c>
      <c r="G168" s="50">
        <f>G45+G88+G131</f>
        <v/>
      </c>
      <c r="H168" s="50">
        <f>H45+H88+H131</f>
        <v/>
      </c>
      <c r="I168" s="50">
        <f>I45+I88+I131</f>
        <v/>
      </c>
      <c r="J168" s="50">
        <f>J45+J88+J131</f>
        <v/>
      </c>
      <c r="K168" s="50">
        <f>K45+K88+K131</f>
        <v/>
      </c>
      <c r="L168" s="50">
        <f>L45+L88+L131</f>
        <v/>
      </c>
      <c r="M168" s="50">
        <f>M45+M88+M131</f>
        <v/>
      </c>
      <c r="N168" s="50">
        <f>N45+N88+N131</f>
        <v/>
      </c>
      <c r="O168" s="50">
        <f>O45+O88+O131</f>
        <v/>
      </c>
      <c r="P168" s="50">
        <f>P45+P88+P131</f>
        <v/>
      </c>
      <c r="Q168" s="50">
        <f>Q45+Q88+Q131</f>
        <v/>
      </c>
      <c r="R168" s="50">
        <f>R45+R88+R131</f>
        <v/>
      </c>
      <c r="S168" s="50">
        <f>S45+S88+S131</f>
        <v/>
      </c>
      <c r="T168" s="50">
        <f>T45+T88+T131</f>
        <v/>
      </c>
      <c r="U168" s="50">
        <f>U45+U88+U131</f>
        <v/>
      </c>
      <c r="V168" s="50">
        <f>V45+V88+V131</f>
        <v/>
      </c>
      <c r="W168" s="50">
        <f>W45+W88+W131</f>
        <v/>
      </c>
      <c r="X168" s="50">
        <f>X45+X88+X131</f>
        <v/>
      </c>
      <c r="Y168" s="50">
        <f>Y45+Y88+Y131</f>
        <v/>
      </c>
      <c r="Z168" s="50">
        <f>Z45+Z88+Z131</f>
        <v/>
      </c>
      <c r="AA168" s="50">
        <f>AA45+AA88+AA131</f>
        <v/>
      </c>
      <c r="AB168" s="50">
        <f>AB45+AB88+AB131</f>
        <v/>
      </c>
      <c r="AC168" s="50">
        <f>AC45+AC88+AC131</f>
        <v/>
      </c>
      <c r="AD168" s="50">
        <f>AD45+AD88+AD131</f>
        <v/>
      </c>
      <c r="AE168" s="50">
        <f>AE45+AE88+AE131</f>
        <v/>
      </c>
    </row>
    <row r="169">
      <c r="A169" s="6" t="inlineStr">
        <is>
          <t>SIP contributions</t>
        </is>
      </c>
      <c r="B169" s="23" t="inlineStr">
        <is>
          <t>-</t>
        </is>
      </c>
      <c r="C169" s="61">
        <f>C36+C79+C122</f>
        <v/>
      </c>
      <c r="D169" s="61">
        <f>D36+D79+D122</f>
        <v/>
      </c>
      <c r="E169" s="61">
        <f>E36+E79+E122</f>
        <v/>
      </c>
      <c r="F169" s="61">
        <f>F36+F79+F122</f>
        <v/>
      </c>
      <c r="G169" s="61">
        <f>G36+G79+G122</f>
        <v/>
      </c>
      <c r="H169" s="61">
        <f>H36+H79+H122</f>
        <v/>
      </c>
      <c r="I169" s="61">
        <f>I36+I79+I122</f>
        <v/>
      </c>
      <c r="J169" s="61">
        <f>J36+J79+J122</f>
        <v/>
      </c>
      <c r="K169" s="61">
        <f>K36+K79+K122</f>
        <v/>
      </c>
      <c r="L169" s="61">
        <f>L36+L79+L122</f>
        <v/>
      </c>
      <c r="M169" s="61">
        <f>M36+M79+M122</f>
        <v/>
      </c>
      <c r="N169" s="61">
        <f>N36+N79+N122</f>
        <v/>
      </c>
      <c r="O169" s="61">
        <f>O36+O79+O122</f>
        <v/>
      </c>
      <c r="P169" s="61">
        <f>P36+P79+P122</f>
        <v/>
      </c>
      <c r="Q169" s="61">
        <f>Q36+Q79+Q122</f>
        <v/>
      </c>
      <c r="R169" s="61">
        <f>R36+R79+R122</f>
        <v/>
      </c>
      <c r="S169" s="61">
        <f>S36+S79+S122</f>
        <v/>
      </c>
      <c r="T169" s="61">
        <f>T36+T79+T122</f>
        <v/>
      </c>
      <c r="U169" s="61">
        <f>U36+U79+U122</f>
        <v/>
      </c>
      <c r="V169" s="61">
        <f>V36+V79+V122</f>
        <v/>
      </c>
      <c r="W169" s="61">
        <f>W36+W79+W122</f>
        <v/>
      </c>
      <c r="X169" s="61">
        <f>X36+X79+X122</f>
        <v/>
      </c>
      <c r="Y169" s="61">
        <f>Y36+Y79+Y122</f>
        <v/>
      </c>
      <c r="Z169" s="61">
        <f>Z36+Z79+Z122</f>
        <v/>
      </c>
      <c r="AA169" s="61">
        <f>AA36+AA79+AA122</f>
        <v/>
      </c>
      <c r="AB169" s="61">
        <f>AB36+AB79+AB122</f>
        <v/>
      </c>
      <c r="AC169" s="61">
        <f>AC36+AC79+AC122</f>
        <v/>
      </c>
      <c r="AD169" s="61">
        <f>AD36+AD79+AD122</f>
        <v/>
      </c>
      <c r="AE169" s="61">
        <f>AE36+AE79+AE122</f>
        <v/>
      </c>
    </row>
    <row r="170">
      <c r="A170" s="6" t="inlineStr">
        <is>
          <t>Spot purchase volume</t>
        </is>
      </c>
      <c r="B170" s="23" t="inlineStr">
        <is>
          <t>-</t>
        </is>
      </c>
      <c r="C170" s="61">
        <f>C37+C80+C123</f>
        <v/>
      </c>
      <c r="D170" s="61">
        <f>D37+D80+D123</f>
        <v/>
      </c>
      <c r="E170" s="61">
        <f>E37+E80+E123</f>
        <v/>
      </c>
      <c r="F170" s="61">
        <f>F37+F80+F123</f>
        <v/>
      </c>
      <c r="G170" s="61">
        <f>G37+G80+G123</f>
        <v/>
      </c>
      <c r="H170" s="61">
        <f>H37+H80+H123</f>
        <v/>
      </c>
      <c r="I170" s="61">
        <f>I37+I80+I123</f>
        <v/>
      </c>
      <c r="J170" s="61">
        <f>J37+J80+J123</f>
        <v/>
      </c>
      <c r="K170" s="61">
        <f>K37+K80+K123</f>
        <v/>
      </c>
      <c r="L170" s="61">
        <f>L37+L80+L123</f>
        <v/>
      </c>
      <c r="M170" s="61">
        <f>M37+M80+M123</f>
        <v/>
      </c>
      <c r="N170" s="61">
        <f>N37+N80+N123</f>
        <v/>
      </c>
      <c r="O170" s="61">
        <f>O37+O80+O123</f>
        <v/>
      </c>
      <c r="P170" s="61">
        <f>P37+P80+P123</f>
        <v/>
      </c>
      <c r="Q170" s="61">
        <f>Q37+Q80+Q123</f>
        <v/>
      </c>
      <c r="R170" s="61">
        <f>R37+R80+R123</f>
        <v/>
      </c>
      <c r="S170" s="61">
        <f>S37+S80+S123</f>
        <v/>
      </c>
      <c r="T170" s="61">
        <f>T37+T80+T123</f>
        <v/>
      </c>
      <c r="U170" s="61">
        <f>U37+U80+U123</f>
        <v/>
      </c>
      <c r="V170" s="61">
        <f>V37+V80+V123</f>
        <v/>
      </c>
      <c r="W170" s="61">
        <f>W37+W80+W123</f>
        <v/>
      </c>
      <c r="X170" s="61">
        <f>X37+X80+X123</f>
        <v/>
      </c>
      <c r="Y170" s="61">
        <f>Y37+Y80+Y123</f>
        <v/>
      </c>
      <c r="Z170" s="61">
        <f>Z37+Z80+Z123</f>
        <v/>
      </c>
      <c r="AA170" s="61">
        <f>AA37+AA80+AA123</f>
        <v/>
      </c>
      <c r="AB170" s="61">
        <f>AB37+AB80+AB123</f>
        <v/>
      </c>
      <c r="AC170" s="61">
        <f>AC37+AC80+AC123</f>
        <v/>
      </c>
      <c r="AD170" s="61">
        <f>AD37+AD80+AD123</f>
        <v/>
      </c>
      <c r="AE170" s="61">
        <f>AE37+AE80+AE123</f>
        <v/>
      </c>
    </row>
    <row r="171">
      <c r="A171" s="6" t="inlineStr">
        <is>
          <t>Card spend</t>
        </is>
      </c>
      <c r="B171" s="23" t="inlineStr">
        <is>
          <t>-</t>
        </is>
      </c>
      <c r="C171" s="61">
        <f>C53+C96+C139</f>
        <v/>
      </c>
      <c r="D171" s="61">
        <f>D53+D96+D139</f>
        <v/>
      </c>
      <c r="E171" s="61">
        <f>E53+E96+E139</f>
        <v/>
      </c>
      <c r="F171" s="61">
        <f>F53+F96+F139</f>
        <v/>
      </c>
      <c r="G171" s="61">
        <f>G53+G96+G139</f>
        <v/>
      </c>
      <c r="H171" s="61">
        <f>H53+H96+H139</f>
        <v/>
      </c>
      <c r="I171" s="61">
        <f>I53+I96+I139</f>
        <v/>
      </c>
      <c r="J171" s="61">
        <f>J53+J96+J139</f>
        <v/>
      </c>
      <c r="K171" s="61">
        <f>K53+K96+K139</f>
        <v/>
      </c>
      <c r="L171" s="61">
        <f>L53+L96+L139</f>
        <v/>
      </c>
      <c r="M171" s="61">
        <f>M53+M96+M139</f>
        <v/>
      </c>
      <c r="N171" s="61">
        <f>N53+N96+N139</f>
        <v/>
      </c>
      <c r="O171" s="61">
        <f>O53+O96+O139</f>
        <v/>
      </c>
      <c r="P171" s="61">
        <f>P53+P96+P139</f>
        <v/>
      </c>
      <c r="Q171" s="61">
        <f>Q53+Q96+Q139</f>
        <v/>
      </c>
      <c r="R171" s="61">
        <f>R53+R96+R139</f>
        <v/>
      </c>
      <c r="S171" s="61">
        <f>S53+S96+S139</f>
        <v/>
      </c>
      <c r="T171" s="61">
        <f>T53+T96+T139</f>
        <v/>
      </c>
      <c r="U171" s="61">
        <f>U53+U96+U139</f>
        <v/>
      </c>
      <c r="V171" s="61">
        <f>V53+V96+V139</f>
        <v/>
      </c>
      <c r="W171" s="61">
        <f>W53+W96+W139</f>
        <v/>
      </c>
      <c r="X171" s="61">
        <f>X53+X96+X139</f>
        <v/>
      </c>
      <c r="Y171" s="61">
        <f>Y53+Y96+Y139</f>
        <v/>
      </c>
      <c r="Z171" s="61">
        <f>Z53+Z96+Z139</f>
        <v/>
      </c>
      <c r="AA171" s="61">
        <f>AA53+AA96+AA139</f>
        <v/>
      </c>
      <c r="AB171" s="61">
        <f>AB53+AB96+AB139</f>
        <v/>
      </c>
      <c r="AC171" s="61">
        <f>AC53+AC96+AC139</f>
        <v/>
      </c>
      <c r="AD171" s="61">
        <f>AD53+AD96+AD139</f>
        <v/>
      </c>
      <c r="AE171" s="61">
        <f>AE53+AE96+AE139</f>
        <v/>
      </c>
    </row>
    <row r="172">
      <c r="A172" s="6" t="inlineStr">
        <is>
          <t>GOLD UNDER CUSTODY (comparable headline)</t>
        </is>
      </c>
      <c r="B172" s="23" t="inlineStr">
        <is>
          <t>USD</t>
        </is>
      </c>
      <c r="C172" s="63">
        <f>C165*C20</f>
        <v/>
      </c>
      <c r="D172" s="63">
        <f>D165*D20</f>
        <v/>
      </c>
      <c r="E172" s="63">
        <f>E165*E20</f>
        <v/>
      </c>
      <c r="F172" s="63">
        <f>F165*F20</f>
        <v/>
      </c>
      <c r="G172" s="63">
        <f>G165*G20</f>
        <v/>
      </c>
      <c r="H172" s="63">
        <f>H165*H20</f>
        <v/>
      </c>
      <c r="I172" s="63">
        <f>I165*I20</f>
        <v/>
      </c>
      <c r="J172" s="63">
        <f>J165*J20</f>
        <v/>
      </c>
      <c r="K172" s="63">
        <f>K165*K20</f>
        <v/>
      </c>
      <c r="L172" s="63">
        <f>L165*L20</f>
        <v/>
      </c>
      <c r="M172" s="63">
        <f>M165*M20</f>
        <v/>
      </c>
      <c r="N172" s="63">
        <f>N165*N20</f>
        <v/>
      </c>
      <c r="O172" s="63">
        <f>O165*O20</f>
        <v/>
      </c>
      <c r="P172" s="63">
        <f>P165*P20</f>
        <v/>
      </c>
      <c r="Q172" s="63">
        <f>Q165*Q20</f>
        <v/>
      </c>
      <c r="R172" s="63">
        <f>R165*R20</f>
        <v/>
      </c>
      <c r="S172" s="63">
        <f>S165*S20</f>
        <v/>
      </c>
      <c r="T172" s="63">
        <f>T165*T20</f>
        <v/>
      </c>
      <c r="U172" s="63">
        <f>U165*U20</f>
        <v/>
      </c>
      <c r="V172" s="63">
        <f>V165*V20</f>
        <v/>
      </c>
      <c r="W172" s="63">
        <f>W165*W20</f>
        <v/>
      </c>
      <c r="X172" s="63">
        <f>X165*X20</f>
        <v/>
      </c>
      <c r="Y172" s="63">
        <f>Y165*Y20</f>
        <v/>
      </c>
      <c r="Z172" s="63">
        <f>Z165*Z20</f>
        <v/>
      </c>
      <c r="AA172" s="63">
        <f>AA165*AA20</f>
        <v/>
      </c>
      <c r="AB172" s="63">
        <f>AB165*AB20</f>
        <v/>
      </c>
      <c r="AC172" s="63">
        <f>AC165*AC20</f>
        <v/>
      </c>
      <c r="AD172" s="63">
        <f>AD165*AD20</f>
        <v/>
      </c>
      <c r="AE172" s="63">
        <f>AE165*AE20</f>
        <v/>
      </c>
    </row>
    <row r="173">
      <c r="A173" s="9" t="inlineStr">
        <is>
          <t>THE NUMBER TO QUOTE AGAINST OTHER GOLD PLATFORMS, and the only one that compares like for like. Collateral-eligible AUM above is SMALLER because it also removes gold moved out of Aurumix's control - a token in a private wallet cannot back a credit limit, but THE METAL IS STILL IN THE VAULT, so it is still gold under custody. PAXG, Kinesis and Comtech all publish the custody measure. COMPARE IN GRAMS, NOT DOLLARS: every published USD figure carries the gold price of its own vintage, so a comparison in dollars is really a comparison of gold prices. Comtech Gold, the closest comparable - Dubai, DMCC-licensed, tokenised gold - holds ~141,000 g.</t>
        </is>
      </c>
    </row>
    <row r="174">
      <c r="A174" s="6" t="inlineStr">
        <is>
          <t xml:space="preserve">  Gold under custody at the CONSTANT M1 price (memo)</t>
        </is>
      </c>
      <c r="B174" s="23" t="inlineStr">
        <is>
          <t>USD</t>
        </is>
      </c>
      <c r="C174" s="61">
        <f>C165*Assumptions!$B$6</f>
        <v/>
      </c>
      <c r="D174" s="61">
        <f>D165*Assumptions!$B$6</f>
        <v/>
      </c>
      <c r="E174" s="61">
        <f>E165*Assumptions!$B$6</f>
        <v/>
      </c>
      <c r="F174" s="61">
        <f>F165*Assumptions!$B$6</f>
        <v/>
      </c>
      <c r="G174" s="61">
        <f>G165*Assumptions!$B$6</f>
        <v/>
      </c>
      <c r="H174" s="61">
        <f>H165*Assumptions!$B$6</f>
        <v/>
      </c>
      <c r="I174" s="61">
        <f>I165*Assumptions!$B$6</f>
        <v/>
      </c>
      <c r="J174" s="61">
        <f>J165*Assumptions!$B$6</f>
        <v/>
      </c>
      <c r="K174" s="61">
        <f>K165*Assumptions!$B$6</f>
        <v/>
      </c>
      <c r="L174" s="61">
        <f>L165*Assumptions!$B$6</f>
        <v/>
      </c>
      <c r="M174" s="61">
        <f>M165*Assumptions!$B$6</f>
        <v/>
      </c>
      <c r="N174" s="61">
        <f>N165*Assumptions!$B$6</f>
        <v/>
      </c>
      <c r="O174" s="61">
        <f>O165*Assumptions!$B$6</f>
        <v/>
      </c>
      <c r="P174" s="61">
        <f>P165*Assumptions!$B$6</f>
        <v/>
      </c>
      <c r="Q174" s="61">
        <f>Q165*Assumptions!$B$6</f>
        <v/>
      </c>
      <c r="R174" s="61">
        <f>R165*Assumptions!$B$6</f>
        <v/>
      </c>
      <c r="S174" s="61">
        <f>S165*Assumptions!$B$6</f>
        <v/>
      </c>
      <c r="T174" s="61">
        <f>T165*Assumptions!$B$6</f>
        <v/>
      </c>
      <c r="U174" s="61">
        <f>U165*Assumptions!$B$6</f>
        <v/>
      </c>
      <c r="V174" s="61">
        <f>V165*Assumptions!$B$6</f>
        <v/>
      </c>
      <c r="W174" s="61">
        <f>W165*Assumptions!$B$6</f>
        <v/>
      </c>
      <c r="X174" s="61">
        <f>X165*Assumptions!$B$6</f>
        <v/>
      </c>
      <c r="Y174" s="61">
        <f>Y165*Assumptions!$B$6</f>
        <v/>
      </c>
      <c r="Z174" s="61">
        <f>Z165*Assumptions!$B$6</f>
        <v/>
      </c>
      <c r="AA174" s="61">
        <f>AA165*Assumptions!$B$6</f>
        <v/>
      </c>
      <c r="AB174" s="61">
        <f>AB165*Assumptions!$B$6</f>
        <v/>
      </c>
      <c r="AC174" s="61">
        <f>AC165*Assumptions!$B$6</f>
        <v/>
      </c>
      <c r="AD174" s="61">
        <f>AD165*Assumptions!$B$6</f>
        <v/>
      </c>
      <c r="AE174" s="61">
        <f>AE165*Assumptions!$B$6</f>
        <v/>
      </c>
    </row>
    <row r="175">
      <c r="A175" s="6" t="inlineStr">
        <is>
          <t xml:space="preserve">  of which is the metal moving, not the business</t>
        </is>
      </c>
      <c r="B175" s="23" t="inlineStr">
        <is>
          <t>USD</t>
        </is>
      </c>
      <c r="C175" s="61">
        <f>C172-C174</f>
        <v/>
      </c>
      <c r="D175" s="61">
        <f>D172-D174</f>
        <v/>
      </c>
      <c r="E175" s="61">
        <f>E172-E174</f>
        <v/>
      </c>
      <c r="F175" s="61">
        <f>F172-F174</f>
        <v/>
      </c>
      <c r="G175" s="61">
        <f>G172-G174</f>
        <v/>
      </c>
      <c r="H175" s="61">
        <f>H172-H174</f>
        <v/>
      </c>
      <c r="I175" s="61">
        <f>I172-I174</f>
        <v/>
      </c>
      <c r="J175" s="61">
        <f>J172-J174</f>
        <v/>
      </c>
      <c r="K175" s="61">
        <f>K172-K174</f>
        <v/>
      </c>
      <c r="L175" s="61">
        <f>L172-L174</f>
        <v/>
      </c>
      <c r="M175" s="61">
        <f>M172-M174</f>
        <v/>
      </c>
      <c r="N175" s="61">
        <f>N172-N174</f>
        <v/>
      </c>
      <c r="O175" s="61">
        <f>O172-O174</f>
        <v/>
      </c>
      <c r="P175" s="61">
        <f>P172-P174</f>
        <v/>
      </c>
      <c r="Q175" s="61">
        <f>Q172-Q174</f>
        <v/>
      </c>
      <c r="R175" s="61">
        <f>R172-R174</f>
        <v/>
      </c>
      <c r="S175" s="61">
        <f>S172-S174</f>
        <v/>
      </c>
      <c r="T175" s="61">
        <f>T172-T174</f>
        <v/>
      </c>
      <c r="U175" s="61">
        <f>U172-U174</f>
        <v/>
      </c>
      <c r="V175" s="61">
        <f>V172-V174</f>
        <v/>
      </c>
      <c r="W175" s="61">
        <f>W172-W174</f>
        <v/>
      </c>
      <c r="X175" s="61">
        <f>X172-X174</f>
        <v/>
      </c>
      <c r="Y175" s="61">
        <f>Y172-Y174</f>
        <v/>
      </c>
      <c r="Z175" s="61">
        <f>Z172-Z174</f>
        <v/>
      </c>
      <c r="AA175" s="61">
        <f>AA172-AA174</f>
        <v/>
      </c>
      <c r="AB175" s="61">
        <f>AB172-AB174</f>
        <v/>
      </c>
      <c r="AC175" s="61">
        <f>AC172-AC174</f>
        <v/>
      </c>
      <c r="AD175" s="61">
        <f>AD172-AD174</f>
        <v/>
      </c>
      <c r="AE175" s="61">
        <f>AE172-AE174</f>
        <v/>
      </c>
    </row>
    <row r="176">
      <c r="A176" s="9" t="inlineStr">
        <is>
          <t>THE HONEST SERIES FOR JUDGING EXECUTION is the constant-price row: it strips the gold price out and leaves grams accumulated, which is the part Aurumix controls. The headline above will grow even if the business does not. SET GOLD APPRECIATION TO THE CONSERVATIVE SCENARIO (0.0%) TO RECOVER THE ORIGINAL FLAT-PRICE MODEL, under which these two rows are identical by construction.</t>
        </is>
      </c>
    </row>
    <row r="177">
      <c r="A177" s="6" t="inlineStr">
        <is>
          <t>CHECK: paying + holders = cumulative ever acquired</t>
        </is>
      </c>
      <c r="B177" s="23" t="inlineStr">
        <is>
          <t>delta</t>
        </is>
      </c>
      <c r="C177" s="66">
        <f>C159+C160-C161</f>
        <v/>
      </c>
      <c r="D177" s="66">
        <f>D159+D160-D161</f>
        <v/>
      </c>
      <c r="E177" s="66">
        <f>E159+E160-E161</f>
        <v/>
      </c>
      <c r="F177" s="66">
        <f>F159+F160-F161</f>
        <v/>
      </c>
      <c r="G177" s="66">
        <f>G159+G160-G161</f>
        <v/>
      </c>
      <c r="H177" s="66">
        <f>H159+H160-H161</f>
        <v/>
      </c>
      <c r="I177" s="66">
        <f>I159+I160-I161</f>
        <v/>
      </c>
      <c r="J177" s="66">
        <f>J159+J160-J161</f>
        <v/>
      </c>
      <c r="K177" s="66">
        <f>K159+K160-K161</f>
        <v/>
      </c>
      <c r="L177" s="66">
        <f>L159+L160-L161</f>
        <v/>
      </c>
      <c r="M177" s="66">
        <f>M159+M160-M161</f>
        <v/>
      </c>
      <c r="N177" s="66">
        <f>N159+N160-N161</f>
        <v/>
      </c>
      <c r="O177" s="66">
        <f>O159+O160-O161</f>
        <v/>
      </c>
      <c r="P177" s="66">
        <f>P159+P160-P161</f>
        <v/>
      </c>
      <c r="Q177" s="66">
        <f>Q159+Q160-Q161</f>
        <v/>
      </c>
      <c r="R177" s="66">
        <f>R159+R160-R161</f>
        <v/>
      </c>
      <c r="S177" s="66">
        <f>S159+S160-S161</f>
        <v/>
      </c>
      <c r="T177" s="66">
        <f>T159+T160-T161</f>
        <v/>
      </c>
      <c r="U177" s="66">
        <f>U159+U160-U161</f>
        <v/>
      </c>
      <c r="V177" s="66">
        <f>V159+V160-V161</f>
        <v/>
      </c>
      <c r="W177" s="66">
        <f>W159+W160-W161</f>
        <v/>
      </c>
      <c r="X177" s="66">
        <f>X159+X160-X161</f>
        <v/>
      </c>
      <c r="Y177" s="66">
        <f>Y159+Y160-Y161</f>
        <v/>
      </c>
      <c r="Z177" s="66">
        <f>Z159+Z160-Z161</f>
        <v/>
      </c>
      <c r="AA177" s="66">
        <f>AA159+AA160-AA161</f>
        <v/>
      </c>
      <c r="AB177" s="66">
        <f>AB159+AB160-AB161</f>
        <v/>
      </c>
      <c r="AC177" s="66">
        <f>AC159+AC160-AC161</f>
        <v/>
      </c>
      <c r="AD177" s="66">
        <f>AD159+AD160-AD161</f>
        <v/>
      </c>
      <c r="AE177" s="66">
        <f>AE159+AE160-AE161</f>
        <v/>
      </c>
    </row>
    <row r="178">
      <c r="A178" s="6" t="inlineStr">
        <is>
          <t>CHECK: custody &gt;= collateral-eligible (must be &gt;= 0)</t>
        </is>
      </c>
      <c r="B178" s="23" t="inlineStr">
        <is>
          <t>grams</t>
        </is>
      </c>
      <c r="C178" s="66">
        <f>C165-C164</f>
        <v/>
      </c>
      <c r="D178" s="66">
        <f>D165-D164</f>
        <v/>
      </c>
      <c r="E178" s="66">
        <f>E165-E164</f>
        <v/>
      </c>
      <c r="F178" s="66">
        <f>F165-F164</f>
        <v/>
      </c>
      <c r="G178" s="66">
        <f>G165-G164</f>
        <v/>
      </c>
      <c r="H178" s="66">
        <f>H165-H164</f>
        <v/>
      </c>
      <c r="I178" s="66">
        <f>I165-I164</f>
        <v/>
      </c>
      <c r="J178" s="66">
        <f>J165-J164</f>
        <v/>
      </c>
      <c r="K178" s="66">
        <f>K165-K164</f>
        <v/>
      </c>
      <c r="L178" s="66">
        <f>L165-L164</f>
        <v/>
      </c>
      <c r="M178" s="66">
        <f>M165-M164</f>
        <v/>
      </c>
      <c r="N178" s="66">
        <f>N165-N164</f>
        <v/>
      </c>
      <c r="O178" s="66">
        <f>O165-O164</f>
        <v/>
      </c>
      <c r="P178" s="66">
        <f>P165-P164</f>
        <v/>
      </c>
      <c r="Q178" s="66">
        <f>Q165-Q164</f>
        <v/>
      </c>
      <c r="R178" s="66">
        <f>R165-R164</f>
        <v/>
      </c>
      <c r="S178" s="66">
        <f>S165-S164</f>
        <v/>
      </c>
      <c r="T178" s="66">
        <f>T165-T164</f>
        <v/>
      </c>
      <c r="U178" s="66">
        <f>U165-U164</f>
        <v/>
      </c>
      <c r="V178" s="66">
        <f>V165-V164</f>
        <v/>
      </c>
      <c r="W178" s="66">
        <f>W165-W164</f>
        <v/>
      </c>
      <c r="X178" s="66">
        <f>X165-X164</f>
        <v/>
      </c>
      <c r="Y178" s="66">
        <f>Y165-Y164</f>
        <v/>
      </c>
      <c r="Z178" s="66">
        <f>Z165-Z164</f>
        <v/>
      </c>
      <c r="AA178" s="66">
        <f>AA165-AA164</f>
        <v/>
      </c>
      <c r="AB178" s="66">
        <f>AB165-AB164</f>
        <v/>
      </c>
      <c r="AC178" s="66">
        <f>AC165-AC164</f>
        <v/>
      </c>
      <c r="AD178" s="66">
        <f>AD165-AD164</f>
        <v/>
      </c>
      <c r="AE178" s="66">
        <f>AE165-AE164</f>
        <v/>
      </c>
    </row>
    <row r="179">
      <c r="A179" s="6" t="inlineStr">
        <is>
          <t xml:space="preserve">  Collateral-eligible AUM per paying customer (memo)</t>
        </is>
      </c>
      <c r="B179" s="23" t="inlineStr">
        <is>
          <t>USD</t>
        </is>
      </c>
      <c r="C179" s="61">
        <f>IF(C159=0,0,C167/C159)</f>
        <v/>
      </c>
      <c r="D179" s="61">
        <f>IF(D159=0,0,D167/D159)</f>
        <v/>
      </c>
      <c r="E179" s="61">
        <f>IF(E159=0,0,E167/E159)</f>
        <v/>
      </c>
      <c r="F179" s="61">
        <f>IF(F159=0,0,F167/F159)</f>
        <v/>
      </c>
      <c r="G179" s="61">
        <f>IF(G159=0,0,G167/G159)</f>
        <v/>
      </c>
      <c r="H179" s="61">
        <f>IF(H159=0,0,H167/H159)</f>
        <v/>
      </c>
      <c r="I179" s="61">
        <f>IF(I159=0,0,I167/I159)</f>
        <v/>
      </c>
      <c r="J179" s="61">
        <f>IF(J159=0,0,J167/J159)</f>
        <v/>
      </c>
      <c r="K179" s="61">
        <f>IF(K159=0,0,K167/K159)</f>
        <v/>
      </c>
      <c r="L179" s="61">
        <f>IF(L159=0,0,L167/L159)</f>
        <v/>
      </c>
      <c r="M179" s="61">
        <f>IF(M159=0,0,M167/M159)</f>
        <v/>
      </c>
      <c r="N179" s="61">
        <f>IF(N159=0,0,N167/N159)</f>
        <v/>
      </c>
      <c r="O179" s="61">
        <f>IF(O159=0,0,O167/O159)</f>
        <v/>
      </c>
      <c r="P179" s="61">
        <f>IF(P159=0,0,P167/P159)</f>
        <v/>
      </c>
      <c r="Q179" s="61">
        <f>IF(Q159=0,0,Q167/Q159)</f>
        <v/>
      </c>
      <c r="R179" s="61">
        <f>IF(R159=0,0,R167/R159)</f>
        <v/>
      </c>
      <c r="S179" s="61">
        <f>IF(S159=0,0,S167/S159)</f>
        <v/>
      </c>
      <c r="T179" s="61">
        <f>IF(T159=0,0,T167/T159)</f>
        <v/>
      </c>
      <c r="U179" s="61">
        <f>IF(U159=0,0,U167/U159)</f>
        <v/>
      </c>
      <c r="V179" s="61">
        <f>IF(V159=0,0,V167/V159)</f>
        <v/>
      </c>
      <c r="W179" s="61">
        <f>IF(W159=0,0,W167/W159)</f>
        <v/>
      </c>
      <c r="X179" s="61">
        <f>IF(X159=0,0,X167/X159)</f>
        <v/>
      </c>
      <c r="Y179" s="61">
        <f>IF(Y159=0,0,Y167/Y159)</f>
        <v/>
      </c>
      <c r="Z179" s="61">
        <f>IF(Z159=0,0,Z167/Z159)</f>
        <v/>
      </c>
      <c r="AA179" s="61">
        <f>IF(AA159=0,0,AA167/AA159)</f>
        <v/>
      </c>
      <c r="AB179" s="61">
        <f>IF(AB159=0,0,AB167/AB159)</f>
        <v/>
      </c>
      <c r="AC179" s="61">
        <f>IF(AC159=0,0,AC167/AC159)</f>
        <v/>
      </c>
      <c r="AD179" s="61">
        <f>IF(AD159=0,0,AD167/AD159)</f>
        <v/>
      </c>
      <c r="AE179" s="61">
        <f>IF(AE159=0,0,AE167/AE159)</f>
        <v/>
      </c>
    </row>
    <row r="180">
      <c r="A180" s="6" t="inlineStr">
        <is>
          <t xml:space="preserve">  Total credit capacity across cardholders (memo)</t>
        </is>
      </c>
      <c r="B180" s="23" t="inlineStr">
        <is>
          <t>USD</t>
        </is>
      </c>
      <c r="C180" s="61">
        <f>C46*C49+C89*C92+C132*C135</f>
        <v/>
      </c>
      <c r="D180" s="61">
        <f>D46*D49+D89*D92+D132*D135</f>
        <v/>
      </c>
      <c r="E180" s="61">
        <f>E46*E49+E89*E92+E132*E135</f>
        <v/>
      </c>
      <c r="F180" s="61">
        <f>F46*F49+F89*F92+F132*F135</f>
        <v/>
      </c>
      <c r="G180" s="61">
        <f>G46*G49+G89*G92+G132*G135</f>
        <v/>
      </c>
      <c r="H180" s="61">
        <f>H46*H49+H89*H92+H132*H135</f>
        <v/>
      </c>
      <c r="I180" s="61">
        <f>I46*I49+I89*I92+I132*I135</f>
        <v/>
      </c>
      <c r="J180" s="61">
        <f>J46*J49+J89*J92+J132*J135</f>
        <v/>
      </c>
      <c r="K180" s="61">
        <f>K46*K49+K89*K92+K132*K135</f>
        <v/>
      </c>
      <c r="L180" s="61">
        <f>L46*L49+L89*L92+L132*L135</f>
        <v/>
      </c>
      <c r="M180" s="61">
        <f>M46*M49+M89*M92+M132*M135</f>
        <v/>
      </c>
      <c r="N180" s="61">
        <f>N46*N49+N89*N92+N132*N135</f>
        <v/>
      </c>
      <c r="O180" s="61">
        <f>O46*O49+O89*O92+O132*O135</f>
        <v/>
      </c>
      <c r="P180" s="61">
        <f>P46*P49+P89*P92+P132*P135</f>
        <v/>
      </c>
      <c r="Q180" s="61">
        <f>Q46*Q49+Q89*Q92+Q132*Q135</f>
        <v/>
      </c>
      <c r="R180" s="61">
        <f>R46*R49+R89*R92+R132*R135</f>
        <v/>
      </c>
      <c r="S180" s="61">
        <f>S46*S49+S89*S92+S132*S135</f>
        <v/>
      </c>
      <c r="T180" s="61">
        <f>T46*T49+T89*T92+T132*T135</f>
        <v/>
      </c>
      <c r="U180" s="61">
        <f>U46*U49+U89*U92+U132*U135</f>
        <v/>
      </c>
      <c r="V180" s="61">
        <f>V46*V49+V89*V92+V132*V135</f>
        <v/>
      </c>
      <c r="W180" s="61">
        <f>W46*W49+W89*W92+W132*W135</f>
        <v/>
      </c>
      <c r="X180" s="61">
        <f>X46*X49+X89*X92+X132*X135</f>
        <v/>
      </c>
      <c r="Y180" s="61">
        <f>Y46*Y49+Y89*Y92+Y132*Y135</f>
        <v/>
      </c>
      <c r="Z180" s="61">
        <f>Z46*Z49+Z89*Z92+Z132*Z135</f>
        <v/>
      </c>
      <c r="AA180" s="61">
        <f>AA46*AA49+AA89*AA92+AA132*AA135</f>
        <v/>
      </c>
      <c r="AB180" s="61">
        <f>AB46*AB49+AB89*AB92+AB132*AB135</f>
        <v/>
      </c>
      <c r="AC180" s="61">
        <f>AC46*AC49+AC89*AC92+AC132*AC135</f>
        <v/>
      </c>
      <c r="AD180" s="61">
        <f>AD46*AD49+AD89*AD92+AD132*AD135</f>
        <v/>
      </c>
      <c r="AE180" s="61">
        <f>AE46*AE49+AE89*AE92+AE132*AE135</f>
        <v/>
      </c>
    </row>
    <row r="181">
      <c r="A181" s="6" t="inlineStr">
        <is>
          <t xml:space="preserve">  CHECK: card spend vs credit capacity (must be &lt;= 1.00)</t>
        </is>
      </c>
      <c r="B181" s="23" t="inlineStr">
        <is>
          <t>x</t>
        </is>
      </c>
      <c r="C181" s="67">
        <f>IF(C180=0,0,((C53+C96+C139)/C7)/C180)</f>
        <v/>
      </c>
      <c r="D181" s="67">
        <f>IF(D180=0,0,((D53+D96+D139)/D7)/D180)</f>
        <v/>
      </c>
      <c r="E181" s="67">
        <f>IF(E180=0,0,((E53+E96+E139)/E7)/E180)</f>
        <v/>
      </c>
      <c r="F181" s="67">
        <f>IF(F180=0,0,((F53+F96+F139)/F7)/F180)</f>
        <v/>
      </c>
      <c r="G181" s="67">
        <f>IF(G180=0,0,((G53+G96+G139)/G7)/G180)</f>
        <v/>
      </c>
      <c r="H181" s="67">
        <f>IF(H180=0,0,((H53+H96+H139)/H7)/H180)</f>
        <v/>
      </c>
      <c r="I181" s="67">
        <f>IF(I180=0,0,((I53+I96+I139)/I7)/I180)</f>
        <v/>
      </c>
      <c r="J181" s="67">
        <f>IF(J180=0,0,((J53+J96+J139)/J7)/J180)</f>
        <v/>
      </c>
      <c r="K181" s="67">
        <f>IF(K180=0,0,((K53+K96+K139)/K7)/K180)</f>
        <v/>
      </c>
      <c r="L181" s="67">
        <f>IF(L180=0,0,((L53+L96+L139)/L7)/L180)</f>
        <v/>
      </c>
      <c r="M181" s="67">
        <f>IF(M180=0,0,((M53+M96+M139)/M7)/M180)</f>
        <v/>
      </c>
      <c r="N181" s="67">
        <f>IF(N180=0,0,((N53+N96+N139)/N7)/N180)</f>
        <v/>
      </c>
      <c r="O181" s="67">
        <f>IF(O180=0,0,((O53+O96+O139)/O7)/O180)</f>
        <v/>
      </c>
      <c r="P181" s="67">
        <f>IF(P180=0,0,((P53+P96+P139)/P7)/P180)</f>
        <v/>
      </c>
      <c r="Q181" s="67">
        <f>IF(Q180=0,0,((Q53+Q96+Q139)/Q7)/Q180)</f>
        <v/>
      </c>
      <c r="R181" s="67">
        <f>IF(R180=0,0,((R53+R96+R139)/R7)/R180)</f>
        <v/>
      </c>
      <c r="S181" s="67">
        <f>IF(S180=0,0,((S53+S96+S139)/S7)/S180)</f>
        <v/>
      </c>
      <c r="T181" s="67">
        <f>IF(T180=0,0,((T53+T96+T139)/T7)/T180)</f>
        <v/>
      </c>
      <c r="U181" s="67">
        <f>IF(U180=0,0,((U53+U96+U139)/U7)/U180)</f>
        <v/>
      </c>
      <c r="V181" s="67">
        <f>IF(V180=0,0,((V53+V96+V139)/V7)/V180)</f>
        <v/>
      </c>
      <c r="W181" s="67">
        <f>IF(W180=0,0,((W53+W96+W139)/W7)/W180)</f>
        <v/>
      </c>
      <c r="X181" s="67">
        <f>IF(X180=0,0,((X53+X96+X139)/X7)/X180)</f>
        <v/>
      </c>
      <c r="Y181" s="67">
        <f>IF(Y180=0,0,((Y53+Y96+Y139)/Y7)/Y180)</f>
        <v/>
      </c>
      <c r="Z181" s="67">
        <f>IF(Z180=0,0,((Z53+Z96+Z139)/Z7)/Z180)</f>
        <v/>
      </c>
      <c r="AA181" s="67">
        <f>IF(AA180=0,0,((AA53+AA96+AA139)/AA7)/AA180)</f>
        <v/>
      </c>
      <c r="AB181" s="67">
        <f>IF(AB180=0,0,((AB53+AB96+AB139)/AB7)/AB180)</f>
        <v/>
      </c>
      <c r="AC181" s="67">
        <f>IF(AC180=0,0,((AC53+AC96+AC139)/AC7)/AC180)</f>
        <v/>
      </c>
      <c r="AD181" s="67">
        <f>IF(AD180=0,0,((AD53+AD96+AD139)/AD7)/AD180)</f>
        <v/>
      </c>
      <c r="AE181" s="67">
        <f>IF(AE180=0,0,((AE53+AE96+AE139)/AE7)/AE180)</f>
        <v/>
      </c>
    </row>
    <row r="183" ht="18" customHeight="1">
      <c r="A183" s="12" t="inlineStr">
        <is>
          <t>SERVICING LOAD - reported, not capped</t>
        </is>
      </c>
      <c r="B183" s="13" t="n"/>
      <c r="C183" s="13" t="n"/>
      <c r="D183" s="13" t="n"/>
      <c r="E183" s="13" t="n"/>
      <c r="F183" s="13" t="n"/>
      <c r="G183" s="13" t="n"/>
      <c r="H183" s="13" t="n"/>
    </row>
    <row r="184">
      <c r="A184" s="6" t="inlineStr">
        <is>
          <t xml:space="preserve">  Paying customers per agent - UAE</t>
        </is>
      </c>
      <c r="B184" s="23" t="inlineStr">
        <is>
          <t>customers</t>
        </is>
      </c>
      <c r="C184" s="60">
        <f>IF(C28=0,0,C32/(C28/Assumptions!$B$135/C7))</f>
        <v/>
      </c>
      <c r="D184" s="60">
        <f>IF(D28=0,0,D32/(D28/Assumptions!$B$135/D7))</f>
        <v/>
      </c>
      <c r="E184" s="60">
        <f>IF(E28=0,0,E32/(E28/Assumptions!$B$135/E7))</f>
        <v/>
      </c>
      <c r="F184" s="60">
        <f>IF(F28=0,0,F32/(F28/Assumptions!$B$135/F7))</f>
        <v/>
      </c>
      <c r="G184" s="60">
        <f>IF(G28=0,0,G32/(G28/Assumptions!$B$135/G7))</f>
        <v/>
      </c>
      <c r="H184" s="60">
        <f>IF(H28=0,0,H32/(H28/Assumptions!$B$135/H7))</f>
        <v/>
      </c>
      <c r="I184" s="60">
        <f>IF(I28=0,0,I32/(I28/Assumptions!$B$135/I7))</f>
        <v/>
      </c>
      <c r="J184" s="60">
        <f>IF(J28=0,0,J32/(J28/Assumptions!$B$135/J7))</f>
        <v/>
      </c>
      <c r="K184" s="60">
        <f>IF(K28=0,0,K32/(K28/Assumptions!$B$135/K7))</f>
        <v/>
      </c>
      <c r="L184" s="60">
        <f>IF(L28=0,0,L32/(L28/Assumptions!$B$135/L7))</f>
        <v/>
      </c>
      <c r="M184" s="60">
        <f>IF(M28=0,0,M32/(M28/Assumptions!$B$135/M7))</f>
        <v/>
      </c>
      <c r="N184" s="60">
        <f>IF(N28=0,0,N32/(N28/Assumptions!$B$135/N7))</f>
        <v/>
      </c>
      <c r="O184" s="60">
        <f>IF(O28=0,0,O32/(O28/Assumptions!$B$135/O7))</f>
        <v/>
      </c>
      <c r="P184" s="60">
        <f>IF(P28=0,0,P32/(P28/Assumptions!$B$135/P7))</f>
        <v/>
      </c>
      <c r="Q184" s="60">
        <f>IF(Q28=0,0,Q32/(Q28/Assumptions!$B$135/Q7))</f>
        <v/>
      </c>
      <c r="R184" s="60">
        <f>IF(R28=0,0,R32/(R28/Assumptions!$B$135/R7))</f>
        <v/>
      </c>
      <c r="S184" s="60">
        <f>IF(S28=0,0,S32/(S28/Assumptions!$B$135/S7))</f>
        <v/>
      </c>
      <c r="T184" s="60">
        <f>IF(T28=0,0,T32/(T28/Assumptions!$B$135/T7))</f>
        <v/>
      </c>
      <c r="U184" s="60">
        <f>IF(U28=0,0,U32/(U28/Assumptions!$B$135/U7))</f>
        <v/>
      </c>
      <c r="V184" s="60">
        <f>IF(V28=0,0,V32/(V28/Assumptions!$B$135/V7))</f>
        <v/>
      </c>
      <c r="W184" s="60">
        <f>IF(W28=0,0,W32/(W28/Assumptions!$B$135/W7))</f>
        <v/>
      </c>
      <c r="X184" s="60">
        <f>IF(X28=0,0,X32/(X28/Assumptions!$B$135/X7))</f>
        <v/>
      </c>
      <c r="Y184" s="60">
        <f>IF(Y28=0,0,Y32/(Y28/Assumptions!$B$135/Y7))</f>
        <v/>
      </c>
      <c r="Z184" s="60">
        <f>IF(Z28=0,0,Z32/(Z28/Assumptions!$B$135/Z7))</f>
        <v/>
      </c>
      <c r="AA184" s="60">
        <f>IF(AA28=0,0,AA32/(AA28/Assumptions!$B$135/AA7))</f>
        <v/>
      </c>
      <c r="AB184" s="60">
        <f>IF(AB28=0,0,AB32/(AB28/Assumptions!$B$135/AB7))</f>
        <v/>
      </c>
      <c r="AC184" s="60">
        <f>IF(AC28=0,0,AC32/(AC28/Assumptions!$B$135/AC7))</f>
        <v/>
      </c>
      <c r="AD184" s="60">
        <f>IF(AD28=0,0,AD32/(AD28/Assumptions!$B$135/AD7))</f>
        <v/>
      </c>
      <c r="AE184" s="60">
        <f>IF(AE28=0,0,AE32/(AE28/Assumptions!$B$135/AE7))</f>
        <v/>
      </c>
    </row>
    <row r="185">
      <c r="A185" s="6" t="inlineStr">
        <is>
          <t xml:space="preserve">  Paying customers per agent - Oman and Bahrain</t>
        </is>
      </c>
      <c r="B185" s="23" t="inlineStr">
        <is>
          <t>customers</t>
        </is>
      </c>
      <c r="C185" s="60">
        <f>IF(C71=0,0,C75/(C71/Assumptions!$B$135/C7))</f>
        <v/>
      </c>
      <c r="D185" s="60">
        <f>IF(D71=0,0,D75/(D71/Assumptions!$B$135/D7))</f>
        <v/>
      </c>
      <c r="E185" s="60">
        <f>IF(E71=0,0,E75/(E71/Assumptions!$B$135/E7))</f>
        <v/>
      </c>
      <c r="F185" s="60">
        <f>IF(F71=0,0,F75/(F71/Assumptions!$B$135/F7))</f>
        <v/>
      </c>
      <c r="G185" s="60">
        <f>IF(G71=0,0,G75/(G71/Assumptions!$B$135/G7))</f>
        <v/>
      </c>
      <c r="H185" s="60">
        <f>IF(H71=0,0,H75/(H71/Assumptions!$B$135/H7))</f>
        <v/>
      </c>
      <c r="I185" s="60">
        <f>IF(I71=0,0,I75/(I71/Assumptions!$B$135/I7))</f>
        <v/>
      </c>
      <c r="J185" s="60">
        <f>IF(J71=0,0,J75/(J71/Assumptions!$B$135/J7))</f>
        <v/>
      </c>
      <c r="K185" s="60">
        <f>IF(K71=0,0,K75/(K71/Assumptions!$B$135/K7))</f>
        <v/>
      </c>
      <c r="L185" s="60">
        <f>IF(L71=0,0,L75/(L71/Assumptions!$B$135/L7))</f>
        <v/>
      </c>
      <c r="M185" s="60">
        <f>IF(M71=0,0,M75/(M71/Assumptions!$B$135/M7))</f>
        <v/>
      </c>
      <c r="N185" s="60">
        <f>IF(N71=0,0,N75/(N71/Assumptions!$B$135/N7))</f>
        <v/>
      </c>
      <c r="O185" s="60">
        <f>IF(O71=0,0,O75/(O71/Assumptions!$B$135/O7))</f>
        <v/>
      </c>
      <c r="P185" s="60">
        <f>IF(P71=0,0,P75/(P71/Assumptions!$B$135/P7))</f>
        <v/>
      </c>
      <c r="Q185" s="60">
        <f>IF(Q71=0,0,Q75/(Q71/Assumptions!$B$135/Q7))</f>
        <v/>
      </c>
      <c r="R185" s="60">
        <f>IF(R71=0,0,R75/(R71/Assumptions!$B$135/R7))</f>
        <v/>
      </c>
      <c r="S185" s="60">
        <f>IF(S71=0,0,S75/(S71/Assumptions!$B$135/S7))</f>
        <v/>
      </c>
      <c r="T185" s="60">
        <f>IF(T71=0,0,T75/(T71/Assumptions!$B$135/T7))</f>
        <v/>
      </c>
      <c r="U185" s="60">
        <f>IF(U71=0,0,U75/(U71/Assumptions!$B$135/U7))</f>
        <v/>
      </c>
      <c r="V185" s="60">
        <f>IF(V71=0,0,V75/(V71/Assumptions!$B$135/V7))</f>
        <v/>
      </c>
      <c r="W185" s="60">
        <f>IF(W71=0,0,W75/(W71/Assumptions!$B$135/W7))</f>
        <v/>
      </c>
      <c r="X185" s="60">
        <f>IF(X71=0,0,X75/(X71/Assumptions!$B$135/X7))</f>
        <v/>
      </c>
      <c r="Y185" s="60">
        <f>IF(Y71=0,0,Y75/(Y71/Assumptions!$B$135/Y7))</f>
        <v/>
      </c>
      <c r="Z185" s="60">
        <f>IF(Z71=0,0,Z75/(Z71/Assumptions!$B$135/Z7))</f>
        <v/>
      </c>
      <c r="AA185" s="60">
        <f>IF(AA71=0,0,AA75/(AA71/Assumptions!$B$135/AA7))</f>
        <v/>
      </c>
      <c r="AB185" s="60">
        <f>IF(AB71=0,0,AB75/(AB71/Assumptions!$B$135/AB7))</f>
        <v/>
      </c>
      <c r="AC185" s="60">
        <f>IF(AC71=0,0,AC75/(AC71/Assumptions!$B$135/AC7))</f>
        <v/>
      </c>
      <c r="AD185" s="60">
        <f>IF(AD71=0,0,AD75/(AD71/Assumptions!$B$135/AD7))</f>
        <v/>
      </c>
      <c r="AE185" s="60">
        <f>IF(AE71=0,0,AE75/(AE71/Assumptions!$B$135/AE7))</f>
        <v/>
      </c>
    </row>
    <row r="186">
      <c r="A186" s="6" t="inlineStr">
        <is>
          <t xml:space="preserve">  Paying customers per agent - India</t>
        </is>
      </c>
      <c r="B186" s="23" t="inlineStr">
        <is>
          <t>customers</t>
        </is>
      </c>
      <c r="C186" s="60">
        <f>IF(C114=0,0,C118/(C114/Assumptions!$B$135/C7))</f>
        <v/>
      </c>
      <c r="D186" s="60">
        <f>IF(D114=0,0,D118/(D114/Assumptions!$B$135/D7))</f>
        <v/>
      </c>
      <c r="E186" s="60">
        <f>IF(E114=0,0,E118/(E114/Assumptions!$B$135/E7))</f>
        <v/>
      </c>
      <c r="F186" s="60">
        <f>IF(F114=0,0,F118/(F114/Assumptions!$B$135/F7))</f>
        <v/>
      </c>
      <c r="G186" s="60">
        <f>IF(G114=0,0,G118/(G114/Assumptions!$B$135/G7))</f>
        <v/>
      </c>
      <c r="H186" s="60">
        <f>IF(H114=0,0,H118/(H114/Assumptions!$B$135/H7))</f>
        <v/>
      </c>
      <c r="I186" s="60">
        <f>IF(I114=0,0,I118/(I114/Assumptions!$B$135/I7))</f>
        <v/>
      </c>
      <c r="J186" s="60">
        <f>IF(J114=0,0,J118/(J114/Assumptions!$B$135/J7))</f>
        <v/>
      </c>
      <c r="K186" s="60">
        <f>IF(K114=0,0,K118/(K114/Assumptions!$B$135/K7))</f>
        <v/>
      </c>
      <c r="L186" s="60">
        <f>IF(L114=0,0,L118/(L114/Assumptions!$B$135/L7))</f>
        <v/>
      </c>
      <c r="M186" s="60">
        <f>IF(M114=0,0,M118/(M114/Assumptions!$B$135/M7))</f>
        <v/>
      </c>
      <c r="N186" s="60">
        <f>IF(N114=0,0,N118/(N114/Assumptions!$B$135/N7))</f>
        <v/>
      </c>
      <c r="O186" s="60">
        <f>IF(O114=0,0,O118/(O114/Assumptions!$B$135/O7))</f>
        <v/>
      </c>
      <c r="P186" s="60">
        <f>IF(P114=0,0,P118/(P114/Assumptions!$B$135/P7))</f>
        <v/>
      </c>
      <c r="Q186" s="60">
        <f>IF(Q114=0,0,Q118/(Q114/Assumptions!$B$135/Q7))</f>
        <v/>
      </c>
      <c r="R186" s="60">
        <f>IF(R114=0,0,R118/(R114/Assumptions!$B$135/R7))</f>
        <v/>
      </c>
      <c r="S186" s="60">
        <f>IF(S114=0,0,S118/(S114/Assumptions!$B$135/S7))</f>
        <v/>
      </c>
      <c r="T186" s="60">
        <f>IF(T114=0,0,T118/(T114/Assumptions!$B$135/T7))</f>
        <v/>
      </c>
      <c r="U186" s="60">
        <f>IF(U114=0,0,U118/(U114/Assumptions!$B$135/U7))</f>
        <v/>
      </c>
      <c r="V186" s="60">
        <f>IF(V114=0,0,V118/(V114/Assumptions!$B$135/V7))</f>
        <v/>
      </c>
      <c r="W186" s="60">
        <f>IF(W114=0,0,W118/(W114/Assumptions!$B$135/W7))</f>
        <v/>
      </c>
      <c r="X186" s="60">
        <f>IF(X114=0,0,X118/(X114/Assumptions!$B$135/X7))</f>
        <v/>
      </c>
      <c r="Y186" s="60">
        <f>IF(Y114=0,0,Y118/(Y114/Assumptions!$B$135/Y7))</f>
        <v/>
      </c>
      <c r="Z186" s="60">
        <f>IF(Z114=0,0,Z118/(Z114/Assumptions!$B$135/Z7))</f>
        <v/>
      </c>
      <c r="AA186" s="60">
        <f>IF(AA114=0,0,AA118/(AA114/Assumptions!$B$135/AA7))</f>
        <v/>
      </c>
      <c r="AB186" s="60">
        <f>IF(AB114=0,0,AB118/(AB114/Assumptions!$B$135/AB7))</f>
        <v/>
      </c>
      <c r="AC186" s="60">
        <f>IF(AC114=0,0,AC118/(AC114/Assumptions!$B$135/AC7))</f>
        <v/>
      </c>
      <c r="AD186" s="60">
        <f>IF(AD114=0,0,AD118/(AD114/Assumptions!$B$135/AD7))</f>
        <v/>
      </c>
      <c r="AE186" s="60">
        <f>IF(AE114=0,0,AE118/(AE114/Assumptions!$B$135/AE7))</f>
        <v/>
      </c>
    </row>
    <row r="187">
      <c r="A187" s="9" t="inlineStr">
        <is>
          <t>Blank where a region has no agents, which is UAE and Oman &amp; Bahrain by design. Compare against 345-550 (microfinance loan officer, heavy weekly servicing) and ~2,335 (Bank Mitra, on-demand servicing). Aurumix's servicing is lighter than either, so a high number here is not automatically wrong - but it should be a decision rather than an accident.</t>
        </is>
      </c>
    </row>
    <row r="189">
      <c r="A189" s="6" t="inlineStr">
        <is>
          <t>Stream 1a - Entry fee, SIP</t>
        </is>
      </c>
      <c r="B189" s="23" t="inlineStr">
        <is>
          <t>USD</t>
        </is>
      </c>
      <c r="C189" s="61">
        <f>C56+C99+C142</f>
        <v/>
      </c>
      <c r="D189" s="61">
        <f>D56+D99+D142</f>
        <v/>
      </c>
      <c r="E189" s="61">
        <f>E56+E99+E142</f>
        <v/>
      </c>
      <c r="F189" s="61">
        <f>F56+F99+F142</f>
        <v/>
      </c>
      <c r="G189" s="61">
        <f>G56+G99+G142</f>
        <v/>
      </c>
      <c r="H189" s="61">
        <f>H56+H99+H142</f>
        <v/>
      </c>
      <c r="I189" s="61">
        <f>I56+I99+I142</f>
        <v/>
      </c>
      <c r="J189" s="61">
        <f>J56+J99+J142</f>
        <v/>
      </c>
      <c r="K189" s="61">
        <f>K56+K99+K142</f>
        <v/>
      </c>
      <c r="L189" s="61">
        <f>L56+L99+L142</f>
        <v/>
      </c>
      <c r="M189" s="61">
        <f>M56+M99+M142</f>
        <v/>
      </c>
      <c r="N189" s="61">
        <f>N56+N99+N142</f>
        <v/>
      </c>
      <c r="O189" s="61">
        <f>O56+O99+O142</f>
        <v/>
      </c>
      <c r="P189" s="61">
        <f>P56+P99+P142</f>
        <v/>
      </c>
      <c r="Q189" s="61">
        <f>Q56+Q99+Q142</f>
        <v/>
      </c>
      <c r="R189" s="61">
        <f>R56+R99+R142</f>
        <v/>
      </c>
      <c r="S189" s="61">
        <f>S56+S99+S142</f>
        <v/>
      </c>
      <c r="T189" s="61">
        <f>T56+T99+T142</f>
        <v/>
      </c>
      <c r="U189" s="61">
        <f>U56+U99+U142</f>
        <v/>
      </c>
      <c r="V189" s="61">
        <f>V56+V99+V142</f>
        <v/>
      </c>
      <c r="W189" s="61">
        <f>W56+W99+W142</f>
        <v/>
      </c>
      <c r="X189" s="61">
        <f>X56+X99+X142</f>
        <v/>
      </c>
      <c r="Y189" s="61">
        <f>Y56+Y99+Y142</f>
        <v/>
      </c>
      <c r="Z189" s="61">
        <f>Z56+Z99+Z142</f>
        <v/>
      </c>
      <c r="AA189" s="61">
        <f>AA56+AA99+AA142</f>
        <v/>
      </c>
      <c r="AB189" s="61">
        <f>AB56+AB99+AB142</f>
        <v/>
      </c>
      <c r="AC189" s="61">
        <f>AC56+AC99+AC142</f>
        <v/>
      </c>
      <c r="AD189" s="61">
        <f>AD56+AD99+AD142</f>
        <v/>
      </c>
      <c r="AE189" s="61">
        <f>AE56+AE99+AE142</f>
        <v/>
      </c>
    </row>
    <row r="190">
      <c r="A190" s="6" t="inlineStr">
        <is>
          <t>Stream 1b - Entry fee, SPOT</t>
        </is>
      </c>
      <c r="B190" s="23" t="inlineStr">
        <is>
          <t>USD</t>
        </is>
      </c>
      <c r="C190" s="61">
        <f>C57+C100+C143</f>
        <v/>
      </c>
      <c r="D190" s="61">
        <f>D57+D100+D143</f>
        <v/>
      </c>
      <c r="E190" s="61">
        <f>E57+E100+E143</f>
        <v/>
      </c>
      <c r="F190" s="61">
        <f>F57+F100+F143</f>
        <v/>
      </c>
      <c r="G190" s="61">
        <f>G57+G100+G143</f>
        <v/>
      </c>
      <c r="H190" s="61">
        <f>H57+H100+H143</f>
        <v/>
      </c>
      <c r="I190" s="61">
        <f>I57+I100+I143</f>
        <v/>
      </c>
      <c r="J190" s="61">
        <f>J57+J100+J143</f>
        <v/>
      </c>
      <c r="K190" s="61">
        <f>K57+K100+K143</f>
        <v/>
      </c>
      <c r="L190" s="61">
        <f>L57+L100+L143</f>
        <v/>
      </c>
      <c r="M190" s="61">
        <f>M57+M100+M143</f>
        <v/>
      </c>
      <c r="N190" s="61">
        <f>N57+N100+N143</f>
        <v/>
      </c>
      <c r="O190" s="61">
        <f>O57+O100+O143</f>
        <v/>
      </c>
      <c r="P190" s="61">
        <f>P57+P100+P143</f>
        <v/>
      </c>
      <c r="Q190" s="61">
        <f>Q57+Q100+Q143</f>
        <v/>
      </c>
      <c r="R190" s="61">
        <f>R57+R100+R143</f>
        <v/>
      </c>
      <c r="S190" s="61">
        <f>S57+S100+S143</f>
        <v/>
      </c>
      <c r="T190" s="61">
        <f>T57+T100+T143</f>
        <v/>
      </c>
      <c r="U190" s="61">
        <f>U57+U100+U143</f>
        <v/>
      </c>
      <c r="V190" s="61">
        <f>V57+V100+V143</f>
        <v/>
      </c>
      <c r="W190" s="61">
        <f>W57+W100+W143</f>
        <v/>
      </c>
      <c r="X190" s="61">
        <f>X57+X100+X143</f>
        <v/>
      </c>
      <c r="Y190" s="61">
        <f>Y57+Y100+Y143</f>
        <v/>
      </c>
      <c r="Z190" s="61">
        <f>Z57+Z100+Z143</f>
        <v/>
      </c>
      <c r="AA190" s="61">
        <f>AA57+AA100+AA143</f>
        <v/>
      </c>
      <c r="AB190" s="61">
        <f>AB57+AB100+AB143</f>
        <v/>
      </c>
      <c r="AC190" s="61">
        <f>AC57+AC100+AC143</f>
        <v/>
      </c>
      <c r="AD190" s="61">
        <f>AD57+AD100+AD143</f>
        <v/>
      </c>
      <c r="AE190" s="61">
        <f>AE57+AE100+AE143</f>
        <v/>
      </c>
    </row>
    <row r="191">
      <c r="A191" s="6" t="inlineStr">
        <is>
          <t>Stream 2 - Card interchange</t>
        </is>
      </c>
      <c r="B191" s="23" t="inlineStr">
        <is>
          <t>USD</t>
        </is>
      </c>
      <c r="C191" s="61">
        <f>C58+C101+C144</f>
        <v/>
      </c>
      <c r="D191" s="61">
        <f>D58+D101+D144</f>
        <v/>
      </c>
      <c r="E191" s="61">
        <f>E58+E101+E144</f>
        <v/>
      </c>
      <c r="F191" s="61">
        <f>F58+F101+F144</f>
        <v/>
      </c>
      <c r="G191" s="61">
        <f>G58+G101+G144</f>
        <v/>
      </c>
      <c r="H191" s="61">
        <f>H58+H101+H144</f>
        <v/>
      </c>
      <c r="I191" s="61">
        <f>I58+I101+I144</f>
        <v/>
      </c>
      <c r="J191" s="61">
        <f>J58+J101+J144</f>
        <v/>
      </c>
      <c r="K191" s="61">
        <f>K58+K101+K144</f>
        <v/>
      </c>
      <c r="L191" s="61">
        <f>L58+L101+L144</f>
        <v/>
      </c>
      <c r="M191" s="61">
        <f>M58+M101+M144</f>
        <v/>
      </c>
      <c r="N191" s="61">
        <f>N58+N101+N144</f>
        <v/>
      </c>
      <c r="O191" s="61">
        <f>O58+O101+O144</f>
        <v/>
      </c>
      <c r="P191" s="61">
        <f>P58+P101+P144</f>
        <v/>
      </c>
      <c r="Q191" s="61">
        <f>Q58+Q101+Q144</f>
        <v/>
      </c>
      <c r="R191" s="61">
        <f>R58+R101+R144</f>
        <v/>
      </c>
      <c r="S191" s="61">
        <f>S58+S101+S144</f>
        <v/>
      </c>
      <c r="T191" s="61">
        <f>T58+T101+T144</f>
        <v/>
      </c>
      <c r="U191" s="61">
        <f>U58+U101+U144</f>
        <v/>
      </c>
      <c r="V191" s="61">
        <f>V58+V101+V144</f>
        <v/>
      </c>
      <c r="W191" s="61">
        <f>W58+W101+W144</f>
        <v/>
      </c>
      <c r="X191" s="61">
        <f>X58+X101+X144</f>
        <v/>
      </c>
      <c r="Y191" s="61">
        <f>Y58+Y101+Y144</f>
        <v/>
      </c>
      <c r="Z191" s="61">
        <f>Z58+Z101+Z144</f>
        <v/>
      </c>
      <c r="AA191" s="61">
        <f>AA58+AA101+AA144</f>
        <v/>
      </c>
      <c r="AB191" s="61">
        <f>AB58+AB101+AB144</f>
        <v/>
      </c>
      <c r="AC191" s="61">
        <f>AC58+AC101+AC144</f>
        <v/>
      </c>
      <c r="AD191" s="61">
        <f>AD58+AD101+AD144</f>
        <v/>
      </c>
      <c r="AE191" s="61">
        <f>AE58+AE101+AE144</f>
        <v/>
      </c>
    </row>
    <row r="192">
      <c r="A192" s="6" t="inlineStr">
        <is>
          <t>Stream 3 - Family plan and Digital Will</t>
        </is>
      </c>
      <c r="B192" s="23" t="inlineStr">
        <is>
          <t>USD</t>
        </is>
      </c>
      <c r="C192" s="61">
        <f>C60+C103+C146</f>
        <v/>
      </c>
      <c r="D192" s="61">
        <f>D60+D103+D146</f>
        <v/>
      </c>
      <c r="E192" s="61">
        <f>E60+E103+E146</f>
        <v/>
      </c>
      <c r="F192" s="61">
        <f>F60+F103+F146</f>
        <v/>
      </c>
      <c r="G192" s="61">
        <f>G60+G103+G146</f>
        <v/>
      </c>
      <c r="H192" s="61">
        <f>H60+H103+H146</f>
        <v/>
      </c>
      <c r="I192" s="61">
        <f>I60+I103+I146</f>
        <v/>
      </c>
      <c r="J192" s="61">
        <f>J60+J103+J146</f>
        <v/>
      </c>
      <c r="K192" s="61">
        <f>K60+K103+K146</f>
        <v/>
      </c>
      <c r="L192" s="61">
        <f>L60+L103+L146</f>
        <v/>
      </c>
      <c r="M192" s="61">
        <f>M60+M103+M146</f>
        <v/>
      </c>
      <c r="N192" s="61">
        <f>N60+N103+N146</f>
        <v/>
      </c>
      <c r="O192" s="61">
        <f>O60+O103+O146</f>
        <v/>
      </c>
      <c r="P192" s="61">
        <f>P60+P103+P146</f>
        <v/>
      </c>
      <c r="Q192" s="61">
        <f>Q60+Q103+Q146</f>
        <v/>
      </c>
      <c r="R192" s="61">
        <f>R60+R103+R146</f>
        <v/>
      </c>
      <c r="S192" s="61">
        <f>S60+S103+S146</f>
        <v/>
      </c>
      <c r="T192" s="61">
        <f>T60+T103+T146</f>
        <v/>
      </c>
      <c r="U192" s="61">
        <f>U60+U103+U146</f>
        <v/>
      </c>
      <c r="V192" s="61">
        <f>V60+V103+V146</f>
        <v/>
      </c>
      <c r="W192" s="61">
        <f>W60+W103+W146</f>
        <v/>
      </c>
      <c r="X192" s="61">
        <f>X60+X103+X146</f>
        <v/>
      </c>
      <c r="Y192" s="61">
        <f>Y60+Y103+Y146</f>
        <v/>
      </c>
      <c r="Z192" s="61">
        <f>Z60+Z103+Z146</f>
        <v/>
      </c>
      <c r="AA192" s="61">
        <f>AA60+AA103+AA146</f>
        <v/>
      </c>
      <c r="AB192" s="61">
        <f>AB60+AB103+AB146</f>
        <v/>
      </c>
      <c r="AC192" s="61">
        <f>AC60+AC103+AC146</f>
        <v/>
      </c>
      <c r="AD192" s="61">
        <f>AD60+AD103+AD146</f>
        <v/>
      </c>
      <c r="AE192" s="61">
        <f>AE60+AE103+AE146</f>
        <v/>
      </c>
    </row>
    <row r="193">
      <c r="A193" s="6" t="inlineStr">
        <is>
          <t>Stream 4 - Cardholder fees</t>
        </is>
      </c>
      <c r="B193" s="23" t="inlineStr">
        <is>
          <t>USD</t>
        </is>
      </c>
      <c r="C193" s="61">
        <f>C61+C104+C147</f>
        <v/>
      </c>
      <c r="D193" s="61">
        <f>D61+D104+D147</f>
        <v/>
      </c>
      <c r="E193" s="61">
        <f>E61+E104+E147</f>
        <v/>
      </c>
      <c r="F193" s="61">
        <f>F61+F104+F147</f>
        <v/>
      </c>
      <c r="G193" s="61">
        <f>G61+G104+G147</f>
        <v/>
      </c>
      <c r="H193" s="61">
        <f>H61+H104+H147</f>
        <v/>
      </c>
      <c r="I193" s="61">
        <f>I61+I104+I147</f>
        <v/>
      </c>
      <c r="J193" s="61">
        <f>J61+J104+J147</f>
        <v/>
      </c>
      <c r="K193" s="61">
        <f>K61+K104+K147</f>
        <v/>
      </c>
      <c r="L193" s="61">
        <f>L61+L104+L147</f>
        <v/>
      </c>
      <c r="M193" s="61">
        <f>M61+M104+M147</f>
        <v/>
      </c>
      <c r="N193" s="61">
        <f>N61+N104+N147</f>
        <v/>
      </c>
      <c r="O193" s="61">
        <f>O61+O104+O147</f>
        <v/>
      </c>
      <c r="P193" s="61">
        <f>P61+P104+P147</f>
        <v/>
      </c>
      <c r="Q193" s="61">
        <f>Q61+Q104+Q147</f>
        <v/>
      </c>
      <c r="R193" s="61">
        <f>R61+R104+R147</f>
        <v/>
      </c>
      <c r="S193" s="61">
        <f>S61+S104+S147</f>
        <v/>
      </c>
      <c r="T193" s="61">
        <f>T61+T104+T147</f>
        <v/>
      </c>
      <c r="U193" s="61">
        <f>U61+U104+U147</f>
        <v/>
      </c>
      <c r="V193" s="61">
        <f>V61+V104+V147</f>
        <v/>
      </c>
      <c r="W193" s="61">
        <f>W61+W104+W147</f>
        <v/>
      </c>
      <c r="X193" s="61">
        <f>X61+X104+X147</f>
        <v/>
      </c>
      <c r="Y193" s="61">
        <f>Y61+Y104+Y147</f>
        <v/>
      </c>
      <c r="Z193" s="61">
        <f>Z61+Z104+Z147</f>
        <v/>
      </c>
      <c r="AA193" s="61">
        <f>AA61+AA104+AA147</f>
        <v/>
      </c>
      <c r="AB193" s="61">
        <f>AB61+AB104+AB147</f>
        <v/>
      </c>
      <c r="AC193" s="61">
        <f>AC61+AC104+AC147</f>
        <v/>
      </c>
      <c r="AD193" s="61">
        <f>AD61+AD104+AD147</f>
        <v/>
      </c>
      <c r="AE193" s="61">
        <f>AE61+AE104+AE147</f>
        <v/>
      </c>
    </row>
    <row r="194">
      <c r="A194" s="6" t="inlineStr">
        <is>
          <t>Stream 5 - Lending revenue share</t>
        </is>
      </c>
      <c r="B194" s="23" t="inlineStr">
        <is>
          <t>USD</t>
        </is>
      </c>
      <c r="C194" s="61">
        <f>C63+C106+C149</f>
        <v/>
      </c>
      <c r="D194" s="61">
        <f>D63+D106+D149</f>
        <v/>
      </c>
      <c r="E194" s="61">
        <f>E63+E106+E149</f>
        <v/>
      </c>
      <c r="F194" s="61">
        <f>F63+F106+F149</f>
        <v/>
      </c>
      <c r="G194" s="61">
        <f>G63+G106+G149</f>
        <v/>
      </c>
      <c r="H194" s="61">
        <f>H63+H106+H149</f>
        <v/>
      </c>
      <c r="I194" s="61">
        <f>I63+I106+I149</f>
        <v/>
      </c>
      <c r="J194" s="61">
        <f>J63+J106+J149</f>
        <v/>
      </c>
      <c r="K194" s="61">
        <f>K63+K106+K149</f>
        <v/>
      </c>
      <c r="L194" s="61">
        <f>L63+L106+L149</f>
        <v/>
      </c>
      <c r="M194" s="61">
        <f>M63+M106+M149</f>
        <v/>
      </c>
      <c r="N194" s="61">
        <f>N63+N106+N149</f>
        <v/>
      </c>
      <c r="O194" s="61">
        <f>O63+O106+O149</f>
        <v/>
      </c>
      <c r="P194" s="61">
        <f>P63+P106+P149</f>
        <v/>
      </c>
      <c r="Q194" s="61">
        <f>Q63+Q106+Q149</f>
        <v/>
      </c>
      <c r="R194" s="61">
        <f>R63+R106+R149</f>
        <v/>
      </c>
      <c r="S194" s="61">
        <f>S63+S106+S149</f>
        <v/>
      </c>
      <c r="T194" s="61">
        <f>T63+T106+T149</f>
        <v/>
      </c>
      <c r="U194" s="61">
        <f>U63+U106+U149</f>
        <v/>
      </c>
      <c r="V194" s="61">
        <f>V63+V106+V149</f>
        <v/>
      </c>
      <c r="W194" s="61">
        <f>W63+W106+W149</f>
        <v/>
      </c>
      <c r="X194" s="61">
        <f>X63+X106+X149</f>
        <v/>
      </c>
      <c r="Y194" s="61">
        <f>Y63+Y106+Y149</f>
        <v/>
      </c>
      <c r="Z194" s="61">
        <f>Z63+Z106+Z149</f>
        <v/>
      </c>
      <c r="AA194" s="61">
        <f>AA63+AA106+AA149</f>
        <v/>
      </c>
      <c r="AB194" s="61">
        <f>AB63+AB106+AB149</f>
        <v/>
      </c>
      <c r="AC194" s="61">
        <f>AC63+AC106+AC149</f>
        <v/>
      </c>
      <c r="AD194" s="61">
        <f>AD63+AD106+AD149</f>
        <v/>
      </c>
      <c r="AE194" s="61">
        <f>AE63+AE106+AE149</f>
        <v/>
      </c>
    </row>
    <row r="195">
      <c r="A195" s="6" t="inlineStr">
        <is>
          <t>Redemption events (memo - drives cost, not revenue)</t>
        </is>
      </c>
      <c r="B195" s="23" t="inlineStr">
        <is>
          <t>events</t>
        </is>
      </c>
      <c r="C195" s="50">
        <f>C64+C107+C150</f>
        <v/>
      </c>
      <c r="D195" s="50">
        <f>D64+D107+D150</f>
        <v/>
      </c>
      <c r="E195" s="50">
        <f>E64+E107+E150</f>
        <v/>
      </c>
      <c r="F195" s="50">
        <f>F64+F107+F150</f>
        <v/>
      </c>
      <c r="G195" s="50">
        <f>G64+G107+G150</f>
        <v/>
      </c>
      <c r="H195" s="50">
        <f>H64+H107+H150</f>
        <v/>
      </c>
      <c r="I195" s="50">
        <f>I64+I107+I150</f>
        <v/>
      </c>
      <c r="J195" s="50">
        <f>J64+J107+J150</f>
        <v/>
      </c>
      <c r="K195" s="50">
        <f>K64+K107+K150</f>
        <v/>
      </c>
      <c r="L195" s="50">
        <f>L64+L107+L150</f>
        <v/>
      </c>
      <c r="M195" s="50">
        <f>M64+M107+M150</f>
        <v/>
      </c>
      <c r="N195" s="50">
        <f>N64+N107+N150</f>
        <v/>
      </c>
      <c r="O195" s="50">
        <f>O64+O107+O150</f>
        <v/>
      </c>
      <c r="P195" s="50">
        <f>P64+P107+P150</f>
        <v/>
      </c>
      <c r="Q195" s="50">
        <f>Q64+Q107+Q150</f>
        <v/>
      </c>
      <c r="R195" s="50">
        <f>R64+R107+R150</f>
        <v/>
      </c>
      <c r="S195" s="50">
        <f>S64+S107+S150</f>
        <v/>
      </c>
      <c r="T195" s="50">
        <f>T64+T107+T150</f>
        <v/>
      </c>
      <c r="U195" s="50">
        <f>U64+U107+U150</f>
        <v/>
      </c>
      <c r="V195" s="50">
        <f>V64+V107+V150</f>
        <v/>
      </c>
      <c r="W195" s="50">
        <f>W64+W107+W150</f>
        <v/>
      </c>
      <c r="X195" s="50">
        <f>X64+X107+X150</f>
        <v/>
      </c>
      <c r="Y195" s="50">
        <f>Y64+Y107+Y150</f>
        <v/>
      </c>
      <c r="Z195" s="50">
        <f>Z64+Z107+Z150</f>
        <v/>
      </c>
      <c r="AA195" s="50">
        <f>AA64+AA107+AA150</f>
        <v/>
      </c>
      <c r="AB195" s="50">
        <f>AB64+AB107+AB150</f>
        <v/>
      </c>
      <c r="AC195" s="50">
        <f>AC64+AC107+AC150</f>
        <v/>
      </c>
      <c r="AD195" s="50">
        <f>AD64+AD107+AD150</f>
        <v/>
      </c>
      <c r="AE195" s="50">
        <f>AE64+AE107+AE150</f>
        <v/>
      </c>
    </row>
    <row r="196">
      <c r="A196" s="6" t="inlineStr">
        <is>
          <t>Card authorisations (memo - drives cost, not revenue)</t>
        </is>
      </c>
      <c r="B196" s="23" t="inlineStr">
        <is>
          <t>events</t>
        </is>
      </c>
      <c r="C196" s="50">
        <f>C55+C98+C141</f>
        <v/>
      </c>
      <c r="D196" s="50">
        <f>D55+D98+D141</f>
        <v/>
      </c>
      <c r="E196" s="50">
        <f>E55+E98+E141</f>
        <v/>
      </c>
      <c r="F196" s="50">
        <f>F55+F98+F141</f>
        <v/>
      </c>
      <c r="G196" s="50">
        <f>G55+G98+G141</f>
        <v/>
      </c>
      <c r="H196" s="50">
        <f>H55+H98+H141</f>
        <v/>
      </c>
      <c r="I196" s="50">
        <f>I55+I98+I141</f>
        <v/>
      </c>
      <c r="J196" s="50">
        <f>J55+J98+J141</f>
        <v/>
      </c>
      <c r="K196" s="50">
        <f>K55+K98+K141</f>
        <v/>
      </c>
      <c r="L196" s="50">
        <f>L55+L98+L141</f>
        <v/>
      </c>
      <c r="M196" s="50">
        <f>M55+M98+M141</f>
        <v/>
      </c>
      <c r="N196" s="50">
        <f>N55+N98+N141</f>
        <v/>
      </c>
      <c r="O196" s="50">
        <f>O55+O98+O141</f>
        <v/>
      </c>
      <c r="P196" s="50">
        <f>P55+P98+P141</f>
        <v/>
      </c>
      <c r="Q196" s="50">
        <f>Q55+Q98+Q141</f>
        <v/>
      </c>
      <c r="R196" s="50">
        <f>R55+R98+R141</f>
        <v/>
      </c>
      <c r="S196" s="50">
        <f>S55+S98+S141</f>
        <v/>
      </c>
      <c r="T196" s="50">
        <f>T55+T98+T141</f>
        <v/>
      </c>
      <c r="U196" s="50">
        <f>U55+U98+U141</f>
        <v/>
      </c>
      <c r="V196" s="50">
        <f>V55+V98+V141</f>
        <v/>
      </c>
      <c r="W196" s="50">
        <f>W55+W98+W141</f>
        <v/>
      </c>
      <c r="X196" s="50">
        <f>X55+X98+X141</f>
        <v/>
      </c>
      <c r="Y196" s="50">
        <f>Y55+Y98+Y141</f>
        <v/>
      </c>
      <c r="Z196" s="50">
        <f>Z55+Z98+Z141</f>
        <v/>
      </c>
      <c r="AA196" s="50">
        <f>AA55+AA98+AA141</f>
        <v/>
      </c>
      <c r="AB196" s="50">
        <f>AB55+AB98+AB141</f>
        <v/>
      </c>
      <c r="AC196" s="50">
        <f>AC55+AC98+AC141</f>
        <v/>
      </c>
      <c r="AD196" s="50">
        <f>AD55+AD98+AD141</f>
        <v/>
      </c>
      <c r="AE196" s="50">
        <f>AE55+AE98+AE141</f>
        <v/>
      </c>
    </row>
    <row r="197">
      <c r="A197" s="3" t="inlineStr">
        <is>
          <t>TOTAL NET REVENUE</t>
        </is>
      </c>
      <c r="B197" s="23" t="inlineStr">
        <is>
          <t>USD</t>
        </is>
      </c>
      <c r="C197" s="63">
        <f>C65+C108+C151+C155</f>
        <v/>
      </c>
      <c r="D197" s="63">
        <f>D65+D108+D151+D155</f>
        <v/>
      </c>
      <c r="E197" s="63">
        <f>E65+E108+E151+E155</f>
        <v/>
      </c>
      <c r="F197" s="63">
        <f>F65+F108+F151+F155</f>
        <v/>
      </c>
      <c r="G197" s="63">
        <f>G65+G108+G151+G155</f>
        <v/>
      </c>
      <c r="H197" s="63">
        <f>H65+H108+H151+H155</f>
        <v/>
      </c>
      <c r="I197" s="63">
        <f>I65+I108+I151+I155</f>
        <v/>
      </c>
      <c r="J197" s="63">
        <f>J65+J108+J151+J155</f>
        <v/>
      </c>
      <c r="K197" s="63">
        <f>K65+K108+K151+K155</f>
        <v/>
      </c>
      <c r="L197" s="63">
        <f>L65+L108+L151+L155</f>
        <v/>
      </c>
      <c r="M197" s="63">
        <f>M65+M108+M151+M155</f>
        <v/>
      </c>
      <c r="N197" s="63">
        <f>N65+N108+N151+N155</f>
        <v/>
      </c>
      <c r="O197" s="63">
        <f>O65+O108+O151+O155</f>
        <v/>
      </c>
      <c r="P197" s="63">
        <f>P65+P108+P151+P155</f>
        <v/>
      </c>
      <c r="Q197" s="63">
        <f>Q65+Q108+Q151+Q155</f>
        <v/>
      </c>
      <c r="R197" s="63">
        <f>R65+R108+R151+R155</f>
        <v/>
      </c>
      <c r="S197" s="63">
        <f>S65+S108+S151+S155</f>
        <v/>
      </c>
      <c r="T197" s="63">
        <f>T65+T108+T151+T155</f>
        <v/>
      </c>
      <c r="U197" s="63">
        <f>U65+U108+U151+U155</f>
        <v/>
      </c>
      <c r="V197" s="63">
        <f>V65+V108+V151+V155</f>
        <v/>
      </c>
      <c r="W197" s="63">
        <f>W65+W108+W151+W155</f>
        <v/>
      </c>
      <c r="X197" s="63">
        <f>X65+X108+X151+X155</f>
        <v/>
      </c>
      <c r="Y197" s="63">
        <f>Y65+Y108+Y151+Y155</f>
        <v/>
      </c>
      <c r="Z197" s="63">
        <f>Z65+Z108+Z151+Z155</f>
        <v/>
      </c>
      <c r="AA197" s="63">
        <f>AA65+AA108+AA151+AA155</f>
        <v/>
      </c>
      <c r="AB197" s="63">
        <f>AB65+AB108+AB151+AB155</f>
        <v/>
      </c>
      <c r="AC197" s="63">
        <f>AC65+AC108+AC151+AC155</f>
        <v/>
      </c>
      <c r="AD197" s="63">
        <f>AD65+AD108+AD151+AD155</f>
        <v/>
      </c>
      <c r="AE197" s="63">
        <f>AE65+AE108+AE151+AE155</f>
        <v/>
      </c>
    </row>
    <row r="198">
      <c r="A198" s="6" t="inlineStr">
        <is>
          <t>Net revenue per paying customer (annualised)</t>
        </is>
      </c>
      <c r="B198" s="23" t="inlineStr">
        <is>
          <t>USD</t>
        </is>
      </c>
      <c r="C198" s="61">
        <f>IF(C159=0,0,C197/C159/C7*12)</f>
        <v/>
      </c>
      <c r="D198" s="61">
        <f>IF(D159=0,0,D197/D159/D7*12)</f>
        <v/>
      </c>
      <c r="E198" s="61">
        <f>IF(E159=0,0,E197/E159/E7*12)</f>
        <v/>
      </c>
      <c r="F198" s="61">
        <f>IF(F159=0,0,F197/F159/F7*12)</f>
        <v/>
      </c>
      <c r="G198" s="61">
        <f>IF(G159=0,0,G197/G159/G7*12)</f>
        <v/>
      </c>
      <c r="H198" s="61">
        <f>IF(H159=0,0,H197/H159/H7*12)</f>
        <v/>
      </c>
      <c r="I198" s="61">
        <f>IF(I159=0,0,I197/I159/I7*12)</f>
        <v/>
      </c>
      <c r="J198" s="61">
        <f>IF(J159=0,0,J197/J159/J7*12)</f>
        <v/>
      </c>
      <c r="K198" s="61">
        <f>IF(K159=0,0,K197/K159/K7*12)</f>
        <v/>
      </c>
      <c r="L198" s="61">
        <f>IF(L159=0,0,L197/L159/L7*12)</f>
        <v/>
      </c>
      <c r="M198" s="61">
        <f>IF(M159=0,0,M197/M159/M7*12)</f>
        <v/>
      </c>
      <c r="N198" s="61">
        <f>IF(N159=0,0,N197/N159/N7*12)</f>
        <v/>
      </c>
      <c r="O198" s="61">
        <f>IF(O159=0,0,O197/O159/O7*12)</f>
        <v/>
      </c>
      <c r="P198" s="61">
        <f>IF(P159=0,0,P197/P159/P7*12)</f>
        <v/>
      </c>
      <c r="Q198" s="61">
        <f>IF(Q159=0,0,Q197/Q159/Q7*12)</f>
        <v/>
      </c>
      <c r="R198" s="61">
        <f>IF(R159=0,0,R197/R159/R7*12)</f>
        <v/>
      </c>
      <c r="S198" s="61">
        <f>IF(S159=0,0,S197/S159/S7*12)</f>
        <v/>
      </c>
      <c r="T198" s="61">
        <f>IF(T159=0,0,T197/T159/T7*12)</f>
        <v/>
      </c>
      <c r="U198" s="61">
        <f>IF(U159=0,0,U197/U159/U7*12)</f>
        <v/>
      </c>
      <c r="V198" s="61">
        <f>IF(V159=0,0,V197/V159/V7*12)</f>
        <v/>
      </c>
      <c r="W198" s="61">
        <f>IF(W159=0,0,W197/W159/W7*12)</f>
        <v/>
      </c>
      <c r="X198" s="61">
        <f>IF(X159=0,0,X197/X159/X7*12)</f>
        <v/>
      </c>
      <c r="Y198" s="61">
        <f>IF(Y159=0,0,Y197/Y159/Y7*12)</f>
        <v/>
      </c>
      <c r="Z198" s="61">
        <f>IF(Z159=0,0,Z197/Z159/Z7*12)</f>
        <v/>
      </c>
      <c r="AA198" s="61">
        <f>IF(AA159=0,0,AA197/AA159/AA7*12)</f>
        <v/>
      </c>
      <c r="AB198" s="61">
        <f>IF(AB159=0,0,AB197/AB159/AB7*12)</f>
        <v/>
      </c>
      <c r="AC198" s="61">
        <f>IF(AC159=0,0,AC197/AC159/AC7*12)</f>
        <v/>
      </c>
      <c r="AD198" s="61">
        <f>IF(AD159=0,0,AD197/AD159/AD7*12)</f>
        <v/>
      </c>
      <c r="AE198" s="61">
        <f>IF(AE159=0,0,AE197/AE159/AE7*12)</f>
        <v/>
      </c>
    </row>
    <row r="199">
      <c r="A199" s="6" t="inlineStr">
        <is>
          <t>CHECK: regional subtotals + B2B = sum of streams</t>
        </is>
      </c>
      <c r="B199" s="23" t="inlineStr">
        <is>
          <t>delta</t>
        </is>
      </c>
      <c r="C199" s="66">
        <f>C197-(C189+C190+C191+C192+C193+C194+C155)</f>
        <v/>
      </c>
      <c r="D199" s="66">
        <f>D197-(D189+D190+D191+D192+D193+D194+D155)</f>
        <v/>
      </c>
      <c r="E199" s="66">
        <f>E197-(E189+E190+E191+E192+E193+E194+E155)</f>
        <v/>
      </c>
      <c r="F199" s="66">
        <f>F197-(F189+F190+F191+F192+F193+F194+F155)</f>
        <v/>
      </c>
      <c r="G199" s="66">
        <f>G197-(G189+G190+G191+G192+G193+G194+G155)</f>
        <v/>
      </c>
      <c r="H199" s="66">
        <f>H197-(H189+H190+H191+H192+H193+H194+H155)</f>
        <v/>
      </c>
      <c r="I199" s="66">
        <f>I197-(I189+I190+I191+I192+I193+I194+I155)</f>
        <v/>
      </c>
      <c r="J199" s="66">
        <f>J197-(J189+J190+J191+J192+J193+J194+J155)</f>
        <v/>
      </c>
      <c r="K199" s="66">
        <f>K197-(K189+K190+K191+K192+K193+K194+K155)</f>
        <v/>
      </c>
      <c r="L199" s="66">
        <f>L197-(L189+L190+L191+L192+L193+L194+L155)</f>
        <v/>
      </c>
      <c r="M199" s="66">
        <f>M197-(M189+M190+M191+M192+M193+M194+M155)</f>
        <v/>
      </c>
      <c r="N199" s="66">
        <f>N197-(N189+N190+N191+N192+N193+N194+N155)</f>
        <v/>
      </c>
      <c r="O199" s="66">
        <f>O197-(O189+O190+O191+O192+O193+O194+O155)</f>
        <v/>
      </c>
      <c r="P199" s="66">
        <f>P197-(P189+P190+P191+P192+P193+P194+P155)</f>
        <v/>
      </c>
      <c r="Q199" s="66">
        <f>Q197-(Q189+Q190+Q191+Q192+Q193+Q194+Q155)</f>
        <v/>
      </c>
      <c r="R199" s="66">
        <f>R197-(R189+R190+R191+R192+R193+R194+R155)</f>
        <v/>
      </c>
      <c r="S199" s="66">
        <f>S197-(S189+S190+S191+S192+S193+S194+S155)</f>
        <v/>
      </c>
      <c r="T199" s="66">
        <f>T197-(T189+T190+T191+T192+T193+T194+T155)</f>
        <v/>
      </c>
      <c r="U199" s="66">
        <f>U197-(U189+U190+U191+U192+U193+U194+U155)</f>
        <v/>
      </c>
      <c r="V199" s="66">
        <f>V197-(V189+V190+V191+V192+V193+V194+V155)</f>
        <v/>
      </c>
      <c r="W199" s="66">
        <f>W197-(W189+W190+W191+W192+W193+W194+W155)</f>
        <v/>
      </c>
      <c r="X199" s="66">
        <f>X197-(X189+X190+X191+X192+X193+X194+X155)</f>
        <v/>
      </c>
      <c r="Y199" s="66">
        <f>Y197-(Y189+Y190+Y191+Y192+Y193+Y194+Y155)</f>
        <v/>
      </c>
      <c r="Z199" s="66">
        <f>Z197-(Z189+Z190+Z191+Z192+Z193+Z194+Z155)</f>
        <v/>
      </c>
      <c r="AA199" s="66">
        <f>AA197-(AA189+AA190+AA191+AA192+AA193+AA194+AA155)</f>
        <v/>
      </c>
      <c r="AB199" s="66">
        <f>AB197-(AB189+AB190+AB191+AB192+AB193+AB194+AB155)</f>
        <v/>
      </c>
      <c r="AC199" s="66">
        <f>AC197-(AC189+AC190+AC191+AC192+AC193+AC194+AC155)</f>
        <v/>
      </c>
      <c r="AD199" s="66">
        <f>AD197-(AD189+AD190+AD191+AD192+AD193+AD194+AD155)</f>
        <v/>
      </c>
      <c r="AE199" s="66">
        <f>AE197-(AE189+AE190+AE191+AE192+AE193+AE194+AE155)</f>
        <v/>
      </c>
    </row>
    <row r="202" ht="20" customHeight="1">
      <c r="A202" s="12" t="inlineStr">
        <is>
          <t>WORKING CAPITAL - the float. NOT A COST: money tied up, not money spent</t>
        </is>
      </c>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row>
    <row r="204">
      <c r="A204" s="51" t="inlineStr">
        <is>
          <t>THE FLOAT - Aurumix's own gold, held before any customer owns it</t>
        </is>
      </c>
      <c r="B204" s="52" t="n"/>
      <c r="C204" s="52" t="n"/>
      <c r="D204" s="52"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c r="AA204" s="52" t="n"/>
      <c r="AB204" s="52" t="n"/>
      <c r="AC204" s="52" t="n"/>
      <c r="AD204" s="52" t="n"/>
      <c r="AE204" s="52" t="n"/>
    </row>
    <row r="205">
      <c r="A205" s="6" t="inlineStr">
        <is>
          <t xml:space="preserve">  Daily demand</t>
        </is>
      </c>
      <c r="B205" s="23" t="inlineStr">
        <is>
          <t>grams/day</t>
        </is>
      </c>
      <c r="C205" s="60">
        <f>C166/(C7*365/12)</f>
        <v/>
      </c>
      <c r="D205" s="60">
        <f>D166/(D7*365/12)</f>
        <v/>
      </c>
      <c r="E205" s="60">
        <f>E166/(E7*365/12)</f>
        <v/>
      </c>
      <c r="F205" s="60">
        <f>F166/(F7*365/12)</f>
        <v/>
      </c>
      <c r="G205" s="60">
        <f>G166/(G7*365/12)</f>
        <v/>
      </c>
      <c r="H205" s="60">
        <f>H166/(H7*365/12)</f>
        <v/>
      </c>
      <c r="I205" s="60">
        <f>I166/(I7*365/12)</f>
        <v/>
      </c>
      <c r="J205" s="60">
        <f>J166/(J7*365/12)</f>
        <v/>
      </c>
      <c r="K205" s="60">
        <f>K166/(K7*365/12)</f>
        <v/>
      </c>
      <c r="L205" s="60">
        <f>L166/(L7*365/12)</f>
        <v/>
      </c>
      <c r="M205" s="60">
        <f>M166/(M7*365/12)</f>
        <v/>
      </c>
      <c r="N205" s="60">
        <f>N166/(N7*365/12)</f>
        <v/>
      </c>
      <c r="O205" s="60">
        <f>O166/(O7*365/12)</f>
        <v/>
      </c>
      <c r="P205" s="60">
        <f>P166/(P7*365/12)</f>
        <v/>
      </c>
      <c r="Q205" s="60">
        <f>Q166/(Q7*365/12)</f>
        <v/>
      </c>
      <c r="R205" s="60">
        <f>R166/(R7*365/12)</f>
        <v/>
      </c>
      <c r="S205" s="60">
        <f>S166/(S7*365/12)</f>
        <v/>
      </c>
      <c r="T205" s="60">
        <f>T166/(T7*365/12)</f>
        <v/>
      </c>
      <c r="U205" s="60">
        <f>U166/(U7*365/12)</f>
        <v/>
      </c>
      <c r="V205" s="60">
        <f>V166/(V7*365/12)</f>
        <v/>
      </c>
      <c r="W205" s="60">
        <f>W166/(W7*365/12)</f>
        <v/>
      </c>
      <c r="X205" s="60">
        <f>X166/(X7*365/12)</f>
        <v/>
      </c>
      <c r="Y205" s="60">
        <f>Y166/(Y7*365/12)</f>
        <v/>
      </c>
      <c r="Z205" s="60">
        <f>Z166/(Z7*365/12)</f>
        <v/>
      </c>
      <c r="AA205" s="60">
        <f>AA166/(AA7*365/12)</f>
        <v/>
      </c>
      <c r="AB205" s="60">
        <f>AB166/(AB7*365/12)</f>
        <v/>
      </c>
      <c r="AC205" s="60">
        <f>AC166/(AC7*365/12)</f>
        <v/>
      </c>
      <c r="AD205" s="60">
        <f>AD166/(AD7*365/12)</f>
        <v/>
      </c>
      <c r="AE205" s="60">
        <f>AE166/(AE7*365/12)</f>
        <v/>
      </c>
    </row>
    <row r="206">
      <c r="A206" s="6" t="inlineStr">
        <is>
          <t xml:space="preserve">  FLOAT REQUIRED</t>
        </is>
      </c>
      <c r="B206" s="23" t="inlineStr">
        <is>
          <t>grams</t>
        </is>
      </c>
      <c r="C206" s="50">
        <f>MAX(2*Assumptions!$B$10,Assumptions!$B$10+Assumptions!$B$132*C205)</f>
        <v/>
      </c>
      <c r="D206" s="50">
        <f>MAX(2*Assumptions!$B$10,Assumptions!$B$10+Assumptions!$B$132*D205)</f>
        <v/>
      </c>
      <c r="E206" s="50">
        <f>MAX(2*Assumptions!$B$10,Assumptions!$B$10+Assumptions!$B$132*E205)</f>
        <v/>
      </c>
      <c r="F206" s="50">
        <f>MAX(2*Assumptions!$B$10,Assumptions!$B$10+Assumptions!$B$132*F205)</f>
        <v/>
      </c>
      <c r="G206" s="50">
        <f>MAX(2*Assumptions!$B$10,Assumptions!$B$10+Assumptions!$B$132*G205)</f>
        <v/>
      </c>
      <c r="H206" s="50">
        <f>MAX(2*Assumptions!$B$10,Assumptions!$B$10+Assumptions!$B$132*H205)</f>
        <v/>
      </c>
      <c r="I206" s="50">
        <f>MAX(2*Assumptions!$B$10,Assumptions!$B$10+Assumptions!$B$132*I205)</f>
        <v/>
      </c>
      <c r="J206" s="50">
        <f>MAX(2*Assumptions!$B$10,Assumptions!$B$10+Assumptions!$B$132*J205)</f>
        <v/>
      </c>
      <c r="K206" s="50">
        <f>MAX(2*Assumptions!$B$10,Assumptions!$B$10+Assumptions!$B$132*K205)</f>
        <v/>
      </c>
      <c r="L206" s="50">
        <f>MAX(2*Assumptions!$B$10,Assumptions!$B$10+Assumptions!$B$132*L205)</f>
        <v/>
      </c>
      <c r="M206" s="50">
        <f>MAX(2*Assumptions!$B$10,Assumptions!$B$10+Assumptions!$B$132*M205)</f>
        <v/>
      </c>
      <c r="N206" s="50">
        <f>MAX(2*Assumptions!$B$10,Assumptions!$B$10+Assumptions!$B$132*N205)</f>
        <v/>
      </c>
      <c r="O206" s="50">
        <f>MAX(2*Assumptions!$B$10,Assumptions!$B$10+Assumptions!$B$132*O205)</f>
        <v/>
      </c>
      <c r="P206" s="50">
        <f>MAX(2*Assumptions!$B$10,Assumptions!$B$10+Assumptions!$B$132*P205)</f>
        <v/>
      </c>
      <c r="Q206" s="50">
        <f>MAX(2*Assumptions!$B$10,Assumptions!$B$10+Assumptions!$B$132*Q205)</f>
        <v/>
      </c>
      <c r="R206" s="50">
        <f>MAX(2*Assumptions!$B$10,Assumptions!$B$10+Assumptions!$B$132*R205)</f>
        <v/>
      </c>
      <c r="S206" s="50">
        <f>MAX(2*Assumptions!$B$10,Assumptions!$B$10+Assumptions!$B$132*S205)</f>
        <v/>
      </c>
      <c r="T206" s="50">
        <f>MAX(2*Assumptions!$B$10,Assumptions!$B$10+Assumptions!$B$132*T205)</f>
        <v/>
      </c>
      <c r="U206" s="50">
        <f>MAX(2*Assumptions!$B$10,Assumptions!$B$10+Assumptions!$B$132*U205)</f>
        <v/>
      </c>
      <c r="V206" s="50">
        <f>MAX(2*Assumptions!$B$10,Assumptions!$B$10+Assumptions!$B$132*V205)</f>
        <v/>
      </c>
      <c r="W206" s="50">
        <f>MAX(2*Assumptions!$B$10,Assumptions!$B$10+Assumptions!$B$132*W205)</f>
        <v/>
      </c>
      <c r="X206" s="50">
        <f>MAX(2*Assumptions!$B$10,Assumptions!$B$10+Assumptions!$B$132*X205)</f>
        <v/>
      </c>
      <c r="Y206" s="50">
        <f>MAX(2*Assumptions!$B$10,Assumptions!$B$10+Assumptions!$B$132*Y205)</f>
        <v/>
      </c>
      <c r="Z206" s="50">
        <f>MAX(2*Assumptions!$B$10,Assumptions!$B$10+Assumptions!$B$132*Z205)</f>
        <v/>
      </c>
      <c r="AA206" s="50">
        <f>MAX(2*Assumptions!$B$10,Assumptions!$B$10+Assumptions!$B$132*AA205)</f>
        <v/>
      </c>
      <c r="AB206" s="50">
        <f>MAX(2*Assumptions!$B$10,Assumptions!$B$10+Assumptions!$B$132*AB205)</f>
        <v/>
      </c>
      <c r="AC206" s="50">
        <f>MAX(2*Assumptions!$B$10,Assumptions!$B$10+Assumptions!$B$132*AC205)</f>
        <v/>
      </c>
      <c r="AD206" s="50">
        <f>MAX(2*Assumptions!$B$10,Assumptions!$B$10+Assumptions!$B$132*AD205)</f>
        <v/>
      </c>
      <c r="AE206" s="50">
        <f>MAX(2*Assumptions!$B$10,Assumptions!$B$10+Assumptions!$B$132*AE205)</f>
        <v/>
      </c>
    </row>
    <row r="207">
      <c r="A207" s="9" t="inlineStr">
        <is>
          <t>MAX(two bars, one bar + N days of demand). TWO BARS IS THE FLOOR because you need one bar to sell from and one behind it - hold only one and you drop below a full bar the moment you sell, with customers already paid for gold you cannot deliver. That half is a SETTLED RULE from the design docs. THE N-DAY BUFFER IS THE ASSUMPTION, and it sizes REPLENISHMENT - how long to get metal back into the vault, not how long demand takes to empty the shelf. The floor binds until demand reaches 10 grams a day, around month six, so THE LAUNCH FIGURE DOES NOT DEPEND ON THE BUFFER AT ALL.</t>
        </is>
      </c>
    </row>
    <row r="208">
      <c r="A208" s="6" t="inlineStr">
        <is>
          <t xml:space="preserve">  ...in bars</t>
        </is>
      </c>
      <c r="B208" s="23" t="inlineStr">
        <is>
          <t>bars</t>
        </is>
      </c>
      <c r="C208" s="60">
        <f>C206/Assumptions!$B$10</f>
        <v/>
      </c>
      <c r="D208" s="60">
        <f>D206/Assumptions!$B$10</f>
        <v/>
      </c>
      <c r="E208" s="60">
        <f>E206/Assumptions!$B$10</f>
        <v/>
      </c>
      <c r="F208" s="60">
        <f>F206/Assumptions!$B$10</f>
        <v/>
      </c>
      <c r="G208" s="60">
        <f>G206/Assumptions!$B$10</f>
        <v/>
      </c>
      <c r="H208" s="60">
        <f>H206/Assumptions!$B$10</f>
        <v/>
      </c>
      <c r="I208" s="60">
        <f>I206/Assumptions!$B$10</f>
        <v/>
      </c>
      <c r="J208" s="60">
        <f>J206/Assumptions!$B$10</f>
        <v/>
      </c>
      <c r="K208" s="60">
        <f>K206/Assumptions!$B$10</f>
        <v/>
      </c>
      <c r="L208" s="60">
        <f>L206/Assumptions!$B$10</f>
        <v/>
      </c>
      <c r="M208" s="60">
        <f>M206/Assumptions!$B$10</f>
        <v/>
      </c>
      <c r="N208" s="60">
        <f>N206/Assumptions!$B$10</f>
        <v/>
      </c>
      <c r="O208" s="60">
        <f>O206/Assumptions!$B$10</f>
        <v/>
      </c>
      <c r="P208" s="60">
        <f>P206/Assumptions!$B$10</f>
        <v/>
      </c>
      <c r="Q208" s="60">
        <f>Q206/Assumptions!$B$10</f>
        <v/>
      </c>
      <c r="R208" s="60">
        <f>R206/Assumptions!$B$10</f>
        <v/>
      </c>
      <c r="S208" s="60">
        <f>S206/Assumptions!$B$10</f>
        <v/>
      </c>
      <c r="T208" s="60">
        <f>T206/Assumptions!$B$10</f>
        <v/>
      </c>
      <c r="U208" s="60">
        <f>U206/Assumptions!$B$10</f>
        <v/>
      </c>
      <c r="V208" s="60">
        <f>V206/Assumptions!$B$10</f>
        <v/>
      </c>
      <c r="W208" s="60">
        <f>W206/Assumptions!$B$10</f>
        <v/>
      </c>
      <c r="X208" s="60">
        <f>X206/Assumptions!$B$10</f>
        <v/>
      </c>
      <c r="Y208" s="60">
        <f>Y206/Assumptions!$B$10</f>
        <v/>
      </c>
      <c r="Z208" s="60">
        <f>Z206/Assumptions!$B$10</f>
        <v/>
      </c>
      <c r="AA208" s="60">
        <f>AA206/Assumptions!$B$10</f>
        <v/>
      </c>
      <c r="AB208" s="60">
        <f>AB206/Assumptions!$B$10</f>
        <v/>
      </c>
      <c r="AC208" s="60">
        <f>AC206/Assumptions!$B$10</f>
        <v/>
      </c>
      <c r="AD208" s="60">
        <f>AD206/Assumptions!$B$10</f>
        <v/>
      </c>
      <c r="AE208" s="60">
        <f>AE206/Assumptions!$B$10</f>
        <v/>
      </c>
    </row>
    <row r="209">
      <c r="A209" s="3" t="inlineStr">
        <is>
          <t>FLOAT REQUIRED (standing balance)</t>
        </is>
      </c>
      <c r="B209" s="23" t="inlineStr">
        <is>
          <t>USD</t>
        </is>
      </c>
      <c r="C209" s="63">
        <f>C206*C20*(1+Assumptions!$B$9)</f>
        <v/>
      </c>
      <c r="D209" s="63">
        <f>D206*D20*(1+Assumptions!$B$9)</f>
        <v/>
      </c>
      <c r="E209" s="63">
        <f>E206*E20*(1+Assumptions!$B$9)</f>
        <v/>
      </c>
      <c r="F209" s="63">
        <f>F206*F20*(1+Assumptions!$B$9)</f>
        <v/>
      </c>
      <c r="G209" s="63">
        <f>G206*G20*(1+Assumptions!$B$9)</f>
        <v/>
      </c>
      <c r="H209" s="63">
        <f>H206*H20*(1+Assumptions!$B$9)</f>
        <v/>
      </c>
      <c r="I209" s="63">
        <f>I206*I20*(1+Assumptions!$B$9)</f>
        <v/>
      </c>
      <c r="J209" s="63">
        <f>J206*J20*(1+Assumptions!$B$9)</f>
        <v/>
      </c>
      <c r="K209" s="63">
        <f>K206*K20*(1+Assumptions!$B$9)</f>
        <v/>
      </c>
      <c r="L209" s="63">
        <f>L206*L20*(1+Assumptions!$B$9)</f>
        <v/>
      </c>
      <c r="M209" s="63">
        <f>M206*M20*(1+Assumptions!$B$9)</f>
        <v/>
      </c>
      <c r="N209" s="63">
        <f>N206*N20*(1+Assumptions!$B$9)</f>
        <v/>
      </c>
      <c r="O209" s="63">
        <f>O206*O20*(1+Assumptions!$B$9)</f>
        <v/>
      </c>
      <c r="P209" s="63">
        <f>P206*P20*(1+Assumptions!$B$9)</f>
        <v/>
      </c>
      <c r="Q209" s="63">
        <f>Q206*Q20*(1+Assumptions!$B$9)</f>
        <v/>
      </c>
      <c r="R209" s="63">
        <f>R206*R20*(1+Assumptions!$B$9)</f>
        <v/>
      </c>
      <c r="S209" s="63">
        <f>S206*S20*(1+Assumptions!$B$9)</f>
        <v/>
      </c>
      <c r="T209" s="63">
        <f>T206*T20*(1+Assumptions!$B$9)</f>
        <v/>
      </c>
      <c r="U209" s="63">
        <f>U206*U20*(1+Assumptions!$B$9)</f>
        <v/>
      </c>
      <c r="V209" s="63">
        <f>V206*V20*(1+Assumptions!$B$9)</f>
        <v/>
      </c>
      <c r="W209" s="63">
        <f>W206*W20*(1+Assumptions!$B$9)</f>
        <v/>
      </c>
      <c r="X209" s="63">
        <f>X206*X20*(1+Assumptions!$B$9)</f>
        <v/>
      </c>
      <c r="Y209" s="63">
        <f>Y206*Y20*(1+Assumptions!$B$9)</f>
        <v/>
      </c>
      <c r="Z209" s="63">
        <f>Z206*Z20*(1+Assumptions!$B$9)</f>
        <v/>
      </c>
      <c r="AA209" s="63">
        <f>AA206*AA20*(1+Assumptions!$B$9)</f>
        <v/>
      </c>
      <c r="AB209" s="63">
        <f>AB206*AB20*(1+Assumptions!$B$9)</f>
        <v/>
      </c>
      <c r="AC209" s="63">
        <f>AC206*AC20*(1+Assumptions!$B$9)</f>
        <v/>
      </c>
      <c r="AD209" s="63">
        <f>AD206*AD20*(1+Assumptions!$B$9)</f>
        <v/>
      </c>
      <c r="AE209" s="63">
        <f>AE206*AE20*(1+Assumptions!$B$9)</f>
        <v/>
      </c>
    </row>
    <row r="210">
      <c r="A210" s="9" t="inlineStr">
        <is>
          <t>AT SPOT PLUS THE PREMIUM, because the float is bought from the dealer like any other metal. This is a BALANCE, not a flow - it is what is sitting on the shelf at that date, not what was spent that period.</t>
        </is>
      </c>
    </row>
    <row r="211">
      <c r="A211" s="6" t="inlineStr">
        <is>
          <t xml:space="preserve">  Cash needed this period (new grams only)</t>
        </is>
      </c>
      <c r="B211" s="23" t="inlineStr">
        <is>
          <t>USD</t>
        </is>
      </c>
      <c r="C211" s="61">
        <f>C206*C20*(1+Assumptions!$B$9)</f>
        <v/>
      </c>
      <c r="D211" s="61">
        <f>MAX(0,D206-C206)*D20*(1+Assumptions!$B$9)</f>
        <v/>
      </c>
      <c r="E211" s="61">
        <f>MAX(0,E206-D206)*E20*(1+Assumptions!$B$9)</f>
        <v/>
      </c>
      <c r="F211" s="61">
        <f>MAX(0,F206-E206)*F20*(1+Assumptions!$B$9)</f>
        <v/>
      </c>
      <c r="G211" s="61">
        <f>MAX(0,G206-F206)*G20*(1+Assumptions!$B$9)</f>
        <v/>
      </c>
      <c r="H211" s="61">
        <f>MAX(0,H206-G206)*H20*(1+Assumptions!$B$9)</f>
        <v/>
      </c>
      <c r="I211" s="61">
        <f>MAX(0,I206-H206)*I20*(1+Assumptions!$B$9)</f>
        <v/>
      </c>
      <c r="J211" s="61">
        <f>MAX(0,J206-I206)*J20*(1+Assumptions!$B$9)</f>
        <v/>
      </c>
      <c r="K211" s="61">
        <f>MAX(0,K206-J206)*K20*(1+Assumptions!$B$9)</f>
        <v/>
      </c>
      <c r="L211" s="61">
        <f>MAX(0,L206-K206)*L20*(1+Assumptions!$B$9)</f>
        <v/>
      </c>
      <c r="M211" s="61">
        <f>MAX(0,M206-L206)*M20*(1+Assumptions!$B$9)</f>
        <v/>
      </c>
      <c r="N211" s="61">
        <f>MAX(0,N206-M206)*N20*(1+Assumptions!$B$9)</f>
        <v/>
      </c>
      <c r="O211" s="61">
        <f>MAX(0,O206-N206)*O20*(1+Assumptions!$B$9)</f>
        <v/>
      </c>
      <c r="P211" s="61">
        <f>MAX(0,P206-O206)*P20*(1+Assumptions!$B$9)</f>
        <v/>
      </c>
      <c r="Q211" s="61">
        <f>MAX(0,Q206-P206)*Q20*(1+Assumptions!$B$9)</f>
        <v/>
      </c>
      <c r="R211" s="61">
        <f>MAX(0,R206-Q206)*R20*(1+Assumptions!$B$9)</f>
        <v/>
      </c>
      <c r="S211" s="61">
        <f>MAX(0,S206-R206)*S20*(1+Assumptions!$B$9)</f>
        <v/>
      </c>
      <c r="T211" s="61">
        <f>MAX(0,T206-S206)*T20*(1+Assumptions!$B$9)</f>
        <v/>
      </c>
      <c r="U211" s="61">
        <f>MAX(0,U206-T206)*U20*(1+Assumptions!$B$9)</f>
        <v/>
      </c>
      <c r="V211" s="61">
        <f>MAX(0,V206-U206)*V20*(1+Assumptions!$B$9)</f>
        <v/>
      </c>
      <c r="W211" s="61">
        <f>MAX(0,W206-V206)*W20*(1+Assumptions!$B$9)</f>
        <v/>
      </c>
      <c r="X211" s="61">
        <f>MAX(0,X206-W206)*X20*(1+Assumptions!$B$9)</f>
        <v/>
      </c>
      <c r="Y211" s="61">
        <f>MAX(0,Y206-X206)*Y20*(1+Assumptions!$B$9)</f>
        <v/>
      </c>
      <c r="Z211" s="61">
        <f>MAX(0,Z206-Y206)*Z20*(1+Assumptions!$B$9)</f>
        <v/>
      </c>
      <c r="AA211" s="61">
        <f>MAX(0,AA206-Z206)*AA20*(1+Assumptions!$B$9)</f>
        <v/>
      </c>
      <c r="AB211" s="61">
        <f>MAX(0,AB206-AA206)*AB20*(1+Assumptions!$B$9)</f>
        <v/>
      </c>
      <c r="AC211" s="61">
        <f>MAX(0,AC206-AB206)*AC20*(1+Assumptions!$B$9)</f>
        <v/>
      </c>
      <c r="AD211" s="61">
        <f>MAX(0,AD206-AC206)*AD20*(1+Assumptions!$B$9)</f>
        <v/>
      </c>
      <c r="AE211" s="61">
        <f>MAX(0,AE206-AD206)*AE20*(1+Assumptions!$B$9)</f>
        <v/>
      </c>
    </row>
    <row r="212">
      <c r="A212" s="9" t="inlineStr">
        <is>
          <t>NOT the change in the balance above. The balance also moves when gold reprices, and metal already on the shelf needs no new money to revalue - only EXTRA GRAMS have to be funded. M1 carries the whole 200 g because that is the launch purchase.</t>
        </is>
      </c>
    </row>
    <row r="213">
      <c r="A213" s="3" t="inlineStr">
        <is>
          <t>CUMULATIVE CASH INVESTED IN THE FLOAT</t>
        </is>
      </c>
      <c r="B213" s="23" t="inlineStr">
        <is>
          <t>USD</t>
        </is>
      </c>
      <c r="C213" s="63">
        <f>C211</f>
        <v/>
      </c>
      <c r="D213" s="63">
        <f>C213+D211</f>
        <v/>
      </c>
      <c r="E213" s="63">
        <f>D213+E211</f>
        <v/>
      </c>
      <c r="F213" s="63">
        <f>E213+F211</f>
        <v/>
      </c>
      <c r="G213" s="63">
        <f>F213+G211</f>
        <v/>
      </c>
      <c r="H213" s="63">
        <f>G213+H211</f>
        <v/>
      </c>
      <c r="I213" s="63">
        <f>H213+I211</f>
        <v/>
      </c>
      <c r="J213" s="63">
        <f>I213+J211</f>
        <v/>
      </c>
      <c r="K213" s="63">
        <f>J213+K211</f>
        <v/>
      </c>
      <c r="L213" s="63">
        <f>K213+L211</f>
        <v/>
      </c>
      <c r="M213" s="63">
        <f>L213+M211</f>
        <v/>
      </c>
      <c r="N213" s="63">
        <f>M213+N211</f>
        <v/>
      </c>
      <c r="O213" s="63">
        <f>N213+O211</f>
        <v/>
      </c>
      <c r="P213" s="63">
        <f>O213+P211</f>
        <v/>
      </c>
      <c r="Q213" s="63">
        <f>P213+Q211</f>
        <v/>
      </c>
      <c r="R213" s="63">
        <f>Q213+R211</f>
        <v/>
      </c>
      <c r="S213" s="63">
        <f>R213+S211</f>
        <v/>
      </c>
      <c r="T213" s="63">
        <f>S213+T211</f>
        <v/>
      </c>
      <c r="U213" s="63">
        <f>T213+U211</f>
        <v/>
      </c>
      <c r="V213" s="63">
        <f>U213+V211</f>
        <v/>
      </c>
      <c r="W213" s="63">
        <f>V213+W211</f>
        <v/>
      </c>
      <c r="X213" s="63">
        <f>W213+X211</f>
        <v/>
      </c>
      <c r="Y213" s="63">
        <f>X213+Y211</f>
        <v/>
      </c>
      <c r="Z213" s="63">
        <f>Y213+Z211</f>
        <v/>
      </c>
      <c r="AA213" s="63">
        <f>Z213+AA211</f>
        <v/>
      </c>
      <c r="AB213" s="63">
        <f>AA213+AB211</f>
        <v/>
      </c>
      <c r="AC213" s="63">
        <f>AB213+AC211</f>
        <v/>
      </c>
      <c r="AD213" s="63">
        <f>AC213+AD211</f>
        <v/>
      </c>
      <c r="AE213" s="63">
        <f>AD213+AE211</f>
        <v/>
      </c>
    </row>
    <row r="214">
      <c r="A214" s="3" t="inlineStr">
        <is>
          <t>CARD SETTLEMENT PREFUNDING (working capital, not a cost)</t>
        </is>
      </c>
      <c r="B214" s="23" t="inlineStr">
        <is>
          <t>USD</t>
        </is>
      </c>
      <c r="C214" s="63">
        <f>IF(C2&gt;=Assumptions!$B$51,MAX(Assumptions!$B$221,C171/365*Assumptions!$B$220),0)</f>
        <v/>
      </c>
      <c r="D214" s="63">
        <f>IF(D2&gt;=Assumptions!$B$51,MAX(Assumptions!$B$221,D171/365*Assumptions!$B$220),0)</f>
        <v/>
      </c>
      <c r="E214" s="63">
        <f>IF(E2&gt;=Assumptions!$B$51,MAX(Assumptions!$B$221,E171/365*Assumptions!$B$220),0)</f>
        <v/>
      </c>
      <c r="F214" s="63">
        <f>IF(F2&gt;=Assumptions!$B$51,MAX(Assumptions!$B$221,F171/365*Assumptions!$B$220),0)</f>
        <v/>
      </c>
      <c r="G214" s="63">
        <f>IF(G2&gt;=Assumptions!$B$51,MAX(Assumptions!$B$221,G171/365*Assumptions!$B$220),0)</f>
        <v/>
      </c>
      <c r="H214" s="63">
        <f>IF(H2&gt;=Assumptions!$B$51,MAX(Assumptions!$B$221,H171/365*Assumptions!$B$220),0)</f>
        <v/>
      </c>
      <c r="I214" s="63">
        <f>IF(I2&gt;=Assumptions!$B$51,MAX(Assumptions!$B$221,I171/365*Assumptions!$B$220),0)</f>
        <v/>
      </c>
      <c r="J214" s="63">
        <f>IF(J2&gt;=Assumptions!$B$51,MAX(Assumptions!$B$221,J171/365*Assumptions!$B$220),0)</f>
        <v/>
      </c>
      <c r="K214" s="63">
        <f>IF(K2&gt;=Assumptions!$B$51,MAX(Assumptions!$B$221,K171/365*Assumptions!$B$220),0)</f>
        <v/>
      </c>
      <c r="L214" s="63">
        <f>IF(L2&gt;=Assumptions!$B$51,MAX(Assumptions!$B$221,L171/365*Assumptions!$B$220),0)</f>
        <v/>
      </c>
      <c r="M214" s="63">
        <f>IF(M2&gt;=Assumptions!$B$51,MAX(Assumptions!$B$221,M171/365*Assumptions!$B$220),0)</f>
        <v/>
      </c>
      <c r="N214" s="63">
        <f>IF(N2&gt;=Assumptions!$B$51,MAX(Assumptions!$B$221,N171/365*Assumptions!$B$220),0)</f>
        <v/>
      </c>
      <c r="O214" s="63">
        <f>IF(O2&gt;=Assumptions!$B$51,MAX(Assumptions!$B$221,O171/365*Assumptions!$B$220),0)</f>
        <v/>
      </c>
      <c r="P214" s="63">
        <f>IF(P2&gt;=Assumptions!$B$51,MAX(Assumptions!$B$221,P171/365*Assumptions!$B$220),0)</f>
        <v/>
      </c>
      <c r="Q214" s="63">
        <f>IF(Q2&gt;=Assumptions!$B$51,MAX(Assumptions!$B$221,Q171/365*Assumptions!$B$220),0)</f>
        <v/>
      </c>
      <c r="R214" s="63">
        <f>IF(R2&gt;=Assumptions!$B$51,MAX(Assumptions!$B$221,R171/365*Assumptions!$B$220),0)</f>
        <v/>
      </c>
      <c r="S214" s="63">
        <f>IF(S2&gt;=Assumptions!$B$51,MAX(Assumptions!$B$221,S171/365*Assumptions!$B$220),0)</f>
        <v/>
      </c>
      <c r="T214" s="63">
        <f>IF(T2&gt;=Assumptions!$B$51,MAX(Assumptions!$B$221,T171/365*Assumptions!$B$220),0)</f>
        <v/>
      </c>
      <c r="U214" s="63">
        <f>IF(U2&gt;=Assumptions!$B$51,MAX(Assumptions!$B$221,U171/365*Assumptions!$B$220),0)</f>
        <v/>
      </c>
      <c r="V214" s="63">
        <f>IF(V2&gt;=Assumptions!$B$51,MAX(Assumptions!$B$221,V171/365*Assumptions!$B$220),0)</f>
        <v/>
      </c>
      <c r="W214" s="63">
        <f>IF(W2&gt;=Assumptions!$B$51,MAX(Assumptions!$B$221,W171/365*Assumptions!$B$220),0)</f>
        <v/>
      </c>
      <c r="X214" s="63">
        <f>IF(X2&gt;=Assumptions!$B$51,MAX(Assumptions!$B$221,X171/365*Assumptions!$B$220),0)</f>
        <v/>
      </c>
      <c r="Y214" s="63">
        <f>IF(Y2&gt;=Assumptions!$B$51,MAX(Assumptions!$B$221,Y171/365*Assumptions!$B$220),0)</f>
        <v/>
      </c>
      <c r="Z214" s="63">
        <f>IF(Z2&gt;=Assumptions!$B$51,MAX(Assumptions!$B$221,Z171/365*Assumptions!$B$220),0)</f>
        <v/>
      </c>
      <c r="AA214" s="63">
        <f>IF(AA2&gt;=Assumptions!$B$51,MAX(Assumptions!$B$221,AA171/365*Assumptions!$B$220),0)</f>
        <v/>
      </c>
      <c r="AB214" s="63">
        <f>IF(AB2&gt;=Assumptions!$B$51,MAX(Assumptions!$B$221,AB171/365*Assumptions!$B$220),0)</f>
        <v/>
      </c>
      <c r="AC214" s="63">
        <f>IF(AC2&gt;=Assumptions!$B$51,MAX(Assumptions!$B$221,AC171/365*Assumptions!$B$220),0)</f>
        <v/>
      </c>
      <c r="AD214" s="63">
        <f>IF(AD2&gt;=Assumptions!$B$51,MAX(Assumptions!$B$221,AD171/365*Assumptions!$B$220),0)</f>
        <v/>
      </c>
      <c r="AE214" s="63">
        <f>IF(AE2&gt;=Assumptions!$B$51,MAX(Assumptions!$B$221,AE171/365*Assumptions!$B$220),0)</f>
        <v/>
      </c>
    </row>
    <row r="215">
      <c r="A215" s="9" t="inlineStr">
        <is>
          <t>CASH ON DEPOSIT WITH THE PROCESSOR so card transactions settle before customer funds arrive - the JIT funding mechanism. LIKE THE FLOAT, IT IS MONEY TIED UP RATHER THAN SPENT, and it comes back if the programme winds down. It is NOT in any cost total. THE FLOOR BINDS THROUGHOUT: two days of Y7 card spend is about USD 43,000 against a USD 100,000 minimum, so this is effectively a fixed sum from card launch - a FOURTH minimum-commitment structure. No public schedule exists for prefunding; it is contractual with the processor.</t>
        </is>
      </c>
    </row>
    <row r="216">
      <c r="A216" s="6" t="inlineStr">
        <is>
          <t>CHECK: float never falls below two bars (must be &gt;= 0)</t>
        </is>
      </c>
      <c r="B216" s="23" t="inlineStr">
        <is>
          <t>grams</t>
        </is>
      </c>
      <c r="C216" s="68">
        <f>C206-2*Assumptions!$B$10</f>
        <v/>
      </c>
      <c r="D216" s="68">
        <f>D206-2*Assumptions!$B$10</f>
        <v/>
      </c>
      <c r="E216" s="68">
        <f>E206-2*Assumptions!$B$10</f>
        <v/>
      </c>
      <c r="F216" s="68">
        <f>F206-2*Assumptions!$B$10</f>
        <v/>
      </c>
      <c r="G216" s="68">
        <f>G206-2*Assumptions!$B$10</f>
        <v/>
      </c>
      <c r="H216" s="68">
        <f>H206-2*Assumptions!$B$10</f>
        <v/>
      </c>
      <c r="I216" s="68">
        <f>I206-2*Assumptions!$B$10</f>
        <v/>
      </c>
      <c r="J216" s="68">
        <f>J206-2*Assumptions!$B$10</f>
        <v/>
      </c>
      <c r="K216" s="68">
        <f>K206-2*Assumptions!$B$10</f>
        <v/>
      </c>
      <c r="L216" s="68">
        <f>L206-2*Assumptions!$B$10</f>
        <v/>
      </c>
      <c r="M216" s="68">
        <f>M206-2*Assumptions!$B$10</f>
        <v/>
      </c>
      <c r="N216" s="68">
        <f>N206-2*Assumptions!$B$10</f>
        <v/>
      </c>
      <c r="O216" s="68">
        <f>O206-2*Assumptions!$B$10</f>
        <v/>
      </c>
      <c r="P216" s="68">
        <f>P206-2*Assumptions!$B$10</f>
        <v/>
      </c>
      <c r="Q216" s="68">
        <f>Q206-2*Assumptions!$B$10</f>
        <v/>
      </c>
      <c r="R216" s="68">
        <f>R206-2*Assumptions!$B$10</f>
        <v/>
      </c>
      <c r="S216" s="68">
        <f>S206-2*Assumptions!$B$10</f>
        <v/>
      </c>
      <c r="T216" s="68">
        <f>T206-2*Assumptions!$B$10</f>
        <v/>
      </c>
      <c r="U216" s="68">
        <f>U206-2*Assumptions!$B$10</f>
        <v/>
      </c>
      <c r="V216" s="68">
        <f>V206-2*Assumptions!$B$10</f>
        <v/>
      </c>
      <c r="W216" s="68">
        <f>W206-2*Assumptions!$B$10</f>
        <v/>
      </c>
      <c r="X216" s="68">
        <f>X206-2*Assumptions!$B$10</f>
        <v/>
      </c>
      <c r="Y216" s="68">
        <f>Y206-2*Assumptions!$B$10</f>
        <v/>
      </c>
      <c r="Z216" s="68">
        <f>Z206-2*Assumptions!$B$10</f>
        <v/>
      </c>
      <c r="AA216" s="68">
        <f>AA206-2*Assumptions!$B$10</f>
        <v/>
      </c>
      <c r="AB216" s="68">
        <f>AB206-2*Assumptions!$B$10</f>
        <v/>
      </c>
      <c r="AC216" s="68">
        <f>AC206-2*Assumptions!$B$10</f>
        <v/>
      </c>
      <c r="AD216" s="68">
        <f>AD206-2*Assumptions!$B$10</f>
        <v/>
      </c>
      <c r="AE216" s="68">
        <f>AE206-2*Assumptions!$B$10</f>
        <v/>
      </c>
    </row>
    <row r="219" ht="20" customHeight="1">
      <c r="A219" s="12" t="inlineStr">
        <is>
          <t>COST BASE - every row below this line is money going OUT</t>
        </is>
      </c>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row>
    <row r="221">
      <c r="A221" s="51" t="inlineStr">
        <is>
          <t>COST OF GOODS SOLD - inside the gold trade, charged against stream 1</t>
        </is>
      </c>
      <c r="B221" s="52" t="n"/>
      <c r="C221" s="52" t="n"/>
      <c r="D221" s="52"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c r="AA221" s="52" t="n"/>
      <c r="AB221" s="52" t="n"/>
      <c r="AC221" s="52" t="n"/>
      <c r="AD221" s="52" t="n"/>
      <c r="AE221" s="52" t="n"/>
    </row>
    <row r="222">
      <c r="A222" s="6" t="inlineStr">
        <is>
          <t xml:space="preserve">  Grams returned by redemption (recycled into the float)</t>
        </is>
      </c>
      <c r="B222" s="23" t="inlineStr">
        <is>
          <t>grams</t>
        </is>
      </c>
      <c r="C222" s="60">
        <f>0</f>
        <v/>
      </c>
      <c r="D222" s="60">
        <f>MAX(0,C165+D166-D165)</f>
        <v/>
      </c>
      <c r="E222" s="60">
        <f>MAX(0,D165+E166-E165)</f>
        <v/>
      </c>
      <c r="F222" s="60">
        <f>MAX(0,E165+F166-F165)</f>
        <v/>
      </c>
      <c r="G222" s="60">
        <f>MAX(0,F165+G166-G165)</f>
        <v/>
      </c>
      <c r="H222" s="60">
        <f>MAX(0,G165+H166-H165)</f>
        <v/>
      </c>
      <c r="I222" s="60">
        <f>MAX(0,H165+I166-I165)</f>
        <v/>
      </c>
      <c r="J222" s="60">
        <f>MAX(0,I165+J166-J165)</f>
        <v/>
      </c>
      <c r="K222" s="60">
        <f>MAX(0,J165+K166-K165)</f>
        <v/>
      </c>
      <c r="L222" s="60">
        <f>MAX(0,K165+L166-L165)</f>
        <v/>
      </c>
      <c r="M222" s="60">
        <f>MAX(0,L165+M166-M165)</f>
        <v/>
      </c>
      <c r="N222" s="60">
        <f>MAX(0,M165+N166-N165)</f>
        <v/>
      </c>
      <c r="O222" s="60">
        <f>MAX(0,N165+O166-O165)</f>
        <v/>
      </c>
      <c r="P222" s="60">
        <f>MAX(0,O165+P166-P165)</f>
        <v/>
      </c>
      <c r="Q222" s="60">
        <f>MAX(0,P165+Q166-Q165)</f>
        <v/>
      </c>
      <c r="R222" s="60">
        <f>MAX(0,Q165+R166-R165)</f>
        <v/>
      </c>
      <c r="S222" s="60">
        <f>MAX(0,R165+S166-S165)</f>
        <v/>
      </c>
      <c r="T222" s="60">
        <f>MAX(0,S165+T166-T165)</f>
        <v/>
      </c>
      <c r="U222" s="60">
        <f>MAX(0,T165+U166-U165)</f>
        <v/>
      </c>
      <c r="V222" s="60">
        <f>MAX(0,U165+V166-V165)</f>
        <v/>
      </c>
      <c r="W222" s="60">
        <f>MAX(0,V165+W166-W165)</f>
        <v/>
      </c>
      <c r="X222" s="60">
        <f>MAX(0,W165+X166-X165)</f>
        <v/>
      </c>
      <c r="Y222" s="60">
        <f>MAX(0,X165+Y166-Y165)</f>
        <v/>
      </c>
      <c r="Z222" s="60">
        <f>MAX(0,Y165+Z166-Z165)</f>
        <v/>
      </c>
      <c r="AA222" s="60">
        <f>MAX(0,Z165+AA166-AA165)</f>
        <v/>
      </c>
      <c r="AB222" s="60">
        <f>MAX(0,AA165+AB166-AB165)</f>
        <v/>
      </c>
      <c r="AC222" s="60">
        <f>MAX(0,AB165+AC166-AC165)</f>
        <v/>
      </c>
      <c r="AD222" s="60">
        <f>MAX(0,AC165+AD166-AD165)</f>
        <v/>
      </c>
      <c r="AE222" s="60">
        <f>MAX(0,AD165+AE166-AE165)</f>
        <v/>
      </c>
    </row>
    <row r="223">
      <c r="A223" s="9" t="inlineStr">
        <is>
          <t>THE METAL NEVER PHYSICALLY LEAVES. This product has no physical redemption - exit is a cash buyback - so a redeeming customer's gold stops being theirs and becomes Aurumix's own float, already vaulted and already in bar form. That is the whole reason D30 charges the premium on net new grams.</t>
        </is>
      </c>
    </row>
    <row r="224">
      <c r="A224" s="6" t="inlineStr">
        <is>
          <t xml:space="preserve">  Net new grams - the metal that must actually be made</t>
        </is>
      </c>
      <c r="B224" s="23" t="inlineStr">
        <is>
          <t>grams</t>
        </is>
      </c>
      <c r="C224" s="60">
        <f>MAX(0,C166-C222*(1-Assumptions!$B$230))</f>
        <v/>
      </c>
      <c r="D224" s="60">
        <f>MAX(0,D166-D222*(1-Assumptions!$B$230))</f>
        <v/>
      </c>
      <c r="E224" s="60">
        <f>MAX(0,E166-E222*(1-Assumptions!$B$230))</f>
        <v/>
      </c>
      <c r="F224" s="60">
        <f>MAX(0,F166-F222*(1-Assumptions!$B$230))</f>
        <v/>
      </c>
      <c r="G224" s="60">
        <f>MAX(0,G166-G222*(1-Assumptions!$B$230))</f>
        <v/>
      </c>
      <c r="H224" s="60">
        <f>MAX(0,H166-H222*(1-Assumptions!$B$230))</f>
        <v/>
      </c>
      <c r="I224" s="60">
        <f>MAX(0,I166-I222*(1-Assumptions!$B$230))</f>
        <v/>
      </c>
      <c r="J224" s="60">
        <f>MAX(0,J166-J222*(1-Assumptions!$B$230))</f>
        <v/>
      </c>
      <c r="K224" s="60">
        <f>MAX(0,K166-K222*(1-Assumptions!$B$230))</f>
        <v/>
      </c>
      <c r="L224" s="60">
        <f>MAX(0,L166-L222*(1-Assumptions!$B$230))</f>
        <v/>
      </c>
      <c r="M224" s="60">
        <f>MAX(0,M166-M222*(1-Assumptions!$B$230))</f>
        <v/>
      </c>
      <c r="N224" s="60">
        <f>MAX(0,N166-N222*(1-Assumptions!$B$230))</f>
        <v/>
      </c>
      <c r="O224" s="60">
        <f>MAX(0,O166-O222*(1-Assumptions!$B$230))</f>
        <v/>
      </c>
      <c r="P224" s="60">
        <f>MAX(0,P166-P222*(1-Assumptions!$B$230))</f>
        <v/>
      </c>
      <c r="Q224" s="60">
        <f>MAX(0,Q166-Q222*(1-Assumptions!$B$230))</f>
        <v/>
      </c>
      <c r="R224" s="60">
        <f>MAX(0,R166-R222*(1-Assumptions!$B$230))</f>
        <v/>
      </c>
      <c r="S224" s="60">
        <f>MAX(0,S166-S222*(1-Assumptions!$B$230))</f>
        <v/>
      </c>
      <c r="T224" s="60">
        <f>MAX(0,T166-T222*(1-Assumptions!$B$230))</f>
        <v/>
      </c>
      <c r="U224" s="60">
        <f>MAX(0,U166-U222*(1-Assumptions!$B$230))</f>
        <v/>
      </c>
      <c r="V224" s="60">
        <f>MAX(0,V166-V222*(1-Assumptions!$B$230))</f>
        <v/>
      </c>
      <c r="W224" s="60">
        <f>MAX(0,W166-W222*(1-Assumptions!$B$230))</f>
        <v/>
      </c>
      <c r="X224" s="60">
        <f>MAX(0,X166-X222*(1-Assumptions!$B$230))</f>
        <v/>
      </c>
      <c r="Y224" s="60">
        <f>MAX(0,Y166-Y222*(1-Assumptions!$B$230))</f>
        <v/>
      </c>
      <c r="Z224" s="60">
        <f>MAX(0,Z166-Z222*(1-Assumptions!$B$230))</f>
        <v/>
      </c>
      <c r="AA224" s="60">
        <f>MAX(0,AA166-AA222*(1-Assumptions!$B$230))</f>
        <v/>
      </c>
      <c r="AB224" s="60">
        <f>MAX(0,AB166-AB222*(1-Assumptions!$B$230))</f>
        <v/>
      </c>
      <c r="AC224" s="60">
        <f>MAX(0,AC166-AC222*(1-Assumptions!$B$230))</f>
        <v/>
      </c>
      <c r="AD224" s="60">
        <f>MAX(0,AD166-AD222*(1-Assumptions!$B$230))</f>
        <v/>
      </c>
      <c r="AE224" s="60">
        <f>MAX(0,AE166-AE222*(1-Assumptions!$B$230))</f>
        <v/>
      </c>
    </row>
    <row r="225">
      <c r="A225" s="6" t="inlineStr">
        <is>
          <t>COGS - Fabrication premium paid to the dealer</t>
        </is>
      </c>
      <c r="B225" s="23" t="inlineStr">
        <is>
          <t>USD</t>
        </is>
      </c>
      <c r="C225" s="63">
        <f>C224*C20*Assumptions!$B$9*Assumptions!$B$229</f>
        <v/>
      </c>
      <c r="D225" s="63">
        <f>D224*D20*Assumptions!$B$9*Assumptions!$B$229</f>
        <v/>
      </c>
      <c r="E225" s="63">
        <f>E224*E20*Assumptions!$B$9*Assumptions!$B$229</f>
        <v/>
      </c>
      <c r="F225" s="63">
        <f>F224*F20*Assumptions!$B$9*Assumptions!$B$229</f>
        <v/>
      </c>
      <c r="G225" s="63">
        <f>G224*G20*Assumptions!$B$9*Assumptions!$B$229</f>
        <v/>
      </c>
      <c r="H225" s="63">
        <f>H224*H20*Assumptions!$B$9*Assumptions!$B$229</f>
        <v/>
      </c>
      <c r="I225" s="63">
        <f>I224*I20*Assumptions!$B$9*Assumptions!$B$229</f>
        <v/>
      </c>
      <c r="J225" s="63">
        <f>J224*J20*Assumptions!$B$9*Assumptions!$B$229</f>
        <v/>
      </c>
      <c r="K225" s="63">
        <f>K224*K20*Assumptions!$B$9*Assumptions!$B$229</f>
        <v/>
      </c>
      <c r="L225" s="63">
        <f>L224*L20*Assumptions!$B$9*Assumptions!$B$229</f>
        <v/>
      </c>
      <c r="M225" s="63">
        <f>M224*M20*Assumptions!$B$9*Assumptions!$B$229</f>
        <v/>
      </c>
      <c r="N225" s="63">
        <f>N224*N20*Assumptions!$B$9*Assumptions!$B$229</f>
        <v/>
      </c>
      <c r="O225" s="63">
        <f>O224*O20*Assumptions!$B$9*Assumptions!$B$229</f>
        <v/>
      </c>
      <c r="P225" s="63">
        <f>P224*P20*Assumptions!$B$9*Assumptions!$B$229</f>
        <v/>
      </c>
      <c r="Q225" s="63">
        <f>Q224*Q20*Assumptions!$B$9*Assumptions!$B$229</f>
        <v/>
      </c>
      <c r="R225" s="63">
        <f>R224*R20*Assumptions!$B$9*Assumptions!$B$229</f>
        <v/>
      </c>
      <c r="S225" s="63">
        <f>S224*S20*Assumptions!$B$9*Assumptions!$B$229</f>
        <v/>
      </c>
      <c r="T225" s="63">
        <f>T224*T20*Assumptions!$B$9*Assumptions!$B$229</f>
        <v/>
      </c>
      <c r="U225" s="63">
        <f>U224*U20*Assumptions!$B$9*Assumptions!$B$229</f>
        <v/>
      </c>
      <c r="V225" s="63">
        <f>V224*V20*Assumptions!$B$9*Assumptions!$B$229</f>
        <v/>
      </c>
      <c r="W225" s="63">
        <f>W224*W20*Assumptions!$B$9*Assumptions!$B$229</f>
        <v/>
      </c>
      <c r="X225" s="63">
        <f>X224*X20*Assumptions!$B$9*Assumptions!$B$229</f>
        <v/>
      </c>
      <c r="Y225" s="63">
        <f>Y224*Y20*Assumptions!$B$9*Assumptions!$B$229</f>
        <v/>
      </c>
      <c r="Z225" s="63">
        <f>Z224*Z20*Assumptions!$B$9*Assumptions!$B$229</f>
        <v/>
      </c>
      <c r="AA225" s="63">
        <f>AA224*AA20*Assumptions!$B$9*Assumptions!$B$229</f>
        <v/>
      </c>
      <c r="AB225" s="63">
        <f>AB224*AB20*Assumptions!$B$9*Assumptions!$B$229</f>
        <v/>
      </c>
      <c r="AC225" s="63">
        <f>AC224*AC20*Assumptions!$B$9*Assumptions!$B$229</f>
        <v/>
      </c>
      <c r="AD225" s="63">
        <f>AD224*AD20*Assumptions!$B$9*Assumptions!$B$229</f>
        <v/>
      </c>
      <c r="AE225" s="63">
        <f>AE224*AE20*Assumptions!$B$9*Assumptions!$B$229</f>
        <v/>
      </c>
    </row>
    <row r="226">
      <c r="A226" s="9" t="inlineStr">
        <is>
          <t>WHAT IS NOT IN THIS LINE, ON PURPOSE. Aurumix charges every customer for the premium but pays it only on metal it actually has fabricated, so the premium on RECYCLED grams is margin it keeps - roughly USD 166k over the horizon at the modelled redemption rates. That is real and it is deliberately left out of the model: it is a consequence of owning the float, it is the client's to take or leave, and it belongs in the conversation as upside rather than in the base case as revenue.</t>
        </is>
      </c>
    </row>
    <row r="228">
      <c r="A228" s="3" t="inlineStr">
        <is>
          <t>TOTAL COST OF GOODS SOLD</t>
        </is>
      </c>
      <c r="B228" s="23" t="inlineStr">
        <is>
          <t>USD</t>
        </is>
      </c>
      <c r="C228" s="63">
        <f>C225</f>
        <v/>
      </c>
      <c r="D228" s="63">
        <f>D225</f>
        <v/>
      </c>
      <c r="E228" s="63">
        <f>E225</f>
        <v/>
      </c>
      <c r="F228" s="63">
        <f>F225</f>
        <v/>
      </c>
      <c r="G228" s="63">
        <f>G225</f>
        <v/>
      </c>
      <c r="H228" s="63">
        <f>H225</f>
        <v/>
      </c>
      <c r="I228" s="63">
        <f>I225</f>
        <v/>
      </c>
      <c r="J228" s="63">
        <f>J225</f>
        <v/>
      </c>
      <c r="K228" s="63">
        <f>K225</f>
        <v/>
      </c>
      <c r="L228" s="63">
        <f>L225</f>
        <v/>
      </c>
      <c r="M228" s="63">
        <f>M225</f>
        <v/>
      </c>
      <c r="N228" s="63">
        <f>N225</f>
        <v/>
      </c>
      <c r="O228" s="63">
        <f>O225</f>
        <v/>
      </c>
      <c r="P228" s="63">
        <f>P225</f>
        <v/>
      </c>
      <c r="Q228" s="63">
        <f>Q225</f>
        <v/>
      </c>
      <c r="R228" s="63">
        <f>R225</f>
        <v/>
      </c>
      <c r="S228" s="63">
        <f>S225</f>
        <v/>
      </c>
      <c r="T228" s="63">
        <f>T225</f>
        <v/>
      </c>
      <c r="U228" s="63">
        <f>U225</f>
        <v/>
      </c>
      <c r="V228" s="63">
        <f>V225</f>
        <v/>
      </c>
      <c r="W228" s="63">
        <f>W225</f>
        <v/>
      </c>
      <c r="X228" s="63">
        <f>X225</f>
        <v/>
      </c>
      <c r="Y228" s="63">
        <f>Y225</f>
        <v/>
      </c>
      <c r="Z228" s="63">
        <f>Z225</f>
        <v/>
      </c>
      <c r="AA228" s="63">
        <f>AA225</f>
        <v/>
      </c>
      <c r="AB228" s="63">
        <f>AB225</f>
        <v/>
      </c>
      <c r="AC228" s="63">
        <f>AC225</f>
        <v/>
      </c>
      <c r="AD228" s="63">
        <f>AD225</f>
        <v/>
      </c>
      <c r="AE228" s="63">
        <f>AE225</f>
        <v/>
      </c>
    </row>
    <row r="231">
      <c r="A231" s="51" t="inlineStr">
        <is>
          <t>OPERATING EXPENSES - the cost of running the business, not of buying the metal</t>
        </is>
      </c>
      <c r="B231" s="52" t="n"/>
      <c r="C231" s="52" t="n"/>
      <c r="D231" s="52" t="n"/>
      <c r="E231" s="52" t="n"/>
      <c r="F231" s="52"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c r="Z231" s="52" t="n"/>
      <c r="AA231" s="52" t="n"/>
      <c r="AB231" s="52" t="n"/>
      <c r="AC231" s="52" t="n"/>
      <c r="AD231" s="52" t="n"/>
      <c r="AE231" s="52" t="n"/>
    </row>
    <row r="232">
      <c r="A232" s="6" t="inlineStr">
        <is>
          <t xml:space="preserve">  Metal in the vault (customer gold + Aurumix's own float)</t>
        </is>
      </c>
      <c r="B232" s="23" t="inlineStr">
        <is>
          <t>grams</t>
        </is>
      </c>
      <c r="C232" s="50">
        <f>C165+C206</f>
        <v/>
      </c>
      <c r="D232" s="50">
        <f>D165+D206</f>
        <v/>
      </c>
      <c r="E232" s="50">
        <f>E165+E206</f>
        <v/>
      </c>
      <c r="F232" s="50">
        <f>F165+F206</f>
        <v/>
      </c>
      <c r="G232" s="50">
        <f>G165+G206</f>
        <v/>
      </c>
      <c r="H232" s="50">
        <f>H165+H206</f>
        <v/>
      </c>
      <c r="I232" s="50">
        <f>I165+I206</f>
        <v/>
      </c>
      <c r="J232" s="50">
        <f>J165+J206</f>
        <v/>
      </c>
      <c r="K232" s="50">
        <f>K165+K206</f>
        <v/>
      </c>
      <c r="L232" s="50">
        <f>L165+L206</f>
        <v/>
      </c>
      <c r="M232" s="50">
        <f>M165+M206</f>
        <v/>
      </c>
      <c r="N232" s="50">
        <f>N165+N206</f>
        <v/>
      </c>
      <c r="O232" s="50">
        <f>O165+O206</f>
        <v/>
      </c>
      <c r="P232" s="50">
        <f>P165+P206</f>
        <v/>
      </c>
      <c r="Q232" s="50">
        <f>Q165+Q206</f>
        <v/>
      </c>
      <c r="R232" s="50">
        <f>R165+R206</f>
        <v/>
      </c>
      <c r="S232" s="50">
        <f>S165+S206</f>
        <v/>
      </c>
      <c r="T232" s="50">
        <f>T165+T206</f>
        <v/>
      </c>
      <c r="U232" s="50">
        <f>U165+U206</f>
        <v/>
      </c>
      <c r="V232" s="50">
        <f>V165+V206</f>
        <v/>
      </c>
      <c r="W232" s="50">
        <f>W165+W206</f>
        <v/>
      </c>
      <c r="X232" s="50">
        <f>X165+X206</f>
        <v/>
      </c>
      <c r="Y232" s="50">
        <f>Y165+Y206</f>
        <v/>
      </c>
      <c r="Z232" s="50">
        <f>Z165+Z206</f>
        <v/>
      </c>
      <c r="AA232" s="50">
        <f>AA165+AA206</f>
        <v/>
      </c>
      <c r="AB232" s="50">
        <f>AB165+AB206</f>
        <v/>
      </c>
      <c r="AC232" s="50">
        <f>AC165+AC206</f>
        <v/>
      </c>
      <c r="AD232" s="50">
        <f>AD165+AD206</f>
        <v/>
      </c>
      <c r="AE232" s="50">
        <f>AE165+AE206</f>
        <v/>
      </c>
    </row>
    <row r="233">
      <c r="A233" s="6" t="inlineStr">
        <is>
          <t>OPEX - Vault storage</t>
        </is>
      </c>
      <c r="B233" s="23" t="inlineStr">
        <is>
          <t>USD</t>
        </is>
      </c>
      <c r="C233" s="63">
        <f>MAX(Assumptions!$B$194*C7*365/12,Assumptions!$B$193*C232*C20*C7/12)</f>
        <v/>
      </c>
      <c r="D233" s="63">
        <f>MAX(Assumptions!$B$194*D7*365/12,Assumptions!$B$193*D232*D20*D7/12)</f>
        <v/>
      </c>
      <c r="E233" s="63">
        <f>MAX(Assumptions!$B$194*E7*365/12,Assumptions!$B$193*E232*E20*E7/12)</f>
        <v/>
      </c>
      <c r="F233" s="63">
        <f>MAX(Assumptions!$B$194*F7*365/12,Assumptions!$B$193*F232*F20*F7/12)</f>
        <v/>
      </c>
      <c r="G233" s="63">
        <f>MAX(Assumptions!$B$194*G7*365/12,Assumptions!$B$193*G232*G20*G7/12)</f>
        <v/>
      </c>
      <c r="H233" s="63">
        <f>MAX(Assumptions!$B$194*H7*365/12,Assumptions!$B$193*H232*H20*H7/12)</f>
        <v/>
      </c>
      <c r="I233" s="63">
        <f>MAX(Assumptions!$B$194*I7*365/12,Assumptions!$B$193*I232*I20*I7/12)</f>
        <v/>
      </c>
      <c r="J233" s="63">
        <f>MAX(Assumptions!$B$194*J7*365/12,Assumptions!$B$193*J232*J20*J7/12)</f>
        <v/>
      </c>
      <c r="K233" s="63">
        <f>MAX(Assumptions!$B$194*K7*365/12,Assumptions!$B$193*K232*K20*K7/12)</f>
        <v/>
      </c>
      <c r="L233" s="63">
        <f>MAX(Assumptions!$B$194*L7*365/12,Assumptions!$B$193*L232*L20*L7/12)</f>
        <v/>
      </c>
      <c r="M233" s="63">
        <f>MAX(Assumptions!$B$194*M7*365/12,Assumptions!$B$193*M232*M20*M7/12)</f>
        <v/>
      </c>
      <c r="N233" s="63">
        <f>MAX(Assumptions!$B$194*N7*365/12,Assumptions!$B$193*N232*N20*N7/12)</f>
        <v/>
      </c>
      <c r="O233" s="63">
        <f>MAX(Assumptions!$B$194*O7*365/12,Assumptions!$B$193*O232*O20*O7/12)</f>
        <v/>
      </c>
      <c r="P233" s="63">
        <f>MAX(Assumptions!$B$194*P7*365/12,Assumptions!$B$193*P232*P20*P7/12)</f>
        <v/>
      </c>
      <c r="Q233" s="63">
        <f>MAX(Assumptions!$B$194*Q7*365/12,Assumptions!$B$193*Q232*Q20*Q7/12)</f>
        <v/>
      </c>
      <c r="R233" s="63">
        <f>MAX(Assumptions!$B$194*R7*365/12,Assumptions!$B$193*R232*R20*R7/12)</f>
        <v/>
      </c>
      <c r="S233" s="63">
        <f>MAX(Assumptions!$B$194*S7*365/12,Assumptions!$B$193*S232*S20*S7/12)</f>
        <v/>
      </c>
      <c r="T233" s="63">
        <f>MAX(Assumptions!$B$194*T7*365/12,Assumptions!$B$193*T232*T20*T7/12)</f>
        <v/>
      </c>
      <c r="U233" s="63">
        <f>MAX(Assumptions!$B$194*U7*365/12,Assumptions!$B$193*U232*U20*U7/12)</f>
        <v/>
      </c>
      <c r="V233" s="63">
        <f>MAX(Assumptions!$B$194*V7*365/12,Assumptions!$B$193*V232*V20*V7/12)</f>
        <v/>
      </c>
      <c r="W233" s="63">
        <f>MAX(Assumptions!$B$194*W7*365/12,Assumptions!$B$193*W232*W20*W7/12)</f>
        <v/>
      </c>
      <c r="X233" s="63">
        <f>MAX(Assumptions!$B$194*X7*365/12,Assumptions!$B$193*X232*X20*X7/12)</f>
        <v/>
      </c>
      <c r="Y233" s="63">
        <f>MAX(Assumptions!$B$194*Y7*365/12,Assumptions!$B$193*Y232*Y20*Y7/12)</f>
        <v/>
      </c>
      <c r="Z233" s="63">
        <f>MAX(Assumptions!$B$194*Z7*365/12,Assumptions!$B$193*Z232*Z20*Z7/12)</f>
        <v/>
      </c>
      <c r="AA233" s="63">
        <f>MAX(Assumptions!$B$194*AA7*365/12,Assumptions!$B$193*AA232*AA20*AA7/12)</f>
        <v/>
      </c>
      <c r="AB233" s="63">
        <f>MAX(Assumptions!$B$194*AB7*365/12,Assumptions!$B$193*AB232*AB20*AB7/12)</f>
        <v/>
      </c>
      <c r="AC233" s="63">
        <f>MAX(Assumptions!$B$194*AC7*365/12,Assumptions!$B$193*AC232*AC20*AC7/12)</f>
        <v/>
      </c>
      <c r="AD233" s="63">
        <f>MAX(Assumptions!$B$194*AD7*365/12,Assumptions!$B$193*AD232*AD20*AD7/12)</f>
        <v/>
      </c>
      <c r="AE233" s="63">
        <f>MAX(Assumptions!$B$194*AE7*365/12,Assumptions!$B$193*AE232*AE20*AE7/12)</f>
        <v/>
      </c>
    </row>
    <row r="234">
      <c r="A234" s="9" t="inlineStr">
        <is>
          <t>MAX(the vault's minimum, the percentage rate on metal held). THIS IS WHAT AURUMIX PAYS THE VAULT. It is NOT a fee charged to customers - decision 42 makes retail storage free forever, and every comparator does the same: Paxos states it 'does not charge gold storage fees to its customers at this time' and Kinesis charges 0%, funding it from a share of transaction fees. THE CLIENT'S ASSUMED 0.8-1.0% CUSTODY FEE IS BOTH UNCOMPETITIVE AND ROUGHLY 7x THE REAL COST.</t>
        </is>
      </c>
    </row>
    <row r="235">
      <c r="A235" s="6" t="inlineStr">
        <is>
          <t xml:space="preserve">  ...as % of metal held per year (memo - watch the minimum bite)</t>
        </is>
      </c>
      <c r="B235" s="23" t="inlineStr">
        <is>
          <t>%/yr</t>
        </is>
      </c>
      <c r="C235" s="69">
        <f>IF(C232=0,0,C233/(C232*C20)*12/C7)</f>
        <v/>
      </c>
      <c r="D235" s="69">
        <f>IF(D232=0,0,D233/(D232*D20)*12/D7)</f>
        <v/>
      </c>
      <c r="E235" s="69">
        <f>IF(E232=0,0,E233/(E232*E20)*12/E7)</f>
        <v/>
      </c>
      <c r="F235" s="69">
        <f>IF(F232=0,0,F233/(F232*F20)*12/F7)</f>
        <v/>
      </c>
      <c r="G235" s="69">
        <f>IF(G232=0,0,G233/(G232*G20)*12/G7)</f>
        <v/>
      </c>
      <c r="H235" s="69">
        <f>IF(H232=0,0,H233/(H232*H20)*12/H7)</f>
        <v/>
      </c>
      <c r="I235" s="69">
        <f>IF(I232=0,0,I233/(I232*I20)*12/I7)</f>
        <v/>
      </c>
      <c r="J235" s="69">
        <f>IF(J232=0,0,J233/(J232*J20)*12/J7)</f>
        <v/>
      </c>
      <c r="K235" s="69">
        <f>IF(K232=0,0,K233/(K232*K20)*12/K7)</f>
        <v/>
      </c>
      <c r="L235" s="69">
        <f>IF(L232=0,0,L233/(L232*L20)*12/L7)</f>
        <v/>
      </c>
      <c r="M235" s="69">
        <f>IF(M232=0,0,M233/(M232*M20)*12/M7)</f>
        <v/>
      </c>
      <c r="N235" s="69">
        <f>IF(N232=0,0,N233/(N232*N20)*12/N7)</f>
        <v/>
      </c>
      <c r="O235" s="69">
        <f>IF(O232=0,0,O233/(O232*O20)*12/O7)</f>
        <v/>
      </c>
      <c r="P235" s="69">
        <f>IF(P232=0,0,P233/(P232*P20)*12/P7)</f>
        <v/>
      </c>
      <c r="Q235" s="69">
        <f>IF(Q232=0,0,Q233/(Q232*Q20)*12/Q7)</f>
        <v/>
      </c>
      <c r="R235" s="69">
        <f>IF(R232=0,0,R233/(R232*R20)*12/R7)</f>
        <v/>
      </c>
      <c r="S235" s="69">
        <f>IF(S232=0,0,S233/(S232*S20)*12/S7)</f>
        <v/>
      </c>
      <c r="T235" s="69">
        <f>IF(T232=0,0,T233/(T232*T20)*12/T7)</f>
        <v/>
      </c>
      <c r="U235" s="69">
        <f>IF(U232=0,0,U233/(U232*U20)*12/U7)</f>
        <v/>
      </c>
      <c r="V235" s="69">
        <f>IF(V232=0,0,V233/(V232*V20)*12/V7)</f>
        <v/>
      </c>
      <c r="W235" s="69">
        <f>IF(W232=0,0,W233/(W232*W20)*12/W7)</f>
        <v/>
      </c>
      <c r="X235" s="69">
        <f>IF(X232=0,0,X233/(X232*X20)*12/X7)</f>
        <v/>
      </c>
      <c r="Y235" s="69">
        <f>IF(Y232=0,0,Y233/(Y232*Y20)*12/Y7)</f>
        <v/>
      </c>
      <c r="Z235" s="69">
        <f>IF(Z232=0,0,Z233/(Z232*Z20)*12/Z7)</f>
        <v/>
      </c>
      <c r="AA235" s="69">
        <f>IF(AA232=0,0,AA233/(AA232*AA20)*12/AA7)</f>
        <v/>
      </c>
      <c r="AB235" s="69">
        <f>IF(AB232=0,0,AB233/(AB232*AB20)*12/AB7)</f>
        <v/>
      </c>
      <c r="AC235" s="69">
        <f>IF(AC232=0,0,AC233/(AC232*AC20)*12/AC7)</f>
        <v/>
      </c>
      <c r="AD235" s="69">
        <f>IF(AD232=0,0,AD233/(AD232*AD20)*12/AD7)</f>
        <v/>
      </c>
      <c r="AE235" s="69">
        <f>IF(AE232=0,0,AE233/(AE232*AE20)*12/AE7)</f>
        <v/>
      </c>
    </row>
    <row r="236">
      <c r="A236" s="6" t="inlineStr">
        <is>
          <t>OPEX - VARA annual supervision</t>
        </is>
      </c>
      <c r="B236" s="23" t="inlineStr">
        <is>
          <t>USD</t>
        </is>
      </c>
      <c r="C236" s="63">
        <f>IF(OR(C6=1,C6=0),Assumptions!$B$195/Assumptions!$B$7,0)</f>
        <v/>
      </c>
      <c r="D236" s="63">
        <f>IF(OR(D6=1,D6=0),Assumptions!$B$195/Assumptions!$B$7,0)</f>
        <v/>
      </c>
      <c r="E236" s="63">
        <f>IF(OR(E6=1,E6=0),Assumptions!$B$195/Assumptions!$B$7,0)</f>
        <v/>
      </c>
      <c r="F236" s="63">
        <f>IF(OR(F6=1,F6=0),Assumptions!$B$195/Assumptions!$B$7,0)</f>
        <v/>
      </c>
      <c r="G236" s="63">
        <f>IF(OR(G6=1,G6=0),Assumptions!$B$195/Assumptions!$B$7,0)</f>
        <v/>
      </c>
      <c r="H236" s="63">
        <f>IF(OR(H6=1,H6=0),Assumptions!$B$195/Assumptions!$B$7,0)</f>
        <v/>
      </c>
      <c r="I236" s="63">
        <f>IF(OR(I6=1,I6=0),Assumptions!$B$195/Assumptions!$B$7,0)</f>
        <v/>
      </c>
      <c r="J236" s="63">
        <f>IF(OR(J6=1,J6=0),Assumptions!$B$195/Assumptions!$B$7,0)</f>
        <v/>
      </c>
      <c r="K236" s="63">
        <f>IF(OR(K6=1,K6=0),Assumptions!$B$195/Assumptions!$B$7,0)</f>
        <v/>
      </c>
      <c r="L236" s="63">
        <f>IF(OR(L6=1,L6=0),Assumptions!$B$195/Assumptions!$B$7,0)</f>
        <v/>
      </c>
      <c r="M236" s="63">
        <f>IF(OR(M6=1,M6=0),Assumptions!$B$195/Assumptions!$B$7,0)</f>
        <v/>
      </c>
      <c r="N236" s="63">
        <f>IF(OR(N6=1,N6=0),Assumptions!$B$195/Assumptions!$B$7,0)</f>
        <v/>
      </c>
      <c r="O236" s="63">
        <f>IF(OR(O6=1,O6=0),Assumptions!$B$195/Assumptions!$B$7,0)</f>
        <v/>
      </c>
      <c r="P236" s="63">
        <f>IF(OR(P6=1,P6=0),Assumptions!$B$195/Assumptions!$B$7,0)</f>
        <v/>
      </c>
      <c r="Q236" s="63">
        <f>IF(OR(Q6=1,Q6=0),Assumptions!$B$195/Assumptions!$B$7,0)</f>
        <v/>
      </c>
      <c r="R236" s="63">
        <f>IF(OR(R6=1,R6=0),Assumptions!$B$195/Assumptions!$B$7,0)</f>
        <v/>
      </c>
      <c r="S236" s="63">
        <f>IF(OR(S6=1,S6=0),Assumptions!$B$195/Assumptions!$B$7,0)</f>
        <v/>
      </c>
      <c r="T236" s="63">
        <f>IF(OR(T6=1,T6=0),Assumptions!$B$195/Assumptions!$B$7,0)</f>
        <v/>
      </c>
      <c r="U236" s="63">
        <f>IF(OR(U6=1,U6=0),Assumptions!$B$195/Assumptions!$B$7,0)</f>
        <v/>
      </c>
      <c r="V236" s="63">
        <f>IF(OR(V6=1,V6=0),Assumptions!$B$195/Assumptions!$B$7,0)</f>
        <v/>
      </c>
      <c r="W236" s="63">
        <f>IF(OR(W6=1,W6=0),Assumptions!$B$195/Assumptions!$B$7,0)</f>
        <v/>
      </c>
      <c r="X236" s="63">
        <f>IF(OR(X6=1,X6=0),Assumptions!$B$195/Assumptions!$B$7,0)</f>
        <v/>
      </c>
      <c r="Y236" s="63">
        <f>IF(OR(Y6=1,Y6=0),Assumptions!$B$195/Assumptions!$B$7,0)</f>
        <v/>
      </c>
      <c r="Z236" s="63">
        <f>IF(OR(Z6=1,Z6=0),Assumptions!$B$195/Assumptions!$B$7,0)</f>
        <v/>
      </c>
      <c r="AA236" s="63">
        <f>IF(OR(AA6=1,AA6=0),Assumptions!$B$195/Assumptions!$B$7,0)</f>
        <v/>
      </c>
      <c r="AB236" s="63">
        <f>IF(OR(AB6=1,AB6=0),Assumptions!$B$195/Assumptions!$B$7,0)</f>
        <v/>
      </c>
      <c r="AC236" s="63">
        <f>IF(OR(AC6=1,AC6=0),Assumptions!$B$195/Assumptions!$B$7,0)</f>
        <v/>
      </c>
      <c r="AD236" s="63">
        <f>IF(OR(AD6=1,AD6=0),Assumptions!$B$195/Assumptions!$B$7,0)</f>
        <v/>
      </c>
      <c r="AE236" s="63">
        <f>IF(OR(AE6=1,AE6=0),Assumptions!$B$195/Assumptions!$B$7,0)</f>
        <v/>
      </c>
    </row>
    <row r="237">
      <c r="A237" s="9" t="inlineStr">
        <is>
          <t>PER LICENSED ACTIVITY, and the activity set is unconfirmed - see the Scenario note. Payable IN ADVANCE of conducting the activity, so Year 1 carries it before a single customer arrives.</t>
        </is>
      </c>
    </row>
    <row r="238">
      <c r="A238" s="6" t="inlineStr">
        <is>
          <t>OPEX - DMCC company licence</t>
        </is>
      </c>
      <c r="B238" s="23" t="inlineStr">
        <is>
          <t>USD</t>
        </is>
      </c>
      <c r="C238" s="63">
        <f>IF(OR(C6=1,C6=0),Assumptions!$B$197/Assumptions!$B$7,0)</f>
        <v/>
      </c>
      <c r="D238" s="63">
        <f>IF(OR(D6=1,D6=0),Assumptions!$B$197/Assumptions!$B$7,0)</f>
        <v/>
      </c>
      <c r="E238" s="63">
        <f>IF(OR(E6=1,E6=0),Assumptions!$B$197/Assumptions!$B$7,0)</f>
        <v/>
      </c>
      <c r="F238" s="63">
        <f>IF(OR(F6=1,F6=0),Assumptions!$B$197/Assumptions!$B$7,0)</f>
        <v/>
      </c>
      <c r="G238" s="63">
        <f>IF(OR(G6=1,G6=0),Assumptions!$B$197/Assumptions!$B$7,0)</f>
        <v/>
      </c>
      <c r="H238" s="63">
        <f>IF(OR(H6=1,H6=0),Assumptions!$B$197/Assumptions!$B$7,0)</f>
        <v/>
      </c>
      <c r="I238" s="63">
        <f>IF(OR(I6=1,I6=0),Assumptions!$B$197/Assumptions!$B$7,0)</f>
        <v/>
      </c>
      <c r="J238" s="63">
        <f>IF(OR(J6=1,J6=0),Assumptions!$B$197/Assumptions!$B$7,0)</f>
        <v/>
      </c>
      <c r="K238" s="63">
        <f>IF(OR(K6=1,K6=0),Assumptions!$B$197/Assumptions!$B$7,0)</f>
        <v/>
      </c>
      <c r="L238" s="63">
        <f>IF(OR(L6=1,L6=0),Assumptions!$B$197/Assumptions!$B$7,0)</f>
        <v/>
      </c>
      <c r="M238" s="63">
        <f>IF(OR(M6=1,M6=0),Assumptions!$B$197/Assumptions!$B$7,0)</f>
        <v/>
      </c>
      <c r="N238" s="63">
        <f>IF(OR(N6=1,N6=0),Assumptions!$B$197/Assumptions!$B$7,0)</f>
        <v/>
      </c>
      <c r="O238" s="63">
        <f>IF(OR(O6=1,O6=0),Assumptions!$B$197/Assumptions!$B$7,0)</f>
        <v/>
      </c>
      <c r="P238" s="63">
        <f>IF(OR(P6=1,P6=0),Assumptions!$B$197/Assumptions!$B$7,0)</f>
        <v/>
      </c>
      <c r="Q238" s="63">
        <f>IF(OR(Q6=1,Q6=0),Assumptions!$B$197/Assumptions!$B$7,0)</f>
        <v/>
      </c>
      <c r="R238" s="63">
        <f>IF(OR(R6=1,R6=0),Assumptions!$B$197/Assumptions!$B$7,0)</f>
        <v/>
      </c>
      <c r="S238" s="63">
        <f>IF(OR(S6=1,S6=0),Assumptions!$B$197/Assumptions!$B$7,0)</f>
        <v/>
      </c>
      <c r="T238" s="63">
        <f>IF(OR(T6=1,T6=0),Assumptions!$B$197/Assumptions!$B$7,0)</f>
        <v/>
      </c>
      <c r="U238" s="63">
        <f>IF(OR(U6=1,U6=0),Assumptions!$B$197/Assumptions!$B$7,0)</f>
        <v/>
      </c>
      <c r="V238" s="63">
        <f>IF(OR(V6=1,V6=0),Assumptions!$B$197/Assumptions!$B$7,0)</f>
        <v/>
      </c>
      <c r="W238" s="63">
        <f>IF(OR(W6=1,W6=0),Assumptions!$B$197/Assumptions!$B$7,0)</f>
        <v/>
      </c>
      <c r="X238" s="63">
        <f>IF(OR(X6=1,X6=0),Assumptions!$B$197/Assumptions!$B$7,0)</f>
        <v/>
      </c>
      <c r="Y238" s="63">
        <f>IF(OR(Y6=1,Y6=0),Assumptions!$B$197/Assumptions!$B$7,0)</f>
        <v/>
      </c>
      <c r="Z238" s="63">
        <f>IF(OR(Z6=1,Z6=0),Assumptions!$B$197/Assumptions!$B$7,0)</f>
        <v/>
      </c>
      <c r="AA238" s="63">
        <f>IF(OR(AA6=1,AA6=0),Assumptions!$B$197/Assumptions!$B$7,0)</f>
        <v/>
      </c>
      <c r="AB238" s="63">
        <f>IF(OR(AB6=1,AB6=0),Assumptions!$B$197/Assumptions!$B$7,0)</f>
        <v/>
      </c>
      <c r="AC238" s="63">
        <f>IF(OR(AC6=1,AC6=0),Assumptions!$B$197/Assumptions!$B$7,0)</f>
        <v/>
      </c>
      <c r="AD238" s="63">
        <f>IF(OR(AD6=1,AD6=0),Assumptions!$B$197/Assumptions!$B$7,0)</f>
        <v/>
      </c>
      <c r="AE238" s="63">
        <f>IF(OR(AE6=1,AE6=0),Assumptions!$B$197/Assumptions!$B$7,0)</f>
        <v/>
      </c>
    </row>
    <row r="239">
      <c r="A239" s="6" t="inlineStr">
        <is>
          <t>OPEX - KYC and AML verification</t>
        </is>
      </c>
      <c r="B239" s="23" t="inlineStr">
        <is>
          <t>USD</t>
        </is>
      </c>
      <c r="C239" s="63">
        <f>MAX(Assumptions!$B$226*C7,Assumptions!$B$199*C162)</f>
        <v/>
      </c>
      <c r="D239" s="63">
        <f>MAX(Assumptions!$B$226*D7,Assumptions!$B$199*D162)</f>
        <v/>
      </c>
      <c r="E239" s="63">
        <f>MAX(Assumptions!$B$226*E7,Assumptions!$B$199*E162)</f>
        <v/>
      </c>
      <c r="F239" s="63">
        <f>MAX(Assumptions!$B$226*F7,Assumptions!$B$199*F162)</f>
        <v/>
      </c>
      <c r="G239" s="63">
        <f>MAX(Assumptions!$B$226*G7,Assumptions!$B$199*G162)</f>
        <v/>
      </c>
      <c r="H239" s="63">
        <f>MAX(Assumptions!$B$226*H7,Assumptions!$B$199*H162)</f>
        <v/>
      </c>
      <c r="I239" s="63">
        <f>MAX(Assumptions!$B$226*I7,Assumptions!$B$199*I162)</f>
        <v/>
      </c>
      <c r="J239" s="63">
        <f>MAX(Assumptions!$B$226*J7,Assumptions!$B$199*J162)</f>
        <v/>
      </c>
      <c r="K239" s="63">
        <f>MAX(Assumptions!$B$226*K7,Assumptions!$B$199*K162)</f>
        <v/>
      </c>
      <c r="L239" s="63">
        <f>MAX(Assumptions!$B$226*L7,Assumptions!$B$199*L162)</f>
        <v/>
      </c>
      <c r="M239" s="63">
        <f>MAX(Assumptions!$B$226*M7,Assumptions!$B$199*M162)</f>
        <v/>
      </c>
      <c r="N239" s="63">
        <f>MAX(Assumptions!$B$226*N7,Assumptions!$B$199*N162)</f>
        <v/>
      </c>
      <c r="O239" s="63">
        <f>MAX(Assumptions!$B$226*O7,Assumptions!$B$199*O162)</f>
        <v/>
      </c>
      <c r="P239" s="63">
        <f>MAX(Assumptions!$B$226*P7,Assumptions!$B$199*P162)</f>
        <v/>
      </c>
      <c r="Q239" s="63">
        <f>MAX(Assumptions!$B$226*Q7,Assumptions!$B$199*Q162)</f>
        <v/>
      </c>
      <c r="R239" s="63">
        <f>MAX(Assumptions!$B$226*R7,Assumptions!$B$199*R162)</f>
        <v/>
      </c>
      <c r="S239" s="63">
        <f>MAX(Assumptions!$B$226*S7,Assumptions!$B$199*S162)</f>
        <v/>
      </c>
      <c r="T239" s="63">
        <f>MAX(Assumptions!$B$226*T7,Assumptions!$B$199*T162)</f>
        <v/>
      </c>
      <c r="U239" s="63">
        <f>MAX(Assumptions!$B$226*U7,Assumptions!$B$199*U162)</f>
        <v/>
      </c>
      <c r="V239" s="63">
        <f>MAX(Assumptions!$B$226*V7,Assumptions!$B$199*V162)</f>
        <v/>
      </c>
      <c r="W239" s="63">
        <f>MAX(Assumptions!$B$226*W7,Assumptions!$B$199*W162)</f>
        <v/>
      </c>
      <c r="X239" s="63">
        <f>MAX(Assumptions!$B$226*X7,Assumptions!$B$199*X162)</f>
        <v/>
      </c>
      <c r="Y239" s="63">
        <f>MAX(Assumptions!$B$226*Y7,Assumptions!$B$199*Y162)</f>
        <v/>
      </c>
      <c r="Z239" s="63">
        <f>MAX(Assumptions!$B$226*Z7,Assumptions!$B$199*Z162)</f>
        <v/>
      </c>
      <c r="AA239" s="63">
        <f>MAX(Assumptions!$B$226*AA7,Assumptions!$B$199*AA162)</f>
        <v/>
      </c>
      <c r="AB239" s="63">
        <f>MAX(Assumptions!$B$226*AB7,Assumptions!$B$199*AB162)</f>
        <v/>
      </c>
      <c r="AC239" s="63">
        <f>MAX(Assumptions!$B$226*AC7,Assumptions!$B$199*AC162)</f>
        <v/>
      </c>
      <c r="AD239" s="63">
        <f>MAX(Assumptions!$B$226*AD7,Assumptions!$B$199*AD162)</f>
        <v/>
      </c>
      <c r="AE239" s="63">
        <f>MAX(Assumptions!$B$226*AE7,Assumptions!$B$199*AE162)</f>
        <v/>
      </c>
    </row>
    <row r="240">
      <c r="A240" s="9" t="inlineStr">
        <is>
          <t>MAX(the monthly minimum, per-verification cost x new customers). Charged on SUCCESSFUL verifications only. The minimum binds below about 162 verifications a month, which is most of the first two years.</t>
        </is>
      </c>
    </row>
    <row r="241">
      <c r="A241" s="6" t="inlineStr">
        <is>
          <t>OPEX - One-off Year 1 (licence application, incorporation, launch audit)</t>
        </is>
      </c>
      <c r="B241" s="23" t="inlineStr">
        <is>
          <t>USD</t>
        </is>
      </c>
      <c r="C241" s="63">
        <f>IF(C2=1,(Assumptions!$B$196+Assumptions!$B$198)/Assumptions!$B$7+Assumptions!$B$206,0)</f>
        <v/>
      </c>
      <c r="D241" s="63">
        <f>IF(D2=1,(Assumptions!$B$196+Assumptions!$B$198)/Assumptions!$B$7+Assumptions!$B$206,0)</f>
        <v/>
      </c>
      <c r="E241" s="63">
        <f>IF(E2=1,(Assumptions!$B$196+Assumptions!$B$198)/Assumptions!$B$7+Assumptions!$B$206,0)</f>
        <v/>
      </c>
      <c r="F241" s="63">
        <f>IF(F2=1,(Assumptions!$B$196+Assumptions!$B$198)/Assumptions!$B$7+Assumptions!$B$206,0)</f>
        <v/>
      </c>
      <c r="G241" s="63">
        <f>IF(G2=1,(Assumptions!$B$196+Assumptions!$B$198)/Assumptions!$B$7+Assumptions!$B$206,0)</f>
        <v/>
      </c>
      <c r="H241" s="63">
        <f>IF(H2=1,(Assumptions!$B$196+Assumptions!$B$198)/Assumptions!$B$7+Assumptions!$B$206,0)</f>
        <v/>
      </c>
      <c r="I241" s="63">
        <f>IF(I2=1,(Assumptions!$B$196+Assumptions!$B$198)/Assumptions!$B$7+Assumptions!$B$206,0)</f>
        <v/>
      </c>
      <c r="J241" s="63">
        <f>IF(J2=1,(Assumptions!$B$196+Assumptions!$B$198)/Assumptions!$B$7+Assumptions!$B$206,0)</f>
        <v/>
      </c>
      <c r="K241" s="63">
        <f>IF(K2=1,(Assumptions!$B$196+Assumptions!$B$198)/Assumptions!$B$7+Assumptions!$B$206,0)</f>
        <v/>
      </c>
      <c r="L241" s="63">
        <f>IF(L2=1,(Assumptions!$B$196+Assumptions!$B$198)/Assumptions!$B$7+Assumptions!$B$206,0)</f>
        <v/>
      </c>
      <c r="M241" s="63">
        <f>IF(M2=1,(Assumptions!$B$196+Assumptions!$B$198)/Assumptions!$B$7+Assumptions!$B$206,0)</f>
        <v/>
      </c>
      <c r="N241" s="63">
        <f>IF(N2=1,(Assumptions!$B$196+Assumptions!$B$198)/Assumptions!$B$7+Assumptions!$B$206,0)</f>
        <v/>
      </c>
      <c r="O241" s="63">
        <f>IF(O2=1,(Assumptions!$B$196+Assumptions!$B$198)/Assumptions!$B$7+Assumptions!$B$206,0)</f>
        <v/>
      </c>
      <c r="P241" s="63">
        <f>IF(P2=1,(Assumptions!$B$196+Assumptions!$B$198)/Assumptions!$B$7+Assumptions!$B$206,0)</f>
        <v/>
      </c>
      <c r="Q241" s="63">
        <f>IF(Q2=1,(Assumptions!$B$196+Assumptions!$B$198)/Assumptions!$B$7+Assumptions!$B$206,0)</f>
        <v/>
      </c>
      <c r="R241" s="63">
        <f>IF(R2=1,(Assumptions!$B$196+Assumptions!$B$198)/Assumptions!$B$7+Assumptions!$B$206,0)</f>
        <v/>
      </c>
      <c r="S241" s="63">
        <f>IF(S2=1,(Assumptions!$B$196+Assumptions!$B$198)/Assumptions!$B$7+Assumptions!$B$206,0)</f>
        <v/>
      </c>
      <c r="T241" s="63">
        <f>IF(T2=1,(Assumptions!$B$196+Assumptions!$B$198)/Assumptions!$B$7+Assumptions!$B$206,0)</f>
        <v/>
      </c>
      <c r="U241" s="63">
        <f>IF(U2=1,(Assumptions!$B$196+Assumptions!$B$198)/Assumptions!$B$7+Assumptions!$B$206,0)</f>
        <v/>
      </c>
      <c r="V241" s="63">
        <f>IF(V2=1,(Assumptions!$B$196+Assumptions!$B$198)/Assumptions!$B$7+Assumptions!$B$206,0)</f>
        <v/>
      </c>
      <c r="W241" s="63">
        <f>IF(W2=1,(Assumptions!$B$196+Assumptions!$B$198)/Assumptions!$B$7+Assumptions!$B$206,0)</f>
        <v/>
      </c>
      <c r="X241" s="63">
        <f>IF(X2=1,(Assumptions!$B$196+Assumptions!$B$198)/Assumptions!$B$7+Assumptions!$B$206,0)</f>
        <v/>
      </c>
      <c r="Y241" s="63">
        <f>IF(Y2=1,(Assumptions!$B$196+Assumptions!$B$198)/Assumptions!$B$7+Assumptions!$B$206,0)</f>
        <v/>
      </c>
      <c r="Z241" s="63">
        <f>IF(Z2=1,(Assumptions!$B$196+Assumptions!$B$198)/Assumptions!$B$7+Assumptions!$B$206,0)</f>
        <v/>
      </c>
      <c r="AA241" s="63">
        <f>IF(AA2=1,(Assumptions!$B$196+Assumptions!$B$198)/Assumptions!$B$7+Assumptions!$B$206,0)</f>
        <v/>
      </c>
      <c r="AB241" s="63">
        <f>IF(AB2=1,(Assumptions!$B$196+Assumptions!$B$198)/Assumptions!$B$7+Assumptions!$B$206,0)</f>
        <v/>
      </c>
      <c r="AC241" s="63">
        <f>IF(AC2=1,(Assumptions!$B$196+Assumptions!$B$198)/Assumptions!$B$7+Assumptions!$B$206,0)</f>
        <v/>
      </c>
      <c r="AD241" s="63">
        <f>IF(AD2=1,(Assumptions!$B$196+Assumptions!$B$198)/Assumptions!$B$7+Assumptions!$B$206,0)</f>
        <v/>
      </c>
      <c r="AE241" s="63">
        <f>IF(AE2=1,(Assumptions!$B$196+Assumptions!$B$198)/Assumptions!$B$7+Assumptions!$B$206,0)</f>
        <v/>
      </c>
    </row>
    <row r="242">
      <c r="A242" s="9" t="inlineStr">
        <is>
          <t>M1 ONLY: the VARA licence application, DMCC incorporation, and the pre-launch technology and smart contract audit. The VARA fee is spent at submission whether or not the licence is granted - the application is not processed until it is paid.</t>
        </is>
      </c>
    </row>
    <row r="243">
      <c r="A243" s="6" t="inlineStr">
        <is>
          <t>OPEX - Insurance (PI, D&amp;O, crime)</t>
        </is>
      </c>
      <c r="B243" s="23" t="inlineStr">
        <is>
          <t>USD</t>
        </is>
      </c>
      <c r="C243" s="63">
        <f>Assumptions!$B$203*C7/12</f>
        <v/>
      </c>
      <c r="D243" s="63">
        <f>Assumptions!$B$203*D7/12</f>
        <v/>
      </c>
      <c r="E243" s="63">
        <f>Assumptions!$B$203*E7/12</f>
        <v/>
      </c>
      <c r="F243" s="63">
        <f>Assumptions!$B$203*F7/12</f>
        <v/>
      </c>
      <c r="G243" s="63">
        <f>Assumptions!$B$203*G7/12</f>
        <v/>
      </c>
      <c r="H243" s="63">
        <f>Assumptions!$B$203*H7/12</f>
        <v/>
      </c>
      <c r="I243" s="63">
        <f>Assumptions!$B$203*I7/12</f>
        <v/>
      </c>
      <c r="J243" s="63">
        <f>Assumptions!$B$203*J7/12</f>
        <v/>
      </c>
      <c r="K243" s="63">
        <f>Assumptions!$B$203*K7/12</f>
        <v/>
      </c>
      <c r="L243" s="63">
        <f>Assumptions!$B$203*L7/12</f>
        <v/>
      </c>
      <c r="M243" s="63">
        <f>Assumptions!$B$203*M7/12</f>
        <v/>
      </c>
      <c r="N243" s="63">
        <f>Assumptions!$B$203*N7/12</f>
        <v/>
      </c>
      <c r="O243" s="63">
        <f>Assumptions!$B$203*O7/12</f>
        <v/>
      </c>
      <c r="P243" s="63">
        <f>Assumptions!$B$203*P7/12</f>
        <v/>
      </c>
      <c r="Q243" s="63">
        <f>Assumptions!$B$203*Q7/12</f>
        <v/>
      </c>
      <c r="R243" s="63">
        <f>Assumptions!$B$203*R7/12</f>
        <v/>
      </c>
      <c r="S243" s="63">
        <f>Assumptions!$B$203*S7/12</f>
        <v/>
      </c>
      <c r="T243" s="63">
        <f>Assumptions!$B$203*T7/12</f>
        <v/>
      </c>
      <c r="U243" s="63">
        <f>Assumptions!$B$203*U7/12</f>
        <v/>
      </c>
      <c r="V243" s="63">
        <f>Assumptions!$B$203*V7/12</f>
        <v/>
      </c>
      <c r="W243" s="63">
        <f>Assumptions!$B$203*W7/12</f>
        <v/>
      </c>
      <c r="X243" s="63">
        <f>Assumptions!$B$203*X7/12</f>
        <v/>
      </c>
      <c r="Y243" s="63">
        <f>Assumptions!$B$203*Y7/12</f>
        <v/>
      </c>
      <c r="Z243" s="63">
        <f>Assumptions!$B$203*Z7/12</f>
        <v/>
      </c>
      <c r="AA243" s="63">
        <f>Assumptions!$B$203*AA7/12</f>
        <v/>
      </c>
      <c r="AB243" s="63">
        <f>Assumptions!$B$203*AB7/12</f>
        <v/>
      </c>
      <c r="AC243" s="63">
        <f>Assumptions!$B$203*AC7/12</f>
        <v/>
      </c>
      <c r="AD243" s="63">
        <f>Assumptions!$B$203*AD7/12</f>
        <v/>
      </c>
      <c r="AE243" s="63">
        <f>Assumptions!$B$203*AE7/12</f>
        <v/>
      </c>
    </row>
    <row r="244">
      <c r="A244" s="9" t="inlineStr">
        <is>
          <t>MANDATORY under Company Rulebook VI.D, which names professional indemnity, directors' and officers', and CRIME COVER FOR VIRTUAL ASSETS IN HOT WALLETS. No minimum sum is prescribed - VARA judges adequacy at licensing. THE METAL IS NOT COVERED HERE: vault storage already includes insurance on the gold.</t>
        </is>
      </c>
    </row>
    <row r="245">
      <c r="A245" s="6" t="inlineStr">
        <is>
          <t>OPEX - Audit and reserve attestation</t>
        </is>
      </c>
      <c r="B245" s="23" t="inlineStr">
        <is>
          <t>USD</t>
        </is>
      </c>
      <c r="C245" s="63">
        <f>Assumptions!$B$204*C7/12</f>
        <v/>
      </c>
      <c r="D245" s="63">
        <f>Assumptions!$B$204*D7/12</f>
        <v/>
      </c>
      <c r="E245" s="63">
        <f>Assumptions!$B$204*E7/12</f>
        <v/>
      </c>
      <c r="F245" s="63">
        <f>Assumptions!$B$204*F7/12</f>
        <v/>
      </c>
      <c r="G245" s="63">
        <f>Assumptions!$B$204*G7/12</f>
        <v/>
      </c>
      <c r="H245" s="63">
        <f>Assumptions!$B$204*H7/12</f>
        <v/>
      </c>
      <c r="I245" s="63">
        <f>Assumptions!$B$204*I7/12</f>
        <v/>
      </c>
      <c r="J245" s="63">
        <f>Assumptions!$B$204*J7/12</f>
        <v/>
      </c>
      <c r="K245" s="63">
        <f>Assumptions!$B$204*K7/12</f>
        <v/>
      </c>
      <c r="L245" s="63">
        <f>Assumptions!$B$204*L7/12</f>
        <v/>
      </c>
      <c r="M245" s="63">
        <f>Assumptions!$B$204*M7/12</f>
        <v/>
      </c>
      <c r="N245" s="63">
        <f>Assumptions!$B$204*N7/12</f>
        <v/>
      </c>
      <c r="O245" s="63">
        <f>Assumptions!$B$204*O7/12</f>
        <v/>
      </c>
      <c r="P245" s="63">
        <f>Assumptions!$B$204*P7/12</f>
        <v/>
      </c>
      <c r="Q245" s="63">
        <f>Assumptions!$B$204*Q7/12</f>
        <v/>
      </c>
      <c r="R245" s="63">
        <f>Assumptions!$B$204*R7/12</f>
        <v/>
      </c>
      <c r="S245" s="63">
        <f>Assumptions!$B$204*S7/12</f>
        <v/>
      </c>
      <c r="T245" s="63">
        <f>Assumptions!$B$204*T7/12</f>
        <v/>
      </c>
      <c r="U245" s="63">
        <f>Assumptions!$B$204*U7/12</f>
        <v/>
      </c>
      <c r="V245" s="63">
        <f>Assumptions!$B$204*V7/12</f>
        <v/>
      </c>
      <c r="W245" s="63">
        <f>Assumptions!$B$204*W7/12</f>
        <v/>
      </c>
      <c r="X245" s="63">
        <f>Assumptions!$B$204*X7/12</f>
        <v/>
      </c>
      <c r="Y245" s="63">
        <f>Assumptions!$B$204*Y7/12</f>
        <v/>
      </c>
      <c r="Z245" s="63">
        <f>Assumptions!$B$204*Z7/12</f>
        <v/>
      </c>
      <c r="AA245" s="63">
        <f>Assumptions!$B$204*AA7/12</f>
        <v/>
      </c>
      <c r="AB245" s="63">
        <f>Assumptions!$B$204*AB7/12</f>
        <v/>
      </c>
      <c r="AC245" s="63">
        <f>Assumptions!$B$204*AC7/12</f>
        <v/>
      </c>
      <c r="AD245" s="63">
        <f>Assumptions!$B$204*AD7/12</f>
        <v/>
      </c>
      <c r="AE245" s="63">
        <f>Assumptions!$B$204*AE7/12</f>
        <v/>
      </c>
    </row>
    <row r="246">
      <c r="A246" s="9" t="inlineStr">
        <is>
          <t>A SIX-MONTHLY independent audit plus an ANNUAL financial-statement audit, both mandatory under Issuance Rulebook III.D, each followed by a Senior Management attestation to VARA. UNDER OPTION A the six-monthly engagement audits TOKEN SUPPLY, not a reserve pool - limb (b) of III.D.2.a applies only 'if applicable' and direct ownership has no Reserve Assets. THE FEE IS UNPRICED BY EVERY ISSUER, AUDITOR AND REGULATOR CHECKED - this is a placeholder.</t>
        </is>
      </c>
    </row>
    <row r="247">
      <c r="A247" s="6" t="inlineStr">
        <is>
          <t>OPEX - Technology audit and penetration testing</t>
        </is>
      </c>
      <c r="B247" s="23" t="inlineStr">
        <is>
          <t>USD</t>
        </is>
      </c>
      <c r="C247" s="63">
        <f>Assumptions!$B$205*C7/12</f>
        <v/>
      </c>
      <c r="D247" s="63">
        <f>Assumptions!$B$205*D7/12</f>
        <v/>
      </c>
      <c r="E247" s="63">
        <f>Assumptions!$B$205*E7/12</f>
        <v/>
      </c>
      <c r="F247" s="63">
        <f>Assumptions!$B$205*F7/12</f>
        <v/>
      </c>
      <c r="G247" s="63">
        <f>Assumptions!$B$205*G7/12</f>
        <v/>
      </c>
      <c r="H247" s="63">
        <f>Assumptions!$B$205*H7/12</f>
        <v/>
      </c>
      <c r="I247" s="63">
        <f>Assumptions!$B$205*I7/12</f>
        <v/>
      </c>
      <c r="J247" s="63">
        <f>Assumptions!$B$205*J7/12</f>
        <v/>
      </c>
      <c r="K247" s="63">
        <f>Assumptions!$B$205*K7/12</f>
        <v/>
      </c>
      <c r="L247" s="63">
        <f>Assumptions!$B$205*L7/12</f>
        <v/>
      </c>
      <c r="M247" s="63">
        <f>Assumptions!$B$205*M7/12</f>
        <v/>
      </c>
      <c r="N247" s="63">
        <f>Assumptions!$B$205*N7/12</f>
        <v/>
      </c>
      <c r="O247" s="63">
        <f>Assumptions!$B$205*O7/12</f>
        <v/>
      </c>
      <c r="P247" s="63">
        <f>Assumptions!$B$205*P7/12</f>
        <v/>
      </c>
      <c r="Q247" s="63">
        <f>Assumptions!$B$205*Q7/12</f>
        <v/>
      </c>
      <c r="R247" s="63">
        <f>Assumptions!$B$205*R7/12</f>
        <v/>
      </c>
      <c r="S247" s="63">
        <f>Assumptions!$B$205*S7/12</f>
        <v/>
      </c>
      <c r="T247" s="63">
        <f>Assumptions!$B$205*T7/12</f>
        <v/>
      </c>
      <c r="U247" s="63">
        <f>Assumptions!$B$205*U7/12</f>
        <v/>
      </c>
      <c r="V247" s="63">
        <f>Assumptions!$B$205*V7/12</f>
        <v/>
      </c>
      <c r="W247" s="63">
        <f>Assumptions!$B$205*W7/12</f>
        <v/>
      </c>
      <c r="X247" s="63">
        <f>Assumptions!$B$205*X7/12</f>
        <v/>
      </c>
      <c r="Y247" s="63">
        <f>Assumptions!$B$205*Y7/12</f>
        <v/>
      </c>
      <c r="Z247" s="63">
        <f>Assumptions!$B$205*Z7/12</f>
        <v/>
      </c>
      <c r="AA247" s="63">
        <f>Assumptions!$B$205*AA7/12</f>
        <v/>
      </c>
      <c r="AB247" s="63">
        <f>Assumptions!$B$205*AB7/12</f>
        <v/>
      </c>
      <c r="AC247" s="63">
        <f>Assumptions!$B$205*AC7/12</f>
        <v/>
      </c>
      <c r="AD247" s="63">
        <f>Assumptions!$B$205*AD7/12</f>
        <v/>
      </c>
      <c r="AE247" s="63">
        <f>Assumptions!$B$205*AE7/12</f>
        <v/>
      </c>
    </row>
    <row r="248">
      <c r="A248" s="9" t="inlineStr">
        <is>
          <t>ANNUAL AND RECURRING, not a launch one-off - Technology Rulebook E requires an independent third-party vulnerability assessment and penetration test at least annually AND before any new system, application or product goes live. THE PER-LAUNCH TRIGGER IS NOT MODELLED: it is a step cost tied to a product roadmap that does not exist yet, so a year with several launches costs more than this shows.</t>
        </is>
      </c>
    </row>
    <row r="249">
      <c r="A249" s="6" t="inlineStr">
        <is>
          <t>OPEX - Redemption handling (no fee may be charged)</t>
        </is>
      </c>
      <c r="B249" s="23" t="inlineStr">
        <is>
          <t>USD</t>
        </is>
      </c>
      <c r="C249" s="63">
        <f>C195*Assumptions!$B$43</f>
        <v/>
      </c>
      <c r="D249" s="63">
        <f>D195*Assumptions!$B$43</f>
        <v/>
      </c>
      <c r="E249" s="63">
        <f>E195*Assumptions!$B$43</f>
        <v/>
      </c>
      <c r="F249" s="63">
        <f>F195*Assumptions!$B$43</f>
        <v/>
      </c>
      <c r="G249" s="63">
        <f>G195*Assumptions!$B$43</f>
        <v/>
      </c>
      <c r="H249" s="63">
        <f>H195*Assumptions!$B$43</f>
        <v/>
      </c>
      <c r="I249" s="63">
        <f>I195*Assumptions!$B$43</f>
        <v/>
      </c>
      <c r="J249" s="63">
        <f>J195*Assumptions!$B$43</f>
        <v/>
      </c>
      <c r="K249" s="63">
        <f>K195*Assumptions!$B$43</f>
        <v/>
      </c>
      <c r="L249" s="63">
        <f>L195*Assumptions!$B$43</f>
        <v/>
      </c>
      <c r="M249" s="63">
        <f>M195*Assumptions!$B$43</f>
        <v/>
      </c>
      <c r="N249" s="63">
        <f>N195*Assumptions!$B$43</f>
        <v/>
      </c>
      <c r="O249" s="63">
        <f>O195*Assumptions!$B$43</f>
        <v/>
      </c>
      <c r="P249" s="63">
        <f>P195*Assumptions!$B$43</f>
        <v/>
      </c>
      <c r="Q249" s="63">
        <f>Q195*Assumptions!$B$43</f>
        <v/>
      </c>
      <c r="R249" s="63">
        <f>R195*Assumptions!$B$43</f>
        <v/>
      </c>
      <c r="S249" s="63">
        <f>S195*Assumptions!$B$43</f>
        <v/>
      </c>
      <c r="T249" s="63">
        <f>T195*Assumptions!$B$43</f>
        <v/>
      </c>
      <c r="U249" s="63">
        <f>U195*Assumptions!$B$43</f>
        <v/>
      </c>
      <c r="V249" s="63">
        <f>V195*Assumptions!$B$43</f>
        <v/>
      </c>
      <c r="W249" s="63">
        <f>W195*Assumptions!$B$43</f>
        <v/>
      </c>
      <c r="X249" s="63">
        <f>X195*Assumptions!$B$43</f>
        <v/>
      </c>
      <c r="Y249" s="63">
        <f>Y195*Assumptions!$B$43</f>
        <v/>
      </c>
      <c r="Z249" s="63">
        <f>Z195*Assumptions!$B$43</f>
        <v/>
      </c>
      <c r="AA249" s="63">
        <f>AA195*Assumptions!$B$43</f>
        <v/>
      </c>
      <c r="AB249" s="63">
        <f>AB195*Assumptions!$B$43</f>
        <v/>
      </c>
      <c r="AC249" s="63">
        <f>AC195*Assumptions!$B$43</f>
        <v/>
      </c>
      <c r="AD249" s="63">
        <f>AD195*Assumptions!$B$43</f>
        <v/>
      </c>
      <c r="AE249" s="63">
        <f>AE195*Assumptions!$B$43</f>
        <v/>
      </c>
    </row>
    <row r="250">
      <c r="A250" s="9" t="inlineStr">
        <is>
          <t>USD 3.20 per event: Sumsub AML RE-SCREENING at 1.85 plus operational handling at about 1.35. The outbound bank transfer fee was removed - that is the customer's to bear. NOT A DOUBLE COUNT WITH THE KYC LINE: that one charges new customers at onboarding, this one charges a different event. THE ASYMMETRY IS REGULATORY, NOT A CHOICE: Aurumix may pass through the cost of taking money IN (the rail, D31) but is forbidden from passing through the cost of paying it OUT. Immaterial at Base rates; it becomes material exactly in a redemption spike, which is when cash is scarcest.</t>
        </is>
      </c>
    </row>
    <row r="251">
      <c r="A251" s="6" t="inlineStr">
        <is>
          <t>OPEX - Technology build (Y1-Y2)</t>
        </is>
      </c>
      <c r="B251" s="23" t="inlineStr">
        <is>
          <t>USD</t>
        </is>
      </c>
      <c r="C251" s="63">
        <f>IF(C5=1,Assumptions!$B$222/12*C7,IF(C5=2,Assumptions!$B$223/12*C7,0))</f>
        <v/>
      </c>
      <c r="D251" s="63">
        <f>IF(D5=1,Assumptions!$B$222/12*D7,IF(D5=2,Assumptions!$B$223/12*D7,0))</f>
        <v/>
      </c>
      <c r="E251" s="63">
        <f>IF(E5=1,Assumptions!$B$222/12*E7,IF(E5=2,Assumptions!$B$223/12*E7,0))</f>
        <v/>
      </c>
      <c r="F251" s="63">
        <f>IF(F5=1,Assumptions!$B$222/12*F7,IF(F5=2,Assumptions!$B$223/12*F7,0))</f>
        <v/>
      </c>
      <c r="G251" s="63">
        <f>IF(G5=1,Assumptions!$B$222/12*G7,IF(G5=2,Assumptions!$B$223/12*G7,0))</f>
        <v/>
      </c>
      <c r="H251" s="63">
        <f>IF(H5=1,Assumptions!$B$222/12*H7,IF(H5=2,Assumptions!$B$223/12*H7,0))</f>
        <v/>
      </c>
      <c r="I251" s="63">
        <f>IF(I5=1,Assumptions!$B$222/12*I7,IF(I5=2,Assumptions!$B$223/12*I7,0))</f>
        <v/>
      </c>
      <c r="J251" s="63">
        <f>IF(J5=1,Assumptions!$B$222/12*J7,IF(J5=2,Assumptions!$B$223/12*J7,0))</f>
        <v/>
      </c>
      <c r="K251" s="63">
        <f>IF(K5=1,Assumptions!$B$222/12*K7,IF(K5=2,Assumptions!$B$223/12*K7,0))</f>
        <v/>
      </c>
      <c r="L251" s="63">
        <f>IF(L5=1,Assumptions!$B$222/12*L7,IF(L5=2,Assumptions!$B$223/12*L7,0))</f>
        <v/>
      </c>
      <c r="M251" s="63">
        <f>IF(M5=1,Assumptions!$B$222/12*M7,IF(M5=2,Assumptions!$B$223/12*M7,0))</f>
        <v/>
      </c>
      <c r="N251" s="63">
        <f>IF(N5=1,Assumptions!$B$222/12*N7,IF(N5=2,Assumptions!$B$223/12*N7,0))</f>
        <v/>
      </c>
      <c r="O251" s="63">
        <f>IF(O5=1,Assumptions!$B$222/12*O7,IF(O5=2,Assumptions!$B$223/12*O7,0))</f>
        <v/>
      </c>
      <c r="P251" s="63">
        <f>IF(P5=1,Assumptions!$B$222/12*P7,IF(P5=2,Assumptions!$B$223/12*P7,0))</f>
        <v/>
      </c>
      <c r="Q251" s="63">
        <f>IF(Q5=1,Assumptions!$B$222/12*Q7,IF(Q5=2,Assumptions!$B$223/12*Q7,0))</f>
        <v/>
      </c>
      <c r="R251" s="63">
        <f>IF(R5=1,Assumptions!$B$222/12*R7,IF(R5=2,Assumptions!$B$223/12*R7,0))</f>
        <v/>
      </c>
      <c r="S251" s="63">
        <f>IF(S5=1,Assumptions!$B$222/12*S7,IF(S5=2,Assumptions!$B$223/12*S7,0))</f>
        <v/>
      </c>
      <c r="T251" s="63">
        <f>IF(T5=1,Assumptions!$B$222/12*T7,IF(T5=2,Assumptions!$B$223/12*T7,0))</f>
        <v/>
      </c>
      <c r="U251" s="63">
        <f>IF(U5=1,Assumptions!$B$222/12*U7,IF(U5=2,Assumptions!$B$223/12*U7,0))</f>
        <v/>
      </c>
      <c r="V251" s="63">
        <f>IF(V5=1,Assumptions!$B$222/12*V7,IF(V5=2,Assumptions!$B$223/12*V7,0))</f>
        <v/>
      </c>
      <c r="W251" s="63">
        <f>IF(W5=1,Assumptions!$B$222/12*W7,IF(W5=2,Assumptions!$B$223/12*W7,0))</f>
        <v/>
      </c>
      <c r="X251" s="63">
        <f>IF(X5=1,Assumptions!$B$222/12*X7,IF(X5=2,Assumptions!$B$223/12*X7,0))</f>
        <v/>
      </c>
      <c r="Y251" s="63">
        <f>IF(Y5=1,Assumptions!$B$222/12*Y7,IF(Y5=2,Assumptions!$B$223/12*Y7,0))</f>
        <v/>
      </c>
      <c r="Z251" s="63">
        <f>IF(Z5=1,Assumptions!$B$222/12*Z7,IF(Z5=2,Assumptions!$B$223/12*Z7,0))</f>
        <v/>
      </c>
      <c r="AA251" s="63">
        <f>IF(AA5=1,Assumptions!$B$222/12*AA7,IF(AA5=2,Assumptions!$B$223/12*AA7,0))</f>
        <v/>
      </c>
      <c r="AB251" s="63">
        <f>IF(AB5=1,Assumptions!$B$222/12*AB7,IF(AB5=2,Assumptions!$B$223/12*AB7,0))</f>
        <v/>
      </c>
      <c r="AC251" s="63">
        <f>IF(AC5=1,Assumptions!$B$222/12*AC7,IF(AC5=2,Assumptions!$B$223/12*AC7,0))</f>
        <v/>
      </c>
      <c r="AD251" s="63">
        <f>IF(AD5=1,Assumptions!$B$222/12*AD7,IF(AD5=2,Assumptions!$B$223/12*AD7,0))</f>
        <v/>
      </c>
      <c r="AE251" s="63">
        <f>IF(AE5=1,Assumptions!$B$222/12*AE7,IF(AE5=2,Assumptions!$B$223/12*AE7,0))</f>
        <v/>
      </c>
    </row>
    <row r="252">
      <c r="A252" s="9" t="inlineStr">
        <is>
          <t>THE APP, LEDGER, WALLET, TOKEN CONTRACT AND EVERY INTEGRATION - card, KYC, payment rail, custody. Y2 carries the card and credit layer, which activates at period 13, so it is a second product going live rather than a tidy-up. THE SMART CONTRACT AUDIT IS IN THE YEAR 1 ONE-OFF LINE, not here.</t>
        </is>
      </c>
    </row>
    <row r="253">
      <c r="A253" s="6" t="inlineStr">
        <is>
          <t>OPEX - Technology maintenance (Y3 onward)</t>
        </is>
      </c>
      <c r="B253" s="23" t="inlineStr">
        <is>
          <t>USD</t>
        </is>
      </c>
      <c r="C253" s="63">
        <f>IF(C5&gt;=3,Assumptions!$B$224/12*C7,0)</f>
        <v/>
      </c>
      <c r="D253" s="63">
        <f>IF(D5&gt;=3,Assumptions!$B$224/12*D7,0)</f>
        <v/>
      </c>
      <c r="E253" s="63">
        <f>IF(E5&gt;=3,Assumptions!$B$224/12*E7,0)</f>
        <v/>
      </c>
      <c r="F253" s="63">
        <f>IF(F5&gt;=3,Assumptions!$B$224/12*F7,0)</f>
        <v/>
      </c>
      <c r="G253" s="63">
        <f>IF(G5&gt;=3,Assumptions!$B$224/12*G7,0)</f>
        <v/>
      </c>
      <c r="H253" s="63">
        <f>IF(H5&gt;=3,Assumptions!$B$224/12*H7,0)</f>
        <v/>
      </c>
      <c r="I253" s="63">
        <f>IF(I5&gt;=3,Assumptions!$B$224/12*I7,0)</f>
        <v/>
      </c>
      <c r="J253" s="63">
        <f>IF(J5&gt;=3,Assumptions!$B$224/12*J7,0)</f>
        <v/>
      </c>
      <c r="K253" s="63">
        <f>IF(K5&gt;=3,Assumptions!$B$224/12*K7,0)</f>
        <v/>
      </c>
      <c r="L253" s="63">
        <f>IF(L5&gt;=3,Assumptions!$B$224/12*L7,0)</f>
        <v/>
      </c>
      <c r="M253" s="63">
        <f>IF(M5&gt;=3,Assumptions!$B$224/12*M7,0)</f>
        <v/>
      </c>
      <c r="N253" s="63">
        <f>IF(N5&gt;=3,Assumptions!$B$224/12*N7,0)</f>
        <v/>
      </c>
      <c r="O253" s="63">
        <f>IF(O5&gt;=3,Assumptions!$B$224/12*O7,0)</f>
        <v/>
      </c>
      <c r="P253" s="63">
        <f>IF(P5&gt;=3,Assumptions!$B$224/12*P7,0)</f>
        <v/>
      </c>
      <c r="Q253" s="63">
        <f>IF(Q5&gt;=3,Assumptions!$B$224/12*Q7,0)</f>
        <v/>
      </c>
      <c r="R253" s="63">
        <f>IF(R5&gt;=3,Assumptions!$B$224/12*R7,0)</f>
        <v/>
      </c>
      <c r="S253" s="63">
        <f>IF(S5&gt;=3,Assumptions!$B$224/12*S7,0)</f>
        <v/>
      </c>
      <c r="T253" s="63">
        <f>IF(T5&gt;=3,Assumptions!$B$224/12*T7,0)</f>
        <v/>
      </c>
      <c r="U253" s="63">
        <f>IF(U5&gt;=3,Assumptions!$B$224/12*U7,0)</f>
        <v/>
      </c>
      <c r="V253" s="63">
        <f>IF(V5&gt;=3,Assumptions!$B$224/12*V7,0)</f>
        <v/>
      </c>
      <c r="W253" s="63">
        <f>IF(W5&gt;=3,Assumptions!$B$224/12*W7,0)</f>
        <v/>
      </c>
      <c r="X253" s="63">
        <f>IF(X5&gt;=3,Assumptions!$B$224/12*X7,0)</f>
        <v/>
      </c>
      <c r="Y253" s="63">
        <f>IF(Y5&gt;=3,Assumptions!$B$224/12*Y7,0)</f>
        <v/>
      </c>
      <c r="Z253" s="63">
        <f>IF(Z5&gt;=3,Assumptions!$B$224/12*Z7,0)</f>
        <v/>
      </c>
      <c r="AA253" s="63">
        <f>IF(AA5&gt;=3,Assumptions!$B$224/12*AA7,0)</f>
        <v/>
      </c>
      <c r="AB253" s="63">
        <f>IF(AB5&gt;=3,Assumptions!$B$224/12*AB7,0)</f>
        <v/>
      </c>
      <c r="AC253" s="63">
        <f>IF(AC5&gt;=3,Assumptions!$B$224/12*AC7,0)</f>
        <v/>
      </c>
      <c r="AD253" s="63">
        <f>IF(AD5&gt;=3,Assumptions!$B$224/12*AD7,0)</f>
        <v/>
      </c>
      <c r="AE253" s="63">
        <f>IF(AE5&gt;=3,Assumptions!$B$224/12*AE7,0)</f>
        <v/>
      </c>
    </row>
    <row r="254">
      <c r="A254" s="9" t="inlineStr">
        <is>
          <t>FLAT FROM Y3, WHICH UNDERSTATES THE BACK YEARS - the book grows from about 4,000 paying customers to over 70,000 across that span while this line does not move. ON-CHAIN MINTING IS NOT IN HERE AND IS NOT ZERO: about 855,000 mint events a year at Y7. On an L2 that is roughly USD 8,500/yr; on Ethereum mainnet it is about USD 1.7m/yr. NOBODY HAS RECORDED WHICH CHAIN AURUMIX ISSUES ON, so it is left out rather than guessed.</t>
        </is>
      </c>
    </row>
    <row r="255">
      <c r="A255" s="3" t="inlineStr">
        <is>
          <t>TOTAL OPERATING EXPENSES</t>
        </is>
      </c>
      <c r="B255" s="23" t="inlineStr">
        <is>
          <t>USD</t>
        </is>
      </c>
      <c r="C255" s="63">
        <f>C233+C236+C238+C239+C241+C243+C245+C247+C249+C251+C253</f>
        <v/>
      </c>
      <c r="D255" s="63">
        <f>D233+D236+D238+D239+D241+D243+D245+D247+D249+D251+D253</f>
        <v/>
      </c>
      <c r="E255" s="63">
        <f>E233+E236+E238+E239+E241+E243+E245+E247+E249+E251+E253</f>
        <v/>
      </c>
      <c r="F255" s="63">
        <f>F233+F236+F238+F239+F241+F243+F245+F247+F249+F251+F253</f>
        <v/>
      </c>
      <c r="G255" s="63">
        <f>G233+G236+G238+G239+G241+G243+G245+G247+G249+G251+G253</f>
        <v/>
      </c>
      <c r="H255" s="63">
        <f>H233+H236+H238+H239+H241+H243+H245+H247+H249+H251+H253</f>
        <v/>
      </c>
      <c r="I255" s="63">
        <f>I233+I236+I238+I239+I241+I243+I245+I247+I249+I251+I253</f>
        <v/>
      </c>
      <c r="J255" s="63">
        <f>J233+J236+J238+J239+J241+J243+J245+J247+J249+J251+J253</f>
        <v/>
      </c>
      <c r="K255" s="63">
        <f>K233+K236+K238+K239+K241+K243+K245+K247+K249+K251+K253</f>
        <v/>
      </c>
      <c r="L255" s="63">
        <f>L233+L236+L238+L239+L241+L243+L245+L247+L249+L251+L253</f>
        <v/>
      </c>
      <c r="M255" s="63">
        <f>M233+M236+M238+M239+M241+M243+M245+M247+M249+M251+M253</f>
        <v/>
      </c>
      <c r="N255" s="63">
        <f>N233+N236+N238+N239+N241+N243+N245+N247+N249+N251+N253</f>
        <v/>
      </c>
      <c r="O255" s="63">
        <f>O233+O236+O238+O239+O241+O243+O245+O247+O249+O251+O253</f>
        <v/>
      </c>
      <c r="P255" s="63">
        <f>P233+P236+P238+P239+P241+P243+P245+P247+P249+P251+P253</f>
        <v/>
      </c>
      <c r="Q255" s="63">
        <f>Q233+Q236+Q238+Q239+Q241+Q243+Q245+Q247+Q249+Q251+Q253</f>
        <v/>
      </c>
      <c r="R255" s="63">
        <f>R233+R236+R238+R239+R241+R243+R245+R247+R249+R251+R253</f>
        <v/>
      </c>
      <c r="S255" s="63">
        <f>S233+S236+S238+S239+S241+S243+S245+S247+S249+S251+S253</f>
        <v/>
      </c>
      <c r="T255" s="63">
        <f>T233+T236+T238+T239+T241+T243+T245+T247+T249+T251+T253</f>
        <v/>
      </c>
      <c r="U255" s="63">
        <f>U233+U236+U238+U239+U241+U243+U245+U247+U249+U251+U253</f>
        <v/>
      </c>
      <c r="V255" s="63">
        <f>V233+V236+V238+V239+V241+V243+V245+V247+V249+V251+V253</f>
        <v/>
      </c>
      <c r="W255" s="63">
        <f>W233+W236+W238+W239+W241+W243+W245+W247+W249+W251+W253</f>
        <v/>
      </c>
      <c r="X255" s="63">
        <f>X233+X236+X238+X239+X241+X243+X245+X247+X249+X251+X253</f>
        <v/>
      </c>
      <c r="Y255" s="63">
        <f>Y233+Y236+Y238+Y239+Y241+Y243+Y245+Y247+Y249+Y251+Y253</f>
        <v/>
      </c>
      <c r="Z255" s="63">
        <f>Z233+Z236+Z238+Z239+Z241+Z243+Z245+Z247+Z249+Z251+Z253</f>
        <v/>
      </c>
      <c r="AA255" s="63">
        <f>AA233+AA236+AA238+AA239+AA241+AA243+AA245+AA247+AA249+AA251+AA253</f>
        <v/>
      </c>
      <c r="AB255" s="63">
        <f>AB233+AB236+AB238+AB239+AB241+AB243+AB245+AB247+AB249+AB251+AB253</f>
        <v/>
      </c>
      <c r="AC255" s="63">
        <f>AC233+AC236+AC238+AC239+AC241+AC243+AC245+AC247+AC249+AC251+AC253</f>
        <v/>
      </c>
      <c r="AD255" s="63">
        <f>AD233+AD236+AD238+AD239+AD241+AD243+AD245+AD247+AD249+AD251+AD253</f>
        <v/>
      </c>
      <c r="AE255" s="63">
        <f>AE233+AE236+AE238+AE239+AE241+AE243+AE245+AE247+AE249+AE251+AE253</f>
        <v/>
      </c>
    </row>
    <row r="258">
      <c r="A258" s="51" t="inlineStr">
        <is>
          <t>ICS BENEFIT COSTS - discounts given away, out of streams that already exist</t>
        </is>
      </c>
      <c r="B258" s="52" t="n"/>
      <c r="C258" s="52" t="n"/>
      <c r="D258" s="52" t="n"/>
      <c r="E258" s="52" t="n"/>
      <c r="F258" s="52" t="n"/>
      <c r="G258" s="52" t="n"/>
      <c r="H258" s="52" t="n"/>
      <c r="I258" s="52" t="n"/>
      <c r="J258" s="52" t="n"/>
      <c r="K258" s="52" t="n"/>
      <c r="L258" s="52" t="n"/>
      <c r="M258" s="52" t="n"/>
      <c r="N258" s="52" t="n"/>
      <c r="O258" s="52" t="n"/>
      <c r="P258" s="52" t="n"/>
      <c r="Q258" s="52" t="n"/>
      <c r="R258" s="52" t="n"/>
      <c r="S258" s="52" t="n"/>
      <c r="T258" s="52" t="n"/>
      <c r="U258" s="52" t="n"/>
      <c r="V258" s="52" t="n"/>
      <c r="W258" s="52" t="n"/>
      <c r="X258" s="52" t="n"/>
      <c r="Y258" s="52" t="n"/>
      <c r="Z258" s="52" t="n"/>
      <c r="AA258" s="52" t="n"/>
      <c r="AB258" s="52" t="n"/>
      <c r="AC258" s="52" t="n"/>
      <c r="AD258" s="52" t="n"/>
      <c r="AE258" s="52" t="n"/>
    </row>
    <row r="259">
      <c r="A259" s="6" t="inlineStr">
        <is>
          <t xml:space="preserve">  Qualifying share of the book (memo - ramps to 55%)</t>
        </is>
      </c>
      <c r="B259" s="23" t="inlineStr">
        <is>
          <t>% of accounts</t>
        </is>
      </c>
      <c r="C259" s="62">
        <f>IF(C159+C160=0,0,C168/(C159+C160))</f>
        <v/>
      </c>
      <c r="D259" s="62">
        <f>IF(D159+D160=0,0,D168/(D159+D160))</f>
        <v/>
      </c>
      <c r="E259" s="62">
        <f>IF(E159+E160=0,0,E168/(E159+E160))</f>
        <v/>
      </c>
      <c r="F259" s="62">
        <f>IF(F159+F160=0,0,F168/(F159+F160))</f>
        <v/>
      </c>
      <c r="G259" s="62">
        <f>IF(G159+G160=0,0,G168/(G159+G160))</f>
        <v/>
      </c>
      <c r="H259" s="62">
        <f>IF(H159+H160=0,0,H168/(H159+H160))</f>
        <v/>
      </c>
      <c r="I259" s="62">
        <f>IF(I159+I160=0,0,I168/(I159+I160))</f>
        <v/>
      </c>
      <c r="J259" s="62">
        <f>IF(J159+J160=0,0,J168/(J159+J160))</f>
        <v/>
      </c>
      <c r="K259" s="62">
        <f>IF(K159+K160=0,0,K168/(K159+K160))</f>
        <v/>
      </c>
      <c r="L259" s="62">
        <f>IF(L159+L160=0,0,L168/(L159+L160))</f>
        <v/>
      </c>
      <c r="M259" s="62">
        <f>IF(M159+M160=0,0,M168/(M159+M160))</f>
        <v/>
      </c>
      <c r="N259" s="62">
        <f>IF(N159+N160=0,0,N168/(N159+N160))</f>
        <v/>
      </c>
      <c r="O259" s="62">
        <f>IF(O159+O160=0,0,O168/(O159+O160))</f>
        <v/>
      </c>
      <c r="P259" s="62">
        <f>IF(P159+P160=0,0,P168/(P159+P160))</f>
        <v/>
      </c>
      <c r="Q259" s="62">
        <f>IF(Q159+Q160=0,0,Q168/(Q159+Q160))</f>
        <v/>
      </c>
      <c r="R259" s="62">
        <f>IF(R159+R160=0,0,R168/(R159+R160))</f>
        <v/>
      </c>
      <c r="S259" s="62">
        <f>IF(S159+S160=0,0,S168/(S159+S160))</f>
        <v/>
      </c>
      <c r="T259" s="62">
        <f>IF(T159+T160=0,0,T168/(T159+T160))</f>
        <v/>
      </c>
      <c r="U259" s="62">
        <f>IF(U159+U160=0,0,U168/(U159+U160))</f>
        <v/>
      </c>
      <c r="V259" s="62">
        <f>IF(V159+V160=0,0,V168/(V159+V160))</f>
        <v/>
      </c>
      <c r="W259" s="62">
        <f>IF(W159+W160=0,0,W168/(W159+W160))</f>
        <v/>
      </c>
      <c r="X259" s="62">
        <f>IF(X159+X160=0,0,X168/(X159+X160))</f>
        <v/>
      </c>
      <c r="Y259" s="62">
        <f>IF(Y159+Y160=0,0,Y168/(Y159+Y160))</f>
        <v/>
      </c>
      <c r="Z259" s="62">
        <f>IF(Z159+Z160=0,0,Z168/(Z159+Z160))</f>
        <v/>
      </c>
      <c r="AA259" s="62">
        <f>IF(AA159+AA160=0,0,AA168/(AA159+AA160))</f>
        <v/>
      </c>
      <c r="AB259" s="62">
        <f>IF(AB159+AB160=0,0,AB168/(AB159+AB160))</f>
        <v/>
      </c>
      <c r="AC259" s="62">
        <f>IF(AC159+AC160=0,0,AC168/(AC159+AC160))</f>
        <v/>
      </c>
      <c r="AD259" s="62">
        <f>IF(AD159+AD160=0,0,AD168/(AD159+AD160))</f>
        <v/>
      </c>
      <c r="AE259" s="62">
        <f>IF(AE159+AE160=0,0,AE168/(AE159+AE160))</f>
        <v/>
      </c>
    </row>
    <row r="260">
      <c r="A260" s="6" t="inlineStr">
        <is>
          <t>BENEFIT - Entry fee discount (SIP only)</t>
        </is>
      </c>
      <c r="B260" s="23" t="inlineStr">
        <is>
          <t>USD</t>
        </is>
      </c>
      <c r="C260" s="63">
        <f>C189*C259*Assumptions!$B$207</f>
        <v/>
      </c>
      <c r="D260" s="63">
        <f>D189*D259*Assumptions!$B$207</f>
        <v/>
      </c>
      <c r="E260" s="63">
        <f>E189*E259*Assumptions!$B$207</f>
        <v/>
      </c>
      <c r="F260" s="63">
        <f>F189*F259*Assumptions!$B$207</f>
        <v/>
      </c>
      <c r="G260" s="63">
        <f>G189*G259*Assumptions!$B$207</f>
        <v/>
      </c>
      <c r="H260" s="63">
        <f>H189*H259*Assumptions!$B$207</f>
        <v/>
      </c>
      <c r="I260" s="63">
        <f>I189*I259*Assumptions!$B$207</f>
        <v/>
      </c>
      <c r="J260" s="63">
        <f>J189*J259*Assumptions!$B$207</f>
        <v/>
      </c>
      <c r="K260" s="63">
        <f>K189*K259*Assumptions!$B$207</f>
        <v/>
      </c>
      <c r="L260" s="63">
        <f>L189*L259*Assumptions!$B$207</f>
        <v/>
      </c>
      <c r="M260" s="63">
        <f>M189*M259*Assumptions!$B$207</f>
        <v/>
      </c>
      <c r="N260" s="63">
        <f>N189*N259*Assumptions!$B$207</f>
        <v/>
      </c>
      <c r="O260" s="63">
        <f>O189*O259*Assumptions!$B$207</f>
        <v/>
      </c>
      <c r="P260" s="63">
        <f>P189*P259*Assumptions!$B$207</f>
        <v/>
      </c>
      <c r="Q260" s="63">
        <f>Q189*Q259*Assumptions!$B$207</f>
        <v/>
      </c>
      <c r="R260" s="63">
        <f>R189*R259*Assumptions!$B$207</f>
        <v/>
      </c>
      <c r="S260" s="63">
        <f>S189*S259*Assumptions!$B$207</f>
        <v/>
      </c>
      <c r="T260" s="63">
        <f>T189*T259*Assumptions!$B$207</f>
        <v/>
      </c>
      <c r="U260" s="63">
        <f>U189*U259*Assumptions!$B$207</f>
        <v/>
      </c>
      <c r="V260" s="63">
        <f>V189*V259*Assumptions!$B$207</f>
        <v/>
      </c>
      <c r="W260" s="63">
        <f>W189*W259*Assumptions!$B$207</f>
        <v/>
      </c>
      <c r="X260" s="63">
        <f>X189*X259*Assumptions!$B$207</f>
        <v/>
      </c>
      <c r="Y260" s="63">
        <f>Y189*Y259*Assumptions!$B$207</f>
        <v/>
      </c>
      <c r="Z260" s="63">
        <f>Z189*Z259*Assumptions!$B$207</f>
        <v/>
      </c>
      <c r="AA260" s="63">
        <f>AA189*AA259*Assumptions!$B$207</f>
        <v/>
      </c>
      <c r="AB260" s="63">
        <f>AB189*AB259*Assumptions!$B$207</f>
        <v/>
      </c>
      <c r="AC260" s="63">
        <f>AC189*AC259*Assumptions!$B$207</f>
        <v/>
      </c>
      <c r="AD260" s="63">
        <f>AD189*AD259*Assumptions!$B$207</f>
        <v/>
      </c>
      <c r="AE260" s="63">
        <f>AE189*AE259*Assumptions!$B$207</f>
        <v/>
      </c>
    </row>
    <row r="261">
      <c r="A261" s="9" t="inlineStr">
        <is>
          <t>STREAM 1a ONLY. Spot earns no ICS, so Stream 1b carries no discount and must never be added here. A BLENDED RATE, not a tier ladder: the model has no tier distribution, and inventing one would put a fabricated mix under every benefit figure.</t>
        </is>
      </c>
    </row>
    <row r="262">
      <c r="A262" s="6" t="inlineStr">
        <is>
          <t>BENEFIT - Card fee discounts (FX, ATM, issuance)</t>
        </is>
      </c>
      <c r="B262" s="23" t="inlineStr">
        <is>
          <t>USD</t>
        </is>
      </c>
      <c r="C262" s="63">
        <f>C193*C259*Assumptions!$B$208</f>
        <v/>
      </c>
      <c r="D262" s="63">
        <f>D193*D259*Assumptions!$B$208</f>
        <v/>
      </c>
      <c r="E262" s="63">
        <f>E193*E259*Assumptions!$B$208</f>
        <v/>
      </c>
      <c r="F262" s="63">
        <f>F193*F259*Assumptions!$B$208</f>
        <v/>
      </c>
      <c r="G262" s="63">
        <f>G193*G259*Assumptions!$B$208</f>
        <v/>
      </c>
      <c r="H262" s="63">
        <f>H193*H259*Assumptions!$B$208</f>
        <v/>
      </c>
      <c r="I262" s="63">
        <f>I193*I259*Assumptions!$B$208</f>
        <v/>
      </c>
      <c r="J262" s="63">
        <f>J193*J259*Assumptions!$B$208</f>
        <v/>
      </c>
      <c r="K262" s="63">
        <f>K193*K259*Assumptions!$B$208</f>
        <v/>
      </c>
      <c r="L262" s="63">
        <f>L193*L259*Assumptions!$B$208</f>
        <v/>
      </c>
      <c r="M262" s="63">
        <f>M193*M259*Assumptions!$B$208</f>
        <v/>
      </c>
      <c r="N262" s="63">
        <f>N193*N259*Assumptions!$B$208</f>
        <v/>
      </c>
      <c r="O262" s="63">
        <f>O193*O259*Assumptions!$B$208</f>
        <v/>
      </c>
      <c r="P262" s="63">
        <f>P193*P259*Assumptions!$B$208</f>
        <v/>
      </c>
      <c r="Q262" s="63">
        <f>Q193*Q259*Assumptions!$B$208</f>
        <v/>
      </c>
      <c r="R262" s="63">
        <f>R193*R259*Assumptions!$B$208</f>
        <v/>
      </c>
      <c r="S262" s="63">
        <f>S193*S259*Assumptions!$B$208</f>
        <v/>
      </c>
      <c r="T262" s="63">
        <f>T193*T259*Assumptions!$B$208</f>
        <v/>
      </c>
      <c r="U262" s="63">
        <f>U193*U259*Assumptions!$B$208</f>
        <v/>
      </c>
      <c r="V262" s="63">
        <f>V193*V259*Assumptions!$B$208</f>
        <v/>
      </c>
      <c r="W262" s="63">
        <f>W193*W259*Assumptions!$B$208</f>
        <v/>
      </c>
      <c r="X262" s="63">
        <f>X193*X259*Assumptions!$B$208</f>
        <v/>
      </c>
      <c r="Y262" s="63">
        <f>Y193*Y259*Assumptions!$B$208</f>
        <v/>
      </c>
      <c r="Z262" s="63">
        <f>Z193*Z259*Assumptions!$B$208</f>
        <v/>
      </c>
      <c r="AA262" s="63">
        <f>AA193*AA259*Assumptions!$B$208</f>
        <v/>
      </c>
      <c r="AB262" s="63">
        <f>AB193*AB259*Assumptions!$B$208</f>
        <v/>
      </c>
      <c r="AC262" s="63">
        <f>AC193*AC259*Assumptions!$B$208</f>
        <v/>
      </c>
      <c r="AD262" s="63">
        <f>AD193*AD259*Assumptions!$B$208</f>
        <v/>
      </c>
      <c r="AE262" s="63">
        <f>AE193*AE259*Assumptions!$B$208</f>
        <v/>
      </c>
    </row>
    <row r="263">
      <c r="A263" s="6" t="inlineStr">
        <is>
          <t>BENEFIT - Gold rebate</t>
        </is>
      </c>
      <c r="B263" s="23" t="inlineStr">
        <is>
          <t>USD</t>
        </is>
      </c>
      <c r="C263" s="63">
        <f>(C191+C193)*C259*Assumptions!$B$209</f>
        <v/>
      </c>
      <c r="D263" s="63">
        <f>(D191+D193)*D259*Assumptions!$B$209</f>
        <v/>
      </c>
      <c r="E263" s="63">
        <f>(E191+E193)*E259*Assumptions!$B$209</f>
        <v/>
      </c>
      <c r="F263" s="63">
        <f>(F191+F193)*F259*Assumptions!$B$209</f>
        <v/>
      </c>
      <c r="G263" s="63">
        <f>(G191+G193)*G259*Assumptions!$B$209</f>
        <v/>
      </c>
      <c r="H263" s="63">
        <f>(H191+H193)*H259*Assumptions!$B$209</f>
        <v/>
      </c>
      <c r="I263" s="63">
        <f>(I191+I193)*I259*Assumptions!$B$209</f>
        <v/>
      </c>
      <c r="J263" s="63">
        <f>(J191+J193)*J259*Assumptions!$B$209</f>
        <v/>
      </c>
      <c r="K263" s="63">
        <f>(K191+K193)*K259*Assumptions!$B$209</f>
        <v/>
      </c>
      <c r="L263" s="63">
        <f>(L191+L193)*L259*Assumptions!$B$209</f>
        <v/>
      </c>
      <c r="M263" s="63">
        <f>(M191+M193)*M259*Assumptions!$B$209</f>
        <v/>
      </c>
      <c r="N263" s="63">
        <f>(N191+N193)*N259*Assumptions!$B$209</f>
        <v/>
      </c>
      <c r="O263" s="63">
        <f>(O191+O193)*O259*Assumptions!$B$209</f>
        <v/>
      </c>
      <c r="P263" s="63">
        <f>(P191+P193)*P259*Assumptions!$B$209</f>
        <v/>
      </c>
      <c r="Q263" s="63">
        <f>(Q191+Q193)*Q259*Assumptions!$B$209</f>
        <v/>
      </c>
      <c r="R263" s="63">
        <f>(R191+R193)*R259*Assumptions!$B$209</f>
        <v/>
      </c>
      <c r="S263" s="63">
        <f>(S191+S193)*S259*Assumptions!$B$209</f>
        <v/>
      </c>
      <c r="T263" s="63">
        <f>(T191+T193)*T259*Assumptions!$B$209</f>
        <v/>
      </c>
      <c r="U263" s="63">
        <f>(U191+U193)*U259*Assumptions!$B$209</f>
        <v/>
      </c>
      <c r="V263" s="63">
        <f>(V191+V193)*V259*Assumptions!$B$209</f>
        <v/>
      </c>
      <c r="W263" s="63">
        <f>(W191+W193)*W259*Assumptions!$B$209</f>
        <v/>
      </c>
      <c r="X263" s="63">
        <f>(X191+X193)*X259*Assumptions!$B$209</f>
        <v/>
      </c>
      <c r="Y263" s="63">
        <f>(Y191+Y193)*Y259*Assumptions!$B$209</f>
        <v/>
      </c>
      <c r="Z263" s="63">
        <f>(Z191+Z193)*Z259*Assumptions!$B$209</f>
        <v/>
      </c>
      <c r="AA263" s="63">
        <f>(AA191+AA193)*AA259*Assumptions!$B$209</f>
        <v/>
      </c>
      <c r="AB263" s="63">
        <f>(AB191+AB193)*AB259*Assumptions!$B$209</f>
        <v/>
      </c>
      <c r="AC263" s="63">
        <f>(AC191+AC193)*AC259*Assumptions!$B$209</f>
        <v/>
      </c>
      <c r="AD263" s="63">
        <f>(AD191+AD193)*AD259*Assumptions!$B$209</f>
        <v/>
      </c>
      <c r="AE263" s="63">
        <f>(AE191+AE193)*AE259*Assumptions!$B$209</f>
        <v/>
      </c>
    </row>
    <row r="264">
      <c r="A264" s="9" t="inlineStr">
        <is>
          <t>A SHARE OF ALL CARD REVENUE - interchange PLUS cardholder fees - which keeps the rebate inside its own funding line by construction. Interchange alone was the wrong base: it is the smaller half, and it is already net of the partner's ~55% share, so it measures what is LEFT rather than what the customer GENERATED. Sanity-check the rate against card spend, not against this line: 5% here is 0.35% of spend, against a corpus ladder of 0.15 / 0.45 / 0.75% by tier.</t>
        </is>
      </c>
    </row>
    <row r="265">
      <c r="A265" s="6" t="inlineStr">
        <is>
          <t xml:space="preserve">  ...as % of card spend (memo - check against the 0.15/0.45/0.75 ladder)</t>
        </is>
      </c>
      <c r="B265" s="23" t="inlineStr">
        <is>
          <t>%</t>
        </is>
      </c>
      <c r="C265" s="62">
        <f>IF(C171=0,0,C263/C171)</f>
        <v/>
      </c>
      <c r="D265" s="62">
        <f>IF(D171=0,0,D263/D171)</f>
        <v/>
      </c>
      <c r="E265" s="62">
        <f>IF(E171=0,0,E263/E171)</f>
        <v/>
      </c>
      <c r="F265" s="62">
        <f>IF(F171=0,0,F263/F171)</f>
        <v/>
      </c>
      <c r="G265" s="62">
        <f>IF(G171=0,0,G263/G171)</f>
        <v/>
      </c>
      <c r="H265" s="62">
        <f>IF(H171=0,0,H263/H171)</f>
        <v/>
      </c>
      <c r="I265" s="62">
        <f>IF(I171=0,0,I263/I171)</f>
        <v/>
      </c>
      <c r="J265" s="62">
        <f>IF(J171=0,0,J263/J171)</f>
        <v/>
      </c>
      <c r="K265" s="62">
        <f>IF(K171=0,0,K263/K171)</f>
        <v/>
      </c>
      <c r="L265" s="62">
        <f>IF(L171=0,0,L263/L171)</f>
        <v/>
      </c>
      <c r="M265" s="62">
        <f>IF(M171=0,0,M263/M171)</f>
        <v/>
      </c>
      <c r="N265" s="62">
        <f>IF(N171=0,0,N263/N171)</f>
        <v/>
      </c>
      <c r="O265" s="62">
        <f>IF(O171=0,0,O263/O171)</f>
        <v/>
      </c>
      <c r="P265" s="62">
        <f>IF(P171=0,0,P263/P171)</f>
        <v/>
      </c>
      <c r="Q265" s="62">
        <f>IF(Q171=0,0,Q263/Q171)</f>
        <v/>
      </c>
      <c r="R265" s="62">
        <f>IF(R171=0,0,R263/R171)</f>
        <v/>
      </c>
      <c r="S265" s="62">
        <f>IF(S171=0,0,S263/S171)</f>
        <v/>
      </c>
      <c r="T265" s="62">
        <f>IF(T171=0,0,T263/T171)</f>
        <v/>
      </c>
      <c r="U265" s="62">
        <f>IF(U171=0,0,U263/U171)</f>
        <v/>
      </c>
      <c r="V265" s="62">
        <f>IF(V171=0,0,V263/V171)</f>
        <v/>
      </c>
      <c r="W265" s="62">
        <f>IF(W171=0,0,W263/W171)</f>
        <v/>
      </c>
      <c r="X265" s="62">
        <f>IF(X171=0,0,X263/X171)</f>
        <v/>
      </c>
      <c r="Y265" s="62">
        <f>IF(Y171=0,0,Y263/Y171)</f>
        <v/>
      </c>
      <c r="Z265" s="62">
        <f>IF(Z171=0,0,Z263/Z171)</f>
        <v/>
      </c>
      <c r="AA265" s="62">
        <f>IF(AA171=0,0,AA263/AA171)</f>
        <v/>
      </c>
      <c r="AB265" s="62">
        <f>IF(AB171=0,0,AB263/AB171)</f>
        <v/>
      </c>
      <c r="AC265" s="62">
        <f>IF(AC171=0,0,AC263/AC171)</f>
        <v/>
      </c>
      <c r="AD265" s="62">
        <f>IF(AD171=0,0,AD263/AD171)</f>
        <v/>
      </c>
      <c r="AE265" s="62">
        <f>IF(AE171=0,0,AE263/AE171)</f>
        <v/>
      </c>
    </row>
    <row r="266">
      <c r="A266" s="6" t="inlineStr">
        <is>
          <t>BENEFIT - Family wallet and will discount</t>
        </is>
      </c>
      <c r="B266" s="23" t="inlineStr">
        <is>
          <t>USD</t>
        </is>
      </c>
      <c r="C266" s="63">
        <f>C192*C259*Assumptions!$B$210</f>
        <v/>
      </c>
      <c r="D266" s="63">
        <f>D192*D259*Assumptions!$B$210</f>
        <v/>
      </c>
      <c r="E266" s="63">
        <f>E192*E259*Assumptions!$B$210</f>
        <v/>
      </c>
      <c r="F266" s="63">
        <f>F192*F259*Assumptions!$B$210</f>
        <v/>
      </c>
      <c r="G266" s="63">
        <f>G192*G259*Assumptions!$B$210</f>
        <v/>
      </c>
      <c r="H266" s="63">
        <f>H192*H259*Assumptions!$B$210</f>
        <v/>
      </c>
      <c r="I266" s="63">
        <f>I192*I259*Assumptions!$B$210</f>
        <v/>
      </c>
      <c r="J266" s="63">
        <f>J192*J259*Assumptions!$B$210</f>
        <v/>
      </c>
      <c r="K266" s="63">
        <f>K192*K259*Assumptions!$B$210</f>
        <v/>
      </c>
      <c r="L266" s="63">
        <f>L192*L259*Assumptions!$B$210</f>
        <v/>
      </c>
      <c r="M266" s="63">
        <f>M192*M259*Assumptions!$B$210</f>
        <v/>
      </c>
      <c r="N266" s="63">
        <f>N192*N259*Assumptions!$B$210</f>
        <v/>
      </c>
      <c r="O266" s="63">
        <f>O192*O259*Assumptions!$B$210</f>
        <v/>
      </c>
      <c r="P266" s="63">
        <f>P192*P259*Assumptions!$B$210</f>
        <v/>
      </c>
      <c r="Q266" s="63">
        <f>Q192*Q259*Assumptions!$B$210</f>
        <v/>
      </c>
      <c r="R266" s="63">
        <f>R192*R259*Assumptions!$B$210</f>
        <v/>
      </c>
      <c r="S266" s="63">
        <f>S192*S259*Assumptions!$B$210</f>
        <v/>
      </c>
      <c r="T266" s="63">
        <f>T192*T259*Assumptions!$B$210</f>
        <v/>
      </c>
      <c r="U266" s="63">
        <f>U192*U259*Assumptions!$B$210</f>
        <v/>
      </c>
      <c r="V266" s="63">
        <f>V192*V259*Assumptions!$B$210</f>
        <v/>
      </c>
      <c r="W266" s="63">
        <f>W192*W259*Assumptions!$B$210</f>
        <v/>
      </c>
      <c r="X266" s="63">
        <f>X192*X259*Assumptions!$B$210</f>
        <v/>
      </c>
      <c r="Y266" s="63">
        <f>Y192*Y259*Assumptions!$B$210</f>
        <v/>
      </c>
      <c r="Z266" s="63">
        <f>Z192*Z259*Assumptions!$B$210</f>
        <v/>
      </c>
      <c r="AA266" s="63">
        <f>AA192*AA259*Assumptions!$B$210</f>
        <v/>
      </c>
      <c r="AB266" s="63">
        <f>AB192*AB259*Assumptions!$B$210</f>
        <v/>
      </c>
      <c r="AC266" s="63">
        <f>AC192*AC259*Assumptions!$B$210</f>
        <v/>
      </c>
      <c r="AD266" s="63">
        <f>AD192*AD259*Assumptions!$B$210</f>
        <v/>
      </c>
      <c r="AE266" s="63">
        <f>AE192*AE259*Assumptions!$B$210</f>
        <v/>
      </c>
    </row>
    <row r="267">
      <c r="A267" s="3" t="inlineStr">
        <is>
          <t>TOTAL ICS BENEFIT COSTS</t>
        </is>
      </c>
      <c r="B267" s="23" t="inlineStr">
        <is>
          <t>USD</t>
        </is>
      </c>
      <c r="C267" s="63">
        <f>C260+C262+C263+C266</f>
        <v/>
      </c>
      <c r="D267" s="63">
        <f>D260+D262+D263+D266</f>
        <v/>
      </c>
      <c r="E267" s="63">
        <f>E260+E262+E263+E266</f>
        <v/>
      </c>
      <c r="F267" s="63">
        <f>F260+F262+F263+F266</f>
        <v/>
      </c>
      <c r="G267" s="63">
        <f>G260+G262+G263+G266</f>
        <v/>
      </c>
      <c r="H267" s="63">
        <f>H260+H262+H263+H266</f>
        <v/>
      </c>
      <c r="I267" s="63">
        <f>I260+I262+I263+I266</f>
        <v/>
      </c>
      <c r="J267" s="63">
        <f>J260+J262+J263+J266</f>
        <v/>
      </c>
      <c r="K267" s="63">
        <f>K260+K262+K263+K266</f>
        <v/>
      </c>
      <c r="L267" s="63">
        <f>L260+L262+L263+L266</f>
        <v/>
      </c>
      <c r="M267" s="63">
        <f>M260+M262+M263+M266</f>
        <v/>
      </c>
      <c r="N267" s="63">
        <f>N260+N262+N263+N266</f>
        <v/>
      </c>
      <c r="O267" s="63">
        <f>O260+O262+O263+O266</f>
        <v/>
      </c>
      <c r="P267" s="63">
        <f>P260+P262+P263+P266</f>
        <v/>
      </c>
      <c r="Q267" s="63">
        <f>Q260+Q262+Q263+Q266</f>
        <v/>
      </c>
      <c r="R267" s="63">
        <f>R260+R262+R263+R266</f>
        <v/>
      </c>
      <c r="S267" s="63">
        <f>S260+S262+S263+S266</f>
        <v/>
      </c>
      <c r="T267" s="63">
        <f>T260+T262+T263+T266</f>
        <v/>
      </c>
      <c r="U267" s="63">
        <f>U260+U262+U263+U266</f>
        <v/>
      </c>
      <c r="V267" s="63">
        <f>V260+V262+V263+V266</f>
        <v/>
      </c>
      <c r="W267" s="63">
        <f>W260+W262+W263+W266</f>
        <v/>
      </c>
      <c r="X267" s="63">
        <f>X260+X262+X263+X266</f>
        <v/>
      </c>
      <c r="Y267" s="63">
        <f>Y260+Y262+Y263+Y266</f>
        <v/>
      </c>
      <c r="Z267" s="63">
        <f>Z260+Z262+Z263+Z266</f>
        <v/>
      </c>
      <c r="AA267" s="63">
        <f>AA260+AA262+AA263+AA266</f>
        <v/>
      </c>
      <c r="AB267" s="63">
        <f>AB260+AB262+AB263+AB266</f>
        <v/>
      </c>
      <c r="AC267" s="63">
        <f>AC260+AC262+AC263+AC266</f>
        <v/>
      </c>
      <c r="AD267" s="63">
        <f>AD260+AD262+AD263+AD266</f>
        <v/>
      </c>
      <c r="AE267" s="63">
        <f>AE260+AE262+AE263+AE266</f>
        <v/>
      </c>
    </row>
    <row r="268">
      <c r="A268" s="9" t="inlineStr">
        <is>
          <t>CONTRA-REVENUE, NOT CASH. Every line here is revenue given away rather than money paid out, and the streams above are reported GROSS so the giveaway stays visible. Netting them into the streams would hide the single largest lever the client controls on the benefit ladder.</t>
        </is>
      </c>
    </row>
    <row r="271">
      <c r="A271" s="51" t="inlineStr">
        <is>
          <t>ACQUISITION COSTS - what it costs to put a customer on the book</t>
        </is>
      </c>
      <c r="B271" s="52" t="n"/>
      <c r="C271" s="52" t="n"/>
      <c r="D271" s="52" t="n"/>
      <c r="E271" s="52" t="n"/>
      <c r="F271" s="52" t="n"/>
      <c r="G271" s="52" t="n"/>
      <c r="H271" s="52" t="n"/>
      <c r="I271" s="52" t="n"/>
      <c r="J271" s="52" t="n"/>
      <c r="K271" s="52" t="n"/>
      <c r="L271" s="52" t="n"/>
      <c r="M271" s="52" t="n"/>
      <c r="N271" s="52" t="n"/>
      <c r="O271" s="52" t="n"/>
      <c r="P271" s="52" t="n"/>
      <c r="Q271" s="52" t="n"/>
      <c r="R271" s="52" t="n"/>
      <c r="S271" s="52" t="n"/>
      <c r="T271" s="52" t="n"/>
      <c r="U271" s="52" t="n"/>
      <c r="V271" s="52" t="n"/>
      <c r="W271" s="52" t="n"/>
      <c r="X271" s="52" t="n"/>
      <c r="Y271" s="52" t="n"/>
      <c r="Z271" s="52" t="n"/>
      <c r="AA271" s="52" t="n"/>
      <c r="AB271" s="52" t="n"/>
      <c r="AC271" s="52" t="n"/>
      <c r="AD271" s="52" t="n"/>
      <c r="AE271" s="52" t="n"/>
    </row>
    <row r="272">
      <c r="A272" s="6" t="inlineStr">
        <is>
          <t>ACQ - Marketing spend</t>
        </is>
      </c>
      <c r="B272" s="23" t="inlineStr">
        <is>
          <t>USD</t>
        </is>
      </c>
      <c r="C272" s="63">
        <f>INDEX(Assumptions!$B$114:$B$120,C5)/12*C7</f>
        <v/>
      </c>
      <c r="D272" s="63">
        <f>INDEX(Assumptions!$B$114:$B$120,D5)/12*D7</f>
        <v/>
      </c>
      <c r="E272" s="63">
        <f>INDEX(Assumptions!$B$114:$B$120,E5)/12*E7</f>
        <v/>
      </c>
      <c r="F272" s="63">
        <f>INDEX(Assumptions!$B$114:$B$120,F5)/12*F7</f>
        <v/>
      </c>
      <c r="G272" s="63">
        <f>INDEX(Assumptions!$B$114:$B$120,G5)/12*G7</f>
        <v/>
      </c>
      <c r="H272" s="63">
        <f>INDEX(Assumptions!$B$114:$B$120,H5)/12*H7</f>
        <v/>
      </c>
      <c r="I272" s="63">
        <f>INDEX(Assumptions!$B$114:$B$120,I5)/12*I7</f>
        <v/>
      </c>
      <c r="J272" s="63">
        <f>INDEX(Assumptions!$B$114:$B$120,J5)/12*J7</f>
        <v/>
      </c>
      <c r="K272" s="63">
        <f>INDEX(Assumptions!$B$114:$B$120,K5)/12*K7</f>
        <v/>
      </c>
      <c r="L272" s="63">
        <f>INDEX(Assumptions!$B$114:$B$120,L5)/12*L7</f>
        <v/>
      </c>
      <c r="M272" s="63">
        <f>INDEX(Assumptions!$B$114:$B$120,M5)/12*M7</f>
        <v/>
      </c>
      <c r="N272" s="63">
        <f>INDEX(Assumptions!$B$114:$B$120,N5)/12*N7</f>
        <v/>
      </c>
      <c r="O272" s="63">
        <f>INDEX(Assumptions!$B$114:$B$120,O5)/12*O7</f>
        <v/>
      </c>
      <c r="P272" s="63">
        <f>INDEX(Assumptions!$B$114:$B$120,P5)/12*P7</f>
        <v/>
      </c>
      <c r="Q272" s="63">
        <f>INDEX(Assumptions!$B$114:$B$120,Q5)/12*Q7</f>
        <v/>
      </c>
      <c r="R272" s="63">
        <f>INDEX(Assumptions!$B$114:$B$120,R5)/12*R7</f>
        <v/>
      </c>
      <c r="S272" s="63">
        <f>INDEX(Assumptions!$B$114:$B$120,S5)/12*S7</f>
        <v/>
      </c>
      <c r="T272" s="63">
        <f>INDEX(Assumptions!$B$114:$B$120,T5)/12*T7</f>
        <v/>
      </c>
      <c r="U272" s="63">
        <f>INDEX(Assumptions!$B$114:$B$120,U5)/12*U7</f>
        <v/>
      </c>
      <c r="V272" s="63">
        <f>INDEX(Assumptions!$B$114:$B$120,V5)/12*V7</f>
        <v/>
      </c>
      <c r="W272" s="63">
        <f>INDEX(Assumptions!$B$114:$B$120,W5)/12*W7</f>
        <v/>
      </c>
      <c r="X272" s="63">
        <f>INDEX(Assumptions!$B$114:$B$120,X5)/12*X7</f>
        <v/>
      </c>
      <c r="Y272" s="63">
        <f>INDEX(Assumptions!$B$114:$B$120,Y5)/12*Y7</f>
        <v/>
      </c>
      <c r="Z272" s="63">
        <f>INDEX(Assumptions!$B$114:$B$120,Z5)/12*Z7</f>
        <v/>
      </c>
      <c r="AA272" s="63">
        <f>INDEX(Assumptions!$B$114:$B$120,AA5)/12*AA7</f>
        <v/>
      </c>
      <c r="AB272" s="63">
        <f>INDEX(Assumptions!$B$114:$B$120,AB5)/12*AB7</f>
        <v/>
      </c>
      <c r="AC272" s="63">
        <f>INDEX(Assumptions!$B$114:$B$120,AC5)/12*AC7</f>
        <v/>
      </c>
      <c r="AD272" s="63">
        <f>INDEX(Assumptions!$B$114:$B$120,AD5)/12*AD7</f>
        <v/>
      </c>
      <c r="AE272" s="63">
        <f>INDEX(Assumptions!$B$114:$B$120,AE5)/12*AE7</f>
        <v/>
      </c>
    </row>
    <row r="273">
      <c r="A273" s="9" t="inlineStr">
        <is>
          <t>A DECISION VARIABLE, not an output. It is the input that drives the direct channel, so it is booked here ONCE and never in opex. THE REVENUE-ONLY MODEL FLATTERED THIS BADLY: raising the budget 50% on 2026-08-21 appeared as +28.5% customers with no offsetting entry anywhere. This row is that offsetting entry.</t>
        </is>
      </c>
    </row>
    <row r="274">
      <c r="A274" s="6" t="inlineStr">
        <is>
          <t xml:space="preserve">  Agent-driven acquisitions this period</t>
        </is>
      </c>
      <c r="B274" s="23" t="inlineStr">
        <is>
          <t>accounts</t>
        </is>
      </c>
      <c r="C274" s="60">
        <f>C28+C71+C114</f>
        <v/>
      </c>
      <c r="D274" s="60">
        <f>D28+D71+D114</f>
        <v/>
      </c>
      <c r="E274" s="60">
        <f>E28+E71+E114</f>
        <v/>
      </c>
      <c r="F274" s="60">
        <f>F28+F71+F114</f>
        <v/>
      </c>
      <c r="G274" s="60">
        <f>G28+G71+G114</f>
        <v/>
      </c>
      <c r="H274" s="60">
        <f>H28+H71+H114</f>
        <v/>
      </c>
      <c r="I274" s="60">
        <f>I28+I71+I114</f>
        <v/>
      </c>
      <c r="J274" s="60">
        <f>J28+J71+J114</f>
        <v/>
      </c>
      <c r="K274" s="60">
        <f>K28+K71+K114</f>
        <v/>
      </c>
      <c r="L274" s="60">
        <f>L28+L71+L114</f>
        <v/>
      </c>
      <c r="M274" s="60">
        <f>M28+M71+M114</f>
        <v/>
      </c>
      <c r="N274" s="60">
        <f>N28+N71+N114</f>
        <v/>
      </c>
      <c r="O274" s="60">
        <f>O28+O71+O114</f>
        <v/>
      </c>
      <c r="P274" s="60">
        <f>P28+P71+P114</f>
        <v/>
      </c>
      <c r="Q274" s="60">
        <f>Q28+Q71+Q114</f>
        <v/>
      </c>
      <c r="R274" s="60">
        <f>R28+R71+R114</f>
        <v/>
      </c>
      <c r="S274" s="60">
        <f>S28+S71+S114</f>
        <v/>
      </c>
      <c r="T274" s="60">
        <f>T28+T71+T114</f>
        <v/>
      </c>
      <c r="U274" s="60">
        <f>U28+U71+U114</f>
        <v/>
      </c>
      <c r="V274" s="60">
        <f>V28+V71+V114</f>
        <v/>
      </c>
      <c r="W274" s="60">
        <f>W28+W71+W114</f>
        <v/>
      </c>
      <c r="X274" s="60">
        <f>X28+X71+X114</f>
        <v/>
      </c>
      <c r="Y274" s="60">
        <f>Y28+Y71+Y114</f>
        <v/>
      </c>
      <c r="Z274" s="60">
        <f>Z28+Z71+Z114</f>
        <v/>
      </c>
      <c r="AA274" s="60">
        <f>AA28+AA71+AA114</f>
        <v/>
      </c>
      <c r="AB274" s="60">
        <f>AB28+AB71+AB114</f>
        <v/>
      </c>
      <c r="AC274" s="60">
        <f>AC28+AC71+AC114</f>
        <v/>
      </c>
      <c r="AD274" s="60">
        <f>AD28+AD71+AD114</f>
        <v/>
      </c>
      <c r="AE274" s="60">
        <f>AE28+AE71+AE114</f>
        <v/>
      </c>
    </row>
    <row r="275">
      <c r="A275" s="6" t="inlineStr">
        <is>
          <t xml:space="preserve">  Cumulative agent-driven acquisitions</t>
        </is>
      </c>
      <c r="B275" s="23" t="inlineStr">
        <is>
          <t>accounts</t>
        </is>
      </c>
      <c r="C275" s="50">
        <f>C274</f>
        <v/>
      </c>
      <c r="D275" s="50">
        <f>C275+D274</f>
        <v/>
      </c>
      <c r="E275" s="50">
        <f>D275+E274</f>
        <v/>
      </c>
      <c r="F275" s="50">
        <f>E275+F274</f>
        <v/>
      </c>
      <c r="G275" s="50">
        <f>F275+G274</f>
        <v/>
      </c>
      <c r="H275" s="50">
        <f>G275+H274</f>
        <v/>
      </c>
      <c r="I275" s="50">
        <f>H275+I274</f>
        <v/>
      </c>
      <c r="J275" s="50">
        <f>I275+J274</f>
        <v/>
      </c>
      <c r="K275" s="50">
        <f>J275+K274</f>
        <v/>
      </c>
      <c r="L275" s="50">
        <f>K275+L274</f>
        <v/>
      </c>
      <c r="M275" s="50">
        <f>L275+M274</f>
        <v/>
      </c>
      <c r="N275" s="50">
        <f>M275+N274</f>
        <v/>
      </c>
      <c r="O275" s="50">
        <f>N275+O274</f>
        <v/>
      </c>
      <c r="P275" s="50">
        <f>O275+P274</f>
        <v/>
      </c>
      <c r="Q275" s="50">
        <f>P275+Q274</f>
        <v/>
      </c>
      <c r="R275" s="50">
        <f>Q275+R274</f>
        <v/>
      </c>
      <c r="S275" s="50">
        <f>R275+S274</f>
        <v/>
      </c>
      <c r="T275" s="50">
        <f>S275+T274</f>
        <v/>
      </c>
      <c r="U275" s="50">
        <f>T275+U274</f>
        <v/>
      </c>
      <c r="V275" s="50">
        <f>U275+V274</f>
        <v/>
      </c>
      <c r="W275" s="50">
        <f>V275+W274</f>
        <v/>
      </c>
      <c r="X275" s="50">
        <f>W275+X274</f>
        <v/>
      </c>
      <c r="Y275" s="50">
        <f>X275+Y274</f>
        <v/>
      </c>
      <c r="Z275" s="50">
        <f>Y275+Z274</f>
        <v/>
      </c>
      <c r="AA275" s="50">
        <f>Z275+AA274</f>
        <v/>
      </c>
      <c r="AB275" s="50">
        <f>AA275+AB274</f>
        <v/>
      </c>
      <c r="AC275" s="50">
        <f>AB275+AC274</f>
        <v/>
      </c>
      <c r="AD275" s="50">
        <f>AC275+AD274</f>
        <v/>
      </c>
      <c r="AE275" s="50">
        <f>AD275+AE274</f>
        <v/>
      </c>
    </row>
    <row r="276">
      <c r="A276" s="6" t="inlineStr">
        <is>
          <t xml:space="preserve">  Agent-acquired share of the book (memo)</t>
        </is>
      </c>
      <c r="B276" s="23" t="inlineStr">
        <is>
          <t>% of accounts</t>
        </is>
      </c>
      <c r="C276" s="62">
        <f>IF(C161=0,0,C275/C161)</f>
        <v/>
      </c>
      <c r="D276" s="62">
        <f>IF(D161=0,0,D275/D161)</f>
        <v/>
      </c>
      <c r="E276" s="62">
        <f>IF(E161=0,0,E275/E161)</f>
        <v/>
      </c>
      <c r="F276" s="62">
        <f>IF(F161=0,0,F275/F161)</f>
        <v/>
      </c>
      <c r="G276" s="62">
        <f>IF(G161=0,0,G275/G161)</f>
        <v/>
      </c>
      <c r="H276" s="62">
        <f>IF(H161=0,0,H275/H161)</f>
        <v/>
      </c>
      <c r="I276" s="62">
        <f>IF(I161=0,0,I275/I161)</f>
        <v/>
      </c>
      <c r="J276" s="62">
        <f>IF(J161=0,0,J275/J161)</f>
        <v/>
      </c>
      <c r="K276" s="62">
        <f>IF(K161=0,0,K275/K161)</f>
        <v/>
      </c>
      <c r="L276" s="62">
        <f>IF(L161=0,0,L275/L161)</f>
        <v/>
      </c>
      <c r="M276" s="62">
        <f>IF(M161=0,0,M275/M161)</f>
        <v/>
      </c>
      <c r="N276" s="62">
        <f>IF(N161=0,0,N275/N161)</f>
        <v/>
      </c>
      <c r="O276" s="62">
        <f>IF(O161=0,0,O275/O161)</f>
        <v/>
      </c>
      <c r="P276" s="62">
        <f>IF(P161=0,0,P275/P161)</f>
        <v/>
      </c>
      <c r="Q276" s="62">
        <f>IF(Q161=0,0,Q275/Q161)</f>
        <v/>
      </c>
      <c r="R276" s="62">
        <f>IF(R161=0,0,R275/R161)</f>
        <v/>
      </c>
      <c r="S276" s="62">
        <f>IF(S161=0,0,S275/S161)</f>
        <v/>
      </c>
      <c r="T276" s="62">
        <f>IF(T161=0,0,T275/T161)</f>
        <v/>
      </c>
      <c r="U276" s="62">
        <f>IF(U161=0,0,U275/U161)</f>
        <v/>
      </c>
      <c r="V276" s="62">
        <f>IF(V161=0,0,V275/V161)</f>
        <v/>
      </c>
      <c r="W276" s="62">
        <f>IF(W161=0,0,W275/W161)</f>
        <v/>
      </c>
      <c r="X276" s="62">
        <f>IF(X161=0,0,X275/X161)</f>
        <v/>
      </c>
      <c r="Y276" s="62">
        <f>IF(Y161=0,0,Y275/Y161)</f>
        <v/>
      </c>
      <c r="Z276" s="62">
        <f>IF(Z161=0,0,Z275/Z161)</f>
        <v/>
      </c>
      <c r="AA276" s="62">
        <f>IF(AA161=0,0,AA275/AA161)</f>
        <v/>
      </c>
      <c r="AB276" s="62">
        <f>IF(AB161=0,0,AB275/AB161)</f>
        <v/>
      </c>
      <c r="AC276" s="62">
        <f>IF(AC161=0,0,AC275/AC161)</f>
        <v/>
      </c>
      <c r="AD276" s="62">
        <f>IF(AD161=0,0,AD275/AD161)</f>
        <v/>
      </c>
      <c r="AE276" s="62">
        <f>IF(AE161=0,0,AE275/AE161)</f>
        <v/>
      </c>
    </row>
    <row r="277">
      <c r="A277" s="6" t="inlineStr">
        <is>
          <t>ACQ - Agent commission</t>
        </is>
      </c>
      <c r="B277" s="23" t="inlineStr">
        <is>
          <t>USD</t>
        </is>
      </c>
      <c r="C277" s="63">
        <f>(C189+C190)*C276*Assumptions!$B$211</f>
        <v/>
      </c>
      <c r="D277" s="63">
        <f>(D189+D190)*D276*Assumptions!$B$211</f>
        <v/>
      </c>
      <c r="E277" s="63">
        <f>(E189+E190)*E276*Assumptions!$B$211</f>
        <v/>
      </c>
      <c r="F277" s="63">
        <f>(F189+F190)*F276*Assumptions!$B$211</f>
        <v/>
      </c>
      <c r="G277" s="63">
        <f>(G189+G190)*G276*Assumptions!$B$211</f>
        <v/>
      </c>
      <c r="H277" s="63">
        <f>(H189+H190)*H276*Assumptions!$B$211</f>
        <v/>
      </c>
      <c r="I277" s="63">
        <f>(I189+I190)*I276*Assumptions!$B$211</f>
        <v/>
      </c>
      <c r="J277" s="63">
        <f>(J189+J190)*J276*Assumptions!$B$211</f>
        <v/>
      </c>
      <c r="K277" s="63">
        <f>(K189+K190)*K276*Assumptions!$B$211</f>
        <v/>
      </c>
      <c r="L277" s="63">
        <f>(L189+L190)*L276*Assumptions!$B$211</f>
        <v/>
      </c>
      <c r="M277" s="63">
        <f>(M189+M190)*M276*Assumptions!$B$211</f>
        <v/>
      </c>
      <c r="N277" s="63">
        <f>(N189+N190)*N276*Assumptions!$B$211</f>
        <v/>
      </c>
      <c r="O277" s="63">
        <f>(O189+O190)*O276*Assumptions!$B$211</f>
        <v/>
      </c>
      <c r="P277" s="63">
        <f>(P189+P190)*P276*Assumptions!$B$211</f>
        <v/>
      </c>
      <c r="Q277" s="63">
        <f>(Q189+Q190)*Q276*Assumptions!$B$211</f>
        <v/>
      </c>
      <c r="R277" s="63">
        <f>(R189+R190)*R276*Assumptions!$B$211</f>
        <v/>
      </c>
      <c r="S277" s="63">
        <f>(S189+S190)*S276*Assumptions!$B$211</f>
        <v/>
      </c>
      <c r="T277" s="63">
        <f>(T189+T190)*T276*Assumptions!$B$211</f>
        <v/>
      </c>
      <c r="U277" s="63">
        <f>(U189+U190)*U276*Assumptions!$B$211</f>
        <v/>
      </c>
      <c r="V277" s="63">
        <f>(V189+V190)*V276*Assumptions!$B$211</f>
        <v/>
      </c>
      <c r="W277" s="63">
        <f>(W189+W190)*W276*Assumptions!$B$211</f>
        <v/>
      </c>
      <c r="X277" s="63">
        <f>(X189+X190)*X276*Assumptions!$B$211</f>
        <v/>
      </c>
      <c r="Y277" s="63">
        <f>(Y189+Y190)*Y276*Assumptions!$B$211</f>
        <v/>
      </c>
      <c r="Z277" s="63">
        <f>(Z189+Z190)*Z276*Assumptions!$B$211</f>
        <v/>
      </c>
      <c r="AA277" s="63">
        <f>(AA189+AA190)*AA276*Assumptions!$B$211</f>
        <v/>
      </c>
      <c r="AB277" s="63">
        <f>(AB189+AB190)*AB276*Assumptions!$B$211</f>
        <v/>
      </c>
      <c r="AC277" s="63">
        <f>(AC189+AC190)*AC276*Assumptions!$B$211</f>
        <v/>
      </c>
      <c r="AD277" s="63">
        <f>(AD189+AD190)*AD276*Assumptions!$B$211</f>
        <v/>
      </c>
      <c r="AE277" s="63">
        <f>(AE189+AE190)*AE276*Assumptions!$B$211</f>
        <v/>
      </c>
    </row>
    <row r="278">
      <c r="A278" s="9" t="inlineStr">
        <is>
          <t>10% of the entry fee, ONGOING - renewal commission for as long as the customer keeps paying, not a one-off at acquisition. Applied to the agent-acquired SHARE of entry-fee revenue, approximated from cumulative acquisitions by channel because the model does not cohort customers by channel. THE UPLINE OVERRIDE IS NOT MODELLED: the network is three tiers, and whether 10% is the total across all levels or just the first is unresolved - the difference is one commission or three.</t>
        </is>
      </c>
    </row>
    <row r="279">
      <c r="A279" s="6" t="inlineStr">
        <is>
          <t xml:space="preserve">  Referral-driven acquisitions this period</t>
        </is>
      </c>
      <c r="B279" s="23" t="inlineStr">
        <is>
          <t>accounts</t>
        </is>
      </c>
      <c r="C279" s="60">
        <f>C27+C70+C113</f>
        <v/>
      </c>
      <c r="D279" s="60">
        <f>D27+D70+D113</f>
        <v/>
      </c>
      <c r="E279" s="60">
        <f>E27+E70+E113</f>
        <v/>
      </c>
      <c r="F279" s="60">
        <f>F27+F70+F113</f>
        <v/>
      </c>
      <c r="G279" s="60">
        <f>G27+G70+G113</f>
        <v/>
      </c>
      <c r="H279" s="60">
        <f>H27+H70+H113</f>
        <v/>
      </c>
      <c r="I279" s="60">
        <f>I27+I70+I113</f>
        <v/>
      </c>
      <c r="J279" s="60">
        <f>J27+J70+J113</f>
        <v/>
      </c>
      <c r="K279" s="60">
        <f>K27+K70+K113</f>
        <v/>
      </c>
      <c r="L279" s="60">
        <f>L27+L70+L113</f>
        <v/>
      </c>
      <c r="M279" s="60">
        <f>M27+M70+M113</f>
        <v/>
      </c>
      <c r="N279" s="60">
        <f>N27+N70+N113</f>
        <v/>
      </c>
      <c r="O279" s="60">
        <f>O27+O70+O113</f>
        <v/>
      </c>
      <c r="P279" s="60">
        <f>P27+P70+P113</f>
        <v/>
      </c>
      <c r="Q279" s="60">
        <f>Q27+Q70+Q113</f>
        <v/>
      </c>
      <c r="R279" s="60">
        <f>R27+R70+R113</f>
        <v/>
      </c>
      <c r="S279" s="60">
        <f>S27+S70+S113</f>
        <v/>
      </c>
      <c r="T279" s="60">
        <f>T27+T70+T113</f>
        <v/>
      </c>
      <c r="U279" s="60">
        <f>U27+U70+U113</f>
        <v/>
      </c>
      <c r="V279" s="60">
        <f>V27+V70+V113</f>
        <v/>
      </c>
      <c r="W279" s="60">
        <f>W27+W70+W113</f>
        <v/>
      </c>
      <c r="X279" s="60">
        <f>X27+X70+X113</f>
        <v/>
      </c>
      <c r="Y279" s="60">
        <f>Y27+Y70+Y113</f>
        <v/>
      </c>
      <c r="Z279" s="60">
        <f>Z27+Z70+Z113</f>
        <v/>
      </c>
      <c r="AA279" s="60">
        <f>AA27+AA70+AA113</f>
        <v/>
      </c>
      <c r="AB279" s="60">
        <f>AB27+AB70+AB113</f>
        <v/>
      </c>
      <c r="AC279" s="60">
        <f>AC27+AC70+AC113</f>
        <v/>
      </c>
      <c r="AD279" s="60">
        <f>AD27+AD70+AD113</f>
        <v/>
      </c>
      <c r="AE279" s="60">
        <f>AE27+AE70+AE113</f>
        <v/>
      </c>
    </row>
    <row r="280">
      <c r="A280" s="6" t="inlineStr">
        <is>
          <t>ACQ - Referral rewards</t>
        </is>
      </c>
      <c r="B280" s="23" t="inlineStr">
        <is>
          <t>USD</t>
        </is>
      </c>
      <c r="C280" s="63">
        <f>(C27*Assumptions!$B$190+C70*Assumptions!$B$191+C113*Assumptions!$B$192)*6*Assumptions!$B$8*Assumptions!$B$212</f>
        <v/>
      </c>
      <c r="D280" s="63">
        <f>(D27*Assumptions!$B$190+D70*Assumptions!$B$191+D113*Assumptions!$B$192)*6*Assumptions!$B$8*Assumptions!$B$212</f>
        <v/>
      </c>
      <c r="E280" s="63">
        <f>(E27*Assumptions!$B$190+E70*Assumptions!$B$191+E113*Assumptions!$B$192)*6*Assumptions!$B$8*Assumptions!$B$212</f>
        <v/>
      </c>
      <c r="F280" s="63">
        <f>(F27*Assumptions!$B$190+F70*Assumptions!$B$191+F113*Assumptions!$B$192)*6*Assumptions!$B$8*Assumptions!$B$212</f>
        <v/>
      </c>
      <c r="G280" s="63">
        <f>(G27*Assumptions!$B$190+G70*Assumptions!$B$191+G113*Assumptions!$B$192)*6*Assumptions!$B$8*Assumptions!$B$212</f>
        <v/>
      </c>
      <c r="H280" s="63">
        <f>(H27*Assumptions!$B$190+H70*Assumptions!$B$191+H113*Assumptions!$B$192)*6*Assumptions!$B$8*Assumptions!$B$212</f>
        <v/>
      </c>
      <c r="I280" s="63">
        <f>(I27*Assumptions!$B$190+I70*Assumptions!$B$191+I113*Assumptions!$B$192)*6*Assumptions!$B$8*Assumptions!$B$212</f>
        <v/>
      </c>
      <c r="J280" s="63">
        <f>(J27*Assumptions!$B$190+J70*Assumptions!$B$191+J113*Assumptions!$B$192)*6*Assumptions!$B$8*Assumptions!$B$212</f>
        <v/>
      </c>
      <c r="K280" s="63">
        <f>(K27*Assumptions!$B$190+K70*Assumptions!$B$191+K113*Assumptions!$B$192)*6*Assumptions!$B$8*Assumptions!$B$212</f>
        <v/>
      </c>
      <c r="L280" s="63">
        <f>(L27*Assumptions!$B$190+L70*Assumptions!$B$191+L113*Assumptions!$B$192)*6*Assumptions!$B$8*Assumptions!$B$212</f>
        <v/>
      </c>
      <c r="M280" s="63">
        <f>(M27*Assumptions!$B$190+M70*Assumptions!$B$191+M113*Assumptions!$B$192)*6*Assumptions!$B$8*Assumptions!$B$212</f>
        <v/>
      </c>
      <c r="N280" s="63">
        <f>(N27*Assumptions!$B$190+N70*Assumptions!$B$191+N113*Assumptions!$B$192)*6*Assumptions!$B$8*Assumptions!$B$212</f>
        <v/>
      </c>
      <c r="O280" s="63">
        <f>(O27*Assumptions!$B$190+O70*Assumptions!$B$191+O113*Assumptions!$B$192)*6*Assumptions!$B$8*Assumptions!$B$212</f>
        <v/>
      </c>
      <c r="P280" s="63">
        <f>(P27*Assumptions!$B$190+P70*Assumptions!$B$191+P113*Assumptions!$B$192)*6*Assumptions!$B$8*Assumptions!$B$212</f>
        <v/>
      </c>
      <c r="Q280" s="63">
        <f>(Q27*Assumptions!$B$190+Q70*Assumptions!$B$191+Q113*Assumptions!$B$192)*6*Assumptions!$B$8*Assumptions!$B$212</f>
        <v/>
      </c>
      <c r="R280" s="63">
        <f>(R27*Assumptions!$B$190+R70*Assumptions!$B$191+R113*Assumptions!$B$192)*6*Assumptions!$B$8*Assumptions!$B$212</f>
        <v/>
      </c>
      <c r="S280" s="63">
        <f>(S27*Assumptions!$B$190+S70*Assumptions!$B$191+S113*Assumptions!$B$192)*6*Assumptions!$B$8*Assumptions!$B$212</f>
        <v/>
      </c>
      <c r="T280" s="63">
        <f>(T27*Assumptions!$B$190+T70*Assumptions!$B$191+T113*Assumptions!$B$192)*6*Assumptions!$B$8*Assumptions!$B$212</f>
        <v/>
      </c>
      <c r="U280" s="63">
        <f>(U27*Assumptions!$B$190+U70*Assumptions!$B$191+U113*Assumptions!$B$192)*6*Assumptions!$B$8*Assumptions!$B$212</f>
        <v/>
      </c>
      <c r="V280" s="63">
        <f>(V27*Assumptions!$B$190+V70*Assumptions!$B$191+V113*Assumptions!$B$192)*6*Assumptions!$B$8*Assumptions!$B$212</f>
        <v/>
      </c>
      <c r="W280" s="63">
        <f>(W27*Assumptions!$B$190+W70*Assumptions!$B$191+W113*Assumptions!$B$192)*6*Assumptions!$B$8*Assumptions!$B$212</f>
        <v/>
      </c>
      <c r="X280" s="63">
        <f>(X27*Assumptions!$B$190+X70*Assumptions!$B$191+X113*Assumptions!$B$192)*6*Assumptions!$B$8*Assumptions!$B$212</f>
        <v/>
      </c>
      <c r="Y280" s="63">
        <f>(Y27*Assumptions!$B$190+Y70*Assumptions!$B$191+Y113*Assumptions!$B$192)*6*Assumptions!$B$8*Assumptions!$B$212</f>
        <v/>
      </c>
      <c r="Z280" s="63">
        <f>(Z27*Assumptions!$B$190+Z70*Assumptions!$B$191+Z113*Assumptions!$B$192)*6*Assumptions!$B$8*Assumptions!$B$212</f>
        <v/>
      </c>
      <c r="AA280" s="63">
        <f>(AA27*Assumptions!$B$190+AA70*Assumptions!$B$191+AA113*Assumptions!$B$192)*6*Assumptions!$B$8*Assumptions!$B$212</f>
        <v/>
      </c>
      <c r="AB280" s="63">
        <f>(AB27*Assumptions!$B$190+AB70*Assumptions!$B$191+AB113*Assumptions!$B$192)*6*Assumptions!$B$8*Assumptions!$B$212</f>
        <v/>
      </c>
      <c r="AC280" s="63">
        <f>(AC27*Assumptions!$B$190+AC70*Assumptions!$B$191+AC113*Assumptions!$B$192)*6*Assumptions!$B$8*Assumptions!$B$212</f>
        <v/>
      </c>
      <c r="AD280" s="63">
        <f>(AD27*Assumptions!$B$190+AD70*Assumptions!$B$191+AD113*Assumptions!$B$192)*6*Assumptions!$B$8*Assumptions!$B$212</f>
        <v/>
      </c>
      <c r="AE280" s="63">
        <f>(AE27*Assumptions!$B$190+AE70*Assumptions!$B$191+AE113*Assumptions!$B$192)*6*Assumptions!$B$8*Assumptions!$B$212</f>
        <v/>
      </c>
    </row>
    <row r="281">
      <c r="A281" s="9" t="inlineStr">
        <is>
          <t>30% of the entry fee the referee pays over SIX qualifying contributions, credited in grams. Priced per region because tickets differ and the reward is a share of the referee's own fee. BOOKED AT ACQUISITION, PAID AT THE GATE: the real payment lands six contributions later, so no earlier than about month 19. Annual totals barely move; the monthly cash profile does.</t>
        </is>
      </c>
    </row>
    <row r="282">
      <c r="A282" s="3" t="inlineStr">
        <is>
          <t>TOTAL ACQUISITION COSTS</t>
        </is>
      </c>
      <c r="B282" s="23" t="inlineStr">
        <is>
          <t>USD</t>
        </is>
      </c>
      <c r="C282" s="63">
        <f>C272+C277+C280</f>
        <v/>
      </c>
      <c r="D282" s="63">
        <f>D272+D277+D280</f>
        <v/>
      </c>
      <c r="E282" s="63">
        <f>E272+E277+E280</f>
        <v/>
      </c>
      <c r="F282" s="63">
        <f>F272+F277+F280</f>
        <v/>
      </c>
      <c r="G282" s="63">
        <f>G272+G277+G280</f>
        <v/>
      </c>
      <c r="H282" s="63">
        <f>H272+H277+H280</f>
        <v/>
      </c>
      <c r="I282" s="63">
        <f>I272+I277+I280</f>
        <v/>
      </c>
      <c r="J282" s="63">
        <f>J272+J277+J280</f>
        <v/>
      </c>
      <c r="K282" s="63">
        <f>K272+K277+K280</f>
        <v/>
      </c>
      <c r="L282" s="63">
        <f>L272+L277+L280</f>
        <v/>
      </c>
      <c r="M282" s="63">
        <f>M272+M277+M280</f>
        <v/>
      </c>
      <c r="N282" s="63">
        <f>N272+N277+N280</f>
        <v/>
      </c>
      <c r="O282" s="63">
        <f>O272+O277+O280</f>
        <v/>
      </c>
      <c r="P282" s="63">
        <f>P272+P277+P280</f>
        <v/>
      </c>
      <c r="Q282" s="63">
        <f>Q272+Q277+Q280</f>
        <v/>
      </c>
      <c r="R282" s="63">
        <f>R272+R277+R280</f>
        <v/>
      </c>
      <c r="S282" s="63">
        <f>S272+S277+S280</f>
        <v/>
      </c>
      <c r="T282" s="63">
        <f>T272+T277+T280</f>
        <v/>
      </c>
      <c r="U282" s="63">
        <f>U272+U277+U280</f>
        <v/>
      </c>
      <c r="V282" s="63">
        <f>V272+V277+V280</f>
        <v/>
      </c>
      <c r="W282" s="63">
        <f>W272+W277+W280</f>
        <v/>
      </c>
      <c r="X282" s="63">
        <f>X272+X277+X280</f>
        <v/>
      </c>
      <c r="Y282" s="63">
        <f>Y272+Y277+Y280</f>
        <v/>
      </c>
      <c r="Z282" s="63">
        <f>Z272+Z277+Z280</f>
        <v/>
      </c>
      <c r="AA282" s="63">
        <f>AA272+AA277+AA280</f>
        <v/>
      </c>
      <c r="AB282" s="63">
        <f>AB272+AB277+AB280</f>
        <v/>
      </c>
      <c r="AC282" s="63">
        <f>AC272+AC277+AC280</f>
        <v/>
      </c>
      <c r="AD282" s="63">
        <f>AD272+AD277+AD280</f>
        <v/>
      </c>
      <c r="AE282" s="63">
        <f>AE272+AE277+AE280</f>
        <v/>
      </c>
    </row>
    <row r="283">
      <c r="A283" s="6" t="inlineStr">
        <is>
          <t xml:space="preserve">  Blended cost per new customer (memo)</t>
        </is>
      </c>
      <c r="B283" s="23" t="inlineStr">
        <is>
          <t>USD</t>
        </is>
      </c>
      <c r="C283" s="59">
        <f>IF(C162=0,0,C282/C162)</f>
        <v/>
      </c>
      <c r="D283" s="59">
        <f>IF(D162=0,0,D282/D162)</f>
        <v/>
      </c>
      <c r="E283" s="59">
        <f>IF(E162=0,0,E282/E162)</f>
        <v/>
      </c>
      <c r="F283" s="59">
        <f>IF(F162=0,0,F282/F162)</f>
        <v/>
      </c>
      <c r="G283" s="59">
        <f>IF(G162=0,0,G282/G162)</f>
        <v/>
      </c>
      <c r="H283" s="59">
        <f>IF(H162=0,0,H282/H162)</f>
        <v/>
      </c>
      <c r="I283" s="59">
        <f>IF(I162=0,0,I282/I162)</f>
        <v/>
      </c>
      <c r="J283" s="59">
        <f>IF(J162=0,0,J282/J162)</f>
        <v/>
      </c>
      <c r="K283" s="59">
        <f>IF(K162=0,0,K282/K162)</f>
        <v/>
      </c>
      <c r="L283" s="59">
        <f>IF(L162=0,0,L282/L162)</f>
        <v/>
      </c>
      <c r="M283" s="59">
        <f>IF(M162=0,0,M282/M162)</f>
        <v/>
      </c>
      <c r="N283" s="59">
        <f>IF(N162=0,0,N282/N162)</f>
        <v/>
      </c>
      <c r="O283" s="59">
        <f>IF(O162=0,0,O282/O162)</f>
        <v/>
      </c>
      <c r="P283" s="59">
        <f>IF(P162=0,0,P282/P162)</f>
        <v/>
      </c>
      <c r="Q283" s="59">
        <f>IF(Q162=0,0,Q282/Q162)</f>
        <v/>
      </c>
      <c r="R283" s="59">
        <f>IF(R162=0,0,R282/R162)</f>
        <v/>
      </c>
      <c r="S283" s="59">
        <f>IF(S162=0,0,S282/S162)</f>
        <v/>
      </c>
      <c r="T283" s="59">
        <f>IF(T162=0,0,T282/T162)</f>
        <v/>
      </c>
      <c r="U283" s="59">
        <f>IF(U162=0,0,U282/U162)</f>
        <v/>
      </c>
      <c r="V283" s="59">
        <f>IF(V162=0,0,V282/V162)</f>
        <v/>
      </c>
      <c r="W283" s="59">
        <f>IF(W162=0,0,W282/W162)</f>
        <v/>
      </c>
      <c r="X283" s="59">
        <f>IF(X162=0,0,X282/X162)</f>
        <v/>
      </c>
      <c r="Y283" s="59">
        <f>IF(Y162=0,0,Y282/Y162)</f>
        <v/>
      </c>
      <c r="Z283" s="59">
        <f>IF(Z162=0,0,Z282/Z162)</f>
        <v/>
      </c>
      <c r="AA283" s="59">
        <f>IF(AA162=0,0,AA282/AA162)</f>
        <v/>
      </c>
      <c r="AB283" s="59">
        <f>IF(AB162=0,0,AB282/AB162)</f>
        <v/>
      </c>
      <c r="AC283" s="59">
        <f>IF(AC162=0,0,AC282/AC162)</f>
        <v/>
      </c>
      <c r="AD283" s="59">
        <f>IF(AD162=0,0,AD282/AD162)</f>
        <v/>
      </c>
      <c r="AE283" s="59">
        <f>IF(AE162=0,0,AE282/AE162)</f>
        <v/>
      </c>
    </row>
    <row r="284">
      <c r="A284" s="9" t="inlineStr">
        <is>
          <t>TOTAL acquisition cost over ALL new customers, including the organic ones nobody paid for. It is therefore BELOW the paid CAC by construction, and it is the number that matters for unit economics - the marketing CAC prices only the channel it buys.</t>
        </is>
      </c>
    </row>
    <row r="287">
      <c r="A287" s="51" t="inlineStr">
        <is>
          <t>CARD PROGRAMME COSTS - what the card costs to run, kept next to what it earns</t>
        </is>
      </c>
      <c r="B287" s="52" t="n"/>
      <c r="C287" s="52" t="n"/>
      <c r="D287" s="52" t="n"/>
      <c r="E287" s="52" t="n"/>
      <c r="F287" s="52" t="n"/>
      <c r="G287" s="52" t="n"/>
      <c r="H287" s="52" t="n"/>
      <c r="I287" s="52" t="n"/>
      <c r="J287" s="52" t="n"/>
      <c r="K287" s="52" t="n"/>
      <c r="L287" s="52" t="n"/>
      <c r="M287" s="52" t="n"/>
      <c r="N287" s="52" t="n"/>
      <c r="O287" s="52" t="n"/>
      <c r="P287" s="52" t="n"/>
      <c r="Q287" s="52" t="n"/>
      <c r="R287" s="52" t="n"/>
      <c r="S287" s="52" t="n"/>
      <c r="T287" s="52" t="n"/>
      <c r="U287" s="52" t="n"/>
      <c r="V287" s="52" t="n"/>
      <c r="W287" s="52" t="n"/>
      <c r="X287" s="52" t="n"/>
      <c r="Y287" s="52" t="n"/>
      <c r="Z287" s="52" t="n"/>
      <c r="AA287" s="52" t="n"/>
      <c r="AB287" s="52" t="n"/>
      <c r="AC287" s="52" t="n"/>
      <c r="AD287" s="52" t="n"/>
      <c r="AE287" s="52" t="n"/>
    </row>
    <row r="288">
      <c r="A288" s="6" t="inlineStr">
        <is>
          <t xml:space="preserve">  Cards newly issued this period</t>
        </is>
      </c>
      <c r="B288" s="23" t="inlineStr">
        <is>
          <t>cards</t>
        </is>
      </c>
      <c r="C288" s="60">
        <f>C48+C91+C134</f>
        <v/>
      </c>
      <c r="D288" s="60">
        <f>D48+D91+D134</f>
        <v/>
      </c>
      <c r="E288" s="60">
        <f>E48+E91+E134</f>
        <v/>
      </c>
      <c r="F288" s="60">
        <f>F48+F91+F134</f>
        <v/>
      </c>
      <c r="G288" s="60">
        <f>G48+G91+G134</f>
        <v/>
      </c>
      <c r="H288" s="60">
        <f>H48+H91+H134</f>
        <v/>
      </c>
      <c r="I288" s="60">
        <f>I48+I91+I134</f>
        <v/>
      </c>
      <c r="J288" s="60">
        <f>J48+J91+J134</f>
        <v/>
      </c>
      <c r="K288" s="60">
        <f>K48+K91+K134</f>
        <v/>
      </c>
      <c r="L288" s="60">
        <f>L48+L91+L134</f>
        <v/>
      </c>
      <c r="M288" s="60">
        <f>M48+M91+M134</f>
        <v/>
      </c>
      <c r="N288" s="60">
        <f>N48+N91+N134</f>
        <v/>
      </c>
      <c r="O288" s="60">
        <f>O48+O91+O134</f>
        <v/>
      </c>
      <c r="P288" s="60">
        <f>P48+P91+P134</f>
        <v/>
      </c>
      <c r="Q288" s="60">
        <f>Q48+Q91+Q134</f>
        <v/>
      </c>
      <c r="R288" s="60">
        <f>R48+R91+R134</f>
        <v/>
      </c>
      <c r="S288" s="60">
        <f>S48+S91+S134</f>
        <v/>
      </c>
      <c r="T288" s="60">
        <f>T48+T91+T134</f>
        <v/>
      </c>
      <c r="U288" s="60">
        <f>U48+U91+U134</f>
        <v/>
      </c>
      <c r="V288" s="60">
        <f>V48+V91+V134</f>
        <v/>
      </c>
      <c r="W288" s="60">
        <f>W48+W91+W134</f>
        <v/>
      </c>
      <c r="X288" s="60">
        <f>X48+X91+X134</f>
        <v/>
      </c>
      <c r="Y288" s="60">
        <f>Y48+Y91+Y134</f>
        <v/>
      </c>
      <c r="Z288" s="60">
        <f>Z48+Z91+Z134</f>
        <v/>
      </c>
      <c r="AA288" s="60">
        <f>AA48+AA91+AA134</f>
        <v/>
      </c>
      <c r="AB288" s="60">
        <f>AB48+AB91+AB134</f>
        <v/>
      </c>
      <c r="AC288" s="60">
        <f>AC48+AC91+AC134</f>
        <v/>
      </c>
      <c r="AD288" s="60">
        <f>AD48+AD91+AD134</f>
        <v/>
      </c>
      <c r="AE288" s="60">
        <f>AE48+AE91+AE134</f>
        <v/>
      </c>
    </row>
    <row r="289">
      <c r="A289" s="6" t="inlineStr">
        <is>
          <t>CARD - NymCard platform and scheme fees</t>
        </is>
      </c>
      <c r="B289" s="23" t="inlineStr">
        <is>
          <t>USD</t>
        </is>
      </c>
      <c r="C289" s="63">
        <f>IF(C2&gt;=Assumptions!$B$51,Assumptions!$B$213*C7/12,0)</f>
        <v/>
      </c>
      <c r="D289" s="63">
        <f>IF(D2&gt;=Assumptions!$B$51,Assumptions!$B$213*D7/12,0)</f>
        <v/>
      </c>
      <c r="E289" s="63">
        <f>IF(E2&gt;=Assumptions!$B$51,Assumptions!$B$213*E7/12,0)</f>
        <v/>
      </c>
      <c r="F289" s="63">
        <f>IF(F2&gt;=Assumptions!$B$51,Assumptions!$B$213*F7/12,0)</f>
        <v/>
      </c>
      <c r="G289" s="63">
        <f>IF(G2&gt;=Assumptions!$B$51,Assumptions!$B$213*G7/12,0)</f>
        <v/>
      </c>
      <c r="H289" s="63">
        <f>IF(H2&gt;=Assumptions!$B$51,Assumptions!$B$213*H7/12,0)</f>
        <v/>
      </c>
      <c r="I289" s="63">
        <f>IF(I2&gt;=Assumptions!$B$51,Assumptions!$B$213*I7/12,0)</f>
        <v/>
      </c>
      <c r="J289" s="63">
        <f>IF(J2&gt;=Assumptions!$B$51,Assumptions!$B$213*J7/12,0)</f>
        <v/>
      </c>
      <c r="K289" s="63">
        <f>IF(K2&gt;=Assumptions!$B$51,Assumptions!$B$213*K7/12,0)</f>
        <v/>
      </c>
      <c r="L289" s="63">
        <f>IF(L2&gt;=Assumptions!$B$51,Assumptions!$B$213*L7/12,0)</f>
        <v/>
      </c>
      <c r="M289" s="63">
        <f>IF(M2&gt;=Assumptions!$B$51,Assumptions!$B$213*M7/12,0)</f>
        <v/>
      </c>
      <c r="N289" s="63">
        <f>IF(N2&gt;=Assumptions!$B$51,Assumptions!$B$213*N7/12,0)</f>
        <v/>
      </c>
      <c r="O289" s="63">
        <f>IF(O2&gt;=Assumptions!$B$51,Assumptions!$B$213*O7/12,0)</f>
        <v/>
      </c>
      <c r="P289" s="63">
        <f>IF(P2&gt;=Assumptions!$B$51,Assumptions!$B$213*P7/12,0)</f>
        <v/>
      </c>
      <c r="Q289" s="63">
        <f>IF(Q2&gt;=Assumptions!$B$51,Assumptions!$B$213*Q7/12,0)</f>
        <v/>
      </c>
      <c r="R289" s="63">
        <f>IF(R2&gt;=Assumptions!$B$51,Assumptions!$B$213*R7/12,0)</f>
        <v/>
      </c>
      <c r="S289" s="63">
        <f>IF(S2&gt;=Assumptions!$B$51,Assumptions!$B$213*S7/12,0)</f>
        <v/>
      </c>
      <c r="T289" s="63">
        <f>IF(T2&gt;=Assumptions!$B$51,Assumptions!$B$213*T7/12,0)</f>
        <v/>
      </c>
      <c r="U289" s="63">
        <f>IF(U2&gt;=Assumptions!$B$51,Assumptions!$B$213*U7/12,0)</f>
        <v/>
      </c>
      <c r="V289" s="63">
        <f>IF(V2&gt;=Assumptions!$B$51,Assumptions!$B$213*V7/12,0)</f>
        <v/>
      </c>
      <c r="W289" s="63">
        <f>IF(W2&gt;=Assumptions!$B$51,Assumptions!$B$213*W7/12,0)</f>
        <v/>
      </c>
      <c r="X289" s="63">
        <f>IF(X2&gt;=Assumptions!$B$51,Assumptions!$B$213*X7/12,0)</f>
        <v/>
      </c>
      <c r="Y289" s="63">
        <f>IF(Y2&gt;=Assumptions!$B$51,Assumptions!$B$213*Y7/12,0)</f>
        <v/>
      </c>
      <c r="Z289" s="63">
        <f>IF(Z2&gt;=Assumptions!$B$51,Assumptions!$B$213*Z7/12,0)</f>
        <v/>
      </c>
      <c r="AA289" s="63">
        <f>IF(AA2&gt;=Assumptions!$B$51,Assumptions!$B$213*AA7/12,0)</f>
        <v/>
      </c>
      <c r="AB289" s="63">
        <f>IF(AB2&gt;=Assumptions!$B$51,Assumptions!$B$213*AB7/12,0)</f>
        <v/>
      </c>
      <c r="AC289" s="63">
        <f>IF(AC2&gt;=Assumptions!$B$51,Assumptions!$B$213*AC7/12,0)</f>
        <v/>
      </c>
      <c r="AD289" s="63">
        <f>IF(AD2&gt;=Assumptions!$B$51,Assumptions!$B$213*AD7/12,0)</f>
        <v/>
      </c>
      <c r="AE289" s="63">
        <f>IF(AE2&gt;=Assumptions!$B$51,Assumptions!$B$213*AE7/12,0)</f>
        <v/>
      </c>
    </row>
    <row r="290">
      <c r="A290" s="9" t="inlineStr">
        <is>
          <t>NO BIN SPONSORSHIP FEE IN HERE. NymCard is a principal member of both Visa and Mastercard, so it sponsors the BIN under its OWN membership - there is no bank to pay for it, and the line fell from USD 120,000/yr to USD 30,000 when that component came out. What remains is the platform fee and scheme assessments, which no provider waives. A BANK IS STILL NEEDED FOR THE CREDIT: lending is a different regime and a payment services licence does not reach it. BENCHMARKED, NOT QUOTED - NymCard publishes no pricing.</t>
        </is>
      </c>
    </row>
    <row r="291">
      <c r="A291" s="6" t="inlineStr">
        <is>
          <t>CARD - Programme setup (one-off at launch)</t>
        </is>
      </c>
      <c r="B291" s="23" t="inlineStr">
        <is>
          <t>USD</t>
        </is>
      </c>
      <c r="C291" s="63">
        <f>IF(C2=Assumptions!$B$51,Assumptions!$B$214,0)</f>
        <v/>
      </c>
      <c r="D291" s="63">
        <f>IF(D2=Assumptions!$B$51,Assumptions!$B$214,0)</f>
        <v/>
      </c>
      <c r="E291" s="63">
        <f>IF(E2=Assumptions!$B$51,Assumptions!$B$214,0)</f>
        <v/>
      </c>
      <c r="F291" s="63">
        <f>IF(F2=Assumptions!$B$51,Assumptions!$B$214,0)</f>
        <v/>
      </c>
      <c r="G291" s="63">
        <f>IF(G2=Assumptions!$B$51,Assumptions!$B$214,0)</f>
        <v/>
      </c>
      <c r="H291" s="63">
        <f>IF(H2=Assumptions!$B$51,Assumptions!$B$214,0)</f>
        <v/>
      </c>
      <c r="I291" s="63">
        <f>IF(I2=Assumptions!$B$51,Assumptions!$B$214,0)</f>
        <v/>
      </c>
      <c r="J291" s="63">
        <f>IF(J2=Assumptions!$B$51,Assumptions!$B$214,0)</f>
        <v/>
      </c>
      <c r="K291" s="63">
        <f>IF(K2=Assumptions!$B$51,Assumptions!$B$214,0)</f>
        <v/>
      </c>
      <c r="L291" s="63">
        <f>IF(L2=Assumptions!$B$51,Assumptions!$B$214,0)</f>
        <v/>
      </c>
      <c r="M291" s="63">
        <f>IF(M2=Assumptions!$B$51,Assumptions!$B$214,0)</f>
        <v/>
      </c>
      <c r="N291" s="63">
        <f>IF(N2=Assumptions!$B$51,Assumptions!$B$214,0)</f>
        <v/>
      </c>
      <c r="O291" s="63">
        <f>IF(O2=Assumptions!$B$51,Assumptions!$B$214,0)</f>
        <v/>
      </c>
      <c r="P291" s="63">
        <f>IF(P2=Assumptions!$B$51,Assumptions!$B$214,0)</f>
        <v/>
      </c>
      <c r="Q291" s="63">
        <f>IF(Q2=Assumptions!$B$51,Assumptions!$B$214,0)</f>
        <v/>
      </c>
      <c r="R291" s="63">
        <f>IF(R2=Assumptions!$B$51,Assumptions!$B$214,0)</f>
        <v/>
      </c>
      <c r="S291" s="63">
        <f>IF(S2=Assumptions!$B$51,Assumptions!$B$214,0)</f>
        <v/>
      </c>
      <c r="T291" s="63">
        <f>IF(T2=Assumptions!$B$51,Assumptions!$B$214,0)</f>
        <v/>
      </c>
      <c r="U291" s="63">
        <f>IF(U2=Assumptions!$B$51,Assumptions!$B$214,0)</f>
        <v/>
      </c>
      <c r="V291" s="63">
        <f>IF(V2=Assumptions!$B$51,Assumptions!$B$214,0)</f>
        <v/>
      </c>
      <c r="W291" s="63">
        <f>IF(W2=Assumptions!$B$51,Assumptions!$B$214,0)</f>
        <v/>
      </c>
      <c r="X291" s="63">
        <f>IF(X2=Assumptions!$B$51,Assumptions!$B$214,0)</f>
        <v/>
      </c>
      <c r="Y291" s="63">
        <f>IF(Y2=Assumptions!$B$51,Assumptions!$B$214,0)</f>
        <v/>
      </c>
      <c r="Z291" s="63">
        <f>IF(Z2=Assumptions!$B$51,Assumptions!$B$214,0)</f>
        <v/>
      </c>
      <c r="AA291" s="63">
        <f>IF(AA2=Assumptions!$B$51,Assumptions!$B$214,0)</f>
        <v/>
      </c>
      <c r="AB291" s="63">
        <f>IF(AB2=Assumptions!$B$51,Assumptions!$B$214,0)</f>
        <v/>
      </c>
      <c r="AC291" s="63">
        <f>IF(AC2=Assumptions!$B$51,Assumptions!$B$214,0)</f>
        <v/>
      </c>
      <c r="AD291" s="63">
        <f>IF(AD2=Assumptions!$B$51,Assumptions!$B$214,0)</f>
        <v/>
      </c>
      <c r="AE291" s="63">
        <f>IF(AE2=Assumptions!$B$51,Assumptions!$B$214,0)</f>
        <v/>
      </c>
    </row>
    <row r="292">
      <c r="A292" s="6" t="inlineStr">
        <is>
          <t>CARD - Card production and delivery</t>
        </is>
      </c>
      <c r="B292" s="23" t="inlineStr">
        <is>
          <t>USD</t>
        </is>
      </c>
      <c r="C292" s="63">
        <f>C288*Assumptions!$B$215</f>
        <v/>
      </c>
      <c r="D292" s="63">
        <f>D288*Assumptions!$B$215</f>
        <v/>
      </c>
      <c r="E292" s="63">
        <f>E288*Assumptions!$B$215</f>
        <v/>
      </c>
      <c r="F292" s="63">
        <f>F288*Assumptions!$B$215</f>
        <v/>
      </c>
      <c r="G292" s="63">
        <f>G288*Assumptions!$B$215</f>
        <v/>
      </c>
      <c r="H292" s="63">
        <f>H288*Assumptions!$B$215</f>
        <v/>
      </c>
      <c r="I292" s="63">
        <f>I288*Assumptions!$B$215</f>
        <v/>
      </c>
      <c r="J292" s="63">
        <f>J288*Assumptions!$B$215</f>
        <v/>
      </c>
      <c r="K292" s="63">
        <f>K288*Assumptions!$B$215</f>
        <v/>
      </c>
      <c r="L292" s="63">
        <f>L288*Assumptions!$B$215</f>
        <v/>
      </c>
      <c r="M292" s="63">
        <f>M288*Assumptions!$B$215</f>
        <v/>
      </c>
      <c r="N292" s="63">
        <f>N288*Assumptions!$B$215</f>
        <v/>
      </c>
      <c r="O292" s="63">
        <f>O288*Assumptions!$B$215</f>
        <v/>
      </c>
      <c r="P292" s="63">
        <f>P288*Assumptions!$B$215</f>
        <v/>
      </c>
      <c r="Q292" s="63">
        <f>Q288*Assumptions!$B$215</f>
        <v/>
      </c>
      <c r="R292" s="63">
        <f>R288*Assumptions!$B$215</f>
        <v/>
      </c>
      <c r="S292" s="63">
        <f>S288*Assumptions!$B$215</f>
        <v/>
      </c>
      <c r="T292" s="63">
        <f>T288*Assumptions!$B$215</f>
        <v/>
      </c>
      <c r="U292" s="63">
        <f>U288*Assumptions!$B$215</f>
        <v/>
      </c>
      <c r="V292" s="63">
        <f>V288*Assumptions!$B$215</f>
        <v/>
      </c>
      <c r="W292" s="63">
        <f>W288*Assumptions!$B$215</f>
        <v/>
      </c>
      <c r="X292" s="63">
        <f>X288*Assumptions!$B$215</f>
        <v/>
      </c>
      <c r="Y292" s="63">
        <f>Y288*Assumptions!$B$215</f>
        <v/>
      </c>
      <c r="Z292" s="63">
        <f>Z288*Assumptions!$B$215</f>
        <v/>
      </c>
      <c r="AA292" s="63">
        <f>AA288*Assumptions!$B$215</f>
        <v/>
      </c>
      <c r="AB292" s="63">
        <f>AB288*Assumptions!$B$215</f>
        <v/>
      </c>
      <c r="AC292" s="63">
        <f>AC288*Assumptions!$B$215</f>
        <v/>
      </c>
      <c r="AD292" s="63">
        <f>AD288*Assumptions!$B$215</f>
        <v/>
      </c>
      <c r="AE292" s="63">
        <f>AE288*Assumptions!$B$215</f>
        <v/>
      </c>
    </row>
    <row r="293">
      <c r="A293" s="6" t="inlineStr">
        <is>
          <t>CARD - Authorisation and switching</t>
        </is>
      </c>
      <c r="B293" s="23" t="inlineStr">
        <is>
          <t>USD</t>
        </is>
      </c>
      <c r="C293" s="63">
        <f>C196*Assumptions!$B$216</f>
        <v/>
      </c>
      <c r="D293" s="63">
        <f>D196*Assumptions!$B$216</f>
        <v/>
      </c>
      <c r="E293" s="63">
        <f>E196*Assumptions!$B$216</f>
        <v/>
      </c>
      <c r="F293" s="63">
        <f>F196*Assumptions!$B$216</f>
        <v/>
      </c>
      <c r="G293" s="63">
        <f>G196*Assumptions!$B$216</f>
        <v/>
      </c>
      <c r="H293" s="63">
        <f>H196*Assumptions!$B$216</f>
        <v/>
      </c>
      <c r="I293" s="63">
        <f>I196*Assumptions!$B$216</f>
        <v/>
      </c>
      <c r="J293" s="63">
        <f>J196*Assumptions!$B$216</f>
        <v/>
      </c>
      <c r="K293" s="63">
        <f>K196*Assumptions!$B$216</f>
        <v/>
      </c>
      <c r="L293" s="63">
        <f>L196*Assumptions!$B$216</f>
        <v/>
      </c>
      <c r="M293" s="63">
        <f>M196*Assumptions!$B$216</f>
        <v/>
      </c>
      <c r="N293" s="63">
        <f>N196*Assumptions!$B$216</f>
        <v/>
      </c>
      <c r="O293" s="63">
        <f>O196*Assumptions!$B$216</f>
        <v/>
      </c>
      <c r="P293" s="63">
        <f>P196*Assumptions!$B$216</f>
        <v/>
      </c>
      <c r="Q293" s="63">
        <f>Q196*Assumptions!$B$216</f>
        <v/>
      </c>
      <c r="R293" s="63">
        <f>R196*Assumptions!$B$216</f>
        <v/>
      </c>
      <c r="S293" s="63">
        <f>S196*Assumptions!$B$216</f>
        <v/>
      </c>
      <c r="T293" s="63">
        <f>T196*Assumptions!$B$216</f>
        <v/>
      </c>
      <c r="U293" s="63">
        <f>U196*Assumptions!$B$216</f>
        <v/>
      </c>
      <c r="V293" s="63">
        <f>V196*Assumptions!$B$216</f>
        <v/>
      </c>
      <c r="W293" s="63">
        <f>W196*Assumptions!$B$216</f>
        <v/>
      </c>
      <c r="X293" s="63">
        <f>X196*Assumptions!$B$216</f>
        <v/>
      </c>
      <c r="Y293" s="63">
        <f>Y196*Assumptions!$B$216</f>
        <v/>
      </c>
      <c r="Z293" s="63">
        <f>Z196*Assumptions!$B$216</f>
        <v/>
      </c>
      <c r="AA293" s="63">
        <f>AA196*Assumptions!$B$216</f>
        <v/>
      </c>
      <c r="AB293" s="63">
        <f>AB196*Assumptions!$B$216</f>
        <v/>
      </c>
      <c r="AC293" s="63">
        <f>AC196*Assumptions!$B$216</f>
        <v/>
      </c>
      <c r="AD293" s="63">
        <f>AD196*Assumptions!$B$216</f>
        <v/>
      </c>
      <c r="AE293" s="63">
        <f>AE196*Assumptions!$B$216</f>
        <v/>
      </c>
    </row>
    <row r="294">
      <c r="A294" s="6" t="inlineStr">
        <is>
          <t>CARD - Fraud and chargebacks</t>
        </is>
      </c>
      <c r="B294" s="23" t="inlineStr">
        <is>
          <t>USD</t>
        </is>
      </c>
      <c r="C294" s="63">
        <f>C171*Assumptions!$B$217</f>
        <v/>
      </c>
      <c r="D294" s="63">
        <f>D171*Assumptions!$B$217</f>
        <v/>
      </c>
      <c r="E294" s="63">
        <f>E171*Assumptions!$B$217</f>
        <v/>
      </c>
      <c r="F294" s="63">
        <f>F171*Assumptions!$B$217</f>
        <v/>
      </c>
      <c r="G294" s="63">
        <f>G171*Assumptions!$B$217</f>
        <v/>
      </c>
      <c r="H294" s="63">
        <f>H171*Assumptions!$B$217</f>
        <v/>
      </c>
      <c r="I294" s="63">
        <f>I171*Assumptions!$B$217</f>
        <v/>
      </c>
      <c r="J294" s="63">
        <f>J171*Assumptions!$B$217</f>
        <v/>
      </c>
      <c r="K294" s="63">
        <f>K171*Assumptions!$B$217</f>
        <v/>
      </c>
      <c r="L294" s="63">
        <f>L171*Assumptions!$B$217</f>
        <v/>
      </c>
      <c r="M294" s="63">
        <f>M171*Assumptions!$B$217</f>
        <v/>
      </c>
      <c r="N294" s="63">
        <f>N171*Assumptions!$B$217</f>
        <v/>
      </c>
      <c r="O294" s="63">
        <f>O171*Assumptions!$B$217</f>
        <v/>
      </c>
      <c r="P294" s="63">
        <f>P171*Assumptions!$B$217</f>
        <v/>
      </c>
      <c r="Q294" s="63">
        <f>Q171*Assumptions!$B$217</f>
        <v/>
      </c>
      <c r="R294" s="63">
        <f>R171*Assumptions!$B$217</f>
        <v/>
      </c>
      <c r="S294" s="63">
        <f>S171*Assumptions!$B$217</f>
        <v/>
      </c>
      <c r="T294" s="63">
        <f>T171*Assumptions!$B$217</f>
        <v/>
      </c>
      <c r="U294" s="63">
        <f>U171*Assumptions!$B$217</f>
        <v/>
      </c>
      <c r="V294" s="63">
        <f>V171*Assumptions!$B$217</f>
        <v/>
      </c>
      <c r="W294" s="63">
        <f>W171*Assumptions!$B$217</f>
        <v/>
      </c>
      <c r="X294" s="63">
        <f>X171*Assumptions!$B$217</f>
        <v/>
      </c>
      <c r="Y294" s="63">
        <f>Y171*Assumptions!$B$217</f>
        <v/>
      </c>
      <c r="Z294" s="63">
        <f>Z171*Assumptions!$B$217</f>
        <v/>
      </c>
      <c r="AA294" s="63">
        <f>AA171*Assumptions!$B$217</f>
        <v/>
      </c>
      <c r="AB294" s="63">
        <f>AB171*Assumptions!$B$217</f>
        <v/>
      </c>
      <c r="AC294" s="63">
        <f>AC171*Assumptions!$B$217</f>
        <v/>
      </c>
      <c r="AD294" s="63">
        <f>AD171*Assumptions!$B$217</f>
        <v/>
      </c>
      <c r="AE294" s="63">
        <f>AE171*Assumptions!$B$217</f>
        <v/>
      </c>
    </row>
    <row r="295">
      <c r="A295" s="6" t="inlineStr">
        <is>
          <t xml:space="preserve">  Cross-border card spend (non-UAE in full, plus UAE spend abroad)</t>
        </is>
      </c>
      <c r="B295" s="23" t="inlineStr">
        <is>
          <t>USD</t>
        </is>
      </c>
      <c r="C295" s="61">
        <f>C96+C139+C53*Assumptions!$B$219</f>
        <v/>
      </c>
      <c r="D295" s="61">
        <f>D96+D139+D53*Assumptions!$B$219</f>
        <v/>
      </c>
      <c r="E295" s="61">
        <f>E96+E139+E53*Assumptions!$B$219</f>
        <v/>
      </c>
      <c r="F295" s="61">
        <f>F96+F139+F53*Assumptions!$B$219</f>
        <v/>
      </c>
      <c r="G295" s="61">
        <f>G96+G139+G53*Assumptions!$B$219</f>
        <v/>
      </c>
      <c r="H295" s="61">
        <f>H96+H139+H53*Assumptions!$B$219</f>
        <v/>
      </c>
      <c r="I295" s="61">
        <f>I96+I139+I53*Assumptions!$B$219</f>
        <v/>
      </c>
      <c r="J295" s="61">
        <f>J96+J139+J53*Assumptions!$B$219</f>
        <v/>
      </c>
      <c r="K295" s="61">
        <f>K96+K139+K53*Assumptions!$B$219</f>
        <v/>
      </c>
      <c r="L295" s="61">
        <f>L96+L139+L53*Assumptions!$B$219</f>
        <v/>
      </c>
      <c r="M295" s="61">
        <f>M96+M139+M53*Assumptions!$B$219</f>
        <v/>
      </c>
      <c r="N295" s="61">
        <f>N96+N139+N53*Assumptions!$B$219</f>
        <v/>
      </c>
      <c r="O295" s="61">
        <f>O96+O139+O53*Assumptions!$B$219</f>
        <v/>
      </c>
      <c r="P295" s="61">
        <f>P96+P139+P53*Assumptions!$B$219</f>
        <v/>
      </c>
      <c r="Q295" s="61">
        <f>Q96+Q139+Q53*Assumptions!$B$219</f>
        <v/>
      </c>
      <c r="R295" s="61">
        <f>R96+R139+R53*Assumptions!$B$219</f>
        <v/>
      </c>
      <c r="S295" s="61">
        <f>S96+S139+S53*Assumptions!$B$219</f>
        <v/>
      </c>
      <c r="T295" s="61">
        <f>T96+T139+T53*Assumptions!$B$219</f>
        <v/>
      </c>
      <c r="U295" s="61">
        <f>U96+U139+U53*Assumptions!$B$219</f>
        <v/>
      </c>
      <c r="V295" s="61">
        <f>V96+V139+V53*Assumptions!$B$219</f>
        <v/>
      </c>
      <c r="W295" s="61">
        <f>W96+W139+W53*Assumptions!$B$219</f>
        <v/>
      </c>
      <c r="X295" s="61">
        <f>X96+X139+X53*Assumptions!$B$219</f>
        <v/>
      </c>
      <c r="Y295" s="61">
        <f>Y96+Y139+Y53*Assumptions!$B$219</f>
        <v/>
      </c>
      <c r="Z295" s="61">
        <f>Z96+Z139+Z53*Assumptions!$B$219</f>
        <v/>
      </c>
      <c r="AA295" s="61">
        <f>AA96+AA139+AA53*Assumptions!$B$219</f>
        <v/>
      </c>
      <c r="AB295" s="61">
        <f>AB96+AB139+AB53*Assumptions!$B$219</f>
        <v/>
      </c>
      <c r="AC295" s="61">
        <f>AC96+AC139+AC53*Assumptions!$B$219</f>
        <v/>
      </c>
      <c r="AD295" s="61">
        <f>AD96+AD139+AD53*Assumptions!$B$219</f>
        <v/>
      </c>
      <c r="AE295" s="61">
        <f>AE96+AE139+AE53*Assumptions!$B$219</f>
        <v/>
      </c>
    </row>
    <row r="296">
      <c r="A296" s="6" t="inlineStr">
        <is>
          <t>CARD - Cross-border scheme assessment</t>
        </is>
      </c>
      <c r="B296" s="23" t="inlineStr">
        <is>
          <t>USD</t>
        </is>
      </c>
      <c r="C296" s="63">
        <f>C295*Assumptions!$B$218</f>
        <v/>
      </c>
      <c r="D296" s="63">
        <f>D295*Assumptions!$B$218</f>
        <v/>
      </c>
      <c r="E296" s="63">
        <f>E295*Assumptions!$B$218</f>
        <v/>
      </c>
      <c r="F296" s="63">
        <f>F295*Assumptions!$B$218</f>
        <v/>
      </c>
      <c r="G296" s="63">
        <f>G295*Assumptions!$B$218</f>
        <v/>
      </c>
      <c r="H296" s="63">
        <f>H295*Assumptions!$B$218</f>
        <v/>
      </c>
      <c r="I296" s="63">
        <f>I295*Assumptions!$B$218</f>
        <v/>
      </c>
      <c r="J296" s="63">
        <f>J295*Assumptions!$B$218</f>
        <v/>
      </c>
      <c r="K296" s="63">
        <f>K295*Assumptions!$B$218</f>
        <v/>
      </c>
      <c r="L296" s="63">
        <f>L295*Assumptions!$B$218</f>
        <v/>
      </c>
      <c r="M296" s="63">
        <f>M295*Assumptions!$B$218</f>
        <v/>
      </c>
      <c r="N296" s="63">
        <f>N295*Assumptions!$B$218</f>
        <v/>
      </c>
      <c r="O296" s="63">
        <f>O295*Assumptions!$B$218</f>
        <v/>
      </c>
      <c r="P296" s="63">
        <f>P295*Assumptions!$B$218</f>
        <v/>
      </c>
      <c r="Q296" s="63">
        <f>Q295*Assumptions!$B$218</f>
        <v/>
      </c>
      <c r="R296" s="63">
        <f>R295*Assumptions!$B$218</f>
        <v/>
      </c>
      <c r="S296" s="63">
        <f>S295*Assumptions!$B$218</f>
        <v/>
      </c>
      <c r="T296" s="63">
        <f>T295*Assumptions!$B$218</f>
        <v/>
      </c>
      <c r="U296" s="63">
        <f>U295*Assumptions!$B$218</f>
        <v/>
      </c>
      <c r="V296" s="63">
        <f>V295*Assumptions!$B$218</f>
        <v/>
      </c>
      <c r="W296" s="63">
        <f>W295*Assumptions!$B$218</f>
        <v/>
      </c>
      <c r="X296" s="63">
        <f>X295*Assumptions!$B$218</f>
        <v/>
      </c>
      <c r="Y296" s="63">
        <f>Y295*Assumptions!$B$218</f>
        <v/>
      </c>
      <c r="Z296" s="63">
        <f>Z295*Assumptions!$B$218</f>
        <v/>
      </c>
      <c r="AA296" s="63">
        <f>AA295*Assumptions!$B$218</f>
        <v/>
      </c>
      <c r="AB296" s="63">
        <f>AB295*Assumptions!$B$218</f>
        <v/>
      </c>
      <c r="AC296" s="63">
        <f>AC295*Assumptions!$B$218</f>
        <v/>
      </c>
      <c r="AD296" s="63">
        <f>AD295*Assumptions!$B$218</f>
        <v/>
      </c>
      <c r="AE296" s="63">
        <f>AE295*Assumptions!$B$218</f>
        <v/>
      </c>
    </row>
    <row r="297">
      <c r="A297" s="9" t="inlineStr">
        <is>
          <t>VISA ISA / MASTERCARD CROSS-BORDER ASSESSMENT, charged to the ISSUER whenever merchant country differs from issuer country. ABOUT 63% OF CARD SPEND QUALIFIES, and almost none of that is an assumption: a UAE-issued card spent in India is cross-border on every tap, and India is half the card book. THE RATE EXCEEDS AURUMIX'S INTERCHANGE SHARE - 1.40% against 0.72% of spend retained - so cross-border interchange does not cover its own scheme fee. The FX margin in stream 4 is what closes the gap, which means that line is largely COST RECOVERY rather than margin.</t>
        </is>
      </c>
    </row>
    <row r="298">
      <c r="A298" s="3" t="inlineStr">
        <is>
          <t>TOTAL CARD PROGRAMME COSTS</t>
        </is>
      </c>
      <c r="B298" s="23" t="inlineStr">
        <is>
          <t>USD</t>
        </is>
      </c>
      <c r="C298" s="63">
        <f>C289+C291+C292+C293+C294+C296</f>
        <v/>
      </c>
      <c r="D298" s="63">
        <f>D289+D291+D292+D293+D294+D296</f>
        <v/>
      </c>
      <c r="E298" s="63">
        <f>E289+E291+E292+E293+E294+E296</f>
        <v/>
      </c>
      <c r="F298" s="63">
        <f>F289+F291+F292+F293+F294+F296</f>
        <v/>
      </c>
      <c r="G298" s="63">
        <f>G289+G291+G292+G293+G294+G296</f>
        <v/>
      </c>
      <c r="H298" s="63">
        <f>H289+H291+H292+H293+H294+H296</f>
        <v/>
      </c>
      <c r="I298" s="63">
        <f>I289+I291+I292+I293+I294+I296</f>
        <v/>
      </c>
      <c r="J298" s="63">
        <f>J289+J291+J292+J293+J294+J296</f>
        <v/>
      </c>
      <c r="K298" s="63">
        <f>K289+K291+K292+K293+K294+K296</f>
        <v/>
      </c>
      <c r="L298" s="63">
        <f>L289+L291+L292+L293+L294+L296</f>
        <v/>
      </c>
      <c r="M298" s="63">
        <f>M289+M291+M292+M293+M294+M296</f>
        <v/>
      </c>
      <c r="N298" s="63">
        <f>N289+N291+N292+N293+N294+N296</f>
        <v/>
      </c>
      <c r="O298" s="63">
        <f>O289+O291+O292+O293+O294+O296</f>
        <v/>
      </c>
      <c r="P298" s="63">
        <f>P289+P291+P292+P293+P294+P296</f>
        <v/>
      </c>
      <c r="Q298" s="63">
        <f>Q289+Q291+Q292+Q293+Q294+Q296</f>
        <v/>
      </c>
      <c r="R298" s="63">
        <f>R289+R291+R292+R293+R294+R296</f>
        <v/>
      </c>
      <c r="S298" s="63">
        <f>S289+S291+S292+S293+S294+S296</f>
        <v/>
      </c>
      <c r="T298" s="63">
        <f>T289+T291+T292+T293+T294+T296</f>
        <v/>
      </c>
      <c r="U298" s="63">
        <f>U289+U291+U292+U293+U294+U296</f>
        <v/>
      </c>
      <c r="V298" s="63">
        <f>V289+V291+V292+V293+V294+V296</f>
        <v/>
      </c>
      <c r="W298" s="63">
        <f>W289+W291+W292+W293+W294+W296</f>
        <v/>
      </c>
      <c r="X298" s="63">
        <f>X289+X291+X292+X293+X294+X296</f>
        <v/>
      </c>
      <c r="Y298" s="63">
        <f>Y289+Y291+Y292+Y293+Y294+Y296</f>
        <v/>
      </c>
      <c r="Z298" s="63">
        <f>Z289+Z291+Z292+Z293+Z294+Z296</f>
        <v/>
      </c>
      <c r="AA298" s="63">
        <f>AA289+AA291+AA292+AA293+AA294+AA296</f>
        <v/>
      </c>
      <c r="AB298" s="63">
        <f>AB289+AB291+AB292+AB293+AB294+AB296</f>
        <v/>
      </c>
      <c r="AC298" s="63">
        <f>AC289+AC291+AC292+AC293+AC294+AC296</f>
        <v/>
      </c>
      <c r="AD298" s="63">
        <f>AD289+AD291+AD292+AD293+AD294+AD296</f>
        <v/>
      </c>
      <c r="AE298" s="63">
        <f>AE289+AE291+AE292+AE293+AE294+AE296</f>
        <v/>
      </c>
    </row>
    <row r="299">
      <c r="A299" s="6" t="inlineStr">
        <is>
          <t xml:space="preserve">  Card cost as % of card revenue (above 100% = the card is not paying for itself)</t>
        </is>
      </c>
      <c r="B299" s="23" t="inlineStr">
        <is>
          <t>%</t>
        </is>
      </c>
      <c r="C299" s="70">
        <f>IF(C191+C193=0,0,C298/(C191+C193))</f>
        <v/>
      </c>
      <c r="D299" s="70">
        <f>IF(D191+D193=0,0,D298/(D191+D193))</f>
        <v/>
      </c>
      <c r="E299" s="70">
        <f>IF(E191+E193=0,0,E298/(E191+E193))</f>
        <v/>
      </c>
      <c r="F299" s="70">
        <f>IF(F191+F193=0,0,F298/(F191+F193))</f>
        <v/>
      </c>
      <c r="G299" s="70">
        <f>IF(G191+G193=0,0,G298/(G191+G193))</f>
        <v/>
      </c>
      <c r="H299" s="70">
        <f>IF(H191+H193=0,0,H298/(H191+H193))</f>
        <v/>
      </c>
      <c r="I299" s="70">
        <f>IF(I191+I193=0,0,I298/(I191+I193))</f>
        <v/>
      </c>
      <c r="J299" s="70">
        <f>IF(J191+J193=0,0,J298/(J191+J193))</f>
        <v/>
      </c>
      <c r="K299" s="70">
        <f>IF(K191+K193=0,0,K298/(K191+K193))</f>
        <v/>
      </c>
      <c r="L299" s="70">
        <f>IF(L191+L193=0,0,L298/(L191+L193))</f>
        <v/>
      </c>
      <c r="M299" s="70">
        <f>IF(M191+M193=0,0,M298/(M191+M193))</f>
        <v/>
      </c>
      <c r="N299" s="70">
        <f>IF(N191+N193=0,0,N298/(N191+N193))</f>
        <v/>
      </c>
      <c r="O299" s="70">
        <f>IF(O191+O193=0,0,O298/(O191+O193))</f>
        <v/>
      </c>
      <c r="P299" s="70">
        <f>IF(P191+P193=0,0,P298/(P191+P193))</f>
        <v/>
      </c>
      <c r="Q299" s="70">
        <f>IF(Q191+Q193=0,0,Q298/(Q191+Q193))</f>
        <v/>
      </c>
      <c r="R299" s="70">
        <f>IF(R191+R193=0,0,R298/(R191+R193))</f>
        <v/>
      </c>
      <c r="S299" s="70">
        <f>IF(S191+S193=0,0,S298/(S191+S193))</f>
        <v/>
      </c>
      <c r="T299" s="70">
        <f>IF(T191+T193=0,0,T298/(T191+T193))</f>
        <v/>
      </c>
      <c r="U299" s="70">
        <f>IF(U191+U193=0,0,U298/(U191+U193))</f>
        <v/>
      </c>
      <c r="V299" s="70">
        <f>IF(V191+V193=0,0,V298/(V191+V193))</f>
        <v/>
      </c>
      <c r="W299" s="70">
        <f>IF(W191+W193=0,0,W298/(W191+W193))</f>
        <v/>
      </c>
      <c r="X299" s="70">
        <f>IF(X191+X193=0,0,X298/(X191+X193))</f>
        <v/>
      </c>
      <c r="Y299" s="70">
        <f>IF(Y191+Y193=0,0,Y298/(Y191+Y193))</f>
        <v/>
      </c>
      <c r="Z299" s="70">
        <f>IF(Z191+Z193=0,0,Z298/(Z191+Z193))</f>
        <v/>
      </c>
      <c r="AA299" s="70">
        <f>IF(AA191+AA193=0,0,AA298/(AA191+AA193))</f>
        <v/>
      </c>
      <c r="AB299" s="70">
        <f>IF(AB191+AB193=0,0,AB298/(AB191+AB193))</f>
        <v/>
      </c>
      <c r="AC299" s="70">
        <f>IF(AC191+AC193=0,0,AC298/(AC191+AC193))</f>
        <v/>
      </c>
      <c r="AD299" s="70">
        <f>IF(AD191+AD193=0,0,AD298/(AD191+AD193))</f>
        <v/>
      </c>
      <c r="AE299" s="70">
        <f>IF(AE191+AE193=0,0,AE298/(AE191+AE193))</f>
        <v/>
      </c>
    </row>
    <row r="300">
      <c r="A300" s="9" t="inlineStr">
        <is>
          <t>CARD REVENUE IS STREAM 2 PLUS STREAM 4 - interchange and cardholder fees. It EXCLUDES stream 5, because credit revenue is a separate partner arrangement and would flatter this ratio. Expect well above 100% at launch: the fixed fee lands in full from month 13 while the card book is nearly empty, which is exactly the 12-18 months of losses the brief describes.</t>
        </is>
      </c>
    </row>
    <row r="301">
      <c r="A301" s="6" t="inlineStr">
        <is>
          <t xml:space="preserve">  Sub-total - costs actually modelled</t>
        </is>
      </c>
      <c r="B301" s="23" t="inlineStr">
        <is>
          <t>USD</t>
        </is>
      </c>
      <c r="C301" s="63">
        <f>C228+C255+C267+C282+C298</f>
        <v/>
      </c>
      <c r="D301" s="63">
        <f>D228+D255+D267+D282+D298</f>
        <v/>
      </c>
      <c r="E301" s="63">
        <f>E228+E255+E267+E282+E298</f>
        <v/>
      </c>
      <c r="F301" s="63">
        <f>F228+F255+F267+F282+F298</f>
        <v/>
      </c>
      <c r="G301" s="63">
        <f>G228+G255+G267+G282+G298</f>
        <v/>
      </c>
      <c r="H301" s="63">
        <f>H228+H255+H267+H282+H298</f>
        <v/>
      </c>
      <c r="I301" s="63">
        <f>I228+I255+I267+I282+I298</f>
        <v/>
      </c>
      <c r="J301" s="63">
        <f>J228+J255+J267+J282+J298</f>
        <v/>
      </c>
      <c r="K301" s="63">
        <f>K228+K255+K267+K282+K298</f>
        <v/>
      </c>
      <c r="L301" s="63">
        <f>L228+L255+L267+L282+L298</f>
        <v/>
      </c>
      <c r="M301" s="63">
        <f>M228+M255+M267+M282+M298</f>
        <v/>
      </c>
      <c r="N301" s="63">
        <f>N228+N255+N267+N282+N298</f>
        <v/>
      </c>
      <c r="O301" s="63">
        <f>O228+O255+O267+O282+O298</f>
        <v/>
      </c>
      <c r="P301" s="63">
        <f>P228+P255+P267+P282+P298</f>
        <v/>
      </c>
      <c r="Q301" s="63">
        <f>Q228+Q255+Q267+Q282+Q298</f>
        <v/>
      </c>
      <c r="R301" s="63">
        <f>R228+R255+R267+R282+R298</f>
        <v/>
      </c>
      <c r="S301" s="63">
        <f>S228+S255+S267+S282+S298</f>
        <v/>
      </c>
      <c r="T301" s="63">
        <f>T228+T255+T267+T282+T298</f>
        <v/>
      </c>
      <c r="U301" s="63">
        <f>U228+U255+U267+U282+U298</f>
        <v/>
      </c>
      <c r="V301" s="63">
        <f>V228+V255+V267+V282+V298</f>
        <v/>
      </c>
      <c r="W301" s="63">
        <f>W228+W255+W267+W282+W298</f>
        <v/>
      </c>
      <c r="X301" s="63">
        <f>X228+X255+X267+X282+X298</f>
        <v/>
      </c>
      <c r="Y301" s="63">
        <f>Y228+Y255+Y267+Y282+Y298</f>
        <v/>
      </c>
      <c r="Z301" s="63">
        <f>Z228+Z255+Z267+Z282+Z298</f>
        <v/>
      </c>
      <c r="AA301" s="63">
        <f>AA228+AA255+AA267+AA282+AA298</f>
        <v/>
      </c>
      <c r="AB301" s="63">
        <f>AB228+AB255+AB267+AB282+AB298</f>
        <v/>
      </c>
      <c r="AC301" s="63">
        <f>AC228+AC255+AC267+AC282+AC298</f>
        <v/>
      </c>
      <c r="AD301" s="63">
        <f>AD228+AD255+AD267+AD282+AD298</f>
        <v/>
      </c>
      <c r="AE301" s="63">
        <f>AE228+AE255+AE267+AE282+AE298</f>
        <v/>
      </c>
    </row>
    <row r="302">
      <c r="A302" s="6" t="inlineStr">
        <is>
          <t xml:space="preserve">  Contingency for cost families not yet built</t>
        </is>
      </c>
      <c r="B302" s="23" t="inlineStr">
        <is>
          <t>USD</t>
        </is>
      </c>
      <c r="C302" s="63">
        <f>C301*Assumptions!$B$225</f>
        <v/>
      </c>
      <c r="D302" s="63">
        <f>D301*Assumptions!$B$225</f>
        <v/>
      </c>
      <c r="E302" s="63">
        <f>E301*Assumptions!$B$225</f>
        <v/>
      </c>
      <c r="F302" s="63">
        <f>F301*Assumptions!$B$225</f>
        <v/>
      </c>
      <c r="G302" s="63">
        <f>G301*Assumptions!$B$225</f>
        <v/>
      </c>
      <c r="H302" s="63">
        <f>H301*Assumptions!$B$225</f>
        <v/>
      </c>
      <c r="I302" s="63">
        <f>I301*Assumptions!$B$225</f>
        <v/>
      </c>
      <c r="J302" s="63">
        <f>J301*Assumptions!$B$225</f>
        <v/>
      </c>
      <c r="K302" s="63">
        <f>K301*Assumptions!$B$225</f>
        <v/>
      </c>
      <c r="L302" s="63">
        <f>L301*Assumptions!$B$225</f>
        <v/>
      </c>
      <c r="M302" s="63">
        <f>M301*Assumptions!$B$225</f>
        <v/>
      </c>
      <c r="N302" s="63">
        <f>N301*Assumptions!$B$225</f>
        <v/>
      </c>
      <c r="O302" s="63">
        <f>O301*Assumptions!$B$225</f>
        <v/>
      </c>
      <c r="P302" s="63">
        <f>P301*Assumptions!$B$225</f>
        <v/>
      </c>
      <c r="Q302" s="63">
        <f>Q301*Assumptions!$B$225</f>
        <v/>
      </c>
      <c r="R302" s="63">
        <f>R301*Assumptions!$B$225</f>
        <v/>
      </c>
      <c r="S302" s="63">
        <f>S301*Assumptions!$B$225</f>
        <v/>
      </c>
      <c r="T302" s="63">
        <f>T301*Assumptions!$B$225</f>
        <v/>
      </c>
      <c r="U302" s="63">
        <f>U301*Assumptions!$B$225</f>
        <v/>
      </c>
      <c r="V302" s="63">
        <f>V301*Assumptions!$B$225</f>
        <v/>
      </c>
      <c r="W302" s="63">
        <f>W301*Assumptions!$B$225</f>
        <v/>
      </c>
      <c r="X302" s="63">
        <f>X301*Assumptions!$B$225</f>
        <v/>
      </c>
      <c r="Y302" s="63">
        <f>Y301*Assumptions!$B$225</f>
        <v/>
      </c>
      <c r="Z302" s="63">
        <f>Z301*Assumptions!$B$225</f>
        <v/>
      </c>
      <c r="AA302" s="63">
        <f>AA301*Assumptions!$B$225</f>
        <v/>
      </c>
      <c r="AB302" s="63">
        <f>AB301*Assumptions!$B$225</f>
        <v/>
      </c>
      <c r="AC302" s="63">
        <f>AC301*Assumptions!$B$225</f>
        <v/>
      </c>
      <c r="AD302" s="63">
        <f>AD301*Assumptions!$B$225</f>
        <v/>
      </c>
      <c r="AE302" s="63">
        <f>AE301*Assumptions!$B$225</f>
        <v/>
      </c>
    </row>
    <row r="303">
      <c r="A303" s="9" t="inlineStr">
        <is>
          <t>A PLACEHOLDER FOR HEADCOUNT, LEGAL AND TRUST, SECURITY, CORPORATE, TAX AND THE ON-CHAIN MINTING COST - AND IT DOES NOT COVER THEM. Headcount alone is anchored in the brief at roughly USD 588,000 in Year 1, about 78% of the whole cost base as built; 15% of that base is about USD 112,000. THE CONTINGENCY IS WORTH A FIFTH OF ONE OF THE SIX MISSING BLOCKS. Every profit figure below is an upper bound.</t>
        </is>
      </c>
    </row>
    <row r="304">
      <c r="A304" s="3" t="inlineStr">
        <is>
          <t>TOTAL COST BASE (modelled + contingency)</t>
        </is>
      </c>
      <c r="B304" s="23" t="inlineStr">
        <is>
          <t>USD</t>
        </is>
      </c>
      <c r="C304" s="63">
        <f>C301+C302</f>
        <v/>
      </c>
      <c r="D304" s="63">
        <f>D301+D302</f>
        <v/>
      </c>
      <c r="E304" s="63">
        <f>E301+E302</f>
        <v/>
      </c>
      <c r="F304" s="63">
        <f>F301+F302</f>
        <v/>
      </c>
      <c r="G304" s="63">
        <f>G301+G302</f>
        <v/>
      </c>
      <c r="H304" s="63">
        <f>H301+H302</f>
        <v/>
      </c>
      <c r="I304" s="63">
        <f>I301+I302</f>
        <v/>
      </c>
      <c r="J304" s="63">
        <f>J301+J302</f>
        <v/>
      </c>
      <c r="K304" s="63">
        <f>K301+K302</f>
        <v/>
      </c>
      <c r="L304" s="63">
        <f>L301+L302</f>
        <v/>
      </c>
      <c r="M304" s="63">
        <f>M301+M302</f>
        <v/>
      </c>
      <c r="N304" s="63">
        <f>N301+N302</f>
        <v/>
      </c>
      <c r="O304" s="63">
        <f>O301+O302</f>
        <v/>
      </c>
      <c r="P304" s="63">
        <f>P301+P302</f>
        <v/>
      </c>
      <c r="Q304" s="63">
        <f>Q301+Q302</f>
        <v/>
      </c>
      <c r="R304" s="63">
        <f>R301+R302</f>
        <v/>
      </c>
      <c r="S304" s="63">
        <f>S301+S302</f>
        <v/>
      </c>
      <c r="T304" s="63">
        <f>T301+T302</f>
        <v/>
      </c>
      <c r="U304" s="63">
        <f>U301+U302</f>
        <v/>
      </c>
      <c r="V304" s="63">
        <f>V301+V302</f>
        <v/>
      </c>
      <c r="W304" s="63">
        <f>W301+W302</f>
        <v/>
      </c>
      <c r="X304" s="63">
        <f>X301+X302</f>
        <v/>
      </c>
      <c r="Y304" s="63">
        <f>Y301+Y302</f>
        <v/>
      </c>
      <c r="Z304" s="63">
        <f>Z301+Z302</f>
        <v/>
      </c>
      <c r="AA304" s="63">
        <f>AA301+AA302</f>
        <v/>
      </c>
      <c r="AB304" s="63">
        <f>AB301+AB302</f>
        <v/>
      </c>
      <c r="AC304" s="63">
        <f>AC301+AC302</f>
        <v/>
      </c>
      <c r="AD304" s="63">
        <f>AD301+AD302</f>
        <v/>
      </c>
      <c r="AE304" s="63">
        <f>AE301+AE302</f>
        <v/>
      </c>
    </row>
    <row r="305">
      <c r="A305" s="6" t="inlineStr">
        <is>
          <t>CHECK: cash for metal ties to grams delivered x the price paid (must be 0)</t>
        </is>
      </c>
      <c r="B305" s="23" t="inlineStr">
        <is>
          <t>delta</t>
        </is>
      </c>
      <c r="C305" s="66">
        <f>(C169+C170)*(1-Assumptions!$B$8)-C166*C20*(1+Assumptions!$B$9*(1-Assumptions!$B$229))</f>
        <v/>
      </c>
      <c r="D305" s="66">
        <f>(D169+D170)*(1-Assumptions!$B$8)-D166*D20*(1+Assumptions!$B$9*(1-Assumptions!$B$229))</f>
        <v/>
      </c>
      <c r="E305" s="66">
        <f>(E169+E170)*(1-Assumptions!$B$8)-E166*E20*(1+Assumptions!$B$9*(1-Assumptions!$B$229))</f>
        <v/>
      </c>
      <c r="F305" s="66">
        <f>(F169+F170)*(1-Assumptions!$B$8)-F166*F20*(1+Assumptions!$B$9*(1-Assumptions!$B$229))</f>
        <v/>
      </c>
      <c r="G305" s="66">
        <f>(G169+G170)*(1-Assumptions!$B$8)-G166*G20*(1+Assumptions!$B$9*(1-Assumptions!$B$229))</f>
        <v/>
      </c>
      <c r="H305" s="66">
        <f>(H169+H170)*(1-Assumptions!$B$8)-H166*H20*(1+Assumptions!$B$9*(1-Assumptions!$B$229))</f>
        <v/>
      </c>
      <c r="I305" s="66">
        <f>(I169+I170)*(1-Assumptions!$B$8)-I166*I20*(1+Assumptions!$B$9*(1-Assumptions!$B$229))</f>
        <v/>
      </c>
      <c r="J305" s="66">
        <f>(J169+J170)*(1-Assumptions!$B$8)-J166*J20*(1+Assumptions!$B$9*(1-Assumptions!$B$229))</f>
        <v/>
      </c>
      <c r="K305" s="66">
        <f>(K169+K170)*(1-Assumptions!$B$8)-K166*K20*(1+Assumptions!$B$9*(1-Assumptions!$B$229))</f>
        <v/>
      </c>
      <c r="L305" s="66">
        <f>(L169+L170)*(1-Assumptions!$B$8)-L166*L20*(1+Assumptions!$B$9*(1-Assumptions!$B$229))</f>
        <v/>
      </c>
      <c r="M305" s="66">
        <f>(M169+M170)*(1-Assumptions!$B$8)-M166*M20*(1+Assumptions!$B$9*(1-Assumptions!$B$229))</f>
        <v/>
      </c>
      <c r="N305" s="66">
        <f>(N169+N170)*(1-Assumptions!$B$8)-N166*N20*(1+Assumptions!$B$9*(1-Assumptions!$B$229))</f>
        <v/>
      </c>
      <c r="O305" s="66">
        <f>(O169+O170)*(1-Assumptions!$B$8)-O166*O20*(1+Assumptions!$B$9*(1-Assumptions!$B$229))</f>
        <v/>
      </c>
      <c r="P305" s="66">
        <f>(P169+P170)*(1-Assumptions!$B$8)-P166*P20*(1+Assumptions!$B$9*(1-Assumptions!$B$229))</f>
        <v/>
      </c>
      <c r="Q305" s="66">
        <f>(Q169+Q170)*(1-Assumptions!$B$8)-Q166*Q20*(1+Assumptions!$B$9*(1-Assumptions!$B$229))</f>
        <v/>
      </c>
      <c r="R305" s="66">
        <f>(R169+R170)*(1-Assumptions!$B$8)-R166*R20*(1+Assumptions!$B$9*(1-Assumptions!$B$229))</f>
        <v/>
      </c>
      <c r="S305" s="66">
        <f>(S169+S170)*(1-Assumptions!$B$8)-S166*S20*(1+Assumptions!$B$9*(1-Assumptions!$B$229))</f>
        <v/>
      </c>
      <c r="T305" s="66">
        <f>(T169+T170)*(1-Assumptions!$B$8)-T166*T20*(1+Assumptions!$B$9*(1-Assumptions!$B$229))</f>
        <v/>
      </c>
      <c r="U305" s="66">
        <f>(U169+U170)*(1-Assumptions!$B$8)-U166*U20*(1+Assumptions!$B$9*(1-Assumptions!$B$229))</f>
        <v/>
      </c>
      <c r="V305" s="66">
        <f>(V169+V170)*(1-Assumptions!$B$8)-V166*V20*(1+Assumptions!$B$9*(1-Assumptions!$B$229))</f>
        <v/>
      </c>
      <c r="W305" s="66">
        <f>(W169+W170)*(1-Assumptions!$B$8)-W166*W20*(1+Assumptions!$B$9*(1-Assumptions!$B$229))</f>
        <v/>
      </c>
      <c r="X305" s="66">
        <f>(X169+X170)*(1-Assumptions!$B$8)-X166*X20*(1+Assumptions!$B$9*(1-Assumptions!$B$229))</f>
        <v/>
      </c>
      <c r="Y305" s="66">
        <f>(Y169+Y170)*(1-Assumptions!$B$8)-Y166*Y20*(1+Assumptions!$B$9*(1-Assumptions!$B$229))</f>
        <v/>
      </c>
      <c r="Z305" s="66">
        <f>(Z169+Z170)*(1-Assumptions!$B$8)-Z166*Z20*(1+Assumptions!$B$9*(1-Assumptions!$B$229))</f>
        <v/>
      </c>
      <c r="AA305" s="66">
        <f>(AA169+AA170)*(1-Assumptions!$B$8)-AA166*AA20*(1+Assumptions!$B$9*(1-Assumptions!$B$229))</f>
        <v/>
      </c>
      <c r="AB305" s="66">
        <f>(AB169+AB170)*(1-Assumptions!$B$8)-AB166*AB20*(1+Assumptions!$B$9*(1-Assumptions!$B$229))</f>
        <v/>
      </c>
      <c r="AC305" s="66">
        <f>(AC169+AC170)*(1-Assumptions!$B$8)-AC166*AC20*(1+Assumptions!$B$9*(1-Assumptions!$B$229))</f>
        <v/>
      </c>
      <c r="AD305" s="66">
        <f>(AD169+AD170)*(1-Assumptions!$B$8)-AD166*AD20*(1+Assumptions!$B$9*(1-Assumptions!$B$229))</f>
        <v/>
      </c>
      <c r="AE305" s="66">
        <f>(AE169+AE170)*(1-Assumptions!$B$8)-AE166*AE20*(1+Assumptions!$B$9*(1-Assumptions!$B$229))</f>
        <v/>
      </c>
    </row>
    <row r="306">
      <c r="A306" s="9" t="inlineStr">
        <is>
          <t>THE ANTI-DOUBLE-COUNT ASSERTION. Either the customer's cash buys metal at spot+premium and the COGS line above is zero, or it buys metal at spot and the COGS line carries the premium. This row ties to zero under both settings and can only break if some future edit makes the premium bite twice - which is exactly the defect 29f98e0 was written to fix.</t>
        </is>
      </c>
    </row>
    <row r="308" ht="20" customHeight="1">
      <c r="A308" s="12" t="inlineStr">
        <is>
          <t>REGULATORY CAPITAL - locked, not spent. Subscribed equity, not an expense</t>
        </is>
      </c>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row>
    <row r="310">
      <c r="A310" s="51" t="inlineStr">
        <is>
          <t>PAID-UP CAPITAL AND LIQUIDITY - what VARA requires you to keep locked up</t>
        </is>
      </c>
      <c r="B310" s="52" t="n"/>
      <c r="C310" s="52" t="n"/>
      <c r="D310" s="52" t="n"/>
      <c r="E310" s="52" t="n"/>
      <c r="F310" s="52" t="n"/>
      <c r="G310" s="52" t="n"/>
      <c r="H310" s="52" t="n"/>
      <c r="I310" s="52" t="n"/>
      <c r="J310" s="52" t="n"/>
      <c r="K310" s="52" t="n"/>
      <c r="L310" s="52" t="n"/>
      <c r="M310" s="52" t="n"/>
      <c r="N310" s="52" t="n"/>
      <c r="O310" s="52" t="n"/>
      <c r="P310" s="52" t="n"/>
      <c r="Q310" s="52" t="n"/>
      <c r="R310" s="52" t="n"/>
      <c r="S310" s="52" t="n"/>
      <c r="T310" s="52" t="n"/>
      <c r="U310" s="52" t="n"/>
      <c r="V310" s="52" t="n"/>
      <c r="W310" s="52" t="n"/>
      <c r="X310" s="52" t="n"/>
      <c r="Y310" s="52" t="n"/>
      <c r="Z310" s="52" t="n"/>
      <c r="AA310" s="52" t="n"/>
      <c r="AB310" s="52" t="n"/>
      <c r="AC310" s="52" t="n"/>
      <c r="AD310" s="52" t="n"/>
      <c r="AE310" s="52" t="n"/>
    </row>
    <row r="311">
      <c r="A311" s="6" t="inlineStr">
        <is>
          <t xml:space="preserve">  Paid-up capital - Category 1 VA Issuance</t>
        </is>
      </c>
      <c r="B311" s="23" t="inlineStr">
        <is>
          <t>USD</t>
        </is>
      </c>
      <c r="C311" s="61">
        <f>Assumptions!$B$200/Assumptions!$B$7</f>
        <v/>
      </c>
      <c r="D311" s="61">
        <f>Assumptions!$B$200/Assumptions!$B$7</f>
        <v/>
      </c>
      <c r="E311" s="61">
        <f>Assumptions!$B$200/Assumptions!$B$7</f>
        <v/>
      </c>
      <c r="F311" s="61">
        <f>Assumptions!$B$200/Assumptions!$B$7</f>
        <v/>
      </c>
      <c r="G311" s="61">
        <f>Assumptions!$B$200/Assumptions!$B$7</f>
        <v/>
      </c>
      <c r="H311" s="61">
        <f>Assumptions!$B$200/Assumptions!$B$7</f>
        <v/>
      </c>
      <c r="I311" s="61">
        <f>Assumptions!$B$200/Assumptions!$B$7</f>
        <v/>
      </c>
      <c r="J311" s="61">
        <f>Assumptions!$B$200/Assumptions!$B$7</f>
        <v/>
      </c>
      <c r="K311" s="61">
        <f>Assumptions!$B$200/Assumptions!$B$7</f>
        <v/>
      </c>
      <c r="L311" s="61">
        <f>Assumptions!$B$200/Assumptions!$B$7</f>
        <v/>
      </c>
      <c r="M311" s="61">
        <f>Assumptions!$B$200/Assumptions!$B$7</f>
        <v/>
      </c>
      <c r="N311" s="61">
        <f>Assumptions!$B$200/Assumptions!$B$7</f>
        <v/>
      </c>
      <c r="O311" s="61">
        <f>Assumptions!$B$200/Assumptions!$B$7</f>
        <v/>
      </c>
      <c r="P311" s="61">
        <f>Assumptions!$B$200/Assumptions!$B$7</f>
        <v/>
      </c>
      <c r="Q311" s="61">
        <f>Assumptions!$B$200/Assumptions!$B$7</f>
        <v/>
      </c>
      <c r="R311" s="61">
        <f>Assumptions!$B$200/Assumptions!$B$7</f>
        <v/>
      </c>
      <c r="S311" s="61">
        <f>Assumptions!$B$200/Assumptions!$B$7</f>
        <v/>
      </c>
      <c r="T311" s="61">
        <f>Assumptions!$B$200/Assumptions!$B$7</f>
        <v/>
      </c>
      <c r="U311" s="61">
        <f>Assumptions!$B$200/Assumptions!$B$7</f>
        <v/>
      </c>
      <c r="V311" s="61">
        <f>Assumptions!$B$200/Assumptions!$B$7</f>
        <v/>
      </c>
      <c r="W311" s="61">
        <f>Assumptions!$B$200/Assumptions!$B$7</f>
        <v/>
      </c>
      <c r="X311" s="61">
        <f>Assumptions!$B$200/Assumptions!$B$7</f>
        <v/>
      </c>
      <c r="Y311" s="61">
        <f>Assumptions!$B$200/Assumptions!$B$7</f>
        <v/>
      </c>
      <c r="Z311" s="61">
        <f>Assumptions!$B$200/Assumptions!$B$7</f>
        <v/>
      </c>
      <c r="AA311" s="61">
        <f>Assumptions!$B$200/Assumptions!$B$7</f>
        <v/>
      </c>
      <c r="AB311" s="61">
        <f>Assumptions!$B$200/Assumptions!$B$7</f>
        <v/>
      </c>
      <c r="AC311" s="61">
        <f>Assumptions!$B$200/Assumptions!$B$7</f>
        <v/>
      </c>
      <c r="AD311" s="61">
        <f>Assumptions!$B$200/Assumptions!$B$7</f>
        <v/>
      </c>
      <c r="AE311" s="61">
        <f>Assumptions!$B$200/Assumptions!$B$7</f>
        <v/>
      </c>
    </row>
    <row r="312">
      <c r="A312" s="9" t="inlineStr">
        <is>
          <t>THE AED 1.5m FLOOR, NOT THE 2% ESCALATOR. Option A carries no Reserve Assets to take 2% of, so limb (b) of Rule G.1 is inapplicable and the floor governs. CHOOSING OPTION A REMOVES THE ESCALATOR, NOT THE FLOOR - worth stating plainly to the client, who may believe otherwise.</t>
        </is>
      </c>
    </row>
    <row r="313">
      <c r="A313" s="6" t="inlineStr">
        <is>
          <t xml:space="preserve">  Paid-up capital - licensed activities (Broker-Dealer)</t>
        </is>
      </c>
      <c r="B313" s="23" t="inlineStr">
        <is>
          <t>USD</t>
        </is>
      </c>
      <c r="C313" s="61">
        <f>Assumptions!$B$201/Assumptions!$B$7</f>
        <v/>
      </c>
      <c r="D313" s="61">
        <f>Assumptions!$B$201/Assumptions!$B$7</f>
        <v/>
      </c>
      <c r="E313" s="61">
        <f>Assumptions!$B$201/Assumptions!$B$7</f>
        <v/>
      </c>
      <c r="F313" s="61">
        <f>Assumptions!$B$201/Assumptions!$B$7</f>
        <v/>
      </c>
      <c r="G313" s="61">
        <f>Assumptions!$B$201/Assumptions!$B$7</f>
        <v/>
      </c>
      <c r="H313" s="61">
        <f>Assumptions!$B$201/Assumptions!$B$7</f>
        <v/>
      </c>
      <c r="I313" s="61">
        <f>Assumptions!$B$201/Assumptions!$B$7</f>
        <v/>
      </c>
      <c r="J313" s="61">
        <f>Assumptions!$B$201/Assumptions!$B$7</f>
        <v/>
      </c>
      <c r="K313" s="61">
        <f>Assumptions!$B$201/Assumptions!$B$7</f>
        <v/>
      </c>
      <c r="L313" s="61">
        <f>Assumptions!$B$201/Assumptions!$B$7</f>
        <v/>
      </c>
      <c r="M313" s="61">
        <f>Assumptions!$B$201/Assumptions!$B$7</f>
        <v/>
      </c>
      <c r="N313" s="61">
        <f>Assumptions!$B$201/Assumptions!$B$7</f>
        <v/>
      </c>
      <c r="O313" s="61">
        <f>Assumptions!$B$201/Assumptions!$B$7</f>
        <v/>
      </c>
      <c r="P313" s="61">
        <f>Assumptions!$B$201/Assumptions!$B$7</f>
        <v/>
      </c>
      <c r="Q313" s="61">
        <f>Assumptions!$B$201/Assumptions!$B$7</f>
        <v/>
      </c>
      <c r="R313" s="61">
        <f>Assumptions!$B$201/Assumptions!$B$7</f>
        <v/>
      </c>
      <c r="S313" s="61">
        <f>Assumptions!$B$201/Assumptions!$B$7</f>
        <v/>
      </c>
      <c r="T313" s="61">
        <f>Assumptions!$B$201/Assumptions!$B$7</f>
        <v/>
      </c>
      <c r="U313" s="61">
        <f>Assumptions!$B$201/Assumptions!$B$7</f>
        <v/>
      </c>
      <c r="V313" s="61">
        <f>Assumptions!$B$201/Assumptions!$B$7</f>
        <v/>
      </c>
      <c r="W313" s="61">
        <f>Assumptions!$B$201/Assumptions!$B$7</f>
        <v/>
      </c>
      <c r="X313" s="61">
        <f>Assumptions!$B$201/Assumptions!$B$7</f>
        <v/>
      </c>
      <c r="Y313" s="61">
        <f>Assumptions!$B$201/Assumptions!$B$7</f>
        <v/>
      </c>
      <c r="Z313" s="61">
        <f>Assumptions!$B$201/Assumptions!$B$7</f>
        <v/>
      </c>
      <c r="AA313" s="61">
        <f>Assumptions!$B$201/Assumptions!$B$7</f>
        <v/>
      </c>
      <c r="AB313" s="61">
        <f>Assumptions!$B$201/Assumptions!$B$7</f>
        <v/>
      </c>
      <c r="AC313" s="61">
        <f>Assumptions!$B$201/Assumptions!$B$7</f>
        <v/>
      </c>
      <c r="AD313" s="61">
        <f>Assumptions!$B$201/Assumptions!$B$7</f>
        <v/>
      </c>
      <c r="AE313" s="61">
        <f>Assumptions!$B$201/Assumptions!$B$7</f>
        <v/>
      </c>
    </row>
    <row r="314">
      <c r="A314" s="9" t="inlineStr">
        <is>
          <t>THE FIXED AED FLOOR ONLY. CUMULATIVE with the issuance requirement rather than an alternative to it - Part VI.A requires capital for EACH licensed activity. NOT YET APPLIED, AND DELIBERATELY: the rule is the HIGHER of the AED floor or 25% OF FIXED ANNUAL OVERHEADS (15% where custody is held). The overheads test is left out until the opex build is complete - with only storage, VARA, DMCC and KYC in the model, overheads are a fraction of the real figure and the test would read as comfortably passed when nobody has checked. REINSTATE IT ONCE HEADCOUNT AND THE REST OF OPEX LAND: at 25%, the test overtakes the AED 600,000 floor at roughly AED 2.4m of annual overheads, which a real cost base may well reach.</t>
        </is>
      </c>
    </row>
    <row r="315">
      <c r="A315" s="3" t="inlineStr">
        <is>
          <t>TOTAL PAID-UP CAPITAL REQUIRED</t>
        </is>
      </c>
      <c r="B315" s="23" t="inlineStr">
        <is>
          <t>USD</t>
        </is>
      </c>
      <c r="C315" s="63">
        <f>C311+C313</f>
        <v/>
      </c>
      <c r="D315" s="63">
        <f>D311+D313</f>
        <v/>
      </c>
      <c r="E315" s="63">
        <f>E311+E313</f>
        <v/>
      </c>
      <c r="F315" s="63">
        <f>F311+F313</f>
        <v/>
      </c>
      <c r="G315" s="63">
        <f>G311+G313</f>
        <v/>
      </c>
      <c r="H315" s="63">
        <f>H311+H313</f>
        <v/>
      </c>
      <c r="I315" s="63">
        <f>I311+I313</f>
        <v/>
      </c>
      <c r="J315" s="63">
        <f>J311+J313</f>
        <v/>
      </c>
      <c r="K315" s="63">
        <f>K311+K313</f>
        <v/>
      </c>
      <c r="L315" s="63">
        <f>L311+L313</f>
        <v/>
      </c>
      <c r="M315" s="63">
        <f>M311+M313</f>
        <v/>
      </c>
      <c r="N315" s="63">
        <f>N311+N313</f>
        <v/>
      </c>
      <c r="O315" s="63">
        <f>O311+O313</f>
        <v/>
      </c>
      <c r="P315" s="63">
        <f>P311+P313</f>
        <v/>
      </c>
      <c r="Q315" s="63">
        <f>Q311+Q313</f>
        <v/>
      </c>
      <c r="R315" s="63">
        <f>R311+R313</f>
        <v/>
      </c>
      <c r="S315" s="63">
        <f>S311+S313</f>
        <v/>
      </c>
      <c r="T315" s="63">
        <f>T311+T313</f>
        <v/>
      </c>
      <c r="U315" s="63">
        <f>U311+U313</f>
        <v/>
      </c>
      <c r="V315" s="63">
        <f>V311+V313</f>
        <v/>
      </c>
      <c r="W315" s="63">
        <f>W311+W313</f>
        <v/>
      </c>
      <c r="X315" s="63">
        <f>X311+X313</f>
        <v/>
      </c>
      <c r="Y315" s="63">
        <f>Y311+Y313</f>
        <v/>
      </c>
      <c r="Z315" s="63">
        <f>Z311+Z313</f>
        <v/>
      </c>
      <c r="AA315" s="63">
        <f>AA311+AA313</f>
        <v/>
      </c>
      <c r="AB315" s="63">
        <f>AB311+AB313</f>
        <v/>
      </c>
      <c r="AC315" s="63">
        <f>AC311+AC313</f>
        <v/>
      </c>
      <c r="AD315" s="63">
        <f>AD311+AD313</f>
        <v/>
      </c>
      <c r="AE315" s="63">
        <f>AE311+AE313</f>
        <v/>
      </c>
    </row>
    <row r="316">
      <c r="A316" s="6" t="inlineStr">
        <is>
          <t xml:space="preserve">  Net liquid assets required (PROVISIONAL - opex incomplete)</t>
        </is>
      </c>
      <c r="B316" s="23" t="inlineStr">
        <is>
          <t>USD</t>
        </is>
      </c>
      <c r="C316" s="61">
        <f>Assumptions!$B$202*(SUMIF($C$5:$AE$5,C5,$C$255:$AE$255)-SUMIF($C$5:$AE$5,C5,$C$241:$AE$241))/12</f>
        <v/>
      </c>
      <c r="D316" s="61">
        <f>Assumptions!$B$202*(SUMIF($C$5:$AE$5,D5,$C$255:$AE$255)-SUMIF($C$5:$AE$5,D5,$C$241:$AE$241))/12</f>
        <v/>
      </c>
      <c r="E316" s="61">
        <f>Assumptions!$B$202*(SUMIF($C$5:$AE$5,E5,$C$255:$AE$255)-SUMIF($C$5:$AE$5,E5,$C$241:$AE$241))/12</f>
        <v/>
      </c>
      <c r="F316" s="61">
        <f>Assumptions!$B$202*(SUMIF($C$5:$AE$5,F5,$C$255:$AE$255)-SUMIF($C$5:$AE$5,F5,$C$241:$AE$241))/12</f>
        <v/>
      </c>
      <c r="G316" s="61">
        <f>Assumptions!$B$202*(SUMIF($C$5:$AE$5,G5,$C$255:$AE$255)-SUMIF($C$5:$AE$5,G5,$C$241:$AE$241))/12</f>
        <v/>
      </c>
      <c r="H316" s="61">
        <f>Assumptions!$B$202*(SUMIF($C$5:$AE$5,H5,$C$255:$AE$255)-SUMIF($C$5:$AE$5,H5,$C$241:$AE$241))/12</f>
        <v/>
      </c>
      <c r="I316" s="61">
        <f>Assumptions!$B$202*(SUMIF($C$5:$AE$5,I5,$C$255:$AE$255)-SUMIF($C$5:$AE$5,I5,$C$241:$AE$241))/12</f>
        <v/>
      </c>
      <c r="J316" s="61">
        <f>Assumptions!$B$202*(SUMIF($C$5:$AE$5,J5,$C$255:$AE$255)-SUMIF($C$5:$AE$5,J5,$C$241:$AE$241))/12</f>
        <v/>
      </c>
      <c r="K316" s="61">
        <f>Assumptions!$B$202*(SUMIF($C$5:$AE$5,K5,$C$255:$AE$255)-SUMIF($C$5:$AE$5,K5,$C$241:$AE$241))/12</f>
        <v/>
      </c>
      <c r="L316" s="61">
        <f>Assumptions!$B$202*(SUMIF($C$5:$AE$5,L5,$C$255:$AE$255)-SUMIF($C$5:$AE$5,L5,$C$241:$AE$241))/12</f>
        <v/>
      </c>
      <c r="M316" s="61">
        <f>Assumptions!$B$202*(SUMIF($C$5:$AE$5,M5,$C$255:$AE$255)-SUMIF($C$5:$AE$5,M5,$C$241:$AE$241))/12</f>
        <v/>
      </c>
      <c r="N316" s="61">
        <f>Assumptions!$B$202*(SUMIF($C$5:$AE$5,N5,$C$255:$AE$255)-SUMIF($C$5:$AE$5,N5,$C$241:$AE$241))/12</f>
        <v/>
      </c>
      <c r="O316" s="61">
        <f>Assumptions!$B$202*(SUMIF($C$5:$AE$5,O5,$C$255:$AE$255)-SUMIF($C$5:$AE$5,O5,$C$241:$AE$241))/12</f>
        <v/>
      </c>
      <c r="P316" s="61">
        <f>Assumptions!$B$202*(SUMIF($C$5:$AE$5,P5,$C$255:$AE$255)-SUMIF($C$5:$AE$5,P5,$C$241:$AE$241))/12</f>
        <v/>
      </c>
      <c r="Q316" s="61">
        <f>Assumptions!$B$202*(SUMIF($C$5:$AE$5,Q5,$C$255:$AE$255)-SUMIF($C$5:$AE$5,Q5,$C$241:$AE$241))/12</f>
        <v/>
      </c>
      <c r="R316" s="61">
        <f>Assumptions!$B$202*(SUMIF($C$5:$AE$5,R5,$C$255:$AE$255)-SUMIF($C$5:$AE$5,R5,$C$241:$AE$241))/12</f>
        <v/>
      </c>
      <c r="S316" s="61">
        <f>Assumptions!$B$202*(SUMIF($C$5:$AE$5,S5,$C$255:$AE$255)-SUMIF($C$5:$AE$5,S5,$C$241:$AE$241))/12</f>
        <v/>
      </c>
      <c r="T316" s="61">
        <f>Assumptions!$B$202*(SUMIF($C$5:$AE$5,T5,$C$255:$AE$255)-SUMIF($C$5:$AE$5,T5,$C$241:$AE$241))/12</f>
        <v/>
      </c>
      <c r="U316" s="61">
        <f>Assumptions!$B$202*(SUMIF($C$5:$AE$5,U5,$C$255:$AE$255)-SUMIF($C$5:$AE$5,U5,$C$241:$AE$241))/12</f>
        <v/>
      </c>
      <c r="V316" s="61">
        <f>Assumptions!$B$202*(SUMIF($C$5:$AE$5,V5,$C$255:$AE$255)-SUMIF($C$5:$AE$5,V5,$C$241:$AE$241))/12</f>
        <v/>
      </c>
      <c r="W316" s="61">
        <f>Assumptions!$B$202*(SUMIF($C$5:$AE$5,W5,$C$255:$AE$255)-SUMIF($C$5:$AE$5,W5,$C$241:$AE$241))/12</f>
        <v/>
      </c>
      <c r="X316" s="61">
        <f>Assumptions!$B$202*(SUMIF($C$5:$AE$5,X5,$C$255:$AE$255)-SUMIF($C$5:$AE$5,X5,$C$241:$AE$241))/12</f>
        <v/>
      </c>
      <c r="Y316" s="61">
        <f>Assumptions!$B$202*(SUMIF($C$5:$AE$5,Y5,$C$255:$AE$255)-SUMIF($C$5:$AE$5,Y5,$C$241:$AE$241))/12</f>
        <v/>
      </c>
      <c r="Z316" s="61">
        <f>Assumptions!$B$202*(SUMIF($C$5:$AE$5,Z5,$C$255:$AE$255)-SUMIF($C$5:$AE$5,Z5,$C$241:$AE$241))/12</f>
        <v/>
      </c>
      <c r="AA316" s="61">
        <f>Assumptions!$B$202*(SUMIF($C$5:$AE$5,AA5,$C$255:$AE$255)-SUMIF($C$5:$AE$5,AA5,$C$241:$AE$241))/12</f>
        <v/>
      </c>
      <c r="AB316" s="61">
        <f>Assumptions!$B$202*(SUMIF($C$5:$AE$5,AB5,$C$255:$AE$255)-SUMIF($C$5:$AE$5,AB5,$C$241:$AE$241))/12</f>
        <v/>
      </c>
      <c r="AC316" s="61">
        <f>Assumptions!$B$202*(SUMIF($C$5:$AE$5,AC5,$C$255:$AE$255)-SUMIF($C$5:$AE$5,AC5,$C$241:$AE$241))/12</f>
        <v/>
      </c>
      <c r="AD316" s="61">
        <f>Assumptions!$B$202*(SUMIF($C$5:$AE$5,AD5,$C$255:$AE$255)-SUMIF($C$5:$AE$5,AD5,$C$241:$AE$241))/12</f>
        <v/>
      </c>
      <c r="AE316" s="61">
        <f>Assumptions!$B$202*(SUMIF($C$5:$AE$5,AE5,$C$255:$AE$255)-SUMIF($C$5:$AE$5,AE5,$C$241:$AE$241))/12</f>
        <v/>
      </c>
    </row>
    <row r="317">
      <c r="A317" s="9" t="inlineStr">
        <is>
          <t>1.2 x MONTHLY operating expenses, tested continuously. NOT ADDED to paid-up capital: the same cash can satisfy both, so summing them would overstate the funding need. PROVISIONAL AND UNDERSTATED. It reads off the opex total, and opex currently carries only storage, VARA, DMCC and KYC - headcount, insurance, audit, technology and the rest are still to come. THIS FIGURE WILL RISE, probably several-fold. It is kept visible rather than removed because the requirement itself is real and appears nowhere in the corpus; the number is not yet usable.</t>
        </is>
      </c>
    </row>
    <row r="318">
      <c r="A318" s="6" t="inlineStr">
        <is>
          <t>CHECK: paid-up capital covers the liquidity test (must be &gt;= 0)</t>
        </is>
      </c>
      <c r="B318" s="23" t="inlineStr">
        <is>
          <t>USD</t>
        </is>
      </c>
      <c r="C318" s="63">
        <f>C315-C316</f>
        <v/>
      </c>
      <c r="D318" s="63">
        <f>D315-D316</f>
        <v/>
      </c>
      <c r="E318" s="63">
        <f>E315-E316</f>
        <v/>
      </c>
      <c r="F318" s="63">
        <f>F315-F316</f>
        <v/>
      </c>
      <c r="G318" s="63">
        <f>G315-G316</f>
        <v/>
      </c>
      <c r="H318" s="63">
        <f>H315-H316</f>
        <v/>
      </c>
      <c r="I318" s="63">
        <f>I315-I316</f>
        <v/>
      </c>
      <c r="J318" s="63">
        <f>J315-J316</f>
        <v/>
      </c>
      <c r="K318" s="63">
        <f>K315-K316</f>
        <v/>
      </c>
      <c r="L318" s="63">
        <f>L315-L316</f>
        <v/>
      </c>
      <c r="M318" s="63">
        <f>M315-M316</f>
        <v/>
      </c>
      <c r="N318" s="63">
        <f>N315-N316</f>
        <v/>
      </c>
      <c r="O318" s="63">
        <f>O315-O316</f>
        <v/>
      </c>
      <c r="P318" s="63">
        <f>P315-P316</f>
        <v/>
      </c>
      <c r="Q318" s="63">
        <f>Q315-Q316</f>
        <v/>
      </c>
      <c r="R318" s="63">
        <f>R315-R316</f>
        <v/>
      </c>
      <c r="S318" s="63">
        <f>S315-S316</f>
        <v/>
      </c>
      <c r="T318" s="63">
        <f>T315-T316</f>
        <v/>
      </c>
      <c r="U318" s="63">
        <f>U315-U316</f>
        <v/>
      </c>
      <c r="V318" s="63">
        <f>V315-V316</f>
        <v/>
      </c>
      <c r="W318" s="63">
        <f>W315-W316</f>
        <v/>
      </c>
      <c r="X318" s="63">
        <f>X315-X316</f>
        <v/>
      </c>
      <c r="Y318" s="63">
        <f>Y315-Y316</f>
        <v/>
      </c>
      <c r="Z318" s="63">
        <f>Z315-Z316</f>
        <v/>
      </c>
      <c r="AA318" s="63">
        <f>AA315-AA316</f>
        <v/>
      </c>
      <c r="AB318" s="63">
        <f>AB315-AB316</f>
        <v/>
      </c>
      <c r="AC318" s="63">
        <f>AC315-AC316</f>
        <v/>
      </c>
      <c r="AD318" s="63">
        <f>AD315-AD316</f>
        <v/>
      </c>
      <c r="AE318" s="63">
        <f>AE315-AE316</f>
        <v/>
      </c>
    </row>
    <row r="319">
      <c r="A319" s="3" t="inlineStr">
        <is>
          <t>TOTAL CAPITAL TIED UP (float + paid-up capital + card prefunding)</t>
        </is>
      </c>
      <c r="B319" s="23" t="inlineStr">
        <is>
          <t>USD</t>
        </is>
      </c>
      <c r="C319" s="63">
        <f>C209+C315+C214</f>
        <v/>
      </c>
      <c r="D319" s="63">
        <f>D209+D315+D214</f>
        <v/>
      </c>
      <c r="E319" s="63">
        <f>E209+E315+E214</f>
        <v/>
      </c>
      <c r="F319" s="63">
        <f>F209+F315+F214</f>
        <v/>
      </c>
      <c r="G319" s="63">
        <f>G209+G315+G214</f>
        <v/>
      </c>
      <c r="H319" s="63">
        <f>H209+H315+H214</f>
        <v/>
      </c>
      <c r="I319" s="63">
        <f>I209+I315+I214</f>
        <v/>
      </c>
      <c r="J319" s="63">
        <f>J209+J315+J214</f>
        <v/>
      </c>
      <c r="K319" s="63">
        <f>K209+K315+K214</f>
        <v/>
      </c>
      <c r="L319" s="63">
        <f>L209+L315+L214</f>
        <v/>
      </c>
      <c r="M319" s="63">
        <f>M209+M315+M214</f>
        <v/>
      </c>
      <c r="N319" s="63">
        <f>N209+N315+N214</f>
        <v/>
      </c>
      <c r="O319" s="63">
        <f>O209+O315+O214</f>
        <v/>
      </c>
      <c r="P319" s="63">
        <f>P209+P315+P214</f>
        <v/>
      </c>
      <c r="Q319" s="63">
        <f>Q209+Q315+Q214</f>
        <v/>
      </c>
      <c r="R319" s="63">
        <f>R209+R315+R214</f>
        <v/>
      </c>
      <c r="S319" s="63">
        <f>S209+S315+S214</f>
        <v/>
      </c>
      <c r="T319" s="63">
        <f>T209+T315+T214</f>
        <v/>
      </c>
      <c r="U319" s="63">
        <f>U209+U315+U214</f>
        <v/>
      </c>
      <c r="V319" s="63">
        <f>V209+V315+V214</f>
        <v/>
      </c>
      <c r="W319" s="63">
        <f>W209+W315+W214</f>
        <v/>
      </c>
      <c r="X319" s="63">
        <f>X209+X315+X214</f>
        <v/>
      </c>
      <c r="Y319" s="63">
        <f>Y209+Y315+Y214</f>
        <v/>
      </c>
      <c r="Z319" s="63">
        <f>Z209+Z315+Z214</f>
        <v/>
      </c>
      <c r="AA319" s="63">
        <f>AA209+AA315+AA214</f>
        <v/>
      </c>
      <c r="AB319" s="63">
        <f>AB209+AB315+AB214</f>
        <v/>
      </c>
      <c r="AC319" s="63">
        <f>AC209+AC315+AC214</f>
        <v/>
      </c>
      <c r="AD319" s="63">
        <f>AD209+AD315+AD214</f>
        <v/>
      </c>
      <c r="AE319" s="63">
        <f>AE209+AE315+AE214</f>
        <v/>
      </c>
    </row>
    <row r="320">
      <c r="A320" s="9" t="inlineStr">
        <is>
          <t>THE FLOAT IS METAL YOU OWN AND CAN SELL; THE PAID-UP CAPITAL IS EQUITY YOU MUST KEEP SUBSCRIBED TO HOLD A LICENCE. Both are money unavailable to spend, which is why they are added - but they are NOT the same kind of money, and the difference matters on a wind-down.</t>
        </is>
      </c>
    </row>
    <row r="323" ht="20" customHeight="1">
      <c r="A323" s="12" t="inlineStr">
        <is>
          <t>NET PROFIT - revenue less every cost modelled</t>
        </is>
      </c>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row>
    <row r="325">
      <c r="A325" s="51" t="inlineStr">
        <is>
          <t>NET PROFIT - revenue less every cost modelled, plus contingency</t>
        </is>
      </c>
      <c r="B325" s="52" t="n"/>
      <c r="C325" s="52" t="n"/>
      <c r="D325" s="52" t="n"/>
      <c r="E325" s="52" t="n"/>
      <c r="F325" s="52" t="n"/>
      <c r="G325" s="52"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c r="AA325" s="52" t="n"/>
      <c r="AB325" s="52" t="n"/>
      <c r="AC325" s="52" t="n"/>
      <c r="AD325" s="52" t="n"/>
      <c r="AE325" s="52" t="n"/>
    </row>
    <row r="326">
      <c r="A326" s="3" t="inlineStr">
        <is>
          <t>NET PROFIT</t>
        </is>
      </c>
      <c r="B326" s="23" t="inlineStr">
        <is>
          <t>USD</t>
        </is>
      </c>
      <c r="C326" s="63">
        <f>C197-C304</f>
        <v/>
      </c>
      <c r="D326" s="63">
        <f>D197-D304</f>
        <v/>
      </c>
      <c r="E326" s="63">
        <f>E197-E304</f>
        <v/>
      </c>
      <c r="F326" s="63">
        <f>F197-F304</f>
        <v/>
      </c>
      <c r="G326" s="63">
        <f>G197-G304</f>
        <v/>
      </c>
      <c r="H326" s="63">
        <f>H197-H304</f>
        <v/>
      </c>
      <c r="I326" s="63">
        <f>I197-I304</f>
        <v/>
      </c>
      <c r="J326" s="63">
        <f>J197-J304</f>
        <v/>
      </c>
      <c r="K326" s="63">
        <f>K197-K304</f>
        <v/>
      </c>
      <c r="L326" s="63">
        <f>L197-L304</f>
        <v/>
      </c>
      <c r="M326" s="63">
        <f>M197-M304</f>
        <v/>
      </c>
      <c r="N326" s="63">
        <f>N197-N304</f>
        <v/>
      </c>
      <c r="O326" s="63">
        <f>O197-O304</f>
        <v/>
      </c>
      <c r="P326" s="63">
        <f>P197-P304</f>
        <v/>
      </c>
      <c r="Q326" s="63">
        <f>Q197-Q304</f>
        <v/>
      </c>
      <c r="R326" s="63">
        <f>R197-R304</f>
        <v/>
      </c>
      <c r="S326" s="63">
        <f>S197-S304</f>
        <v/>
      </c>
      <c r="T326" s="63">
        <f>T197-T304</f>
        <v/>
      </c>
      <c r="U326" s="63">
        <f>U197-U304</f>
        <v/>
      </c>
      <c r="V326" s="63">
        <f>V197-V304</f>
        <v/>
      </c>
      <c r="W326" s="63">
        <f>W197-W304</f>
        <v/>
      </c>
      <c r="X326" s="63">
        <f>X197-X304</f>
        <v/>
      </c>
      <c r="Y326" s="63">
        <f>Y197-Y304</f>
        <v/>
      </c>
      <c r="Z326" s="63">
        <f>Z197-Z304</f>
        <v/>
      </c>
      <c r="AA326" s="63">
        <f>AA197-AA304</f>
        <v/>
      </c>
      <c r="AB326" s="63">
        <f>AB197-AB304</f>
        <v/>
      </c>
      <c r="AC326" s="63">
        <f>AC197-AC304</f>
        <v/>
      </c>
      <c r="AD326" s="63">
        <f>AD197-AD304</f>
        <v/>
      </c>
      <c r="AE326" s="63">
        <f>AE197-AE304</f>
        <v/>
      </c>
    </row>
    <row r="327">
      <c r="A327" s="9" t="inlineStr">
        <is>
          <t>AN UPPER BOUND, NOT A FORECAST. Headcount, legal and trust, security, corporate, tax and the on-chain minting cost are all still absent, covered only by a 15% contingency that is worth a fraction of headcount alone. THE REAL NUMBER IS LOWER AND THE MODEL CANNOT YET SAY BY HOW MUCH.</t>
        </is>
      </c>
    </row>
    <row r="328">
      <c r="A328" s="6" t="inlineStr">
        <is>
          <t xml:space="preserve">  Net margin</t>
        </is>
      </c>
      <c r="B328" s="23" t="inlineStr">
        <is>
          <t>% of revenue</t>
        </is>
      </c>
      <c r="C328" s="57">
        <f>IF(C197=0,0,C326/C197)</f>
        <v/>
      </c>
      <c r="D328" s="57">
        <f>IF(D197=0,0,D326/D197)</f>
        <v/>
      </c>
      <c r="E328" s="57">
        <f>IF(E197=0,0,E326/E197)</f>
        <v/>
      </c>
      <c r="F328" s="57">
        <f>IF(F197=0,0,F326/F197)</f>
        <v/>
      </c>
      <c r="G328" s="57">
        <f>IF(G197=0,0,G326/G197)</f>
        <v/>
      </c>
      <c r="H328" s="57">
        <f>IF(H197=0,0,H326/H197)</f>
        <v/>
      </c>
      <c r="I328" s="57">
        <f>IF(I197=0,0,I326/I197)</f>
        <v/>
      </c>
      <c r="J328" s="57">
        <f>IF(J197=0,0,J326/J197)</f>
        <v/>
      </c>
      <c r="K328" s="57">
        <f>IF(K197=0,0,K326/K197)</f>
        <v/>
      </c>
      <c r="L328" s="57">
        <f>IF(L197=0,0,L326/L197)</f>
        <v/>
      </c>
      <c r="M328" s="57">
        <f>IF(M197=0,0,M326/M197)</f>
        <v/>
      </c>
      <c r="N328" s="57">
        <f>IF(N197=0,0,N326/N197)</f>
        <v/>
      </c>
      <c r="O328" s="57">
        <f>IF(O197=0,0,O326/O197)</f>
        <v/>
      </c>
      <c r="P328" s="57">
        <f>IF(P197=0,0,P326/P197)</f>
        <v/>
      </c>
      <c r="Q328" s="57">
        <f>IF(Q197=0,0,Q326/Q197)</f>
        <v/>
      </c>
      <c r="R328" s="57">
        <f>IF(R197=0,0,R326/R197)</f>
        <v/>
      </c>
      <c r="S328" s="57">
        <f>IF(S197=0,0,S326/S197)</f>
        <v/>
      </c>
      <c r="T328" s="57">
        <f>IF(T197=0,0,T326/T197)</f>
        <v/>
      </c>
      <c r="U328" s="57">
        <f>IF(U197=0,0,U326/U197)</f>
        <v/>
      </c>
      <c r="V328" s="57">
        <f>IF(V197=0,0,V326/V197)</f>
        <v/>
      </c>
      <c r="W328" s="57">
        <f>IF(W197=0,0,W326/W197)</f>
        <v/>
      </c>
      <c r="X328" s="57">
        <f>IF(X197=0,0,X326/X197)</f>
        <v/>
      </c>
      <c r="Y328" s="57">
        <f>IF(Y197=0,0,Y326/Y197)</f>
        <v/>
      </c>
      <c r="Z328" s="57">
        <f>IF(Z197=0,0,Z326/Z197)</f>
        <v/>
      </c>
      <c r="AA328" s="57">
        <f>IF(AA197=0,0,AA326/AA197)</f>
        <v/>
      </c>
      <c r="AB328" s="57">
        <f>IF(AB197=0,0,AB326/AB197)</f>
        <v/>
      </c>
      <c r="AC328" s="57">
        <f>IF(AC197=0,0,AC326/AC197)</f>
        <v/>
      </c>
      <c r="AD328" s="57">
        <f>IF(AD197=0,0,AD326/AD197)</f>
        <v/>
      </c>
      <c r="AE328" s="57">
        <f>IF(AE197=0,0,AE326/AE197)</f>
        <v/>
      </c>
    </row>
    <row r="329">
      <c r="A329" s="3" t="inlineStr">
        <is>
          <t>CUMULATIVE NET PROFIT</t>
        </is>
      </c>
      <c r="B329" s="23" t="inlineStr">
        <is>
          <t>USD</t>
        </is>
      </c>
      <c r="C329" s="63">
        <f>C326</f>
        <v/>
      </c>
      <c r="D329" s="63">
        <f>C329+D326</f>
        <v/>
      </c>
      <c r="E329" s="63">
        <f>D329+E326</f>
        <v/>
      </c>
      <c r="F329" s="63">
        <f>E329+F326</f>
        <v/>
      </c>
      <c r="G329" s="63">
        <f>F329+G326</f>
        <v/>
      </c>
      <c r="H329" s="63">
        <f>G329+H326</f>
        <v/>
      </c>
      <c r="I329" s="63">
        <f>H329+I326</f>
        <v/>
      </c>
      <c r="J329" s="63">
        <f>I329+J326</f>
        <v/>
      </c>
      <c r="K329" s="63">
        <f>J329+K326</f>
        <v/>
      </c>
      <c r="L329" s="63">
        <f>K329+L326</f>
        <v/>
      </c>
      <c r="M329" s="63">
        <f>L329+M326</f>
        <v/>
      </c>
      <c r="N329" s="63">
        <f>M329+N326</f>
        <v/>
      </c>
      <c r="O329" s="63">
        <f>N329+O326</f>
        <v/>
      </c>
      <c r="P329" s="63">
        <f>O329+P326</f>
        <v/>
      </c>
      <c r="Q329" s="63">
        <f>P329+Q326</f>
        <v/>
      </c>
      <c r="R329" s="63">
        <f>Q329+R326</f>
        <v/>
      </c>
      <c r="S329" s="63">
        <f>R329+S326</f>
        <v/>
      </c>
      <c r="T329" s="63">
        <f>S329+T326</f>
        <v/>
      </c>
      <c r="U329" s="63">
        <f>T329+U326</f>
        <v/>
      </c>
      <c r="V329" s="63">
        <f>U329+V326</f>
        <v/>
      </c>
      <c r="W329" s="63">
        <f>V329+W326</f>
        <v/>
      </c>
      <c r="X329" s="63">
        <f>W329+X326</f>
        <v/>
      </c>
      <c r="Y329" s="63">
        <f>X329+Y326</f>
        <v/>
      </c>
      <c r="Z329" s="63">
        <f>Y329+Z326</f>
        <v/>
      </c>
      <c r="AA329" s="63">
        <f>Z329+AA326</f>
        <v/>
      </c>
      <c r="AB329" s="63">
        <f>AA329+AB326</f>
        <v/>
      </c>
      <c r="AC329" s="63">
        <f>AB329+AC326</f>
        <v/>
      </c>
      <c r="AD329" s="63">
        <f>AC329+AD326</f>
        <v/>
      </c>
      <c r="AE329" s="63">
        <f>AD329+AE326</f>
        <v/>
      </c>
    </row>
    <row r="331">
      <c r="A331" s="51" t="inlineStr">
        <is>
          <t>UNIT ECONOMICS - payback, the acquisition treadmill and the funding need</t>
        </is>
      </c>
      <c r="B331" s="52" t="n"/>
      <c r="C331" s="52" t="n"/>
      <c r="D331" s="52" t="n"/>
      <c r="E331" s="52" t="n"/>
      <c r="F331" s="52" t="n"/>
      <c r="G331" s="52" t="n"/>
      <c r="H331" s="52" t="n"/>
      <c r="I331" s="52" t="n"/>
      <c r="J331" s="52" t="n"/>
      <c r="K331" s="52" t="n"/>
      <c r="L331" s="52" t="n"/>
      <c r="M331" s="52" t="n"/>
      <c r="N331" s="52" t="n"/>
      <c r="O331" s="52" t="n"/>
      <c r="P331" s="52" t="n"/>
      <c r="Q331" s="52" t="n"/>
      <c r="R331" s="52" t="n"/>
      <c r="S331" s="52" t="n"/>
      <c r="T331" s="52" t="n"/>
      <c r="U331" s="52" t="n"/>
      <c r="V331" s="52" t="n"/>
      <c r="W331" s="52" t="n"/>
      <c r="X331" s="52" t="n"/>
      <c r="Y331" s="52" t="n"/>
      <c r="Z331" s="52" t="n"/>
      <c r="AA331" s="52" t="n"/>
      <c r="AB331" s="52" t="n"/>
      <c r="AC331" s="52" t="n"/>
      <c r="AD331" s="52" t="n"/>
      <c r="AE331" s="52" t="n"/>
    </row>
    <row r="332">
      <c r="A332" s="6" t="inlineStr">
        <is>
          <t xml:space="preserve">  Customers lost to holders this period</t>
        </is>
      </c>
      <c r="B332" s="23" t="inlineStr">
        <is>
          <t>accounts</t>
        </is>
      </c>
      <c r="C332" s="50">
        <f>MAX(0,C162-C159)</f>
        <v/>
      </c>
      <c r="D332" s="50">
        <f>MAX(0,C159+D162-D159)</f>
        <v/>
      </c>
      <c r="E332" s="50">
        <f>MAX(0,D159+E162-E159)</f>
        <v/>
      </c>
      <c r="F332" s="50">
        <f>MAX(0,E159+F162-F159)</f>
        <v/>
      </c>
      <c r="G332" s="50">
        <f>MAX(0,F159+G162-G159)</f>
        <v/>
      </c>
      <c r="H332" s="50">
        <f>MAX(0,G159+H162-H159)</f>
        <v/>
      </c>
      <c r="I332" s="50">
        <f>MAX(0,H159+I162-I159)</f>
        <v/>
      </c>
      <c r="J332" s="50">
        <f>MAX(0,I159+J162-J159)</f>
        <v/>
      </c>
      <c r="K332" s="50">
        <f>MAX(0,J159+K162-K159)</f>
        <v/>
      </c>
      <c r="L332" s="50">
        <f>MAX(0,K159+L162-L159)</f>
        <v/>
      </c>
      <c r="M332" s="50">
        <f>MAX(0,L159+M162-M159)</f>
        <v/>
      </c>
      <c r="N332" s="50">
        <f>MAX(0,M159+N162-N159)</f>
        <v/>
      </c>
      <c r="O332" s="50">
        <f>MAX(0,N159+O162-O159)</f>
        <v/>
      </c>
      <c r="P332" s="50">
        <f>MAX(0,O159+P162-P159)</f>
        <v/>
      </c>
      <c r="Q332" s="50">
        <f>MAX(0,P159+Q162-Q159)</f>
        <v/>
      </c>
      <c r="R332" s="50">
        <f>MAX(0,Q159+R162-R159)</f>
        <v/>
      </c>
      <c r="S332" s="50">
        <f>MAX(0,R159+S162-S159)</f>
        <v/>
      </c>
      <c r="T332" s="50">
        <f>MAX(0,S159+T162-T159)</f>
        <v/>
      </c>
      <c r="U332" s="50">
        <f>MAX(0,T159+U162-U159)</f>
        <v/>
      </c>
      <c r="V332" s="50">
        <f>MAX(0,U159+V162-V159)</f>
        <v/>
      </c>
      <c r="W332" s="50">
        <f>MAX(0,V159+W162-W159)</f>
        <v/>
      </c>
      <c r="X332" s="50">
        <f>MAX(0,W159+X162-X159)</f>
        <v/>
      </c>
      <c r="Y332" s="50">
        <f>MAX(0,X159+Y162-Y159)</f>
        <v/>
      </c>
      <c r="Z332" s="50">
        <f>MAX(0,Y159+Z162-Z159)</f>
        <v/>
      </c>
      <c r="AA332" s="50">
        <f>MAX(0,Z159+AA162-AA159)</f>
        <v/>
      </c>
      <c r="AB332" s="50">
        <f>MAX(0,AA159+AB162-AB159)</f>
        <v/>
      </c>
      <c r="AC332" s="50">
        <f>MAX(0,AB159+AC162-AC159)</f>
        <v/>
      </c>
      <c r="AD332" s="50">
        <f>MAX(0,AC159+AD162-AD159)</f>
        <v/>
      </c>
      <c r="AE332" s="50">
        <f>MAX(0,AD159+AE162-AE159)</f>
        <v/>
      </c>
    </row>
    <row r="333">
      <c r="A333" s="9" t="inlineStr">
        <is>
          <t>OPENING BASE PLUS NEW LESS CLOSING BASE. Nobody counts leavers directly; they are what is left when the balance does not tie. THIS IS THE END OF A PAYING RELATIONSHIP, NOT OF THE CUSTOMER: a lapsed customer becomes a holder, keeps their gold and may still carry a card, so the tail is thin but it is not zero. Deliberately NOT converted into an average life here - see the section note above.</t>
        </is>
      </c>
    </row>
    <row r="334">
      <c r="A334" s="3" t="inlineStr">
        <is>
          <t>PROFIT BEFORE ACQUISITION COST</t>
        </is>
      </c>
      <c r="B334" s="23" t="inlineStr">
        <is>
          <t>USD</t>
        </is>
      </c>
      <c r="C334" s="63">
        <f>C197-C304+C282</f>
        <v/>
      </c>
      <c r="D334" s="63">
        <f>D197-D304+D282</f>
        <v/>
      </c>
      <c r="E334" s="63">
        <f>E197-E304+E282</f>
        <v/>
      </c>
      <c r="F334" s="63">
        <f>F197-F304+F282</f>
        <v/>
      </c>
      <c r="G334" s="63">
        <f>G197-G304+G282</f>
        <v/>
      </c>
      <c r="H334" s="63">
        <f>H197-H304+H282</f>
        <v/>
      </c>
      <c r="I334" s="63">
        <f>I197-I304+I282</f>
        <v/>
      </c>
      <c r="J334" s="63">
        <f>J197-J304+J282</f>
        <v/>
      </c>
      <c r="K334" s="63">
        <f>K197-K304+K282</f>
        <v/>
      </c>
      <c r="L334" s="63">
        <f>L197-L304+L282</f>
        <v/>
      </c>
      <c r="M334" s="63">
        <f>M197-M304+M282</f>
        <v/>
      </c>
      <c r="N334" s="63">
        <f>N197-N304+N282</f>
        <v/>
      </c>
      <c r="O334" s="63">
        <f>O197-O304+O282</f>
        <v/>
      </c>
      <c r="P334" s="63">
        <f>P197-P304+P282</f>
        <v/>
      </c>
      <c r="Q334" s="63">
        <f>Q197-Q304+Q282</f>
        <v/>
      </c>
      <c r="R334" s="63">
        <f>R197-R304+R282</f>
        <v/>
      </c>
      <c r="S334" s="63">
        <f>S197-S304+S282</f>
        <v/>
      </c>
      <c r="T334" s="63">
        <f>T197-T304+T282</f>
        <v/>
      </c>
      <c r="U334" s="63">
        <f>U197-U304+U282</f>
        <v/>
      </c>
      <c r="V334" s="63">
        <f>V197-V304+V282</f>
        <v/>
      </c>
      <c r="W334" s="63">
        <f>W197-W304+W282</f>
        <v/>
      </c>
      <c r="X334" s="63">
        <f>X197-X304+X282</f>
        <v/>
      </c>
      <c r="Y334" s="63">
        <f>Y197-Y304+Y282</f>
        <v/>
      </c>
      <c r="Z334" s="63">
        <f>Z197-Z304+Z282</f>
        <v/>
      </c>
      <c r="AA334" s="63">
        <f>AA197-AA304+AA282</f>
        <v/>
      </c>
      <c r="AB334" s="63">
        <f>AB197-AB304+AB282</f>
        <v/>
      </c>
      <c r="AC334" s="63">
        <f>AC197-AC304+AC282</f>
        <v/>
      </c>
      <c r="AD334" s="63">
        <f>AD197-AD304+AD282</f>
        <v/>
      </c>
      <c r="AE334" s="63">
        <f>AE197-AE304+AE282</f>
        <v/>
      </c>
    </row>
    <row r="335">
      <c r="A335" s="9" t="inlineStr">
        <is>
          <t>THE RIGHT NUMERATOR TO SET AGAINST CAC, because acquisition is the thing being paid for and must not sit on both sides. DELIBERATELY CONSERVATIVE: it still carries the FIXED cost base - licences, insurance, technology - so it understates what a marginal customer contributes and improves with scale by construction. A true marginal contribution would need a fixed/variable split this model does not carry, and inventing one would put a judgement call under the payback below.</t>
        </is>
      </c>
    </row>
    <row r="336">
      <c r="A336" s="6" t="inlineStr">
        <is>
          <t xml:space="preserve">  Contribution per paying customer (annualised)</t>
        </is>
      </c>
      <c r="B336" s="23" t="inlineStr">
        <is>
          <t>USD</t>
        </is>
      </c>
      <c r="C336" s="59">
        <f>IF(C159=0,0,C334/C159/C7*12)</f>
        <v/>
      </c>
      <c r="D336" s="59">
        <f>IF(D159=0,0,D334/D159/D7*12)</f>
        <v/>
      </c>
      <c r="E336" s="59">
        <f>IF(E159=0,0,E334/E159/E7*12)</f>
        <v/>
      </c>
      <c r="F336" s="59">
        <f>IF(F159=0,0,F334/F159/F7*12)</f>
        <v/>
      </c>
      <c r="G336" s="59">
        <f>IF(G159=0,0,G334/G159/G7*12)</f>
        <v/>
      </c>
      <c r="H336" s="59">
        <f>IF(H159=0,0,H334/H159/H7*12)</f>
        <v/>
      </c>
      <c r="I336" s="59">
        <f>IF(I159=0,0,I334/I159/I7*12)</f>
        <v/>
      </c>
      <c r="J336" s="59">
        <f>IF(J159=0,0,J334/J159/J7*12)</f>
        <v/>
      </c>
      <c r="K336" s="59">
        <f>IF(K159=0,0,K334/K159/K7*12)</f>
        <v/>
      </c>
      <c r="L336" s="59">
        <f>IF(L159=0,0,L334/L159/L7*12)</f>
        <v/>
      </c>
      <c r="M336" s="59">
        <f>IF(M159=0,0,M334/M159/M7*12)</f>
        <v/>
      </c>
      <c r="N336" s="59">
        <f>IF(N159=0,0,N334/N159/N7*12)</f>
        <v/>
      </c>
      <c r="O336" s="59">
        <f>IF(O159=0,0,O334/O159/O7*12)</f>
        <v/>
      </c>
      <c r="P336" s="59">
        <f>IF(P159=0,0,P334/P159/P7*12)</f>
        <v/>
      </c>
      <c r="Q336" s="59">
        <f>IF(Q159=0,0,Q334/Q159/Q7*12)</f>
        <v/>
      </c>
      <c r="R336" s="59">
        <f>IF(R159=0,0,R334/R159/R7*12)</f>
        <v/>
      </c>
      <c r="S336" s="59">
        <f>IF(S159=0,0,S334/S159/S7*12)</f>
        <v/>
      </c>
      <c r="T336" s="59">
        <f>IF(T159=0,0,T334/T159/T7*12)</f>
        <v/>
      </c>
      <c r="U336" s="59">
        <f>IF(U159=0,0,U334/U159/U7*12)</f>
        <v/>
      </c>
      <c r="V336" s="59">
        <f>IF(V159=0,0,V334/V159/V7*12)</f>
        <v/>
      </c>
      <c r="W336" s="59">
        <f>IF(W159=0,0,W334/W159/W7*12)</f>
        <v/>
      </c>
      <c r="X336" s="59">
        <f>IF(X159=0,0,X334/X159/X7*12)</f>
        <v/>
      </c>
      <c r="Y336" s="59">
        <f>IF(Y159=0,0,Y334/Y159/Y7*12)</f>
        <v/>
      </c>
      <c r="Z336" s="59">
        <f>IF(Z159=0,0,Z334/Z159/Z7*12)</f>
        <v/>
      </c>
      <c r="AA336" s="59">
        <f>IF(AA159=0,0,AA334/AA159/AA7*12)</f>
        <v/>
      </c>
      <c r="AB336" s="59">
        <f>IF(AB159=0,0,AB334/AB159/AB7*12)</f>
        <v/>
      </c>
      <c r="AC336" s="59">
        <f>IF(AC159=0,0,AC334/AC159/AC7*12)</f>
        <v/>
      </c>
      <c r="AD336" s="59">
        <f>IF(AD159=0,0,AD334/AD159/AD7*12)</f>
        <v/>
      </c>
      <c r="AE336" s="59">
        <f>IF(AE159=0,0,AE334/AE159/AE7*12)</f>
        <v/>
      </c>
    </row>
    <row r="337">
      <c r="A337" s="6" t="inlineStr">
        <is>
          <t xml:space="preserve">  Payback on contribution</t>
        </is>
      </c>
      <c r="B337" s="23" t="inlineStr">
        <is>
          <t>months</t>
        </is>
      </c>
      <c r="C337" s="60">
        <f>IF(C336&lt;=0,"",C283/(C336/12))</f>
        <v/>
      </c>
      <c r="D337" s="60">
        <f>IF(D336&lt;=0,"",D283/(D336/12))</f>
        <v/>
      </c>
      <c r="E337" s="60">
        <f>IF(E336&lt;=0,"",E283/(E336/12))</f>
        <v/>
      </c>
      <c r="F337" s="60">
        <f>IF(F336&lt;=0,"",F283/(F336/12))</f>
        <v/>
      </c>
      <c r="G337" s="60">
        <f>IF(G336&lt;=0,"",G283/(G336/12))</f>
        <v/>
      </c>
      <c r="H337" s="60">
        <f>IF(H336&lt;=0,"",H283/(H336/12))</f>
        <v/>
      </c>
      <c r="I337" s="60">
        <f>IF(I336&lt;=0,"",I283/(I336/12))</f>
        <v/>
      </c>
      <c r="J337" s="60">
        <f>IF(J336&lt;=0,"",J283/(J336/12))</f>
        <v/>
      </c>
      <c r="K337" s="60">
        <f>IF(K336&lt;=0,"",K283/(K336/12))</f>
        <v/>
      </c>
      <c r="L337" s="60">
        <f>IF(L336&lt;=0,"",L283/(L336/12))</f>
        <v/>
      </c>
      <c r="M337" s="60">
        <f>IF(M336&lt;=0,"",M283/(M336/12))</f>
        <v/>
      </c>
      <c r="N337" s="60">
        <f>IF(N336&lt;=0,"",N283/(N336/12))</f>
        <v/>
      </c>
      <c r="O337" s="60">
        <f>IF(O336&lt;=0,"",O283/(O336/12))</f>
        <v/>
      </c>
      <c r="P337" s="60">
        <f>IF(P336&lt;=0,"",P283/(P336/12))</f>
        <v/>
      </c>
      <c r="Q337" s="60">
        <f>IF(Q336&lt;=0,"",Q283/(Q336/12))</f>
        <v/>
      </c>
      <c r="R337" s="60">
        <f>IF(R336&lt;=0,"",R283/(R336/12))</f>
        <v/>
      </c>
      <c r="S337" s="60">
        <f>IF(S336&lt;=0,"",S283/(S336/12))</f>
        <v/>
      </c>
      <c r="T337" s="60">
        <f>IF(T336&lt;=0,"",T283/(T336/12))</f>
        <v/>
      </c>
      <c r="U337" s="60">
        <f>IF(U336&lt;=0,"",U283/(U336/12))</f>
        <v/>
      </c>
      <c r="V337" s="60">
        <f>IF(V336&lt;=0,"",V283/(V336/12))</f>
        <v/>
      </c>
      <c r="W337" s="60">
        <f>IF(W336&lt;=0,"",W283/(W336/12))</f>
        <v/>
      </c>
      <c r="X337" s="60">
        <f>IF(X336&lt;=0,"",X283/(X336/12))</f>
        <v/>
      </c>
      <c r="Y337" s="60">
        <f>IF(Y336&lt;=0,"",Y283/(Y336/12))</f>
        <v/>
      </c>
      <c r="Z337" s="60">
        <f>IF(Z336&lt;=0,"",Z283/(Z336/12))</f>
        <v/>
      </c>
      <c r="AA337" s="60">
        <f>IF(AA336&lt;=0,"",AA283/(AA336/12))</f>
        <v/>
      </c>
      <c r="AB337" s="60">
        <f>IF(AB336&lt;=0,"",AB283/(AB336/12))</f>
        <v/>
      </c>
      <c r="AC337" s="60">
        <f>IF(AC336&lt;=0,"",AC283/(AC336/12))</f>
        <v/>
      </c>
      <c r="AD337" s="60">
        <f>IF(AD336&lt;=0,"",AD283/(AD336/12))</f>
        <v/>
      </c>
      <c r="AE337" s="60">
        <f>IF(AE336&lt;=0,"",AE283/(AE336/12))</f>
        <v/>
      </c>
    </row>
    <row r="338">
      <c r="A338" s="9" t="inlineStr">
        <is>
          <t>CAC OVER MONTHLY CONTRIBUTION - IT NEEDS NO LIFE ESTIMATE, which is why it is here and an LTV:CAC ratio is not. AGAINST THE BLENDED COST PER NEW CUSTOMER, which includes the organic and referred arrivals nobody paid for, so it is the honest denominator for the book as a whole. Set against the UAE PAID CAC alone the payback is materially longer - the marketing CAC prices only the channel it buys. Blank where contribution is negative, which is the early years.</t>
        </is>
      </c>
    </row>
    <row r="339">
      <c r="A339" s="6" t="inlineStr">
        <is>
          <t>NEW CUSTOMERS ACQUIRED PER NET CUSTOMER ADDED</t>
        </is>
      </c>
      <c r="B339" s="23" t="inlineStr">
        <is>
          <t>accounts</t>
        </is>
      </c>
      <c r="C339" s="60">
        <f>""</f>
        <v/>
      </c>
      <c r="D339" s="60">
        <f>IF(D159-C159&lt;=0,"",D162/(D159-C159))</f>
        <v/>
      </c>
      <c r="E339" s="60">
        <f>IF(E159-D159&lt;=0,"",E162/(E159-D159))</f>
        <v/>
      </c>
      <c r="F339" s="60">
        <f>IF(F159-E159&lt;=0,"",F162/(F159-E159))</f>
        <v/>
      </c>
      <c r="G339" s="60">
        <f>IF(G159-F159&lt;=0,"",G162/(G159-F159))</f>
        <v/>
      </c>
      <c r="H339" s="60">
        <f>IF(H159-G159&lt;=0,"",H162/(H159-G159))</f>
        <v/>
      </c>
      <c r="I339" s="60">
        <f>IF(I159-H159&lt;=0,"",I162/(I159-H159))</f>
        <v/>
      </c>
      <c r="J339" s="60">
        <f>IF(J159-I159&lt;=0,"",J162/(J159-I159))</f>
        <v/>
      </c>
      <c r="K339" s="60">
        <f>IF(K159-J159&lt;=0,"",K162/(K159-J159))</f>
        <v/>
      </c>
      <c r="L339" s="60">
        <f>IF(L159-K159&lt;=0,"",L162/(L159-K159))</f>
        <v/>
      </c>
      <c r="M339" s="60">
        <f>IF(M159-L159&lt;=0,"",M162/(M159-L159))</f>
        <v/>
      </c>
      <c r="N339" s="60">
        <f>IF(N159-M159&lt;=0,"",N162/(N159-M159))</f>
        <v/>
      </c>
      <c r="O339" s="60">
        <f>IF(O159-N159&lt;=0,"",O162/(O159-N159))</f>
        <v/>
      </c>
      <c r="P339" s="60">
        <f>IF(P159-O159&lt;=0,"",P162/(P159-O159))</f>
        <v/>
      </c>
      <c r="Q339" s="60">
        <f>IF(Q159-P159&lt;=0,"",Q162/(Q159-P159))</f>
        <v/>
      </c>
      <c r="R339" s="60">
        <f>IF(R159-Q159&lt;=0,"",R162/(R159-Q159))</f>
        <v/>
      </c>
      <c r="S339" s="60">
        <f>IF(S159-R159&lt;=0,"",S162/(S159-R159))</f>
        <v/>
      </c>
      <c r="T339" s="60">
        <f>IF(T159-S159&lt;=0,"",T162/(T159-S159))</f>
        <v/>
      </c>
      <c r="U339" s="60">
        <f>IF(U159-T159&lt;=0,"",U162/(U159-T159))</f>
        <v/>
      </c>
      <c r="V339" s="60">
        <f>IF(V159-U159&lt;=0,"",V162/(V159-U159))</f>
        <v/>
      </c>
      <c r="W339" s="60">
        <f>IF(W159-V159&lt;=0,"",W162/(W159-V159))</f>
        <v/>
      </c>
      <c r="X339" s="60">
        <f>IF(X159-W159&lt;=0,"",X162/(X159-W159))</f>
        <v/>
      </c>
      <c r="Y339" s="60">
        <f>IF(Y159-X159&lt;=0,"",Y162/(Y159-X159))</f>
        <v/>
      </c>
      <c r="Z339" s="60">
        <f>IF(Z159-Y159&lt;=0,"",Z162/(Z159-Y159))</f>
        <v/>
      </c>
      <c r="AA339" s="60">
        <f>IF(AA159-Z159&lt;=0,"",AA162/(AA159-Z159))</f>
        <v/>
      </c>
      <c r="AB339" s="60">
        <f>IF(AB159-AA159&lt;=0,"",AB162/(AB159-AA159))</f>
        <v/>
      </c>
      <c r="AC339" s="60">
        <f>IF(AC159-AB159&lt;=0,"",AC162/(AC159-AB159))</f>
        <v/>
      </c>
      <c r="AD339" s="60">
        <f>IF(AD159-AC159&lt;=0,"",AD162/(AD159-AC159))</f>
        <v/>
      </c>
      <c r="AE339" s="60">
        <f>IF(AE159-AD159&lt;=0,"",AE162/(AE159-AD159))</f>
        <v/>
      </c>
    </row>
    <row r="340">
      <c r="A340" s="9" t="inlineStr">
        <is>
          <t>THE TREADMILL, AND THE SINGLE MOST IMPORTANT STRUCTURAL FACT IN THIS MODEL. Growth here is BOUGHT, not compounded: by Y7 the base grows by a small fraction of what is acquired and the rest leaks to holders. Blank where the base shrinks, which is a worse outcome than a large ratio, not a better one.</t>
        </is>
      </c>
    </row>
    <row r="341">
      <c r="A341" s="6" t="inlineStr">
        <is>
          <t xml:space="preserve">  Funding required to date (P&amp;L deficit + capital tied up)</t>
        </is>
      </c>
      <c r="B341" s="23" t="inlineStr">
        <is>
          <t>USD</t>
        </is>
      </c>
      <c r="C341" s="61">
        <f>MAX(0,-C329)+C319</f>
        <v/>
      </c>
      <c r="D341" s="61">
        <f>MAX(0,-D329)+D319</f>
        <v/>
      </c>
      <c r="E341" s="61">
        <f>MAX(0,-E329)+E319</f>
        <v/>
      </c>
      <c r="F341" s="61">
        <f>MAX(0,-F329)+F319</f>
        <v/>
      </c>
      <c r="G341" s="61">
        <f>MAX(0,-G329)+G319</f>
        <v/>
      </c>
      <c r="H341" s="61">
        <f>MAX(0,-H329)+H319</f>
        <v/>
      </c>
      <c r="I341" s="61">
        <f>MAX(0,-I329)+I319</f>
        <v/>
      </c>
      <c r="J341" s="61">
        <f>MAX(0,-J329)+J319</f>
        <v/>
      </c>
      <c r="K341" s="61">
        <f>MAX(0,-K329)+K319</f>
        <v/>
      </c>
      <c r="L341" s="61">
        <f>MAX(0,-L329)+L319</f>
        <v/>
      </c>
      <c r="M341" s="61">
        <f>MAX(0,-M329)+M319</f>
        <v/>
      </c>
      <c r="N341" s="61">
        <f>MAX(0,-N329)+N319</f>
        <v/>
      </c>
      <c r="O341" s="61">
        <f>MAX(0,-O329)+O319</f>
        <v/>
      </c>
      <c r="P341" s="61">
        <f>MAX(0,-P329)+P319</f>
        <v/>
      </c>
      <c r="Q341" s="61">
        <f>MAX(0,-Q329)+Q319</f>
        <v/>
      </c>
      <c r="R341" s="61">
        <f>MAX(0,-R329)+R319</f>
        <v/>
      </c>
      <c r="S341" s="61">
        <f>MAX(0,-S329)+S319</f>
        <v/>
      </c>
      <c r="T341" s="61">
        <f>MAX(0,-T329)+T319</f>
        <v/>
      </c>
      <c r="U341" s="61">
        <f>MAX(0,-U329)+U319</f>
        <v/>
      </c>
      <c r="V341" s="61">
        <f>MAX(0,-V329)+V319</f>
        <v/>
      </c>
      <c r="W341" s="61">
        <f>MAX(0,-W329)+W319</f>
        <v/>
      </c>
      <c r="X341" s="61">
        <f>MAX(0,-X329)+X319</f>
        <v/>
      </c>
      <c r="Y341" s="61">
        <f>MAX(0,-Y329)+Y319</f>
        <v/>
      </c>
      <c r="Z341" s="61">
        <f>MAX(0,-Z329)+Z319</f>
        <v/>
      </c>
      <c r="AA341" s="61">
        <f>MAX(0,-AA329)+AA319</f>
        <v/>
      </c>
      <c r="AB341" s="61">
        <f>MAX(0,-AB329)+AB319</f>
        <v/>
      </c>
      <c r="AC341" s="61">
        <f>MAX(0,-AC329)+AC319</f>
        <v/>
      </c>
      <c r="AD341" s="61">
        <f>MAX(0,-AD329)+AD319</f>
        <v/>
      </c>
      <c r="AE341" s="61">
        <f>MAX(0,-AE329)+AE319</f>
        <v/>
      </c>
    </row>
    <row r="342">
      <c r="A342" s="3" t="inlineStr">
        <is>
          <t>PEAK FUNDING NEED</t>
        </is>
      </c>
      <c r="B342" s="23" t="inlineStr">
        <is>
          <t>USD</t>
        </is>
      </c>
      <c r="C342" s="63">
        <f>C341</f>
        <v/>
      </c>
      <c r="D342" s="63">
        <f>MAX(C342,D341)</f>
        <v/>
      </c>
      <c r="E342" s="63">
        <f>MAX(D342,E341)</f>
        <v/>
      </c>
      <c r="F342" s="63">
        <f>MAX(E342,F341)</f>
        <v/>
      </c>
      <c r="G342" s="63">
        <f>MAX(F342,G341)</f>
        <v/>
      </c>
      <c r="H342" s="63">
        <f>MAX(G342,H341)</f>
        <v/>
      </c>
      <c r="I342" s="63">
        <f>MAX(H342,I341)</f>
        <v/>
      </c>
      <c r="J342" s="63">
        <f>MAX(I342,J341)</f>
        <v/>
      </c>
      <c r="K342" s="63">
        <f>MAX(J342,K341)</f>
        <v/>
      </c>
      <c r="L342" s="63">
        <f>MAX(K342,L341)</f>
        <v/>
      </c>
      <c r="M342" s="63">
        <f>MAX(L342,M341)</f>
        <v/>
      </c>
      <c r="N342" s="63">
        <f>MAX(M342,N341)</f>
        <v/>
      </c>
      <c r="O342" s="63">
        <f>MAX(N342,O341)</f>
        <v/>
      </c>
      <c r="P342" s="63">
        <f>MAX(O342,P341)</f>
        <v/>
      </c>
      <c r="Q342" s="63">
        <f>MAX(P342,Q341)</f>
        <v/>
      </c>
      <c r="R342" s="63">
        <f>MAX(Q342,R341)</f>
        <v/>
      </c>
      <c r="S342" s="63">
        <f>MAX(R342,S341)</f>
        <v/>
      </c>
      <c r="T342" s="63">
        <f>MAX(S342,T341)</f>
        <v/>
      </c>
      <c r="U342" s="63">
        <f>MAX(T342,U341)</f>
        <v/>
      </c>
      <c r="V342" s="63">
        <f>MAX(U342,V341)</f>
        <v/>
      </c>
      <c r="W342" s="63">
        <f>MAX(V342,W341)</f>
        <v/>
      </c>
      <c r="X342" s="63">
        <f>MAX(W342,X341)</f>
        <v/>
      </c>
      <c r="Y342" s="63">
        <f>MAX(X342,Y341)</f>
        <v/>
      </c>
      <c r="Z342" s="63">
        <f>MAX(Y342,Z341)</f>
        <v/>
      </c>
      <c r="AA342" s="63">
        <f>MAX(Z342,AA341)</f>
        <v/>
      </c>
      <c r="AB342" s="63">
        <f>MAX(AA342,AB341)</f>
        <v/>
      </c>
      <c r="AC342" s="63">
        <f>MAX(AB342,AC341)</f>
        <v/>
      </c>
      <c r="AD342" s="63">
        <f>MAX(AC342,AD341)</f>
        <v/>
      </c>
      <c r="AE342" s="63">
        <f>MAX(AD342,AE341)</f>
        <v/>
      </c>
    </row>
    <row r="343">
      <c r="A343" s="9" t="inlineStr">
        <is>
          <t>A RUNNING PEAK, so it never falls once reached - the business must be funded for the worst point it passes through, not for where it ends. IT INHERITS THE NET PROFIT CAVEAT: headcount, legal, security, corporate and tax are still absent from the cost base, so the deficit is an UNDERSTATEMENT and the real funding need is higher. The capital component is locked, not spent, and comes back.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2"/>
  <sheetViews>
    <sheetView showGridLines="0" workbookViewId="0">
      <selection activeCell="A1" sqref="A1"/>
    </sheetView>
  </sheetViews>
  <sheetFormatPr baseColWidth="8" defaultRowHeight="15"/>
  <cols>
    <col width="46" customWidth="1" min="1" max="1"/>
    <col width="4" customWidth="1" min="2" max="2"/>
    <col width="16" customWidth="1" min="4" max="4"/>
    <col width="16" customWidth="1" min="5" max="5"/>
    <col width="16" customWidth="1" min="6" max="6"/>
    <col width="16" customWidth="1" min="7" max="7"/>
    <col width="16" customWidth="1" min="8" max="8"/>
    <col width="16" customWidth="1" min="9" max="9"/>
    <col width="16" customWidth="1" min="10" max="10"/>
  </cols>
  <sheetData>
    <row r="1">
      <c r="A1" s="10">
        <f>Cover!$B$2</f>
        <v/>
      </c>
    </row>
    <row r="2">
      <c r="A2" s="11" t="inlineStr">
        <is>
          <t>Summary</t>
        </is>
      </c>
    </row>
    <row r="4">
      <c r="D4" s="71" t="inlineStr">
        <is>
          <t>Y1</t>
        </is>
      </c>
      <c r="E4" s="71" t="inlineStr">
        <is>
          <t>Y2</t>
        </is>
      </c>
      <c r="F4" s="71" t="inlineStr">
        <is>
          <t>Y3</t>
        </is>
      </c>
      <c r="G4" s="71" t="inlineStr">
        <is>
          <t>Y4</t>
        </is>
      </c>
      <c r="H4" s="71" t="inlineStr">
        <is>
          <t>Y5</t>
        </is>
      </c>
      <c r="I4" s="71" t="inlineStr">
        <is>
          <t>Y6</t>
        </is>
      </c>
      <c r="J4" s="71" t="inlineStr">
        <is>
          <t>Y7</t>
        </is>
      </c>
    </row>
    <row r="6" ht="18" customHeight="1">
      <c r="A6" s="12" t="inlineStr">
        <is>
          <t>REVENUE BY REGION</t>
        </is>
      </c>
      <c r="B6" s="13" t="n"/>
      <c r="C6" s="13" t="n"/>
      <c r="D6" s="13" t="n"/>
      <c r="E6" s="13" t="n"/>
      <c r="F6" s="13" t="n"/>
      <c r="G6" s="13" t="n"/>
      <c r="H6" s="13" t="n"/>
      <c r="I6" s="13" t="n"/>
      <c r="J6" s="13" t="n"/>
      <c r="K6" s="13" t="n"/>
    </row>
    <row r="7">
      <c r="A7" s="6" t="inlineStr">
        <is>
          <t xml:space="preserve">  UAE</t>
        </is>
      </c>
      <c r="D7" s="37">
        <f>SUM(Model!C65:N65)</f>
        <v/>
      </c>
      <c r="E7" s="37">
        <f>SUM(Model!O65:Z65)</f>
        <v/>
      </c>
      <c r="F7" s="37">
        <f>Model!AA65</f>
        <v/>
      </c>
      <c r="G7" s="37">
        <f>Model!AB65</f>
        <v/>
      </c>
      <c r="H7" s="37">
        <f>Model!AC65</f>
        <v/>
      </c>
      <c r="I7" s="37">
        <f>Model!AD65</f>
        <v/>
      </c>
      <c r="J7" s="37">
        <f>Model!AE65</f>
        <v/>
      </c>
    </row>
    <row r="8">
      <c r="A8" s="6" t="inlineStr">
        <is>
          <t xml:space="preserve">  Oman and Bahrain</t>
        </is>
      </c>
      <c r="D8" s="37">
        <f>SUM(Model!C108:N108)</f>
        <v/>
      </c>
      <c r="E8" s="37">
        <f>SUM(Model!O108:Z108)</f>
        <v/>
      </c>
      <c r="F8" s="37">
        <f>Model!AA108</f>
        <v/>
      </c>
      <c r="G8" s="37">
        <f>Model!AB108</f>
        <v/>
      </c>
      <c r="H8" s="37">
        <f>Model!AC108</f>
        <v/>
      </c>
      <c r="I8" s="37">
        <f>Model!AD108</f>
        <v/>
      </c>
      <c r="J8" s="37">
        <f>Model!AE108</f>
        <v/>
      </c>
    </row>
    <row r="9">
      <c r="A9" s="6" t="inlineStr">
        <is>
          <t xml:space="preserve">  India</t>
        </is>
      </c>
      <c r="D9" s="37">
        <f>SUM(Model!C151:N151)</f>
        <v/>
      </c>
      <c r="E9" s="37">
        <f>SUM(Model!O151:Z151)</f>
        <v/>
      </c>
      <c r="F9" s="37">
        <f>Model!AA151</f>
        <v/>
      </c>
      <c r="G9" s="37">
        <f>Model!AB151</f>
        <v/>
      </c>
      <c r="H9" s="37">
        <f>Model!AC151</f>
        <v/>
      </c>
      <c r="I9" s="37">
        <f>Model!AD151</f>
        <v/>
      </c>
      <c r="J9" s="37">
        <f>Model!AE151</f>
        <v/>
      </c>
    </row>
    <row r="10">
      <c r="A10" s="6" t="inlineStr">
        <is>
          <t xml:space="preserve">  Non-regional: B2B platform fee</t>
        </is>
      </c>
      <c r="D10" s="37">
        <f>SUM(Model!C155:N155)</f>
        <v/>
      </c>
      <c r="E10" s="37">
        <f>SUM(Model!O155:Z155)</f>
        <v/>
      </c>
      <c r="F10" s="37">
        <f>Model!AA155</f>
        <v/>
      </c>
      <c r="G10" s="37">
        <f>Model!AB155</f>
        <v/>
      </c>
      <c r="H10" s="37">
        <f>Model!AC155</f>
        <v/>
      </c>
      <c r="I10" s="37">
        <f>Model!AD155</f>
        <v/>
      </c>
      <c r="J10" s="37">
        <f>Model!AE155</f>
        <v/>
      </c>
    </row>
    <row r="11">
      <c r="A11" s="3" t="inlineStr">
        <is>
          <t>TOTAL REVENUE</t>
        </is>
      </c>
      <c r="D11" s="72">
        <f>SUM(Model!C197:N197)</f>
        <v/>
      </c>
      <c r="E11" s="72">
        <f>SUM(Model!O197:Z197)</f>
        <v/>
      </c>
      <c r="F11" s="72">
        <f>Model!AA197</f>
        <v/>
      </c>
      <c r="G11" s="72">
        <f>Model!AB197</f>
        <v/>
      </c>
      <c r="H11" s="72">
        <f>Model!AC197</f>
        <v/>
      </c>
      <c r="I11" s="72">
        <f>Model!AD197</f>
        <v/>
      </c>
      <c r="J11" s="72">
        <f>Model!AE197</f>
        <v/>
      </c>
    </row>
    <row r="13" ht="18" customHeight="1">
      <c r="A13" s="12" t="inlineStr">
        <is>
          <t>REVENUE BY STREAM</t>
        </is>
      </c>
      <c r="B13" s="13" t="n"/>
      <c r="C13" s="13" t="n"/>
      <c r="D13" s="13" t="n"/>
      <c r="E13" s="13" t="n"/>
      <c r="F13" s="13" t="n"/>
      <c r="G13" s="13" t="n"/>
      <c r="H13" s="13" t="n"/>
      <c r="I13" s="13" t="n"/>
      <c r="J13" s="13" t="n"/>
      <c r="K13" s="13" t="n"/>
    </row>
    <row r="14">
      <c r="A14" s="6" t="inlineStr">
        <is>
          <t>Stream 1a: Entry fee - SIP</t>
        </is>
      </c>
      <c r="D14" s="37">
        <f>SUM(Model!C189:N189)</f>
        <v/>
      </c>
      <c r="E14" s="37">
        <f>SUM(Model!O189:Z189)</f>
        <v/>
      </c>
      <c r="F14" s="37">
        <f>Model!AA189</f>
        <v/>
      </c>
      <c r="G14" s="37">
        <f>Model!AB189</f>
        <v/>
      </c>
      <c r="H14" s="37">
        <f>Model!AC189</f>
        <v/>
      </c>
      <c r="I14" s="37">
        <f>Model!AD189</f>
        <v/>
      </c>
      <c r="J14" s="37">
        <f>Model!AE189</f>
        <v/>
      </c>
    </row>
    <row r="15">
      <c r="A15" s="6" t="inlineStr">
        <is>
          <t>Stream 1b: Entry fee - SPOT</t>
        </is>
      </c>
      <c r="D15" s="37">
        <f>SUM(Model!C190:N190)</f>
        <v/>
      </c>
      <c r="E15" s="37">
        <f>SUM(Model!O190:Z190)</f>
        <v/>
      </c>
      <c r="F15" s="37">
        <f>Model!AA190</f>
        <v/>
      </c>
      <c r="G15" s="37">
        <f>Model!AB190</f>
        <v/>
      </c>
      <c r="H15" s="37">
        <f>Model!AC190</f>
        <v/>
      </c>
      <c r="I15" s="37">
        <f>Model!AD190</f>
        <v/>
      </c>
      <c r="J15" s="37">
        <f>Model!AE190</f>
        <v/>
      </c>
    </row>
    <row r="16">
      <c r="A16" s="6" t="inlineStr">
        <is>
          <t>Stream 2: Card interchange</t>
        </is>
      </c>
      <c r="D16" s="37">
        <f>SUM(Model!C191:N191)</f>
        <v/>
      </c>
      <c r="E16" s="37">
        <f>SUM(Model!O191:Z191)</f>
        <v/>
      </c>
      <c r="F16" s="37">
        <f>Model!AA191</f>
        <v/>
      </c>
      <c r="G16" s="37">
        <f>Model!AB191</f>
        <v/>
      </c>
      <c r="H16" s="37">
        <f>Model!AC191</f>
        <v/>
      </c>
      <c r="I16" s="37">
        <f>Model!AD191</f>
        <v/>
      </c>
      <c r="J16" s="37">
        <f>Model!AE191</f>
        <v/>
      </c>
    </row>
    <row r="17">
      <c r="A17" s="6" t="inlineStr">
        <is>
          <t>Stream 3: Family plan and Digital Will</t>
        </is>
      </c>
      <c r="D17" s="37">
        <f>SUM(Model!C192:N192)</f>
        <v/>
      </c>
      <c r="E17" s="37">
        <f>SUM(Model!O192:Z192)</f>
        <v/>
      </c>
      <c r="F17" s="37">
        <f>Model!AA192</f>
        <v/>
      </c>
      <c r="G17" s="37">
        <f>Model!AB192</f>
        <v/>
      </c>
      <c r="H17" s="37">
        <f>Model!AC192</f>
        <v/>
      </c>
      <c r="I17" s="37">
        <f>Model!AD192</f>
        <v/>
      </c>
      <c r="J17" s="37">
        <f>Model!AE192</f>
        <v/>
      </c>
    </row>
    <row r="18">
      <c r="A18" s="6" t="inlineStr">
        <is>
          <t>Stream 4: Cardholder fees</t>
        </is>
      </c>
      <c r="D18" s="37">
        <f>SUM(Model!C193:N193)</f>
        <v/>
      </c>
      <c r="E18" s="37">
        <f>SUM(Model!O193:Z193)</f>
        <v/>
      </c>
      <c r="F18" s="37">
        <f>Model!AA193</f>
        <v/>
      </c>
      <c r="G18" s="37">
        <f>Model!AB193</f>
        <v/>
      </c>
      <c r="H18" s="37">
        <f>Model!AC193</f>
        <v/>
      </c>
      <c r="I18" s="37">
        <f>Model!AD193</f>
        <v/>
      </c>
      <c r="J18" s="37">
        <f>Model!AE193</f>
        <v/>
      </c>
    </row>
    <row r="19">
      <c r="A19" s="6" t="inlineStr">
        <is>
          <t>Stream 5: Lending revenue share</t>
        </is>
      </c>
      <c r="D19" s="37">
        <f>SUM(Model!C194:N194)</f>
        <v/>
      </c>
      <c r="E19" s="37">
        <f>SUM(Model!O194:Z194)</f>
        <v/>
      </c>
      <c r="F19" s="37">
        <f>Model!AA194</f>
        <v/>
      </c>
      <c r="G19" s="37">
        <f>Model!AB194</f>
        <v/>
      </c>
      <c r="H19" s="37">
        <f>Model!AC194</f>
        <v/>
      </c>
      <c r="I19" s="37">
        <f>Model!AD194</f>
        <v/>
      </c>
      <c r="J19" s="37">
        <f>Model!AE194</f>
        <v/>
      </c>
    </row>
    <row r="20">
      <c r="A20" s="6" t="inlineStr">
        <is>
          <t>Stream 6: B2B platform fee</t>
        </is>
      </c>
      <c r="D20" s="37">
        <f>SUM(Model!C155:N155)</f>
        <v/>
      </c>
      <c r="E20" s="37">
        <f>SUM(Model!O155:Z155)</f>
        <v/>
      </c>
      <c r="F20" s="37">
        <f>Model!AA155</f>
        <v/>
      </c>
      <c r="G20" s="37">
        <f>Model!AB155</f>
        <v/>
      </c>
      <c r="H20" s="37">
        <f>Model!AC155</f>
        <v/>
      </c>
      <c r="I20" s="37">
        <f>Model!AD155</f>
        <v/>
      </c>
      <c r="J20" s="37">
        <f>Model!AE155</f>
        <v/>
      </c>
    </row>
    <row r="21">
      <c r="A21" s="3" t="inlineStr">
        <is>
          <t>Total by stream (reconciles to the regional total above)</t>
        </is>
      </c>
      <c r="D21" s="72">
        <f>SUM(Model!C197:N197)</f>
        <v/>
      </c>
      <c r="E21" s="72">
        <f>SUM(Model!O197:Z197)</f>
        <v/>
      </c>
      <c r="F21" s="72">
        <f>Model!AA197</f>
        <v/>
      </c>
      <c r="G21" s="72">
        <f>Model!AB197</f>
        <v/>
      </c>
      <c r="H21" s="72">
        <f>Model!AC197</f>
        <v/>
      </c>
      <c r="I21" s="72">
        <f>Model!AD197</f>
        <v/>
      </c>
      <c r="J21" s="72">
        <f>Model!AE197</f>
        <v/>
      </c>
    </row>
    <row r="23" ht="18" customHeight="1">
      <c r="A23" s="12" t="inlineStr">
        <is>
          <t>REVENUE MIX (% of total)</t>
        </is>
      </c>
      <c r="B23" s="13" t="n"/>
      <c r="C23" s="13" t="n"/>
      <c r="D23" s="13" t="n"/>
      <c r="E23" s="13" t="n"/>
      <c r="F23" s="13" t="n"/>
      <c r="G23" s="13" t="n"/>
      <c r="H23" s="13" t="n"/>
      <c r="I23" s="13" t="n"/>
      <c r="J23" s="13" t="n"/>
      <c r="K23" s="13" t="n"/>
    </row>
    <row r="24">
      <c r="A24" t="inlineStr">
        <is>
          <t>Stream 1a: SIP entry fee - share</t>
        </is>
      </c>
      <c r="D24" s="73">
        <f>IF(D$11=0,0,D14/D$11)</f>
        <v/>
      </c>
      <c r="E24" s="73">
        <f>IF(E$11=0,0,E14/E$11)</f>
        <v/>
      </c>
      <c r="F24" s="73">
        <f>IF(F$11=0,0,F14/F$11)</f>
        <v/>
      </c>
      <c r="G24" s="73">
        <f>IF(G$11=0,0,G14/G$11)</f>
        <v/>
      </c>
      <c r="H24" s="73">
        <f>IF(H$11=0,0,H14/H$11)</f>
        <v/>
      </c>
      <c r="I24" s="73">
        <f>IF(I$11=0,0,I14/I$11)</f>
        <v/>
      </c>
      <c r="J24" s="73">
        <f>IF(J$11=0,0,J14/J$11)</f>
        <v/>
      </c>
    </row>
    <row r="25">
      <c r="A25" t="inlineStr">
        <is>
          <t>Stream 1b: Spot entry fee - share</t>
        </is>
      </c>
      <c r="D25" s="73">
        <f>IF(D$11=0,0,D15/D$11)</f>
        <v/>
      </c>
      <c r="E25" s="73">
        <f>IF(E$11=0,0,E15/E$11)</f>
        <v/>
      </c>
      <c r="F25" s="73">
        <f>IF(F$11=0,0,F15/F$11)</f>
        <v/>
      </c>
      <c r="G25" s="73">
        <f>IF(G$11=0,0,G15/G$11)</f>
        <v/>
      </c>
      <c r="H25" s="73">
        <f>IF(H$11=0,0,H15/H$11)</f>
        <v/>
      </c>
      <c r="I25" s="73">
        <f>IF(I$11=0,0,I15/I$11)</f>
        <v/>
      </c>
      <c r="J25" s="73">
        <f>IF(J$11=0,0,J15/J$11)</f>
        <v/>
      </c>
    </row>
    <row r="26">
      <c r="A26" t="inlineStr">
        <is>
          <t>Stream 2: Card interchange - share</t>
        </is>
      </c>
      <c r="D26" s="73">
        <f>IF(D$11=0,0,D16/D$11)</f>
        <v/>
      </c>
      <c r="E26" s="73">
        <f>IF(E$11=0,0,E16/E$11)</f>
        <v/>
      </c>
      <c r="F26" s="73">
        <f>IF(F$11=0,0,F16/F$11)</f>
        <v/>
      </c>
      <c r="G26" s="73">
        <f>IF(G$11=0,0,G16/G$11)</f>
        <v/>
      </c>
      <c r="H26" s="73">
        <f>IF(H$11=0,0,H16/H$11)</f>
        <v/>
      </c>
      <c r="I26" s="73">
        <f>IF(I$11=0,0,I16/I$11)</f>
        <v/>
      </c>
      <c r="J26" s="73">
        <f>IF(J$11=0,0,J16/J$11)</f>
        <v/>
      </c>
    </row>
    <row r="27">
      <c r="A27" t="inlineStr">
        <is>
          <t>Stream 3: Family and Will - share</t>
        </is>
      </c>
      <c r="D27" s="73">
        <f>IF(D$11=0,0,D17/D$11)</f>
        <v/>
      </c>
      <c r="E27" s="73">
        <f>IF(E$11=0,0,E17/E$11)</f>
        <v/>
      </c>
      <c r="F27" s="73">
        <f>IF(F$11=0,0,F17/F$11)</f>
        <v/>
      </c>
      <c r="G27" s="73">
        <f>IF(G$11=0,0,G17/G$11)</f>
        <v/>
      </c>
      <c r="H27" s="73">
        <f>IF(H$11=0,0,H17/H$11)</f>
        <v/>
      </c>
      <c r="I27" s="73">
        <f>IF(I$11=0,0,I17/I$11)</f>
        <v/>
      </c>
      <c r="J27" s="73">
        <f>IF(J$11=0,0,J17/J$11)</f>
        <v/>
      </c>
    </row>
    <row r="28">
      <c r="A28" t="inlineStr">
        <is>
          <t>Stream 4: Cardholder fees - share</t>
        </is>
      </c>
      <c r="D28" s="73">
        <f>IF(D$11=0,0,D18/D$11)</f>
        <v/>
      </c>
      <c r="E28" s="73">
        <f>IF(E$11=0,0,E18/E$11)</f>
        <v/>
      </c>
      <c r="F28" s="73">
        <f>IF(F$11=0,0,F18/F$11)</f>
        <v/>
      </c>
      <c r="G28" s="73">
        <f>IF(G$11=0,0,G18/G$11)</f>
        <v/>
      </c>
      <c r="H28" s="73">
        <f>IF(H$11=0,0,H18/H$11)</f>
        <v/>
      </c>
      <c r="I28" s="73">
        <f>IF(I$11=0,0,I18/I$11)</f>
        <v/>
      </c>
      <c r="J28" s="73">
        <f>IF(J$11=0,0,J18/J$11)</f>
        <v/>
      </c>
    </row>
    <row r="29">
      <c r="A29" t="inlineStr">
        <is>
          <t>Stream 5: Lending - share</t>
        </is>
      </c>
      <c r="D29" s="73">
        <f>IF(D$11=0,0,D19/D$11)</f>
        <v/>
      </c>
      <c r="E29" s="73">
        <f>IF(E$11=0,0,E19/E$11)</f>
        <v/>
      </c>
      <c r="F29" s="73">
        <f>IF(F$11=0,0,F19/F$11)</f>
        <v/>
      </c>
      <c r="G29" s="73">
        <f>IF(G$11=0,0,G19/G$11)</f>
        <v/>
      </c>
      <c r="H29" s="73">
        <f>IF(H$11=0,0,H19/H$11)</f>
        <v/>
      </c>
      <c r="I29" s="73">
        <f>IF(I$11=0,0,I19/I$11)</f>
        <v/>
      </c>
      <c r="J29" s="73">
        <f>IF(J$11=0,0,J19/J$11)</f>
        <v/>
      </c>
    </row>
    <row r="30">
      <c r="A30" t="inlineStr">
        <is>
          <t>Stream 6: B2B platform - share</t>
        </is>
      </c>
      <c r="D30" s="73">
        <f>IF(D$11=0,0,D20/D$11)</f>
        <v/>
      </c>
      <c r="E30" s="73">
        <f>IF(E$11=0,0,E20/E$11)</f>
        <v/>
      </c>
      <c r="F30" s="73">
        <f>IF(F$11=0,0,F20/F$11)</f>
        <v/>
      </c>
      <c r="G30" s="73">
        <f>IF(G$11=0,0,G20/G$11)</f>
        <v/>
      </c>
      <c r="H30" s="73">
        <f>IF(H$11=0,0,H20/H$11)</f>
        <v/>
      </c>
      <c r="I30" s="73">
        <f>IF(I$11=0,0,I20/I$11)</f>
        <v/>
      </c>
      <c r="J30" s="73">
        <f>IF(J$11=0,0,J20/J$11)</f>
        <v/>
      </c>
    </row>
    <row r="31">
      <c r="A31" s="3" t="inlineStr">
        <is>
          <t>CHECK: mix sums to 100%</t>
        </is>
      </c>
      <c r="D31" s="42">
        <f>SUM(D24:D30)</f>
        <v/>
      </c>
      <c r="E31" s="42">
        <f>SUM(E24:E30)</f>
        <v/>
      </c>
      <c r="F31" s="42">
        <f>SUM(F24:F30)</f>
        <v/>
      </c>
      <c r="G31" s="42">
        <f>SUM(G24:G30)</f>
        <v/>
      </c>
      <c r="H31" s="42">
        <f>SUM(H24:H30)</f>
        <v/>
      </c>
      <c r="I31" s="42">
        <f>SUM(I24:I30)</f>
        <v/>
      </c>
      <c r="J31" s="42">
        <f>SUM(J24:J30)</f>
        <v/>
      </c>
    </row>
    <row r="33" ht="18" customHeight="1">
      <c r="A33" s="12" t="inlineStr">
        <is>
          <t>COST BASE</t>
        </is>
      </c>
      <c r="B33" s="13" t="n"/>
      <c r="C33" s="13" t="n"/>
      <c r="D33" s="13" t="n"/>
      <c r="E33" s="13" t="n"/>
      <c r="F33" s="13" t="n"/>
      <c r="G33" s="13" t="n"/>
      <c r="H33" s="13" t="n"/>
      <c r="I33" s="13" t="n"/>
      <c r="J33" s="13" t="n"/>
      <c r="K33" s="13" t="n"/>
    </row>
    <row r="34">
      <c r="A34" s="6" t="inlineStr">
        <is>
          <t xml:space="preserve">  Net new grams fabricated</t>
        </is>
      </c>
      <c r="D34" s="34">
        <f>SUM(Model!C224:N224)</f>
        <v/>
      </c>
      <c r="E34" s="34">
        <f>SUM(Model!O224:Z224)</f>
        <v/>
      </c>
      <c r="F34" s="34">
        <f>Model!AA224</f>
        <v/>
      </c>
      <c r="G34" s="34">
        <f>Model!AB224</f>
        <v/>
      </c>
      <c r="H34" s="34">
        <f>Model!AC224</f>
        <v/>
      </c>
      <c r="I34" s="34">
        <f>Model!AD224</f>
        <v/>
      </c>
      <c r="J34" s="34">
        <f>Model!AE224</f>
        <v/>
      </c>
    </row>
    <row r="35">
      <c r="A35" s="6" t="inlineStr">
        <is>
          <t xml:space="preserve">  Fabrication premium paid to the dealer</t>
        </is>
      </c>
      <c r="D35" s="37">
        <f>SUM(Model!C225:N225)</f>
        <v/>
      </c>
      <c r="E35" s="37">
        <f>SUM(Model!O225:Z225)</f>
        <v/>
      </c>
      <c r="F35" s="37">
        <f>Model!AA225</f>
        <v/>
      </c>
      <c r="G35" s="37">
        <f>Model!AB225</f>
        <v/>
      </c>
      <c r="H35" s="37">
        <f>Model!AC225</f>
        <v/>
      </c>
      <c r="I35" s="37">
        <f>Model!AD225</f>
        <v/>
      </c>
      <c r="J35" s="37">
        <f>Model!AE225</f>
        <v/>
      </c>
    </row>
    <row r="36">
      <c r="A36" s="3" t="inlineStr">
        <is>
          <t>TOTAL COST OF GOODS SOLD</t>
        </is>
      </c>
      <c r="D36" s="72">
        <f>SUM(Model!C228:N228)</f>
        <v/>
      </c>
      <c r="E36" s="72">
        <f>SUM(Model!O228:Z228)</f>
        <v/>
      </c>
      <c r="F36" s="72">
        <f>Model!AA228</f>
        <v/>
      </c>
      <c r="G36" s="72">
        <f>Model!AB228</f>
        <v/>
      </c>
      <c r="H36" s="72">
        <f>Model!AC228</f>
        <v/>
      </c>
      <c r="I36" s="72">
        <f>Model!AD228</f>
        <v/>
      </c>
      <c r="J36" s="72">
        <f>Model!AE228</f>
        <v/>
      </c>
    </row>
    <row r="37">
      <c r="A37" s="6" t="inlineStr">
        <is>
          <t xml:space="preserve">  Vault storage</t>
        </is>
      </c>
      <c r="D37" s="37">
        <f>SUM(Model!C233:N233)</f>
        <v/>
      </c>
      <c r="E37" s="37">
        <f>SUM(Model!O233:Z233)</f>
        <v/>
      </c>
      <c r="F37" s="37">
        <f>Model!AA233</f>
        <v/>
      </c>
      <c r="G37" s="37">
        <f>Model!AB233</f>
        <v/>
      </c>
      <c r="H37" s="37">
        <f>Model!AC233</f>
        <v/>
      </c>
      <c r="I37" s="37">
        <f>Model!AD233</f>
        <v/>
      </c>
      <c r="J37" s="37">
        <f>Model!AE233</f>
        <v/>
      </c>
    </row>
    <row r="38">
      <c r="A38" s="6" t="inlineStr">
        <is>
          <t xml:space="preserve">    ...effective rate on metal held</t>
        </is>
      </c>
      <c r="D38" s="38">
        <f>Model!N235</f>
        <v/>
      </c>
      <c r="E38" s="38">
        <f>Model!Z235</f>
        <v/>
      </c>
      <c r="F38" s="38">
        <f>Model!AA235</f>
        <v/>
      </c>
      <c r="G38" s="38">
        <f>Model!AB235</f>
        <v/>
      </c>
      <c r="H38" s="38">
        <f>Model!AC235</f>
        <v/>
      </c>
      <c r="I38" s="38">
        <f>Model!AD235</f>
        <v/>
      </c>
      <c r="J38" s="38">
        <f>Model!AE235</f>
        <v/>
      </c>
    </row>
    <row r="39">
      <c r="A39" s="6" t="inlineStr">
        <is>
          <t xml:space="preserve">  VARA annual supervision</t>
        </is>
      </c>
      <c r="D39" s="37">
        <f>SUM(Model!C236:N236)</f>
        <v/>
      </c>
      <c r="E39" s="37">
        <f>SUM(Model!O236:Z236)</f>
        <v/>
      </c>
      <c r="F39" s="37">
        <f>Model!AA236</f>
        <v/>
      </c>
      <c r="G39" s="37">
        <f>Model!AB236</f>
        <v/>
      </c>
      <c r="H39" s="37">
        <f>Model!AC236</f>
        <v/>
      </c>
      <c r="I39" s="37">
        <f>Model!AD236</f>
        <v/>
      </c>
      <c r="J39" s="37">
        <f>Model!AE236</f>
        <v/>
      </c>
    </row>
    <row r="40">
      <c r="A40" s="6" t="inlineStr">
        <is>
          <t xml:space="preserve">  DMCC company licence</t>
        </is>
      </c>
      <c r="D40" s="37">
        <f>SUM(Model!C238:N238)</f>
        <v/>
      </c>
      <c r="E40" s="37">
        <f>SUM(Model!O238:Z238)</f>
        <v/>
      </c>
      <c r="F40" s="37">
        <f>Model!AA238</f>
        <v/>
      </c>
      <c r="G40" s="37">
        <f>Model!AB238</f>
        <v/>
      </c>
      <c r="H40" s="37">
        <f>Model!AC238</f>
        <v/>
      </c>
      <c r="I40" s="37">
        <f>Model!AD238</f>
        <v/>
      </c>
      <c r="J40" s="37">
        <f>Model!AE238</f>
        <v/>
      </c>
    </row>
    <row r="41">
      <c r="A41" s="6" t="inlineStr">
        <is>
          <t xml:space="preserve">  KYC and AML verification</t>
        </is>
      </c>
      <c r="D41" s="37">
        <f>SUM(Model!C239:N239)</f>
        <v/>
      </c>
      <c r="E41" s="37">
        <f>SUM(Model!O239:Z239)</f>
        <v/>
      </c>
      <c r="F41" s="37">
        <f>Model!AA239</f>
        <v/>
      </c>
      <c r="G41" s="37">
        <f>Model!AB239</f>
        <v/>
      </c>
      <c r="H41" s="37">
        <f>Model!AC239</f>
        <v/>
      </c>
      <c r="I41" s="37">
        <f>Model!AD239</f>
        <v/>
      </c>
      <c r="J41" s="37">
        <f>Model!AE239</f>
        <v/>
      </c>
    </row>
    <row r="42">
      <c r="A42" s="6" t="inlineStr">
        <is>
          <t xml:space="preserve">  Insurance (PI, D&amp;O, crime)</t>
        </is>
      </c>
      <c r="D42" s="37">
        <f>SUM(Model!C243:N243)</f>
        <v/>
      </c>
      <c r="E42" s="37">
        <f>SUM(Model!O243:Z243)</f>
        <v/>
      </c>
      <c r="F42" s="37">
        <f>Model!AA243</f>
        <v/>
      </c>
      <c r="G42" s="37">
        <f>Model!AB243</f>
        <v/>
      </c>
      <c r="H42" s="37">
        <f>Model!AC243</f>
        <v/>
      </c>
      <c r="I42" s="37">
        <f>Model!AD243</f>
        <v/>
      </c>
      <c r="J42" s="37">
        <f>Model!AE243</f>
        <v/>
      </c>
    </row>
    <row r="43">
      <c r="A43" s="6" t="inlineStr">
        <is>
          <t xml:space="preserve">  Audit and reserve attestation</t>
        </is>
      </c>
      <c r="D43" s="37">
        <f>SUM(Model!C245:N245)</f>
        <v/>
      </c>
      <c r="E43" s="37">
        <f>SUM(Model!O245:Z245)</f>
        <v/>
      </c>
      <c r="F43" s="37">
        <f>Model!AA245</f>
        <v/>
      </c>
      <c r="G43" s="37">
        <f>Model!AB245</f>
        <v/>
      </c>
      <c r="H43" s="37">
        <f>Model!AC245</f>
        <v/>
      </c>
      <c r="I43" s="37">
        <f>Model!AD245</f>
        <v/>
      </c>
      <c r="J43" s="37">
        <f>Model!AE245</f>
        <v/>
      </c>
    </row>
    <row r="44">
      <c r="A44" s="6" t="inlineStr">
        <is>
          <t xml:space="preserve">  Technology audit and penetration testing</t>
        </is>
      </c>
      <c r="D44" s="37">
        <f>SUM(Model!C247:N247)</f>
        <v/>
      </c>
      <c r="E44" s="37">
        <f>SUM(Model!O247:Z247)</f>
        <v/>
      </c>
      <c r="F44" s="37">
        <f>Model!AA247</f>
        <v/>
      </c>
      <c r="G44" s="37">
        <f>Model!AB247</f>
        <v/>
      </c>
      <c r="H44" s="37">
        <f>Model!AC247</f>
        <v/>
      </c>
      <c r="I44" s="37">
        <f>Model!AD247</f>
        <v/>
      </c>
      <c r="J44" s="37">
        <f>Model!AE247</f>
        <v/>
      </c>
    </row>
    <row r="45">
      <c r="A45" s="6" t="inlineStr">
        <is>
          <t xml:space="preserve">  Redemption handling</t>
        </is>
      </c>
      <c r="D45" s="37">
        <f>SUM(Model!C249:N249)</f>
        <v/>
      </c>
      <c r="E45" s="37">
        <f>SUM(Model!O249:Z249)</f>
        <v/>
      </c>
      <c r="F45" s="37">
        <f>Model!AA249</f>
        <v/>
      </c>
      <c r="G45" s="37">
        <f>Model!AB249</f>
        <v/>
      </c>
      <c r="H45" s="37">
        <f>Model!AC249</f>
        <v/>
      </c>
      <c r="I45" s="37">
        <f>Model!AD249</f>
        <v/>
      </c>
      <c r="J45" s="37">
        <f>Model!AE249</f>
        <v/>
      </c>
    </row>
    <row r="46">
      <c r="A46" s="6" t="inlineStr">
        <is>
          <t xml:space="preserve">  Technology build (Y1-Y2)</t>
        </is>
      </c>
      <c r="D46" s="37">
        <f>SUM(Model!C251:N251)</f>
        <v/>
      </c>
      <c r="E46" s="37">
        <f>SUM(Model!O251:Z251)</f>
        <v/>
      </c>
      <c r="F46" s="37">
        <f>Model!AA251</f>
        <v/>
      </c>
      <c r="G46" s="37">
        <f>Model!AB251</f>
        <v/>
      </c>
      <c r="H46" s="37">
        <f>Model!AC251</f>
        <v/>
      </c>
      <c r="I46" s="37">
        <f>Model!AD251</f>
        <v/>
      </c>
      <c r="J46" s="37">
        <f>Model!AE251</f>
        <v/>
      </c>
    </row>
    <row r="47">
      <c r="A47" s="6" t="inlineStr">
        <is>
          <t xml:space="preserve">  Technology maintenance (Y3+)</t>
        </is>
      </c>
      <c r="D47" s="37">
        <f>SUM(Model!C253:N253)</f>
        <v/>
      </c>
      <c r="E47" s="37">
        <f>SUM(Model!O253:Z253)</f>
        <v/>
      </c>
      <c r="F47" s="37">
        <f>Model!AA253</f>
        <v/>
      </c>
      <c r="G47" s="37">
        <f>Model!AB253</f>
        <v/>
      </c>
      <c r="H47" s="37">
        <f>Model!AC253</f>
        <v/>
      </c>
      <c r="I47" s="37">
        <f>Model!AD253</f>
        <v/>
      </c>
      <c r="J47" s="37">
        <f>Model!AE253</f>
        <v/>
      </c>
    </row>
    <row r="48">
      <c r="A48" s="6" t="inlineStr">
        <is>
          <t xml:space="preserve">  One-off Year 1 (licence, incorporation, launch audit)</t>
        </is>
      </c>
      <c r="D48" s="37">
        <f>SUM(Model!C241:N241)</f>
        <v/>
      </c>
      <c r="E48" s="37">
        <f>SUM(Model!O241:Z241)</f>
        <v/>
      </c>
      <c r="F48" s="37">
        <f>Model!AA241</f>
        <v/>
      </c>
      <c r="G48" s="37">
        <f>Model!AB241</f>
        <v/>
      </c>
      <c r="H48" s="37">
        <f>Model!AC241</f>
        <v/>
      </c>
      <c r="I48" s="37">
        <f>Model!AD241</f>
        <v/>
      </c>
      <c r="J48" s="37">
        <f>Model!AE241</f>
        <v/>
      </c>
    </row>
    <row r="49">
      <c r="A49" s="3" t="inlineStr">
        <is>
          <t>TOTAL OPERATING EXPENSES</t>
        </is>
      </c>
      <c r="D49" s="72">
        <f>SUM(Model!C255:N255)</f>
        <v/>
      </c>
      <c r="E49" s="72">
        <f>SUM(Model!O255:Z255)</f>
        <v/>
      </c>
      <c r="F49" s="72">
        <f>Model!AA255</f>
        <v/>
      </c>
      <c r="G49" s="72">
        <f>Model!AB255</f>
        <v/>
      </c>
      <c r="H49" s="72">
        <f>Model!AC255</f>
        <v/>
      </c>
      <c r="I49" s="72">
        <f>Model!AD255</f>
        <v/>
      </c>
      <c r="J49" s="72">
        <f>Model!AE255</f>
        <v/>
      </c>
    </row>
    <row r="50">
      <c r="A50" s="6" t="inlineStr">
        <is>
          <t xml:space="preserve">  ICS - entry fee discount (SIP only)</t>
        </is>
      </c>
      <c r="D50" s="37">
        <f>SUM(Model!C260:N260)</f>
        <v/>
      </c>
      <c r="E50" s="37">
        <f>SUM(Model!O260:Z260)</f>
        <v/>
      </c>
      <c r="F50" s="37">
        <f>Model!AA260</f>
        <v/>
      </c>
      <c r="G50" s="37">
        <f>Model!AB260</f>
        <v/>
      </c>
      <c r="H50" s="37">
        <f>Model!AC260</f>
        <v/>
      </c>
      <c r="I50" s="37">
        <f>Model!AD260</f>
        <v/>
      </c>
      <c r="J50" s="37">
        <f>Model!AE260</f>
        <v/>
      </c>
    </row>
    <row r="51">
      <c r="A51" s="6" t="inlineStr">
        <is>
          <t xml:space="preserve">  ICS - card fee discounts</t>
        </is>
      </c>
      <c r="D51" s="37">
        <f>SUM(Model!C262:N262)</f>
        <v/>
      </c>
      <c r="E51" s="37">
        <f>SUM(Model!O262:Z262)</f>
        <v/>
      </c>
      <c r="F51" s="37">
        <f>Model!AA262</f>
        <v/>
      </c>
      <c r="G51" s="37">
        <f>Model!AB262</f>
        <v/>
      </c>
      <c r="H51" s="37">
        <f>Model!AC262</f>
        <v/>
      </c>
      <c r="I51" s="37">
        <f>Model!AD262</f>
        <v/>
      </c>
      <c r="J51" s="37">
        <f>Model!AE262</f>
        <v/>
      </c>
    </row>
    <row r="52">
      <c r="A52" s="6" t="inlineStr">
        <is>
          <t xml:space="preserve">  ICS - gold rebate</t>
        </is>
      </c>
      <c r="D52" s="37">
        <f>SUM(Model!C263:N263)</f>
        <v/>
      </c>
      <c r="E52" s="37">
        <f>SUM(Model!O263:Z263)</f>
        <v/>
      </c>
      <c r="F52" s="37">
        <f>Model!AA263</f>
        <v/>
      </c>
      <c r="G52" s="37">
        <f>Model!AB263</f>
        <v/>
      </c>
      <c r="H52" s="37">
        <f>Model!AC263</f>
        <v/>
      </c>
      <c r="I52" s="37">
        <f>Model!AD263</f>
        <v/>
      </c>
      <c r="J52" s="37">
        <f>Model!AE263</f>
        <v/>
      </c>
    </row>
    <row r="53">
      <c r="A53" s="6" t="inlineStr">
        <is>
          <t xml:space="preserve">  ICS - family wallet and will</t>
        </is>
      </c>
      <c r="D53" s="37">
        <f>SUM(Model!C266:N266)</f>
        <v/>
      </c>
      <c r="E53" s="37">
        <f>SUM(Model!O266:Z266)</f>
        <v/>
      </c>
      <c r="F53" s="37">
        <f>Model!AA266</f>
        <v/>
      </c>
      <c r="G53" s="37">
        <f>Model!AB266</f>
        <v/>
      </c>
      <c r="H53" s="37">
        <f>Model!AC266</f>
        <v/>
      </c>
      <c r="I53" s="37">
        <f>Model!AD266</f>
        <v/>
      </c>
      <c r="J53" s="37">
        <f>Model!AE266</f>
        <v/>
      </c>
    </row>
    <row r="54">
      <c r="A54" s="3" t="inlineStr">
        <is>
          <t>TOTAL ICS BENEFIT COSTS</t>
        </is>
      </c>
      <c r="D54" s="72">
        <f>SUM(Model!C267:N267)</f>
        <v/>
      </c>
      <c r="E54" s="72">
        <f>SUM(Model!O267:Z267)</f>
        <v/>
      </c>
      <c r="F54" s="72">
        <f>Model!AA267</f>
        <v/>
      </c>
      <c r="G54" s="72">
        <f>Model!AB267</f>
        <v/>
      </c>
      <c r="H54" s="72">
        <f>Model!AC267</f>
        <v/>
      </c>
      <c r="I54" s="72">
        <f>Model!AD267</f>
        <v/>
      </c>
      <c r="J54" s="72">
        <f>Model!AE267</f>
        <v/>
      </c>
    </row>
    <row r="55">
      <c r="A55" s="6" t="inlineStr">
        <is>
          <t xml:space="preserve">  Marketing spend</t>
        </is>
      </c>
      <c r="D55" s="37">
        <f>SUM(Model!C272:N272)</f>
        <v/>
      </c>
      <c r="E55" s="37">
        <f>SUM(Model!O272:Z272)</f>
        <v/>
      </c>
      <c r="F55" s="37">
        <f>Model!AA272</f>
        <v/>
      </c>
      <c r="G55" s="37">
        <f>Model!AB272</f>
        <v/>
      </c>
      <c r="H55" s="37">
        <f>Model!AC272</f>
        <v/>
      </c>
      <c r="I55" s="37">
        <f>Model!AD272</f>
        <v/>
      </c>
      <c r="J55" s="37">
        <f>Model!AE272</f>
        <v/>
      </c>
    </row>
    <row r="56">
      <c r="A56" s="6" t="inlineStr">
        <is>
          <t xml:space="preserve">  Agent commission</t>
        </is>
      </c>
      <c r="D56" s="37">
        <f>SUM(Model!C277:N277)</f>
        <v/>
      </c>
      <c r="E56" s="37">
        <f>SUM(Model!O277:Z277)</f>
        <v/>
      </c>
      <c r="F56" s="37">
        <f>Model!AA277</f>
        <v/>
      </c>
      <c r="G56" s="37">
        <f>Model!AB277</f>
        <v/>
      </c>
      <c r="H56" s="37">
        <f>Model!AC277</f>
        <v/>
      </c>
      <c r="I56" s="37">
        <f>Model!AD277</f>
        <v/>
      </c>
      <c r="J56" s="37">
        <f>Model!AE277</f>
        <v/>
      </c>
    </row>
    <row r="57">
      <c r="A57" s="6" t="inlineStr">
        <is>
          <t xml:space="preserve">  Referral rewards</t>
        </is>
      </c>
      <c r="D57" s="37">
        <f>SUM(Model!C280:N280)</f>
        <v/>
      </c>
      <c r="E57" s="37">
        <f>SUM(Model!O280:Z280)</f>
        <v/>
      </c>
      <c r="F57" s="37">
        <f>Model!AA280</f>
        <v/>
      </c>
      <c r="G57" s="37">
        <f>Model!AB280</f>
        <v/>
      </c>
      <c r="H57" s="37">
        <f>Model!AC280</f>
        <v/>
      </c>
      <c r="I57" s="37">
        <f>Model!AD280</f>
        <v/>
      </c>
      <c r="J57" s="37">
        <f>Model!AE280</f>
        <v/>
      </c>
    </row>
    <row r="58">
      <c r="A58" s="3" t="inlineStr">
        <is>
          <t>TOTAL ACQUISITION COSTS</t>
        </is>
      </c>
      <c r="D58" s="72">
        <f>SUM(Model!C282:N282)</f>
        <v/>
      </c>
      <c r="E58" s="72">
        <f>SUM(Model!O282:Z282)</f>
        <v/>
      </c>
      <c r="F58" s="72">
        <f>Model!AA282</f>
        <v/>
      </c>
      <c r="G58" s="72">
        <f>Model!AB282</f>
        <v/>
      </c>
      <c r="H58" s="72">
        <f>Model!AC282</f>
        <v/>
      </c>
      <c r="I58" s="72">
        <f>Model!AD282</f>
        <v/>
      </c>
      <c r="J58" s="72">
        <f>Model!AE282</f>
        <v/>
      </c>
    </row>
    <row r="59">
      <c r="A59" s="6" t="inlineStr">
        <is>
          <t xml:space="preserve">  Card - NymCard platform and scheme fees</t>
        </is>
      </c>
      <c r="D59" s="37">
        <f>SUM(Model!C289:N289)</f>
        <v/>
      </c>
      <c r="E59" s="37">
        <f>SUM(Model!O289:Z289)</f>
        <v/>
      </c>
      <c r="F59" s="37">
        <f>Model!AA289</f>
        <v/>
      </c>
      <c r="G59" s="37">
        <f>Model!AB289</f>
        <v/>
      </c>
      <c r="H59" s="37">
        <f>Model!AC289</f>
        <v/>
      </c>
      <c r="I59" s="37">
        <f>Model!AD289</f>
        <v/>
      </c>
      <c r="J59" s="37">
        <f>Model!AE289</f>
        <v/>
      </c>
    </row>
    <row r="60">
      <c r="A60" s="6" t="inlineStr">
        <is>
          <t xml:space="preserve">  Card - programme setup</t>
        </is>
      </c>
      <c r="D60" s="37">
        <f>SUM(Model!C291:N291)</f>
        <v/>
      </c>
      <c r="E60" s="37">
        <f>SUM(Model!O291:Z291)</f>
        <v/>
      </c>
      <c r="F60" s="37">
        <f>Model!AA291</f>
        <v/>
      </c>
      <c r="G60" s="37">
        <f>Model!AB291</f>
        <v/>
      </c>
      <c r="H60" s="37">
        <f>Model!AC291</f>
        <v/>
      </c>
      <c r="I60" s="37">
        <f>Model!AD291</f>
        <v/>
      </c>
      <c r="J60" s="37">
        <f>Model!AE291</f>
        <v/>
      </c>
    </row>
    <row r="61">
      <c r="A61" s="6" t="inlineStr">
        <is>
          <t xml:space="preserve">  Card - production and delivery</t>
        </is>
      </c>
      <c r="D61" s="37">
        <f>SUM(Model!C292:N292)</f>
        <v/>
      </c>
      <c r="E61" s="37">
        <f>SUM(Model!O292:Z292)</f>
        <v/>
      </c>
      <c r="F61" s="37">
        <f>Model!AA292</f>
        <v/>
      </c>
      <c r="G61" s="37">
        <f>Model!AB292</f>
        <v/>
      </c>
      <c r="H61" s="37">
        <f>Model!AC292</f>
        <v/>
      </c>
      <c r="I61" s="37">
        <f>Model!AD292</f>
        <v/>
      </c>
      <c r="J61" s="37">
        <f>Model!AE292</f>
        <v/>
      </c>
    </row>
    <row r="62">
      <c r="A62" s="6" t="inlineStr">
        <is>
          <t xml:space="preserve">  Card - authorisation and switching</t>
        </is>
      </c>
      <c r="D62" s="37">
        <f>SUM(Model!C293:N293)</f>
        <v/>
      </c>
      <c r="E62" s="37">
        <f>SUM(Model!O293:Z293)</f>
        <v/>
      </c>
      <c r="F62" s="37">
        <f>Model!AA293</f>
        <v/>
      </c>
      <c r="G62" s="37">
        <f>Model!AB293</f>
        <v/>
      </c>
      <c r="H62" s="37">
        <f>Model!AC293</f>
        <v/>
      </c>
      <c r="I62" s="37">
        <f>Model!AD293</f>
        <v/>
      </c>
      <c r="J62" s="37">
        <f>Model!AE293</f>
        <v/>
      </c>
    </row>
    <row r="63">
      <c r="A63" s="6" t="inlineStr">
        <is>
          <t xml:space="preserve">  Card - fraud and chargebacks</t>
        </is>
      </c>
      <c r="D63" s="37">
        <f>SUM(Model!C294:N294)</f>
        <v/>
      </c>
      <c r="E63" s="37">
        <f>SUM(Model!O294:Z294)</f>
        <v/>
      </c>
      <c r="F63" s="37">
        <f>Model!AA294</f>
        <v/>
      </c>
      <c r="G63" s="37">
        <f>Model!AB294</f>
        <v/>
      </c>
      <c r="H63" s="37">
        <f>Model!AC294</f>
        <v/>
      </c>
      <c r="I63" s="37">
        <f>Model!AD294</f>
        <v/>
      </c>
      <c r="J63" s="37">
        <f>Model!AE294</f>
        <v/>
      </c>
    </row>
    <row r="64">
      <c r="A64" s="6" t="inlineStr">
        <is>
          <t xml:space="preserve">  Card - cross-border scheme assessment</t>
        </is>
      </c>
      <c r="D64" s="37">
        <f>SUM(Model!C296:N296)</f>
        <v/>
      </c>
      <c r="E64" s="37">
        <f>SUM(Model!O296:Z296)</f>
        <v/>
      </c>
      <c r="F64" s="37">
        <f>Model!AA296</f>
        <v/>
      </c>
      <c r="G64" s="37">
        <f>Model!AB296</f>
        <v/>
      </c>
      <c r="H64" s="37">
        <f>Model!AC296</f>
        <v/>
      </c>
      <c r="I64" s="37">
        <f>Model!AD296</f>
        <v/>
      </c>
      <c r="J64" s="37">
        <f>Model!AE296</f>
        <v/>
      </c>
    </row>
    <row r="65">
      <c r="A65" s="3" t="inlineStr">
        <is>
          <t>TOTAL CARD PROGRAMME COSTS</t>
        </is>
      </c>
      <c r="D65" s="72">
        <f>SUM(Model!C298:N298)</f>
        <v/>
      </c>
      <c r="E65" s="72">
        <f>SUM(Model!O298:Z298)</f>
        <v/>
      </c>
      <c r="F65" s="72">
        <f>Model!AA298</f>
        <v/>
      </c>
      <c r="G65" s="72">
        <f>Model!AB298</f>
        <v/>
      </c>
      <c r="H65" s="72">
        <f>Model!AC298</f>
        <v/>
      </c>
      <c r="I65" s="72">
        <f>Model!AD298</f>
        <v/>
      </c>
      <c r="J65" s="72">
        <f>Model!AE298</f>
        <v/>
      </c>
    </row>
    <row r="66">
      <c r="A66" s="6" t="inlineStr">
        <is>
          <t xml:space="preserve">    Card cost as % of card revenue</t>
        </is>
      </c>
      <c r="D66" s="35">
        <f>Model!N299</f>
        <v/>
      </c>
      <c r="E66" s="35">
        <f>Model!Z299</f>
        <v/>
      </c>
      <c r="F66" s="35">
        <f>Model!AA299</f>
        <v/>
      </c>
      <c r="G66" s="35">
        <f>Model!AB299</f>
        <v/>
      </c>
      <c r="H66" s="35">
        <f>Model!AC299</f>
        <v/>
      </c>
      <c r="I66" s="35">
        <f>Model!AD299</f>
        <v/>
      </c>
      <c r="J66" s="35">
        <f>Model!AE299</f>
        <v/>
      </c>
    </row>
    <row r="67">
      <c r="A67" s="6" t="inlineStr">
        <is>
          <t xml:space="preserve">    Blended cost per new customer</t>
        </is>
      </c>
      <c r="D67" s="39">
        <f>Model!N283</f>
        <v/>
      </c>
      <c r="E67" s="39">
        <f>Model!Z283</f>
        <v/>
      </c>
      <c r="F67" s="39">
        <f>Model!AA283</f>
        <v/>
      </c>
      <c r="G67" s="39">
        <f>Model!AB283</f>
        <v/>
      </c>
      <c r="H67" s="39">
        <f>Model!AC283</f>
        <v/>
      </c>
      <c r="I67" s="39">
        <f>Model!AD283</f>
        <v/>
      </c>
      <c r="J67" s="39">
        <f>Model!AE283</f>
        <v/>
      </c>
    </row>
    <row r="68">
      <c r="A68" s="6" t="inlineStr">
        <is>
          <t xml:space="preserve">  Sub-total - costs actually modelled</t>
        </is>
      </c>
      <c r="D68" s="37">
        <f>SUM(Model!C301:N301)</f>
        <v/>
      </c>
      <c r="E68" s="37">
        <f>SUM(Model!O301:Z301)</f>
        <v/>
      </c>
      <c r="F68" s="37">
        <f>Model!AA301</f>
        <v/>
      </c>
      <c r="G68" s="37">
        <f>Model!AB301</f>
        <v/>
      </c>
      <c r="H68" s="37">
        <f>Model!AC301</f>
        <v/>
      </c>
      <c r="I68" s="37">
        <f>Model!AD301</f>
        <v/>
      </c>
      <c r="J68" s="37">
        <f>Model!AE301</f>
        <v/>
      </c>
    </row>
    <row r="69">
      <c r="A69" s="6" t="inlineStr">
        <is>
          <t xml:space="preserve">  Contingency for families not yet built</t>
        </is>
      </c>
      <c r="D69" s="37">
        <f>SUM(Model!C302:N302)</f>
        <v/>
      </c>
      <c r="E69" s="37">
        <f>SUM(Model!O302:Z302)</f>
        <v/>
      </c>
      <c r="F69" s="37">
        <f>Model!AA302</f>
        <v/>
      </c>
      <c r="G69" s="37">
        <f>Model!AB302</f>
        <v/>
      </c>
      <c r="H69" s="37">
        <f>Model!AC302</f>
        <v/>
      </c>
      <c r="I69" s="37">
        <f>Model!AD302</f>
        <v/>
      </c>
      <c r="J69" s="37">
        <f>Model!AE302</f>
        <v/>
      </c>
    </row>
    <row r="70">
      <c r="A70" s="3" t="inlineStr">
        <is>
          <t>TOTAL COST BASE</t>
        </is>
      </c>
      <c r="D70" s="72">
        <f>SUM(Model!C304:N304)</f>
        <v/>
      </c>
      <c r="E70" s="72">
        <f>SUM(Model!O304:Z304)</f>
        <v/>
      </c>
      <c r="F70" s="72">
        <f>Model!AA304</f>
        <v/>
      </c>
      <c r="G70" s="72">
        <f>Model!AB304</f>
        <v/>
      </c>
      <c r="H70" s="72">
        <f>Model!AC304</f>
        <v/>
      </c>
      <c r="I70" s="72">
        <f>Model!AD304</f>
        <v/>
      </c>
      <c r="J70" s="72">
        <f>Model!AE304</f>
        <v/>
      </c>
    </row>
    <row r="72" ht="18" customHeight="1">
      <c r="A72" s="12" t="inlineStr">
        <is>
          <t>NET PROFIT (upper bound - headcount not yet in the cost base)</t>
        </is>
      </c>
      <c r="B72" s="13" t="n"/>
      <c r="C72" s="13" t="n"/>
      <c r="D72" s="13" t="n"/>
      <c r="E72" s="13" t="n"/>
      <c r="F72" s="13" t="n"/>
      <c r="G72" s="13" t="n"/>
      <c r="H72" s="13" t="n"/>
      <c r="I72" s="13" t="n"/>
      <c r="J72" s="13" t="n"/>
      <c r="K72" s="13" t="n"/>
    </row>
    <row r="73">
      <c r="A73" s="3" t="inlineStr">
        <is>
          <t>NET PROFIT</t>
        </is>
      </c>
      <c r="D73" s="72">
        <f>SUM(Model!C326:N326)</f>
        <v/>
      </c>
      <c r="E73" s="72">
        <f>SUM(Model!O326:Z326)</f>
        <v/>
      </c>
      <c r="F73" s="72">
        <f>Model!AA326</f>
        <v/>
      </c>
      <c r="G73" s="72">
        <f>Model!AB326</f>
        <v/>
      </c>
      <c r="H73" s="72">
        <f>Model!AC326</f>
        <v/>
      </c>
      <c r="I73" s="72">
        <f>Model!AD326</f>
        <v/>
      </c>
      <c r="J73" s="72">
        <f>Model!AE326</f>
        <v/>
      </c>
    </row>
    <row r="74">
      <c r="A74" s="6" t="inlineStr">
        <is>
          <t xml:space="preserve">  Net margin</t>
        </is>
      </c>
      <c r="D74" s="35">
        <f>Model!N328</f>
        <v/>
      </c>
      <c r="E74" s="35">
        <f>Model!Z328</f>
        <v/>
      </c>
      <c r="F74" s="35">
        <f>Model!AA328</f>
        <v/>
      </c>
      <c r="G74" s="35">
        <f>Model!AB328</f>
        <v/>
      </c>
      <c r="H74" s="35">
        <f>Model!AC328</f>
        <v/>
      </c>
      <c r="I74" s="35">
        <f>Model!AD328</f>
        <v/>
      </c>
      <c r="J74" s="35">
        <f>Model!AE328</f>
        <v/>
      </c>
    </row>
    <row r="75">
      <c r="A75" s="3" t="inlineStr">
        <is>
          <t>CUMULATIVE NET PROFIT</t>
        </is>
      </c>
      <c r="D75" s="72">
        <f>Model!N329</f>
        <v/>
      </c>
      <c r="E75" s="72">
        <f>Model!Z329</f>
        <v/>
      </c>
      <c r="F75" s="72">
        <f>Model!AA329</f>
        <v/>
      </c>
      <c r="G75" s="72">
        <f>Model!AB329</f>
        <v/>
      </c>
      <c r="H75" s="72">
        <f>Model!AC329</f>
        <v/>
      </c>
      <c r="I75" s="72">
        <f>Model!AD329</f>
        <v/>
      </c>
      <c r="J75" s="72">
        <f>Model!AE329</f>
        <v/>
      </c>
    </row>
    <row r="77" ht="18" customHeight="1">
      <c r="A77" s="12" t="inlineStr">
        <is>
          <t>UNIT ECONOMICS (derived - no new assumptions)</t>
        </is>
      </c>
      <c r="B77" s="13" t="n"/>
      <c r="C77" s="13" t="n"/>
      <c r="D77" s="13" t="n"/>
      <c r="E77" s="13" t="n"/>
      <c r="F77" s="13" t="n"/>
      <c r="G77" s="13" t="n"/>
      <c r="H77" s="13" t="n"/>
      <c r="I77" s="13" t="n"/>
      <c r="J77" s="13" t="n"/>
      <c r="K77" s="13" t="n"/>
    </row>
    <row r="78">
      <c r="A78" s="3" t="inlineStr">
        <is>
          <t>PROFIT BEFORE ACQUISITION COST</t>
        </is>
      </c>
      <c r="D78" s="72">
        <f>SUM(Model!C334:N334)</f>
        <v/>
      </c>
      <c r="E78" s="72">
        <f>SUM(Model!O334:Z334)</f>
        <v/>
      </c>
      <c r="F78" s="72">
        <f>Model!AA334</f>
        <v/>
      </c>
      <c r="G78" s="72">
        <f>Model!AB334</f>
        <v/>
      </c>
      <c r="H78" s="72">
        <f>Model!AC334</f>
        <v/>
      </c>
      <c r="I78" s="72">
        <f>Model!AD334</f>
        <v/>
      </c>
      <c r="J78" s="72">
        <f>Model!AE334</f>
        <v/>
      </c>
    </row>
    <row r="79">
      <c r="A79" s="6" t="inlineStr">
        <is>
          <t xml:space="preserve">  Contribution per paying customer (annualised)</t>
        </is>
      </c>
      <c r="D79" s="39">
        <f>Model!N336</f>
        <v/>
      </c>
      <c r="E79" s="39">
        <f>Model!Z336</f>
        <v/>
      </c>
      <c r="F79" s="39">
        <f>Model!AA336</f>
        <v/>
      </c>
      <c r="G79" s="39">
        <f>Model!AB336</f>
        <v/>
      </c>
      <c r="H79" s="39">
        <f>Model!AC336</f>
        <v/>
      </c>
      <c r="I79" s="39">
        <f>Model!AD336</f>
        <v/>
      </c>
      <c r="J79" s="39">
        <f>Model!AE336</f>
        <v/>
      </c>
    </row>
    <row r="80">
      <c r="A80" s="6" t="inlineStr">
        <is>
          <t xml:space="preserve">  Customers lost to holders</t>
        </is>
      </c>
      <c r="D80" s="34">
        <f>SUM(Model!C332:N332)</f>
        <v/>
      </c>
      <c r="E80" s="34">
        <f>SUM(Model!O332:Z332)</f>
        <v/>
      </c>
      <c r="F80" s="34">
        <f>Model!AA332</f>
        <v/>
      </c>
      <c r="G80" s="34">
        <f>Model!AB332</f>
        <v/>
      </c>
      <c r="H80" s="34">
        <f>Model!AC332</f>
        <v/>
      </c>
      <c r="I80" s="34">
        <f>Model!AD332</f>
        <v/>
      </c>
      <c r="J80" s="34">
        <f>Model!AE332</f>
        <v/>
      </c>
    </row>
    <row r="81">
      <c r="A81" s="6" t="inlineStr">
        <is>
          <t xml:space="preserve">  Blended CAC (repeated here so payback can be read)</t>
        </is>
      </c>
      <c r="D81" s="39">
        <f>Model!N283</f>
        <v/>
      </c>
      <c r="E81" s="39">
        <f>Model!Z283</f>
        <v/>
      </c>
      <c r="F81" s="39">
        <f>Model!AA283</f>
        <v/>
      </c>
      <c r="G81" s="39">
        <f>Model!AB283</f>
        <v/>
      </c>
      <c r="H81" s="39">
        <f>Model!AC283</f>
        <v/>
      </c>
      <c r="I81" s="39">
        <f>Model!AD283</f>
        <v/>
      </c>
      <c r="J81" s="39">
        <f>Model!AE283</f>
        <v/>
      </c>
    </row>
    <row r="82">
      <c r="A82" s="3" t="inlineStr">
        <is>
          <t>PAYBACK ON CONTRIBUTION (months)</t>
        </is>
      </c>
      <c r="D82" s="74">
        <f>Model!N337</f>
        <v/>
      </c>
      <c r="E82" s="74">
        <f>Model!Z337</f>
        <v/>
      </c>
      <c r="F82" s="74">
        <f>Model!AA337</f>
        <v/>
      </c>
      <c r="G82" s="74">
        <f>Model!AB337</f>
        <v/>
      </c>
      <c r="H82" s="74">
        <f>Model!AC337</f>
        <v/>
      </c>
      <c r="I82" s="74">
        <f>Model!AD337</f>
        <v/>
      </c>
      <c r="J82" s="74">
        <f>Model!AE337</f>
        <v/>
      </c>
    </row>
    <row r="83">
      <c r="A83" s="3" t="inlineStr">
        <is>
          <t>NEW CUSTOMERS ACQUIRED PER NET CUSTOMER ADDED</t>
        </is>
      </c>
      <c r="D83" s="74">
        <f>Model!N339</f>
        <v/>
      </c>
      <c r="E83" s="74">
        <f>Model!Z339</f>
        <v/>
      </c>
      <c r="F83" s="74">
        <f>Model!AA339</f>
        <v/>
      </c>
      <c r="G83" s="74">
        <f>Model!AB339</f>
        <v/>
      </c>
      <c r="H83" s="74">
        <f>Model!AC339</f>
        <v/>
      </c>
      <c r="I83" s="74">
        <f>Model!AD339</f>
        <v/>
      </c>
      <c r="J83" s="74">
        <f>Model!AE339</f>
        <v/>
      </c>
    </row>
    <row r="84">
      <c r="A84" s="3" t="inlineStr">
        <is>
          <t>PEAK FUNDING NEED (P&amp;L deficit + capital tied up)</t>
        </is>
      </c>
      <c r="D84" s="72">
        <f>Model!N342</f>
        <v/>
      </c>
      <c r="E84" s="72">
        <f>Model!Z342</f>
        <v/>
      </c>
      <c r="F84" s="72">
        <f>Model!AA342</f>
        <v/>
      </c>
      <c r="G84" s="72">
        <f>Model!AB342</f>
        <v/>
      </c>
      <c r="H84" s="72">
        <f>Model!AC342</f>
        <v/>
      </c>
      <c r="I84" s="72">
        <f>Model!AD342</f>
        <v/>
      </c>
      <c r="J84" s="72">
        <f>Model!AE342</f>
        <v/>
      </c>
    </row>
    <row r="86" ht="18" customHeight="1">
      <c r="A86" s="12" t="inlineStr">
        <is>
          <t>REGULATORY CAPITAL (locked, not spent)</t>
        </is>
      </c>
      <c r="B86" s="13" t="n"/>
      <c r="C86" s="13" t="n"/>
      <c r="D86" s="13" t="n"/>
      <c r="E86" s="13" t="n"/>
      <c r="F86" s="13" t="n"/>
      <c r="G86" s="13" t="n"/>
      <c r="H86" s="13" t="n"/>
      <c r="I86" s="13" t="n"/>
      <c r="J86" s="13" t="n"/>
      <c r="K86" s="13" t="n"/>
    </row>
    <row r="87">
      <c r="A87" s="6" t="inlineStr">
        <is>
          <t xml:space="preserve">  Paid-up capital - VA Issuance</t>
        </is>
      </c>
      <c r="D87" s="37">
        <f>Model!N311</f>
        <v/>
      </c>
      <c r="E87" s="37">
        <f>Model!Z311</f>
        <v/>
      </c>
      <c r="F87" s="37">
        <f>Model!AA311</f>
        <v/>
      </c>
      <c r="G87" s="37">
        <f>Model!AB311</f>
        <v/>
      </c>
      <c r="H87" s="37">
        <f>Model!AC311</f>
        <v/>
      </c>
      <c r="I87" s="37">
        <f>Model!AD311</f>
        <v/>
      </c>
      <c r="J87" s="37">
        <f>Model!AE311</f>
        <v/>
      </c>
    </row>
    <row r="88">
      <c r="A88" s="6" t="inlineStr">
        <is>
          <t xml:space="preserve">  Paid-up capital - licensed activities</t>
        </is>
      </c>
      <c r="D88" s="37">
        <f>Model!N313</f>
        <v/>
      </c>
      <c r="E88" s="37">
        <f>Model!Z313</f>
        <v/>
      </c>
      <c r="F88" s="37">
        <f>Model!AA313</f>
        <v/>
      </c>
      <c r="G88" s="37">
        <f>Model!AB313</f>
        <v/>
      </c>
      <c r="H88" s="37">
        <f>Model!AC313</f>
        <v/>
      </c>
      <c r="I88" s="37">
        <f>Model!AD313</f>
        <v/>
      </c>
      <c r="J88" s="37">
        <f>Model!AE313</f>
        <v/>
      </c>
    </row>
    <row r="89">
      <c r="A89" s="3" t="inlineStr">
        <is>
          <t>TOTAL PAID-UP CAPITAL REQUIRED</t>
        </is>
      </c>
      <c r="D89" s="72">
        <f>Model!N315</f>
        <v/>
      </c>
      <c r="E89" s="72">
        <f>Model!Z315</f>
        <v/>
      </c>
      <c r="F89" s="72">
        <f>Model!AA315</f>
        <v/>
      </c>
      <c r="G89" s="72">
        <f>Model!AB315</f>
        <v/>
      </c>
      <c r="H89" s="72">
        <f>Model!AC315</f>
        <v/>
      </c>
      <c r="I89" s="72">
        <f>Model!AD315</f>
        <v/>
      </c>
      <c r="J89" s="72">
        <f>Model!AE315</f>
        <v/>
      </c>
    </row>
    <row r="90">
      <c r="A90" s="6" t="inlineStr">
        <is>
          <t xml:space="preserve">  Net liquid assets required (separate test)</t>
        </is>
      </c>
      <c r="D90" s="37">
        <f>Model!N316</f>
        <v/>
      </c>
      <c r="E90" s="37">
        <f>Model!Z316</f>
        <v/>
      </c>
      <c r="F90" s="37">
        <f>Model!AA316</f>
        <v/>
      </c>
      <c r="G90" s="37">
        <f>Model!AB316</f>
        <v/>
      </c>
      <c r="H90" s="37">
        <f>Model!AC316</f>
        <v/>
      </c>
      <c r="I90" s="37">
        <f>Model!AD316</f>
        <v/>
      </c>
      <c r="J90" s="37">
        <f>Model!AE316</f>
        <v/>
      </c>
    </row>
    <row r="91">
      <c r="A91" s="6" t="inlineStr">
        <is>
          <t xml:space="preserve">  Card settlement prefunding</t>
        </is>
      </c>
      <c r="D91" s="37">
        <f>Model!N214</f>
        <v/>
      </c>
      <c r="E91" s="37">
        <f>Model!Z214</f>
        <v/>
      </c>
      <c r="F91" s="37">
        <f>Model!AA214</f>
        <v/>
      </c>
      <c r="G91" s="37">
        <f>Model!AB214</f>
        <v/>
      </c>
      <c r="H91" s="37">
        <f>Model!AC214</f>
        <v/>
      </c>
      <c r="I91" s="37">
        <f>Model!AD214</f>
        <v/>
      </c>
      <c r="J91" s="37">
        <f>Model!AE214</f>
        <v/>
      </c>
    </row>
    <row r="92">
      <c r="A92" s="3" t="inlineStr">
        <is>
          <t>TOTAL CAPITAL TIED UP (float + capital + prefunding)</t>
        </is>
      </c>
      <c r="D92" s="72">
        <f>Model!N319</f>
        <v/>
      </c>
      <c r="E92" s="72">
        <f>Model!Z319</f>
        <v/>
      </c>
      <c r="F92" s="72">
        <f>Model!AA319</f>
        <v/>
      </c>
      <c r="G92" s="72">
        <f>Model!AB319</f>
        <v/>
      </c>
      <c r="H92" s="72">
        <f>Model!AC319</f>
        <v/>
      </c>
      <c r="I92" s="72">
        <f>Model!AD319</f>
        <v/>
      </c>
      <c r="J92" s="72">
        <f>Model!AE319</f>
        <v/>
      </c>
    </row>
    <row r="94" ht="18" customHeight="1">
      <c r="A94" s="12" t="inlineStr">
        <is>
          <t>WORKING CAPITAL - THE FLOAT (not a cost)</t>
        </is>
      </c>
      <c r="B94" s="13" t="n"/>
      <c r="C94" s="13" t="n"/>
      <c r="D94" s="13" t="n"/>
      <c r="E94" s="13" t="n"/>
      <c r="F94" s="13" t="n"/>
      <c r="G94" s="13" t="n"/>
      <c r="H94" s="13" t="n"/>
      <c r="I94" s="13" t="n"/>
      <c r="J94" s="13" t="n"/>
      <c r="K94" s="13" t="n"/>
    </row>
    <row r="95">
      <c r="A95" s="6" t="inlineStr">
        <is>
          <t xml:space="preserve">  Float required, grams</t>
        </is>
      </c>
      <c r="D95" s="34">
        <f>Model!N206</f>
        <v/>
      </c>
      <c r="E95" s="34">
        <f>Model!Z206</f>
        <v/>
      </c>
      <c r="F95" s="34">
        <f>Model!AA206</f>
        <v/>
      </c>
      <c r="G95" s="34">
        <f>Model!AB206</f>
        <v/>
      </c>
      <c r="H95" s="34">
        <f>Model!AC206</f>
        <v/>
      </c>
      <c r="I95" s="34">
        <f>Model!AD206</f>
        <v/>
      </c>
      <c r="J95" s="34">
        <f>Model!AE206</f>
        <v/>
      </c>
    </row>
    <row r="96">
      <c r="A96" s="3" t="inlineStr">
        <is>
          <t xml:space="preserve">  FLOAT REQUIRED (year-end balance)</t>
        </is>
      </c>
      <c r="D96" s="72">
        <f>Model!N209</f>
        <v/>
      </c>
      <c r="E96" s="72">
        <f>Model!Z209</f>
        <v/>
      </c>
      <c r="F96" s="72">
        <f>Model!AA209</f>
        <v/>
      </c>
      <c r="G96" s="72">
        <f>Model!AB209</f>
        <v/>
      </c>
      <c r="H96" s="72">
        <f>Model!AC209</f>
        <v/>
      </c>
      <c r="I96" s="72">
        <f>Model!AD209</f>
        <v/>
      </c>
      <c r="J96" s="72">
        <f>Model!AE209</f>
        <v/>
      </c>
    </row>
    <row r="97">
      <c r="A97" s="6" t="inlineStr">
        <is>
          <t xml:space="preserve">  Cash needed that year (new grams only)</t>
        </is>
      </c>
      <c r="D97" s="37">
        <f>SUM(Model!C211:N211)</f>
        <v/>
      </c>
      <c r="E97" s="37">
        <f>SUM(Model!O211:Z211)</f>
        <v/>
      </c>
      <c r="F97" s="37">
        <f>Model!AA211</f>
        <v/>
      </c>
      <c r="G97" s="37">
        <f>Model!AB211</f>
        <v/>
      </c>
      <c r="H97" s="37">
        <f>Model!AC211</f>
        <v/>
      </c>
      <c r="I97" s="37">
        <f>Model!AD211</f>
        <v/>
      </c>
      <c r="J97" s="37">
        <f>Model!AE211</f>
        <v/>
      </c>
    </row>
    <row r="98">
      <c r="A98" s="3" t="inlineStr">
        <is>
          <t>CUMULATIVE CASH INVESTED IN THE FLOAT</t>
        </is>
      </c>
      <c r="D98" s="72">
        <f>Model!N213</f>
        <v/>
      </c>
      <c r="E98" s="72">
        <f>Model!Z213</f>
        <v/>
      </c>
      <c r="F98" s="72">
        <f>Model!AA213</f>
        <v/>
      </c>
      <c r="G98" s="72">
        <f>Model!AB213</f>
        <v/>
      </c>
      <c r="H98" s="72">
        <f>Model!AC213</f>
        <v/>
      </c>
      <c r="I98" s="72">
        <f>Model!AD213</f>
        <v/>
      </c>
      <c r="J98" s="72">
        <f>Model!AE213</f>
        <v/>
      </c>
    </row>
    <row r="100" ht="18" customHeight="1">
      <c r="A100" s="12" t="inlineStr">
        <is>
          <t>CUSTOMERS AND AUM (year end)</t>
        </is>
      </c>
      <c r="B100" s="13" t="n"/>
      <c r="C100" s="13" t="n"/>
      <c r="D100" s="13" t="n"/>
      <c r="E100" s="13" t="n"/>
      <c r="F100" s="13" t="n"/>
      <c r="G100" s="13" t="n"/>
      <c r="H100" s="13" t="n"/>
      <c r="I100" s="13" t="n"/>
      <c r="J100" s="13" t="n"/>
      <c r="K100" s="13" t="n"/>
    </row>
    <row r="101">
      <c r="A101" s="6" t="inlineStr">
        <is>
          <t>New customers in year</t>
        </is>
      </c>
      <c r="D101" s="34">
        <f>SUM(Model!C162:N162)</f>
        <v/>
      </c>
      <c r="E101" s="34">
        <f>SUM(Model!O162:Z162)</f>
        <v/>
      </c>
      <c r="F101" s="34">
        <f>Model!AA162</f>
        <v/>
      </c>
      <c r="G101" s="34">
        <f>Model!AB162</f>
        <v/>
      </c>
      <c r="H101" s="34">
        <f>Model!AC162</f>
        <v/>
      </c>
      <c r="I101" s="34">
        <f>Model!AD162</f>
        <v/>
      </c>
      <c r="J101" s="34">
        <f>Model!AE162</f>
        <v/>
      </c>
    </row>
    <row r="102">
      <c r="A102" s="3" t="inlineStr">
        <is>
          <t>Paying customers</t>
        </is>
      </c>
      <c r="D102" s="75">
        <f>Model!N159</f>
        <v/>
      </c>
      <c r="E102" s="75">
        <f>Model!Z159</f>
        <v/>
      </c>
      <c r="F102" s="75">
        <f>Model!AA159</f>
        <v/>
      </c>
      <c r="G102" s="75">
        <f>Model!AB159</f>
        <v/>
      </c>
      <c r="H102" s="75">
        <f>Model!AC159</f>
        <v/>
      </c>
      <c r="I102" s="75">
        <f>Model!AD159</f>
        <v/>
      </c>
      <c r="J102" s="75">
        <f>Model!AE159</f>
        <v/>
      </c>
    </row>
    <row r="103">
      <c r="A103" s="6" t="inlineStr">
        <is>
          <t>Holders (stopped paying, still hold gold)</t>
        </is>
      </c>
      <c r="D103" s="34">
        <f>Model!N160</f>
        <v/>
      </c>
      <c r="E103" s="34">
        <f>Model!Z160</f>
        <v/>
      </c>
      <c r="F103" s="34">
        <f>Model!AA160</f>
        <v/>
      </c>
      <c r="G103" s="34">
        <f>Model!AB160</f>
        <v/>
      </c>
      <c r="H103" s="34">
        <f>Model!AC160</f>
        <v/>
      </c>
      <c r="I103" s="34">
        <f>Model!AD160</f>
        <v/>
      </c>
      <c r="J103" s="34">
        <f>Model!AE160</f>
        <v/>
      </c>
    </row>
    <row r="104">
      <c r="A104" s="6" t="inlineStr">
        <is>
          <t>Cumulative ever acquired</t>
        </is>
      </c>
      <c r="D104" s="34">
        <f>Model!N161</f>
        <v/>
      </c>
      <c r="E104" s="34">
        <f>Model!Z161</f>
        <v/>
      </c>
      <c r="F104" s="34">
        <f>Model!AA161</f>
        <v/>
      </c>
      <c r="G104" s="34">
        <f>Model!AB161</f>
        <v/>
      </c>
      <c r="H104" s="34">
        <f>Model!AC161</f>
        <v/>
      </c>
      <c r="I104" s="34">
        <f>Model!AD161</f>
        <v/>
      </c>
      <c r="J104" s="34">
        <f>Model!AE161</f>
        <v/>
      </c>
    </row>
    <row r="105">
      <c r="A105" s="6" t="inlineStr">
        <is>
          <t>Active cards</t>
        </is>
      </c>
      <c r="D105" s="34">
        <f>Model!N163</f>
        <v/>
      </c>
      <c r="E105" s="34">
        <f>Model!Z163</f>
        <v/>
      </c>
      <c r="F105" s="34">
        <f>Model!AA163</f>
        <v/>
      </c>
      <c r="G105" s="34">
        <f>Model!AB163</f>
        <v/>
      </c>
      <c r="H105" s="34">
        <f>Model!AC163</f>
        <v/>
      </c>
      <c r="I105" s="34">
        <f>Model!AD163</f>
        <v/>
      </c>
      <c r="J105" s="34">
        <f>Model!AE163</f>
        <v/>
      </c>
    </row>
    <row r="106">
      <c r="A106" s="6" t="inlineStr">
        <is>
          <t>Grams under custody</t>
        </is>
      </c>
      <c r="D106" s="34">
        <f>Model!N165</f>
        <v/>
      </c>
      <c r="E106" s="34">
        <f>Model!Z165</f>
        <v/>
      </c>
      <c r="F106" s="34">
        <f>Model!AA165</f>
        <v/>
      </c>
      <c r="G106" s="34">
        <f>Model!AB165</f>
        <v/>
      </c>
      <c r="H106" s="34">
        <f>Model!AC165</f>
        <v/>
      </c>
      <c r="I106" s="34">
        <f>Model!AD165</f>
        <v/>
      </c>
      <c r="J106" s="34">
        <f>Model!AE165</f>
        <v/>
      </c>
    </row>
    <row r="107">
      <c r="A107" s="3" t="inlineStr">
        <is>
          <t>Gold under custody (comparable headline)</t>
        </is>
      </c>
      <c r="D107" s="72">
        <f>Model!N172</f>
        <v/>
      </c>
      <c r="E107" s="72">
        <f>Model!Z172</f>
        <v/>
      </c>
      <c r="F107" s="72">
        <f>Model!AA172</f>
        <v/>
      </c>
      <c r="G107" s="72">
        <f>Model!AB172</f>
        <v/>
      </c>
      <c r="H107" s="72">
        <f>Model!AC172</f>
        <v/>
      </c>
      <c r="I107" s="72">
        <f>Model!AD172</f>
        <v/>
      </c>
      <c r="J107" s="72">
        <f>Model!AE172</f>
        <v/>
      </c>
    </row>
    <row r="108">
      <c r="A108" s="6" t="inlineStr">
        <is>
          <t>Grams held (collateral-eligible)</t>
        </is>
      </c>
      <c r="D108" s="34">
        <f>Model!N164</f>
        <v/>
      </c>
      <c r="E108" s="34">
        <f>Model!Z164</f>
        <v/>
      </c>
      <c r="F108" s="34">
        <f>Model!AA164</f>
        <v/>
      </c>
      <c r="G108" s="34">
        <f>Model!AB164</f>
        <v/>
      </c>
      <c r="H108" s="34">
        <f>Model!AC164</f>
        <v/>
      </c>
      <c r="I108" s="34">
        <f>Model!AD164</f>
        <v/>
      </c>
      <c r="J108" s="34">
        <f>Model!AE164</f>
        <v/>
      </c>
    </row>
    <row r="109">
      <c r="A109" s="3" t="inlineStr">
        <is>
          <t>Collateral-eligible AUM</t>
        </is>
      </c>
      <c r="D109" s="72">
        <f>Model!N167</f>
        <v/>
      </c>
      <c r="E109" s="72">
        <f>Model!Z167</f>
        <v/>
      </c>
      <c r="F109" s="72">
        <f>Model!AA167</f>
        <v/>
      </c>
      <c r="G109" s="72">
        <f>Model!AB167</f>
        <v/>
      </c>
      <c r="H109" s="72">
        <f>Model!AC167</f>
        <v/>
      </c>
      <c r="I109" s="72">
        <f>Model!AD167</f>
        <v/>
      </c>
      <c r="J109" s="72">
        <f>Model!AE167</f>
        <v/>
      </c>
    </row>
    <row r="110">
      <c r="A110" s="6" t="inlineStr">
        <is>
          <t>Net revenue per paying customer (annualised)</t>
        </is>
      </c>
      <c r="D110" s="37">
        <f>Model!N198</f>
        <v/>
      </c>
      <c r="E110" s="37">
        <f>Model!Z198</f>
        <v/>
      </c>
      <c r="F110" s="37">
        <f>Model!AA198</f>
        <v/>
      </c>
      <c r="G110" s="37">
        <f>Model!AB198</f>
        <v/>
      </c>
      <c r="H110" s="37">
        <f>Model!AC198</f>
        <v/>
      </c>
      <c r="I110" s="37">
        <f>Model!AD198</f>
        <v/>
      </c>
      <c r="J110" s="37">
        <f>Model!AE198</f>
        <v/>
      </c>
    </row>
    <row r="112">
      <c r="A112" s="9" t="inlineStr">
        <is>
          <t>Headcount and tax are not yet in the cost base, so net profit and payback are upper bounds. Stream 1 is shown at the full entry fee; the fabrication premium paid to the dealer sits in the cost base as cost of goods sold. Read on its own, the gross fee overstates what Aurumix keeps by 29-39% of the net figure, depending on the year. Y1 and Y2 ratio rows (card cost share, contribution, payback) use the M12 and M24 month-end run rates, not annual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2026-09-24T11:53:42Z</dcterms:created>
  <dcterms:modified xmlns:dcterms="http://purl.org/dc/terms/" xmlns:xsi="http://www.w3.org/2001/XMLSchema-instance" xsi:type="dcterms:W3CDTF">2026-09-24T11:53:42Z</dcterms:modified>
</cp:coreProperties>
</file>