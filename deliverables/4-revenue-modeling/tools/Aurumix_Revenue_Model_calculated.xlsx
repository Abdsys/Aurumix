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BlockApex\Desktop\Aurumix\Aurumix\deliverables\4-revenue-modeling\tools\"/>
    </mc:Choice>
  </mc:AlternateContent>
  <xr:revisionPtr revIDLastSave="0" documentId="13_ncr:1_{BDDED308-7FEA-44A7-BC35-9643F02B21E0}" xr6:coauthVersionLast="47" xr6:coauthVersionMax="47" xr10:uidLastSave="{00000000-0000-0000-0000-000000000000}"/>
  <bookViews>
    <workbookView xWindow="28680" yWindow="-120" windowWidth="29040" windowHeight="15720" activeTab="4" xr2:uid="{00000000-000D-0000-FFFF-FFFF00000000}"/>
  </bookViews>
  <sheets>
    <sheet name="Cover" sheetId="1" r:id="rId1"/>
    <sheet name="Assumptions" sheetId="2" r:id="rId2"/>
    <sheet name="Scenario Parameters" sheetId="3" r:id="rId3"/>
    <sheet name="Model" sheetId="4" r:id="rId4"/>
    <sheet name="Summary" sheetId="5" r:id="rId5"/>
  </sheets>
  <definedNames>
    <definedName name="act_gulf">Assumptions!$B$56</definedName>
    <definedName name="act_india">Assumptions!$B$57</definedName>
    <definedName name="act_referral">Assumptions!$B$55</definedName>
    <definedName name="act_s0">Assumptions!$B$49</definedName>
    <definedName name="act_s1a">Assumptions!$B$47</definedName>
    <definedName name="act_s1b">Assumptions!$B$48</definedName>
    <definedName name="act_s2">Assumptions!$B$51</definedName>
    <definedName name="act_s3">Assumptions!$B$50</definedName>
    <definedName name="act_s4">Assumptions!$B$52</definedName>
    <definedName name="act_s5">Assumptions!$B$53</definedName>
    <definedName name="act_s6">Assumptions!$B$54</definedName>
    <definedName name="aed_usd">Assumptions!$B$7</definedName>
    <definedName name="agent_commission">'Scenario Parameters'!$B$113</definedName>
    <definedName name="agent_productivity">'Scenario Parameters'!$B$17</definedName>
    <definedName name="agents_gulf_y1">Assumptions!$B$100</definedName>
    <definedName name="agents_gulf_y2">Assumptions!$B$101</definedName>
    <definedName name="agents_gulf_y3">Assumptions!$B$102</definedName>
    <definedName name="agents_gulf_y4">Assumptions!$B$103</definedName>
    <definedName name="agents_gulf_y5">Assumptions!$B$104</definedName>
    <definedName name="agents_gulf_y6">Assumptions!$B$105</definedName>
    <definedName name="agents_gulf_y7">Assumptions!$B$106</definedName>
    <definedName name="agents_india_y1">Assumptions!$B$107</definedName>
    <definedName name="agents_india_y2">Assumptions!$B$108</definedName>
    <definedName name="agents_india_y3">Assumptions!$B$109</definedName>
    <definedName name="agents_india_y4">Assumptions!$B$110</definedName>
    <definedName name="agents_india_y5">Assumptions!$B$111</definedName>
    <definedName name="agents_india_y6">Assumptions!$B$112</definedName>
    <definedName name="agents_india_y7">Assumptions!$B$113</definedName>
    <definedName name="agents_uae_y1">Assumptions!$B$93</definedName>
    <definedName name="agents_uae_y2">Assumptions!$B$94</definedName>
    <definedName name="agents_uae_y3">Assumptions!$B$95</definedName>
    <definedName name="agents_uae_y4">Assumptions!$B$96</definedName>
    <definedName name="agents_uae_y5">Assumptions!$B$97</definedName>
    <definedName name="agents_uae_y6">Assumptions!$B$98</definedName>
    <definedName name="agents_uae_y7">Assumptions!$B$99</definedName>
    <definedName name="atm_a1500">'Scenario Parameters'!$B$55</definedName>
    <definedName name="atm_a3000">'Scenario Parameters'!$B$56</definedName>
    <definedName name="atm_a3000p">'Scenario Parameters'!$B$57</definedName>
    <definedName name="atm_a500">'Scenario Parameters'!$B$54</definedName>
    <definedName name="atm_allowance">Assumptions!$B$18</definedName>
    <definedName name="atm_fee">Assumptions!$B$19</definedName>
    <definedName name="atmm_a1500">'Scenario Parameters'!$B$59</definedName>
    <definedName name="atmm_a3000">'Scenario Parameters'!$B$60</definedName>
    <definedName name="atmm_a3000p">'Scenario Parameters'!$B$61</definedName>
    <definedName name="atmm_a500">'Scenario Parameters'!$B$58</definedName>
    <definedName name="audit_usd">'Scenario Parameters'!$B$106</definedName>
    <definedName name="aum_per_partner">'Scenario Parameters'!$B$83</definedName>
    <definedName name="aum_per_partner_user">'Scenario Parameters'!$B$82</definedName>
    <definedName name="b2b_fee">'Scenario Parameters'!$B$79</definedName>
    <definedName name="bar_grams">Assumptions!$B$10</definedName>
    <definedName name="benef_count">'Scenario Parameters'!$B$70</definedName>
    <definedName name="benef_fee">Assumptions!$B$26</definedName>
    <definedName name="cac_gulf">'Scenario Parameters'!$B$19</definedName>
    <definedName name="cac_india">'Scenario Parameters'!$B$20</definedName>
    <definedName name="cac_uae">'Scenario Parameters'!$B$18</definedName>
    <definedName name="cac7_gulf">'Scenario Parameters'!$B$22</definedName>
    <definedName name="cac7_india">'Scenario Parameters'!$B$23</definedName>
    <definedName name="cac7_uae">'Scenario Parameters'!$B$21</definedName>
    <definedName name="card_activation">'Scenario Parameters'!$B$49</definedName>
    <definedName name="card_fixed_usd">'Scenario Parameters'!$B$115</definedName>
    <definedName name="card_fraud_bps">'Scenario Parameters'!$B$119</definedName>
    <definedName name="card_per_auth">'Scenario Parameters'!$B$118</definedName>
    <definedName name="card_per_card">'Scenario Parameters'!$B$117</definedName>
    <definedName name="card_setup_usd">'Scenario Parameters'!$B$116</definedName>
    <definedName name="card_txns_per_draw">'Scenario Parameters'!$B$50</definedName>
    <definedName name="ceil_gulf">Assumptions!$B$85</definedName>
    <definedName name="ceil_india">Assumptions!$B$86</definedName>
    <definedName name="ceil_total">Assumptions!$B$87</definedName>
    <definedName name="ceil_uae">Assumptions!$B$84</definedName>
    <definedName name="cost_contingency">'Scenario Parameters'!$B$127</definedName>
    <definedName name="decline_uplift">Assumptions!$B$16</definedName>
    <definedName name="disc_card">'Scenario Parameters'!$B$110</definedName>
    <definedName name="disc_entry">'Scenario Parameters'!$B$109</definedName>
    <definedName name="disc_family">'Scenario Parameters'!$B$112</definedName>
    <definedName name="disc_rebate">'Scenario Parameters'!$B$111</definedName>
    <definedName name="dmcc_annual_aed">'Scenario Parameters'!$B$99</definedName>
    <definedName name="dmcc_setup_aed">'Scenario Parameters'!$B$100</definedName>
    <definedName name="draw_events">'Scenario Parameters'!$B$67</definedName>
    <definedName name="drawn_share">'Scenario Parameters'!$B$65</definedName>
    <definedName name="entry_fee">Assumptions!$B$8</definedName>
    <definedName name="ever_qualify">'Scenario Parameters'!$B$34</definedName>
    <definedName name="fab_premium">Assumptions!$B$9</definedName>
    <definedName name="facility_turnover">'Scenario Parameters'!$B$66</definedName>
    <definedName name="family_attach">'Scenario Parameters'!$B$68</definedName>
    <definedName name="family_churn">'Scenario Parameters'!$B$69</definedName>
    <definedName name="family_churn_m">'Scenario Parameters'!$B$71</definedName>
    <definedName name="family_price">Assumptions!$B$25</definedName>
    <definedName name="float_buffer_days">'Scenario Parameters'!$B$11</definedName>
    <definedName name="foreign_spend_share">'Scenario Parameters'!$B$51</definedName>
    <definedName name="fx_margin">Assumptions!$B$17</definedName>
    <definedName name="gate_run">Assumptions!$B$42</definedName>
    <definedName name="gold_cagr">'Scenario Parameters'!$B$10</definedName>
    <definedName name="gold_price">Assumptions!$B$6</definedName>
    <definedName name="ic_gold">Assumptions!$B$14</definedName>
    <definedName name="insurance_usd">'Scenario Parameters'!$B$105</definedName>
    <definedName name="issuance_fee">Assumptions!$B$20</definedName>
    <definedName name="kyc_min_month">'Scenario Parameters'!$B$128</definedName>
    <definedName name="kyc_per_check">'Scenario Parameters'!$B$101</definedName>
    <definedName name="lapsed_redemption_mult">'Scenario Parameters'!$B$41</definedName>
    <definedName name="launch_audit_usd">'Scenario Parameters'!$B$108</definedName>
    <definedName name="ltv_gold">Assumptions!$B$31</definedName>
    <definedName name="mktg_y1">Assumptions!$B$114</definedName>
    <definedName name="mktg_y2">Assumptions!$B$115</definedName>
    <definedName name="mktg_y3">Assumptions!$B$116</definedName>
    <definedName name="mktg_y4">Assumptions!$B$117</definedName>
    <definedName name="mktg_y5">Assumptions!$B$118</definedName>
    <definedName name="mktg_y6">Assumptions!$B$119</definedName>
    <definedName name="mktg_y7">Assumptions!$B$120</definedName>
    <definedName name="mktshare_gulf">'Scenario Parameters'!$B$25</definedName>
    <definedName name="mktshare_india">'Scenario Parameters'!$B$26</definedName>
    <definedName name="mktshare_uae">'Scenario Parameters'!$B$24</definedName>
    <definedName name="monthly_churn">'Scenario Parameters'!$B$16</definedName>
    <definedName name="months_to_qualify">'Scenario Parameters'!$B$35</definedName>
    <definedName name="nla_months">'Scenario Parameters'!$B$104</definedName>
    <definedName name="organic_share">'Scenario Parameters'!$B$29</definedName>
    <definedName name="origination_gross">Assumptions!$B$27</definedName>
    <definedName name="origination_share">Assumptions!$B$28</definedName>
    <definedName name="paidup_activity_aed">'Scenario Parameters'!$B$103</definedName>
    <definedName name="paidup_issuance_aed">'Scenario Parameters'!$B$102</definedName>
    <definedName name="partner_adoption">'Scenario Parameters'!$B$81</definedName>
    <definedName name="partner_users">'Scenario Parameters'!$B$80</definedName>
    <definedName name="partners_y1">'Scenario Parameters'!$B$72</definedName>
    <definedName name="partners_y2">'Scenario Parameters'!$B$73</definedName>
    <definedName name="partners_y3">'Scenario Parameters'!$B$74</definedName>
    <definedName name="partners_y4">'Scenario Parameters'!$B$75</definedName>
    <definedName name="partners_y5">'Scenario Parameters'!$B$76</definedName>
    <definedName name="partners_y6">'Scenario Parameters'!$B$77</definedName>
    <definedName name="partners_y7">'Scenario Parameters'!$B$78</definedName>
    <definedName name="persistency_m13">'Scenario Parameters'!$B$15</definedName>
    <definedName name="pm_share">'Scenario Parameters'!$B$48</definedName>
    <definedName name="prefund_days">'Scenario Parameters'!$B$122</definedName>
    <definedName name="prefund_floor">'Scenario Parameters'!$B$123</definedName>
    <definedName name="ramp_y1">Assumptions!$B$121</definedName>
    <definedName name="ramp_y2">Assumptions!$B$122</definedName>
    <definedName name="ramp_y3">Assumptions!$B$123</definedName>
    <definedName name="ramp_y4">Assumptions!$B$124</definedName>
    <definedName name="ramp_y5">Assumptions!$B$125</definedName>
    <definedName name="ramp_y6">Assumptions!$B$126</definedName>
    <definedName name="ramp_y7">Assumptions!$B$127</definedName>
    <definedName name="redemption_cost">Assumptions!$B$43</definedName>
    <definedName name="redemption_rate">'Scenario Parameters'!$B$40</definedName>
    <definedName name="referral_conversion">'Scenario Parameters'!$B$28</definedName>
    <definedName name="referral_rate">'Scenario Parameters'!$B$27</definedName>
    <definedName name="referral_reward">'Scenario Parameters'!$B$114</definedName>
    <definedName name="reissue_rate">'Scenario Parameters'!$B$52</definedName>
    <definedName name="replacement_events">'Scenario Parameters'!$B$53</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Parameters'!$B$30</definedName>
    <definedName name="self_custody_leakage">'Scenario Parameters'!$B$39</definedName>
    <definedName name="servicing_gross">Assumptions!$B$29</definedName>
    <definedName name="servicing_share">Assumptions!$B$30</definedName>
    <definedName name="sip_floor">Assumptions!$B$41</definedName>
    <definedName name="spot_attach_mult">'Scenario Parameters'!$B$42</definedName>
    <definedName name="spot_frequency">'Scenario Parameters'!$B$44</definedName>
    <definedName name="spot_ticket_mult">'Scenario Parameters'!$B$43</definedName>
    <definedName name="spotattach_gulf">Assumptions!$B$36</definedName>
    <definedName name="spotattach_india">Assumptions!$B$37</definedName>
    <definedName name="spotattach_uae">Assumptions!$B$35</definedName>
    <definedName name="spotticket_gulf">Assumptions!$B$33</definedName>
    <definedName name="spotticket_india">Assumptions!$B$34</definedName>
    <definedName name="spotticket_uae">Assumptions!$B$32</definedName>
    <definedName name="storage_min_day">'Scenario Parameters'!$B$96</definedName>
    <definedName name="storage_rate">'Scenario Parameters'!$B$95</definedName>
    <definedName name="sw_lapsed_keeps_card">'Scenario Parameters'!$B$131</definedName>
    <definedName name="sw_premium_absorbed">'Scenario Parameters'!$B$132</definedName>
    <definedName name="sw_premium_on_gross">'Scenario Parameters'!$B$133</definedName>
    <definedName name="sw_prepaid_vs_credit">'Scenario Parameters'!$B$130</definedName>
    <definedName name="tech_build_y1">'Scenario Parameters'!$B$124</definedName>
    <definedName name="tech_build_y2">'Scenario Parameters'!$B$125</definedName>
    <definedName name="tech_maint">'Scenario Parameters'!$B$126</definedName>
    <definedName name="techaudit_usd">'Scenario Parameters'!$B$107</definedName>
    <definedName name="ticket_gulf">'Scenario Parameters'!$B$88</definedName>
    <definedName name="ticket_india">'Scenario Parameters'!$B$89</definedName>
    <definedName name="ticket_uae">'Scenario Parameters'!$B$87</definedName>
    <definedName name="txn_fee">Assumptions!$B$15</definedName>
    <definedName name="uae_spend_abroad">'Scenario Parameters'!$B$121</definedName>
    <definedName name="vara_application_aed">'Scenario Parameters'!$B$98</definedName>
    <definedName name="vara_supervision_aed">'Scenario Parameters'!$B$97</definedName>
    <definedName name="xborder_rate">'Scenario Parameters'!$B$120</definedName>
    <definedName name="xchk_uae_obs">Assumptions!$B$89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5" l="1"/>
  <c r="AE291" i="4"/>
  <c r="J60" i="5" s="1"/>
  <c r="AD291" i="4"/>
  <c r="I60" i="5" s="1"/>
  <c r="AC291" i="4"/>
  <c r="H60" i="5" s="1"/>
  <c r="AB291" i="4"/>
  <c r="G60" i="5" s="1"/>
  <c r="AA291" i="4"/>
  <c r="F60" i="5" s="1"/>
  <c r="Z291" i="4"/>
  <c r="Y291" i="4"/>
  <c r="X291" i="4"/>
  <c r="W291" i="4"/>
  <c r="V291" i="4"/>
  <c r="U291" i="4"/>
  <c r="T291" i="4"/>
  <c r="S291" i="4"/>
  <c r="R291" i="4"/>
  <c r="Q291" i="4"/>
  <c r="P291" i="4"/>
  <c r="N291" i="4"/>
  <c r="M291" i="4"/>
  <c r="L291" i="4"/>
  <c r="K291" i="4"/>
  <c r="J291" i="4"/>
  <c r="I291" i="4"/>
  <c r="H291" i="4"/>
  <c r="G291" i="4"/>
  <c r="F291" i="4"/>
  <c r="E291" i="4"/>
  <c r="D291" i="4"/>
  <c r="C291" i="4"/>
  <c r="N289" i="4"/>
  <c r="M289" i="4"/>
  <c r="L289" i="4"/>
  <c r="K289" i="4"/>
  <c r="J289" i="4"/>
  <c r="I289" i="4"/>
  <c r="H289" i="4"/>
  <c r="G289" i="4"/>
  <c r="F289" i="4"/>
  <c r="E289" i="4"/>
  <c r="D289" i="4"/>
  <c r="C289" i="4"/>
  <c r="C279" i="4"/>
  <c r="AE272" i="4"/>
  <c r="J55" i="5" s="1"/>
  <c r="AD272" i="4"/>
  <c r="AC272" i="4"/>
  <c r="AB272" i="4"/>
  <c r="AA272" i="4"/>
  <c r="Z272" i="4"/>
  <c r="Y272" i="4"/>
  <c r="X272" i="4"/>
  <c r="W272" i="4"/>
  <c r="V272" i="4"/>
  <c r="U272" i="4"/>
  <c r="T272" i="4"/>
  <c r="S272" i="4"/>
  <c r="R272" i="4"/>
  <c r="Q272" i="4"/>
  <c r="P272" i="4"/>
  <c r="O272" i="4"/>
  <c r="N272" i="4"/>
  <c r="M272" i="4"/>
  <c r="L272" i="4"/>
  <c r="K272" i="4"/>
  <c r="J272" i="4"/>
  <c r="I272" i="4"/>
  <c r="H272" i="4"/>
  <c r="G272" i="4"/>
  <c r="F272" i="4"/>
  <c r="E272" i="4"/>
  <c r="D272" i="4"/>
  <c r="C272" i="4"/>
  <c r="Z253" i="4"/>
  <c r="Y253" i="4"/>
  <c r="X253" i="4"/>
  <c r="W253" i="4"/>
  <c r="V253" i="4"/>
  <c r="U253" i="4"/>
  <c r="T253" i="4"/>
  <c r="S253" i="4"/>
  <c r="R253" i="4"/>
  <c r="Q253" i="4"/>
  <c r="P253" i="4"/>
  <c r="O253" i="4"/>
  <c r="N253" i="4"/>
  <c r="M253" i="4"/>
  <c r="L253" i="4"/>
  <c r="K253" i="4"/>
  <c r="J253" i="4"/>
  <c r="I253" i="4"/>
  <c r="H253" i="4"/>
  <c r="G253" i="4"/>
  <c r="F253" i="4"/>
  <c r="E253" i="4"/>
  <c r="D253" i="4"/>
  <c r="C253" i="4"/>
  <c r="AE251" i="4"/>
  <c r="J46" i="5" s="1"/>
  <c r="AD251" i="4"/>
  <c r="I46" i="5" s="1"/>
  <c r="AC251" i="4"/>
  <c r="H46" i="5" s="1"/>
  <c r="AB251" i="4"/>
  <c r="G46" i="5" s="1"/>
  <c r="AA251" i="4"/>
  <c r="F46" i="5" s="1"/>
  <c r="AE241" i="4"/>
  <c r="J48" i="5" s="1"/>
  <c r="AD241" i="4"/>
  <c r="I48" i="5" s="1"/>
  <c r="AC241" i="4"/>
  <c r="H48" i="5" s="1"/>
  <c r="AB241" i="4"/>
  <c r="G48" i="5" s="1"/>
  <c r="AA241" i="4"/>
  <c r="F48" i="5" s="1"/>
  <c r="Z241" i="4"/>
  <c r="Y241" i="4"/>
  <c r="X241" i="4"/>
  <c r="W241" i="4"/>
  <c r="V241" i="4"/>
  <c r="U241" i="4"/>
  <c r="T241" i="4"/>
  <c r="S241" i="4"/>
  <c r="R241" i="4"/>
  <c r="Q241" i="4"/>
  <c r="P241" i="4"/>
  <c r="O241" i="4"/>
  <c r="N241" i="4"/>
  <c r="M241" i="4"/>
  <c r="L241" i="4"/>
  <c r="K241" i="4"/>
  <c r="J241" i="4"/>
  <c r="I241" i="4"/>
  <c r="H241" i="4"/>
  <c r="G241" i="4"/>
  <c r="F241" i="4"/>
  <c r="E241" i="4"/>
  <c r="D241" i="4"/>
  <c r="Z238" i="4"/>
  <c r="Y238" i="4"/>
  <c r="X238" i="4"/>
  <c r="W238" i="4"/>
  <c r="V238" i="4"/>
  <c r="U238" i="4"/>
  <c r="T238" i="4"/>
  <c r="S238" i="4"/>
  <c r="R238" i="4"/>
  <c r="Q238" i="4"/>
  <c r="P238" i="4"/>
  <c r="N238" i="4"/>
  <c r="M238" i="4"/>
  <c r="L238" i="4"/>
  <c r="K238" i="4"/>
  <c r="J238" i="4"/>
  <c r="I238" i="4"/>
  <c r="H238" i="4"/>
  <c r="G238" i="4"/>
  <c r="F238" i="4"/>
  <c r="E238" i="4"/>
  <c r="D238" i="4"/>
  <c r="Z236" i="4"/>
  <c r="Y236" i="4"/>
  <c r="X236" i="4"/>
  <c r="W236" i="4"/>
  <c r="V236" i="4"/>
  <c r="U236" i="4"/>
  <c r="T236" i="4"/>
  <c r="S236" i="4"/>
  <c r="R236" i="4"/>
  <c r="Q236" i="4"/>
  <c r="P236" i="4"/>
  <c r="N236" i="4"/>
  <c r="M236" i="4"/>
  <c r="L236" i="4"/>
  <c r="K236" i="4"/>
  <c r="J236" i="4"/>
  <c r="I236" i="4"/>
  <c r="H236" i="4"/>
  <c r="G236" i="4"/>
  <c r="F236" i="4"/>
  <c r="E236" i="4"/>
  <c r="D236" i="4"/>
  <c r="C222" i="4"/>
  <c r="N214" i="4"/>
  <c r="D82" i="5" s="1"/>
  <c r="M214" i="4"/>
  <c r="L214" i="4"/>
  <c r="K214" i="4"/>
  <c r="J214" i="4"/>
  <c r="I214" i="4"/>
  <c r="H214" i="4"/>
  <c r="G214" i="4"/>
  <c r="F214" i="4"/>
  <c r="E214" i="4"/>
  <c r="D214" i="4"/>
  <c r="C214" i="4"/>
  <c r="N154" i="4"/>
  <c r="M154" i="4"/>
  <c r="L154" i="4"/>
  <c r="K154" i="4"/>
  <c r="J154" i="4"/>
  <c r="I154" i="4"/>
  <c r="H154" i="4"/>
  <c r="G154" i="4"/>
  <c r="F154" i="4"/>
  <c r="E154" i="4"/>
  <c r="D154" i="4"/>
  <c r="C154" i="4"/>
  <c r="N149" i="4"/>
  <c r="M149" i="4"/>
  <c r="L149" i="4"/>
  <c r="K149" i="4"/>
  <c r="J149" i="4"/>
  <c r="I149" i="4"/>
  <c r="H149" i="4"/>
  <c r="G149" i="4"/>
  <c r="F149" i="4"/>
  <c r="E149" i="4"/>
  <c r="D149" i="4"/>
  <c r="C149" i="4"/>
  <c r="N148" i="4"/>
  <c r="M148" i="4"/>
  <c r="L148" i="4"/>
  <c r="K148" i="4"/>
  <c r="J148" i="4"/>
  <c r="I148" i="4"/>
  <c r="H148" i="4"/>
  <c r="G148" i="4"/>
  <c r="F148" i="4"/>
  <c r="E148" i="4"/>
  <c r="D148" i="4"/>
  <c r="C148" i="4"/>
  <c r="N147" i="4"/>
  <c r="M147" i="4"/>
  <c r="L147" i="4"/>
  <c r="K147" i="4"/>
  <c r="J147" i="4"/>
  <c r="I147" i="4"/>
  <c r="H147" i="4"/>
  <c r="G147" i="4"/>
  <c r="F147" i="4"/>
  <c r="E147" i="4"/>
  <c r="D147" i="4"/>
  <c r="C147" i="4"/>
  <c r="H145" i="4"/>
  <c r="G145" i="4"/>
  <c r="F145" i="4"/>
  <c r="E145" i="4"/>
  <c r="D145" i="4"/>
  <c r="C145" i="4"/>
  <c r="N132" i="4"/>
  <c r="N133" i="4" s="1"/>
  <c r="M132" i="4"/>
  <c r="M133" i="4" s="1"/>
  <c r="L132" i="4"/>
  <c r="L133" i="4" s="1"/>
  <c r="K132" i="4"/>
  <c r="J132" i="4"/>
  <c r="J133" i="4" s="1"/>
  <c r="I132" i="4"/>
  <c r="I133" i="4" s="1"/>
  <c r="H132" i="4"/>
  <c r="H133" i="4" s="1"/>
  <c r="G132" i="4"/>
  <c r="G133" i="4" s="1"/>
  <c r="F132" i="4"/>
  <c r="E132" i="4"/>
  <c r="D132" i="4"/>
  <c r="C132" i="4"/>
  <c r="C134" i="4" s="1"/>
  <c r="N113" i="4"/>
  <c r="M113" i="4"/>
  <c r="L113" i="4"/>
  <c r="K113" i="4"/>
  <c r="J113" i="4"/>
  <c r="I113" i="4"/>
  <c r="H113" i="4"/>
  <c r="G113" i="4"/>
  <c r="F113" i="4"/>
  <c r="E113" i="4"/>
  <c r="D113" i="4"/>
  <c r="N106" i="4"/>
  <c r="M106" i="4"/>
  <c r="L106" i="4"/>
  <c r="K106" i="4"/>
  <c r="J106" i="4"/>
  <c r="I106" i="4"/>
  <c r="H106" i="4"/>
  <c r="G106" i="4"/>
  <c r="F106" i="4"/>
  <c r="E106" i="4"/>
  <c r="D106" i="4"/>
  <c r="C106" i="4"/>
  <c r="N105" i="4"/>
  <c r="M105" i="4"/>
  <c r="L105" i="4"/>
  <c r="K105" i="4"/>
  <c r="J105" i="4"/>
  <c r="I105" i="4"/>
  <c r="H105" i="4"/>
  <c r="G105" i="4"/>
  <c r="F105" i="4"/>
  <c r="E105" i="4"/>
  <c r="D105" i="4"/>
  <c r="C105" i="4"/>
  <c r="N104" i="4"/>
  <c r="M104" i="4"/>
  <c r="L104" i="4"/>
  <c r="K104" i="4"/>
  <c r="J104" i="4"/>
  <c r="I104" i="4"/>
  <c r="H104" i="4"/>
  <c r="G104" i="4"/>
  <c r="F104" i="4"/>
  <c r="E104" i="4"/>
  <c r="D104" i="4"/>
  <c r="C104" i="4"/>
  <c r="H102" i="4"/>
  <c r="G102" i="4"/>
  <c r="F102" i="4"/>
  <c r="E102" i="4"/>
  <c r="D102" i="4"/>
  <c r="C102" i="4"/>
  <c r="N89" i="4"/>
  <c r="M89" i="4"/>
  <c r="M90" i="4" s="1"/>
  <c r="L89" i="4"/>
  <c r="K89" i="4"/>
  <c r="J89" i="4"/>
  <c r="J90" i="4" s="1"/>
  <c r="I89" i="4"/>
  <c r="H89" i="4"/>
  <c r="H90" i="4" s="1"/>
  <c r="G89" i="4"/>
  <c r="F89" i="4"/>
  <c r="F90" i="4" s="1"/>
  <c r="E89" i="4"/>
  <c r="E90" i="4" s="1"/>
  <c r="D89" i="4"/>
  <c r="D90" i="4" s="1"/>
  <c r="C89" i="4"/>
  <c r="C91" i="4" s="1"/>
  <c r="N70" i="4"/>
  <c r="M70" i="4"/>
  <c r="L70" i="4"/>
  <c r="K70" i="4"/>
  <c r="J70" i="4"/>
  <c r="I70" i="4"/>
  <c r="H70" i="4"/>
  <c r="G70" i="4"/>
  <c r="F70" i="4"/>
  <c r="E70" i="4"/>
  <c r="D70" i="4"/>
  <c r="N63" i="4"/>
  <c r="M63" i="4"/>
  <c r="L63" i="4"/>
  <c r="K63" i="4"/>
  <c r="J63" i="4"/>
  <c r="I63" i="4"/>
  <c r="H63" i="4"/>
  <c r="G63" i="4"/>
  <c r="F63" i="4"/>
  <c r="E63" i="4"/>
  <c r="D63" i="4"/>
  <c r="C63" i="4"/>
  <c r="N62" i="4"/>
  <c r="M62" i="4"/>
  <c r="L62" i="4"/>
  <c r="K62" i="4"/>
  <c r="J62" i="4"/>
  <c r="I62" i="4"/>
  <c r="H62" i="4"/>
  <c r="G62" i="4"/>
  <c r="F62" i="4"/>
  <c r="E62" i="4"/>
  <c r="D62" i="4"/>
  <c r="C62" i="4"/>
  <c r="N61" i="4"/>
  <c r="M61" i="4"/>
  <c r="L61" i="4"/>
  <c r="K61" i="4"/>
  <c r="J61" i="4"/>
  <c r="I61" i="4"/>
  <c r="H61" i="4"/>
  <c r="G61" i="4"/>
  <c r="F61" i="4"/>
  <c r="E61" i="4"/>
  <c r="D61" i="4"/>
  <c r="C61" i="4"/>
  <c r="H59" i="4"/>
  <c r="G59" i="4"/>
  <c r="F59" i="4"/>
  <c r="E59" i="4"/>
  <c r="D59" i="4"/>
  <c r="C59" i="4"/>
  <c r="N46" i="4"/>
  <c r="M46" i="4"/>
  <c r="L46" i="4"/>
  <c r="L48" i="4" s="1"/>
  <c r="K46" i="4"/>
  <c r="K47" i="4" s="1"/>
  <c r="J46" i="4"/>
  <c r="J47" i="4" s="1"/>
  <c r="I46" i="4"/>
  <c r="I47" i="4" s="1"/>
  <c r="H46" i="4"/>
  <c r="G46" i="4"/>
  <c r="G47" i="4" s="1"/>
  <c r="F46" i="4"/>
  <c r="E46" i="4"/>
  <c r="D46" i="4"/>
  <c r="C46" i="4"/>
  <c r="N27" i="4"/>
  <c r="M27" i="4"/>
  <c r="L27" i="4"/>
  <c r="K27" i="4"/>
  <c r="J27" i="4"/>
  <c r="I27" i="4"/>
  <c r="H27" i="4"/>
  <c r="G27" i="4"/>
  <c r="F27" i="4"/>
  <c r="E27" i="4"/>
  <c r="D27" i="4"/>
  <c r="AE16" i="4"/>
  <c r="AD16" i="4"/>
  <c r="AC16" i="4"/>
  <c r="AB16" i="4"/>
  <c r="AA16" i="4"/>
  <c r="AE15" i="4"/>
  <c r="AD15" i="4"/>
  <c r="AC15" i="4"/>
  <c r="AB15" i="4"/>
  <c r="AA15" i="4"/>
  <c r="A1" i="4"/>
  <c r="B133" i="3"/>
  <c r="B230" i="2" s="1"/>
  <c r="B132" i="3"/>
  <c r="B229" i="2" s="1"/>
  <c r="B131" i="3"/>
  <c r="B228" i="2" s="1"/>
  <c r="B130" i="3"/>
  <c r="C6" i="3"/>
  <c r="B121" i="3" s="1"/>
  <c r="B219" i="2" s="1"/>
  <c r="A1" i="3"/>
  <c r="B227" i="2"/>
  <c r="I79" i="2"/>
  <c r="B86" i="2" s="1"/>
  <c r="H79" i="2"/>
  <c r="B85" i="2" s="1"/>
  <c r="I77" i="2"/>
  <c r="H77" i="2"/>
  <c r="G77" i="2"/>
  <c r="G79" i="2" s="1"/>
  <c r="F77" i="2"/>
  <c r="F79" i="2" s="1"/>
  <c r="B84" i="2" s="1"/>
  <c r="A1" i="2"/>
  <c r="C5" i="1"/>
  <c r="I48" i="4" l="1"/>
  <c r="L91" i="4"/>
  <c r="D134" i="4"/>
  <c r="K91" i="4"/>
  <c r="L134" i="4"/>
  <c r="L288" i="4" s="1"/>
  <c r="F193" i="4"/>
  <c r="F194" i="4"/>
  <c r="M194" i="4"/>
  <c r="N91" i="4"/>
  <c r="N194" i="4"/>
  <c r="H47" i="4"/>
  <c r="H48" i="4"/>
  <c r="H193" i="4"/>
  <c r="H194" i="4"/>
  <c r="C194" i="4"/>
  <c r="F48" i="4"/>
  <c r="C193" i="4"/>
  <c r="M48" i="4"/>
  <c r="F91" i="4"/>
  <c r="J193" i="4"/>
  <c r="F47" i="4"/>
  <c r="K193" i="4"/>
  <c r="K194" i="4"/>
  <c r="L194" i="4"/>
  <c r="M91" i="4"/>
  <c r="M134" i="4"/>
  <c r="D91" i="4"/>
  <c r="E48" i="5"/>
  <c r="M47" i="4"/>
  <c r="D193" i="4"/>
  <c r="D194" i="4"/>
  <c r="K90" i="4"/>
  <c r="N134" i="4"/>
  <c r="E193" i="4"/>
  <c r="E194" i="4"/>
  <c r="L90" i="4"/>
  <c r="C133" i="4"/>
  <c r="G193" i="4"/>
  <c r="G194" i="4"/>
  <c r="N90" i="4"/>
  <c r="E91" i="4"/>
  <c r="I194" i="4"/>
  <c r="G134" i="4"/>
  <c r="I193" i="4"/>
  <c r="J194" i="4"/>
  <c r="H134" i="4"/>
  <c r="J134" i="4"/>
  <c r="B87" i="2"/>
  <c r="B90" i="2"/>
  <c r="B43" i="3"/>
  <c r="B155" i="2" s="1"/>
  <c r="B88" i="3"/>
  <c r="B191" i="2" s="1"/>
  <c r="B117" i="3"/>
  <c r="B215" i="2" s="1"/>
  <c r="B11" i="3"/>
  <c r="B132" i="2" s="1"/>
  <c r="B26" i="3"/>
  <c r="B144" i="2" s="1"/>
  <c r="B44" i="3"/>
  <c r="B156" i="2" s="1"/>
  <c r="B59" i="3"/>
  <c r="B168" i="2" s="1"/>
  <c r="B74" i="3"/>
  <c r="B180" i="2" s="1"/>
  <c r="B89" i="3"/>
  <c r="B192" i="2" s="1"/>
  <c r="B106" i="3"/>
  <c r="B204" i="2" s="1"/>
  <c r="B118" i="3"/>
  <c r="B216" i="2" s="1"/>
  <c r="B15" i="3"/>
  <c r="B27" i="3"/>
  <c r="B145" i="2" s="1"/>
  <c r="B48" i="3"/>
  <c r="B157" i="2" s="1"/>
  <c r="B60" i="3"/>
  <c r="B169" i="2" s="1"/>
  <c r="B75" i="3"/>
  <c r="B181" i="2" s="1"/>
  <c r="B95" i="3"/>
  <c r="B193" i="2" s="1"/>
  <c r="B107" i="3"/>
  <c r="B205" i="2" s="1"/>
  <c r="B119" i="3"/>
  <c r="B217" i="2" s="1"/>
  <c r="B18" i="3"/>
  <c r="B136" i="2" s="1"/>
  <c r="B30" i="3"/>
  <c r="B148" i="2" s="1"/>
  <c r="B51" i="3"/>
  <c r="B160" i="2" s="1"/>
  <c r="B66" i="3"/>
  <c r="B172" i="2" s="1"/>
  <c r="B78" i="3"/>
  <c r="B184" i="2" s="1"/>
  <c r="B98" i="3"/>
  <c r="B196" i="2" s="1"/>
  <c r="B110" i="3"/>
  <c r="B208" i="2" s="1"/>
  <c r="B122" i="3"/>
  <c r="B220" i="2" s="1"/>
  <c r="I279" i="4"/>
  <c r="B123" i="3"/>
  <c r="B221" i="2" s="1"/>
  <c r="J279" i="4"/>
  <c r="D55" i="5"/>
  <c r="E55" i="5"/>
  <c r="B111" i="3"/>
  <c r="B209" i="2" s="1"/>
  <c r="B80" i="3"/>
  <c r="B19" i="3"/>
  <c r="B137" i="2" s="1"/>
  <c r="B34" i="3"/>
  <c r="B149" i="2" s="1"/>
  <c r="B52" i="3"/>
  <c r="B161" i="2" s="1"/>
  <c r="B79" i="3"/>
  <c r="B185" i="2" s="1"/>
  <c r="D155" i="4" s="1"/>
  <c r="B100" i="3"/>
  <c r="B198" i="2" s="1"/>
  <c r="B21" i="3"/>
  <c r="B139" i="2" s="1"/>
  <c r="B39" i="3"/>
  <c r="B151" i="2" s="1"/>
  <c r="B54" i="3"/>
  <c r="B163" i="2" s="1"/>
  <c r="B69" i="3"/>
  <c r="B175" i="2" s="1"/>
  <c r="B81" i="3"/>
  <c r="B187" i="2" s="1"/>
  <c r="B101" i="3"/>
  <c r="B199" i="2" s="1"/>
  <c r="B113" i="3"/>
  <c r="B211" i="2" s="1"/>
  <c r="B125" i="3"/>
  <c r="B223" i="2" s="1"/>
  <c r="L279" i="4"/>
  <c r="N163" i="4"/>
  <c r="D96" i="5" s="1"/>
  <c r="N47" i="4"/>
  <c r="N48" i="4"/>
  <c r="B99" i="3"/>
  <c r="B197" i="2" s="1"/>
  <c r="B20" i="3"/>
  <c r="B138" i="2" s="1"/>
  <c r="B35" i="3"/>
  <c r="B150" i="2" s="1"/>
  <c r="B53" i="3"/>
  <c r="B162" i="2" s="1"/>
  <c r="B68" i="3"/>
  <c r="B174" i="2" s="1"/>
  <c r="B124" i="3"/>
  <c r="B222" i="2" s="1"/>
  <c r="B22" i="3"/>
  <c r="B140" i="2" s="1"/>
  <c r="B40" i="3"/>
  <c r="B152" i="2" s="1"/>
  <c r="B55" i="3"/>
  <c r="B164" i="2" s="1"/>
  <c r="B70" i="3"/>
  <c r="B176" i="2" s="1"/>
  <c r="C103" i="4" s="1"/>
  <c r="B82" i="3"/>
  <c r="B188" i="2" s="1"/>
  <c r="B114" i="3"/>
  <c r="B212" i="2" s="1"/>
  <c r="B126" i="3"/>
  <c r="B224" i="2" s="1"/>
  <c r="C163" i="4"/>
  <c r="C47" i="4"/>
  <c r="C48" i="4"/>
  <c r="C288" i="4" s="1"/>
  <c r="B67" i="3"/>
  <c r="B173" i="2" s="1"/>
  <c r="B112" i="3"/>
  <c r="B210" i="2" s="1"/>
  <c r="K279" i="4"/>
  <c r="B102" i="3"/>
  <c r="B200" i="2" s="1"/>
  <c r="B23" i="3"/>
  <c r="B141" i="2" s="1"/>
  <c r="B41" i="3"/>
  <c r="B153" i="2" s="1"/>
  <c r="B56" i="3"/>
  <c r="B165" i="2" s="1"/>
  <c r="B103" i="3"/>
  <c r="B201" i="2" s="1"/>
  <c r="B115" i="3"/>
  <c r="B213" i="2" s="1"/>
  <c r="B127" i="3"/>
  <c r="B225" i="2" s="1"/>
  <c r="N279" i="4"/>
  <c r="B24" i="3"/>
  <c r="B142" i="2" s="1"/>
  <c r="B42" i="3"/>
  <c r="B154" i="2" s="1"/>
  <c r="B57" i="3"/>
  <c r="B166" i="2" s="1"/>
  <c r="B72" i="3"/>
  <c r="B178" i="2" s="1"/>
  <c r="B87" i="3"/>
  <c r="B190" i="2" s="1"/>
  <c r="B104" i="3"/>
  <c r="B202" i="2" s="1"/>
  <c r="B116" i="3"/>
  <c r="B214" i="2" s="1"/>
  <c r="O291" i="4" s="1"/>
  <c r="E60" i="5" s="1"/>
  <c r="B128" i="3"/>
  <c r="B226" i="2" s="1"/>
  <c r="E163" i="4"/>
  <c r="E48" i="4"/>
  <c r="E47" i="4"/>
  <c r="B25" i="3"/>
  <c r="B143" i="2" s="1"/>
  <c r="B58" i="3"/>
  <c r="B167" i="2" s="1"/>
  <c r="B73" i="3"/>
  <c r="B179" i="2" s="1"/>
  <c r="B105" i="3"/>
  <c r="B203" i="2" s="1"/>
  <c r="G90" i="4"/>
  <c r="G91" i="4"/>
  <c r="B10" i="3"/>
  <c r="B131" i="2" s="1"/>
  <c r="B28" i="3"/>
  <c r="B146" i="2" s="1"/>
  <c r="B49" i="3"/>
  <c r="B158" i="2" s="1"/>
  <c r="B61" i="3"/>
  <c r="B170" i="2" s="1"/>
  <c r="B76" i="3"/>
  <c r="B182" i="2" s="1"/>
  <c r="B96" i="3"/>
  <c r="B194" i="2" s="1"/>
  <c r="B108" i="3"/>
  <c r="B206" i="2" s="1"/>
  <c r="B120" i="3"/>
  <c r="B218" i="2" s="1"/>
  <c r="B17" i="3"/>
  <c r="B135" i="2" s="1"/>
  <c r="B29" i="3"/>
  <c r="B147" i="2" s="1"/>
  <c r="B50" i="3"/>
  <c r="B159" i="2" s="1"/>
  <c r="B65" i="3"/>
  <c r="B171" i="2" s="1"/>
  <c r="B77" i="3"/>
  <c r="B183" i="2" s="1"/>
  <c r="B97" i="3"/>
  <c r="B195" i="2" s="1"/>
  <c r="B109" i="3"/>
  <c r="B207" i="2" s="1"/>
  <c r="D163" i="4"/>
  <c r="D47" i="4"/>
  <c r="M279" i="4"/>
  <c r="F163" i="4"/>
  <c r="G48" i="4"/>
  <c r="D279" i="4"/>
  <c r="E279" i="4"/>
  <c r="J163" i="4"/>
  <c r="J48" i="4"/>
  <c r="F279" i="4"/>
  <c r="K163" i="4"/>
  <c r="K48" i="4"/>
  <c r="G279" i="4"/>
  <c r="L163" i="4"/>
  <c r="L47" i="4"/>
  <c r="D48" i="4"/>
  <c r="L193" i="4"/>
  <c r="H279" i="4"/>
  <c r="M163" i="4"/>
  <c r="C90" i="4"/>
  <c r="M193" i="4"/>
  <c r="H91" i="4"/>
  <c r="N193" i="4"/>
  <c r="I90" i="4"/>
  <c r="J91" i="4"/>
  <c r="I91" i="4"/>
  <c r="G163" i="4"/>
  <c r="H163" i="4"/>
  <c r="I163" i="4"/>
  <c r="E134" i="4"/>
  <c r="E133" i="4"/>
  <c r="F133" i="4"/>
  <c r="F134" i="4"/>
  <c r="K133" i="4"/>
  <c r="I134" i="4"/>
  <c r="D133" i="4"/>
  <c r="K134" i="4"/>
  <c r="D47" i="5"/>
  <c r="E47" i="5"/>
  <c r="I55" i="5"/>
  <c r="D60" i="5"/>
  <c r="D59" i="5"/>
  <c r="F55" i="5"/>
  <c r="G55" i="5"/>
  <c r="H55" i="5"/>
  <c r="H146" i="4" l="1"/>
  <c r="H60" i="4"/>
  <c r="D280" i="4"/>
  <c r="D19" i="5"/>
  <c r="G280" i="4"/>
  <c r="L292" i="4"/>
  <c r="H288" i="4"/>
  <c r="H292" i="4" s="1"/>
  <c r="G60" i="4"/>
  <c r="I280" i="4"/>
  <c r="L280" i="4"/>
  <c r="N155" i="4"/>
  <c r="F280" i="4"/>
  <c r="J98" i="4"/>
  <c r="F60" i="4"/>
  <c r="C155" i="4"/>
  <c r="J155" i="4"/>
  <c r="D103" i="4"/>
  <c r="M280" i="4"/>
  <c r="M288" i="4"/>
  <c r="M292" i="4" s="1"/>
  <c r="M155" i="4"/>
  <c r="J288" i="4"/>
  <c r="J292" i="4" s="1"/>
  <c r="H280" i="4"/>
  <c r="N280" i="4"/>
  <c r="F288" i="4"/>
  <c r="F292" i="4" s="1"/>
  <c r="C292" i="4"/>
  <c r="E280" i="4"/>
  <c r="J280" i="4"/>
  <c r="I288" i="4"/>
  <c r="I292" i="4" s="1"/>
  <c r="D288" i="4"/>
  <c r="D292" i="4" s="1"/>
  <c r="E288" i="4"/>
  <c r="E292" i="4" s="1"/>
  <c r="N288" i="4"/>
  <c r="N292" i="4" s="1"/>
  <c r="D141" i="4"/>
  <c r="K141" i="4"/>
  <c r="G141" i="4"/>
  <c r="C98" i="4"/>
  <c r="L55" i="4"/>
  <c r="E55" i="4"/>
  <c r="N55" i="4"/>
  <c r="N13" i="4"/>
  <c r="M13" i="4"/>
  <c r="L13" i="4"/>
  <c r="K13" i="4"/>
  <c r="J13" i="4"/>
  <c r="I13" i="4"/>
  <c r="H13" i="4"/>
  <c r="G13" i="4"/>
  <c r="F13" i="4"/>
  <c r="E13" i="4"/>
  <c r="D13" i="4"/>
  <c r="C13" i="4"/>
  <c r="V245" i="4"/>
  <c r="J245" i="4"/>
  <c r="U245" i="4"/>
  <c r="I245" i="4"/>
  <c r="AD245" i="4"/>
  <c r="I43" i="5" s="1"/>
  <c r="R245" i="4"/>
  <c r="F245" i="4"/>
  <c r="AB245" i="4"/>
  <c r="G43" i="5" s="1"/>
  <c r="P245" i="4"/>
  <c r="D245" i="4"/>
  <c r="AA245" i="4"/>
  <c r="F43" i="5" s="1"/>
  <c r="O245" i="4"/>
  <c r="C245" i="4"/>
  <c r="Z245" i="4"/>
  <c r="N245" i="4"/>
  <c r="Y245" i="4"/>
  <c r="M245" i="4"/>
  <c r="X245" i="4"/>
  <c r="L245" i="4"/>
  <c r="W245" i="4"/>
  <c r="K245" i="4"/>
  <c r="AC245" i="4"/>
  <c r="H43" i="5" s="1"/>
  <c r="S245" i="4"/>
  <c r="Q245" i="4"/>
  <c r="H245" i="4"/>
  <c r="G245" i="4"/>
  <c r="E245" i="4"/>
  <c r="AE245" i="4"/>
  <c r="J43" i="5" s="1"/>
  <c r="T245" i="4"/>
  <c r="N12" i="4"/>
  <c r="N11" i="4"/>
  <c r="M12" i="4"/>
  <c r="M11" i="4"/>
  <c r="L12" i="4"/>
  <c r="L11" i="4"/>
  <c r="K12" i="4"/>
  <c r="K11" i="4"/>
  <c r="J12" i="4"/>
  <c r="J11" i="4"/>
  <c r="I12" i="4"/>
  <c r="I11" i="4"/>
  <c r="H12" i="4"/>
  <c r="H11" i="4"/>
  <c r="G12" i="4"/>
  <c r="G11" i="4"/>
  <c r="F12" i="4"/>
  <c r="F11" i="4"/>
  <c r="E12" i="4"/>
  <c r="E11" i="4"/>
  <c r="D12" i="4"/>
  <c r="D11" i="4"/>
  <c r="C12" i="4"/>
  <c r="C11" i="4"/>
  <c r="H155" i="4"/>
  <c r="G155" i="4"/>
  <c r="F155" i="4"/>
  <c r="E155" i="4"/>
  <c r="AC25" i="4"/>
  <c r="AC26" i="4" s="1"/>
  <c r="Q25" i="4"/>
  <c r="Q26" i="4" s="1"/>
  <c r="E25" i="4"/>
  <c r="E26" i="4" s="1"/>
  <c r="AB25" i="4"/>
  <c r="P25" i="4"/>
  <c r="P26" i="4" s="1"/>
  <c r="D25" i="4"/>
  <c r="D26" i="4" s="1"/>
  <c r="AA25" i="4"/>
  <c r="AA26" i="4" s="1"/>
  <c r="O25" i="4"/>
  <c r="O26" i="4" s="1"/>
  <c r="C25" i="4"/>
  <c r="Z25" i="4"/>
  <c r="Z26" i="4" s="1"/>
  <c r="N25" i="4"/>
  <c r="N26" i="4" s="1"/>
  <c r="Y25" i="4"/>
  <c r="Y26" i="4" s="1"/>
  <c r="M25" i="4"/>
  <c r="M26" i="4" s="1"/>
  <c r="W25" i="4"/>
  <c r="W26" i="4" s="1"/>
  <c r="F25" i="4"/>
  <c r="V25" i="4"/>
  <c r="U25" i="4"/>
  <c r="U26" i="4" s="1"/>
  <c r="T25" i="4"/>
  <c r="S25" i="4"/>
  <c r="S26" i="4" s="1"/>
  <c r="R25" i="4"/>
  <c r="R26" i="4" s="1"/>
  <c r="L25" i="4"/>
  <c r="L26" i="4" s="1"/>
  <c r="K25" i="4"/>
  <c r="K26" i="4" s="1"/>
  <c r="J25" i="4"/>
  <c r="J26" i="4" s="1"/>
  <c r="AE25" i="4"/>
  <c r="AE26" i="4" s="1"/>
  <c r="I25" i="4"/>
  <c r="I26" i="4" s="1"/>
  <c r="AD25" i="4"/>
  <c r="AD26" i="4" s="1"/>
  <c r="H25" i="4"/>
  <c r="H26" i="4" s="1"/>
  <c r="X25" i="4"/>
  <c r="G25" i="4"/>
  <c r="G26" i="4" s="1"/>
  <c r="N141" i="4"/>
  <c r="F141" i="4"/>
  <c r="T114" i="4"/>
  <c r="H114" i="4"/>
  <c r="AE114" i="4"/>
  <c r="S114" i="4"/>
  <c r="AD114" i="4"/>
  <c r="R114" i="4"/>
  <c r="F114" i="4"/>
  <c r="AC114" i="4"/>
  <c r="Q114" i="4"/>
  <c r="Z114" i="4"/>
  <c r="J114" i="4"/>
  <c r="Y114" i="4"/>
  <c r="I114" i="4"/>
  <c r="X114" i="4"/>
  <c r="G114" i="4"/>
  <c r="W114" i="4"/>
  <c r="E114" i="4"/>
  <c r="V114" i="4"/>
  <c r="D114" i="4"/>
  <c r="U114" i="4"/>
  <c r="C114" i="4"/>
  <c r="P114" i="4"/>
  <c r="O114" i="4"/>
  <c r="N114" i="4"/>
  <c r="AB71" i="4"/>
  <c r="AB185" i="4" s="1"/>
  <c r="P71" i="4"/>
  <c r="P185" i="4" s="1"/>
  <c r="D71" i="4"/>
  <c r="D185" i="4" s="1"/>
  <c r="AA71" i="4"/>
  <c r="AA185" i="4" s="1"/>
  <c r="O71" i="4"/>
  <c r="O185" i="4" s="1"/>
  <c r="C71" i="4"/>
  <c r="C185" i="4" s="1"/>
  <c r="Z71" i="4"/>
  <c r="Z185" i="4" s="1"/>
  <c r="N71" i="4"/>
  <c r="N185" i="4" s="1"/>
  <c r="Y71" i="4"/>
  <c r="Y185" i="4" s="1"/>
  <c r="M71" i="4"/>
  <c r="M185" i="4" s="1"/>
  <c r="X71" i="4"/>
  <c r="X185" i="4" s="1"/>
  <c r="L71" i="4"/>
  <c r="L185" i="4" s="1"/>
  <c r="W71" i="4"/>
  <c r="W185" i="4" s="1"/>
  <c r="K71" i="4"/>
  <c r="K185" i="4" s="1"/>
  <c r="AB114" i="4"/>
  <c r="V71" i="4"/>
  <c r="V185" i="4" s="1"/>
  <c r="J71" i="4"/>
  <c r="J185" i="4" s="1"/>
  <c r="AC71" i="4"/>
  <c r="AC185" i="4" s="1"/>
  <c r="Q71" i="4"/>
  <c r="Q185" i="4" s="1"/>
  <c r="E71" i="4"/>
  <c r="E185" i="4" s="1"/>
  <c r="M114" i="4"/>
  <c r="AA28" i="4"/>
  <c r="O28" i="4"/>
  <c r="C28" i="4"/>
  <c r="L114" i="4"/>
  <c r="Z28" i="4"/>
  <c r="N28" i="4"/>
  <c r="K114" i="4"/>
  <c r="AE71" i="4"/>
  <c r="AE185" i="4" s="1"/>
  <c r="Y28" i="4"/>
  <c r="M28" i="4"/>
  <c r="AD71" i="4"/>
  <c r="AD185" i="4" s="1"/>
  <c r="X28" i="4"/>
  <c r="L28" i="4"/>
  <c r="U71" i="4"/>
  <c r="U185" i="4" s="1"/>
  <c r="W28" i="4"/>
  <c r="K28" i="4"/>
  <c r="T71" i="4"/>
  <c r="T185" i="4" s="1"/>
  <c r="S71" i="4"/>
  <c r="S185" i="4" s="1"/>
  <c r="R71" i="4"/>
  <c r="R185" i="4" s="1"/>
  <c r="T28" i="4"/>
  <c r="H28" i="4"/>
  <c r="H71" i="4"/>
  <c r="H185" i="4" s="1"/>
  <c r="U28" i="4"/>
  <c r="AA114" i="4"/>
  <c r="S28" i="4"/>
  <c r="R28" i="4"/>
  <c r="Q28" i="4"/>
  <c r="P28" i="4"/>
  <c r="J28" i="4"/>
  <c r="I71" i="4"/>
  <c r="I185" i="4" s="1"/>
  <c r="I28" i="4"/>
  <c r="G71" i="4"/>
  <c r="G185" i="4" s="1"/>
  <c r="AE28" i="4"/>
  <c r="G28" i="4"/>
  <c r="F71" i="4"/>
  <c r="F185" i="4" s="1"/>
  <c r="AD28" i="4"/>
  <c r="F28" i="4"/>
  <c r="AC28" i="4"/>
  <c r="E28" i="4"/>
  <c r="AB28" i="4"/>
  <c r="D28" i="4"/>
  <c r="V28" i="4"/>
  <c r="G251" i="4"/>
  <c r="F251" i="4"/>
  <c r="C251" i="4"/>
  <c r="M251" i="4"/>
  <c r="L251" i="4"/>
  <c r="K251" i="4"/>
  <c r="J251" i="4"/>
  <c r="I251" i="4"/>
  <c r="H251" i="4"/>
  <c r="N251" i="4"/>
  <c r="E251" i="4"/>
  <c r="D251" i="4"/>
  <c r="H141" i="4"/>
  <c r="I141" i="4"/>
  <c r="F98" i="4"/>
  <c r="E141" i="4"/>
  <c r="I98" i="4"/>
  <c r="I55" i="4"/>
  <c r="G98" i="4"/>
  <c r="AA289" i="4"/>
  <c r="O289" i="4"/>
  <c r="Z289" i="4"/>
  <c r="Y289" i="4"/>
  <c r="X289" i="4"/>
  <c r="AE289" i="4"/>
  <c r="T289" i="4"/>
  <c r="S289" i="4"/>
  <c r="R289" i="4"/>
  <c r="Q289" i="4"/>
  <c r="P289" i="4"/>
  <c r="AD289" i="4"/>
  <c r="AC289" i="4"/>
  <c r="AB289" i="4"/>
  <c r="W289" i="4"/>
  <c r="V289" i="4"/>
  <c r="U289" i="4"/>
  <c r="K55" i="4"/>
  <c r="AC247" i="4"/>
  <c r="H44" i="5" s="1"/>
  <c r="Q247" i="4"/>
  <c r="E247" i="4"/>
  <c r="AB247" i="4"/>
  <c r="G44" i="5" s="1"/>
  <c r="P247" i="4"/>
  <c r="D247" i="4"/>
  <c r="Y247" i="4"/>
  <c r="M247" i="4"/>
  <c r="W247" i="4"/>
  <c r="K247" i="4"/>
  <c r="V247" i="4"/>
  <c r="J247" i="4"/>
  <c r="U247" i="4"/>
  <c r="I247" i="4"/>
  <c r="T247" i="4"/>
  <c r="H247" i="4"/>
  <c r="AE247" i="4"/>
  <c r="J44" i="5" s="1"/>
  <c r="S247" i="4"/>
  <c r="G247" i="4"/>
  <c r="AD247" i="4"/>
  <c r="I44" i="5" s="1"/>
  <c r="R247" i="4"/>
  <c r="F247" i="4"/>
  <c r="AA247" i="4"/>
  <c r="F44" i="5" s="1"/>
  <c r="Z247" i="4"/>
  <c r="X247" i="4"/>
  <c r="O247" i="4"/>
  <c r="N247" i="4"/>
  <c r="L247" i="4"/>
  <c r="C247" i="4"/>
  <c r="J141" i="4"/>
  <c r="AA243" i="4"/>
  <c r="F42" i="5" s="1"/>
  <c r="O243" i="4"/>
  <c r="C243" i="4"/>
  <c r="Z243" i="4"/>
  <c r="N243" i="4"/>
  <c r="W243" i="4"/>
  <c r="K243" i="4"/>
  <c r="U243" i="4"/>
  <c r="I243" i="4"/>
  <c r="T243" i="4"/>
  <c r="H243" i="4"/>
  <c r="AE243" i="4"/>
  <c r="J42" i="5" s="1"/>
  <c r="S243" i="4"/>
  <c r="G243" i="4"/>
  <c r="AD243" i="4"/>
  <c r="I42" i="5" s="1"/>
  <c r="R243" i="4"/>
  <c r="F243" i="4"/>
  <c r="AC243" i="4"/>
  <c r="H42" i="5" s="1"/>
  <c r="Q243" i="4"/>
  <c r="E243" i="4"/>
  <c r="AB243" i="4"/>
  <c r="G42" i="5" s="1"/>
  <c r="P243" i="4"/>
  <c r="D243" i="4"/>
  <c r="J243" i="4"/>
  <c r="Y243" i="4"/>
  <c r="X243" i="4"/>
  <c r="L243" i="4"/>
  <c r="V243" i="4"/>
  <c r="M243" i="4"/>
  <c r="V313" i="4"/>
  <c r="J313" i="4"/>
  <c r="W313" i="4"/>
  <c r="K313" i="4"/>
  <c r="T313" i="4"/>
  <c r="F313" i="4"/>
  <c r="S313" i="4"/>
  <c r="E313" i="4"/>
  <c r="R313" i="4"/>
  <c r="D313" i="4"/>
  <c r="AE313" i="4"/>
  <c r="J79" i="5" s="1"/>
  <c r="Q313" i="4"/>
  <c r="C313" i="4"/>
  <c r="AD313" i="4"/>
  <c r="I79" i="5" s="1"/>
  <c r="P313" i="4"/>
  <c r="AC313" i="4"/>
  <c r="H79" i="5" s="1"/>
  <c r="O313" i="4"/>
  <c r="AB313" i="4"/>
  <c r="G79" i="5" s="1"/>
  <c r="N313" i="4"/>
  <c r="D79" i="5" s="1"/>
  <c r="AA313" i="4"/>
  <c r="F79" i="5" s="1"/>
  <c r="M313" i="4"/>
  <c r="Z313" i="4"/>
  <c r="E79" i="5" s="1"/>
  <c r="L313" i="4"/>
  <c r="Y313" i="4"/>
  <c r="I313" i="4"/>
  <c r="G313" i="4"/>
  <c r="X313" i="4"/>
  <c r="U313" i="4"/>
  <c r="H313" i="4"/>
  <c r="C55" i="4"/>
  <c r="S251" i="4"/>
  <c r="R251" i="4"/>
  <c r="O251" i="4"/>
  <c r="Y251" i="4"/>
  <c r="X251" i="4"/>
  <c r="W251" i="4"/>
  <c r="V251" i="4"/>
  <c r="U251" i="4"/>
  <c r="T251" i="4"/>
  <c r="Z251" i="4"/>
  <c r="Q251" i="4"/>
  <c r="P251" i="4"/>
  <c r="AD68" i="4"/>
  <c r="AD69" i="4" s="1"/>
  <c r="R68" i="4"/>
  <c r="R69" i="4" s="1"/>
  <c r="F68" i="4"/>
  <c r="F69" i="4" s="1"/>
  <c r="AC68" i="4"/>
  <c r="AC69" i="4" s="1"/>
  <c r="Q68" i="4"/>
  <c r="Q69" i="4" s="1"/>
  <c r="E68" i="4"/>
  <c r="E69" i="4" s="1"/>
  <c r="E72" i="4" s="1"/>
  <c r="AB68" i="4"/>
  <c r="AB69" i="4" s="1"/>
  <c r="P68" i="4"/>
  <c r="P69" i="4" s="1"/>
  <c r="D68" i="4"/>
  <c r="D69" i="4" s="1"/>
  <c r="D72" i="4" s="1"/>
  <c r="AA68" i="4"/>
  <c r="AA69" i="4" s="1"/>
  <c r="O68" i="4"/>
  <c r="O69" i="4" s="1"/>
  <c r="C68" i="4"/>
  <c r="C69" i="4" s="1"/>
  <c r="Z68" i="4"/>
  <c r="Z69" i="4" s="1"/>
  <c r="N68" i="4"/>
  <c r="N69" i="4" s="1"/>
  <c r="Y68" i="4"/>
  <c r="Y69" i="4" s="1"/>
  <c r="M68" i="4"/>
  <c r="X68" i="4"/>
  <c r="X69" i="4" s="1"/>
  <c r="L68" i="4"/>
  <c r="AE68" i="4"/>
  <c r="AE69" i="4" s="1"/>
  <c r="S68" i="4"/>
  <c r="S69" i="4" s="1"/>
  <c r="G68" i="4"/>
  <c r="G69" i="4" s="1"/>
  <c r="W68" i="4"/>
  <c r="W69" i="4" s="1"/>
  <c r="V68" i="4"/>
  <c r="V69" i="4" s="1"/>
  <c r="U68" i="4"/>
  <c r="T68" i="4"/>
  <c r="T69" i="4" s="1"/>
  <c r="K68" i="4"/>
  <c r="K69" i="4" s="1"/>
  <c r="I68" i="4"/>
  <c r="H68" i="4"/>
  <c r="H69" i="4" s="1"/>
  <c r="J68" i="4"/>
  <c r="J69" i="4" s="1"/>
  <c r="B83" i="3"/>
  <c r="B189" i="2" s="1"/>
  <c r="S154" i="4" s="1"/>
  <c r="S155" i="4" s="1"/>
  <c r="B186" i="2"/>
  <c r="C280" i="4"/>
  <c r="V111" i="4"/>
  <c r="V112" i="4" s="1"/>
  <c r="J111" i="4"/>
  <c r="J112" i="4" s="1"/>
  <c r="U111" i="4"/>
  <c r="U112" i="4" s="1"/>
  <c r="I111" i="4"/>
  <c r="I112" i="4" s="1"/>
  <c r="T111" i="4"/>
  <c r="T112" i="4" s="1"/>
  <c r="H111" i="4"/>
  <c r="H112" i="4" s="1"/>
  <c r="AE111" i="4"/>
  <c r="AE112" i="4" s="1"/>
  <c r="S111" i="4"/>
  <c r="S112" i="4" s="1"/>
  <c r="G111" i="4"/>
  <c r="G112" i="4" s="1"/>
  <c r="G115" i="4" s="1"/>
  <c r="AD111" i="4"/>
  <c r="AD112" i="4" s="1"/>
  <c r="R111" i="4"/>
  <c r="R112" i="4" s="1"/>
  <c r="F111" i="4"/>
  <c r="F112" i="4" s="1"/>
  <c r="AC111" i="4"/>
  <c r="AC112" i="4" s="1"/>
  <c r="Q111" i="4"/>
  <c r="Q112" i="4" s="1"/>
  <c r="E111" i="4"/>
  <c r="E112" i="4" s="1"/>
  <c r="AB111" i="4"/>
  <c r="AB112" i="4" s="1"/>
  <c r="P111" i="4"/>
  <c r="P112" i="4" s="1"/>
  <c r="D111" i="4"/>
  <c r="D112" i="4" s="1"/>
  <c r="AA111" i="4"/>
  <c r="AA112" i="4" s="1"/>
  <c r="O111" i="4"/>
  <c r="O112" i="4" s="1"/>
  <c r="C111" i="4"/>
  <c r="C112" i="4" s="1"/>
  <c r="C115" i="4" s="1"/>
  <c r="Z111" i="4"/>
  <c r="Z112" i="4" s="1"/>
  <c r="N111" i="4"/>
  <c r="N112" i="4" s="1"/>
  <c r="X111" i="4"/>
  <c r="X112" i="4" s="1"/>
  <c r="W111" i="4"/>
  <c r="W112" i="4" s="1"/>
  <c r="M111" i="4"/>
  <c r="M112" i="4" s="1"/>
  <c r="M115" i="4" s="1"/>
  <c r="L111" i="4"/>
  <c r="L112" i="4" s="1"/>
  <c r="K111" i="4"/>
  <c r="K112" i="4" s="1"/>
  <c r="Y111" i="4"/>
  <c r="Y112" i="4" s="1"/>
  <c r="AE253" i="4"/>
  <c r="J47" i="5" s="1"/>
  <c r="AD253" i="4"/>
  <c r="I47" i="5" s="1"/>
  <c r="AC253" i="4"/>
  <c r="H47" i="5" s="1"/>
  <c r="AB253" i="4"/>
  <c r="G47" i="5" s="1"/>
  <c r="AA253" i="4"/>
  <c r="F47" i="5" s="1"/>
  <c r="AD238" i="4"/>
  <c r="I40" i="5" s="1"/>
  <c r="AC238" i="4"/>
  <c r="H40" i="5" s="1"/>
  <c r="AE238" i="4"/>
  <c r="J40" i="5" s="1"/>
  <c r="AB238" i="4"/>
  <c r="G40" i="5" s="1"/>
  <c r="AA238" i="4"/>
  <c r="F40" i="5" s="1"/>
  <c r="O238" i="4"/>
  <c r="E40" i="5" s="1"/>
  <c r="C238" i="4"/>
  <c r="D40" i="5" s="1"/>
  <c r="M141" i="4"/>
  <c r="I155" i="4"/>
  <c r="M98" i="4"/>
  <c r="M55" i="4"/>
  <c r="H55" i="4"/>
  <c r="L155" i="4"/>
  <c r="E98" i="4"/>
  <c r="G55" i="4"/>
  <c r="AA311" i="4"/>
  <c r="O311" i="4"/>
  <c r="C311" i="4"/>
  <c r="AB311" i="4"/>
  <c r="P311" i="4"/>
  <c r="D311" i="4"/>
  <c r="U311" i="4"/>
  <c r="G311" i="4"/>
  <c r="T311" i="4"/>
  <c r="F311" i="4"/>
  <c r="S311" i="4"/>
  <c r="E311" i="4"/>
  <c r="R311" i="4"/>
  <c r="AE311" i="4"/>
  <c r="Q311" i="4"/>
  <c r="AD311" i="4"/>
  <c r="N311" i="4"/>
  <c r="AC311" i="4"/>
  <c r="M311" i="4"/>
  <c r="Z311" i="4"/>
  <c r="L311" i="4"/>
  <c r="Y311" i="4"/>
  <c r="K311" i="4"/>
  <c r="X311" i="4"/>
  <c r="J311" i="4"/>
  <c r="W311" i="4"/>
  <c r="V311" i="4"/>
  <c r="I311" i="4"/>
  <c r="H311" i="4"/>
  <c r="C241" i="4"/>
  <c r="D48" i="5" s="1"/>
  <c r="F55" i="4"/>
  <c r="M69" i="4"/>
  <c r="L69" i="4"/>
  <c r="U69" i="4"/>
  <c r="I69" i="4"/>
  <c r="L141" i="4"/>
  <c r="H98" i="4"/>
  <c r="K155" i="4"/>
  <c r="G288" i="4"/>
  <c r="G292" i="4" s="1"/>
  <c r="AE236" i="4"/>
  <c r="J39" i="5" s="1"/>
  <c r="AC236" i="4"/>
  <c r="H39" i="5" s="1"/>
  <c r="AB236" i="4"/>
  <c r="G39" i="5" s="1"/>
  <c r="AA236" i="4"/>
  <c r="F39" i="5" s="1"/>
  <c r="O236" i="4"/>
  <c r="E39" i="5" s="1"/>
  <c r="C236" i="4"/>
  <c r="D39" i="5" s="1"/>
  <c r="AD236" i="4"/>
  <c r="I39" i="5" s="1"/>
  <c r="L98" i="4"/>
  <c r="D98" i="4"/>
  <c r="B16" i="3"/>
  <c r="B133" i="2"/>
  <c r="N98" i="4"/>
  <c r="K98" i="4"/>
  <c r="D55" i="4"/>
  <c r="U154" i="4"/>
  <c r="U155" i="4" s="1"/>
  <c r="H131" i="4"/>
  <c r="G131" i="4"/>
  <c r="F131" i="4"/>
  <c r="E131" i="4"/>
  <c r="D131" i="4"/>
  <c r="C131" i="4"/>
  <c r="G88" i="4"/>
  <c r="F88" i="4"/>
  <c r="E88" i="4"/>
  <c r="D88" i="4"/>
  <c r="C88" i="4"/>
  <c r="H88" i="4"/>
  <c r="H45" i="4"/>
  <c r="G45" i="4"/>
  <c r="F45" i="4"/>
  <c r="E45" i="4"/>
  <c r="C45" i="4"/>
  <c r="D45" i="4"/>
  <c r="K288" i="4"/>
  <c r="K292" i="4" s="1"/>
  <c r="C141" i="4"/>
  <c r="D18" i="5"/>
  <c r="J55" i="4"/>
  <c r="V20" i="4"/>
  <c r="J20" i="4"/>
  <c r="U20" i="4"/>
  <c r="I20" i="4"/>
  <c r="T20" i="4"/>
  <c r="H20" i="4"/>
  <c r="AE20" i="4"/>
  <c r="S20" i="4"/>
  <c r="G20" i="4"/>
  <c r="AD20" i="4"/>
  <c r="R20" i="4"/>
  <c r="F20" i="4"/>
  <c r="M20" i="4"/>
  <c r="AC20" i="4"/>
  <c r="L20" i="4"/>
  <c r="AB20" i="4"/>
  <c r="K20" i="4"/>
  <c r="AA20" i="4"/>
  <c r="E20" i="4"/>
  <c r="Z20" i="4"/>
  <c r="D20" i="4"/>
  <c r="Y20" i="4"/>
  <c r="C20" i="4"/>
  <c r="X20" i="4"/>
  <c r="W20" i="4"/>
  <c r="Q20" i="4"/>
  <c r="P20" i="4"/>
  <c r="O20" i="4"/>
  <c r="N20" i="4"/>
  <c r="X26" i="4"/>
  <c r="V26" i="4"/>
  <c r="T26" i="4"/>
  <c r="F26" i="4"/>
  <c r="F29" i="4" s="1"/>
  <c r="AB26" i="4"/>
  <c r="C26" i="4"/>
  <c r="K280" i="4"/>
  <c r="G146" i="4"/>
  <c r="F146" i="4"/>
  <c r="E146" i="4"/>
  <c r="D146" i="4"/>
  <c r="C146" i="4"/>
  <c r="H103" i="4"/>
  <c r="H192" i="4" s="1"/>
  <c r="G103" i="4"/>
  <c r="F103" i="4"/>
  <c r="E103" i="4"/>
  <c r="E60" i="4"/>
  <c r="C60" i="4"/>
  <c r="D60" i="4"/>
  <c r="Y315" i="4" l="1"/>
  <c r="J29" i="4"/>
  <c r="G72" i="4"/>
  <c r="H72" i="4"/>
  <c r="I115" i="4"/>
  <c r="J72" i="4"/>
  <c r="I315" i="4"/>
  <c r="V315" i="4"/>
  <c r="C315" i="4"/>
  <c r="K115" i="4"/>
  <c r="L315" i="4"/>
  <c r="F115" i="4"/>
  <c r="D115" i="4"/>
  <c r="H115" i="4"/>
  <c r="N29" i="4"/>
  <c r="K72" i="4"/>
  <c r="L115" i="4"/>
  <c r="K315" i="4"/>
  <c r="I72" i="4"/>
  <c r="J315" i="4"/>
  <c r="H29" i="4"/>
  <c r="X315" i="4"/>
  <c r="H196" i="4"/>
  <c r="H293" i="4" s="1"/>
  <c r="G192" i="4"/>
  <c r="C72" i="4"/>
  <c r="D196" i="4"/>
  <c r="D293" i="4" s="1"/>
  <c r="N72" i="4"/>
  <c r="D29" i="4"/>
  <c r="Q315" i="4"/>
  <c r="G29" i="4"/>
  <c r="W315" i="4"/>
  <c r="E115" i="4"/>
  <c r="D61" i="5"/>
  <c r="S315" i="4"/>
  <c r="R315" i="4"/>
  <c r="N115" i="4"/>
  <c r="M72" i="4"/>
  <c r="E29" i="4"/>
  <c r="M315" i="4"/>
  <c r="L29" i="4"/>
  <c r="J115" i="4"/>
  <c r="E196" i="4"/>
  <c r="E293" i="4" s="1"/>
  <c r="I29" i="4"/>
  <c r="M29" i="4"/>
  <c r="D20" i="5"/>
  <c r="E168" i="4"/>
  <c r="H168" i="4"/>
  <c r="F192" i="4"/>
  <c r="T315" i="4"/>
  <c r="G315" i="4"/>
  <c r="M196" i="4"/>
  <c r="M293" i="4" s="1"/>
  <c r="F196" i="4"/>
  <c r="F293" i="4" s="1"/>
  <c r="U315" i="4"/>
  <c r="G168" i="4"/>
  <c r="F72" i="4"/>
  <c r="F168" i="4"/>
  <c r="P315" i="4"/>
  <c r="AE154" i="4"/>
  <c r="AE155" i="4" s="1"/>
  <c r="C29" i="4"/>
  <c r="T154" i="4"/>
  <c r="T155" i="4" s="1"/>
  <c r="D10" i="5"/>
  <c r="E315" i="4"/>
  <c r="G196" i="4"/>
  <c r="G293" i="4" s="1"/>
  <c r="E42" i="5"/>
  <c r="I274" i="4"/>
  <c r="I184" i="4"/>
  <c r="Q15" i="4"/>
  <c r="E15" i="4"/>
  <c r="W15" i="4"/>
  <c r="K15" i="4"/>
  <c r="D43" i="5"/>
  <c r="Z17" i="4"/>
  <c r="N17" i="4"/>
  <c r="P274" i="4"/>
  <c r="P184" i="4"/>
  <c r="V154" i="4"/>
  <c r="V155" i="4" s="1"/>
  <c r="D57" i="5"/>
  <c r="AB154" i="4"/>
  <c r="AB155" i="4" s="1"/>
  <c r="G59" i="5"/>
  <c r="E59" i="5"/>
  <c r="V274" i="4"/>
  <c r="V184" i="4"/>
  <c r="N274" i="4"/>
  <c r="N184" i="4"/>
  <c r="E16" i="4"/>
  <c r="Q16" i="4"/>
  <c r="K16" i="4"/>
  <c r="W16" i="4"/>
  <c r="E43" i="5"/>
  <c r="AA17" i="4"/>
  <c r="O17" i="4"/>
  <c r="C17" i="4"/>
  <c r="AE17" i="4"/>
  <c r="AD17" i="4"/>
  <c r="AC17" i="4"/>
  <c r="AB17" i="4"/>
  <c r="N196" i="4"/>
  <c r="N293" i="4" s="1"/>
  <c r="L16" i="4"/>
  <c r="X16" i="4"/>
  <c r="W154" i="4"/>
  <c r="W155" i="4" s="1"/>
  <c r="F315" i="4"/>
  <c r="AC154" i="4"/>
  <c r="AC155" i="4" s="1"/>
  <c r="C196" i="4"/>
  <c r="C293" i="4" s="1"/>
  <c r="H59" i="5"/>
  <c r="F59" i="5"/>
  <c r="D274" i="4"/>
  <c r="D184" i="4"/>
  <c r="J274" i="4"/>
  <c r="J184" i="4"/>
  <c r="Z274" i="4"/>
  <c r="Z184" i="4"/>
  <c r="R15" i="4"/>
  <c r="F15" i="4"/>
  <c r="X15" i="4"/>
  <c r="L15" i="4"/>
  <c r="D17" i="4"/>
  <c r="P17" i="4"/>
  <c r="AB274" i="4"/>
  <c r="AB184" i="4"/>
  <c r="F16" i="4"/>
  <c r="R16" i="4"/>
  <c r="Q274" i="4"/>
  <c r="Q184" i="4"/>
  <c r="S15" i="4"/>
  <c r="G15" i="4"/>
  <c r="C168" i="4"/>
  <c r="Y154" i="4"/>
  <c r="Y155" i="4" s="1"/>
  <c r="I196" i="4"/>
  <c r="I293" i="4" s="1"/>
  <c r="AC274" i="4"/>
  <c r="AC184" i="4"/>
  <c r="R274" i="4"/>
  <c r="R184" i="4"/>
  <c r="O274" i="4"/>
  <c r="O184" i="4"/>
  <c r="S16" i="4"/>
  <c r="G16" i="4"/>
  <c r="M16" i="4"/>
  <c r="Y16" i="4"/>
  <c r="S17" i="4"/>
  <c r="G17" i="4"/>
  <c r="X154" i="4"/>
  <c r="X155" i="4" s="1"/>
  <c r="E274" i="4"/>
  <c r="E184" i="4"/>
  <c r="Y15" i="4"/>
  <c r="M15" i="4"/>
  <c r="Z154" i="4"/>
  <c r="Z155" i="4" s="1"/>
  <c r="AC315" i="4"/>
  <c r="H78" i="5"/>
  <c r="D315" i="4"/>
  <c r="F274" i="4"/>
  <c r="F184" i="4"/>
  <c r="S274" i="4"/>
  <c r="S184" i="4"/>
  <c r="L274" i="4"/>
  <c r="L184" i="4"/>
  <c r="AA274" i="4"/>
  <c r="AA184" i="4"/>
  <c r="T15" i="4"/>
  <c r="H15" i="4"/>
  <c r="Z15" i="4"/>
  <c r="N15" i="4"/>
  <c r="T17" i="4"/>
  <c r="H17" i="4"/>
  <c r="L196" i="4"/>
  <c r="L293" i="4" s="1"/>
  <c r="B71" i="3"/>
  <c r="B177" i="2" s="1"/>
  <c r="B134" i="2"/>
  <c r="K274" i="4"/>
  <c r="K184" i="4"/>
  <c r="Z315" i="4"/>
  <c r="E78" i="5"/>
  <c r="D44" i="5"/>
  <c r="AD154" i="4"/>
  <c r="AD155" i="4" s="1"/>
  <c r="O154" i="4"/>
  <c r="O155" i="4" s="1"/>
  <c r="H315" i="4"/>
  <c r="D78" i="5"/>
  <c r="N315" i="4"/>
  <c r="E44" i="5"/>
  <c r="AD274" i="4"/>
  <c r="AD184" i="4"/>
  <c r="X274" i="4"/>
  <c r="X184" i="4"/>
  <c r="T16" i="4"/>
  <c r="H16" i="4"/>
  <c r="N16" i="4"/>
  <c r="Z16" i="4"/>
  <c r="I17" i="4"/>
  <c r="U17" i="4"/>
  <c r="J196" i="4"/>
  <c r="J293" i="4" s="1"/>
  <c r="P154" i="4"/>
  <c r="P155" i="4" s="1"/>
  <c r="AD315" i="4"/>
  <c r="I78" i="5"/>
  <c r="AB315" i="4"/>
  <c r="G78" i="5"/>
  <c r="U274" i="4"/>
  <c r="U184" i="4"/>
  <c r="O15" i="4"/>
  <c r="C15" i="4"/>
  <c r="C117" i="4" s="1"/>
  <c r="C14" i="4"/>
  <c r="U15" i="4"/>
  <c r="I15" i="4"/>
  <c r="J17" i="4"/>
  <c r="V17" i="4"/>
  <c r="E17" i="4"/>
  <c r="Q17" i="4"/>
  <c r="C274" i="4"/>
  <c r="C275" i="4" s="1"/>
  <c r="C184" i="4"/>
  <c r="F17" i="4"/>
  <c r="R17" i="4"/>
  <c r="D192" i="4"/>
  <c r="C192" i="4"/>
  <c r="Q154" i="4"/>
  <c r="Q155" i="4" s="1"/>
  <c r="L72" i="4"/>
  <c r="K196" i="4"/>
  <c r="K293" i="4" s="1"/>
  <c r="J59" i="5"/>
  <c r="G274" i="4"/>
  <c r="G184" i="4"/>
  <c r="M274" i="4"/>
  <c r="M184" i="4"/>
  <c r="C16" i="4"/>
  <c r="O16" i="4"/>
  <c r="D14" i="4"/>
  <c r="U16" i="4"/>
  <c r="I16" i="4"/>
  <c r="W17" i="4"/>
  <c r="K17" i="4"/>
  <c r="D168" i="4"/>
  <c r="W274" i="4"/>
  <c r="W184" i="4"/>
  <c r="E192" i="4"/>
  <c r="K29" i="4"/>
  <c r="R154" i="4"/>
  <c r="R155" i="4" s="1"/>
  <c r="J78" i="5"/>
  <c r="AE315" i="4"/>
  <c r="O315" i="4"/>
  <c r="D46" i="5"/>
  <c r="AE274" i="4"/>
  <c r="AE184" i="4"/>
  <c r="H274" i="4"/>
  <c r="H184" i="4"/>
  <c r="Y274" i="4"/>
  <c r="Y184" i="4"/>
  <c r="AA154" i="4"/>
  <c r="AA155" i="4" s="1"/>
  <c r="P15" i="4"/>
  <c r="D15" i="4"/>
  <c r="V15" i="4"/>
  <c r="J15" i="4"/>
  <c r="X17" i="4"/>
  <c r="L17" i="4"/>
  <c r="I59" i="5"/>
  <c r="AA315" i="4"/>
  <c r="F78" i="5"/>
  <c r="E46" i="5"/>
  <c r="D42" i="5"/>
  <c r="T274" i="4"/>
  <c r="T184" i="4"/>
  <c r="D16" i="4"/>
  <c r="P16" i="4"/>
  <c r="V16" i="4"/>
  <c r="J16" i="4"/>
  <c r="Y17" i="4"/>
  <c r="M17" i="4"/>
  <c r="D275" i="4" l="1"/>
  <c r="E275" i="4" s="1"/>
  <c r="F275" i="4" s="1"/>
  <c r="G275" i="4" s="1"/>
  <c r="H275" i="4" s="1"/>
  <c r="I275" i="4" s="1"/>
  <c r="J275" i="4" s="1"/>
  <c r="K275" i="4" s="1"/>
  <c r="L275" i="4" s="1"/>
  <c r="M275" i="4" s="1"/>
  <c r="N275" i="4" s="1"/>
  <c r="O275" i="4" s="1"/>
  <c r="P275" i="4" s="1"/>
  <c r="Q275" i="4" s="1"/>
  <c r="R275" i="4" s="1"/>
  <c r="S275" i="4" s="1"/>
  <c r="T275" i="4" s="1"/>
  <c r="U275" i="4" s="1"/>
  <c r="V275" i="4" s="1"/>
  <c r="W275" i="4" s="1"/>
  <c r="X275" i="4" s="1"/>
  <c r="Y275" i="4" s="1"/>
  <c r="Z275" i="4" s="1"/>
  <c r="AA275" i="4" s="1"/>
  <c r="AB275" i="4" s="1"/>
  <c r="AC275" i="4" s="1"/>
  <c r="AD275" i="4" s="1"/>
  <c r="AE275" i="4" s="1"/>
  <c r="C121" i="4"/>
  <c r="C118" i="4"/>
  <c r="C119" i="4" s="1"/>
  <c r="C120" i="4" s="1"/>
  <c r="D80" i="5"/>
  <c r="J80" i="5"/>
  <c r="C31" i="4"/>
  <c r="E20" i="5"/>
  <c r="E10" i="5"/>
  <c r="J10" i="5"/>
  <c r="J20" i="5"/>
  <c r="I10" i="5"/>
  <c r="I20" i="5"/>
  <c r="D62" i="5"/>
  <c r="G80" i="5"/>
  <c r="F20" i="5"/>
  <c r="F10" i="5"/>
  <c r="C74" i="4"/>
  <c r="H20" i="5"/>
  <c r="H10" i="5"/>
  <c r="I80" i="5"/>
  <c r="F80" i="5"/>
  <c r="E80" i="5"/>
  <c r="H80" i="5"/>
  <c r="G20" i="5"/>
  <c r="G10" i="5"/>
  <c r="D116" i="4" l="1"/>
  <c r="D117" i="4" s="1"/>
  <c r="D121" i="4" s="1"/>
  <c r="C162" i="4"/>
  <c r="C35" i="4"/>
  <c r="C32" i="4"/>
  <c r="C78" i="4"/>
  <c r="C75" i="4"/>
  <c r="C76" i="4" s="1"/>
  <c r="C77" i="4" s="1"/>
  <c r="C150" i="4"/>
  <c r="C122" i="4"/>
  <c r="C123" i="4"/>
  <c r="C143" i="4" s="1"/>
  <c r="C130" i="4"/>
  <c r="I131" i="4" s="1"/>
  <c r="C126" i="4"/>
  <c r="C125" i="4"/>
  <c r="C186" i="4"/>
  <c r="D118" i="4" l="1"/>
  <c r="D119" i="4" s="1"/>
  <c r="D120" i="4" s="1"/>
  <c r="D73" i="4"/>
  <c r="D74" i="4" s="1"/>
  <c r="D78" i="4" s="1"/>
  <c r="C159" i="4"/>
  <c r="C36" i="4"/>
  <c r="C37" i="4"/>
  <c r="C161" i="4"/>
  <c r="C276" i="4" s="1"/>
  <c r="D30" i="4"/>
  <c r="D31" i="4" s="1"/>
  <c r="D162" i="4" s="1"/>
  <c r="C124" i="4"/>
  <c r="C142" i="4"/>
  <c r="C107" i="4"/>
  <c r="D75" i="4"/>
  <c r="D76" i="4" s="1"/>
  <c r="D77" i="4" s="1"/>
  <c r="C87" i="4"/>
  <c r="I88" i="4" s="1"/>
  <c r="C79" i="4"/>
  <c r="C80" i="4"/>
  <c r="C100" i="4" s="1"/>
  <c r="C83" i="4"/>
  <c r="C82" i="4"/>
  <c r="C33" i="4"/>
  <c r="C34" i="4" s="1"/>
  <c r="C44" i="4" s="1"/>
  <c r="I45" i="4" s="1"/>
  <c r="C239" i="4"/>
  <c r="D150" i="4"/>
  <c r="D122" i="4"/>
  <c r="D123" i="4"/>
  <c r="D143" i="4" s="1"/>
  <c r="D130" i="4"/>
  <c r="J131" i="4" s="1"/>
  <c r="D126" i="4"/>
  <c r="D125" i="4"/>
  <c r="D186" i="4"/>
  <c r="E116" i="4"/>
  <c r="E117" i="4" s="1"/>
  <c r="E121" i="4" s="1"/>
  <c r="I168" i="4" l="1"/>
  <c r="C40" i="4"/>
  <c r="C64" i="4"/>
  <c r="C195" i="4" s="1"/>
  <c r="C249" i="4" s="1"/>
  <c r="D32" i="4"/>
  <c r="D33" i="4" s="1"/>
  <c r="D34" i="4" s="1"/>
  <c r="E118" i="4"/>
  <c r="F116" i="4"/>
  <c r="F117" i="4" s="1"/>
  <c r="F121" i="4" s="1"/>
  <c r="E73" i="4"/>
  <c r="E74" i="4" s="1"/>
  <c r="E75" i="4" s="1"/>
  <c r="E122" i="4"/>
  <c r="F118" i="4"/>
  <c r="E123" i="4"/>
  <c r="E143" i="4" s="1"/>
  <c r="C170" i="4"/>
  <c r="C57" i="4"/>
  <c r="C190" i="4" s="1"/>
  <c r="C92" i="4"/>
  <c r="D124" i="4"/>
  <c r="D142" i="4"/>
  <c r="C127" i="4"/>
  <c r="C128" i="4"/>
  <c r="D35" i="4"/>
  <c r="D107" i="4"/>
  <c r="D87" i="4"/>
  <c r="J88" i="4" s="1"/>
  <c r="D79" i="4"/>
  <c r="D80" i="4"/>
  <c r="D100" i="4" s="1"/>
  <c r="D83" i="4"/>
  <c r="D82" i="4"/>
  <c r="C160" i="4"/>
  <c r="C177" i="4" s="1"/>
  <c r="C259" i="4"/>
  <c r="C169" i="4"/>
  <c r="C56" i="4"/>
  <c r="C38" i="4"/>
  <c r="D239" i="4"/>
  <c r="C81" i="4"/>
  <c r="C99" i="4"/>
  <c r="C39" i="4"/>
  <c r="D37" i="4" l="1"/>
  <c r="D36" i="4"/>
  <c r="D38" i="4" s="1"/>
  <c r="D159" i="4"/>
  <c r="D40" i="4"/>
  <c r="D64" i="4"/>
  <c r="D195" i="4" s="1"/>
  <c r="D249" i="4" s="1"/>
  <c r="E186" i="4"/>
  <c r="D128" i="4"/>
  <c r="E119" i="4"/>
  <c r="E120" i="4" s="1"/>
  <c r="E79" i="4"/>
  <c r="E80" i="4"/>
  <c r="E100" i="4" s="1"/>
  <c r="D169" i="4"/>
  <c r="D56" i="4"/>
  <c r="C166" i="4"/>
  <c r="C305" i="4" s="1"/>
  <c r="C42" i="4"/>
  <c r="C41" i="4"/>
  <c r="F123" i="4"/>
  <c r="F143" i="4" s="1"/>
  <c r="F122" i="4"/>
  <c r="F186" i="4"/>
  <c r="F119" i="4"/>
  <c r="F120" i="4" s="1"/>
  <c r="D39" i="4"/>
  <c r="D161" i="4"/>
  <c r="D276" i="4" s="1"/>
  <c r="E30" i="4"/>
  <c r="E31" i="4" s="1"/>
  <c r="E35" i="4" s="1"/>
  <c r="D160" i="4"/>
  <c r="D259" i="4" s="1"/>
  <c r="D127" i="4"/>
  <c r="C129" i="4"/>
  <c r="C135" i="4" s="1"/>
  <c r="C189" i="4"/>
  <c r="C262" i="4"/>
  <c r="C266" i="4"/>
  <c r="E124" i="4"/>
  <c r="E142" i="4"/>
  <c r="D81" i="4"/>
  <c r="D99" i="4"/>
  <c r="E76" i="4"/>
  <c r="E77" i="4" s="1"/>
  <c r="E87" i="4" s="1"/>
  <c r="K88" i="4" s="1"/>
  <c r="D170" i="4"/>
  <c r="D57" i="4"/>
  <c r="D190" i="4" s="1"/>
  <c r="G116" i="4"/>
  <c r="G117" i="4" s="1"/>
  <c r="G121" i="4" s="1"/>
  <c r="C84" i="4"/>
  <c r="C85" i="4"/>
  <c r="C93" i="4"/>
  <c r="C94" i="4" s="1"/>
  <c r="C95" i="4" s="1"/>
  <c r="C96" i="4" s="1"/>
  <c r="C97" i="4"/>
  <c r="E78" i="4"/>
  <c r="D92" i="4"/>
  <c r="D44" i="4"/>
  <c r="J45" i="4" s="1"/>
  <c r="J168" i="4" s="1"/>
  <c r="E83" i="4" l="1"/>
  <c r="E82" i="4"/>
  <c r="D85" i="4"/>
  <c r="D166" i="4"/>
  <c r="E150" i="4"/>
  <c r="E130" i="4"/>
  <c r="E126" i="4"/>
  <c r="E128" i="4" s="1"/>
  <c r="E125" i="4"/>
  <c r="E127" i="4" s="1"/>
  <c r="H116" i="4"/>
  <c r="H117" i="4" s="1"/>
  <c r="H121" i="4" s="1"/>
  <c r="E92" i="4"/>
  <c r="D262" i="4"/>
  <c r="D266" i="4"/>
  <c r="E161" i="4"/>
  <c r="E276" i="4" s="1"/>
  <c r="F30" i="4"/>
  <c r="F31" i="4" s="1"/>
  <c r="F130" i="4"/>
  <c r="L131" i="4" s="1"/>
  <c r="F126" i="4"/>
  <c r="F125" i="4"/>
  <c r="F150" i="4"/>
  <c r="D305" i="4"/>
  <c r="D189" i="4"/>
  <c r="E81" i="4"/>
  <c r="E85" i="4" s="1"/>
  <c r="E99" i="4"/>
  <c r="D205" i="4"/>
  <c r="D206" i="4" s="1"/>
  <c r="C277" i="4"/>
  <c r="C260" i="4"/>
  <c r="C164" i="4"/>
  <c r="C43" i="4"/>
  <c r="D41" i="4"/>
  <c r="E162" i="4"/>
  <c r="E32" i="4"/>
  <c r="E33" i="4" s="1"/>
  <c r="E34" i="4" s="1"/>
  <c r="D93" i="4"/>
  <c r="D94" i="4" s="1"/>
  <c r="D95" i="4" s="1"/>
  <c r="D96" i="4" s="1"/>
  <c r="D97" i="4"/>
  <c r="D177" i="4"/>
  <c r="F73" i="4"/>
  <c r="F74" i="4" s="1"/>
  <c r="F78" i="4" s="1"/>
  <c r="C165" i="4"/>
  <c r="D42" i="4"/>
  <c r="F124" i="4"/>
  <c r="F142" i="4"/>
  <c r="C86" i="4"/>
  <c r="D84" i="4"/>
  <c r="C136" i="4"/>
  <c r="C137" i="4" s="1"/>
  <c r="C138" i="4" s="1"/>
  <c r="C139" i="4" s="1"/>
  <c r="C144" i="4" s="1"/>
  <c r="C151" i="4" s="1"/>
  <c r="C140" i="4"/>
  <c r="C224" i="4"/>
  <c r="C205" i="4"/>
  <c r="C206" i="4" s="1"/>
  <c r="E107" i="4"/>
  <c r="G118" i="4"/>
  <c r="C101" i="4"/>
  <c r="C108" i="4" s="1"/>
  <c r="D129" i="4"/>
  <c r="D135" i="4" s="1"/>
  <c r="K131" i="4" l="1"/>
  <c r="F128" i="4"/>
  <c r="F162" i="4"/>
  <c r="E160" i="4"/>
  <c r="G73" i="4"/>
  <c r="G74" i="4" s="1"/>
  <c r="G78" i="4"/>
  <c r="I116" i="4"/>
  <c r="I117" i="4" s="1"/>
  <c r="I145" i="4" s="1"/>
  <c r="F239" i="4"/>
  <c r="D165" i="4"/>
  <c r="D222" i="4" s="1"/>
  <c r="D224" i="4" s="1"/>
  <c r="D225" i="4" s="1"/>
  <c r="D228" i="4" s="1"/>
  <c r="E239" i="4"/>
  <c r="D164" i="4"/>
  <c r="D43" i="4"/>
  <c r="D277" i="4"/>
  <c r="D282" i="4" s="1"/>
  <c r="D283" i="4" s="1"/>
  <c r="D260" i="4"/>
  <c r="E159" i="4"/>
  <c r="E44" i="4"/>
  <c r="K45" i="4" s="1"/>
  <c r="K168" i="4" s="1"/>
  <c r="E64" i="4"/>
  <c r="E195" i="4" s="1"/>
  <c r="E249" i="4" s="1"/>
  <c r="F32" i="4"/>
  <c r="E36" i="4"/>
  <c r="E37" i="4"/>
  <c r="F33" i="4"/>
  <c r="F34" i="4" s="1"/>
  <c r="E39" i="4"/>
  <c r="E40" i="4"/>
  <c r="G123" i="4"/>
  <c r="G143" i="4" s="1"/>
  <c r="H118" i="4"/>
  <c r="G122" i="4"/>
  <c r="G186" i="4"/>
  <c r="C209" i="4"/>
  <c r="C319" i="4" s="1"/>
  <c r="C216" i="4"/>
  <c r="C211" i="4"/>
  <c r="C208" i="4"/>
  <c r="G119" i="4"/>
  <c r="G120" i="4" s="1"/>
  <c r="E93" i="4"/>
  <c r="E94" i="4" s="1"/>
  <c r="E95" i="4" s="1"/>
  <c r="E96" i="4" s="1"/>
  <c r="E97" i="4"/>
  <c r="C167" i="4"/>
  <c r="C179" i="4" s="1"/>
  <c r="C49" i="4"/>
  <c r="C232" i="4"/>
  <c r="C172" i="4"/>
  <c r="C174" i="4"/>
  <c r="C178" i="4"/>
  <c r="C225" i="4"/>
  <c r="C282" i="4"/>
  <c r="E129" i="4"/>
  <c r="E135" i="4" s="1"/>
  <c r="F127" i="4"/>
  <c r="D86" i="4"/>
  <c r="E84" i="4"/>
  <c r="F35" i="4"/>
  <c r="F75" i="4"/>
  <c r="F76" i="4" s="1"/>
  <c r="F77" i="4" s="1"/>
  <c r="D136" i="4"/>
  <c r="D137" i="4" s="1"/>
  <c r="D138" i="4" s="1"/>
  <c r="D139" i="4" s="1"/>
  <c r="D144" i="4" s="1"/>
  <c r="D151" i="4" s="1"/>
  <c r="D140" i="4"/>
  <c r="D101" i="4"/>
  <c r="D108" i="4" s="1"/>
  <c r="D209" i="4"/>
  <c r="D319" i="4" s="1"/>
  <c r="D216" i="4"/>
  <c r="D208" i="4"/>
  <c r="D211" i="4"/>
  <c r="I121" i="4" l="1"/>
  <c r="J116" i="4" s="1"/>
  <c r="J117" i="4" s="1"/>
  <c r="J145" i="4" s="1"/>
  <c r="F160" i="4"/>
  <c r="I146" i="4"/>
  <c r="C228" i="4"/>
  <c r="F161" i="4"/>
  <c r="F276" i="4" s="1"/>
  <c r="G30" i="4"/>
  <c r="G31" i="4" s="1"/>
  <c r="G162" i="4" s="1"/>
  <c r="C213" i="4"/>
  <c r="D213" i="4" s="1"/>
  <c r="G150" i="4"/>
  <c r="H73" i="4"/>
  <c r="H74" i="4" s="1"/>
  <c r="H78" i="4" s="1"/>
  <c r="E170" i="4"/>
  <c r="E57" i="4"/>
  <c r="E190" i="4" s="1"/>
  <c r="E259" i="4"/>
  <c r="E177" i="4"/>
  <c r="F107" i="4"/>
  <c r="G75" i="4"/>
  <c r="F87" i="4"/>
  <c r="L88" i="4" s="1"/>
  <c r="F80" i="4"/>
  <c r="F100" i="4" s="1"/>
  <c r="F79" i="4"/>
  <c r="G76" i="4"/>
  <c r="G77" i="4" s="1"/>
  <c r="F83" i="4"/>
  <c r="F82" i="4"/>
  <c r="E169" i="4"/>
  <c r="E56" i="4"/>
  <c r="E38" i="4"/>
  <c r="E42" i="4" s="1"/>
  <c r="E101" i="4"/>
  <c r="E108" i="4" s="1"/>
  <c r="E136" i="4"/>
  <c r="E137" i="4" s="1"/>
  <c r="E138" i="4" s="1"/>
  <c r="E139" i="4" s="1"/>
  <c r="E144" i="4" s="1"/>
  <c r="E151" i="4" s="1"/>
  <c r="E140" i="4"/>
  <c r="G126" i="4"/>
  <c r="F159" i="4"/>
  <c r="F37" i="4"/>
  <c r="F44" i="4"/>
  <c r="L45" i="4" s="1"/>
  <c r="G32" i="4"/>
  <c r="F64" i="4"/>
  <c r="F36" i="4"/>
  <c r="F40" i="4"/>
  <c r="F39" i="4"/>
  <c r="C175" i="4"/>
  <c r="D167" i="4"/>
  <c r="D179" i="4" s="1"/>
  <c r="D49" i="4"/>
  <c r="E86" i="4"/>
  <c r="C50" i="4"/>
  <c r="C51" i="4" s="1"/>
  <c r="C52" i="4" s="1"/>
  <c r="C53" i="4" s="1"/>
  <c r="C180" i="4"/>
  <c r="C181" i="4" s="1"/>
  <c r="C54" i="4"/>
  <c r="C283" i="4"/>
  <c r="G142" i="4"/>
  <c r="G124" i="4"/>
  <c r="I118" i="4"/>
  <c r="H123" i="4"/>
  <c r="H143" i="4" s="1"/>
  <c r="H122" i="4"/>
  <c r="H186" i="4"/>
  <c r="H119" i="4"/>
  <c r="H120" i="4" s="1"/>
  <c r="C233" i="4"/>
  <c r="C235" i="4" s="1"/>
  <c r="F129" i="4"/>
  <c r="F135" i="4" s="1"/>
  <c r="G125" i="4"/>
  <c r="G130" i="4"/>
  <c r="M131" i="4" s="1"/>
  <c r="D232" i="4"/>
  <c r="D178" i="4"/>
  <c r="D174" i="4"/>
  <c r="D172" i="4"/>
  <c r="L168" i="4" l="1"/>
  <c r="G127" i="4"/>
  <c r="G128" i="4"/>
  <c r="D175" i="4"/>
  <c r="I73" i="4"/>
  <c r="I74" i="4" s="1"/>
  <c r="I102" i="4" s="1"/>
  <c r="E165" i="4"/>
  <c r="G129" i="4"/>
  <c r="G135" i="4" s="1"/>
  <c r="J146" i="4"/>
  <c r="H125" i="4"/>
  <c r="H126" i="4"/>
  <c r="H128" i="4" s="1"/>
  <c r="H150" i="4"/>
  <c r="H130" i="4"/>
  <c r="N131" i="4" s="1"/>
  <c r="J121" i="4"/>
  <c r="G159" i="4"/>
  <c r="G37" i="4"/>
  <c r="G36" i="4"/>
  <c r="H142" i="4"/>
  <c r="H124" i="4"/>
  <c r="E262" i="4"/>
  <c r="E266" i="4"/>
  <c r="G107" i="4"/>
  <c r="H75" i="4"/>
  <c r="H76" i="4" s="1"/>
  <c r="H77" i="4" s="1"/>
  <c r="G87" i="4"/>
  <c r="M88" i="4" s="1"/>
  <c r="G80" i="4"/>
  <c r="G100" i="4" s="1"/>
  <c r="G79" i="4"/>
  <c r="G83" i="4"/>
  <c r="G82" i="4"/>
  <c r="I123" i="4"/>
  <c r="I143" i="4" s="1"/>
  <c r="J118" i="4"/>
  <c r="J119" i="4" s="1"/>
  <c r="I122" i="4"/>
  <c r="I186" i="4"/>
  <c r="F92" i="4"/>
  <c r="D233" i="4"/>
  <c r="D255" i="4" s="1"/>
  <c r="G33" i="4"/>
  <c r="G34" i="4" s="1"/>
  <c r="G40" i="4" s="1"/>
  <c r="E189" i="4"/>
  <c r="F259" i="4"/>
  <c r="F177" i="4"/>
  <c r="F169" i="4"/>
  <c r="F56" i="4"/>
  <c r="F38" i="4"/>
  <c r="G239" i="4"/>
  <c r="C171" i="4"/>
  <c r="C58" i="4"/>
  <c r="C295" i="4"/>
  <c r="C296" i="4" s="1"/>
  <c r="F170" i="4"/>
  <c r="F57" i="4"/>
  <c r="F190" i="4" s="1"/>
  <c r="D50" i="4"/>
  <c r="D51" i="4" s="1"/>
  <c r="D52" i="4" s="1"/>
  <c r="D53" i="4" s="1"/>
  <c r="D180" i="4"/>
  <c r="D181" i="4" s="1"/>
  <c r="D54" i="4"/>
  <c r="F136" i="4"/>
  <c r="F137" i="4" s="1"/>
  <c r="F138" i="4" s="1"/>
  <c r="F139" i="4" s="1"/>
  <c r="F144" i="4" s="1"/>
  <c r="F151" i="4" s="1"/>
  <c r="F140" i="4"/>
  <c r="C255" i="4"/>
  <c r="F81" i="4"/>
  <c r="F84" i="4" s="1"/>
  <c r="F99" i="4"/>
  <c r="I119" i="4"/>
  <c r="I120" i="4" s="1"/>
  <c r="F195" i="4"/>
  <c r="F249" i="4" s="1"/>
  <c r="E166" i="4"/>
  <c r="E305" i="4" s="1"/>
  <c r="E41" i="4"/>
  <c r="G35" i="4"/>
  <c r="F166" i="4" l="1"/>
  <c r="H127" i="4"/>
  <c r="H129" i="4" s="1"/>
  <c r="H135" i="4" s="1"/>
  <c r="G44" i="4"/>
  <c r="M45" i="4" s="1"/>
  <c r="M168" i="4" s="1"/>
  <c r="F85" i="4"/>
  <c r="G64" i="4"/>
  <c r="G195" i="4" s="1"/>
  <c r="G249" i="4" s="1"/>
  <c r="G136" i="4"/>
  <c r="G137" i="4" s="1"/>
  <c r="G138" i="4" s="1"/>
  <c r="G139" i="4" s="1"/>
  <c r="G144" i="4" s="1"/>
  <c r="G151" i="4" s="1"/>
  <c r="G140" i="4"/>
  <c r="J120" i="4"/>
  <c r="J130" i="4" s="1"/>
  <c r="P131" i="4" s="1"/>
  <c r="I125" i="4"/>
  <c r="I130" i="4"/>
  <c r="O131" i="4" s="1"/>
  <c r="I126" i="4"/>
  <c r="I150" i="4"/>
  <c r="D171" i="4"/>
  <c r="D58" i="4"/>
  <c r="D295" i="4"/>
  <c r="D296" i="4" s="1"/>
  <c r="G161" i="4"/>
  <c r="G276" i="4" s="1"/>
  <c r="H30" i="4"/>
  <c r="H31" i="4" s="1"/>
  <c r="H35" i="4" s="1"/>
  <c r="F305" i="4"/>
  <c r="K116" i="4"/>
  <c r="K117" i="4" s="1"/>
  <c r="K145" i="4" s="1"/>
  <c r="F42" i="4"/>
  <c r="G99" i="4"/>
  <c r="G81" i="4"/>
  <c r="G84" i="4" s="1"/>
  <c r="G92" i="4"/>
  <c r="E174" i="4"/>
  <c r="E172" i="4"/>
  <c r="G170" i="4"/>
  <c r="G57" i="4"/>
  <c r="G190" i="4" s="1"/>
  <c r="E205" i="4"/>
  <c r="E206" i="4" s="1"/>
  <c r="E222" i="4"/>
  <c r="E224" i="4" s="1"/>
  <c r="F189" i="4"/>
  <c r="C294" i="4"/>
  <c r="C265" i="4"/>
  <c r="I142" i="4"/>
  <c r="I124" i="4"/>
  <c r="H107" i="4"/>
  <c r="H80" i="4"/>
  <c r="H100" i="4" s="1"/>
  <c r="H87" i="4"/>
  <c r="N88" i="4" s="1"/>
  <c r="I75" i="4"/>
  <c r="H79" i="4"/>
  <c r="H83" i="4"/>
  <c r="H82" i="4"/>
  <c r="G39" i="4"/>
  <c r="F205" i="4"/>
  <c r="F206" i="4" s="1"/>
  <c r="F86" i="4"/>
  <c r="C191" i="4"/>
  <c r="C65" i="4"/>
  <c r="E277" i="4"/>
  <c r="E260" i="4"/>
  <c r="I103" i="4"/>
  <c r="D235" i="4"/>
  <c r="E164" i="4"/>
  <c r="E178" i="4" s="1"/>
  <c r="E43" i="4"/>
  <c r="F41" i="4"/>
  <c r="F93" i="4"/>
  <c r="F94" i="4" s="1"/>
  <c r="F95" i="4" s="1"/>
  <c r="F96" i="4" s="1"/>
  <c r="F97" i="4"/>
  <c r="F262" i="4"/>
  <c r="F266" i="4"/>
  <c r="G160" i="4"/>
  <c r="G259" i="4" s="1"/>
  <c r="J123" i="4"/>
  <c r="J143" i="4" s="1"/>
  <c r="J122" i="4"/>
  <c r="J186" i="4"/>
  <c r="G169" i="4"/>
  <c r="G56" i="4"/>
  <c r="G38" i="4"/>
  <c r="I78" i="4"/>
  <c r="E175" i="4" l="1"/>
  <c r="K118" i="4"/>
  <c r="G85" i="4"/>
  <c r="J150" i="4"/>
  <c r="G166" i="4"/>
  <c r="G205" i="4" s="1"/>
  <c r="G206" i="4" s="1"/>
  <c r="K121" i="4"/>
  <c r="G177" i="4"/>
  <c r="J126" i="4"/>
  <c r="I127" i="4"/>
  <c r="I129" i="4" s="1"/>
  <c r="I135" i="4" s="1"/>
  <c r="J125" i="4"/>
  <c r="H136" i="4"/>
  <c r="H137" i="4" s="1"/>
  <c r="H138" i="4" s="1"/>
  <c r="H139" i="4" s="1"/>
  <c r="H144" i="4" s="1"/>
  <c r="H151" i="4" s="1"/>
  <c r="H140" i="4"/>
  <c r="G262" i="4"/>
  <c r="G266" i="4"/>
  <c r="I128" i="4"/>
  <c r="H92" i="4"/>
  <c r="H99" i="4"/>
  <c r="H81" i="4"/>
  <c r="H84" i="4" s="1"/>
  <c r="F277" i="4"/>
  <c r="F282" i="4" s="1"/>
  <c r="F283" i="4" s="1"/>
  <c r="F260" i="4"/>
  <c r="E225" i="4"/>
  <c r="G93" i="4"/>
  <c r="G94" i="4" s="1"/>
  <c r="G95" i="4" s="1"/>
  <c r="G96" i="4" s="1"/>
  <c r="G97" i="4"/>
  <c r="F165" i="4"/>
  <c r="G42" i="4"/>
  <c r="H161" i="4"/>
  <c r="H276" i="4" s="1"/>
  <c r="I30" i="4"/>
  <c r="I31" i="4" s="1"/>
  <c r="I35" i="4" s="1"/>
  <c r="F216" i="4"/>
  <c r="F208" i="4"/>
  <c r="F211" i="4"/>
  <c r="F209" i="4"/>
  <c r="F319" i="4" s="1"/>
  <c r="L116" i="4"/>
  <c r="L117" i="4" s="1"/>
  <c r="L145" i="4" s="1"/>
  <c r="H162" i="4"/>
  <c r="H32" i="4"/>
  <c r="H33" i="4" s="1"/>
  <c r="H34" i="4" s="1"/>
  <c r="I80" i="4"/>
  <c r="I100" i="4" s="1"/>
  <c r="I79" i="4"/>
  <c r="E209" i="4"/>
  <c r="E319" i="4" s="1"/>
  <c r="E216" i="4"/>
  <c r="E208" i="4"/>
  <c r="E211" i="4"/>
  <c r="G189" i="4"/>
  <c r="G305" i="4"/>
  <c r="K146" i="4"/>
  <c r="F164" i="4"/>
  <c r="F43" i="4"/>
  <c r="G41" i="4"/>
  <c r="E167" i="4"/>
  <c r="E179" i="4" s="1"/>
  <c r="E49" i="4"/>
  <c r="C298" i="4"/>
  <c r="K123" i="4"/>
  <c r="K143" i="4" s="1"/>
  <c r="K122" i="4"/>
  <c r="K186" i="4"/>
  <c r="K119" i="4"/>
  <c r="K120" i="4" s="1"/>
  <c r="E282" i="4"/>
  <c r="D191" i="4"/>
  <c r="D65" i="4"/>
  <c r="D197" i="4" s="1"/>
  <c r="C299" i="4"/>
  <c r="C263" i="4"/>
  <c r="G86" i="4"/>
  <c r="J73" i="4"/>
  <c r="J74" i="4" s="1"/>
  <c r="J102" i="4" s="1"/>
  <c r="J142" i="4"/>
  <c r="J124" i="4"/>
  <c r="F101" i="4"/>
  <c r="F108" i="4" s="1"/>
  <c r="C197" i="4"/>
  <c r="I76" i="4"/>
  <c r="I77" i="4" s="1"/>
  <c r="I87" i="4" s="1"/>
  <c r="O88" i="4" s="1"/>
  <c r="E232" i="4"/>
  <c r="D294" i="4"/>
  <c r="D298" i="4" s="1"/>
  <c r="D265" i="4"/>
  <c r="L118" i="4" l="1"/>
  <c r="L119" i="4" s="1"/>
  <c r="L120" i="4" s="1"/>
  <c r="K126" i="4"/>
  <c r="K130" i="4"/>
  <c r="Q131" i="4" s="1"/>
  <c r="I82" i="4"/>
  <c r="I107" i="4"/>
  <c r="I83" i="4"/>
  <c r="J127" i="4"/>
  <c r="I92" i="4"/>
  <c r="J129" i="4"/>
  <c r="J135" i="4" s="1"/>
  <c r="L146" i="4"/>
  <c r="H86" i="4"/>
  <c r="H160" i="4"/>
  <c r="G164" i="4"/>
  <c r="G43" i="4"/>
  <c r="I162" i="4"/>
  <c r="I59" i="4"/>
  <c r="E213" i="4"/>
  <c r="F213" i="4" s="1"/>
  <c r="K142" i="4"/>
  <c r="K124" i="4"/>
  <c r="D299" i="4"/>
  <c r="D263" i="4"/>
  <c r="D267" i="4" s="1"/>
  <c r="D301" i="4" s="1"/>
  <c r="D199" i="4"/>
  <c r="D198" i="4"/>
  <c r="L121" i="4"/>
  <c r="F232" i="4"/>
  <c r="F178" i="4"/>
  <c r="F174" i="4"/>
  <c r="F172" i="4"/>
  <c r="F222" i="4"/>
  <c r="F224" i="4" s="1"/>
  <c r="J128" i="4"/>
  <c r="E50" i="4"/>
  <c r="E51" i="4" s="1"/>
  <c r="E52" i="4" s="1"/>
  <c r="E53" i="4" s="1"/>
  <c r="E180" i="4"/>
  <c r="E181" i="4" s="1"/>
  <c r="E54" i="4"/>
  <c r="I136" i="4"/>
  <c r="I137" i="4" s="1"/>
  <c r="I138" i="4" s="1"/>
  <c r="I139" i="4" s="1"/>
  <c r="I144" i="4" s="1"/>
  <c r="I151" i="4" s="1"/>
  <c r="I140" i="4"/>
  <c r="J103" i="4"/>
  <c r="G101" i="4"/>
  <c r="G108" i="4" s="1"/>
  <c r="H93" i="4"/>
  <c r="H94" i="4" s="1"/>
  <c r="H95" i="4" s="1"/>
  <c r="H96" i="4" s="1"/>
  <c r="H97" i="4"/>
  <c r="H85" i="4"/>
  <c r="C199" i="4"/>
  <c r="C198" i="4"/>
  <c r="F167" i="4"/>
  <c r="F179" i="4" s="1"/>
  <c r="F49" i="4"/>
  <c r="J78" i="4"/>
  <c r="J75" i="4"/>
  <c r="I99" i="4"/>
  <c r="I81" i="4"/>
  <c r="I161" i="4"/>
  <c r="I276" i="4" s="1"/>
  <c r="J30" i="4"/>
  <c r="J31" i="4" s="1"/>
  <c r="J162" i="4" s="1"/>
  <c r="H159" i="4"/>
  <c r="H44" i="4"/>
  <c r="N45" i="4" s="1"/>
  <c r="N168" i="4" s="1"/>
  <c r="H64" i="4"/>
  <c r="H195" i="4" s="1"/>
  <c r="H249" i="4" s="1"/>
  <c r="H36" i="4"/>
  <c r="H37" i="4"/>
  <c r="I32" i="4"/>
  <c r="I33" i="4" s="1"/>
  <c r="I34" i="4" s="1"/>
  <c r="H39" i="4"/>
  <c r="H40" i="4"/>
  <c r="H239" i="4"/>
  <c r="K150" i="4"/>
  <c r="E233" i="4"/>
  <c r="C267" i="4"/>
  <c r="E228" i="4"/>
  <c r="L123" i="4"/>
  <c r="L143" i="4" s="1"/>
  <c r="L122" i="4"/>
  <c r="L186" i="4"/>
  <c r="G165" i="4"/>
  <c r="G222" i="4" s="1"/>
  <c r="G224" i="4" s="1"/>
  <c r="G225" i="4" s="1"/>
  <c r="G228" i="4" s="1"/>
  <c r="E283" i="4"/>
  <c r="K125" i="4"/>
  <c r="G277" i="4"/>
  <c r="G282" i="4" s="1"/>
  <c r="G283" i="4" s="1"/>
  <c r="G260" i="4"/>
  <c r="G209" i="4"/>
  <c r="G319" i="4" s="1"/>
  <c r="G216" i="4"/>
  <c r="G208" i="4"/>
  <c r="G211" i="4"/>
  <c r="F175" i="4" l="1"/>
  <c r="I84" i="4"/>
  <c r="I85" i="4"/>
  <c r="L130" i="4"/>
  <c r="R131" i="4" s="1"/>
  <c r="L126" i="4"/>
  <c r="G213" i="4"/>
  <c r="K127" i="4"/>
  <c r="K129" i="4"/>
  <c r="K135" i="4" s="1"/>
  <c r="I160" i="4"/>
  <c r="J80" i="4"/>
  <c r="J100" i="4" s="1"/>
  <c r="J79" i="4"/>
  <c r="J82" i="4"/>
  <c r="H170" i="4"/>
  <c r="H57" i="4"/>
  <c r="H190" i="4" s="1"/>
  <c r="E255" i="4"/>
  <c r="H169" i="4"/>
  <c r="H56" i="4"/>
  <c r="H38" i="4"/>
  <c r="J76" i="4"/>
  <c r="J77" i="4" s="1"/>
  <c r="K128" i="4"/>
  <c r="D302" i="4"/>
  <c r="D304" i="4" s="1"/>
  <c r="D326" i="4" s="1"/>
  <c r="D328" i="4" s="1"/>
  <c r="E171" i="4"/>
  <c r="E58" i="4"/>
  <c r="E295" i="4"/>
  <c r="E296" i="4" s="1"/>
  <c r="L142" i="4"/>
  <c r="L124" i="4"/>
  <c r="I86" i="4"/>
  <c r="F225" i="4"/>
  <c r="F50" i="4"/>
  <c r="F51" i="4" s="1"/>
  <c r="F52" i="4" s="1"/>
  <c r="F53" i="4" s="1"/>
  <c r="F180" i="4"/>
  <c r="F181" i="4" s="1"/>
  <c r="F54" i="4"/>
  <c r="L150" i="4"/>
  <c r="K73" i="4"/>
  <c r="K74" i="4" s="1"/>
  <c r="K102" i="4" s="1"/>
  <c r="J239" i="4"/>
  <c r="F233" i="4"/>
  <c r="F255" i="4" s="1"/>
  <c r="J136" i="4"/>
  <c r="J137" i="4" s="1"/>
  <c r="J138" i="4" s="1"/>
  <c r="J139" i="4" s="1"/>
  <c r="J144" i="4" s="1"/>
  <c r="J151" i="4" s="1"/>
  <c r="J140" i="4"/>
  <c r="E235" i="4"/>
  <c r="J35" i="4"/>
  <c r="G232" i="4"/>
  <c r="G174" i="4"/>
  <c r="G178" i="4"/>
  <c r="G172" i="4"/>
  <c r="M116" i="4"/>
  <c r="M117" i="4" s="1"/>
  <c r="M121" i="4" s="1"/>
  <c r="I60" i="4"/>
  <c r="I192" i="4" s="1"/>
  <c r="J59" i="4"/>
  <c r="I239" i="4"/>
  <c r="C301" i="4"/>
  <c r="H101" i="4"/>
  <c r="H108" i="4" s="1"/>
  <c r="H259" i="4"/>
  <c r="H177" i="4"/>
  <c r="L125" i="4"/>
  <c r="I159" i="4"/>
  <c r="I44" i="4"/>
  <c r="O45" i="4" s="1"/>
  <c r="O168" i="4" s="1"/>
  <c r="I64" i="4"/>
  <c r="I195" i="4" s="1"/>
  <c r="I249" i="4" s="1"/>
  <c r="I37" i="4"/>
  <c r="I36" i="4"/>
  <c r="J32" i="4"/>
  <c r="I39" i="4"/>
  <c r="I40" i="4"/>
  <c r="G167" i="4"/>
  <c r="G179" i="4" s="1"/>
  <c r="G49" i="4"/>
  <c r="I93" i="4"/>
  <c r="I94" i="4" s="1"/>
  <c r="I95" i="4" s="1"/>
  <c r="I96" i="4" s="1"/>
  <c r="I97" i="4"/>
  <c r="G175" i="4" l="1"/>
  <c r="K78" i="4"/>
  <c r="K75" i="4"/>
  <c r="L127" i="4"/>
  <c r="L128" i="4"/>
  <c r="N116" i="4"/>
  <c r="N117" i="4" s="1"/>
  <c r="N121" i="4" s="1"/>
  <c r="L129" i="4"/>
  <c r="L135" i="4" s="1"/>
  <c r="L73" i="4"/>
  <c r="L74" i="4" s="1"/>
  <c r="G50" i="4"/>
  <c r="G51" i="4" s="1"/>
  <c r="G52" i="4" s="1"/>
  <c r="G53" i="4" s="1"/>
  <c r="G180" i="4"/>
  <c r="G181" i="4" s="1"/>
  <c r="G54" i="4"/>
  <c r="K77" i="4"/>
  <c r="K83" i="4" s="1"/>
  <c r="J107" i="4"/>
  <c r="H166" i="4"/>
  <c r="H305" i="4" s="1"/>
  <c r="H42" i="4"/>
  <c r="H41" i="4"/>
  <c r="H262" i="4"/>
  <c r="H266" i="4"/>
  <c r="H189" i="4"/>
  <c r="J87" i="4"/>
  <c r="P88" i="4" s="1"/>
  <c r="K80" i="4"/>
  <c r="K100" i="4" s="1"/>
  <c r="K79" i="4"/>
  <c r="F235" i="4"/>
  <c r="F171" i="4"/>
  <c r="F58" i="4"/>
  <c r="F295" i="4"/>
  <c r="F296" i="4" s="1"/>
  <c r="I101" i="4"/>
  <c r="I108" i="4" s="1"/>
  <c r="J99" i="4"/>
  <c r="J81" i="4"/>
  <c r="J84" i="4" s="1"/>
  <c r="J159" i="4"/>
  <c r="J37" i="4"/>
  <c r="J36" i="4"/>
  <c r="K32" i="4"/>
  <c r="J60" i="4"/>
  <c r="J192" i="4" s="1"/>
  <c r="F228" i="4"/>
  <c r="I170" i="4"/>
  <c r="I57" i="4"/>
  <c r="I190" i="4" s="1"/>
  <c r="E191" i="4"/>
  <c r="E65" i="4"/>
  <c r="I259" i="4"/>
  <c r="I262" i="4" s="1"/>
  <c r="I177" i="4"/>
  <c r="J161" i="4"/>
  <c r="J276" i="4" s="1"/>
  <c r="K30" i="4"/>
  <c r="K31" i="4" s="1"/>
  <c r="K162" i="4" s="1"/>
  <c r="K35" i="4"/>
  <c r="I169" i="4"/>
  <c r="I38" i="4"/>
  <c r="I166" i="4" s="1"/>
  <c r="I56" i="4"/>
  <c r="J33" i="4"/>
  <c r="J34" i="4" s="1"/>
  <c r="J40" i="4" s="1"/>
  <c r="E294" i="4"/>
  <c r="E265" i="4"/>
  <c r="K76" i="4"/>
  <c r="M118" i="4"/>
  <c r="M145" i="4"/>
  <c r="C302" i="4"/>
  <c r="C304" i="4"/>
  <c r="G233" i="4"/>
  <c r="G255" i="4" s="1"/>
  <c r="K103" i="4"/>
  <c r="J83" i="4"/>
  <c r="K136" i="4"/>
  <c r="K137" i="4" s="1"/>
  <c r="K138" i="4" s="1"/>
  <c r="K139" i="4" s="1"/>
  <c r="K144" i="4" s="1"/>
  <c r="K151" i="4" s="1"/>
  <c r="K140" i="4"/>
  <c r="G235" i="4" l="1"/>
  <c r="J85" i="4"/>
  <c r="J86" i="4"/>
  <c r="O116" i="4"/>
  <c r="K99" i="4"/>
  <c r="K81" i="4"/>
  <c r="E298" i="4"/>
  <c r="J160" i="4"/>
  <c r="J259" i="4" s="1"/>
  <c r="J169" i="4"/>
  <c r="J38" i="4"/>
  <c r="J166" i="4" s="1"/>
  <c r="J56" i="4"/>
  <c r="K159" i="4"/>
  <c r="K36" i="4"/>
  <c r="K37" i="4"/>
  <c r="I189" i="4"/>
  <c r="E197" i="4"/>
  <c r="J44" i="4"/>
  <c r="P45" i="4" s="1"/>
  <c r="P168" i="4" s="1"/>
  <c r="H277" i="4"/>
  <c r="H282" i="4" s="1"/>
  <c r="H260" i="4"/>
  <c r="J64" i="4"/>
  <c r="J195" i="4" s="1"/>
  <c r="J249" i="4" s="1"/>
  <c r="L78" i="4"/>
  <c r="K87" i="4"/>
  <c r="Q88" i="4" s="1"/>
  <c r="G171" i="4"/>
  <c r="G58" i="4"/>
  <c r="G295" i="4"/>
  <c r="G296" i="4" s="1"/>
  <c r="M146" i="4"/>
  <c r="N145" i="4"/>
  <c r="L136" i="4"/>
  <c r="L137" i="4" s="1"/>
  <c r="L138" i="4" s="1"/>
  <c r="L139" i="4" s="1"/>
  <c r="L144" i="4" s="1"/>
  <c r="L151" i="4" s="1"/>
  <c r="L140" i="4"/>
  <c r="J170" i="4"/>
  <c r="J57" i="4"/>
  <c r="J190" i="4" s="1"/>
  <c r="K82" i="4"/>
  <c r="K84" i="4" s="1"/>
  <c r="I205" i="4"/>
  <c r="I206" i="4" s="1"/>
  <c r="K33" i="4"/>
  <c r="K34" i="4" s="1"/>
  <c r="F191" i="4"/>
  <c r="F65" i="4"/>
  <c r="F197" i="4" s="1"/>
  <c r="K59" i="4"/>
  <c r="L75" i="4"/>
  <c r="L76" i="4" s="1"/>
  <c r="L77" i="4" s="1"/>
  <c r="H164" i="4"/>
  <c r="I41" i="4"/>
  <c r="H43" i="4"/>
  <c r="E299" i="4"/>
  <c r="E263" i="4"/>
  <c r="C326" i="4"/>
  <c r="J92" i="4"/>
  <c r="I305" i="4"/>
  <c r="F294" i="4"/>
  <c r="F298" i="4" s="1"/>
  <c r="F265" i="4"/>
  <c r="K239" i="4"/>
  <c r="K107" i="4"/>
  <c r="H165" i="4"/>
  <c r="I42" i="4"/>
  <c r="K161" i="4"/>
  <c r="K276" i="4" s="1"/>
  <c r="L30" i="4"/>
  <c r="L31" i="4" s="1"/>
  <c r="L162" i="4" s="1"/>
  <c r="M123" i="4"/>
  <c r="M143" i="4" s="1"/>
  <c r="M122" i="4"/>
  <c r="N118" i="4"/>
  <c r="M186" i="4"/>
  <c r="M119" i="4"/>
  <c r="M120" i="4" s="1"/>
  <c r="M125" i="4" s="1"/>
  <c r="L102" i="4"/>
  <c r="J39" i="4"/>
  <c r="I266" i="4"/>
  <c r="H205" i="4"/>
  <c r="H206" i="4" s="1"/>
  <c r="H222" i="4"/>
  <c r="H224" i="4" s="1"/>
  <c r="K85" i="4" l="1"/>
  <c r="M130" i="4"/>
  <c r="S131" i="4" s="1"/>
  <c r="M150" i="4"/>
  <c r="M126" i="4"/>
  <c r="L32" i="4"/>
  <c r="L33" i="4" s="1"/>
  <c r="L34" i="4" s="1"/>
  <c r="K160" i="4"/>
  <c r="K259" i="4" s="1"/>
  <c r="K262" i="4" s="1"/>
  <c r="K39" i="4"/>
  <c r="K44" i="4"/>
  <c r="Q45" i="4" s="1"/>
  <c r="Q168" i="4" s="1"/>
  <c r="K40" i="4"/>
  <c r="K64" i="4"/>
  <c r="K195" i="4" s="1"/>
  <c r="K249" i="4" s="1"/>
  <c r="K86" i="4"/>
  <c r="H225" i="4"/>
  <c r="J262" i="4"/>
  <c r="J266" i="4"/>
  <c r="J177" i="4"/>
  <c r="I165" i="4"/>
  <c r="I222" i="4" s="1"/>
  <c r="I224" i="4" s="1"/>
  <c r="I225" i="4" s="1"/>
  <c r="I228" i="4" s="1"/>
  <c r="J42" i="4"/>
  <c r="C328" i="4"/>
  <c r="N122" i="4"/>
  <c r="N123" i="4"/>
  <c r="N143" i="4" s="1"/>
  <c r="O113" i="4"/>
  <c r="O115" i="4" s="1"/>
  <c r="O117" i="4" s="1"/>
  <c r="O121" i="4" s="1"/>
  <c r="N186" i="4"/>
  <c r="H283" i="4"/>
  <c r="H216" i="4"/>
  <c r="H208" i="4"/>
  <c r="H211" i="4"/>
  <c r="H209" i="4"/>
  <c r="H319" i="4" s="1"/>
  <c r="K169" i="4"/>
  <c r="K38" i="4"/>
  <c r="K166" i="4" s="1"/>
  <c r="K56" i="4"/>
  <c r="L37" i="4"/>
  <c r="L36" i="4"/>
  <c r="E267" i="4"/>
  <c r="K170" i="4"/>
  <c r="K57" i="4"/>
  <c r="K190" i="4" s="1"/>
  <c r="I216" i="4"/>
  <c r="I208" i="4"/>
  <c r="I211" i="4"/>
  <c r="I209" i="4"/>
  <c r="I319" i="4" s="1"/>
  <c r="N119" i="4"/>
  <c r="N120" i="4" s="1"/>
  <c r="K60" i="4"/>
  <c r="K192" i="4" s="1"/>
  <c r="L59" i="4"/>
  <c r="H167" i="4"/>
  <c r="H179" i="4" s="1"/>
  <c r="H49" i="4"/>
  <c r="E199" i="4"/>
  <c r="E198" i="4"/>
  <c r="I164" i="4"/>
  <c r="J41" i="4"/>
  <c r="I43" i="4"/>
  <c r="G294" i="4"/>
  <c r="G265" i="4"/>
  <c r="J205" i="4"/>
  <c r="J206" i="4" s="1"/>
  <c r="F199" i="4"/>
  <c r="F198" i="4"/>
  <c r="H232" i="4"/>
  <c r="H178" i="4"/>
  <c r="H172" i="4"/>
  <c r="H174" i="4"/>
  <c r="M142" i="4"/>
  <c r="M124" i="4"/>
  <c r="M127" i="4" s="1"/>
  <c r="J189" i="4"/>
  <c r="L103" i="4"/>
  <c r="L239" i="4"/>
  <c r="K92" i="4"/>
  <c r="I277" i="4"/>
  <c r="I282" i="4" s="1"/>
  <c r="I283" i="4" s="1"/>
  <c r="I260" i="4"/>
  <c r="J305" i="4"/>
  <c r="J93" i="4"/>
  <c r="J94" i="4" s="1"/>
  <c r="J95" i="4" s="1"/>
  <c r="J96" i="4" s="1"/>
  <c r="J97" i="4"/>
  <c r="F299" i="4"/>
  <c r="F263" i="4"/>
  <c r="F267" i="4" s="1"/>
  <c r="F301" i="4" s="1"/>
  <c r="N146" i="4"/>
  <c r="G191" i="4"/>
  <c r="G65" i="4"/>
  <c r="G197" i="4" s="1"/>
  <c r="L35" i="4"/>
  <c r="L87" i="4"/>
  <c r="R88" i="4" s="1"/>
  <c r="L107" i="4"/>
  <c r="L79" i="4"/>
  <c r="L80" i="4"/>
  <c r="L100" i="4" s="1"/>
  <c r="L83" i="4"/>
  <c r="L82" i="4"/>
  <c r="M73" i="4"/>
  <c r="M74" i="4" s="1"/>
  <c r="M102" i="4" s="1"/>
  <c r="L40" i="4" l="1"/>
  <c r="L64" i="4"/>
  <c r="L44" i="4"/>
  <c r="R45" i="4" s="1"/>
  <c r="L159" i="4"/>
  <c r="R168" i="4"/>
  <c r="L195" i="4"/>
  <c r="L249" i="4" s="1"/>
  <c r="K177" i="4"/>
  <c r="O145" i="4"/>
  <c r="M128" i="4"/>
  <c r="H175" i="4"/>
  <c r="L39" i="4"/>
  <c r="M103" i="4"/>
  <c r="M129" i="4"/>
  <c r="M135" i="4" s="1"/>
  <c r="N130" i="4"/>
  <c r="T131" i="4" s="1"/>
  <c r="N126" i="4"/>
  <c r="N125" i="4"/>
  <c r="N150" i="4"/>
  <c r="L60" i="4"/>
  <c r="L192" i="4" s="1"/>
  <c r="K93" i="4"/>
  <c r="K94" i="4" s="1"/>
  <c r="K95" i="4" s="1"/>
  <c r="K96" i="4" s="1"/>
  <c r="K97" i="4"/>
  <c r="H233" i="4"/>
  <c r="J164" i="4"/>
  <c r="J43" i="4"/>
  <c r="K41" i="4"/>
  <c r="K266" i="4"/>
  <c r="L170" i="4"/>
  <c r="L57" i="4"/>
  <c r="L190" i="4" s="1"/>
  <c r="P116" i="4"/>
  <c r="J165" i="4"/>
  <c r="K42" i="4"/>
  <c r="G199" i="4"/>
  <c r="G198" i="4"/>
  <c r="H228" i="4"/>
  <c r="O146" i="4"/>
  <c r="K205" i="4"/>
  <c r="K206" i="4" s="1"/>
  <c r="O118" i="4"/>
  <c r="O119" i="4" s="1"/>
  <c r="O120" i="4" s="1"/>
  <c r="I178" i="4"/>
  <c r="I172" i="4"/>
  <c r="I174" i="4"/>
  <c r="I232" i="4"/>
  <c r="G298" i="4"/>
  <c r="F302" i="4"/>
  <c r="F304" i="4"/>
  <c r="F326" i="4" s="1"/>
  <c r="F328" i="4" s="1"/>
  <c r="E301" i="4"/>
  <c r="L99" i="4"/>
  <c r="L81" i="4"/>
  <c r="L84" i="4" s="1"/>
  <c r="J208" i="4"/>
  <c r="J211" i="4"/>
  <c r="J216" i="4"/>
  <c r="J209" i="4"/>
  <c r="J319" i="4" s="1"/>
  <c r="K305" i="4"/>
  <c r="J260" i="4"/>
  <c r="J277" i="4"/>
  <c r="J282" i="4" s="1"/>
  <c r="J283" i="4" s="1"/>
  <c r="J101" i="4"/>
  <c r="J108" i="4" s="1"/>
  <c r="H213" i="4"/>
  <c r="I213" i="4" s="1"/>
  <c r="L160" i="4"/>
  <c r="M78" i="4"/>
  <c r="G299" i="4"/>
  <c r="G263" i="4"/>
  <c r="I167" i="4"/>
  <c r="I179" i="4" s="1"/>
  <c r="I49" i="4"/>
  <c r="M75" i="4"/>
  <c r="M76" i="4" s="1"/>
  <c r="M77" i="4" s="1"/>
  <c r="K189" i="4"/>
  <c r="L92" i="4"/>
  <c r="L161" i="4"/>
  <c r="L276" i="4" s="1"/>
  <c r="M30" i="4"/>
  <c r="M31" i="4" s="1"/>
  <c r="M59" i="4" s="1"/>
  <c r="H50" i="4"/>
  <c r="H51" i="4" s="1"/>
  <c r="H52" i="4" s="1"/>
  <c r="H53" i="4" s="1"/>
  <c r="H180" i="4"/>
  <c r="H181" i="4" s="1"/>
  <c r="H54" i="4"/>
  <c r="L169" i="4"/>
  <c r="L56" i="4"/>
  <c r="L38" i="4"/>
  <c r="L166" i="4" s="1"/>
  <c r="N142" i="4"/>
  <c r="N124" i="4"/>
  <c r="N128" i="4" l="1"/>
  <c r="L177" i="4"/>
  <c r="N127" i="4"/>
  <c r="M35" i="4"/>
  <c r="M161" i="4" s="1"/>
  <c r="M276" i="4" s="1"/>
  <c r="M60" i="4"/>
  <c r="M192" i="4" s="1"/>
  <c r="L86" i="4"/>
  <c r="N129" i="4"/>
  <c r="N135" i="4" s="1"/>
  <c r="J232" i="4"/>
  <c r="J178" i="4"/>
  <c r="J172" i="4"/>
  <c r="J174" i="4"/>
  <c r="J167" i="4"/>
  <c r="J179" i="4" s="1"/>
  <c r="J49" i="4"/>
  <c r="H255" i="4"/>
  <c r="H235" i="4"/>
  <c r="M136" i="4"/>
  <c r="M137" i="4" s="1"/>
  <c r="M138" i="4" s="1"/>
  <c r="M139" i="4" s="1"/>
  <c r="M144" i="4" s="1"/>
  <c r="M151" i="4" s="1"/>
  <c r="M140" i="4"/>
  <c r="N30" i="4"/>
  <c r="N31" i="4" s="1"/>
  <c r="K164" i="4"/>
  <c r="K43" i="4"/>
  <c r="L41" i="4"/>
  <c r="O150" i="4"/>
  <c r="O122" i="4"/>
  <c r="O123" i="4"/>
  <c r="O143" i="4" s="1"/>
  <c r="O130" i="4"/>
  <c r="U131" i="4" s="1"/>
  <c r="P113" i="4"/>
  <c r="P115" i="4" s="1"/>
  <c r="P117" i="4" s="1"/>
  <c r="O125" i="4"/>
  <c r="O126" i="4"/>
  <c r="O186" i="4"/>
  <c r="N73" i="4"/>
  <c r="N74" i="4" s="1"/>
  <c r="N102" i="4" s="1"/>
  <c r="L205" i="4"/>
  <c r="L206" i="4" s="1"/>
  <c r="L305" i="4"/>
  <c r="K101" i="4"/>
  <c r="K108" i="4" s="1"/>
  <c r="E302" i="4"/>
  <c r="E304" i="4" s="1"/>
  <c r="L189" i="4"/>
  <c r="J213" i="4"/>
  <c r="K260" i="4"/>
  <c r="K277" i="4"/>
  <c r="K282" i="4" s="1"/>
  <c r="K283" i="4" s="1"/>
  <c r="L259" i="4"/>
  <c r="L262" i="4" s="1"/>
  <c r="L85" i="4"/>
  <c r="K216" i="4"/>
  <c r="K211" i="4"/>
  <c r="K209" i="4"/>
  <c r="K319" i="4" s="1"/>
  <c r="K208" i="4"/>
  <c r="I233" i="4"/>
  <c r="I255" i="4" s="1"/>
  <c r="M107" i="4"/>
  <c r="M79" i="4"/>
  <c r="M87" i="4"/>
  <c r="S88" i="4" s="1"/>
  <c r="M80" i="4"/>
  <c r="M100" i="4" s="1"/>
  <c r="M83" i="4"/>
  <c r="M82" i="4"/>
  <c r="I50" i="4"/>
  <c r="I51" i="4" s="1"/>
  <c r="I52" i="4" s="1"/>
  <c r="I53" i="4" s="1"/>
  <c r="I180" i="4"/>
  <c r="I181" i="4" s="1"/>
  <c r="I54" i="4"/>
  <c r="J222" i="4"/>
  <c r="J224" i="4" s="1"/>
  <c r="J225" i="4" s="1"/>
  <c r="I175" i="4"/>
  <c r="L93" i="4"/>
  <c r="L94" i="4" s="1"/>
  <c r="L95" i="4" s="1"/>
  <c r="L96" i="4" s="1"/>
  <c r="L97" i="4"/>
  <c r="H171" i="4"/>
  <c r="H58" i="4"/>
  <c r="H295" i="4"/>
  <c r="H296" i="4" s="1"/>
  <c r="M162" i="4"/>
  <c r="M32" i="4"/>
  <c r="M33" i="4" s="1"/>
  <c r="M34" i="4" s="1"/>
  <c r="G267" i="4"/>
  <c r="K165" i="4"/>
  <c r="K222" i="4" s="1"/>
  <c r="K224" i="4" s="1"/>
  <c r="K225" i="4" s="1"/>
  <c r="K228" i="4" s="1"/>
  <c r="L42" i="4"/>
  <c r="L266" i="4"/>
  <c r="J175" i="4" l="1"/>
  <c r="N162" i="4"/>
  <c r="N75" i="4"/>
  <c r="N136" i="4"/>
  <c r="N137" i="4" s="1"/>
  <c r="N138" i="4" s="1"/>
  <c r="N139" i="4" s="1"/>
  <c r="N144" i="4" s="1"/>
  <c r="N151" i="4" s="1"/>
  <c r="D9" i="5" s="1"/>
  <c r="N140" i="4"/>
  <c r="N35" i="4"/>
  <c r="N80" i="4"/>
  <c r="N100" i="4" s="1"/>
  <c r="O70" i="4"/>
  <c r="O72" i="4" s="1"/>
  <c r="N79" i="4"/>
  <c r="N82" i="4"/>
  <c r="K178" i="4"/>
  <c r="L222" i="4"/>
  <c r="L224" i="4" s="1"/>
  <c r="L225" i="4" s="1"/>
  <c r="L228" i="4" s="1"/>
  <c r="K232" i="4"/>
  <c r="K172" i="4"/>
  <c r="K174" i="4"/>
  <c r="N76" i="4"/>
  <c r="N77" i="4" s="1"/>
  <c r="M160" i="4"/>
  <c r="N78" i="4"/>
  <c r="L101" i="4"/>
  <c r="L108" i="4" s="1"/>
  <c r="M92" i="4"/>
  <c r="O142" i="4"/>
  <c r="O124" i="4"/>
  <c r="O127" i="4" s="1"/>
  <c r="N103" i="4"/>
  <c r="M159" i="4"/>
  <c r="M64" i="4"/>
  <c r="M195" i="4" s="1"/>
  <c r="M249" i="4" s="1"/>
  <c r="M37" i="4"/>
  <c r="M36" i="4"/>
  <c r="M44" i="4"/>
  <c r="S45" i="4" s="1"/>
  <c r="S168" i="4" s="1"/>
  <c r="N32" i="4"/>
  <c r="N33" i="4" s="1"/>
  <c r="N34" i="4" s="1"/>
  <c r="M40" i="4"/>
  <c r="M39" i="4"/>
  <c r="O132" i="4"/>
  <c r="J228" i="4"/>
  <c r="K213" i="4"/>
  <c r="L165" i="4"/>
  <c r="G301" i="4"/>
  <c r="L164" i="4"/>
  <c r="L43" i="4"/>
  <c r="J50" i="4"/>
  <c r="J51" i="4" s="1"/>
  <c r="J52" i="4" s="1"/>
  <c r="J53" i="4" s="1"/>
  <c r="J180" i="4"/>
  <c r="J181" i="4" s="1"/>
  <c r="J54" i="4"/>
  <c r="L208" i="4"/>
  <c r="L211" i="4"/>
  <c r="L209" i="4"/>
  <c r="L319" i="4" s="1"/>
  <c r="L216" i="4"/>
  <c r="J233" i="4"/>
  <c r="J255" i="4" s="1"/>
  <c r="I171" i="4"/>
  <c r="I58" i="4"/>
  <c r="I295" i="4"/>
  <c r="I296" i="4" s="1"/>
  <c r="E326" i="4"/>
  <c r="P145" i="4"/>
  <c r="P121" i="4"/>
  <c r="K167" i="4"/>
  <c r="K179" i="4" s="1"/>
  <c r="K49" i="4"/>
  <c r="N239" i="4"/>
  <c r="D92" i="5"/>
  <c r="M99" i="4"/>
  <c r="M81" i="4"/>
  <c r="M84" i="4" s="1"/>
  <c r="M239" i="4"/>
  <c r="I235" i="4"/>
  <c r="L277" i="4"/>
  <c r="L282" i="4" s="1"/>
  <c r="L283" i="4" s="1"/>
  <c r="L260" i="4"/>
  <c r="H191" i="4"/>
  <c r="H65" i="4"/>
  <c r="H265" i="4"/>
  <c r="H294" i="4"/>
  <c r="P118" i="4"/>
  <c r="N59" i="4"/>
  <c r="M85" i="4" l="1"/>
  <c r="L213" i="4"/>
  <c r="O73" i="4"/>
  <c r="O74" i="4" s="1"/>
  <c r="P122" i="4"/>
  <c r="P123" i="4"/>
  <c r="P143" i="4" s="1"/>
  <c r="Q113" i="4"/>
  <c r="Q115" i="4" s="1"/>
  <c r="P186" i="4"/>
  <c r="P119" i="4"/>
  <c r="P120" i="4" s="1"/>
  <c r="P126" i="4" s="1"/>
  <c r="N99" i="4"/>
  <c r="N81" i="4"/>
  <c r="E328" i="4"/>
  <c r="N87" i="4"/>
  <c r="T88" i="4" s="1"/>
  <c r="N160" i="4"/>
  <c r="D94" i="5" s="1"/>
  <c r="O134" i="4"/>
  <c r="O133" i="4"/>
  <c r="O129" i="4"/>
  <c r="O135" i="4" s="1"/>
  <c r="M86" i="4"/>
  <c r="I294" i="4"/>
  <c r="I298" i="4" s="1"/>
  <c r="I265" i="4"/>
  <c r="K175" i="4"/>
  <c r="N107" i="4"/>
  <c r="Q116" i="4"/>
  <c r="N60" i="4"/>
  <c r="N192" i="4" s="1"/>
  <c r="M259" i="4"/>
  <c r="M177" i="4"/>
  <c r="H298" i="4"/>
  <c r="K233" i="4"/>
  <c r="K255" i="4" s="1"/>
  <c r="N161" i="4"/>
  <c r="O30" i="4"/>
  <c r="L167" i="4"/>
  <c r="L179" i="4" s="1"/>
  <c r="L49" i="4"/>
  <c r="H197" i="4"/>
  <c r="N159" i="4"/>
  <c r="N64" i="4"/>
  <c r="N37" i="4"/>
  <c r="N36" i="4"/>
  <c r="N44" i="4"/>
  <c r="T45" i="4" s="1"/>
  <c r="O27" i="4"/>
  <c r="N39" i="4"/>
  <c r="N40" i="4"/>
  <c r="M93" i="4"/>
  <c r="M94" i="4" s="1"/>
  <c r="M95" i="4" s="1"/>
  <c r="M96" i="4" s="1"/>
  <c r="M97" i="4"/>
  <c r="P146" i="4"/>
  <c r="J171" i="4"/>
  <c r="J58" i="4"/>
  <c r="J295" i="4"/>
  <c r="J296" i="4" s="1"/>
  <c r="I191" i="4"/>
  <c r="I65" i="4"/>
  <c r="I197" i="4" s="1"/>
  <c r="J235" i="4"/>
  <c r="M170" i="4"/>
  <c r="M57" i="4"/>
  <c r="M190" i="4" s="1"/>
  <c r="D41" i="5"/>
  <c r="H299" i="4"/>
  <c r="H263" i="4"/>
  <c r="G302" i="4"/>
  <c r="G304" i="4"/>
  <c r="K50" i="4"/>
  <c r="K51" i="4" s="1"/>
  <c r="K52" i="4" s="1"/>
  <c r="K53" i="4" s="1"/>
  <c r="K180" i="4"/>
  <c r="K181" i="4" s="1"/>
  <c r="K54" i="4"/>
  <c r="L172" i="4"/>
  <c r="L178" i="4"/>
  <c r="L232" i="4"/>
  <c r="L174" i="4"/>
  <c r="M169" i="4"/>
  <c r="M38" i="4"/>
  <c r="M56" i="4"/>
  <c r="N83" i="4"/>
  <c r="O128" i="4"/>
  <c r="N85" i="4" l="1"/>
  <c r="T168" i="4"/>
  <c r="N84" i="4"/>
  <c r="P150" i="4"/>
  <c r="O280" i="4"/>
  <c r="O279" i="4"/>
  <c r="O29" i="4"/>
  <c r="O31" i="4" s="1"/>
  <c r="O136" i="4"/>
  <c r="O137" i="4" s="1"/>
  <c r="O140" i="4"/>
  <c r="P124" i="4"/>
  <c r="P128" i="4" s="1"/>
  <c r="P142" i="4"/>
  <c r="M166" i="4"/>
  <c r="M41" i="4"/>
  <c r="O102" i="4"/>
  <c r="O75" i="4"/>
  <c r="L50" i="4"/>
  <c r="L51" i="4" s="1"/>
  <c r="L52" i="4" s="1"/>
  <c r="L53" i="4" s="1"/>
  <c r="L180" i="4"/>
  <c r="L181" i="4" s="1"/>
  <c r="L54" i="4"/>
  <c r="I199" i="4"/>
  <c r="I198" i="4"/>
  <c r="N170" i="4"/>
  <c r="N57" i="4"/>
  <c r="N190" i="4" s="1"/>
  <c r="D15" i="5" s="1"/>
  <c r="K235" i="4"/>
  <c r="O148" i="4"/>
  <c r="O149" i="4" s="1"/>
  <c r="M189" i="4"/>
  <c r="N169" i="4"/>
  <c r="N56" i="4"/>
  <c r="N38" i="4"/>
  <c r="N166" i="4" s="1"/>
  <c r="P125" i="4"/>
  <c r="D17" i="5"/>
  <c r="I299" i="4"/>
  <c r="I263" i="4"/>
  <c r="I267" i="4" s="1"/>
  <c r="I301" i="4" s="1"/>
  <c r="O141" i="4"/>
  <c r="O138" i="4"/>
  <c r="O139" i="4" s="1"/>
  <c r="L175" i="4"/>
  <c r="O78" i="4"/>
  <c r="G326" i="4"/>
  <c r="H267" i="4"/>
  <c r="N195" i="4"/>
  <c r="N249" i="4" s="1"/>
  <c r="D45" i="5" s="1"/>
  <c r="Q117" i="4"/>
  <c r="N86" i="4"/>
  <c r="J191" i="4"/>
  <c r="J65" i="4"/>
  <c r="J197" i="4" s="1"/>
  <c r="D93" i="5"/>
  <c r="N177" i="4"/>
  <c r="N259" i="4"/>
  <c r="N262" i="4" s="1"/>
  <c r="M101" i="4"/>
  <c r="M108" i="4" s="1"/>
  <c r="N92" i="4"/>
  <c r="M42" i="4"/>
  <c r="L233" i="4"/>
  <c r="L255" i="4" s="1"/>
  <c r="D95" i="5"/>
  <c r="N276" i="4"/>
  <c r="J294" i="4"/>
  <c r="J298" i="4" s="1"/>
  <c r="J265" i="4"/>
  <c r="K171" i="4"/>
  <c r="K58" i="4"/>
  <c r="K295" i="4"/>
  <c r="K296" i="4" s="1"/>
  <c r="H199" i="4"/>
  <c r="H198" i="4"/>
  <c r="M262" i="4"/>
  <c r="M266" i="4"/>
  <c r="P130" i="4"/>
  <c r="V131" i="4" s="1"/>
  <c r="D51" i="5" l="1"/>
  <c r="O147" i="4"/>
  <c r="O144" i="4"/>
  <c r="L171" i="4"/>
  <c r="L58" i="4"/>
  <c r="L295" i="4"/>
  <c r="L296" i="4" s="1"/>
  <c r="Q118" i="4"/>
  <c r="Q145" i="4"/>
  <c r="Q121" i="4"/>
  <c r="Q119" i="4"/>
  <c r="Q120" i="4" s="1"/>
  <c r="O79" i="4"/>
  <c r="O80" i="4"/>
  <c r="O100" i="4" s="1"/>
  <c r="P70" i="4"/>
  <c r="P72" i="4" s="1"/>
  <c r="O162" i="4"/>
  <c r="O32" i="4"/>
  <c r="O59" i="4"/>
  <c r="O35" i="4"/>
  <c r="M277" i="4"/>
  <c r="M282" i="4" s="1"/>
  <c r="M283" i="4" s="1"/>
  <c r="M260" i="4"/>
  <c r="I302" i="4"/>
  <c r="I304" i="4"/>
  <c r="I326" i="4" s="1"/>
  <c r="I328" i="4" s="1"/>
  <c r="O103" i="4"/>
  <c r="L235" i="4"/>
  <c r="N189" i="4"/>
  <c r="M205" i="4"/>
  <c r="M206" i="4" s="1"/>
  <c r="K191" i="4"/>
  <c r="K65" i="4"/>
  <c r="K197" i="4" s="1"/>
  <c r="H301" i="4"/>
  <c r="M305" i="4"/>
  <c r="N93" i="4"/>
  <c r="N94" i="4" s="1"/>
  <c r="N95" i="4" s="1"/>
  <c r="N96" i="4" s="1"/>
  <c r="N97" i="4"/>
  <c r="K294" i="4"/>
  <c r="K298" i="4" s="1"/>
  <c r="K265" i="4"/>
  <c r="P132" i="4"/>
  <c r="N266" i="4"/>
  <c r="D53" i="5" s="1"/>
  <c r="P127" i="4"/>
  <c r="N205" i="4"/>
  <c r="N206" i="4" s="1"/>
  <c r="O76" i="4"/>
  <c r="O77" i="4" s="1"/>
  <c r="O87" i="4" s="1"/>
  <c r="U88" i="4" s="1"/>
  <c r="J199" i="4"/>
  <c r="J198" i="4"/>
  <c r="G328" i="4"/>
  <c r="N305" i="4"/>
  <c r="M165" i="4"/>
  <c r="N42" i="4"/>
  <c r="J299" i="4"/>
  <c r="J263" i="4"/>
  <c r="J267" i="4" s="1"/>
  <c r="J301" i="4" s="1"/>
  <c r="P73" i="4"/>
  <c r="M164" i="4"/>
  <c r="N41" i="4"/>
  <c r="M43" i="4"/>
  <c r="O151" i="4" l="1"/>
  <c r="O89" i="4"/>
  <c r="O159" i="4"/>
  <c r="O36" i="4"/>
  <c r="P27" i="4"/>
  <c r="O37" i="4"/>
  <c r="N101" i="4"/>
  <c r="N108" i="4" s="1"/>
  <c r="D8" i="5" s="1"/>
  <c r="R116" i="4"/>
  <c r="N277" i="4"/>
  <c r="N260" i="4"/>
  <c r="D14" i="5"/>
  <c r="J302" i="4"/>
  <c r="J304" i="4" s="1"/>
  <c r="J326" i="4" s="1"/>
  <c r="J328" i="4" s="1"/>
  <c r="L294" i="4"/>
  <c r="L298" i="4" s="1"/>
  <c r="L265" i="4"/>
  <c r="O239" i="4"/>
  <c r="O83" i="4"/>
  <c r="N165" i="4"/>
  <c r="N222" i="4" s="1"/>
  <c r="N224" i="4" s="1"/>
  <c r="O82" i="4"/>
  <c r="P74" i="4"/>
  <c r="Q146" i="4"/>
  <c r="D86" i="5"/>
  <c r="N211" i="4"/>
  <c r="N209" i="4"/>
  <c r="N208" i="4"/>
  <c r="N216" i="4"/>
  <c r="Q150" i="4"/>
  <c r="Q122" i="4"/>
  <c r="Q130" i="4"/>
  <c r="W131" i="4" s="1"/>
  <c r="Q123" i="4"/>
  <c r="Q143" i="4" s="1"/>
  <c r="R113" i="4"/>
  <c r="R115" i="4" s="1"/>
  <c r="Q125" i="4"/>
  <c r="Q126" i="4"/>
  <c r="Q186" i="4"/>
  <c r="P129" i="4"/>
  <c r="P135" i="4" s="1"/>
  <c r="P148" i="4" s="1"/>
  <c r="M232" i="4"/>
  <c r="M178" i="4"/>
  <c r="M174" i="4"/>
  <c r="M172" i="4"/>
  <c r="L191" i="4"/>
  <c r="L65" i="4"/>
  <c r="L197" i="4" s="1"/>
  <c r="K299" i="4"/>
  <c r="K263" i="4"/>
  <c r="K267" i="4" s="1"/>
  <c r="K301" i="4" s="1"/>
  <c r="P134" i="4"/>
  <c r="P133" i="4"/>
  <c r="P30" i="4"/>
  <c r="O161" i="4"/>
  <c r="O276" i="4" s="1"/>
  <c r="O107" i="4"/>
  <c r="O33" i="4"/>
  <c r="O34" i="4" s="1"/>
  <c r="O40" i="4" s="1"/>
  <c r="H302" i="4"/>
  <c r="H304" i="4" s="1"/>
  <c r="K199" i="4"/>
  <c r="K198" i="4"/>
  <c r="M222" i="4"/>
  <c r="M224" i="4" s="1"/>
  <c r="M225" i="4" s="1"/>
  <c r="M228" i="4" s="1"/>
  <c r="M209" i="4"/>
  <c r="M319" i="4" s="1"/>
  <c r="M208" i="4"/>
  <c r="M216" i="4"/>
  <c r="M211" i="4"/>
  <c r="M213" i="4" s="1"/>
  <c r="M167" i="4"/>
  <c r="M179" i="4" s="1"/>
  <c r="M49" i="4"/>
  <c r="N164" i="4"/>
  <c r="D99" i="5" s="1"/>
  <c r="N43" i="4"/>
  <c r="O60" i="4"/>
  <c r="O192" i="4" s="1"/>
  <c r="O81" i="4"/>
  <c r="O99" i="4"/>
  <c r="M175" i="4" l="1"/>
  <c r="N213" i="4"/>
  <c r="R117" i="4"/>
  <c r="H326" i="4"/>
  <c r="O170" i="4"/>
  <c r="O57" i="4"/>
  <c r="O190" i="4" s="1"/>
  <c r="O160" i="4"/>
  <c r="O259" i="4" s="1"/>
  <c r="O266" i="4" s="1"/>
  <c r="P280" i="4"/>
  <c r="P279" i="4"/>
  <c r="P29" i="4"/>
  <c r="P31" i="4" s="1"/>
  <c r="N225" i="4"/>
  <c r="D34" i="5"/>
  <c r="L199" i="4"/>
  <c r="L198" i="4"/>
  <c r="N282" i="4"/>
  <c r="D56" i="5"/>
  <c r="O169" i="4"/>
  <c r="O56" i="4"/>
  <c r="O38" i="4"/>
  <c r="O166" i="4" s="1"/>
  <c r="L299" i="4"/>
  <c r="L263" i="4"/>
  <c r="L267" i="4" s="1"/>
  <c r="L301" i="4" s="1"/>
  <c r="N167" i="4"/>
  <c r="N49" i="4"/>
  <c r="M50" i="4"/>
  <c r="M51" i="4" s="1"/>
  <c r="M52" i="4" s="1"/>
  <c r="M53" i="4" s="1"/>
  <c r="M180" i="4"/>
  <c r="M181" i="4" s="1"/>
  <c r="M54" i="4"/>
  <c r="M233" i="4"/>
  <c r="M255" i="4" s="1"/>
  <c r="D97" i="5"/>
  <c r="N232" i="4"/>
  <c r="N178" i="4"/>
  <c r="N172" i="4"/>
  <c r="N174" i="4"/>
  <c r="R121" i="4"/>
  <c r="O64" i="4"/>
  <c r="O195" i="4" s="1"/>
  <c r="O249" i="4" s="1"/>
  <c r="R118" i="4"/>
  <c r="R145" i="4"/>
  <c r="Q132" i="4"/>
  <c r="O85" i="4"/>
  <c r="O44" i="4"/>
  <c r="U45" i="4" s="1"/>
  <c r="U168" i="4" s="1"/>
  <c r="O84" i="4"/>
  <c r="D50" i="5"/>
  <c r="P141" i="4"/>
  <c r="P136" i="4"/>
  <c r="P137" i="4" s="1"/>
  <c r="P138" i="4" s="1"/>
  <c r="P139" i="4" s="1"/>
  <c r="P140" i="4"/>
  <c r="D89" i="5"/>
  <c r="N319" i="4"/>
  <c r="D83" i="5" s="1"/>
  <c r="D87" i="5"/>
  <c r="O91" i="4"/>
  <c r="O90" i="4"/>
  <c r="P78" i="4"/>
  <c r="P75" i="4"/>
  <c r="P76" i="4" s="1"/>
  <c r="P77" i="4" s="1"/>
  <c r="P102" i="4"/>
  <c r="Q124" i="4"/>
  <c r="Q127" i="4" s="1"/>
  <c r="Q142" i="4"/>
  <c r="K302" i="4"/>
  <c r="K304" i="4" s="1"/>
  <c r="Q128" i="4"/>
  <c r="D88" i="5"/>
  <c r="O39" i="4"/>
  <c r="Q129" i="4" l="1"/>
  <c r="Q135" i="4" s="1"/>
  <c r="K326" i="4"/>
  <c r="K328" i="4" s="1"/>
  <c r="O98" i="4"/>
  <c r="O205" i="4"/>
  <c r="O206" i="4" s="1"/>
  <c r="O41" i="4"/>
  <c r="R146" i="4"/>
  <c r="M235" i="4"/>
  <c r="O42" i="4"/>
  <c r="P147" i="4"/>
  <c r="P144" i="4"/>
  <c r="Q134" i="4"/>
  <c r="Q148" i="4"/>
  <c r="Q133" i="4"/>
  <c r="O189" i="4"/>
  <c r="O305" i="4"/>
  <c r="H328" i="4"/>
  <c r="D58" i="5"/>
  <c r="N283" i="4"/>
  <c r="D67" i="5" s="1"/>
  <c r="O46" i="4"/>
  <c r="M171" i="4"/>
  <c r="M58" i="4"/>
  <c r="M295" i="4"/>
  <c r="M296" i="4" s="1"/>
  <c r="O177" i="4"/>
  <c r="R123" i="4"/>
  <c r="R143" i="4" s="1"/>
  <c r="R122" i="4"/>
  <c r="S113" i="4"/>
  <c r="S115" i="4" s="1"/>
  <c r="R186" i="4"/>
  <c r="N50" i="4"/>
  <c r="N51" i="4" s="1"/>
  <c r="N52" i="4" s="1"/>
  <c r="N53" i="4" s="1"/>
  <c r="N180" i="4"/>
  <c r="N181" i="4" s="1"/>
  <c r="N54" i="4"/>
  <c r="L302" i="4"/>
  <c r="L304" i="4" s="1"/>
  <c r="L326" i="4" s="1"/>
  <c r="N228" i="4"/>
  <c r="D35" i="5"/>
  <c r="R119" i="4"/>
  <c r="R120" i="4" s="1"/>
  <c r="R150" i="4" s="1"/>
  <c r="N233" i="4"/>
  <c r="N235" i="4" s="1"/>
  <c r="D38" i="5" s="1"/>
  <c r="O86" i="4"/>
  <c r="O92" i="4" s="1"/>
  <c r="S116" i="4"/>
  <c r="P103" i="4"/>
  <c r="D100" i="5"/>
  <c r="N179" i="4"/>
  <c r="P107" i="4"/>
  <c r="P87" i="4"/>
  <c r="V88" i="4" s="1"/>
  <c r="P80" i="4"/>
  <c r="P100" i="4" s="1"/>
  <c r="Q70" i="4"/>
  <c r="Q72" i="4" s="1"/>
  <c r="P79" i="4"/>
  <c r="P83" i="4"/>
  <c r="P82" i="4"/>
  <c r="D98" i="5"/>
  <c r="N175" i="4"/>
  <c r="Q73" i="4"/>
  <c r="P149" i="4"/>
  <c r="P162" i="4"/>
  <c r="P59" i="4"/>
  <c r="P35" i="4"/>
  <c r="P32" i="4"/>
  <c r="R126" i="4" l="1"/>
  <c r="R130" i="4"/>
  <c r="X131" i="4" s="1"/>
  <c r="P151" i="4"/>
  <c r="Q74" i="4"/>
  <c r="L328" i="4"/>
  <c r="D36" i="5"/>
  <c r="Q141" i="4"/>
  <c r="P159" i="4"/>
  <c r="P64" i="4"/>
  <c r="P195" i="4" s="1"/>
  <c r="P249" i="4" s="1"/>
  <c r="P36" i="4"/>
  <c r="Q27" i="4"/>
  <c r="P37" i="4"/>
  <c r="O209" i="4"/>
  <c r="O216" i="4"/>
  <c r="O211" i="4"/>
  <c r="O208" i="4"/>
  <c r="N171" i="4"/>
  <c r="N58" i="4"/>
  <c r="N295" i="4"/>
  <c r="N296" i="4" s="1"/>
  <c r="D64" i="5" s="1"/>
  <c r="O93" i="4"/>
  <c r="O94" i="4" s="1"/>
  <c r="O95" i="4" s="1"/>
  <c r="O96" i="4" s="1"/>
  <c r="O97" i="4"/>
  <c r="O105" i="4"/>
  <c r="O106" i="4" s="1"/>
  <c r="O163" i="4"/>
  <c r="O47" i="4"/>
  <c r="O48" i="4"/>
  <c r="O288" i="4" s="1"/>
  <c r="O292" i="4" s="1"/>
  <c r="R124" i="4"/>
  <c r="R128" i="4" s="1"/>
  <c r="R142" i="4"/>
  <c r="R132" i="4"/>
  <c r="P33" i="4"/>
  <c r="P34" i="4" s="1"/>
  <c r="P39" i="4" s="1"/>
  <c r="O165" i="4"/>
  <c r="P239" i="4"/>
  <c r="M191" i="4"/>
  <c r="M65" i="4"/>
  <c r="M197" i="4" s="1"/>
  <c r="P81" i="4"/>
  <c r="P84" i="4" s="1"/>
  <c r="P99" i="4"/>
  <c r="P161" i="4"/>
  <c r="P276" i="4" s="1"/>
  <c r="Q30" i="4"/>
  <c r="P60" i="4"/>
  <c r="P192" i="4" s="1"/>
  <c r="P89" i="4"/>
  <c r="R125" i="4"/>
  <c r="R127" i="4" s="1"/>
  <c r="M294" i="4"/>
  <c r="M298" i="4" s="1"/>
  <c r="M265" i="4"/>
  <c r="N255" i="4"/>
  <c r="D49" i="5" s="1"/>
  <c r="D37" i="5"/>
  <c r="S117" i="4"/>
  <c r="O277" i="4"/>
  <c r="O260" i="4"/>
  <c r="O164" i="4"/>
  <c r="O43" i="4"/>
  <c r="Q136" i="4"/>
  <c r="Q137" i="4" s="1"/>
  <c r="Q138" i="4" s="1"/>
  <c r="Q139" i="4" s="1"/>
  <c r="Q140" i="4"/>
  <c r="P40" i="4" l="1"/>
  <c r="Q149" i="4"/>
  <c r="Q75" i="4"/>
  <c r="Q102" i="4"/>
  <c r="Q103" i="4" s="1"/>
  <c r="Q78" i="4"/>
  <c r="R73" i="4" s="1"/>
  <c r="P85" i="4"/>
  <c r="P86" i="4"/>
  <c r="P92" i="4" s="1"/>
  <c r="O213" i="4"/>
  <c r="P91" i="4"/>
  <c r="P105" i="4"/>
  <c r="P90" i="4"/>
  <c r="O232" i="4"/>
  <c r="O172" i="4"/>
  <c r="O174" i="4"/>
  <c r="O178" i="4"/>
  <c r="O222" i="4"/>
  <c r="O224" i="4" s="1"/>
  <c r="O104" i="4"/>
  <c r="O101" i="4"/>
  <c r="P170" i="4"/>
  <c r="P57" i="4"/>
  <c r="P190" i="4" s="1"/>
  <c r="O55" i="4"/>
  <c r="O196" i="4" s="1"/>
  <c r="O293" i="4" s="1"/>
  <c r="R133" i="4"/>
  <c r="R134" i="4"/>
  <c r="M299" i="4"/>
  <c r="M263" i="4"/>
  <c r="M267" i="4" s="1"/>
  <c r="M301" i="4" s="1"/>
  <c r="O282" i="4"/>
  <c r="Q147" i="4"/>
  <c r="Q144" i="4"/>
  <c r="P160" i="4"/>
  <c r="P259" i="4" s="1"/>
  <c r="P266" i="4" s="1"/>
  <c r="N191" i="4"/>
  <c r="N65" i="4"/>
  <c r="Q280" i="4"/>
  <c r="Q279" i="4"/>
  <c r="Q29" i="4"/>
  <c r="Q31" i="4" s="1"/>
  <c r="N294" i="4"/>
  <c r="N265" i="4"/>
  <c r="S118" i="4"/>
  <c r="S119" i="4" s="1"/>
  <c r="S120" i="4" s="1"/>
  <c r="S145" i="4"/>
  <c r="S121" i="4"/>
  <c r="P44" i="4"/>
  <c r="V45" i="4" s="1"/>
  <c r="V168" i="4" s="1"/>
  <c r="O167" i="4"/>
  <c r="O179" i="4" s="1"/>
  <c r="O49" i="4"/>
  <c r="R129" i="4"/>
  <c r="R135" i="4" s="1"/>
  <c r="M199" i="4"/>
  <c r="M198" i="4"/>
  <c r="P169" i="4"/>
  <c r="P56" i="4"/>
  <c r="P38" i="4"/>
  <c r="Q151" i="4" l="1"/>
  <c r="P177" i="4"/>
  <c r="O108" i="4"/>
  <c r="Q79" i="4"/>
  <c r="R70" i="4"/>
  <c r="R72" i="4" s="1"/>
  <c r="R74" i="4" s="1"/>
  <c r="Q80" i="4"/>
  <c r="Q100" i="4" s="1"/>
  <c r="Q76" i="4"/>
  <c r="Q77" i="4" s="1"/>
  <c r="Q82" i="4" s="1"/>
  <c r="P189" i="4"/>
  <c r="P166" i="4"/>
  <c r="P42" i="4"/>
  <c r="S146" i="4"/>
  <c r="O283" i="4"/>
  <c r="O175" i="4"/>
  <c r="M302" i="4"/>
  <c r="M304" i="4" s="1"/>
  <c r="M326" i="4" s="1"/>
  <c r="O225" i="4"/>
  <c r="N299" i="4"/>
  <c r="D66" i="5" s="1"/>
  <c r="N263" i="4"/>
  <c r="D16" i="5"/>
  <c r="N298" i="4"/>
  <c r="D65" i="5" s="1"/>
  <c r="D63" i="5"/>
  <c r="S150" i="4"/>
  <c r="S123" i="4"/>
  <c r="S143" i="4" s="1"/>
  <c r="S130" i="4"/>
  <c r="Y131" i="4" s="1"/>
  <c r="S122" i="4"/>
  <c r="T113" i="4"/>
  <c r="T115" i="4" s="1"/>
  <c r="S126" i="4"/>
  <c r="S125" i="4"/>
  <c r="S186" i="4"/>
  <c r="O233" i="4"/>
  <c r="P106" i="4"/>
  <c r="P41" i="4"/>
  <c r="P46" i="4"/>
  <c r="Q162" i="4"/>
  <c r="Q32" i="4"/>
  <c r="Q33" i="4" s="1"/>
  <c r="Q34" i="4" s="1"/>
  <c r="Q35" i="4"/>
  <c r="Q59" i="4"/>
  <c r="R141" i="4"/>
  <c r="T116" i="4"/>
  <c r="N197" i="4"/>
  <c r="D7" i="5"/>
  <c r="P98" i="4"/>
  <c r="R136" i="4"/>
  <c r="R137" i="4" s="1"/>
  <c r="R138" i="4" s="1"/>
  <c r="R139" i="4" s="1"/>
  <c r="R140" i="4"/>
  <c r="O50" i="4"/>
  <c r="O51" i="4" s="1"/>
  <c r="O52" i="4" s="1"/>
  <c r="O53" i="4" s="1"/>
  <c r="O54" i="4"/>
  <c r="O62" i="4"/>
  <c r="O180" i="4"/>
  <c r="R148" i="4"/>
  <c r="P93" i="4"/>
  <c r="P94" i="4" s="1"/>
  <c r="P95" i="4" s="1"/>
  <c r="P96" i="4" s="1"/>
  <c r="P97" i="4"/>
  <c r="O181" i="4" l="1"/>
  <c r="O63" i="4"/>
  <c r="O194" i="4" s="1"/>
  <c r="T117" i="4"/>
  <c r="T118" i="4" s="1"/>
  <c r="T122" i="4" s="1"/>
  <c r="Q83" i="4"/>
  <c r="Q87" i="4"/>
  <c r="W88" i="4" s="1"/>
  <c r="R102" i="4"/>
  <c r="R103" i="4" s="1"/>
  <c r="R75" i="4"/>
  <c r="R78" i="4"/>
  <c r="S73" i="4" s="1"/>
  <c r="Q107" i="4"/>
  <c r="Q81" i="4"/>
  <c r="Q85" i="4" s="1"/>
  <c r="Q99" i="4"/>
  <c r="Q84" i="4"/>
  <c r="Q86" i="4" s="1"/>
  <c r="Q92" i="4" s="1"/>
  <c r="Q97" i="4" s="1"/>
  <c r="M328" i="4"/>
  <c r="R147" i="4"/>
  <c r="R144" i="4"/>
  <c r="S132" i="4"/>
  <c r="O228" i="4"/>
  <c r="P277" i="4"/>
  <c r="P260" i="4"/>
  <c r="O171" i="4"/>
  <c r="O61" i="4"/>
  <c r="O193" i="4" s="1"/>
  <c r="O58" i="4"/>
  <c r="O295" i="4"/>
  <c r="O296" i="4" s="1"/>
  <c r="D52" i="5"/>
  <c r="N267" i="4"/>
  <c r="P205" i="4"/>
  <c r="P206" i="4" s="1"/>
  <c r="S142" i="4"/>
  <c r="S124" i="4"/>
  <c r="S127" i="4" s="1"/>
  <c r="T145" i="4"/>
  <c r="O255" i="4"/>
  <c r="O235" i="4"/>
  <c r="Q60" i="4"/>
  <c r="Q192" i="4" s="1"/>
  <c r="Q160" i="4"/>
  <c r="P163" i="4"/>
  <c r="P47" i="4"/>
  <c r="P48" i="4"/>
  <c r="P288" i="4" s="1"/>
  <c r="P292" i="4" s="1"/>
  <c r="P165" i="4"/>
  <c r="P305" i="4"/>
  <c r="Q161" i="4"/>
  <c r="Q276" i="4" s="1"/>
  <c r="R30" i="4"/>
  <c r="Q239" i="4"/>
  <c r="P164" i="4"/>
  <c r="P43" i="4"/>
  <c r="P104" i="4"/>
  <c r="P101" i="4"/>
  <c r="N199" i="4"/>
  <c r="N198" i="4"/>
  <c r="D101" i="5" s="1"/>
  <c r="D21" i="5"/>
  <c r="D11" i="5"/>
  <c r="R149" i="4"/>
  <c r="Q159" i="4"/>
  <c r="Q44" i="4"/>
  <c r="W45" i="4" s="1"/>
  <c r="Q64" i="4"/>
  <c r="Q36" i="4"/>
  <c r="R27" i="4"/>
  <c r="Q37" i="4"/>
  <c r="Q39" i="4"/>
  <c r="Q40" i="4"/>
  <c r="W168" i="4" l="1"/>
  <c r="T121" i="4"/>
  <c r="Q195" i="4"/>
  <c r="Q249" i="4" s="1"/>
  <c r="T186" i="4"/>
  <c r="T119" i="4"/>
  <c r="T120" i="4" s="1"/>
  <c r="T125" i="4" s="1"/>
  <c r="T123" i="4"/>
  <c r="T143" i="4" s="1"/>
  <c r="U113" i="4"/>
  <c r="U115" i="4" s="1"/>
  <c r="T126" i="4"/>
  <c r="Q89" i="4"/>
  <c r="Q93" i="4"/>
  <c r="Q94" i="4" s="1"/>
  <c r="S70" i="4"/>
  <c r="S72" i="4" s="1"/>
  <c r="S74" i="4" s="1"/>
  <c r="R79" i="4"/>
  <c r="R80" i="4"/>
  <c r="R100" i="4" s="1"/>
  <c r="S128" i="4"/>
  <c r="R76" i="4"/>
  <c r="R77" i="4" s="1"/>
  <c r="S129" i="4"/>
  <c r="S135" i="4" s="1"/>
  <c r="S148" i="4" s="1"/>
  <c r="D54" i="5"/>
  <c r="N301" i="4"/>
  <c r="D25" i="5"/>
  <c r="D29" i="5"/>
  <c r="D27" i="5"/>
  <c r="D24" i="5"/>
  <c r="D26" i="5"/>
  <c r="D28" i="5"/>
  <c r="D30" i="5"/>
  <c r="S133" i="4"/>
  <c r="S134" i="4"/>
  <c r="O191" i="4"/>
  <c r="O65" i="4"/>
  <c r="P167" i="4"/>
  <c r="P179" i="4" s="1"/>
  <c r="P49" i="4"/>
  <c r="P232" i="4"/>
  <c r="P178" i="4"/>
  <c r="P174" i="4"/>
  <c r="P172" i="4"/>
  <c r="O262" i="4"/>
  <c r="T146" i="4"/>
  <c r="Q169" i="4"/>
  <c r="Q56" i="4"/>
  <c r="Q38" i="4"/>
  <c r="Q166" i="4" s="1"/>
  <c r="O294" i="4"/>
  <c r="O214" i="4"/>
  <c r="O319" i="4" s="1"/>
  <c r="R280" i="4"/>
  <c r="R279" i="4"/>
  <c r="R29" i="4"/>
  <c r="R31" i="4" s="1"/>
  <c r="T142" i="4"/>
  <c r="T124" i="4"/>
  <c r="T127" i="4" s="1"/>
  <c r="Q170" i="4"/>
  <c r="Q57" i="4"/>
  <c r="Q190" i="4" s="1"/>
  <c r="P55" i="4"/>
  <c r="P196" i="4" s="1"/>
  <c r="P293" i="4" s="1"/>
  <c r="P222" i="4"/>
  <c r="P224" i="4" s="1"/>
  <c r="P209" i="4"/>
  <c r="P216" i="4"/>
  <c r="P208" i="4"/>
  <c r="P211" i="4"/>
  <c r="Q46" i="4"/>
  <c r="P108" i="4"/>
  <c r="U116" i="4"/>
  <c r="U117" i="4" s="1"/>
  <c r="T130" i="4"/>
  <c r="Z131" i="4" s="1"/>
  <c r="R151" i="4"/>
  <c r="Q259" i="4"/>
  <c r="Q266" i="4" s="1"/>
  <c r="Q177" i="4"/>
  <c r="P282" i="4"/>
  <c r="T150" i="4" l="1"/>
  <c r="T128" i="4"/>
  <c r="R107" i="4"/>
  <c r="R87" i="4"/>
  <c r="X88" i="4" s="1"/>
  <c r="R82" i="4"/>
  <c r="R83" i="4"/>
  <c r="S102" i="4"/>
  <c r="S103" i="4" s="1"/>
  <c r="S75" i="4"/>
  <c r="S78" i="4"/>
  <c r="T73" i="4" s="1"/>
  <c r="Q90" i="4"/>
  <c r="Q98" i="4" s="1"/>
  <c r="Q105" i="4"/>
  <c r="Q106" i="4" s="1"/>
  <c r="Q91" i="4"/>
  <c r="R81" i="4"/>
  <c r="R99" i="4"/>
  <c r="U118" i="4"/>
  <c r="U121" i="4"/>
  <c r="U145" i="4"/>
  <c r="T129" i="4"/>
  <c r="T135" i="4" s="1"/>
  <c r="P175" i="4"/>
  <c r="S141" i="4"/>
  <c r="N302" i="4"/>
  <c r="D69" i="5" s="1"/>
  <c r="D68" i="5"/>
  <c r="Q163" i="4"/>
  <c r="Q47" i="4"/>
  <c r="Q48" i="4"/>
  <c r="O298" i="4"/>
  <c r="Q305" i="4"/>
  <c r="P50" i="4"/>
  <c r="P51" i="4" s="1"/>
  <c r="P52" i="4" s="1"/>
  <c r="P53" i="4" s="1"/>
  <c r="P54" i="4"/>
  <c r="P180" i="4"/>
  <c r="P62" i="4"/>
  <c r="P63" i="4" s="1"/>
  <c r="P194" i="4" s="1"/>
  <c r="Q41" i="4"/>
  <c r="T132" i="4"/>
  <c r="Q42" i="4"/>
  <c r="P213" i="4"/>
  <c r="P233" i="4"/>
  <c r="P225" i="4"/>
  <c r="P283" i="4"/>
  <c r="O197" i="4"/>
  <c r="Q189" i="4"/>
  <c r="O263" i="4"/>
  <c r="D31" i="5"/>
  <c r="S136" i="4"/>
  <c r="S137" i="4" s="1"/>
  <c r="S138" i="4" s="1"/>
  <c r="S139" i="4" s="1"/>
  <c r="S140" i="4"/>
  <c r="R162" i="4"/>
  <c r="R35" i="4"/>
  <c r="R32" i="4"/>
  <c r="R33" i="4" s="1"/>
  <c r="R34" i="4" s="1"/>
  <c r="R59" i="4"/>
  <c r="Q205" i="4"/>
  <c r="Q206" i="4" s="1"/>
  <c r="P181" i="4" l="1"/>
  <c r="S80" i="4"/>
  <c r="S100" i="4" s="1"/>
  <c r="T70" i="4"/>
  <c r="T72" i="4" s="1"/>
  <c r="T74" i="4" s="1"/>
  <c r="S79" i="4"/>
  <c r="S76" i="4"/>
  <c r="S77" i="4" s="1"/>
  <c r="S83" i="4" s="1"/>
  <c r="S107" i="4"/>
  <c r="Q95" i="4"/>
  <c r="Q96" i="4" s="1"/>
  <c r="R85" i="4"/>
  <c r="S82" i="4"/>
  <c r="R89" i="4"/>
  <c r="R84" i="4"/>
  <c r="R86" i="4" s="1"/>
  <c r="R92" i="4" s="1"/>
  <c r="R93" i="4" s="1"/>
  <c r="R94" i="4" s="1"/>
  <c r="Q288" i="4"/>
  <c r="Q292" i="4" s="1"/>
  <c r="T136" i="4"/>
  <c r="T137" i="4" s="1"/>
  <c r="T140" i="4"/>
  <c r="R160" i="4"/>
  <c r="S147" i="4"/>
  <c r="S144" i="4"/>
  <c r="R60" i="4"/>
  <c r="R192" i="4" s="1"/>
  <c r="R239" i="4"/>
  <c r="Q55" i="4"/>
  <c r="Q196" i="4" s="1"/>
  <c r="Q293" i="4" s="1"/>
  <c r="O199" i="4"/>
  <c r="O198" i="4"/>
  <c r="R161" i="4"/>
  <c r="R276" i="4" s="1"/>
  <c r="S30" i="4"/>
  <c r="P255" i="4"/>
  <c r="Q164" i="4"/>
  <c r="Q43" i="4"/>
  <c r="U146" i="4"/>
  <c r="O265" i="4"/>
  <c r="T148" i="4"/>
  <c r="T133" i="4"/>
  <c r="T134" i="4"/>
  <c r="Q209" i="4"/>
  <c r="Q216" i="4"/>
  <c r="Q208" i="4"/>
  <c r="Q211" i="4"/>
  <c r="V116" i="4"/>
  <c r="R159" i="4"/>
  <c r="R37" i="4"/>
  <c r="R44" i="4"/>
  <c r="X45" i="4" s="1"/>
  <c r="X168" i="4" s="1"/>
  <c r="S27" i="4"/>
  <c r="R64" i="4"/>
  <c r="R195" i="4" s="1"/>
  <c r="R249" i="4" s="1"/>
  <c r="R36" i="4"/>
  <c r="R40" i="4"/>
  <c r="R39" i="4"/>
  <c r="S149" i="4"/>
  <c r="P228" i="4"/>
  <c r="U123" i="4"/>
  <c r="U143" i="4" s="1"/>
  <c r="U122" i="4"/>
  <c r="V113" i="4"/>
  <c r="V115" i="4" s="1"/>
  <c r="U186" i="4"/>
  <c r="O299" i="4"/>
  <c r="P235" i="4"/>
  <c r="Q277" i="4"/>
  <c r="Q260" i="4"/>
  <c r="O267" i="4"/>
  <c r="N304" i="4"/>
  <c r="U119" i="4"/>
  <c r="U120" i="4" s="1"/>
  <c r="Q165" i="4"/>
  <c r="P171" i="4"/>
  <c r="P61" i="4"/>
  <c r="P193" i="4" s="1"/>
  <c r="P58" i="4"/>
  <c r="P295" i="4"/>
  <c r="P296" i="4" s="1"/>
  <c r="R97" i="4" l="1"/>
  <c r="R91" i="4"/>
  <c r="R105" i="4"/>
  <c r="R90" i="4"/>
  <c r="S81" i="4"/>
  <c r="S84" i="4" s="1"/>
  <c r="S86" i="4" s="1"/>
  <c r="S99" i="4"/>
  <c r="T102" i="4"/>
  <c r="T103" i="4" s="1"/>
  <c r="T78" i="4"/>
  <c r="U73" i="4" s="1"/>
  <c r="T75" i="4"/>
  <c r="Q101" i="4"/>
  <c r="Q104" i="4"/>
  <c r="S87" i="4"/>
  <c r="R259" i="4"/>
  <c r="R266" i="4" s="1"/>
  <c r="R177" i="4"/>
  <c r="S151" i="4"/>
  <c r="P262" i="4"/>
  <c r="V117" i="4"/>
  <c r="P191" i="4"/>
  <c r="P65" i="4"/>
  <c r="O301" i="4"/>
  <c r="U126" i="4"/>
  <c r="Q167" i="4"/>
  <c r="Q179" i="4" s="1"/>
  <c r="Q49" i="4"/>
  <c r="D70" i="5"/>
  <c r="N326" i="4"/>
  <c r="T149" i="4"/>
  <c r="U125" i="4"/>
  <c r="R169" i="4"/>
  <c r="R56" i="4"/>
  <c r="R38" i="4"/>
  <c r="P294" i="4"/>
  <c r="P214" i="4"/>
  <c r="P319" i="4" s="1"/>
  <c r="T138" i="4"/>
  <c r="T139" i="4" s="1"/>
  <c r="T141" i="4"/>
  <c r="R46" i="4"/>
  <c r="Q213" i="4"/>
  <c r="U142" i="4"/>
  <c r="U124" i="4"/>
  <c r="U150" i="4"/>
  <c r="S280" i="4"/>
  <c r="S279" i="4"/>
  <c r="S29" i="4"/>
  <c r="S31" i="4" s="1"/>
  <c r="U130" i="4"/>
  <c r="Q232" i="4"/>
  <c r="Q174" i="4"/>
  <c r="Q172" i="4"/>
  <c r="Q175" i="4" s="1"/>
  <c r="Q178" i="4"/>
  <c r="Q222" i="4"/>
  <c r="Q224" i="4" s="1"/>
  <c r="Q282" i="4"/>
  <c r="R170" i="4"/>
  <c r="R57" i="4"/>
  <c r="R190" i="4" s="1"/>
  <c r="S92" i="4" l="1"/>
  <c r="Q108" i="4"/>
  <c r="S89" i="4"/>
  <c r="S90" i="4" s="1"/>
  <c r="S98" i="4" s="1"/>
  <c r="Y88" i="4"/>
  <c r="S97" i="4"/>
  <c r="S93" i="4"/>
  <c r="S94" i="4" s="1"/>
  <c r="T79" i="4"/>
  <c r="T80" i="4"/>
  <c r="T100" i="4" s="1"/>
  <c r="U70" i="4"/>
  <c r="U72" i="4" s="1"/>
  <c r="U74" i="4" s="1"/>
  <c r="U102" i="4" s="1"/>
  <c r="T76" i="4"/>
  <c r="T77" i="4" s="1"/>
  <c r="T82" i="4" s="1"/>
  <c r="R106" i="4"/>
  <c r="S85" i="4"/>
  <c r="R95" i="4"/>
  <c r="R96" i="4" s="1"/>
  <c r="R98" i="4"/>
  <c r="Q225" i="4"/>
  <c r="P263" i="4"/>
  <c r="R166" i="4"/>
  <c r="R305" i="4" s="1"/>
  <c r="R41" i="4"/>
  <c r="U128" i="4"/>
  <c r="P298" i="4"/>
  <c r="P299" i="4" s="1"/>
  <c r="R189" i="4"/>
  <c r="Q50" i="4"/>
  <c r="Q51" i="4" s="1"/>
  <c r="Q52" i="4" s="1"/>
  <c r="Q53" i="4" s="1"/>
  <c r="Q54" i="4"/>
  <c r="Q180" i="4"/>
  <c r="Q62" i="4"/>
  <c r="V118" i="4"/>
  <c r="V145" i="4"/>
  <c r="V121" i="4"/>
  <c r="Q233" i="4"/>
  <c r="Q235" i="4" s="1"/>
  <c r="D73" i="5"/>
  <c r="D75" i="5" s="1"/>
  <c r="N328" i="4"/>
  <c r="D74" i="5" s="1"/>
  <c r="U132" i="4"/>
  <c r="U127" i="4"/>
  <c r="Q283" i="4"/>
  <c r="P197" i="4"/>
  <c r="R163" i="4"/>
  <c r="R47" i="4"/>
  <c r="R48" i="4"/>
  <c r="R288" i="4" s="1"/>
  <c r="R292" i="4" s="1"/>
  <c r="S162" i="4"/>
  <c r="S35" i="4"/>
  <c r="S32" i="4"/>
  <c r="S33" i="4" s="1"/>
  <c r="S34" i="4" s="1"/>
  <c r="S59" i="4"/>
  <c r="T147" i="4"/>
  <c r="T144" i="4"/>
  <c r="O302" i="4"/>
  <c r="O304" i="4"/>
  <c r="R42" i="4"/>
  <c r="T151" i="4" l="1"/>
  <c r="Q181" i="4"/>
  <c r="Q63" i="4"/>
  <c r="Q194" i="4" s="1"/>
  <c r="S91" i="4"/>
  <c r="S105" i="4"/>
  <c r="U78" i="4"/>
  <c r="U75" i="4"/>
  <c r="V70" i="4" s="1"/>
  <c r="V72" i="4" s="1"/>
  <c r="S106" i="4"/>
  <c r="T99" i="4"/>
  <c r="T81" i="4"/>
  <c r="T84" i="4" s="1"/>
  <c r="T86" i="4" s="1"/>
  <c r="T87" i="4"/>
  <c r="T107" i="4"/>
  <c r="R104" i="4"/>
  <c r="R101" i="4"/>
  <c r="S95" i="4"/>
  <c r="S96" i="4" s="1"/>
  <c r="T83" i="4"/>
  <c r="V123" i="4"/>
  <c r="V143" i="4" s="1"/>
  <c r="V122" i="4"/>
  <c r="W113" i="4"/>
  <c r="W115" i="4" s="1"/>
  <c r="V186" i="4"/>
  <c r="P265" i="4"/>
  <c r="S161" i="4"/>
  <c r="S276" i="4" s="1"/>
  <c r="T30" i="4"/>
  <c r="S239" i="4"/>
  <c r="R205" i="4"/>
  <c r="R206" i="4" s="1"/>
  <c r="S159" i="4"/>
  <c r="S44" i="4"/>
  <c r="Y45" i="4" s="1"/>
  <c r="Y168" i="4" s="1"/>
  <c r="T27" i="4"/>
  <c r="S64" i="4"/>
  <c r="S195" i="4" s="1"/>
  <c r="S249" i="4" s="1"/>
  <c r="S37" i="4"/>
  <c r="S36" i="4"/>
  <c r="S39" i="4"/>
  <c r="S40" i="4"/>
  <c r="R165" i="4"/>
  <c r="R55" i="4"/>
  <c r="R196" i="4" s="1"/>
  <c r="R293" i="4" s="1"/>
  <c r="P267" i="4"/>
  <c r="Q171" i="4"/>
  <c r="Q61" i="4"/>
  <c r="Q193" i="4" s="1"/>
  <c r="Q58" i="4"/>
  <c r="Q295" i="4"/>
  <c r="Q296" i="4" s="1"/>
  <c r="U129" i="4"/>
  <c r="U135" i="4" s="1"/>
  <c r="U148" i="4" s="1"/>
  <c r="V73" i="4"/>
  <c r="S160" i="4"/>
  <c r="U103" i="4"/>
  <c r="P199" i="4"/>
  <c r="P198" i="4"/>
  <c r="Q228" i="4"/>
  <c r="U133" i="4"/>
  <c r="U134" i="4"/>
  <c r="S60" i="4"/>
  <c r="S192" i="4" s="1"/>
  <c r="Q255" i="4"/>
  <c r="O326" i="4"/>
  <c r="R277" i="4"/>
  <c r="R260" i="4"/>
  <c r="W116" i="4"/>
  <c r="V146" i="4"/>
  <c r="V119" i="4"/>
  <c r="V120" i="4" s="1"/>
  <c r="V126" i="4" s="1"/>
  <c r="R164" i="4"/>
  <c r="R43" i="4"/>
  <c r="V125" i="4" l="1"/>
  <c r="T92" i="4"/>
  <c r="U80" i="4"/>
  <c r="U100" i="4" s="1"/>
  <c r="U79" i="4"/>
  <c r="U99" i="4" s="1"/>
  <c r="T85" i="4"/>
  <c r="U76" i="4"/>
  <c r="U77" i="4" s="1"/>
  <c r="U82" i="4" s="1"/>
  <c r="T89" i="4"/>
  <c r="T105" i="4" s="1"/>
  <c r="Z88" i="4"/>
  <c r="R108" i="4"/>
  <c r="V130" i="4"/>
  <c r="V132" i="4" s="1"/>
  <c r="S104" i="4"/>
  <c r="S101" i="4"/>
  <c r="R232" i="4"/>
  <c r="R178" i="4"/>
  <c r="R174" i="4"/>
  <c r="R172" i="4"/>
  <c r="R216" i="4"/>
  <c r="R208" i="4"/>
  <c r="R211" i="4"/>
  <c r="R209" i="4"/>
  <c r="S170" i="4"/>
  <c r="S57" i="4"/>
  <c r="S190" i="4" s="1"/>
  <c r="T93" i="4"/>
  <c r="T94" i="4" s="1"/>
  <c r="T97" i="4"/>
  <c r="U141" i="4"/>
  <c r="W117" i="4"/>
  <c r="S169" i="4"/>
  <c r="S56" i="4"/>
  <c r="S38" i="4"/>
  <c r="S166" i="4" s="1"/>
  <c r="T280" i="4"/>
  <c r="T279" i="4"/>
  <c r="T29" i="4"/>
  <c r="T31" i="4" s="1"/>
  <c r="V142" i="4"/>
  <c r="V124" i="4"/>
  <c r="V128" i="4" s="1"/>
  <c r="Q191" i="4"/>
  <c r="Q65" i="4"/>
  <c r="Q262" i="4"/>
  <c r="Q294" i="4"/>
  <c r="Q214" i="4"/>
  <c r="Q319" i="4" s="1"/>
  <c r="S259" i="4"/>
  <c r="S266" i="4" s="1"/>
  <c r="S177" i="4"/>
  <c r="P301" i="4"/>
  <c r="R282" i="4"/>
  <c r="O328" i="4"/>
  <c r="R167" i="4"/>
  <c r="R179" i="4" s="1"/>
  <c r="R49" i="4"/>
  <c r="V74" i="4"/>
  <c r="S46" i="4"/>
  <c r="U136" i="4"/>
  <c r="U137" i="4" s="1"/>
  <c r="U138" i="4" s="1"/>
  <c r="U139" i="4" s="1"/>
  <c r="U140" i="4"/>
  <c r="R222" i="4"/>
  <c r="R224" i="4" s="1"/>
  <c r="V150" i="4"/>
  <c r="U83" i="4" l="1"/>
  <c r="U81" i="4"/>
  <c r="U87" i="4"/>
  <c r="U89" i="4" s="1"/>
  <c r="U107" i="4"/>
  <c r="T90" i="4"/>
  <c r="T98" i="4" s="1"/>
  <c r="T91" i="4"/>
  <c r="S108" i="4"/>
  <c r="U147" i="4"/>
  <c r="U144" i="4"/>
  <c r="R175" i="4"/>
  <c r="Q263" i="4"/>
  <c r="Q298" i="4"/>
  <c r="R233" i="4"/>
  <c r="V133" i="4"/>
  <c r="V134" i="4"/>
  <c r="S163" i="4"/>
  <c r="S48" i="4"/>
  <c r="S288" i="4" s="1"/>
  <c r="S292" i="4" s="1"/>
  <c r="S47" i="4"/>
  <c r="T162" i="4"/>
  <c r="T59" i="4"/>
  <c r="T35" i="4"/>
  <c r="T32" i="4"/>
  <c r="S205" i="4"/>
  <c r="S206" i="4" s="1"/>
  <c r="T106" i="4"/>
  <c r="S189" i="4"/>
  <c r="R50" i="4"/>
  <c r="R51" i="4" s="1"/>
  <c r="R52" i="4" s="1"/>
  <c r="R53" i="4" s="1"/>
  <c r="R54" i="4"/>
  <c r="R180" i="4"/>
  <c r="R62" i="4"/>
  <c r="R225" i="4"/>
  <c r="S305" i="4"/>
  <c r="R213" i="4"/>
  <c r="V127" i="4"/>
  <c r="W118" i="4"/>
  <c r="W119" i="4" s="1"/>
  <c r="W120" i="4" s="1"/>
  <c r="W121" i="4"/>
  <c r="W145" i="4"/>
  <c r="S41" i="4"/>
  <c r="R283" i="4"/>
  <c r="P302" i="4"/>
  <c r="P304" i="4" s="1"/>
  <c r="V78" i="4"/>
  <c r="V75" i="4"/>
  <c r="V76" i="4" s="1"/>
  <c r="V77" i="4" s="1"/>
  <c r="V102" i="4"/>
  <c r="U149" i="4"/>
  <c r="U84" i="4"/>
  <c r="U85" i="4"/>
  <c r="Q197" i="4"/>
  <c r="S42" i="4"/>
  <c r="T95" i="4" l="1"/>
  <c r="T96" i="4" s="1"/>
  <c r="R63" i="4"/>
  <c r="R194" i="4" s="1"/>
  <c r="R181" i="4"/>
  <c r="S165" i="4"/>
  <c r="R228" i="4"/>
  <c r="Q299" i="4"/>
  <c r="S209" i="4"/>
  <c r="S216" i="4"/>
  <c r="S208" i="4"/>
  <c r="S211" i="4"/>
  <c r="S213" i="4" s="1"/>
  <c r="S277" i="4"/>
  <c r="S260" i="4"/>
  <c r="Q199" i="4"/>
  <c r="Q198" i="4"/>
  <c r="T159" i="4"/>
  <c r="T37" i="4"/>
  <c r="T36" i="4"/>
  <c r="U27" i="4"/>
  <c r="T39" i="4"/>
  <c r="T40" i="4"/>
  <c r="U86" i="4"/>
  <c r="U92" i="4" s="1"/>
  <c r="U90" i="4"/>
  <c r="U91" i="4"/>
  <c r="W146" i="4"/>
  <c r="T33" i="4"/>
  <c r="T34" i="4" s="1"/>
  <c r="T44" i="4" s="1"/>
  <c r="Z45" i="4" s="1"/>
  <c r="Z168" i="4" s="1"/>
  <c r="P326" i="4"/>
  <c r="Q265" i="4"/>
  <c r="T60" i="4"/>
  <c r="T192" i="4" s="1"/>
  <c r="W150" i="4"/>
  <c r="W123" i="4"/>
  <c r="W143" i="4" s="1"/>
  <c r="W130" i="4"/>
  <c r="W122" i="4"/>
  <c r="X113" i="4"/>
  <c r="X115" i="4" s="1"/>
  <c r="W126" i="4"/>
  <c r="W125" i="4"/>
  <c r="W186" i="4"/>
  <c r="T239" i="4"/>
  <c r="R255" i="4"/>
  <c r="U151" i="4"/>
  <c r="V141" i="4"/>
  <c r="S164" i="4"/>
  <c r="S43" i="4"/>
  <c r="T161" i="4"/>
  <c r="T276" i="4" s="1"/>
  <c r="U30" i="4"/>
  <c r="R171" i="4"/>
  <c r="R61" i="4"/>
  <c r="R193" i="4" s="1"/>
  <c r="R58" i="4"/>
  <c r="R295" i="4"/>
  <c r="R296" i="4" s="1"/>
  <c r="V103" i="4"/>
  <c r="X116" i="4"/>
  <c r="V80" i="4"/>
  <c r="V100" i="4" s="1"/>
  <c r="V87" i="4"/>
  <c r="V107" i="4"/>
  <c r="V79" i="4"/>
  <c r="W70" i="4"/>
  <c r="W72" i="4" s="1"/>
  <c r="V82" i="4"/>
  <c r="V83" i="4"/>
  <c r="Q267" i="4"/>
  <c r="W73" i="4"/>
  <c r="V129" i="4"/>
  <c r="V135" i="4" s="1"/>
  <c r="S55" i="4"/>
  <c r="S196" i="4" s="1"/>
  <c r="S293" i="4" s="1"/>
  <c r="R235" i="4"/>
  <c r="T101" i="4" l="1"/>
  <c r="T104" i="4"/>
  <c r="T46" i="4"/>
  <c r="V89" i="4"/>
  <c r="W132" i="4"/>
  <c r="S232" i="4"/>
  <c r="S174" i="4"/>
  <c r="S178" i="4"/>
  <c r="S172" i="4"/>
  <c r="S175" i="4" s="1"/>
  <c r="S222" i="4"/>
  <c r="S224" i="4" s="1"/>
  <c r="U93" i="4"/>
  <c r="U94" i="4" s="1"/>
  <c r="U95" i="4" s="1"/>
  <c r="U96" i="4" s="1"/>
  <c r="U97" i="4"/>
  <c r="Q301" i="4"/>
  <c r="W74" i="4"/>
  <c r="T169" i="4"/>
  <c r="T56" i="4"/>
  <c r="T38" i="4"/>
  <c r="T42" i="4" s="1"/>
  <c r="S282" i="4"/>
  <c r="S167" i="4"/>
  <c r="S179" i="4" s="1"/>
  <c r="S49" i="4"/>
  <c r="W142" i="4"/>
  <c r="W124" i="4"/>
  <c r="W128" i="4" s="1"/>
  <c r="R191" i="4"/>
  <c r="R65" i="4"/>
  <c r="R294" i="4"/>
  <c r="R214" i="4"/>
  <c r="R319" i="4" s="1"/>
  <c r="X117" i="4"/>
  <c r="T160" i="4"/>
  <c r="T259" i="4" s="1"/>
  <c r="T266" i="4" s="1"/>
  <c r="V99" i="4"/>
  <c r="V81" i="4"/>
  <c r="U105" i="4"/>
  <c r="T64" i="4"/>
  <c r="T195" i="4" s="1"/>
  <c r="T249" i="4" s="1"/>
  <c r="V136" i="4"/>
  <c r="V137" i="4" s="1"/>
  <c r="V138" i="4" s="1"/>
  <c r="V139" i="4" s="1"/>
  <c r="V140" i="4"/>
  <c r="V148" i="4"/>
  <c r="V149" i="4" s="1"/>
  <c r="P328" i="4"/>
  <c r="U280" i="4"/>
  <c r="U279" i="4"/>
  <c r="U29" i="4"/>
  <c r="U31" i="4" s="1"/>
  <c r="R262" i="4"/>
  <c r="T170" i="4"/>
  <c r="T57" i="4"/>
  <c r="T190" i="4" s="1"/>
  <c r="U98" i="4"/>
  <c r="T177" i="4"/>
  <c r="T108" i="4" l="1"/>
  <c r="U106" i="4"/>
  <c r="U104" i="4"/>
  <c r="U101" i="4"/>
  <c r="R263" i="4"/>
  <c r="T189" i="4"/>
  <c r="R267" i="4"/>
  <c r="Q302" i="4"/>
  <c r="X121" i="4"/>
  <c r="X118" i="4"/>
  <c r="X145" i="4"/>
  <c r="S283" i="4"/>
  <c r="S50" i="4"/>
  <c r="S51" i="4" s="1"/>
  <c r="S52" i="4" s="1"/>
  <c r="S53" i="4" s="1"/>
  <c r="S54" i="4"/>
  <c r="S180" i="4"/>
  <c r="S62" i="4"/>
  <c r="S225" i="4"/>
  <c r="T165" i="4"/>
  <c r="W134" i="4"/>
  <c r="W133" i="4"/>
  <c r="W75" i="4"/>
  <c r="W76" i="4" s="1"/>
  <c r="W77" i="4" s="1"/>
  <c r="W78" i="4"/>
  <c r="W102" i="4"/>
  <c r="U162" i="4"/>
  <c r="U35" i="4"/>
  <c r="U59" i="4"/>
  <c r="U32" i="4"/>
  <c r="U33" i="4" s="1"/>
  <c r="U34" i="4" s="1"/>
  <c r="W127" i="4"/>
  <c r="S233" i="4"/>
  <c r="V84" i="4"/>
  <c r="V85" i="4"/>
  <c r="V91" i="4"/>
  <c r="V90" i="4"/>
  <c r="R298" i="4"/>
  <c r="R299" i="4" s="1"/>
  <c r="V144" i="4"/>
  <c r="V147" i="4"/>
  <c r="R197" i="4"/>
  <c r="T166" i="4"/>
  <c r="T305" i="4" s="1"/>
  <c r="T41" i="4"/>
  <c r="T163" i="4"/>
  <c r="T48" i="4"/>
  <c r="T288" i="4" s="1"/>
  <c r="T292" i="4" s="1"/>
  <c r="T47" i="4"/>
  <c r="U108" i="4" l="1"/>
  <c r="S171" i="4"/>
  <c r="S61" i="4"/>
  <c r="S193" i="4" s="1"/>
  <c r="S58" i="4"/>
  <c r="S295" i="4"/>
  <c r="S296" i="4" s="1"/>
  <c r="R301" i="4"/>
  <c r="W141" i="4"/>
  <c r="V151" i="4"/>
  <c r="R265" i="4"/>
  <c r="X146" i="4"/>
  <c r="X73" i="4"/>
  <c r="W80" i="4"/>
  <c r="W100" i="4" s="1"/>
  <c r="W87" i="4"/>
  <c r="W107" i="4"/>
  <c r="W79" i="4"/>
  <c r="X70" i="4"/>
  <c r="X72" i="4" s="1"/>
  <c r="W83" i="4"/>
  <c r="W82" i="4"/>
  <c r="S255" i="4"/>
  <c r="T277" i="4"/>
  <c r="T282" i="4" s="1"/>
  <c r="T283" i="4" s="1"/>
  <c r="T260" i="4"/>
  <c r="U160" i="4"/>
  <c r="U159" i="4"/>
  <c r="U44" i="4"/>
  <c r="U37" i="4"/>
  <c r="V27" i="4"/>
  <c r="U64" i="4"/>
  <c r="U195" i="4" s="1"/>
  <c r="U249" i="4" s="1"/>
  <c r="U36" i="4"/>
  <c r="U40" i="4"/>
  <c r="U39" i="4"/>
  <c r="U60" i="4"/>
  <c r="U192" i="4" s="1"/>
  <c r="S228" i="4"/>
  <c r="T205" i="4"/>
  <c r="T206" i="4" s="1"/>
  <c r="T232" i="4" s="1"/>
  <c r="T222" i="4"/>
  <c r="T224" i="4" s="1"/>
  <c r="T225" i="4" s="1"/>
  <c r="T228" i="4" s="1"/>
  <c r="S235" i="4"/>
  <c r="W129" i="4"/>
  <c r="W135" i="4" s="1"/>
  <c r="T55" i="4"/>
  <c r="T196" i="4" s="1"/>
  <c r="T293" i="4" s="1"/>
  <c r="Y116" i="4"/>
  <c r="V98" i="4"/>
  <c r="T164" i="4"/>
  <c r="T178" i="4" s="1"/>
  <c r="T43" i="4"/>
  <c r="V86" i="4"/>
  <c r="V92" i="4" s="1"/>
  <c r="R199" i="4"/>
  <c r="R198" i="4"/>
  <c r="X150" i="4"/>
  <c r="X123" i="4"/>
  <c r="X143" i="4" s="1"/>
  <c r="X122" i="4"/>
  <c r="Y113" i="4"/>
  <c r="Y115" i="4" s="1"/>
  <c r="X186" i="4"/>
  <c r="T174" i="4"/>
  <c r="T172" i="4"/>
  <c r="X119" i="4"/>
  <c r="X120" i="4" s="1"/>
  <c r="X130" i="4" s="1"/>
  <c r="U161" i="4"/>
  <c r="U276" i="4" s="1"/>
  <c r="V30" i="4"/>
  <c r="U239" i="4"/>
  <c r="S63" i="4"/>
  <c r="S194" i="4" s="1"/>
  <c r="W103" i="4"/>
  <c r="S181" i="4"/>
  <c r="Q304" i="4"/>
  <c r="X74" i="4" l="1"/>
  <c r="X125" i="4"/>
  <c r="X126" i="4"/>
  <c r="X132" i="4"/>
  <c r="W99" i="4"/>
  <c r="W81" i="4"/>
  <c r="U46" i="4"/>
  <c r="X76" i="4"/>
  <c r="X77" i="4" s="1"/>
  <c r="U259" i="4"/>
  <c r="U266" i="4" s="1"/>
  <c r="U177" i="4"/>
  <c r="R302" i="4"/>
  <c r="R304" i="4"/>
  <c r="R326" i="4" s="1"/>
  <c r="R328" i="4" s="1"/>
  <c r="X75" i="4"/>
  <c r="T233" i="4"/>
  <c r="T255" i="4" s="1"/>
  <c r="U169" i="4"/>
  <c r="U56" i="4"/>
  <c r="U38" i="4"/>
  <c r="U166" i="4" s="1"/>
  <c r="S191" i="4"/>
  <c r="S65" i="4"/>
  <c r="W89" i="4"/>
  <c r="W136" i="4"/>
  <c r="W137" i="4" s="1"/>
  <c r="W138" i="4" s="1"/>
  <c r="W139" i="4" s="1"/>
  <c r="W140" i="4"/>
  <c r="W148" i="4"/>
  <c r="W149" i="4" s="1"/>
  <c r="X142" i="4"/>
  <c r="X124" i="4"/>
  <c r="S262" i="4"/>
  <c r="Y117" i="4"/>
  <c r="V93" i="4"/>
  <c r="V94" i="4" s="1"/>
  <c r="V95" i="4" s="1"/>
  <c r="V96" i="4" s="1"/>
  <c r="V97" i="4"/>
  <c r="V105" i="4"/>
  <c r="T167" i="4"/>
  <c r="T179" i="4" s="1"/>
  <c r="T49" i="4"/>
  <c r="V280" i="4"/>
  <c r="V279" i="4"/>
  <c r="V29" i="4"/>
  <c r="V31" i="4" s="1"/>
  <c r="S294" i="4"/>
  <c r="S214" i="4"/>
  <c r="S319" i="4" s="1"/>
  <c r="Q326" i="4"/>
  <c r="T175" i="4"/>
  <c r="T216" i="4"/>
  <c r="T208" i="4"/>
  <c r="T211" i="4"/>
  <c r="T213" i="4" s="1"/>
  <c r="T209" i="4"/>
  <c r="U170" i="4"/>
  <c r="U57" i="4"/>
  <c r="U190" i="4" s="1"/>
  <c r="X127" i="4" l="1"/>
  <c r="U42" i="4"/>
  <c r="U165" i="4" s="1"/>
  <c r="U222" i="4" s="1"/>
  <c r="U224" i="4" s="1"/>
  <c r="U225" i="4" s="1"/>
  <c r="U228" i="4" s="1"/>
  <c r="X78" i="4"/>
  <c r="Y73" i="4" s="1"/>
  <c r="X102" i="4"/>
  <c r="X103" i="4" s="1"/>
  <c r="X129" i="4"/>
  <c r="X135" i="4" s="1"/>
  <c r="Y118" i="4"/>
  <c r="Y145" i="4"/>
  <c r="Y119" i="4"/>
  <c r="Y120" i="4" s="1"/>
  <c r="Y121" i="4"/>
  <c r="S298" i="4"/>
  <c r="U163" i="4"/>
  <c r="U48" i="4"/>
  <c r="U288" i="4" s="1"/>
  <c r="U292" i="4" s="1"/>
  <c r="U47" i="4"/>
  <c r="S197" i="4"/>
  <c r="W84" i="4"/>
  <c r="W85" i="4"/>
  <c r="V162" i="4"/>
  <c r="V32" i="4"/>
  <c r="V35" i="4"/>
  <c r="V59" i="4"/>
  <c r="U189" i="4"/>
  <c r="X148" i="4"/>
  <c r="X134" i="4"/>
  <c r="X133" i="4"/>
  <c r="V104" i="4"/>
  <c r="V101" i="4"/>
  <c r="U205" i="4"/>
  <c r="U206" i="4" s="1"/>
  <c r="T50" i="4"/>
  <c r="T51" i="4" s="1"/>
  <c r="T52" i="4" s="1"/>
  <c r="T53" i="4" s="1"/>
  <c r="T54" i="4"/>
  <c r="T180" i="4"/>
  <c r="T181" i="4" s="1"/>
  <c r="T62" i="4"/>
  <c r="T63" i="4" s="1"/>
  <c r="T194" i="4" s="1"/>
  <c r="W91" i="4"/>
  <c r="W90" i="4"/>
  <c r="T235" i="4"/>
  <c r="S299" i="4"/>
  <c r="S263" i="4"/>
  <c r="S267" i="4" s="1"/>
  <c r="U305" i="4"/>
  <c r="X128" i="4"/>
  <c r="U41" i="4"/>
  <c r="W144" i="4"/>
  <c r="W147" i="4"/>
  <c r="V106" i="4"/>
  <c r="Q328" i="4"/>
  <c r="X87" i="4"/>
  <c r="X107" i="4"/>
  <c r="X79" i="4"/>
  <c r="Y70" i="4"/>
  <c r="Y72" i="4" s="1"/>
  <c r="Y74" i="4" s="1"/>
  <c r="X80" i="4"/>
  <c r="X100" i="4" s="1"/>
  <c r="X82" i="4"/>
  <c r="X83" i="4"/>
  <c r="V159" i="4" l="1"/>
  <c r="V37" i="4"/>
  <c r="V36" i="4"/>
  <c r="W27" i="4"/>
  <c r="W151" i="4"/>
  <c r="S301" i="4"/>
  <c r="U164" i="4"/>
  <c r="U178" i="4" s="1"/>
  <c r="U43" i="4"/>
  <c r="V60" i="4"/>
  <c r="V192" i="4" s="1"/>
  <c r="V161" i="4"/>
  <c r="V276" i="4" s="1"/>
  <c r="W30" i="4"/>
  <c r="Y78" i="4"/>
  <c r="Y102" i="4"/>
  <c r="V239" i="4"/>
  <c r="Y146" i="4"/>
  <c r="Z116" i="4"/>
  <c r="X89" i="4"/>
  <c r="W98" i="4"/>
  <c r="Y75" i="4"/>
  <c r="Y76" i="4" s="1"/>
  <c r="Y77" i="4" s="1"/>
  <c r="S199" i="4"/>
  <c r="S198" i="4"/>
  <c r="T171" i="4"/>
  <c r="T58" i="4"/>
  <c r="T61" i="4"/>
  <c r="T193" i="4" s="1"/>
  <c r="T262" i="4" s="1"/>
  <c r="T295" i="4"/>
  <c r="T296" i="4" s="1"/>
  <c r="U55" i="4"/>
  <c r="U196" i="4" s="1"/>
  <c r="U293" i="4" s="1"/>
  <c r="U277" i="4"/>
  <c r="U282" i="4" s="1"/>
  <c r="U283" i="4" s="1"/>
  <c r="U260" i="4"/>
  <c r="X136" i="4"/>
  <c r="X137" i="4" s="1"/>
  <c r="X138" i="4" s="1"/>
  <c r="X139" i="4" s="1"/>
  <c r="X140" i="4"/>
  <c r="V108" i="4"/>
  <c r="W86" i="4"/>
  <c r="W92" i="4" s="1"/>
  <c r="X99" i="4"/>
  <c r="X81" i="4"/>
  <c r="X84" i="4" s="1"/>
  <c r="X141" i="4"/>
  <c r="Y150" i="4"/>
  <c r="Y130" i="4"/>
  <c r="Z113" i="4"/>
  <c r="Z115" i="4" s="1"/>
  <c r="Y123" i="4"/>
  <c r="Y143" i="4" s="1"/>
  <c r="Y122" i="4"/>
  <c r="Y125" i="4"/>
  <c r="Y126" i="4"/>
  <c r="Y186" i="4"/>
  <c r="U172" i="4"/>
  <c r="U232" i="4"/>
  <c r="U174" i="4"/>
  <c r="S265" i="4"/>
  <c r="U216" i="4"/>
  <c r="U208" i="4"/>
  <c r="U211" i="4"/>
  <c r="U213" i="4" s="1"/>
  <c r="U209" i="4"/>
  <c r="V33" i="4"/>
  <c r="V34" i="4" s="1"/>
  <c r="V64" i="4" s="1"/>
  <c r="V195" i="4" s="1"/>
  <c r="V249" i="4" s="1"/>
  <c r="X85" i="4" l="1"/>
  <c r="V39" i="4"/>
  <c r="V44" i="4"/>
  <c r="V40" i="4"/>
  <c r="X144" i="4"/>
  <c r="X147" i="4"/>
  <c r="Y142" i="4"/>
  <c r="Y124" i="4"/>
  <c r="Y128" i="4" s="1"/>
  <c r="Y127" i="4"/>
  <c r="X91" i="4"/>
  <c r="X90" i="4"/>
  <c r="W280" i="4"/>
  <c r="W279" i="4"/>
  <c r="W29" i="4"/>
  <c r="W31" i="4" s="1"/>
  <c r="V170" i="4"/>
  <c r="V57" i="4"/>
  <c r="V190" i="4" s="1"/>
  <c r="U167" i="4"/>
  <c r="U179" i="4" s="1"/>
  <c r="U49" i="4"/>
  <c r="V46" i="4"/>
  <c r="Z117" i="4"/>
  <c r="V169" i="4"/>
  <c r="V56" i="4"/>
  <c r="V38" i="4"/>
  <c r="V166" i="4" s="1"/>
  <c r="U233" i="4"/>
  <c r="U255" i="4" s="1"/>
  <c r="X149" i="4"/>
  <c r="W93" i="4"/>
  <c r="W94" i="4" s="1"/>
  <c r="W95" i="4" s="1"/>
  <c r="W96" i="4" s="1"/>
  <c r="W97" i="4"/>
  <c r="W105" i="4"/>
  <c r="W106" i="4" s="1"/>
  <c r="T294" i="4"/>
  <c r="T298" i="4" s="1"/>
  <c r="T214" i="4"/>
  <c r="T319" i="4" s="1"/>
  <c r="Y132" i="4"/>
  <c r="Y103" i="4"/>
  <c r="S302" i="4"/>
  <c r="S304" i="4"/>
  <c r="V177" i="4"/>
  <c r="X86" i="4"/>
  <c r="X92" i="4" s="1"/>
  <c r="T191" i="4"/>
  <c r="T65" i="4"/>
  <c r="T197" i="4" s="1"/>
  <c r="U175" i="4"/>
  <c r="V160" i="4"/>
  <c r="V259" i="4" s="1"/>
  <c r="V266" i="4" s="1"/>
  <c r="Y107" i="4"/>
  <c r="Y79" i="4"/>
  <c r="Z70" i="4"/>
  <c r="Z72" i="4" s="1"/>
  <c r="Y80" i="4"/>
  <c r="Y100" i="4" s="1"/>
  <c r="Y87" i="4"/>
  <c r="Y83" i="4"/>
  <c r="Y82" i="4"/>
  <c r="Z73" i="4"/>
  <c r="Y129" i="4" l="1"/>
  <c r="Y135" i="4" s="1"/>
  <c r="S326" i="4"/>
  <c r="V163" i="4"/>
  <c r="V48" i="4"/>
  <c r="V288" i="4" s="1"/>
  <c r="V292" i="4" s="1"/>
  <c r="V47" i="4"/>
  <c r="U50" i="4"/>
  <c r="U51" i="4" s="1"/>
  <c r="U52" i="4" s="1"/>
  <c r="U53" i="4" s="1"/>
  <c r="U54" i="4"/>
  <c r="U180" i="4"/>
  <c r="U62" i="4"/>
  <c r="V205" i="4"/>
  <c r="V206" i="4" s="1"/>
  <c r="T199" i="4"/>
  <c r="T198" i="4"/>
  <c r="U235" i="4"/>
  <c r="V189" i="4"/>
  <c r="W162" i="4"/>
  <c r="W32" i="4"/>
  <c r="W59" i="4"/>
  <c r="W35" i="4"/>
  <c r="W33" i="4"/>
  <c r="W34" i="4" s="1"/>
  <c r="X93" i="4"/>
  <c r="X94" i="4" s="1"/>
  <c r="X95" i="4" s="1"/>
  <c r="X96" i="4" s="1"/>
  <c r="X97" i="4"/>
  <c r="Y148" i="4"/>
  <c r="Y134" i="4"/>
  <c r="Y133" i="4"/>
  <c r="V305" i="4"/>
  <c r="X98" i="4"/>
  <c r="X151" i="4"/>
  <c r="W104" i="4"/>
  <c r="W101" i="4"/>
  <c r="Y89" i="4"/>
  <c r="Z74" i="4"/>
  <c r="T299" i="4"/>
  <c r="T263" i="4"/>
  <c r="V41" i="4"/>
  <c r="Y99" i="4"/>
  <c r="Y81" i="4"/>
  <c r="Y85" i="4" s="1"/>
  <c r="V42" i="4"/>
  <c r="Z145" i="4"/>
  <c r="Z118" i="4"/>
  <c r="Z121" i="4"/>
  <c r="X105" i="4"/>
  <c r="X106" i="4" l="1"/>
  <c r="X101" i="4"/>
  <c r="X104" i="4"/>
  <c r="U171" i="4"/>
  <c r="U58" i="4"/>
  <c r="U61" i="4"/>
  <c r="U193" i="4" s="1"/>
  <c r="U262" i="4" s="1"/>
  <c r="U295" i="4"/>
  <c r="U296" i="4" s="1"/>
  <c r="AA116" i="4"/>
  <c r="Y149" i="4"/>
  <c r="W108" i="4"/>
  <c r="Z75" i="4"/>
  <c r="Z76" i="4" s="1"/>
  <c r="Z77" i="4" s="1"/>
  <c r="Z102" i="4"/>
  <c r="Z78" i="4"/>
  <c r="Y91" i="4"/>
  <c r="Y90" i="4"/>
  <c r="Z122" i="4"/>
  <c r="AA113" i="4"/>
  <c r="AA115" i="4" s="1"/>
  <c r="Z123" i="4"/>
  <c r="Z143" i="4" s="1"/>
  <c r="Z186" i="4"/>
  <c r="W160" i="4"/>
  <c r="W60" i="4"/>
  <c r="W192" i="4" s="1"/>
  <c r="V165" i="4"/>
  <c r="V208" i="4"/>
  <c r="V211" i="4"/>
  <c r="V213" i="4" s="1"/>
  <c r="V216" i="4"/>
  <c r="V209" i="4"/>
  <c r="V55" i="4"/>
  <c r="V196" i="4" s="1"/>
  <c r="V293" i="4" s="1"/>
  <c r="S328" i="4"/>
  <c r="W159" i="4"/>
  <c r="W36" i="4"/>
  <c r="W64" i="4"/>
  <c r="W195" i="4" s="1"/>
  <c r="W249" i="4" s="1"/>
  <c r="W44" i="4"/>
  <c r="W37" i="4"/>
  <c r="X27" i="4"/>
  <c r="W39" i="4"/>
  <c r="W40" i="4"/>
  <c r="Y136" i="4"/>
  <c r="Y137" i="4" s="1"/>
  <c r="Y138" i="4" s="1"/>
  <c r="Y139" i="4" s="1"/>
  <c r="Y140" i="4"/>
  <c r="U181" i="4"/>
  <c r="Z119" i="4"/>
  <c r="Z120" i="4" s="1"/>
  <c r="Z125" i="4" s="1"/>
  <c r="W161" i="4"/>
  <c r="W276" i="4" s="1"/>
  <c r="X30" i="4"/>
  <c r="Z146" i="4"/>
  <c r="W239" i="4"/>
  <c r="U63" i="4"/>
  <c r="U194" i="4" s="1"/>
  <c r="V164" i="4"/>
  <c r="V43" i="4"/>
  <c r="T267" i="4"/>
  <c r="T301" i="4" s="1"/>
  <c r="T265" i="4"/>
  <c r="Y141" i="4"/>
  <c r="V260" i="4"/>
  <c r="V277" i="4"/>
  <c r="V282" i="4" s="1"/>
  <c r="V283" i="4" s="1"/>
  <c r="Y84" i="4"/>
  <c r="AA117" i="4" l="1"/>
  <c r="AA145" i="4" s="1"/>
  <c r="AA146" i="4" s="1"/>
  <c r="Y147" i="4"/>
  <c r="Y144" i="4"/>
  <c r="AA118" i="4"/>
  <c r="AA119" i="4" s="1"/>
  <c r="AA120" i="4" s="1"/>
  <c r="V167" i="4"/>
  <c r="V179" i="4" s="1"/>
  <c r="V49" i="4"/>
  <c r="U191" i="4"/>
  <c r="U65" i="4"/>
  <c r="U197" i="4" s="1"/>
  <c r="T302" i="4"/>
  <c r="T304" i="4" s="1"/>
  <c r="Z142" i="4"/>
  <c r="Z124" i="4"/>
  <c r="Z127" i="4" s="1"/>
  <c r="Z150" i="4"/>
  <c r="W46" i="4"/>
  <c r="W169" i="4"/>
  <c r="W38" i="4"/>
  <c r="W56" i="4"/>
  <c r="AA121" i="4"/>
  <c r="Y86" i="4"/>
  <c r="Y92" i="4" s="1"/>
  <c r="Y98" i="4"/>
  <c r="AA73" i="4"/>
  <c r="W177" i="4"/>
  <c r="W259" i="4"/>
  <c r="W266" i="4" s="1"/>
  <c r="Z103" i="4"/>
  <c r="X108" i="4"/>
  <c r="Z130" i="4"/>
  <c r="V232" i="4"/>
  <c r="V178" i="4"/>
  <c r="V172" i="4"/>
  <c r="V174" i="4"/>
  <c r="V222" i="4"/>
  <c r="V224" i="4" s="1"/>
  <c r="V225" i="4" s="1"/>
  <c r="V228" i="4" s="1"/>
  <c r="U294" i="4"/>
  <c r="U298" i="4" s="1"/>
  <c r="U214" i="4"/>
  <c r="U319" i="4" s="1"/>
  <c r="Z126" i="4"/>
  <c r="X279" i="4"/>
  <c r="X280" i="4"/>
  <c r="X29" i="4"/>
  <c r="X31" i="4" s="1"/>
  <c r="W170" i="4"/>
  <c r="W57" i="4"/>
  <c r="W190" i="4" s="1"/>
  <c r="Z79" i="4"/>
  <c r="Z107" i="4"/>
  <c r="Z80" i="4"/>
  <c r="Z100" i="4" s="1"/>
  <c r="AA70" i="4"/>
  <c r="AA72" i="4" s="1"/>
  <c r="Z87" i="4"/>
  <c r="Z82" i="4"/>
  <c r="Z83" i="4"/>
  <c r="Y151" i="4" l="1"/>
  <c r="V175" i="4"/>
  <c r="Z129" i="4"/>
  <c r="T326" i="4"/>
  <c r="Z99" i="4"/>
  <c r="Z81" i="4"/>
  <c r="Z85" i="4" s="1"/>
  <c r="V50" i="4"/>
  <c r="V51" i="4" s="1"/>
  <c r="V52" i="4" s="1"/>
  <c r="V53" i="4" s="1"/>
  <c r="V54" i="4"/>
  <c r="V62" i="4"/>
  <c r="V63" i="4" s="1"/>
  <c r="V194" i="4" s="1"/>
  <c r="V180" i="4"/>
  <c r="V181" i="4" s="1"/>
  <c r="X162" i="4"/>
  <c r="X35" i="4"/>
  <c r="X32" i="4"/>
  <c r="X33" i="4" s="1"/>
  <c r="X34" i="4" s="1"/>
  <c r="X59" i="4"/>
  <c r="AA74" i="4"/>
  <c r="W166" i="4"/>
  <c r="W42" i="4"/>
  <c r="W41" i="4"/>
  <c r="W163" i="4"/>
  <c r="W48" i="4"/>
  <c r="W288" i="4" s="1"/>
  <c r="W292" i="4" s="1"/>
  <c r="W47" i="4"/>
  <c r="Z132" i="4"/>
  <c r="Z135" i="4"/>
  <c r="AA150" i="4"/>
  <c r="AA122" i="4"/>
  <c r="AA130" i="4"/>
  <c r="AA123" i="4"/>
  <c r="AA143" i="4" s="1"/>
  <c r="AB113" i="4"/>
  <c r="AB115" i="4" s="1"/>
  <c r="AA126" i="4"/>
  <c r="AA125" i="4"/>
  <c r="AA186" i="4"/>
  <c r="Z128" i="4"/>
  <c r="Y93" i="4"/>
  <c r="Y94" i="4" s="1"/>
  <c r="Y95" i="4" s="1"/>
  <c r="Y96" i="4" s="1"/>
  <c r="Y97" i="4"/>
  <c r="Y105" i="4"/>
  <c r="Y106" i="4" s="1"/>
  <c r="AB116" i="4"/>
  <c r="U299" i="4"/>
  <c r="U263" i="4"/>
  <c r="V233" i="4"/>
  <c r="V255" i="4" s="1"/>
  <c r="Z89" i="4"/>
  <c r="U199" i="4"/>
  <c r="U198" i="4"/>
  <c r="W189" i="4"/>
  <c r="W260" i="4" l="1"/>
  <c r="W277" i="4"/>
  <c r="W282" i="4" s="1"/>
  <c r="W283" i="4" s="1"/>
  <c r="AA132" i="4"/>
  <c r="AA131" i="4"/>
  <c r="AA142" i="4"/>
  <c r="AA124" i="4"/>
  <c r="AA127" i="4" s="1"/>
  <c r="W165" i="4"/>
  <c r="W164" i="4"/>
  <c r="W43" i="4"/>
  <c r="W205" i="4"/>
  <c r="W206" i="4" s="1"/>
  <c r="W305" i="4"/>
  <c r="Z91" i="4"/>
  <c r="Z90" i="4"/>
  <c r="X160" i="4"/>
  <c r="T328" i="4"/>
  <c r="Z148" i="4"/>
  <c r="Z134" i="4"/>
  <c r="Z133" i="4"/>
  <c r="Z84" i="4"/>
  <c r="AA102" i="4"/>
  <c r="AA75" i="4"/>
  <c r="AA76" i="4" s="1"/>
  <c r="AA77" i="4" s="1"/>
  <c r="AA78" i="4"/>
  <c r="AB117" i="4"/>
  <c r="W55" i="4"/>
  <c r="W196" i="4" s="1"/>
  <c r="W293" i="4" s="1"/>
  <c r="X161" i="4"/>
  <c r="X276" i="4" s="1"/>
  <c r="Y30" i="4"/>
  <c r="V171" i="4"/>
  <c r="V58" i="4"/>
  <c r="V61" i="4"/>
  <c r="V193" i="4" s="1"/>
  <c r="V262" i="4" s="1"/>
  <c r="V295" i="4"/>
  <c r="V296" i="4" s="1"/>
  <c r="Y101" i="4"/>
  <c r="Y104" i="4"/>
  <c r="Z136" i="4"/>
  <c r="Z137" i="4" s="1"/>
  <c r="Z140" i="4"/>
  <c r="X60" i="4"/>
  <c r="X192" i="4" s="1"/>
  <c r="V235" i="4"/>
  <c r="X159" i="4"/>
  <c r="X64" i="4"/>
  <c r="X195" i="4" s="1"/>
  <c r="X249" i="4" s="1"/>
  <c r="X44" i="4"/>
  <c r="X37" i="4"/>
  <c r="Y27" i="4"/>
  <c r="X36" i="4"/>
  <c r="X40" i="4"/>
  <c r="X39" i="4"/>
  <c r="U265" i="4"/>
  <c r="U267" i="4"/>
  <c r="U301" i="4" s="1"/>
  <c r="X239" i="4"/>
  <c r="Y108" i="4" l="1"/>
  <c r="AA129" i="4"/>
  <c r="AA135" i="4" s="1"/>
  <c r="X170" i="4"/>
  <c r="X57" i="4"/>
  <c r="X190" i="4" s="1"/>
  <c r="AB73" i="4"/>
  <c r="V191" i="4"/>
  <c r="V65" i="4"/>
  <c r="V197" i="4" s="1"/>
  <c r="AA148" i="4"/>
  <c r="AA134" i="4"/>
  <c r="AA133" i="4"/>
  <c r="W232" i="4"/>
  <c r="W178" i="4"/>
  <c r="W172" i="4"/>
  <c r="W174" i="4"/>
  <c r="Z86" i="4"/>
  <c r="Z92" i="4" s="1"/>
  <c r="V294" i="4"/>
  <c r="V298" i="4" s="1"/>
  <c r="V214" i="4"/>
  <c r="V319" i="4" s="1"/>
  <c r="Z98" i="4"/>
  <c r="Z141" i="4"/>
  <c r="Z138" i="4"/>
  <c r="Z139" i="4" s="1"/>
  <c r="X259" i="4"/>
  <c r="X177" i="4"/>
  <c r="X266" i="4"/>
  <c r="W167" i="4"/>
  <c r="W179" i="4" s="1"/>
  <c r="W49" i="4"/>
  <c r="AA103" i="4"/>
  <c r="W216" i="4"/>
  <c r="W211" i="4"/>
  <c r="W213" i="4" s="1"/>
  <c r="W209" i="4"/>
  <c r="W208" i="4"/>
  <c r="Y279" i="4"/>
  <c r="Y280" i="4"/>
  <c r="Y29" i="4"/>
  <c r="Y31" i="4" s="1"/>
  <c r="AA79" i="4"/>
  <c r="AA107" i="4"/>
  <c r="AA80" i="4"/>
  <c r="AA100" i="4" s="1"/>
  <c r="AB70" i="4"/>
  <c r="AB72" i="4" s="1"/>
  <c r="AA87" i="4"/>
  <c r="AA82" i="4"/>
  <c r="AA83" i="4"/>
  <c r="X46" i="4"/>
  <c r="U302" i="4"/>
  <c r="U304" i="4" s="1"/>
  <c r="U326" i="4" s="1"/>
  <c r="U328" i="4" s="1"/>
  <c r="W222" i="4"/>
  <c r="W224" i="4" s="1"/>
  <c r="W225" i="4" s="1"/>
  <c r="W228" i="4" s="1"/>
  <c r="Z149" i="4"/>
  <c r="X169" i="4"/>
  <c r="X38" i="4"/>
  <c r="X56" i="4"/>
  <c r="AA128" i="4"/>
  <c r="AB145" i="4"/>
  <c r="AB118" i="4"/>
  <c r="AB119" i="4" s="1"/>
  <c r="AB120" i="4" s="1"/>
  <c r="AB121" i="4"/>
  <c r="V199" i="4" l="1"/>
  <c r="V198" i="4"/>
  <c r="AC116" i="4"/>
  <c r="Z93" i="4"/>
  <c r="Z94" i="4" s="1"/>
  <c r="Z95" i="4" s="1"/>
  <c r="Z96" i="4" s="1"/>
  <c r="Z97" i="4"/>
  <c r="Z105" i="4"/>
  <c r="Z106" i="4" s="1"/>
  <c r="W175" i="4"/>
  <c r="AA81" i="4"/>
  <c r="AA84" i="4" s="1"/>
  <c r="AA99" i="4"/>
  <c r="V299" i="4"/>
  <c r="V263" i="4"/>
  <c r="X189" i="4"/>
  <c r="W50" i="4"/>
  <c r="W51" i="4" s="1"/>
  <c r="W52" i="4" s="1"/>
  <c r="W53" i="4" s="1"/>
  <c r="W54" i="4"/>
  <c r="W62" i="4"/>
  <c r="W180" i="4"/>
  <c r="W181" i="4" s="1"/>
  <c r="Y162" i="4"/>
  <c r="Y32" i="4"/>
  <c r="Y35" i="4"/>
  <c r="Y59" i="4"/>
  <c r="Y33" i="4"/>
  <c r="Y34" i="4" s="1"/>
  <c r="AB146" i="4"/>
  <c r="AA88" i="4"/>
  <c r="AA89" i="4"/>
  <c r="X166" i="4"/>
  <c r="X42" i="4"/>
  <c r="Z147" i="4"/>
  <c r="Z144" i="4"/>
  <c r="W233" i="4"/>
  <c r="W255" i="4" s="1"/>
  <c r="AA141" i="4"/>
  <c r="X41" i="4"/>
  <c r="AB150" i="4"/>
  <c r="AB122" i="4"/>
  <c r="AB130" i="4"/>
  <c r="AB123" i="4"/>
  <c r="AB143" i="4" s="1"/>
  <c r="AC113" i="4"/>
  <c r="AC115" i="4" s="1"/>
  <c r="AB126" i="4"/>
  <c r="AB125" i="4"/>
  <c r="AB186" i="4"/>
  <c r="X163" i="4"/>
  <c r="X47" i="4"/>
  <c r="X48" i="4"/>
  <c r="X288" i="4" s="1"/>
  <c r="X292" i="4" s="1"/>
  <c r="AB74" i="4"/>
  <c r="AA136" i="4"/>
  <c r="AA137" i="4" s="1"/>
  <c r="AA138" i="4" s="1"/>
  <c r="AA139" i="4" s="1"/>
  <c r="AA140" i="4"/>
  <c r="W63" i="4" l="1"/>
  <c r="W194" i="4" s="1"/>
  <c r="AA85" i="4"/>
  <c r="Z151" i="4"/>
  <c r="E9" i="5" s="1"/>
  <c r="AA86" i="4"/>
  <c r="AA92" i="4" s="1"/>
  <c r="AA105" i="4" s="1"/>
  <c r="AA147" i="4"/>
  <c r="AA144" i="4"/>
  <c r="X164" i="4"/>
  <c r="X43" i="4"/>
  <c r="Z101" i="4"/>
  <c r="Z104" i="4"/>
  <c r="W171" i="4"/>
  <c r="W58" i="4"/>
  <c r="W61" i="4"/>
  <c r="W193" i="4" s="1"/>
  <c r="W262" i="4" s="1"/>
  <c r="W295" i="4"/>
  <c r="W296" i="4" s="1"/>
  <c r="Y60" i="4"/>
  <c r="Y192" i="4" s="1"/>
  <c r="X165" i="4"/>
  <c r="X205" i="4"/>
  <c r="X206" i="4" s="1"/>
  <c r="X222" i="4"/>
  <c r="X224" i="4" s="1"/>
  <c r="X225" i="4" s="1"/>
  <c r="X228" i="4" s="1"/>
  <c r="X277" i="4"/>
  <c r="X282" i="4" s="1"/>
  <c r="X283" i="4" s="1"/>
  <c r="X260" i="4"/>
  <c r="V267" i="4"/>
  <c r="V301" i="4" s="1"/>
  <c r="V265" i="4"/>
  <c r="W235" i="4"/>
  <c r="Y161" i="4"/>
  <c r="Y276" i="4" s="1"/>
  <c r="Z30" i="4"/>
  <c r="AC117" i="4"/>
  <c r="Y160" i="4"/>
  <c r="X305" i="4"/>
  <c r="Y159" i="4"/>
  <c r="Y64" i="4"/>
  <c r="Y195" i="4" s="1"/>
  <c r="Y249" i="4" s="1"/>
  <c r="Y44" i="4"/>
  <c r="Y37" i="4"/>
  <c r="Y36" i="4"/>
  <c r="Z27" i="4"/>
  <c r="Y39" i="4"/>
  <c r="Y40" i="4"/>
  <c r="AA91" i="4"/>
  <c r="AA90" i="4"/>
  <c r="AA149" i="4"/>
  <c r="AB102" i="4"/>
  <c r="AB78" i="4"/>
  <c r="AB75" i="4"/>
  <c r="AB131" i="4"/>
  <c r="AB132" i="4"/>
  <c r="X55" i="4"/>
  <c r="X196" i="4" s="1"/>
  <c r="X293" i="4" s="1"/>
  <c r="AB142" i="4"/>
  <c r="AB124" i="4"/>
  <c r="AB128" i="4" s="1"/>
  <c r="Y239" i="4"/>
  <c r="AA151" i="4" l="1"/>
  <c r="F9" i="5" s="1"/>
  <c r="AB127" i="4"/>
  <c r="AB129" i="4" s="1"/>
  <c r="AB135" i="4" s="1"/>
  <c r="AB148" i="4" s="1"/>
  <c r="AB134" i="4"/>
  <c r="AB133" i="4"/>
  <c r="AB79" i="4"/>
  <c r="AB80" i="4"/>
  <c r="AB100" i="4" s="1"/>
  <c r="AC70" i="4"/>
  <c r="AC72" i="4" s="1"/>
  <c r="X167" i="4"/>
  <c r="X179" i="4" s="1"/>
  <c r="X49" i="4"/>
  <c r="X208" i="4"/>
  <c r="X211" i="4"/>
  <c r="X213" i="4" s="1"/>
  <c r="X209" i="4"/>
  <c r="X216" i="4"/>
  <c r="AC118" i="4"/>
  <c r="AC121" i="4"/>
  <c r="AC145" i="4"/>
  <c r="Z279" i="4"/>
  <c r="Z280" i="4"/>
  <c r="E57" i="5" s="1"/>
  <c r="Z29" i="4"/>
  <c r="Z31" i="4" s="1"/>
  <c r="AB103" i="4"/>
  <c r="V302" i="4"/>
  <c r="V304" i="4" s="1"/>
  <c r="V326" i="4" s="1"/>
  <c r="W191" i="4"/>
  <c r="W65" i="4"/>
  <c r="W197" i="4" s="1"/>
  <c r="Z108" i="4"/>
  <c r="E8" i="5" s="1"/>
  <c r="AC73" i="4"/>
  <c r="X172" i="4"/>
  <c r="X232" i="4"/>
  <c r="X178" i="4"/>
  <c r="X174" i="4"/>
  <c r="Y169" i="4"/>
  <c r="Y38" i="4"/>
  <c r="Y166" i="4" s="1"/>
  <c r="Y56" i="4"/>
  <c r="AB76" i="4"/>
  <c r="AB77" i="4" s="1"/>
  <c r="AB107" i="4" s="1"/>
  <c r="Y170" i="4"/>
  <c r="Y57" i="4"/>
  <c r="Y190" i="4" s="1"/>
  <c r="Y46" i="4"/>
  <c r="AA98" i="4"/>
  <c r="Y259" i="4"/>
  <c r="Y266" i="4" s="1"/>
  <c r="Y177" i="4"/>
  <c r="W294" i="4"/>
  <c r="W298" i="4" s="1"/>
  <c r="W214" i="4"/>
  <c r="W319" i="4" s="1"/>
  <c r="AA93" i="4"/>
  <c r="AA94" i="4" s="1"/>
  <c r="AA95" i="4" s="1"/>
  <c r="AA96" i="4" s="1"/>
  <c r="AA97" i="4"/>
  <c r="X175" i="4" l="1"/>
  <c r="V328" i="4"/>
  <c r="AA104" i="4"/>
  <c r="AA101" i="4"/>
  <c r="X233" i="4"/>
  <c r="X255" i="4" s="1"/>
  <c r="AB81" i="4"/>
  <c r="AB99" i="4"/>
  <c r="AC146" i="4"/>
  <c r="AB83" i="4"/>
  <c r="AC122" i="4"/>
  <c r="AC130" i="4"/>
  <c r="AC123" i="4"/>
  <c r="AC143" i="4" s="1"/>
  <c r="AD113" i="4"/>
  <c r="AD115" i="4" s="1"/>
  <c r="AC186" i="4"/>
  <c r="AB87" i="4"/>
  <c r="Y42" i="4"/>
  <c r="Y163" i="4"/>
  <c r="Y48" i="4"/>
  <c r="Y288" i="4" s="1"/>
  <c r="Y292" i="4" s="1"/>
  <c r="Y47" i="4"/>
  <c r="AB141" i="4"/>
  <c r="X50" i="4"/>
  <c r="X51" i="4" s="1"/>
  <c r="X52" i="4" s="1"/>
  <c r="X53" i="4" s="1"/>
  <c r="X54" i="4"/>
  <c r="X180" i="4"/>
  <c r="X62" i="4"/>
  <c r="AB82" i="4"/>
  <c r="AC119" i="4"/>
  <c r="AC120" i="4" s="1"/>
  <c r="AC150" i="4" s="1"/>
  <c r="AC74" i="4"/>
  <c r="Y41" i="4"/>
  <c r="Z162" i="4"/>
  <c r="Z32" i="4"/>
  <c r="Z59" i="4"/>
  <c r="Z35" i="4"/>
  <c r="AB136" i="4"/>
  <c r="AB137" i="4" s="1"/>
  <c r="AB138" i="4" s="1"/>
  <c r="AB139" i="4" s="1"/>
  <c r="AB140" i="4"/>
  <c r="AA106" i="4"/>
  <c r="Y189" i="4"/>
  <c r="AD116" i="4"/>
  <c r="Y205" i="4"/>
  <c r="Y206" i="4" s="1"/>
  <c r="W199" i="4"/>
  <c r="W198" i="4"/>
  <c r="Y305" i="4"/>
  <c r="W299" i="4"/>
  <c r="W263" i="4"/>
  <c r="AC126" i="4" l="1"/>
  <c r="AC125" i="4"/>
  <c r="AA108" i="4"/>
  <c r="F8" i="5" s="1"/>
  <c r="AD117" i="4"/>
  <c r="AD145" i="4" s="1"/>
  <c r="AB149" i="4"/>
  <c r="Y55" i="4"/>
  <c r="Y196" i="4" s="1"/>
  <c r="Y293" i="4" s="1"/>
  <c r="AC131" i="4"/>
  <c r="AC132" i="4"/>
  <c r="Z161" i="4"/>
  <c r="AA30" i="4"/>
  <c r="Z60" i="4"/>
  <c r="Z192" i="4" s="1"/>
  <c r="AB147" i="4"/>
  <c r="AB144" i="4"/>
  <c r="Z159" i="4"/>
  <c r="Z37" i="4"/>
  <c r="Z36" i="4"/>
  <c r="AA27" i="4"/>
  <c r="AD118" i="4"/>
  <c r="Y164" i="4"/>
  <c r="Y43" i="4"/>
  <c r="W265" i="4"/>
  <c r="W267" i="4"/>
  <c r="W301" i="4" s="1"/>
  <c r="Y277" i="4"/>
  <c r="Y282" i="4" s="1"/>
  <c r="Y283" i="4" s="1"/>
  <c r="Y260" i="4"/>
  <c r="X171" i="4"/>
  <c r="X58" i="4"/>
  <c r="X61" i="4"/>
  <c r="X193" i="4" s="1"/>
  <c r="X262" i="4" s="1"/>
  <c r="X295" i="4"/>
  <c r="X296" i="4" s="1"/>
  <c r="Y209" i="4"/>
  <c r="Y208" i="4"/>
  <c r="Y216" i="4"/>
  <c r="Y211" i="4"/>
  <c r="Y213" i="4" s="1"/>
  <c r="AD121" i="4"/>
  <c r="Z239" i="4"/>
  <c r="E41" i="5" s="1"/>
  <c r="E92" i="5"/>
  <c r="AC75" i="4"/>
  <c r="AC76" i="4" s="1"/>
  <c r="AC77" i="4" s="1"/>
  <c r="AC102" i="4"/>
  <c r="AC78" i="4"/>
  <c r="AC142" i="4"/>
  <c r="AC124" i="4"/>
  <c r="AC127" i="4" s="1"/>
  <c r="X63" i="4"/>
  <c r="X194" i="4" s="1"/>
  <c r="Y165" i="4"/>
  <c r="AB85" i="4"/>
  <c r="AD146" i="4"/>
  <c r="Z33" i="4"/>
  <c r="Z34" i="4" s="1"/>
  <c r="Z44" i="4" s="1"/>
  <c r="X235" i="4"/>
  <c r="AB84" i="4"/>
  <c r="X181" i="4"/>
  <c r="AB88" i="4"/>
  <c r="AB89" i="4"/>
  <c r="Z64" i="4" l="1"/>
  <c r="Z195" i="4" s="1"/>
  <c r="Z249" i="4" s="1"/>
  <c r="E45" i="5" s="1"/>
  <c r="AB151" i="4"/>
  <c r="G9" i="5" s="1"/>
  <c r="AC129" i="4"/>
  <c r="AC135" i="4" s="1"/>
  <c r="AA279" i="4"/>
  <c r="AA280" i="4"/>
  <c r="F57" i="5" s="1"/>
  <c r="AA29" i="4"/>
  <c r="AA31" i="4" s="1"/>
  <c r="X294" i="4"/>
  <c r="X298" i="4" s="1"/>
  <c r="X214" i="4"/>
  <c r="X319" i="4" s="1"/>
  <c r="E95" i="5"/>
  <c r="Z276" i="4"/>
  <c r="AB86" i="4"/>
  <c r="AB92" i="4" s="1"/>
  <c r="AB105" i="4" s="1"/>
  <c r="E93" i="5"/>
  <c r="X191" i="4"/>
  <c r="X65" i="4"/>
  <c r="X197" i="4" s="1"/>
  <c r="AC148" i="4"/>
  <c r="AC134" i="4"/>
  <c r="AC133" i="4"/>
  <c r="Z46" i="4"/>
  <c r="Z169" i="4"/>
  <c r="Z56" i="4"/>
  <c r="Z38" i="4"/>
  <c r="Z166" i="4" s="1"/>
  <c r="Z170" i="4"/>
  <c r="Z57" i="4"/>
  <c r="Z190" i="4" s="1"/>
  <c r="E15" i="5" s="1"/>
  <c r="AC128" i="4"/>
  <c r="AC107" i="4"/>
  <c r="AC79" i="4"/>
  <c r="AC80" i="4"/>
  <c r="AC100" i="4" s="1"/>
  <c r="AD70" i="4"/>
  <c r="AD72" i="4" s="1"/>
  <c r="AC87" i="4"/>
  <c r="AC82" i="4"/>
  <c r="AC83" i="4"/>
  <c r="AB91" i="4"/>
  <c r="AB90" i="4"/>
  <c r="Y232" i="4"/>
  <c r="Y178" i="4"/>
  <c r="Y174" i="4"/>
  <c r="Y172" i="4"/>
  <c r="Y222" i="4"/>
  <c r="Y224" i="4" s="1"/>
  <c r="Y225" i="4" s="1"/>
  <c r="Y228" i="4" s="1"/>
  <c r="Y167" i="4"/>
  <c r="Y179" i="4" s="1"/>
  <c r="Y49" i="4"/>
  <c r="AD123" i="4"/>
  <c r="AD143" i="4" s="1"/>
  <c r="AE113" i="4"/>
  <c r="AE115" i="4" s="1"/>
  <c r="AE117" i="4" s="1"/>
  <c r="AE145" i="4" s="1"/>
  <c r="AE146" i="4" s="1"/>
  <c r="AD122" i="4"/>
  <c r="AD186" i="4"/>
  <c r="Z160" i="4"/>
  <c r="E94" i="5" s="1"/>
  <c r="AD73" i="4"/>
  <c r="Z39" i="4"/>
  <c r="W302" i="4"/>
  <c r="W304" i="4" s="1"/>
  <c r="W326" i="4" s="1"/>
  <c r="AE116" i="4"/>
  <c r="AC103" i="4"/>
  <c r="Z40" i="4"/>
  <c r="E17" i="5"/>
  <c r="AD119" i="4"/>
  <c r="AD120" i="4" s="1"/>
  <c r="Z42" i="4" l="1"/>
  <c r="Y175" i="4"/>
  <c r="Z41" i="4"/>
  <c r="Z177" i="4"/>
  <c r="W328" i="4"/>
  <c r="X199" i="4"/>
  <c r="X198" i="4"/>
  <c r="AC81" i="4"/>
  <c r="AC85" i="4" s="1"/>
  <c r="AC99" i="4"/>
  <c r="AD128" i="4"/>
  <c r="Z205" i="4"/>
  <c r="Z206" i="4" s="1"/>
  <c r="AA162" i="4"/>
  <c r="AA59" i="4"/>
  <c r="AA32" i="4"/>
  <c r="AA33" i="4" s="1"/>
  <c r="AA34" i="4" s="1"/>
  <c r="AA35" i="4"/>
  <c r="Z189" i="4"/>
  <c r="AD130" i="4"/>
  <c r="Y233" i="4"/>
  <c r="Y255" i="4" s="1"/>
  <c r="Z164" i="4"/>
  <c r="E99" i="5" s="1"/>
  <c r="Z43" i="4"/>
  <c r="AB98" i="4"/>
  <c r="Z165" i="4"/>
  <c r="Z222" i="4" s="1"/>
  <c r="Z224" i="4" s="1"/>
  <c r="Y50" i="4"/>
  <c r="Y51" i="4" s="1"/>
  <c r="Y52" i="4" s="1"/>
  <c r="Y53" i="4" s="1"/>
  <c r="Y54" i="4"/>
  <c r="Y62" i="4"/>
  <c r="Y180" i="4"/>
  <c r="Z305" i="4"/>
  <c r="Z163" i="4"/>
  <c r="E96" i="5" s="1"/>
  <c r="Z47" i="4"/>
  <c r="Z48" i="4"/>
  <c r="Z288" i="4" s="1"/>
  <c r="Z292" i="4" s="1"/>
  <c r="AD126" i="4"/>
  <c r="AD74" i="4"/>
  <c r="AB93" i="4"/>
  <c r="AB94" i="4" s="1"/>
  <c r="AB95" i="4" s="1"/>
  <c r="AB96" i="4" s="1"/>
  <c r="AB97" i="4"/>
  <c r="X263" i="4"/>
  <c r="X299" i="4"/>
  <c r="AD150" i="4"/>
  <c r="Z259" i="4"/>
  <c r="Z266" i="4" s="1"/>
  <c r="E53" i="5" s="1"/>
  <c r="AD125" i="4"/>
  <c r="AC88" i="4"/>
  <c r="AC89" i="4"/>
  <c r="AD124" i="4"/>
  <c r="AD142" i="4"/>
  <c r="AE121" i="4"/>
  <c r="AE118" i="4"/>
  <c r="AE119" i="4" s="1"/>
  <c r="AE120" i="4" s="1"/>
  <c r="AC141" i="4"/>
  <c r="AC136" i="4"/>
  <c r="AC137" i="4" s="1"/>
  <c r="AC138" i="4" s="1"/>
  <c r="AC139" i="4" s="1"/>
  <c r="AC140" i="4"/>
  <c r="AC149" i="4" l="1"/>
  <c r="Y63" i="4"/>
  <c r="Y194" i="4" s="1"/>
  <c r="AC144" i="4"/>
  <c r="AC147" i="4"/>
  <c r="AA160" i="4"/>
  <c r="F94" i="5" s="1"/>
  <c r="AB104" i="4"/>
  <c r="AB101" i="4"/>
  <c r="Z225" i="4"/>
  <c r="E34" i="5"/>
  <c r="E61" i="5"/>
  <c r="Z55" i="4"/>
  <c r="Z196" i="4" s="1"/>
  <c r="Z293" i="4" s="1"/>
  <c r="E62" i="5" s="1"/>
  <c r="Y235" i="4"/>
  <c r="AD131" i="4"/>
  <c r="AD132" i="4"/>
  <c r="AA161" i="4"/>
  <c r="AB30" i="4"/>
  <c r="Z277" i="4"/>
  <c r="Z260" i="4"/>
  <c r="E14" i="5"/>
  <c r="AD75" i="4"/>
  <c r="AD76" i="4" s="1"/>
  <c r="AD77" i="4" s="1"/>
  <c r="AD102" i="4"/>
  <c r="AD78" i="4"/>
  <c r="AA159" i="4"/>
  <c r="AA64" i="4"/>
  <c r="AA195" i="4" s="1"/>
  <c r="AA249" i="4" s="1"/>
  <c r="F45" i="5" s="1"/>
  <c r="AA37" i="4"/>
  <c r="AA36" i="4"/>
  <c r="AB27" i="4"/>
  <c r="AA44" i="4"/>
  <c r="AA40" i="4"/>
  <c r="AA39" i="4"/>
  <c r="F92" i="5"/>
  <c r="AA239" i="4"/>
  <c r="F41" i="5" s="1"/>
  <c r="Y171" i="4"/>
  <c r="Y61" i="4"/>
  <c r="Y193" i="4" s="1"/>
  <c r="Y262" i="4" s="1"/>
  <c r="Y58" i="4"/>
  <c r="Y295" i="4"/>
  <c r="Y296" i="4" s="1"/>
  <c r="AC90" i="4"/>
  <c r="AC91" i="4"/>
  <c r="AD127" i="4"/>
  <c r="Z167" i="4"/>
  <c r="Z49" i="4"/>
  <c r="AA60" i="4"/>
  <c r="AA192" i="4" s="1"/>
  <c r="E86" i="5"/>
  <c r="Z211" i="4"/>
  <c r="Z209" i="4"/>
  <c r="Z216" i="4"/>
  <c r="Z208" i="4"/>
  <c r="E97" i="5"/>
  <c r="Z232" i="4"/>
  <c r="Z178" i="4"/>
  <c r="Z172" i="4"/>
  <c r="Z174" i="4"/>
  <c r="AE150" i="4"/>
  <c r="AE123" i="4"/>
  <c r="AE143" i="4" s="1"/>
  <c r="AE130" i="4"/>
  <c r="AE122" i="4"/>
  <c r="AE125" i="4"/>
  <c r="AE126" i="4"/>
  <c r="AE186" i="4"/>
  <c r="X267" i="4"/>
  <c r="X301" i="4" s="1"/>
  <c r="X265" i="4"/>
  <c r="Y181" i="4"/>
  <c r="AB106" i="4"/>
  <c r="AC84" i="4"/>
  <c r="Z282" i="4" l="1"/>
  <c r="E56" i="5"/>
  <c r="Y294" i="4"/>
  <c r="Y298" i="4" s="1"/>
  <c r="Y214" i="4"/>
  <c r="Y319" i="4" s="1"/>
  <c r="AB108" i="4"/>
  <c r="G8" i="5" s="1"/>
  <c r="AE131" i="4"/>
  <c r="AE132" i="4"/>
  <c r="AA169" i="4"/>
  <c r="AA56" i="4"/>
  <c r="AA38" i="4"/>
  <c r="AA166" i="4" s="1"/>
  <c r="E88" i="5"/>
  <c r="Z213" i="4"/>
  <c r="AA170" i="4"/>
  <c r="AA57" i="4"/>
  <c r="AA190" i="4" s="1"/>
  <c r="F15" i="5" s="1"/>
  <c r="AC86" i="4"/>
  <c r="AC92" i="4" s="1"/>
  <c r="F93" i="5"/>
  <c r="AA177" i="4"/>
  <c r="Z50" i="4"/>
  <c r="Z51" i="4" s="1"/>
  <c r="Z52" i="4" s="1"/>
  <c r="Z53" i="4" s="1"/>
  <c r="Z54" i="4"/>
  <c r="Z180" i="4"/>
  <c r="Z181" i="4" s="1"/>
  <c r="Z62" i="4"/>
  <c r="Z63" i="4" s="1"/>
  <c r="Z194" i="4" s="1"/>
  <c r="E19" i="5" s="1"/>
  <c r="AD133" i="4"/>
  <c r="AD148" i="4"/>
  <c r="AD134" i="4"/>
  <c r="F17" i="5"/>
  <c r="E98" i="5"/>
  <c r="Z175" i="4"/>
  <c r="AE73" i="4"/>
  <c r="AD129" i="4"/>
  <c r="AD135" i="4" s="1"/>
  <c r="X302" i="4"/>
  <c r="X304" i="4" s="1"/>
  <c r="X326" i="4" s="1"/>
  <c r="Z233" i="4"/>
  <c r="F95" i="5"/>
  <c r="AA276" i="4"/>
  <c r="E100" i="5"/>
  <c r="Z179" i="4"/>
  <c r="AD103" i="4"/>
  <c r="AC98" i="4"/>
  <c r="Z228" i="4"/>
  <c r="E35" i="5"/>
  <c r="AD107" i="4"/>
  <c r="AD80" i="4"/>
  <c r="AD100" i="4" s="1"/>
  <c r="AE70" i="4"/>
  <c r="AE72" i="4" s="1"/>
  <c r="AE74" i="4" s="1"/>
  <c r="AE102" i="4" s="1"/>
  <c r="AE103" i="4" s="1"/>
  <c r="AD87" i="4"/>
  <c r="AD79" i="4"/>
  <c r="AD83" i="4"/>
  <c r="AD82" i="4"/>
  <c r="AA46" i="4"/>
  <c r="AA45" i="4"/>
  <c r="AA168" i="4" s="1"/>
  <c r="AA259" i="4" s="1"/>
  <c r="AA266" i="4" s="1"/>
  <c r="F53" i="5" s="1"/>
  <c r="AE142" i="4"/>
  <c r="AE124" i="4"/>
  <c r="AE128" i="4" s="1"/>
  <c r="E87" i="5"/>
  <c r="Y191" i="4"/>
  <c r="Y65" i="4"/>
  <c r="Y197" i="4" s="1"/>
  <c r="AB279" i="4"/>
  <c r="AB280" i="4"/>
  <c r="G57" i="5" s="1"/>
  <c r="AB29" i="4"/>
  <c r="AB31" i="4" s="1"/>
  <c r="E50" i="5"/>
  <c r="AC151" i="4"/>
  <c r="H9" i="5" s="1"/>
  <c r="X328" i="4" l="1"/>
  <c r="AA205" i="4"/>
  <c r="AA206" i="4" s="1"/>
  <c r="AE75" i="4"/>
  <c r="AE76" i="4" s="1"/>
  <c r="AE77" i="4" s="1"/>
  <c r="AE133" i="4"/>
  <c r="AE134" i="4"/>
  <c r="E36" i="5"/>
  <c r="AA189" i="4"/>
  <c r="AA41" i="4"/>
  <c r="AA42" i="4"/>
  <c r="AD141" i="4"/>
  <c r="AE127" i="4"/>
  <c r="AE129" i="4" s="1"/>
  <c r="AE135" i="4" s="1"/>
  <c r="AE148" i="4" s="1"/>
  <c r="AD136" i="4"/>
  <c r="AD137" i="4" s="1"/>
  <c r="AD138" i="4" s="1"/>
  <c r="AD139" i="4" s="1"/>
  <c r="AD140" i="4"/>
  <c r="AA163" i="4"/>
  <c r="F96" i="5" s="1"/>
  <c r="AA47" i="4"/>
  <c r="AA48" i="4"/>
  <c r="AA288" i="4" s="1"/>
  <c r="AA292" i="4" s="1"/>
  <c r="AC93" i="4"/>
  <c r="AC94" i="4" s="1"/>
  <c r="AC95" i="4" s="1"/>
  <c r="AC96" i="4" s="1"/>
  <c r="AC97" i="4"/>
  <c r="AC105" i="4"/>
  <c r="AC106" i="4" s="1"/>
  <c r="Y199" i="4"/>
  <c r="Y198" i="4"/>
  <c r="AE78" i="4"/>
  <c r="E89" i="5"/>
  <c r="AA305" i="4"/>
  <c r="Z255" i="4"/>
  <c r="E49" i="5" s="1"/>
  <c r="E37" i="5"/>
  <c r="Z235" i="4"/>
  <c r="E38" i="5" s="1"/>
  <c r="AB162" i="4"/>
  <c r="AB59" i="4"/>
  <c r="AB35" i="4"/>
  <c r="AB32" i="4"/>
  <c r="AB33" i="4" s="1"/>
  <c r="AB34" i="4" s="1"/>
  <c r="AD81" i="4"/>
  <c r="AD84" i="4" s="1"/>
  <c r="AD99" i="4"/>
  <c r="Y299" i="4"/>
  <c r="Y263" i="4"/>
  <c r="AD88" i="4"/>
  <c r="AD89" i="4"/>
  <c r="Z171" i="4"/>
  <c r="Z61" i="4"/>
  <c r="Z193" i="4" s="1"/>
  <c r="Z58" i="4"/>
  <c r="Z295" i="4"/>
  <c r="Z296" i="4" s="1"/>
  <c r="E64" i="5" s="1"/>
  <c r="E58" i="5"/>
  <c r="Z283" i="4"/>
  <c r="E67" i="5" s="1"/>
  <c r="AD85" i="4" l="1"/>
  <c r="AD147" i="4"/>
  <c r="AD144" i="4"/>
  <c r="AD86" i="4"/>
  <c r="AD92" i="4" s="1"/>
  <c r="AD105" i="4" s="1"/>
  <c r="AB60" i="4"/>
  <c r="AB192" i="4" s="1"/>
  <c r="Z294" i="4"/>
  <c r="Z214" i="4"/>
  <c r="AD149" i="4"/>
  <c r="AE136" i="4"/>
  <c r="AE137" i="4" s="1"/>
  <c r="AE138" i="4" s="1"/>
  <c r="AE139" i="4" s="1"/>
  <c r="AE140" i="4"/>
  <c r="AC104" i="4"/>
  <c r="AC101" i="4"/>
  <c r="G92" i="5"/>
  <c r="AB239" i="4"/>
  <c r="G41" i="5" s="1"/>
  <c r="AE107" i="4"/>
  <c r="AE80" i="4"/>
  <c r="AE100" i="4" s="1"/>
  <c r="AE87" i="4"/>
  <c r="AE79" i="4"/>
  <c r="AE82" i="4"/>
  <c r="AE83" i="4"/>
  <c r="AB161" i="4"/>
  <c r="AC30" i="4"/>
  <c r="Z191" i="4"/>
  <c r="Z65" i="4"/>
  <c r="AE141" i="4"/>
  <c r="AD90" i="4"/>
  <c r="AD91" i="4"/>
  <c r="Y267" i="4"/>
  <c r="Y301" i="4" s="1"/>
  <c r="Y265" i="4"/>
  <c r="AA165" i="4"/>
  <c r="AA164" i="4"/>
  <c r="F99" i="5" s="1"/>
  <c r="AA43" i="4"/>
  <c r="AA55" i="4"/>
  <c r="AA196" i="4" s="1"/>
  <c r="AA293" i="4" s="1"/>
  <c r="F62" i="5" s="1"/>
  <c r="AB160" i="4"/>
  <c r="G94" i="5" s="1"/>
  <c r="F14" i="5"/>
  <c r="AA277" i="4"/>
  <c r="AA260" i="4"/>
  <c r="Z262" i="4"/>
  <c r="E18" i="5"/>
  <c r="F61" i="5"/>
  <c r="F86" i="5"/>
  <c r="AA209" i="4"/>
  <c r="AA216" i="4"/>
  <c r="AA211" i="4"/>
  <c r="AA208" i="4"/>
  <c r="AB159" i="4"/>
  <c r="AB64" i="4"/>
  <c r="AB195" i="4" s="1"/>
  <c r="AB249" i="4" s="1"/>
  <c r="G45" i="5" s="1"/>
  <c r="AB36" i="4"/>
  <c r="AC27" i="4"/>
  <c r="AB44" i="4"/>
  <c r="AB37" i="4"/>
  <c r="AB39" i="4"/>
  <c r="AB40" i="4"/>
  <c r="AE147" i="4" l="1"/>
  <c r="AE144" i="4"/>
  <c r="AD98" i="4"/>
  <c r="AB46" i="4"/>
  <c r="AB45" i="4"/>
  <c r="AB168" i="4" s="1"/>
  <c r="AB259" i="4" s="1"/>
  <c r="AB266" i="4" s="1"/>
  <c r="G53" i="5" s="1"/>
  <c r="F87" i="5"/>
  <c r="G17" i="5"/>
  <c r="E63" i="5"/>
  <c r="Z298" i="4"/>
  <c r="E65" i="5" s="1"/>
  <c r="AD93" i="4"/>
  <c r="AD94" i="4" s="1"/>
  <c r="AD95" i="4" s="1"/>
  <c r="AD96" i="4" s="1"/>
  <c r="AD97" i="4"/>
  <c r="AE88" i="4"/>
  <c r="AE89" i="4"/>
  <c r="AB170" i="4"/>
  <c r="AB57" i="4"/>
  <c r="AB190" i="4" s="1"/>
  <c r="G15" i="5" s="1"/>
  <c r="E51" i="5"/>
  <c r="Z267" i="4"/>
  <c r="F50" i="5"/>
  <c r="AC108" i="4"/>
  <c r="H8" i="5" s="1"/>
  <c r="E82" i="5"/>
  <c r="Z319" i="4"/>
  <c r="E83" i="5" s="1"/>
  <c r="AC279" i="4"/>
  <c r="AC280" i="4"/>
  <c r="H57" i="5" s="1"/>
  <c r="AC29" i="4"/>
  <c r="AC31" i="4" s="1"/>
  <c r="Z263" i="4"/>
  <c r="E16" i="5"/>
  <c r="AB169" i="4"/>
  <c r="AB56" i="4"/>
  <c r="AB38" i="4"/>
  <c r="AB166" i="4" s="1"/>
  <c r="G93" i="5"/>
  <c r="AB177" i="4"/>
  <c r="G95" i="5"/>
  <c r="AB276" i="4"/>
  <c r="AD151" i="4"/>
  <c r="I9" i="5" s="1"/>
  <c r="F88" i="5"/>
  <c r="AA213" i="4"/>
  <c r="AE99" i="4"/>
  <c r="AE81" i="4"/>
  <c r="AE85" i="4" s="1"/>
  <c r="AA167" i="4"/>
  <c r="AA49" i="4"/>
  <c r="Z197" i="4"/>
  <c r="E7" i="5"/>
  <c r="AE149" i="4"/>
  <c r="F97" i="5"/>
  <c r="AA232" i="4"/>
  <c r="AA174" i="4"/>
  <c r="AA172" i="4"/>
  <c r="AA178" i="4"/>
  <c r="AA222" i="4"/>
  <c r="AA224" i="4" s="1"/>
  <c r="F56" i="5"/>
  <c r="AA282" i="4"/>
  <c r="Y302" i="4"/>
  <c r="Y304" i="4" s="1"/>
  <c r="Y326" i="4" s="1"/>
  <c r="Z299" i="4" l="1"/>
  <c r="E66" i="5" s="1"/>
  <c r="AD104" i="4"/>
  <c r="AD101" i="4"/>
  <c r="Y328" i="4"/>
  <c r="AC162" i="4"/>
  <c r="AC32" i="4"/>
  <c r="AC35" i="4"/>
  <c r="AC33" i="4"/>
  <c r="AC34" i="4" s="1"/>
  <c r="AC59" i="4"/>
  <c r="AB47" i="4"/>
  <c r="AB163" i="4"/>
  <c r="G96" i="5" s="1"/>
  <c r="AB48" i="4"/>
  <c r="AB288" i="4" s="1"/>
  <c r="AB292" i="4" s="1"/>
  <c r="AE90" i="4"/>
  <c r="AE91" i="4"/>
  <c r="AB205" i="4"/>
  <c r="AB206" i="4" s="1"/>
  <c r="AB41" i="4"/>
  <c r="F34" i="5"/>
  <c r="AA225" i="4"/>
  <c r="F89" i="5"/>
  <c r="AB305" i="4"/>
  <c r="E54" i="5"/>
  <c r="Z301" i="4"/>
  <c r="AD106" i="4"/>
  <c r="AE84" i="4"/>
  <c r="AE86" i="4" s="1"/>
  <c r="AE92" i="4" s="1"/>
  <c r="AE105" i="4" s="1"/>
  <c r="Z199" i="4"/>
  <c r="E11" i="5"/>
  <c r="E21" i="5"/>
  <c r="Z198" i="4"/>
  <c r="E101" i="5" s="1"/>
  <c r="AA50" i="4"/>
  <c r="AA51" i="4" s="1"/>
  <c r="AA52" i="4" s="1"/>
  <c r="AA53" i="4" s="1"/>
  <c r="AA54" i="4"/>
  <c r="AA180" i="4"/>
  <c r="AA181" i="4" s="1"/>
  <c r="AA62" i="4"/>
  <c r="AA63" i="4" s="1"/>
  <c r="AA194" i="4" s="1"/>
  <c r="F19" i="5" s="1"/>
  <c r="AB189" i="4"/>
  <c r="AE151" i="4"/>
  <c r="J9" i="5" s="1"/>
  <c r="F58" i="5"/>
  <c r="AA283" i="4"/>
  <c r="F67" i="5" s="1"/>
  <c r="F100" i="5"/>
  <c r="AA179" i="4"/>
  <c r="AB42" i="4"/>
  <c r="F98" i="5"/>
  <c r="AA175" i="4"/>
  <c r="AA233" i="4"/>
  <c r="E52" i="5"/>
  <c r="Z265" i="4"/>
  <c r="AC160" i="4" l="1"/>
  <c r="H94" i="5" s="1"/>
  <c r="H92" i="5"/>
  <c r="AC239" i="4"/>
  <c r="H41" i="5" s="1"/>
  <c r="E30" i="5"/>
  <c r="E25" i="5"/>
  <c r="E27" i="5"/>
  <c r="E29" i="5"/>
  <c r="E24" i="5"/>
  <c r="E26" i="5"/>
  <c r="E28" i="5"/>
  <c r="G86" i="5"/>
  <c r="AB209" i="4"/>
  <c r="AB216" i="4"/>
  <c r="AB208" i="4"/>
  <c r="AB211" i="4"/>
  <c r="G14" i="5"/>
  <c r="AB277" i="4"/>
  <c r="AB260" i="4"/>
  <c r="F35" i="5"/>
  <c r="AA228" i="4"/>
  <c r="AC161" i="4"/>
  <c r="AD30" i="4"/>
  <c r="Z302" i="4"/>
  <c r="E69" i="5" s="1"/>
  <c r="E68" i="5"/>
  <c r="AB164" i="4"/>
  <c r="G99" i="5" s="1"/>
  <c r="AB43" i="4"/>
  <c r="AC159" i="4"/>
  <c r="AC44" i="4"/>
  <c r="AC64" i="4"/>
  <c r="AC195" i="4" s="1"/>
  <c r="AC249" i="4" s="1"/>
  <c r="H45" i="5" s="1"/>
  <c r="AC36" i="4"/>
  <c r="AD27" i="4"/>
  <c r="AC37" i="4"/>
  <c r="AC39" i="4"/>
  <c r="AC40" i="4"/>
  <c r="F37" i="5"/>
  <c r="AA255" i="4"/>
  <c r="G61" i="5"/>
  <c r="AD108" i="4"/>
  <c r="I8" i="5" s="1"/>
  <c r="AB55" i="4"/>
  <c r="AB196" i="4" s="1"/>
  <c r="AB293" i="4" s="1"/>
  <c r="G62" i="5" s="1"/>
  <c r="AC60" i="4"/>
  <c r="AC192" i="4" s="1"/>
  <c r="AA235" i="4"/>
  <c r="F38" i="5" s="1"/>
  <c r="AE93" i="4"/>
  <c r="AE94" i="4" s="1"/>
  <c r="AE95" i="4" s="1"/>
  <c r="AE96" i="4" s="1"/>
  <c r="AE97" i="4"/>
  <c r="AE98" i="4"/>
  <c r="AB165" i="4"/>
  <c r="AA171" i="4"/>
  <c r="AA61" i="4"/>
  <c r="AA193" i="4" s="1"/>
  <c r="AA58" i="4"/>
  <c r="AA295" i="4"/>
  <c r="AA296" i="4" s="1"/>
  <c r="F64" i="5" s="1"/>
  <c r="E31" i="5" l="1"/>
  <c r="AE104" i="4"/>
  <c r="AE101" i="4"/>
  <c r="AA294" i="4"/>
  <c r="AA214" i="4"/>
  <c r="G50" i="5"/>
  <c r="G56" i="5"/>
  <c r="AB282" i="4"/>
  <c r="AC169" i="4"/>
  <c r="AC56" i="4"/>
  <c r="AC38" i="4"/>
  <c r="AC45" i="4"/>
  <c r="AC168" i="4" s="1"/>
  <c r="AC259" i="4" s="1"/>
  <c r="AC266" i="4" s="1"/>
  <c r="H53" i="5" s="1"/>
  <c r="AC46" i="4"/>
  <c r="H17" i="5"/>
  <c r="Z304" i="4"/>
  <c r="G87" i="5"/>
  <c r="H95" i="5"/>
  <c r="AC276" i="4"/>
  <c r="F36" i="5"/>
  <c r="G97" i="5"/>
  <c r="AB232" i="4"/>
  <c r="AB178" i="4"/>
  <c r="AB174" i="4"/>
  <c r="AB172" i="4"/>
  <c r="AB222" i="4"/>
  <c r="AB224" i="4" s="1"/>
  <c r="H93" i="5"/>
  <c r="AC177" i="4"/>
  <c r="AB167" i="4"/>
  <c r="AB49" i="4"/>
  <c r="AC170" i="4"/>
  <c r="AC57" i="4"/>
  <c r="AC190" i="4" s="1"/>
  <c r="H15" i="5" s="1"/>
  <c r="AD280" i="4"/>
  <c r="I57" i="5" s="1"/>
  <c r="AD279" i="4"/>
  <c r="AD29" i="4"/>
  <c r="AD31" i="4" s="1"/>
  <c r="F49" i="5"/>
  <c r="AA316" i="4"/>
  <c r="G88" i="5"/>
  <c r="AB213" i="4"/>
  <c r="AA191" i="4"/>
  <c r="AA65" i="4"/>
  <c r="F18" i="5"/>
  <c r="AA262" i="4"/>
  <c r="AE106" i="4"/>
  <c r="G89" i="5" l="1"/>
  <c r="F51" i="5"/>
  <c r="G58" i="5"/>
  <c r="AB283" i="4"/>
  <c r="G67" i="5" s="1"/>
  <c r="G98" i="5"/>
  <c r="AB175" i="4"/>
  <c r="AB233" i="4"/>
  <c r="AB235" i="4" s="1"/>
  <c r="G38" i="5" s="1"/>
  <c r="AE108" i="4"/>
  <c r="J8" i="5" s="1"/>
  <c r="F81" i="5"/>
  <c r="AA318" i="4"/>
  <c r="G34" i="5"/>
  <c r="AB225" i="4"/>
  <c r="E70" i="5"/>
  <c r="Z326" i="4"/>
  <c r="AC47" i="4"/>
  <c r="AC163" i="4"/>
  <c r="H96" i="5" s="1"/>
  <c r="AC48" i="4"/>
  <c r="AC288" i="4" s="1"/>
  <c r="AC292" i="4" s="1"/>
  <c r="G100" i="5"/>
  <c r="AB179" i="4"/>
  <c r="AC189" i="4"/>
  <c r="AD162" i="4"/>
  <c r="AD32" i="4"/>
  <c r="AD33" i="4" s="1"/>
  <c r="AD34" i="4" s="1"/>
  <c r="AD59" i="4"/>
  <c r="AD35" i="4"/>
  <c r="F82" i="5"/>
  <c r="AA319" i="4"/>
  <c r="F83" i="5" s="1"/>
  <c r="F63" i="5"/>
  <c r="AA298" i="4"/>
  <c r="F65" i="5" s="1"/>
  <c r="AB50" i="4"/>
  <c r="AB51" i="4" s="1"/>
  <c r="AB52" i="4" s="1"/>
  <c r="AB53" i="4" s="1"/>
  <c r="AB54" i="4"/>
  <c r="AB62" i="4"/>
  <c r="AB63" i="4" s="1"/>
  <c r="AB194" i="4" s="1"/>
  <c r="G19" i="5" s="1"/>
  <c r="AB180" i="4"/>
  <c r="AB181" i="4" s="1"/>
  <c r="F7" i="5"/>
  <c r="AA197" i="4"/>
  <c r="F16" i="5"/>
  <c r="AA263" i="4"/>
  <c r="AA267" i="4" s="1"/>
  <c r="AC166" i="4"/>
  <c r="AC305" i="4" s="1"/>
  <c r="AC42" i="4"/>
  <c r="AC41" i="4"/>
  <c r="F54" i="5" l="1"/>
  <c r="AA301" i="4"/>
  <c r="AC55" i="4"/>
  <c r="AC196" i="4" s="1"/>
  <c r="AC293" i="4" s="1"/>
  <c r="H62" i="5" s="1"/>
  <c r="AC165" i="4"/>
  <c r="AC222" i="4" s="1"/>
  <c r="AC224" i="4" s="1"/>
  <c r="AC164" i="4"/>
  <c r="H99" i="5" s="1"/>
  <c r="AC43" i="4"/>
  <c r="H61" i="5"/>
  <c r="AD160" i="4"/>
  <c r="I94" i="5" s="1"/>
  <c r="AD60" i="4"/>
  <c r="AD192" i="4" s="1"/>
  <c r="AD159" i="4"/>
  <c r="AD37" i="4"/>
  <c r="AD44" i="4"/>
  <c r="AD36" i="4"/>
  <c r="AE27" i="4"/>
  <c r="AD64" i="4"/>
  <c r="AD195" i="4" s="1"/>
  <c r="AD249" i="4" s="1"/>
  <c r="I45" i="5" s="1"/>
  <c r="AD39" i="4"/>
  <c r="AD40" i="4"/>
  <c r="G35" i="5"/>
  <c r="AB228" i="4"/>
  <c r="H14" i="5"/>
  <c r="AC277" i="4"/>
  <c r="AC260" i="4"/>
  <c r="G37" i="5"/>
  <c r="AB255" i="4"/>
  <c r="AC205" i="4"/>
  <c r="AC206" i="4" s="1"/>
  <c r="F52" i="5"/>
  <c r="AA265" i="4"/>
  <c r="AA299" i="4"/>
  <c r="F66" i="5" s="1"/>
  <c r="AD161" i="4"/>
  <c r="AE30" i="4"/>
  <c r="F21" i="5"/>
  <c r="F11" i="5"/>
  <c r="AA199" i="4"/>
  <c r="AA198" i="4"/>
  <c r="F101" i="5" s="1"/>
  <c r="E73" i="5"/>
  <c r="E75" i="5" s="1"/>
  <c r="Z328" i="4"/>
  <c r="E74" i="5" s="1"/>
  <c r="I92" i="5"/>
  <c r="AD239" i="4"/>
  <c r="I41" i="5" s="1"/>
  <c r="AB171" i="4"/>
  <c r="AB61" i="4"/>
  <c r="AB193" i="4" s="1"/>
  <c r="AB58" i="4"/>
  <c r="AB295" i="4"/>
  <c r="AB296" i="4" s="1"/>
  <c r="G64" i="5" s="1"/>
  <c r="H34" i="5" l="1"/>
  <c r="AC225" i="4"/>
  <c r="G18" i="5"/>
  <c r="AB262" i="4"/>
  <c r="H86" i="5"/>
  <c r="AC209" i="4"/>
  <c r="AC216" i="4"/>
  <c r="AC208" i="4"/>
  <c r="AC211" i="4"/>
  <c r="AE280" i="4"/>
  <c r="J57" i="5" s="1"/>
  <c r="AE279" i="4"/>
  <c r="AE29" i="4"/>
  <c r="AE31" i="4" s="1"/>
  <c r="AC167" i="4"/>
  <c r="AC49" i="4"/>
  <c r="AB191" i="4"/>
  <c r="AB65" i="4"/>
  <c r="AB294" i="4"/>
  <c r="AB214" i="4"/>
  <c r="AD170" i="4"/>
  <c r="AD57" i="4"/>
  <c r="AD190" i="4" s="1"/>
  <c r="I15" i="5" s="1"/>
  <c r="I93" i="5"/>
  <c r="AD177" i="4"/>
  <c r="G49" i="5"/>
  <c r="AB316" i="4"/>
  <c r="H97" i="5"/>
  <c r="AC232" i="4"/>
  <c r="AC174" i="4"/>
  <c r="AC172" i="4"/>
  <c r="AC178" i="4"/>
  <c r="I17" i="5"/>
  <c r="F68" i="5"/>
  <c r="AA302" i="4"/>
  <c r="F69" i="5" s="1"/>
  <c r="AA304" i="4"/>
  <c r="F27" i="5"/>
  <c r="F30" i="5"/>
  <c r="F29" i="5"/>
  <c r="F24" i="5"/>
  <c r="F26" i="5"/>
  <c r="F28" i="5"/>
  <c r="F25" i="5"/>
  <c r="AD169" i="4"/>
  <c r="AD56" i="4"/>
  <c r="AD38" i="4"/>
  <c r="H50" i="5"/>
  <c r="AD45" i="4"/>
  <c r="AD168" i="4" s="1"/>
  <c r="AD259" i="4" s="1"/>
  <c r="AD266" i="4" s="1"/>
  <c r="I53" i="5" s="1"/>
  <c r="AD46" i="4"/>
  <c r="H56" i="5"/>
  <c r="AC282" i="4"/>
  <c r="I95" i="5"/>
  <c r="AD276" i="4"/>
  <c r="G36" i="5"/>
  <c r="G63" i="5" l="1"/>
  <c r="AB298" i="4"/>
  <c r="G65" i="5" s="1"/>
  <c r="H98" i="5"/>
  <c r="AC175" i="4"/>
  <c r="G81" i="5"/>
  <c r="AB318" i="4"/>
  <c r="H88" i="5"/>
  <c r="AC213" i="4"/>
  <c r="H58" i="5"/>
  <c r="AC283" i="4"/>
  <c r="H67" i="5" s="1"/>
  <c r="AD163" i="4"/>
  <c r="I96" i="5" s="1"/>
  <c r="AD47" i="4"/>
  <c r="AD48" i="4"/>
  <c r="AD288" i="4" s="1"/>
  <c r="AD292" i="4" s="1"/>
  <c r="F70" i="5"/>
  <c r="AA326" i="4"/>
  <c r="H87" i="5"/>
  <c r="G51" i="5"/>
  <c r="H35" i="5"/>
  <c r="AC228" i="4"/>
  <c r="F31" i="5"/>
  <c r="AC233" i="4"/>
  <c r="AD166" i="4"/>
  <c r="AD305" i="4" s="1"/>
  <c r="AD42" i="4"/>
  <c r="H100" i="5"/>
  <c r="AC179" i="4"/>
  <c r="G82" i="5"/>
  <c r="AB319" i="4"/>
  <c r="G83" i="5" s="1"/>
  <c r="G7" i="5"/>
  <c r="AB197" i="4"/>
  <c r="AB299" i="4"/>
  <c r="G66" i="5" s="1"/>
  <c r="G16" i="5"/>
  <c r="AB263" i="4"/>
  <c r="AB267" i="4" s="1"/>
  <c r="AC50" i="4"/>
  <c r="AC51" i="4" s="1"/>
  <c r="AC52" i="4" s="1"/>
  <c r="AC53" i="4" s="1"/>
  <c r="AC54" i="4"/>
  <c r="AC180" i="4"/>
  <c r="AC62" i="4"/>
  <c r="AD189" i="4"/>
  <c r="AE162" i="4"/>
  <c r="AE35" i="4"/>
  <c r="AE161" i="4" s="1"/>
  <c r="AE59" i="4"/>
  <c r="AE60" i="4" s="1"/>
  <c r="AE192" i="4" s="1"/>
  <c r="AE32" i="4"/>
  <c r="AE33" i="4" s="1"/>
  <c r="AE34" i="4" s="1"/>
  <c r="AE160" i="4" s="1"/>
  <c r="J94" i="5" s="1"/>
  <c r="AD41" i="4"/>
  <c r="AC63" i="4" l="1"/>
  <c r="AC194" i="4" s="1"/>
  <c r="H19" i="5" s="1"/>
  <c r="AC181" i="4"/>
  <c r="H36" i="5"/>
  <c r="G54" i="5"/>
  <c r="AB301" i="4"/>
  <c r="J17" i="5"/>
  <c r="G21" i="5"/>
  <c r="G11" i="5"/>
  <c r="AB199" i="4"/>
  <c r="AB198" i="4"/>
  <c r="G101" i="5" s="1"/>
  <c r="H89" i="5"/>
  <c r="F73" i="5"/>
  <c r="F75" i="5" s="1"/>
  <c r="AA328" i="4"/>
  <c r="F74" i="5" s="1"/>
  <c r="H37" i="5"/>
  <c r="AC255" i="4"/>
  <c r="J92" i="5"/>
  <c r="AE239" i="4"/>
  <c r="J41" i="5" s="1"/>
  <c r="I14" i="5"/>
  <c r="AD277" i="4"/>
  <c r="AD260" i="4"/>
  <c r="AD165" i="4"/>
  <c r="AD222" i="4" s="1"/>
  <c r="AD224" i="4" s="1"/>
  <c r="AC235" i="4"/>
  <c r="H38" i="5" s="1"/>
  <c r="AD55" i="4"/>
  <c r="AD196" i="4" s="1"/>
  <c r="AD293" i="4" s="1"/>
  <c r="I62" i="5" s="1"/>
  <c r="J95" i="5"/>
  <c r="AE276" i="4"/>
  <c r="AD205" i="4"/>
  <c r="AD206" i="4" s="1"/>
  <c r="AC171" i="4"/>
  <c r="AC61" i="4"/>
  <c r="AC193" i="4" s="1"/>
  <c r="AC58" i="4"/>
  <c r="AC295" i="4"/>
  <c r="AC296" i="4" s="1"/>
  <c r="H64" i="5" s="1"/>
  <c r="I61" i="5"/>
  <c r="AD164" i="4"/>
  <c r="I99" i="5" s="1"/>
  <c r="AD43" i="4"/>
  <c r="G52" i="5"/>
  <c r="AB265" i="4"/>
  <c r="AE159" i="4"/>
  <c r="AE44" i="4"/>
  <c r="AE64" i="4"/>
  <c r="AE195" i="4" s="1"/>
  <c r="AE249" i="4" s="1"/>
  <c r="J45" i="5" s="1"/>
  <c r="AE37" i="4"/>
  <c r="AE36" i="4"/>
  <c r="AE39" i="4"/>
  <c r="AE40" i="4"/>
  <c r="I34" i="5" l="1"/>
  <c r="AD225" i="4"/>
  <c r="AE46" i="4"/>
  <c r="AE45" i="4"/>
  <c r="AE168" i="4" s="1"/>
  <c r="I56" i="5"/>
  <c r="AD282" i="4"/>
  <c r="I86" i="5"/>
  <c r="AD216" i="4"/>
  <c r="AD208" i="4"/>
  <c r="AD211" i="4"/>
  <c r="AD209" i="4"/>
  <c r="AD167" i="4"/>
  <c r="AD49" i="4"/>
  <c r="G28" i="5"/>
  <c r="G27" i="5"/>
  <c r="G29" i="5"/>
  <c r="G24" i="5"/>
  <c r="G26" i="5"/>
  <c r="G30" i="5"/>
  <c r="G25" i="5"/>
  <c r="H49" i="5"/>
  <c r="AC316" i="4"/>
  <c r="AC294" i="4"/>
  <c r="AC214" i="4"/>
  <c r="AE169" i="4"/>
  <c r="AE56" i="4"/>
  <c r="AE38" i="4"/>
  <c r="G68" i="5"/>
  <c r="AB302" i="4"/>
  <c r="G69" i="5" s="1"/>
  <c r="AE170" i="4"/>
  <c r="AE57" i="4"/>
  <c r="AE190" i="4" s="1"/>
  <c r="J15" i="5" s="1"/>
  <c r="AC191" i="4"/>
  <c r="AC65" i="4"/>
  <c r="I97" i="5"/>
  <c r="AD232" i="4"/>
  <c r="AD172" i="4"/>
  <c r="AD174" i="4"/>
  <c r="AD178" i="4"/>
  <c r="J93" i="5"/>
  <c r="AE259" i="4"/>
  <c r="AE266" i="4" s="1"/>
  <c r="J53" i="5" s="1"/>
  <c r="AE177" i="4"/>
  <c r="H18" i="5"/>
  <c r="AC262" i="4"/>
  <c r="I50" i="5"/>
  <c r="AB304" i="4" l="1"/>
  <c r="I58" i="5"/>
  <c r="AD283" i="4"/>
  <c r="I67" i="5" s="1"/>
  <c r="G70" i="5"/>
  <c r="AB326" i="4"/>
  <c r="I88" i="5"/>
  <c r="AD213" i="4"/>
  <c r="G31" i="5"/>
  <c r="AE163" i="4"/>
  <c r="J96" i="5" s="1"/>
  <c r="AE48" i="4"/>
  <c r="AE288" i="4" s="1"/>
  <c r="AE292" i="4" s="1"/>
  <c r="AE47" i="4"/>
  <c r="H7" i="5"/>
  <c r="AC197" i="4"/>
  <c r="AD50" i="4"/>
  <c r="AD51" i="4" s="1"/>
  <c r="AD52" i="4" s="1"/>
  <c r="AD53" i="4" s="1"/>
  <c r="AD54" i="4"/>
  <c r="AD62" i="4"/>
  <c r="AD63" i="4" s="1"/>
  <c r="AD194" i="4" s="1"/>
  <c r="I19" i="5" s="1"/>
  <c r="AD180" i="4"/>
  <c r="AD181" i="4" s="1"/>
  <c r="I35" i="5"/>
  <c r="AD228" i="4"/>
  <c r="H81" i="5"/>
  <c r="AC318" i="4"/>
  <c r="I98" i="5"/>
  <c r="AD175" i="4"/>
  <c r="I100" i="5"/>
  <c r="AD179" i="4"/>
  <c r="AE166" i="4"/>
  <c r="AE41" i="4"/>
  <c r="AE189" i="4"/>
  <c r="AE305" i="4"/>
  <c r="AD233" i="4"/>
  <c r="H51" i="5"/>
  <c r="H82" i="5"/>
  <c r="AC319" i="4"/>
  <c r="H83" i="5" s="1"/>
  <c r="H16" i="5"/>
  <c r="AC263" i="4"/>
  <c r="AC267" i="4" s="1"/>
  <c r="H63" i="5"/>
  <c r="AC298" i="4"/>
  <c r="H65" i="5" s="1"/>
  <c r="I87" i="5"/>
  <c r="AE42" i="4"/>
  <c r="AE165" i="4" s="1"/>
  <c r="J61" i="5" l="1"/>
  <c r="H54" i="5"/>
  <c r="AC301" i="4"/>
  <c r="I37" i="5"/>
  <c r="AD255" i="4"/>
  <c r="AE55" i="4"/>
  <c r="AE196" i="4" s="1"/>
  <c r="AE293" i="4" s="1"/>
  <c r="J62" i="5" s="1"/>
  <c r="I89" i="5"/>
  <c r="J14" i="5"/>
  <c r="AE277" i="4"/>
  <c r="AE260" i="4"/>
  <c r="AD171" i="4"/>
  <c r="AD61" i="4"/>
  <c r="AD193" i="4" s="1"/>
  <c r="AD58" i="4"/>
  <c r="AD295" i="4"/>
  <c r="AD296" i="4" s="1"/>
  <c r="I64" i="5" s="1"/>
  <c r="J97" i="5"/>
  <c r="AE174" i="4"/>
  <c r="AE172" i="4"/>
  <c r="AD235" i="4"/>
  <c r="I38" i="5" s="1"/>
  <c r="AE164" i="4"/>
  <c r="J99" i="5" s="1"/>
  <c r="AE43" i="4"/>
  <c r="I36" i="5"/>
  <c r="H52" i="5"/>
  <c r="AC265" i="4"/>
  <c r="G73" i="5"/>
  <c r="G75" i="5" s="1"/>
  <c r="AB328" i="4"/>
  <c r="G74" i="5" s="1"/>
  <c r="AE205" i="4"/>
  <c r="AE206" i="4" s="1"/>
  <c r="AE232" i="4" s="1"/>
  <c r="AE222" i="4"/>
  <c r="AE224" i="4" s="1"/>
  <c r="AC299" i="4"/>
  <c r="H66" i="5" s="1"/>
  <c r="H11" i="5"/>
  <c r="H21" i="5"/>
  <c r="AC199" i="4"/>
  <c r="AC198" i="4"/>
  <c r="H101" i="5" s="1"/>
  <c r="J34" i="5" l="1"/>
  <c r="AE225" i="4"/>
  <c r="AE233" i="4"/>
  <c r="J56" i="5"/>
  <c r="AE282" i="4"/>
  <c r="AE178" i="4"/>
  <c r="AD262" i="4"/>
  <c r="I18" i="5"/>
  <c r="J86" i="5"/>
  <c r="AE209" i="4"/>
  <c r="AE216" i="4"/>
  <c r="AE208" i="4"/>
  <c r="AE211" i="4"/>
  <c r="J98" i="5"/>
  <c r="AE175" i="4"/>
  <c r="I49" i="5"/>
  <c r="AD316" i="4"/>
  <c r="AD191" i="4"/>
  <c r="AD65" i="4"/>
  <c r="AC302" i="4"/>
  <c r="H69" i="5" s="1"/>
  <c r="H68" i="5"/>
  <c r="H25" i="5"/>
  <c r="H28" i="5"/>
  <c r="H29" i="5"/>
  <c r="H24" i="5"/>
  <c r="H26" i="5"/>
  <c r="H30" i="5"/>
  <c r="H27" i="5"/>
  <c r="AD294" i="4"/>
  <c r="AD214" i="4"/>
  <c r="AE167" i="4"/>
  <c r="AE49" i="4"/>
  <c r="J50" i="5"/>
  <c r="AC304" i="4" l="1"/>
  <c r="I63" i="5"/>
  <c r="AD298" i="4"/>
  <c r="I65" i="5" s="1"/>
  <c r="I51" i="5"/>
  <c r="H31" i="5"/>
  <c r="I16" i="5"/>
  <c r="AD299" i="4"/>
  <c r="I66" i="5" s="1"/>
  <c r="AD263" i="4"/>
  <c r="I7" i="5"/>
  <c r="AD197" i="4"/>
  <c r="J87" i="5"/>
  <c r="J35" i="5"/>
  <c r="AE228" i="4"/>
  <c r="J88" i="5"/>
  <c r="AE213" i="4"/>
  <c r="J89" i="5" s="1"/>
  <c r="J100" i="5"/>
  <c r="AE179" i="4"/>
  <c r="I81" i="5"/>
  <c r="AD318" i="4"/>
  <c r="J58" i="5"/>
  <c r="AE283" i="4"/>
  <c r="J67" i="5" s="1"/>
  <c r="J37" i="5"/>
  <c r="AE255" i="4"/>
  <c r="AE235" i="4"/>
  <c r="J38" i="5" s="1"/>
  <c r="AE50" i="4"/>
  <c r="AE51" i="4" s="1"/>
  <c r="AE52" i="4" s="1"/>
  <c r="AE53" i="4" s="1"/>
  <c r="AE54" i="4"/>
  <c r="AE180" i="4"/>
  <c r="AE62" i="4"/>
  <c r="H70" i="5"/>
  <c r="AC326" i="4"/>
  <c r="I82" i="5"/>
  <c r="AD319" i="4"/>
  <c r="I83" i="5" s="1"/>
  <c r="AE63" i="4" l="1"/>
  <c r="AE194" i="4" s="1"/>
  <c r="J19" i="5" s="1"/>
  <c r="AE181" i="4"/>
  <c r="J49" i="5"/>
  <c r="AE316" i="4"/>
  <c r="M316" i="4"/>
  <c r="M318" i="4" s="1"/>
  <c r="L316" i="4"/>
  <c r="L318" i="4" s="1"/>
  <c r="G316" i="4"/>
  <c r="G318" i="4" s="1"/>
  <c r="F316" i="4"/>
  <c r="F318" i="4" s="1"/>
  <c r="E316" i="4"/>
  <c r="E318" i="4" s="1"/>
  <c r="N316" i="4"/>
  <c r="K316" i="4"/>
  <c r="K318" i="4" s="1"/>
  <c r="D316" i="4"/>
  <c r="D318" i="4" s="1"/>
  <c r="C316" i="4"/>
  <c r="C318" i="4" s="1"/>
  <c r="J316" i="4"/>
  <c r="J318" i="4" s="1"/>
  <c r="I316" i="4"/>
  <c r="I318" i="4" s="1"/>
  <c r="H316" i="4"/>
  <c r="H318" i="4" s="1"/>
  <c r="S316" i="4"/>
  <c r="S318" i="4" s="1"/>
  <c r="V316" i="4"/>
  <c r="V318" i="4" s="1"/>
  <c r="P316" i="4"/>
  <c r="P318" i="4" s="1"/>
  <c r="X316" i="4"/>
  <c r="X318" i="4" s="1"/>
  <c r="O316" i="4"/>
  <c r="O318" i="4" s="1"/>
  <c r="T316" i="4"/>
  <c r="T318" i="4" s="1"/>
  <c r="W316" i="4"/>
  <c r="W318" i="4" s="1"/>
  <c r="Q316" i="4"/>
  <c r="Q318" i="4" s="1"/>
  <c r="U316" i="4"/>
  <c r="U318" i="4" s="1"/>
  <c r="Z316" i="4"/>
  <c r="Y316" i="4"/>
  <c r="Y318" i="4" s="1"/>
  <c r="R316" i="4"/>
  <c r="R318" i="4" s="1"/>
  <c r="I52" i="5"/>
  <c r="AD265" i="4"/>
  <c r="I11" i="5"/>
  <c r="I21" i="5"/>
  <c r="AD199" i="4"/>
  <c r="AD198" i="4"/>
  <c r="I101" i="5" s="1"/>
  <c r="AD267" i="4"/>
  <c r="J36" i="5"/>
  <c r="H73" i="5"/>
  <c r="H75" i="5" s="1"/>
  <c r="AC328" i="4"/>
  <c r="H74" i="5" s="1"/>
  <c r="AE171" i="4"/>
  <c r="AE61" i="4"/>
  <c r="AE193" i="4" s="1"/>
  <c r="AE58" i="4"/>
  <c r="AE295" i="4"/>
  <c r="AE296" i="4" s="1"/>
  <c r="J64" i="5" s="1"/>
  <c r="I54" i="5" l="1"/>
  <c r="AD301" i="4"/>
  <c r="D81" i="5"/>
  <c r="N318" i="4"/>
  <c r="AE191" i="4"/>
  <c r="AE65" i="4"/>
  <c r="I26" i="5"/>
  <c r="I30" i="5"/>
  <c r="I24" i="5"/>
  <c r="I28" i="5"/>
  <c r="I25" i="5"/>
  <c r="I27" i="5"/>
  <c r="I29" i="5"/>
  <c r="J18" i="5"/>
  <c r="AE262" i="4"/>
  <c r="AE294" i="4"/>
  <c r="AE214" i="4"/>
  <c r="E81" i="5"/>
  <c r="Z318" i="4"/>
  <c r="J81" i="5"/>
  <c r="AE318" i="4"/>
  <c r="I31" i="5" l="1"/>
  <c r="J7" i="5"/>
  <c r="AE197" i="4"/>
  <c r="J63" i="5"/>
  <c r="AE298" i="4"/>
  <c r="J65" i="5" s="1"/>
  <c r="AD302" i="4"/>
  <c r="I69" i="5" s="1"/>
  <c r="I68" i="5"/>
  <c r="J82" i="5"/>
  <c r="AE319" i="4"/>
  <c r="J83" i="5" s="1"/>
  <c r="AE299" i="4"/>
  <c r="J66" i="5" s="1"/>
  <c r="J16" i="5"/>
  <c r="AE263" i="4"/>
  <c r="AE267" i="4" s="1"/>
  <c r="J51" i="5"/>
  <c r="AD304" i="4" l="1"/>
  <c r="J54" i="5"/>
  <c r="AE301" i="4"/>
  <c r="J21" i="5"/>
  <c r="J11" i="5"/>
  <c r="M11" i="5" s="1"/>
  <c r="AE199" i="4"/>
  <c r="AE198" i="4"/>
  <c r="J101" i="5" s="1"/>
  <c r="J52" i="5"/>
  <c r="AE265" i="4"/>
  <c r="J26" i="5" l="1"/>
  <c r="J24" i="5"/>
  <c r="J28" i="5"/>
  <c r="J30" i="5"/>
  <c r="J25" i="5"/>
  <c r="J27" i="5"/>
  <c r="J29" i="5"/>
  <c r="AE302" i="4"/>
  <c r="J69" i="5" s="1"/>
  <c r="J68" i="5"/>
  <c r="I70" i="5"/>
  <c r="AD326" i="4"/>
  <c r="AE304" i="4" l="1"/>
  <c r="I73" i="5"/>
  <c r="I75" i="5" s="1"/>
  <c r="AD328" i="4"/>
  <c r="I74" i="5" s="1"/>
  <c r="J70" i="5"/>
  <c r="AE326" i="4"/>
  <c r="J31" i="5"/>
  <c r="J73" i="5" l="1"/>
  <c r="J75" i="5" s="1"/>
  <c r="AE328" i="4"/>
  <c r="J74" i="5" s="1"/>
</calcChain>
</file>

<file path=xl/sharedStrings.xml><?xml version="1.0" encoding="utf-8"?>
<sst xmlns="http://schemas.openxmlformats.org/spreadsheetml/2006/main" count="1736" uniqueCount="846">
  <si>
    <t>Aurumix Revenue Model</t>
  </si>
  <si>
    <t>Hybrid Monthly + Annual View  |  7-Year Projection</t>
  </si>
  <si>
    <t>Date</t>
  </si>
  <si>
    <t>Scope</t>
  </si>
  <si>
    <t>REVENUE ONLY. Six revenue streams, reported net of cost of revenue. Operating costs, tax, cash and funding are added in a later build.</t>
  </si>
  <si>
    <t>Periods</t>
  </si>
  <si>
    <t>24 monthly (M1-M24) + 5 annual (Y3-Y7) = 29 total.  M1 = January 2027</t>
  </si>
  <si>
    <t>Engine</t>
  </si>
  <si>
    <t>Rolling customer balance: opening + new - churned = closing, by region. Customers who stop paying keep their gold and move to a HOLDERS balance.</t>
  </si>
  <si>
    <t>Metal</t>
  </si>
  <si>
    <t>100 g bars throughout. One entry fee, one fabrication premium.</t>
  </si>
  <si>
    <t>Prepared by</t>
  </si>
  <si>
    <t>Tokenomics.net: Custom Data Room Engagement</t>
  </si>
  <si>
    <t>COLOR LEGEND</t>
  </si>
  <si>
    <t>BLUE text</t>
  </si>
  <si>
    <t>Hardcoded inputs (Assumptions &amp; Scenario Parameters)</t>
  </si>
  <si>
    <t>BLACK text</t>
  </si>
  <si>
    <t>In-sheet formulas</t>
  </si>
  <si>
    <t>GREEN text</t>
  </si>
  <si>
    <t>Cross-sheet references</t>
  </si>
  <si>
    <t>SHEETS</t>
  </si>
  <si>
    <t>Cover: This page</t>
  </si>
  <si>
    <t>Assumptions: Fixed inputs, activation calendar, seasonality, market ceilings</t>
  </si>
  <si>
    <t>Scenario Parameters: Base / Aggressive / Conservative, plus structural switches</t>
  </si>
  <si>
    <t>Model: Customer engine, AUM and the six revenue streams (29 periods)</t>
  </si>
  <si>
    <t>Summary: Annual revenue by stream (Y1-Y7), revenue mix, key metrics</t>
  </si>
  <si>
    <t>SIMPLIFIED BUILD - cohort and archetype detail moves to the Phase 5 simulation.</t>
  </si>
  <si>
    <t>Kept as inputs rather than engines: card eligibility (% who qualify, months to qualify), the holders balance, and the fabrication premium inside stream 1.</t>
  </si>
  <si>
    <t>Inputs and Assumptions</t>
  </si>
  <si>
    <t>PRICING AND METAL</t>
  </si>
  <si>
    <t>Parameter</t>
  </si>
  <si>
    <t>Value</t>
  </si>
  <si>
    <t>Unit</t>
  </si>
  <si>
    <t>Source</t>
  </si>
  <si>
    <t>Gold price at M1</t>
  </si>
  <si>
    <t>USD/g</t>
  </si>
  <si>
    <t>USD 4,400/oz verified 2026-08-17. THE STARTING PRICE - it no longer holds for the whole horizon; see the appreciation rate below and the live 'Gold price (this period)' row on the Model. CITED.</t>
  </si>
  <si>
    <t>AED/USD peg</t>
  </si>
  <si>
    <t>AED/USD</t>
  </si>
  <si>
    <t>CBUAE peg. CITED.</t>
  </si>
  <si>
    <t>Entry fee charged</t>
  </si>
  <si>
    <t>% of contribution</t>
  </si>
  <si>
    <t>Decision 9, client-stated. A SINGLE RATE throughout. CLIENT INPUT.</t>
  </si>
  <si>
    <t>Fabrication premium paid</t>
  </si>
  <si>
    <t>% over spot</t>
  </si>
  <si>
    <t>100 g bars. OBSERVED (D28): goldtrade.ae 19 Aug 2026 measured 100 g at +1.71% (PAMP 1.75, Valcambi 1.67), less the published 25 bp bulk gradient. THE ENTRY FEE IS A MARGIN, NOT A FEE - this is netted off stream 1, because it is cost OF REVENUE. Reporting stream 1 gross would read ~43% high.</t>
  </si>
  <si>
    <t>Bar denomination</t>
  </si>
  <si>
    <t>grams</t>
  </si>
  <si>
    <t>100 g throughout, by agreement. OBSERVED.</t>
  </si>
  <si>
    <t>CARD ECONOMICS</t>
  </si>
  <si>
    <t>Interchange - Gold</t>
  </si>
  <si>
    <t>% of spend</t>
  </si>
  <si>
    <t>Visa UAE IRF schedule, 18 Oct 2025. CITED, PRIMARY. The live model reads the FLAT GOLD RATE: replacing the full 1.80/2.05/2.10 ladder with it moves stream 2 by only ~2% of gross profit at Y7, because Sovereign is 1.2% of tiered accounts.</t>
  </si>
  <si>
    <t>Per-transaction processor fee</t>
  </si>
  <si>
    <t>USD/authorised txn</t>
  </si>
  <si>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</si>
  <si>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Decline uplift on authorised txns</t>
  </si>
  <si>
    <t>% uplift</t>
  </si>
  <si>
    <t>The processor fee is charged per AUTHORISATION, not per settled transaction, so declined attempts are billable to Aurumix and chargeable to nobody. ASSUMPTION.</t>
  </si>
  <si>
    <t>FX margin on foreign spend</t>
  </si>
  <si>
    <t>% of foreign spend</t>
  </si>
  <si>
    <t>Market rate ~2%, converged across four comparables. CITED.</t>
  </si>
  <si>
    <t>Free ATM allowance (Gold)</t>
  </si>
  <si>
    <t>AED/month</t>
  </si>
  <si>
    <t>Monthly and NOT rolling. Set deliberately ABOVE the median draw - that is the finding. CITED.</t>
  </si>
  <si>
    <t>ATM fee over the allowance</t>
  </si>
  <si>
    <t>% of the excess</t>
  </si>
  <si>
    <t>Sector converged. CITED.</t>
  </si>
  <si>
    <t>Card issuance fee</t>
  </si>
  <si>
    <t>AED one-off</t>
  </si>
  <si>
    <t>Charged at base level, waived at upper tiers. CITED structure, ASSUMPTION rate.</t>
  </si>
  <si>
    <t>Card replacement fee</t>
  </si>
  <si>
    <t>AED per event</t>
  </si>
  <si>
    <t>Market-normal UAE replacement is AED 75-150. ASSUMPTION.</t>
  </si>
  <si>
    <t>OTHER STREAM PRICING</t>
  </si>
  <si>
    <t>Family plan / Digital Will price</t>
  </si>
  <si>
    <t>USD/yr</t>
  </si>
  <si>
    <t>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A ONE-OFF SETUP FEE IS NOT MODELLED - if the client wants the full industry structure, that is a second row, not a bigger number here. CITED comparators, ASSUMPTION on the point in the range.</t>
  </si>
  <si>
    <t>Additional beneficiary fee</t>
  </si>
  <si>
    <t>USD/yr each</t>
  </si>
  <si>
    <t>ADDED 2026-08-21, client instruction. Charged per named beneficiary BEYOND THE FIRST, which the plan includes - the standard shape for this kind of add-on, and the reason the formula carries a MAX(0, n-1) rather than charging every beneficiary.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</si>
  <si>
    <t>Credit origination fee - gross</t>
  </si>
  <si>
    <t>% of draw</t>
  </si>
  <si>
    <t>Finance House UAE gold loan Key Facts Statement carries a 1% processing fee - the one gross rate with a real UAE anchor. CITED.</t>
  </si>
  <si>
    <t>Credit origination - Aurumix share</t>
  </si>
  <si>
    <t>% of gross</t>
  </si>
  <si>
    <t>ASSUMPTION.</t>
  </si>
  <si>
    <t>Credit servicing fee - gross</t>
  </si>
  <si>
    <t>%/yr of drawn</t>
  </si>
  <si>
    <t>Credit servicing - Aurumix share</t>
  </si>
  <si>
    <t>The highest of the heads: servicing is where Aurumix does the actual work. ASSUMPTION.</t>
  </si>
  <si>
    <t>LTV against collateral</t>
  </si>
  <si>
    <t>% of collateral</t>
  </si>
  <si>
    <t>_draft_ics-scoring.md sec 6.2, settled 2026-08-13. CITED.</t>
  </si>
  <si>
    <t>Spot ticket - UAE</t>
  </si>
  <si>
    <t>USD/purchase</t>
  </si>
  <si>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</si>
  <si>
    <t>Spot ticket - Oman and Bahrain</t>
  </si>
  <si>
    <t>INFERRED - THE WEAKEST OF THE THREE. No GCC platform outside the UAE publishes an average ticket; this is a CONFIRMED NEGATIVE, not a gap in the search. Taken as the UAE figure scaled by the regional income gap (SIP 26.00/33.60 = 0.77x). Do not present this as sourced.</t>
  </si>
  <si>
    <t>Spot ticket - India</t>
  </si>
  <si>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WEAKER THAN THE UAE FIGURE: right country and right behaviour, but Aurumix's Indian customer is poorer than Augmont's average buyer, so 40 may be generous.</t>
  </si>
  <si>
    <t>Spot attach rate - UAE</t>
  </si>
  <si>
    <t>% of customers/yr</t>
  </si>
  <si>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</si>
  <si>
    <t>Spot attach rate - Oman and Bahrain</t>
  </si>
  <si>
    <t>Spot attach rate - India</t>
  </si>
  <si>
    <t>SIP RULES</t>
  </si>
  <si>
    <t>SIP hard floor</t>
  </si>
  <si>
    <t>USD/month</t>
  </si>
  <si>
    <t>Rejected outright below; never partially credited. CITED.</t>
  </si>
  <si>
    <t>Confirmed SIP gate</t>
  </si>
  <si>
    <t>consecutive payments</t>
  </si>
  <si>
    <t>Client's own figure. The gate is why eligibility is NOT universal - see the two eligibility parameters on the Scenario sheet. CLIENT INPUT.</t>
  </si>
  <si>
    <t>Cost per redemption event</t>
  </si>
  <si>
    <t>USD</t>
  </si>
  <si>
    <t>CUT TWICE, AND BOTH CUTS WERE DELIBERATE. From 4.20 to 3.20 on 2026-08-20, removing the outbound bank transfer fee (USD 1.00-2.50) as the customer's cost to bear. From 3.20 to 1.85 on 2026-08-26, client instruction, removing the ~1.35 of operational handling. WHAT REMAINS IS SUMSUB AML RE-SCREENING AT 1.85, the same published per-verification rate the onboarding line uses - a redemption triggers a re-screen. NOT a double count with the KYC line: that one charges new customers at onboarding, this one charges a different event. WHAT WAS REMOVED IS NOT ZERO. Operational handling - the staff time to check, approve and settle a redemption - is real work; it is now assumed to sit inside headcount rather than being priced per event. WHEN HEADCOUNT LANDS, CONFIRM IT IS ACTUALLY CARRIED THERE, or this cost has quietly vanished from the model rather than moved.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</si>
  <si>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ACTIVATION CALENDAR - the single source of every activation period</t>
  </si>
  <si>
    <t>Stream 1a - Entry fee, SIP</t>
  </si>
  <si>
    <t>period # (from)</t>
  </si>
  <si>
    <t>M1. The core product - live at launch.</t>
  </si>
  <si>
    <t>Stream 1b - Entry fee, SPOT</t>
  </si>
  <si>
    <t>M1. A sub-stream of 1: the same fee on the same gold through a different rail, so it needs no additional build.</t>
  </si>
  <si>
    <t>Stream 0 - Redemption cost</t>
  </si>
  <si>
    <t>M1. A mandatory cost from day one. VARA Annex 2 III.E.4 forbids charging any fee on redemption, so there is no offsetting revenue and there can never be an exit fee.</t>
  </si>
  <si>
    <t>Stream 3 - Family plan and Digital Will</t>
  </si>
  <si>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</si>
  <si>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Stream 2 - Card interchange</t>
  </si>
  <si>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</si>
  <si>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Stream 4 - Cardholder fees</t>
  </si>
  <si>
    <t>M13, necessarily with stream 2 - FX, ATM and issuance fees cannot exist before the card does.</t>
  </si>
  <si>
    <t>Stream 5 - Lending revenue share</t>
  </si>
  <si>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</si>
  <si>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Stream 6 - B2B platform fee</t>
  </si>
  <si>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</si>
  <si>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Referral channel begins</t>
  </si>
  <si>
    <t>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</si>
  <si>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Region opens - Oman and Bahrain</t>
  </si>
  <si>
    <t>M13 (client decision 2026-08-20). THE ONLY STAGED REGION, and the reason is regulatory: it requires local authorisation in a second and third jurisdiction. These customers are also NOT UAE-resident, so the VAT and reporting treatment differs.</t>
  </si>
  <si>
    <t>Region opens - India</t>
  </si>
  <si>
    <t>M1 (client decision 2026-08-20, moved earlier from M13). The India payment route is ASSUMED SOLVED in this model. That is a live assumption, not a settled fact - if the route is not solved, this region does not open at all and roughly a quarter of terminal revenue goes with it.</t>
  </si>
  <si>
    <t>SEASONALITY VECTORS (raw - the Model normalises to exactly 12.000)</t>
  </si>
  <si>
    <t>Vector</t>
  </si>
  <si>
    <t>Jan</t>
  </si>
  <si>
    <t>Feb</t>
  </si>
  <si>
    <t>Mar</t>
  </si>
  <si>
    <t>Apr</t>
  </si>
  <si>
    <t>May</t>
  </si>
  <si>
    <t>Jun</t>
  </si>
  <si>
    <t>Jul</t>
  </si>
  <si>
    <t>Aug</t>
  </si>
  <si>
    <t>Sep</t>
  </si>
  <si>
    <t>Oct</t>
  </si>
  <si>
    <t>Nov</t>
  </si>
  <si>
    <t>Dec</t>
  </si>
  <si>
    <t>Acquisition seasonality</t>
  </si>
  <si>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</si>
  <si>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Card spend seasonality</t>
  </si>
  <si>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</si>
  <si>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Foreign-spend share vector</t>
  </si>
  <si>
    <t>The one seasonality vector the brief itself tabulates. Raw mean 39.75, rescaled on the Model to the foreign-spend-share parameter. THE SUMMER TRAVEL SEASON IS THE LARGEST STREAM-4 MONTH on the weakest total-spend base.</t>
  </si>
  <si>
    <t>REGION KEY - who each region is</t>
  </si>
  <si>
    <t>UAE</t>
  </si>
  <si>
    <t>opens M1</t>
  </si>
  <si>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</si>
  <si>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Oman and Bahrain</t>
  </si>
  <si>
    <t>opens M13</t>
  </si>
  <si>
    <t>Expatriate workers in Oman and Bahrain. ~600,000 addressable. NOT UAE-resident, so VAT and reporting treatment differ. Requires local authorisation in a second and third jurisdiction, which is why it is the only staged region.</t>
  </si>
  <si>
    <t>India</t>
  </si>
  <si>
    <t>India-resident retail investors. ~12.5m addressable, sized BEHAVIOURALLY from gold ETF folios intersected with active digital-gold holders rather than demographically. The payment route is ASSUMED SOLVED in this model - if it is not, this region does not open at all.</t>
  </si>
  <si>
    <t>MARKET SIZING - how each region's reachable SIP account ceiling is derived</t>
  </si>
  <si>
    <t>Funnel step</t>
  </si>
  <si>
    <t>UAE - Indian</t>
  </si>
  <si>
    <t>UAE - other South Asian</t>
  </si>
  <si>
    <t>Source population</t>
  </si>
  <si>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HELD STATIC over the horizon, which is conservative: the UAE Indian community grew ~12% in the single year to Dec 2024.</t>
  </si>
  <si>
    <t xml:space="preserve">  x Economically active</t>
  </si>
  <si>
    <t>Oman and Bahrain is 100% because the source counts EXPAT WORKERS, who are working-age and economically active by definition - applying a labour-force filter would double-count.</t>
  </si>
  <si>
    <t xml:space="preserve">  x Payment capable (IBAN able to carry a direct debit)</t>
  </si>
  <si>
    <t>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</si>
  <si>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</si>
  <si>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Discretionary capacity for a RECURRING USD 240/year commitment, tested after remittance obligations rather than before them.</t>
  </si>
  <si>
    <t xml:space="preserve">  = Addressable base</t>
  </si>
  <si>
    <t>Population x the three filters. The UAE-Indian column reproduces the brief's worked figure of ~640,000.</t>
  </si>
  <si>
    <t xml:space="preserve">  x Penetration ceiling</t>
  </si>
  <si>
    <t>The share of the addressable base the product could ever reach. 'base x ceiling' is the INVARIANT - changing one without the other silently re-scales the whole model.</t>
  </si>
  <si>
    <t xml:space="preserve">  = REACHABLE SIP ACCOUNTS</t>
  </si>
  <si>
    <t>This is what the acquisition engine saturates against.</t>
  </si>
  <si>
    <t xml:space="preserve">  Feeds model region</t>
  </si>
  <si>
    <t>MARKET CEILINGS AND ACQUISITION DRIVERS</t>
  </si>
  <si>
    <t>Reachable SIP ceiling - UAE</t>
  </si>
  <si>
    <t>accounts</t>
  </si>
  <si>
    <t>DERIVED from the market sizing funnel above - the sum of its source populations (UAE - Indian, UAE - other South Asian), not a typed number. Change any filter and this follows.</t>
  </si>
  <si>
    <t>Reachable SIP ceiling - Oman and Bahrain</t>
  </si>
  <si>
    <t>DERIVED from the market sizing funnel above - the sum of its source populations (Oman and Bahrain), not a typed number. Change any filter and this follows.</t>
  </si>
  <si>
    <t>Reachable SIP ceiling - India</t>
  </si>
  <si>
    <t>DERIVED from the market sizing funnel above - the sum of its source populations (India), not a typed number. Change any filter and this follows.</t>
  </si>
  <si>
    <t>Total reachable SIP accounts</t>
  </si>
  <si>
    <t>~181,150, against the brief's 165,750.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</si>
  <si>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CROSS-CHECK vs observed market evidence (memo - feeds nothing)</t>
  </si>
  <si>
    <t xml:space="preserve">  O Gold active users, UAE (observed)</t>
  </si>
  <si>
    <t>users</t>
  </si>
  <si>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</si>
  <si>
    <t xml:space="preserve">  Our UAE ceiling as a multiple of observed active users</t>
  </si>
  <si>
    <t>x observed</t>
  </si>
  <si>
    <t>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</si>
  <si>
    <t xml:space="preserve">  Oman &amp; Bahrain / India (no comparable figure)</t>
  </si>
  <si>
    <t>n/a</t>
  </si>
  <si>
    <t>-</t>
  </si>
  <si>
    <t>CONFIRMED NEGATIVE, recorded so it is not re-searched. No GCC platform outside the UAE publishes a user count. India publishes only REGISTERED counts (Jar 35m, Augmont 42m) which cannot be deduplicated or converted to active users, so no comparable cross-check can be built.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</si>
  <si>
    <t>Active agents - UAE - Y1</t>
  </si>
  <si>
    <t>agents</t>
  </si>
  <si>
    <t>REGIONALISED 2026-08-26, replacing a single national pool split 45/10/45 by a 'share of salesforce' input. AGENTS NOW BELONG TO A REGION. UAE and Oman &amp; Bahrain are set to ZERO: those markets are acquired top-down through marketing at their own CAC, plus referral. India carries the agent network. THE RAMP IS NO LONGER TYPED - and the schedule it replaces was never the client's. The old 5/15/40/90/200 entered the corpus in the v1.0 brief as 'Active agents | Client input REQUIRED', a placeholder flagged as a question to ask; by the v2.6 rebuild spec the word 'required' had dropped and the source column read 'CLIENT INPUT'. That sequence appears in four documents, all of them ours, and in no client source: the 100 G Business Model gives the three-tier agent STRUCTURE (S11.1) and the 15% commission, but no headcount anywhere. The only genuine client instruction was a +50% raise on 2026-08-21, which scaled a placeholder rather than replacing it. THIS ROW IS NOW OBSERVED. It is Angel One's DISCLOSED Authorised Person count - 42 / 40 / 63 / 186 / 313 across FY18-FY22, a 7.45x rise over four years from a small base - indexed to Y1 and anchored at 40 (client decision 2026-08-26). An Angel One AP is a SEBI-registered independent person who acquires and services retail investors on commission, which is the same animal as an Aurumix agent. The tail (Y6-Y7) is extended at Prudent Corporate Advisory's mature rate, whose MFD base went 14,007 (FY20) to 33,308 (FY25), ~19%/yr. THE OBSERVED Y2 DIP IS FLATTENED, client instruction: Angel One's own FY19 fell 5% on FY18, which is what real networks do - you recruit, most wash out, the survivors compound from year 3. Held FLAT at Y2 instead, which is not a free year: at 45% attrition it still means ~18 hires purely to stand still. TWO CAVEATS ON THE COMPARATORS. Angel One's FY18 is NOT that company's year one - it was founded in 1996 and was rebuilding the AP channel, so this is 'a distributor network scaling from a small base', not 'a startup's first five years'. And both comparators RECRUIT PRE-LICENSED PROFESSIONALS onto a platform rather than creating agents from nothing; gold is not a securities product so Aurumix needs no ARN or SEBI registration, which removes the barrier but also removes the ready pool to poach from. CROSS-CHECKED, AND THIS IS THE STRONGEST PART: sizing agents bottom-up so they are India's primary channel independently gives ~470 at Y7 against this curve's 420 - two unrelated methods, 12% apart. Y4 IS THE YEAR TO QUESTION: 60 to 177 needs 144 hires against a base of 60, nearly tripling the network in twelve months. It is inherited from Angel One's real FY20-FY21 jump (63 to 186), so it is observed rather than invented, but it is the year the plan has to actually deliver. AND IT IS A COST THIS MODEL CANNOT SEE: 857 hires across seven years to end with 420 active, ~224 in Y7 alone, needing 5-6 full-time recruiters and ~28 supervisors at a 1:15 span. OBSERVED (Angel One FY18-FY22, Prudent FY20-FY25); the Y1 anchor is a CLIENT DECISION.</t>
  </si>
  <si>
    <t>Active agents - UAE - Y2</t>
  </si>
  <si>
    <t>Active agents - UAE - Y3</t>
  </si>
  <si>
    <t>Active agents - UAE - Y4</t>
  </si>
  <si>
    <t>Active agents - UAE - Y5</t>
  </si>
  <si>
    <t>Active agents - UAE - Y6</t>
  </si>
  <si>
    <t>Active agents - UAE - Y7</t>
  </si>
  <si>
    <t>Active agents - Oman and Bahrain - Y1</t>
  </si>
  <si>
    <t>Active agents - Oman and Bahrain - Y2</t>
  </si>
  <si>
    <t>Active agents - Oman and Bahrain - Y3</t>
  </si>
  <si>
    <t>Active agents - Oman and Bahrain - Y4</t>
  </si>
  <si>
    <t>Active agents - Oman and Bahrain - Y5</t>
  </si>
  <si>
    <t>Active agents - Oman and Bahrain - Y6</t>
  </si>
  <si>
    <t>Active agents - Oman and Bahrain - Y7</t>
  </si>
  <si>
    <t>Active agents - India - Y1</t>
  </si>
  <si>
    <t>Active agents - India - Y2</t>
  </si>
  <si>
    <t>Active agents - India - Y3</t>
  </si>
  <si>
    <t>Active agents - India - Y4</t>
  </si>
  <si>
    <t>Active agents - India - Y5</t>
  </si>
  <si>
    <t>Active agents - India - Y6</t>
  </si>
  <si>
    <t>Active agents - India - Y7</t>
  </si>
  <si>
    <t>Marketing spend - Y1</t>
  </si>
  <si>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</si>
  <si>
    <t>Marketing spend - Y2</t>
  </si>
  <si>
    <t>Marketing spend - Y3</t>
  </si>
  <si>
    <t>Marketing spend - Y4</t>
  </si>
  <si>
    <t>Marketing spend - Y5</t>
  </si>
  <si>
    <t>Marketing spend - Y6</t>
  </si>
  <si>
    <t>Marketing spend - Y7</t>
  </si>
  <si>
    <t>Agent blended ramp - Y1</t>
  </si>
  <si>
    <t>x productivity</t>
  </si>
  <si>
    <t>Six months to full productivity, which happens to match the six-payment gate.</t>
  </si>
  <si>
    <t>Agent blended ramp - Y2</t>
  </si>
  <si>
    <t>Agent blended ramp - Y3</t>
  </si>
  <si>
    <t>Agent blended ramp - Y4</t>
  </si>
  <si>
    <t>Agent blended ramp - Y5</t>
  </si>
  <si>
    <t>Agent blended ramp - Y6</t>
  </si>
  <si>
    <t>Agent blended ramp - Y7</t>
  </si>
  <si>
    <t>SCENARIO-LINKED INPUTS (live values - move with the scenario switch)</t>
  </si>
  <si>
    <t>Gold price appreciation</t>
  </si>
  <si>
    <t>%/yr</t>
  </si>
  <si>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</si>
  <si>
    <t>Float buffer - days of demand held</t>
  </si>
  <si>
    <t>days</t>
  </si>
  <si>
    <t>S50, the SOFT HALF of the float sizing rule. The corpus states the rule as 'one bar denomination plus a buffer of N days trailing inflow' and NEVER SETS N. WHAT THE BUFFER IS FOR: how long it takes to get REPLACEMENT metal into the vault - dealer lead time, weekend and holiday gaps, payment clearing, and the days a dealer cannot fill 100 g. It is a REPLENISHMENT question. NOT the fill window, which is how long demand takes to CONSUME a bar. The brief anchors the 10 days on the fill window and that is the wrong anchor - how fast the shelf empties and how fast it can be restocked are different questions that only happen to give a similar answer at launch. Corrected here 2026-08-26; the brief still carries the old reasoning. 10 days is a working number for a dealer who has not been chosen yet, and it is DEALER-DEPENDENT: a T+2 commitment would cut the float by roughly two-thirds. IT CHANGES NOTHING AT LAUNCH. Below 10 grams a day - which is about month six - the two-bar floor is larger, so M1 is USD 28,716 for ANY buffer from 0 to 49 days. It binds only at scale, where it is worth USD 64,669 per day of buffer by Y7 and USD 905k between the Aggressive and Conservative settings. ASSUMPTION, and the one to flex: the only number in the float calculation that was neither observed nor settled in the design docs.</t>
  </si>
  <si>
    <t>Persistency - customers still paying after 12 months</t>
  </si>
  <si>
    <t>%</t>
  </si>
  <si>
    <t>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</si>
  <si>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Monthly churn rate (derived)</t>
  </si>
  <si>
    <t>%/month</t>
  </si>
  <si>
    <t>DERIVED, not typed: the monthly rate that reproduces the persistency above over twelve months. Change persistency and this follows. Base 55% implies ~4.9%/month.</t>
  </si>
  <si>
    <t>Agent productivity</t>
  </si>
  <si>
    <t>accounts/agent/month</t>
  </si>
  <si>
    <t>RE-EVIDENCED 2026-08-26. Base HOLDS at 6; the BANDS widen from 8/3 to 9/3 and the justification is rebuilt on measured comparators instead of resting on a single insurance-agency analogy. WHAT THE EVIDENCE SAYS. IRDAI's Annual Report FY25 gives 270.22 lakh new individual policies against 31.23 lakh individual agents - 8.65 policies per agent per YEAR, or 0.72/month, across the whole book INCLUDING dormant agents. Adjusting for dormancy (MicroSave measures up to 43% inactive across the top four BC network managers) puts an ACTIVE Indian life agent at roughly 1.5-3 per month. BEWARE ONE WIDELY-CIRCULATED FIGURE: an analyst piece states Indian productivity as '0.87 policies per agent per year'. That is an ARITHMETIC SLIP - it divides 27.02 lakh by 31.23 lakh when the numerator is 270.22 lakh. The correct figure is 8.65. Do not cite the 0.87. THE CLOSER COMPARATOR IS THE BANK MITRA / BC NETWORK, which opens a light, form-based account for the same demographic through the same field model: 20-30 accounts per month when the account is FREE, and about 2 per month once a fee is introduced - a 93% collapse, measured by MicroSave. AURUMIX CHARGES 5% ON ENTRY. That is the datapoint arguing 6 is at the OPTIMISTIC end rather than the conservative one, and it is why the conservative band moves from 3 to... 3, but now for a stated reason rather than as a round number. THE OLD NOTE argued 6 was conservative because a gold SIP signup is a fraction of the work of an underwritten insurance policy. That is true, and it is why 6 survives as Base - but it argues only against the insurance figure and is silent on the fee-friction evidence, which points the other way. COMPOUNDS WITH HEADCOUNT: both are execution assumptions, and if either disappoints the other does not compensate. TRIANGULATED at 6, with the band now evidence-led in both directions.</t>
  </si>
  <si>
    <t>Marketing CAC - UAE</t>
  </si>
  <si>
    <t>USD per customer</t>
  </si>
  <si>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 THIS IS THE YEAR-1 VALUE. CAC now ramps DOWN to the Y7 parameter below - see that note.</t>
  </si>
  <si>
    <t>Marketing CAC - Oman and Bahrain</t>
  </si>
  <si>
    <t>Marketing CAC - India</t>
  </si>
  <si>
    <t>Marketing CAC at Y7 - UAE</t>
  </si>
  <si>
    <t>CLIENT INSTRUCTION 2026-08-26: CAC RAMPS DOWN over the horizon rather than sitting flat. UAE 85-&gt;55, Oman and Bahrain 75-&gt;45, India 15-&gt;10, interpolated LINEARLY on model year. Aggressive and Conservative hold the same proportional decline as Base. WHY IT FALLS: brand recognition compounds, organic and word-of-mouth grow off a larger base, and paid channels get cheaper per acquisition as creative, targeting and funnel conversion are tuned. IT CUTS AGAINST THE MODEL'S OWN CAUTION ELSEWHERE - S25's convexity switch says CAC RISES with spend because you buy progressively worse audiences. Both are real and they pull in opposite directions; this ramp asserts that the learning effect wins over seven years. IT IS NOT A COST SAVING - IT IS A REVENUE INCREASE. The marketing budget is fixed by schedule, so a lower CAC buys MORE CUSTOMERS for the same money. Marketing spend does not fall by a dollar.</t>
  </si>
  <si>
    <t>Marketing CAC at Y7 - Oman and Bahrain</t>
  </si>
  <si>
    <t>Marketing CAC at Y7 - India</t>
  </si>
  <si>
    <t>Marketing spend share - UAE</t>
  </si>
  <si>
    <t>% of budget</t>
  </si>
  <si>
    <t>RE-BASED 2026-08-26 from 58/16/26, when India moved to an agent-led channel. India falls to 8% - a SUPPORT budget, not an acquisition engine - and UAE and Oman &amp; Bahrain absorb the residual, split roughly 80:20 by each region's share of its own reachable ceiling. THE REASON IS STRUCTURAL, NOT A PREFERENCE. UAE and Oman &amp; Bahrain now have NO agent channel at all, so marketing plus referral is the WHOLE of their acquisition and the budget has to carry it. India's 420 agents carry ~57% of its new accounts by Y7, so its budget does not. WHAT THIS FIXES: holding India at 26% meant a USD 1.65m budget at a USD 15 CAC buying 35,750 accounts a year, which is what the model did before. India LOOKED agent-led while actually being carried by a cheap-CAC assumption - marketing was 67% of Indian raw demand at Y7 and agents only 11%, the reverse of how the business is described. Does not vary by scenario - it is a management decision, not an uncertainty. Must sum to 100%.</t>
  </si>
  <si>
    <t>Marketing spend share - Oman and Bahrain</t>
  </si>
  <si>
    <t>Marketing spend share - India</t>
  </si>
  <si>
    <t>Referral rate</t>
  </si>
  <si>
    <t>referrals/customer/yr</t>
  </si>
  <si>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</si>
  <si>
    <t>Referral conversion</t>
  </si>
  <si>
    <t>The M7 survival of the referred cohort, uplifted ~1.1x. DERIVED.</t>
  </si>
  <si>
    <t>Organic share of direct</t>
  </si>
  <si>
    <t>% of direct</t>
  </si>
  <si>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</si>
  <si>
    <t>Seasonality amplitude</t>
  </si>
  <si>
    <t>x deviation from 1.0</t>
  </si>
  <si>
    <t>Festival TIMING is sourced; how hard a Dubai savings signup responds to Dhanteras is the open question. Applied to the deviation from 1.0, then renormalised, so the vectors stay at exactly 12.000.</t>
  </si>
  <si>
    <t>Customers who EVER reach an ICS benefit tier</t>
  </si>
  <si>
    <t>% of customers</t>
  </si>
  <si>
    <t>REPURPOSED 2026-08-26 (CG decision). THIS CELL NO LONGER GATES ACCESS TO ANYTHING. The card and the credit facility are now open to the whole book regardless of SIP status or ICS tier; what ICS still governs is BENEFITS - fee discounts, better FX rates, family-wallet pricing, gold reward rebates. IT FEEDS NO REVENUE ROW TODAY. It is carried as a memo on the Model so the ICS-entitled population is already computed when the cost and discount build lands, because every one of those benefits is a give-back that has to be sized against a population. Deleting it would mean rebuilding it a day later. WHAT IT USED TO DO, AND WHY THE CHANGE IS LARGE: it restricted the card streams to the 55% who ever cleared a six-payment gate, so removing it widens the card population by 1/0.55 = 1.82x AND removes the ~8-month lag before anyone qualified. The old note called this 'the single most load-bearing parameter in the model' and claimed the card streams were ~83% of gross profit; BOTH STATEMENTS ARE NOW STALE - there is no gross-profit line in this build at all, and on the current numbers the card streams are a far smaller share of revenue than that. The 55% itself is unchanged and still the OUTPUT of the run-of-6 first-passage engine validated against the archetype mix, which now lives in the Phase 5 simulation. Whether ICS ENTITLEMENT should use the same threshold as the old payment gate is an OPEN QUESTION for the mechanism-design update - it is inherited here, not decided.</t>
  </si>
  <si>
    <t>Average months to reach an ICS benefit tier</t>
  </si>
  <si>
    <t>months</t>
  </si>
  <si>
    <t>REPURPOSED 2026-08-26 with the row above - it no longer delays card access, only benefit entitlement. Tier arrival is a DISTRIBUTION, not a date: a customer who misses month 4 cannot qualify before month 9. The validated mean is M8.0, against the naive assumption of M6. UNDER THE OLD DESIGN those two extra months pushed every card ladder date to the right and were worth real revenue; under the new one they delay only the point at which a customer starts COSTING money in discounts, which is the opposite sign. DERIVED.</t>
  </si>
  <si>
    <t>Gold moved out of Aurumix's control</t>
  </si>
  <si>
    <t>% of AUM/yr</t>
  </si>
  <si>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</si>
  <si>
    <t>Redemption rate</t>
  </si>
  <si>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</si>
  <si>
    <t>Holder redemption multiplier</t>
  </si>
  <si>
    <t>x the paying rate</t>
  </si>
  <si>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</si>
  <si>
    <t>Spot attach scenario multiplier</t>
  </si>
  <si>
    <t>x the regional attach</t>
  </si>
  <si>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</si>
  <si>
    <t>Spot ticket scenario multiplier</t>
  </si>
  <si>
    <t>x the observed ticket</t>
  </si>
  <si>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</si>
  <si>
    <t>Spot frequency</t>
  </si>
  <si>
    <t>events/attacher/yr</t>
  </si>
  <si>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</si>
  <si>
    <t>Programme manager share of interchange</t>
  </si>
  <si>
    <t>LOWERED 2026-08-21 from 0.72, client instruction - AURUMIX NOW KEEPS 40% RATHER THAN 28%. 0.60 sits comfortably inside the 36-85% observed range and is roughly its midpoint, so the base case moves from the pessimistic end to a neutral one. It assumes a NEGOTIATED deal rather than a take-it-or-leave-it one, which is reasonable for a programme with a gold-collateral proposition the manager cannot source elsewhere - but it IS an assumption about a contract that does not exist yet, and the only honest way to hold it is to treat 40% as a target to negotiate to, not a rate already won. BANDS CORRECTED earlier the same day - THEY WERE INVERTED. Aggressive was 0.85 and conservative 0.55, meaning the OPTIMISTIC scenario handed MORE of the interchange to the programme manager and cut Aurumix's share from 28% to 15%. Every other cost-like parameter in this model improves under Aggressive - redemption, CAC, self-custody, the holder multiplier - and this one moved the other way. Flipping the scenario made interchange fall 46% in the good case and rise 61% in the bad one. Aggressive is now 0.36, THE DOCUMENTED FLOOR, which is the best deal observed anywhere and the right walk-away to take into a sponsor conversation - at that level Aurumix keeps 64% rather than 28%, and interchange more than doubles. Conservative is 0.85. WHY AURUMIX ONLY GETS A SLICE AT ALL: it is not a bank and cannot issue cards, so a programme manager holds the BIN, the scheme membership, settlement and dispute handling, and takes the majority for it. That much is normal. 72% is near the BAD END of the 36-85% range, so the base case is deliberately unfavourable - THIS IS A COMMERCIAL NEGOTIATION, NOT A MODELLING ASSUMPTION, and it is one of the few places where a better contract directly doubles a revenue line. No UAE/MENA figure is published. TRIANGULATED.</t>
  </si>
  <si>
    <t>Facility take-up - customers who take AND use the card</t>
  </si>
  <si>
    <t>% of card-eligible base</t>
  </si>
  <si>
    <t>RE-BASED AGAIN 2026-08-26 (CG decision): the denominator changed from GATE-CLEARED customers to the WHOLE CARD-ELIGIBLE BASE, because access is no longer gated. The RATE holds at 18% on client instruction, and that decision deserves to be stated plainly rather than buried. 18% WAS CALIBRATED ON A PRE-SELECTED POPULATION. It is Indian gold-loan penetration - under 10% at a point in time - uplifted BECAUSE the customers it applied to had already proven six consecutive payments. Removing the gate removes that pre-selection but keeps the uplift, so the rate is now applied to a materially less committed population than the one it was derived from. The arithmetic is unambiguous: the base widens 1.82x and the conversion rate does not fall, so the card population rises 1.82x on this change alone. IF CARD REVENUE IS CHALLENGED, THIS IS THE FIRST CELL TO LOOK AT - the defensible alternative is ~10%, the unadjusted benchmark. AGAINST THAT: open access plus ICS discounts is a genuinely different proposition from a gated facility, and there is no benchmark at all for an open gold-collateralised card, so 18% is not refutable either. It is a judgement, and it should be presented as one. CLIENT DECISION on the level; DERIVED on the benchmark beneath it. CARRIED FORWARD FROM 2026-08-20, and still true: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they were once modelled as two different populations (50% activating a card, 18% taking credit) doing what is in fact one thing. THE OLD 50% CAME FROM NEOBANK COMPARABLES (PULSE 68.2%, Monzo 68%) WHERE THE CARD IS THE PRODUCT - wrong in kind for a card that only lets you borrow against your own savings, and worth remembering now that access is open, because an open card invites exactly that comparison again.</t>
  </si>
  <si>
    <t>Transactions per drawdown event</t>
  </si>
  <si>
    <t>transactions/draw</t>
  </si>
  <si>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</si>
  <si>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Foreign spend share (mean)</t>
  </si>
  <si>
    <t>% of card spend</t>
  </si>
  <si>
    <t>Applied through the seasonal vector, not as a constant. ASSUMPTION.</t>
  </si>
  <si>
    <t>Card REISSUE rate (excludes first issue)</t>
  </si>
  <si>
    <t>reissues/card/yr</t>
  </si>
  <si>
    <t>CORRECTED 2026-08-26, and this replaces 'Card issuance events' at 1.06/card/yr. THE OLD ROW WAS A REAL DEFECT, not a re-cut. 1.06 events per card per YEAR was applied to the STOCK of active cards, which charged the AED 75 issuance fee to every existing cardholder every single year - an ANNUAL FEE, not an issuance fee, and the row's own note said so: '1.00 at activation plus reissues'. The 1.00 belongs to the year a card is ACTIVATED and must be charged on NEW cards; only the 0.06 residual is a recurring per-card event. WHAT IT WAS WORTH. At Y7 it charged ~33,980 issuance events against ~9,100 real ones, roughly 3.7x too many, or ~USD 507,000 - about 11% of total revenue. It predates the 2026-08-26 access change, but that change multiplied the card stock by 1.82x and so multiplied the error with it, taking issuance from ~6% of revenue to ~15% before this fix. IT WAS THE LARGEST SINGLE ERROR IN THE MODEL. 0.06 is what remains once first issue is removed: a tier upgrade forces a physical reissue, and under the ICS design tier changes are the main trigger. ASSUMPTION. STILL NOT IMPLEMENTED, and it belongs to the discount build: the fee input's own note says issuance is 'waived at upper tiers'. Nothing waives it. Under the new design that waiver is exactly the kind of ICS benefit being priced tomorrow, so wire it there rather than here.</t>
  </si>
  <si>
    <t>Card replacement events</t>
  </si>
  <si>
    <t>events/card/yr</t>
  </si>
  <si>
    <t>Industry-normal loss/theft/damage is 8-15% annually. ASSUMPTION.</t>
  </si>
  <si>
    <t>ATM AED 0-500 - share of cardholders</t>
  </si>
  <si>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</si>
  <si>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ATM AED 500-1,500 - share of cardholders</t>
  </si>
  <si>
    <t>ATM AED 1,500-3,000 - share of cardholders</t>
  </si>
  <si>
    <t>ATM AED 3,000+ - share of cardholders</t>
  </si>
  <si>
    <t>ATM AED 0-500 - midpoint draw</t>
  </si>
  <si>
    <t>Raising the allowance at the top tier waives revenue from only the top ~3% of cardholders.</t>
  </si>
  <si>
    <t>ATM AED 500-1,500 - midpoint draw</t>
  </si>
  <si>
    <t>ATM AED 1,500-3,000 - midpoint draw</t>
  </si>
  <si>
    <t>ATM AED 3,000+ - midpoint draw</t>
  </si>
  <si>
    <t>Drawn as % of permitted limit</t>
  </si>
  <si>
    <t>Revolving facilities draw 40-55% of permitted. This now drives CARD SPEND as well as the loan balance, because the card is the drawdown mechanism. TRIANGULATED.</t>
  </si>
  <si>
    <t>Facility turnover, peak -&gt; average</t>
  </si>
  <si>
    <t>x peak drawn</t>
  </si>
  <si>
    <t>AN ARITHMETIC CORRECTION, not a sensitivity, derived from Manappuram's 71-day realised tenor. It cuts the lending stream by 1.88x. DERIVED.</t>
  </si>
  <si>
    <t>Draw events per borrower per year</t>
  </si>
  <si>
    <t>events/yr</t>
  </si>
  <si>
    <t>MOVES WITH facility turnover - do not flex independently. DERIVED.</t>
  </si>
  <si>
    <t>Family plan attach rate</t>
  </si>
  <si>
    <t>% of NEW customers</t>
  </si>
  <si>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</si>
  <si>
    <t>Family plan cancellation rate (incremental)</t>
  </si>
  <si>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</si>
  <si>
    <t>Beneficiaries named per plan</t>
  </si>
  <si>
    <t>beneficiaries</t>
  </si>
  <si>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</si>
  <si>
    <t>Family plan monthly churn, combined (derived)</t>
  </si>
  <si>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</si>
  <si>
    <t>B2B partners - Y1</t>
  </si>
  <si>
    <t>partners</t>
  </si>
  <si>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</si>
  <si>
    <t>B2B partners - Y2</t>
  </si>
  <si>
    <t>B2B partners - Y3</t>
  </si>
  <si>
    <t>B2B partners - Y4</t>
  </si>
  <si>
    <t>B2B partners - Y5</t>
  </si>
  <si>
    <t>B2B partners - Y6</t>
  </si>
  <si>
    <t>B2B partners - Y7</t>
  </si>
  <si>
    <t>B2B platform fee</t>
  </si>
  <si>
    <t>% of partner AUM/yr</t>
  </si>
  <si>
    <t>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</si>
  <si>
    <t>Average partner user base</t>
  </si>
  <si>
    <t>active users</t>
  </si>
  <si>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</si>
  <si>
    <t>Partner users adopting gold (mature)</t>
  </si>
  <si>
    <t>% of partner users</t>
  </si>
  <si>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</si>
  <si>
    <t>AUM per adopting partner user</t>
  </si>
  <si>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</si>
  <si>
    <t>AUM per partner (derived)</t>
  </si>
  <si>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</si>
  <si>
    <t>Average monthly ticket - UAE</t>
  </si>
  <si>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</si>
  <si>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Average monthly ticket - Oman and Bahrain</t>
  </si>
  <si>
    <t>Average monthly ticket - India</t>
  </si>
  <si>
    <t>Vault storage fee</t>
  </si>
  <si>
    <t>%/yr of metal held</t>
  </si>
  <si>
    <t>WHAT AURUMIX PAYS THE VAULT, not what it charges customers - decision 42 makes retail storage free. BASE 0.12% IS BULLIONVAULT'S PUBLISHED TARIFF, insurance included, minimum USD 4/month (bullionvault.com/help/tariff.html, retrieved 2026-08-26). Used as an UPPER BOUND on wholesale cost because it is a RETAIL price and therefore already carries BullionVault's own margin. AGGRESSIVE 0.026% is the DGCX Spot Gold vaulting tariff read literally - USD 0.10 per kilo per day at today's gold price. IT IS CARRIED ONLY AS THE OPTIMISTIC CASE AND SHOULD NOT BE THE BASE: that notice is dated 7 DECEMBER 2015, it is a DELIVERY-CYCLE tariff for taking metal off a futures contract (three free days per cycle) rather than a custody contract, and it is a FIXED DOLLAR-PER-KILO charge set when gold was about USD 34/g. The same physical rate was 0.107%/yr in 2015 and only reads as 0.026% now because the metal quadrupled. No vault reprices that slowly. CONSERVATIVE 0.40% is the low end of the range secondary sources quote for Dubai institutional storage. For reference the Royal Mint publishes 1% + VAT for bar storage. BENCHMARKED, NOT OBSERVED: no Dubai operator publishes an institutional custody tariff. Brink's runs the DGCX-approved Dubai vaults (Gold Souk, DAFZ, Almas Tower) and quotes privately. GET A QUOTE - it is the same conversation as naming the dealer.</t>
  </si>
  <si>
    <t>Vault minimum charge</t>
  </si>
  <si>
    <t>USD/day</t>
  </si>
  <si>
    <t>Professional vault contracts carry a minimum invoice, and it BITES WHILE THE BOOK IS SMALL - which is most of this horizon. BASE USD 25/day is the only MINIMUM published by any Dubai-approved vault operator (DGCX Spot Gold vaulting notice, 7 December 2015). AGGRESSIVE USD 5/day is nearer BullionVault's USD 4/MONTH. CONSERVATIVE USD 65/day is roughly USD 2,000/month, a plausible institutional floor. AT BASE THE MINIMUM BINDS UNTIL ABOUT YEAR 3, which is the point: early-year unit economics look worse than steady state because of minimum-commitment structures, and this is one of three in the cost base - the others are the KYC platform minimum and the card programme minimums. ASSUMPTION. Replace with the Brink's quote.</t>
  </si>
  <si>
    <t>VARA annual supervision fee</t>
  </si>
  <si>
    <t>AED/yr</t>
  </si>
  <si>
    <t>VARA Schedule 2 - Supervision and Authorisation Fees, Virtual Assets and Related Activities Regulations 2023 (rulebooks.vara.ae, retrieved 2026-08-26). PUBLISHED AND EXACT: AED 200,000 per year for each of Category 1 VA Issuance, Broker-Dealer, Exchange and Custody; AED 80,000 for VA Transfer and Settlement. Payable IN ADVANCE of conducting the activity. VARA LICENSES ACTIVITIES, NOT THE TOKEN - you need each licence only if you actually perform that activity, so the ladder is a BUSINESS-MODEL question, not a risk band. BASE AED 400,000 = ISSUANCE + BROKER-DEALER. Issuance is mandatory for a gold-backed ARVA and is not negotiable. Broker-Dealer is added because Aurumix SELLS DIRECTLY TO RETAIL through its own app and agent network, and the definition catches 'soliciting or accepting orders for Virtual Assets and accepting fiat currency for such orders' - which is the SIP exactly. There is NO CARVE-OUT letting an issuer distribute its own token without it; the footnote checked on 2026-08-26 only requires issuers to comply with the Issuance Rulebook. AGGRESSIVE AED 200,000 = ISSUANCE ALONE, and it is a REAL STRATEGIC OPTION rather than optimism: mint and let a VARA-licensed broker-dealer handle distribution. Saves USD 54,459/yr of supervision and AED 600,000 of locked capital, at the cost of margin and control. CONSERVATIVE AED 600,000 adds CUSTODY, which bites only if Aurumix safekeeps client VAs - and only qualifies at all if each client's assets sit in SEPARATE WALLETS, so it turns on the wallet design. EXCHANGE IS DELIBERATELY EXCLUDED: no trading venue, no order matching. VA TRANSFER AND SETTLEMENT TOO: that definition targets moving CLIENTS' assets as a rail, not delivering your own issue to its buyer. VERIFIED AGAINST VARA'S PUBLIC REGISTER 2026-08-26, and the register settles it. Of 56 licensed VASPs, EXACTLY TWO hold Category 1 VA Issuance - Ctrl Alt Solutions DMCC and Tokinvest DMCC - and BOTH ALSO HOLD BROKER-DEALER SERVICES. Neither holds issuance alone. Issuance + Broker-Dealer is the only observed pattern in Dubai, which is why it is the Base. Both are tokenisation platforms rather than exchanges, so they are the closest comparators Aurumix has. THE SAMPLE IS TWO COMPANIES - it is the entire population of issuance licensees, not a survey, and it should be quoted as such. NEITHER HOLDS CUSTODY, and that is informative: on the register custody sits with specialists - Ceffu, BitGo, Hex Trust, Komainu, Bitpanda, Zand Bank - not with issuers. So Conservative is really the 'Aurumix builds its own custody instead of partnering' case, and it has no Dubai precedent. AGGRESSIVE HAS NO DUBAI PRECEDENT EITHER: no licensee holds issuance alone, so outsourcing distribution is a strategy nobody local has taken, not merely a cheaper option. Schedule 2 also lets VARA impose additional fees at its sole discretion.</t>
  </si>
  <si>
    <t>VARA licence application fee (one-off)</t>
  </si>
  <si>
    <t>AED</t>
  </si>
  <si>
    <t>VARA Schedule 2, same source. AED 100,000 for one regulated VA Activity, payable at SUBMISSION - the application is not processed until it is received, so it is spent whether or not the licence is granted. Each additional activity adds a Licence Extension Fee of 50% OF THE LOWER application fee. Base 150,000 = Issuance 100,000 + 50% of Broker-Dealer's 100,000. Conservative 200,000 adds Custody at another 50,000. VARA PUBLISHES NO APPROVAL TIMELINE ANYWHERE - never give the client a date.</t>
  </si>
  <si>
    <t>DMCC company licence</t>
  </si>
  <si>
    <t>DMCC published Schedule of Charges (dmcc.ae, retrieved 2026-08-26): standard trading and service licence AED 20,265/yr. THE COST OF EXISTING AS A COMPANY, separate from and additional to the VARA licence, which is the cost of doing virtual asset business. You pay both. THE ESTABLISHMENT CARD (AED 1,825/yr) WAS REMOVED FROM THIS LINE ON 2026-08-26. It exists to sponsor residence visas, so its driver is headcount, not regulation - it belongs with visas and office, where a flexi-desk runs AED 16,000-19,000 and an employment residence permit about AED 2,972 each. DMCC states charges are subject to change without notice and publishes no effective date. NO SCENARIO VARIATION: it is a published tariff, not an estimate.</t>
  </si>
  <si>
    <t>DMCC incorporation (one-off)</t>
  </si>
  <si>
    <t>DMCC published Schedule of Charges: application AED 1,015 + new company registration AED 9,000 + articles of association AED 2,020. One-off, Year 1.</t>
  </si>
  <si>
    <t>KYC and AML - per verification</t>
  </si>
  <si>
    <t>USD/check</t>
  </si>
  <si>
    <t>Sumsub published pricing (sumsub.com/pricing, retrieved 2026-08-26). COMPLIANCE TIER USD 1.85 IS THE RIGHT ONE, not the USD 1.35 Basic tier: Basic is sold for NON-REGULATED businesses and excludes AML screening, ongoing AML monitoring and proof-of-address, all three of which a VARA-licensed issuer needs. Aggressive carries 1.35 only to show what the cheaper tier would be worth. Sumsub charges for SUCCESSFUL verifications only.</t>
  </si>
  <si>
    <t>Paid-up capital - Category 1 VA Issuance</t>
  </si>
  <si>
    <t>VARA Virtual Asset Issuance Rulebook, ARVA Rules G.1 (retrieved 2026-08-26): Paid-Up Capital of at least THE HIGHER OF (a) AED 1,500,000 and (b) 2% of the 24-month average value of Reserve Assets, WHERE APPLICABLE. UNDER OPTION A (DIRECT OWNERSHIP) LIMB (b) DOES NOT APPLY, because Rule III.C.1 attaches Reserve Assets only to ARVAs which purport to maintain a stable value in respect of a Referenced Asset - and Aurumix's customers own specific allocated grams rather than a claim on a stabilised pool. There are no Reserve Assets to take 2% of. THE FLOOR IS NOT CONDITIONAL. Choosing Option A removes the ESCALATOR, not the AED 1,500,000. The rule reads at least the higher of, so with (b) inapplicable (a) governs. Flat in every scenario for that reason. LOCKED, NOT SPENT: balance sheet only, never the P&amp;L.</t>
  </si>
  <si>
    <t>Paid-up capital - licensed activities</t>
  </si>
  <si>
    <t>VARA Company Rulebook Part VI.B, per licensed VA Activity: Broker-Dealer without custody is the HIGHER of AED 600,000 or 25% of fixed annual overheads; Custody likewise. IT IS CUMULATIVE, NOT THE HIGHEST SINGLE TEST. Part VI.A requires the capital for EACH VA Activity for which the VASP is Licensed. Verified 2026-08-26. TRACKS THE ACTIVITY LADDER on the supervision-fee row: Aggressive 0 (issuance alone, distribution outsourced), Base 600,000 (Broker-Dealer), Conservative 1,200,000 (Broker-Dealer plus Custody). NOTHING TO DO WITH THE ARVA OPTION A / OPTION B CHOICE - this attaches to the LICENCE, not to the token design.</t>
  </si>
  <si>
    <t>Net liquid assets - months of opex</t>
  </si>
  <si>
    <t>x monthly opex</t>
  </si>
  <si>
    <t>VARA Company Rulebook Part VI.C: Net Liquid Assets at least 1.2 x monthly operating expenses. A CONTINUOUS LIQUIDITY TEST, not a one-off subscription, and it appears NOWHERE IN THE CORPUS - added 2026-08-26. NOT ADDITIVE TO PAID-UP CAPITAL: the same cash can satisfy both, so the two are shown side by side and never summed. It constrains the FORM the capital is held in, not the amount.</t>
  </si>
  <si>
    <t>Insurance - PI, D&amp;O and crime</t>
  </si>
  <si>
    <t>MANDATORY, and the rulebook names the policies. VARA Company Rulebook Part VI.D requires professional indemnity, directors' and officers', and COMMERCIAL CRIME COVER FOR VIRTUAL ASSETS IN HOT WALLETS, all held with a regulated insurer, in an amount 'adequate to the size and complexity of the business'. VARA sets no minimum sum and judges adequacy at licensing. Verified 2026-08-26. BENCHMARKED, NOT OBSERVED - no insurer publishes VASP rates. Base USD 45,000 builds from UAE broker rate guides: PI for a regulated financial firm at AED 10m limit runs AED 60,000-155,000/yr and D&amp;O at the same limit AED 55,000-145,000/yr; Base takes the BOTTOM of both ranges (about USD 31,300 combined) plus about USD 13,700 for crime cover. Aggressive assumes SME limits (PI AED 22,000, D&amp;O AED 14,000); Conservative takes the top of the regulated ranges. THE CRIME ELEMENT IS THE UNPRICED ONE and it is the hardest to place: S&amp;P reports hot and warm wallet crime capacity at roughly USD 75m per risk against USD 900m for cold specie, and a CFTC presentation calls hot-wallet cover 'extremely limited', layered in USD 1-5m blocks. Aurumix's hot-wallet exposure is operational treasury only, so a low limit should suffice - but the market is thin and the price is not published. THE PHYSICAL GOLD IS NOT INSURED HERE. Vault storage at 0.12% already includes insurance on the metal, so covering it again would double-count. FLAT ACROSS THE HORIZON, which is a simplification: PI and D&amp;O scale with turnover, so this should be re-quoted as the book grows. GET A BROKER QUOTE.</t>
  </si>
  <si>
    <t>Audit and reserve attestation</t>
  </si>
  <si>
    <t>TWO SEPARATE ENGAGEMENTS, both mandatory under VARA Issuance Rulebook Rule III.D (verified 2026-08-26): a SIX-MONTHLY independent audit, and an ANNUAL independent audit of financial statements. A named independent auditor must be appointed and notified to VARA, and Senior Management must submit an ATTESTATION to the accuracy of each audit. OPTION A NARROWS THE SIX-MONTHLY ONE. Rule III.D.2.a covers (a) the number and value of ARVAs in circulation and (b) the composition and value of Reserve Assets 'IF APPLICABLE'. Under direct ownership there are no Reserve Assets, so limb (b) drops out and the engagement audits token supply against gold held rather than a reserve pool. NARROWER SCOPE SHOULD PRICE LOWER than the brief assumes. THE ATTESTATION FEE IS GENUINELY UNPRICED. No issuer, auditor or regulator has ever published one. Paxos uses Withum and now KPMG, Tether uses BDO Italia, Circle uses Deloitte - all disclose scope, standard and frequency, none disclose fee. The only figure found anywhere is a secondary estimate of USD 2-12m/yr for LARGE issuers using Big Four, which is not this business. BASE USD 25,000 = about USD 5,400 for the statutory audit (UAE market guides put a regulated SME at AED 12,000-25,000/yr) plus about USD 20,000 for two six-monthly engagements at USD 10,000 each. THE SECOND HALF IS A PLACEHOLDER, NOT A QUOTE. Get one from Bureau Veritas or an equivalent.</t>
  </si>
  <si>
    <t>Technology audit and penetration testing</t>
  </si>
  <si>
    <t>MANDATORY AND RECURRING, not a one-off. VARA Technology and Information Rulebook, E. Testing and Audit, verbatim: VASPs 'must engage a qualified and independent third-party auditor to conduct vulnerability assessments and penetration testing' at least ANNUALLY 'and prior to the introduction of any new systems, applications and products'. Verified 2026-08-26. BENCHMARKED from published penetration-testing price guides: small financial firms run USD 5,000-15,000 per engagement, broader multi-asset engagements covering web, APIs and internal network USD 10,000-35,000. Base takes the top of the small-firm range. THE PER-LAUNCH TRIGGER IS NOT MODELLED. Every new system or product needs its own test, so a year with several launches costs more than this line shows. It is a step cost tied to the product roadmap, and the roadmap does not exist yet.</t>
  </si>
  <si>
    <t>Launch technology and smart contract audit (one-off)</t>
  </si>
  <si>
    <t>THE PRE-LAUNCH ENGAGEMENT the Technology Rulebook requires before any new system goes live, covering the token contract as well as the platform. BENCHMARKED, not quoted: published penetration-test ranges top out around USD 35,000 for a broad engagement, and smart-contract audit is a specialist skill that prices above general application testing, so Base sits at USD 40,000. THE BRIEF CARRIES USD 75,000 for a tier-1 smart contract audit. That figure is retained as the CONSERVATIVE case rather than the Base because its source was never recorded. GET A QUOTE - firms of this kind publish nothing.</t>
  </si>
  <si>
    <t>ICS discount - entry fee</t>
  </si>
  <si>
    <t>% of the fee</t>
  </si>
  <si>
    <t>AN AVERAGE ACROSS TIERS, deliberately, rather than a five-rung ladder. Client instruction 2026-08-26: model one blended discount on the qualifying population instead of splitting Silver / Gold / Platinum / Sovereign, because no tier DISTRIBUTION exists in this model - the ICS rows are binary, qualified or not - and inventing one would put a fabricated mix underneath every benefit number. SIP ONLY. Spot earns no ICS, so this reduces Stream 1a and never Stream 1b. WHAT AN AVERAGE HIDES: if the real ladder tops out near 75%, top-tier contributions are LOSS-MAKING on the inflow lane. At a 5% fee, Aurumix's own cost is 1.425% of the contribution (the fabrication premium on the 95% that buys metal), so the fee breaks even at a 71.5% DISCOUNT and goes negative above it. A 25% average is comfortably profitable; a 75% top rung is not. That may be a deliberate cross-subsidy from the card, but it should be a decision rather than a surprise - and this row cannot show it.</t>
  </si>
  <si>
    <t>ICS discount - card fees</t>
  </si>
  <si>
    <t>Blended discount on Stream 4 - FX margin, ATM allowance and the card issuance fee. The corpus ladder runs FX 2.0 / 1.5 / 1.0% by tier and an ATM allowance that rises with tier; this is the average effect of all of it, on the qualifying population. WAIVED REVENUE, not a cash cost.</t>
  </si>
  <si>
    <t>ICS discount - gold rebate</t>
  </si>
  <si>
    <t>% of card revenue</t>
  </si>
  <si>
    <t>Gold Rewards, as a share of ALL CARD REVENUE - interchange (Stream 2) plus cardholder fees (Stream 4). REBASED 2026-08-26 from interchange alone, which was too narrow on three counts. Interchange is the SMALLER HALF by a long way (USD 50k against USD 833k at Y7). Stream 2 is NET OF THE PARTNER'S ~55% SHARE, and sizing a customer's reward off the residual left after a partner split uses the wrong denominator - the customer generated the whole thing. And the corpus cap was never interchange-only: it reads 'capped at the interchange AND CREDIT REVENUE that customer generated, net of custody'. THE RATE FELL FROM 15% TO 5% BECAUSE THE BASE WIDENED 17.8x. The check that matters is the rebate as a share of CARD SPEND, against the corpus ladder of 0.15 / 0.45 / 0.75% by tier: 5% lands at 0.35% of spend, mid-ladder, against a corpus blended average of about 0.18%. 15% on this base would have been 1.05% of spend - ABOVE THE TOP RUNG. IT STILL CANNOT OVERRUN ITS FUNDING LINE, because it is expressed as a share of the very revenue that funds it.</t>
  </si>
  <si>
    <t>ICS discount - family wallet and will</t>
  </si>
  <si>
    <t>Blended discount on Stream 3, covering the Family Portfolio and Digital Will pricing and the per-beneficiary discount. The corpus ladder runs 0 / 10 / 20 / 35 / 50% by tier plus a per-beneficiary discount starting at Platinum; this is the average effect on the qualifying population.</t>
  </si>
  <si>
    <t>Agent commission - share of the entry fee</t>
  </si>
  <si>
    <t>CLIENT DECISION 2026-08-26: 10% of the entry fee, ONGOING - paid for as long as the customer keeps contributing, which is how agent commission normally works and what the corpus describes (high first-year commission plus renewal commission payable only while the policy stays in force). ON A 5% ENTRY FEE THIS IS 0.50% OF EVERY CONTRIBUTION. The client's own written figure was 15%, which the brief measured at 0.75pp against 0.85pp of Y1 gross margin - 88% of it. Conservative holds 15% so that number stays reachable. APPLIED TO THE AGENT-ACQUIRED SHARE OF THE BOOK, approximated as cumulative agent-driven acquisitions over cumulative acquisitions from all channels. THE MODEL DOES NOT COHORT CUSTOMERS BY CHANNEL, so this is an approximation: it assumes agent-acquired customers behave like everyone else on ticket and persistency. If agent-sold customers persist better - which the insurance precedent suggests - this UNDERSTATES the commission. NOT MODELLED: the three-tier upline override. Whether 10% is the total across all levels or the first-level rate is unresolved, and it is the difference between one commission and three.</t>
  </si>
  <si>
    <t>Referral reward - share of the referee's entry fee</t>
  </si>
  <si>
    <t>% of six contributions</t>
  </si>
  <si>
    <t>F17. 30% of the entry fee the referee pays over their SIX QUALIFYING CONTRIBUTIONS, credited in grams. On a USD 33.60 ticket at a 5% fee that is 6 x 33.60 x 5% = USD 10.08 of fee, so about USD 3.02 per successful referral. THE SELF-FUNDING CLAIM WAS WITHDRAWN, NOT REPAIRED. It was tested against a 2.15% gross margin that had not yet paid for the premium or the float. Against contribution-margin LTV on the inflow lane the reward is roughly 250% of it; against all-streams LTV it is comfortably affordable. The honest frame is CAC versus LTV, and which LTV you pick decides the answer. TIMING IS SIMPLIFIED: the reward is booked when the referral is acquired, but it is really paid at the REFEREE'S GATE - six contributions later, so no earlier than about month 19 given the channel itself opens at period 13. The annual totals barely move; the monthly cash profile does.</t>
  </si>
  <si>
    <t>Card programme - NymCard platform and scheme fees</t>
  </si>
  <si>
    <t>USD 2,500/MONTH. Client decision 2026-08-26. NymCard's standing charge for running the programme - platform, account management and the scheme assessments that come with it. BIN SPONSORSHIP WAS REMOVED FROM THIS LINE, and that is the client's correction rather than mine. The figure began at USD 120,000/yr on the assumption that a BANK would sponsor the BIN and a PROCESSOR would run the platform - two counterparties, two fees. NymCard is a CBUAE-licensed PRINCIPAL MEMBER OF BOTH VISA AND MASTERCARD, so it sponsors the BIN under its own membership and there is no bank charging separately for it. The bundle loses a component and the number falls with it. WHAT IS LEFT IS STILL REAL: no BaaS provider gives away the platform. Every one charges a standing monthly fee with a minimum, because it carries scheme and regulatory obligations on the programme manager's behalf. Taking this to zero would say the card costs nothing to run. BENCHMARKED, NOT QUOTED - NymCard publishes no pricing and neither does any comparable (Magnati, SimpliFi, Paymentology, EMX, Rain, all quote-only). ONE DEPENDENCY LEFT: BaaS providers price as a platform fee, as a SHARE OF INTERCHANGE, or both. The model already hands 60% of interchange to a programme-manager counterparty. If NymCard IS that counterparty and prices on interchange share, even this reduced line double counts and should go to zero. One question settles it: platform fee, interchange share, or both?</t>
  </si>
  <si>
    <t>Card programme - setup (one-off)</t>
  </si>
  <si>
    <t>Programme setup, integration and certification with the issuer-processor, booked in the month the card launches. BENCHMARKED - quote-only, same as the annual fee.</t>
  </si>
  <si>
    <t>Card programme - per card issued</t>
  </si>
  <si>
    <t>USD/card</t>
  </si>
  <si>
    <t>Card production, personalisation and delivery, on the NEWLY ISSUED flow rather than the active stock - it is a manufacturing cost, paid once per card. A blend of physical and virtual: virtual costs cents, physical with delivery runs several dollars. BENCHMARKED. IF THE PROGRAMME GOES VIRTUAL-FIRST this falls close to zero, which is a real product lever - the Aggressive case is roughly that.</t>
  </si>
  <si>
    <t>Card programme - per authorisation</t>
  </si>
  <si>
    <t>USD/auth</t>
  </si>
  <si>
    <t>Switching and authorisation cost per transaction, on the authorisation count the revenue build already carries as a memo. SMALL PER EVENT AND LARGE IN AGGREGATE - the model runs over 320,000 authorisations at Y7. BENCHMARKED.</t>
  </si>
  <si>
    <t>Card programme - fraud and chargebacks</t>
  </si>
  <si>
    <t>Fraud losses plus chargeback and dispute handling, as a share of card spend. 8 basis points is a well-controlled programme; poorly controlled ones run several times that, which is why Conservative is 25 bps. BENCHMARKED. NOT THE SAME RISK AS THE HOT-WALLET CRIME COVER in the insurance line: that protects Aurumix's own tokens, this is loss on customer card transactions. Different exposure, different counterparty, no overlap.</t>
  </si>
  <si>
    <t>Cross-border scheme assessment</t>
  </si>
  <si>
    <t>% of cross-border spend</t>
  </si>
  <si>
    <t>CHARGED TO THE ISSUER by the card scheme whenever the merchant country differs from the issuer country. PUBLISHED RATES: Visa International Service Assessment is 1.00% single-currency (ISA Base) and 1.40% multi-currency (ISA Enhanced); Mastercard splits it as a 0.90% Issuer Cross-Border Assessment plus a 0.20% Currency Conversion Assessment, so 1.10% multi-currency. Retrieved 2026-08-26. BASE TAKES 1.40% because most of Aurumix's cross-border spend IS multi-currency - Indian customers spending rupees and Gulf customers spending rials on a UAE-issued card both convert. Aggressive takes the single-currency rate. IT IS BIGGER THAN AURUMIX'S INTERCHANGE SHARE. At 1.80% interchange and a 40% retained share Aurumix earns 0.72% of spend; the scheme charges up to 1.40% on the cross-border half. What covers the gap is the FX MARGIN charged to the customer (stream 4), which means the FX line is mostly COST RECOVERY rather than margin - and the ICS ladder cuts it to 1.0% at Sovereign, where it barely covers the assessment at all.</t>
  </si>
  <si>
    <t>UAE cardholders - share of spend abroad or online-foreign</t>
  </si>
  <si>
    <t>% of UAE spend</t>
  </si>
  <si>
    <t>THE ONLY ASSUMPTION IN THE CROSS-BORDER CALCULATION. Everything else is derived: Oman, Bahrain and India customers hold a UAE-ISSUED card, so EVERY transaction they make is cross-border by definition - merchant country differs from issuer country. That alone is 59% of card spend at Y7. This parameter adds the UAE residents' own travel and foreign online spend on top, taking the total to about 63%. ASSUMPTION. It moves the cross-border share by only a few points, so it is not load-bearing - the structure is.</t>
  </si>
  <si>
    <t>Card settlement prefunding - days of spend</t>
  </si>
  <si>
    <t>WORKING CAPITAL, NOT A COST. The issuer-processor requires a prefunded settlement account so card transactions can settle before customer funds arrive - the JIT funding mechanism in the credit draft's section 5. NO PUBLIC SCHEDULE EXISTS. Prefunding is contractual between programme manager, processor and sponsor, never scheme-mandated, and it is not published by anyone. The common industry pattern is 1-3 days of expected transaction volume held in a segregated account, sometimes with a rolling reserve on top for higher-risk programmes. BENCHMARKED - take it to NymCard with everything else.</t>
  </si>
  <si>
    <t>Card settlement prefunding - minimum balance</t>
  </si>
  <si>
    <t>A CONTRACTUAL FLOOR, and on this book IT BINDS THROUGHOUT - two days of Y7 card spend is only about USD 43,000, well under the minimum. So the prefunding requirement is effectively a fixed sum from card launch, which makes it a FOURTH minimum-commitment structure alongside the vault, the KYC platform and the card programme fee. Industry sources put minimums for small programmes in the low-to-mid six figures; nothing is published. BENCHMARKED.</t>
  </si>
  <si>
    <t>Technology - build, Year 1</t>
  </si>
  <si>
    <t>CLIENT INSTRUCTION 2026-08-26: BUILD IN Y1-Y2, MAINTENANCE FROM Y3. The heavy year. Covers the mobile app, backend ledger, wallet infrastructure, the token contract, and integration with everything the product depends on - NymCard for the card, the KYC vendor, the payment rail, the custody and trust layer. IT IS NOT THE WHOLE BUILD. The client's own app was due early September 2026, before this model's horizon opens, so some of the consumer front end is already paid for outside these figures. What sits here is the regulated-product layer built on top of it. THE SMART CONTRACT AUDIT IS NOT IN HERE - it sits in the Year 1 one-off line with the launch technology audit, so the two must not be double counted. BENCHMARKED. No comparable publishes a build budget.</t>
  </si>
  <si>
    <t>Technology - build, Year 2</t>
  </si>
  <si>
    <t>The tail of the build. Y2 is when the CARD AND CREDIT LAYER lands - both streams activate at period 13 - so this is not merely finishing Y1's work, it is a second product going live. BENCHMARKED.</t>
  </si>
  <si>
    <t>Technology - annual maintenance from Y3</t>
  </si>
  <si>
    <t>Hosting, third-party licences, security patching and ongoing engineering once the build settles. Runs from Y3 onward at the client's instruction. FLAT, WHICH IS A SIMPLIFICATION AND UNDERSTATES THE BACK YEARS. The book goes from about 4,000 paying customers at Y3 to over 70,000 at Y7; the brief's own technology block grows roughly five-fold across a comparable span. A flat line is the simple version, not the accurate one - revisit it if the Y6-Y7 numbers start carrying weight. ON-CHAIN MINTING COST IS NOT IN HERE, AND IT IS A CHAIN DECISION WORTH SIX FIGURES. Every monthly SIP contribution is a mint - about 855,000 events a year at Y7. On an L2 that is roughly USD 8,500/yr and immaterial; on Ethereum mainnet at USD 2 a transaction it is about USD 1.7m/yr, which would be one of the largest costs in the business. NOBODY HAS RECORDED WHICH CHAIN AURUMIX ISSUES ON. Until that is settled the cost cannot be modelled, and it is left out rather than guessed - but it must not be read as zero.</t>
  </si>
  <si>
    <t>Contingency on total costs</t>
  </si>
  <si>
    <t>% of costs</t>
  </si>
  <si>
    <t>CLIENT INSTRUCTION 2026-08-26: 15% on top of everything modelled, to stand in for the cost families not yet built. IT IS A PLACEHOLDER, NOT COVERAGE, AND THE ARITHMETIC SAYS SO. What is still missing is HEADCOUNT, technology's on-chain minting cost, legal and trust, security, corporate, and tax. Headcount alone is anchored in the brief at about USD 588,000 in Year 1 - roughly 78% of the entire Year 1 cost base as currently built - against which 15% is about USD 112,000. THE CONTINGENCY COVERS A FIFTH OF ONE MISSING BLOCK, and there are five others. READ EVERY PROFIT FIGURE IN THIS MODEL AS AN UPPER BOUND until headcount lands. It is not a forecast, it is revenue less the costs that happen to have been built so far.</t>
  </si>
  <si>
    <t>KYC and AML - monthly minimum</t>
  </si>
  <si>
    <t>Sumsub published minimum monthly commitment for the Compliance tier, same source. THE SECOND OF THREE MINIMUM-COMMITMENT STRUCTURES in this cost base - the vault minimum is the first, the card programme minimums are the third. It binds below about 162 verifications a month, which on this book is most of the first two years.</t>
  </si>
  <si>
    <t>Prepaid instead of credit</t>
  </si>
  <si>
    <t>1/0 switch</t>
  </si>
  <si>
    <t>ON (Prepaid) caps interchange at 1.00% and removes the credit stream entirely. 'NOT A PRODUCT CHOICE, IT IS THE BUSINESS MODEL.' Worth ~USD 2.3m of Y10 revenue on the ten-year run.</t>
  </si>
  <si>
    <t>Holders keep the card</t>
  </si>
  <si>
    <t>NOBODY HAS DECIDED THIS. It determines whether the card streams - the majority of revenue - decay with churn or are immune to it. Worth a 42% swing in terminal revenue. Default ON because nothing in the design revokes the card; report both.</t>
  </si>
  <si>
    <t>Fabrication premium borne by</t>
  </si>
  <si>
    <t>DEFAULT AURUMIX, which REVERSES the 2026-08-21 client decision and does so deliberately. That review put the premium on the customer - grams delivered short by (1+premium), stream 1 keeping the full headline fee - which is standard for gold products where the quoted price includes the dealer spread. The model now shows procurement as a COST instead, because a cost the client can see is the point of the cost build, and because charging the customer for it is better presented as UPSIDE than baked into the base case. Switching back to Customer restores the 2026-08-21 treatment exactly: grams fall 1.50%, the COGS line goes to zero, and gross profit rises by the same amount. THE TWO SETTINGS ARE MUTUALLY EXCLUSIVE BY CONSTRUCTION, which is what stops the double-count fixed at 29f98e0 returning.</t>
  </si>
  <si>
    <t>Premium charged on gross inflow</t>
  </si>
  <si>
    <t>D30: the premium is paid on NET NEW grams. Gold returned by redemption is already a fabricated bar sitting in the float, and a bar that exists does not need making twice. Switching to Gross charges every gram, which is correct ONLY if redeemed metal is sold back to the dealer rather than recycled. GATED ON CORRECTION 30, WHICH IS UNDESIGNED - nobody has written down which way redeemed gold goes. Worth USD 165,755 of retained margin over the horizon, so the undesigned question has a price.</t>
  </si>
  <si>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</si>
  <si>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Scenario Parameters</t>
  </si>
  <si>
    <t>SCENARIO SELECTOR</t>
  </si>
  <si>
    <t>Select Scenario:</t>
  </si>
  <si>
    <t>Base</t>
  </si>
  <si>
    <t>&lt;- index</t>
  </si>
  <si>
    <t>One switch, three columns. Every parameter below resolves through it.</t>
  </si>
  <si>
    <t>GROUP A0: THE METAL</t>
  </si>
  <si>
    <t>Active Value</t>
  </si>
  <si>
    <t>Aggressive</t>
  </si>
  <si>
    <t>Conservative</t>
  </si>
  <si>
    <t>GROUP A: CUSTOMERS AND CHURN</t>
  </si>
  <si>
    <t>GROUP B: ICS BENEFIT ENTITLEMENT - no longer gates ACCESS, only BENEFITS</t>
  </si>
  <si>
    <t>GROUP C: AUM, LEAKAGE AND SPOT</t>
  </si>
  <si>
    <t>GROUP D: CARD</t>
  </si>
  <si>
    <t>GROUP E: CREDIT, B2B AND FAMILY</t>
  </si>
  <si>
    <t>GROUP F: REGIONS</t>
  </si>
  <si>
    <t>STRUCTURAL SWITCHES - the two that move revenue</t>
  </si>
  <si>
    <t>Switch</t>
  </si>
  <si>
    <t>Active (1/0)</t>
  </si>
  <si>
    <t>State</t>
  </si>
  <si>
    <t>ON value</t>
  </si>
  <si>
    <t>GROUP G: THE COST BASE</t>
  </si>
  <si>
    <t>Credit</t>
  </si>
  <si>
    <t>Prepaid</t>
  </si>
  <si>
    <t>ON</t>
  </si>
  <si>
    <t>Aurumix</t>
  </si>
  <si>
    <t>Net new</t>
  </si>
  <si>
    <t>Gross</t>
  </si>
  <si>
    <t>Period #</t>
  </si>
  <si>
    <t>1..29</t>
  </si>
  <si>
    <t>Period</t>
  </si>
  <si>
    <t>M1</t>
  </si>
  <si>
    <t>M2</t>
  </si>
  <si>
    <t>M3</t>
  </si>
  <si>
    <t>M4</t>
  </si>
  <si>
    <t>M5</t>
  </si>
  <si>
    <t>M6</t>
  </si>
  <si>
    <t>M7</t>
  </si>
  <si>
    <t>M8</t>
  </si>
  <si>
    <t>M9</t>
  </si>
  <si>
    <t>M10</t>
  </si>
  <si>
    <t>M11</t>
  </si>
  <si>
    <t>M12</t>
  </si>
  <si>
    <t>M13</t>
  </si>
  <si>
    <t>M14</t>
  </si>
  <si>
    <t>M15</t>
  </si>
  <si>
    <t>M16</t>
  </si>
  <si>
    <t>M17</t>
  </si>
  <si>
    <t>M18</t>
  </si>
  <si>
    <t>M19</t>
  </si>
  <si>
    <t>M20</t>
  </si>
  <si>
    <t>M21</t>
  </si>
  <si>
    <t>M22</t>
  </si>
  <si>
    <t>M23</t>
  </si>
  <si>
    <t>M24</t>
  </si>
  <si>
    <t>Y3</t>
  </si>
  <si>
    <t>Y4</t>
  </si>
  <si>
    <t>Y5</t>
  </si>
  <si>
    <t>Y6</t>
  </si>
  <si>
    <t>Y7</t>
  </si>
  <si>
    <t>Period type</t>
  </si>
  <si>
    <t>Monthly</t>
  </si>
  <si>
    <t>Annual</t>
  </si>
  <si>
    <t>Model year</t>
  </si>
  <si>
    <t>1..7</t>
  </si>
  <si>
    <t>Calendar month</t>
  </si>
  <si>
    <t>0 = annual</t>
  </si>
  <si>
    <t>Months in period</t>
  </si>
  <si>
    <t>Financial-year end</t>
  </si>
  <si>
    <t>1/0</t>
  </si>
  <si>
    <t>SEASONALITY - normalised to EXACTLY 12.000 by construction</t>
  </si>
  <si>
    <t>Acquisition seasonality - normalised</t>
  </si>
  <si>
    <t>Jan..Dec</t>
  </si>
  <si>
    <t>Card spend seasonality - normalised</t>
  </si>
  <si>
    <t>Foreign-spend share - rescaled to the mean</t>
  </si>
  <si>
    <t>Seasonality sum check (must be exactly 12.000)</t>
  </si>
  <si>
    <t>acq | spend</t>
  </si>
  <si>
    <t>Acquisition seasonality applied</t>
  </si>
  <si>
    <t>multiplier</t>
  </si>
  <si>
    <t>Card spend seasonality applied</t>
  </si>
  <si>
    <t>Foreign-spend share applied</t>
  </si>
  <si>
    <t>ACQUISITION - all channels, then split across regions</t>
  </si>
  <si>
    <t>Gold price (this period)</t>
  </si>
  <si>
    <t>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</si>
  <si>
    <t>REVENUE - the customer engine and the six streams, by region</t>
  </si>
  <si>
    <t>REGION: UAE</t>
  </si>
  <si>
    <t xml:space="preserve">  Marketing CAC this period (ramping Y1 to Y7)</t>
  </si>
  <si>
    <t>USD/customer</t>
  </si>
  <si>
    <t xml:space="preserve">  Direct-driven (this market's budget at its own CAC)</t>
  </si>
  <si>
    <t xml:space="preserve">  Referral-driven (from this market's own base)</t>
  </si>
  <si>
    <t xml:space="preserve">  Agent-driven (this market's own agents)</t>
  </si>
  <si>
    <t xml:space="preserve">  Raw demand</t>
  </si>
  <si>
    <t xml:space="preserve">  Saturation (this region's own headroom)</t>
  </si>
  <si>
    <t>x</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</si>
  <si>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</si>
  <si>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</si>
  <si>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</si>
  <si>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</si>
  <si>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</si>
  <si>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</si>
  <si>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</si>
  <si>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</si>
  <si>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</si>
  <si>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%/period</t>
  </si>
  <si>
    <t xml:space="preserve">  Redemption-only decay rate (metal actually leaving)</t>
  </si>
  <si>
    <t xml:space="preserve">  Grams held (collateral-eligible)</t>
  </si>
  <si>
    <t xml:space="preserve">  Grams under custody (vaulted, incl. self-custodied)</t>
  </si>
  <si>
    <t xml:space="preserve">  AUM</t>
  </si>
  <si>
    <t xml:space="preserve">  Card-eligible base</t>
  </si>
  <si>
    <t xml:space="preserve">  Reaches an ICS benefit tier (memo - drives discounts, not access)</t>
  </si>
  <si>
    <t xml:space="preserve">  Active cards</t>
  </si>
  <si>
    <t>cards</t>
  </si>
  <si>
    <t xml:space="preserve">  ...of which have a live credit line (now all of them)</t>
  </si>
  <si>
    <t xml:space="preserve">  ...newly issued this period (flow, drives the issuance fee)</t>
  </si>
  <si>
    <t xml:space="preserve">  Credit limit per customer (gold x LTV)</t>
  </si>
  <si>
    <t xml:space="preserve">  Annual drawdown per card (limit x drawn x draws)</t>
  </si>
  <si>
    <t xml:space="preserve">  Card spend per card per month</t>
  </si>
  <si>
    <t xml:space="preserve">  Card spend</t>
  </si>
  <si>
    <t xml:space="preserve">  Average transaction size (derived)</t>
  </si>
  <si>
    <t xml:space="preserve">  Card authorisations (memo - drives cost, not revenue)</t>
  </si>
  <si>
    <t>auths</t>
  </si>
  <si>
    <t xml:space="preserve">  Stream 1a - Entry fee, SIP</t>
  </si>
  <si>
    <t xml:space="preserve">  Stream 1b - Entry fee, SPOT</t>
  </si>
  <si>
    <t xml:space="preserve">  Stream 2 - Card interchange</t>
  </si>
  <si>
    <t xml:space="preserve">  Family plan subscribers</t>
  </si>
  <si>
    <t>subscribers</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</si>
  <si>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</si>
  <si>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</si>
  <si>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</si>
  <si>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</si>
  <si>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</si>
  <si>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events</t>
  </si>
  <si>
    <t xml:space="preserve">  SUBTOTAL - UAE</t>
  </si>
  <si>
    <t>REGION: OMAN AND BAHRAIN</t>
  </si>
  <si>
    <t xml:space="preserve">  SUBTOTAL - Oman and Bahrain</t>
  </si>
  <si>
    <t>REGION: INDIA</t>
  </si>
  <si>
    <t xml:space="preserve">  SUBTOTAL - India</t>
  </si>
  <si>
    <t>NON-REGIONAL</t>
  </si>
  <si>
    <t xml:space="preserve">  Partner AUM</t>
  </si>
  <si>
    <t>Stream 6 is NOT regional: partners are institutions with their own customer books, not retail customers of a region. It is reported separately rather than allocated, because any allocation would be invented.</t>
  </si>
  <si>
    <t>WHOLE-BOOK TOTALS</t>
  </si>
  <si>
    <t>PAYING CUSTOMERS</t>
  </si>
  <si>
    <t>HOLDERS (stopped paying, still hold gold)</t>
  </si>
  <si>
    <t>Cumulative ever acquired</t>
  </si>
  <si>
    <t>NEW CUSTOMERS</t>
  </si>
  <si>
    <t>ACTIVE CARDS</t>
  </si>
  <si>
    <t>GRAMS HELD</t>
  </si>
  <si>
    <t>GRAMS UNDER CUSTODY</t>
  </si>
  <si>
    <t>Grams purchased</t>
  </si>
  <si>
    <t>COLLATERAL-ELIGIBLE AUM</t>
  </si>
  <si>
    <t>Reaches an ICS benefit tier (memo - drives discounts, not access)</t>
  </si>
  <si>
    <t>SIP contributions</t>
  </si>
  <si>
    <t>Spot purchase volume</t>
  </si>
  <si>
    <t>Card spend</t>
  </si>
  <si>
    <t>GOLD UNDER CUSTODY (comparable headline)</t>
  </si>
  <si>
    <t>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COMPARE IN GRAMS, NOT DOLLARS: every published USD figure carries the gold price of its own vintage, so a comparison in dollars is really a comparison of gold prices. Comtech Gold, the closest comparable - Dubai, DMCC-licensed, tokenised gold - holds ~141,000 g.</t>
  </si>
  <si>
    <t xml:space="preserve">  Gold under custody at the CONSTANT M1 price (memo)</t>
  </si>
  <si>
    <t xml:space="preserve">  of which is the metal moving, not the business</t>
  </si>
  <si>
    <t>THE HONEST SERIES FOR JUDGING EXECUTION is the constant-price row: it strips the gold price out and leaves grams accumulated, which is the part Aurumix controls. The headline above will grow even if the business does not. SET GOLD APPRECIATION TO THE CONSERVATIVE SCENARIO (0.0%) TO RECOVER THE ORIGINAL FLAT-PRICE MODEL, under which these two rows are identical by construction.</t>
  </si>
  <si>
    <t>CHECK: paying + holders = cumulative ever acquired</t>
  </si>
  <si>
    <t>delta</t>
  </si>
  <si>
    <t>CHECK: custody &gt;= collateral-eligible (must be &gt;= 0)</t>
  </si>
  <si>
    <t xml:space="preserve">  Collateral-eligible AUM per paying customer (memo)</t>
  </si>
  <si>
    <t xml:space="preserve">  Total credit capacity across cardholders (memo)</t>
  </si>
  <si>
    <t xml:space="preserve">  CHECK: card spend vs credit capacity (must be &lt;= 1.00)</t>
  </si>
  <si>
    <t>SERVICING LOAD - reported, not capped</t>
  </si>
  <si>
    <t xml:space="preserve">  Paying customers per agent - UAE</t>
  </si>
  <si>
    <t>customers</t>
  </si>
  <si>
    <t xml:space="preserve">  Paying customers per agent - Oman and Bahrain</t>
  </si>
  <si>
    <t xml:space="preserve">  Paying customers per agent - India</t>
  </si>
  <si>
    <t>Blank where a region has no agents, which is UAE and Oman &amp; Bahrain by design. Compare against 345-550 (microfinance loan officer, heavy weekly servicing) and ~2,335 (Bank Mitra, on-demand servicing). Aurumix's servicing is lighter than either, so a high number here is not automatically wrong - but it should be a decision rather than an accident.</t>
  </si>
  <si>
    <t>Redemption events (memo - drives cost, not revenue)</t>
  </si>
  <si>
    <t>Card authorisations (memo - drives cost, not revenue)</t>
  </si>
  <si>
    <t>TOTAL NET REVENUE</t>
  </si>
  <si>
    <t>Net revenue per paying customer (annualised)</t>
  </si>
  <si>
    <t>CHECK: regional subtotals + B2B = sum of streams</t>
  </si>
  <si>
    <t>WORKING CAPITAL - the float. NOT A COST: money tied up, not money spent</t>
  </si>
  <si>
    <t>THE FLOAT - Aurumix's own gold, held before any customer owns it</t>
  </si>
  <si>
    <t xml:space="preserve">  Daily demand</t>
  </si>
  <si>
    <t>grams/day</t>
  </si>
  <si>
    <t xml:space="preserve">  FLOAT REQUIRED</t>
  </si>
  <si>
    <t>MAX(two bars, one bar + N days of demand). TWO BARS IS THE FLOOR because you need one bar to sell from and one behind it - hold only one and you drop below a full bar the moment you sell, with customers already paid for gold you cannot deliver. That half is a SETTLED RULE from the design docs. THE N-DAY BUFFER IS THE ASSUMPTION, and it sizes REPLENISHMENT - how long to get metal back into the vault, not how long demand takes to empty the shelf. The floor binds until demand reaches 10 grams a day, around month six, so THE LAUNCH FIGURE DOES NOT DEPEND ON THE BUFFER AT ALL.</t>
  </si>
  <si>
    <t xml:space="preserve">  ...in bars</t>
  </si>
  <si>
    <t>bars</t>
  </si>
  <si>
    <t>FLOAT REQUIRED (standing balance)</t>
  </si>
  <si>
    <t>AT SPOT PLUS THE PREMIUM, because the float is bought from the dealer like any other metal. This is a BALANCE, not a flow - it is what is sitting on the shelf at that date, not what was spent that period.</t>
  </si>
  <si>
    <t xml:space="preserve">  Cash needed this period (new grams only)</t>
  </si>
  <si>
    <t>NOT the change in the balance above. The balance also moves when gold reprices, and metal already on the shelf needs no new money to revalue - only EXTRA GRAMS have to be funded. M1 carries the whole 200 g because that is the launch purchase.</t>
  </si>
  <si>
    <t>CUMULATIVE CASH INVESTED IN THE FLOAT</t>
  </si>
  <si>
    <t>CARD SETTLEMENT PREFUNDING (working capital, not a cost)</t>
  </si>
  <si>
    <t>CASH ON DEPOSIT WITH THE PROCESSOR so card transactions settle before customer funds arrive - the JIT funding mechanism. LIKE THE FLOAT, IT IS MONEY TIED UP RATHER THAN SPENT, and it comes back if the programme winds down. It is NOT in any cost total. THE FLOOR BINDS THROUGHOUT: two days of Y7 card spend is about USD 43,000 against a USD 100,000 minimum, so this is effectively a fixed sum from card launch - a FOURTH minimum-commitment structure. No public schedule exists for prefunding; it is contractual with the processor.</t>
  </si>
  <si>
    <t>CHECK: float never falls below two bars (must be &gt;= 0)</t>
  </si>
  <si>
    <t>COST BASE - every row below this line is money going OUT</t>
  </si>
  <si>
    <t>COST OF GOODS SOLD - inside the gold trade, charged against stream 1</t>
  </si>
  <si>
    <t xml:space="preserve">  Grams returned by redemption (recycled into the float)</t>
  </si>
  <si>
    <t>THE METAL NEVER PHYSICALLY LEAVES. This product has no physical redemption - exit is a cash buyback - so a redeeming customer's gold stops being theirs and becomes Aurumix's own float, already vaulted and already in bar form. That is the whole reason D30 charges the premium on net new grams.</t>
  </si>
  <si>
    <t xml:space="preserve">  Net new grams - the metal that must actually be made</t>
  </si>
  <si>
    <t>COGS - Fabrication premium paid to the dealer</t>
  </si>
  <si>
    <t>WHAT IS NOT IN THIS LINE, ON PURPOSE. Aurumix charges every customer for the premium but pays it only on metal it actually has fabricated, so the premium on RECYCLED grams is margin it keeps - roughly USD 166k over the horizon at the modelled redemption rates. That is real and it is deliberately left out of the model: it is a consequence of owning the float, it is the client's to take or leave, and it belongs in the conversation as upside rather than in the base case as revenue.</t>
  </si>
  <si>
    <t>TOTAL COST OF GOODS SOLD</t>
  </si>
  <si>
    <t>OPERATING EXPENSES - the cost of running the business, not of buying the metal</t>
  </si>
  <si>
    <t xml:space="preserve">  Metal in the vault (customer gold + Aurumix's own float)</t>
  </si>
  <si>
    <t>OPEX - Vault storage</t>
  </si>
  <si>
    <t>MAX(the vault's minimum, the percentage rate on metal held). THIS IS WHAT AURUMIX PAYS THE VAULT. It is NOT a fee charged to customers - decision 42 makes retail storage free forever, and every comparator does the same: Paxos states it 'does not charge gold storage fees to its customers at this time' and Kinesis charges 0%, funding it from a share of transaction fees. THE CLIENT'S ASSUMED 0.8-1.0% CUSTODY FEE IS BOTH UNCOMPETITIVE AND ROUGHLY 7x THE REAL COST.</t>
  </si>
  <si>
    <t xml:space="preserve">  ...as % of metal held per year (memo - watch the minimum bite)</t>
  </si>
  <si>
    <t>OPEX - VARA annual supervision</t>
  </si>
  <si>
    <t>PER LICENSED ACTIVITY, and the activity set is unconfirmed - see the Scenario note. Payable IN ADVANCE of conducting the activity, so Year 1 carries it before a single customer arrives.</t>
  </si>
  <si>
    <t>OPEX - DMCC company licence</t>
  </si>
  <si>
    <t>OPEX - KYC and AML verification</t>
  </si>
  <si>
    <t>MAX(the monthly minimum, per-verification cost x new customers). Charged on SUCCESSFUL verifications only. The minimum binds below about 162 verifications a month, which is most of the first two years.</t>
  </si>
  <si>
    <t>OPEX - One-off Year 1 (licence application, incorporation, launch audit)</t>
  </si>
  <si>
    <t>M1 ONLY: the VARA licence application, DMCC incorporation, and the pre-launch technology and smart contract audit. The VARA fee is spent at submission whether or not the licence is granted - the application is not processed until it is paid.</t>
  </si>
  <si>
    <t>OPEX - Insurance (PI, D&amp;O, crime)</t>
  </si>
  <si>
    <t>MANDATORY under Company Rulebook VI.D, which names professional indemnity, directors' and officers', and CRIME COVER FOR VIRTUAL ASSETS IN HOT WALLETS. No minimum sum is prescribed - VARA judges adequacy at licensing. THE METAL IS NOT COVERED HERE: vault storage already includes insurance on the gold.</t>
  </si>
  <si>
    <t>OPEX - Audit and reserve attestation</t>
  </si>
  <si>
    <t>A SIX-MONTHLY independent audit plus an ANNUAL financial-statement audit, both mandatory under Issuance Rulebook III.D, each followed by a Senior Management attestation to VARA. UNDER OPTION A the six-monthly engagement audits TOKEN SUPPLY, not a reserve pool - limb (b) of III.D.2.a applies only 'if applicable' and direct ownership has no Reserve Assets. THE FEE IS UNPRICED BY EVERY ISSUER, AUDITOR AND REGULATOR CHECKED - this is a placeholder.</t>
  </si>
  <si>
    <t>OPEX - Technology audit and penetration testing</t>
  </si>
  <si>
    <t>ANNUAL AND RECURRING, not a launch one-off - Technology Rulebook E requires an independent third-party vulnerability assessment and penetration test at least annually AND before any new system, application or product goes live. THE PER-LAUNCH TRIGGER IS NOT MODELLED: it is a step cost tied to a product roadmap that does not exist yet, so a year with several launches costs more than this shows.</t>
  </si>
  <si>
    <t>OPEX - Redemption handling (no fee may be charged)</t>
  </si>
  <si>
    <t>USD 3.20 per event: Sumsub AML RE-SCREENING at 1.85 plus operational handling at about 1.35. The outbound bank transfer fee was removed - that is the customer's to bear. NOT A DOUBLE COUNT WITH THE KYC LINE: that one charges new customers at onboarding, this one charges a different event. THE ASYMMETRY IS REGULATORY, NOT A CHOICE: Aurumix may pass through the cost of taking money IN (the rail, D31) but is forbidden from passing through the cost of paying it OUT. Immaterial at Base rates; it becomes material exactly in a redemption spike, which is when cash is scarcest.</t>
  </si>
  <si>
    <t>OPEX - Technology build (Y1-Y2)</t>
  </si>
  <si>
    <t>THE APP, LEDGER, WALLET, TOKEN CONTRACT AND EVERY INTEGRATION - card, KYC, payment rail, custody. Y2 carries the card and credit layer, which activates at period 13, so it is a second product going live rather than a tidy-up. THE SMART CONTRACT AUDIT IS IN THE YEAR 1 ONE-OFF LINE, not here.</t>
  </si>
  <si>
    <t>OPEX - Technology maintenance (Y3 onward)</t>
  </si>
  <si>
    <t>FLAT FROM Y3, WHICH UNDERSTATES THE BACK YEARS - the book grows from about 4,000 paying customers to over 70,000 across that span while this line does not move. ON-CHAIN MINTING IS NOT IN HERE AND IS NOT ZERO: about 855,000 mint events a year at Y7. On an L2 that is roughly USD 8,500/yr; on Ethereum mainnet it is about USD 1.7m/yr. NOBODY HAS RECORDED WHICH CHAIN AURUMIX ISSUES ON, so it is left out rather than guessed.</t>
  </si>
  <si>
    <t>TOTAL OPERATING EXPENSES</t>
  </si>
  <si>
    <t>ICS BENEFIT COSTS - discounts given away, out of streams that already exist</t>
  </si>
  <si>
    <t xml:space="preserve">  Qualifying share of the book (memo - ramps to 55%)</t>
  </si>
  <si>
    <t>% of accounts</t>
  </si>
  <si>
    <t>BENEFIT - Entry fee discount (SIP only)</t>
  </si>
  <si>
    <t>STREAM 1a ONLY. Spot earns no ICS, so Stream 1b carries no discount and must never be added here. A BLENDED RATE, not a tier ladder: the model has no tier distribution, and inventing one would put a fabricated mix under every benefit figure.</t>
  </si>
  <si>
    <t>BENEFIT - Card fee discounts (FX, ATM, issuance)</t>
  </si>
  <si>
    <t>BENEFIT - Gold rebate</t>
  </si>
  <si>
    <t>A SHARE OF ALL CARD REVENUE - interchange PLUS cardholder fees - which keeps the rebate inside its own funding line by construction. Interchange alone was the wrong base: it is the smaller half, and it is already net of the partner's ~55% share, so it measures what is LEFT rather than what the customer GENERATED. Sanity-check the rate against card spend, not against this line: 5% here is 0.35% of spend, against a corpus ladder of 0.15 / 0.45 / 0.75% by tier.</t>
  </si>
  <si>
    <t xml:space="preserve">  ...as % of card spend (memo - check against the 0.15/0.45/0.75 ladder)</t>
  </si>
  <si>
    <t>BENEFIT - Family wallet and will discount</t>
  </si>
  <si>
    <t>TOTAL ICS BENEFIT COSTS</t>
  </si>
  <si>
    <t>CONTRA-REVENUE, NOT CASH. Every line here is revenue given away rather than money paid out, and the streams above are reported GROSS so the giveaway stays visible. Netting them into the streams would hide the single largest lever the client controls on the benefit ladder.</t>
  </si>
  <si>
    <t>ACQUISITION COSTS - what it costs to put a customer on the book</t>
  </si>
  <si>
    <t>ACQ - Marketing spend</t>
  </si>
  <si>
    <t>A DECISION VARIABLE, not an output. It is the input that drives the direct channel, so it is booked here ONCE and never in opex. THE REVENUE-ONLY MODEL FLATTERED THIS BADLY: raising the budget 50% on 2026-08-21 appeared as +28.5% customers with no offsetting entry anywhere. This row is that offsetting entry.</t>
  </si>
  <si>
    <t xml:space="preserve">  Agent-driven acquisitions this period</t>
  </si>
  <si>
    <t xml:space="preserve">  Cumulative agent-driven acquisitions</t>
  </si>
  <si>
    <t xml:space="preserve">  Agent-acquired share of the book (memo)</t>
  </si>
  <si>
    <t>ACQ - Agent commission</t>
  </si>
  <si>
    <t>10% of the entry fee, ONGOING - renewal commission for as long as the customer keeps paying, not a one-off at acquisition. Applied to the agent-acquired SHARE of entry-fee revenue, approximated from cumulative acquisitions by channel because the model does not cohort customers by channel. THE UPLINE OVERRIDE IS NOT MODELLED: the network is three tiers, and whether 10% is the total across all levels or just the first is unresolved - the difference is one commission or three.</t>
  </si>
  <si>
    <t xml:space="preserve">  Referral-driven acquisitions this period</t>
  </si>
  <si>
    <t>ACQ - Referral rewards</t>
  </si>
  <si>
    <t>30% of the entry fee the referee pays over SIX qualifying contributions, credited in grams. Priced per region because tickets differ and the reward is a share of the referee's own fee. BOOKED AT ACQUISITION, PAID AT THE GATE: the real payment lands six contributions later, so no earlier than about month 19. Annual totals barely move; the monthly cash profile does.</t>
  </si>
  <si>
    <t>TOTAL ACQUISITION COSTS</t>
  </si>
  <si>
    <t xml:space="preserve">  Blended cost per new customer (memo)</t>
  </si>
  <si>
    <t>TOTAL acquisition cost over ALL new customers, including the organic ones nobody paid for. It is therefore BELOW the paid CAC by construction, and it is the number that matters for unit economics - the marketing CAC prices only the channel it buys.</t>
  </si>
  <si>
    <t>CARD PROGRAMME COSTS - what the card costs to run, kept next to what it earns</t>
  </si>
  <si>
    <t xml:space="preserve">  Cards newly issued this period</t>
  </si>
  <si>
    <t>CARD - NymCard platform and scheme fees</t>
  </si>
  <si>
    <t>NO BIN SPONSORSHIP FEE IN HERE. NymCard is a principal member of both Visa and Mastercard, so it sponsors the BIN under its OWN membership - there is no bank to pay for it, and the line fell from USD 120,000/yr to USD 30,000 when that component came out. What remains is the platform fee and scheme assessments, which no provider waives. A BANK IS STILL NEEDED FOR THE CREDIT: lending is a different regime and a payment services licence does not reach it. BENCHMARKED, NOT QUOTED - NymCard publishes no pricing.</t>
  </si>
  <si>
    <t>CARD - Programme setup (one-off at launch)</t>
  </si>
  <si>
    <t>CARD - Card production and delivery</t>
  </si>
  <si>
    <t>CARD - Authorisation and switching</t>
  </si>
  <si>
    <t>CARD - Fraud and chargebacks</t>
  </si>
  <si>
    <t xml:space="preserve">  Cross-border card spend (non-UAE in full, plus UAE spend abroad)</t>
  </si>
  <si>
    <t>CARD - Cross-border scheme assessment</t>
  </si>
  <si>
    <t>VISA ISA / MASTERCARD CROSS-BORDER ASSESSMENT, charged to the ISSUER whenever merchant country differs from issuer country. ABOUT 63% OF CARD SPEND QUALIFIES, and almost none of that is an assumption: a UAE-issued card spent in India is cross-border on every tap, and India is half the card book. THE RATE EXCEEDS AURUMIX'S INTERCHANGE SHARE - 1.40% against 0.72% of spend retained - so cross-border interchange does not cover its own scheme fee. The FX margin in stream 4 is what closes the gap, which means that line is largely COST RECOVERY rather than margin.</t>
  </si>
  <si>
    <t>TOTAL CARD PROGRAMME COSTS</t>
  </si>
  <si>
    <t xml:space="preserve">  Card cost as % of card revenue (above 100% = the card is not paying for itself)</t>
  </si>
  <si>
    <t>CARD REVENUE IS STREAM 2 PLUS STREAM 4 - interchange and cardholder fees. It EXCLUDES stream 5, because credit revenue is a separate partner arrangement and would flatter this ratio. Expect well above 100% at launch: the fixed fee lands in full from month 13 while the card book is nearly empty, which is exactly the 12-18 months of losses the brief describes.</t>
  </si>
  <si>
    <t xml:space="preserve">  Sub-total - costs actually modelled</t>
  </si>
  <si>
    <t xml:space="preserve">  Contingency for cost families not yet built</t>
  </si>
  <si>
    <t>A PLACEHOLDER FOR HEADCOUNT, LEGAL AND TRUST, SECURITY, CORPORATE, TAX AND THE ON-CHAIN MINTING COST - AND IT DOES NOT COVER THEM. Headcount alone is anchored in the brief at roughly USD 588,000 in Year 1, about 78% of the whole cost base as built; 15% of that base is about USD 112,000. THE CONTINGENCY IS WORTH A FIFTH OF ONE OF THE SIX MISSING BLOCKS. Every profit figure below is an upper bound.</t>
  </si>
  <si>
    <t>TOTAL COST BASE (modelled + contingency)</t>
  </si>
  <si>
    <t>CHECK: cash for metal ties to grams delivered x the price paid (must be 0)</t>
  </si>
  <si>
    <t>THE ANTI-DOUBLE-COUNT ASSERTION. Either the customer's cash buys metal at spot+premium and the COGS line above is zero, or it buys metal at spot and the COGS line carries the premium. This row ties to zero under both settings and can only break if some future edit makes the premium bite twice - which is exactly the defect 29f98e0 was written to fix.</t>
  </si>
  <si>
    <t>REGULATORY CAPITAL - locked, not spent. Subscribed equity, not an expense</t>
  </si>
  <si>
    <t>PAID-UP CAPITAL AND LIQUIDITY - what VARA requires you to keep locked up</t>
  </si>
  <si>
    <t xml:space="preserve">  Paid-up capital - Category 1 VA Issuance</t>
  </si>
  <si>
    <t>THE AED 1.5m FLOOR, NOT THE 2% ESCALATOR. Option A carries no Reserve Assets to take 2% of, so limb (b) of Rule G.1 is inapplicable and the floor governs. CHOOSING OPTION A REMOVES THE ESCALATOR, NOT THE FLOOR - worth stating plainly to the client, who may believe otherwise.</t>
  </si>
  <si>
    <t xml:space="preserve">  Paid-up capital - licensed activities (Broker-Dealer)</t>
  </si>
  <si>
    <t>THE FIXED AED FLOOR ONLY. CUMULATIVE with the issuance requirement rather than an alternative to it - Part VI.A requires capital for EACH licensed activity. NOT YET APPLIED, AND DELIBERATELY: the rule is the HIGHER of the AED floor or 25% OF FIXED ANNUAL OVERHEADS (15% where custody is held). The overheads test is left out until the opex build is complete - with only storage, VARA, DMCC and KYC in the model, overheads are a fraction of the real figure and the test would read as comfortably passed when nobody has checked. REINSTATE IT ONCE HEADCOUNT AND THE REST OF OPEX LAND: at 25%, the test overtakes the AED 600,000 floor at roughly AED 2.4m of annual overheads, which a real cost base may well reach.</t>
  </si>
  <si>
    <t>TOTAL PAID-UP CAPITAL REQUIRED</t>
  </si>
  <si>
    <t xml:space="preserve">  Net liquid assets required (PROVISIONAL - opex incomplete)</t>
  </si>
  <si>
    <t>1.2 x MONTHLY operating expenses, tested continuously. NOT ADDED to paid-up capital: the same cash can satisfy both, so summing them would overstate the funding need. PROVISIONAL AND UNDERSTATED. It reads off the opex total, and opex currently carries only storage, VARA, DMCC and KYC - headcount, insurance, audit, technology and the rest are still to come. THIS FIGURE WILL RISE, probably several-fold. It is kept visible rather than removed because the requirement itself is real and appears nowhere in the corpus; the number is not yet usable.</t>
  </si>
  <si>
    <t>CHECK: paid-up capital covers the liquidity test (must be &gt;= 0)</t>
  </si>
  <si>
    <t>TOTAL CAPITAL TIED UP (float + paid-up capital + card prefunding)</t>
  </si>
  <si>
    <t>THE FLOAT IS METAL YOU OWN AND CAN SELL; THE PAID-UP CAPITAL IS EQUITY YOU MUST KEEP SUBSCRIBED TO HOLD A LICENCE. Both are money unavailable to spend, which is why they are added - but they are NOT the same kind of money, and the difference matters on a wind-down.</t>
  </si>
  <si>
    <t>NET PROFIT - revenue less every cost modelled</t>
  </si>
  <si>
    <t>NET PROFIT - revenue less every cost modelled, plus contingency</t>
  </si>
  <si>
    <t>NET PROFIT</t>
  </si>
  <si>
    <t>AN UPPER BOUND, NOT A FORECAST. Headcount, legal and trust, security, corporate, tax and the on-chain minting cost are all still absent, covered only by a 15% contingency that is worth a fraction of headcount alone. THE REAL NUMBER IS LOWER AND THE MODEL CANNOT YET SAY BY HOW MUCH.</t>
  </si>
  <si>
    <t xml:space="preserve">  Net margin</t>
  </si>
  <si>
    <t>% of revenue</t>
  </si>
  <si>
    <t>CUMULATIVE NET PROFIT</t>
  </si>
  <si>
    <t>Summary</t>
  </si>
  <si>
    <t>Y1</t>
  </si>
  <si>
    <t>Y2</t>
  </si>
  <si>
    <t>REVENUE BY REGION</t>
  </si>
  <si>
    <t xml:space="preserve">  UAE</t>
  </si>
  <si>
    <t xml:space="preserve">  Oman and Bahrain</t>
  </si>
  <si>
    <t xml:space="preserve">  India</t>
  </si>
  <si>
    <t xml:space="preserve">  Non-regional: B2B platform fee</t>
  </si>
  <si>
    <t>TOTAL REVENUE</t>
  </si>
  <si>
    <t>REVENUE BY STREAM</t>
  </si>
  <si>
    <t>Stream 1a: Entry fee - SIP</t>
  </si>
  <si>
    <t>Stream 1b: Entry fee - SPOT</t>
  </si>
  <si>
    <t>Stream 2: Card interchange</t>
  </si>
  <si>
    <t>Stream 3: Family plan and Digital Will</t>
  </si>
  <si>
    <t>Stream 4: Cardholder fees</t>
  </si>
  <si>
    <t>Stream 5: Lending revenue share</t>
  </si>
  <si>
    <t>Stream 6: B2B platform fee</t>
  </si>
  <si>
    <t>Total by stream (reconciles to the regional total above)</t>
  </si>
  <si>
    <t>REVENUE MIX (% of total)</t>
  </si>
  <si>
    <t>Stream 1a: SIP entry fee - share</t>
  </si>
  <si>
    <t>Stream 1b: Spot entry fee - share</t>
  </si>
  <si>
    <t>Stream 2: Card interchange - share</t>
  </si>
  <si>
    <t>Stream 3: Family and Will - share</t>
  </si>
  <si>
    <t>Stream 4: Cardholder fees - share</t>
  </si>
  <si>
    <t>Stream 5: Lending - share</t>
  </si>
  <si>
    <t>Stream 6: B2B platform - share</t>
  </si>
  <si>
    <t>CHECK: mix sums to 100%</t>
  </si>
  <si>
    <t>COST BASE</t>
  </si>
  <si>
    <t xml:space="preserve">  Net new grams fabricated</t>
  </si>
  <si>
    <t xml:space="preserve">  Fabrication premium paid to the dealer</t>
  </si>
  <si>
    <t xml:space="preserve">  Vault storage</t>
  </si>
  <si>
    <t xml:space="preserve">    ...effective rate on metal held</t>
  </si>
  <si>
    <t xml:space="preserve">  VARA annual supervision</t>
  </si>
  <si>
    <t xml:space="preserve">  DMCC company licence</t>
  </si>
  <si>
    <t xml:space="preserve">  KYC and AML verification</t>
  </si>
  <si>
    <t xml:space="preserve">  Insurance (PI, D&amp;O, crime)</t>
  </si>
  <si>
    <t xml:space="preserve">  Audit and reserve attestation</t>
  </si>
  <si>
    <t xml:space="preserve">  Technology audit and penetration testing</t>
  </si>
  <si>
    <t xml:space="preserve">  Redemption handling</t>
  </si>
  <si>
    <t xml:space="preserve">  Technology build (Y1-Y2)</t>
  </si>
  <si>
    <t xml:space="preserve">  Technology maintenance (Y3+)</t>
  </si>
  <si>
    <t xml:space="preserve">  One-off Year 1 (licence, incorporation, launch audit)</t>
  </si>
  <si>
    <t xml:space="preserve">  ICS - entry fee discount (SIP only)</t>
  </si>
  <si>
    <t xml:space="preserve">  ICS - card fee discounts</t>
  </si>
  <si>
    <t xml:space="preserve">  ICS - gold rebate</t>
  </si>
  <si>
    <t xml:space="preserve">  ICS - family wallet and will</t>
  </si>
  <si>
    <t xml:space="preserve">  Marketing spend</t>
  </si>
  <si>
    <t xml:space="preserve">  Agent commission</t>
  </si>
  <si>
    <t xml:space="preserve">  Referral rewards</t>
  </si>
  <si>
    <t xml:space="preserve">  Card - NymCard platform and scheme fees</t>
  </si>
  <si>
    <t xml:space="preserve">  Card - programme setup</t>
  </si>
  <si>
    <t xml:space="preserve">  Card - production and delivery</t>
  </si>
  <si>
    <t xml:space="preserve">  Card - authorisation and switching</t>
  </si>
  <si>
    <t xml:space="preserve">  Card - fraud and chargebacks</t>
  </si>
  <si>
    <t xml:space="preserve">  Card - cross-border scheme assessment</t>
  </si>
  <si>
    <t xml:space="preserve">    Card cost as % of card revenue</t>
  </si>
  <si>
    <t xml:space="preserve">    Blended cost per new customer</t>
  </si>
  <si>
    <t xml:space="preserve">  Contingency for families not yet built</t>
  </si>
  <si>
    <t>TOTAL COST BASE</t>
  </si>
  <si>
    <t>NET PROFIT (upper bound - headcount not yet in the cost base)</t>
  </si>
  <si>
    <t>REGULATORY CAPITAL (locked, not spent)</t>
  </si>
  <si>
    <t xml:space="preserve">  Paid-up capital - VA Issuance</t>
  </si>
  <si>
    <t xml:space="preserve">  Paid-up capital - licensed activities</t>
  </si>
  <si>
    <t xml:space="preserve">  Net liquid assets required (separate test)</t>
  </si>
  <si>
    <t xml:space="preserve">  Card settlement prefunding</t>
  </si>
  <si>
    <t>TOTAL CAPITAL TIED UP (float + capital + prefunding)</t>
  </si>
  <si>
    <t>WORKING CAPITAL - THE FLOAT (not a cost)</t>
  </si>
  <si>
    <t xml:space="preserve">  Float required, grams</t>
  </si>
  <si>
    <t xml:space="preserve">  FLOAT REQUIRED (year-end balance)</t>
  </si>
  <si>
    <t xml:space="preserve">  Cash needed that year (new grams only)</t>
  </si>
  <si>
    <t>CUSTOMERS AND AUM (year end)</t>
  </si>
  <si>
    <t>New customers in year</t>
  </si>
  <si>
    <t>Paying customers</t>
  </si>
  <si>
    <t>Holders (stopped paying, still hold gold)</t>
  </si>
  <si>
    <t>Active cards</t>
  </si>
  <si>
    <t>Grams under custody</t>
  </si>
  <si>
    <t>Gold under custody (comparable headline)</t>
  </si>
  <si>
    <t>Grams held (collateral-eligible)</t>
  </si>
  <si>
    <t>Collateral-eligible AUM</t>
  </si>
  <si>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</sst>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mmmm\ yyyy"/>
    <numFmt numFmtId="165" formatCode="#,##0.00;\(#,##0.00\);&quot;-&quot;"/>
    <numFmt numFmtId="166" formatCode="#,##0;\(#,##0\);&quot;-&quot;"/>
    <numFmt numFmtId="167" formatCode="\$#,##0.00;\(\$#,##0.00\);&quot;-&quot;"/>
    <numFmt numFmtId="168" formatCode="0.0%"/>
    <numFmt numFmtId="169" formatCode="\$#,##0;\(\$#,##0\);&quot;-&quot;"/>
    <numFmt numFmtId="170" formatCode="0.00&quot;x&quot;"/>
    <numFmt numFmtId="171" formatCode="0.000%"/>
    <numFmt numFmtId="172" formatCode="#,##0.000"/>
  </numFmts>
  <fonts count="16" x14ac:knownFonts="1">
    <font>
      <sz val="11"/>
      <color theme="1"/>
      <name val="Calibri"/>
      <family val="2"/>
      <scheme val="minor"/>
    </font>
    <font>
      <b/>
      <sz val="24"/>
      <color rgb="FFB8956E"/>
      <name val="Calibri"/>
    </font>
    <font>
      <sz val="16"/>
      <color rgb="FF1A1714"/>
      <name val="Calibri"/>
    </font>
    <font>
      <b/>
      <sz val="11"/>
      <color rgb="FF000000"/>
      <name val="Calibri"/>
    </font>
    <font>
      <sz val="11"/>
      <color rgb="FF0000FF"/>
      <name val="Calibri"/>
    </font>
    <font>
      <sz val="11"/>
      <color rgb="FF000000"/>
      <name val="Calibri"/>
    </font>
    <font>
      <sz val="11"/>
      <color rgb="FF009B73"/>
      <name val="Calibri"/>
    </font>
    <font>
      <b/>
      <sz val="11"/>
      <color rgb="FFC00000"/>
      <name val="Calibri"/>
    </font>
    <font>
      <i/>
      <sz val="9"/>
      <color rgb="FF96734A"/>
      <name val="Calibri"/>
    </font>
    <font>
      <b/>
      <sz val="18"/>
      <color rgb="FFB8956E"/>
      <name val="Calibri"/>
    </font>
    <font>
      <b/>
      <sz val="14"/>
      <color rgb="FF1A1714"/>
      <name val="Calibri"/>
    </font>
    <font>
      <b/>
      <sz val="11"/>
      <color rgb="FFFFFFFF"/>
      <name val="Calibri"/>
    </font>
    <font>
      <b/>
      <sz val="10"/>
      <color rgb="FF1A1714"/>
      <name val="Calibri"/>
    </font>
    <font>
      <sz val="9"/>
      <color rgb="FF96734A"/>
      <name val="Calibri"/>
    </font>
    <font>
      <b/>
      <sz val="11"/>
      <color rgb="FF0000FF"/>
      <name val="Calibri"/>
    </font>
    <font>
      <b/>
      <sz val="11"/>
      <color rgb="FF1A1714"/>
      <name val="Calibri"/>
    </font>
  </fonts>
  <fills count="5">
    <fill>
      <patternFill patternType="none"/>
    </fill>
    <fill>
      <patternFill patternType="gray125"/>
    </fill>
    <fill>
      <patternFill patternType="solid">
        <fgColor rgb="FF1A1714"/>
      </patternFill>
    </fill>
    <fill>
      <patternFill patternType="solid">
        <fgColor rgb="FFD4CFC8"/>
      </patternFill>
    </fill>
    <fill>
      <patternFill patternType="solid">
        <fgColor rgb="FFE8E4DF"/>
      </patternFill>
    </fill>
  </fills>
  <borders count="3">
    <border>
      <left/>
      <right/>
      <top/>
      <bottom/>
      <diagonal/>
    </border>
    <border>
      <left style="thin">
        <color rgb="FFD4CFC8"/>
      </left>
      <right style="thin">
        <color rgb="FFD4CFC8"/>
      </right>
      <top style="thin">
        <color rgb="FFD4CFC8"/>
      </top>
      <bottom style="thin">
        <color rgb="FFD4CFC8"/>
      </bottom>
      <diagonal/>
    </border>
    <border>
      <left/>
      <right/>
      <top style="thin">
        <color rgb="FFB8956E"/>
      </top>
      <bottom style="double">
        <color rgb="FFB8956E"/>
      </bottom>
      <diagonal/>
    </border>
  </borders>
  <cellStyleXfs count="1">
    <xf numFmtId="0" fontId="0" fillId="0" borderId="0"/>
  </cellStyleXfs>
  <cellXfs count="78">
    <xf numFmtId="0" fontId="0" fillId="0" borderId="0" xfId="0"/>
    <xf numFmtId="0" fontId="1" fillId="0" borderId="0" xfId="0" applyFont="1"/>
    <xf numFmtId="0" fontId="2" fillId="0" borderId="0" xfId="0" applyFont="1"/>
    <xf numFmtId="0" fontId="3" fillId="0" borderId="0" xfId="0" applyFont="1"/>
    <xf numFmtId="164" fontId="0" fillId="0" borderId="0" xfId="0" applyNumberFormat="1"/>
    <xf numFmtId="0" fontId="4" fillId="0" borderId="0" xfId="0" applyFont="1"/>
    <xf numFmtId="0" fontId="5" fillId="0" borderId="0" xfId="0" applyFont="1"/>
    <xf numFmtId="0" fontId="6" fillId="0" borderId="0" xfId="0" applyFont="1"/>
    <xf numFmtId="0" fontId="7" fillId="0" borderId="0" xfId="0" applyFont="1"/>
    <xf numFmtId="0" fontId="8" fillId="0" borderId="0" xfId="0" applyFont="1"/>
    <xf numFmtId="0" fontId="9" fillId="0" borderId="0" xfId="0" applyFont="1"/>
    <xf numFmtId="0" fontId="10" fillId="0" borderId="0" xfId="0" applyFont="1"/>
    <xf numFmtId="0" fontId="11" fillId="2" borderId="0" xfId="0" applyFont="1" applyFill="1"/>
    <xf numFmtId="0" fontId="0" fillId="2" borderId="0" xfId="0" applyFill="1"/>
    <xf numFmtId="0" fontId="12" fillId="3" borderId="1" xfId="0" applyFont="1" applyFill="1" applyBorder="1"/>
    <xf numFmtId="165" fontId="4" fillId="0" borderId="0" xfId="0" applyNumberFormat="1" applyFont="1"/>
    <xf numFmtId="10" fontId="4" fillId="0" borderId="0" xfId="0" applyNumberFormat="1" applyFont="1"/>
    <xf numFmtId="166" fontId="4" fillId="0" borderId="0" xfId="0" applyNumberFormat="1" applyFont="1"/>
    <xf numFmtId="167" fontId="4" fillId="0" borderId="0" xfId="0" applyNumberFormat="1" applyFont="1"/>
    <xf numFmtId="168" fontId="4" fillId="0" borderId="0" xfId="0" applyNumberFormat="1" applyFont="1"/>
    <xf numFmtId="169" fontId="4" fillId="0" borderId="0" xfId="0" applyNumberFormat="1" applyFont="1"/>
    <xf numFmtId="0" fontId="12" fillId="3" borderId="0" xfId="0" applyFont="1" applyFill="1" applyAlignment="1">
      <alignment horizontal="center"/>
    </xf>
    <xf numFmtId="165" fontId="4" fillId="0" borderId="0" xfId="0" applyNumberFormat="1" applyFont="1" applyAlignment="1">
      <alignment horizontal="center"/>
    </xf>
    <xf numFmtId="0" fontId="13" fillId="0" borderId="0" xfId="0" applyFont="1"/>
    <xf numFmtId="0" fontId="12" fillId="3" borderId="0" xfId="0" applyFont="1" applyFill="1"/>
    <xf numFmtId="0" fontId="12" fillId="3" borderId="0" xfId="0" applyFont="1" applyFill="1" applyAlignment="1">
      <alignment horizontal="center" wrapText="1"/>
    </xf>
    <xf numFmtId="166" fontId="4" fillId="0" borderId="0" xfId="0" applyNumberFormat="1" applyFont="1" applyAlignment="1">
      <alignment horizontal="center"/>
    </xf>
    <xf numFmtId="168" fontId="4" fillId="0" borderId="0" xfId="0" applyNumberFormat="1" applyFont="1" applyAlignment="1">
      <alignment horizontal="center"/>
    </xf>
    <xf numFmtId="166" fontId="3" fillId="0" borderId="0" xfId="0" applyNumberFormat="1" applyFont="1" applyAlignment="1">
      <alignment horizontal="center"/>
    </xf>
    <xf numFmtId="10" fontId="4" fillId="0" borderId="0" xfId="0" applyNumberFormat="1" applyFont="1" applyAlignment="1">
      <alignment horizontal="center"/>
    </xf>
    <xf numFmtId="0" fontId="13" fillId="0" borderId="0" xfId="0" applyFont="1" applyAlignment="1">
      <alignment horizontal="center"/>
    </xf>
    <xf numFmtId="166" fontId="3" fillId="0" borderId="0" xfId="0" applyNumberFormat="1" applyFont="1"/>
    <xf numFmtId="170" fontId="3" fillId="0" borderId="0" xfId="0" applyNumberFormat="1" applyFont="1"/>
    <xf numFmtId="10" fontId="6" fillId="0" borderId="0" xfId="0" applyNumberFormat="1" applyFont="1"/>
    <xf numFmtId="166" fontId="6" fillId="0" borderId="0" xfId="0" applyNumberFormat="1" applyFont="1"/>
    <xf numFmtId="168" fontId="6" fillId="0" borderId="0" xfId="0" applyNumberFormat="1" applyFont="1"/>
    <xf numFmtId="165" fontId="6" fillId="0" borderId="0" xfId="0" applyNumberFormat="1" applyFont="1"/>
    <xf numFmtId="169" fontId="6" fillId="0" borderId="0" xfId="0" applyNumberFormat="1" applyFont="1"/>
    <xf numFmtId="171" fontId="6" fillId="0" borderId="0" xfId="0" applyNumberFormat="1" applyFont="1"/>
    <xf numFmtId="167" fontId="6" fillId="0" borderId="0" xfId="0" applyNumberFormat="1" applyFont="1"/>
    <xf numFmtId="0" fontId="14" fillId="0" borderId="0" xfId="0" applyFont="1"/>
    <xf numFmtId="10" fontId="3" fillId="0" borderId="0" xfId="0" applyNumberFormat="1" applyFont="1"/>
    <xf numFmtId="168" fontId="3" fillId="0" borderId="0" xfId="0" applyNumberFormat="1" applyFont="1"/>
    <xf numFmtId="165" fontId="3" fillId="0" borderId="0" xfId="0" applyNumberFormat="1" applyFont="1"/>
    <xf numFmtId="169" fontId="3" fillId="0" borderId="0" xfId="0" applyNumberFormat="1" applyFont="1"/>
    <xf numFmtId="171" fontId="3" fillId="0" borderId="0" xfId="0" applyNumberFormat="1" applyFont="1"/>
    <xf numFmtId="171" fontId="4" fillId="0" borderId="0" xfId="0" applyNumberFormat="1" applyFont="1"/>
    <xf numFmtId="167" fontId="3" fillId="0" borderId="0" xfId="0" applyNumberFormat="1" applyFont="1"/>
    <xf numFmtId="0" fontId="3" fillId="0" borderId="0" xfId="0" applyFont="1" applyAlignment="1">
      <alignment horizontal="center"/>
    </xf>
    <xf numFmtId="0" fontId="5" fillId="0" borderId="0" xfId="0" applyFont="1" applyAlignment="1">
      <alignment horizontal="center"/>
    </xf>
    <xf numFmtId="166" fontId="5" fillId="0" borderId="0" xfId="0" applyNumberFormat="1" applyFont="1" applyAlignment="1">
      <alignment horizontal="center"/>
    </xf>
    <xf numFmtId="0" fontId="15" fillId="4" borderId="0" xfId="0" applyFont="1" applyFill="1"/>
    <xf numFmtId="0" fontId="0" fillId="4" borderId="0" xfId="0" applyFill="1"/>
    <xf numFmtId="172" fontId="6" fillId="0" borderId="0" xfId="0" applyNumberFormat="1" applyFont="1" applyAlignment="1">
      <alignment horizontal="center"/>
    </xf>
    <xf numFmtId="168" fontId="6" fillId="0" borderId="0" xfId="0" applyNumberFormat="1" applyFont="1" applyAlignment="1">
      <alignment horizontal="center"/>
    </xf>
    <xf numFmtId="172" fontId="3" fillId="0" borderId="0" xfId="0" applyNumberFormat="1" applyFont="1"/>
    <xf numFmtId="172" fontId="5" fillId="0" borderId="0" xfId="0" applyNumberFormat="1" applyFont="1" applyAlignment="1">
      <alignment horizontal="center"/>
    </xf>
    <xf numFmtId="168" fontId="5" fillId="0" borderId="0" xfId="0" applyNumberFormat="1" applyFont="1" applyAlignment="1">
      <alignment horizontal="center"/>
    </xf>
    <xf numFmtId="165" fontId="6" fillId="0" borderId="0" xfId="0" applyNumberFormat="1" applyFont="1" applyAlignment="1">
      <alignment horizontal="center"/>
    </xf>
    <xf numFmtId="167" fontId="5" fillId="0" borderId="0" xfId="0" applyNumberFormat="1" applyFont="1" applyAlignment="1">
      <alignment horizontal="center"/>
    </xf>
    <xf numFmtId="165" fontId="5" fillId="0" borderId="0" xfId="0" applyNumberFormat="1" applyFont="1" applyAlignment="1">
      <alignment horizontal="center"/>
    </xf>
    <xf numFmtId="169" fontId="5" fillId="0" borderId="0" xfId="0" applyNumberFormat="1" applyFont="1" applyAlignment="1">
      <alignment horizontal="center"/>
    </xf>
    <xf numFmtId="10" fontId="5" fillId="0" borderId="0" xfId="0" applyNumberFormat="1" applyFont="1" applyAlignment="1">
      <alignment horizontal="center"/>
    </xf>
    <xf numFmtId="169" fontId="3" fillId="0" borderId="0" xfId="0" applyNumberFormat="1" applyFont="1" applyAlignment="1">
      <alignment horizontal="center"/>
    </xf>
    <xf numFmtId="166" fontId="13" fillId="0" borderId="0" xfId="0" applyNumberFormat="1" applyFont="1" applyAlignment="1">
      <alignment horizontal="center"/>
    </xf>
    <xf numFmtId="169" fontId="6" fillId="0" borderId="0" xfId="0" applyNumberFormat="1" applyFont="1" applyAlignment="1">
      <alignment horizontal="center"/>
    </xf>
    <xf numFmtId="172" fontId="3" fillId="0" borderId="0" xfId="0" applyNumberFormat="1" applyFont="1" applyAlignment="1">
      <alignment horizontal="center"/>
    </xf>
    <xf numFmtId="170" fontId="3" fillId="0" borderId="0" xfId="0" applyNumberFormat="1" applyFont="1" applyAlignment="1">
      <alignment horizontal="center"/>
    </xf>
    <xf numFmtId="165" fontId="3" fillId="0" borderId="0" xfId="0" applyNumberFormat="1" applyFont="1" applyAlignment="1">
      <alignment horizontal="center"/>
    </xf>
    <xf numFmtId="171" fontId="5" fillId="0" borderId="0" xfId="0" applyNumberFormat="1" applyFont="1" applyAlignment="1">
      <alignment horizontal="center"/>
    </xf>
    <xf numFmtId="168" fontId="3" fillId="0" borderId="0" xfId="0" applyNumberFormat="1" applyFont="1" applyAlignment="1">
      <alignment horizontal="center"/>
    </xf>
    <xf numFmtId="0" fontId="12" fillId="3" borderId="1" xfId="0" applyFont="1" applyFill="1" applyBorder="1" applyAlignment="1">
      <alignment horizontal="center"/>
    </xf>
    <xf numFmtId="169" fontId="6" fillId="0" borderId="2" xfId="0" applyNumberFormat="1" applyFont="1" applyBorder="1"/>
    <xf numFmtId="168" fontId="5" fillId="0" borderId="0" xfId="0" applyNumberFormat="1" applyFont="1"/>
    <xf numFmtId="166" fontId="6" fillId="0" borderId="2" xfId="0" applyNumberFormat="1" applyFont="1" applyBorder="1"/>
    <xf numFmtId="169" fontId="0" fillId="0" borderId="0" xfId="0" applyNumberFormat="1"/>
    <xf numFmtId="0" fontId="9" fillId="0" borderId="0" xfId="0" applyFont="1" applyAlignment="1">
      <alignment horizontal="center"/>
    </xf>
    <xf numFmtId="0" fontId="10" fillId="0" borderId="0" xfId="0" applyFon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25"/>
  <sheetViews>
    <sheetView showGridLines="0" workbookViewId="0"/>
  </sheetViews>
  <sheetFormatPr defaultRowHeight="15" x14ac:dyDescent="0.25"/>
  <cols>
    <col min="1" max="1" width="3" customWidth="1"/>
    <col min="2" max="2" width="30" customWidth="1"/>
    <col min="3" max="3" width="104" customWidth="1"/>
  </cols>
  <sheetData>
    <row r="2" spans="2:3" ht="31.5" x14ac:dyDescent="0.5">
      <c r="B2" s="1" t="s">
        <v>0</v>
      </c>
    </row>
    <row r="3" spans="2:3" ht="21" x14ac:dyDescent="0.35">
      <c r="B3" s="2" t="s">
        <v>1</v>
      </c>
    </row>
    <row r="5" spans="2:3" x14ac:dyDescent="0.25">
      <c r="B5" s="3" t="s">
        <v>2</v>
      </c>
      <c r="C5" s="4">
        <f ca="1">TODAY()</f>
        <v>46260</v>
      </c>
    </row>
    <row r="6" spans="2:3" x14ac:dyDescent="0.25">
      <c r="B6" s="3" t="s">
        <v>3</v>
      </c>
      <c r="C6" t="s">
        <v>4</v>
      </c>
    </row>
    <row r="7" spans="2:3" x14ac:dyDescent="0.25">
      <c r="B7" s="3" t="s">
        <v>5</v>
      </c>
      <c r="C7" t="s">
        <v>6</v>
      </c>
    </row>
    <row r="8" spans="2:3" x14ac:dyDescent="0.25">
      <c r="B8" s="3" t="s">
        <v>7</v>
      </c>
      <c r="C8" t="s">
        <v>8</v>
      </c>
    </row>
    <row r="9" spans="2:3" x14ac:dyDescent="0.25">
      <c r="B9" s="3" t="s">
        <v>9</v>
      </c>
      <c r="C9" t="s">
        <v>10</v>
      </c>
    </row>
    <row r="10" spans="2:3" x14ac:dyDescent="0.25">
      <c r="B10" s="3" t="s">
        <v>11</v>
      </c>
      <c r="C10" t="s">
        <v>12</v>
      </c>
    </row>
    <row r="12" spans="2:3" x14ac:dyDescent="0.25">
      <c r="B12" s="3" t="s">
        <v>13</v>
      </c>
    </row>
    <row r="13" spans="2:3" x14ac:dyDescent="0.25">
      <c r="B13" s="5" t="s">
        <v>14</v>
      </c>
      <c r="C13" t="s">
        <v>15</v>
      </c>
    </row>
    <row r="14" spans="2:3" x14ac:dyDescent="0.25">
      <c r="B14" s="6" t="s">
        <v>16</v>
      </c>
      <c r="C14" t="s">
        <v>17</v>
      </c>
    </row>
    <row r="15" spans="2:3" x14ac:dyDescent="0.25">
      <c r="B15" s="7" t="s">
        <v>18</v>
      </c>
      <c r="C15" t="s">
        <v>19</v>
      </c>
    </row>
    <row r="17" spans="2:2" x14ac:dyDescent="0.25">
      <c r="B17" s="3" t="s">
        <v>20</v>
      </c>
    </row>
    <row r="18" spans="2:2" x14ac:dyDescent="0.25">
      <c r="B18" t="s">
        <v>21</v>
      </c>
    </row>
    <row r="19" spans="2:2" x14ac:dyDescent="0.25">
      <c r="B19" t="s">
        <v>22</v>
      </c>
    </row>
    <row r="20" spans="2:2" x14ac:dyDescent="0.25">
      <c r="B20" t="s">
        <v>23</v>
      </c>
    </row>
    <row r="21" spans="2:2" x14ac:dyDescent="0.25">
      <c r="B21" t="s">
        <v>24</v>
      </c>
    </row>
    <row r="22" spans="2:2" x14ac:dyDescent="0.25">
      <c r="B22" t="s">
        <v>25</v>
      </c>
    </row>
    <row r="24" spans="2:2" x14ac:dyDescent="0.25">
      <c r="B24" s="8" t="s">
        <v>26</v>
      </c>
    </row>
    <row r="25" spans="2:2" x14ac:dyDescent="0.25">
      <c r="B25" s="9" t="s">
        <v>27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31"/>
  <sheetViews>
    <sheetView showGridLines="0" workbookViewId="0">
      <pane xSplit="1" ySplit="5" topLeftCell="B103" activePane="bottomRight" state="frozen"/>
      <selection pane="topRight"/>
      <selection pane="bottomLeft"/>
      <selection pane="bottomRight" activeCell="B114" sqref="B114"/>
    </sheetView>
  </sheetViews>
  <sheetFormatPr defaultRowHeight="15" x14ac:dyDescent="0.25"/>
  <cols>
    <col min="1" max="1" width="54" customWidth="1"/>
    <col min="2" max="2" width="16" customWidth="1"/>
    <col min="3" max="3" width="24" customWidth="1"/>
    <col min="4" max="4" width="120" customWidth="1"/>
    <col min="6" max="9" width="15" customWidth="1"/>
    <col min="10" max="17" width="8" customWidth="1"/>
  </cols>
  <sheetData>
    <row r="1" spans="1:4" ht="23.25" x14ac:dyDescent="0.35">
      <c r="A1" s="10" t="str">
        <f>Cover!$B$2</f>
        <v>Aurumix Revenue Model</v>
      </c>
    </row>
    <row r="2" spans="1:4" ht="18.75" x14ac:dyDescent="0.3">
      <c r="A2" s="11" t="s">
        <v>28</v>
      </c>
    </row>
    <row r="4" spans="1:4" ht="18" customHeight="1" x14ac:dyDescent="0.25">
      <c r="A4" s="12" t="s">
        <v>29</v>
      </c>
      <c r="B4" s="13"/>
      <c r="C4" s="13"/>
      <c r="D4" s="13"/>
    </row>
    <row r="5" spans="1:4" x14ac:dyDescent="0.25">
      <c r="A5" s="14" t="s">
        <v>30</v>
      </c>
      <c r="B5" s="14" t="s">
        <v>31</v>
      </c>
      <c r="C5" s="14" t="s">
        <v>32</v>
      </c>
      <c r="D5" s="14" t="s">
        <v>33</v>
      </c>
    </row>
    <row r="6" spans="1:4" x14ac:dyDescent="0.25">
      <c r="A6" t="s">
        <v>34</v>
      </c>
      <c r="B6" s="15">
        <v>141.46</v>
      </c>
      <c r="C6" t="s">
        <v>35</v>
      </c>
      <c r="D6" t="s">
        <v>36</v>
      </c>
    </row>
    <row r="7" spans="1:4" x14ac:dyDescent="0.25">
      <c r="A7" t="s">
        <v>37</v>
      </c>
      <c r="B7" s="15">
        <v>3.6724999999999999</v>
      </c>
      <c r="C7" t="s">
        <v>38</v>
      </c>
      <c r="D7" t="s">
        <v>39</v>
      </c>
    </row>
    <row r="8" spans="1:4" x14ac:dyDescent="0.25">
      <c r="A8" t="s">
        <v>40</v>
      </c>
      <c r="B8" s="16">
        <v>0.05</v>
      </c>
      <c r="C8" t="s">
        <v>41</v>
      </c>
      <c r="D8" t="s">
        <v>42</v>
      </c>
    </row>
    <row r="9" spans="1:4" x14ac:dyDescent="0.25">
      <c r="A9" t="s">
        <v>43</v>
      </c>
      <c r="B9" s="16">
        <v>1.4999999999999999E-2</v>
      </c>
      <c r="C9" t="s">
        <v>44</v>
      </c>
      <c r="D9" t="s">
        <v>45</v>
      </c>
    </row>
    <row r="10" spans="1:4" x14ac:dyDescent="0.25">
      <c r="A10" t="s">
        <v>46</v>
      </c>
      <c r="B10" s="17">
        <v>100</v>
      </c>
      <c r="C10" t="s">
        <v>47</v>
      </c>
      <c r="D10" t="s">
        <v>48</v>
      </c>
    </row>
    <row r="12" spans="1:4" ht="18" customHeight="1" x14ac:dyDescent="0.25">
      <c r="A12" s="12" t="s">
        <v>49</v>
      </c>
      <c r="B12" s="13"/>
      <c r="C12" s="13"/>
      <c r="D12" s="13"/>
    </row>
    <row r="13" spans="1:4" x14ac:dyDescent="0.25">
      <c r="A13" s="14" t="s">
        <v>30</v>
      </c>
      <c r="B13" s="14" t="s">
        <v>31</v>
      </c>
      <c r="C13" s="14" t="s">
        <v>32</v>
      </c>
      <c r="D13" s="14" t="s">
        <v>33</v>
      </c>
    </row>
    <row r="14" spans="1:4" x14ac:dyDescent="0.25">
      <c r="A14" t="s">
        <v>50</v>
      </c>
      <c r="B14" s="16">
        <v>1.7999999999999999E-2</v>
      </c>
      <c r="C14" t="s">
        <v>51</v>
      </c>
      <c r="D14" t="s">
        <v>52</v>
      </c>
    </row>
    <row r="15" spans="1:4" x14ac:dyDescent="0.25">
      <c r="A15" t="s">
        <v>53</v>
      </c>
      <c r="B15" s="18">
        <v>0.1</v>
      </c>
      <c r="C15" t="s">
        <v>54</v>
      </c>
      <c r="D15" t="s">
        <v>55</v>
      </c>
    </row>
    <row r="16" spans="1:4" x14ac:dyDescent="0.25">
      <c r="A16" t="s">
        <v>56</v>
      </c>
      <c r="B16" s="19">
        <v>0.06</v>
      </c>
      <c r="C16" t="s">
        <v>57</v>
      </c>
      <c r="D16" t="s">
        <v>58</v>
      </c>
    </row>
    <row r="17" spans="1:4" x14ac:dyDescent="0.25">
      <c r="A17" t="s">
        <v>59</v>
      </c>
      <c r="B17" s="16">
        <v>0.02</v>
      </c>
      <c r="C17" t="s">
        <v>60</v>
      </c>
      <c r="D17" t="s">
        <v>61</v>
      </c>
    </row>
    <row r="18" spans="1:4" x14ac:dyDescent="0.25">
      <c r="A18" t="s">
        <v>62</v>
      </c>
      <c r="B18" s="17">
        <v>1000</v>
      </c>
      <c r="C18" t="s">
        <v>63</v>
      </c>
      <c r="D18" t="s">
        <v>64</v>
      </c>
    </row>
    <row r="19" spans="1:4" x14ac:dyDescent="0.25">
      <c r="A19" t="s">
        <v>65</v>
      </c>
      <c r="B19" s="16">
        <v>0.02</v>
      </c>
      <c r="C19" t="s">
        <v>66</v>
      </c>
      <c r="D19" t="s">
        <v>67</v>
      </c>
    </row>
    <row r="20" spans="1:4" x14ac:dyDescent="0.25">
      <c r="A20" t="s">
        <v>68</v>
      </c>
      <c r="B20" s="17">
        <v>75</v>
      </c>
      <c r="C20" t="s">
        <v>69</v>
      </c>
      <c r="D20" t="s">
        <v>70</v>
      </c>
    </row>
    <row r="21" spans="1:4" x14ac:dyDescent="0.25">
      <c r="A21" t="s">
        <v>71</v>
      </c>
      <c r="B21" s="17">
        <v>100</v>
      </c>
      <c r="C21" t="s">
        <v>72</v>
      </c>
      <c r="D21" t="s">
        <v>73</v>
      </c>
    </row>
    <row r="23" spans="1:4" ht="18" customHeight="1" x14ac:dyDescent="0.25">
      <c r="A23" s="12" t="s">
        <v>74</v>
      </c>
      <c r="B23" s="13"/>
      <c r="C23" s="13"/>
      <c r="D23" s="13"/>
    </row>
    <row r="24" spans="1:4" x14ac:dyDescent="0.25">
      <c r="A24" s="14" t="s">
        <v>30</v>
      </c>
      <c r="B24" s="14" t="s">
        <v>31</v>
      </c>
      <c r="C24" s="14" t="s">
        <v>32</v>
      </c>
      <c r="D24" s="14" t="s">
        <v>33</v>
      </c>
    </row>
    <row r="25" spans="1:4" x14ac:dyDescent="0.25">
      <c r="A25" t="s">
        <v>75</v>
      </c>
      <c r="B25" s="20">
        <v>50</v>
      </c>
      <c r="C25" t="s">
        <v>76</v>
      </c>
      <c r="D25" t="s">
        <v>77</v>
      </c>
    </row>
    <row r="26" spans="1:4" x14ac:dyDescent="0.25">
      <c r="A26" t="s">
        <v>78</v>
      </c>
      <c r="B26" s="20">
        <v>6</v>
      </c>
      <c r="C26" t="s">
        <v>79</v>
      </c>
      <c r="D26" t="s">
        <v>80</v>
      </c>
    </row>
    <row r="27" spans="1:4" x14ac:dyDescent="0.25">
      <c r="A27" t="s">
        <v>81</v>
      </c>
      <c r="B27" s="16">
        <v>0.01</v>
      </c>
      <c r="C27" t="s">
        <v>82</v>
      </c>
      <c r="D27" t="s">
        <v>83</v>
      </c>
    </row>
    <row r="28" spans="1:4" x14ac:dyDescent="0.25">
      <c r="A28" t="s">
        <v>84</v>
      </c>
      <c r="B28" s="19">
        <v>0.5</v>
      </c>
      <c r="C28" t="s">
        <v>85</v>
      </c>
      <c r="D28" t="s">
        <v>86</v>
      </c>
    </row>
    <row r="29" spans="1:4" x14ac:dyDescent="0.25">
      <c r="A29" t="s">
        <v>87</v>
      </c>
      <c r="B29" s="16">
        <v>5.0000000000000001E-3</v>
      </c>
      <c r="C29" t="s">
        <v>88</v>
      </c>
      <c r="D29" t="s">
        <v>86</v>
      </c>
    </row>
    <row r="30" spans="1:4" x14ac:dyDescent="0.25">
      <c r="A30" t="s">
        <v>89</v>
      </c>
      <c r="B30" s="19">
        <v>0.7</v>
      </c>
      <c r="C30" t="s">
        <v>85</v>
      </c>
      <c r="D30" t="s">
        <v>90</v>
      </c>
    </row>
    <row r="31" spans="1:4" x14ac:dyDescent="0.25">
      <c r="A31" t="s">
        <v>91</v>
      </c>
      <c r="B31" s="19">
        <v>0.5</v>
      </c>
      <c r="C31" t="s">
        <v>92</v>
      </c>
      <c r="D31" t="s">
        <v>93</v>
      </c>
    </row>
    <row r="32" spans="1:4" x14ac:dyDescent="0.25">
      <c r="A32" t="s">
        <v>94</v>
      </c>
      <c r="B32" s="20">
        <v>190</v>
      </c>
      <c r="C32" t="s">
        <v>95</v>
      </c>
      <c r="D32" t="s">
        <v>96</v>
      </c>
    </row>
    <row r="33" spans="1:4" x14ac:dyDescent="0.25">
      <c r="A33" t="s">
        <v>97</v>
      </c>
      <c r="B33" s="20">
        <v>145</v>
      </c>
      <c r="C33" t="s">
        <v>95</v>
      </c>
      <c r="D33" t="s">
        <v>98</v>
      </c>
    </row>
    <row r="34" spans="1:4" x14ac:dyDescent="0.25">
      <c r="A34" t="s">
        <v>99</v>
      </c>
      <c r="B34" s="20">
        <v>40</v>
      </c>
      <c r="C34" t="s">
        <v>95</v>
      </c>
      <c r="D34" t="s">
        <v>100</v>
      </c>
    </row>
    <row r="35" spans="1:4" x14ac:dyDescent="0.25">
      <c r="A35" t="s">
        <v>101</v>
      </c>
      <c r="B35" s="19">
        <v>0.12</v>
      </c>
      <c r="C35" t="s">
        <v>102</v>
      </c>
      <c r="D35" t="s">
        <v>103</v>
      </c>
    </row>
    <row r="36" spans="1:4" x14ac:dyDescent="0.25">
      <c r="A36" t="s">
        <v>104</v>
      </c>
      <c r="B36" s="19">
        <v>0.1</v>
      </c>
      <c r="C36" t="s">
        <v>102</v>
      </c>
      <c r="D36" t="s">
        <v>103</v>
      </c>
    </row>
    <row r="37" spans="1:4" x14ac:dyDescent="0.25">
      <c r="A37" t="s">
        <v>105</v>
      </c>
      <c r="B37" s="19">
        <v>0.35</v>
      </c>
      <c r="C37" t="s">
        <v>102</v>
      </c>
      <c r="D37" t="s">
        <v>103</v>
      </c>
    </row>
    <row r="39" spans="1:4" ht="18" customHeight="1" x14ac:dyDescent="0.25">
      <c r="A39" s="12" t="s">
        <v>106</v>
      </c>
      <c r="B39" s="13"/>
      <c r="C39" s="13"/>
      <c r="D39" s="13"/>
    </row>
    <row r="40" spans="1:4" x14ac:dyDescent="0.25">
      <c r="A40" s="14" t="s">
        <v>30</v>
      </c>
      <c r="B40" s="14" t="s">
        <v>31</v>
      </c>
      <c r="C40" s="14" t="s">
        <v>32</v>
      </c>
      <c r="D40" s="14" t="s">
        <v>33</v>
      </c>
    </row>
    <row r="41" spans="1:4" x14ac:dyDescent="0.25">
      <c r="A41" t="s">
        <v>107</v>
      </c>
      <c r="B41" s="18">
        <v>20</v>
      </c>
      <c r="C41" t="s">
        <v>108</v>
      </c>
      <c r="D41" t="s">
        <v>109</v>
      </c>
    </row>
    <row r="42" spans="1:4" x14ac:dyDescent="0.25">
      <c r="A42" t="s">
        <v>110</v>
      </c>
      <c r="B42" s="17">
        <v>6</v>
      </c>
      <c r="C42" t="s">
        <v>111</v>
      </c>
      <c r="D42" t="s">
        <v>112</v>
      </c>
    </row>
    <row r="43" spans="1:4" x14ac:dyDescent="0.25">
      <c r="A43" t="s">
        <v>113</v>
      </c>
      <c r="B43" s="18">
        <v>1.85</v>
      </c>
      <c r="C43" t="s">
        <v>114</v>
      </c>
      <c r="D43" t="s">
        <v>115</v>
      </c>
    </row>
    <row r="45" spans="1:4" ht="18" customHeight="1" x14ac:dyDescent="0.25">
      <c r="A45" s="12" t="s">
        <v>116</v>
      </c>
      <c r="B45" s="13"/>
      <c r="C45" s="13"/>
      <c r="D45" s="13"/>
    </row>
    <row r="46" spans="1:4" x14ac:dyDescent="0.25">
      <c r="A46" s="14" t="s">
        <v>30</v>
      </c>
      <c r="B46" s="14" t="s">
        <v>31</v>
      </c>
      <c r="C46" s="14" t="s">
        <v>32</v>
      </c>
      <c r="D46" s="14" t="s">
        <v>33</v>
      </c>
    </row>
    <row r="47" spans="1:4" x14ac:dyDescent="0.25">
      <c r="A47" t="s">
        <v>117</v>
      </c>
      <c r="B47" s="17">
        <v>1</v>
      </c>
      <c r="C47" t="s">
        <v>118</v>
      </c>
      <c r="D47" t="s">
        <v>119</v>
      </c>
    </row>
    <row r="48" spans="1:4" x14ac:dyDescent="0.25">
      <c r="A48" t="s">
        <v>120</v>
      </c>
      <c r="B48" s="17">
        <v>1</v>
      </c>
      <c r="C48" t="s">
        <v>118</v>
      </c>
      <c r="D48" t="s">
        <v>121</v>
      </c>
    </row>
    <row r="49" spans="1:17" x14ac:dyDescent="0.25">
      <c r="A49" t="s">
        <v>122</v>
      </c>
      <c r="B49" s="17">
        <v>1</v>
      </c>
      <c r="C49" t="s">
        <v>118</v>
      </c>
      <c r="D49" t="s">
        <v>123</v>
      </c>
    </row>
    <row r="50" spans="1:17" x14ac:dyDescent="0.25">
      <c r="A50" t="s">
        <v>124</v>
      </c>
      <c r="B50" s="17">
        <v>7</v>
      </c>
      <c r="C50" t="s">
        <v>118</v>
      </c>
      <c r="D50" t="s">
        <v>125</v>
      </c>
    </row>
    <row r="51" spans="1:17" x14ac:dyDescent="0.25">
      <c r="A51" t="s">
        <v>126</v>
      </c>
      <c r="B51" s="17">
        <v>13</v>
      </c>
      <c r="C51" t="s">
        <v>118</v>
      </c>
      <c r="D51" t="s">
        <v>127</v>
      </c>
    </row>
    <row r="52" spans="1:17" x14ac:dyDescent="0.25">
      <c r="A52" t="s">
        <v>128</v>
      </c>
      <c r="B52" s="17">
        <v>13</v>
      </c>
      <c r="C52" t="s">
        <v>118</v>
      </c>
      <c r="D52" t="s">
        <v>129</v>
      </c>
    </row>
    <row r="53" spans="1:17" x14ac:dyDescent="0.25">
      <c r="A53" t="s">
        <v>130</v>
      </c>
      <c r="B53" s="17">
        <v>13</v>
      </c>
      <c r="C53" t="s">
        <v>118</v>
      </c>
      <c r="D53" t="s">
        <v>131</v>
      </c>
    </row>
    <row r="54" spans="1:17" x14ac:dyDescent="0.25">
      <c r="A54" t="s">
        <v>132</v>
      </c>
      <c r="B54" s="17">
        <v>13</v>
      </c>
      <c r="C54" t="s">
        <v>118</v>
      </c>
      <c r="D54" t="s">
        <v>133</v>
      </c>
    </row>
    <row r="55" spans="1:17" x14ac:dyDescent="0.25">
      <c r="A55" t="s">
        <v>134</v>
      </c>
      <c r="B55" s="17">
        <v>13</v>
      </c>
      <c r="C55" t="s">
        <v>118</v>
      </c>
      <c r="D55" t="s">
        <v>135</v>
      </c>
    </row>
    <row r="56" spans="1:17" x14ac:dyDescent="0.25">
      <c r="A56" t="s">
        <v>136</v>
      </c>
      <c r="B56" s="17">
        <v>13</v>
      </c>
      <c r="C56" t="s">
        <v>118</v>
      </c>
      <c r="D56" t="s">
        <v>137</v>
      </c>
    </row>
    <row r="57" spans="1:17" x14ac:dyDescent="0.25">
      <c r="A57" t="s">
        <v>138</v>
      </c>
      <c r="B57" s="17">
        <v>1</v>
      </c>
      <c r="C57" t="s">
        <v>118</v>
      </c>
      <c r="D57" t="s">
        <v>139</v>
      </c>
    </row>
    <row r="59" spans="1:17" ht="18" customHeight="1" x14ac:dyDescent="0.25">
      <c r="A59" s="12" t="s">
        <v>140</v>
      </c>
      <c r="B59" s="13"/>
      <c r="C59" s="13"/>
      <c r="D59" s="13"/>
    </row>
    <row r="60" spans="1:17" x14ac:dyDescent="0.25">
      <c r="A60" t="s">
        <v>141</v>
      </c>
      <c r="F60" s="21" t="s">
        <v>142</v>
      </c>
      <c r="G60" s="21" t="s">
        <v>143</v>
      </c>
      <c r="H60" s="21" t="s">
        <v>144</v>
      </c>
      <c r="I60" s="21" t="s">
        <v>145</v>
      </c>
      <c r="J60" s="21" t="s">
        <v>146</v>
      </c>
      <c r="K60" s="21" t="s">
        <v>147</v>
      </c>
      <c r="L60" s="21" t="s">
        <v>148</v>
      </c>
      <c r="M60" s="21" t="s">
        <v>149</v>
      </c>
      <c r="N60" s="21" t="s">
        <v>150</v>
      </c>
      <c r="O60" s="21" t="s">
        <v>151</v>
      </c>
      <c r="P60" s="21" t="s">
        <v>152</v>
      </c>
      <c r="Q60" s="21" t="s">
        <v>153</v>
      </c>
    </row>
    <row r="61" spans="1:17" x14ac:dyDescent="0.25">
      <c r="A61" t="s">
        <v>154</v>
      </c>
      <c r="D61" t="s">
        <v>155</v>
      </c>
      <c r="F61" s="22">
        <v>1.01</v>
      </c>
      <c r="G61" s="22">
        <v>0.96</v>
      </c>
      <c r="H61" s="22">
        <v>0.92</v>
      </c>
      <c r="I61" s="22">
        <v>1.1499999999999999</v>
      </c>
      <c r="J61" s="22">
        <v>1.04</v>
      </c>
      <c r="K61" s="22">
        <v>0.88</v>
      </c>
      <c r="L61" s="22">
        <v>0.85</v>
      </c>
      <c r="M61" s="22">
        <v>0.85</v>
      </c>
      <c r="N61" s="22">
        <v>0.93</v>
      </c>
      <c r="O61" s="22">
        <v>1.25</v>
      </c>
      <c r="P61" s="22">
        <v>1.1499999999999999</v>
      </c>
      <c r="Q61" s="22">
        <v>1.01</v>
      </c>
    </row>
    <row r="62" spans="1:17" x14ac:dyDescent="0.25">
      <c r="A62" t="s">
        <v>156</v>
      </c>
      <c r="D62" t="s">
        <v>157</v>
      </c>
      <c r="F62" s="22">
        <v>1.1000000000000001</v>
      </c>
      <c r="G62" s="22">
        <v>1</v>
      </c>
      <c r="H62" s="22">
        <v>0.98</v>
      </c>
      <c r="I62" s="22">
        <v>0.98</v>
      </c>
      <c r="J62" s="22">
        <v>1</v>
      </c>
      <c r="K62" s="22">
        <v>0.95</v>
      </c>
      <c r="L62" s="22">
        <v>0.88</v>
      </c>
      <c r="M62" s="22">
        <v>0.9</v>
      </c>
      <c r="N62" s="22">
        <v>1</v>
      </c>
      <c r="O62" s="22">
        <v>1.02</v>
      </c>
      <c r="P62" s="22">
        <v>1.05</v>
      </c>
      <c r="Q62" s="22">
        <v>1.1399999999999999</v>
      </c>
    </row>
    <row r="63" spans="1:17" x14ac:dyDescent="0.25">
      <c r="A63" t="s">
        <v>158</v>
      </c>
      <c r="D63" t="s">
        <v>159</v>
      </c>
      <c r="F63" s="22">
        <v>30</v>
      </c>
      <c r="G63" s="22">
        <v>30</v>
      </c>
      <c r="H63" s="22">
        <v>30</v>
      </c>
      <c r="I63" s="22">
        <v>32</v>
      </c>
      <c r="J63" s="22">
        <v>34</v>
      </c>
      <c r="K63" s="22">
        <v>55</v>
      </c>
      <c r="L63" s="22">
        <v>60</v>
      </c>
      <c r="M63" s="22">
        <v>56</v>
      </c>
      <c r="N63" s="22">
        <v>36</v>
      </c>
      <c r="O63" s="22">
        <v>42</v>
      </c>
      <c r="P63" s="22">
        <v>40</v>
      </c>
      <c r="Q63" s="22">
        <v>32</v>
      </c>
    </row>
    <row r="65" spans="1:9" ht="18" customHeight="1" x14ac:dyDescent="0.25">
      <c r="A65" s="12" t="s">
        <v>160</v>
      </c>
      <c r="B65" s="13"/>
      <c r="C65" s="13"/>
      <c r="D65" s="13"/>
    </row>
    <row r="66" spans="1:9" x14ac:dyDescent="0.25">
      <c r="A66" s="14" t="s">
        <v>30</v>
      </c>
      <c r="B66" s="14" t="s">
        <v>31</v>
      </c>
      <c r="C66" s="14" t="s">
        <v>32</v>
      </c>
      <c r="D66" s="14" t="s">
        <v>33</v>
      </c>
    </row>
    <row r="67" spans="1:9" x14ac:dyDescent="0.25">
      <c r="A67" s="3" t="s">
        <v>161</v>
      </c>
      <c r="B67" s="23" t="s">
        <v>162</v>
      </c>
      <c r="D67" t="s">
        <v>163</v>
      </c>
    </row>
    <row r="68" spans="1:9" x14ac:dyDescent="0.25">
      <c r="A68" s="3" t="s">
        <v>164</v>
      </c>
      <c r="B68" s="23" t="s">
        <v>165</v>
      </c>
      <c r="D68" t="s">
        <v>166</v>
      </c>
    </row>
    <row r="69" spans="1:9" x14ac:dyDescent="0.25">
      <c r="A69" s="3" t="s">
        <v>167</v>
      </c>
      <c r="B69" s="23" t="s">
        <v>162</v>
      </c>
      <c r="D69" t="s">
        <v>168</v>
      </c>
    </row>
    <row r="71" spans="1:9" ht="18" customHeight="1" x14ac:dyDescent="0.25">
      <c r="A71" s="12" t="s">
        <v>169</v>
      </c>
      <c r="B71" s="13"/>
      <c r="C71" s="13"/>
      <c r="D71" s="13"/>
    </row>
    <row r="72" spans="1:9" ht="26.25" x14ac:dyDescent="0.25">
      <c r="A72" s="24" t="s">
        <v>170</v>
      </c>
      <c r="F72" s="25" t="s">
        <v>171</v>
      </c>
      <c r="G72" s="25" t="s">
        <v>172</v>
      </c>
      <c r="H72" s="25" t="s">
        <v>164</v>
      </c>
      <c r="I72" s="25" t="s">
        <v>167</v>
      </c>
    </row>
    <row r="73" spans="1:9" x14ac:dyDescent="0.25">
      <c r="A73" t="s">
        <v>173</v>
      </c>
      <c r="D73" t="s">
        <v>174</v>
      </c>
      <c r="F73" s="26">
        <v>4360000</v>
      </c>
      <c r="G73" s="26">
        <v>3460000</v>
      </c>
      <c r="H73" s="26">
        <v>2630000</v>
      </c>
      <c r="I73" s="26">
        <v>12500000</v>
      </c>
    </row>
    <row r="74" spans="1:9" x14ac:dyDescent="0.25">
      <c r="A74" t="s">
        <v>175</v>
      </c>
      <c r="D74" t="s">
        <v>176</v>
      </c>
      <c r="F74" s="27">
        <v>0.8</v>
      </c>
      <c r="G74" s="27">
        <v>0.8</v>
      </c>
      <c r="H74" s="27">
        <v>1</v>
      </c>
      <c r="I74" s="27">
        <v>1</v>
      </c>
    </row>
    <row r="75" spans="1:9" x14ac:dyDescent="0.25">
      <c r="A75" t="s">
        <v>177</v>
      </c>
      <c r="D75" t="s">
        <v>178</v>
      </c>
      <c r="F75" s="27">
        <v>0.56999999999999995</v>
      </c>
      <c r="G75" s="27">
        <v>0.56999999999999995</v>
      </c>
      <c r="H75" s="27">
        <v>0.56999999999999995</v>
      </c>
      <c r="I75" s="27">
        <v>1</v>
      </c>
    </row>
    <row r="76" spans="1:9" x14ac:dyDescent="0.25">
      <c r="A76" t="s">
        <v>179</v>
      </c>
      <c r="D76" t="s">
        <v>180</v>
      </c>
      <c r="F76" s="27">
        <v>0.4</v>
      </c>
      <c r="G76" s="27">
        <v>0.4</v>
      </c>
      <c r="H76" s="27">
        <v>0.4</v>
      </c>
      <c r="I76" s="27">
        <v>1</v>
      </c>
    </row>
    <row r="77" spans="1:9" x14ac:dyDescent="0.25">
      <c r="A77" t="s">
        <v>181</v>
      </c>
      <c r="D77" t="s">
        <v>182</v>
      </c>
      <c r="F77" s="28">
        <f>F73*F74*F75*F76</f>
        <v>795264</v>
      </c>
      <c r="G77" s="28">
        <f>G73*G74*G75*G76</f>
        <v>631104</v>
      </c>
      <c r="H77" s="28">
        <f>H73*H74*H75*H76</f>
        <v>599639.99999999988</v>
      </c>
      <c r="I77" s="28">
        <f>I73*I74*I75*I76</f>
        <v>12500000</v>
      </c>
    </row>
    <row r="78" spans="1:9" x14ac:dyDescent="0.25">
      <c r="A78" t="s">
        <v>183</v>
      </c>
      <c r="D78" t="s">
        <v>184</v>
      </c>
      <c r="F78" s="29">
        <v>0.1</v>
      </c>
      <c r="G78" s="29">
        <v>0.1</v>
      </c>
      <c r="H78" s="29">
        <v>0.06</v>
      </c>
      <c r="I78" s="29">
        <v>0.01</v>
      </c>
    </row>
    <row r="79" spans="1:9" x14ac:dyDescent="0.25">
      <c r="A79" t="s">
        <v>185</v>
      </c>
      <c r="D79" t="s">
        <v>186</v>
      </c>
      <c r="F79" s="28">
        <f>F77*F78</f>
        <v>79526.400000000009</v>
      </c>
      <c r="G79" s="28">
        <f>G77*G78</f>
        <v>63110.400000000001</v>
      </c>
      <c r="H79" s="28">
        <f>H77*H78</f>
        <v>35978.399999999994</v>
      </c>
      <c r="I79" s="28">
        <f>I77*I78</f>
        <v>125000</v>
      </c>
    </row>
    <row r="80" spans="1:9" x14ac:dyDescent="0.25">
      <c r="A80" t="s">
        <v>187</v>
      </c>
      <c r="F80" s="30" t="s">
        <v>161</v>
      </c>
      <c r="G80" s="30" t="s">
        <v>161</v>
      </c>
      <c r="H80" s="30" t="s">
        <v>164</v>
      </c>
      <c r="I80" s="30" t="s">
        <v>167</v>
      </c>
    </row>
    <row r="82" spans="1:4" ht="18" customHeight="1" x14ac:dyDescent="0.25">
      <c r="A82" s="12" t="s">
        <v>188</v>
      </c>
      <c r="B82" s="13"/>
      <c r="C82" s="13"/>
      <c r="D82" s="13"/>
    </row>
    <row r="83" spans="1:4" x14ac:dyDescent="0.25">
      <c r="A83" s="14" t="s">
        <v>30</v>
      </c>
      <c r="B83" s="14" t="s">
        <v>31</v>
      </c>
      <c r="C83" s="14" t="s">
        <v>32</v>
      </c>
      <c r="D83" s="14" t="s">
        <v>33</v>
      </c>
    </row>
    <row r="84" spans="1:4" x14ac:dyDescent="0.25">
      <c r="A84" t="s">
        <v>189</v>
      </c>
      <c r="B84" s="31">
        <f>F79+G79</f>
        <v>142636.80000000002</v>
      </c>
      <c r="C84" t="s">
        <v>190</v>
      </c>
      <c r="D84" t="s">
        <v>191</v>
      </c>
    </row>
    <row r="85" spans="1:4" x14ac:dyDescent="0.25">
      <c r="A85" t="s">
        <v>192</v>
      </c>
      <c r="B85" s="31">
        <f>H79</f>
        <v>35978.399999999994</v>
      </c>
      <c r="C85" t="s">
        <v>190</v>
      </c>
      <c r="D85" t="s">
        <v>193</v>
      </c>
    </row>
    <row r="86" spans="1:4" x14ac:dyDescent="0.25">
      <c r="A86" t="s">
        <v>194</v>
      </c>
      <c r="B86" s="31">
        <f>I79</f>
        <v>125000</v>
      </c>
      <c r="C86" t="s">
        <v>190</v>
      </c>
      <c r="D86" t="s">
        <v>195</v>
      </c>
    </row>
    <row r="87" spans="1:4" x14ac:dyDescent="0.25">
      <c r="A87" s="3" t="s">
        <v>196</v>
      </c>
      <c r="B87" s="31">
        <f>$B$84+$B$85+$B$86</f>
        <v>303615.2</v>
      </c>
      <c r="C87" t="s">
        <v>190</v>
      </c>
      <c r="D87" t="s">
        <v>197</v>
      </c>
    </row>
    <row r="88" spans="1:4" x14ac:dyDescent="0.25">
      <c r="A88" s="3" t="s">
        <v>198</v>
      </c>
    </row>
    <row r="89" spans="1:4" x14ac:dyDescent="0.25">
      <c r="A89" t="s">
        <v>199</v>
      </c>
      <c r="B89" s="17">
        <v>75000</v>
      </c>
      <c r="C89" t="s">
        <v>200</v>
      </c>
      <c r="D89" t="s">
        <v>201</v>
      </c>
    </row>
    <row r="90" spans="1:4" x14ac:dyDescent="0.25">
      <c r="A90" t="s">
        <v>202</v>
      </c>
      <c r="B90" s="32">
        <f>$B$84/$B$89</f>
        <v>1.9018240000000002</v>
      </c>
      <c r="C90" t="s">
        <v>203</v>
      </c>
      <c r="D90" t="s">
        <v>204</v>
      </c>
    </row>
    <row r="91" spans="1:4" x14ac:dyDescent="0.25">
      <c r="A91" t="s">
        <v>205</v>
      </c>
      <c r="B91" s="23" t="s">
        <v>206</v>
      </c>
      <c r="C91" t="s">
        <v>207</v>
      </c>
      <c r="D91" t="s">
        <v>208</v>
      </c>
    </row>
    <row r="93" spans="1:4" x14ac:dyDescent="0.25">
      <c r="A93" t="s">
        <v>209</v>
      </c>
      <c r="B93" s="17">
        <v>0</v>
      </c>
      <c r="C93" t="s">
        <v>210</v>
      </c>
      <c r="D93" t="s">
        <v>211</v>
      </c>
    </row>
    <row r="94" spans="1:4" x14ac:dyDescent="0.25">
      <c r="A94" t="s">
        <v>212</v>
      </c>
      <c r="B94" s="17">
        <v>0</v>
      </c>
      <c r="C94" t="s">
        <v>210</v>
      </c>
      <c r="D94" t="s">
        <v>211</v>
      </c>
    </row>
    <row r="95" spans="1:4" x14ac:dyDescent="0.25">
      <c r="A95" t="s">
        <v>213</v>
      </c>
      <c r="B95" s="17">
        <v>0</v>
      </c>
      <c r="C95" t="s">
        <v>210</v>
      </c>
      <c r="D95" t="s">
        <v>211</v>
      </c>
    </row>
    <row r="96" spans="1:4" x14ac:dyDescent="0.25">
      <c r="A96" t="s">
        <v>214</v>
      </c>
      <c r="B96" s="17">
        <v>0</v>
      </c>
      <c r="C96" t="s">
        <v>210</v>
      </c>
      <c r="D96" t="s">
        <v>211</v>
      </c>
    </row>
    <row r="97" spans="1:4" x14ac:dyDescent="0.25">
      <c r="A97" t="s">
        <v>215</v>
      </c>
      <c r="B97" s="17">
        <v>0</v>
      </c>
      <c r="C97" t="s">
        <v>210</v>
      </c>
      <c r="D97" t="s">
        <v>211</v>
      </c>
    </row>
    <row r="98" spans="1:4" x14ac:dyDescent="0.25">
      <c r="A98" t="s">
        <v>216</v>
      </c>
      <c r="B98" s="17">
        <v>0</v>
      </c>
      <c r="C98" t="s">
        <v>210</v>
      </c>
      <c r="D98" t="s">
        <v>211</v>
      </c>
    </row>
    <row r="99" spans="1:4" x14ac:dyDescent="0.25">
      <c r="A99" t="s">
        <v>217</v>
      </c>
      <c r="B99" s="17">
        <v>0</v>
      </c>
      <c r="C99" t="s">
        <v>210</v>
      </c>
      <c r="D99" t="s">
        <v>211</v>
      </c>
    </row>
    <row r="100" spans="1:4" x14ac:dyDescent="0.25">
      <c r="A100" t="s">
        <v>218</v>
      </c>
      <c r="B100" s="17">
        <v>0</v>
      </c>
      <c r="C100" t="s">
        <v>210</v>
      </c>
      <c r="D100" t="s">
        <v>211</v>
      </c>
    </row>
    <row r="101" spans="1:4" x14ac:dyDescent="0.25">
      <c r="A101" t="s">
        <v>219</v>
      </c>
      <c r="B101" s="17">
        <v>0</v>
      </c>
      <c r="C101" t="s">
        <v>210</v>
      </c>
      <c r="D101" t="s">
        <v>211</v>
      </c>
    </row>
    <row r="102" spans="1:4" x14ac:dyDescent="0.25">
      <c r="A102" t="s">
        <v>220</v>
      </c>
      <c r="B102" s="17">
        <v>0</v>
      </c>
      <c r="C102" t="s">
        <v>210</v>
      </c>
      <c r="D102" t="s">
        <v>211</v>
      </c>
    </row>
    <row r="103" spans="1:4" x14ac:dyDescent="0.25">
      <c r="A103" t="s">
        <v>221</v>
      </c>
      <c r="B103" s="17">
        <v>0</v>
      </c>
      <c r="C103" t="s">
        <v>210</v>
      </c>
      <c r="D103" t="s">
        <v>211</v>
      </c>
    </row>
    <row r="104" spans="1:4" x14ac:dyDescent="0.25">
      <c r="A104" t="s">
        <v>222</v>
      </c>
      <c r="B104" s="17">
        <v>0</v>
      </c>
      <c r="C104" t="s">
        <v>210</v>
      </c>
      <c r="D104" t="s">
        <v>211</v>
      </c>
    </row>
    <row r="105" spans="1:4" x14ac:dyDescent="0.25">
      <c r="A105" t="s">
        <v>223</v>
      </c>
      <c r="B105" s="17">
        <v>0</v>
      </c>
      <c r="C105" t="s">
        <v>210</v>
      </c>
      <c r="D105" t="s">
        <v>211</v>
      </c>
    </row>
    <row r="106" spans="1:4" x14ac:dyDescent="0.25">
      <c r="A106" t="s">
        <v>224</v>
      </c>
      <c r="B106" s="17">
        <v>0</v>
      </c>
      <c r="C106" t="s">
        <v>210</v>
      </c>
      <c r="D106" t="s">
        <v>211</v>
      </c>
    </row>
    <row r="107" spans="1:4" x14ac:dyDescent="0.25">
      <c r="A107" t="s">
        <v>225</v>
      </c>
      <c r="B107" s="17">
        <v>40</v>
      </c>
      <c r="C107" t="s">
        <v>210</v>
      </c>
      <c r="D107" t="s">
        <v>211</v>
      </c>
    </row>
    <row r="108" spans="1:4" x14ac:dyDescent="0.25">
      <c r="A108" t="s">
        <v>226</v>
      </c>
      <c r="B108" s="17">
        <v>40</v>
      </c>
      <c r="C108" t="s">
        <v>210</v>
      </c>
      <c r="D108" t="s">
        <v>211</v>
      </c>
    </row>
    <row r="109" spans="1:4" x14ac:dyDescent="0.25">
      <c r="A109" t="s">
        <v>227</v>
      </c>
      <c r="B109" s="17">
        <v>60</v>
      </c>
      <c r="C109" t="s">
        <v>210</v>
      </c>
      <c r="D109" t="s">
        <v>211</v>
      </c>
    </row>
    <row r="110" spans="1:4" x14ac:dyDescent="0.25">
      <c r="A110" t="s">
        <v>228</v>
      </c>
      <c r="B110" s="17">
        <v>177</v>
      </c>
      <c r="C110" t="s">
        <v>210</v>
      </c>
      <c r="D110" t="s">
        <v>211</v>
      </c>
    </row>
    <row r="111" spans="1:4" x14ac:dyDescent="0.25">
      <c r="A111" t="s">
        <v>229</v>
      </c>
      <c r="B111" s="17">
        <v>298</v>
      </c>
      <c r="C111" t="s">
        <v>210</v>
      </c>
      <c r="D111" t="s">
        <v>211</v>
      </c>
    </row>
    <row r="112" spans="1:4" x14ac:dyDescent="0.25">
      <c r="A112" t="s">
        <v>230</v>
      </c>
      <c r="B112" s="17">
        <v>356</v>
      </c>
      <c r="C112" t="s">
        <v>210</v>
      </c>
      <c r="D112" t="s">
        <v>211</v>
      </c>
    </row>
    <row r="113" spans="1:4" x14ac:dyDescent="0.25">
      <c r="A113" t="s">
        <v>231</v>
      </c>
      <c r="B113" s="17">
        <v>420</v>
      </c>
      <c r="C113" t="s">
        <v>210</v>
      </c>
      <c r="D113" t="s">
        <v>211</v>
      </c>
    </row>
    <row r="114" spans="1:4" x14ac:dyDescent="0.25">
      <c r="A114" t="s">
        <v>232</v>
      </c>
      <c r="B114" s="20">
        <v>90000</v>
      </c>
      <c r="C114" t="s">
        <v>76</v>
      </c>
      <c r="D114" t="s">
        <v>233</v>
      </c>
    </row>
    <row r="115" spans="1:4" x14ac:dyDescent="0.25">
      <c r="A115" t="s">
        <v>234</v>
      </c>
      <c r="B115" s="20">
        <v>270000</v>
      </c>
      <c r="C115" t="s">
        <v>76</v>
      </c>
      <c r="D115" t="s">
        <v>233</v>
      </c>
    </row>
    <row r="116" spans="1:4" x14ac:dyDescent="0.25">
      <c r="A116" t="s">
        <v>235</v>
      </c>
      <c r="B116" s="20">
        <v>375000</v>
      </c>
      <c r="C116" t="s">
        <v>76</v>
      </c>
      <c r="D116" t="s">
        <v>233</v>
      </c>
    </row>
    <row r="117" spans="1:4" x14ac:dyDescent="0.25">
      <c r="A117" t="s">
        <v>236</v>
      </c>
      <c r="B117" s="20">
        <v>600000</v>
      </c>
      <c r="C117" t="s">
        <v>76</v>
      </c>
      <c r="D117" t="s">
        <v>233</v>
      </c>
    </row>
    <row r="118" spans="1:4" x14ac:dyDescent="0.25">
      <c r="A118" t="s">
        <v>237</v>
      </c>
      <c r="B118" s="20">
        <v>900000</v>
      </c>
      <c r="C118" t="s">
        <v>76</v>
      </c>
      <c r="D118" t="s">
        <v>233</v>
      </c>
    </row>
    <row r="119" spans="1:4" x14ac:dyDescent="0.25">
      <c r="A119" t="s">
        <v>238</v>
      </c>
      <c r="B119" s="20">
        <v>1275000</v>
      </c>
      <c r="C119" t="s">
        <v>76</v>
      </c>
      <c r="D119" t="s">
        <v>233</v>
      </c>
    </row>
    <row r="120" spans="1:4" x14ac:dyDescent="0.25">
      <c r="A120" t="s">
        <v>239</v>
      </c>
      <c r="B120" s="20">
        <v>1650000</v>
      </c>
      <c r="C120" t="s">
        <v>76</v>
      </c>
      <c r="D120" t="s">
        <v>233</v>
      </c>
    </row>
    <row r="121" spans="1:4" x14ac:dyDescent="0.25">
      <c r="A121" t="s">
        <v>240</v>
      </c>
      <c r="B121" s="15">
        <v>0.6</v>
      </c>
      <c r="C121" t="s">
        <v>241</v>
      </c>
      <c r="D121" t="s">
        <v>242</v>
      </c>
    </row>
    <row r="122" spans="1:4" x14ac:dyDescent="0.25">
      <c r="A122" t="s">
        <v>243</v>
      </c>
      <c r="B122" s="15">
        <v>0.85</v>
      </c>
      <c r="C122" t="s">
        <v>241</v>
      </c>
      <c r="D122" t="s">
        <v>242</v>
      </c>
    </row>
    <row r="123" spans="1:4" x14ac:dyDescent="0.25">
      <c r="A123" t="s">
        <v>244</v>
      </c>
      <c r="B123" s="15">
        <v>1</v>
      </c>
      <c r="C123" t="s">
        <v>241</v>
      </c>
      <c r="D123" t="s">
        <v>242</v>
      </c>
    </row>
    <row r="124" spans="1:4" x14ac:dyDescent="0.25">
      <c r="A124" t="s">
        <v>245</v>
      </c>
      <c r="B124" s="15">
        <v>1</v>
      </c>
      <c r="C124" t="s">
        <v>241</v>
      </c>
      <c r="D124" t="s">
        <v>242</v>
      </c>
    </row>
    <row r="125" spans="1:4" x14ac:dyDescent="0.25">
      <c r="A125" t="s">
        <v>246</v>
      </c>
      <c r="B125" s="15">
        <v>1</v>
      </c>
      <c r="C125" t="s">
        <v>241</v>
      </c>
      <c r="D125" t="s">
        <v>242</v>
      </c>
    </row>
    <row r="126" spans="1:4" x14ac:dyDescent="0.25">
      <c r="A126" t="s">
        <v>247</v>
      </c>
      <c r="B126" s="15">
        <v>1</v>
      </c>
      <c r="C126" t="s">
        <v>241</v>
      </c>
      <c r="D126" t="s">
        <v>242</v>
      </c>
    </row>
    <row r="127" spans="1:4" x14ac:dyDescent="0.25">
      <c r="A127" t="s">
        <v>248</v>
      </c>
      <c r="B127" s="15">
        <v>1</v>
      </c>
      <c r="C127" t="s">
        <v>241</v>
      </c>
      <c r="D127" t="s">
        <v>242</v>
      </c>
    </row>
    <row r="129" spans="1:4" ht="18" customHeight="1" x14ac:dyDescent="0.25">
      <c r="A129" s="12" t="s">
        <v>249</v>
      </c>
      <c r="B129" s="13"/>
      <c r="C129" s="13"/>
      <c r="D129" s="13"/>
    </row>
    <row r="130" spans="1:4" x14ac:dyDescent="0.25">
      <c r="A130" s="14" t="s">
        <v>30</v>
      </c>
      <c r="B130" s="14" t="s">
        <v>31</v>
      </c>
      <c r="C130" s="14" t="s">
        <v>32</v>
      </c>
      <c r="D130" s="14" t="s">
        <v>33</v>
      </c>
    </row>
    <row r="131" spans="1:4" x14ac:dyDescent="0.25">
      <c r="A131" t="s">
        <v>250</v>
      </c>
      <c r="B131" s="33">
        <f>'Scenario Parameters'!$B$10</f>
        <v>8.1000000000000003E-2</v>
      </c>
      <c r="C131" t="s">
        <v>251</v>
      </c>
      <c r="D131" t="s">
        <v>252</v>
      </c>
    </row>
    <row r="132" spans="1:4" x14ac:dyDescent="0.25">
      <c r="A132" t="s">
        <v>253</v>
      </c>
      <c r="B132" s="34">
        <f>'Scenario Parameters'!$B$11</f>
        <v>10</v>
      </c>
      <c r="C132" t="s">
        <v>254</v>
      </c>
      <c r="D132" t="s">
        <v>255</v>
      </c>
    </row>
    <row r="133" spans="1:4" x14ac:dyDescent="0.25">
      <c r="A133" t="s">
        <v>256</v>
      </c>
      <c r="B133" s="35">
        <f>'Scenario Parameters'!$B$15</f>
        <v>0.55000000000000004</v>
      </c>
      <c r="C133" t="s">
        <v>257</v>
      </c>
      <c r="D133" t="s">
        <v>258</v>
      </c>
    </row>
    <row r="134" spans="1:4" x14ac:dyDescent="0.25">
      <c r="A134" t="s">
        <v>259</v>
      </c>
      <c r="B134" s="33">
        <f>'Scenario Parameters'!$B$16</f>
        <v>4.8599101001747691E-2</v>
      </c>
      <c r="C134" t="s">
        <v>260</v>
      </c>
      <c r="D134" t="s">
        <v>261</v>
      </c>
    </row>
    <row r="135" spans="1:4" x14ac:dyDescent="0.25">
      <c r="A135" t="s">
        <v>262</v>
      </c>
      <c r="B135" s="36">
        <f>'Scenario Parameters'!$B$17</f>
        <v>6</v>
      </c>
      <c r="C135" t="s">
        <v>263</v>
      </c>
      <c r="D135" t="s">
        <v>264</v>
      </c>
    </row>
    <row r="136" spans="1:4" x14ac:dyDescent="0.25">
      <c r="A136" t="s">
        <v>265</v>
      </c>
      <c r="B136" s="37">
        <f>'Scenario Parameters'!$B$18</f>
        <v>85</v>
      </c>
      <c r="C136" t="s">
        <v>266</v>
      </c>
      <c r="D136" t="s">
        <v>267</v>
      </c>
    </row>
    <row r="137" spans="1:4" x14ac:dyDescent="0.25">
      <c r="A137" t="s">
        <v>268</v>
      </c>
      <c r="B137" s="37">
        <f>'Scenario Parameters'!$B$19</f>
        <v>75</v>
      </c>
      <c r="C137" t="s">
        <v>266</v>
      </c>
      <c r="D137" t="s">
        <v>267</v>
      </c>
    </row>
    <row r="138" spans="1:4" x14ac:dyDescent="0.25">
      <c r="A138" t="s">
        <v>269</v>
      </c>
      <c r="B138" s="37">
        <f>'Scenario Parameters'!$B$20</f>
        <v>15</v>
      </c>
      <c r="C138" t="s">
        <v>266</v>
      </c>
      <c r="D138" t="s">
        <v>267</v>
      </c>
    </row>
    <row r="139" spans="1:4" x14ac:dyDescent="0.25">
      <c r="A139" t="s">
        <v>270</v>
      </c>
      <c r="B139" s="37">
        <f>'Scenario Parameters'!$B$21</f>
        <v>55</v>
      </c>
      <c r="C139" t="s">
        <v>266</v>
      </c>
      <c r="D139" t="s">
        <v>271</v>
      </c>
    </row>
    <row r="140" spans="1:4" x14ac:dyDescent="0.25">
      <c r="A140" t="s">
        <v>272</v>
      </c>
      <c r="B140" s="37">
        <f>'Scenario Parameters'!$B$22</f>
        <v>45</v>
      </c>
      <c r="C140" t="s">
        <v>266</v>
      </c>
      <c r="D140" t="s">
        <v>271</v>
      </c>
    </row>
    <row r="141" spans="1:4" x14ac:dyDescent="0.25">
      <c r="A141" t="s">
        <v>273</v>
      </c>
      <c r="B141" s="37">
        <f>'Scenario Parameters'!$B$23</f>
        <v>10</v>
      </c>
      <c r="C141" t="s">
        <v>266</v>
      </c>
      <c r="D141" t="s">
        <v>271</v>
      </c>
    </row>
    <row r="142" spans="1:4" x14ac:dyDescent="0.25">
      <c r="A142" t="s">
        <v>274</v>
      </c>
      <c r="B142" s="35">
        <f>'Scenario Parameters'!$B$24</f>
        <v>0.74</v>
      </c>
      <c r="C142" t="s">
        <v>275</v>
      </c>
      <c r="D142" t="s">
        <v>276</v>
      </c>
    </row>
    <row r="143" spans="1:4" x14ac:dyDescent="0.25">
      <c r="A143" t="s">
        <v>277</v>
      </c>
      <c r="B143" s="35">
        <f>'Scenario Parameters'!$B$25</f>
        <v>0.18</v>
      </c>
      <c r="C143" t="s">
        <v>275</v>
      </c>
      <c r="D143" t="s">
        <v>276</v>
      </c>
    </row>
    <row r="144" spans="1:4" x14ac:dyDescent="0.25">
      <c r="A144" t="s">
        <v>278</v>
      </c>
      <c r="B144" s="35">
        <f>'Scenario Parameters'!$B$26</f>
        <v>0.08</v>
      </c>
      <c r="C144" t="s">
        <v>275</v>
      </c>
      <c r="D144" t="s">
        <v>276</v>
      </c>
    </row>
    <row r="145" spans="1:4" x14ac:dyDescent="0.25">
      <c r="A145" t="s">
        <v>279</v>
      </c>
      <c r="B145" s="36">
        <f>'Scenario Parameters'!$B$27</f>
        <v>0.6</v>
      </c>
      <c r="C145" t="s">
        <v>280</v>
      </c>
      <c r="D145" t="s">
        <v>281</v>
      </c>
    </row>
    <row r="146" spans="1:4" x14ac:dyDescent="0.25">
      <c r="A146" t="s">
        <v>282</v>
      </c>
      <c r="B146" s="35">
        <f>'Scenario Parameters'!$B$28</f>
        <v>0.62</v>
      </c>
      <c r="C146" t="s">
        <v>257</v>
      </c>
      <c r="D146" t="s">
        <v>283</v>
      </c>
    </row>
    <row r="147" spans="1:4" x14ac:dyDescent="0.25">
      <c r="A147" t="s">
        <v>284</v>
      </c>
      <c r="B147" s="35">
        <f>'Scenario Parameters'!$B$29</f>
        <v>0.25</v>
      </c>
      <c r="C147" t="s">
        <v>285</v>
      </c>
      <c r="D147" t="s">
        <v>286</v>
      </c>
    </row>
    <row r="148" spans="1:4" x14ac:dyDescent="0.25">
      <c r="A148" t="s">
        <v>287</v>
      </c>
      <c r="B148" s="36">
        <f>'Scenario Parameters'!$B$30</f>
        <v>1</v>
      </c>
      <c r="C148" t="s">
        <v>288</v>
      </c>
      <c r="D148" t="s">
        <v>289</v>
      </c>
    </row>
    <row r="149" spans="1:4" x14ac:dyDescent="0.25">
      <c r="A149" t="s">
        <v>290</v>
      </c>
      <c r="B149" s="35">
        <f>'Scenario Parameters'!$B$34</f>
        <v>0.55000000000000004</v>
      </c>
      <c r="C149" t="s">
        <v>291</v>
      </c>
      <c r="D149" t="s">
        <v>292</v>
      </c>
    </row>
    <row r="150" spans="1:4" x14ac:dyDescent="0.25">
      <c r="A150" t="s">
        <v>293</v>
      </c>
      <c r="B150" s="34">
        <f>'Scenario Parameters'!$B$35</f>
        <v>8</v>
      </c>
      <c r="C150" t="s">
        <v>294</v>
      </c>
      <c r="D150" t="s">
        <v>295</v>
      </c>
    </row>
    <row r="151" spans="1:4" x14ac:dyDescent="0.25">
      <c r="A151" t="s">
        <v>296</v>
      </c>
      <c r="B151" s="35">
        <f>'Scenario Parameters'!$B$39</f>
        <v>0.06</v>
      </c>
      <c r="C151" t="s">
        <v>297</v>
      </c>
      <c r="D151" t="s">
        <v>298</v>
      </c>
    </row>
    <row r="152" spans="1:4" x14ac:dyDescent="0.25">
      <c r="A152" t="s">
        <v>299</v>
      </c>
      <c r="B152" s="35">
        <f>'Scenario Parameters'!$B$40</f>
        <v>0.06</v>
      </c>
      <c r="C152" t="s">
        <v>297</v>
      </c>
      <c r="D152" t="s">
        <v>300</v>
      </c>
    </row>
    <row r="153" spans="1:4" x14ac:dyDescent="0.25">
      <c r="A153" t="s">
        <v>301</v>
      </c>
      <c r="B153" s="36">
        <f>'Scenario Parameters'!$B$41</f>
        <v>1.6</v>
      </c>
      <c r="C153" t="s">
        <v>302</v>
      </c>
      <c r="D153" t="s">
        <v>303</v>
      </c>
    </row>
    <row r="154" spans="1:4" x14ac:dyDescent="0.25">
      <c r="A154" t="s">
        <v>304</v>
      </c>
      <c r="B154" s="36">
        <f>'Scenario Parameters'!$B$42</f>
        <v>1</v>
      </c>
      <c r="C154" t="s">
        <v>305</v>
      </c>
      <c r="D154" t="s">
        <v>306</v>
      </c>
    </row>
    <row r="155" spans="1:4" x14ac:dyDescent="0.25">
      <c r="A155" t="s">
        <v>307</v>
      </c>
      <c r="B155" s="36">
        <f>'Scenario Parameters'!$B$43</f>
        <v>1</v>
      </c>
      <c r="C155" t="s">
        <v>308</v>
      </c>
      <c r="D155" t="s">
        <v>309</v>
      </c>
    </row>
    <row r="156" spans="1:4" x14ac:dyDescent="0.25">
      <c r="A156" t="s">
        <v>310</v>
      </c>
      <c r="B156" s="36">
        <f>'Scenario Parameters'!$B$44</f>
        <v>1.7</v>
      </c>
      <c r="C156" t="s">
        <v>311</v>
      </c>
      <c r="D156" t="s">
        <v>312</v>
      </c>
    </row>
    <row r="157" spans="1:4" x14ac:dyDescent="0.25">
      <c r="A157" t="s">
        <v>313</v>
      </c>
      <c r="B157" s="35">
        <f>'Scenario Parameters'!$B$48</f>
        <v>0.6</v>
      </c>
      <c r="C157" t="s">
        <v>257</v>
      </c>
      <c r="D157" t="s">
        <v>314</v>
      </c>
    </row>
    <row r="158" spans="1:4" x14ac:dyDescent="0.25">
      <c r="A158" t="s">
        <v>315</v>
      </c>
      <c r="B158" s="35">
        <f>'Scenario Parameters'!$B$49</f>
        <v>0.18</v>
      </c>
      <c r="C158" t="s">
        <v>316</v>
      </c>
      <c r="D158" t="s">
        <v>317</v>
      </c>
    </row>
    <row r="159" spans="1:4" x14ac:dyDescent="0.25">
      <c r="A159" t="s">
        <v>318</v>
      </c>
      <c r="B159" s="34">
        <f>'Scenario Parameters'!$B$50</f>
        <v>4</v>
      </c>
      <c r="C159" t="s">
        <v>319</v>
      </c>
      <c r="D159" t="s">
        <v>320</v>
      </c>
    </row>
    <row r="160" spans="1:4" x14ac:dyDescent="0.25">
      <c r="A160" t="s">
        <v>321</v>
      </c>
      <c r="B160" s="35">
        <f>'Scenario Parameters'!$B$51</f>
        <v>0.34</v>
      </c>
      <c r="C160" t="s">
        <v>322</v>
      </c>
      <c r="D160" t="s">
        <v>323</v>
      </c>
    </row>
    <row r="161" spans="1:4" x14ac:dyDescent="0.25">
      <c r="A161" t="s">
        <v>324</v>
      </c>
      <c r="B161" s="36">
        <f>'Scenario Parameters'!$B$52</f>
        <v>0.06</v>
      </c>
      <c r="C161" t="s">
        <v>325</v>
      </c>
      <c r="D161" t="s">
        <v>326</v>
      </c>
    </row>
    <row r="162" spans="1:4" x14ac:dyDescent="0.25">
      <c r="A162" t="s">
        <v>327</v>
      </c>
      <c r="B162" s="36">
        <f>'Scenario Parameters'!$B$53</f>
        <v>0.11</v>
      </c>
      <c r="C162" t="s">
        <v>328</v>
      </c>
      <c r="D162" t="s">
        <v>329</v>
      </c>
    </row>
    <row r="163" spans="1:4" x14ac:dyDescent="0.25">
      <c r="A163" t="s">
        <v>330</v>
      </c>
      <c r="B163" s="35">
        <f>'Scenario Parameters'!$B$54</f>
        <v>0.6</v>
      </c>
      <c r="C163" t="s">
        <v>257</v>
      </c>
      <c r="D163" t="s">
        <v>331</v>
      </c>
    </row>
    <row r="164" spans="1:4" x14ac:dyDescent="0.25">
      <c r="A164" t="s">
        <v>332</v>
      </c>
      <c r="B164" s="35">
        <f>'Scenario Parameters'!$B$55</f>
        <v>0.25</v>
      </c>
      <c r="C164" t="s">
        <v>257</v>
      </c>
      <c r="D164" t="s">
        <v>331</v>
      </c>
    </row>
    <row r="165" spans="1:4" x14ac:dyDescent="0.25">
      <c r="A165" t="s">
        <v>333</v>
      </c>
      <c r="B165" s="35">
        <f>'Scenario Parameters'!$B$56</f>
        <v>0.12</v>
      </c>
      <c r="C165" t="s">
        <v>257</v>
      </c>
      <c r="D165" t="s">
        <v>331</v>
      </c>
    </row>
    <row r="166" spans="1:4" x14ac:dyDescent="0.25">
      <c r="A166" t="s">
        <v>334</v>
      </c>
      <c r="B166" s="35">
        <f>'Scenario Parameters'!$B$57</f>
        <v>0.03</v>
      </c>
      <c r="C166" t="s">
        <v>257</v>
      </c>
      <c r="D166" t="s">
        <v>331</v>
      </c>
    </row>
    <row r="167" spans="1:4" x14ac:dyDescent="0.25">
      <c r="A167" t="s">
        <v>335</v>
      </c>
      <c r="B167" s="34">
        <f>'Scenario Parameters'!$B$58</f>
        <v>250</v>
      </c>
      <c r="C167" t="s">
        <v>63</v>
      </c>
      <c r="D167" t="s">
        <v>336</v>
      </c>
    </row>
    <row r="168" spans="1:4" x14ac:dyDescent="0.25">
      <c r="A168" t="s">
        <v>337</v>
      </c>
      <c r="B168" s="34">
        <f>'Scenario Parameters'!$B$59</f>
        <v>1000</v>
      </c>
      <c r="C168" t="s">
        <v>63</v>
      </c>
      <c r="D168" t="s">
        <v>336</v>
      </c>
    </row>
    <row r="169" spans="1:4" x14ac:dyDescent="0.25">
      <c r="A169" t="s">
        <v>338</v>
      </c>
      <c r="B169" s="34">
        <f>'Scenario Parameters'!$B$60</f>
        <v>2250</v>
      </c>
      <c r="C169" t="s">
        <v>63</v>
      </c>
      <c r="D169" t="s">
        <v>336</v>
      </c>
    </row>
    <row r="170" spans="1:4" x14ac:dyDescent="0.25">
      <c r="A170" t="s">
        <v>339</v>
      </c>
      <c r="B170" s="34">
        <f>'Scenario Parameters'!$B$61</f>
        <v>4000</v>
      </c>
      <c r="C170" t="s">
        <v>63</v>
      </c>
      <c r="D170" t="s">
        <v>336</v>
      </c>
    </row>
    <row r="171" spans="1:4" x14ac:dyDescent="0.25">
      <c r="A171" t="s">
        <v>340</v>
      </c>
      <c r="B171" s="35">
        <f>'Scenario Parameters'!$B$65</f>
        <v>0.5</v>
      </c>
      <c r="C171" t="s">
        <v>257</v>
      </c>
      <c r="D171" t="s">
        <v>341</v>
      </c>
    </row>
    <row r="172" spans="1:4" x14ac:dyDescent="0.25">
      <c r="A172" t="s">
        <v>342</v>
      </c>
      <c r="B172" s="36">
        <f>'Scenario Parameters'!$B$66</f>
        <v>0.42</v>
      </c>
      <c r="C172" t="s">
        <v>343</v>
      </c>
      <c r="D172" t="s">
        <v>344</v>
      </c>
    </row>
    <row r="173" spans="1:4" x14ac:dyDescent="0.25">
      <c r="A173" t="s">
        <v>345</v>
      </c>
      <c r="B173" s="36">
        <f>'Scenario Parameters'!$B$67</f>
        <v>2.1</v>
      </c>
      <c r="C173" t="s">
        <v>346</v>
      </c>
      <c r="D173" t="s">
        <v>347</v>
      </c>
    </row>
    <row r="174" spans="1:4" x14ac:dyDescent="0.25">
      <c r="A174" t="s">
        <v>348</v>
      </c>
      <c r="B174" s="35">
        <f>'Scenario Parameters'!$B$68</f>
        <v>0.15</v>
      </c>
      <c r="C174" t="s">
        <v>349</v>
      </c>
      <c r="D174" t="s">
        <v>350</v>
      </c>
    </row>
    <row r="175" spans="1:4" x14ac:dyDescent="0.25">
      <c r="A175" t="s">
        <v>351</v>
      </c>
      <c r="B175" s="35">
        <f>'Scenario Parameters'!$B$69</f>
        <v>0.25</v>
      </c>
      <c r="C175" t="s">
        <v>251</v>
      </c>
      <c r="D175" t="s">
        <v>352</v>
      </c>
    </row>
    <row r="176" spans="1:4" x14ac:dyDescent="0.25">
      <c r="A176" t="s">
        <v>353</v>
      </c>
      <c r="B176" s="36">
        <f>'Scenario Parameters'!$B$70</f>
        <v>2.5</v>
      </c>
      <c r="C176" t="s">
        <v>354</v>
      </c>
      <c r="D176" t="s">
        <v>355</v>
      </c>
    </row>
    <row r="177" spans="1:4" x14ac:dyDescent="0.25">
      <c r="A177" t="s">
        <v>356</v>
      </c>
      <c r="B177" s="33">
        <f>'Scenario Parameters'!$B$71</f>
        <v>7.1136289102987749E-2</v>
      </c>
      <c r="C177" t="s">
        <v>260</v>
      </c>
      <c r="D177" t="s">
        <v>357</v>
      </c>
    </row>
    <row r="178" spans="1:4" x14ac:dyDescent="0.25">
      <c r="A178" t="s">
        <v>358</v>
      </c>
      <c r="B178" s="34">
        <f>'Scenario Parameters'!$B$72</f>
        <v>0</v>
      </c>
      <c r="C178" t="s">
        <v>359</v>
      </c>
      <c r="D178" t="s">
        <v>360</v>
      </c>
    </row>
    <row r="179" spans="1:4" x14ac:dyDescent="0.25">
      <c r="A179" t="s">
        <v>361</v>
      </c>
      <c r="B179" s="34">
        <f>'Scenario Parameters'!$B$73</f>
        <v>1</v>
      </c>
      <c r="C179" t="s">
        <v>359</v>
      </c>
      <c r="D179" t="s">
        <v>360</v>
      </c>
    </row>
    <row r="180" spans="1:4" x14ac:dyDescent="0.25">
      <c r="A180" t="s">
        <v>362</v>
      </c>
      <c r="B180" s="34">
        <f>'Scenario Parameters'!$B$74</f>
        <v>3</v>
      </c>
      <c r="C180" t="s">
        <v>359</v>
      </c>
      <c r="D180" t="s">
        <v>360</v>
      </c>
    </row>
    <row r="181" spans="1:4" x14ac:dyDescent="0.25">
      <c r="A181" t="s">
        <v>363</v>
      </c>
      <c r="B181" s="34">
        <f>'Scenario Parameters'!$B$75</f>
        <v>5</v>
      </c>
      <c r="C181" t="s">
        <v>359</v>
      </c>
      <c r="D181" t="s">
        <v>360</v>
      </c>
    </row>
    <row r="182" spans="1:4" x14ac:dyDescent="0.25">
      <c r="A182" t="s">
        <v>364</v>
      </c>
      <c r="B182" s="34">
        <f>'Scenario Parameters'!$B$76</f>
        <v>7</v>
      </c>
      <c r="C182" t="s">
        <v>359</v>
      </c>
      <c r="D182" t="s">
        <v>360</v>
      </c>
    </row>
    <row r="183" spans="1:4" x14ac:dyDescent="0.25">
      <c r="A183" t="s">
        <v>365</v>
      </c>
      <c r="B183" s="34">
        <f>'Scenario Parameters'!$B$77</f>
        <v>9</v>
      </c>
      <c r="C183" t="s">
        <v>359</v>
      </c>
      <c r="D183" t="s">
        <v>360</v>
      </c>
    </row>
    <row r="184" spans="1:4" x14ac:dyDescent="0.25">
      <c r="A184" t="s">
        <v>366</v>
      </c>
      <c r="B184" s="34">
        <f>'Scenario Parameters'!$B$78</f>
        <v>11</v>
      </c>
      <c r="C184" t="s">
        <v>359</v>
      </c>
      <c r="D184" t="s">
        <v>360</v>
      </c>
    </row>
    <row r="185" spans="1:4" x14ac:dyDescent="0.25">
      <c r="A185" t="s">
        <v>367</v>
      </c>
      <c r="B185" s="33">
        <f>'Scenario Parameters'!$B$79</f>
        <v>7.4999999999999997E-3</v>
      </c>
      <c r="C185" t="s">
        <v>368</v>
      </c>
      <c r="D185" t="s">
        <v>369</v>
      </c>
    </row>
    <row r="186" spans="1:4" x14ac:dyDescent="0.25">
      <c r="A186" t="s">
        <v>370</v>
      </c>
      <c r="B186" s="34">
        <f>'Scenario Parameters'!$B$80</f>
        <v>900000</v>
      </c>
      <c r="C186" t="s">
        <v>371</v>
      </c>
      <c r="D186" t="s">
        <v>372</v>
      </c>
    </row>
    <row r="187" spans="1:4" x14ac:dyDescent="0.25">
      <c r="A187" t="s">
        <v>373</v>
      </c>
      <c r="B187" s="35">
        <f>'Scenario Parameters'!$B$81</f>
        <v>0.06</v>
      </c>
      <c r="C187" t="s">
        <v>374</v>
      </c>
      <c r="D187" t="s">
        <v>375</v>
      </c>
    </row>
    <row r="188" spans="1:4" x14ac:dyDescent="0.25">
      <c r="A188" t="s">
        <v>376</v>
      </c>
      <c r="B188" s="37">
        <f>'Scenario Parameters'!$B$82</f>
        <v>350</v>
      </c>
      <c r="C188" t="s">
        <v>114</v>
      </c>
      <c r="D188" t="s">
        <v>377</v>
      </c>
    </row>
    <row r="189" spans="1:4" x14ac:dyDescent="0.25">
      <c r="A189" t="s">
        <v>378</v>
      </c>
      <c r="B189" s="37">
        <f>'Scenario Parameters'!$B$83</f>
        <v>18900000</v>
      </c>
      <c r="C189" t="s">
        <v>114</v>
      </c>
      <c r="D189" t="s">
        <v>379</v>
      </c>
    </row>
    <row r="190" spans="1:4" x14ac:dyDescent="0.25">
      <c r="A190" t="s">
        <v>380</v>
      </c>
      <c r="B190" s="37">
        <f>'Scenario Parameters'!$B$87</f>
        <v>33.6</v>
      </c>
      <c r="C190" t="s">
        <v>108</v>
      </c>
      <c r="D190" t="s">
        <v>381</v>
      </c>
    </row>
    <row r="191" spans="1:4" x14ac:dyDescent="0.25">
      <c r="A191" t="s">
        <v>382</v>
      </c>
      <c r="B191" s="37">
        <f>'Scenario Parameters'!$B$88</f>
        <v>26</v>
      </c>
      <c r="C191" t="s">
        <v>108</v>
      </c>
      <c r="D191" t="s">
        <v>381</v>
      </c>
    </row>
    <row r="192" spans="1:4" x14ac:dyDescent="0.25">
      <c r="A192" t="s">
        <v>383</v>
      </c>
      <c r="B192" s="37">
        <f>'Scenario Parameters'!$B$89</f>
        <v>30</v>
      </c>
      <c r="C192" t="s">
        <v>108</v>
      </c>
      <c r="D192" t="s">
        <v>381</v>
      </c>
    </row>
    <row r="193" spans="1:4" x14ac:dyDescent="0.25">
      <c r="A193" t="s">
        <v>384</v>
      </c>
      <c r="B193" s="38">
        <f>'Scenario Parameters'!$B$95</f>
        <v>1.1999999999999999E-3</v>
      </c>
      <c r="C193" t="s">
        <v>385</v>
      </c>
      <c r="D193" t="s">
        <v>386</v>
      </c>
    </row>
    <row r="194" spans="1:4" x14ac:dyDescent="0.25">
      <c r="A194" t="s">
        <v>387</v>
      </c>
      <c r="B194" s="36">
        <f>'Scenario Parameters'!$B$96</f>
        <v>25</v>
      </c>
      <c r="C194" t="s">
        <v>388</v>
      </c>
      <c r="D194" t="s">
        <v>389</v>
      </c>
    </row>
    <row r="195" spans="1:4" x14ac:dyDescent="0.25">
      <c r="A195" t="s">
        <v>390</v>
      </c>
      <c r="B195" s="34">
        <f>'Scenario Parameters'!$B$97</f>
        <v>400000</v>
      </c>
      <c r="C195" t="s">
        <v>391</v>
      </c>
      <c r="D195" t="s">
        <v>392</v>
      </c>
    </row>
    <row r="196" spans="1:4" x14ac:dyDescent="0.25">
      <c r="A196" t="s">
        <v>393</v>
      </c>
      <c r="B196" s="34">
        <f>'Scenario Parameters'!$B$98</f>
        <v>150000</v>
      </c>
      <c r="C196" t="s">
        <v>394</v>
      </c>
      <c r="D196" t="s">
        <v>395</v>
      </c>
    </row>
    <row r="197" spans="1:4" x14ac:dyDescent="0.25">
      <c r="A197" t="s">
        <v>396</v>
      </c>
      <c r="B197" s="34">
        <f>'Scenario Parameters'!$B$99</f>
        <v>20265</v>
      </c>
      <c r="C197" t="s">
        <v>391</v>
      </c>
      <c r="D197" t="s">
        <v>397</v>
      </c>
    </row>
    <row r="198" spans="1:4" x14ac:dyDescent="0.25">
      <c r="A198" t="s">
        <v>398</v>
      </c>
      <c r="B198" s="34">
        <f>'Scenario Parameters'!$B$100</f>
        <v>12035</v>
      </c>
      <c r="C198" t="s">
        <v>394</v>
      </c>
      <c r="D198" t="s">
        <v>399</v>
      </c>
    </row>
    <row r="199" spans="1:4" x14ac:dyDescent="0.25">
      <c r="A199" t="s">
        <v>400</v>
      </c>
      <c r="B199" s="39">
        <f>'Scenario Parameters'!$B$101</f>
        <v>1.85</v>
      </c>
      <c r="C199" t="s">
        <v>401</v>
      </c>
      <c r="D199" t="s">
        <v>402</v>
      </c>
    </row>
    <row r="200" spans="1:4" x14ac:dyDescent="0.25">
      <c r="A200" t="s">
        <v>403</v>
      </c>
      <c r="B200" s="34">
        <f>'Scenario Parameters'!$B$102</f>
        <v>1500000</v>
      </c>
      <c r="C200" t="s">
        <v>394</v>
      </c>
      <c r="D200" t="s">
        <v>404</v>
      </c>
    </row>
    <row r="201" spans="1:4" x14ac:dyDescent="0.25">
      <c r="A201" t="s">
        <v>405</v>
      </c>
      <c r="B201" s="34">
        <f>'Scenario Parameters'!$B$103</f>
        <v>600000</v>
      </c>
      <c r="C201" t="s">
        <v>394</v>
      </c>
      <c r="D201" t="s">
        <v>406</v>
      </c>
    </row>
    <row r="202" spans="1:4" x14ac:dyDescent="0.25">
      <c r="A202" t="s">
        <v>407</v>
      </c>
      <c r="B202" s="36">
        <f>'Scenario Parameters'!$B$104</f>
        <v>1.2</v>
      </c>
      <c r="C202" t="s">
        <v>408</v>
      </c>
      <c r="D202" t="s">
        <v>409</v>
      </c>
    </row>
    <row r="203" spans="1:4" x14ac:dyDescent="0.25">
      <c r="A203" t="s">
        <v>410</v>
      </c>
      <c r="B203" s="37">
        <f>'Scenario Parameters'!$B$105</f>
        <v>45000</v>
      </c>
      <c r="C203" t="s">
        <v>76</v>
      </c>
      <c r="D203" t="s">
        <v>411</v>
      </c>
    </row>
    <row r="204" spans="1:4" x14ac:dyDescent="0.25">
      <c r="A204" t="s">
        <v>412</v>
      </c>
      <c r="B204" s="37">
        <f>'Scenario Parameters'!$B$106</f>
        <v>25000</v>
      </c>
      <c r="C204" t="s">
        <v>76</v>
      </c>
      <c r="D204" t="s">
        <v>413</v>
      </c>
    </row>
    <row r="205" spans="1:4" x14ac:dyDescent="0.25">
      <c r="A205" t="s">
        <v>414</v>
      </c>
      <c r="B205" s="37">
        <f>'Scenario Parameters'!$B$107</f>
        <v>15000</v>
      </c>
      <c r="C205" t="s">
        <v>76</v>
      </c>
      <c r="D205" t="s">
        <v>415</v>
      </c>
    </row>
    <row r="206" spans="1:4" x14ac:dyDescent="0.25">
      <c r="A206" t="s">
        <v>416</v>
      </c>
      <c r="B206" s="37">
        <f>'Scenario Parameters'!$B$108</f>
        <v>40000</v>
      </c>
      <c r="C206" t="s">
        <v>114</v>
      </c>
      <c r="D206" t="s">
        <v>417</v>
      </c>
    </row>
    <row r="207" spans="1:4" x14ac:dyDescent="0.25">
      <c r="A207" t="s">
        <v>418</v>
      </c>
      <c r="B207" s="35">
        <f>'Scenario Parameters'!$B$109</f>
        <v>0.25</v>
      </c>
      <c r="C207" t="s">
        <v>419</v>
      </c>
      <c r="D207" t="s">
        <v>420</v>
      </c>
    </row>
    <row r="208" spans="1:4" x14ac:dyDescent="0.25">
      <c r="A208" t="s">
        <v>421</v>
      </c>
      <c r="B208" s="35">
        <f>'Scenario Parameters'!$B$110</f>
        <v>0.2</v>
      </c>
      <c r="C208" t="s">
        <v>419</v>
      </c>
      <c r="D208" t="s">
        <v>422</v>
      </c>
    </row>
    <row r="209" spans="1:4" x14ac:dyDescent="0.25">
      <c r="A209" t="s">
        <v>423</v>
      </c>
      <c r="B209" s="35">
        <f>'Scenario Parameters'!$B$111</f>
        <v>0.05</v>
      </c>
      <c r="C209" t="s">
        <v>424</v>
      </c>
      <c r="D209" t="s">
        <v>425</v>
      </c>
    </row>
    <row r="210" spans="1:4" x14ac:dyDescent="0.25">
      <c r="A210" t="s">
        <v>426</v>
      </c>
      <c r="B210" s="35">
        <f>'Scenario Parameters'!$B$112</f>
        <v>0.2</v>
      </c>
      <c r="C210" t="s">
        <v>419</v>
      </c>
      <c r="D210" t="s">
        <v>427</v>
      </c>
    </row>
    <row r="211" spans="1:4" x14ac:dyDescent="0.25">
      <c r="A211" t="s">
        <v>428</v>
      </c>
      <c r="B211" s="35">
        <f>'Scenario Parameters'!$B$113</f>
        <v>0.1</v>
      </c>
      <c r="C211" t="s">
        <v>419</v>
      </c>
      <c r="D211" t="s">
        <v>429</v>
      </c>
    </row>
    <row r="212" spans="1:4" x14ac:dyDescent="0.25">
      <c r="A212" t="s">
        <v>430</v>
      </c>
      <c r="B212" s="35">
        <f>'Scenario Parameters'!$B$114</f>
        <v>0.3</v>
      </c>
      <c r="C212" t="s">
        <v>431</v>
      </c>
      <c r="D212" t="s">
        <v>432</v>
      </c>
    </row>
    <row r="213" spans="1:4" x14ac:dyDescent="0.25">
      <c r="A213" t="s">
        <v>433</v>
      </c>
      <c r="B213" s="37">
        <f>'Scenario Parameters'!$B$115</f>
        <v>30000</v>
      </c>
      <c r="C213" t="s">
        <v>76</v>
      </c>
      <c r="D213" t="s">
        <v>434</v>
      </c>
    </row>
    <row r="214" spans="1:4" x14ac:dyDescent="0.25">
      <c r="A214" t="s">
        <v>435</v>
      </c>
      <c r="B214" s="37">
        <f>'Scenario Parameters'!$B$116</f>
        <v>50000</v>
      </c>
      <c r="C214" t="s">
        <v>114</v>
      </c>
      <c r="D214" t="s">
        <v>436</v>
      </c>
    </row>
    <row r="215" spans="1:4" x14ac:dyDescent="0.25">
      <c r="A215" t="s">
        <v>437</v>
      </c>
      <c r="B215" s="39">
        <f>'Scenario Parameters'!$B$117</f>
        <v>4</v>
      </c>
      <c r="C215" t="s">
        <v>438</v>
      </c>
      <c r="D215" t="s">
        <v>439</v>
      </c>
    </row>
    <row r="216" spans="1:4" x14ac:dyDescent="0.25">
      <c r="A216" t="s">
        <v>440</v>
      </c>
      <c r="B216" s="39">
        <f>'Scenario Parameters'!$B$118</f>
        <v>0.03</v>
      </c>
      <c r="C216" t="s">
        <v>441</v>
      </c>
      <c r="D216" t="s">
        <v>442</v>
      </c>
    </row>
    <row r="217" spans="1:4" x14ac:dyDescent="0.25">
      <c r="A217" t="s">
        <v>443</v>
      </c>
      <c r="B217" s="33">
        <f>'Scenario Parameters'!$B$119</f>
        <v>8.0000000000000004E-4</v>
      </c>
      <c r="C217" t="s">
        <v>51</v>
      </c>
      <c r="D217" t="s">
        <v>444</v>
      </c>
    </row>
    <row r="218" spans="1:4" x14ac:dyDescent="0.25">
      <c r="A218" t="s">
        <v>445</v>
      </c>
      <c r="B218" s="33">
        <f>'Scenario Parameters'!$B$120</f>
        <v>1.4E-2</v>
      </c>
      <c r="C218" t="s">
        <v>446</v>
      </c>
      <c r="D218" t="s">
        <v>447</v>
      </c>
    </row>
    <row r="219" spans="1:4" x14ac:dyDescent="0.25">
      <c r="A219" t="s">
        <v>448</v>
      </c>
      <c r="B219" s="35">
        <f>'Scenario Parameters'!$B$121</f>
        <v>0.1</v>
      </c>
      <c r="C219" t="s">
        <v>449</v>
      </c>
      <c r="D219" t="s">
        <v>450</v>
      </c>
    </row>
    <row r="220" spans="1:4" x14ac:dyDescent="0.25">
      <c r="A220" t="s">
        <v>451</v>
      </c>
      <c r="B220" s="36">
        <f>'Scenario Parameters'!$B$122</f>
        <v>2</v>
      </c>
      <c r="C220" t="s">
        <v>254</v>
      </c>
      <c r="D220" t="s">
        <v>452</v>
      </c>
    </row>
    <row r="221" spans="1:4" x14ac:dyDescent="0.25">
      <c r="A221" t="s">
        <v>453</v>
      </c>
      <c r="B221" s="37">
        <f>'Scenario Parameters'!$B$123</f>
        <v>100000</v>
      </c>
      <c r="C221" t="s">
        <v>114</v>
      </c>
      <c r="D221" t="s">
        <v>454</v>
      </c>
    </row>
    <row r="222" spans="1:4" x14ac:dyDescent="0.25">
      <c r="A222" t="s">
        <v>455</v>
      </c>
      <c r="B222" s="37">
        <f>'Scenario Parameters'!$B$124</f>
        <v>350000</v>
      </c>
      <c r="C222" t="s">
        <v>114</v>
      </c>
      <c r="D222" t="s">
        <v>456</v>
      </c>
    </row>
    <row r="223" spans="1:4" x14ac:dyDescent="0.25">
      <c r="A223" t="s">
        <v>457</v>
      </c>
      <c r="B223" s="37">
        <f>'Scenario Parameters'!$B$125</f>
        <v>150000</v>
      </c>
      <c r="C223" t="s">
        <v>114</v>
      </c>
      <c r="D223" t="s">
        <v>458</v>
      </c>
    </row>
    <row r="224" spans="1:4" x14ac:dyDescent="0.25">
      <c r="A224" t="s">
        <v>459</v>
      </c>
      <c r="B224" s="37">
        <f>'Scenario Parameters'!$B$126</f>
        <v>120000</v>
      </c>
      <c r="C224" t="s">
        <v>76</v>
      </c>
      <c r="D224" t="s">
        <v>460</v>
      </c>
    </row>
    <row r="225" spans="1:4" x14ac:dyDescent="0.25">
      <c r="A225" t="s">
        <v>461</v>
      </c>
      <c r="B225" s="35">
        <f>'Scenario Parameters'!$B$127</f>
        <v>0.15</v>
      </c>
      <c r="C225" t="s">
        <v>462</v>
      </c>
      <c r="D225" t="s">
        <v>463</v>
      </c>
    </row>
    <row r="226" spans="1:4" x14ac:dyDescent="0.25">
      <c r="A226" t="s">
        <v>464</v>
      </c>
      <c r="B226" s="39">
        <f>'Scenario Parameters'!$B$128</f>
        <v>299</v>
      </c>
      <c r="C226" t="s">
        <v>108</v>
      </c>
      <c r="D226" t="s">
        <v>465</v>
      </c>
    </row>
    <row r="227" spans="1:4" x14ac:dyDescent="0.25">
      <c r="A227" t="s">
        <v>466</v>
      </c>
      <c r="B227" s="34">
        <f>'Scenario Parameters'!$B$130</f>
        <v>0</v>
      </c>
      <c r="C227" t="s">
        <v>467</v>
      </c>
      <c r="D227" t="s">
        <v>468</v>
      </c>
    </row>
    <row r="228" spans="1:4" x14ac:dyDescent="0.25">
      <c r="A228" t="s">
        <v>469</v>
      </c>
      <c r="B228" s="34">
        <f>'Scenario Parameters'!$B$131</f>
        <v>1</v>
      </c>
      <c r="C228" t="s">
        <v>467</v>
      </c>
      <c r="D228" t="s">
        <v>470</v>
      </c>
    </row>
    <row r="229" spans="1:4" x14ac:dyDescent="0.25">
      <c r="A229" t="s">
        <v>471</v>
      </c>
      <c r="B229" s="34">
        <f>'Scenario Parameters'!$B$132</f>
        <v>1</v>
      </c>
      <c r="C229" t="s">
        <v>467</v>
      </c>
      <c r="D229" t="s">
        <v>472</v>
      </c>
    </row>
    <row r="230" spans="1:4" x14ac:dyDescent="0.25">
      <c r="A230" t="s">
        <v>473</v>
      </c>
      <c r="B230" s="34">
        <f>'Scenario Parameters'!$B$133</f>
        <v>0</v>
      </c>
      <c r="C230" t="s">
        <v>467</v>
      </c>
      <c r="D230" t="s">
        <v>474</v>
      </c>
    </row>
    <row r="231" spans="1:4" x14ac:dyDescent="0.25">
      <c r="A231" s="9" t="s">
        <v>475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33"/>
  <sheetViews>
    <sheetView showGridLines="0" workbookViewId="0">
      <pane xSplit="1" ySplit="7" topLeftCell="B8" activePane="bottomRight" state="frozen"/>
      <selection pane="topRight"/>
      <selection pane="bottomLeft"/>
      <selection pane="bottomRight" activeCell="B6" sqref="B6"/>
    </sheetView>
  </sheetViews>
  <sheetFormatPr defaultRowHeight="15" x14ac:dyDescent="0.25"/>
  <cols>
    <col min="1" max="1" width="50" customWidth="1"/>
    <col min="2" max="2" width="15" customWidth="1"/>
    <col min="3" max="5" width="14" customWidth="1"/>
    <col min="6" max="6" width="24" customWidth="1"/>
    <col min="7" max="7" width="118" customWidth="1"/>
  </cols>
  <sheetData>
    <row r="1" spans="1:7" ht="23.25" x14ac:dyDescent="0.35">
      <c r="A1" s="10" t="str">
        <f>Cover!$B$2</f>
        <v>Aurumix Revenue Model</v>
      </c>
    </row>
    <row r="2" spans="1:7" ht="18.75" x14ac:dyDescent="0.3">
      <c r="A2" s="11" t="s">
        <v>476</v>
      </c>
    </row>
    <row r="4" spans="1:7" ht="18" customHeight="1" x14ac:dyDescent="0.25">
      <c r="A4" s="12" t="s">
        <v>477</v>
      </c>
      <c r="B4" s="13"/>
      <c r="C4" s="13"/>
      <c r="D4" s="13"/>
      <c r="E4" s="13"/>
    </row>
    <row r="6" spans="1:7" x14ac:dyDescent="0.25">
      <c r="A6" s="3" t="s">
        <v>478</v>
      </c>
      <c r="B6" s="40" t="s">
        <v>479</v>
      </c>
      <c r="C6">
        <f>IF($B$6="Base",1,IF($B$6="Aggressive",2,3))</f>
        <v>1</v>
      </c>
      <c r="D6" s="23" t="s">
        <v>480</v>
      </c>
      <c r="G6" s="9" t="s">
        <v>481</v>
      </c>
    </row>
    <row r="8" spans="1:7" ht="18" customHeight="1" x14ac:dyDescent="0.25">
      <c r="A8" s="12" t="s">
        <v>482</v>
      </c>
      <c r="B8" s="13"/>
      <c r="C8" s="13"/>
      <c r="D8" s="13"/>
      <c r="E8" s="13"/>
    </row>
    <row r="9" spans="1:7" x14ac:dyDescent="0.25">
      <c r="A9" s="14" t="s">
        <v>30</v>
      </c>
      <c r="B9" s="14" t="s">
        <v>483</v>
      </c>
      <c r="C9" s="14" t="s">
        <v>479</v>
      </c>
      <c r="D9" s="14" t="s">
        <v>484</v>
      </c>
      <c r="E9" s="14" t="s">
        <v>485</v>
      </c>
      <c r="F9" s="14" t="s">
        <v>32</v>
      </c>
    </row>
    <row r="10" spans="1:7" x14ac:dyDescent="0.25">
      <c r="A10" t="s">
        <v>250</v>
      </c>
      <c r="B10" s="41">
        <f>CHOOSE($C$6,C10,D10,E10)</f>
        <v>8.1000000000000003E-2</v>
      </c>
      <c r="C10" s="16">
        <v>8.1000000000000003E-2</v>
      </c>
      <c r="D10" s="16">
        <v>0.12</v>
      </c>
      <c r="E10" s="16">
        <v>0</v>
      </c>
      <c r="F10" s="23" t="s">
        <v>251</v>
      </c>
      <c r="G10" s="9" t="s">
        <v>252</v>
      </c>
    </row>
    <row r="11" spans="1:7" x14ac:dyDescent="0.25">
      <c r="A11" t="s">
        <v>253</v>
      </c>
      <c r="B11" s="31">
        <f>CHOOSE($C$6,C11,D11,E11)</f>
        <v>10</v>
      </c>
      <c r="C11" s="17">
        <v>10</v>
      </c>
      <c r="D11" s="17">
        <v>6</v>
      </c>
      <c r="E11" s="17">
        <v>20</v>
      </c>
      <c r="F11" s="23" t="s">
        <v>254</v>
      </c>
      <c r="G11" s="9" t="s">
        <v>255</v>
      </c>
    </row>
    <row r="13" spans="1:7" ht="18" customHeight="1" x14ac:dyDescent="0.25">
      <c r="A13" s="12" t="s">
        <v>486</v>
      </c>
      <c r="B13" s="13"/>
      <c r="C13" s="13"/>
      <c r="D13" s="13"/>
      <c r="E13" s="13"/>
    </row>
    <row r="14" spans="1:7" x14ac:dyDescent="0.25">
      <c r="A14" s="14" t="s">
        <v>30</v>
      </c>
      <c r="B14" s="14" t="s">
        <v>483</v>
      </c>
      <c r="C14" s="14" t="s">
        <v>479</v>
      </c>
      <c r="D14" s="14" t="s">
        <v>484</v>
      </c>
      <c r="E14" s="14" t="s">
        <v>485</v>
      </c>
      <c r="F14" s="14" t="s">
        <v>32</v>
      </c>
    </row>
    <row r="15" spans="1:7" x14ac:dyDescent="0.25">
      <c r="A15" t="s">
        <v>256</v>
      </c>
      <c r="B15" s="42">
        <f>CHOOSE($C$6,C15,D15,E15)</f>
        <v>0.55000000000000004</v>
      </c>
      <c r="C15" s="19">
        <v>0.55000000000000004</v>
      </c>
      <c r="D15" s="19">
        <v>0.65</v>
      </c>
      <c r="E15" s="19">
        <v>0.45</v>
      </c>
      <c r="F15" s="23" t="s">
        <v>257</v>
      </c>
      <c r="G15" s="9" t="s">
        <v>258</v>
      </c>
    </row>
    <row r="16" spans="1:7" x14ac:dyDescent="0.25">
      <c r="A16" t="s">
        <v>259</v>
      </c>
      <c r="B16" s="41">
        <f>1-'Scenario Parameters'!$B$15^(1/12)</f>
        <v>4.8599101001747691E-2</v>
      </c>
      <c r="F16" s="23" t="s">
        <v>260</v>
      </c>
      <c r="G16" s="9" t="s">
        <v>261</v>
      </c>
    </row>
    <row r="17" spans="1:7" x14ac:dyDescent="0.25">
      <c r="A17" t="s">
        <v>262</v>
      </c>
      <c r="B17" s="43">
        <f t="shared" ref="B17:B30" si="0">CHOOSE($C$6,C17,D17,E17)</f>
        <v>6</v>
      </c>
      <c r="C17" s="15">
        <v>6</v>
      </c>
      <c r="D17" s="15">
        <v>9</v>
      </c>
      <c r="E17" s="15">
        <v>3</v>
      </c>
      <c r="F17" s="23" t="s">
        <v>263</v>
      </c>
      <c r="G17" s="9" t="s">
        <v>264</v>
      </c>
    </row>
    <row r="18" spans="1:7" x14ac:dyDescent="0.25">
      <c r="A18" t="s">
        <v>265</v>
      </c>
      <c r="B18" s="44">
        <f t="shared" si="0"/>
        <v>85</v>
      </c>
      <c r="C18" s="20">
        <v>85</v>
      </c>
      <c r="D18" s="20">
        <v>55</v>
      </c>
      <c r="E18" s="20">
        <v>140</v>
      </c>
      <c r="F18" s="23" t="s">
        <v>266</v>
      </c>
      <c r="G18" s="9" t="s">
        <v>267</v>
      </c>
    </row>
    <row r="19" spans="1:7" x14ac:dyDescent="0.25">
      <c r="A19" t="s">
        <v>268</v>
      </c>
      <c r="B19" s="44">
        <f t="shared" si="0"/>
        <v>75</v>
      </c>
      <c r="C19" s="20">
        <v>75</v>
      </c>
      <c r="D19" s="20">
        <v>50</v>
      </c>
      <c r="E19" s="20">
        <v>125</v>
      </c>
      <c r="F19" s="23" t="s">
        <v>266</v>
      </c>
      <c r="G19" s="9" t="s">
        <v>267</v>
      </c>
    </row>
    <row r="20" spans="1:7" x14ac:dyDescent="0.25">
      <c r="A20" t="s">
        <v>269</v>
      </c>
      <c r="B20" s="44">
        <f t="shared" si="0"/>
        <v>15</v>
      </c>
      <c r="C20" s="20">
        <v>15</v>
      </c>
      <c r="D20" s="20">
        <v>9</v>
      </c>
      <c r="E20" s="20">
        <v>26</v>
      </c>
      <c r="F20" s="23" t="s">
        <v>266</v>
      </c>
      <c r="G20" s="9" t="s">
        <v>267</v>
      </c>
    </row>
    <row r="21" spans="1:7" x14ac:dyDescent="0.25">
      <c r="A21" t="s">
        <v>270</v>
      </c>
      <c r="B21" s="44">
        <f t="shared" si="0"/>
        <v>55</v>
      </c>
      <c r="C21" s="20">
        <v>55</v>
      </c>
      <c r="D21" s="20">
        <v>36</v>
      </c>
      <c r="E21" s="20">
        <v>91</v>
      </c>
      <c r="F21" s="23" t="s">
        <v>266</v>
      </c>
      <c r="G21" s="9" t="s">
        <v>271</v>
      </c>
    </row>
    <row r="22" spans="1:7" x14ac:dyDescent="0.25">
      <c r="A22" t="s">
        <v>272</v>
      </c>
      <c r="B22" s="44">
        <f t="shared" si="0"/>
        <v>45</v>
      </c>
      <c r="C22" s="20">
        <v>45</v>
      </c>
      <c r="D22" s="20">
        <v>30</v>
      </c>
      <c r="E22" s="20">
        <v>75</v>
      </c>
      <c r="F22" s="23" t="s">
        <v>266</v>
      </c>
      <c r="G22" s="9" t="s">
        <v>271</v>
      </c>
    </row>
    <row r="23" spans="1:7" x14ac:dyDescent="0.25">
      <c r="A23" t="s">
        <v>273</v>
      </c>
      <c r="B23" s="44">
        <f t="shared" si="0"/>
        <v>10</v>
      </c>
      <c r="C23" s="20">
        <v>10</v>
      </c>
      <c r="D23" s="20">
        <v>6</v>
      </c>
      <c r="E23" s="20">
        <v>17</v>
      </c>
      <c r="F23" s="23" t="s">
        <v>266</v>
      </c>
      <c r="G23" s="9" t="s">
        <v>271</v>
      </c>
    </row>
    <row r="24" spans="1:7" x14ac:dyDescent="0.25">
      <c r="A24" t="s">
        <v>274</v>
      </c>
      <c r="B24" s="42">
        <f t="shared" si="0"/>
        <v>0.74</v>
      </c>
      <c r="C24" s="19">
        <v>0.74</v>
      </c>
      <c r="D24" s="19">
        <v>0.74</v>
      </c>
      <c r="E24" s="19">
        <v>0.74</v>
      </c>
      <c r="F24" s="23" t="s">
        <v>275</v>
      </c>
      <c r="G24" s="9" t="s">
        <v>276</v>
      </c>
    </row>
    <row r="25" spans="1:7" x14ac:dyDescent="0.25">
      <c r="A25" t="s">
        <v>277</v>
      </c>
      <c r="B25" s="42">
        <f t="shared" si="0"/>
        <v>0.18</v>
      </c>
      <c r="C25" s="19">
        <v>0.18</v>
      </c>
      <c r="D25" s="19">
        <v>0.18</v>
      </c>
      <c r="E25" s="19">
        <v>0.18</v>
      </c>
      <c r="F25" s="23" t="s">
        <v>275</v>
      </c>
      <c r="G25" s="9" t="s">
        <v>276</v>
      </c>
    </row>
    <row r="26" spans="1:7" x14ac:dyDescent="0.25">
      <c r="A26" t="s">
        <v>278</v>
      </c>
      <c r="B26" s="42">
        <f t="shared" si="0"/>
        <v>0.08</v>
      </c>
      <c r="C26" s="19">
        <v>0.08</v>
      </c>
      <c r="D26" s="19">
        <v>0.08</v>
      </c>
      <c r="E26" s="19">
        <v>0.08</v>
      </c>
      <c r="F26" s="23" t="s">
        <v>275</v>
      </c>
      <c r="G26" s="9" t="s">
        <v>276</v>
      </c>
    </row>
    <row r="27" spans="1:7" x14ac:dyDescent="0.25">
      <c r="A27" t="s">
        <v>279</v>
      </c>
      <c r="B27" s="43">
        <f t="shared" si="0"/>
        <v>0.6</v>
      </c>
      <c r="C27" s="15">
        <v>0.6</v>
      </c>
      <c r="D27" s="15">
        <v>1.1000000000000001</v>
      </c>
      <c r="E27" s="15">
        <v>0.25</v>
      </c>
      <c r="F27" s="23" t="s">
        <v>280</v>
      </c>
      <c r="G27" s="9" t="s">
        <v>281</v>
      </c>
    </row>
    <row r="28" spans="1:7" x14ac:dyDescent="0.25">
      <c r="A28" t="s">
        <v>282</v>
      </c>
      <c r="B28" s="42">
        <f t="shared" si="0"/>
        <v>0.62</v>
      </c>
      <c r="C28" s="19">
        <v>0.62</v>
      </c>
      <c r="D28" s="19">
        <v>0.72</v>
      </c>
      <c r="E28" s="19">
        <v>0.48</v>
      </c>
      <c r="F28" s="23" t="s">
        <v>257</v>
      </c>
      <c r="G28" s="9" t="s">
        <v>283</v>
      </c>
    </row>
    <row r="29" spans="1:7" x14ac:dyDescent="0.25">
      <c r="A29" t="s">
        <v>284</v>
      </c>
      <c r="B29" s="42">
        <f t="shared" si="0"/>
        <v>0.25</v>
      </c>
      <c r="C29" s="19">
        <v>0.25</v>
      </c>
      <c r="D29" s="19">
        <v>0.4</v>
      </c>
      <c r="E29" s="19">
        <v>0.1</v>
      </c>
      <c r="F29" s="23" t="s">
        <v>285</v>
      </c>
      <c r="G29" s="9" t="s">
        <v>286</v>
      </c>
    </row>
    <row r="30" spans="1:7" x14ac:dyDescent="0.25">
      <c r="A30" t="s">
        <v>287</v>
      </c>
      <c r="B30" s="43">
        <f t="shared" si="0"/>
        <v>1</v>
      </c>
      <c r="C30" s="15">
        <v>1</v>
      </c>
      <c r="D30" s="15">
        <v>1.4</v>
      </c>
      <c r="E30" s="15">
        <v>0.6</v>
      </c>
      <c r="F30" s="23" t="s">
        <v>288</v>
      </c>
      <c r="G30" s="9" t="s">
        <v>289</v>
      </c>
    </row>
    <row r="32" spans="1:7" ht="18" customHeight="1" x14ac:dyDescent="0.25">
      <c r="A32" s="12" t="s">
        <v>487</v>
      </c>
      <c r="B32" s="13"/>
      <c r="C32" s="13"/>
      <c r="D32" s="13"/>
      <c r="E32" s="13"/>
    </row>
    <row r="33" spans="1:7" x14ac:dyDescent="0.25">
      <c r="A33" s="14" t="s">
        <v>30</v>
      </c>
      <c r="B33" s="14" t="s">
        <v>483</v>
      </c>
      <c r="C33" s="14" t="s">
        <v>479</v>
      </c>
      <c r="D33" s="14" t="s">
        <v>484</v>
      </c>
      <c r="E33" s="14" t="s">
        <v>485</v>
      </c>
      <c r="F33" s="14" t="s">
        <v>32</v>
      </c>
    </row>
    <row r="34" spans="1:7" x14ac:dyDescent="0.25">
      <c r="A34" t="s">
        <v>290</v>
      </c>
      <c r="B34" s="42">
        <f>CHOOSE($C$6,C34,D34,E34)</f>
        <v>0.55000000000000004</v>
      </c>
      <c r="C34" s="19">
        <v>0.55000000000000004</v>
      </c>
      <c r="D34" s="19">
        <v>0.65</v>
      </c>
      <c r="E34" s="19">
        <v>0.45</v>
      </c>
      <c r="F34" s="23" t="s">
        <v>291</v>
      </c>
      <c r="G34" s="9" t="s">
        <v>292</v>
      </c>
    </row>
    <row r="35" spans="1:7" x14ac:dyDescent="0.25">
      <c r="A35" t="s">
        <v>293</v>
      </c>
      <c r="B35" s="31">
        <f>CHOOSE($C$6,C35,D35,E35)</f>
        <v>8</v>
      </c>
      <c r="C35" s="17">
        <v>8</v>
      </c>
      <c r="D35" s="17">
        <v>6</v>
      </c>
      <c r="E35" s="17">
        <v>11</v>
      </c>
      <c r="F35" s="23" t="s">
        <v>294</v>
      </c>
      <c r="G35" s="9" t="s">
        <v>295</v>
      </c>
    </row>
    <row r="37" spans="1:7" ht="18" customHeight="1" x14ac:dyDescent="0.25">
      <c r="A37" s="12" t="s">
        <v>488</v>
      </c>
      <c r="B37" s="13"/>
      <c r="C37" s="13"/>
      <c r="D37" s="13"/>
      <c r="E37" s="13"/>
    </row>
    <row r="38" spans="1:7" x14ac:dyDescent="0.25">
      <c r="A38" s="14" t="s">
        <v>30</v>
      </c>
      <c r="B38" s="14" t="s">
        <v>483</v>
      </c>
      <c r="C38" s="14" t="s">
        <v>479</v>
      </c>
      <c r="D38" s="14" t="s">
        <v>484</v>
      </c>
      <c r="E38" s="14" t="s">
        <v>485</v>
      </c>
      <c r="F38" s="14" t="s">
        <v>32</v>
      </c>
    </row>
    <row r="39" spans="1:7" x14ac:dyDescent="0.25">
      <c r="A39" t="s">
        <v>296</v>
      </c>
      <c r="B39" s="42">
        <f t="shared" ref="B39:B44" si="1">CHOOSE($C$6,C39,D39,E39)</f>
        <v>0.06</v>
      </c>
      <c r="C39" s="19">
        <v>0.06</v>
      </c>
      <c r="D39" s="19">
        <v>0.03</v>
      </c>
      <c r="E39" s="19">
        <v>0.18</v>
      </c>
      <c r="F39" s="23" t="s">
        <v>297</v>
      </c>
      <c r="G39" s="9" t="s">
        <v>298</v>
      </c>
    </row>
    <row r="40" spans="1:7" x14ac:dyDescent="0.25">
      <c r="A40" t="s">
        <v>299</v>
      </c>
      <c r="B40" s="42">
        <f t="shared" si="1"/>
        <v>0.06</v>
      </c>
      <c r="C40" s="19">
        <v>0.06</v>
      </c>
      <c r="D40" s="19">
        <v>3.5000000000000003E-2</v>
      </c>
      <c r="E40" s="19">
        <v>0.12</v>
      </c>
      <c r="F40" s="23" t="s">
        <v>297</v>
      </c>
      <c r="G40" s="9" t="s">
        <v>300</v>
      </c>
    </row>
    <row r="41" spans="1:7" x14ac:dyDescent="0.25">
      <c r="A41" t="s">
        <v>301</v>
      </c>
      <c r="B41" s="43">
        <f t="shared" si="1"/>
        <v>1.6</v>
      </c>
      <c r="C41" s="15">
        <v>1.6</v>
      </c>
      <c r="D41" s="15">
        <v>1.3</v>
      </c>
      <c r="E41" s="15">
        <v>2.8</v>
      </c>
      <c r="F41" s="23" t="s">
        <v>302</v>
      </c>
      <c r="G41" s="9" t="s">
        <v>303</v>
      </c>
    </row>
    <row r="42" spans="1:7" x14ac:dyDescent="0.25">
      <c r="A42" t="s">
        <v>304</v>
      </c>
      <c r="B42" s="43">
        <f t="shared" si="1"/>
        <v>1</v>
      </c>
      <c r="C42" s="15">
        <v>1</v>
      </c>
      <c r="D42" s="15">
        <v>1.7</v>
      </c>
      <c r="E42" s="15">
        <v>0.5</v>
      </c>
      <c r="F42" s="23" t="s">
        <v>305</v>
      </c>
      <c r="G42" s="9" t="s">
        <v>306</v>
      </c>
    </row>
    <row r="43" spans="1:7" x14ac:dyDescent="0.25">
      <c r="A43" t="s">
        <v>307</v>
      </c>
      <c r="B43" s="43">
        <f t="shared" si="1"/>
        <v>1</v>
      </c>
      <c r="C43" s="15">
        <v>1</v>
      </c>
      <c r="D43" s="15">
        <v>1.35</v>
      </c>
      <c r="E43" s="15">
        <v>0.7</v>
      </c>
      <c r="F43" s="23" t="s">
        <v>308</v>
      </c>
      <c r="G43" s="9" t="s">
        <v>309</v>
      </c>
    </row>
    <row r="44" spans="1:7" x14ac:dyDescent="0.25">
      <c r="A44" t="s">
        <v>310</v>
      </c>
      <c r="B44" s="43">
        <f t="shared" si="1"/>
        <v>1.7</v>
      </c>
      <c r="C44" s="15">
        <v>1.7</v>
      </c>
      <c r="D44" s="15">
        <v>2.4</v>
      </c>
      <c r="E44" s="15">
        <v>1.2</v>
      </c>
      <c r="F44" s="23" t="s">
        <v>311</v>
      </c>
      <c r="G44" s="9" t="s">
        <v>312</v>
      </c>
    </row>
    <row r="46" spans="1:7" ht="18" customHeight="1" x14ac:dyDescent="0.25">
      <c r="A46" s="12" t="s">
        <v>489</v>
      </c>
      <c r="B46" s="13"/>
      <c r="C46" s="13"/>
      <c r="D46" s="13"/>
      <c r="E46" s="13"/>
    </row>
    <row r="47" spans="1:7" x14ac:dyDescent="0.25">
      <c r="A47" s="14" t="s">
        <v>30</v>
      </c>
      <c r="B47" s="14" t="s">
        <v>483</v>
      </c>
      <c r="C47" s="14" t="s">
        <v>479</v>
      </c>
      <c r="D47" s="14" t="s">
        <v>484</v>
      </c>
      <c r="E47" s="14" t="s">
        <v>485</v>
      </c>
      <c r="F47" s="14" t="s">
        <v>32</v>
      </c>
    </row>
    <row r="48" spans="1:7" x14ac:dyDescent="0.25">
      <c r="A48" t="s">
        <v>313</v>
      </c>
      <c r="B48" s="42">
        <f t="shared" ref="B48:B61" si="2">CHOOSE($C$6,C48,D48,E48)</f>
        <v>0.6</v>
      </c>
      <c r="C48" s="19">
        <v>0.6</v>
      </c>
      <c r="D48" s="19">
        <v>0.36</v>
      </c>
      <c r="E48" s="19">
        <v>0.85</v>
      </c>
      <c r="F48" s="23" t="s">
        <v>257</v>
      </c>
      <c r="G48" s="9" t="s">
        <v>314</v>
      </c>
    </row>
    <row r="49" spans="1:7" x14ac:dyDescent="0.25">
      <c r="A49" t="s">
        <v>315</v>
      </c>
      <c r="B49" s="42">
        <f t="shared" si="2"/>
        <v>0.18</v>
      </c>
      <c r="C49" s="19">
        <v>0.18</v>
      </c>
      <c r="D49" s="19">
        <v>0.3</v>
      </c>
      <c r="E49" s="19">
        <v>0.08</v>
      </c>
      <c r="F49" s="23" t="s">
        <v>316</v>
      </c>
      <c r="G49" s="9" t="s">
        <v>317</v>
      </c>
    </row>
    <row r="50" spans="1:7" x14ac:dyDescent="0.25">
      <c r="A50" t="s">
        <v>318</v>
      </c>
      <c r="B50" s="31">
        <f t="shared" si="2"/>
        <v>4</v>
      </c>
      <c r="C50" s="17">
        <v>4</v>
      </c>
      <c r="D50" s="17">
        <v>6</v>
      </c>
      <c r="E50" s="17">
        <v>2</v>
      </c>
      <c r="F50" s="23" t="s">
        <v>319</v>
      </c>
      <c r="G50" s="9" t="s">
        <v>320</v>
      </c>
    </row>
    <row r="51" spans="1:7" x14ac:dyDescent="0.25">
      <c r="A51" t="s">
        <v>321</v>
      </c>
      <c r="B51" s="42">
        <f t="shared" si="2"/>
        <v>0.34</v>
      </c>
      <c r="C51" s="19">
        <v>0.34</v>
      </c>
      <c r="D51" s="19">
        <v>0.45</v>
      </c>
      <c r="E51" s="19">
        <v>0.24</v>
      </c>
      <c r="F51" s="23" t="s">
        <v>322</v>
      </c>
      <c r="G51" s="9" t="s">
        <v>323</v>
      </c>
    </row>
    <row r="52" spans="1:7" x14ac:dyDescent="0.25">
      <c r="A52" t="s">
        <v>324</v>
      </c>
      <c r="B52" s="43">
        <f t="shared" si="2"/>
        <v>0.06</v>
      </c>
      <c r="C52" s="15">
        <v>0.06</v>
      </c>
      <c r="D52" s="15">
        <v>0.04</v>
      </c>
      <c r="E52" s="15">
        <v>0.1</v>
      </c>
      <c r="F52" s="23" t="s">
        <v>325</v>
      </c>
      <c r="G52" s="9" t="s">
        <v>326</v>
      </c>
    </row>
    <row r="53" spans="1:7" x14ac:dyDescent="0.25">
      <c r="A53" t="s">
        <v>327</v>
      </c>
      <c r="B53" s="43">
        <f t="shared" si="2"/>
        <v>0.11</v>
      </c>
      <c r="C53" s="15">
        <v>0.11</v>
      </c>
      <c r="D53" s="15">
        <v>7.0000000000000007E-2</v>
      </c>
      <c r="E53" s="15">
        <v>0.18</v>
      </c>
      <c r="F53" s="23" t="s">
        <v>328</v>
      </c>
      <c r="G53" s="9" t="s">
        <v>329</v>
      </c>
    </row>
    <row r="54" spans="1:7" x14ac:dyDescent="0.25">
      <c r="A54" t="s">
        <v>330</v>
      </c>
      <c r="B54" s="42">
        <f t="shared" si="2"/>
        <v>0.6</v>
      </c>
      <c r="C54" s="19">
        <v>0.6</v>
      </c>
      <c r="D54" s="19">
        <v>0.42</v>
      </c>
      <c r="E54" s="19">
        <v>0.74</v>
      </c>
      <c r="F54" s="23" t="s">
        <v>257</v>
      </c>
      <c r="G54" s="9" t="s">
        <v>331</v>
      </c>
    </row>
    <row r="55" spans="1:7" x14ac:dyDescent="0.25">
      <c r="A55" t="s">
        <v>332</v>
      </c>
      <c r="B55" s="42">
        <f t="shared" si="2"/>
        <v>0.25</v>
      </c>
      <c r="C55" s="19">
        <v>0.25</v>
      </c>
      <c r="D55" s="19">
        <v>0.3</v>
      </c>
      <c r="E55" s="19">
        <v>0.18</v>
      </c>
      <c r="F55" s="23" t="s">
        <v>257</v>
      </c>
      <c r="G55" s="9" t="s">
        <v>331</v>
      </c>
    </row>
    <row r="56" spans="1:7" x14ac:dyDescent="0.25">
      <c r="A56" t="s">
        <v>333</v>
      </c>
      <c r="B56" s="42">
        <f t="shared" si="2"/>
        <v>0.12</v>
      </c>
      <c r="C56" s="19">
        <v>0.12</v>
      </c>
      <c r="D56" s="19">
        <v>0.2</v>
      </c>
      <c r="E56" s="19">
        <v>0.06</v>
      </c>
      <c r="F56" s="23" t="s">
        <v>257</v>
      </c>
      <c r="G56" s="9" t="s">
        <v>331</v>
      </c>
    </row>
    <row r="57" spans="1:7" x14ac:dyDescent="0.25">
      <c r="A57" t="s">
        <v>334</v>
      </c>
      <c r="B57" s="42">
        <f t="shared" si="2"/>
        <v>0.03</v>
      </c>
      <c r="C57" s="19">
        <v>0.03</v>
      </c>
      <c r="D57" s="19">
        <v>0.08</v>
      </c>
      <c r="E57" s="19">
        <v>0.02</v>
      </c>
      <c r="F57" s="23" t="s">
        <v>257</v>
      </c>
      <c r="G57" s="9" t="s">
        <v>331</v>
      </c>
    </row>
    <row r="58" spans="1:7" x14ac:dyDescent="0.25">
      <c r="A58" t="s">
        <v>335</v>
      </c>
      <c r="B58" s="31">
        <f t="shared" si="2"/>
        <v>250</v>
      </c>
      <c r="C58" s="17">
        <v>250</v>
      </c>
      <c r="D58" s="17">
        <v>300</v>
      </c>
      <c r="E58" s="17">
        <v>200</v>
      </c>
      <c r="F58" s="23" t="s">
        <v>63</v>
      </c>
      <c r="G58" s="9" t="s">
        <v>336</v>
      </c>
    </row>
    <row r="59" spans="1:7" x14ac:dyDescent="0.25">
      <c r="A59" t="s">
        <v>337</v>
      </c>
      <c r="B59" s="31">
        <f t="shared" si="2"/>
        <v>1000</v>
      </c>
      <c r="C59" s="17">
        <v>1000</v>
      </c>
      <c r="D59" s="17">
        <v>1100</v>
      </c>
      <c r="E59" s="17">
        <v>900</v>
      </c>
      <c r="F59" s="23" t="s">
        <v>63</v>
      </c>
      <c r="G59" s="9" t="s">
        <v>336</v>
      </c>
    </row>
    <row r="60" spans="1:7" x14ac:dyDescent="0.25">
      <c r="A60" t="s">
        <v>338</v>
      </c>
      <c r="B60" s="31">
        <f t="shared" si="2"/>
        <v>2250</v>
      </c>
      <c r="C60" s="17">
        <v>2250</v>
      </c>
      <c r="D60" s="17">
        <v>2400</v>
      </c>
      <c r="E60" s="17">
        <v>2100</v>
      </c>
      <c r="F60" s="23" t="s">
        <v>63</v>
      </c>
      <c r="G60" s="9" t="s">
        <v>336</v>
      </c>
    </row>
    <row r="61" spans="1:7" x14ac:dyDescent="0.25">
      <c r="A61" t="s">
        <v>339</v>
      </c>
      <c r="B61" s="31">
        <f t="shared" si="2"/>
        <v>4000</v>
      </c>
      <c r="C61" s="17">
        <v>4000</v>
      </c>
      <c r="D61" s="17">
        <v>4500</v>
      </c>
      <c r="E61" s="17">
        <v>3600</v>
      </c>
      <c r="F61" s="23" t="s">
        <v>63</v>
      </c>
      <c r="G61" s="9" t="s">
        <v>336</v>
      </c>
    </row>
    <row r="63" spans="1:7" ht="18" customHeight="1" x14ac:dyDescent="0.25">
      <c r="A63" s="12" t="s">
        <v>490</v>
      </c>
      <c r="B63" s="13"/>
      <c r="C63" s="13"/>
      <c r="D63" s="13"/>
      <c r="E63" s="13"/>
    </row>
    <row r="64" spans="1:7" x14ac:dyDescent="0.25">
      <c r="A64" s="14" t="s">
        <v>30</v>
      </c>
      <c r="B64" s="14" t="s">
        <v>483</v>
      </c>
      <c r="C64" s="14" t="s">
        <v>479</v>
      </c>
      <c r="D64" s="14" t="s">
        <v>484</v>
      </c>
      <c r="E64" s="14" t="s">
        <v>485</v>
      </c>
      <c r="F64" s="14" t="s">
        <v>32</v>
      </c>
    </row>
    <row r="65" spans="1:7" x14ac:dyDescent="0.25">
      <c r="A65" t="s">
        <v>340</v>
      </c>
      <c r="B65" s="42">
        <f t="shared" ref="B65:B70" si="3">CHOOSE($C$6,C65,D65,E65)</f>
        <v>0.5</v>
      </c>
      <c r="C65" s="19">
        <v>0.5</v>
      </c>
      <c r="D65" s="19">
        <v>0.7</v>
      </c>
      <c r="E65" s="19">
        <v>0.3</v>
      </c>
      <c r="F65" s="23" t="s">
        <v>257</v>
      </c>
      <c r="G65" s="9" t="s">
        <v>341</v>
      </c>
    </row>
    <row r="66" spans="1:7" x14ac:dyDescent="0.25">
      <c r="A66" t="s">
        <v>342</v>
      </c>
      <c r="B66" s="43">
        <f t="shared" si="3"/>
        <v>0.42</v>
      </c>
      <c r="C66" s="15">
        <v>0.42</v>
      </c>
      <c r="D66" s="15">
        <v>0.55000000000000004</v>
      </c>
      <c r="E66" s="15">
        <v>0.3</v>
      </c>
      <c r="F66" s="23" t="s">
        <v>343</v>
      </c>
      <c r="G66" s="9" t="s">
        <v>344</v>
      </c>
    </row>
    <row r="67" spans="1:7" x14ac:dyDescent="0.25">
      <c r="A67" t="s">
        <v>345</v>
      </c>
      <c r="B67" s="43">
        <f t="shared" si="3"/>
        <v>2.1</v>
      </c>
      <c r="C67" s="15">
        <v>2.1</v>
      </c>
      <c r="D67" s="15">
        <v>3.2</v>
      </c>
      <c r="E67" s="15">
        <v>1.3</v>
      </c>
      <c r="F67" s="23" t="s">
        <v>346</v>
      </c>
      <c r="G67" s="9" t="s">
        <v>347</v>
      </c>
    </row>
    <row r="68" spans="1:7" x14ac:dyDescent="0.25">
      <c r="A68" t="s">
        <v>348</v>
      </c>
      <c r="B68" s="42">
        <f t="shared" si="3"/>
        <v>0.15</v>
      </c>
      <c r="C68" s="19">
        <v>0.15</v>
      </c>
      <c r="D68" s="19">
        <v>0.25</v>
      </c>
      <c r="E68" s="19">
        <v>0.08</v>
      </c>
      <c r="F68" s="23" t="s">
        <v>349</v>
      </c>
      <c r="G68" s="9" t="s">
        <v>350</v>
      </c>
    </row>
    <row r="69" spans="1:7" x14ac:dyDescent="0.25">
      <c r="A69" t="s">
        <v>351</v>
      </c>
      <c r="B69" s="42">
        <f t="shared" si="3"/>
        <v>0.25</v>
      </c>
      <c r="C69" s="19">
        <v>0.25</v>
      </c>
      <c r="D69" s="19">
        <v>0.15</v>
      </c>
      <c r="E69" s="19">
        <v>0.4</v>
      </c>
      <c r="F69" s="23" t="s">
        <v>251</v>
      </c>
      <c r="G69" s="9" t="s">
        <v>352</v>
      </c>
    </row>
    <row r="70" spans="1:7" x14ac:dyDescent="0.25">
      <c r="A70" t="s">
        <v>353</v>
      </c>
      <c r="B70" s="43">
        <f t="shared" si="3"/>
        <v>2.5</v>
      </c>
      <c r="C70" s="15">
        <v>2.5</v>
      </c>
      <c r="D70" s="15">
        <v>3.5</v>
      </c>
      <c r="E70" s="15">
        <v>1.6</v>
      </c>
      <c r="F70" s="23" t="s">
        <v>354</v>
      </c>
      <c r="G70" s="9" t="s">
        <v>355</v>
      </c>
    </row>
    <row r="71" spans="1:7" x14ac:dyDescent="0.25">
      <c r="A71" t="s">
        <v>356</v>
      </c>
      <c r="B71" s="41">
        <f>1-(1-'Scenario Parameters'!$B$16)*(1-'Scenario Parameters'!$B$69)^(1/12)</f>
        <v>7.1136289102987749E-2</v>
      </c>
      <c r="F71" s="23" t="s">
        <v>260</v>
      </c>
      <c r="G71" s="9" t="s">
        <v>357</v>
      </c>
    </row>
    <row r="72" spans="1:7" x14ac:dyDescent="0.25">
      <c r="A72" t="s">
        <v>358</v>
      </c>
      <c r="B72" s="31">
        <f t="shared" ref="B72:B82" si="4">CHOOSE($C$6,C72,D72,E72)</f>
        <v>0</v>
      </c>
      <c r="C72" s="17">
        <v>0</v>
      </c>
      <c r="D72" s="17">
        <v>0</v>
      </c>
      <c r="E72" s="17">
        <v>0</v>
      </c>
      <c r="F72" s="23" t="s">
        <v>359</v>
      </c>
      <c r="G72" s="9" t="s">
        <v>360</v>
      </c>
    </row>
    <row r="73" spans="1:7" x14ac:dyDescent="0.25">
      <c r="A73" t="s">
        <v>361</v>
      </c>
      <c r="B73" s="31">
        <f t="shared" si="4"/>
        <v>1</v>
      </c>
      <c r="C73" s="17">
        <v>1</v>
      </c>
      <c r="D73" s="17">
        <v>2</v>
      </c>
      <c r="E73" s="17">
        <v>1</v>
      </c>
      <c r="F73" s="23" t="s">
        <v>359</v>
      </c>
      <c r="G73" s="9" t="s">
        <v>360</v>
      </c>
    </row>
    <row r="74" spans="1:7" x14ac:dyDescent="0.25">
      <c r="A74" t="s">
        <v>362</v>
      </c>
      <c r="B74" s="31">
        <f t="shared" si="4"/>
        <v>3</v>
      </c>
      <c r="C74" s="17">
        <v>3</v>
      </c>
      <c r="D74" s="17">
        <v>5</v>
      </c>
      <c r="E74" s="17">
        <v>1</v>
      </c>
      <c r="F74" s="23" t="s">
        <v>359</v>
      </c>
      <c r="G74" s="9" t="s">
        <v>360</v>
      </c>
    </row>
    <row r="75" spans="1:7" x14ac:dyDescent="0.25">
      <c r="A75" t="s">
        <v>363</v>
      </c>
      <c r="B75" s="31">
        <f t="shared" si="4"/>
        <v>5</v>
      </c>
      <c r="C75" s="17">
        <v>5</v>
      </c>
      <c r="D75" s="17">
        <v>8</v>
      </c>
      <c r="E75" s="17">
        <v>2</v>
      </c>
      <c r="F75" s="23" t="s">
        <v>359</v>
      </c>
      <c r="G75" s="9" t="s">
        <v>360</v>
      </c>
    </row>
    <row r="76" spans="1:7" x14ac:dyDescent="0.25">
      <c r="A76" t="s">
        <v>364</v>
      </c>
      <c r="B76" s="31">
        <f t="shared" si="4"/>
        <v>7</v>
      </c>
      <c r="C76" s="17">
        <v>7</v>
      </c>
      <c r="D76" s="17">
        <v>11</v>
      </c>
      <c r="E76" s="17">
        <v>3</v>
      </c>
      <c r="F76" s="23" t="s">
        <v>359</v>
      </c>
      <c r="G76" s="9" t="s">
        <v>360</v>
      </c>
    </row>
    <row r="77" spans="1:7" x14ac:dyDescent="0.25">
      <c r="A77" t="s">
        <v>365</v>
      </c>
      <c r="B77" s="31">
        <f t="shared" si="4"/>
        <v>9</v>
      </c>
      <c r="C77" s="17">
        <v>9</v>
      </c>
      <c r="D77" s="17">
        <v>14</v>
      </c>
      <c r="E77" s="17">
        <v>4</v>
      </c>
      <c r="F77" s="23" t="s">
        <v>359</v>
      </c>
      <c r="G77" s="9" t="s">
        <v>360</v>
      </c>
    </row>
    <row r="78" spans="1:7" x14ac:dyDescent="0.25">
      <c r="A78" t="s">
        <v>366</v>
      </c>
      <c r="B78" s="31">
        <f t="shared" si="4"/>
        <v>11</v>
      </c>
      <c r="C78" s="17">
        <v>11</v>
      </c>
      <c r="D78" s="17">
        <v>17</v>
      </c>
      <c r="E78" s="17">
        <v>5</v>
      </c>
      <c r="F78" s="23" t="s">
        <v>359</v>
      </c>
      <c r="G78" s="9" t="s">
        <v>360</v>
      </c>
    </row>
    <row r="79" spans="1:7" x14ac:dyDescent="0.25">
      <c r="A79" t="s">
        <v>367</v>
      </c>
      <c r="B79" s="41">
        <f t="shared" si="4"/>
        <v>7.4999999999999997E-3</v>
      </c>
      <c r="C79" s="16">
        <v>7.4999999999999997E-3</v>
      </c>
      <c r="D79" s="16">
        <v>8.9999999999999993E-3</v>
      </c>
      <c r="E79" s="16">
        <v>5.0000000000000001E-3</v>
      </c>
      <c r="F79" s="23" t="s">
        <v>368</v>
      </c>
      <c r="G79" s="9" t="s">
        <v>369</v>
      </c>
    </row>
    <row r="80" spans="1:7" x14ac:dyDescent="0.25">
      <c r="A80" t="s">
        <v>370</v>
      </c>
      <c r="B80" s="31">
        <f t="shared" si="4"/>
        <v>900000</v>
      </c>
      <c r="C80" s="17">
        <v>900000</v>
      </c>
      <c r="D80" s="17">
        <v>1400000</v>
      </c>
      <c r="E80" s="17">
        <v>500000</v>
      </c>
      <c r="F80" s="23" t="s">
        <v>371</v>
      </c>
      <c r="G80" s="9" t="s">
        <v>372</v>
      </c>
    </row>
    <row r="81" spans="1:7" x14ac:dyDescent="0.25">
      <c r="A81" t="s">
        <v>373</v>
      </c>
      <c r="B81" s="42">
        <f t="shared" si="4"/>
        <v>0.06</v>
      </c>
      <c r="C81" s="19">
        <v>0.06</v>
      </c>
      <c r="D81" s="19">
        <v>0.1</v>
      </c>
      <c r="E81" s="19">
        <v>0.03</v>
      </c>
      <c r="F81" s="23" t="s">
        <v>374</v>
      </c>
      <c r="G81" s="9" t="s">
        <v>375</v>
      </c>
    </row>
    <row r="82" spans="1:7" x14ac:dyDescent="0.25">
      <c r="A82" t="s">
        <v>376</v>
      </c>
      <c r="B82" s="44">
        <f t="shared" si="4"/>
        <v>350</v>
      </c>
      <c r="C82" s="20">
        <v>350</v>
      </c>
      <c r="D82" s="20">
        <v>500</v>
      </c>
      <c r="E82" s="20">
        <v>220</v>
      </c>
      <c r="F82" s="23" t="s">
        <v>114</v>
      </c>
      <c r="G82" s="9" t="s">
        <v>377</v>
      </c>
    </row>
    <row r="83" spans="1:7" x14ac:dyDescent="0.25">
      <c r="A83" t="s">
        <v>378</v>
      </c>
      <c r="B83" s="44">
        <f>'Scenario Parameters'!$B$80*'Scenario Parameters'!$B$81*'Scenario Parameters'!$B$82</f>
        <v>18900000</v>
      </c>
      <c r="F83" s="23" t="s">
        <v>114</v>
      </c>
      <c r="G83" s="9" t="s">
        <v>379</v>
      </c>
    </row>
    <row r="85" spans="1:7" ht="18" customHeight="1" x14ac:dyDescent="0.25">
      <c r="A85" s="12" t="s">
        <v>491</v>
      </c>
      <c r="B85" s="13"/>
      <c r="C85" s="13"/>
      <c r="D85" s="13"/>
      <c r="E85" s="13"/>
    </row>
    <row r="86" spans="1:7" x14ac:dyDescent="0.25">
      <c r="A86" s="14" t="s">
        <v>30</v>
      </c>
      <c r="B86" s="14" t="s">
        <v>483</v>
      </c>
      <c r="C86" s="14" t="s">
        <v>479</v>
      </c>
      <c r="D86" s="14" t="s">
        <v>484</v>
      </c>
      <c r="E86" s="14" t="s">
        <v>485</v>
      </c>
      <c r="F86" s="14" t="s">
        <v>32</v>
      </c>
    </row>
    <row r="87" spans="1:7" x14ac:dyDescent="0.25">
      <c r="A87" t="s">
        <v>380</v>
      </c>
      <c r="B87" s="44">
        <f>CHOOSE($C$6,C87,D87,E87)</f>
        <v>33.6</v>
      </c>
      <c r="C87" s="20">
        <v>33.6</v>
      </c>
      <c r="D87" s="20">
        <v>41</v>
      </c>
      <c r="E87" s="20">
        <v>26.5</v>
      </c>
      <c r="F87" s="23" t="s">
        <v>108</v>
      </c>
      <c r="G87" s="9" t="s">
        <v>381</v>
      </c>
    </row>
    <row r="88" spans="1:7" x14ac:dyDescent="0.25">
      <c r="A88" t="s">
        <v>382</v>
      </c>
      <c r="B88" s="44">
        <f>CHOOSE($C$6,C88,D88,E88)</f>
        <v>26</v>
      </c>
      <c r="C88" s="20">
        <v>26</v>
      </c>
      <c r="D88" s="20">
        <v>32</v>
      </c>
      <c r="E88" s="20">
        <v>21</v>
      </c>
      <c r="F88" s="23" t="s">
        <v>108</v>
      </c>
      <c r="G88" s="9" t="s">
        <v>381</v>
      </c>
    </row>
    <row r="89" spans="1:7" x14ac:dyDescent="0.25">
      <c r="A89" t="s">
        <v>383</v>
      </c>
      <c r="B89" s="44">
        <f>CHOOSE($C$6,C89,D89,E89)</f>
        <v>30</v>
      </c>
      <c r="C89" s="20">
        <v>30</v>
      </c>
      <c r="D89" s="20">
        <v>36</v>
      </c>
      <c r="E89" s="20">
        <v>24</v>
      </c>
      <c r="F89" s="23" t="s">
        <v>108</v>
      </c>
      <c r="G89" s="9" t="s">
        <v>381</v>
      </c>
    </row>
    <row r="91" spans="1:7" ht="18" customHeight="1" x14ac:dyDescent="0.25">
      <c r="A91" s="12" t="s">
        <v>492</v>
      </c>
      <c r="B91" s="13"/>
      <c r="C91" s="13"/>
      <c r="D91" s="13"/>
      <c r="E91" s="13"/>
    </row>
    <row r="92" spans="1:7" x14ac:dyDescent="0.25">
      <c r="A92" s="14" t="s">
        <v>493</v>
      </c>
      <c r="B92" s="14" t="s">
        <v>494</v>
      </c>
      <c r="C92" s="14" t="s">
        <v>495</v>
      </c>
      <c r="D92" s="14" t="s">
        <v>496</v>
      </c>
    </row>
    <row r="93" spans="1:7" ht="18" customHeight="1" x14ac:dyDescent="0.25">
      <c r="A93" s="12" t="s">
        <v>497</v>
      </c>
      <c r="B93" s="13"/>
      <c r="C93" s="13"/>
      <c r="D93" s="13"/>
      <c r="E93" s="13"/>
    </row>
    <row r="94" spans="1:7" x14ac:dyDescent="0.25">
      <c r="A94" s="14" t="s">
        <v>30</v>
      </c>
      <c r="B94" s="14" t="s">
        <v>483</v>
      </c>
      <c r="C94" s="14" t="s">
        <v>479</v>
      </c>
      <c r="D94" s="14" t="s">
        <v>484</v>
      </c>
      <c r="E94" s="14" t="s">
        <v>485</v>
      </c>
      <c r="F94" s="14" t="s">
        <v>32</v>
      </c>
    </row>
    <row r="95" spans="1:7" x14ac:dyDescent="0.25">
      <c r="A95" t="s">
        <v>384</v>
      </c>
      <c r="B95" s="45">
        <f t="shared" ref="B95:B128" si="5">CHOOSE($C$6,C95,D95,E95)</f>
        <v>1.1999999999999999E-3</v>
      </c>
      <c r="C95" s="46">
        <v>1.1999999999999999E-3</v>
      </c>
      <c r="D95" s="46">
        <v>2.5999999999999998E-4</v>
      </c>
      <c r="E95" s="46">
        <v>4.0000000000000001E-3</v>
      </c>
      <c r="F95" s="23" t="s">
        <v>385</v>
      </c>
      <c r="G95" s="9" t="s">
        <v>386</v>
      </c>
    </row>
    <row r="96" spans="1:7" x14ac:dyDescent="0.25">
      <c r="A96" t="s">
        <v>387</v>
      </c>
      <c r="B96" s="43">
        <f t="shared" si="5"/>
        <v>25</v>
      </c>
      <c r="C96" s="15">
        <v>25</v>
      </c>
      <c r="D96" s="15">
        <v>5</v>
      </c>
      <c r="E96" s="15">
        <v>65</v>
      </c>
      <c r="F96" s="23" t="s">
        <v>388</v>
      </c>
      <c r="G96" s="9" t="s">
        <v>389</v>
      </c>
    </row>
    <row r="97" spans="1:7" x14ac:dyDescent="0.25">
      <c r="A97" t="s">
        <v>390</v>
      </c>
      <c r="B97" s="31">
        <f t="shared" si="5"/>
        <v>400000</v>
      </c>
      <c r="C97" s="17">
        <v>400000</v>
      </c>
      <c r="D97" s="17">
        <v>200000</v>
      </c>
      <c r="E97" s="17">
        <v>600000</v>
      </c>
      <c r="F97" s="23" t="s">
        <v>391</v>
      </c>
      <c r="G97" s="9" t="s">
        <v>392</v>
      </c>
    </row>
    <row r="98" spans="1:7" x14ac:dyDescent="0.25">
      <c r="A98" t="s">
        <v>393</v>
      </c>
      <c r="B98" s="31">
        <f t="shared" si="5"/>
        <v>150000</v>
      </c>
      <c r="C98" s="17">
        <v>150000</v>
      </c>
      <c r="D98" s="17">
        <v>100000</v>
      </c>
      <c r="E98" s="17">
        <v>200000</v>
      </c>
      <c r="F98" s="23" t="s">
        <v>394</v>
      </c>
      <c r="G98" s="9" t="s">
        <v>395</v>
      </c>
    </row>
    <row r="99" spans="1:7" x14ac:dyDescent="0.25">
      <c r="A99" t="s">
        <v>396</v>
      </c>
      <c r="B99" s="31">
        <f t="shared" si="5"/>
        <v>20265</v>
      </c>
      <c r="C99" s="17">
        <v>20265</v>
      </c>
      <c r="D99" s="17">
        <v>20265</v>
      </c>
      <c r="E99" s="17">
        <v>20265</v>
      </c>
      <c r="F99" s="23" t="s">
        <v>391</v>
      </c>
      <c r="G99" s="9" t="s">
        <v>397</v>
      </c>
    </row>
    <row r="100" spans="1:7" x14ac:dyDescent="0.25">
      <c r="A100" t="s">
        <v>398</v>
      </c>
      <c r="B100" s="31">
        <f t="shared" si="5"/>
        <v>12035</v>
      </c>
      <c r="C100" s="17">
        <v>12035</v>
      </c>
      <c r="D100" s="17">
        <v>12035</v>
      </c>
      <c r="E100" s="17">
        <v>12035</v>
      </c>
      <c r="F100" s="23" t="s">
        <v>394</v>
      </c>
      <c r="G100" s="9" t="s">
        <v>399</v>
      </c>
    </row>
    <row r="101" spans="1:7" x14ac:dyDescent="0.25">
      <c r="A101" t="s">
        <v>400</v>
      </c>
      <c r="B101" s="47">
        <f t="shared" si="5"/>
        <v>1.85</v>
      </c>
      <c r="C101" s="18">
        <v>1.85</v>
      </c>
      <c r="D101" s="18">
        <v>1.35</v>
      </c>
      <c r="E101" s="18">
        <v>1.85</v>
      </c>
      <c r="F101" s="23" t="s">
        <v>401</v>
      </c>
      <c r="G101" s="9" t="s">
        <v>402</v>
      </c>
    </row>
    <row r="102" spans="1:7" x14ac:dyDescent="0.25">
      <c r="A102" t="s">
        <v>403</v>
      </c>
      <c r="B102" s="31">
        <f t="shared" si="5"/>
        <v>1500000</v>
      </c>
      <c r="C102" s="17">
        <v>1500000</v>
      </c>
      <c r="D102" s="17">
        <v>1500000</v>
      </c>
      <c r="E102" s="17">
        <v>1500000</v>
      </c>
      <c r="F102" s="23" t="s">
        <v>394</v>
      </c>
      <c r="G102" s="9" t="s">
        <v>404</v>
      </c>
    </row>
    <row r="103" spans="1:7" x14ac:dyDescent="0.25">
      <c r="A103" t="s">
        <v>405</v>
      </c>
      <c r="B103" s="31">
        <f t="shared" si="5"/>
        <v>600000</v>
      </c>
      <c r="C103" s="17">
        <v>600000</v>
      </c>
      <c r="D103" s="17">
        <v>0</v>
      </c>
      <c r="E103" s="17">
        <v>1200000</v>
      </c>
      <c r="F103" s="23" t="s">
        <v>394</v>
      </c>
      <c r="G103" s="9" t="s">
        <v>406</v>
      </c>
    </row>
    <row r="104" spans="1:7" x14ac:dyDescent="0.25">
      <c r="A104" t="s">
        <v>407</v>
      </c>
      <c r="B104" s="43">
        <f t="shared" si="5"/>
        <v>1.2</v>
      </c>
      <c r="C104" s="15">
        <v>1.2</v>
      </c>
      <c r="D104" s="15">
        <v>1.2</v>
      </c>
      <c r="E104" s="15">
        <v>1.2</v>
      </c>
      <c r="F104" s="23" t="s">
        <v>408</v>
      </c>
      <c r="G104" s="9" t="s">
        <v>409</v>
      </c>
    </row>
    <row r="105" spans="1:7" x14ac:dyDescent="0.25">
      <c r="A105" t="s">
        <v>410</v>
      </c>
      <c r="B105" s="44">
        <f t="shared" si="5"/>
        <v>45000</v>
      </c>
      <c r="C105" s="20">
        <v>45000</v>
      </c>
      <c r="D105" s="20">
        <v>20000</v>
      </c>
      <c r="E105" s="20">
        <v>90000</v>
      </c>
      <c r="F105" s="23" t="s">
        <v>76</v>
      </c>
      <c r="G105" s="9" t="s">
        <v>411</v>
      </c>
    </row>
    <row r="106" spans="1:7" x14ac:dyDescent="0.25">
      <c r="A106" t="s">
        <v>412</v>
      </c>
      <c r="B106" s="44">
        <f t="shared" si="5"/>
        <v>25000</v>
      </c>
      <c r="C106" s="20">
        <v>25000</v>
      </c>
      <c r="D106" s="20">
        <v>12000</v>
      </c>
      <c r="E106" s="20">
        <v>60000</v>
      </c>
      <c r="F106" s="23" t="s">
        <v>76</v>
      </c>
      <c r="G106" s="9" t="s">
        <v>413</v>
      </c>
    </row>
    <row r="107" spans="1:7" x14ac:dyDescent="0.25">
      <c r="A107" t="s">
        <v>414</v>
      </c>
      <c r="B107" s="44">
        <f t="shared" si="5"/>
        <v>15000</v>
      </c>
      <c r="C107" s="20">
        <v>15000</v>
      </c>
      <c r="D107" s="20">
        <v>6000</v>
      </c>
      <c r="E107" s="20">
        <v>35000</v>
      </c>
      <c r="F107" s="23" t="s">
        <v>76</v>
      </c>
      <c r="G107" s="9" t="s">
        <v>415</v>
      </c>
    </row>
    <row r="108" spans="1:7" x14ac:dyDescent="0.25">
      <c r="A108" t="s">
        <v>416</v>
      </c>
      <c r="B108" s="44">
        <f t="shared" si="5"/>
        <v>40000</v>
      </c>
      <c r="C108" s="20">
        <v>40000</v>
      </c>
      <c r="D108" s="20">
        <v>20000</v>
      </c>
      <c r="E108" s="20">
        <v>75000</v>
      </c>
      <c r="F108" s="23" t="s">
        <v>114</v>
      </c>
      <c r="G108" s="9" t="s">
        <v>417</v>
      </c>
    </row>
    <row r="109" spans="1:7" x14ac:dyDescent="0.25">
      <c r="A109" t="s">
        <v>418</v>
      </c>
      <c r="B109" s="42">
        <f t="shared" si="5"/>
        <v>0.25</v>
      </c>
      <c r="C109" s="19">
        <v>0.25</v>
      </c>
      <c r="D109" s="19">
        <v>0.15</v>
      </c>
      <c r="E109" s="19">
        <v>0.4</v>
      </c>
      <c r="F109" s="23" t="s">
        <v>419</v>
      </c>
      <c r="G109" s="9" t="s">
        <v>420</v>
      </c>
    </row>
    <row r="110" spans="1:7" x14ac:dyDescent="0.25">
      <c r="A110" t="s">
        <v>421</v>
      </c>
      <c r="B110" s="42">
        <f t="shared" si="5"/>
        <v>0.2</v>
      </c>
      <c r="C110" s="19">
        <v>0.2</v>
      </c>
      <c r="D110" s="19">
        <v>0.1</v>
      </c>
      <c r="E110" s="19">
        <v>0.35</v>
      </c>
      <c r="F110" s="23" t="s">
        <v>419</v>
      </c>
      <c r="G110" s="9" t="s">
        <v>422</v>
      </c>
    </row>
    <row r="111" spans="1:7" x14ac:dyDescent="0.25">
      <c r="A111" t="s">
        <v>423</v>
      </c>
      <c r="B111" s="42">
        <f t="shared" si="5"/>
        <v>0.05</v>
      </c>
      <c r="C111" s="19">
        <v>0.05</v>
      </c>
      <c r="D111" s="19">
        <v>0.03</v>
      </c>
      <c r="E111" s="19">
        <v>0.1</v>
      </c>
      <c r="F111" s="23" t="s">
        <v>424</v>
      </c>
      <c r="G111" s="9" t="s">
        <v>425</v>
      </c>
    </row>
    <row r="112" spans="1:7" x14ac:dyDescent="0.25">
      <c r="A112" t="s">
        <v>426</v>
      </c>
      <c r="B112" s="42">
        <f t="shared" si="5"/>
        <v>0.2</v>
      </c>
      <c r="C112" s="19">
        <v>0.2</v>
      </c>
      <c r="D112" s="19">
        <v>0.1</v>
      </c>
      <c r="E112" s="19">
        <v>0.35</v>
      </c>
      <c r="F112" s="23" t="s">
        <v>419</v>
      </c>
      <c r="G112" s="9" t="s">
        <v>427</v>
      </c>
    </row>
    <row r="113" spans="1:7" x14ac:dyDescent="0.25">
      <c r="A113" t="s">
        <v>428</v>
      </c>
      <c r="B113" s="42">
        <f t="shared" si="5"/>
        <v>0.1</v>
      </c>
      <c r="C113" s="19">
        <v>0.1</v>
      </c>
      <c r="D113" s="19">
        <v>0.05</v>
      </c>
      <c r="E113" s="19">
        <v>0.15</v>
      </c>
      <c r="F113" s="23" t="s">
        <v>419</v>
      </c>
      <c r="G113" s="9" t="s">
        <v>429</v>
      </c>
    </row>
    <row r="114" spans="1:7" x14ac:dyDescent="0.25">
      <c r="A114" t="s">
        <v>430</v>
      </c>
      <c r="B114" s="42">
        <f t="shared" si="5"/>
        <v>0.3</v>
      </c>
      <c r="C114" s="19">
        <v>0.3</v>
      </c>
      <c r="D114" s="19">
        <v>0.2</v>
      </c>
      <c r="E114" s="19">
        <v>0.4</v>
      </c>
      <c r="F114" s="23" t="s">
        <v>431</v>
      </c>
      <c r="G114" s="9" t="s">
        <v>432</v>
      </c>
    </row>
    <row r="115" spans="1:7" x14ac:dyDescent="0.25">
      <c r="A115" t="s">
        <v>433</v>
      </c>
      <c r="B115" s="44">
        <f t="shared" si="5"/>
        <v>30000</v>
      </c>
      <c r="C115" s="20">
        <v>30000</v>
      </c>
      <c r="D115" s="20">
        <v>18000</v>
      </c>
      <c r="E115" s="20">
        <v>72000</v>
      </c>
      <c r="F115" s="23" t="s">
        <v>76</v>
      </c>
      <c r="G115" s="9" t="s">
        <v>434</v>
      </c>
    </row>
    <row r="116" spans="1:7" x14ac:dyDescent="0.25">
      <c r="A116" t="s">
        <v>435</v>
      </c>
      <c r="B116" s="44">
        <f t="shared" si="5"/>
        <v>50000</v>
      </c>
      <c r="C116" s="20">
        <v>50000</v>
      </c>
      <c r="D116" s="20">
        <v>25000</v>
      </c>
      <c r="E116" s="20">
        <v>100000</v>
      </c>
      <c r="F116" s="23" t="s">
        <v>114</v>
      </c>
      <c r="G116" s="9" t="s">
        <v>436</v>
      </c>
    </row>
    <row r="117" spans="1:7" x14ac:dyDescent="0.25">
      <c r="A117" t="s">
        <v>437</v>
      </c>
      <c r="B117" s="47">
        <f t="shared" si="5"/>
        <v>4</v>
      </c>
      <c r="C117" s="18">
        <v>4</v>
      </c>
      <c r="D117" s="18">
        <v>2</v>
      </c>
      <c r="E117" s="18">
        <v>8</v>
      </c>
      <c r="F117" s="23" t="s">
        <v>438</v>
      </c>
      <c r="G117" s="9" t="s">
        <v>439</v>
      </c>
    </row>
    <row r="118" spans="1:7" x14ac:dyDescent="0.25">
      <c r="A118" t="s">
        <v>440</v>
      </c>
      <c r="B118" s="47">
        <f t="shared" si="5"/>
        <v>0.03</v>
      </c>
      <c r="C118" s="18">
        <v>0.03</v>
      </c>
      <c r="D118" s="18">
        <v>0.02</v>
      </c>
      <c r="E118" s="18">
        <v>0.06</v>
      </c>
      <c r="F118" s="23" t="s">
        <v>441</v>
      </c>
      <c r="G118" s="9" t="s">
        <v>442</v>
      </c>
    </row>
    <row r="119" spans="1:7" x14ac:dyDescent="0.25">
      <c r="A119" t="s">
        <v>443</v>
      </c>
      <c r="B119" s="41">
        <f t="shared" si="5"/>
        <v>8.0000000000000004E-4</v>
      </c>
      <c r="C119" s="16">
        <v>8.0000000000000004E-4</v>
      </c>
      <c r="D119" s="16">
        <v>4.0000000000000002E-4</v>
      </c>
      <c r="E119" s="16">
        <v>2E-3</v>
      </c>
      <c r="F119" s="23" t="s">
        <v>51</v>
      </c>
      <c r="G119" s="9" t="s">
        <v>444</v>
      </c>
    </row>
    <row r="120" spans="1:7" x14ac:dyDescent="0.25">
      <c r="A120" t="s">
        <v>445</v>
      </c>
      <c r="B120" s="41">
        <f t="shared" si="5"/>
        <v>1.4E-2</v>
      </c>
      <c r="C120" s="16">
        <v>1.4E-2</v>
      </c>
      <c r="D120" s="16">
        <v>0.01</v>
      </c>
      <c r="E120" s="16">
        <v>1.4E-2</v>
      </c>
      <c r="F120" s="23" t="s">
        <v>446</v>
      </c>
      <c r="G120" s="9" t="s">
        <v>447</v>
      </c>
    </row>
    <row r="121" spans="1:7" x14ac:dyDescent="0.25">
      <c r="A121" t="s">
        <v>448</v>
      </c>
      <c r="B121" s="42">
        <f t="shared" si="5"/>
        <v>0.1</v>
      </c>
      <c r="C121" s="19">
        <v>0.1</v>
      </c>
      <c r="D121" s="19">
        <v>0.05</v>
      </c>
      <c r="E121" s="19">
        <v>0.2</v>
      </c>
      <c r="F121" s="23" t="s">
        <v>449</v>
      </c>
      <c r="G121" s="9" t="s">
        <v>450</v>
      </c>
    </row>
    <row r="122" spans="1:7" x14ac:dyDescent="0.25">
      <c r="A122" t="s">
        <v>451</v>
      </c>
      <c r="B122" s="43">
        <f t="shared" si="5"/>
        <v>2</v>
      </c>
      <c r="C122" s="15">
        <v>2</v>
      </c>
      <c r="D122" s="15">
        <v>1</v>
      </c>
      <c r="E122" s="15">
        <v>3</v>
      </c>
      <c r="F122" s="23" t="s">
        <v>254</v>
      </c>
      <c r="G122" s="9" t="s">
        <v>452</v>
      </c>
    </row>
    <row r="123" spans="1:7" x14ac:dyDescent="0.25">
      <c r="A123" t="s">
        <v>453</v>
      </c>
      <c r="B123" s="44">
        <f t="shared" si="5"/>
        <v>100000</v>
      </c>
      <c r="C123" s="20">
        <v>100000</v>
      </c>
      <c r="D123" s="20">
        <v>50000</v>
      </c>
      <c r="E123" s="20">
        <v>250000</v>
      </c>
      <c r="F123" s="23" t="s">
        <v>114</v>
      </c>
      <c r="G123" s="9" t="s">
        <v>454</v>
      </c>
    </row>
    <row r="124" spans="1:7" x14ac:dyDescent="0.25">
      <c r="A124" t="s">
        <v>455</v>
      </c>
      <c r="B124" s="44">
        <f t="shared" si="5"/>
        <v>350000</v>
      </c>
      <c r="C124" s="20">
        <v>350000</v>
      </c>
      <c r="D124" s="20">
        <v>200000</v>
      </c>
      <c r="E124" s="20">
        <v>600000</v>
      </c>
      <c r="F124" s="23" t="s">
        <v>114</v>
      </c>
      <c r="G124" s="9" t="s">
        <v>456</v>
      </c>
    </row>
    <row r="125" spans="1:7" x14ac:dyDescent="0.25">
      <c r="A125" t="s">
        <v>457</v>
      </c>
      <c r="B125" s="44">
        <f t="shared" si="5"/>
        <v>150000</v>
      </c>
      <c r="C125" s="20">
        <v>150000</v>
      </c>
      <c r="D125" s="20">
        <v>80000</v>
      </c>
      <c r="E125" s="20">
        <v>300000</v>
      </c>
      <c r="F125" s="23" t="s">
        <v>114</v>
      </c>
      <c r="G125" s="9" t="s">
        <v>458</v>
      </c>
    </row>
    <row r="126" spans="1:7" x14ac:dyDescent="0.25">
      <c r="A126" t="s">
        <v>459</v>
      </c>
      <c r="B126" s="44">
        <f t="shared" si="5"/>
        <v>120000</v>
      </c>
      <c r="C126" s="20">
        <v>120000</v>
      </c>
      <c r="D126" s="20">
        <v>70000</v>
      </c>
      <c r="E126" s="20">
        <v>220000</v>
      </c>
      <c r="F126" s="23" t="s">
        <v>76</v>
      </c>
      <c r="G126" s="9" t="s">
        <v>460</v>
      </c>
    </row>
    <row r="127" spans="1:7" x14ac:dyDescent="0.25">
      <c r="A127" t="s">
        <v>461</v>
      </c>
      <c r="B127" s="42">
        <f t="shared" si="5"/>
        <v>0.15</v>
      </c>
      <c r="C127" s="19">
        <v>0.15</v>
      </c>
      <c r="D127" s="19">
        <v>0.1</v>
      </c>
      <c r="E127" s="19">
        <v>0.3</v>
      </c>
      <c r="F127" s="23" t="s">
        <v>462</v>
      </c>
      <c r="G127" s="9" t="s">
        <v>463</v>
      </c>
    </row>
    <row r="128" spans="1:7" x14ac:dyDescent="0.25">
      <c r="A128" t="s">
        <v>464</v>
      </c>
      <c r="B128" s="47">
        <f t="shared" si="5"/>
        <v>299</v>
      </c>
      <c r="C128" s="18">
        <v>299</v>
      </c>
      <c r="D128" s="18">
        <v>149</v>
      </c>
      <c r="E128" s="18">
        <v>299</v>
      </c>
      <c r="F128" s="23" t="s">
        <v>108</v>
      </c>
      <c r="G128" s="9" t="s">
        <v>465</v>
      </c>
    </row>
    <row r="130" spans="1:7" x14ac:dyDescent="0.25">
      <c r="A130" t="s">
        <v>466</v>
      </c>
      <c r="B130" s="31">
        <f>IF($C$130="Prepaid",1,0)</f>
        <v>0</v>
      </c>
      <c r="C130" s="40" t="s">
        <v>498</v>
      </c>
      <c r="D130" s="23" t="s">
        <v>499</v>
      </c>
      <c r="G130" s="9" t="s">
        <v>468</v>
      </c>
    </row>
    <row r="131" spans="1:7" x14ac:dyDescent="0.25">
      <c r="A131" t="s">
        <v>469</v>
      </c>
      <c r="B131" s="31">
        <f>IF($C$131="ON",1,0)</f>
        <v>1</v>
      </c>
      <c r="C131" s="40" t="s">
        <v>500</v>
      </c>
      <c r="D131" s="23" t="s">
        <v>500</v>
      </c>
      <c r="G131" s="9" t="s">
        <v>470</v>
      </c>
    </row>
    <row r="132" spans="1:7" x14ac:dyDescent="0.25">
      <c r="A132" t="s">
        <v>471</v>
      </c>
      <c r="B132" s="31">
        <f>IF($C$132="Aurumix",1,0)</f>
        <v>1</v>
      </c>
      <c r="C132" s="40" t="s">
        <v>501</v>
      </c>
      <c r="D132" s="23" t="s">
        <v>501</v>
      </c>
      <c r="G132" s="9" t="s">
        <v>472</v>
      </c>
    </row>
    <row r="133" spans="1:7" x14ac:dyDescent="0.25">
      <c r="A133" t="s">
        <v>473</v>
      </c>
      <c r="B133" s="31">
        <f>IF($C$133="Gross",1,0)</f>
        <v>0</v>
      </c>
      <c r="C133" s="40" t="s">
        <v>502</v>
      </c>
      <c r="D133" s="23" t="s">
        <v>503</v>
      </c>
      <c r="G133" s="9" t="s">
        <v>474</v>
      </c>
    </row>
  </sheetData>
  <dataValidations count="5">
    <dataValidation type="list" sqref="B6" xr:uid="{00000000-0002-0000-0200-000000000000}">
      <formula1>"Base,Aggressive,Conservative"</formula1>
    </dataValidation>
    <dataValidation type="list" sqref="C130" xr:uid="{00000000-0002-0000-0200-000001000000}">
      <formula1>"Credit,Prepaid"</formula1>
    </dataValidation>
    <dataValidation type="list" sqref="C131" xr:uid="{00000000-0002-0000-0200-000002000000}">
      <formula1>"ON,OFF"</formula1>
    </dataValidation>
    <dataValidation type="list" sqref="C132" xr:uid="{00000000-0002-0000-0200-000003000000}">
      <formula1>"Customer,Aurumix"</formula1>
    </dataValidation>
    <dataValidation type="list" sqref="C133" xr:uid="{00000000-0002-0000-0200-000004000000}">
      <formula1>"Net new,Gross"</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328"/>
  <sheetViews>
    <sheetView showGridLines="0" workbookViewId="0">
      <pane xSplit="2" ySplit="7" topLeftCell="Q134" activePane="bottomRight" state="frozen"/>
      <selection pane="topRight"/>
      <selection pane="bottomLeft"/>
      <selection pane="bottomRight" activeCell="U156" sqref="U156"/>
    </sheetView>
  </sheetViews>
  <sheetFormatPr defaultRowHeight="15" x14ac:dyDescent="0.25"/>
  <cols>
    <col min="1" max="1" width="52" customWidth="1"/>
    <col min="2" max="2" width="18" customWidth="1"/>
    <col min="3" max="31" width="13" customWidth="1"/>
  </cols>
  <sheetData>
    <row r="1" spans="1:31" ht="23.25" x14ac:dyDescent="0.35">
      <c r="A1" s="10" t="str">
        <f>Cover!$B$2</f>
        <v>Aurumix Revenue Model</v>
      </c>
    </row>
    <row r="2" spans="1:31" x14ac:dyDescent="0.25">
      <c r="A2" s="3" t="s">
        <v>504</v>
      </c>
      <c r="B2" s="23" t="s">
        <v>505</v>
      </c>
      <c r="C2" s="28">
        <v>1</v>
      </c>
      <c r="D2" s="28">
        <v>2</v>
      </c>
      <c r="E2" s="28">
        <v>3</v>
      </c>
      <c r="F2" s="28">
        <v>4</v>
      </c>
      <c r="G2" s="28">
        <v>5</v>
      </c>
      <c r="H2" s="28">
        <v>6</v>
      </c>
      <c r="I2" s="28">
        <v>7</v>
      </c>
      <c r="J2" s="28">
        <v>8</v>
      </c>
      <c r="K2" s="28">
        <v>9</v>
      </c>
      <c r="L2" s="28">
        <v>10</v>
      </c>
      <c r="M2" s="28">
        <v>11</v>
      </c>
      <c r="N2" s="28">
        <v>12</v>
      </c>
      <c r="O2" s="28">
        <v>13</v>
      </c>
      <c r="P2" s="28">
        <v>14</v>
      </c>
      <c r="Q2" s="28">
        <v>15</v>
      </c>
      <c r="R2" s="28">
        <v>16</v>
      </c>
      <c r="S2" s="28">
        <v>17</v>
      </c>
      <c r="T2" s="28">
        <v>18</v>
      </c>
      <c r="U2" s="28">
        <v>19</v>
      </c>
      <c r="V2" s="28">
        <v>20</v>
      </c>
      <c r="W2" s="28">
        <v>21</v>
      </c>
      <c r="X2" s="28">
        <v>22</v>
      </c>
      <c r="Y2" s="28">
        <v>23</v>
      </c>
      <c r="Z2" s="28">
        <v>24</v>
      </c>
      <c r="AA2" s="28">
        <v>25</v>
      </c>
      <c r="AB2" s="28">
        <v>26</v>
      </c>
      <c r="AC2" s="28">
        <v>27</v>
      </c>
      <c r="AD2" s="28">
        <v>28</v>
      </c>
      <c r="AE2" s="28">
        <v>29</v>
      </c>
    </row>
    <row r="3" spans="1:31" x14ac:dyDescent="0.25">
      <c r="A3" s="3" t="s">
        <v>506</v>
      </c>
      <c r="B3" s="23" t="s">
        <v>207</v>
      </c>
      <c r="C3" s="48" t="s">
        <v>507</v>
      </c>
      <c r="D3" s="48" t="s">
        <v>508</v>
      </c>
      <c r="E3" s="48" t="s">
        <v>509</v>
      </c>
      <c r="F3" s="48" t="s">
        <v>510</v>
      </c>
      <c r="G3" s="48" t="s">
        <v>511</v>
      </c>
      <c r="H3" s="48" t="s">
        <v>512</v>
      </c>
      <c r="I3" s="48" t="s">
        <v>513</v>
      </c>
      <c r="J3" s="48" t="s">
        <v>514</v>
      </c>
      <c r="K3" s="48" t="s">
        <v>515</v>
      </c>
      <c r="L3" s="48" t="s">
        <v>516</v>
      </c>
      <c r="M3" s="48" t="s">
        <v>517</v>
      </c>
      <c r="N3" s="48" t="s">
        <v>518</v>
      </c>
      <c r="O3" s="48" t="s">
        <v>519</v>
      </c>
      <c r="P3" s="48" t="s">
        <v>520</v>
      </c>
      <c r="Q3" s="48" t="s">
        <v>521</v>
      </c>
      <c r="R3" s="48" t="s">
        <v>522</v>
      </c>
      <c r="S3" s="48" t="s">
        <v>523</v>
      </c>
      <c r="T3" s="48" t="s">
        <v>524</v>
      </c>
      <c r="U3" s="48" t="s">
        <v>525</v>
      </c>
      <c r="V3" s="48" t="s">
        <v>526</v>
      </c>
      <c r="W3" s="48" t="s">
        <v>527</v>
      </c>
      <c r="X3" s="48" t="s">
        <v>528</v>
      </c>
      <c r="Y3" s="48" t="s">
        <v>529</v>
      </c>
      <c r="Z3" s="48" t="s">
        <v>530</v>
      </c>
      <c r="AA3" s="48" t="s">
        <v>531</v>
      </c>
      <c r="AB3" s="48" t="s">
        <v>532</v>
      </c>
      <c r="AC3" s="48" t="s">
        <v>533</v>
      </c>
      <c r="AD3" s="48" t="s">
        <v>534</v>
      </c>
      <c r="AE3" s="48" t="s">
        <v>535</v>
      </c>
    </row>
    <row r="4" spans="1:31" x14ac:dyDescent="0.25">
      <c r="A4" s="6" t="s">
        <v>536</v>
      </c>
      <c r="B4" s="23" t="s">
        <v>207</v>
      </c>
      <c r="C4" s="49" t="s">
        <v>537</v>
      </c>
      <c r="D4" s="49" t="s">
        <v>537</v>
      </c>
      <c r="E4" s="49" t="s">
        <v>537</v>
      </c>
      <c r="F4" s="49" t="s">
        <v>537</v>
      </c>
      <c r="G4" s="49" t="s">
        <v>537</v>
      </c>
      <c r="H4" s="49" t="s">
        <v>537</v>
      </c>
      <c r="I4" s="49" t="s">
        <v>537</v>
      </c>
      <c r="J4" s="49" t="s">
        <v>537</v>
      </c>
      <c r="K4" s="49" t="s">
        <v>537</v>
      </c>
      <c r="L4" s="49" t="s">
        <v>537</v>
      </c>
      <c r="M4" s="49" t="s">
        <v>537</v>
      </c>
      <c r="N4" s="49" t="s">
        <v>537</v>
      </c>
      <c r="O4" s="49" t="s">
        <v>537</v>
      </c>
      <c r="P4" s="49" t="s">
        <v>537</v>
      </c>
      <c r="Q4" s="49" t="s">
        <v>537</v>
      </c>
      <c r="R4" s="49" t="s">
        <v>537</v>
      </c>
      <c r="S4" s="49" t="s">
        <v>537</v>
      </c>
      <c r="T4" s="49" t="s">
        <v>537</v>
      </c>
      <c r="U4" s="49" t="s">
        <v>537</v>
      </c>
      <c r="V4" s="49" t="s">
        <v>537</v>
      </c>
      <c r="W4" s="49" t="s">
        <v>537</v>
      </c>
      <c r="X4" s="49" t="s">
        <v>537</v>
      </c>
      <c r="Y4" s="49" t="s">
        <v>537</v>
      </c>
      <c r="Z4" s="49" t="s">
        <v>537</v>
      </c>
      <c r="AA4" s="49" t="s">
        <v>538</v>
      </c>
      <c r="AB4" s="49" t="s">
        <v>538</v>
      </c>
      <c r="AC4" s="49" t="s">
        <v>538</v>
      </c>
      <c r="AD4" s="49" t="s">
        <v>538</v>
      </c>
      <c r="AE4" s="49" t="s">
        <v>538</v>
      </c>
    </row>
    <row r="5" spans="1:31" x14ac:dyDescent="0.25">
      <c r="A5" s="6" t="s">
        <v>539</v>
      </c>
      <c r="B5" s="23" t="s">
        <v>540</v>
      </c>
      <c r="C5" s="50">
        <v>1</v>
      </c>
      <c r="D5" s="50">
        <v>1</v>
      </c>
      <c r="E5" s="50">
        <v>1</v>
      </c>
      <c r="F5" s="50">
        <v>1</v>
      </c>
      <c r="G5" s="50">
        <v>1</v>
      </c>
      <c r="H5" s="50">
        <v>1</v>
      </c>
      <c r="I5" s="50">
        <v>1</v>
      </c>
      <c r="J5" s="50">
        <v>1</v>
      </c>
      <c r="K5" s="50">
        <v>1</v>
      </c>
      <c r="L5" s="50">
        <v>1</v>
      </c>
      <c r="M5" s="50">
        <v>1</v>
      </c>
      <c r="N5" s="50">
        <v>1</v>
      </c>
      <c r="O5" s="50">
        <v>2</v>
      </c>
      <c r="P5" s="50">
        <v>2</v>
      </c>
      <c r="Q5" s="50">
        <v>2</v>
      </c>
      <c r="R5" s="50">
        <v>2</v>
      </c>
      <c r="S5" s="50">
        <v>2</v>
      </c>
      <c r="T5" s="50">
        <v>2</v>
      </c>
      <c r="U5" s="50">
        <v>2</v>
      </c>
      <c r="V5" s="50">
        <v>2</v>
      </c>
      <c r="W5" s="50">
        <v>2</v>
      </c>
      <c r="X5" s="50">
        <v>2</v>
      </c>
      <c r="Y5" s="50">
        <v>2</v>
      </c>
      <c r="Z5" s="50">
        <v>2</v>
      </c>
      <c r="AA5" s="50">
        <v>3</v>
      </c>
      <c r="AB5" s="50">
        <v>4</v>
      </c>
      <c r="AC5" s="50">
        <v>5</v>
      </c>
      <c r="AD5" s="50">
        <v>6</v>
      </c>
      <c r="AE5" s="50">
        <v>7</v>
      </c>
    </row>
    <row r="6" spans="1:31" x14ac:dyDescent="0.25">
      <c r="A6" s="6" t="s">
        <v>541</v>
      </c>
      <c r="B6" s="23" t="s">
        <v>542</v>
      </c>
      <c r="C6" s="50">
        <v>1</v>
      </c>
      <c r="D6" s="50">
        <v>2</v>
      </c>
      <c r="E6" s="50">
        <v>3</v>
      </c>
      <c r="F6" s="50">
        <v>4</v>
      </c>
      <c r="G6" s="50">
        <v>5</v>
      </c>
      <c r="H6" s="50">
        <v>6</v>
      </c>
      <c r="I6" s="50">
        <v>7</v>
      </c>
      <c r="J6" s="50">
        <v>8</v>
      </c>
      <c r="K6" s="50">
        <v>9</v>
      </c>
      <c r="L6" s="50">
        <v>10</v>
      </c>
      <c r="M6" s="50">
        <v>11</v>
      </c>
      <c r="N6" s="50">
        <v>12</v>
      </c>
      <c r="O6" s="50">
        <v>1</v>
      </c>
      <c r="P6" s="50">
        <v>2</v>
      </c>
      <c r="Q6" s="50">
        <v>3</v>
      </c>
      <c r="R6" s="50">
        <v>4</v>
      </c>
      <c r="S6" s="50">
        <v>5</v>
      </c>
      <c r="T6" s="50">
        <v>6</v>
      </c>
      <c r="U6" s="50">
        <v>7</v>
      </c>
      <c r="V6" s="50">
        <v>8</v>
      </c>
      <c r="W6" s="50">
        <v>9</v>
      </c>
      <c r="X6" s="50">
        <v>10</v>
      </c>
      <c r="Y6" s="50">
        <v>11</v>
      </c>
      <c r="Z6" s="50">
        <v>12</v>
      </c>
      <c r="AA6" s="50">
        <v>0</v>
      </c>
      <c r="AB6" s="50">
        <v>0</v>
      </c>
      <c r="AC6" s="50">
        <v>0</v>
      </c>
      <c r="AD6" s="50">
        <v>0</v>
      </c>
      <c r="AE6" s="50">
        <v>0</v>
      </c>
    </row>
    <row r="7" spans="1:31" x14ac:dyDescent="0.25">
      <c r="A7" s="6" t="s">
        <v>543</v>
      </c>
      <c r="B7" s="23" t="s">
        <v>294</v>
      </c>
      <c r="C7" s="50">
        <v>1</v>
      </c>
      <c r="D7" s="50">
        <v>1</v>
      </c>
      <c r="E7" s="50">
        <v>1</v>
      </c>
      <c r="F7" s="50">
        <v>1</v>
      </c>
      <c r="G7" s="50">
        <v>1</v>
      </c>
      <c r="H7" s="50">
        <v>1</v>
      </c>
      <c r="I7" s="50">
        <v>1</v>
      </c>
      <c r="J7" s="50">
        <v>1</v>
      </c>
      <c r="K7" s="50">
        <v>1</v>
      </c>
      <c r="L7" s="50">
        <v>1</v>
      </c>
      <c r="M7" s="50">
        <v>1</v>
      </c>
      <c r="N7" s="50">
        <v>1</v>
      </c>
      <c r="O7" s="50">
        <v>1</v>
      </c>
      <c r="P7" s="50">
        <v>1</v>
      </c>
      <c r="Q7" s="50">
        <v>1</v>
      </c>
      <c r="R7" s="50">
        <v>1</v>
      </c>
      <c r="S7" s="50">
        <v>1</v>
      </c>
      <c r="T7" s="50">
        <v>1</v>
      </c>
      <c r="U7" s="50">
        <v>1</v>
      </c>
      <c r="V7" s="50">
        <v>1</v>
      </c>
      <c r="W7" s="50">
        <v>1</v>
      </c>
      <c r="X7" s="50">
        <v>1</v>
      </c>
      <c r="Y7" s="50">
        <v>1</v>
      </c>
      <c r="Z7" s="50">
        <v>1</v>
      </c>
      <c r="AA7" s="50">
        <v>12</v>
      </c>
      <c r="AB7" s="50">
        <v>12</v>
      </c>
      <c r="AC7" s="50">
        <v>12</v>
      </c>
      <c r="AD7" s="50">
        <v>12</v>
      </c>
      <c r="AE7" s="50">
        <v>12</v>
      </c>
    </row>
    <row r="8" spans="1:31" x14ac:dyDescent="0.25">
      <c r="A8" s="6" t="s">
        <v>544</v>
      </c>
      <c r="B8" s="23" t="s">
        <v>545</v>
      </c>
      <c r="C8" s="50">
        <v>0</v>
      </c>
      <c r="D8" s="50">
        <v>0</v>
      </c>
      <c r="E8" s="50">
        <v>0</v>
      </c>
      <c r="F8" s="50">
        <v>0</v>
      </c>
      <c r="G8" s="50">
        <v>0</v>
      </c>
      <c r="H8" s="50">
        <v>0</v>
      </c>
      <c r="I8" s="50">
        <v>0</v>
      </c>
      <c r="J8" s="50">
        <v>0</v>
      </c>
      <c r="K8" s="50">
        <v>0</v>
      </c>
      <c r="L8" s="50">
        <v>0</v>
      </c>
      <c r="M8" s="50">
        <v>0</v>
      </c>
      <c r="N8" s="50">
        <v>1</v>
      </c>
      <c r="O8" s="50">
        <v>0</v>
      </c>
      <c r="P8" s="50">
        <v>0</v>
      </c>
      <c r="Q8" s="50">
        <v>0</v>
      </c>
      <c r="R8" s="50">
        <v>0</v>
      </c>
      <c r="S8" s="50">
        <v>0</v>
      </c>
      <c r="T8" s="50">
        <v>0</v>
      </c>
      <c r="U8" s="50">
        <v>0</v>
      </c>
      <c r="V8" s="50">
        <v>0</v>
      </c>
      <c r="W8" s="50">
        <v>0</v>
      </c>
      <c r="X8" s="50">
        <v>0</v>
      </c>
      <c r="Y8" s="50">
        <v>0</v>
      </c>
      <c r="Z8" s="50">
        <v>1</v>
      </c>
      <c r="AA8" s="50">
        <v>1</v>
      </c>
      <c r="AB8" s="50">
        <v>1</v>
      </c>
      <c r="AC8" s="50">
        <v>1</v>
      </c>
      <c r="AD8" s="50">
        <v>1</v>
      </c>
      <c r="AE8" s="50">
        <v>1</v>
      </c>
    </row>
    <row r="10" spans="1:31" x14ac:dyDescent="0.25">
      <c r="A10" s="51" t="s">
        <v>546</v>
      </c>
      <c r="B10" s="52"/>
      <c r="C10" s="52"/>
      <c r="D10" s="52"/>
      <c r="E10" s="52"/>
      <c r="F10" s="52"/>
      <c r="G10" s="52"/>
      <c r="H10" s="52"/>
      <c r="I10" s="52"/>
      <c r="J10" s="52"/>
      <c r="K10" s="52"/>
      <c r="L10" s="52"/>
      <c r="M10" s="52"/>
      <c r="N10" s="52"/>
      <c r="O10" s="52"/>
      <c r="P10" s="52"/>
      <c r="Q10" s="52"/>
      <c r="R10" s="52"/>
      <c r="S10" s="52"/>
      <c r="T10" s="52"/>
      <c r="U10" s="52"/>
      <c r="V10" s="52"/>
      <c r="W10" s="52"/>
      <c r="X10" s="52"/>
      <c r="Y10" s="52"/>
      <c r="Z10" s="52"/>
      <c r="AA10" s="52"/>
      <c r="AB10" s="52"/>
      <c r="AC10" s="52"/>
      <c r="AD10" s="52"/>
      <c r="AE10" s="52"/>
    </row>
    <row r="11" spans="1:31" x14ac:dyDescent="0.25">
      <c r="A11" t="s">
        <v>547</v>
      </c>
      <c r="B11" s="23" t="s">
        <v>548</v>
      </c>
      <c r="C11" s="53">
        <f>(1+(Assumptions!$F$61-1)*Assumptions!$B$148)*12/SUMPRODUCT(1+(Assumptions!$F$61:$Q$61-1)*Assumptions!$B$148)</f>
        <v>1.01</v>
      </c>
      <c r="D11" s="53">
        <f>(1+(Assumptions!$G$61-1)*Assumptions!$B$148)*12/SUMPRODUCT(1+(Assumptions!$F$61:$Q$61-1)*Assumptions!$B$148)</f>
        <v>0.96</v>
      </c>
      <c r="E11" s="53">
        <f>(1+(Assumptions!$H$61-1)*Assumptions!$B$148)*12/SUMPRODUCT(1+(Assumptions!$F$61:$Q$61-1)*Assumptions!$B$148)</f>
        <v>0.92</v>
      </c>
      <c r="F11" s="53">
        <f>(1+(Assumptions!$I$61-1)*Assumptions!$B$148)*12/SUMPRODUCT(1+(Assumptions!$F$61:$Q$61-1)*Assumptions!$B$148)</f>
        <v>1.1499999999999999</v>
      </c>
      <c r="G11" s="53">
        <f>(1+(Assumptions!$J$61-1)*Assumptions!$B$148)*12/SUMPRODUCT(1+(Assumptions!$F$61:$Q$61-1)*Assumptions!$B$148)</f>
        <v>1.04</v>
      </c>
      <c r="H11" s="53">
        <f>(1+(Assumptions!$K$61-1)*Assumptions!$B$148)*12/SUMPRODUCT(1+(Assumptions!$F$61:$Q$61-1)*Assumptions!$B$148)</f>
        <v>0.88</v>
      </c>
      <c r="I11" s="53">
        <f>(1+(Assumptions!$L$61-1)*Assumptions!$B$148)*12/SUMPRODUCT(1+(Assumptions!$F$61:$Q$61-1)*Assumptions!$B$148)</f>
        <v>0.85</v>
      </c>
      <c r="J11" s="53">
        <f>(1+(Assumptions!$M$61-1)*Assumptions!$B$148)*12/SUMPRODUCT(1+(Assumptions!$F$61:$Q$61-1)*Assumptions!$B$148)</f>
        <v>0.85</v>
      </c>
      <c r="K11" s="53">
        <f>(1+(Assumptions!$N$61-1)*Assumptions!$B$148)*12/SUMPRODUCT(1+(Assumptions!$F$61:$Q$61-1)*Assumptions!$B$148)</f>
        <v>0.93</v>
      </c>
      <c r="L11" s="53">
        <f>(1+(Assumptions!$O$61-1)*Assumptions!$B$148)*12/SUMPRODUCT(1+(Assumptions!$F$61:$Q$61-1)*Assumptions!$B$148)</f>
        <v>1.25</v>
      </c>
      <c r="M11" s="53">
        <f>(1+(Assumptions!$P$61-1)*Assumptions!$B$148)*12/SUMPRODUCT(1+(Assumptions!$F$61:$Q$61-1)*Assumptions!$B$148)</f>
        <v>1.1499999999999999</v>
      </c>
      <c r="N11" s="53">
        <f>(1+(Assumptions!$Q$61-1)*Assumptions!$B$148)*12/SUMPRODUCT(1+(Assumptions!$F$61:$Q$61-1)*Assumptions!$B$148)</f>
        <v>1.01</v>
      </c>
    </row>
    <row r="12" spans="1:31" x14ac:dyDescent="0.25">
      <c r="A12" t="s">
        <v>549</v>
      </c>
      <c r="B12" s="23" t="s">
        <v>548</v>
      </c>
      <c r="C12" s="53">
        <f>(1+(Assumptions!$F$62-1)*Assumptions!$B$148)*12/SUMPRODUCT(1+(Assumptions!$F$62:$Q$62-1)*Assumptions!$B$148)</f>
        <v>1.0999999999999999</v>
      </c>
      <c r="D12" s="53">
        <f>(1+(Assumptions!$G$62-1)*Assumptions!$B$148)*12/SUMPRODUCT(1+(Assumptions!$F$62:$Q$62-1)*Assumptions!$B$148)</f>
        <v>0.99999999999999989</v>
      </c>
      <c r="E12" s="53">
        <f>(1+(Assumptions!$H$62-1)*Assumptions!$B$148)*12/SUMPRODUCT(1+(Assumptions!$F$62:$Q$62-1)*Assumptions!$B$148)</f>
        <v>0.97999999999999987</v>
      </c>
      <c r="F12" s="53">
        <f>(1+(Assumptions!$I$62-1)*Assumptions!$B$148)*12/SUMPRODUCT(1+(Assumptions!$F$62:$Q$62-1)*Assumptions!$B$148)</f>
        <v>0.97999999999999987</v>
      </c>
      <c r="G12" s="53">
        <f>(1+(Assumptions!$J$62-1)*Assumptions!$B$148)*12/SUMPRODUCT(1+(Assumptions!$F$62:$Q$62-1)*Assumptions!$B$148)</f>
        <v>0.99999999999999989</v>
      </c>
      <c r="H12" s="53">
        <f>(1+(Assumptions!$K$62-1)*Assumptions!$B$148)*12/SUMPRODUCT(1+(Assumptions!$F$62:$Q$62-1)*Assumptions!$B$148)</f>
        <v>0.94999999999999973</v>
      </c>
      <c r="I12" s="53">
        <f>(1+(Assumptions!$L$62-1)*Assumptions!$B$148)*12/SUMPRODUCT(1+(Assumptions!$F$62:$Q$62-1)*Assumptions!$B$148)</f>
        <v>0.87999999999999989</v>
      </c>
      <c r="J12" s="53">
        <f>(1+(Assumptions!$M$62-1)*Assumptions!$B$148)*12/SUMPRODUCT(1+(Assumptions!$F$62:$Q$62-1)*Assumptions!$B$148)</f>
        <v>0.89999999999999991</v>
      </c>
      <c r="K12" s="53">
        <f>(1+(Assumptions!$N$62-1)*Assumptions!$B$148)*12/SUMPRODUCT(1+(Assumptions!$F$62:$Q$62-1)*Assumptions!$B$148)</f>
        <v>0.99999999999999989</v>
      </c>
      <c r="L12" s="53">
        <f>(1+(Assumptions!$O$62-1)*Assumptions!$B$148)*12/SUMPRODUCT(1+(Assumptions!$F$62:$Q$62-1)*Assumptions!$B$148)</f>
        <v>1.0199999999999998</v>
      </c>
      <c r="M12" s="53">
        <f>(1+(Assumptions!$P$62-1)*Assumptions!$B$148)*12/SUMPRODUCT(1+(Assumptions!$F$62:$Q$62-1)*Assumptions!$B$148)</f>
        <v>1.05</v>
      </c>
      <c r="N12" s="53">
        <f>(1+(Assumptions!$Q$62-1)*Assumptions!$B$148)*12/SUMPRODUCT(1+(Assumptions!$F$62:$Q$62-1)*Assumptions!$B$148)</f>
        <v>1.1399999999999999</v>
      </c>
    </row>
    <row r="13" spans="1:31" x14ac:dyDescent="0.25">
      <c r="A13" t="s">
        <v>550</v>
      </c>
      <c r="B13" s="23" t="s">
        <v>548</v>
      </c>
      <c r="C13" s="54">
        <f>Assumptions!$F$63/AVERAGE(Assumptions!$F$63:$Q$63)*Assumptions!$B$160</f>
        <v>0.25660377358490571</v>
      </c>
      <c r="D13" s="54">
        <f>Assumptions!$G$63/AVERAGE(Assumptions!$F$63:$Q$63)*Assumptions!$B$160</f>
        <v>0.25660377358490571</v>
      </c>
      <c r="E13" s="54">
        <f>Assumptions!$H$63/AVERAGE(Assumptions!$F$63:$Q$63)*Assumptions!$B$160</f>
        <v>0.25660377358490571</v>
      </c>
      <c r="F13" s="54">
        <f>Assumptions!$I$63/AVERAGE(Assumptions!$F$63:$Q$63)*Assumptions!$B$160</f>
        <v>0.2737106918238994</v>
      </c>
      <c r="G13" s="54">
        <f>Assumptions!$J$63/AVERAGE(Assumptions!$F$63:$Q$63)*Assumptions!$B$160</f>
        <v>0.29081761006289314</v>
      </c>
      <c r="H13" s="54">
        <f>Assumptions!$K$63/AVERAGE(Assumptions!$F$63:$Q$63)*Assumptions!$B$160</f>
        <v>0.47044025157232705</v>
      </c>
      <c r="I13" s="54">
        <f>Assumptions!$L$63/AVERAGE(Assumptions!$F$63:$Q$63)*Assumptions!$B$160</f>
        <v>0.51320754716981143</v>
      </c>
      <c r="J13" s="54">
        <f>Assumptions!$M$63/AVERAGE(Assumptions!$F$63:$Q$63)*Assumptions!$B$160</f>
        <v>0.47899371069182389</v>
      </c>
      <c r="K13" s="54">
        <f>Assumptions!$N$63/AVERAGE(Assumptions!$F$63:$Q$63)*Assumptions!$B$160</f>
        <v>0.30792452830188682</v>
      </c>
      <c r="L13" s="54">
        <f>Assumptions!$O$63/AVERAGE(Assumptions!$F$63:$Q$63)*Assumptions!$B$160</f>
        <v>0.35924528301886793</v>
      </c>
      <c r="M13" s="54">
        <f>Assumptions!$P$63/AVERAGE(Assumptions!$F$63:$Q$63)*Assumptions!$B$160</f>
        <v>0.34213836477987425</v>
      </c>
      <c r="N13" s="54">
        <f>Assumptions!$Q$63/AVERAGE(Assumptions!$F$63:$Q$63)*Assumptions!$B$160</f>
        <v>0.2737106918238994</v>
      </c>
    </row>
    <row r="14" spans="1:31" x14ac:dyDescent="0.25">
      <c r="A14" s="3" t="s">
        <v>551</v>
      </c>
      <c r="B14" s="23" t="s">
        <v>552</v>
      </c>
      <c r="C14" s="55">
        <f>SUM($C$11:$N$11)</f>
        <v>12</v>
      </c>
      <c r="D14" s="55">
        <f>SUM($C$12:$N$12)</f>
        <v>12</v>
      </c>
    </row>
    <row r="15" spans="1:31" x14ac:dyDescent="0.25">
      <c r="A15" s="6" t="s">
        <v>553</v>
      </c>
      <c r="B15" s="23" t="s">
        <v>554</v>
      </c>
      <c r="C15" s="56">
        <f t="shared" ref="C15:AE15" si="0">IF(C7=1,INDEX($C$11:$N$11,1,C6),1)</f>
        <v>1.01</v>
      </c>
      <c r="D15" s="56">
        <f t="shared" si="0"/>
        <v>0.96</v>
      </c>
      <c r="E15" s="56">
        <f t="shared" si="0"/>
        <v>0.92</v>
      </c>
      <c r="F15" s="56">
        <f t="shared" si="0"/>
        <v>1.1499999999999999</v>
      </c>
      <c r="G15" s="56">
        <f t="shared" si="0"/>
        <v>1.04</v>
      </c>
      <c r="H15" s="56">
        <f t="shared" si="0"/>
        <v>0.88</v>
      </c>
      <c r="I15" s="56">
        <f t="shared" si="0"/>
        <v>0.85</v>
      </c>
      <c r="J15" s="56">
        <f t="shared" si="0"/>
        <v>0.85</v>
      </c>
      <c r="K15" s="56">
        <f t="shared" si="0"/>
        <v>0.93</v>
      </c>
      <c r="L15" s="56">
        <f t="shared" si="0"/>
        <v>1.25</v>
      </c>
      <c r="M15" s="56">
        <f t="shared" si="0"/>
        <v>1.1499999999999999</v>
      </c>
      <c r="N15" s="56">
        <f t="shared" si="0"/>
        <v>1.01</v>
      </c>
      <c r="O15" s="56">
        <f t="shared" si="0"/>
        <v>1.01</v>
      </c>
      <c r="P15" s="56">
        <f t="shared" si="0"/>
        <v>0.96</v>
      </c>
      <c r="Q15" s="56">
        <f t="shared" si="0"/>
        <v>0.92</v>
      </c>
      <c r="R15" s="56">
        <f t="shared" si="0"/>
        <v>1.1499999999999999</v>
      </c>
      <c r="S15" s="56">
        <f t="shared" si="0"/>
        <v>1.04</v>
      </c>
      <c r="T15" s="56">
        <f t="shared" si="0"/>
        <v>0.88</v>
      </c>
      <c r="U15" s="56">
        <f t="shared" si="0"/>
        <v>0.85</v>
      </c>
      <c r="V15" s="56">
        <f t="shared" si="0"/>
        <v>0.85</v>
      </c>
      <c r="W15" s="56">
        <f t="shared" si="0"/>
        <v>0.93</v>
      </c>
      <c r="X15" s="56">
        <f t="shared" si="0"/>
        <v>1.25</v>
      </c>
      <c r="Y15" s="56">
        <f t="shared" si="0"/>
        <v>1.1499999999999999</v>
      </c>
      <c r="Z15" s="56">
        <f t="shared" si="0"/>
        <v>1.01</v>
      </c>
      <c r="AA15" s="56">
        <f t="shared" si="0"/>
        <v>1</v>
      </c>
      <c r="AB15" s="56">
        <f t="shared" si="0"/>
        <v>1</v>
      </c>
      <c r="AC15" s="56">
        <f t="shared" si="0"/>
        <v>1</v>
      </c>
      <c r="AD15" s="56">
        <f t="shared" si="0"/>
        <v>1</v>
      </c>
      <c r="AE15" s="56">
        <f t="shared" si="0"/>
        <v>1</v>
      </c>
    </row>
    <row r="16" spans="1:31" x14ac:dyDescent="0.25">
      <c r="A16" s="6" t="s">
        <v>555</v>
      </c>
      <c r="B16" s="23" t="s">
        <v>554</v>
      </c>
      <c r="C16" s="56">
        <f t="shared" ref="C16:AE16" si="1">IF(C7=1,INDEX($C$12:$N$12,1,C6),1)</f>
        <v>1.0999999999999999</v>
      </c>
      <c r="D16" s="56">
        <f t="shared" si="1"/>
        <v>0.99999999999999989</v>
      </c>
      <c r="E16" s="56">
        <f t="shared" si="1"/>
        <v>0.97999999999999987</v>
      </c>
      <c r="F16" s="56">
        <f t="shared" si="1"/>
        <v>0.97999999999999987</v>
      </c>
      <c r="G16" s="56">
        <f t="shared" si="1"/>
        <v>0.99999999999999989</v>
      </c>
      <c r="H16" s="56">
        <f t="shared" si="1"/>
        <v>0.94999999999999973</v>
      </c>
      <c r="I16" s="56">
        <f t="shared" si="1"/>
        <v>0.87999999999999989</v>
      </c>
      <c r="J16" s="56">
        <f t="shared" si="1"/>
        <v>0.89999999999999991</v>
      </c>
      <c r="K16" s="56">
        <f t="shared" si="1"/>
        <v>0.99999999999999989</v>
      </c>
      <c r="L16" s="56">
        <f t="shared" si="1"/>
        <v>1.0199999999999998</v>
      </c>
      <c r="M16" s="56">
        <f t="shared" si="1"/>
        <v>1.05</v>
      </c>
      <c r="N16" s="56">
        <f t="shared" si="1"/>
        <v>1.1399999999999999</v>
      </c>
      <c r="O16" s="56">
        <f t="shared" si="1"/>
        <v>1.0999999999999999</v>
      </c>
      <c r="P16" s="56">
        <f t="shared" si="1"/>
        <v>0.99999999999999989</v>
      </c>
      <c r="Q16" s="56">
        <f t="shared" si="1"/>
        <v>0.97999999999999987</v>
      </c>
      <c r="R16" s="56">
        <f t="shared" si="1"/>
        <v>0.97999999999999987</v>
      </c>
      <c r="S16" s="56">
        <f t="shared" si="1"/>
        <v>0.99999999999999989</v>
      </c>
      <c r="T16" s="56">
        <f t="shared" si="1"/>
        <v>0.94999999999999973</v>
      </c>
      <c r="U16" s="56">
        <f t="shared" si="1"/>
        <v>0.87999999999999989</v>
      </c>
      <c r="V16" s="56">
        <f t="shared" si="1"/>
        <v>0.89999999999999991</v>
      </c>
      <c r="W16" s="56">
        <f t="shared" si="1"/>
        <v>0.99999999999999989</v>
      </c>
      <c r="X16" s="56">
        <f t="shared" si="1"/>
        <v>1.0199999999999998</v>
      </c>
      <c r="Y16" s="56">
        <f t="shared" si="1"/>
        <v>1.05</v>
      </c>
      <c r="Z16" s="56">
        <f t="shared" si="1"/>
        <v>1.1399999999999999</v>
      </c>
      <c r="AA16" s="56">
        <f t="shared" si="1"/>
        <v>1</v>
      </c>
      <c r="AB16" s="56">
        <f t="shared" si="1"/>
        <v>1</v>
      </c>
      <c r="AC16" s="56">
        <f t="shared" si="1"/>
        <v>1</v>
      </c>
      <c r="AD16" s="56">
        <f t="shared" si="1"/>
        <v>1</v>
      </c>
      <c r="AE16" s="56">
        <f t="shared" si="1"/>
        <v>1</v>
      </c>
    </row>
    <row r="17" spans="1:31" x14ac:dyDescent="0.25">
      <c r="A17" s="6" t="s">
        <v>556</v>
      </c>
      <c r="B17" s="23" t="s">
        <v>257</v>
      </c>
      <c r="C17" s="57">
        <f t="shared" ref="C17:AE17" si="2">IF(C7=1,INDEX($C$13:$N$13,1,C6),AVERAGE($C$13:$N$13))</f>
        <v>0.25660377358490571</v>
      </c>
      <c r="D17" s="57">
        <f t="shared" si="2"/>
        <v>0.25660377358490571</v>
      </c>
      <c r="E17" s="57">
        <f t="shared" si="2"/>
        <v>0.25660377358490571</v>
      </c>
      <c r="F17" s="57">
        <f t="shared" si="2"/>
        <v>0.2737106918238994</v>
      </c>
      <c r="G17" s="57">
        <f t="shared" si="2"/>
        <v>0.29081761006289314</v>
      </c>
      <c r="H17" s="57">
        <f t="shared" si="2"/>
        <v>0.47044025157232705</v>
      </c>
      <c r="I17" s="57">
        <f t="shared" si="2"/>
        <v>0.51320754716981143</v>
      </c>
      <c r="J17" s="57">
        <f t="shared" si="2"/>
        <v>0.47899371069182389</v>
      </c>
      <c r="K17" s="57">
        <f t="shared" si="2"/>
        <v>0.30792452830188682</v>
      </c>
      <c r="L17" s="57">
        <f t="shared" si="2"/>
        <v>0.35924528301886793</v>
      </c>
      <c r="M17" s="57">
        <f t="shared" si="2"/>
        <v>0.34213836477987425</v>
      </c>
      <c r="N17" s="57">
        <f t="shared" si="2"/>
        <v>0.2737106918238994</v>
      </c>
      <c r="O17" s="57">
        <f t="shared" si="2"/>
        <v>0.25660377358490571</v>
      </c>
      <c r="P17" s="57">
        <f t="shared" si="2"/>
        <v>0.25660377358490571</v>
      </c>
      <c r="Q17" s="57">
        <f t="shared" si="2"/>
        <v>0.25660377358490571</v>
      </c>
      <c r="R17" s="57">
        <f t="shared" si="2"/>
        <v>0.2737106918238994</v>
      </c>
      <c r="S17" s="57">
        <f t="shared" si="2"/>
        <v>0.29081761006289314</v>
      </c>
      <c r="T17" s="57">
        <f t="shared" si="2"/>
        <v>0.47044025157232705</v>
      </c>
      <c r="U17" s="57">
        <f t="shared" si="2"/>
        <v>0.51320754716981143</v>
      </c>
      <c r="V17" s="57">
        <f t="shared" si="2"/>
        <v>0.47899371069182389</v>
      </c>
      <c r="W17" s="57">
        <f t="shared" si="2"/>
        <v>0.30792452830188682</v>
      </c>
      <c r="X17" s="57">
        <f t="shared" si="2"/>
        <v>0.35924528301886793</v>
      </c>
      <c r="Y17" s="57">
        <f t="shared" si="2"/>
        <v>0.34213836477987425</v>
      </c>
      <c r="Z17" s="57">
        <f t="shared" si="2"/>
        <v>0.2737106918238994</v>
      </c>
      <c r="AA17" s="57">
        <f t="shared" si="2"/>
        <v>0.34000000000000008</v>
      </c>
      <c r="AB17" s="57">
        <f t="shared" si="2"/>
        <v>0.34000000000000008</v>
      </c>
      <c r="AC17" s="57">
        <f t="shared" si="2"/>
        <v>0.34000000000000008</v>
      </c>
      <c r="AD17" s="57">
        <f t="shared" si="2"/>
        <v>0.34000000000000008</v>
      </c>
      <c r="AE17" s="57">
        <f t="shared" si="2"/>
        <v>0.34000000000000008</v>
      </c>
    </row>
    <row r="19" spans="1:31" x14ac:dyDescent="0.25">
      <c r="A19" s="51" t="s">
        <v>557</v>
      </c>
      <c r="B19" s="52"/>
      <c r="C19" s="52"/>
      <c r="D19" s="52"/>
      <c r="E19" s="52"/>
      <c r="F19" s="52"/>
      <c r="G19" s="52"/>
      <c r="H19" s="52"/>
      <c r="I19" s="52"/>
      <c r="J19" s="52"/>
      <c r="K19" s="52"/>
      <c r="L19" s="52"/>
      <c r="M19" s="52"/>
      <c r="N19" s="52"/>
      <c r="O19" s="52"/>
      <c r="P19" s="52"/>
      <c r="Q19" s="52"/>
      <c r="R19" s="52"/>
      <c r="S19" s="52"/>
      <c r="T19" s="52"/>
      <c r="U19" s="52"/>
      <c r="V19" s="52"/>
      <c r="W19" s="52"/>
      <c r="X19" s="52"/>
      <c r="Y19" s="52"/>
      <c r="Z19" s="52"/>
      <c r="AA19" s="52"/>
      <c r="AB19" s="52"/>
      <c r="AC19" s="52"/>
      <c r="AD19" s="52"/>
      <c r="AE19" s="52"/>
    </row>
    <row r="20" spans="1:31" x14ac:dyDescent="0.25">
      <c r="A20" s="6" t="s">
        <v>558</v>
      </c>
      <c r="B20" s="23" t="s">
        <v>35</v>
      </c>
      <c r="C20" s="58">
        <f>Assumptions!$B$6*(1+Assumptions!$B$131)^(C5-1)</f>
        <v>141.46</v>
      </c>
      <c r="D20" s="58">
        <f>Assumptions!$B$6*(1+Assumptions!$B$131)^(D5-1)</f>
        <v>141.46</v>
      </c>
      <c r="E20" s="58">
        <f>Assumptions!$B$6*(1+Assumptions!$B$131)^(E5-1)</f>
        <v>141.46</v>
      </c>
      <c r="F20" s="58">
        <f>Assumptions!$B$6*(1+Assumptions!$B$131)^(F5-1)</f>
        <v>141.46</v>
      </c>
      <c r="G20" s="58">
        <f>Assumptions!$B$6*(1+Assumptions!$B$131)^(G5-1)</f>
        <v>141.46</v>
      </c>
      <c r="H20" s="58">
        <f>Assumptions!$B$6*(1+Assumptions!$B$131)^(H5-1)</f>
        <v>141.46</v>
      </c>
      <c r="I20" s="58">
        <f>Assumptions!$B$6*(1+Assumptions!$B$131)^(I5-1)</f>
        <v>141.46</v>
      </c>
      <c r="J20" s="58">
        <f>Assumptions!$B$6*(1+Assumptions!$B$131)^(J5-1)</f>
        <v>141.46</v>
      </c>
      <c r="K20" s="58">
        <f>Assumptions!$B$6*(1+Assumptions!$B$131)^(K5-1)</f>
        <v>141.46</v>
      </c>
      <c r="L20" s="58">
        <f>Assumptions!$B$6*(1+Assumptions!$B$131)^(L5-1)</f>
        <v>141.46</v>
      </c>
      <c r="M20" s="58">
        <f>Assumptions!$B$6*(1+Assumptions!$B$131)^(M5-1)</f>
        <v>141.46</v>
      </c>
      <c r="N20" s="58">
        <f>Assumptions!$B$6*(1+Assumptions!$B$131)^(N5-1)</f>
        <v>141.46</v>
      </c>
      <c r="O20" s="58">
        <f>Assumptions!$B$6*(1+Assumptions!$B$131)^(O5-1)</f>
        <v>152.91826</v>
      </c>
      <c r="P20" s="58">
        <f>Assumptions!$B$6*(1+Assumptions!$B$131)^(P5-1)</f>
        <v>152.91826</v>
      </c>
      <c r="Q20" s="58">
        <f>Assumptions!$B$6*(1+Assumptions!$B$131)^(Q5-1)</f>
        <v>152.91826</v>
      </c>
      <c r="R20" s="58">
        <f>Assumptions!$B$6*(1+Assumptions!$B$131)^(R5-1)</f>
        <v>152.91826</v>
      </c>
      <c r="S20" s="58">
        <f>Assumptions!$B$6*(1+Assumptions!$B$131)^(S5-1)</f>
        <v>152.91826</v>
      </c>
      <c r="T20" s="58">
        <f>Assumptions!$B$6*(1+Assumptions!$B$131)^(T5-1)</f>
        <v>152.91826</v>
      </c>
      <c r="U20" s="58">
        <f>Assumptions!$B$6*(1+Assumptions!$B$131)^(U5-1)</f>
        <v>152.91826</v>
      </c>
      <c r="V20" s="58">
        <f>Assumptions!$B$6*(1+Assumptions!$B$131)^(V5-1)</f>
        <v>152.91826</v>
      </c>
      <c r="W20" s="58">
        <f>Assumptions!$B$6*(1+Assumptions!$B$131)^(W5-1)</f>
        <v>152.91826</v>
      </c>
      <c r="X20" s="58">
        <f>Assumptions!$B$6*(1+Assumptions!$B$131)^(X5-1)</f>
        <v>152.91826</v>
      </c>
      <c r="Y20" s="58">
        <f>Assumptions!$B$6*(1+Assumptions!$B$131)^(Y5-1)</f>
        <v>152.91826</v>
      </c>
      <c r="Z20" s="58">
        <f>Assumptions!$B$6*(1+Assumptions!$B$131)^(Z5-1)</f>
        <v>152.91826</v>
      </c>
      <c r="AA20" s="58">
        <f>Assumptions!$B$6*(1+Assumptions!$B$131)^(AA5-1)</f>
        <v>165.30463906</v>
      </c>
      <c r="AB20" s="58">
        <f>Assumptions!$B$6*(1+Assumptions!$B$131)^(AB5-1)</f>
        <v>178.69431482386</v>
      </c>
      <c r="AC20" s="58">
        <f>Assumptions!$B$6*(1+Assumptions!$B$131)^(AC5-1)</f>
        <v>193.16855432459266</v>
      </c>
      <c r="AD20" s="58">
        <f>Assumptions!$B$6*(1+Assumptions!$B$131)^(AD5-1)</f>
        <v>208.81520722488466</v>
      </c>
      <c r="AE20" s="58">
        <f>Assumptions!$B$6*(1+Assumptions!$B$131)^(AE5-1)</f>
        <v>225.72923901010031</v>
      </c>
    </row>
    <row r="21" spans="1:31" x14ac:dyDescent="0.25">
      <c r="A21" s="9" t="s">
        <v>559</v>
      </c>
    </row>
    <row r="22" spans="1:31" ht="20.100000000000001" customHeight="1" x14ac:dyDescent="0.25">
      <c r="A22" s="12" t="s">
        <v>560</v>
      </c>
      <c r="B22" s="13"/>
      <c r="C22" s="13"/>
      <c r="D22" s="13"/>
      <c r="E22" s="13"/>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row>
    <row r="24" spans="1:31" x14ac:dyDescent="0.25">
      <c r="A24" s="51" t="s">
        <v>561</v>
      </c>
      <c r="B24" s="52"/>
      <c r="C24" s="52"/>
      <c r="D24" s="52"/>
      <c r="E24" s="52"/>
      <c r="F24" s="52"/>
      <c r="G24" s="52"/>
      <c r="H24" s="52"/>
      <c r="I24" s="52"/>
      <c r="J24" s="52"/>
      <c r="K24" s="52"/>
      <c r="L24" s="52"/>
      <c r="M24" s="52"/>
      <c r="N24" s="52"/>
      <c r="O24" s="52"/>
      <c r="P24" s="52"/>
      <c r="Q24" s="52"/>
      <c r="R24" s="52"/>
      <c r="S24" s="52"/>
      <c r="T24" s="52"/>
      <c r="U24" s="52"/>
      <c r="V24" s="52"/>
      <c r="W24" s="52"/>
      <c r="X24" s="52"/>
      <c r="Y24" s="52"/>
      <c r="Z24" s="52"/>
      <c r="AA24" s="52"/>
      <c r="AB24" s="52"/>
      <c r="AC24" s="52"/>
      <c r="AD24" s="52"/>
      <c r="AE24" s="52"/>
    </row>
    <row r="25" spans="1:31" x14ac:dyDescent="0.25">
      <c r="A25" s="6" t="s">
        <v>562</v>
      </c>
      <c r="B25" s="23" t="s">
        <v>563</v>
      </c>
      <c r="C25" s="59">
        <f>Assumptions!$B$136+(Assumptions!$B$139-Assumptions!$B$136)*(C5-1)/6</f>
        <v>85</v>
      </c>
      <c r="D25" s="59">
        <f>Assumptions!$B$136+(Assumptions!$B$139-Assumptions!$B$136)*(D5-1)/6</f>
        <v>85</v>
      </c>
      <c r="E25" s="59">
        <f>Assumptions!$B$136+(Assumptions!$B$139-Assumptions!$B$136)*(E5-1)/6</f>
        <v>85</v>
      </c>
      <c r="F25" s="59">
        <f>Assumptions!$B$136+(Assumptions!$B$139-Assumptions!$B$136)*(F5-1)/6</f>
        <v>85</v>
      </c>
      <c r="G25" s="59">
        <f>Assumptions!$B$136+(Assumptions!$B$139-Assumptions!$B$136)*(G5-1)/6</f>
        <v>85</v>
      </c>
      <c r="H25" s="59">
        <f>Assumptions!$B$136+(Assumptions!$B$139-Assumptions!$B$136)*(H5-1)/6</f>
        <v>85</v>
      </c>
      <c r="I25" s="59">
        <f>Assumptions!$B$136+(Assumptions!$B$139-Assumptions!$B$136)*(I5-1)/6</f>
        <v>85</v>
      </c>
      <c r="J25" s="59">
        <f>Assumptions!$B$136+(Assumptions!$B$139-Assumptions!$B$136)*(J5-1)/6</f>
        <v>85</v>
      </c>
      <c r="K25" s="59">
        <f>Assumptions!$B$136+(Assumptions!$B$139-Assumptions!$B$136)*(K5-1)/6</f>
        <v>85</v>
      </c>
      <c r="L25" s="59">
        <f>Assumptions!$B$136+(Assumptions!$B$139-Assumptions!$B$136)*(L5-1)/6</f>
        <v>85</v>
      </c>
      <c r="M25" s="59">
        <f>Assumptions!$B$136+(Assumptions!$B$139-Assumptions!$B$136)*(M5-1)/6</f>
        <v>85</v>
      </c>
      <c r="N25" s="59">
        <f>Assumptions!$B$136+(Assumptions!$B$139-Assumptions!$B$136)*(N5-1)/6</f>
        <v>85</v>
      </c>
      <c r="O25" s="59">
        <f>Assumptions!$B$136+(Assumptions!$B$139-Assumptions!$B$136)*(O5-1)/6</f>
        <v>80</v>
      </c>
      <c r="P25" s="59">
        <f>Assumptions!$B$136+(Assumptions!$B$139-Assumptions!$B$136)*(P5-1)/6</f>
        <v>80</v>
      </c>
      <c r="Q25" s="59">
        <f>Assumptions!$B$136+(Assumptions!$B$139-Assumptions!$B$136)*(Q5-1)/6</f>
        <v>80</v>
      </c>
      <c r="R25" s="59">
        <f>Assumptions!$B$136+(Assumptions!$B$139-Assumptions!$B$136)*(R5-1)/6</f>
        <v>80</v>
      </c>
      <c r="S25" s="59">
        <f>Assumptions!$B$136+(Assumptions!$B$139-Assumptions!$B$136)*(S5-1)/6</f>
        <v>80</v>
      </c>
      <c r="T25" s="59">
        <f>Assumptions!$B$136+(Assumptions!$B$139-Assumptions!$B$136)*(T5-1)/6</f>
        <v>80</v>
      </c>
      <c r="U25" s="59">
        <f>Assumptions!$B$136+(Assumptions!$B$139-Assumptions!$B$136)*(U5-1)/6</f>
        <v>80</v>
      </c>
      <c r="V25" s="59">
        <f>Assumptions!$B$136+(Assumptions!$B$139-Assumptions!$B$136)*(V5-1)/6</f>
        <v>80</v>
      </c>
      <c r="W25" s="59">
        <f>Assumptions!$B$136+(Assumptions!$B$139-Assumptions!$B$136)*(W5-1)/6</f>
        <v>80</v>
      </c>
      <c r="X25" s="59">
        <f>Assumptions!$B$136+(Assumptions!$B$139-Assumptions!$B$136)*(X5-1)/6</f>
        <v>80</v>
      </c>
      <c r="Y25" s="59">
        <f>Assumptions!$B$136+(Assumptions!$B$139-Assumptions!$B$136)*(Y5-1)/6</f>
        <v>80</v>
      </c>
      <c r="Z25" s="59">
        <f>Assumptions!$B$136+(Assumptions!$B$139-Assumptions!$B$136)*(Z5-1)/6</f>
        <v>80</v>
      </c>
      <c r="AA25" s="59">
        <f>Assumptions!$B$136+(Assumptions!$B$139-Assumptions!$B$136)*(AA5-1)/6</f>
        <v>75</v>
      </c>
      <c r="AB25" s="59">
        <f>Assumptions!$B$136+(Assumptions!$B$139-Assumptions!$B$136)*(AB5-1)/6</f>
        <v>70</v>
      </c>
      <c r="AC25" s="59">
        <f>Assumptions!$B$136+(Assumptions!$B$139-Assumptions!$B$136)*(AC5-1)/6</f>
        <v>65</v>
      </c>
      <c r="AD25" s="59">
        <f>Assumptions!$B$136+(Assumptions!$B$139-Assumptions!$B$136)*(AD5-1)/6</f>
        <v>60</v>
      </c>
      <c r="AE25" s="59">
        <f>Assumptions!$B$136+(Assumptions!$B$139-Assumptions!$B$136)*(AE5-1)/6</f>
        <v>55</v>
      </c>
    </row>
    <row r="26" spans="1:31" x14ac:dyDescent="0.25">
      <c r="A26" s="6" t="s">
        <v>564</v>
      </c>
      <c r="B26" s="23" t="s">
        <v>190</v>
      </c>
      <c r="C26" s="58">
        <f>INDEX(Assumptions!$B$114:$B$120,C5)*Assumptions!$B$142/12*C7/C25*(1+Assumptions!$B$147)*1</f>
        <v>81.617647058823536</v>
      </c>
      <c r="D26" s="58">
        <f>INDEX(Assumptions!$B$114:$B$120,D5)*Assumptions!$B$142/12*D7/D25*(1+Assumptions!$B$147)*1</f>
        <v>81.617647058823536</v>
      </c>
      <c r="E26" s="58">
        <f>INDEX(Assumptions!$B$114:$B$120,E5)*Assumptions!$B$142/12*E7/E25*(1+Assumptions!$B$147)*1</f>
        <v>81.617647058823536</v>
      </c>
      <c r="F26" s="58">
        <f>INDEX(Assumptions!$B$114:$B$120,F5)*Assumptions!$B$142/12*F7/F25*(1+Assumptions!$B$147)*1</f>
        <v>81.617647058823536</v>
      </c>
      <c r="G26" s="58">
        <f>INDEX(Assumptions!$B$114:$B$120,G5)*Assumptions!$B$142/12*G7/G25*(1+Assumptions!$B$147)*1</f>
        <v>81.617647058823536</v>
      </c>
      <c r="H26" s="58">
        <f>INDEX(Assumptions!$B$114:$B$120,H5)*Assumptions!$B$142/12*H7/H25*(1+Assumptions!$B$147)*1</f>
        <v>81.617647058823536</v>
      </c>
      <c r="I26" s="58">
        <f>INDEX(Assumptions!$B$114:$B$120,I5)*Assumptions!$B$142/12*I7/I25*(1+Assumptions!$B$147)*1</f>
        <v>81.617647058823536</v>
      </c>
      <c r="J26" s="58">
        <f>INDEX(Assumptions!$B$114:$B$120,J5)*Assumptions!$B$142/12*J7/J25*(1+Assumptions!$B$147)*1</f>
        <v>81.617647058823536</v>
      </c>
      <c r="K26" s="58">
        <f>INDEX(Assumptions!$B$114:$B$120,K5)*Assumptions!$B$142/12*K7/K25*(1+Assumptions!$B$147)*1</f>
        <v>81.617647058823536</v>
      </c>
      <c r="L26" s="58">
        <f>INDEX(Assumptions!$B$114:$B$120,L5)*Assumptions!$B$142/12*L7/L25*(1+Assumptions!$B$147)*1</f>
        <v>81.617647058823536</v>
      </c>
      <c r="M26" s="58">
        <f>INDEX(Assumptions!$B$114:$B$120,M5)*Assumptions!$B$142/12*M7/M25*(1+Assumptions!$B$147)*1</f>
        <v>81.617647058823536</v>
      </c>
      <c r="N26" s="58">
        <f>INDEX(Assumptions!$B$114:$B$120,N5)*Assumptions!$B$142/12*N7/N25*(1+Assumptions!$B$147)*1</f>
        <v>81.617647058823536</v>
      </c>
      <c r="O26" s="58">
        <f>INDEX(Assumptions!$B$114:$B$120,O5)*Assumptions!$B$142/12*O7/O25*(1+Assumptions!$B$147)*1</f>
        <v>260.15625</v>
      </c>
      <c r="P26" s="58">
        <f>INDEX(Assumptions!$B$114:$B$120,P5)*Assumptions!$B$142/12*P7/P25*(1+Assumptions!$B$147)*1</f>
        <v>260.15625</v>
      </c>
      <c r="Q26" s="58">
        <f>INDEX(Assumptions!$B$114:$B$120,Q5)*Assumptions!$B$142/12*Q7/Q25*(1+Assumptions!$B$147)*1</f>
        <v>260.15625</v>
      </c>
      <c r="R26" s="58">
        <f>INDEX(Assumptions!$B$114:$B$120,R5)*Assumptions!$B$142/12*R7/R25*(1+Assumptions!$B$147)*1</f>
        <v>260.15625</v>
      </c>
      <c r="S26" s="58">
        <f>INDEX(Assumptions!$B$114:$B$120,S5)*Assumptions!$B$142/12*S7/S25*(1+Assumptions!$B$147)*1</f>
        <v>260.15625</v>
      </c>
      <c r="T26" s="58">
        <f>INDEX(Assumptions!$B$114:$B$120,T5)*Assumptions!$B$142/12*T7/T25*(1+Assumptions!$B$147)*1</f>
        <v>260.15625</v>
      </c>
      <c r="U26" s="58">
        <f>INDEX(Assumptions!$B$114:$B$120,U5)*Assumptions!$B$142/12*U7/U25*(1+Assumptions!$B$147)*1</f>
        <v>260.15625</v>
      </c>
      <c r="V26" s="58">
        <f>INDEX(Assumptions!$B$114:$B$120,V5)*Assumptions!$B$142/12*V7/V25*(1+Assumptions!$B$147)*1</f>
        <v>260.15625</v>
      </c>
      <c r="W26" s="58">
        <f>INDEX(Assumptions!$B$114:$B$120,W5)*Assumptions!$B$142/12*W7/W25*(1+Assumptions!$B$147)*1</f>
        <v>260.15625</v>
      </c>
      <c r="X26" s="58">
        <f>INDEX(Assumptions!$B$114:$B$120,X5)*Assumptions!$B$142/12*X7/X25*(1+Assumptions!$B$147)*1</f>
        <v>260.15625</v>
      </c>
      <c r="Y26" s="58">
        <f>INDEX(Assumptions!$B$114:$B$120,Y5)*Assumptions!$B$142/12*Y7/Y25*(1+Assumptions!$B$147)*1</f>
        <v>260.15625</v>
      </c>
      <c r="Z26" s="58">
        <f>INDEX(Assumptions!$B$114:$B$120,Z5)*Assumptions!$B$142/12*Z7/Z25*(1+Assumptions!$B$147)*1</f>
        <v>260.15625</v>
      </c>
      <c r="AA26" s="58">
        <f>INDEX(Assumptions!$B$114:$B$120,AA5)*Assumptions!$B$142/12*AA7/AA25*(1+Assumptions!$B$147)*1</f>
        <v>4625</v>
      </c>
      <c r="AB26" s="58">
        <f>INDEX(Assumptions!$B$114:$B$120,AB5)*Assumptions!$B$142/12*AB7/AB25*(1+Assumptions!$B$147)*1</f>
        <v>7928.5714285714294</v>
      </c>
      <c r="AC26" s="58">
        <f>INDEX(Assumptions!$B$114:$B$120,AC5)*Assumptions!$B$142/12*AC7/AC25*(1+Assumptions!$B$147)*1</f>
        <v>12807.692307692307</v>
      </c>
      <c r="AD26" s="58">
        <f>INDEX(Assumptions!$B$114:$B$120,AD5)*Assumptions!$B$142/12*AD7/AD25*(1+Assumptions!$B$147)*1</f>
        <v>19656.25</v>
      </c>
      <c r="AE26" s="58">
        <f>INDEX(Assumptions!$B$114:$B$120,AE5)*Assumptions!$B$142/12*AE7/AE25*(1+Assumptions!$B$147)*1</f>
        <v>27750</v>
      </c>
    </row>
    <row r="27" spans="1:31" x14ac:dyDescent="0.25">
      <c r="A27" s="6" t="s">
        <v>565</v>
      </c>
      <c r="B27" s="23" t="s">
        <v>190</v>
      </c>
      <c r="C27" s="60">
        <v>0</v>
      </c>
      <c r="D27" s="60">
        <f>IF(D2&gt;=Assumptions!$B$55,C32*Assumptions!$B$145/12*Assumptions!$B$146*D7,0)</f>
        <v>0</v>
      </c>
      <c r="E27" s="60">
        <f>IF(E2&gt;=Assumptions!$B$55,D32*Assumptions!$B$145/12*Assumptions!$B$146*E7,0)</f>
        <v>0</v>
      </c>
      <c r="F27" s="60">
        <f>IF(F2&gt;=Assumptions!$B$55,E32*Assumptions!$B$145/12*Assumptions!$B$146*F7,0)</f>
        <v>0</v>
      </c>
      <c r="G27" s="60">
        <f>IF(G2&gt;=Assumptions!$B$55,F32*Assumptions!$B$145/12*Assumptions!$B$146*G7,0)</f>
        <v>0</v>
      </c>
      <c r="H27" s="60">
        <f>IF(H2&gt;=Assumptions!$B$55,G32*Assumptions!$B$145/12*Assumptions!$B$146*H7,0)</f>
        <v>0</v>
      </c>
      <c r="I27" s="60">
        <f>IF(I2&gt;=Assumptions!$B$55,H32*Assumptions!$B$145/12*Assumptions!$B$146*I7,0)</f>
        <v>0</v>
      </c>
      <c r="J27" s="60">
        <f>IF(J2&gt;=Assumptions!$B$55,I32*Assumptions!$B$145/12*Assumptions!$B$146*J7,0)</f>
        <v>0</v>
      </c>
      <c r="K27" s="60">
        <f>IF(K2&gt;=Assumptions!$B$55,J32*Assumptions!$B$145/12*Assumptions!$B$146*K7,0)</f>
        <v>0</v>
      </c>
      <c r="L27" s="60">
        <f>IF(L2&gt;=Assumptions!$B$55,K32*Assumptions!$B$145/12*Assumptions!$B$146*L7,0)</f>
        <v>0</v>
      </c>
      <c r="M27" s="60">
        <f>IF(M2&gt;=Assumptions!$B$55,L32*Assumptions!$B$145/12*Assumptions!$B$146*M7,0)</f>
        <v>0</v>
      </c>
      <c r="N27" s="60">
        <f>IF(N2&gt;=Assumptions!$B$55,M32*Assumptions!$B$145/12*Assumptions!$B$146*N7,0)</f>
        <v>0</v>
      </c>
      <c r="O27" s="60">
        <f>IF(O2&gt;=Assumptions!$B$55,N32*Assumptions!$B$145/12*Assumptions!$B$146*O7,0)</f>
        <v>22.892903089713311</v>
      </c>
      <c r="P27" s="60">
        <f>IF(P2&gt;=Assumptions!$B$55,O32*Assumptions!$B$145/12*Assumptions!$B$146*P7,0)</f>
        <v>30.365397150033289</v>
      </c>
      <c r="Q27" s="60">
        <f>IF(Q2&gt;=Assumptions!$B$55,P32*Assumptions!$B$145/12*Assumptions!$B$146*Q7,0)</f>
        <v>37.24837037169705</v>
      </c>
      <c r="R27" s="60">
        <f>IF(R2&gt;=Assumptions!$B$55,Q32*Assumptions!$B$145/12*Assumptions!$B$146*R7,0)</f>
        <v>43.622305078208619</v>
      </c>
      <c r="S27" s="60">
        <f>IF(S2&gt;=Assumptions!$B$55,R32*Assumptions!$B$145/12*Assumptions!$B$146*S7,0)</f>
        <v>51.931723214042307</v>
      </c>
      <c r="T27" s="60">
        <f>IF(T2&gt;=Assumptions!$B$55,S32*Assumptions!$B$145/12*Assumptions!$B$146*T7,0)</f>
        <v>59.073975669453219</v>
      </c>
      <c r="U27" s="60">
        <f>IF(U2&gt;=Assumptions!$B$55,T32*Assumptions!$B$145/12*Assumptions!$B$146*U7,0)</f>
        <v>64.550172841960901</v>
      </c>
      <c r="V27" s="60">
        <f>IF(V2&gt;=Assumptions!$B$55,U32*Assumptions!$B$145/12*Assumptions!$B$146*V7,0)</f>
        <v>69.597827112755681</v>
      </c>
      <c r="W27" s="60">
        <f>IF(W2&gt;=Assumptions!$B$55,V32*Assumptions!$B$145/12*Assumptions!$B$146*W7,0)</f>
        <v>74.511320408691589</v>
      </c>
      <c r="X27" s="60">
        <f>IF(X2&gt;=Assumptions!$B$55,W32*Assumptions!$B$145/12*Assumptions!$B$146*X7,0)</f>
        <v>80.083956271361927</v>
      </c>
      <c r="Y27" s="60">
        <f>IF(Y2&gt;=Assumptions!$B$55,X32*Assumptions!$B$145/12*Assumptions!$B$146*Y7,0)</f>
        <v>88.727582753752941</v>
      </c>
      <c r="Z27" s="60">
        <f>IF(Z2&gt;=Assumptions!$B$55,Y32*Assumptions!$B$145/12*Assumptions!$B$146*Z7,0)</f>
        <v>96.206009488675633</v>
      </c>
      <c r="AA27" s="60">
        <f>IF(AA2&gt;=Assumptions!$B$55,Z32*Assumptions!$B$145/12*Assumptions!$B$146*AA7,0)</f>
        <v>1224.9340668375426</v>
      </c>
      <c r="AB27" s="60">
        <f>IF(AB2&gt;=Assumptions!$B$55,AA32*Assumptions!$B$145/12*Assumptions!$B$146*AB7,0)</f>
        <v>2233.8588556454374</v>
      </c>
      <c r="AC27" s="60">
        <f>IF(AC2&gt;=Assumptions!$B$55,AB32*Assumptions!$B$145/12*Assumptions!$B$146*AC7,0)</f>
        <v>3827.7309136391104</v>
      </c>
      <c r="AD27" s="60">
        <f>IF(AD2&gt;=Assumptions!$B$55,AC32*Assumptions!$B$145/12*Assumptions!$B$146*AD7,0)</f>
        <v>6056.7427241117402</v>
      </c>
      <c r="AE27" s="60">
        <f>IF(AE2&gt;=Assumptions!$B$55,AD32*Assumptions!$B$145/12*Assumptions!$B$146*AE7,0)</f>
        <v>8726.6059530514867</v>
      </c>
    </row>
    <row r="28" spans="1:31" x14ac:dyDescent="0.25">
      <c r="A28" s="6" t="s">
        <v>566</v>
      </c>
      <c r="B28" s="23" t="s">
        <v>190</v>
      </c>
      <c r="C28" s="58">
        <f>INDEX(Assumptions!$B$93:$B$99,C5)*Assumptions!$B$135*INDEX(Assumptions!$B$121:$B$127,C5)*C7*1</f>
        <v>0</v>
      </c>
      <c r="D28" s="58">
        <f>INDEX(Assumptions!$B$93:$B$99,D5)*Assumptions!$B$135*INDEX(Assumptions!$B$121:$B$127,D5)*D7*1</f>
        <v>0</v>
      </c>
      <c r="E28" s="58">
        <f>INDEX(Assumptions!$B$93:$B$99,E5)*Assumptions!$B$135*INDEX(Assumptions!$B$121:$B$127,E5)*E7*1</f>
        <v>0</v>
      </c>
      <c r="F28" s="58">
        <f>INDEX(Assumptions!$B$93:$B$99,F5)*Assumptions!$B$135*INDEX(Assumptions!$B$121:$B$127,F5)*F7*1</f>
        <v>0</v>
      </c>
      <c r="G28" s="58">
        <f>INDEX(Assumptions!$B$93:$B$99,G5)*Assumptions!$B$135*INDEX(Assumptions!$B$121:$B$127,G5)*G7*1</f>
        <v>0</v>
      </c>
      <c r="H28" s="58">
        <f>INDEX(Assumptions!$B$93:$B$99,H5)*Assumptions!$B$135*INDEX(Assumptions!$B$121:$B$127,H5)*H7*1</f>
        <v>0</v>
      </c>
      <c r="I28" s="58">
        <f>INDEX(Assumptions!$B$93:$B$99,I5)*Assumptions!$B$135*INDEX(Assumptions!$B$121:$B$127,I5)*I7*1</f>
        <v>0</v>
      </c>
      <c r="J28" s="58">
        <f>INDEX(Assumptions!$B$93:$B$99,J5)*Assumptions!$B$135*INDEX(Assumptions!$B$121:$B$127,J5)*J7*1</f>
        <v>0</v>
      </c>
      <c r="K28" s="58">
        <f>INDEX(Assumptions!$B$93:$B$99,K5)*Assumptions!$B$135*INDEX(Assumptions!$B$121:$B$127,K5)*K7*1</f>
        <v>0</v>
      </c>
      <c r="L28" s="58">
        <f>INDEX(Assumptions!$B$93:$B$99,L5)*Assumptions!$B$135*INDEX(Assumptions!$B$121:$B$127,L5)*L7*1</f>
        <v>0</v>
      </c>
      <c r="M28" s="58">
        <f>INDEX(Assumptions!$B$93:$B$99,M5)*Assumptions!$B$135*INDEX(Assumptions!$B$121:$B$127,M5)*M7*1</f>
        <v>0</v>
      </c>
      <c r="N28" s="58">
        <f>INDEX(Assumptions!$B$93:$B$99,N5)*Assumptions!$B$135*INDEX(Assumptions!$B$121:$B$127,N5)*N7*1</f>
        <v>0</v>
      </c>
      <c r="O28" s="58">
        <f>INDEX(Assumptions!$B$93:$B$99,O5)*Assumptions!$B$135*INDEX(Assumptions!$B$121:$B$127,O5)*O7*1</f>
        <v>0</v>
      </c>
      <c r="P28" s="58">
        <f>INDEX(Assumptions!$B$93:$B$99,P5)*Assumptions!$B$135*INDEX(Assumptions!$B$121:$B$127,P5)*P7*1</f>
        <v>0</v>
      </c>
      <c r="Q28" s="58">
        <f>INDEX(Assumptions!$B$93:$B$99,Q5)*Assumptions!$B$135*INDEX(Assumptions!$B$121:$B$127,Q5)*Q7*1</f>
        <v>0</v>
      </c>
      <c r="R28" s="58">
        <f>INDEX(Assumptions!$B$93:$B$99,R5)*Assumptions!$B$135*INDEX(Assumptions!$B$121:$B$127,R5)*R7*1</f>
        <v>0</v>
      </c>
      <c r="S28" s="58">
        <f>INDEX(Assumptions!$B$93:$B$99,S5)*Assumptions!$B$135*INDEX(Assumptions!$B$121:$B$127,S5)*S7*1</f>
        <v>0</v>
      </c>
      <c r="T28" s="58">
        <f>INDEX(Assumptions!$B$93:$B$99,T5)*Assumptions!$B$135*INDEX(Assumptions!$B$121:$B$127,T5)*T7*1</f>
        <v>0</v>
      </c>
      <c r="U28" s="58">
        <f>INDEX(Assumptions!$B$93:$B$99,U5)*Assumptions!$B$135*INDEX(Assumptions!$B$121:$B$127,U5)*U7*1</f>
        <v>0</v>
      </c>
      <c r="V28" s="58">
        <f>INDEX(Assumptions!$B$93:$B$99,V5)*Assumptions!$B$135*INDEX(Assumptions!$B$121:$B$127,V5)*V7*1</f>
        <v>0</v>
      </c>
      <c r="W28" s="58">
        <f>INDEX(Assumptions!$B$93:$B$99,W5)*Assumptions!$B$135*INDEX(Assumptions!$B$121:$B$127,W5)*W7*1</f>
        <v>0</v>
      </c>
      <c r="X28" s="58">
        <f>INDEX(Assumptions!$B$93:$B$99,X5)*Assumptions!$B$135*INDEX(Assumptions!$B$121:$B$127,X5)*X7*1</f>
        <v>0</v>
      </c>
      <c r="Y28" s="58">
        <f>INDEX(Assumptions!$B$93:$B$99,Y5)*Assumptions!$B$135*INDEX(Assumptions!$B$121:$B$127,Y5)*Y7*1</f>
        <v>0</v>
      </c>
      <c r="Z28" s="58">
        <f>INDEX(Assumptions!$B$93:$B$99,Z5)*Assumptions!$B$135*INDEX(Assumptions!$B$121:$B$127,Z5)*Z7*1</f>
        <v>0</v>
      </c>
      <c r="AA28" s="58">
        <f>INDEX(Assumptions!$B$93:$B$99,AA5)*Assumptions!$B$135*INDEX(Assumptions!$B$121:$B$127,AA5)*AA7*1</f>
        <v>0</v>
      </c>
      <c r="AB28" s="58">
        <f>INDEX(Assumptions!$B$93:$B$99,AB5)*Assumptions!$B$135*INDEX(Assumptions!$B$121:$B$127,AB5)*AB7*1</f>
        <v>0</v>
      </c>
      <c r="AC28" s="58">
        <f>INDEX(Assumptions!$B$93:$B$99,AC5)*Assumptions!$B$135*INDEX(Assumptions!$B$121:$B$127,AC5)*AC7*1</f>
        <v>0</v>
      </c>
      <c r="AD28" s="58">
        <f>INDEX(Assumptions!$B$93:$B$99,AD5)*Assumptions!$B$135*INDEX(Assumptions!$B$121:$B$127,AD5)*AD7*1</f>
        <v>0</v>
      </c>
      <c r="AE28" s="58">
        <f>INDEX(Assumptions!$B$93:$B$99,AE5)*Assumptions!$B$135*INDEX(Assumptions!$B$121:$B$127,AE5)*AE7*1</f>
        <v>0</v>
      </c>
    </row>
    <row r="29" spans="1:31" x14ac:dyDescent="0.25">
      <c r="A29" s="6" t="s">
        <v>567</v>
      </c>
      <c r="B29" s="23" t="s">
        <v>190</v>
      </c>
      <c r="C29" s="60">
        <f t="shared" ref="C29:AE29" si="3">C26+C27+C28</f>
        <v>81.617647058823536</v>
      </c>
      <c r="D29" s="60">
        <f t="shared" si="3"/>
        <v>81.617647058823536</v>
      </c>
      <c r="E29" s="60">
        <f t="shared" si="3"/>
        <v>81.617647058823536</v>
      </c>
      <c r="F29" s="60">
        <f t="shared" si="3"/>
        <v>81.617647058823536</v>
      </c>
      <c r="G29" s="60">
        <f t="shared" si="3"/>
        <v>81.617647058823536</v>
      </c>
      <c r="H29" s="60">
        <f t="shared" si="3"/>
        <v>81.617647058823536</v>
      </c>
      <c r="I29" s="60">
        <f t="shared" si="3"/>
        <v>81.617647058823536</v>
      </c>
      <c r="J29" s="60">
        <f t="shared" si="3"/>
        <v>81.617647058823536</v>
      </c>
      <c r="K29" s="60">
        <f t="shared" si="3"/>
        <v>81.617647058823536</v>
      </c>
      <c r="L29" s="60">
        <f t="shared" si="3"/>
        <v>81.617647058823536</v>
      </c>
      <c r="M29" s="60">
        <f t="shared" si="3"/>
        <v>81.617647058823536</v>
      </c>
      <c r="N29" s="60">
        <f t="shared" si="3"/>
        <v>81.617647058823536</v>
      </c>
      <c r="O29" s="60">
        <f t="shared" si="3"/>
        <v>283.04915308971329</v>
      </c>
      <c r="P29" s="60">
        <f t="shared" si="3"/>
        <v>290.52164715003329</v>
      </c>
      <c r="Q29" s="60">
        <f t="shared" si="3"/>
        <v>297.40462037169704</v>
      </c>
      <c r="R29" s="60">
        <f t="shared" si="3"/>
        <v>303.77855507820863</v>
      </c>
      <c r="S29" s="60">
        <f t="shared" si="3"/>
        <v>312.08797321404234</v>
      </c>
      <c r="T29" s="60">
        <f t="shared" si="3"/>
        <v>319.2302256694532</v>
      </c>
      <c r="U29" s="60">
        <f t="shared" si="3"/>
        <v>324.70642284196089</v>
      </c>
      <c r="V29" s="60">
        <f t="shared" si="3"/>
        <v>329.75407711275568</v>
      </c>
      <c r="W29" s="60">
        <f t="shared" si="3"/>
        <v>334.66757040869157</v>
      </c>
      <c r="X29" s="60">
        <f t="shared" si="3"/>
        <v>340.2402062713619</v>
      </c>
      <c r="Y29" s="60">
        <f t="shared" si="3"/>
        <v>348.88383275375293</v>
      </c>
      <c r="Z29" s="60">
        <f t="shared" si="3"/>
        <v>356.36225948867565</v>
      </c>
      <c r="AA29" s="60">
        <f t="shared" si="3"/>
        <v>5849.9340668375426</v>
      </c>
      <c r="AB29" s="60">
        <f t="shared" si="3"/>
        <v>10162.430284216867</v>
      </c>
      <c r="AC29" s="60">
        <f t="shared" si="3"/>
        <v>16635.423221331417</v>
      </c>
      <c r="AD29" s="60">
        <f t="shared" si="3"/>
        <v>25712.99272411174</v>
      </c>
      <c r="AE29" s="60">
        <f t="shared" si="3"/>
        <v>36476.60595305149</v>
      </c>
    </row>
    <row r="30" spans="1:31" x14ac:dyDescent="0.25">
      <c r="A30" s="6" t="s">
        <v>568</v>
      </c>
      <c r="B30" s="23" t="s">
        <v>569</v>
      </c>
      <c r="C30" s="56">
        <v>1</v>
      </c>
      <c r="D30" s="56">
        <f>MAX(0,1-C35/Assumptions!$B$84)</f>
        <v>0.99942207183889842</v>
      </c>
      <c r="E30" s="56">
        <f>MAX(0,1-D35/Assumptions!$B$84)</f>
        <v>0.99887307144906035</v>
      </c>
      <c r="F30" s="56">
        <f>MAX(0,1-E35/Assumptions!$B$84)</f>
        <v>0.9983472350855277</v>
      </c>
      <c r="G30" s="56">
        <f>MAX(0,1-F35/Assumptions!$B$84)</f>
        <v>0.99769028565090312</v>
      </c>
      <c r="H30" s="56">
        <f>MAX(0,1-G35/Assumptions!$B$84)</f>
        <v>0.99709656580474415</v>
      </c>
      <c r="I30" s="56">
        <f>MAX(0,1-H35/Assumptions!$B$84)</f>
        <v>0.99659448643588255</v>
      </c>
      <c r="J30" s="56">
        <f>MAX(0,1-I35/Assumptions!$B$84)</f>
        <v>0.99610976760808712</v>
      </c>
      <c r="K30" s="56">
        <f>MAX(0,1-J35/Assumptions!$B$84)</f>
        <v>0.99562528453550125</v>
      </c>
      <c r="L30" s="56">
        <f>MAX(0,1-K35/Assumptions!$B$84)</f>
        <v>0.99509546087456147</v>
      </c>
      <c r="M30" s="56">
        <f>MAX(0,1-L35/Assumptions!$B$84)</f>
        <v>0.99438371125844294</v>
      </c>
      <c r="N30" s="56">
        <f>MAX(0,1-M35/Assumptions!$B$84)</f>
        <v>0.99372936996920691</v>
      </c>
      <c r="O30" s="56">
        <f>MAX(0,1-N35/Assumptions!$B$84)</f>
        <v>0.99315506578178792</v>
      </c>
      <c r="P30" s="56">
        <f>MAX(0,1-O35/Assumptions!$B$84)</f>
        <v>0.99116453586763631</v>
      </c>
      <c r="Q30" s="56">
        <f>MAX(0,1-P35/Assumptions!$B$84)</f>
        <v>0.98922649068284052</v>
      </c>
      <c r="R30" s="56">
        <f>MAX(0,1-Q35/Assumptions!$B$84)</f>
        <v>0.98732891245191201</v>
      </c>
      <c r="S30" s="56">
        <f>MAX(0,1-R35/Assumptions!$B$84)</f>
        <v>0.98491075140950701</v>
      </c>
      <c r="T30" s="56">
        <f>MAX(0,1-S35/Assumptions!$B$84)</f>
        <v>0.98266957695654478</v>
      </c>
      <c r="U30" s="56">
        <f>MAX(0,1-T35/Assumptions!$B$84)</f>
        <v>0.98073421321371612</v>
      </c>
      <c r="V30" s="56">
        <f>MAX(0,1-U35/Assumptions!$B$84)</f>
        <v>0.97883650453396698</v>
      </c>
      <c r="W30" s="56">
        <f>MAX(0,1-V35/Assumptions!$B$84)</f>
        <v>0.97691302455567708</v>
      </c>
      <c r="X30" s="56">
        <f>MAX(0,1-W35/Assumptions!$B$84)</f>
        <v>0.97478135004504129</v>
      </c>
      <c r="Y30" s="56">
        <f>MAX(0,1-X35/Assumptions!$B$84)</f>
        <v>0.97187484373312882</v>
      </c>
      <c r="Z30" s="56">
        <f>MAX(0,1-Y35/Assumptions!$B$84)</f>
        <v>0.96914110227577444</v>
      </c>
      <c r="AA30" s="56">
        <f>MAX(0,1-Z35/Assumptions!$B$84)</f>
        <v>0.96669559756661072</v>
      </c>
      <c r="AB30" s="56">
        <f>MAX(0,1-AA35/Assumptions!$B$84)</f>
        <v>0.92704870764432712</v>
      </c>
      <c r="AC30" s="56">
        <f>MAX(0,1-AB35/Assumptions!$B$84)</f>
        <v>0.86099935809702366</v>
      </c>
      <c r="AD30" s="56">
        <f>MAX(0,1-AC35/Assumptions!$B$84)</f>
        <v>0.76058285467547548</v>
      </c>
      <c r="AE30" s="56">
        <f>MAX(0,1-AD35/Assumptions!$B$84)</f>
        <v>0.623473347112528</v>
      </c>
    </row>
    <row r="31" spans="1:31" x14ac:dyDescent="0.25">
      <c r="A31" s="6" t="s">
        <v>570</v>
      </c>
      <c r="B31" s="23" t="s">
        <v>190</v>
      </c>
      <c r="C31" s="60">
        <f t="shared" ref="C31:AE31" si="4">C29*C30*C15</f>
        <v>82.433823529411768</v>
      </c>
      <c r="D31" s="60">
        <f t="shared" si="4"/>
        <v>78.307658805259564</v>
      </c>
      <c r="E31" s="60">
        <f t="shared" si="4"/>
        <v>75.003616217925043</v>
      </c>
      <c r="F31" s="60">
        <f t="shared" si="4"/>
        <v>93.705165116667359</v>
      </c>
      <c r="G31" s="60">
        <f t="shared" si="4"/>
        <v>84.686298952603138</v>
      </c>
      <c r="H31" s="60">
        <f t="shared" si="4"/>
        <v>71.614994520446629</v>
      </c>
      <c r="I31" s="60">
        <f t="shared" si="4"/>
        <v>69.138742496489357</v>
      </c>
      <c r="J31" s="60">
        <f t="shared" si="4"/>
        <v>69.105115127811047</v>
      </c>
      <c r="K31" s="60">
        <f t="shared" si="4"/>
        <v>75.572351560735143</v>
      </c>
      <c r="L31" s="60">
        <f t="shared" si="4"/>
        <v>101.52168764437162</v>
      </c>
      <c r="M31" s="60">
        <f t="shared" si="4"/>
        <v>93.333147604514892</v>
      </c>
      <c r="N31" s="60">
        <f t="shared" si="4"/>
        <v>81.916911520035157</v>
      </c>
      <c r="O31" s="60">
        <f t="shared" si="4"/>
        <v>283.92281725885647</v>
      </c>
      <c r="P31" s="60">
        <f t="shared" si="4"/>
        <v>276.43656341468539</v>
      </c>
      <c r="Q31" s="60">
        <f t="shared" si="4"/>
        <v>270.66448660930382</v>
      </c>
      <c r="R31" s="60">
        <f t="shared" si="4"/>
        <v>344.91875297331808</v>
      </c>
      <c r="S31" s="60">
        <f t="shared" si="4"/>
        <v>319.67395221227702</v>
      </c>
      <c r="T31" s="60">
        <f t="shared" si="4"/>
        <v>276.05409111310263</v>
      </c>
      <c r="U31" s="60">
        <f t="shared" si="4"/>
        <v>270.68309341164814</v>
      </c>
      <c r="V31" s="60">
        <f t="shared" si="4"/>
        <v>274.35902896734291</v>
      </c>
      <c r="W31" s="60">
        <f t="shared" si="4"/>
        <v>304.05523083864909</v>
      </c>
      <c r="X31" s="60">
        <f t="shared" si="4"/>
        <v>414.57475951100184</v>
      </c>
      <c r="Y31" s="60">
        <f t="shared" si="4"/>
        <v>389.93213350435394</v>
      </c>
      <c r="Z31" s="60">
        <f t="shared" si="4"/>
        <v>348.81896610004407</v>
      </c>
      <c r="AA31" s="60">
        <f t="shared" si="4"/>
        <v>5655.1055084667914</v>
      </c>
      <c r="AB31" s="60">
        <f t="shared" si="4"/>
        <v>9421.0678615088182</v>
      </c>
      <c r="AC31" s="60">
        <f t="shared" si="4"/>
        <v>14323.088715238671</v>
      </c>
      <c r="AD31" s="60">
        <f t="shared" si="4"/>
        <v>19556.861408354638</v>
      </c>
      <c r="AE31" s="60">
        <f t="shared" si="4"/>
        <v>22742.191604853779</v>
      </c>
    </row>
    <row r="32" spans="1:31" x14ac:dyDescent="0.25">
      <c r="A32" s="6" t="s">
        <v>571</v>
      </c>
      <c r="B32" s="23" t="s">
        <v>190</v>
      </c>
      <c r="C32" s="28">
        <f>C31*(1-Assumptions!$B$134)^(C7/2)</f>
        <v>80.4057714157085</v>
      </c>
      <c r="D32" s="28">
        <f>C32*(1-Assumptions!$B$134)^D7+D31*(1-Assumptions!$B$134)^(D7/2)</f>
        <v>152.87924256583875</v>
      </c>
      <c r="E32" s="28">
        <f>D32*(1-Assumptions!$B$134)^E7+E31*(1-Assumptions!$B$134)^(E7/2)</f>
        <v>218.60781224871744</v>
      </c>
      <c r="F32" s="28">
        <f>E32*(1-Assumptions!$B$134)^F7+F31*(1-Assumptions!$B$134)^(F7/2)</f>
        <v>299.38348248212463</v>
      </c>
      <c r="G32" s="28">
        <f>F32*(1-Assumptions!$B$134)^G7+G31*(1-Assumptions!$B$134)^(G7/2)</f>
        <v>367.43654540227362</v>
      </c>
      <c r="H32" s="28">
        <f>G32*(1-Assumptions!$B$134)^H7+H31*(1-Assumptions!$B$134)^(H7/2)</f>
        <v>419.43256885176902</v>
      </c>
      <c r="I32" s="28">
        <f>H32*(1-Assumptions!$B$134)^I7+I31*(1-Assumptions!$B$134)^(I7/2)</f>
        <v>466.48630149050268</v>
      </c>
      <c r="J32" s="28">
        <f>I32*(1-Assumptions!$B$134)^J7+J31*(1-Assumptions!$B$134)^(J7/2)</f>
        <v>511.22046496225857</v>
      </c>
      <c r="K32" s="28">
        <f>J32*(1-Assumptions!$B$134)^K7+K31*(1-Assumptions!$B$134)^(K7/2)</f>
        <v>560.08871659592899</v>
      </c>
      <c r="L32" s="28">
        <f>K32*(1-Assumptions!$B$134)^L7+L31*(1-Assumptions!$B$134)^(L7/2)</f>
        <v>631.89294086919494</v>
      </c>
      <c r="M32" s="28">
        <f>L32*(1-Assumptions!$B$134)^M7+M31*(1-Assumptions!$B$134)^(M7/2)</f>
        <v>692.22046032547564</v>
      </c>
      <c r="N32" s="28">
        <f>M32*(1-Assumptions!$B$134)^N7+N31*(1-Assumptions!$B$134)^(N7/2)</f>
        <v>738.48074482946163</v>
      </c>
      <c r="O32" s="28">
        <f>N32*(1-Assumptions!$B$134)^O7+O31*(1-Assumptions!$B$134)^(O7/2)</f>
        <v>979.52894032365452</v>
      </c>
      <c r="P32" s="28">
        <f>O32*(1-Assumptions!$B$134)^P7+P31*(1-Assumptions!$B$134)^(P7/2)</f>
        <v>1201.5603345708726</v>
      </c>
      <c r="Q32" s="28">
        <f>P32*(1-Assumptions!$B$134)^Q7+Q31*(1-Assumptions!$B$134)^(Q7/2)</f>
        <v>1407.1711315551167</v>
      </c>
      <c r="R32" s="28">
        <f>Q32*(1-Assumptions!$B$134)^R7+R31*(1-Assumptions!$B$134)^(R7/2)</f>
        <v>1675.2168778723326</v>
      </c>
      <c r="S32" s="28">
        <f>R32*(1-Assumptions!$B$134)^S7+S31*(1-Assumptions!$B$134)^(S7/2)</f>
        <v>1905.6121183694586</v>
      </c>
      <c r="T32" s="28">
        <f>S32*(1-Assumptions!$B$134)^T7+T31*(1-Assumptions!$B$134)^(T7/2)</f>
        <v>2082.263640063255</v>
      </c>
      <c r="U32" s="28">
        <f>T32*(1-Assumptions!$B$134)^U7+U31*(1-Assumptions!$B$134)^(U7/2)</f>
        <v>2245.0911971856672</v>
      </c>
      <c r="V32" s="28">
        <f>U32*(1-Assumptions!$B$134)^V7+V31*(1-Assumptions!$B$134)^(V7/2)</f>
        <v>2403.5909809255354</v>
      </c>
      <c r="W32" s="28">
        <f>V32*(1-Assumptions!$B$134)^W7+W31*(1-Assumptions!$B$134)^(W7/2)</f>
        <v>2583.3534281084494</v>
      </c>
      <c r="X32" s="28">
        <f>W32*(1-Assumptions!$B$134)^X7+X31*(1-Assumptions!$B$134)^(X7/2)</f>
        <v>2862.1800888307398</v>
      </c>
      <c r="Y32" s="28">
        <f>X32*(1-Assumptions!$B$134)^Y7+Y31*(1-Assumptions!$B$134)^(Y7/2)</f>
        <v>3103.4196609250207</v>
      </c>
      <c r="Z32" s="28">
        <f>Y32*(1-Assumptions!$B$134)^Z7+Z31*(1-Assumptions!$B$134)^(Z7/2)</f>
        <v>3292.8335130041469</v>
      </c>
      <c r="AA32" s="28">
        <f>Z32*(1-Assumptions!$B$134)^AA7+AA31*(1-Assumptions!$B$134)^(AA7/2)</f>
        <v>6004.9969237780579</v>
      </c>
      <c r="AB32" s="28">
        <f>AA32*(1-Assumptions!$B$134)^AB7+AB31*(1-Assumptions!$B$134)^(AB7/2)</f>
        <v>10289.599230212661</v>
      </c>
      <c r="AC32" s="28">
        <f>AB32*(1-Assumptions!$B$134)^AC7+AC31*(1-Assumptions!$B$134)^(AC7/2)</f>
        <v>16281.566462665965</v>
      </c>
      <c r="AD32" s="28">
        <f>AC32*(1-Assumptions!$B$134)^AD7+AD31*(1-Assumptions!$B$134)^(AD7/2)</f>
        <v>23458.618153364208</v>
      </c>
      <c r="AE32" s="28">
        <f>AD32*(1-Assumptions!$B$134)^AE7+AE31*(1-Assumptions!$B$134)^(AE7/2)</f>
        <v>29768.300681665947</v>
      </c>
    </row>
    <row r="33" spans="1:31" x14ac:dyDescent="0.25">
      <c r="A33" s="6" t="s">
        <v>572</v>
      </c>
      <c r="B33" s="23" t="s">
        <v>190</v>
      </c>
      <c r="C33" s="60">
        <f>C31-C32</f>
        <v>2.0280521137032679</v>
      </c>
      <c r="D33" s="60">
        <f t="shared" ref="D33:AE33" si="5">C32+D31-D32</f>
        <v>5.8341876551293126</v>
      </c>
      <c r="E33" s="60">
        <f t="shared" si="5"/>
        <v>9.2750465350463571</v>
      </c>
      <c r="F33" s="60">
        <f t="shared" si="5"/>
        <v>12.929494883260134</v>
      </c>
      <c r="G33" s="60">
        <f t="shared" si="5"/>
        <v>16.633236032454136</v>
      </c>
      <c r="H33" s="60">
        <f t="shared" si="5"/>
        <v>19.618971070951261</v>
      </c>
      <c r="I33" s="60">
        <f t="shared" si="5"/>
        <v>22.085009857755722</v>
      </c>
      <c r="J33" s="60">
        <f t="shared" si="5"/>
        <v>24.370951656055126</v>
      </c>
      <c r="K33" s="60">
        <f t="shared" si="5"/>
        <v>26.704099927064703</v>
      </c>
      <c r="L33" s="60">
        <f t="shared" si="5"/>
        <v>29.717463371105623</v>
      </c>
      <c r="M33" s="60">
        <f t="shared" si="5"/>
        <v>33.005628148234223</v>
      </c>
      <c r="N33" s="60">
        <f t="shared" si="5"/>
        <v>35.656627016049129</v>
      </c>
      <c r="O33" s="60">
        <f t="shared" si="5"/>
        <v>42.874621764663516</v>
      </c>
      <c r="P33" s="60">
        <f t="shared" si="5"/>
        <v>54.40516916746742</v>
      </c>
      <c r="Q33" s="60">
        <f t="shared" si="5"/>
        <v>65.053689625059633</v>
      </c>
      <c r="R33" s="60">
        <f t="shared" si="5"/>
        <v>76.873006656102234</v>
      </c>
      <c r="S33" s="60">
        <f t="shared" si="5"/>
        <v>89.278711715151076</v>
      </c>
      <c r="T33" s="60">
        <f t="shared" si="5"/>
        <v>99.402569419306019</v>
      </c>
      <c r="U33" s="60">
        <f t="shared" si="5"/>
        <v>107.85553628923617</v>
      </c>
      <c r="V33" s="60">
        <f t="shared" si="5"/>
        <v>115.85924522747473</v>
      </c>
      <c r="W33" s="60">
        <f t="shared" si="5"/>
        <v>124.29278365573509</v>
      </c>
      <c r="X33" s="60">
        <f t="shared" si="5"/>
        <v>135.74809878871156</v>
      </c>
      <c r="Y33" s="60">
        <f t="shared" si="5"/>
        <v>148.69256141007327</v>
      </c>
      <c r="Z33" s="60">
        <f t="shared" si="5"/>
        <v>159.40511402091806</v>
      </c>
      <c r="AA33" s="60">
        <f t="shared" si="5"/>
        <v>2942.9420976928805</v>
      </c>
      <c r="AB33" s="60">
        <f t="shared" si="5"/>
        <v>5136.4655550742136</v>
      </c>
      <c r="AC33" s="60">
        <f t="shared" si="5"/>
        <v>8331.1214827853673</v>
      </c>
      <c r="AD33" s="60">
        <f t="shared" si="5"/>
        <v>12379.809717656397</v>
      </c>
      <c r="AE33" s="60">
        <f t="shared" si="5"/>
        <v>16432.509076552044</v>
      </c>
    </row>
    <row r="34" spans="1:31" x14ac:dyDescent="0.25">
      <c r="A34" s="6" t="s">
        <v>573</v>
      </c>
      <c r="B34" s="23" t="s">
        <v>190</v>
      </c>
      <c r="C34" s="50">
        <f>C33</f>
        <v>2.0280521137032679</v>
      </c>
      <c r="D34" s="50">
        <f t="shared" ref="D34:AE34" si="6">C34+D33</f>
        <v>7.8622397688325805</v>
      </c>
      <c r="E34" s="50">
        <f t="shared" si="6"/>
        <v>17.137286303878938</v>
      </c>
      <c r="F34" s="50">
        <f t="shared" si="6"/>
        <v>30.066781187139071</v>
      </c>
      <c r="G34" s="50">
        <f t="shared" si="6"/>
        <v>46.700017219593207</v>
      </c>
      <c r="H34" s="50">
        <f t="shared" si="6"/>
        <v>66.318988290544468</v>
      </c>
      <c r="I34" s="50">
        <f t="shared" si="6"/>
        <v>88.40399814830019</v>
      </c>
      <c r="J34" s="50">
        <f t="shared" si="6"/>
        <v>112.77494980435532</v>
      </c>
      <c r="K34" s="50">
        <f t="shared" si="6"/>
        <v>139.47904973142002</v>
      </c>
      <c r="L34" s="50">
        <f t="shared" si="6"/>
        <v>169.19651310252564</v>
      </c>
      <c r="M34" s="50">
        <f t="shared" si="6"/>
        <v>202.20214125075987</v>
      </c>
      <c r="N34" s="50">
        <f t="shared" si="6"/>
        <v>237.85876826680899</v>
      </c>
      <c r="O34" s="50">
        <f t="shared" si="6"/>
        <v>280.73339003147248</v>
      </c>
      <c r="P34" s="50">
        <f t="shared" si="6"/>
        <v>335.1385591989399</v>
      </c>
      <c r="Q34" s="50">
        <f t="shared" si="6"/>
        <v>400.19224882399953</v>
      </c>
      <c r="R34" s="50">
        <f t="shared" si="6"/>
        <v>477.06525548010177</v>
      </c>
      <c r="S34" s="50">
        <f t="shared" si="6"/>
        <v>566.34396719525284</v>
      </c>
      <c r="T34" s="50">
        <f t="shared" si="6"/>
        <v>665.74653661455886</v>
      </c>
      <c r="U34" s="50">
        <f t="shared" si="6"/>
        <v>773.60207290379503</v>
      </c>
      <c r="V34" s="50">
        <f t="shared" si="6"/>
        <v>889.46131813126976</v>
      </c>
      <c r="W34" s="50">
        <f t="shared" si="6"/>
        <v>1013.7541017870049</v>
      </c>
      <c r="X34" s="50">
        <f t="shared" si="6"/>
        <v>1149.5022005757164</v>
      </c>
      <c r="Y34" s="50">
        <f t="shared" si="6"/>
        <v>1298.1947619857897</v>
      </c>
      <c r="Z34" s="50">
        <f t="shared" si="6"/>
        <v>1457.5998760067077</v>
      </c>
      <c r="AA34" s="50">
        <f t="shared" si="6"/>
        <v>4400.5419736995882</v>
      </c>
      <c r="AB34" s="50">
        <f t="shared" si="6"/>
        <v>9537.0075287738018</v>
      </c>
      <c r="AC34" s="50">
        <f t="shared" si="6"/>
        <v>17868.129011559169</v>
      </c>
      <c r="AD34" s="50">
        <f t="shared" si="6"/>
        <v>30247.938729215566</v>
      </c>
      <c r="AE34" s="50">
        <f t="shared" si="6"/>
        <v>46680.44780576761</v>
      </c>
    </row>
    <row r="35" spans="1:31" x14ac:dyDescent="0.25">
      <c r="A35" s="6" t="s">
        <v>574</v>
      </c>
      <c r="B35" s="23" t="s">
        <v>190</v>
      </c>
      <c r="C35" s="50">
        <f>C31</f>
        <v>82.433823529411768</v>
      </c>
      <c r="D35" s="50">
        <f t="shared" ref="D35:AE35" si="7">C35+D31</f>
        <v>160.74148233467133</v>
      </c>
      <c r="E35" s="50">
        <f t="shared" si="7"/>
        <v>235.74509855259637</v>
      </c>
      <c r="F35" s="50">
        <f t="shared" si="7"/>
        <v>329.45026366926373</v>
      </c>
      <c r="G35" s="50">
        <f t="shared" si="7"/>
        <v>414.13656262186686</v>
      </c>
      <c r="H35" s="50">
        <f t="shared" si="7"/>
        <v>485.75155714231346</v>
      </c>
      <c r="I35" s="50">
        <f t="shared" si="7"/>
        <v>554.89029963880284</v>
      </c>
      <c r="J35" s="50">
        <f t="shared" si="7"/>
        <v>623.99541476661386</v>
      </c>
      <c r="K35" s="50">
        <f t="shared" si="7"/>
        <v>699.56776632734898</v>
      </c>
      <c r="L35" s="50">
        <f t="shared" si="7"/>
        <v>801.08945397172056</v>
      </c>
      <c r="M35" s="50">
        <f t="shared" si="7"/>
        <v>894.42260157623548</v>
      </c>
      <c r="N35" s="50">
        <f t="shared" si="7"/>
        <v>976.33951309627059</v>
      </c>
      <c r="O35" s="50">
        <f t="shared" si="7"/>
        <v>1260.262330355127</v>
      </c>
      <c r="P35" s="50">
        <f t="shared" si="7"/>
        <v>1536.6988937698125</v>
      </c>
      <c r="Q35" s="50">
        <f t="shared" si="7"/>
        <v>1807.3633803791163</v>
      </c>
      <c r="R35" s="50">
        <f t="shared" si="7"/>
        <v>2152.2821333524344</v>
      </c>
      <c r="S35" s="50">
        <f t="shared" si="7"/>
        <v>2471.9560855647114</v>
      </c>
      <c r="T35" s="50">
        <f t="shared" si="7"/>
        <v>2748.0101766778139</v>
      </c>
      <c r="U35" s="50">
        <f t="shared" si="7"/>
        <v>3018.6932700894622</v>
      </c>
      <c r="V35" s="50">
        <f t="shared" si="7"/>
        <v>3293.0522990568052</v>
      </c>
      <c r="W35" s="50">
        <f t="shared" si="7"/>
        <v>3597.1075298954543</v>
      </c>
      <c r="X35" s="50">
        <f t="shared" si="7"/>
        <v>4011.6822894064562</v>
      </c>
      <c r="Y35" s="50">
        <f t="shared" si="7"/>
        <v>4401.6144229108104</v>
      </c>
      <c r="Z35" s="50">
        <f t="shared" si="7"/>
        <v>4750.4333890108546</v>
      </c>
      <c r="AA35" s="50">
        <f t="shared" si="7"/>
        <v>10405.538897477647</v>
      </c>
      <c r="AB35" s="50">
        <f t="shared" si="7"/>
        <v>19826.606758986465</v>
      </c>
      <c r="AC35" s="50">
        <f t="shared" si="7"/>
        <v>34149.69547422514</v>
      </c>
      <c r="AD35" s="50">
        <f t="shared" si="7"/>
        <v>53706.556882579782</v>
      </c>
      <c r="AE35" s="50">
        <f t="shared" si="7"/>
        <v>76448.748487433564</v>
      </c>
    </row>
    <row r="36" spans="1:31" x14ac:dyDescent="0.25">
      <c r="A36" s="6" t="s">
        <v>575</v>
      </c>
      <c r="B36" s="23" t="s">
        <v>114</v>
      </c>
      <c r="C36" s="61">
        <f>IF(C2&gt;=Assumptions!$B$47,C32*Assumptions!$B$190*C7,0)</f>
        <v>2701.6339195678056</v>
      </c>
      <c r="D36" s="61">
        <f>IF(D2&gt;=Assumptions!$B$47,D32*Assumptions!$B$190*D7,0)</f>
        <v>5136.7425502121823</v>
      </c>
      <c r="E36" s="61">
        <f>IF(E2&gt;=Assumptions!$B$47,E32*Assumptions!$B$190*E7,0)</f>
        <v>7345.2224915569059</v>
      </c>
      <c r="F36" s="61">
        <f>IF(F2&gt;=Assumptions!$B$47,F32*Assumptions!$B$190*F7,0)</f>
        <v>10059.285011399388</v>
      </c>
      <c r="G36" s="61">
        <f>IF(G2&gt;=Assumptions!$B$47,G32*Assumptions!$B$190*G7,0)</f>
        <v>12345.867925516393</v>
      </c>
      <c r="H36" s="61">
        <f>IF(H2&gt;=Assumptions!$B$47,H32*Assumptions!$B$190*H7,0)</f>
        <v>14092.934313419441</v>
      </c>
      <c r="I36" s="61">
        <f>IF(I2&gt;=Assumptions!$B$47,I32*Assumptions!$B$190*I7,0)</f>
        <v>15673.939730080891</v>
      </c>
      <c r="J36" s="61">
        <f>IF(J2&gt;=Assumptions!$B$47,J32*Assumptions!$B$190*J7,0)</f>
        <v>17177.00762273189</v>
      </c>
      <c r="K36" s="61">
        <f>IF(K2&gt;=Assumptions!$B$47,K32*Assumptions!$B$190*K7,0)</f>
        <v>18818.980877623213</v>
      </c>
      <c r="L36" s="61">
        <f>IF(L2&gt;=Assumptions!$B$47,L32*Assumptions!$B$190*L7,0)</f>
        <v>21231.602813204951</v>
      </c>
      <c r="M36" s="61">
        <f>IF(M2&gt;=Assumptions!$B$47,M32*Assumptions!$B$190*M7,0)</f>
        <v>23258.607466935984</v>
      </c>
      <c r="N36" s="61">
        <f>IF(N2&gt;=Assumptions!$B$47,N32*Assumptions!$B$190*N7,0)</f>
        <v>24812.953026269912</v>
      </c>
      <c r="O36" s="61">
        <f>IF(O2&gt;=Assumptions!$B$47,O32*Assumptions!$B$190*O7,0)</f>
        <v>32912.172394874797</v>
      </c>
      <c r="P36" s="61">
        <f>IF(P2&gt;=Assumptions!$B$47,P32*Assumptions!$B$190*P7,0)</f>
        <v>40372.427241581318</v>
      </c>
      <c r="Q36" s="61">
        <f>IF(Q2&gt;=Assumptions!$B$47,Q32*Assumptions!$B$190*Q7,0)</f>
        <v>47280.950020251927</v>
      </c>
      <c r="R36" s="61">
        <f>IF(R2&gt;=Assumptions!$B$47,R32*Assumptions!$B$190*R7,0)</f>
        <v>56287.287096510379</v>
      </c>
      <c r="S36" s="61">
        <f>IF(S2&gt;=Assumptions!$B$47,S32*Assumptions!$B$190*S7,0)</f>
        <v>64028.567177213808</v>
      </c>
      <c r="T36" s="61">
        <f>IF(T2&gt;=Assumptions!$B$47,T32*Assumptions!$B$190*T7,0)</f>
        <v>69964.058306125371</v>
      </c>
      <c r="U36" s="61">
        <f>IF(U2&gt;=Assumptions!$B$47,U32*Assumptions!$B$190*U7,0)</f>
        <v>75435.064225438415</v>
      </c>
      <c r="V36" s="61">
        <f>IF(V2&gt;=Assumptions!$B$47,V32*Assumptions!$B$190*V7,0)</f>
        <v>80760.656959097993</v>
      </c>
      <c r="W36" s="61">
        <f>IF(W2&gt;=Assumptions!$B$47,W32*Assumptions!$B$190*W7,0)</f>
        <v>86800.675184443899</v>
      </c>
      <c r="X36" s="61">
        <f>IF(X2&gt;=Assumptions!$B$47,X32*Assumptions!$B$190*X7,0)</f>
        <v>96169.250984712868</v>
      </c>
      <c r="Y36" s="61">
        <f>IF(Y2&gt;=Assumptions!$B$47,Y32*Assumptions!$B$190*Y7,0)</f>
        <v>104274.90060708069</v>
      </c>
      <c r="Z36" s="61">
        <f>IF(Z2&gt;=Assumptions!$B$47,Z32*Assumptions!$B$190*Z7,0)</f>
        <v>110639.20603693934</v>
      </c>
      <c r="AA36" s="61">
        <f>IF(AA2&gt;=Assumptions!$B$47,AA32*Assumptions!$B$190*AA7,0)</f>
        <v>2421214.7596673132</v>
      </c>
      <c r="AB36" s="61">
        <f>IF(AB2&gt;=Assumptions!$B$47,AB32*Assumptions!$B$190*AB7,0)</f>
        <v>4148766.4096217453</v>
      </c>
      <c r="AC36" s="61">
        <f>IF(AC2&gt;=Assumptions!$B$47,AC32*Assumptions!$B$190*AC7,0)</f>
        <v>6564727.597746918</v>
      </c>
      <c r="AD36" s="61">
        <f>IF(AD2&gt;=Assumptions!$B$47,AD32*Assumptions!$B$190*AD7,0)</f>
        <v>9458514.8394364491</v>
      </c>
      <c r="AE36" s="61">
        <f>IF(AE2&gt;=Assumptions!$B$47,AE32*Assumptions!$B$190*AE7,0)</f>
        <v>12002578.834847711</v>
      </c>
    </row>
    <row r="37" spans="1:31" x14ac:dyDescent="0.25">
      <c r="A37" s="6" t="s">
        <v>576</v>
      </c>
      <c r="B37" s="23" t="s">
        <v>114</v>
      </c>
      <c r="C37" s="61">
        <f>IF(C2&gt;=Assumptions!$B$48,C32*Assumptions!$B$35*Assumptions!$B$154*Assumptions!$B$156*Assumptions!$B$32*Assumptions!$B$155/12*C7,0)</f>
        <v>259.7106416727384</v>
      </c>
      <c r="D37" s="61">
        <f>IF(D2&gt;=Assumptions!$B$48,D32*Assumptions!$B$35*Assumptions!$B$154*Assumptions!$B$156*Assumptions!$B$32*Assumptions!$B$155/12*D7,0)</f>
        <v>493.7999534876592</v>
      </c>
      <c r="E37" s="61">
        <f>IF(E2&gt;=Assumptions!$B$48,E32*Assumptions!$B$35*Assumptions!$B$154*Assumptions!$B$156*Assumptions!$B$32*Assumptions!$B$155/12*E7,0)</f>
        <v>706.10323356335721</v>
      </c>
      <c r="F37" s="61">
        <f>IF(F2&gt;=Assumptions!$B$48,F32*Assumptions!$B$35*Assumptions!$B$154*Assumptions!$B$156*Assumptions!$B$32*Assumptions!$B$155/12*F7,0)</f>
        <v>967.00864841726252</v>
      </c>
      <c r="G37" s="61">
        <f>IF(G2&gt;=Assumptions!$B$48,G32*Assumptions!$B$35*Assumptions!$B$154*Assumptions!$B$156*Assumptions!$B$32*Assumptions!$B$155/12*G7,0)</f>
        <v>1186.8200416493439</v>
      </c>
      <c r="H37" s="61">
        <f>IF(H2&gt;=Assumptions!$B$48,H32*Assumptions!$B$35*Assumptions!$B$154*Assumptions!$B$156*Assumptions!$B$32*Assumptions!$B$155/12*H7,0)</f>
        <v>1354.7671973912138</v>
      </c>
      <c r="I37" s="61">
        <f>IF(I2&gt;=Assumptions!$B$48,I32*Assumptions!$B$35*Assumptions!$B$154*Assumptions!$B$156*Assumptions!$B$32*Assumptions!$B$155/12*I7,0)</f>
        <v>1506.7507538143234</v>
      </c>
      <c r="J37" s="61">
        <f>IF(J2&gt;=Assumptions!$B$48,J32*Assumptions!$B$35*Assumptions!$B$154*Assumptions!$B$156*Assumptions!$B$32*Assumptions!$B$155/12*J7,0)</f>
        <v>1651.2421018280954</v>
      </c>
      <c r="K37" s="61">
        <f>IF(K2&gt;=Assumptions!$B$48,K32*Assumptions!$B$35*Assumptions!$B$154*Assumptions!$B$156*Assumptions!$B$32*Assumptions!$B$155/12*K7,0)</f>
        <v>1809.0865546048501</v>
      </c>
      <c r="L37" s="61">
        <f>IF(L2&gt;=Assumptions!$B$48,L32*Assumptions!$B$35*Assumptions!$B$154*Assumptions!$B$156*Assumptions!$B$32*Assumptions!$B$155/12*L7,0)</f>
        <v>2041.0141990074992</v>
      </c>
      <c r="M37" s="61">
        <f>IF(M2&gt;=Assumptions!$B$48,M32*Assumptions!$B$35*Assumptions!$B$154*Assumptions!$B$156*Assumptions!$B$32*Assumptions!$B$155/12*M7,0)</f>
        <v>2235.872086851286</v>
      </c>
      <c r="N37" s="61">
        <f>IF(N2&gt;=Assumptions!$B$48,N32*Assumptions!$B$35*Assumptions!$B$154*Assumptions!$B$156*Assumptions!$B$32*Assumptions!$B$155/12*N7,0)</f>
        <v>2385.2928057991608</v>
      </c>
      <c r="O37" s="61">
        <f>IF(O2&gt;=Assumptions!$B$48,O32*Assumptions!$B$35*Assumptions!$B$154*Assumptions!$B$156*Assumptions!$B$32*Assumptions!$B$155/12*O7,0)</f>
        <v>3163.8784772454037</v>
      </c>
      <c r="P37" s="61">
        <f>IF(P2&gt;=Assumptions!$B$48,P32*Assumptions!$B$35*Assumptions!$B$154*Assumptions!$B$156*Assumptions!$B$32*Assumptions!$B$155/12*P7,0)</f>
        <v>3881.0398806639187</v>
      </c>
      <c r="Q37" s="61">
        <f>IF(Q2&gt;=Assumptions!$B$48,Q32*Assumptions!$B$35*Assumptions!$B$154*Assumptions!$B$156*Assumptions!$B$32*Assumptions!$B$155/12*Q7,0)</f>
        <v>4545.162754923027</v>
      </c>
      <c r="R37" s="61">
        <f>IF(R2&gt;=Assumptions!$B$48,R32*Assumptions!$B$35*Assumptions!$B$154*Assumptions!$B$156*Assumptions!$B$32*Assumptions!$B$155/12*R7,0)</f>
        <v>5410.9505155276338</v>
      </c>
      <c r="S37" s="61">
        <f>IF(S2&gt;=Assumptions!$B$48,S32*Assumptions!$B$35*Assumptions!$B$154*Assumptions!$B$156*Assumptions!$B$32*Assumptions!$B$155/12*S7,0)</f>
        <v>6155.1271423333519</v>
      </c>
      <c r="T37" s="61">
        <f>IF(T2&gt;=Assumptions!$B$48,T32*Assumptions!$B$35*Assumptions!$B$154*Assumptions!$B$156*Assumptions!$B$32*Assumptions!$B$155/12*T7,0)</f>
        <v>6725.7115574043128</v>
      </c>
      <c r="U37" s="61">
        <f>IF(U2&gt;=Assumptions!$B$48,U32*Assumptions!$B$35*Assumptions!$B$154*Assumptions!$B$156*Assumptions!$B$32*Assumptions!$B$155/12*U7,0)</f>
        <v>7251.6445669097038</v>
      </c>
      <c r="V37" s="61">
        <f>IF(V2&gt;=Assumptions!$B$48,V32*Assumptions!$B$35*Assumptions!$B$154*Assumptions!$B$156*Assumptions!$B$32*Assumptions!$B$155/12*V7,0)</f>
        <v>7763.5988683894793</v>
      </c>
      <c r="W37" s="61">
        <f>IF(W2&gt;=Assumptions!$B$48,W32*Assumptions!$B$35*Assumptions!$B$154*Assumptions!$B$156*Assumptions!$B$32*Assumptions!$B$155/12*W7,0)</f>
        <v>8344.2315727902896</v>
      </c>
      <c r="X37" s="61">
        <f>IF(X2&gt;=Assumptions!$B$48,X32*Assumptions!$B$35*Assumptions!$B$154*Assumptions!$B$156*Assumptions!$B$32*Assumptions!$B$155/12*X7,0)</f>
        <v>9244.8416869232879</v>
      </c>
      <c r="Y37" s="61">
        <f>IF(Y2&gt;=Assumptions!$B$48,Y32*Assumptions!$B$35*Assumptions!$B$154*Assumptions!$B$156*Assumptions!$B$32*Assumptions!$B$155/12*Y7,0)</f>
        <v>10024.045504787817</v>
      </c>
      <c r="Z37" s="61">
        <f>IF(Z2&gt;=Assumptions!$B$48,Z32*Assumptions!$B$35*Assumptions!$B$154*Assumptions!$B$156*Assumptions!$B$32*Assumptions!$B$155/12*Z7,0)</f>
        <v>10635.852247003391</v>
      </c>
      <c r="AA37" s="61">
        <f>IF(AA2&gt;=Assumptions!$B$48,AA32*Assumptions!$B$35*Assumptions!$B$154*Assumptions!$B$156*Assumptions!$B$32*Assumptions!$B$155/12*AA7,0)</f>
        <v>232753.68076563752</v>
      </c>
      <c r="AB37" s="61">
        <f>IF(AB2&gt;=Assumptions!$B$48,AB32*Assumptions!$B$35*Assumptions!$B$154*Assumptions!$B$156*Assumptions!$B$32*Assumptions!$B$155/12*AB7,0)</f>
        <v>398824.86616304272</v>
      </c>
      <c r="AC37" s="61">
        <f>IF(AC2&gt;=Assumptions!$B$48,AC32*Assumptions!$B$35*Assumptions!$B$154*Assumptions!$B$156*Assumptions!$B$32*Assumptions!$B$155/12*AC7,0)</f>
        <v>631073.51609293278</v>
      </c>
      <c r="AD37" s="61">
        <f>IF(AD2&gt;=Assumptions!$B$48,AD32*Assumptions!$B$35*Assumptions!$B$154*Assumptions!$B$156*Assumptions!$B$32*Assumptions!$B$155/12*AD7,0)</f>
        <v>909256.03962439671</v>
      </c>
      <c r="AE37" s="61">
        <f>IF(AE2&gt;=Assumptions!$B$48,AE32*Assumptions!$B$35*Assumptions!$B$154*Assumptions!$B$156*Assumptions!$B$32*Assumptions!$B$155/12*AE7,0)</f>
        <v>1153819.334421372</v>
      </c>
    </row>
    <row r="38" spans="1:31" x14ac:dyDescent="0.25">
      <c r="A38" s="6" t="s">
        <v>577</v>
      </c>
      <c r="B38" s="23" t="s">
        <v>47</v>
      </c>
      <c r="C38" s="60">
        <f>(C36+C37)*(1-Assumptions!$B$8)/C20/(1+Assumptions!$B$9*(1-Assumptions!$B$229))</f>
        <v>19.887440500342969</v>
      </c>
      <c r="D38" s="60">
        <f>(D36+D37)*(1-Assumptions!$B$8)/D20/(1+Assumptions!$B$9*(1-Assumptions!$B$229))</f>
        <v>37.812917987521899</v>
      </c>
      <c r="E38" s="60">
        <f>(E36+E37)*(1-Assumptions!$B$8)/E20/(1+Assumptions!$B$9*(1-Assumptions!$B$229))</f>
        <v>54.07012186387847</v>
      </c>
      <c r="F38" s="60">
        <f>(F36+F37)*(1-Assumptions!$B$8)/F20/(1+Assumptions!$B$9*(1-Assumptions!$B$229))</f>
        <v>74.04905257193424</v>
      </c>
      <c r="G38" s="60">
        <f>(G36+G37)*(1-Assumptions!$B$8)/G20/(1+Assumptions!$B$9*(1-Assumptions!$B$229))</f>
        <v>90.881193049677989</v>
      </c>
      <c r="H38" s="60">
        <f>(H36+H37)*(1-Assumptions!$B$8)/H20/(1+Assumptions!$B$9*(1-Assumptions!$B$229))</f>
        <v>103.74180994818408</v>
      </c>
      <c r="I38" s="60">
        <f>(I36+I37)*(1-Assumptions!$B$8)/I20/(1+Assumptions!$B$9*(1-Assumptions!$B$229))</f>
        <v>115.38000819808039</v>
      </c>
      <c r="J38" s="60">
        <f>(J36+J37)*(1-Assumptions!$B$8)/J20/(1+Assumptions!$B$9*(1-Assumptions!$B$229))</f>
        <v>126.44448775860302</v>
      </c>
      <c r="K38" s="60">
        <f>(K36+K37)*(1-Assumptions!$B$8)/K20/(1+Assumptions!$B$9*(1-Assumptions!$B$229))</f>
        <v>138.53148636092649</v>
      </c>
      <c r="L38" s="60">
        <f>(L36+L37)*(1-Assumptions!$B$8)/L20/(1+Assumptions!$B$9*(1-Assumptions!$B$229))</f>
        <v>156.29143334936958</v>
      </c>
      <c r="M38" s="60">
        <f>(M36+M37)*(1-Assumptions!$B$8)/M20/(1+Assumptions!$B$9*(1-Assumptions!$B$229))</f>
        <v>171.21274972499577</v>
      </c>
      <c r="N38" s="60">
        <f>(N36+N37)*(1-Assumptions!$B$8)/N20/(1+Assumptions!$B$9*(1-Assumptions!$B$229))</f>
        <v>182.65469772702966</v>
      </c>
      <c r="O38" s="60">
        <f>(O36+O37)*(1-Assumptions!$B$8)/O20/(1+Assumptions!$B$9*(1-Assumptions!$B$229))</f>
        <v>224.12135953230299</v>
      </c>
      <c r="P38" s="60">
        <f>(P36+P37)*(1-Assumptions!$B$8)/P20/(1+Assumptions!$B$9*(1-Assumptions!$B$229))</f>
        <v>274.92330717164168</v>
      </c>
      <c r="Q38" s="60">
        <f>(Q36+Q37)*(1-Assumptions!$B$8)/Q20/(1+Assumptions!$B$9*(1-Assumptions!$B$229))</f>
        <v>321.96813602519541</v>
      </c>
      <c r="R38" s="60">
        <f>(R36+R37)*(1-Assumptions!$B$8)/R20/(1+Assumptions!$B$9*(1-Assumptions!$B$229))</f>
        <v>383.29840878019479</v>
      </c>
      <c r="S38" s="60">
        <f>(S36+S37)*(1-Assumptions!$B$8)/S20/(1+Assumptions!$B$9*(1-Assumptions!$B$229))</f>
        <v>436.01404831293394</v>
      </c>
      <c r="T38" s="60">
        <f>(T36+T37)*(1-Assumptions!$B$8)/T20/(1+Assumptions!$B$9*(1-Assumptions!$B$229))</f>
        <v>476.43284307808108</v>
      </c>
      <c r="U38" s="60">
        <f>(U36+U37)*(1-Assumptions!$B$8)/U20/(1+Assumptions!$B$9*(1-Assumptions!$B$229))</f>
        <v>513.68864223756339</v>
      </c>
      <c r="V38" s="60">
        <f>(V36+V37)*(1-Assumptions!$B$8)/V20/(1+Assumptions!$B$9*(1-Assumptions!$B$229))</f>
        <v>549.95422414637142</v>
      </c>
      <c r="W38" s="60">
        <f>(W36+W37)*(1-Assumptions!$B$8)/W20/(1+Assumptions!$B$9*(1-Assumptions!$B$229))</f>
        <v>591.08481498136643</v>
      </c>
      <c r="X38" s="60">
        <f>(X36+X37)*(1-Assumptions!$B$8)/X20/(1+Assumptions!$B$9*(1-Assumptions!$B$229))</f>
        <v>654.88181750207161</v>
      </c>
      <c r="Y38" s="60">
        <f>(Y36+Y37)*(1-Assumptions!$B$8)/Y20/(1+Assumptions!$B$9*(1-Assumptions!$B$229))</f>
        <v>710.07869698671095</v>
      </c>
      <c r="Z38" s="60">
        <f>(Z36+Z37)*(1-Assumptions!$B$8)/Z20/(1+Assumptions!$B$9*(1-Assumptions!$B$229))</f>
        <v>753.41757988709514</v>
      </c>
      <c r="AA38" s="60">
        <f>(AA36+AA37)*(1-Assumptions!$B$8)/AA20/(1+Assumptions!$B$9*(1-Assumptions!$B$229))</f>
        <v>15252.264139400029</v>
      </c>
      <c r="AB38" s="60">
        <f>(AB36+AB37)*(1-Assumptions!$B$8)/AB20/(1+Assumptions!$B$9*(1-Assumptions!$B$229))</f>
        <v>24176.548180920057</v>
      </c>
      <c r="AC38" s="60">
        <f>(AC36+AC37)*(1-Assumptions!$B$8)/AC20/(1+Assumptions!$B$9*(1-Assumptions!$B$229))</f>
        <v>35388.839979932243</v>
      </c>
      <c r="AD38" s="60">
        <f>(AD36+AD37)*(1-Assumptions!$B$8)/AD20/(1+Assumptions!$B$9*(1-Assumptions!$B$229))</f>
        <v>47167.936023454742</v>
      </c>
      <c r="AE38" s="60">
        <f>(AE36+AE37)*(1-Assumptions!$B$8)/AE20/(1+Assumptions!$B$9*(1-Assumptions!$B$229))</f>
        <v>55369.779810609194</v>
      </c>
    </row>
    <row r="39" spans="1:31" x14ac:dyDescent="0.25">
      <c r="A39" s="6" t="s">
        <v>578</v>
      </c>
      <c r="B39" s="23" t="s">
        <v>579</v>
      </c>
      <c r="C39" s="62">
        <f>(Assumptions!$B$151+Assumptions!$B$152*IF(C32+C34=0,1,(C32+C34*Assumptions!$B$153)/(C32+C34)))*C7/12</f>
        <v>1.0073806552706356E-2</v>
      </c>
      <c r="D39" s="62">
        <f>(Assumptions!$B$151+Assumptions!$B$152*IF(D32+D34=0,1,(D32+D34*Assumptions!$B$153)/(D32+D34)))*D7/12</f>
        <v>1.0146736977685629E-2</v>
      </c>
      <c r="E39" s="62">
        <f>(Assumptions!$B$151+Assumptions!$B$152*IF(E32+E34=0,1,(E32+E34*Assumptions!$B$153)/(E32+E34)))*E7/12</f>
        <v>1.0218082408615449E-2</v>
      </c>
      <c r="F39" s="62">
        <f>(Assumptions!$B$151+Assumptions!$B$152*IF(F32+F34=0,1,(F32+F34*Assumptions!$B$153)/(F32+F34)))*F7/12</f>
        <v>1.0273790473125771E-2</v>
      </c>
      <c r="G39" s="62">
        <f>(Assumptions!$B$151+Assumptions!$B$152*IF(G32+G34=0,1,(G32+G34*Assumptions!$B$153)/(G32+G34)))*G7/12</f>
        <v>1.0338294331637412E-2</v>
      </c>
      <c r="H39" s="62">
        <f>(Assumptions!$B$151+Assumptions!$B$152*IF(H32+H34=0,1,(H32+H34*Assumptions!$B$153)/(H32+H34)))*H7/12</f>
        <v>1.0409585850927791E-2</v>
      </c>
      <c r="I39" s="62">
        <f>(Assumptions!$B$151+Assumptions!$B$152*IF(I32+I34=0,1,(I32+I34*Assumptions!$B$153)/(I32+I34)))*I7/12</f>
        <v>1.0477953921013824E-2</v>
      </c>
      <c r="J39" s="62">
        <f>(Assumptions!$B$151+Assumptions!$B$152*IF(J32+J34=0,1,(J32+J34*Assumptions!$B$153)/(J32+J34)))*J7/12</f>
        <v>1.0542191242766752E-2</v>
      </c>
      <c r="K39" s="62">
        <f>(Assumptions!$B$151+Assumptions!$B$152*IF(K32+K34=0,1,(K32+K34*Assumptions!$B$153)/(K32+K34)))*K7/12</f>
        <v>1.0598136691447359E-2</v>
      </c>
      <c r="L39" s="62">
        <f>(Assumptions!$B$151+Assumptions!$B$152*IF(L32+L34=0,1,(L32+L34*Assumptions!$B$153)/(L32+L34)))*L7/12</f>
        <v>1.063362404384554E-2</v>
      </c>
      <c r="M39" s="62">
        <f>(Assumptions!$B$151+Assumptions!$B$152*IF(M32+M34=0,1,(M32+M34*Assumptions!$B$153)/(M32+M34)))*M7/12</f>
        <v>1.0678210079534284E-2</v>
      </c>
      <c r="N39" s="62">
        <f>(Assumptions!$B$151+Assumptions!$B$152*IF(N32+N34=0,1,(N32+N34*Assumptions!$B$153)/(N32+N34)))*N7/12</f>
        <v>1.0730869021717106E-2</v>
      </c>
      <c r="O39" s="62">
        <f>(Assumptions!$B$151+Assumptions!$B$152*IF(O32+O34=0,1,(O32+O34*Assumptions!$B$153)/(O32+O34)))*O7/12</f>
        <v>1.0668273699696392E-2</v>
      </c>
      <c r="P39" s="62">
        <f>(Assumptions!$B$151+Assumptions!$B$152*IF(P32+P34=0,1,(P32+P34*Assumptions!$B$153)/(P32+P34)))*P7/12</f>
        <v>1.065426979981117E-2</v>
      </c>
      <c r="Q39" s="62">
        <f>(Assumptions!$B$151+Assumptions!$B$152*IF(Q32+Q34=0,1,(Q32+Q34*Assumptions!$B$153)/(Q32+Q34)))*Q7/12</f>
        <v>1.0664269708850781E-2</v>
      </c>
      <c r="R39" s="62">
        <f>(Assumptions!$B$151+Assumptions!$B$152*IF(R32+R34=0,1,(R32+R34*Assumptions!$B$153)/(R32+R34)))*R7/12</f>
        <v>1.0664966615789839E-2</v>
      </c>
      <c r="S39" s="62">
        <f>(Assumptions!$B$151+Assumptions!$B$152*IF(S32+S34=0,1,(S32+S34*Assumptions!$B$153)/(S32+S34)))*S7/12</f>
        <v>1.0687322849911233E-2</v>
      </c>
      <c r="T39" s="62">
        <f>(Assumptions!$B$151+Assumptions!$B$152*IF(T32+T34=0,1,(T32+T34*Assumptions!$B$153)/(T32+T34)))*T7/12</f>
        <v>1.0726794837513383E-2</v>
      </c>
      <c r="U39" s="62">
        <f>(Assumptions!$B$151+Assumptions!$B$152*IF(U32+U34=0,1,(U32+U34*Assumptions!$B$153)/(U32+U34)))*U7/12</f>
        <v>1.0768811538988394E-2</v>
      </c>
      <c r="V39" s="62">
        <f>(Assumptions!$B$151+Assumptions!$B$152*IF(V32+V34=0,1,(V32+V34*Assumptions!$B$153)/(V32+V34)))*V7/12</f>
        <v>1.0810307189824495E-2</v>
      </c>
      <c r="W39" s="62">
        <f>(Assumptions!$B$151+Assumptions!$B$152*IF(W32+W34=0,1,(W32+W34*Assumptions!$B$153)/(W32+W34)))*W7/12</f>
        <v>1.0845474392990806E-2</v>
      </c>
      <c r="X39" s="62">
        <f>(Assumptions!$B$151+Assumptions!$B$152*IF(X32+X34=0,1,(X32+X34*Assumptions!$B$153)/(X32+X34)))*X7/12</f>
        <v>1.0859616079477061E-2</v>
      </c>
      <c r="Y39" s="62">
        <f>(Assumptions!$B$151+Assumptions!$B$152*IF(Y32+Y34=0,1,(Y32+Y34*Assumptions!$B$153)/(Y32+Y34)))*Y7/12</f>
        <v>1.0884808143504279E-2</v>
      </c>
      <c r="Z39" s="62">
        <f>(Assumptions!$B$151+Assumptions!$B$152*IF(Z32+Z34=0,1,(Z32+Z34*Assumptions!$B$153)/(Z32+Z34)))*Z7/12</f>
        <v>1.092050540865086E-2</v>
      </c>
      <c r="AA39" s="62">
        <f>(Assumptions!$B$151+Assumptions!$B$152*IF(AA32+AA34=0,1,(AA32+AA34*Assumptions!$B$153)/(AA32+AA34)))*AA7/12</f>
        <v>0.13522453691385333</v>
      </c>
      <c r="AB39" s="62">
        <f>(Assumptions!$B$151+Assumptions!$B$152*IF(AB32+AB34=0,1,(AB32+AB34*Assumptions!$B$153)/(AB32+AB34)))*AB7/12</f>
        <v>0.13731674386895482</v>
      </c>
      <c r="AC39" s="62">
        <f>(Assumptions!$B$151+Assumptions!$B$152*IF(AC32+AC34=0,1,(AC32+AC34*Assumptions!$B$153)/(AC32+AC34)))*AC7/12</f>
        <v>0.13883626297346144</v>
      </c>
      <c r="AD39" s="62">
        <f>(Assumptions!$B$151+Assumptions!$B$152*IF(AD32+AD34=0,1,(AD32+AD34*Assumptions!$B$153)/(AD32+AD34)))*AD7/12</f>
        <v>0.14027547207378255</v>
      </c>
      <c r="AE39" s="62">
        <f>(Assumptions!$B$151+Assumptions!$B$152*IF(AE32+AE34=0,1,(AE32+AE34*Assumptions!$B$153)/(AE32+AE34)))*AE7/12</f>
        <v>0.14198199649120311</v>
      </c>
    </row>
    <row r="40" spans="1:31" x14ac:dyDescent="0.25">
      <c r="A40" s="6" t="s">
        <v>580</v>
      </c>
      <c r="B40" s="23" t="s">
        <v>579</v>
      </c>
      <c r="C40" s="62">
        <f>Assumptions!$B$152*IF(C32+C34=0,1,(C32+C34*Assumptions!$B$153)/(C32+C34))*C7/12</f>
        <v>5.0738065527063548E-3</v>
      </c>
      <c r="D40" s="62">
        <f>Assumptions!$B$152*IF(D32+D34=0,1,(D32+D34*Assumptions!$B$153)/(D32+D34))*D7/12</f>
        <v>5.1467369776856293E-3</v>
      </c>
      <c r="E40" s="62">
        <f>Assumptions!$B$152*IF(E32+E34=0,1,(E32+E34*Assumptions!$B$153)/(E32+E34))*E7/12</f>
        <v>5.2180824086154494E-3</v>
      </c>
      <c r="F40" s="62">
        <f>Assumptions!$B$152*IF(F32+F34=0,1,(F32+F34*Assumptions!$B$153)/(F32+F34))*F7/12</f>
        <v>5.2737904731257708E-3</v>
      </c>
      <c r="G40" s="62">
        <f>Assumptions!$B$152*IF(G32+G34=0,1,(G32+G34*Assumptions!$B$153)/(G32+G34))*G7/12</f>
        <v>5.3382943316374123E-3</v>
      </c>
      <c r="H40" s="62">
        <f>Assumptions!$B$152*IF(H32+H34=0,1,(H32+H34*Assumptions!$B$153)/(H32+H34))*H7/12</f>
        <v>5.4095858509277906E-3</v>
      </c>
      <c r="I40" s="62">
        <f>Assumptions!$B$152*IF(I32+I34=0,1,(I32+I34*Assumptions!$B$153)/(I32+I34))*I7/12</f>
        <v>5.4779539210138223E-3</v>
      </c>
      <c r="J40" s="62">
        <f>Assumptions!$B$152*IF(J32+J34=0,1,(J32+J34*Assumptions!$B$153)/(J32+J34))*J7/12</f>
        <v>5.5421912427667539E-3</v>
      </c>
      <c r="K40" s="62">
        <f>Assumptions!$B$152*IF(K32+K34=0,1,(K32+K34*Assumptions!$B$153)/(K32+K34))*K7/12</f>
        <v>5.5981366914473587E-3</v>
      </c>
      <c r="L40" s="62">
        <f>Assumptions!$B$152*IF(L32+L34=0,1,(L32+L34*Assumptions!$B$153)/(L32+L34))*L7/12</f>
        <v>5.6336240438455394E-3</v>
      </c>
      <c r="M40" s="62">
        <f>Assumptions!$B$152*IF(M32+M34=0,1,(M32+M34*Assumptions!$B$153)/(M32+M34))*M7/12</f>
        <v>5.678210079534284E-3</v>
      </c>
      <c r="N40" s="62">
        <f>Assumptions!$B$152*IF(N32+N34=0,1,(N32+N34*Assumptions!$B$153)/(N32+N34))*N7/12</f>
        <v>5.7308690217171068E-3</v>
      </c>
      <c r="O40" s="62">
        <f>Assumptions!$B$152*IF(O32+O34=0,1,(O32+O34*Assumptions!$B$153)/(O32+O34))*O7/12</f>
        <v>5.6682736996963926E-3</v>
      </c>
      <c r="P40" s="62">
        <f>Assumptions!$B$152*IF(P32+P34=0,1,(P32+P34*Assumptions!$B$153)/(P32+P34))*P7/12</f>
        <v>5.6542697998111686E-3</v>
      </c>
      <c r="Q40" s="62">
        <f>Assumptions!$B$152*IF(Q32+Q34=0,1,(Q32+Q34*Assumptions!$B$153)/(Q32+Q34))*Q7/12</f>
        <v>5.6642697088507806E-3</v>
      </c>
      <c r="R40" s="62">
        <f>Assumptions!$B$152*IF(R32+R34=0,1,(R32+R34*Assumptions!$B$153)/(R32+R34))*R7/12</f>
        <v>5.6649666157898397E-3</v>
      </c>
      <c r="S40" s="62">
        <f>Assumptions!$B$152*IF(S32+S34=0,1,(S32+S34*Assumptions!$B$153)/(S32+S34))*S7/12</f>
        <v>5.6873228499112341E-3</v>
      </c>
      <c r="T40" s="62">
        <f>Assumptions!$B$152*IF(T32+T34=0,1,(T32+T34*Assumptions!$B$153)/(T32+T34))*T7/12</f>
        <v>5.7267948375133828E-3</v>
      </c>
      <c r="U40" s="62">
        <f>Assumptions!$B$152*IF(U32+U34=0,1,(U32+U34*Assumptions!$B$153)/(U32+U34))*U7/12</f>
        <v>5.7688115389883943E-3</v>
      </c>
      <c r="V40" s="62">
        <f>Assumptions!$B$152*IF(V32+V34=0,1,(V32+V34*Assumptions!$B$153)/(V32+V34))*V7/12</f>
        <v>5.8103071898244936E-3</v>
      </c>
      <c r="W40" s="62">
        <f>Assumptions!$B$152*IF(W32+W34=0,1,(W32+W34*Assumptions!$B$153)/(W32+W34))*W7/12</f>
        <v>5.8454743929908055E-3</v>
      </c>
      <c r="X40" s="62">
        <f>Assumptions!$B$152*IF(X32+X34=0,1,(X32+X34*Assumptions!$B$153)/(X32+X34))*X7/12</f>
        <v>5.8596160794770627E-3</v>
      </c>
      <c r="Y40" s="62">
        <f>Assumptions!$B$152*IF(Y32+Y34=0,1,(Y32+Y34*Assumptions!$B$153)/(Y32+Y34))*Y7/12</f>
        <v>5.8848081435042788E-3</v>
      </c>
      <c r="Z40" s="62">
        <f>Assumptions!$B$152*IF(Z32+Z34=0,1,(Z32+Z34*Assumptions!$B$153)/(Z32+Z34))*Z7/12</f>
        <v>5.9205054086508601E-3</v>
      </c>
      <c r="AA40" s="62">
        <f>Assumptions!$B$152*IF(AA32+AA34=0,1,(AA32+AA34*Assumptions!$B$153)/(AA32+AA34))*AA7/12</f>
        <v>7.5224536913853335E-2</v>
      </c>
      <c r="AB40" s="62">
        <f>Assumptions!$B$152*IF(AB32+AB34=0,1,(AB32+AB34*Assumptions!$B$153)/(AB32+AB34))*AB7/12</f>
        <v>7.7316743868954818E-2</v>
      </c>
      <c r="AC40" s="62">
        <f>Assumptions!$B$152*IF(AC32+AC34=0,1,(AC32+AC34*Assumptions!$B$153)/(AC32+AC34))*AC7/12</f>
        <v>7.8836262973461441E-2</v>
      </c>
      <c r="AD40" s="62">
        <f>Assumptions!$B$152*IF(AD32+AD34=0,1,(AD32+AD34*Assumptions!$B$153)/(AD32+AD34))*AD7/12</f>
        <v>8.027547207378255E-2</v>
      </c>
      <c r="AE40" s="62">
        <f>Assumptions!$B$152*IF(AE32+AE34=0,1,(AE32+AE34*Assumptions!$B$153)/(AE32+AE34))*AE7/12</f>
        <v>8.1981996491203107E-2</v>
      </c>
    </row>
    <row r="41" spans="1:31" x14ac:dyDescent="0.25">
      <c r="A41" s="6" t="s">
        <v>581</v>
      </c>
      <c r="B41" s="23" t="s">
        <v>47</v>
      </c>
      <c r="C41" s="50">
        <f>C38</f>
        <v>19.887440500342969</v>
      </c>
      <c r="D41" s="50">
        <f t="shared" ref="D41:AE41" si="8">C41*(1-D39)+D38</f>
        <v>57.498565859948513</v>
      </c>
      <c r="E41" s="50">
        <f t="shared" si="8"/>
        <v>110.98116263949282</v>
      </c>
      <c r="F41" s="50">
        <f t="shared" si="8"/>
        <v>183.890018000005</v>
      </c>
      <c r="G41" s="50">
        <f t="shared" si="8"/>
        <v>272.87010191894882</v>
      </c>
      <c r="H41" s="50">
        <f t="shared" si="8"/>
        <v>373.77144711505622</v>
      </c>
      <c r="I41" s="50">
        <f t="shared" si="8"/>
        <v>485.23509531327443</v>
      </c>
      <c r="J41" s="50">
        <f t="shared" si="8"/>
        <v>606.56414189938278</v>
      </c>
      <c r="K41" s="50">
        <f t="shared" si="8"/>
        <v>738.66717857232914</v>
      </c>
      <c r="L41" s="50">
        <f t="shared" si="8"/>
        <v>887.10390285123253</v>
      </c>
      <c r="M41" s="50">
        <f t="shared" si="8"/>
        <v>1048.8439707392081</v>
      </c>
      <c r="N41" s="50">
        <f t="shared" si="8"/>
        <v>1220.2436611920175</v>
      </c>
      <c r="O41" s="50">
        <f t="shared" si="8"/>
        <v>1431.3471273664045</v>
      </c>
      <c r="P41" s="50">
        <f t="shared" si="8"/>
        <v>1691.0204760658999</v>
      </c>
      <c r="Q41" s="50">
        <f t="shared" si="8"/>
        <v>1994.9551136511393</v>
      </c>
      <c r="R41" s="50">
        <f t="shared" si="8"/>
        <v>2356.9773927442452</v>
      </c>
      <c r="S41" s="50">
        <f t="shared" si="8"/>
        <v>2767.8016627109791</v>
      </c>
      <c r="T41" s="50">
        <f t="shared" si="8"/>
        <v>3214.544865202231</v>
      </c>
      <c r="U41" s="50">
        <f t="shared" si="8"/>
        <v>3693.6166796028087</v>
      </c>
      <c r="V41" s="50">
        <f t="shared" si="8"/>
        <v>4203.6417728012148</v>
      </c>
      <c r="W41" s="50">
        <f t="shared" si="8"/>
        <v>4749.1360985783595</v>
      </c>
      <c r="X41" s="50">
        <f t="shared" si="8"/>
        <v>5352.4441213406844</v>
      </c>
      <c r="Y41" s="50">
        <f t="shared" si="8"/>
        <v>6004.2624909677752</v>
      </c>
      <c r="Z41" s="50">
        <f t="shared" si="8"/>
        <v>6692.1104898472968</v>
      </c>
      <c r="AA41" s="50">
        <f t="shared" si="8"/>
        <v>21039.437087281385</v>
      </c>
      <c r="AB41" s="50">
        <f t="shared" si="8"/>
        <v>42326.918274540236</v>
      </c>
      <c r="AC41" s="50">
        <f t="shared" si="8"/>
        <v>71839.247098052205</v>
      </c>
      <c r="AD41" s="50">
        <f t="shared" si="8"/>
        <v>108929.89882140256</v>
      </c>
      <c r="AE41" s="50">
        <f t="shared" si="8"/>
        <v>148833.59411976428</v>
      </c>
    </row>
    <row r="42" spans="1:31" x14ac:dyDescent="0.25">
      <c r="A42" s="6" t="s">
        <v>582</v>
      </c>
      <c r="B42" s="23" t="s">
        <v>47</v>
      </c>
      <c r="C42" s="50">
        <f>C38</f>
        <v>19.887440500342969</v>
      </c>
      <c r="D42" s="50">
        <f t="shared" ref="D42:AE42" si="9">C42*(1-D40)+D38</f>
        <v>57.598003062450232</v>
      </c>
      <c r="E42" s="50">
        <f t="shared" si="9"/>
        <v>111.36757379977715</v>
      </c>
      <c r="F42" s="50">
        <f t="shared" si="9"/>
        <v>184.82929712199098</v>
      </c>
      <c r="G42" s="50">
        <f t="shared" si="9"/>
        <v>274.72381698252207</v>
      </c>
      <c r="H42" s="50">
        <f t="shared" si="9"/>
        <v>376.97948485744462</v>
      </c>
      <c r="I42" s="50">
        <f t="shared" si="9"/>
        <v>490.29441680830837</v>
      </c>
      <c r="J42" s="50">
        <f t="shared" si="9"/>
        <v>614.02159914369895</v>
      </c>
      <c r="K42" s="50">
        <f t="shared" si="9"/>
        <v>749.11570866111788</v>
      </c>
      <c r="L42" s="50">
        <f t="shared" si="9"/>
        <v>901.18690574255174</v>
      </c>
      <c r="M42" s="50">
        <f t="shared" si="9"/>
        <v>1067.2825268958159</v>
      </c>
      <c r="N42" s="50">
        <f t="shared" si="9"/>
        <v>1243.8207682520383</v>
      </c>
      <c r="O42" s="50">
        <f t="shared" si="9"/>
        <v>1460.891811236522</v>
      </c>
      <c r="P42" s="50">
        <f t="shared" si="9"/>
        <v>1727.5548419590975</v>
      </c>
      <c r="Q42" s="50">
        <f t="shared" si="9"/>
        <v>2039.7376414226055</v>
      </c>
      <c r="R42" s="50">
        <f t="shared" si="9"/>
        <v>2411.4810045591712</v>
      </c>
      <c r="S42" s="50">
        <f t="shared" si="9"/>
        <v>2833.7801818527487</v>
      </c>
      <c r="T42" s="50">
        <f t="shared" si="9"/>
        <v>3293.9845472147476</v>
      </c>
      <c r="U42" s="50">
        <f t="shared" si="9"/>
        <v>3788.6708133870889</v>
      </c>
      <c r="V42" s="50">
        <f t="shared" si="9"/>
        <v>4316.6116962665592</v>
      </c>
      <c r="W42" s="50">
        <f t="shared" si="9"/>
        <v>4882.4638681129154</v>
      </c>
      <c r="X42" s="50">
        <f t="shared" si="9"/>
        <v>5508.736321825927</v>
      </c>
      <c r="Y42" s="50">
        <f t="shared" si="9"/>
        <v>6186.3971624455398</v>
      </c>
      <c r="Z42" s="50">
        <f t="shared" si="9"/>
        <v>6903.1881444723131</v>
      </c>
      <c r="AA42" s="50">
        <f t="shared" si="9"/>
        <v>21636.163152475208</v>
      </c>
      <c r="AB42" s="50">
        <f t="shared" si="9"/>
        <v>44139.873648628418</v>
      </c>
      <c r="AC42" s="50">
        <f t="shared" si="9"/>
        <v>76048.890941982027</v>
      </c>
      <c r="AD42" s="50">
        <f t="shared" si="9"/>
        <v>117111.96634438154</v>
      </c>
      <c r="AE42" s="50">
        <f t="shared" si="9"/>
        <v>162880.67334106774</v>
      </c>
    </row>
    <row r="43" spans="1:31" x14ac:dyDescent="0.25">
      <c r="A43" s="6" t="s">
        <v>583</v>
      </c>
      <c r="B43" s="23" t="s">
        <v>114</v>
      </c>
      <c r="C43" s="63">
        <f t="shared" ref="C43:AE43" si="10">C41*C20</f>
        <v>2813.2773331785165</v>
      </c>
      <c r="D43" s="63">
        <f t="shared" si="10"/>
        <v>8133.7471265483173</v>
      </c>
      <c r="E43" s="63">
        <f t="shared" si="10"/>
        <v>15699.395266982656</v>
      </c>
      <c r="F43" s="63">
        <f t="shared" si="10"/>
        <v>26013.081946280709</v>
      </c>
      <c r="G43" s="63">
        <f t="shared" si="10"/>
        <v>38600.204617454503</v>
      </c>
      <c r="H43" s="63">
        <f t="shared" si="10"/>
        <v>52873.708908895853</v>
      </c>
      <c r="I43" s="63">
        <f t="shared" si="10"/>
        <v>68641.356583015804</v>
      </c>
      <c r="J43" s="63">
        <f t="shared" si="10"/>
        <v>85804.563513086687</v>
      </c>
      <c r="K43" s="63">
        <f t="shared" si="10"/>
        <v>104491.85908084169</v>
      </c>
      <c r="L43" s="63">
        <f t="shared" si="10"/>
        <v>125489.71809733537</v>
      </c>
      <c r="M43" s="63">
        <f t="shared" si="10"/>
        <v>148369.4681007684</v>
      </c>
      <c r="N43" s="63">
        <f t="shared" si="10"/>
        <v>172615.66831222281</v>
      </c>
      <c r="O43" s="63">
        <f t="shared" si="10"/>
        <v>218879.11217286898</v>
      </c>
      <c r="P43" s="63">
        <f t="shared" si="10"/>
        <v>258587.90882436905</v>
      </c>
      <c r="Q43" s="63">
        <f t="shared" si="10"/>
        <v>305065.06475763448</v>
      </c>
      <c r="R43" s="63">
        <f t="shared" si="10"/>
        <v>360424.88175778661</v>
      </c>
      <c r="S43" s="63">
        <f t="shared" si="10"/>
        <v>423247.41428686981</v>
      </c>
      <c r="T43" s="63">
        <f t="shared" si="10"/>
        <v>491562.60747865972</v>
      </c>
      <c r="U43" s="63">
        <f t="shared" si="10"/>
        <v>564821.43575183908</v>
      </c>
      <c r="V43" s="63">
        <f t="shared" si="10"/>
        <v>642813.5855600771</v>
      </c>
      <c r="W43" s="63">
        <f t="shared" si="10"/>
        <v>726229.62869779125</v>
      </c>
      <c r="X43" s="63">
        <f t="shared" si="10"/>
        <v>818486.44178264635</v>
      </c>
      <c r="Y43" s="63">
        <f t="shared" si="10"/>
        <v>918161.37270205794</v>
      </c>
      <c r="Z43" s="63">
        <f t="shared" si="10"/>
        <v>1023345.8918351963</v>
      </c>
      <c r="AA43" s="63">
        <f t="shared" si="10"/>
        <v>3477916.5537386271</v>
      </c>
      <c r="AB43" s="63">
        <f t="shared" si="10"/>
        <v>7563579.6596744861</v>
      </c>
      <c r="AC43" s="63">
        <f t="shared" si="10"/>
        <v>13877083.505697934</v>
      </c>
      <c r="AD43" s="63">
        <f t="shared" si="10"/>
        <v>22746219.395376895</v>
      </c>
      <c r="AE43" s="63">
        <f t="shared" si="10"/>
        <v>33596093.939792536</v>
      </c>
    </row>
    <row r="44" spans="1:31" x14ac:dyDescent="0.25">
      <c r="A44" s="6" t="s">
        <v>584</v>
      </c>
      <c r="B44" s="23" t="s">
        <v>190</v>
      </c>
      <c r="C44" s="60">
        <f>C32+C34*Assumptions!$B$228</f>
        <v>82.433823529411768</v>
      </c>
      <c r="D44" s="60">
        <f>D32+D34*Assumptions!$B$228</f>
        <v>160.74148233467133</v>
      </c>
      <c r="E44" s="60">
        <f>E32+E34*Assumptions!$B$228</f>
        <v>235.74509855259637</v>
      </c>
      <c r="F44" s="60">
        <f>F32+F34*Assumptions!$B$228</f>
        <v>329.45026366926368</v>
      </c>
      <c r="G44" s="60">
        <f>G32+G34*Assumptions!$B$228</f>
        <v>414.1365626218668</v>
      </c>
      <c r="H44" s="60">
        <f>H32+H34*Assumptions!$B$228</f>
        <v>485.75155714231346</v>
      </c>
      <c r="I44" s="60">
        <f>I32+I34*Assumptions!$B$228</f>
        <v>554.89029963880284</v>
      </c>
      <c r="J44" s="60">
        <f>J32+J34*Assumptions!$B$228</f>
        <v>623.99541476661386</v>
      </c>
      <c r="K44" s="60">
        <f>K32+K34*Assumptions!$B$228</f>
        <v>699.56776632734898</v>
      </c>
      <c r="L44" s="60">
        <f>L32+L34*Assumptions!$B$228</f>
        <v>801.08945397172056</v>
      </c>
      <c r="M44" s="60">
        <f>M32+M34*Assumptions!$B$228</f>
        <v>894.42260157623548</v>
      </c>
      <c r="N44" s="60">
        <f>N32+N34*Assumptions!$B$228</f>
        <v>976.33951309627059</v>
      </c>
      <c r="O44" s="60">
        <f>O32+O34*Assumptions!$B$228</f>
        <v>1260.262330355127</v>
      </c>
      <c r="P44" s="60">
        <f>P32+P34*Assumptions!$B$228</f>
        <v>1536.6988937698125</v>
      </c>
      <c r="Q44" s="60">
        <f>Q32+Q34*Assumptions!$B$228</f>
        <v>1807.3633803791163</v>
      </c>
      <c r="R44" s="60">
        <f>R32+R34*Assumptions!$B$228</f>
        <v>2152.2821333524344</v>
      </c>
      <c r="S44" s="60">
        <f>S32+S34*Assumptions!$B$228</f>
        <v>2471.9560855647114</v>
      </c>
      <c r="T44" s="60">
        <f>T32+T34*Assumptions!$B$228</f>
        <v>2748.0101766778139</v>
      </c>
      <c r="U44" s="60">
        <f>U32+U34*Assumptions!$B$228</f>
        <v>3018.6932700894622</v>
      </c>
      <c r="V44" s="60">
        <f>V32+V34*Assumptions!$B$228</f>
        <v>3293.0522990568052</v>
      </c>
      <c r="W44" s="60">
        <f>W32+W34*Assumptions!$B$228</f>
        <v>3597.1075298954543</v>
      </c>
      <c r="X44" s="60">
        <f>X32+X34*Assumptions!$B$228</f>
        <v>4011.6822894064562</v>
      </c>
      <c r="Y44" s="60">
        <f>Y32+Y34*Assumptions!$B$228</f>
        <v>4401.6144229108104</v>
      </c>
      <c r="Z44" s="60">
        <f>Z32+Z34*Assumptions!$B$228</f>
        <v>4750.4333890108546</v>
      </c>
      <c r="AA44" s="60">
        <f>AA32+AA34*Assumptions!$B$228</f>
        <v>10405.538897477647</v>
      </c>
      <c r="AB44" s="60">
        <f>AB32+AB34*Assumptions!$B$228</f>
        <v>19826.606758986462</v>
      </c>
      <c r="AC44" s="60">
        <f>AC32+AC34*Assumptions!$B$228</f>
        <v>34149.695474225133</v>
      </c>
      <c r="AD44" s="60">
        <f>AD32+AD34*Assumptions!$B$228</f>
        <v>53706.556882579775</v>
      </c>
      <c r="AE44" s="60">
        <f>AE32+AE34*Assumptions!$B$228</f>
        <v>76448.748487433564</v>
      </c>
    </row>
    <row r="45" spans="1:31" x14ac:dyDescent="0.25">
      <c r="A45" s="6" t="s">
        <v>585</v>
      </c>
      <c r="B45" s="23" t="s">
        <v>190</v>
      </c>
      <c r="C45" s="64">
        <f>IF(C7&gt;1,C44*Assumptions!$B$149,IF(C2&gt;Assumptions!$B$150,INDEX($C$44:$AE$44,1,C2-Assumptions!$B$150)*Assumptions!$B$149,0))</f>
        <v>0</v>
      </c>
      <c r="D45" s="64">
        <f>IF(D7&gt;1,D44*Assumptions!$B$149,IF(D2&gt;Assumptions!$B$150,INDEX($C$44:$AE$44,1,D2-Assumptions!$B$150)*Assumptions!$B$149,0))</f>
        <v>0</v>
      </c>
      <c r="E45" s="64">
        <f>IF(E7&gt;1,E44*Assumptions!$B$149,IF(E2&gt;Assumptions!$B$150,INDEX($C$44:$AE$44,1,E2-Assumptions!$B$150)*Assumptions!$B$149,0))</f>
        <v>0</v>
      </c>
      <c r="F45" s="64">
        <f>IF(F7&gt;1,F44*Assumptions!$B$149,IF(F2&gt;Assumptions!$B$150,INDEX($C$44:$AE$44,1,F2-Assumptions!$B$150)*Assumptions!$B$149,0))</f>
        <v>0</v>
      </c>
      <c r="G45" s="64">
        <f>IF(G7&gt;1,G44*Assumptions!$B$149,IF(G2&gt;Assumptions!$B$150,INDEX($C$44:$AE$44,1,G2-Assumptions!$B$150)*Assumptions!$B$149,0))</f>
        <v>0</v>
      </c>
      <c r="H45" s="64">
        <f>IF(H7&gt;1,H44*Assumptions!$B$149,IF(H2&gt;Assumptions!$B$150,INDEX($C$44:$AE$44,1,H2-Assumptions!$B$150)*Assumptions!$B$149,0))</f>
        <v>0</v>
      </c>
      <c r="I45" s="64">
        <f>IF(I7&gt;1,I44*Assumptions!$B$149,IF(I2&gt;Assumptions!$B$150,INDEX($C$44:$AE$44,1,I2-Assumptions!$B$150)*Assumptions!$B$149,0))</f>
        <v>0</v>
      </c>
      <c r="J45" s="64">
        <f>IF(J7&gt;1,J44*Assumptions!$B$149,IF(J2&gt;Assumptions!$B$150,INDEX($C$44:$AE$44,1,J2-Assumptions!$B$150)*Assumptions!$B$149,0))</f>
        <v>0</v>
      </c>
      <c r="K45" s="64">
        <f>IF(K7&gt;1,K44*Assumptions!$B$149,IF(K2&gt;Assumptions!$B$150,INDEX($C$44:$AE$44,1,K2-Assumptions!$B$150)*Assumptions!$B$149,0))</f>
        <v>45.338602941176475</v>
      </c>
      <c r="L45" s="64">
        <f>IF(L7&gt;1,L44*Assumptions!$B$149,IF(L2&gt;Assumptions!$B$150,INDEX($C$44:$AE$44,1,L2-Assumptions!$B$150)*Assumptions!$B$149,0))</f>
        <v>88.407815284069244</v>
      </c>
      <c r="M45" s="64">
        <f>IF(M7&gt;1,M44*Assumptions!$B$149,IF(M2&gt;Assumptions!$B$150,INDEX($C$44:$AE$44,1,M2-Assumptions!$B$150)*Assumptions!$B$149,0))</f>
        <v>129.65980420392802</v>
      </c>
      <c r="N45" s="64">
        <f>IF(N7&gt;1,N44*Assumptions!$B$149,IF(N2&gt;Assumptions!$B$150,INDEX($C$44:$AE$44,1,N2-Assumptions!$B$150)*Assumptions!$B$149,0))</f>
        <v>181.19764501809505</v>
      </c>
      <c r="O45" s="64">
        <f>IF(O7&gt;1,O44*Assumptions!$B$149,IF(O2&gt;Assumptions!$B$150,INDEX($C$44:$AE$44,1,O2-Assumptions!$B$150)*Assumptions!$B$149,0))</f>
        <v>227.77510944202675</v>
      </c>
      <c r="P45" s="64">
        <f>IF(P7&gt;1,P44*Assumptions!$B$149,IF(P2&gt;Assumptions!$B$150,INDEX($C$44:$AE$44,1,P2-Assumptions!$B$150)*Assumptions!$B$149,0))</f>
        <v>267.16335642827244</v>
      </c>
      <c r="Q45" s="64">
        <f>IF(Q7&gt;1,Q44*Assumptions!$B$149,IF(Q2&gt;Assumptions!$B$150,INDEX($C$44:$AE$44,1,Q2-Assumptions!$B$150)*Assumptions!$B$149,0))</f>
        <v>305.18966480134156</v>
      </c>
      <c r="R45" s="64">
        <f>IF(R7&gt;1,R44*Assumptions!$B$149,IF(R2&gt;Assumptions!$B$150,INDEX($C$44:$AE$44,1,R2-Assumptions!$B$150)*Assumptions!$B$149,0))</f>
        <v>343.19747812163763</v>
      </c>
      <c r="S45" s="64">
        <f>IF(S7&gt;1,S44*Assumptions!$B$149,IF(S2&gt;Assumptions!$B$150,INDEX($C$44:$AE$44,1,S2-Assumptions!$B$150)*Assumptions!$B$149,0))</f>
        <v>384.76227148004199</v>
      </c>
      <c r="T45" s="64">
        <f>IF(T7&gt;1,T44*Assumptions!$B$149,IF(T2&gt;Assumptions!$B$150,INDEX($C$44:$AE$44,1,T2-Assumptions!$B$150)*Assumptions!$B$149,0))</f>
        <v>440.59919968444632</v>
      </c>
      <c r="U45" s="64">
        <f>IF(U7&gt;1,U44*Assumptions!$B$149,IF(U2&gt;Assumptions!$B$150,INDEX($C$44:$AE$44,1,U2-Assumptions!$B$150)*Assumptions!$B$149,0))</f>
        <v>491.93243086692956</v>
      </c>
      <c r="V45" s="64">
        <f>IF(V7&gt;1,V44*Assumptions!$B$149,IF(V2&gt;Assumptions!$B$150,INDEX($C$44:$AE$44,1,V2-Assumptions!$B$150)*Assumptions!$B$149,0))</f>
        <v>536.98673220294882</v>
      </c>
      <c r="W45" s="64">
        <f>IF(W7&gt;1,W44*Assumptions!$B$149,IF(W2&gt;Assumptions!$B$150,INDEX($C$44:$AE$44,1,W2-Assumptions!$B$150)*Assumptions!$B$149,0))</f>
        <v>693.14428169531993</v>
      </c>
      <c r="X45" s="64">
        <f>IF(X7&gt;1,X44*Assumptions!$B$149,IF(X2&gt;Assumptions!$B$150,INDEX($C$44:$AE$44,1,X2-Assumptions!$B$150)*Assumptions!$B$149,0))</f>
        <v>845.18439157339697</v>
      </c>
      <c r="Y45" s="64">
        <f>IF(Y7&gt;1,Y44*Assumptions!$B$149,IF(Y2&gt;Assumptions!$B$150,INDEX($C$44:$AE$44,1,Y2-Assumptions!$B$150)*Assumptions!$B$149,0))</f>
        <v>994.04985920851402</v>
      </c>
      <c r="Z45" s="64">
        <f>IF(Z7&gt;1,Z44*Assumptions!$B$149,IF(Z2&gt;Assumptions!$B$150,INDEX($C$44:$AE$44,1,Z2-Assumptions!$B$150)*Assumptions!$B$149,0))</f>
        <v>1183.755173343839</v>
      </c>
      <c r="AA45" s="64">
        <f>IF(AA7&gt;1,AA44*Assumptions!$B$149,IF(AA2&gt;Assumptions!$B$150,INDEX($C$44:$AE$44,1,AA2-Assumptions!$B$150)*Assumptions!$B$149,0))</f>
        <v>5723.0463936127062</v>
      </c>
      <c r="AB45" s="64">
        <f>IF(AB7&gt;1,AB44*Assumptions!$B$149,IF(AB2&gt;Assumptions!$B$150,INDEX($C$44:$AE$44,1,AB2-Assumptions!$B$150)*Assumptions!$B$149,0))</f>
        <v>10904.633717442555</v>
      </c>
      <c r="AC45" s="64">
        <f>IF(AC7&gt;1,AC44*Assumptions!$B$149,IF(AC2&gt;Assumptions!$B$150,INDEX($C$44:$AE$44,1,AC2-Assumptions!$B$150)*Assumptions!$B$149,0))</f>
        <v>18782.332510823824</v>
      </c>
      <c r="AD45" s="64">
        <f>IF(AD7&gt;1,AD44*Assumptions!$B$149,IF(AD2&gt;Assumptions!$B$150,INDEX($C$44:$AE$44,1,AD2-Assumptions!$B$150)*Assumptions!$B$149,0))</f>
        <v>29538.606285418879</v>
      </c>
      <c r="AE45" s="64">
        <f>IF(AE7&gt;1,AE44*Assumptions!$B$149,IF(AE2&gt;Assumptions!$B$150,INDEX($C$44:$AE$44,1,AE2-Assumptions!$B$150)*Assumptions!$B$149,0))</f>
        <v>42046.811668088463</v>
      </c>
    </row>
    <row r="46" spans="1:31" x14ac:dyDescent="0.25">
      <c r="A46" s="6" t="s">
        <v>586</v>
      </c>
      <c r="B46" s="23" t="s">
        <v>587</v>
      </c>
      <c r="C46" s="28">
        <f>IF(C2&gt;=Assumptions!$B$51,C44*Assumptions!$B$158,0)</f>
        <v>0</v>
      </c>
      <c r="D46" s="28">
        <f>IF(D2&gt;=Assumptions!$B$51,D44*Assumptions!$B$158,0)</f>
        <v>0</v>
      </c>
      <c r="E46" s="28">
        <f>IF(E2&gt;=Assumptions!$B$51,E44*Assumptions!$B$158,0)</f>
        <v>0</v>
      </c>
      <c r="F46" s="28">
        <f>IF(F2&gt;=Assumptions!$B$51,F44*Assumptions!$B$158,0)</f>
        <v>0</v>
      </c>
      <c r="G46" s="28">
        <f>IF(G2&gt;=Assumptions!$B$51,G44*Assumptions!$B$158,0)</f>
        <v>0</v>
      </c>
      <c r="H46" s="28">
        <f>IF(H2&gt;=Assumptions!$B$51,H44*Assumptions!$B$158,0)</f>
        <v>0</v>
      </c>
      <c r="I46" s="28">
        <f>IF(I2&gt;=Assumptions!$B$51,I44*Assumptions!$B$158,0)</f>
        <v>0</v>
      </c>
      <c r="J46" s="28">
        <f>IF(J2&gt;=Assumptions!$B$51,J44*Assumptions!$B$158,0)</f>
        <v>0</v>
      </c>
      <c r="K46" s="28">
        <f>IF(K2&gt;=Assumptions!$B$51,K44*Assumptions!$B$158,0)</f>
        <v>0</v>
      </c>
      <c r="L46" s="28">
        <f>IF(L2&gt;=Assumptions!$B$51,L44*Assumptions!$B$158,0)</f>
        <v>0</v>
      </c>
      <c r="M46" s="28">
        <f>IF(M2&gt;=Assumptions!$B$51,M44*Assumptions!$B$158,0)</f>
        <v>0</v>
      </c>
      <c r="N46" s="28">
        <f>IF(N2&gt;=Assumptions!$B$51,N44*Assumptions!$B$158,0)</f>
        <v>0</v>
      </c>
      <c r="O46" s="28">
        <f>IF(O2&gt;=Assumptions!$B$51,O44*Assumptions!$B$158,0)</f>
        <v>226.84721946392284</v>
      </c>
      <c r="P46" s="28">
        <f>IF(P2&gt;=Assumptions!$B$51,P44*Assumptions!$B$158,0)</f>
        <v>276.60580087856624</v>
      </c>
      <c r="Q46" s="28">
        <f>IF(Q2&gt;=Assumptions!$B$51,Q44*Assumptions!$B$158,0)</f>
        <v>325.32540846824094</v>
      </c>
      <c r="R46" s="28">
        <f>IF(R2&gt;=Assumptions!$B$51,R44*Assumptions!$B$158,0)</f>
        <v>387.41078400343815</v>
      </c>
      <c r="S46" s="28">
        <f>IF(S2&gt;=Assumptions!$B$51,S44*Assumptions!$B$158,0)</f>
        <v>444.95209540164802</v>
      </c>
      <c r="T46" s="28">
        <f>IF(T2&gt;=Assumptions!$B$51,T44*Assumptions!$B$158,0)</f>
        <v>494.64183180200649</v>
      </c>
      <c r="U46" s="28">
        <f>IF(U2&gt;=Assumptions!$B$51,U44*Assumptions!$B$158,0)</f>
        <v>543.36478861610317</v>
      </c>
      <c r="V46" s="28">
        <f>IF(V2&gt;=Assumptions!$B$51,V44*Assumptions!$B$158,0)</f>
        <v>592.74941383022485</v>
      </c>
      <c r="W46" s="28">
        <f>IF(W2&gt;=Assumptions!$B$51,W44*Assumptions!$B$158,0)</f>
        <v>647.47935538118179</v>
      </c>
      <c r="X46" s="28">
        <f>IF(X2&gt;=Assumptions!$B$51,X44*Assumptions!$B$158,0)</f>
        <v>722.10281209316213</v>
      </c>
      <c r="Y46" s="28">
        <f>IF(Y2&gt;=Assumptions!$B$51,Y44*Assumptions!$B$158,0)</f>
        <v>792.29059612394587</v>
      </c>
      <c r="Z46" s="28">
        <f>IF(Z2&gt;=Assumptions!$B$51,Z44*Assumptions!$B$158,0)</f>
        <v>855.07801002195379</v>
      </c>
      <c r="AA46" s="28">
        <f>IF(AA2&gt;=Assumptions!$B$51,AA44*Assumptions!$B$158,0)</f>
        <v>1872.9970015459764</v>
      </c>
      <c r="AB46" s="28">
        <f>IF(AB2&gt;=Assumptions!$B$51,AB44*Assumptions!$B$158,0)</f>
        <v>3568.7892166175629</v>
      </c>
      <c r="AC46" s="28">
        <f>IF(AC2&gt;=Assumptions!$B$51,AC44*Assumptions!$B$158,0)</f>
        <v>6146.9451853605233</v>
      </c>
      <c r="AD46" s="28">
        <f>IF(AD2&gt;=Assumptions!$B$51,AD44*Assumptions!$B$158,0)</f>
        <v>9667.1802388643591</v>
      </c>
      <c r="AE46" s="28">
        <f>IF(AE2&gt;=Assumptions!$B$51,AE44*Assumptions!$B$158,0)</f>
        <v>13760.77472773804</v>
      </c>
    </row>
    <row r="47" spans="1:31" x14ac:dyDescent="0.25">
      <c r="A47" s="6" t="s">
        <v>588</v>
      </c>
      <c r="B47" s="23" t="s">
        <v>587</v>
      </c>
      <c r="C47" s="28">
        <f t="shared" ref="C47:AE47" si="11">C46</f>
        <v>0</v>
      </c>
      <c r="D47" s="28">
        <f t="shared" si="11"/>
        <v>0</v>
      </c>
      <c r="E47" s="28">
        <f t="shared" si="11"/>
        <v>0</v>
      </c>
      <c r="F47" s="28">
        <f t="shared" si="11"/>
        <v>0</v>
      </c>
      <c r="G47" s="28">
        <f t="shared" si="11"/>
        <v>0</v>
      </c>
      <c r="H47" s="28">
        <f t="shared" si="11"/>
        <v>0</v>
      </c>
      <c r="I47" s="28">
        <f t="shared" si="11"/>
        <v>0</v>
      </c>
      <c r="J47" s="28">
        <f t="shared" si="11"/>
        <v>0</v>
      </c>
      <c r="K47" s="28">
        <f t="shared" si="11"/>
        <v>0</v>
      </c>
      <c r="L47" s="28">
        <f t="shared" si="11"/>
        <v>0</v>
      </c>
      <c r="M47" s="28">
        <f t="shared" si="11"/>
        <v>0</v>
      </c>
      <c r="N47" s="28">
        <f t="shared" si="11"/>
        <v>0</v>
      </c>
      <c r="O47" s="28">
        <f t="shared" si="11"/>
        <v>226.84721946392284</v>
      </c>
      <c r="P47" s="28">
        <f t="shared" si="11"/>
        <v>276.60580087856624</v>
      </c>
      <c r="Q47" s="28">
        <f t="shared" si="11"/>
        <v>325.32540846824094</v>
      </c>
      <c r="R47" s="28">
        <f t="shared" si="11"/>
        <v>387.41078400343815</v>
      </c>
      <c r="S47" s="28">
        <f t="shared" si="11"/>
        <v>444.95209540164802</v>
      </c>
      <c r="T47" s="28">
        <f t="shared" si="11"/>
        <v>494.64183180200649</v>
      </c>
      <c r="U47" s="28">
        <f t="shared" si="11"/>
        <v>543.36478861610317</v>
      </c>
      <c r="V47" s="28">
        <f t="shared" si="11"/>
        <v>592.74941383022485</v>
      </c>
      <c r="W47" s="28">
        <f t="shared" si="11"/>
        <v>647.47935538118179</v>
      </c>
      <c r="X47" s="28">
        <f t="shared" si="11"/>
        <v>722.10281209316213</v>
      </c>
      <c r="Y47" s="28">
        <f t="shared" si="11"/>
        <v>792.29059612394587</v>
      </c>
      <c r="Z47" s="28">
        <f t="shared" si="11"/>
        <v>855.07801002195379</v>
      </c>
      <c r="AA47" s="28">
        <f t="shared" si="11"/>
        <v>1872.9970015459764</v>
      </c>
      <c r="AB47" s="28">
        <f t="shared" si="11"/>
        <v>3568.7892166175629</v>
      </c>
      <c r="AC47" s="28">
        <f t="shared" si="11"/>
        <v>6146.9451853605233</v>
      </c>
      <c r="AD47" s="28">
        <f t="shared" si="11"/>
        <v>9667.1802388643591</v>
      </c>
      <c r="AE47" s="28">
        <f t="shared" si="11"/>
        <v>13760.77472773804</v>
      </c>
    </row>
    <row r="48" spans="1:31" x14ac:dyDescent="0.25">
      <c r="A48" s="6" t="s">
        <v>589</v>
      </c>
      <c r="B48" s="23" t="s">
        <v>587</v>
      </c>
      <c r="C48" s="60">
        <f>C46</f>
        <v>0</v>
      </c>
      <c r="D48" s="60">
        <f t="shared" ref="D48:AE48" si="12">MAX(0,D46-C46)</f>
        <v>0</v>
      </c>
      <c r="E48" s="60">
        <f t="shared" si="12"/>
        <v>0</v>
      </c>
      <c r="F48" s="60">
        <f t="shared" si="12"/>
        <v>0</v>
      </c>
      <c r="G48" s="60">
        <f t="shared" si="12"/>
        <v>0</v>
      </c>
      <c r="H48" s="60">
        <f t="shared" si="12"/>
        <v>0</v>
      </c>
      <c r="I48" s="60">
        <f t="shared" si="12"/>
        <v>0</v>
      </c>
      <c r="J48" s="60">
        <f t="shared" si="12"/>
        <v>0</v>
      </c>
      <c r="K48" s="60">
        <f t="shared" si="12"/>
        <v>0</v>
      </c>
      <c r="L48" s="60">
        <f t="shared" si="12"/>
        <v>0</v>
      </c>
      <c r="M48" s="60">
        <f t="shared" si="12"/>
        <v>0</v>
      </c>
      <c r="N48" s="60">
        <f t="shared" si="12"/>
        <v>0</v>
      </c>
      <c r="O48" s="60">
        <f t="shared" si="12"/>
        <v>226.84721946392284</v>
      </c>
      <c r="P48" s="60">
        <f t="shared" si="12"/>
        <v>49.758581414643402</v>
      </c>
      <c r="Q48" s="60">
        <f t="shared" si="12"/>
        <v>48.719607589674695</v>
      </c>
      <c r="R48" s="60">
        <f t="shared" si="12"/>
        <v>62.085375535197215</v>
      </c>
      <c r="S48" s="60">
        <f t="shared" si="12"/>
        <v>57.541311398209871</v>
      </c>
      <c r="T48" s="60">
        <f t="shared" si="12"/>
        <v>49.68973640035847</v>
      </c>
      <c r="U48" s="60">
        <f t="shared" si="12"/>
        <v>48.722956814096676</v>
      </c>
      <c r="V48" s="60">
        <f t="shared" si="12"/>
        <v>49.384625214121684</v>
      </c>
      <c r="W48" s="60">
        <f t="shared" si="12"/>
        <v>54.729941550956937</v>
      </c>
      <c r="X48" s="60">
        <f t="shared" si="12"/>
        <v>74.623456711980339</v>
      </c>
      <c r="Y48" s="60">
        <f t="shared" si="12"/>
        <v>70.187784030783746</v>
      </c>
      <c r="Z48" s="60">
        <f t="shared" si="12"/>
        <v>62.787413898007912</v>
      </c>
      <c r="AA48" s="60">
        <f t="shared" si="12"/>
        <v>1017.9189915240227</v>
      </c>
      <c r="AB48" s="60">
        <f t="shared" si="12"/>
        <v>1695.7922150715865</v>
      </c>
      <c r="AC48" s="60">
        <f t="shared" si="12"/>
        <v>2578.1559687429603</v>
      </c>
      <c r="AD48" s="60">
        <f t="shared" si="12"/>
        <v>3520.2350535038358</v>
      </c>
      <c r="AE48" s="60">
        <f t="shared" si="12"/>
        <v>4093.5944888736813</v>
      </c>
    </row>
    <row r="49" spans="1:31" x14ac:dyDescent="0.25">
      <c r="A49" s="6" t="s">
        <v>590</v>
      </c>
      <c r="B49" s="23" t="s">
        <v>114</v>
      </c>
      <c r="C49" s="61">
        <f>IF(C44=0,0,C43/C44*Assumptions!$B$31)</f>
        <v>17.063853238438956</v>
      </c>
      <c r="D49" s="61">
        <f>IF(D44=0,0,D43/D44*Assumptions!$B$31)</f>
        <v>25.30070958787562</v>
      </c>
      <c r="E49" s="61">
        <f>IF(E44=0,0,E43/E44*Assumptions!$B$31)</f>
        <v>33.297394862867129</v>
      </c>
      <c r="F49" s="61">
        <f>IF(F44=0,0,F43/F44*Assumptions!$B$31)</f>
        <v>39.479528194269918</v>
      </c>
      <c r="G49" s="61">
        <f>IF(G44=0,0,G43/G44*Assumptions!$B$31)</f>
        <v>46.603232002844145</v>
      </c>
      <c r="H49" s="61">
        <f>IF(H44=0,0,H43/H44*Assumptions!$B$31)</f>
        <v>54.424641703624161</v>
      </c>
      <c r="I49" s="61">
        <f>IF(I44=0,0,I43/I44*Assumptions!$B$31)</f>
        <v>61.851285405148388</v>
      </c>
      <c r="J49" s="61">
        <f>IF(J44=0,0,J43/J44*Assumptions!$B$31)</f>
        <v>68.754161875675976</v>
      </c>
      <c r="K49" s="61">
        <f>IF(K44=0,0,K43/K44*Assumptions!$B$31)</f>
        <v>74.683157308270538</v>
      </c>
      <c r="L49" s="61">
        <f>IF(L44=0,0,L43/L44*Assumptions!$B$31)</f>
        <v>78.324410261032668</v>
      </c>
      <c r="M49" s="61">
        <f>IF(M44=0,0,M43/M44*Assumptions!$B$31)</f>
        <v>82.941479698353888</v>
      </c>
      <c r="N49" s="61">
        <f>IF(N44=0,0,N43/N44*Assumptions!$B$31)</f>
        <v>88.399407171797151</v>
      </c>
      <c r="O49" s="61">
        <f>IF(O44=0,0,O43/O44*Assumptions!$B$31)</f>
        <v>86.838710838556693</v>
      </c>
      <c r="P49" s="61">
        <f>IF(P44=0,0,P43/P44*Assumptions!$B$31)</f>
        <v>84.137468268101657</v>
      </c>
      <c r="Q49" s="61">
        <f>IF(Q44=0,0,Q43/Q44*Assumptions!$B$31)</f>
        <v>84.395055269307107</v>
      </c>
      <c r="R49" s="61">
        <f>IF(R44=0,0,R43/R44*Assumptions!$B$31)</f>
        <v>83.730863201559487</v>
      </c>
      <c r="S49" s="61">
        <f>IF(S44=0,0,S43/S44*Assumptions!$B$31)</f>
        <v>85.609816606062424</v>
      </c>
      <c r="T49" s="61">
        <f>IF(T44=0,0,T43/T44*Assumptions!$B$31)</f>
        <v>89.439735640449953</v>
      </c>
      <c r="U49" s="61">
        <f>IF(U44=0,0,U43/U44*Assumptions!$B$31)</f>
        <v>93.553962793825022</v>
      </c>
      <c r="V49" s="61">
        <f>IF(V44=0,0,V43/V44*Assumptions!$B$31)</f>
        <v>97.601484456258333</v>
      </c>
      <c r="W49" s="61">
        <f>IF(W44=0,0,W43/W44*Assumptions!$B$31)</f>
        <v>100.94633294419451</v>
      </c>
      <c r="X49" s="61">
        <f>IF(X44=0,0,X43/X44*Assumptions!$B$31)</f>
        <v>102.01286925736891</v>
      </c>
      <c r="Y49" s="61">
        <f>IF(Y44=0,0,Y43/Y44*Assumptions!$B$31)</f>
        <v>104.29825110565604</v>
      </c>
      <c r="Z49" s="61">
        <f>IF(Z44=0,0,Z43/Z44*Assumptions!$B$31)</f>
        <v>107.71079268288399</v>
      </c>
      <c r="AA49" s="61">
        <f>IF(AA44=0,0,AA43/AA44*Assumptions!$B$31)</f>
        <v>167.11852158765612</v>
      </c>
      <c r="AB49" s="61">
        <f>IF(AB44=0,0,AB43/AB44*Assumptions!$B$31)</f>
        <v>190.74317031698513</v>
      </c>
      <c r="AC49" s="61">
        <f>IF(AC44=0,0,AC43/AC44*Assumptions!$B$31)</f>
        <v>203.18019403967773</v>
      </c>
      <c r="AD49" s="61">
        <f>IF(AD44=0,0,AD43/AD44*Assumptions!$B$31)</f>
        <v>211.76389546911025</v>
      </c>
      <c r="AE49" s="61">
        <f>IF(AE44=0,0,AE43/AE44*Assumptions!$B$31)</f>
        <v>219.7295220948906</v>
      </c>
    </row>
    <row r="50" spans="1:31" x14ac:dyDescent="0.25">
      <c r="A50" s="6" t="s">
        <v>591</v>
      </c>
      <c r="B50" s="23" t="s">
        <v>76</v>
      </c>
      <c r="C50" s="61">
        <f>C49*Assumptions!$B$171*Assumptions!$B$173</f>
        <v>17.917045900360904</v>
      </c>
      <c r="D50" s="61">
        <f>D49*Assumptions!$B$171*Assumptions!$B$173</f>
        <v>26.5657450672694</v>
      </c>
      <c r="E50" s="61">
        <f>E49*Assumptions!$B$171*Assumptions!$B$173</f>
        <v>34.962264606010486</v>
      </c>
      <c r="F50" s="61">
        <f>F49*Assumptions!$B$171*Assumptions!$B$173</f>
        <v>41.453504603983419</v>
      </c>
      <c r="G50" s="61">
        <f>G49*Assumptions!$B$171*Assumptions!$B$173</f>
        <v>48.933393602986357</v>
      </c>
      <c r="H50" s="61">
        <f>H49*Assumptions!$B$171*Assumptions!$B$173</f>
        <v>57.145873788805375</v>
      </c>
      <c r="I50" s="61">
        <f>I49*Assumptions!$B$171*Assumptions!$B$173</f>
        <v>64.943849675405815</v>
      </c>
      <c r="J50" s="61">
        <f>J49*Assumptions!$B$171*Assumptions!$B$173</f>
        <v>72.191869969459773</v>
      </c>
      <c r="K50" s="61">
        <f>K49*Assumptions!$B$171*Assumptions!$B$173</f>
        <v>78.417315173684074</v>
      </c>
      <c r="L50" s="61">
        <f>L49*Assumptions!$B$171*Assumptions!$B$173</f>
        <v>82.240630774084309</v>
      </c>
      <c r="M50" s="61">
        <f>M49*Assumptions!$B$171*Assumptions!$B$173</f>
        <v>87.088553683271584</v>
      </c>
      <c r="N50" s="61">
        <f>N49*Assumptions!$B$171*Assumptions!$B$173</f>
        <v>92.819377530387015</v>
      </c>
      <c r="O50" s="61">
        <f>O49*Assumptions!$B$171*Assumptions!$B$173</f>
        <v>91.180646380484532</v>
      </c>
      <c r="P50" s="61">
        <f>P49*Assumptions!$B$171*Assumptions!$B$173</f>
        <v>88.344341681506748</v>
      </c>
      <c r="Q50" s="61">
        <f>Q49*Assumptions!$B$171*Assumptions!$B$173</f>
        <v>88.614808032772473</v>
      </c>
      <c r="R50" s="61">
        <f>R49*Assumptions!$B$171*Assumptions!$B$173</f>
        <v>87.917406361637461</v>
      </c>
      <c r="S50" s="61">
        <f>S49*Assumptions!$B$171*Assumptions!$B$173</f>
        <v>89.890307436365546</v>
      </c>
      <c r="T50" s="61">
        <f>T49*Assumptions!$B$171*Assumptions!$B$173</f>
        <v>93.911722422472451</v>
      </c>
      <c r="U50" s="61">
        <f>U49*Assumptions!$B$171*Assumptions!$B$173</f>
        <v>98.231660933516281</v>
      </c>
      <c r="V50" s="61">
        <f>V49*Assumptions!$B$171*Assumptions!$B$173</f>
        <v>102.48155867907126</v>
      </c>
      <c r="W50" s="61">
        <f>W49*Assumptions!$B$171*Assumptions!$B$173</f>
        <v>105.99364959140424</v>
      </c>
      <c r="X50" s="61">
        <f>X49*Assumptions!$B$171*Assumptions!$B$173</f>
        <v>107.11351272023735</v>
      </c>
      <c r="Y50" s="61">
        <f>Y49*Assumptions!$B$171*Assumptions!$B$173</f>
        <v>109.51316366093884</v>
      </c>
      <c r="Z50" s="61">
        <f>Z49*Assumptions!$B$171*Assumptions!$B$173</f>
        <v>113.0963323170282</v>
      </c>
      <c r="AA50" s="61">
        <f>AA49*Assumptions!$B$171*Assumptions!$B$173</f>
        <v>175.47444766703893</v>
      </c>
      <c r="AB50" s="61">
        <f>AB49*Assumptions!$B$171*Assumptions!$B$173</f>
        <v>200.28032883283439</v>
      </c>
      <c r="AC50" s="61">
        <f>AC49*Assumptions!$B$171*Assumptions!$B$173</f>
        <v>213.33920374166163</v>
      </c>
      <c r="AD50" s="61">
        <f>AD49*Assumptions!$B$171*Assumptions!$B$173</f>
        <v>222.35209024256577</v>
      </c>
      <c r="AE50" s="61">
        <f>AE49*Assumptions!$B$171*Assumptions!$B$173</f>
        <v>230.71599819963512</v>
      </c>
    </row>
    <row r="51" spans="1:31" x14ac:dyDescent="0.25">
      <c r="A51" s="6" t="s">
        <v>592</v>
      </c>
      <c r="B51" s="23" t="s">
        <v>114</v>
      </c>
      <c r="C51" s="61">
        <f t="shared" ref="C51:AE51" si="13">C50/12*C16</f>
        <v>1.6423958741997493</v>
      </c>
      <c r="D51" s="61">
        <f t="shared" si="13"/>
        <v>2.2138120889391164</v>
      </c>
      <c r="E51" s="61">
        <f t="shared" si="13"/>
        <v>2.855251609490856</v>
      </c>
      <c r="F51" s="61">
        <f t="shared" si="13"/>
        <v>3.3853695426586454</v>
      </c>
      <c r="G51" s="61">
        <f t="shared" si="13"/>
        <v>4.0777828002488619</v>
      </c>
      <c r="H51" s="61">
        <f t="shared" si="13"/>
        <v>4.5240483416137574</v>
      </c>
      <c r="I51" s="61">
        <f t="shared" si="13"/>
        <v>4.7625489761964257</v>
      </c>
      <c r="J51" s="61">
        <f t="shared" si="13"/>
        <v>5.4143902477094823</v>
      </c>
      <c r="K51" s="61">
        <f t="shared" si="13"/>
        <v>6.5347762644736722</v>
      </c>
      <c r="L51" s="61">
        <f t="shared" si="13"/>
        <v>6.9904536157971648</v>
      </c>
      <c r="M51" s="61">
        <f t="shared" si="13"/>
        <v>7.6202484472862642</v>
      </c>
      <c r="N51" s="61">
        <f t="shared" si="13"/>
        <v>8.8178408653867653</v>
      </c>
      <c r="O51" s="61">
        <f t="shared" si="13"/>
        <v>8.3582259182110814</v>
      </c>
      <c r="P51" s="61">
        <f t="shared" si="13"/>
        <v>7.3620284734588948</v>
      </c>
      <c r="Q51" s="61">
        <f t="shared" si="13"/>
        <v>7.2368759893430843</v>
      </c>
      <c r="R51" s="61">
        <f t="shared" si="13"/>
        <v>7.1799215195337247</v>
      </c>
      <c r="S51" s="61">
        <f t="shared" si="13"/>
        <v>7.490858953030461</v>
      </c>
      <c r="T51" s="61">
        <f t="shared" si="13"/>
        <v>7.4346780251124001</v>
      </c>
      <c r="U51" s="61">
        <f t="shared" si="13"/>
        <v>7.203655135124527</v>
      </c>
      <c r="V51" s="61">
        <f t="shared" si="13"/>
        <v>7.6861169009303438</v>
      </c>
      <c r="W51" s="61">
        <f t="shared" si="13"/>
        <v>8.8328041326170172</v>
      </c>
      <c r="X51" s="61">
        <f t="shared" si="13"/>
        <v>9.1046485812201734</v>
      </c>
      <c r="Y51" s="61">
        <f t="shared" si="13"/>
        <v>9.5824018203321497</v>
      </c>
      <c r="Z51" s="61">
        <f t="shared" si="13"/>
        <v>10.744151570117678</v>
      </c>
      <c r="AA51" s="61">
        <f t="shared" si="13"/>
        <v>14.622870638919911</v>
      </c>
      <c r="AB51" s="61">
        <f t="shared" si="13"/>
        <v>16.690027402736199</v>
      </c>
      <c r="AC51" s="61">
        <f t="shared" si="13"/>
        <v>17.778266978471802</v>
      </c>
      <c r="AD51" s="61">
        <f t="shared" si="13"/>
        <v>18.529340853547147</v>
      </c>
      <c r="AE51" s="61">
        <f t="shared" si="13"/>
        <v>19.226333183302927</v>
      </c>
    </row>
    <row r="52" spans="1:31" x14ac:dyDescent="0.25">
      <c r="A52" s="6" t="s">
        <v>593</v>
      </c>
      <c r="B52" s="23" t="s">
        <v>394</v>
      </c>
      <c r="C52" s="50">
        <f>C47*C51*Assumptions!$B$7*C7</f>
        <v>0</v>
      </c>
      <c r="D52" s="50">
        <f>D47*D51*Assumptions!$B$7*D7</f>
        <v>0</v>
      </c>
      <c r="E52" s="50">
        <f>E47*E51*Assumptions!$B$7*E7</f>
        <v>0</v>
      </c>
      <c r="F52" s="50">
        <f>F47*F51*Assumptions!$B$7*F7</f>
        <v>0</v>
      </c>
      <c r="G52" s="50">
        <f>G47*G51*Assumptions!$B$7*G7</f>
        <v>0</v>
      </c>
      <c r="H52" s="50">
        <f>H47*H51*Assumptions!$B$7*H7</f>
        <v>0</v>
      </c>
      <c r="I52" s="50">
        <f>I47*I51*Assumptions!$B$7*I7</f>
        <v>0</v>
      </c>
      <c r="J52" s="50">
        <f>J47*J51*Assumptions!$B$7*J7</f>
        <v>0</v>
      </c>
      <c r="K52" s="50">
        <f>K47*K51*Assumptions!$B$7*K7</f>
        <v>0</v>
      </c>
      <c r="L52" s="50">
        <f>L47*L51*Assumptions!$B$7*L7</f>
        <v>0</v>
      </c>
      <c r="M52" s="50">
        <f>M47*M51*Assumptions!$B$7*M7</f>
        <v>0</v>
      </c>
      <c r="N52" s="50">
        <f>N47*N51*Assumptions!$B$7*N7</f>
        <v>0</v>
      </c>
      <c r="O52" s="50">
        <f>O47*O51*Assumptions!$B$7*O7</f>
        <v>6963.2080355277349</v>
      </c>
      <c r="P52" s="50">
        <f>P47*P51*Assumptions!$B$7*P7</f>
        <v>7478.604749365275</v>
      </c>
      <c r="Q52" s="50">
        <f>Q47*Q51*Assumptions!$B$7*Q7</f>
        <v>8646.3123178632195</v>
      </c>
      <c r="R52" s="50">
        <f>R47*R51*Assumptions!$B$7*R7</f>
        <v>10215.348969186596</v>
      </c>
      <c r="S52" s="50">
        <f>S47*S51*Assumptions!$B$7*S7</f>
        <v>12240.712015627167</v>
      </c>
      <c r="T52" s="50">
        <f>T47*T51*Assumptions!$B$7*T7</f>
        <v>13505.628875815977</v>
      </c>
      <c r="U52" s="50">
        <f>U47*U51*Assumptions!$B$7*U7</f>
        <v>14374.945588994498</v>
      </c>
      <c r="V52" s="50">
        <f>V47*V51*Assumptions!$B$7*V7</f>
        <v>16731.6943789205</v>
      </c>
      <c r="W52" s="50">
        <f>W47*W51*Assumptions!$B$7*W7</f>
        <v>21003.241702217019</v>
      </c>
      <c r="X52" s="50">
        <f>X47*X51*Assumptions!$B$7*X7</f>
        <v>24144.823131941164</v>
      </c>
      <c r="Y52" s="50">
        <f>Y47*Y51*Assumptions!$B$7*Y7</f>
        <v>27881.792058571951</v>
      </c>
      <c r="Z52" s="50">
        <f>Z47*Z51*Assumptions!$B$7*Z7</f>
        <v>33739.579739658118</v>
      </c>
      <c r="AA52" s="50">
        <f>AA47*AA51*Assumptions!$B$7*AA7</f>
        <v>1207015.2873706827</v>
      </c>
      <c r="AB52" s="50">
        <f>AB47*AB51*Assumptions!$B$7*AB7</f>
        <v>2624949.7753646048</v>
      </c>
      <c r="AC52" s="50">
        <f>AC47*AC51*Assumptions!$B$7*AC7</f>
        <v>4816059.17700685</v>
      </c>
      <c r="AD52" s="50">
        <f>AD47*AD51*Assumptions!$B$7*AD7</f>
        <v>7894103.8739397945</v>
      </c>
      <c r="AE52" s="50">
        <f>AE47*AE51*Assumptions!$B$7*AE7</f>
        <v>11659566.396922424</v>
      </c>
    </row>
    <row r="53" spans="1:31" x14ac:dyDescent="0.25">
      <c r="A53" s="6" t="s">
        <v>593</v>
      </c>
      <c r="B53" s="23" t="s">
        <v>114</v>
      </c>
      <c r="C53" s="61">
        <f>C52/Assumptions!$B$7</f>
        <v>0</v>
      </c>
      <c r="D53" s="61">
        <f>D52/Assumptions!$B$7</f>
        <v>0</v>
      </c>
      <c r="E53" s="61">
        <f>E52/Assumptions!$B$7</f>
        <v>0</v>
      </c>
      <c r="F53" s="61">
        <f>F52/Assumptions!$B$7</f>
        <v>0</v>
      </c>
      <c r="G53" s="61">
        <f>G52/Assumptions!$B$7</f>
        <v>0</v>
      </c>
      <c r="H53" s="61">
        <f>H52/Assumptions!$B$7</f>
        <v>0</v>
      </c>
      <c r="I53" s="61">
        <f>I52/Assumptions!$B$7</f>
        <v>0</v>
      </c>
      <c r="J53" s="61">
        <f>J52/Assumptions!$B$7</f>
        <v>0</v>
      </c>
      <c r="K53" s="61">
        <f>K52/Assumptions!$B$7</f>
        <v>0</v>
      </c>
      <c r="L53" s="61">
        <f>L52/Assumptions!$B$7</f>
        <v>0</v>
      </c>
      <c r="M53" s="61">
        <f>M52/Assumptions!$B$7</f>
        <v>0</v>
      </c>
      <c r="N53" s="61">
        <f>N52/Assumptions!$B$7</f>
        <v>0</v>
      </c>
      <c r="O53" s="61">
        <f>O52/Assumptions!$B$7</f>
        <v>1896.0403091974772</v>
      </c>
      <c r="P53" s="61">
        <f>P52/Assumptions!$B$7</f>
        <v>2036.3797819919062</v>
      </c>
      <c r="Q53" s="61">
        <f>Q52/Assumptions!$B$7</f>
        <v>2354.3396372670441</v>
      </c>
      <c r="R53" s="61">
        <f>R52/Assumptions!$B$7</f>
        <v>2781.5790249657171</v>
      </c>
      <c r="S53" s="61">
        <f>S52/Assumptions!$B$7</f>
        <v>3333.0733875090991</v>
      </c>
      <c r="T53" s="61">
        <f>T52/Assumptions!$B$7</f>
        <v>3677.5027571997216</v>
      </c>
      <c r="U53" s="61">
        <f>U52/Assumptions!$B$7</f>
        <v>3914.2125497602447</v>
      </c>
      <c r="V53" s="61">
        <f>V52/Assumptions!$B$7</f>
        <v>4555.9412876570459</v>
      </c>
      <c r="W53" s="61">
        <f>W52/Assumptions!$B$7</f>
        <v>5719.0583259951045</v>
      </c>
      <c r="X53" s="61">
        <f>X52/Assumptions!$B$7</f>
        <v>6574.4923436191057</v>
      </c>
      <c r="Y53" s="61">
        <f>Y52/Assumptions!$B$7</f>
        <v>7592.0468505301433</v>
      </c>
      <c r="Z53" s="61">
        <f>Z52/Assumptions!$B$7</f>
        <v>9187.0877439504748</v>
      </c>
      <c r="AA53" s="61">
        <f>AA52/Assumptions!$B$7</f>
        <v>328663.11432830029</v>
      </c>
      <c r="AB53" s="61">
        <f>AB52/Assumptions!$B$7</f>
        <v>714758.27783923887</v>
      </c>
      <c r="AC53" s="61">
        <f>AC52/Assumptions!$B$7</f>
        <v>1311384.3912884549</v>
      </c>
      <c r="AD53" s="61">
        <f>AD52/Assumptions!$B$7</f>
        <v>2149517.7328631165</v>
      </c>
      <c r="AE53" s="61">
        <f>AE52/Assumptions!$B$7</f>
        <v>3174830.8773103948</v>
      </c>
    </row>
    <row r="54" spans="1:31" x14ac:dyDescent="0.25">
      <c r="A54" s="6" t="s">
        <v>594</v>
      </c>
      <c r="B54" s="23" t="s">
        <v>394</v>
      </c>
      <c r="C54" s="50">
        <f>IF(Assumptions!$B$159=0,0,C49*Assumptions!$B$171*Assumptions!$B$7/Assumptions!$B$159)</f>
        <v>7.8333751272708829</v>
      </c>
      <c r="D54" s="50">
        <f>IF(Assumptions!$B$159=0,0,D49*Assumptions!$B$171*Assumptions!$B$7/Assumptions!$B$159)</f>
        <v>11.61460699518415</v>
      </c>
      <c r="E54" s="50">
        <f>IF(Assumptions!$B$159=0,0,E49*Assumptions!$B$171*Assumptions!$B$7/Assumptions!$B$159)</f>
        <v>15.285585329234941</v>
      </c>
      <c r="F54" s="50">
        <f>IF(Assumptions!$B$159=0,0,F49*Assumptions!$B$171*Assumptions!$B$7/Assumptions!$B$159)</f>
        <v>18.123570911682034</v>
      </c>
      <c r="G54" s="50">
        <f>IF(Assumptions!$B$159=0,0,G49*Assumptions!$B$171*Assumptions!$B$7/Assumptions!$B$159)</f>
        <v>21.39379619130564</v>
      </c>
      <c r="H54" s="50">
        <f>IF(Assumptions!$B$159=0,0,H49*Assumptions!$B$171*Assumptions!$B$7/Assumptions!$B$159)</f>
        <v>24.984312082069966</v>
      </c>
      <c r="I54" s="50">
        <f>IF(Assumptions!$B$159=0,0,I49*Assumptions!$B$171*Assumptions!$B$7/Assumptions!$B$159)</f>
        <v>28.393605706300932</v>
      </c>
      <c r="J54" s="50">
        <f>IF(Assumptions!$B$159=0,0,J49*Assumptions!$B$171*Assumptions!$B$7/Assumptions!$B$159)</f>
        <v>31.562457436052501</v>
      </c>
      <c r="K54" s="50">
        <f>IF(Assumptions!$B$159=0,0,K49*Assumptions!$B$171*Assumptions!$B$7/Assumptions!$B$159)</f>
        <v>34.284236901827946</v>
      </c>
      <c r="L54" s="50">
        <f>IF(Assumptions!$B$159=0,0,L49*Assumptions!$B$171*Assumptions!$B$7/Assumptions!$B$159)</f>
        <v>35.95579958545531</v>
      </c>
      <c r="M54" s="50">
        <f>IF(Assumptions!$B$159=0,0,M49*Assumptions!$B$171*Assumptions!$B$7/Assumptions!$B$159)</f>
        <v>38.075323024025579</v>
      </c>
      <c r="N54" s="50">
        <f>IF(Assumptions!$B$159=0,0,N49*Assumptions!$B$171*Assumptions!$B$7/Assumptions!$B$159)</f>
        <v>40.580852854803126</v>
      </c>
      <c r="O54" s="50">
        <f>IF(Assumptions!$B$159=0,0,O49*Assumptions!$B$171*Assumptions!$B$7/Assumptions!$B$159)</f>
        <v>39.864395694324934</v>
      </c>
      <c r="P54" s="50">
        <f>IF(Assumptions!$B$159=0,0,P49*Assumptions!$B$171*Assumptions!$B$7/Assumptions!$B$159)</f>
        <v>38.624356526825416</v>
      </c>
      <c r="Q54" s="50">
        <f>IF(Assumptions!$B$159=0,0,Q49*Assumptions!$B$171*Assumptions!$B$7/Assumptions!$B$159)</f>
        <v>38.742605059566294</v>
      </c>
      <c r="R54" s="50">
        <f>IF(Assumptions!$B$159=0,0,R49*Assumptions!$B$171*Assumptions!$B$7/Assumptions!$B$159)</f>
        <v>38.437699388465902</v>
      </c>
      <c r="S54" s="50">
        <f>IF(Assumptions!$B$159=0,0,S49*Assumptions!$B$171*Assumptions!$B$7/Assumptions!$B$159)</f>
        <v>39.300256435720527</v>
      </c>
      <c r="T54" s="50">
        <f>IF(Assumptions!$B$159=0,0,T49*Assumptions!$B$171*Assumptions!$B$7/Assumptions!$B$159)</f>
        <v>41.058428642444056</v>
      </c>
      <c r="U54" s="50">
        <f>IF(Assumptions!$B$159=0,0,U49*Assumptions!$B$171*Assumptions!$B$7/Assumptions!$B$159)</f>
        <v>42.947116045040296</v>
      </c>
      <c r="V54" s="50">
        <f>IF(Assumptions!$B$159=0,0,V49*Assumptions!$B$171*Assumptions!$B$7/Assumptions!$B$159)</f>
        <v>44.805181458201091</v>
      </c>
      <c r="W54" s="50">
        <f>IF(Assumptions!$B$159=0,0,W49*Assumptions!$B$171*Assumptions!$B$7/Assumptions!$B$159)</f>
        <v>46.340675967194294</v>
      </c>
      <c r="X54" s="50">
        <f>IF(Assumptions!$B$159=0,0,X49*Assumptions!$B$171*Assumptions!$B$7/Assumptions!$B$159)</f>
        <v>46.83028279346091</v>
      </c>
      <c r="Y54" s="50">
        <f>IF(Assumptions!$B$159=0,0,Y49*Assumptions!$B$171*Assumptions!$B$7/Assumptions!$B$159)</f>
        <v>47.879415898190224</v>
      </c>
      <c r="Z54" s="50">
        <f>IF(Assumptions!$B$159=0,0,Z49*Assumptions!$B$171*Assumptions!$B$7/Assumptions!$B$159)</f>
        <v>49.445985765986428</v>
      </c>
      <c r="AA54" s="50">
        <f>IF(Assumptions!$B$159=0,0,AA49*Assumptions!$B$171*Assumptions!$B$7/Assumptions!$B$159)</f>
        <v>76.717846316333379</v>
      </c>
      <c r="AB54" s="50">
        <f>IF(Assumptions!$B$159=0,0,AB49*Assumptions!$B$171*Assumptions!$B$7/Assumptions!$B$159)</f>
        <v>87.563036623640983</v>
      </c>
      <c r="AC54" s="50">
        <f>IF(Assumptions!$B$159=0,0,AC49*Assumptions!$B$171*Assumptions!$B$7/Assumptions!$B$159)</f>
        <v>93.27240782633956</v>
      </c>
      <c r="AD54" s="50">
        <f>IF(Assumptions!$B$159=0,0,AD49*Assumptions!$B$171*Assumptions!$B$7/Assumptions!$B$159)</f>
        <v>97.212863263788421</v>
      </c>
      <c r="AE54" s="50">
        <f>IF(Assumptions!$B$159=0,0,AE49*Assumptions!$B$171*Assumptions!$B$7/Assumptions!$B$159)</f>
        <v>100.86958373668571</v>
      </c>
    </row>
    <row r="55" spans="1:31" x14ac:dyDescent="0.25">
      <c r="A55" s="6" t="s">
        <v>595</v>
      </c>
      <c r="B55" s="23" t="s">
        <v>596</v>
      </c>
      <c r="C55" s="50">
        <f>C47*Assumptions!$B$173*Assumptions!$B$159*C7/12*(1+Assumptions!$B$16)</f>
        <v>0</v>
      </c>
      <c r="D55" s="50">
        <f>D47*Assumptions!$B$173*Assumptions!$B$159*D7/12*(1+Assumptions!$B$16)</f>
        <v>0</v>
      </c>
      <c r="E55" s="50">
        <f>E47*Assumptions!$B$173*Assumptions!$B$159*E7/12*(1+Assumptions!$B$16)</f>
        <v>0</v>
      </c>
      <c r="F55" s="50">
        <f>F47*Assumptions!$B$173*Assumptions!$B$159*F7/12*(1+Assumptions!$B$16)</f>
        <v>0</v>
      </c>
      <c r="G55" s="50">
        <f>G47*Assumptions!$B$173*Assumptions!$B$159*G7/12*(1+Assumptions!$B$16)</f>
        <v>0</v>
      </c>
      <c r="H55" s="50">
        <f>H47*Assumptions!$B$173*Assumptions!$B$159*H7/12*(1+Assumptions!$B$16)</f>
        <v>0</v>
      </c>
      <c r="I55" s="50">
        <f>I47*Assumptions!$B$173*Assumptions!$B$159*I7/12*(1+Assumptions!$B$16)</f>
        <v>0</v>
      </c>
      <c r="J55" s="50">
        <f>J47*Assumptions!$B$173*Assumptions!$B$159*J7/12*(1+Assumptions!$B$16)</f>
        <v>0</v>
      </c>
      <c r="K55" s="50">
        <f>K47*Assumptions!$B$173*Assumptions!$B$159*K7/12*(1+Assumptions!$B$16)</f>
        <v>0</v>
      </c>
      <c r="L55" s="50">
        <f>L47*Assumptions!$B$173*Assumptions!$B$159*L7/12*(1+Assumptions!$B$16)</f>
        <v>0</v>
      </c>
      <c r="M55" s="50">
        <f>M47*Assumptions!$B$173*Assumptions!$B$159*M7/12*(1+Assumptions!$B$16)</f>
        <v>0</v>
      </c>
      <c r="N55" s="50">
        <f>N47*Assumptions!$B$173*Assumptions!$B$159*N7/12*(1+Assumptions!$B$16)</f>
        <v>0</v>
      </c>
      <c r="O55" s="50">
        <f>O47*Assumptions!$B$173*Assumptions!$B$159*O7/12*(1+Assumptions!$B$16)</f>
        <v>168.32063684223075</v>
      </c>
      <c r="P55" s="50">
        <f>P47*Assumptions!$B$173*Assumptions!$B$159*P7/12*(1+Assumptions!$B$16)</f>
        <v>205.24150425189615</v>
      </c>
      <c r="Q55" s="50">
        <f>Q47*Assumptions!$B$173*Assumptions!$B$159*Q7/12*(1+Assumptions!$B$16)</f>
        <v>241.39145308343478</v>
      </c>
      <c r="R55" s="50">
        <f>R47*Assumptions!$B$173*Assumptions!$B$159*R7/12*(1+Assumptions!$B$16)</f>
        <v>287.45880173055116</v>
      </c>
      <c r="S55" s="50">
        <f>S47*Assumptions!$B$173*Assumptions!$B$159*S7/12*(1+Assumptions!$B$16)</f>
        <v>330.15445478802292</v>
      </c>
      <c r="T55" s="50">
        <f>T47*Assumptions!$B$173*Assumptions!$B$159*T7/12*(1+Assumptions!$B$16)</f>
        <v>367.02423919708883</v>
      </c>
      <c r="U55" s="50">
        <f>U47*Assumptions!$B$173*Assumptions!$B$159*U7/12*(1+Assumptions!$B$16)</f>
        <v>403.17667315314861</v>
      </c>
      <c r="V55" s="50">
        <f>V47*Assumptions!$B$173*Assumptions!$B$159*V7/12*(1+Assumptions!$B$16)</f>
        <v>439.82006506202686</v>
      </c>
      <c r="W55" s="50">
        <f>W47*Assumptions!$B$173*Assumptions!$B$159*W7/12*(1+Assumptions!$B$16)</f>
        <v>480.42968169283699</v>
      </c>
      <c r="X55" s="50">
        <f>X47*Assumptions!$B$173*Assumptions!$B$159*X7/12*(1+Assumptions!$B$16)</f>
        <v>535.8002865731263</v>
      </c>
      <c r="Y55" s="50">
        <f>Y47*Assumptions!$B$173*Assumptions!$B$159*Y7/12*(1+Assumptions!$B$16)</f>
        <v>587.87962232396785</v>
      </c>
      <c r="Z55" s="50">
        <f>Z47*Assumptions!$B$173*Assumptions!$B$159*Z7/12*(1+Assumptions!$B$16)</f>
        <v>634.46788343628975</v>
      </c>
      <c r="AA55" s="50">
        <f>AA47*Assumptions!$B$173*Assumptions!$B$159*AA7/12*(1+Assumptions!$B$16)</f>
        <v>16677.165301765377</v>
      </c>
      <c r="AB55" s="50">
        <f>AB47*Assumptions!$B$173*Assumptions!$B$159*AB7/12*(1+Assumptions!$B$16)</f>
        <v>31776.499184762786</v>
      </c>
      <c r="AC55" s="50">
        <f>AC47*Assumptions!$B$173*Assumptions!$B$159*AC7/12*(1+Assumptions!$B$16)</f>
        <v>54732.399930450105</v>
      </c>
      <c r="AD55" s="50">
        <f>AD47*Assumptions!$B$173*Assumptions!$B$159*AD7/12*(1+Assumptions!$B$16)</f>
        <v>86076.57284684827</v>
      </c>
      <c r="AE55" s="50">
        <f>AE47*Assumptions!$B$173*Assumptions!$B$159*AE7/12*(1+Assumptions!$B$16)</f>
        <v>122525.93817577952</v>
      </c>
    </row>
    <row r="56" spans="1:31" x14ac:dyDescent="0.25">
      <c r="A56" s="6" t="s">
        <v>597</v>
      </c>
      <c r="B56" s="23" t="s">
        <v>114</v>
      </c>
      <c r="C56" s="61">
        <f>C36*Assumptions!$B$8</f>
        <v>135.08169597839029</v>
      </c>
      <c r="D56" s="61">
        <f>D36*Assumptions!$B$8</f>
        <v>256.83712751060915</v>
      </c>
      <c r="E56" s="61">
        <f>E36*Assumptions!$B$8</f>
        <v>367.26112457784529</v>
      </c>
      <c r="F56" s="61">
        <f>F36*Assumptions!$B$8</f>
        <v>502.96425056996941</v>
      </c>
      <c r="G56" s="61">
        <f>G36*Assumptions!$B$8</f>
        <v>617.29339627581976</v>
      </c>
      <c r="H56" s="61">
        <f>H36*Assumptions!$B$8</f>
        <v>704.64671567097207</v>
      </c>
      <c r="I56" s="61">
        <f>I36*Assumptions!$B$8</f>
        <v>783.69698650404462</v>
      </c>
      <c r="J56" s="61">
        <f>J36*Assumptions!$B$8</f>
        <v>858.85038113659448</v>
      </c>
      <c r="K56" s="61">
        <f>K36*Assumptions!$B$8</f>
        <v>940.94904388116072</v>
      </c>
      <c r="L56" s="61">
        <f>L36*Assumptions!$B$8</f>
        <v>1061.5801406602475</v>
      </c>
      <c r="M56" s="61">
        <f>M36*Assumptions!$B$8</f>
        <v>1162.9303733467993</v>
      </c>
      <c r="N56" s="61">
        <f>N36*Assumptions!$B$8</f>
        <v>1240.6476513134958</v>
      </c>
      <c r="O56" s="61">
        <f>O36*Assumptions!$B$8</f>
        <v>1645.6086197437398</v>
      </c>
      <c r="P56" s="61">
        <f>P36*Assumptions!$B$8</f>
        <v>2018.6213620790659</v>
      </c>
      <c r="Q56" s="61">
        <f>Q36*Assumptions!$B$8</f>
        <v>2364.0475010125965</v>
      </c>
      <c r="R56" s="61">
        <f>R36*Assumptions!$B$8</f>
        <v>2814.3643548255191</v>
      </c>
      <c r="S56" s="61">
        <f>S36*Assumptions!$B$8</f>
        <v>3201.4283588606904</v>
      </c>
      <c r="T56" s="61">
        <f>T36*Assumptions!$B$8</f>
        <v>3498.2029153062686</v>
      </c>
      <c r="U56" s="61">
        <f>U36*Assumptions!$B$8</f>
        <v>3771.7532112719209</v>
      </c>
      <c r="V56" s="61">
        <f>V36*Assumptions!$B$8</f>
        <v>4038.0328479548998</v>
      </c>
      <c r="W56" s="61">
        <f>W36*Assumptions!$B$8</f>
        <v>4340.0337592221949</v>
      </c>
      <c r="X56" s="61">
        <f>X36*Assumptions!$B$8</f>
        <v>4808.4625492356436</v>
      </c>
      <c r="Y56" s="61">
        <f>Y36*Assumptions!$B$8</f>
        <v>5213.7450303540354</v>
      </c>
      <c r="Z56" s="61">
        <f>Z36*Assumptions!$B$8</f>
        <v>5531.9603018469679</v>
      </c>
      <c r="AA56" s="61">
        <f>AA36*Assumptions!$B$8</f>
        <v>121060.73798336566</v>
      </c>
      <c r="AB56" s="61">
        <f>AB36*Assumptions!$B$8</f>
        <v>207438.32048108728</v>
      </c>
      <c r="AC56" s="61">
        <f>AC36*Assumptions!$B$8</f>
        <v>328236.37988734595</v>
      </c>
      <c r="AD56" s="61">
        <f>AD36*Assumptions!$B$8</f>
        <v>472925.74197182246</v>
      </c>
      <c r="AE56" s="61">
        <f>AE36*Assumptions!$B$8</f>
        <v>600128.94174238562</v>
      </c>
    </row>
    <row r="57" spans="1:31" x14ac:dyDescent="0.25">
      <c r="A57" s="6" t="s">
        <v>598</v>
      </c>
      <c r="B57" s="23" t="s">
        <v>114</v>
      </c>
      <c r="C57" s="61">
        <f>C37*Assumptions!$B$8</f>
        <v>12.985532083636921</v>
      </c>
      <c r="D57" s="61">
        <f>D37*Assumptions!$B$8</f>
        <v>24.689997674382962</v>
      </c>
      <c r="E57" s="61">
        <f>E37*Assumptions!$B$8</f>
        <v>35.305161678167863</v>
      </c>
      <c r="F57" s="61">
        <f>F37*Assumptions!$B$8</f>
        <v>48.350432420863129</v>
      </c>
      <c r="G57" s="61">
        <f>G37*Assumptions!$B$8</f>
        <v>59.341002082467199</v>
      </c>
      <c r="H57" s="61">
        <f>H37*Assumptions!$B$8</f>
        <v>67.738359869560696</v>
      </c>
      <c r="I57" s="61">
        <f>I37*Assumptions!$B$8</f>
        <v>75.337537690716175</v>
      </c>
      <c r="J57" s="61">
        <f>J37*Assumptions!$B$8</f>
        <v>82.562105091404774</v>
      </c>
      <c r="K57" s="61">
        <f>K37*Assumptions!$B$8</f>
        <v>90.454327730242511</v>
      </c>
      <c r="L57" s="61">
        <f>L37*Assumptions!$B$8</f>
        <v>102.05070995037497</v>
      </c>
      <c r="M57" s="61">
        <f>M37*Assumptions!$B$8</f>
        <v>111.79360434256431</v>
      </c>
      <c r="N57" s="61">
        <f>N37*Assumptions!$B$8</f>
        <v>119.26464028995804</v>
      </c>
      <c r="O57" s="61">
        <f>O37*Assumptions!$B$8</f>
        <v>158.1939238622702</v>
      </c>
      <c r="P57" s="61">
        <f>P37*Assumptions!$B$8</f>
        <v>194.05199403319594</v>
      </c>
      <c r="Q57" s="61">
        <f>Q37*Assumptions!$B$8</f>
        <v>227.25813774615136</v>
      </c>
      <c r="R57" s="61">
        <f>R37*Assumptions!$B$8</f>
        <v>270.54752577638169</v>
      </c>
      <c r="S57" s="61">
        <f>S37*Assumptions!$B$8</f>
        <v>307.75635711666763</v>
      </c>
      <c r="T57" s="61">
        <f>T37*Assumptions!$B$8</f>
        <v>336.28557787021566</v>
      </c>
      <c r="U57" s="61">
        <f>U37*Assumptions!$B$8</f>
        <v>362.58222834548519</v>
      </c>
      <c r="V57" s="61">
        <f>V37*Assumptions!$B$8</f>
        <v>388.179943419474</v>
      </c>
      <c r="W57" s="61">
        <f>W37*Assumptions!$B$8</f>
        <v>417.21157863951453</v>
      </c>
      <c r="X57" s="61">
        <f>X37*Assumptions!$B$8</f>
        <v>462.2420843461644</v>
      </c>
      <c r="Y57" s="61">
        <f>Y37*Assumptions!$B$8</f>
        <v>501.20227523939087</v>
      </c>
      <c r="Z57" s="61">
        <f>Z37*Assumptions!$B$8</f>
        <v>531.79261235016963</v>
      </c>
      <c r="AA57" s="61">
        <f>AA37*Assumptions!$B$8</f>
        <v>11637.684038281877</v>
      </c>
      <c r="AB57" s="61">
        <f>AB37*Assumptions!$B$8</f>
        <v>19941.243308152138</v>
      </c>
      <c r="AC57" s="61">
        <f>AC37*Assumptions!$B$8</f>
        <v>31553.675804646642</v>
      </c>
      <c r="AD57" s="61">
        <f>AD37*Assumptions!$B$8</f>
        <v>45462.80198121984</v>
      </c>
      <c r="AE57" s="61">
        <f>AE37*Assumptions!$B$8</f>
        <v>57690.966721068602</v>
      </c>
    </row>
    <row r="58" spans="1:31" x14ac:dyDescent="0.25">
      <c r="A58" s="6" t="s">
        <v>599</v>
      </c>
      <c r="B58" s="23" t="s">
        <v>114</v>
      </c>
      <c r="C58" s="61">
        <f>C53*IF(Assumptions!$B$227=1,MIN(Assumptions!$B$14,1%),Assumptions!$B$14)*(1-Assumptions!$B$157)</f>
        <v>0</v>
      </c>
      <c r="D58" s="61">
        <f>D53*IF(Assumptions!$B$227=1,MIN(Assumptions!$B$14,1%),Assumptions!$B$14)*(1-Assumptions!$B$157)</f>
        <v>0</v>
      </c>
      <c r="E58" s="61">
        <f>E53*IF(Assumptions!$B$227=1,MIN(Assumptions!$B$14,1%),Assumptions!$B$14)*(1-Assumptions!$B$157)</f>
        <v>0</v>
      </c>
      <c r="F58" s="61">
        <f>F53*IF(Assumptions!$B$227=1,MIN(Assumptions!$B$14,1%),Assumptions!$B$14)*(1-Assumptions!$B$157)</f>
        <v>0</v>
      </c>
      <c r="G58" s="61">
        <f>G53*IF(Assumptions!$B$227=1,MIN(Assumptions!$B$14,1%),Assumptions!$B$14)*(1-Assumptions!$B$157)</f>
        <v>0</v>
      </c>
      <c r="H58" s="61">
        <f>H53*IF(Assumptions!$B$227=1,MIN(Assumptions!$B$14,1%),Assumptions!$B$14)*(1-Assumptions!$B$157)</f>
        <v>0</v>
      </c>
      <c r="I58" s="61">
        <f>I53*IF(Assumptions!$B$227=1,MIN(Assumptions!$B$14,1%),Assumptions!$B$14)*(1-Assumptions!$B$157)</f>
        <v>0</v>
      </c>
      <c r="J58" s="61">
        <f>J53*IF(Assumptions!$B$227=1,MIN(Assumptions!$B$14,1%),Assumptions!$B$14)*(1-Assumptions!$B$157)</f>
        <v>0</v>
      </c>
      <c r="K58" s="61">
        <f>K53*IF(Assumptions!$B$227=1,MIN(Assumptions!$B$14,1%),Assumptions!$B$14)*(1-Assumptions!$B$157)</f>
        <v>0</v>
      </c>
      <c r="L58" s="61">
        <f>L53*IF(Assumptions!$B$227=1,MIN(Assumptions!$B$14,1%),Assumptions!$B$14)*(1-Assumptions!$B$157)</f>
        <v>0</v>
      </c>
      <c r="M58" s="61">
        <f>M53*IF(Assumptions!$B$227=1,MIN(Assumptions!$B$14,1%),Assumptions!$B$14)*(1-Assumptions!$B$157)</f>
        <v>0</v>
      </c>
      <c r="N58" s="61">
        <f>N53*IF(Assumptions!$B$227=1,MIN(Assumptions!$B$14,1%),Assumptions!$B$14)*(1-Assumptions!$B$157)</f>
        <v>0</v>
      </c>
      <c r="O58" s="61">
        <f>O53*IF(Assumptions!$B$227=1,MIN(Assumptions!$B$14,1%),Assumptions!$B$14)*(1-Assumptions!$B$157)</f>
        <v>13.651490226221837</v>
      </c>
      <c r="P58" s="61">
        <f>P53*IF(Assumptions!$B$227=1,MIN(Assumptions!$B$14,1%),Assumptions!$B$14)*(1-Assumptions!$B$157)</f>
        <v>14.661934430341724</v>
      </c>
      <c r="Q58" s="61">
        <f>Q53*IF(Assumptions!$B$227=1,MIN(Assumptions!$B$14,1%),Assumptions!$B$14)*(1-Assumptions!$B$157)</f>
        <v>16.951245388322715</v>
      </c>
      <c r="R58" s="61">
        <f>R53*IF(Assumptions!$B$227=1,MIN(Assumptions!$B$14,1%),Assumptions!$B$14)*(1-Assumptions!$B$157)</f>
        <v>20.027368979753163</v>
      </c>
      <c r="S58" s="61">
        <f>S53*IF(Assumptions!$B$227=1,MIN(Assumptions!$B$14,1%),Assumptions!$B$14)*(1-Assumptions!$B$157)</f>
        <v>23.998128390065514</v>
      </c>
      <c r="T58" s="61">
        <f>T53*IF(Assumptions!$B$227=1,MIN(Assumptions!$B$14,1%),Assumptions!$B$14)*(1-Assumptions!$B$157)</f>
        <v>26.478019851837999</v>
      </c>
      <c r="U58" s="61">
        <f>U53*IF(Assumptions!$B$227=1,MIN(Assumptions!$B$14,1%),Assumptions!$B$14)*(1-Assumptions!$B$157)</f>
        <v>28.182330358273759</v>
      </c>
      <c r="V58" s="61">
        <f>V53*IF(Assumptions!$B$227=1,MIN(Assumptions!$B$14,1%),Assumptions!$B$14)*(1-Assumptions!$B$157)</f>
        <v>32.802777271130729</v>
      </c>
      <c r="W58" s="61">
        <f>W53*IF(Assumptions!$B$227=1,MIN(Assumptions!$B$14,1%),Assumptions!$B$14)*(1-Assumptions!$B$157)</f>
        <v>41.177219947164751</v>
      </c>
      <c r="X58" s="61">
        <f>X53*IF(Assumptions!$B$227=1,MIN(Assumptions!$B$14,1%),Assumptions!$B$14)*(1-Assumptions!$B$157)</f>
        <v>47.336344874057559</v>
      </c>
      <c r="Y58" s="61">
        <f>Y53*IF(Assumptions!$B$227=1,MIN(Assumptions!$B$14,1%),Assumptions!$B$14)*(1-Assumptions!$B$157)</f>
        <v>54.662737323817034</v>
      </c>
      <c r="Z58" s="61">
        <f>Z53*IF(Assumptions!$B$227=1,MIN(Assumptions!$B$14,1%),Assumptions!$B$14)*(1-Assumptions!$B$157)</f>
        <v>66.147031756443411</v>
      </c>
      <c r="AA58" s="61">
        <f>AA53*IF(Assumptions!$B$227=1,MIN(Assumptions!$B$14,1%),Assumptions!$B$14)*(1-Assumptions!$B$157)</f>
        <v>2366.374423163762</v>
      </c>
      <c r="AB58" s="61">
        <f>AB53*IF(Assumptions!$B$227=1,MIN(Assumptions!$B$14,1%),Assumptions!$B$14)*(1-Assumptions!$B$157)</f>
        <v>5146.2596004425195</v>
      </c>
      <c r="AC58" s="61">
        <f>AC53*IF(Assumptions!$B$227=1,MIN(Assumptions!$B$14,1%),Assumptions!$B$14)*(1-Assumptions!$B$157)</f>
        <v>9441.9676172768741</v>
      </c>
      <c r="AD58" s="61">
        <f>AD53*IF(Assumptions!$B$227=1,MIN(Assumptions!$B$14,1%),Assumptions!$B$14)*(1-Assumptions!$B$157)</f>
        <v>15476.527676614438</v>
      </c>
      <c r="AE58" s="61">
        <f>AE53*IF(Assumptions!$B$227=1,MIN(Assumptions!$B$14,1%),Assumptions!$B$14)*(1-Assumptions!$B$157)</f>
        <v>22858.782316634843</v>
      </c>
    </row>
    <row r="59" spans="1:31" x14ac:dyDescent="0.25">
      <c r="A59" s="6" t="s">
        <v>600</v>
      </c>
      <c r="B59" s="23" t="s">
        <v>601</v>
      </c>
      <c r="C59" s="60">
        <f>IF(C2&gt;=Assumptions!$B$50,C31*Assumptions!$B$174*(1-Assumptions!$B$177)^(C7/2),0)</f>
        <v>0</v>
      </c>
      <c r="D59" s="60">
        <f>IF(D2&gt;=Assumptions!$B$50,C59*(1-Assumptions!$B$177)^D7+D31*Assumptions!$B$174*(1-Assumptions!$B$177)^(D7/2),0)</f>
        <v>0</v>
      </c>
      <c r="E59" s="60">
        <f>IF(E2&gt;=Assumptions!$B$50,D59*(1-Assumptions!$B$177)^E7+E31*Assumptions!$B$174*(1-Assumptions!$B$177)^(E7/2),0)</f>
        <v>0</v>
      </c>
      <c r="F59" s="60">
        <f>IF(F2&gt;=Assumptions!$B$50,E59*(1-Assumptions!$B$177)^F7+F31*Assumptions!$B$174*(1-Assumptions!$B$177)^(F7/2),0)</f>
        <v>0</v>
      </c>
      <c r="G59" s="60">
        <f>IF(G2&gt;=Assumptions!$B$50,F59*(1-Assumptions!$B$177)^G7+G31*Assumptions!$B$174*(1-Assumptions!$B$177)^(G7/2),0)</f>
        <v>0</v>
      </c>
      <c r="H59" s="60">
        <f>IF(H2&gt;=Assumptions!$B$50,G59*(1-Assumptions!$B$177)^H7+H31*Assumptions!$B$174*(1-Assumptions!$B$177)^(H7/2),0)</f>
        <v>0</v>
      </c>
      <c r="I59" s="60">
        <f>IF(I2&gt;=Assumptions!$B$50,H59*(1-Assumptions!$B$177)^I7+I31*Assumptions!$B$174*(1-Assumptions!$B$177)^(I7/2),0)</f>
        <v>9.9951365891422128</v>
      </c>
      <c r="J59" s="60">
        <f>IF(J2&gt;=Assumptions!$B$50,I59*(1-Assumptions!$B$177)^J7+J31*Assumptions!$B$174*(1-Assumptions!$B$177)^(J7/2),0)</f>
        <v>19.274394865846858</v>
      </c>
      <c r="K59" s="60">
        <f>IF(K2&gt;=Assumptions!$B$50,J59*(1-Assumptions!$B$177)^K7+K31*Assumptions!$B$174*(1-Assumptions!$B$177)^(K7/2),0)</f>
        <v>28.828505997006154</v>
      </c>
      <c r="L59" s="60">
        <f>IF(L2&gt;=Assumptions!$B$50,K59*(1-Assumptions!$B$177)^L7+L31*Assumptions!$B$174*(1-Assumptions!$B$177)^(L7/2),0)</f>
        <v>41.454374273019127</v>
      </c>
      <c r="M59" s="60">
        <f>IF(M2&gt;=Assumptions!$B$50,L59*(1-Assumptions!$B$177)^M7+M31*Assumptions!$B$174*(1-Assumptions!$B$177)^(M7/2),0)</f>
        <v>51.99829767611655</v>
      </c>
      <c r="N59" s="60">
        <f>IF(N2&gt;=Assumptions!$B$50,M59*(1-Assumptions!$B$177)^N7+N31*Assumptions!$B$174*(1-Assumptions!$B$177)^(N7/2),0)</f>
        <v>60.141761758578411</v>
      </c>
      <c r="O59" s="60">
        <f>IF(O2&gt;=Assumptions!$B$50,N59*(1-Assumptions!$B$177)^O7+O31*Assumptions!$B$174*(1-Assumptions!$B$177)^(O7/2),0)</f>
        <v>96.909189251600736</v>
      </c>
      <c r="P59" s="60">
        <f>IF(P2&gt;=Assumptions!$B$50,O59*(1-Assumptions!$B$177)^P7+P31*Assumptions!$B$174*(1-Assumptions!$B$177)^(P7/2),0)</f>
        <v>129.97885789739206</v>
      </c>
      <c r="Q59" s="60">
        <f>IF(Q2&gt;=Assumptions!$B$50,P59*(1-Assumptions!$B$177)^Q7+Q31*Assumptions!$B$174*(1-Assumptions!$B$177)^(Q7/2),0)</f>
        <v>159.86162487946973</v>
      </c>
      <c r="R59" s="60">
        <f>IF(R2&gt;=Assumptions!$B$50,Q59*(1-Assumptions!$B$177)^R7+R31*Assumptions!$B$174*(1-Assumptions!$B$177)^(R7/2),0)</f>
        <v>198.35331198308091</v>
      </c>
      <c r="S59" s="60">
        <f>IF(S2&gt;=Assumptions!$B$50,R59*(1-Assumptions!$B$177)^S7+S31*Assumptions!$B$174*(1-Assumptions!$B$177)^(S7/2),0)</f>
        <v>230.45729425806732</v>
      </c>
      <c r="T59" s="60">
        <f>IF(T2&gt;=Assumptions!$B$50,S59*(1-Assumptions!$B$177)^T7+T31*Assumptions!$B$174*(1-Assumptions!$B$177)^(T7/2),0)</f>
        <v>253.97155366713082</v>
      </c>
      <c r="U59" s="60">
        <f>IF(U2&gt;=Assumptions!$B$50,T59*(1-Assumptions!$B$177)^U7+U31*Assumptions!$B$174*(1-Assumptions!$B$177)^(U7/2),0)</f>
        <v>275.03663031402738</v>
      </c>
      <c r="V59" s="60">
        <f>IF(V2&gt;=Assumptions!$B$50,U59*(1-Assumptions!$B$177)^V7+V31*Assumptions!$B$174*(1-Assumptions!$B$177)^(V7/2),0)</f>
        <v>295.13463221484392</v>
      </c>
      <c r="W59" s="60">
        <f>IF(W2&gt;=Assumptions!$B$50,V59*(1-Assumptions!$B$177)^W7+W31*Assumptions!$B$174*(1-Assumptions!$B$177)^(W7/2),0)</f>
        <v>318.09600876041219</v>
      </c>
      <c r="X59" s="60">
        <f>IF(X2&gt;=Assumptions!$B$50,W59*(1-Assumptions!$B$177)^X7+X31*Assumptions!$B$174*(1-Assumptions!$B$177)^(X7/2),0)</f>
        <v>355.40140455685332</v>
      </c>
      <c r="Y59" s="60">
        <f>IF(Y2&gt;=Assumptions!$B$50,X59*(1-Assumptions!$B$177)^Y7+Y31*Assumptions!$B$174*(1-Assumptions!$B$177)^(Y7/2),0)</f>
        <v>386.49053810057342</v>
      </c>
      <c r="Z59" s="60">
        <f>IF(Z2&gt;=Assumptions!$B$50,Y59*(1-Assumptions!$B$177)^Z7+Z31*Assumptions!$B$174*(1-Assumptions!$B$177)^(Z7/2),0)</f>
        <v>409.42452494333173</v>
      </c>
      <c r="AA59" s="60">
        <f>IF(AA2&gt;=Assumptions!$B$50,Z59*(1-Assumptions!$B$177)^AA7+AA31*Assumptions!$B$174*(1-Assumptions!$B$177)^(AA7/2),0)</f>
        <v>713.69620788772136</v>
      </c>
      <c r="AB59" s="60">
        <f>IF(AB2&gt;=Assumptions!$B$50,AA59*(1-Assumptions!$B$177)^AB7+AB31*Assumptions!$B$174*(1-Assumptions!$B$177)^(AB7/2),0)</f>
        <v>1202.0182444071959</v>
      </c>
      <c r="AC59" s="60">
        <f>IF(AC2&gt;=Assumptions!$B$50,AB59*(1-Assumptions!$B$177)^AC7+AC31*Assumptions!$B$174*(1-Assumptions!$B$177)^(AC7/2),0)</f>
        <v>1875.7080692586783</v>
      </c>
      <c r="AD59" s="60">
        <f>IF(AD2&gt;=Assumptions!$B$50,AC59*(1-Assumptions!$B$177)^AD7+AD31*Assumptions!$B$174*(1-Assumptions!$B$177)^(AD7/2),0)</f>
        <v>2657.8228283119734</v>
      </c>
      <c r="AE59" s="60">
        <f>IF(AE2&gt;=Assumptions!$B$50,AD59*(1-Assumptions!$B$177)^AE7+AE31*Assumptions!$B$174*(1-Assumptions!$B$177)^(AE7/2),0)</f>
        <v>3287.3174705255324</v>
      </c>
    </row>
    <row r="60" spans="1:31" x14ac:dyDescent="0.25">
      <c r="A60" s="6" t="s">
        <v>602</v>
      </c>
      <c r="B60" s="23" t="s">
        <v>114</v>
      </c>
      <c r="C60" s="61">
        <f>C59*(Assumptions!$B$25+MAX(0,Assumptions!$B$176-1)*Assumptions!$B$26)/12*C7</f>
        <v>0</v>
      </c>
      <c r="D60" s="61">
        <f>D59*(Assumptions!$B$25+MAX(0,Assumptions!$B$176-1)*Assumptions!$B$26)/12*D7</f>
        <v>0</v>
      </c>
      <c r="E60" s="61">
        <f>E59*(Assumptions!$B$25+MAX(0,Assumptions!$B$176-1)*Assumptions!$B$26)/12*E7</f>
        <v>0</v>
      </c>
      <c r="F60" s="61">
        <f>F59*(Assumptions!$B$25+MAX(0,Assumptions!$B$176-1)*Assumptions!$B$26)/12*F7</f>
        <v>0</v>
      </c>
      <c r="G60" s="61">
        <f>G59*(Assumptions!$B$25+MAX(0,Assumptions!$B$176-1)*Assumptions!$B$26)/12*G7</f>
        <v>0</v>
      </c>
      <c r="H60" s="61">
        <f>H59*(Assumptions!$B$25+MAX(0,Assumptions!$B$176-1)*Assumptions!$B$26)/12*H7</f>
        <v>0</v>
      </c>
      <c r="I60" s="61">
        <f>I59*(Assumptions!$B$25+MAX(0,Assumptions!$B$176-1)*Assumptions!$B$26)/12*I7</f>
        <v>49.142754896615884</v>
      </c>
      <c r="J60" s="61">
        <f>J59*(Assumptions!$B$25+MAX(0,Assumptions!$B$176-1)*Assumptions!$B$26)/12*J7</f>
        <v>94.765774757080393</v>
      </c>
      <c r="K60" s="61">
        <f>K59*(Assumptions!$B$25+MAX(0,Assumptions!$B$176-1)*Assumptions!$B$26)/12*K7</f>
        <v>141.74015448528027</v>
      </c>
      <c r="L60" s="61">
        <f>L59*(Assumptions!$B$25+MAX(0,Assumptions!$B$176-1)*Assumptions!$B$26)/12*L7</f>
        <v>203.81734017567737</v>
      </c>
      <c r="M60" s="61">
        <f>M59*(Assumptions!$B$25+MAX(0,Assumptions!$B$176-1)*Assumptions!$B$26)/12*M7</f>
        <v>255.65829690757303</v>
      </c>
      <c r="N60" s="61">
        <f>N59*(Assumptions!$B$25+MAX(0,Assumptions!$B$176-1)*Assumptions!$B$26)/12*N7</f>
        <v>295.69699531301052</v>
      </c>
      <c r="O60" s="61">
        <f>O59*(Assumptions!$B$25+MAX(0,Assumptions!$B$176-1)*Assumptions!$B$26)/12*O7</f>
        <v>476.47018048703694</v>
      </c>
      <c r="P60" s="61">
        <f>P59*(Assumptions!$B$25+MAX(0,Assumptions!$B$176-1)*Assumptions!$B$26)/12*P7</f>
        <v>639.06271799551098</v>
      </c>
      <c r="Q60" s="61">
        <f>Q59*(Assumptions!$B$25+MAX(0,Assumptions!$B$176-1)*Assumptions!$B$26)/12*Q7</f>
        <v>785.98632232405953</v>
      </c>
      <c r="R60" s="61">
        <f>R59*(Assumptions!$B$25+MAX(0,Assumptions!$B$176-1)*Assumptions!$B$26)/12*R7</f>
        <v>975.23711725014789</v>
      </c>
      <c r="S60" s="61">
        <f>S59*(Assumptions!$B$25+MAX(0,Assumptions!$B$176-1)*Assumptions!$B$26)/12*S7</f>
        <v>1133.0816967688309</v>
      </c>
      <c r="T60" s="61">
        <f>T59*(Assumptions!$B$25+MAX(0,Assumptions!$B$176-1)*Assumptions!$B$26)/12*T7</f>
        <v>1248.6934721967266</v>
      </c>
      <c r="U60" s="61">
        <f>U59*(Assumptions!$B$25+MAX(0,Assumptions!$B$176-1)*Assumptions!$B$26)/12*U7</f>
        <v>1352.2634323773013</v>
      </c>
      <c r="V60" s="61">
        <f>V59*(Assumptions!$B$25+MAX(0,Assumptions!$B$176-1)*Assumptions!$B$26)/12*V7</f>
        <v>1451.0786083896492</v>
      </c>
      <c r="W60" s="61">
        <f>W59*(Assumptions!$B$25+MAX(0,Assumptions!$B$176-1)*Assumptions!$B$26)/12*W7</f>
        <v>1563.9720430720265</v>
      </c>
      <c r="X60" s="61">
        <f>X59*(Assumptions!$B$25+MAX(0,Assumptions!$B$176-1)*Assumptions!$B$26)/12*X7</f>
        <v>1747.3902390711955</v>
      </c>
      <c r="Y60" s="61">
        <f>Y59*(Assumptions!$B$25+MAX(0,Assumptions!$B$176-1)*Assumptions!$B$26)/12*Y7</f>
        <v>1900.2451456611525</v>
      </c>
      <c r="Z60" s="61">
        <f>Z59*(Assumptions!$B$25+MAX(0,Assumptions!$B$176-1)*Assumptions!$B$26)/12*Z7</f>
        <v>2013.0039143047143</v>
      </c>
      <c r="AA60" s="61">
        <f>AA59*(Assumptions!$B$25+MAX(0,Assumptions!$B$176-1)*Assumptions!$B$26)/12*AA7</f>
        <v>42108.076265375559</v>
      </c>
      <c r="AB60" s="61">
        <f>AB59*(Assumptions!$B$25+MAX(0,Assumptions!$B$176-1)*Assumptions!$B$26)/12*AB7</f>
        <v>70919.076420024561</v>
      </c>
      <c r="AC60" s="61">
        <f>AC59*(Assumptions!$B$25+MAX(0,Assumptions!$B$176-1)*Assumptions!$B$26)/12*AC7</f>
        <v>110666.77608626202</v>
      </c>
      <c r="AD60" s="61">
        <f>AD59*(Assumptions!$B$25+MAX(0,Assumptions!$B$176-1)*Assumptions!$B$26)/12*AD7</f>
        <v>156811.54687040643</v>
      </c>
      <c r="AE60" s="61">
        <f>AE59*(Assumptions!$B$25+MAX(0,Assumptions!$B$176-1)*Assumptions!$B$26)/12*AE7</f>
        <v>193951.73076100642</v>
      </c>
    </row>
    <row r="61" spans="1:31" x14ac:dyDescent="0.25">
      <c r="A61" s="6" t="s">
        <v>603</v>
      </c>
      <c r="B61" s="23" t="s">
        <v>114</v>
      </c>
      <c r="C61" s="61">
        <f>IF(C2&gt;=Assumptions!$B$52,C53*C17*Assumptions!$B$17+C47*(Assumptions!$B$163*MAX(0,Assumptions!$B$167-Assumptions!$B$18)+Assumptions!$B$164*MAX(0,Assumptions!$B$168-Assumptions!$B$18)+Assumptions!$B$165*MAX(0,Assumptions!$B$169-Assumptions!$B$18)+Assumptions!$B$166*MAX(0,Assumptions!$B$170-Assumptions!$B$18))*Assumptions!$B$19/Assumptions!$B$7*C7+C48*Assumptions!$B$20/Assumptions!$B$7+C46*(Assumptions!$B$161*Assumptions!$B$20+Assumptions!$B$162*Assumptions!$B$21)/12/Assumptions!$B$7*C7,0)</f>
        <v>0</v>
      </c>
      <c r="D61" s="61">
        <f>IF(D2&gt;=Assumptions!$B$52,D53*D17*Assumptions!$B$17+D47*(Assumptions!$B$163*MAX(0,Assumptions!$B$167-Assumptions!$B$18)+Assumptions!$B$164*MAX(0,Assumptions!$B$168-Assumptions!$B$18)+Assumptions!$B$165*MAX(0,Assumptions!$B$169-Assumptions!$B$18)+Assumptions!$B$166*MAX(0,Assumptions!$B$170-Assumptions!$B$18))*Assumptions!$B$19/Assumptions!$B$7*D7+D48*Assumptions!$B$20/Assumptions!$B$7+D46*(Assumptions!$B$161*Assumptions!$B$20+Assumptions!$B$162*Assumptions!$B$21)/12/Assumptions!$B$7*D7,0)</f>
        <v>0</v>
      </c>
      <c r="E61" s="61">
        <f>IF(E2&gt;=Assumptions!$B$52,E53*E17*Assumptions!$B$17+E47*(Assumptions!$B$163*MAX(0,Assumptions!$B$167-Assumptions!$B$18)+Assumptions!$B$164*MAX(0,Assumptions!$B$168-Assumptions!$B$18)+Assumptions!$B$165*MAX(0,Assumptions!$B$169-Assumptions!$B$18)+Assumptions!$B$166*MAX(0,Assumptions!$B$170-Assumptions!$B$18))*Assumptions!$B$19/Assumptions!$B$7*E7+E48*Assumptions!$B$20/Assumptions!$B$7+E46*(Assumptions!$B$161*Assumptions!$B$20+Assumptions!$B$162*Assumptions!$B$21)/12/Assumptions!$B$7*E7,0)</f>
        <v>0</v>
      </c>
      <c r="F61" s="61">
        <f>IF(F2&gt;=Assumptions!$B$52,F53*F17*Assumptions!$B$17+F47*(Assumptions!$B$163*MAX(0,Assumptions!$B$167-Assumptions!$B$18)+Assumptions!$B$164*MAX(0,Assumptions!$B$168-Assumptions!$B$18)+Assumptions!$B$165*MAX(0,Assumptions!$B$169-Assumptions!$B$18)+Assumptions!$B$166*MAX(0,Assumptions!$B$170-Assumptions!$B$18))*Assumptions!$B$19/Assumptions!$B$7*F7+F48*Assumptions!$B$20/Assumptions!$B$7+F46*(Assumptions!$B$161*Assumptions!$B$20+Assumptions!$B$162*Assumptions!$B$21)/12/Assumptions!$B$7*F7,0)</f>
        <v>0</v>
      </c>
      <c r="G61" s="61">
        <f>IF(G2&gt;=Assumptions!$B$52,G53*G17*Assumptions!$B$17+G47*(Assumptions!$B$163*MAX(0,Assumptions!$B$167-Assumptions!$B$18)+Assumptions!$B$164*MAX(0,Assumptions!$B$168-Assumptions!$B$18)+Assumptions!$B$165*MAX(0,Assumptions!$B$169-Assumptions!$B$18)+Assumptions!$B$166*MAX(0,Assumptions!$B$170-Assumptions!$B$18))*Assumptions!$B$19/Assumptions!$B$7*G7+G48*Assumptions!$B$20/Assumptions!$B$7+G46*(Assumptions!$B$161*Assumptions!$B$20+Assumptions!$B$162*Assumptions!$B$21)/12/Assumptions!$B$7*G7,0)</f>
        <v>0</v>
      </c>
      <c r="H61" s="61">
        <f>IF(H2&gt;=Assumptions!$B$52,H53*H17*Assumptions!$B$17+H47*(Assumptions!$B$163*MAX(0,Assumptions!$B$167-Assumptions!$B$18)+Assumptions!$B$164*MAX(0,Assumptions!$B$168-Assumptions!$B$18)+Assumptions!$B$165*MAX(0,Assumptions!$B$169-Assumptions!$B$18)+Assumptions!$B$166*MAX(0,Assumptions!$B$170-Assumptions!$B$18))*Assumptions!$B$19/Assumptions!$B$7*H7+H48*Assumptions!$B$20/Assumptions!$B$7+H46*(Assumptions!$B$161*Assumptions!$B$20+Assumptions!$B$162*Assumptions!$B$21)/12/Assumptions!$B$7*H7,0)</f>
        <v>0</v>
      </c>
      <c r="I61" s="61">
        <f>IF(I2&gt;=Assumptions!$B$52,I53*I17*Assumptions!$B$17+I47*(Assumptions!$B$163*MAX(0,Assumptions!$B$167-Assumptions!$B$18)+Assumptions!$B$164*MAX(0,Assumptions!$B$168-Assumptions!$B$18)+Assumptions!$B$165*MAX(0,Assumptions!$B$169-Assumptions!$B$18)+Assumptions!$B$166*MAX(0,Assumptions!$B$170-Assumptions!$B$18))*Assumptions!$B$19/Assumptions!$B$7*I7+I48*Assumptions!$B$20/Assumptions!$B$7+I46*(Assumptions!$B$161*Assumptions!$B$20+Assumptions!$B$162*Assumptions!$B$21)/12/Assumptions!$B$7*I7,0)</f>
        <v>0</v>
      </c>
      <c r="J61" s="61">
        <f>IF(J2&gt;=Assumptions!$B$52,J53*J17*Assumptions!$B$17+J47*(Assumptions!$B$163*MAX(0,Assumptions!$B$167-Assumptions!$B$18)+Assumptions!$B$164*MAX(0,Assumptions!$B$168-Assumptions!$B$18)+Assumptions!$B$165*MAX(0,Assumptions!$B$169-Assumptions!$B$18)+Assumptions!$B$166*MAX(0,Assumptions!$B$170-Assumptions!$B$18))*Assumptions!$B$19/Assumptions!$B$7*J7+J48*Assumptions!$B$20/Assumptions!$B$7+J46*(Assumptions!$B$161*Assumptions!$B$20+Assumptions!$B$162*Assumptions!$B$21)/12/Assumptions!$B$7*J7,0)</f>
        <v>0</v>
      </c>
      <c r="K61" s="61">
        <f>IF(K2&gt;=Assumptions!$B$52,K53*K17*Assumptions!$B$17+K47*(Assumptions!$B$163*MAX(0,Assumptions!$B$167-Assumptions!$B$18)+Assumptions!$B$164*MAX(0,Assumptions!$B$168-Assumptions!$B$18)+Assumptions!$B$165*MAX(0,Assumptions!$B$169-Assumptions!$B$18)+Assumptions!$B$166*MAX(0,Assumptions!$B$170-Assumptions!$B$18))*Assumptions!$B$19/Assumptions!$B$7*K7+K48*Assumptions!$B$20/Assumptions!$B$7+K46*(Assumptions!$B$161*Assumptions!$B$20+Assumptions!$B$162*Assumptions!$B$21)/12/Assumptions!$B$7*K7,0)</f>
        <v>0</v>
      </c>
      <c r="L61" s="61">
        <f>IF(L2&gt;=Assumptions!$B$52,L53*L17*Assumptions!$B$17+L47*(Assumptions!$B$163*MAX(0,Assumptions!$B$167-Assumptions!$B$18)+Assumptions!$B$164*MAX(0,Assumptions!$B$168-Assumptions!$B$18)+Assumptions!$B$165*MAX(0,Assumptions!$B$169-Assumptions!$B$18)+Assumptions!$B$166*MAX(0,Assumptions!$B$170-Assumptions!$B$18))*Assumptions!$B$19/Assumptions!$B$7*L7+L48*Assumptions!$B$20/Assumptions!$B$7+L46*(Assumptions!$B$161*Assumptions!$B$20+Assumptions!$B$162*Assumptions!$B$21)/12/Assumptions!$B$7*L7,0)</f>
        <v>0</v>
      </c>
      <c r="M61" s="61">
        <f>IF(M2&gt;=Assumptions!$B$52,M53*M17*Assumptions!$B$17+M47*(Assumptions!$B$163*MAX(0,Assumptions!$B$167-Assumptions!$B$18)+Assumptions!$B$164*MAX(0,Assumptions!$B$168-Assumptions!$B$18)+Assumptions!$B$165*MAX(0,Assumptions!$B$169-Assumptions!$B$18)+Assumptions!$B$166*MAX(0,Assumptions!$B$170-Assumptions!$B$18))*Assumptions!$B$19/Assumptions!$B$7*M7+M48*Assumptions!$B$20/Assumptions!$B$7+M46*(Assumptions!$B$161*Assumptions!$B$20+Assumptions!$B$162*Assumptions!$B$21)/12/Assumptions!$B$7*M7,0)</f>
        <v>0</v>
      </c>
      <c r="N61" s="61">
        <f>IF(N2&gt;=Assumptions!$B$52,N53*N17*Assumptions!$B$17+N47*(Assumptions!$B$163*MAX(0,Assumptions!$B$167-Assumptions!$B$18)+Assumptions!$B$164*MAX(0,Assumptions!$B$168-Assumptions!$B$18)+Assumptions!$B$165*MAX(0,Assumptions!$B$169-Assumptions!$B$18)+Assumptions!$B$166*MAX(0,Assumptions!$B$170-Assumptions!$B$18))*Assumptions!$B$19/Assumptions!$B$7*N7+N48*Assumptions!$B$20/Assumptions!$B$7+N46*(Assumptions!$B$161*Assumptions!$B$20+Assumptions!$B$162*Assumptions!$B$21)/12/Assumptions!$B$7*N7,0)</f>
        <v>0</v>
      </c>
      <c r="O61" s="61">
        <f>IF(O2&gt;=Assumptions!$B$52,O53*O17*Assumptions!$B$17+O47*(Assumptions!$B$163*MAX(0,Assumptions!$B$167-Assumptions!$B$18)+Assumptions!$B$164*MAX(0,Assumptions!$B$168-Assumptions!$B$18)+Assumptions!$B$165*MAX(0,Assumptions!$B$169-Assumptions!$B$18)+Assumptions!$B$166*MAX(0,Assumptions!$B$170-Assumptions!$B$18))*Assumptions!$B$19/Assumptions!$B$7*O7+O48*Assumptions!$B$20/Assumptions!$B$7+O46*(Assumptions!$B$161*Assumptions!$B$20+Assumptions!$B$162*Assumptions!$B$21)/12/Assumptions!$B$7*O7,0)</f>
        <v>5018.6942993034918</v>
      </c>
      <c r="P61" s="61">
        <f>IF(P2&gt;=Assumptions!$B$52,P53*P17*Assumptions!$B$17+P47*(Assumptions!$B$163*MAX(0,Assumptions!$B$167-Assumptions!$B$18)+Assumptions!$B$164*MAX(0,Assumptions!$B$168-Assumptions!$B$18)+Assumptions!$B$165*MAX(0,Assumptions!$B$169-Assumptions!$B$18)+Assumptions!$B$166*MAX(0,Assumptions!$B$170-Assumptions!$B$18))*Assumptions!$B$19/Assumptions!$B$7*P7+P48*Assumptions!$B$20/Assumptions!$B$7+P46*(Assumptions!$B$161*Assumptions!$B$20+Assumptions!$B$162*Assumptions!$B$21)/12/Assumptions!$B$7*P7,0)</f>
        <v>1485.4362715081272</v>
      </c>
      <c r="Q61" s="61">
        <f>IF(Q2&gt;=Assumptions!$B$52,Q53*Q17*Assumptions!$B$17+Q47*(Assumptions!$B$163*MAX(0,Assumptions!$B$167-Assumptions!$B$18)+Assumptions!$B$164*MAX(0,Assumptions!$B$168-Assumptions!$B$18)+Assumptions!$B$165*MAX(0,Assumptions!$B$169-Assumptions!$B$18)+Assumptions!$B$166*MAX(0,Assumptions!$B$170-Assumptions!$B$18))*Assumptions!$B$19/Assumptions!$B$7*Q7+Q48*Assumptions!$B$20/Assumptions!$B$7+Q46*(Assumptions!$B$161*Assumptions!$B$20+Assumptions!$B$162*Assumptions!$B$21)/12/Assumptions!$B$7*Q7,0)</f>
        <v>1546.6625032480465</v>
      </c>
      <c r="R61" s="61">
        <f>IF(R2&gt;=Assumptions!$B$52,R53*R17*Assumptions!$B$17+R47*(Assumptions!$B$163*MAX(0,Assumptions!$B$167-Assumptions!$B$18)+Assumptions!$B$164*MAX(0,Assumptions!$B$168-Assumptions!$B$18)+Assumptions!$B$165*MAX(0,Assumptions!$B$169-Assumptions!$B$18)+Assumptions!$B$166*MAX(0,Assumptions!$B$170-Assumptions!$B$18))*Assumptions!$B$19/Assumptions!$B$7*R7+R48*Assumptions!$B$20/Assumptions!$B$7+R46*(Assumptions!$B$161*Assumptions!$B$20+Assumptions!$B$162*Assumptions!$B$21)/12/Assumptions!$B$7*R7,0)</f>
        <v>1925.745821383882</v>
      </c>
      <c r="S61" s="61">
        <f>IF(S2&gt;=Assumptions!$B$52,S53*S17*Assumptions!$B$17+S47*(Assumptions!$B$163*MAX(0,Assumptions!$B$167-Assumptions!$B$18)+Assumptions!$B$164*MAX(0,Assumptions!$B$168-Assumptions!$B$18)+Assumptions!$B$165*MAX(0,Assumptions!$B$169-Assumptions!$B$18)+Assumptions!$B$166*MAX(0,Assumptions!$B$170-Assumptions!$B$18))*Assumptions!$B$19/Assumptions!$B$7*S7+S48*Assumptions!$B$20/Assumptions!$B$7+S46*(Assumptions!$B$161*Assumptions!$B$20+Assumptions!$B$162*Assumptions!$B$21)/12/Assumptions!$B$7*S7,0)</f>
        <v>1932.551257988973</v>
      </c>
      <c r="T61" s="61">
        <f>IF(T2&gt;=Assumptions!$B$52,T53*T17*Assumptions!$B$17+T47*(Assumptions!$B$163*MAX(0,Assumptions!$B$167-Assumptions!$B$18)+Assumptions!$B$164*MAX(0,Assumptions!$B$168-Assumptions!$B$18)+Assumptions!$B$165*MAX(0,Assumptions!$B$169-Assumptions!$B$18)+Assumptions!$B$166*MAX(0,Assumptions!$B$170-Assumptions!$B$18))*Assumptions!$B$19/Assumptions!$B$7*T7+T48*Assumptions!$B$20/Assumptions!$B$7+T46*(Assumptions!$B$161*Assumptions!$B$20+Assumptions!$B$162*Assumptions!$B$21)/12/Assumptions!$B$7*T7,0)</f>
        <v>1869.8421287062588</v>
      </c>
      <c r="U61" s="61">
        <f>IF(U2&gt;=Assumptions!$B$52,U53*U17*Assumptions!$B$17+U47*(Assumptions!$B$163*MAX(0,Assumptions!$B$167-Assumptions!$B$18)+Assumptions!$B$164*MAX(0,Assumptions!$B$168-Assumptions!$B$18)+Assumptions!$B$165*MAX(0,Assumptions!$B$169-Assumptions!$B$18)+Assumptions!$B$166*MAX(0,Assumptions!$B$170-Assumptions!$B$18))*Assumptions!$B$19/Assumptions!$B$7*U7+U48*Assumptions!$B$20/Assumptions!$B$7+U46*(Assumptions!$B$161*Assumptions!$B$20+Assumptions!$B$162*Assumptions!$B$21)/12/Assumptions!$B$7*U7,0)</f>
        <v>1936.4916386763496</v>
      </c>
      <c r="V61" s="61">
        <f>IF(V2&gt;=Assumptions!$B$52,V53*V17*Assumptions!$B$17+V47*(Assumptions!$B$163*MAX(0,Assumptions!$B$167-Assumptions!$B$18)+Assumptions!$B$164*MAX(0,Assumptions!$B$168-Assumptions!$B$18)+Assumptions!$B$165*MAX(0,Assumptions!$B$169-Assumptions!$B$18)+Assumptions!$B$166*MAX(0,Assumptions!$B$170-Assumptions!$B$18))*Assumptions!$B$19/Assumptions!$B$7*V7+V48*Assumptions!$B$20/Assumptions!$B$7+V46*(Assumptions!$B$161*Assumptions!$B$20+Assumptions!$B$162*Assumptions!$B$21)/12/Assumptions!$B$7*V7,0)</f>
        <v>2035.3890441141803</v>
      </c>
      <c r="W61" s="61">
        <f>IF(W2&gt;=Assumptions!$B$52,W53*W17*Assumptions!$B$17+W47*(Assumptions!$B$163*MAX(0,Assumptions!$B$167-Assumptions!$B$18)+Assumptions!$B$164*MAX(0,Assumptions!$B$168-Assumptions!$B$18)+Assumptions!$B$165*MAX(0,Assumptions!$B$169-Assumptions!$B$18)+Assumptions!$B$166*MAX(0,Assumptions!$B$170-Assumptions!$B$18))*Assumptions!$B$19/Assumptions!$B$7*W7+W48*Assumptions!$B$20/Assumptions!$B$7+W46*(Assumptions!$B$161*Assumptions!$B$20+Assumptions!$B$162*Assumptions!$B$21)/12/Assumptions!$B$7*W7,0)</f>
        <v>2226.9087239568275</v>
      </c>
      <c r="X61" s="61">
        <f>IF(X2&gt;=Assumptions!$B$52,X53*X17*Assumptions!$B$17+X47*(Assumptions!$B$163*MAX(0,Assumptions!$B$167-Assumptions!$B$18)+Assumptions!$B$164*MAX(0,Assumptions!$B$168-Assumptions!$B$18)+Assumptions!$B$165*MAX(0,Assumptions!$B$169-Assumptions!$B$18)+Assumptions!$B$166*MAX(0,Assumptions!$B$170-Assumptions!$B$18))*Assumptions!$B$19/Assumptions!$B$7*X7+X48*Assumptions!$B$20/Assumptions!$B$7+X46*(Assumptions!$B$161*Assumptions!$B$20+Assumptions!$B$162*Assumptions!$B$21)/12/Assumptions!$B$7*X7,0)</f>
        <v>2768.9713165751396</v>
      </c>
      <c r="Y61" s="61">
        <f>IF(Y2&gt;=Assumptions!$B$52,Y53*Y17*Assumptions!$B$17+Y47*(Assumptions!$B$163*MAX(0,Assumptions!$B$167-Assumptions!$B$18)+Assumptions!$B$164*MAX(0,Assumptions!$B$168-Assumptions!$B$18)+Assumptions!$B$165*MAX(0,Assumptions!$B$169-Assumptions!$B$18)+Assumptions!$B$166*MAX(0,Assumptions!$B$170-Assumptions!$B$18))*Assumptions!$B$19/Assumptions!$B$7*Y7+Y48*Assumptions!$B$20/Assumptions!$B$7+Y46*(Assumptions!$B$161*Assumptions!$B$20+Assumptions!$B$162*Assumptions!$B$21)/12/Assumptions!$B$7*Y7,0)</f>
        <v>2799.5214790664481</v>
      </c>
      <c r="Z61" s="61">
        <f>IF(Z2&gt;=Assumptions!$B$52,Z53*Z17*Assumptions!$B$17+Z47*(Assumptions!$B$163*MAX(0,Assumptions!$B$167-Assumptions!$B$18)+Assumptions!$B$164*MAX(0,Assumptions!$B$168-Assumptions!$B$18)+Assumptions!$B$165*MAX(0,Assumptions!$B$169-Assumptions!$B$18)+Assumptions!$B$166*MAX(0,Assumptions!$B$170-Assumptions!$B$18))*Assumptions!$B$19/Assumptions!$B$7*Z7+Z48*Assumptions!$B$20/Assumptions!$B$7+Z46*(Assumptions!$B$161*Assumptions!$B$20+Assumptions!$B$162*Assumptions!$B$21)/12/Assumptions!$B$7*Z7,0)</f>
        <v>2750.8792178757753</v>
      </c>
      <c r="AA61" s="61">
        <f>IF(AA2&gt;=Assumptions!$B$52,AA53*AA17*Assumptions!$B$17+AA47*(Assumptions!$B$163*MAX(0,Assumptions!$B$167-Assumptions!$B$18)+Assumptions!$B$164*MAX(0,Assumptions!$B$168-Assumptions!$B$18)+Assumptions!$B$165*MAX(0,Assumptions!$B$169-Assumptions!$B$18)+Assumptions!$B$166*MAX(0,Assumptions!$B$170-Assumptions!$B$18))*Assumptions!$B$19/Assumptions!$B$7*AA7+AA48*Assumptions!$B$20/Assumptions!$B$7+AA46*(Assumptions!$B$161*Assumptions!$B$20+Assumptions!$B$162*Assumptions!$B$21)/12/Assumptions!$B$7*AA7,0)</f>
        <v>60304.34557697297</v>
      </c>
      <c r="AB61" s="61">
        <f>IF(AB2&gt;=Assumptions!$B$52,AB53*AB17*Assumptions!$B$17+AB47*(Assumptions!$B$163*MAX(0,Assumptions!$B$167-Assumptions!$B$18)+Assumptions!$B$164*MAX(0,Assumptions!$B$168-Assumptions!$B$18)+Assumptions!$B$165*MAX(0,Assumptions!$B$169-Assumptions!$B$18)+Assumptions!$B$166*MAX(0,Assumptions!$B$170-Assumptions!$B$18))*Assumptions!$B$19/Assumptions!$B$7*AB7+AB48*Assumptions!$B$20/Assumptions!$B$7+AB46*(Assumptions!$B$161*Assumptions!$B$20+Assumptions!$B$162*Assumptions!$B$21)/12/Assumptions!$B$7*AB7,0)</f>
        <v>110527.58783869084</v>
      </c>
      <c r="AC61" s="61">
        <f>IF(AC2&gt;=Assumptions!$B$52,AC53*AC17*Assumptions!$B$17+AC47*(Assumptions!$B$163*MAX(0,Assumptions!$B$167-Assumptions!$B$18)+Assumptions!$B$164*MAX(0,Assumptions!$B$168-Assumptions!$B$18)+Assumptions!$B$165*MAX(0,Assumptions!$B$169-Assumptions!$B$18)+Assumptions!$B$166*MAX(0,Assumptions!$B$170-Assumptions!$B$18))*Assumptions!$B$19/Assumptions!$B$7*AC7+AC48*Assumptions!$B$20/Assumptions!$B$7+AC46*(Assumptions!$B$161*Assumptions!$B$20+Assumptions!$B$162*Assumptions!$B$21)/12/Assumptions!$B$7*AC7,0)</f>
        <v>183921.74080577886</v>
      </c>
      <c r="AD61" s="61">
        <f>IF(AD2&gt;=Assumptions!$B$52,AD53*AD17*Assumptions!$B$17+AD47*(Assumptions!$B$163*MAX(0,Assumptions!$B$167-Assumptions!$B$18)+Assumptions!$B$164*MAX(0,Assumptions!$B$168-Assumptions!$B$18)+Assumptions!$B$165*MAX(0,Assumptions!$B$169-Assumptions!$B$18)+Assumptions!$B$166*MAX(0,Assumptions!$B$170-Assumptions!$B$18))*Assumptions!$B$19/Assumptions!$B$7*AD7+AD48*Assumptions!$B$20/Assumptions!$B$7+AD46*(Assumptions!$B$161*Assumptions!$B$20+Assumptions!$B$162*Assumptions!$B$21)/12/Assumptions!$B$7*AD7,0)</f>
        <v>278929.45154977887</v>
      </c>
      <c r="AE61" s="61">
        <f>IF(AE2&gt;=Assumptions!$B$52,AE53*AE17*Assumptions!$B$17+AE47*(Assumptions!$B$163*MAX(0,Assumptions!$B$167-Assumptions!$B$18)+Assumptions!$B$164*MAX(0,Assumptions!$B$168-Assumptions!$B$18)+Assumptions!$B$165*MAX(0,Assumptions!$B$169-Assumptions!$B$18)+Assumptions!$B$166*MAX(0,Assumptions!$B$170-Assumptions!$B$18))*Assumptions!$B$19/Assumptions!$B$7*AE7+AE48*Assumptions!$B$20/Assumptions!$B$7+AE46*(Assumptions!$B$161*Assumptions!$B$20+Assumptions!$B$162*Assumptions!$B$21)/12/Assumptions!$B$7*AE7,0)</f>
        <v>379092.51756630343</v>
      </c>
    </row>
    <row r="62" spans="1:31" x14ac:dyDescent="0.25">
      <c r="A62" s="6" t="s">
        <v>604</v>
      </c>
      <c r="B62" s="23" t="s">
        <v>114</v>
      </c>
      <c r="C62" s="61">
        <f>IF(C2&gt;=Assumptions!$B$53,C46*C49*(1-Assumptions!$B$227)*Assumptions!$B$171*Assumptions!$B$172,0)</f>
        <v>0</v>
      </c>
      <c r="D62" s="61">
        <f>IF(D2&gt;=Assumptions!$B$53,D46*D49*(1-Assumptions!$B$227)*Assumptions!$B$171*Assumptions!$B$172,0)</f>
        <v>0</v>
      </c>
      <c r="E62" s="61">
        <f>IF(E2&gt;=Assumptions!$B$53,E46*E49*(1-Assumptions!$B$227)*Assumptions!$B$171*Assumptions!$B$172,0)</f>
        <v>0</v>
      </c>
      <c r="F62" s="61">
        <f>IF(F2&gt;=Assumptions!$B$53,F46*F49*(1-Assumptions!$B$227)*Assumptions!$B$171*Assumptions!$B$172,0)</f>
        <v>0</v>
      </c>
      <c r="G62" s="61">
        <f>IF(G2&gt;=Assumptions!$B$53,G46*G49*(1-Assumptions!$B$227)*Assumptions!$B$171*Assumptions!$B$172,0)</f>
        <v>0</v>
      </c>
      <c r="H62" s="61">
        <f>IF(H2&gt;=Assumptions!$B$53,H46*H49*(1-Assumptions!$B$227)*Assumptions!$B$171*Assumptions!$B$172,0)</f>
        <v>0</v>
      </c>
      <c r="I62" s="61">
        <f>IF(I2&gt;=Assumptions!$B$53,I46*I49*(1-Assumptions!$B$227)*Assumptions!$B$171*Assumptions!$B$172,0)</f>
        <v>0</v>
      </c>
      <c r="J62" s="61">
        <f>IF(J2&gt;=Assumptions!$B$53,J46*J49*(1-Assumptions!$B$227)*Assumptions!$B$171*Assumptions!$B$172,0)</f>
        <v>0</v>
      </c>
      <c r="K62" s="61">
        <f>IF(K2&gt;=Assumptions!$B$53,K46*K49*(1-Assumptions!$B$227)*Assumptions!$B$171*Assumptions!$B$172,0)</f>
        <v>0</v>
      </c>
      <c r="L62" s="61">
        <f>IF(L2&gt;=Assumptions!$B$53,L46*L49*(1-Assumptions!$B$227)*Assumptions!$B$171*Assumptions!$B$172,0)</f>
        <v>0</v>
      </c>
      <c r="M62" s="61">
        <f>IF(M2&gt;=Assumptions!$B$53,M46*M49*(1-Assumptions!$B$227)*Assumptions!$B$171*Assumptions!$B$172,0)</f>
        <v>0</v>
      </c>
      <c r="N62" s="61">
        <f>IF(N2&gt;=Assumptions!$B$53,N46*N49*(1-Assumptions!$B$227)*Assumptions!$B$171*Assumptions!$B$172,0)</f>
        <v>0</v>
      </c>
      <c r="O62" s="61">
        <f>IF(O2&gt;=Assumptions!$B$53,O46*O49*(1-Assumptions!$B$227)*Assumptions!$B$171*Assumptions!$B$172,0)</f>
        <v>4136.815220067223</v>
      </c>
      <c r="P62" s="61">
        <f>IF(P2&gt;=Assumptions!$B$53,P46*P49*(1-Assumptions!$B$227)*Assumptions!$B$171*Assumptions!$B$172,0)</f>
        <v>4887.3114767805746</v>
      </c>
      <c r="Q62" s="61">
        <f>IF(Q2&gt;=Assumptions!$B$53,Q46*Q49*(1-Assumptions!$B$227)*Assumptions!$B$171*Assumptions!$B$172,0)</f>
        <v>5765.7297239192922</v>
      </c>
      <c r="R62" s="61">
        <f>IF(R2&gt;=Assumptions!$B$53,R46*R49*(1-Assumptions!$B$227)*Assumptions!$B$171*Assumptions!$B$172,0)</f>
        <v>6812.0302652221653</v>
      </c>
      <c r="S62" s="61">
        <f>IF(S2&gt;=Assumptions!$B$53,S46*S49*(1-Assumptions!$B$227)*Assumptions!$B$171*Assumptions!$B$172,0)</f>
        <v>7999.3761300218384</v>
      </c>
      <c r="T62" s="61">
        <f>IF(T2&gt;=Assumptions!$B$53,T46*T49*(1-Assumptions!$B$227)*Assumptions!$B$171*Assumptions!$B$172,0)</f>
        <v>9290.5332813466684</v>
      </c>
      <c r="U62" s="61">
        <f>IF(U2&gt;=Assumptions!$B$53,U46*U49*(1-Assumptions!$B$227)*Assumptions!$B$171*Assumptions!$B$172,0)</f>
        <v>10675.125135709757</v>
      </c>
      <c r="V62" s="61">
        <f>IF(V2&gt;=Assumptions!$B$53,V46*V49*(1-Assumptions!$B$227)*Assumptions!$B$171*Assumptions!$B$172,0)</f>
        <v>12149.176767085455</v>
      </c>
      <c r="W62" s="61">
        <f>IF(W2&gt;=Assumptions!$B$53,W46*W49*(1-Assumptions!$B$227)*Assumptions!$B$171*Assumptions!$B$172,0)</f>
        <v>13725.739982388255</v>
      </c>
      <c r="X62" s="61">
        <f>IF(X2&gt;=Assumptions!$B$53,X46*X49*(1-Assumptions!$B$227)*Assumptions!$B$171*Assumptions!$B$172,0)</f>
        <v>15469.393749692017</v>
      </c>
      <c r="Y62" s="61">
        <f>IF(Y2&gt;=Assumptions!$B$53,Y46*Y49*(1-Assumptions!$B$227)*Assumptions!$B$171*Assumptions!$B$172,0)</f>
        <v>17353.249944068895</v>
      </c>
      <c r="Z62" s="61">
        <f>IF(Z2&gt;=Assumptions!$B$53,Z46*Z49*(1-Assumptions!$B$227)*Assumptions!$B$171*Assumptions!$B$172,0)</f>
        <v>19341.237355685211</v>
      </c>
      <c r="AA62" s="61">
        <f>IF(AA2&gt;=Assumptions!$B$53,AA46*AA49*(1-Assumptions!$B$227)*Assumptions!$B$171*Assumptions!$B$172,0)</f>
        <v>65732.622865660058</v>
      </c>
      <c r="AB62" s="61">
        <f>IF(AB2&gt;=Assumptions!$B$53,AB46*AB49*(1-Assumptions!$B$227)*Assumptions!$B$171*Assumptions!$B$172,0)</f>
        <v>142951.65556784777</v>
      </c>
      <c r="AC62" s="61">
        <f>IF(AC2&gt;=Assumptions!$B$53,AC46*AC49*(1-Assumptions!$B$227)*Assumptions!$B$171*Assumptions!$B$172,0)</f>
        <v>262276.87825769087</v>
      </c>
      <c r="AD62" s="61">
        <f>IF(AD2&gt;=Assumptions!$B$53,AD46*AD49*(1-Assumptions!$B$227)*Assumptions!$B$171*Assumptions!$B$172,0)</f>
        <v>429903.54657262331</v>
      </c>
      <c r="AE62" s="61">
        <f>IF(AE2&gt;=Assumptions!$B$53,AE46*AE49*(1-Assumptions!$B$227)*Assumptions!$B$171*Assumptions!$B$172,0)</f>
        <v>634966.17546207877</v>
      </c>
    </row>
    <row r="63" spans="1:31" x14ac:dyDescent="0.25">
      <c r="A63" s="6" t="s">
        <v>605</v>
      </c>
      <c r="B63" s="23" t="s">
        <v>114</v>
      </c>
      <c r="C63" s="61">
        <f>IF(C2&gt;=Assumptions!$B$53,(C62*Assumptions!$B$29*Assumptions!$B$30+C47*C50*(1-Assumptions!$B$227)*Assumptions!$B$27*Assumptions!$B$28)*C7/12,0)</f>
        <v>0</v>
      </c>
      <c r="D63" s="61">
        <f>IF(D2&gt;=Assumptions!$B$53,(D62*Assumptions!$B$29*Assumptions!$B$30+D47*D50*(1-Assumptions!$B$227)*Assumptions!$B$27*Assumptions!$B$28)*D7/12,0)</f>
        <v>0</v>
      </c>
      <c r="E63" s="61">
        <f>IF(E2&gt;=Assumptions!$B$53,(E62*Assumptions!$B$29*Assumptions!$B$30+E47*E50*(1-Assumptions!$B$227)*Assumptions!$B$27*Assumptions!$B$28)*E7/12,0)</f>
        <v>0</v>
      </c>
      <c r="F63" s="61">
        <f>IF(F2&gt;=Assumptions!$B$53,(F62*Assumptions!$B$29*Assumptions!$B$30+F47*F50*(1-Assumptions!$B$227)*Assumptions!$B$27*Assumptions!$B$28)*F7/12,0)</f>
        <v>0</v>
      </c>
      <c r="G63" s="61">
        <f>IF(G2&gt;=Assumptions!$B$53,(G62*Assumptions!$B$29*Assumptions!$B$30+G47*G50*(1-Assumptions!$B$227)*Assumptions!$B$27*Assumptions!$B$28)*G7/12,0)</f>
        <v>0</v>
      </c>
      <c r="H63" s="61">
        <f>IF(H2&gt;=Assumptions!$B$53,(H62*Assumptions!$B$29*Assumptions!$B$30+H47*H50*(1-Assumptions!$B$227)*Assumptions!$B$27*Assumptions!$B$28)*H7/12,0)</f>
        <v>0</v>
      </c>
      <c r="I63" s="61">
        <f>IF(I2&gt;=Assumptions!$B$53,(I62*Assumptions!$B$29*Assumptions!$B$30+I47*I50*(1-Assumptions!$B$227)*Assumptions!$B$27*Assumptions!$B$28)*I7/12,0)</f>
        <v>0</v>
      </c>
      <c r="J63" s="61">
        <f>IF(J2&gt;=Assumptions!$B$53,(J62*Assumptions!$B$29*Assumptions!$B$30+J47*J50*(1-Assumptions!$B$227)*Assumptions!$B$27*Assumptions!$B$28)*J7/12,0)</f>
        <v>0</v>
      </c>
      <c r="K63" s="61">
        <f>IF(K2&gt;=Assumptions!$B$53,(K62*Assumptions!$B$29*Assumptions!$B$30+K47*K50*(1-Assumptions!$B$227)*Assumptions!$B$27*Assumptions!$B$28)*K7/12,0)</f>
        <v>0</v>
      </c>
      <c r="L63" s="61">
        <f>IF(L2&gt;=Assumptions!$B$53,(L62*Assumptions!$B$29*Assumptions!$B$30+L47*L50*(1-Assumptions!$B$227)*Assumptions!$B$27*Assumptions!$B$28)*L7/12,0)</f>
        <v>0</v>
      </c>
      <c r="M63" s="61">
        <f>IF(M2&gt;=Assumptions!$B$53,(M62*Assumptions!$B$29*Assumptions!$B$30+M47*M50*(1-Assumptions!$B$227)*Assumptions!$B$27*Assumptions!$B$28)*M7/12,0)</f>
        <v>0</v>
      </c>
      <c r="N63" s="61">
        <f>IF(N2&gt;=Assumptions!$B$53,(N62*Assumptions!$B$29*Assumptions!$B$30+N47*N50*(1-Assumptions!$B$227)*Assumptions!$B$27*Assumptions!$B$28)*N7/12,0)</f>
        <v>0</v>
      </c>
      <c r="O63" s="61">
        <f>IF(O2&gt;=Assumptions!$B$53,(O62*Assumptions!$B$29*Assumptions!$B$30+O47*O50*(1-Assumptions!$B$227)*Assumptions!$B$27*Assumptions!$B$28)*O7/12,0)</f>
        <v>9.8249361476596544</v>
      </c>
      <c r="P63" s="61">
        <f>IF(P2&gt;=Assumptions!$B$53,(P62*Assumptions!$B$29*Assumptions!$B$30+P47*P50*(1-Assumptions!$B$227)*Assumptions!$B$27*Assumptions!$B$28)*P7/12,0)</f>
        <v>11.607364757353865</v>
      </c>
      <c r="Q63" s="61">
        <f>IF(Q2&gt;=Assumptions!$B$53,(Q62*Assumptions!$B$29*Assumptions!$B$30+Q47*Q50*(1-Assumptions!$B$227)*Assumptions!$B$27*Assumptions!$B$28)*Q7/12,0)</f>
        <v>13.693608094308319</v>
      </c>
      <c r="R63" s="61">
        <f>IF(R2&gt;=Assumptions!$B$53,(R62*Assumptions!$B$29*Assumptions!$B$30+R47*R50*(1-Assumptions!$B$227)*Assumptions!$B$27*Assumptions!$B$28)*R7/12,0)</f>
        <v>16.178571879902645</v>
      </c>
      <c r="S63" s="61">
        <f>IF(S2&gt;=Assumptions!$B$53,(S62*Assumptions!$B$29*Assumptions!$B$30+S47*S50*(1-Assumptions!$B$227)*Assumptions!$B$27*Assumptions!$B$28)*S7/12,0)</f>
        <v>18.998518308801867</v>
      </c>
      <c r="T63" s="61">
        <f>IF(T2&gt;=Assumptions!$B$53,(T62*Assumptions!$B$29*Assumptions!$B$30+T47*T50*(1-Assumptions!$B$227)*Assumptions!$B$27*Assumptions!$B$28)*T7/12,0)</f>
        <v>22.065016543198336</v>
      </c>
      <c r="U63" s="61">
        <f>IF(U2&gt;=Assumptions!$B$53,(U62*Assumptions!$B$29*Assumptions!$B$30+U47*U50*(1-Assumptions!$B$227)*Assumptions!$B$27*Assumptions!$B$28)*U7/12,0)</f>
        <v>25.353422197310678</v>
      </c>
      <c r="V63" s="61">
        <f>IF(V2&gt;=Assumptions!$B$53,(V62*Assumptions!$B$29*Assumptions!$B$30+V47*V50*(1-Assumptions!$B$227)*Assumptions!$B$27*Assumptions!$B$28)*V7/12,0)</f>
        <v>28.85429482182796</v>
      </c>
      <c r="W63" s="61">
        <f>IF(W2&gt;=Assumptions!$B$53,(W62*Assumptions!$B$29*Assumptions!$B$30+W47*W50*(1-Assumptions!$B$227)*Assumptions!$B$27*Assumptions!$B$28)*W7/12,0)</f>
        <v>32.598632458172112</v>
      </c>
      <c r="X63" s="61">
        <f>IF(X2&gt;=Assumptions!$B$53,(X62*Assumptions!$B$29*Assumptions!$B$30+X47*X50*(1-Assumptions!$B$227)*Assumptions!$B$27*Assumptions!$B$28)*X7/12,0)</f>
        <v>36.739810155518541</v>
      </c>
      <c r="Y63" s="61">
        <f>IF(Y2&gt;=Assumptions!$B$53,(Y62*Assumptions!$B$29*Assumptions!$B$30+Y47*Y50*(1-Assumptions!$B$227)*Assumptions!$B$27*Assumptions!$B$28)*Y7/12,0)</f>
        <v>41.213968617163623</v>
      </c>
      <c r="Z63" s="61">
        <f>IF(Z2&gt;=Assumptions!$B$53,(Z62*Assumptions!$B$29*Assumptions!$B$30+Z47*Z50*(1-Assumptions!$B$227)*Assumptions!$B$27*Assumptions!$B$28)*Z7/12,0)</f>
        <v>45.935438719752376</v>
      </c>
      <c r="AA63" s="61">
        <f>IF(AA2&gt;=Assumptions!$B$53,(AA62*Assumptions!$B$29*Assumptions!$B$30+AA47*AA50*(1-Assumptions!$B$227)*Assumptions!$B$27*Assumptions!$B$28)*AA7/12,0)</f>
        <v>1873.3797516713119</v>
      </c>
      <c r="AB63" s="61">
        <f>IF(AB2&gt;=Assumptions!$B$53,(AB62*Assumptions!$B$29*Assumptions!$B$30+AB47*AB50*(1-Assumptions!$B$227)*Assumptions!$B$27*Assumptions!$B$28)*AB7/12,0)</f>
        <v>4074.1221836836617</v>
      </c>
      <c r="AC63" s="61">
        <f>IF(AC2&gt;=Assumptions!$B$53,(AC62*Assumptions!$B$29*Assumptions!$B$30+AC47*AC50*(1-Assumptions!$B$227)*Assumptions!$B$27*Assumptions!$B$28)*AC7/12,0)</f>
        <v>7474.8910303441917</v>
      </c>
      <c r="AD63" s="61">
        <f>IF(AD2&gt;=Assumptions!$B$53,(AD62*Assumptions!$B$29*Assumptions!$B$30+AD47*AD50*(1-Assumptions!$B$227)*Assumptions!$B$27*Assumptions!$B$28)*AD7/12,0)</f>
        <v>12252.251077319765</v>
      </c>
      <c r="AE63" s="61">
        <f>IF(AE2&gt;=Assumptions!$B$53,(AE62*Assumptions!$B$29*Assumptions!$B$30+AE47*AE50*(1-Assumptions!$B$227)*Assumptions!$B$27*Assumptions!$B$28)*AE7/12,0)</f>
        <v>18096.53600066925</v>
      </c>
    </row>
    <row r="64" spans="1:31" x14ac:dyDescent="0.25">
      <c r="A64" s="6" t="s">
        <v>606</v>
      </c>
      <c r="B64" s="23" t="s">
        <v>607</v>
      </c>
      <c r="C64" s="50">
        <f>IF(C2&gt;=Assumptions!$B$49,(C32+C34*Assumptions!$B$153)*Assumptions!$B$152*C7/12,0)</f>
        <v>0.41825327398816864</v>
      </c>
      <c r="D64" s="50">
        <f>IF(D2&gt;=Assumptions!$B$49,(D32+D34*Assumptions!$B$153)*Assumptions!$B$152*D7/12,0)</f>
        <v>0.82729413097985438</v>
      </c>
      <c r="E64" s="50">
        <f>IF(E2&gt;=Assumptions!$B$49,(E32+E34*Assumptions!$B$153)*Assumptions!$B$152*E7/12,0)</f>
        <v>1.2301373516746186</v>
      </c>
      <c r="F64" s="50">
        <f>IF(F2&gt;=Assumptions!$B$49,(F32+F34*Assumptions!$B$153)*Assumptions!$B$152*F7/12,0)</f>
        <v>1.7374516619077358</v>
      </c>
      <c r="G64" s="50">
        <f>IF(G2&gt;=Assumptions!$B$49,(G32+G34*Assumptions!$B$153)*Assumptions!$B$152*G7/12,0)</f>
        <v>2.2107828647681136</v>
      </c>
      <c r="H64" s="50">
        <f>IF(H2&gt;=Assumptions!$B$49,(H32+H34*Assumptions!$B$153)*Assumptions!$B$152*H7/12,0)</f>
        <v>2.627714750583201</v>
      </c>
      <c r="I64" s="50">
        <f>IF(I2&gt;=Assumptions!$B$49,(I32+I34*Assumptions!$B$153)*Assumptions!$B$152*I7/12,0)</f>
        <v>3.039663492638915</v>
      </c>
      <c r="J64" s="50">
        <f>IF(J2&gt;=Assumptions!$B$49,(J32+J34*Assumptions!$B$153)*Assumptions!$B$152*J7/12,0)</f>
        <v>3.4583019232461356</v>
      </c>
      <c r="K64" s="50">
        <f>IF(K2&gt;=Assumptions!$B$49,(K32+K34*Assumptions!$B$153)*Assumptions!$B$152*K7/12,0)</f>
        <v>3.916275980831005</v>
      </c>
      <c r="L64" s="50">
        <f>IF(L2&gt;=Assumptions!$B$49,(L32+L34*Assumptions!$B$153)*Assumptions!$B$152*L7/12,0)</f>
        <v>4.5130368091661799</v>
      </c>
      <c r="M64" s="50">
        <f>IF(M2&gt;=Assumptions!$B$49,(M32+M34*Assumptions!$B$153)*Assumptions!$B$152*M7/12,0)</f>
        <v>5.0787194316334565</v>
      </c>
      <c r="N64" s="50">
        <f>IF(N2&gt;=Assumptions!$B$49,(N32+N34*Assumptions!$B$153)*Assumptions!$B$152*N7/12,0)</f>
        <v>5.5952738702817806</v>
      </c>
      <c r="O64" s="50">
        <f>IF(O2&gt;=Assumptions!$B$49,(O32+O34*Assumptions!$B$153)*Assumptions!$B$152*O7/12,0)</f>
        <v>7.1435118218700531</v>
      </c>
      <c r="P64" s="50">
        <f>IF(P2&gt;=Assumptions!$B$49,(P32+P34*Assumptions!$B$153)*Assumptions!$B$152*P7/12,0)</f>
        <v>8.6889101464458829</v>
      </c>
      <c r="Q64" s="50">
        <f>IF(Q2&gt;=Assumptions!$B$49,(Q32+Q34*Assumptions!$B$153)*Assumptions!$B$152*Q7/12,0)</f>
        <v>10.237393648367579</v>
      </c>
      <c r="R64" s="50">
        <f>IF(R2&gt;=Assumptions!$B$49,(R32+R34*Assumptions!$B$153)*Assumptions!$B$152*R7/12,0)</f>
        <v>12.192606433202476</v>
      </c>
      <c r="S64" s="50">
        <f>IF(S2&gt;=Assumptions!$B$49,(S32+S34*Assumptions!$B$153)*Assumptions!$B$152*S7/12,0)</f>
        <v>14.058812329409315</v>
      </c>
      <c r="T64" s="50">
        <f>IF(T2&gt;=Assumptions!$B$49,(T32+T34*Assumptions!$B$153)*Assumptions!$B$152*T7/12,0)</f>
        <v>15.737290493232743</v>
      </c>
      <c r="U64" s="50">
        <f>IF(U2&gt;=Assumptions!$B$49,(U32+U34*Assumptions!$B$153)*Assumptions!$B$152*U7/12,0)</f>
        <v>17.414272569158697</v>
      </c>
      <c r="V64" s="50">
        <f>IF(V2&gt;=Assumptions!$B$49,(V32+V34*Assumptions!$B$153)*Assumptions!$B$152*V7/12,0)</f>
        <v>19.133645449677836</v>
      </c>
      <c r="W64" s="50">
        <f>IF(W2&gt;=Assumptions!$B$49,(W32+W34*Assumptions!$B$153)*Assumptions!$B$152*W7/12,0)</f>
        <v>21.026799954838289</v>
      </c>
      <c r="X64" s="50">
        <f>IF(X2&gt;=Assumptions!$B$49,(X32+X34*Assumptions!$B$153)*Assumptions!$B$152*X7/12,0)</f>
        <v>23.506918048759431</v>
      </c>
      <c r="Y64" s="50">
        <f>IF(Y2&gt;=Assumptions!$B$49,(Y32+Y34*Assumptions!$B$153)*Assumptions!$B$152*Y7/12,0)</f>
        <v>25.902656400511422</v>
      </c>
      <c r="Z64" s="50">
        <f>IF(Z2&gt;=Assumptions!$B$49,(Z32+Z34*Assumptions!$B$153)*Assumptions!$B$152*Z7/12,0)</f>
        <v>28.124966573074399</v>
      </c>
      <c r="AA64" s="50">
        <f>IF(AA2&gt;=Assumptions!$B$49,(AA32+AA34*Assumptions!$B$153)*Assumptions!$B$152*AA7/12,0)</f>
        <v>782.75184490184404</v>
      </c>
      <c r="AB64" s="50">
        <f>IF(AB2&gt;=Assumptions!$B$49,(AB32+AB34*Assumptions!$B$153)*Assumptions!$B$152*AB7/12,0)</f>
        <v>1532.9286765750446</v>
      </c>
      <c r="AC64" s="50">
        <f>IF(AC2&gt;=Assumptions!$B$49,(AC32+AC34*Assumptions!$B$153)*Assumptions!$B$152*AC7/12,0)</f>
        <v>2692.2343728696383</v>
      </c>
      <c r="AD64" s="50">
        <f>IF(AD2&gt;=Assumptions!$B$49,(AD32+AD34*Assumptions!$B$153)*Assumptions!$B$152*AD7/12,0)</f>
        <v>4311.3192072065467</v>
      </c>
      <c r="AE64" s="50">
        <f>IF(AE2&gt;=Assumptions!$B$49,(AE32+AE34*Assumptions!$B$153)*Assumptions!$B$152*AE7/12,0)</f>
        <v>6267.4210302536476</v>
      </c>
    </row>
    <row r="65" spans="1:31" x14ac:dyDescent="0.25">
      <c r="A65" s="3" t="s">
        <v>608</v>
      </c>
      <c r="B65" s="23" t="s">
        <v>114</v>
      </c>
      <c r="C65" s="63">
        <f t="shared" ref="C65:AE65" si="14">C56+C57+C58+C60+C61+C63</f>
        <v>148.0672280620272</v>
      </c>
      <c r="D65" s="63">
        <f t="shared" si="14"/>
        <v>281.52712518499209</v>
      </c>
      <c r="E65" s="63">
        <f t="shared" si="14"/>
        <v>402.56628625601314</v>
      </c>
      <c r="F65" s="63">
        <f t="shared" si="14"/>
        <v>551.31468299083258</v>
      </c>
      <c r="G65" s="63">
        <f t="shared" si="14"/>
        <v>676.63439835828694</v>
      </c>
      <c r="H65" s="63">
        <f t="shared" si="14"/>
        <v>772.38507554053274</v>
      </c>
      <c r="I65" s="63">
        <f t="shared" si="14"/>
        <v>908.1772790913767</v>
      </c>
      <c r="J65" s="63">
        <f t="shared" si="14"/>
        <v>1036.1782609850795</v>
      </c>
      <c r="K65" s="63">
        <f t="shared" si="14"/>
        <v>1173.1435260966834</v>
      </c>
      <c r="L65" s="63">
        <f t="shared" si="14"/>
        <v>1367.4481907862998</v>
      </c>
      <c r="M65" s="63">
        <f t="shared" si="14"/>
        <v>1530.3822745969367</v>
      </c>
      <c r="N65" s="63">
        <f t="shared" si="14"/>
        <v>1655.6092869164645</v>
      </c>
      <c r="O65" s="63">
        <f t="shared" si="14"/>
        <v>7322.4434497704206</v>
      </c>
      <c r="P65" s="63">
        <f t="shared" si="14"/>
        <v>4363.4416448035954</v>
      </c>
      <c r="Q65" s="63">
        <f t="shared" si="14"/>
        <v>4954.599317813485</v>
      </c>
      <c r="R65" s="63">
        <f t="shared" si="14"/>
        <v>6022.1007600955863</v>
      </c>
      <c r="S65" s="63">
        <f t="shared" si="14"/>
        <v>6617.8143174340294</v>
      </c>
      <c r="T65" s="63">
        <f t="shared" si="14"/>
        <v>7001.5671304745047</v>
      </c>
      <c r="U65" s="63">
        <f t="shared" si="14"/>
        <v>7476.6262632266425</v>
      </c>
      <c r="V65" s="63">
        <f t="shared" si="14"/>
        <v>7974.3375159711622</v>
      </c>
      <c r="W65" s="63">
        <f t="shared" si="14"/>
        <v>8621.9019572958987</v>
      </c>
      <c r="X65" s="63">
        <f t="shared" si="14"/>
        <v>9871.1423442577197</v>
      </c>
      <c r="Y65" s="63">
        <f t="shared" si="14"/>
        <v>10510.590636262006</v>
      </c>
      <c r="Z65" s="63">
        <f t="shared" si="14"/>
        <v>10939.718516853824</v>
      </c>
      <c r="AA65" s="63">
        <f t="shared" si="14"/>
        <v>239350.59803883114</v>
      </c>
      <c r="AB65" s="63">
        <f t="shared" si="14"/>
        <v>418046.60983208101</v>
      </c>
      <c r="AC65" s="63">
        <f t="shared" si="14"/>
        <v>671295.43123165448</v>
      </c>
      <c r="AD65" s="63">
        <f t="shared" si="14"/>
        <v>981858.32112716185</v>
      </c>
      <c r="AE65" s="63">
        <f t="shared" si="14"/>
        <v>1271819.4751080682</v>
      </c>
    </row>
    <row r="67" spans="1:31" x14ac:dyDescent="0.25">
      <c r="A67" s="51" t="s">
        <v>609</v>
      </c>
      <c r="B67" s="52"/>
      <c r="C67" s="52"/>
      <c r="D67" s="52"/>
      <c r="E67" s="52"/>
      <c r="F67" s="52"/>
      <c r="G67" s="52"/>
      <c r="H67" s="52"/>
      <c r="I67" s="52"/>
      <c r="J67" s="52"/>
      <c r="K67" s="52"/>
      <c r="L67" s="52"/>
      <c r="M67" s="52"/>
      <c r="N67" s="52"/>
      <c r="O67" s="52"/>
      <c r="P67" s="52"/>
      <c r="Q67" s="52"/>
      <c r="R67" s="52"/>
      <c r="S67" s="52"/>
      <c r="T67" s="52"/>
      <c r="U67" s="52"/>
      <c r="V67" s="52"/>
      <c r="W67" s="52"/>
      <c r="X67" s="52"/>
      <c r="Y67" s="52"/>
      <c r="Z67" s="52"/>
      <c r="AA67" s="52"/>
      <c r="AB67" s="52"/>
      <c r="AC67" s="52"/>
      <c r="AD67" s="52"/>
      <c r="AE67" s="52"/>
    </row>
    <row r="68" spans="1:31" x14ac:dyDescent="0.25">
      <c r="A68" s="6" t="s">
        <v>562</v>
      </c>
      <c r="B68" s="23" t="s">
        <v>563</v>
      </c>
      <c r="C68" s="59">
        <f>Assumptions!$B$137+(Assumptions!$B$140-Assumptions!$B$137)*(C5-1)/6</f>
        <v>75</v>
      </c>
      <c r="D68" s="59">
        <f>Assumptions!$B$137+(Assumptions!$B$140-Assumptions!$B$137)*(D5-1)/6</f>
        <v>75</v>
      </c>
      <c r="E68" s="59">
        <f>Assumptions!$B$137+(Assumptions!$B$140-Assumptions!$B$137)*(E5-1)/6</f>
        <v>75</v>
      </c>
      <c r="F68" s="59">
        <f>Assumptions!$B$137+(Assumptions!$B$140-Assumptions!$B$137)*(F5-1)/6</f>
        <v>75</v>
      </c>
      <c r="G68" s="59">
        <f>Assumptions!$B$137+(Assumptions!$B$140-Assumptions!$B$137)*(G5-1)/6</f>
        <v>75</v>
      </c>
      <c r="H68" s="59">
        <f>Assumptions!$B$137+(Assumptions!$B$140-Assumptions!$B$137)*(H5-1)/6</f>
        <v>75</v>
      </c>
      <c r="I68" s="59">
        <f>Assumptions!$B$137+(Assumptions!$B$140-Assumptions!$B$137)*(I5-1)/6</f>
        <v>75</v>
      </c>
      <c r="J68" s="59">
        <f>Assumptions!$B$137+(Assumptions!$B$140-Assumptions!$B$137)*(J5-1)/6</f>
        <v>75</v>
      </c>
      <c r="K68" s="59">
        <f>Assumptions!$B$137+(Assumptions!$B$140-Assumptions!$B$137)*(K5-1)/6</f>
        <v>75</v>
      </c>
      <c r="L68" s="59">
        <f>Assumptions!$B$137+(Assumptions!$B$140-Assumptions!$B$137)*(L5-1)/6</f>
        <v>75</v>
      </c>
      <c r="M68" s="59">
        <f>Assumptions!$B$137+(Assumptions!$B$140-Assumptions!$B$137)*(M5-1)/6</f>
        <v>75</v>
      </c>
      <c r="N68" s="59">
        <f>Assumptions!$B$137+(Assumptions!$B$140-Assumptions!$B$137)*(N5-1)/6</f>
        <v>75</v>
      </c>
      <c r="O68" s="59">
        <f>Assumptions!$B$137+(Assumptions!$B$140-Assumptions!$B$137)*(O5-1)/6</f>
        <v>70</v>
      </c>
      <c r="P68" s="59">
        <f>Assumptions!$B$137+(Assumptions!$B$140-Assumptions!$B$137)*(P5-1)/6</f>
        <v>70</v>
      </c>
      <c r="Q68" s="59">
        <f>Assumptions!$B$137+(Assumptions!$B$140-Assumptions!$B$137)*(Q5-1)/6</f>
        <v>70</v>
      </c>
      <c r="R68" s="59">
        <f>Assumptions!$B$137+(Assumptions!$B$140-Assumptions!$B$137)*(R5-1)/6</f>
        <v>70</v>
      </c>
      <c r="S68" s="59">
        <f>Assumptions!$B$137+(Assumptions!$B$140-Assumptions!$B$137)*(S5-1)/6</f>
        <v>70</v>
      </c>
      <c r="T68" s="59">
        <f>Assumptions!$B$137+(Assumptions!$B$140-Assumptions!$B$137)*(T5-1)/6</f>
        <v>70</v>
      </c>
      <c r="U68" s="59">
        <f>Assumptions!$B$137+(Assumptions!$B$140-Assumptions!$B$137)*(U5-1)/6</f>
        <v>70</v>
      </c>
      <c r="V68" s="59">
        <f>Assumptions!$B$137+(Assumptions!$B$140-Assumptions!$B$137)*(V5-1)/6</f>
        <v>70</v>
      </c>
      <c r="W68" s="59">
        <f>Assumptions!$B$137+(Assumptions!$B$140-Assumptions!$B$137)*(W5-1)/6</f>
        <v>70</v>
      </c>
      <c r="X68" s="59">
        <f>Assumptions!$B$137+(Assumptions!$B$140-Assumptions!$B$137)*(X5-1)/6</f>
        <v>70</v>
      </c>
      <c r="Y68" s="59">
        <f>Assumptions!$B$137+(Assumptions!$B$140-Assumptions!$B$137)*(Y5-1)/6</f>
        <v>70</v>
      </c>
      <c r="Z68" s="59">
        <f>Assumptions!$B$137+(Assumptions!$B$140-Assumptions!$B$137)*(Z5-1)/6</f>
        <v>70</v>
      </c>
      <c r="AA68" s="59">
        <f>Assumptions!$B$137+(Assumptions!$B$140-Assumptions!$B$137)*(AA5-1)/6</f>
        <v>65</v>
      </c>
      <c r="AB68" s="59">
        <f>Assumptions!$B$137+(Assumptions!$B$140-Assumptions!$B$137)*(AB5-1)/6</f>
        <v>60</v>
      </c>
      <c r="AC68" s="59">
        <f>Assumptions!$B$137+(Assumptions!$B$140-Assumptions!$B$137)*(AC5-1)/6</f>
        <v>55</v>
      </c>
      <c r="AD68" s="59">
        <f>Assumptions!$B$137+(Assumptions!$B$140-Assumptions!$B$137)*(AD5-1)/6</f>
        <v>50</v>
      </c>
      <c r="AE68" s="59">
        <f>Assumptions!$B$137+(Assumptions!$B$140-Assumptions!$B$137)*(AE5-1)/6</f>
        <v>45</v>
      </c>
    </row>
    <row r="69" spans="1:31" x14ac:dyDescent="0.25">
      <c r="A69" s="6" t="s">
        <v>564</v>
      </c>
      <c r="B69" s="23" t="s">
        <v>190</v>
      </c>
      <c r="C69" s="58">
        <f>INDEX(Assumptions!$B$114:$B$120,C5)*Assumptions!$B$143/12*C7/C68*(1+Assumptions!$B$147)*IF(C2&gt;=Assumptions!$B$56,1,0)</f>
        <v>0</v>
      </c>
      <c r="D69" s="58">
        <f>INDEX(Assumptions!$B$114:$B$120,D5)*Assumptions!$B$143/12*D7/D68*(1+Assumptions!$B$147)*IF(D2&gt;=Assumptions!$B$56,1,0)</f>
        <v>0</v>
      </c>
      <c r="E69" s="58">
        <f>INDEX(Assumptions!$B$114:$B$120,E5)*Assumptions!$B$143/12*E7/E68*(1+Assumptions!$B$147)*IF(E2&gt;=Assumptions!$B$56,1,0)</f>
        <v>0</v>
      </c>
      <c r="F69" s="58">
        <f>INDEX(Assumptions!$B$114:$B$120,F5)*Assumptions!$B$143/12*F7/F68*(1+Assumptions!$B$147)*IF(F2&gt;=Assumptions!$B$56,1,0)</f>
        <v>0</v>
      </c>
      <c r="G69" s="58">
        <f>INDEX(Assumptions!$B$114:$B$120,G5)*Assumptions!$B$143/12*G7/G68*(1+Assumptions!$B$147)*IF(G2&gt;=Assumptions!$B$56,1,0)</f>
        <v>0</v>
      </c>
      <c r="H69" s="58">
        <f>INDEX(Assumptions!$B$114:$B$120,H5)*Assumptions!$B$143/12*H7/H68*(1+Assumptions!$B$147)*IF(H2&gt;=Assumptions!$B$56,1,0)</f>
        <v>0</v>
      </c>
      <c r="I69" s="58">
        <f>INDEX(Assumptions!$B$114:$B$120,I5)*Assumptions!$B$143/12*I7/I68*(1+Assumptions!$B$147)*IF(I2&gt;=Assumptions!$B$56,1,0)</f>
        <v>0</v>
      </c>
      <c r="J69" s="58">
        <f>INDEX(Assumptions!$B$114:$B$120,J5)*Assumptions!$B$143/12*J7/J68*(1+Assumptions!$B$147)*IF(J2&gt;=Assumptions!$B$56,1,0)</f>
        <v>0</v>
      </c>
      <c r="K69" s="58">
        <f>INDEX(Assumptions!$B$114:$B$120,K5)*Assumptions!$B$143/12*K7/K68*(1+Assumptions!$B$147)*IF(K2&gt;=Assumptions!$B$56,1,0)</f>
        <v>0</v>
      </c>
      <c r="L69" s="58">
        <f>INDEX(Assumptions!$B$114:$B$120,L5)*Assumptions!$B$143/12*L7/L68*(1+Assumptions!$B$147)*IF(L2&gt;=Assumptions!$B$56,1,0)</f>
        <v>0</v>
      </c>
      <c r="M69" s="58">
        <f>INDEX(Assumptions!$B$114:$B$120,M5)*Assumptions!$B$143/12*M7/M68*(1+Assumptions!$B$147)*IF(M2&gt;=Assumptions!$B$56,1,0)</f>
        <v>0</v>
      </c>
      <c r="N69" s="58">
        <f>INDEX(Assumptions!$B$114:$B$120,N5)*Assumptions!$B$143/12*N7/N68*(1+Assumptions!$B$147)*IF(N2&gt;=Assumptions!$B$56,1,0)</f>
        <v>0</v>
      </c>
      <c r="O69" s="58">
        <f>INDEX(Assumptions!$B$114:$B$120,O5)*Assumptions!$B$143/12*O7/O68*(1+Assumptions!$B$147)*IF(O2&gt;=Assumptions!$B$56,1,0)</f>
        <v>72.321428571428569</v>
      </c>
      <c r="P69" s="58">
        <f>INDEX(Assumptions!$B$114:$B$120,P5)*Assumptions!$B$143/12*P7/P68*(1+Assumptions!$B$147)*IF(P2&gt;=Assumptions!$B$56,1,0)</f>
        <v>72.321428571428569</v>
      </c>
      <c r="Q69" s="58">
        <f>INDEX(Assumptions!$B$114:$B$120,Q5)*Assumptions!$B$143/12*Q7/Q68*(1+Assumptions!$B$147)*IF(Q2&gt;=Assumptions!$B$56,1,0)</f>
        <v>72.321428571428569</v>
      </c>
      <c r="R69" s="58">
        <f>INDEX(Assumptions!$B$114:$B$120,R5)*Assumptions!$B$143/12*R7/R68*(1+Assumptions!$B$147)*IF(R2&gt;=Assumptions!$B$56,1,0)</f>
        <v>72.321428571428569</v>
      </c>
      <c r="S69" s="58">
        <f>INDEX(Assumptions!$B$114:$B$120,S5)*Assumptions!$B$143/12*S7/S68*(1+Assumptions!$B$147)*IF(S2&gt;=Assumptions!$B$56,1,0)</f>
        <v>72.321428571428569</v>
      </c>
      <c r="T69" s="58">
        <f>INDEX(Assumptions!$B$114:$B$120,T5)*Assumptions!$B$143/12*T7/T68*(1+Assumptions!$B$147)*IF(T2&gt;=Assumptions!$B$56,1,0)</f>
        <v>72.321428571428569</v>
      </c>
      <c r="U69" s="58">
        <f>INDEX(Assumptions!$B$114:$B$120,U5)*Assumptions!$B$143/12*U7/U68*(1+Assumptions!$B$147)*IF(U2&gt;=Assumptions!$B$56,1,0)</f>
        <v>72.321428571428569</v>
      </c>
      <c r="V69" s="58">
        <f>INDEX(Assumptions!$B$114:$B$120,V5)*Assumptions!$B$143/12*V7/V68*(1+Assumptions!$B$147)*IF(V2&gt;=Assumptions!$B$56,1,0)</f>
        <v>72.321428571428569</v>
      </c>
      <c r="W69" s="58">
        <f>INDEX(Assumptions!$B$114:$B$120,W5)*Assumptions!$B$143/12*W7/W68*(1+Assumptions!$B$147)*IF(W2&gt;=Assumptions!$B$56,1,0)</f>
        <v>72.321428571428569</v>
      </c>
      <c r="X69" s="58">
        <f>INDEX(Assumptions!$B$114:$B$120,X5)*Assumptions!$B$143/12*X7/X68*(1+Assumptions!$B$147)*IF(X2&gt;=Assumptions!$B$56,1,0)</f>
        <v>72.321428571428569</v>
      </c>
      <c r="Y69" s="58">
        <f>INDEX(Assumptions!$B$114:$B$120,Y5)*Assumptions!$B$143/12*Y7/Y68*(1+Assumptions!$B$147)*IF(Y2&gt;=Assumptions!$B$56,1,0)</f>
        <v>72.321428571428569</v>
      </c>
      <c r="Z69" s="58">
        <f>INDEX(Assumptions!$B$114:$B$120,Z5)*Assumptions!$B$143/12*Z7/Z68*(1+Assumptions!$B$147)*IF(Z2&gt;=Assumptions!$B$56,1,0)</f>
        <v>72.321428571428569</v>
      </c>
      <c r="AA69" s="58">
        <f>INDEX(Assumptions!$B$114:$B$120,AA5)*Assumptions!$B$143/12*AA7/AA68*(1+Assumptions!$B$147)*IF(AA2&gt;=Assumptions!$B$56,1,0)</f>
        <v>1298.0769230769233</v>
      </c>
      <c r="AB69" s="58">
        <f>INDEX(Assumptions!$B$114:$B$120,AB5)*Assumptions!$B$143/12*AB7/AB68*(1+Assumptions!$B$147)*IF(AB2&gt;=Assumptions!$B$56,1,0)</f>
        <v>2250</v>
      </c>
      <c r="AC69" s="58">
        <f>INDEX(Assumptions!$B$114:$B$120,AC5)*Assumptions!$B$143/12*AC7/AC68*(1+Assumptions!$B$147)*IF(AC2&gt;=Assumptions!$B$56,1,0)</f>
        <v>3681.818181818182</v>
      </c>
      <c r="AD69" s="58">
        <f>INDEX(Assumptions!$B$114:$B$120,AD5)*Assumptions!$B$143/12*AD7/AD68*(1+Assumptions!$B$147)*IF(AD2&gt;=Assumptions!$B$56,1,0)</f>
        <v>5737.5</v>
      </c>
      <c r="AE69" s="58">
        <f>INDEX(Assumptions!$B$114:$B$120,AE5)*Assumptions!$B$143/12*AE7/AE68*(1+Assumptions!$B$147)*IF(AE2&gt;=Assumptions!$B$56,1,0)</f>
        <v>8250</v>
      </c>
    </row>
    <row r="70" spans="1:31" x14ac:dyDescent="0.25">
      <c r="A70" s="6" t="s">
        <v>565</v>
      </c>
      <c r="B70" s="23" t="s">
        <v>190</v>
      </c>
      <c r="C70" s="60">
        <v>0</v>
      </c>
      <c r="D70" s="60">
        <f>IF(D2&gt;=Assumptions!$B$55,C75*Assumptions!$B$145/12*Assumptions!$B$146*D7,0)</f>
        <v>0</v>
      </c>
      <c r="E70" s="60">
        <f>IF(E2&gt;=Assumptions!$B$55,D75*Assumptions!$B$145/12*Assumptions!$B$146*E7,0)</f>
        <v>0</v>
      </c>
      <c r="F70" s="60">
        <f>IF(F2&gt;=Assumptions!$B$55,E75*Assumptions!$B$145/12*Assumptions!$B$146*F7,0)</f>
        <v>0</v>
      </c>
      <c r="G70" s="60">
        <f>IF(G2&gt;=Assumptions!$B$55,F75*Assumptions!$B$145/12*Assumptions!$B$146*G7,0)</f>
        <v>0</v>
      </c>
      <c r="H70" s="60">
        <f>IF(H2&gt;=Assumptions!$B$55,G75*Assumptions!$B$145/12*Assumptions!$B$146*H7,0)</f>
        <v>0</v>
      </c>
      <c r="I70" s="60">
        <f>IF(I2&gt;=Assumptions!$B$55,H75*Assumptions!$B$145/12*Assumptions!$B$146*I7,0)</f>
        <v>0</v>
      </c>
      <c r="J70" s="60">
        <f>IF(J2&gt;=Assumptions!$B$55,I75*Assumptions!$B$145/12*Assumptions!$B$146*J7,0)</f>
        <v>0</v>
      </c>
      <c r="K70" s="60">
        <f>IF(K2&gt;=Assumptions!$B$55,J75*Assumptions!$B$145/12*Assumptions!$B$146*K7,0)</f>
        <v>0</v>
      </c>
      <c r="L70" s="60">
        <f>IF(L2&gt;=Assumptions!$B$55,K75*Assumptions!$B$145/12*Assumptions!$B$146*L7,0)</f>
        <v>0</v>
      </c>
      <c r="M70" s="60">
        <f>IF(M2&gt;=Assumptions!$B$55,L75*Assumptions!$B$145/12*Assumptions!$B$146*M7,0)</f>
        <v>0</v>
      </c>
      <c r="N70" s="60">
        <f>IF(N2&gt;=Assumptions!$B$55,M75*Assumptions!$B$145/12*Assumptions!$B$146*N7,0)</f>
        <v>0</v>
      </c>
      <c r="O70" s="60">
        <f>IF(O2&gt;=Assumptions!$B$55,N75*Assumptions!$B$145/12*Assumptions!$B$146*O7,0)</f>
        <v>0</v>
      </c>
      <c r="P70" s="60">
        <f>IF(P2&gt;=Assumptions!$B$55,O75*Assumptions!$B$145/12*Assumptions!$B$146*P7,0)</f>
        <v>2.2086751379809191</v>
      </c>
      <c r="Q70" s="60">
        <f>IF(Q2&gt;=Assumptions!$B$55,P75*Assumptions!$B$145/12*Assumptions!$B$146*Q7,0)</f>
        <v>4.2603910530796529</v>
      </c>
      <c r="R70" s="60">
        <f>IF(R2&gt;=Assumptions!$B$55,Q75*Assumptions!$B$145/12*Assumptions!$B$146*R7,0)</f>
        <v>6.1751662329894641</v>
      </c>
      <c r="S70" s="60">
        <f>IF(S2&gt;=Assumptions!$B$55,R75*Assumptions!$B$145/12*Assumptions!$B$146*S7,0)</f>
        <v>8.5883329400643884</v>
      </c>
      <c r="T70" s="60">
        <f>IF(T2&gt;=Assumptions!$B$55,S75*Assumptions!$B$145/12*Assumptions!$B$146*T7,0)</f>
        <v>10.693779289532829</v>
      </c>
      <c r="U70" s="60">
        <f>IF(U2&gt;=Assumptions!$B$55,T75*Assumptions!$B$145/12*Assumptions!$B$146*U7,0)</f>
        <v>12.35920193250143</v>
      </c>
      <c r="V70" s="60">
        <f>IF(V2&gt;=Assumptions!$B$55,U75*Assumptions!$B$145/12*Assumptions!$B$146*V7,0)</f>
        <v>13.90716474679758</v>
      </c>
      <c r="W70" s="60">
        <f>IF(W2&gt;=Assumptions!$B$55,V75*Assumptions!$B$145/12*Assumptions!$B$146*W7,0)</f>
        <v>15.414797460684868</v>
      </c>
      <c r="X70" s="60">
        <f>IF(X2&gt;=Assumptions!$B$55,W75*Assumptions!$B$145/12*Assumptions!$B$146*X7,0)</f>
        <v>17.091485191848303</v>
      </c>
      <c r="Y70" s="60">
        <f>IF(Y2&gt;=Assumptions!$B$55,X75*Assumptions!$B$145/12*Assumptions!$B$146*Y7,0)</f>
        <v>19.576157339228516</v>
      </c>
      <c r="Z70" s="60">
        <f>IF(Z2&gt;=Assumptions!$B$55,Y75*Assumptions!$B$145/12*Assumptions!$B$146*Z7,0)</f>
        <v>21.749871955593875</v>
      </c>
      <c r="AA70" s="60">
        <f>IF(AA2&gt;=Assumptions!$B$55,Z75*Assumptions!$B$145/12*Assumptions!$B$146*AA7,0)</f>
        <v>281.93001040408893</v>
      </c>
      <c r="AB70" s="60">
        <f>IF(AB2&gt;=Assumptions!$B$55,AA75*Assumptions!$B$145/12*Assumptions!$B$146*AB7,0)</f>
        <v>578.97336761153701</v>
      </c>
      <c r="AC70" s="60">
        <f>IF(AC2&gt;=Assumptions!$B$55,AB75*Assumptions!$B$145/12*Assumptions!$B$146*AC7,0)</f>
        <v>1044.1096549225513</v>
      </c>
      <c r="AD70" s="60">
        <f>IF(AD2&gt;=Assumptions!$B$55,AC75*Assumptions!$B$145/12*Assumptions!$B$146*AD7,0)</f>
        <v>1691.2113746583109</v>
      </c>
      <c r="AE70" s="60">
        <f>IF(AE2&gt;=Assumptions!$B$55,AD75*Assumptions!$B$145/12*Assumptions!$B$146*AE7,0)</f>
        <v>2455.282956839595</v>
      </c>
    </row>
    <row r="71" spans="1:31" x14ac:dyDescent="0.25">
      <c r="A71" s="6" t="s">
        <v>566</v>
      </c>
      <c r="B71" s="23" t="s">
        <v>190</v>
      </c>
      <c r="C71" s="58">
        <f>INDEX(Assumptions!$B$100:$B$106,C5)*Assumptions!$B$135*INDEX(Assumptions!$B$121:$B$127,C5)*C7*IF(C2&gt;=Assumptions!$B$56,1,0)</f>
        <v>0</v>
      </c>
      <c r="D71" s="58">
        <f>INDEX(Assumptions!$B$100:$B$106,D5)*Assumptions!$B$135*INDEX(Assumptions!$B$121:$B$127,D5)*D7*IF(D2&gt;=Assumptions!$B$56,1,0)</f>
        <v>0</v>
      </c>
      <c r="E71" s="58">
        <f>INDEX(Assumptions!$B$100:$B$106,E5)*Assumptions!$B$135*INDEX(Assumptions!$B$121:$B$127,E5)*E7*IF(E2&gt;=Assumptions!$B$56,1,0)</f>
        <v>0</v>
      </c>
      <c r="F71" s="58">
        <f>INDEX(Assumptions!$B$100:$B$106,F5)*Assumptions!$B$135*INDEX(Assumptions!$B$121:$B$127,F5)*F7*IF(F2&gt;=Assumptions!$B$56,1,0)</f>
        <v>0</v>
      </c>
      <c r="G71" s="58">
        <f>INDEX(Assumptions!$B$100:$B$106,G5)*Assumptions!$B$135*INDEX(Assumptions!$B$121:$B$127,G5)*G7*IF(G2&gt;=Assumptions!$B$56,1,0)</f>
        <v>0</v>
      </c>
      <c r="H71" s="58">
        <f>INDEX(Assumptions!$B$100:$B$106,H5)*Assumptions!$B$135*INDEX(Assumptions!$B$121:$B$127,H5)*H7*IF(H2&gt;=Assumptions!$B$56,1,0)</f>
        <v>0</v>
      </c>
      <c r="I71" s="58">
        <f>INDEX(Assumptions!$B$100:$B$106,I5)*Assumptions!$B$135*INDEX(Assumptions!$B$121:$B$127,I5)*I7*IF(I2&gt;=Assumptions!$B$56,1,0)</f>
        <v>0</v>
      </c>
      <c r="J71" s="58">
        <f>INDEX(Assumptions!$B$100:$B$106,J5)*Assumptions!$B$135*INDEX(Assumptions!$B$121:$B$127,J5)*J7*IF(J2&gt;=Assumptions!$B$56,1,0)</f>
        <v>0</v>
      </c>
      <c r="K71" s="58">
        <f>INDEX(Assumptions!$B$100:$B$106,K5)*Assumptions!$B$135*INDEX(Assumptions!$B$121:$B$127,K5)*K7*IF(K2&gt;=Assumptions!$B$56,1,0)</f>
        <v>0</v>
      </c>
      <c r="L71" s="58">
        <f>INDEX(Assumptions!$B$100:$B$106,L5)*Assumptions!$B$135*INDEX(Assumptions!$B$121:$B$127,L5)*L7*IF(L2&gt;=Assumptions!$B$56,1,0)</f>
        <v>0</v>
      </c>
      <c r="M71" s="58">
        <f>INDEX(Assumptions!$B$100:$B$106,M5)*Assumptions!$B$135*INDEX(Assumptions!$B$121:$B$127,M5)*M7*IF(M2&gt;=Assumptions!$B$56,1,0)</f>
        <v>0</v>
      </c>
      <c r="N71" s="58">
        <f>INDEX(Assumptions!$B$100:$B$106,N5)*Assumptions!$B$135*INDEX(Assumptions!$B$121:$B$127,N5)*N7*IF(N2&gt;=Assumptions!$B$56,1,0)</f>
        <v>0</v>
      </c>
      <c r="O71" s="58">
        <f>INDEX(Assumptions!$B$100:$B$106,O5)*Assumptions!$B$135*INDEX(Assumptions!$B$121:$B$127,O5)*O7*IF(O2&gt;=Assumptions!$B$56,1,0)</f>
        <v>0</v>
      </c>
      <c r="P71" s="58">
        <f>INDEX(Assumptions!$B$100:$B$106,P5)*Assumptions!$B$135*INDEX(Assumptions!$B$121:$B$127,P5)*P7*IF(P2&gt;=Assumptions!$B$56,1,0)</f>
        <v>0</v>
      </c>
      <c r="Q71" s="58">
        <f>INDEX(Assumptions!$B$100:$B$106,Q5)*Assumptions!$B$135*INDEX(Assumptions!$B$121:$B$127,Q5)*Q7*IF(Q2&gt;=Assumptions!$B$56,1,0)</f>
        <v>0</v>
      </c>
      <c r="R71" s="58">
        <f>INDEX(Assumptions!$B$100:$B$106,R5)*Assumptions!$B$135*INDEX(Assumptions!$B$121:$B$127,R5)*R7*IF(R2&gt;=Assumptions!$B$56,1,0)</f>
        <v>0</v>
      </c>
      <c r="S71" s="58">
        <f>INDEX(Assumptions!$B$100:$B$106,S5)*Assumptions!$B$135*INDEX(Assumptions!$B$121:$B$127,S5)*S7*IF(S2&gt;=Assumptions!$B$56,1,0)</f>
        <v>0</v>
      </c>
      <c r="T71" s="58">
        <f>INDEX(Assumptions!$B$100:$B$106,T5)*Assumptions!$B$135*INDEX(Assumptions!$B$121:$B$127,T5)*T7*IF(T2&gt;=Assumptions!$B$56,1,0)</f>
        <v>0</v>
      </c>
      <c r="U71" s="58">
        <f>INDEX(Assumptions!$B$100:$B$106,U5)*Assumptions!$B$135*INDEX(Assumptions!$B$121:$B$127,U5)*U7*IF(U2&gt;=Assumptions!$B$56,1,0)</f>
        <v>0</v>
      </c>
      <c r="V71" s="58">
        <f>INDEX(Assumptions!$B$100:$B$106,V5)*Assumptions!$B$135*INDEX(Assumptions!$B$121:$B$127,V5)*V7*IF(V2&gt;=Assumptions!$B$56,1,0)</f>
        <v>0</v>
      </c>
      <c r="W71" s="58">
        <f>INDEX(Assumptions!$B$100:$B$106,W5)*Assumptions!$B$135*INDEX(Assumptions!$B$121:$B$127,W5)*W7*IF(W2&gt;=Assumptions!$B$56,1,0)</f>
        <v>0</v>
      </c>
      <c r="X71" s="58">
        <f>INDEX(Assumptions!$B$100:$B$106,X5)*Assumptions!$B$135*INDEX(Assumptions!$B$121:$B$127,X5)*X7*IF(X2&gt;=Assumptions!$B$56,1,0)</f>
        <v>0</v>
      </c>
      <c r="Y71" s="58">
        <f>INDEX(Assumptions!$B$100:$B$106,Y5)*Assumptions!$B$135*INDEX(Assumptions!$B$121:$B$127,Y5)*Y7*IF(Y2&gt;=Assumptions!$B$56,1,0)</f>
        <v>0</v>
      </c>
      <c r="Z71" s="58">
        <f>INDEX(Assumptions!$B$100:$B$106,Z5)*Assumptions!$B$135*INDEX(Assumptions!$B$121:$B$127,Z5)*Z7*IF(Z2&gt;=Assumptions!$B$56,1,0)</f>
        <v>0</v>
      </c>
      <c r="AA71" s="58">
        <f>INDEX(Assumptions!$B$100:$B$106,AA5)*Assumptions!$B$135*INDEX(Assumptions!$B$121:$B$127,AA5)*AA7*IF(AA2&gt;=Assumptions!$B$56,1,0)</f>
        <v>0</v>
      </c>
      <c r="AB71" s="58">
        <f>INDEX(Assumptions!$B$100:$B$106,AB5)*Assumptions!$B$135*INDEX(Assumptions!$B$121:$B$127,AB5)*AB7*IF(AB2&gt;=Assumptions!$B$56,1,0)</f>
        <v>0</v>
      </c>
      <c r="AC71" s="58">
        <f>INDEX(Assumptions!$B$100:$B$106,AC5)*Assumptions!$B$135*INDEX(Assumptions!$B$121:$B$127,AC5)*AC7*IF(AC2&gt;=Assumptions!$B$56,1,0)</f>
        <v>0</v>
      </c>
      <c r="AD71" s="58">
        <f>INDEX(Assumptions!$B$100:$B$106,AD5)*Assumptions!$B$135*INDEX(Assumptions!$B$121:$B$127,AD5)*AD7*IF(AD2&gt;=Assumptions!$B$56,1,0)</f>
        <v>0</v>
      </c>
      <c r="AE71" s="58">
        <f>INDEX(Assumptions!$B$100:$B$106,AE5)*Assumptions!$B$135*INDEX(Assumptions!$B$121:$B$127,AE5)*AE7*IF(AE2&gt;=Assumptions!$B$56,1,0)</f>
        <v>0</v>
      </c>
    </row>
    <row r="72" spans="1:31" x14ac:dyDescent="0.25">
      <c r="A72" s="6" t="s">
        <v>567</v>
      </c>
      <c r="B72" s="23" t="s">
        <v>190</v>
      </c>
      <c r="C72" s="60">
        <f t="shared" ref="C72:AE72" si="15">C69+C70+C71</f>
        <v>0</v>
      </c>
      <c r="D72" s="60">
        <f t="shared" si="15"/>
        <v>0</v>
      </c>
      <c r="E72" s="60">
        <f t="shared" si="15"/>
        <v>0</v>
      </c>
      <c r="F72" s="60">
        <f t="shared" si="15"/>
        <v>0</v>
      </c>
      <c r="G72" s="60">
        <f t="shared" si="15"/>
        <v>0</v>
      </c>
      <c r="H72" s="60">
        <f t="shared" si="15"/>
        <v>0</v>
      </c>
      <c r="I72" s="60">
        <f t="shared" si="15"/>
        <v>0</v>
      </c>
      <c r="J72" s="60">
        <f t="shared" si="15"/>
        <v>0</v>
      </c>
      <c r="K72" s="60">
        <f t="shared" si="15"/>
        <v>0</v>
      </c>
      <c r="L72" s="60">
        <f t="shared" si="15"/>
        <v>0</v>
      </c>
      <c r="M72" s="60">
        <f t="shared" si="15"/>
        <v>0</v>
      </c>
      <c r="N72" s="60">
        <f t="shared" si="15"/>
        <v>0</v>
      </c>
      <c r="O72" s="60">
        <f t="shared" si="15"/>
        <v>72.321428571428569</v>
      </c>
      <c r="P72" s="60">
        <f t="shared" si="15"/>
        <v>74.530103709409488</v>
      </c>
      <c r="Q72" s="60">
        <f t="shared" si="15"/>
        <v>76.581819624508228</v>
      </c>
      <c r="R72" s="60">
        <f t="shared" si="15"/>
        <v>78.496594804418038</v>
      </c>
      <c r="S72" s="60">
        <f t="shared" si="15"/>
        <v>80.90976151149296</v>
      </c>
      <c r="T72" s="60">
        <f t="shared" si="15"/>
        <v>83.015207860961397</v>
      </c>
      <c r="U72" s="60">
        <f t="shared" si="15"/>
        <v>84.680630503930004</v>
      </c>
      <c r="V72" s="60">
        <f t="shared" si="15"/>
        <v>86.228593318226146</v>
      </c>
      <c r="W72" s="60">
        <f t="shared" si="15"/>
        <v>87.736226032113436</v>
      </c>
      <c r="X72" s="60">
        <f t="shared" si="15"/>
        <v>89.412913763276876</v>
      </c>
      <c r="Y72" s="60">
        <f t="shared" si="15"/>
        <v>91.897585910657085</v>
      </c>
      <c r="Z72" s="60">
        <f t="shared" si="15"/>
        <v>94.071300527022444</v>
      </c>
      <c r="AA72" s="60">
        <f t="shared" si="15"/>
        <v>1580.0069334810123</v>
      </c>
      <c r="AB72" s="60">
        <f t="shared" si="15"/>
        <v>2828.973367611537</v>
      </c>
      <c r="AC72" s="60">
        <f t="shared" si="15"/>
        <v>4725.9278367407333</v>
      </c>
      <c r="AD72" s="60">
        <f t="shared" si="15"/>
        <v>7428.7113746583109</v>
      </c>
      <c r="AE72" s="60">
        <f t="shared" si="15"/>
        <v>10705.282956839595</v>
      </c>
    </row>
    <row r="73" spans="1:31" x14ac:dyDescent="0.25">
      <c r="A73" s="6" t="s">
        <v>568</v>
      </c>
      <c r="B73" s="23" t="s">
        <v>569</v>
      </c>
      <c r="C73" s="56">
        <v>1</v>
      </c>
      <c r="D73" s="56">
        <f>MAX(0,1-C78/Assumptions!$B$85)</f>
        <v>1</v>
      </c>
      <c r="E73" s="56">
        <f>MAX(0,1-D78/Assumptions!$B$85)</f>
        <v>1</v>
      </c>
      <c r="F73" s="56">
        <f>MAX(0,1-E78/Assumptions!$B$85)</f>
        <v>1</v>
      </c>
      <c r="G73" s="56">
        <f>MAX(0,1-F78/Assumptions!$B$85)</f>
        <v>1</v>
      </c>
      <c r="H73" s="56">
        <f>MAX(0,1-G78/Assumptions!$B$85)</f>
        <v>1</v>
      </c>
      <c r="I73" s="56">
        <f>MAX(0,1-H78/Assumptions!$B$85)</f>
        <v>1</v>
      </c>
      <c r="J73" s="56">
        <f>MAX(0,1-I78/Assumptions!$B$85)</f>
        <v>1</v>
      </c>
      <c r="K73" s="56">
        <f>MAX(0,1-J78/Assumptions!$B$85)</f>
        <v>1</v>
      </c>
      <c r="L73" s="56">
        <f>MAX(0,1-K78/Assumptions!$B$85)</f>
        <v>1</v>
      </c>
      <c r="M73" s="56">
        <f>MAX(0,1-L78/Assumptions!$B$85)</f>
        <v>1</v>
      </c>
      <c r="N73" s="56">
        <f>MAX(0,1-M78/Assumptions!$B$85)</f>
        <v>1</v>
      </c>
      <c r="O73" s="56">
        <f>MAX(0,1-N78/Assumptions!$B$85)</f>
        <v>1</v>
      </c>
      <c r="P73" s="56">
        <f>MAX(0,1-O78/Assumptions!$B$85)</f>
        <v>0.99796976400125792</v>
      </c>
      <c r="Q73" s="56">
        <f>MAX(0,1-P78/Assumptions!$B$85)</f>
        <v>0.99598513882588946</v>
      </c>
      <c r="R73" s="56">
        <f>MAX(0,1-Q78/Assumptions!$B$85)</f>
        <v>0.99403473508613915</v>
      </c>
      <c r="S73" s="56">
        <f>MAX(0,1-R78/Assumptions!$B$85)</f>
        <v>0.99154066661464491</v>
      </c>
      <c r="T73" s="56">
        <f>MAX(0,1-S78/Assumptions!$B$85)</f>
        <v>0.98922165488484792</v>
      </c>
      <c r="U73" s="56">
        <f>MAX(0,1-T78/Assumptions!$B$85)</f>
        <v>0.98721306116348373</v>
      </c>
      <c r="V73" s="56">
        <f>MAX(0,1-U78/Assumptions!$B$85)</f>
        <v>0.98523803862796566</v>
      </c>
      <c r="W73" s="56">
        <f>MAX(0,1-V78/Assumptions!$B$85)</f>
        <v>0.98323093612670587</v>
      </c>
      <c r="X73" s="56">
        <f>MAX(0,1-W78/Assumptions!$B$85)</f>
        <v>0.98100108644917672</v>
      </c>
      <c r="Y73" s="56">
        <f>MAX(0,1-X78/Assumptions!$B$85)</f>
        <v>0.97795362722557444</v>
      </c>
      <c r="Z73" s="56">
        <f>MAX(0,1-Y78/Assumptions!$B$85)</f>
        <v>0.97508100603909065</v>
      </c>
      <c r="AA73" s="56">
        <f>MAX(0,1-Z78/Assumptions!$B$85)</f>
        <v>0.97250600521245945</v>
      </c>
      <c r="AB73" s="56">
        <f>MAX(0,1-AA78/Assumptions!$B$85)</f>
        <v>0.9297979850923983</v>
      </c>
      <c r="AC73" s="56">
        <f>MAX(0,1-AB78/Assumptions!$B$85)</f>
        <v>0.85668818206932706</v>
      </c>
      <c r="AD73" s="56">
        <f>MAX(0,1-AC78/Assumptions!$B$85)</f>
        <v>0.74415826058731993</v>
      </c>
      <c r="AE73" s="56">
        <f>MAX(0,1-AD78/Assumptions!$B$85)</f>
        <v>0.59050671035242985</v>
      </c>
    </row>
    <row r="74" spans="1:31" x14ac:dyDescent="0.25">
      <c r="A74" s="6" t="s">
        <v>570</v>
      </c>
      <c r="B74" s="23" t="s">
        <v>190</v>
      </c>
      <c r="C74" s="60">
        <f t="shared" ref="C74:AE74" si="16">C72*C73*C15</f>
        <v>0</v>
      </c>
      <c r="D74" s="60">
        <f t="shared" si="16"/>
        <v>0</v>
      </c>
      <c r="E74" s="60">
        <f t="shared" si="16"/>
        <v>0</v>
      </c>
      <c r="F74" s="60">
        <f t="shared" si="16"/>
        <v>0</v>
      </c>
      <c r="G74" s="60">
        <f t="shared" si="16"/>
        <v>0</v>
      </c>
      <c r="H74" s="60">
        <f t="shared" si="16"/>
        <v>0</v>
      </c>
      <c r="I74" s="60">
        <f t="shared" si="16"/>
        <v>0</v>
      </c>
      <c r="J74" s="60">
        <f t="shared" si="16"/>
        <v>0</v>
      </c>
      <c r="K74" s="60">
        <f t="shared" si="16"/>
        <v>0</v>
      </c>
      <c r="L74" s="60">
        <f t="shared" si="16"/>
        <v>0</v>
      </c>
      <c r="M74" s="60">
        <f t="shared" si="16"/>
        <v>0</v>
      </c>
      <c r="N74" s="60">
        <f t="shared" si="16"/>
        <v>0</v>
      </c>
      <c r="O74" s="60">
        <f t="shared" si="16"/>
        <v>73.044642857142861</v>
      </c>
      <c r="P74" s="60">
        <f t="shared" si="16"/>
        <v>71.403638409473913</v>
      </c>
      <c r="Q74" s="60">
        <f t="shared" si="16"/>
        <v>70.172405910234659</v>
      </c>
      <c r="R74" s="60">
        <f t="shared" si="16"/>
        <v>89.732593094809744</v>
      </c>
      <c r="S74" s="60">
        <f t="shared" si="16"/>
        <v>83.434331619327182</v>
      </c>
      <c r="T74" s="60">
        <f t="shared" si="16"/>
        <v>72.265988344730289</v>
      </c>
      <c r="U74" s="60">
        <f t="shared" si="16"/>
        <v>71.058150791882824</v>
      </c>
      <c r="V74" s="60">
        <f t="shared" si="16"/>
        <v>72.212336631322984</v>
      </c>
      <c r="W74" s="60">
        <f t="shared" si="16"/>
        <v>80.226423638014623</v>
      </c>
      <c r="X74" s="60">
        <f t="shared" si="16"/>
        <v>109.64270693045145</v>
      </c>
      <c r="Y74" s="60">
        <f t="shared" si="16"/>
        <v>103.35231409579107</v>
      </c>
      <c r="Z74" s="60">
        <f t="shared" si="16"/>
        <v>92.64440974086763</v>
      </c>
      <c r="AA74" s="60">
        <f t="shared" si="16"/>
        <v>1536.5662310876073</v>
      </c>
      <c r="AB74" s="60">
        <f t="shared" si="16"/>
        <v>2630.3737370852637</v>
      </c>
      <c r="AC74" s="60">
        <f t="shared" si="16"/>
        <v>4048.6465270482463</v>
      </c>
      <c r="AD74" s="60">
        <f t="shared" si="16"/>
        <v>5528.1369349709666</v>
      </c>
      <c r="AE74" s="60">
        <f t="shared" si="16"/>
        <v>6321.5414222352829</v>
      </c>
    </row>
    <row r="75" spans="1:31" x14ac:dyDescent="0.25">
      <c r="A75" s="6" t="s">
        <v>571</v>
      </c>
      <c r="B75" s="23" t="s">
        <v>190</v>
      </c>
      <c r="C75" s="28">
        <f>C74*(1-Assumptions!$B$134)^(C7/2)</f>
        <v>0</v>
      </c>
      <c r="D75" s="28">
        <f>C75*(1-Assumptions!$B$134)^D7+D74*(1-Assumptions!$B$134)^(D7/2)</f>
        <v>0</v>
      </c>
      <c r="E75" s="28">
        <f>D75*(1-Assumptions!$B$134)^E7+E74*(1-Assumptions!$B$134)^(E7/2)</f>
        <v>0</v>
      </c>
      <c r="F75" s="28">
        <f>E75*(1-Assumptions!$B$134)^F7+F74*(1-Assumptions!$B$134)^(F7/2)</f>
        <v>0</v>
      </c>
      <c r="G75" s="28">
        <f>F75*(1-Assumptions!$B$134)^G7+G74*(1-Assumptions!$B$134)^(G7/2)</f>
        <v>0</v>
      </c>
      <c r="H75" s="28">
        <f>G75*(1-Assumptions!$B$134)^H7+H74*(1-Assumptions!$B$134)^(H7/2)</f>
        <v>0</v>
      </c>
      <c r="I75" s="28">
        <f>H75*(1-Assumptions!$B$134)^I7+I74*(1-Assumptions!$B$134)^(I7/2)</f>
        <v>0</v>
      </c>
      <c r="J75" s="28">
        <f>I75*(1-Assumptions!$B$134)^J7+J74*(1-Assumptions!$B$134)^(J7/2)</f>
        <v>0</v>
      </c>
      <c r="K75" s="28">
        <f>J75*(1-Assumptions!$B$134)^K7+K74*(1-Assumptions!$B$134)^(K7/2)</f>
        <v>0</v>
      </c>
      <c r="L75" s="28">
        <f>K75*(1-Assumptions!$B$134)^L7+L74*(1-Assumptions!$B$134)^(L7/2)</f>
        <v>0</v>
      </c>
      <c r="M75" s="28">
        <f>L75*(1-Assumptions!$B$134)^M7+M74*(1-Assumptions!$B$134)^(M7/2)</f>
        <v>0</v>
      </c>
      <c r="N75" s="28">
        <f>M75*(1-Assumptions!$B$134)^N7+N74*(1-Assumptions!$B$134)^(N7/2)</f>
        <v>0</v>
      </c>
      <c r="O75" s="28">
        <f>N75*(1-Assumptions!$B$134)^O7+O74*(1-Assumptions!$B$134)^(O7/2)</f>
        <v>71.247585096158687</v>
      </c>
      <c r="P75" s="28">
        <f>O75*(1-Assumptions!$B$134)^P7+P74*(1-Assumptions!$B$134)^(P7/2)</f>
        <v>137.43196945418237</v>
      </c>
      <c r="Q75" s="28">
        <f>P75*(1-Assumptions!$B$134)^Q7+Q74*(1-Assumptions!$B$134)^(Q7/2)</f>
        <v>199.19891074159563</v>
      </c>
      <c r="R75" s="28">
        <f>Q75*(1-Assumptions!$B$134)^R7+R74*(1-Assumptions!$B$134)^(R7/2)</f>
        <v>277.04299806659316</v>
      </c>
      <c r="S75" s="28">
        <f>R75*(1-Assumptions!$B$134)^S7+S74*(1-Assumptions!$B$134)^(S7/2)</f>
        <v>344.96062224299453</v>
      </c>
      <c r="T75" s="28">
        <f>S75*(1-Assumptions!$B$134)^T7+T74*(1-Assumptions!$B$134)^(T7/2)</f>
        <v>398.68393330649775</v>
      </c>
      <c r="U75" s="28">
        <f>T75*(1-Assumptions!$B$134)^U7+U74*(1-Assumptions!$B$134)^(U7/2)</f>
        <v>448.61821763863168</v>
      </c>
      <c r="V75" s="28">
        <f>U75*(1-Assumptions!$B$134)^V7+V74*(1-Assumptions!$B$134)^(V7/2)</f>
        <v>497.25153098983452</v>
      </c>
      <c r="W75" s="28">
        <f>V75*(1-Assumptions!$B$134)^W7+W74*(1-Assumptions!$B$134)^(W7/2)</f>
        <v>551.33823199510664</v>
      </c>
      <c r="X75" s="28">
        <f>W75*(1-Assumptions!$B$134)^X7+X74*(1-Assumptions!$B$134)^(X7/2)</f>
        <v>631.48894642672633</v>
      </c>
      <c r="Y75" s="28">
        <f>X75*(1-Assumptions!$B$134)^Y7+Y74*(1-Assumptions!$B$134)^(Y7/2)</f>
        <v>701.60877276109284</v>
      </c>
      <c r="Z75" s="28">
        <f>Y75*(1-Assumptions!$B$134)^Z7+Z74*(1-Assumptions!$B$134)^(Z7/2)</f>
        <v>757.87637205400245</v>
      </c>
      <c r="AA75" s="28">
        <f>Z75*(1-Assumptions!$B$134)^AA7+AA74*(1-Assumptions!$B$134)^(AA7/2)</f>
        <v>1556.3800204611214</v>
      </c>
      <c r="AB75" s="28">
        <f>AA75*(1-Assumptions!$B$134)^AB7+AB74*(1-Assumptions!$B$134)^(AB7/2)</f>
        <v>2806.7463842004067</v>
      </c>
      <c r="AC75" s="28">
        <f>AB75*(1-Assumptions!$B$134)^AC7+AC74*(1-Assumptions!$B$134)^(AC7/2)</f>
        <v>4546.2671361782559</v>
      </c>
      <c r="AD75" s="28">
        <f>AC75*(1-Assumptions!$B$134)^AD7+AD74*(1-Assumptions!$B$134)^(AD7/2)</f>
        <v>6600.2230022569756</v>
      </c>
      <c r="AE75" s="28">
        <f>AD75*(1-Assumptions!$B$134)^AE7+AE74*(1-Assumptions!$B$134)^(AE7/2)</f>
        <v>8318.3032444107248</v>
      </c>
    </row>
    <row r="76" spans="1:31" x14ac:dyDescent="0.25">
      <c r="A76" s="6" t="s">
        <v>572</v>
      </c>
      <c r="B76" s="23" t="s">
        <v>190</v>
      </c>
      <c r="C76" s="60">
        <f>C74-C75</f>
        <v>0</v>
      </c>
      <c r="D76" s="60">
        <f t="shared" ref="D76:AE76" si="17">C75+D74-D75</f>
        <v>0</v>
      </c>
      <c r="E76" s="60">
        <f t="shared" si="17"/>
        <v>0</v>
      </c>
      <c r="F76" s="60">
        <f t="shared" si="17"/>
        <v>0</v>
      </c>
      <c r="G76" s="60">
        <f t="shared" si="17"/>
        <v>0</v>
      </c>
      <c r="H76" s="60">
        <f t="shared" si="17"/>
        <v>0</v>
      </c>
      <c r="I76" s="60">
        <f t="shared" si="17"/>
        <v>0</v>
      </c>
      <c r="J76" s="60">
        <f t="shared" si="17"/>
        <v>0</v>
      </c>
      <c r="K76" s="60">
        <f t="shared" si="17"/>
        <v>0</v>
      </c>
      <c r="L76" s="60">
        <f t="shared" si="17"/>
        <v>0</v>
      </c>
      <c r="M76" s="60">
        <f t="shared" si="17"/>
        <v>0</v>
      </c>
      <c r="N76" s="60">
        <f t="shared" si="17"/>
        <v>0</v>
      </c>
      <c r="O76" s="60">
        <f t="shared" si="17"/>
        <v>1.797057760984174</v>
      </c>
      <c r="P76" s="60">
        <f t="shared" si="17"/>
        <v>5.2192540514502355</v>
      </c>
      <c r="Q76" s="60">
        <f t="shared" si="17"/>
        <v>8.4054646228213983</v>
      </c>
      <c r="R76" s="60">
        <f t="shared" si="17"/>
        <v>11.888505769812184</v>
      </c>
      <c r="S76" s="60">
        <f t="shared" si="17"/>
        <v>15.516707442925792</v>
      </c>
      <c r="T76" s="60">
        <f t="shared" si="17"/>
        <v>18.5426772812271</v>
      </c>
      <c r="U76" s="60">
        <f t="shared" si="17"/>
        <v>21.123866459748911</v>
      </c>
      <c r="V76" s="60">
        <f t="shared" si="17"/>
        <v>23.579023280120111</v>
      </c>
      <c r="W76" s="60">
        <f t="shared" si="17"/>
        <v>26.139722632742519</v>
      </c>
      <c r="X76" s="60">
        <f t="shared" si="17"/>
        <v>29.491992498831792</v>
      </c>
      <c r="Y76" s="60">
        <f t="shared" si="17"/>
        <v>33.232487761424522</v>
      </c>
      <c r="Z76" s="60">
        <f t="shared" si="17"/>
        <v>36.376810447958064</v>
      </c>
      <c r="AA76" s="60">
        <f t="shared" si="17"/>
        <v>738.06258268048828</v>
      </c>
      <c r="AB76" s="60">
        <f t="shared" si="17"/>
        <v>1380.0073733459781</v>
      </c>
      <c r="AC76" s="60">
        <f t="shared" si="17"/>
        <v>2309.1257750703971</v>
      </c>
      <c r="AD76" s="60">
        <f t="shared" si="17"/>
        <v>3474.1810688922478</v>
      </c>
      <c r="AE76" s="60">
        <f t="shared" si="17"/>
        <v>4603.4611800815346</v>
      </c>
    </row>
    <row r="77" spans="1:31" x14ac:dyDescent="0.25">
      <c r="A77" s="6" t="s">
        <v>573</v>
      </c>
      <c r="B77" s="23" t="s">
        <v>190</v>
      </c>
      <c r="C77" s="50">
        <f>C76</f>
        <v>0</v>
      </c>
      <c r="D77" s="50">
        <f t="shared" ref="D77:AE77" si="18">C77+D76</f>
        <v>0</v>
      </c>
      <c r="E77" s="50">
        <f t="shared" si="18"/>
        <v>0</v>
      </c>
      <c r="F77" s="50">
        <f t="shared" si="18"/>
        <v>0</v>
      </c>
      <c r="G77" s="50">
        <f t="shared" si="18"/>
        <v>0</v>
      </c>
      <c r="H77" s="50">
        <f t="shared" si="18"/>
        <v>0</v>
      </c>
      <c r="I77" s="50">
        <f t="shared" si="18"/>
        <v>0</v>
      </c>
      <c r="J77" s="50">
        <f t="shared" si="18"/>
        <v>0</v>
      </c>
      <c r="K77" s="50">
        <f t="shared" si="18"/>
        <v>0</v>
      </c>
      <c r="L77" s="50">
        <f t="shared" si="18"/>
        <v>0</v>
      </c>
      <c r="M77" s="50">
        <f t="shared" si="18"/>
        <v>0</v>
      </c>
      <c r="N77" s="50">
        <f t="shared" si="18"/>
        <v>0</v>
      </c>
      <c r="O77" s="50">
        <f t="shared" si="18"/>
        <v>1.797057760984174</v>
      </c>
      <c r="P77" s="50">
        <f t="shared" si="18"/>
        <v>7.0163118124344095</v>
      </c>
      <c r="Q77" s="50">
        <f t="shared" si="18"/>
        <v>15.421776435255808</v>
      </c>
      <c r="R77" s="50">
        <f t="shared" si="18"/>
        <v>27.310282205067992</v>
      </c>
      <c r="S77" s="50">
        <f t="shared" si="18"/>
        <v>42.826989647993784</v>
      </c>
      <c r="T77" s="50">
        <f t="shared" si="18"/>
        <v>61.369666929220884</v>
      </c>
      <c r="U77" s="50">
        <f t="shared" si="18"/>
        <v>82.493533388969794</v>
      </c>
      <c r="V77" s="50">
        <f t="shared" si="18"/>
        <v>106.07255666908991</v>
      </c>
      <c r="W77" s="50">
        <f t="shared" si="18"/>
        <v>132.21227930183244</v>
      </c>
      <c r="X77" s="50">
        <f t="shared" si="18"/>
        <v>161.70427180066423</v>
      </c>
      <c r="Y77" s="50">
        <f t="shared" si="18"/>
        <v>194.93675956208875</v>
      </c>
      <c r="Z77" s="50">
        <f t="shared" si="18"/>
        <v>231.31357001004682</v>
      </c>
      <c r="AA77" s="50">
        <f t="shared" si="18"/>
        <v>969.37615269053504</v>
      </c>
      <c r="AB77" s="50">
        <f t="shared" si="18"/>
        <v>2349.3835260365131</v>
      </c>
      <c r="AC77" s="50">
        <f t="shared" si="18"/>
        <v>4658.5093011069102</v>
      </c>
      <c r="AD77" s="50">
        <f t="shared" si="18"/>
        <v>8132.6903699991581</v>
      </c>
      <c r="AE77" s="50">
        <f t="shared" si="18"/>
        <v>12736.151550080693</v>
      </c>
    </row>
    <row r="78" spans="1:31" x14ac:dyDescent="0.25">
      <c r="A78" s="6" t="s">
        <v>574</v>
      </c>
      <c r="B78" s="23" t="s">
        <v>190</v>
      </c>
      <c r="C78" s="50">
        <f>C74</f>
        <v>0</v>
      </c>
      <c r="D78" s="50">
        <f t="shared" ref="D78:AE78" si="19">C78+D74</f>
        <v>0</v>
      </c>
      <c r="E78" s="50">
        <f t="shared" si="19"/>
        <v>0</v>
      </c>
      <c r="F78" s="50">
        <f t="shared" si="19"/>
        <v>0</v>
      </c>
      <c r="G78" s="50">
        <f t="shared" si="19"/>
        <v>0</v>
      </c>
      <c r="H78" s="50">
        <f t="shared" si="19"/>
        <v>0</v>
      </c>
      <c r="I78" s="50">
        <f t="shared" si="19"/>
        <v>0</v>
      </c>
      <c r="J78" s="50">
        <f t="shared" si="19"/>
        <v>0</v>
      </c>
      <c r="K78" s="50">
        <f t="shared" si="19"/>
        <v>0</v>
      </c>
      <c r="L78" s="50">
        <f t="shared" si="19"/>
        <v>0</v>
      </c>
      <c r="M78" s="50">
        <f t="shared" si="19"/>
        <v>0</v>
      </c>
      <c r="N78" s="50">
        <f t="shared" si="19"/>
        <v>0</v>
      </c>
      <c r="O78" s="50">
        <f t="shared" si="19"/>
        <v>73.044642857142861</v>
      </c>
      <c r="P78" s="50">
        <f t="shared" si="19"/>
        <v>144.44828126661679</v>
      </c>
      <c r="Q78" s="50">
        <f t="shared" si="19"/>
        <v>214.62068717685145</v>
      </c>
      <c r="R78" s="50">
        <f t="shared" si="19"/>
        <v>304.35328027166122</v>
      </c>
      <c r="S78" s="50">
        <f t="shared" si="19"/>
        <v>387.78761189098839</v>
      </c>
      <c r="T78" s="50">
        <f t="shared" si="19"/>
        <v>460.0536002357187</v>
      </c>
      <c r="U78" s="50">
        <f t="shared" si="19"/>
        <v>531.11175102760149</v>
      </c>
      <c r="V78" s="50">
        <f t="shared" si="19"/>
        <v>603.32408765892444</v>
      </c>
      <c r="W78" s="50">
        <f t="shared" si="19"/>
        <v>683.55051129693902</v>
      </c>
      <c r="X78" s="50">
        <f t="shared" si="19"/>
        <v>793.1932182273905</v>
      </c>
      <c r="Y78" s="50">
        <f t="shared" si="19"/>
        <v>896.54553232318153</v>
      </c>
      <c r="Z78" s="50">
        <f t="shared" si="19"/>
        <v>989.18994206404921</v>
      </c>
      <c r="AA78" s="50">
        <f t="shared" si="19"/>
        <v>2525.7561731516566</v>
      </c>
      <c r="AB78" s="50">
        <f t="shared" si="19"/>
        <v>5156.1299102369203</v>
      </c>
      <c r="AC78" s="50">
        <f t="shared" si="19"/>
        <v>9204.776437285167</v>
      </c>
      <c r="AD78" s="50">
        <f t="shared" si="19"/>
        <v>14732.913372256135</v>
      </c>
      <c r="AE78" s="50">
        <f t="shared" si="19"/>
        <v>21054.454794491416</v>
      </c>
    </row>
    <row r="79" spans="1:31" x14ac:dyDescent="0.25">
      <c r="A79" s="6" t="s">
        <v>575</v>
      </c>
      <c r="B79" s="23" t="s">
        <v>114</v>
      </c>
      <c r="C79" s="61">
        <f>IF(C2&gt;=Assumptions!$B$47,C75*Assumptions!$B$191*C7,0)</f>
        <v>0</v>
      </c>
      <c r="D79" s="61">
        <f>IF(D2&gt;=Assumptions!$B$47,D75*Assumptions!$B$191*D7,0)</f>
        <v>0</v>
      </c>
      <c r="E79" s="61">
        <f>IF(E2&gt;=Assumptions!$B$47,E75*Assumptions!$B$191*E7,0)</f>
        <v>0</v>
      </c>
      <c r="F79" s="61">
        <f>IF(F2&gt;=Assumptions!$B$47,F75*Assumptions!$B$191*F7,0)</f>
        <v>0</v>
      </c>
      <c r="G79" s="61">
        <f>IF(G2&gt;=Assumptions!$B$47,G75*Assumptions!$B$191*G7,0)</f>
        <v>0</v>
      </c>
      <c r="H79" s="61">
        <f>IF(H2&gt;=Assumptions!$B$47,H75*Assumptions!$B$191*H7,0)</f>
        <v>0</v>
      </c>
      <c r="I79" s="61">
        <f>IF(I2&gt;=Assumptions!$B$47,I75*Assumptions!$B$191*I7,0)</f>
        <v>0</v>
      </c>
      <c r="J79" s="61">
        <f>IF(J2&gt;=Assumptions!$B$47,J75*Assumptions!$B$191*J7,0)</f>
        <v>0</v>
      </c>
      <c r="K79" s="61">
        <f>IF(K2&gt;=Assumptions!$B$47,K75*Assumptions!$B$191*K7,0)</f>
        <v>0</v>
      </c>
      <c r="L79" s="61">
        <f>IF(L2&gt;=Assumptions!$B$47,L75*Assumptions!$B$191*L7,0)</f>
        <v>0</v>
      </c>
      <c r="M79" s="61">
        <f>IF(M2&gt;=Assumptions!$B$47,M75*Assumptions!$B$191*M7,0)</f>
        <v>0</v>
      </c>
      <c r="N79" s="61">
        <f>IF(N2&gt;=Assumptions!$B$47,N75*Assumptions!$B$191*N7,0)</f>
        <v>0</v>
      </c>
      <c r="O79" s="61">
        <f>IF(O2&gt;=Assumptions!$B$47,O75*Assumptions!$B$191*O7,0)</f>
        <v>1852.437212500126</v>
      </c>
      <c r="P79" s="61">
        <f>IF(P2&gt;=Assumptions!$B$47,P75*Assumptions!$B$191*P7,0)</f>
        <v>3573.2312058087414</v>
      </c>
      <c r="Q79" s="61">
        <f>IF(Q2&gt;=Assumptions!$B$47,Q75*Assumptions!$B$191*Q7,0)</f>
        <v>5179.1716792814859</v>
      </c>
      <c r="R79" s="61">
        <f>IF(R2&gt;=Assumptions!$B$47,R75*Assumptions!$B$191*R7,0)</f>
        <v>7203.1179497314224</v>
      </c>
      <c r="S79" s="61">
        <f>IF(S2&gt;=Assumptions!$B$47,S75*Assumptions!$B$191*S7,0)</f>
        <v>8968.9761783178583</v>
      </c>
      <c r="T79" s="61">
        <f>IF(T2&gt;=Assumptions!$B$47,T75*Assumptions!$B$191*T7,0)</f>
        <v>10365.782265968941</v>
      </c>
      <c r="U79" s="61">
        <f>IF(U2&gt;=Assumptions!$B$47,U75*Assumptions!$B$191*U7,0)</f>
        <v>11664.073658604424</v>
      </c>
      <c r="V79" s="61">
        <f>IF(V2&gt;=Assumptions!$B$47,V75*Assumptions!$B$191*V7,0)</f>
        <v>12928.539805735698</v>
      </c>
      <c r="W79" s="61">
        <f>IF(W2&gt;=Assumptions!$B$47,W75*Assumptions!$B$191*W7,0)</f>
        <v>14334.794031872772</v>
      </c>
      <c r="X79" s="61">
        <f>IF(X2&gt;=Assumptions!$B$47,X75*Assumptions!$B$191*X7,0)</f>
        <v>16418.712607094883</v>
      </c>
      <c r="Y79" s="61">
        <f>IF(Y2&gt;=Assumptions!$B$47,Y75*Assumptions!$B$191*Y7,0)</f>
        <v>18241.828091788415</v>
      </c>
      <c r="Z79" s="61">
        <f>IF(Z2&gt;=Assumptions!$B$47,Z75*Assumptions!$B$191*Z7,0)</f>
        <v>19704.785673404065</v>
      </c>
      <c r="AA79" s="61">
        <f>IF(AA2&gt;=Assumptions!$B$47,AA75*Assumptions!$B$191*AA7,0)</f>
        <v>485590.56638386985</v>
      </c>
      <c r="AB79" s="61">
        <f>IF(AB2&gt;=Assumptions!$B$47,AB75*Assumptions!$B$191*AB7,0)</f>
        <v>875704.87187052681</v>
      </c>
      <c r="AC79" s="61">
        <f>IF(AC2&gt;=Assumptions!$B$47,AC75*Assumptions!$B$191*AC7,0)</f>
        <v>1418435.3464876157</v>
      </c>
      <c r="AD79" s="61">
        <f>IF(AD2&gt;=Assumptions!$B$47,AD75*Assumptions!$B$191*AD7,0)</f>
        <v>2059269.5767041764</v>
      </c>
      <c r="AE79" s="61">
        <f>IF(AE2&gt;=Assumptions!$B$47,AE75*Assumptions!$B$191*AE7,0)</f>
        <v>2595310.612256146</v>
      </c>
    </row>
    <row r="80" spans="1:31" x14ac:dyDescent="0.25">
      <c r="A80" s="6" t="s">
        <v>576</v>
      </c>
      <c r="B80" s="23" t="s">
        <v>114</v>
      </c>
      <c r="C80" s="61">
        <f>IF(C2&gt;=Assumptions!$B$48,C75*Assumptions!$B$36*Assumptions!$B$154*Assumptions!$B$156*Assumptions!$B$33*Assumptions!$B$155/12*C7,0)</f>
        <v>0</v>
      </c>
      <c r="D80" s="61">
        <f>IF(D2&gt;=Assumptions!$B$48,D75*Assumptions!$B$36*Assumptions!$B$154*Assumptions!$B$156*Assumptions!$B$33*Assumptions!$B$155/12*D7,0)</f>
        <v>0</v>
      </c>
      <c r="E80" s="61">
        <f>IF(E2&gt;=Assumptions!$B$48,E75*Assumptions!$B$36*Assumptions!$B$154*Assumptions!$B$156*Assumptions!$B$33*Assumptions!$B$155/12*E7,0)</f>
        <v>0</v>
      </c>
      <c r="F80" s="61">
        <f>IF(F2&gt;=Assumptions!$B$48,F75*Assumptions!$B$36*Assumptions!$B$154*Assumptions!$B$156*Assumptions!$B$33*Assumptions!$B$155/12*F7,0)</f>
        <v>0</v>
      </c>
      <c r="G80" s="61">
        <f>IF(G2&gt;=Assumptions!$B$48,G75*Assumptions!$B$36*Assumptions!$B$154*Assumptions!$B$156*Assumptions!$B$33*Assumptions!$B$155/12*G7,0)</f>
        <v>0</v>
      </c>
      <c r="H80" s="61">
        <f>IF(H2&gt;=Assumptions!$B$48,H75*Assumptions!$B$36*Assumptions!$B$154*Assumptions!$B$156*Assumptions!$B$33*Assumptions!$B$155/12*H7,0)</f>
        <v>0</v>
      </c>
      <c r="I80" s="61">
        <f>IF(I2&gt;=Assumptions!$B$48,I75*Assumptions!$B$36*Assumptions!$B$154*Assumptions!$B$156*Assumptions!$B$33*Assumptions!$B$155/12*I7,0)</f>
        <v>0</v>
      </c>
      <c r="J80" s="61">
        <f>IF(J2&gt;=Assumptions!$B$48,J75*Assumptions!$B$36*Assumptions!$B$154*Assumptions!$B$156*Assumptions!$B$33*Assumptions!$B$155/12*J7,0)</f>
        <v>0</v>
      </c>
      <c r="K80" s="61">
        <f>IF(K2&gt;=Assumptions!$B$48,K75*Assumptions!$B$36*Assumptions!$B$154*Assumptions!$B$156*Assumptions!$B$33*Assumptions!$B$155/12*K7,0)</f>
        <v>0</v>
      </c>
      <c r="L80" s="61">
        <f>IF(L2&gt;=Assumptions!$B$48,L75*Assumptions!$B$36*Assumptions!$B$154*Assumptions!$B$156*Assumptions!$B$33*Assumptions!$B$155/12*L7,0)</f>
        <v>0</v>
      </c>
      <c r="M80" s="61">
        <f>IF(M2&gt;=Assumptions!$B$48,M75*Assumptions!$B$36*Assumptions!$B$154*Assumptions!$B$156*Assumptions!$B$33*Assumptions!$B$155/12*M7,0)</f>
        <v>0</v>
      </c>
      <c r="N80" s="61">
        <f>IF(N2&gt;=Assumptions!$B$48,N75*Assumptions!$B$36*Assumptions!$B$154*Assumptions!$B$156*Assumptions!$B$33*Assumptions!$B$155/12*N7,0)</f>
        <v>0</v>
      </c>
      <c r="O80" s="61">
        <f>IF(O2&gt;=Assumptions!$B$48,O75*Assumptions!$B$36*Assumptions!$B$154*Assumptions!$B$156*Assumptions!$B$33*Assumptions!$B$155/12*O7,0)</f>
        <v>146.35441438502599</v>
      </c>
      <c r="P80" s="61">
        <f>IF(P2&gt;=Assumptions!$B$48,P75*Assumptions!$B$36*Assumptions!$B$154*Assumptions!$B$156*Assumptions!$B$33*Assumptions!$B$155/12*P7,0)</f>
        <v>282.30817058713296</v>
      </c>
      <c r="Q80" s="61">
        <f>IF(Q2&gt;=Assumptions!$B$48,Q75*Assumptions!$B$36*Assumptions!$B$154*Assumptions!$B$156*Assumptions!$B$33*Assumptions!$B$155/12*Q7,0)</f>
        <v>409.18776248169439</v>
      </c>
      <c r="R80" s="61">
        <f>IF(R2&gt;=Assumptions!$B$48,R75*Assumptions!$B$36*Assumptions!$B$154*Assumptions!$B$156*Assumptions!$B$33*Assumptions!$B$155/12*R7,0)</f>
        <v>569.09249186179341</v>
      </c>
      <c r="S80" s="61">
        <f>IF(S2&gt;=Assumptions!$B$48,S75*Assumptions!$B$36*Assumptions!$B$154*Assumptions!$B$156*Assumptions!$B$33*Assumptions!$B$155/12*S7,0)</f>
        <v>708.60661152415139</v>
      </c>
      <c r="T80" s="61">
        <f>IF(T2&gt;=Assumptions!$B$48,T75*Assumptions!$B$36*Assumptions!$B$154*Assumptions!$B$156*Assumptions!$B$33*Assumptions!$B$155/12*T7,0)</f>
        <v>818.96324633376423</v>
      </c>
      <c r="U80" s="61">
        <f>IF(U2&gt;=Assumptions!$B$48,U75*Assumptions!$B$36*Assumptions!$B$154*Assumptions!$B$156*Assumptions!$B$33*Assumptions!$B$155/12*U7,0)</f>
        <v>921.53658873268932</v>
      </c>
      <c r="V80" s="61">
        <f>IF(V2&gt;=Assumptions!$B$48,V75*Assumptions!$B$36*Assumptions!$B$154*Assumptions!$B$156*Assumptions!$B$33*Assumptions!$B$155/12*V7,0)</f>
        <v>1021.4375199082851</v>
      </c>
      <c r="W80" s="61">
        <f>IF(W2&gt;=Assumptions!$B$48,W75*Assumptions!$B$36*Assumptions!$B$154*Assumptions!$B$156*Assumptions!$B$33*Assumptions!$B$155/12*W7,0)</f>
        <v>1132.5406182232816</v>
      </c>
      <c r="X80" s="61">
        <f>IF(X2&gt;=Assumptions!$B$48,X75*Assumptions!$B$36*Assumptions!$B$154*Assumptions!$B$156*Assumptions!$B$33*Assumptions!$B$155/12*X7,0)</f>
        <v>1297.1835441182338</v>
      </c>
      <c r="Y80" s="61">
        <f>IF(Y2&gt;=Assumptions!$B$48,Y75*Assumptions!$B$36*Assumptions!$B$154*Assumptions!$B$156*Assumptions!$B$33*Assumptions!$B$155/12*Y7,0)</f>
        <v>1441.2213540467449</v>
      </c>
      <c r="Z80" s="61">
        <f>IF(Z2&gt;=Assumptions!$B$48,Z75*Assumptions!$B$36*Assumptions!$B$154*Assumptions!$B$156*Assumptions!$B$33*Assumptions!$B$155/12*Z7,0)</f>
        <v>1556.8043809275966</v>
      </c>
      <c r="AA80" s="61">
        <f>IF(AA2&gt;=Assumptions!$B$48,AA75*Assumptions!$B$36*Assumptions!$B$154*Assumptions!$B$156*Assumptions!$B$33*Assumptions!$B$155/12*AA7,0)</f>
        <v>38364.767504366646</v>
      </c>
      <c r="AB80" s="61">
        <f>IF(AB2&gt;=Assumptions!$B$48,AB75*Assumptions!$B$36*Assumptions!$B$154*Assumptions!$B$156*Assumptions!$B$33*Assumptions!$B$155/12*AB7,0)</f>
        <v>69186.29837054004</v>
      </c>
      <c r="AC80" s="61">
        <f>IF(AC2&gt;=Assumptions!$B$48,AC75*Assumptions!$B$36*Assumptions!$B$154*Assumptions!$B$156*Assumptions!$B$33*Assumptions!$B$155/12*AC7,0)</f>
        <v>112065.48490679401</v>
      </c>
      <c r="AD80" s="61">
        <f>IF(AD2&gt;=Assumptions!$B$48,AD75*Assumptions!$B$36*Assumptions!$B$154*Assumptions!$B$156*Assumptions!$B$33*Assumptions!$B$155/12*AD7,0)</f>
        <v>162695.49700563445</v>
      </c>
      <c r="AE80" s="61">
        <f>IF(AE2&gt;=Assumptions!$B$48,AE75*Assumptions!$B$36*Assumptions!$B$154*Assumptions!$B$156*Assumptions!$B$33*Assumptions!$B$155/12*AE7,0)</f>
        <v>205046.17497472439</v>
      </c>
    </row>
    <row r="81" spans="1:31" x14ac:dyDescent="0.25">
      <c r="A81" s="6" t="s">
        <v>577</v>
      </c>
      <c r="B81" s="23" t="s">
        <v>47</v>
      </c>
      <c r="C81" s="60">
        <f>(C79+C80)*(1-Assumptions!$B$8)/C20/(1+Assumptions!$B$9*(1-Assumptions!$B$229))</f>
        <v>0</v>
      </c>
      <c r="D81" s="60">
        <f>(D79+D80)*(1-Assumptions!$B$8)/D20/(1+Assumptions!$B$9*(1-Assumptions!$B$229))</f>
        <v>0</v>
      </c>
      <c r="E81" s="60">
        <f>(E79+E80)*(1-Assumptions!$B$8)/E20/(1+Assumptions!$B$9*(1-Assumptions!$B$229))</f>
        <v>0</v>
      </c>
      <c r="F81" s="60">
        <f>(F79+F80)*(1-Assumptions!$B$8)/F20/(1+Assumptions!$B$9*(1-Assumptions!$B$229))</f>
        <v>0</v>
      </c>
      <c r="G81" s="60">
        <f>(G79+G80)*(1-Assumptions!$B$8)/G20/(1+Assumptions!$B$9*(1-Assumptions!$B$229))</f>
        <v>0</v>
      </c>
      <c r="H81" s="60">
        <f>(H79+H80)*(1-Assumptions!$B$8)/H20/(1+Assumptions!$B$9*(1-Assumptions!$B$229))</f>
        <v>0</v>
      </c>
      <c r="I81" s="60">
        <f>(I79+I80)*(1-Assumptions!$B$8)/I20/(1+Assumptions!$B$9*(1-Assumptions!$B$229))</f>
        <v>0</v>
      </c>
      <c r="J81" s="60">
        <f>(J79+J80)*(1-Assumptions!$B$8)/J20/(1+Assumptions!$B$9*(1-Assumptions!$B$229))</f>
        <v>0</v>
      </c>
      <c r="K81" s="60">
        <f>(K79+K80)*(1-Assumptions!$B$8)/K20/(1+Assumptions!$B$9*(1-Assumptions!$B$229))</f>
        <v>0</v>
      </c>
      <c r="L81" s="60">
        <f>(L79+L80)*(1-Assumptions!$B$8)/L20/(1+Assumptions!$B$9*(1-Assumptions!$B$229))</f>
        <v>0</v>
      </c>
      <c r="M81" s="60">
        <f>(M79+M80)*(1-Assumptions!$B$8)/M20/(1+Assumptions!$B$9*(1-Assumptions!$B$229))</f>
        <v>0</v>
      </c>
      <c r="N81" s="60">
        <f>(N79+N80)*(1-Assumptions!$B$8)/N20/(1+Assumptions!$B$9*(1-Assumptions!$B$229))</f>
        <v>0</v>
      </c>
      <c r="O81" s="60">
        <f>(O79+O80)*(1-Assumptions!$B$8)/O20/(1+Assumptions!$B$9*(1-Assumptions!$B$229))</f>
        <v>12.417431675856724</v>
      </c>
      <c r="P81" s="60">
        <f>(P79+P80)*(1-Assumptions!$B$8)/P20/(1+Assumptions!$B$9*(1-Assumptions!$B$229))</f>
        <v>23.952420120239928</v>
      </c>
      <c r="Q81" s="60">
        <f>(Q79+Q80)*(1-Assumptions!$B$8)/Q20/(1+Assumptions!$B$9*(1-Assumptions!$B$229))</f>
        <v>34.717511627944376</v>
      </c>
      <c r="R81" s="60">
        <f>(R79+R80)*(1-Assumptions!$B$8)/R20/(1+Assumptions!$B$9*(1-Assumptions!$B$229))</f>
        <v>48.284618982151343</v>
      </c>
      <c r="S81" s="60">
        <f>(S79+S80)*(1-Assumptions!$B$8)/S20/(1+Assumptions!$B$9*(1-Assumptions!$B$229))</f>
        <v>60.121686254799847</v>
      </c>
      <c r="T81" s="60">
        <f>(T79+T80)*(1-Assumptions!$B$8)/T20/(1+Assumptions!$B$9*(1-Assumptions!$B$229))</f>
        <v>69.484888440972114</v>
      </c>
      <c r="U81" s="60">
        <f>(U79+U80)*(1-Assumptions!$B$8)/U20/(1+Assumptions!$B$9*(1-Assumptions!$B$229))</f>
        <v>78.18771764058954</v>
      </c>
      <c r="V81" s="60">
        <f>(V79+V80)*(1-Assumptions!$B$8)/V20/(1+Assumptions!$B$9*(1-Assumptions!$B$229))</f>
        <v>86.663806267229191</v>
      </c>
      <c r="W81" s="60">
        <f>(W79+W80)*(1-Assumptions!$B$8)/W20/(1+Assumptions!$B$9*(1-Assumptions!$B$229))</f>
        <v>96.090342105587993</v>
      </c>
      <c r="X81" s="60">
        <f>(X79+X80)*(1-Assumptions!$B$8)/X20/(1+Assumptions!$B$9*(1-Assumptions!$B$229))</f>
        <v>110.05946146426501</v>
      </c>
      <c r="Y81" s="60">
        <f>(Y79+Y80)*(1-Assumptions!$B$8)/Y20/(1+Assumptions!$B$9*(1-Assumptions!$B$229))</f>
        <v>122.28034097133593</v>
      </c>
      <c r="Z81" s="60">
        <f>(Z79+Z80)*(1-Assumptions!$B$8)/Z20/(1+Assumptions!$B$9*(1-Assumptions!$B$229))</f>
        <v>132.08697608523062</v>
      </c>
      <c r="AA81" s="60">
        <f>(AA79+AA80)*(1-Assumptions!$B$8)/AA20/(1+Assumptions!$B$9*(1-Assumptions!$B$229))</f>
        <v>3011.1530446108982</v>
      </c>
      <c r="AB81" s="60">
        <f>(AB79+AB80)*(1-Assumptions!$B$8)/AB20/(1+Assumptions!$B$9*(1-Assumptions!$B$229))</f>
        <v>5023.3641322827134</v>
      </c>
      <c r="AC81" s="60">
        <f>(AC79+AC80)*(1-Assumptions!$B$8)/AC20/(1+Assumptions!$B$9*(1-Assumptions!$B$229))</f>
        <v>7526.9797142110765</v>
      </c>
      <c r="AD81" s="60">
        <f>(AD79+AD80)*(1-Assumptions!$B$8)/AD20/(1+Assumptions!$B$9*(1-Assumptions!$B$229))</f>
        <v>10108.779183649256</v>
      </c>
      <c r="AE81" s="60">
        <f>(AE79+AE80)*(1-Assumptions!$B$8)/AE20/(1+Assumptions!$B$9*(1-Assumptions!$B$229))</f>
        <v>11785.53101731889</v>
      </c>
    </row>
    <row r="82" spans="1:31" x14ac:dyDescent="0.25">
      <c r="A82" s="6" t="s">
        <v>578</v>
      </c>
      <c r="B82" s="23" t="s">
        <v>579</v>
      </c>
      <c r="C82" s="62">
        <f>(Assumptions!$B$151+Assumptions!$B$152*IF(C75+C77=0,1,(C75+C77*Assumptions!$B$153)/(C75+C77)))*C7/12</f>
        <v>0.01</v>
      </c>
      <c r="D82" s="62">
        <f>(Assumptions!$B$151+Assumptions!$B$152*IF(D75+D77=0,1,(D75+D77*Assumptions!$B$153)/(D75+D77)))*D7/12</f>
        <v>0.01</v>
      </c>
      <c r="E82" s="62">
        <f>(Assumptions!$B$151+Assumptions!$B$152*IF(E75+E77=0,1,(E75+E77*Assumptions!$B$153)/(E75+E77)))*E7/12</f>
        <v>0.01</v>
      </c>
      <c r="F82" s="62">
        <f>(Assumptions!$B$151+Assumptions!$B$152*IF(F75+F77=0,1,(F75+F77*Assumptions!$B$153)/(F75+F77)))*F7/12</f>
        <v>0.01</v>
      </c>
      <c r="G82" s="62">
        <f>(Assumptions!$B$151+Assumptions!$B$152*IF(G75+G77=0,1,(G75+G77*Assumptions!$B$153)/(G75+G77)))*G7/12</f>
        <v>0.01</v>
      </c>
      <c r="H82" s="62">
        <f>(Assumptions!$B$151+Assumptions!$B$152*IF(H75+H77=0,1,(H75+H77*Assumptions!$B$153)/(H75+H77)))*H7/12</f>
        <v>0.01</v>
      </c>
      <c r="I82" s="62">
        <f>(Assumptions!$B$151+Assumptions!$B$152*IF(I75+I77=0,1,(I75+I77*Assumptions!$B$153)/(I75+I77)))*I7/12</f>
        <v>0.01</v>
      </c>
      <c r="J82" s="62">
        <f>(Assumptions!$B$151+Assumptions!$B$152*IF(J75+J77=0,1,(J75+J77*Assumptions!$B$153)/(J75+J77)))*J7/12</f>
        <v>0.01</v>
      </c>
      <c r="K82" s="62">
        <f>(Assumptions!$B$151+Assumptions!$B$152*IF(K75+K77=0,1,(K75+K77*Assumptions!$B$153)/(K75+K77)))*K7/12</f>
        <v>0.01</v>
      </c>
      <c r="L82" s="62">
        <f>(Assumptions!$B$151+Assumptions!$B$152*IF(L75+L77=0,1,(L75+L77*Assumptions!$B$153)/(L75+L77)))*L7/12</f>
        <v>0.01</v>
      </c>
      <c r="M82" s="62">
        <f>(Assumptions!$B$151+Assumptions!$B$152*IF(M75+M77=0,1,(M75+M77*Assumptions!$B$153)/(M75+M77)))*M7/12</f>
        <v>0.01</v>
      </c>
      <c r="N82" s="62">
        <f>(Assumptions!$B$151+Assumptions!$B$152*IF(N75+N77=0,1,(N75+N77*Assumptions!$B$153)/(N75+N77)))*N7/12</f>
        <v>0.01</v>
      </c>
      <c r="O82" s="62">
        <f>(Assumptions!$B$151+Assumptions!$B$152*IF(O75+O77=0,1,(O75+O77*Assumptions!$B$153)/(O75+O77)))*O7/12</f>
        <v>1.0073806552706356E-2</v>
      </c>
      <c r="P82" s="62">
        <f>(Assumptions!$B$151+Assumptions!$B$152*IF(P75+P77=0,1,(P75+P77*Assumptions!$B$153)/(P75+P77)))*P7/12</f>
        <v>1.014571952848959E-2</v>
      </c>
      <c r="Q82" s="62">
        <f>(Assumptions!$B$151+Assumptions!$B$152*IF(Q75+Q77=0,1,(Q75+Q77*Assumptions!$B$153)/(Q75+Q77)))*Q7/12</f>
        <v>1.0215567892892094E-2</v>
      </c>
      <c r="R82" s="62">
        <f>(Assumptions!$B$151+Assumptions!$B$152*IF(R75+R77=0,1,(R75+R77*Assumptions!$B$153)/(R75+R77)))*R7/12</f>
        <v>1.0269196528922159E-2</v>
      </c>
      <c r="S82" s="62">
        <f>(Assumptions!$B$151+Assumptions!$B$152*IF(S75+S77=0,1,(S75+S77*Assumptions!$B$153)/(S75+S77)))*S7/12</f>
        <v>1.0331317878664209E-2</v>
      </c>
      <c r="T82" s="62">
        <f>(Assumptions!$B$151+Assumptions!$B$152*IF(T75+T77=0,1,(T75+T77*Assumptions!$B$153)/(T75+T77)))*T7/12</f>
        <v>1.0400190327156075E-2</v>
      </c>
      <c r="U82" s="62">
        <f>(Assumptions!$B$151+Assumptions!$B$152*IF(U75+U77=0,1,(U75+U77*Assumptions!$B$153)/(U75+U77)))*U7/12</f>
        <v>1.0465967095791199E-2</v>
      </c>
      <c r="V82" s="62">
        <f>(Assumptions!$B$151+Assumptions!$B$152*IF(V75+V77=0,1,(V75+V77*Assumptions!$B$153)/(V75+V77)))*V7/12</f>
        <v>1.0527440684893002E-2</v>
      </c>
      <c r="W82" s="62">
        <f>(Assumptions!$B$151+Assumptions!$B$152*IF(W75+W77=0,1,(W75+W77*Assumptions!$B$153)/(W75+W77)))*W7/12</f>
        <v>1.0580259734065497E-2</v>
      </c>
      <c r="X82" s="62">
        <f>(Assumptions!$B$151+Assumptions!$B$152*IF(X75+X77=0,1,(X75+X77*Assumptions!$B$153)/(X75+X77)))*X7/12</f>
        <v>1.0611594759327506E-2</v>
      </c>
      <c r="Y82" s="62">
        <f>(Assumptions!$B$151+Assumptions!$B$152*IF(Y75+Y77=0,1,(Y75+Y77*Assumptions!$B$153)/(Y75+Y77)))*Y7/12</f>
        <v>1.0652292892666447E-2</v>
      </c>
      <c r="Z82" s="62">
        <f>(Assumptions!$B$151+Assumptions!$B$152*IF(Z75+Z77=0,1,(Z75+Z77*Assumptions!$B$153)/(Z75+Z77)))*Z7/12</f>
        <v>1.0701524227573684E-2</v>
      </c>
      <c r="AA82" s="62">
        <f>(Assumptions!$B$151+Assumptions!$B$152*IF(AA75+AA77=0,1,(AA75+AA77*Assumptions!$B$153)/(AA75+AA77)))*AA7/12</f>
        <v>0.133816670772822</v>
      </c>
      <c r="AB82" s="62">
        <f>(Assumptions!$B$151+Assumptions!$B$152*IF(AB75+AB77=0,1,(AB75+AB77*Assumptions!$B$153)/(AB75+AB77)))*AB7/12</f>
        <v>0.13640335065441131</v>
      </c>
      <c r="AC82" s="62">
        <f>(Assumptions!$B$151+Assumptions!$B$152*IF(AC75+AC77=0,1,(AC75+AC77*Assumptions!$B$153)/(AC75+AC77)))*AC7/12</f>
        <v>0.13821949028121225</v>
      </c>
      <c r="AD82" s="62">
        <f>(Assumptions!$B$151+Assumptions!$B$152*IF(AD75+AD77=0,1,(AD75+AD77*Assumptions!$B$153)/(AD75+AD77)))*AD7/12</f>
        <v>0.13987229856867983</v>
      </c>
      <c r="AE82" s="62">
        <f>(Assumptions!$B$151+Assumptions!$B$152*IF(AE75+AE77=0,1,(AE75+AE77*Assumptions!$B$153)/(AE75+AE77)))*AE7/12</f>
        <v>0.14177693320858942</v>
      </c>
    </row>
    <row r="83" spans="1:31" x14ac:dyDescent="0.25">
      <c r="A83" s="6" t="s">
        <v>580</v>
      </c>
      <c r="B83" s="23" t="s">
        <v>579</v>
      </c>
      <c r="C83" s="62">
        <f>Assumptions!$B$152*IF(C75+C77=0,1,(C75+C77*Assumptions!$B$153)/(C75+C77))*C7/12</f>
        <v>5.0000000000000001E-3</v>
      </c>
      <c r="D83" s="62">
        <f>Assumptions!$B$152*IF(D75+D77=0,1,(D75+D77*Assumptions!$B$153)/(D75+D77))*D7/12</f>
        <v>5.0000000000000001E-3</v>
      </c>
      <c r="E83" s="62">
        <f>Assumptions!$B$152*IF(E75+E77=0,1,(E75+E77*Assumptions!$B$153)/(E75+E77))*E7/12</f>
        <v>5.0000000000000001E-3</v>
      </c>
      <c r="F83" s="62">
        <f>Assumptions!$B$152*IF(F75+F77=0,1,(F75+F77*Assumptions!$B$153)/(F75+F77))*F7/12</f>
        <v>5.0000000000000001E-3</v>
      </c>
      <c r="G83" s="62">
        <f>Assumptions!$B$152*IF(G75+G77=0,1,(G75+G77*Assumptions!$B$153)/(G75+G77))*G7/12</f>
        <v>5.0000000000000001E-3</v>
      </c>
      <c r="H83" s="62">
        <f>Assumptions!$B$152*IF(H75+H77=0,1,(H75+H77*Assumptions!$B$153)/(H75+H77))*H7/12</f>
        <v>5.0000000000000001E-3</v>
      </c>
      <c r="I83" s="62">
        <f>Assumptions!$B$152*IF(I75+I77=0,1,(I75+I77*Assumptions!$B$153)/(I75+I77))*I7/12</f>
        <v>5.0000000000000001E-3</v>
      </c>
      <c r="J83" s="62">
        <f>Assumptions!$B$152*IF(J75+J77=0,1,(J75+J77*Assumptions!$B$153)/(J75+J77))*J7/12</f>
        <v>5.0000000000000001E-3</v>
      </c>
      <c r="K83" s="62">
        <f>Assumptions!$B$152*IF(K75+K77=0,1,(K75+K77*Assumptions!$B$153)/(K75+K77))*K7/12</f>
        <v>5.0000000000000001E-3</v>
      </c>
      <c r="L83" s="62">
        <f>Assumptions!$B$152*IF(L75+L77=0,1,(L75+L77*Assumptions!$B$153)/(L75+L77))*L7/12</f>
        <v>5.0000000000000001E-3</v>
      </c>
      <c r="M83" s="62">
        <f>Assumptions!$B$152*IF(M75+M77=0,1,(M75+M77*Assumptions!$B$153)/(M75+M77))*M7/12</f>
        <v>5.0000000000000001E-3</v>
      </c>
      <c r="N83" s="62">
        <f>Assumptions!$B$152*IF(N75+N77=0,1,(N75+N77*Assumptions!$B$153)/(N75+N77))*N7/12</f>
        <v>5.0000000000000001E-3</v>
      </c>
      <c r="O83" s="62">
        <f>Assumptions!$B$152*IF(O75+O77=0,1,(O75+O77*Assumptions!$B$153)/(O75+O77))*O7/12</f>
        <v>5.0738065527063548E-3</v>
      </c>
      <c r="P83" s="62">
        <f>Assumptions!$B$152*IF(P75+P77=0,1,(P75+P77*Assumptions!$B$153)/(P75+P77))*P7/12</f>
        <v>5.1457195284895906E-3</v>
      </c>
      <c r="Q83" s="62">
        <f>Assumptions!$B$152*IF(Q75+Q77=0,1,(Q75+Q77*Assumptions!$B$153)/(Q75+Q77))*Q7/12</f>
        <v>5.2155678928920944E-3</v>
      </c>
      <c r="R83" s="62">
        <f>Assumptions!$B$152*IF(R75+R77=0,1,(R75+R77*Assumptions!$B$153)/(R75+R77))*R7/12</f>
        <v>5.269196528922159E-3</v>
      </c>
      <c r="S83" s="62">
        <f>Assumptions!$B$152*IF(S75+S77=0,1,(S75+S77*Assumptions!$B$153)/(S75+S77))*S7/12</f>
        <v>5.3313178786642086E-3</v>
      </c>
      <c r="T83" s="62">
        <f>Assumptions!$B$152*IF(T75+T77=0,1,(T75+T77*Assumptions!$B$153)/(T75+T77))*T7/12</f>
        <v>5.4001903271560757E-3</v>
      </c>
      <c r="U83" s="62">
        <f>Assumptions!$B$152*IF(U75+U77=0,1,(U75+U77*Assumptions!$B$153)/(U75+U77))*U7/12</f>
        <v>5.4659670957911992E-3</v>
      </c>
      <c r="V83" s="62">
        <f>Assumptions!$B$152*IF(V75+V77=0,1,(V75+V77*Assumptions!$B$153)/(V75+V77))*V7/12</f>
        <v>5.5274406848930041E-3</v>
      </c>
      <c r="W83" s="62">
        <f>Assumptions!$B$152*IF(W75+W77=0,1,(W75+W77*Assumptions!$B$153)/(W75+W77))*W7/12</f>
        <v>5.5802597340654991E-3</v>
      </c>
      <c r="X83" s="62">
        <f>Assumptions!$B$152*IF(X75+X77=0,1,(X75+X77*Assumptions!$B$153)/(X75+X77))*X7/12</f>
        <v>5.6115947593275073E-3</v>
      </c>
      <c r="Y83" s="62">
        <f>Assumptions!$B$152*IF(Y75+Y77=0,1,(Y75+Y77*Assumptions!$B$153)/(Y75+Y77))*Y7/12</f>
        <v>5.6522928926664466E-3</v>
      </c>
      <c r="Z83" s="62">
        <f>Assumptions!$B$152*IF(Z75+Z77=0,1,(Z75+Z77*Assumptions!$B$153)/(Z75+Z77))*Z7/12</f>
        <v>5.7015242275736842E-3</v>
      </c>
      <c r="AA83" s="62">
        <f>Assumptions!$B$152*IF(AA75+AA77=0,1,(AA75+AA77*Assumptions!$B$153)/(AA75+AA77))*AA7/12</f>
        <v>7.3816670772822016E-2</v>
      </c>
      <c r="AB83" s="62">
        <f>Assumptions!$B$152*IF(AB75+AB77=0,1,(AB75+AB77*Assumptions!$B$153)/(AB75+AB77))*AB7/12</f>
        <v>7.6403350654411312E-2</v>
      </c>
      <c r="AC83" s="62">
        <f>Assumptions!$B$152*IF(AC75+AC77=0,1,(AC75+AC77*Assumptions!$B$153)/(AC75+AC77))*AC7/12</f>
        <v>7.8219490281212251E-2</v>
      </c>
      <c r="AD83" s="62">
        <f>Assumptions!$B$152*IF(AD75+AD77=0,1,(AD75+AD77*Assumptions!$B$153)/(AD75+AD77))*AD7/12</f>
        <v>7.9872298568679834E-2</v>
      </c>
      <c r="AE83" s="62">
        <f>Assumptions!$B$152*IF(AE75+AE77=0,1,(AE75+AE77*Assumptions!$B$153)/(AE75+AE77))*AE7/12</f>
        <v>8.1776933208589433E-2</v>
      </c>
    </row>
    <row r="84" spans="1:31" x14ac:dyDescent="0.25">
      <c r="A84" s="6" t="s">
        <v>581</v>
      </c>
      <c r="B84" s="23" t="s">
        <v>47</v>
      </c>
      <c r="C84" s="50">
        <f>C81</f>
        <v>0</v>
      </c>
      <c r="D84" s="50">
        <f t="shared" ref="D84:AE84" si="20">C84*(1-D82)+D81</f>
        <v>0</v>
      </c>
      <c r="E84" s="50">
        <f t="shared" si="20"/>
        <v>0</v>
      </c>
      <c r="F84" s="50">
        <f t="shared" si="20"/>
        <v>0</v>
      </c>
      <c r="G84" s="50">
        <f t="shared" si="20"/>
        <v>0</v>
      </c>
      <c r="H84" s="50">
        <f t="shared" si="20"/>
        <v>0</v>
      </c>
      <c r="I84" s="50">
        <f t="shared" si="20"/>
        <v>0</v>
      </c>
      <c r="J84" s="50">
        <f t="shared" si="20"/>
        <v>0</v>
      </c>
      <c r="K84" s="50">
        <f t="shared" si="20"/>
        <v>0</v>
      </c>
      <c r="L84" s="50">
        <f t="shared" si="20"/>
        <v>0</v>
      </c>
      <c r="M84" s="50">
        <f t="shared" si="20"/>
        <v>0</v>
      </c>
      <c r="N84" s="50">
        <f t="shared" si="20"/>
        <v>0</v>
      </c>
      <c r="O84" s="50">
        <f t="shared" si="20"/>
        <v>12.417431675856724</v>
      </c>
      <c r="P84" s="50">
        <f t="shared" si="20"/>
        <v>36.243868017049223</v>
      </c>
      <c r="Q84" s="50">
        <f t="shared" si="20"/>
        <v>70.591127950564413</v>
      </c>
      <c r="R84" s="50">
        <f t="shared" si="20"/>
        <v>118.15083276659313</v>
      </c>
      <c r="S84" s="50">
        <f t="shared" si="20"/>
        <v>177.05186521045241</v>
      </c>
      <c r="T84" s="50">
        <f t="shared" si="20"/>
        <v>244.6953805554578</v>
      </c>
      <c r="U84" s="50">
        <f t="shared" si="20"/>
        <v>320.32212439466184</v>
      </c>
      <c r="V84" s="50">
        <f t="shared" si="20"/>
        <v>403.61375849726733</v>
      </c>
      <c r="W84" s="50">
        <f t="shared" si="20"/>
        <v>495.43376220571184</v>
      </c>
      <c r="X84" s="50">
        <f t="shared" si="20"/>
        <v>600.23588135536079</v>
      </c>
      <c r="Y84" s="50">
        <f t="shared" si="20"/>
        <v>716.12233391381164</v>
      </c>
      <c r="Z84" s="50">
        <f t="shared" si="20"/>
        <v>840.54570949275706</v>
      </c>
      <c r="AA84" s="50">
        <f t="shared" si="20"/>
        <v>3739.2197256269546</v>
      </c>
      <c r="AB84" s="50">
        <f t="shared" si="20"/>
        <v>8252.5417585010837</v>
      </c>
      <c r="AC84" s="50">
        <f t="shared" si="20"/>
        <v>14638.859357327721</v>
      </c>
      <c r="AD84" s="50">
        <f t="shared" si="20"/>
        <v>22700.067634243922</v>
      </c>
      <c r="AE84" s="50">
        <f t="shared" si="20"/>
        <v>31267.252678752149</v>
      </c>
    </row>
    <row r="85" spans="1:31" x14ac:dyDescent="0.25">
      <c r="A85" s="6" t="s">
        <v>582</v>
      </c>
      <c r="B85" s="23" t="s">
        <v>47</v>
      </c>
      <c r="C85" s="50">
        <f>C81</f>
        <v>0</v>
      </c>
      <c r="D85" s="50">
        <f t="shared" ref="D85:AE85" si="21">C85*(1-D83)+D81</f>
        <v>0</v>
      </c>
      <c r="E85" s="50">
        <f t="shared" si="21"/>
        <v>0</v>
      </c>
      <c r="F85" s="50">
        <f t="shared" si="21"/>
        <v>0</v>
      </c>
      <c r="G85" s="50">
        <f t="shared" si="21"/>
        <v>0</v>
      </c>
      <c r="H85" s="50">
        <f t="shared" si="21"/>
        <v>0</v>
      </c>
      <c r="I85" s="50">
        <f t="shared" si="21"/>
        <v>0</v>
      </c>
      <c r="J85" s="50">
        <f t="shared" si="21"/>
        <v>0</v>
      </c>
      <c r="K85" s="50">
        <f t="shared" si="21"/>
        <v>0</v>
      </c>
      <c r="L85" s="50">
        <f t="shared" si="21"/>
        <v>0</v>
      </c>
      <c r="M85" s="50">
        <f t="shared" si="21"/>
        <v>0</v>
      </c>
      <c r="N85" s="50">
        <f t="shared" si="21"/>
        <v>0</v>
      </c>
      <c r="O85" s="50">
        <f t="shared" si="21"/>
        <v>12.417431675856724</v>
      </c>
      <c r="P85" s="50">
        <f t="shared" si="21"/>
        <v>36.305955175428508</v>
      </c>
      <c r="Q85" s="50">
        <f t="shared" si="21"/>
        <v>70.834110629239149</v>
      </c>
      <c r="R85" s="50">
        <f t="shared" si="21"/>
        <v>118.74549076153362</v>
      </c>
      <c r="S85" s="50">
        <f t="shared" si="21"/>
        <v>178.23410705842574</v>
      </c>
      <c r="T85" s="50">
        <f t="shared" si="21"/>
        <v>246.75649739849166</v>
      </c>
      <c r="U85" s="50">
        <f t="shared" si="21"/>
        <v>323.59545214362834</v>
      </c>
      <c r="V85" s="50">
        <f t="shared" si="21"/>
        <v>408.47060374323246</v>
      </c>
      <c r="W85" s="50">
        <f t="shared" si="21"/>
        <v>502.28157378620267</v>
      </c>
      <c r="X85" s="50">
        <f t="shared" si="21"/>
        <v>609.52243460330226</v>
      </c>
      <c r="Y85" s="50">
        <f t="shared" si="21"/>
        <v>728.35757624960922</v>
      </c>
      <c r="Z85" s="50">
        <f t="shared" si="21"/>
        <v>856.29180396751588</v>
      </c>
      <c r="AA85" s="50">
        <f t="shared" si="21"/>
        <v>3804.2362383994778</v>
      </c>
      <c r="AB85" s="50">
        <f t="shared" si="21"/>
        <v>8536.9439753875376</v>
      </c>
      <c r="AC85" s="50">
        <f t="shared" si="21"/>
        <v>15396.168283284536</v>
      </c>
      <c r="AD85" s="50">
        <f t="shared" si="21"/>
        <v>24275.220116997651</v>
      </c>
      <c r="AE85" s="50">
        <f t="shared" si="21"/>
        <v>34075.598080185016</v>
      </c>
    </row>
    <row r="86" spans="1:31" x14ac:dyDescent="0.25">
      <c r="A86" s="6" t="s">
        <v>583</v>
      </c>
      <c r="B86" s="23" t="s">
        <v>114</v>
      </c>
      <c r="C86" s="63">
        <f t="shared" ref="C86:AE86" si="22">C84*C20</f>
        <v>0</v>
      </c>
      <c r="D86" s="63">
        <f t="shared" si="22"/>
        <v>0</v>
      </c>
      <c r="E86" s="63">
        <f t="shared" si="22"/>
        <v>0</v>
      </c>
      <c r="F86" s="63">
        <f t="shared" si="22"/>
        <v>0</v>
      </c>
      <c r="G86" s="63">
        <f t="shared" si="22"/>
        <v>0</v>
      </c>
      <c r="H86" s="63">
        <f t="shared" si="22"/>
        <v>0</v>
      </c>
      <c r="I86" s="63">
        <f t="shared" si="22"/>
        <v>0</v>
      </c>
      <c r="J86" s="63">
        <f t="shared" si="22"/>
        <v>0</v>
      </c>
      <c r="K86" s="63">
        <f t="shared" si="22"/>
        <v>0</v>
      </c>
      <c r="L86" s="63">
        <f t="shared" si="22"/>
        <v>0</v>
      </c>
      <c r="M86" s="63">
        <f t="shared" si="22"/>
        <v>0</v>
      </c>
      <c r="N86" s="63">
        <f t="shared" si="22"/>
        <v>0</v>
      </c>
      <c r="O86" s="63">
        <f t="shared" si="22"/>
        <v>1898.8520455408943</v>
      </c>
      <c r="P86" s="63">
        <f t="shared" si="22"/>
        <v>5542.3492328368175</v>
      </c>
      <c r="Q86" s="63">
        <f t="shared" si="22"/>
        <v>10794.672457637676</v>
      </c>
      <c r="R86" s="63">
        <f t="shared" si="22"/>
        <v>18067.419764218408</v>
      </c>
      <c r="S86" s="63">
        <f t="shared" si="22"/>
        <v>27074.463157736915</v>
      </c>
      <c r="T86" s="63">
        <f t="shared" si="22"/>
        <v>37418.391824578444</v>
      </c>
      <c r="U86" s="63">
        <f t="shared" si="22"/>
        <v>48983.101901935246</v>
      </c>
      <c r="V86" s="63">
        <f t="shared" si="22"/>
        <v>61719.913661462335</v>
      </c>
      <c r="W86" s="63">
        <f t="shared" si="22"/>
        <v>75760.868861751223</v>
      </c>
      <c r="X86" s="63">
        <f t="shared" si="22"/>
        <v>91787.02656642822</v>
      </c>
      <c r="Y86" s="63">
        <f t="shared" si="22"/>
        <v>109508.18124923907</v>
      </c>
      <c r="Z86" s="63">
        <f t="shared" si="22"/>
        <v>128534.78734609789</v>
      </c>
      <c r="AA86" s="63">
        <f t="shared" si="22"/>
        <v>618110.36711079592</v>
      </c>
      <c r="AB86" s="63">
        <f t="shared" si="22"/>
        <v>1474682.2950906439</v>
      </c>
      <c r="AC86" s="63">
        <f t="shared" si="22"/>
        <v>2827767.2990160314</v>
      </c>
      <c r="AD86" s="63">
        <f t="shared" si="22"/>
        <v>4740119.3270635419</v>
      </c>
      <c r="AE86" s="63">
        <f t="shared" si="22"/>
        <v>7057933.1531112436</v>
      </c>
    </row>
    <row r="87" spans="1:31" x14ac:dyDescent="0.25">
      <c r="A87" s="6" t="s">
        <v>584</v>
      </c>
      <c r="B87" s="23" t="s">
        <v>190</v>
      </c>
      <c r="C87" s="60">
        <f>C75+C77*Assumptions!$B$228</f>
        <v>0</v>
      </c>
      <c r="D87" s="60">
        <f>D75+D77*Assumptions!$B$228</f>
        <v>0</v>
      </c>
      <c r="E87" s="60">
        <f>E75+E77*Assumptions!$B$228</f>
        <v>0</v>
      </c>
      <c r="F87" s="60">
        <f>F75+F77*Assumptions!$B$228</f>
        <v>0</v>
      </c>
      <c r="G87" s="60">
        <f>G75+G77*Assumptions!$B$228</f>
        <v>0</v>
      </c>
      <c r="H87" s="60">
        <f>H75+H77*Assumptions!$B$228</f>
        <v>0</v>
      </c>
      <c r="I87" s="60">
        <f>I75+I77*Assumptions!$B$228</f>
        <v>0</v>
      </c>
      <c r="J87" s="60">
        <f>J75+J77*Assumptions!$B$228</f>
        <v>0</v>
      </c>
      <c r="K87" s="60">
        <f>K75+K77*Assumptions!$B$228</f>
        <v>0</v>
      </c>
      <c r="L87" s="60">
        <f>L75+L77*Assumptions!$B$228</f>
        <v>0</v>
      </c>
      <c r="M87" s="60">
        <f>M75+M77*Assumptions!$B$228</f>
        <v>0</v>
      </c>
      <c r="N87" s="60">
        <f>N75+N77*Assumptions!$B$228</f>
        <v>0</v>
      </c>
      <c r="O87" s="60">
        <f>O75+O77*Assumptions!$B$228</f>
        <v>73.044642857142861</v>
      </c>
      <c r="P87" s="60">
        <f>P75+P77*Assumptions!$B$228</f>
        <v>144.44828126661679</v>
      </c>
      <c r="Q87" s="60">
        <f>Q75+Q77*Assumptions!$B$228</f>
        <v>214.62068717685145</v>
      </c>
      <c r="R87" s="60">
        <f>R75+R77*Assumptions!$B$228</f>
        <v>304.35328027166116</v>
      </c>
      <c r="S87" s="60">
        <f>S75+S77*Assumptions!$B$228</f>
        <v>387.78761189098833</v>
      </c>
      <c r="T87" s="60">
        <f>T75+T77*Assumptions!$B$228</f>
        <v>460.05360023571865</v>
      </c>
      <c r="U87" s="60">
        <f>U75+U77*Assumptions!$B$228</f>
        <v>531.11175102760149</v>
      </c>
      <c r="V87" s="60">
        <f>V75+V77*Assumptions!$B$228</f>
        <v>603.32408765892444</v>
      </c>
      <c r="W87" s="60">
        <f>W75+W77*Assumptions!$B$228</f>
        <v>683.55051129693902</v>
      </c>
      <c r="X87" s="60">
        <f>X75+X77*Assumptions!$B$228</f>
        <v>793.19321822739062</v>
      </c>
      <c r="Y87" s="60">
        <f>Y75+Y77*Assumptions!$B$228</f>
        <v>896.54553232318153</v>
      </c>
      <c r="Z87" s="60">
        <f>Z75+Z77*Assumptions!$B$228</f>
        <v>989.18994206404932</v>
      </c>
      <c r="AA87" s="60">
        <f>AA75+AA77*Assumptions!$B$228</f>
        <v>2525.7561731516562</v>
      </c>
      <c r="AB87" s="60">
        <f>AB75+AB77*Assumptions!$B$228</f>
        <v>5156.1299102369194</v>
      </c>
      <c r="AC87" s="60">
        <f>AC75+AC77*Assumptions!$B$228</f>
        <v>9204.776437285167</v>
      </c>
      <c r="AD87" s="60">
        <f>AD75+AD77*Assumptions!$B$228</f>
        <v>14732.913372256135</v>
      </c>
      <c r="AE87" s="60">
        <f>AE75+AE77*Assumptions!$B$228</f>
        <v>21054.454794491416</v>
      </c>
    </row>
    <row r="88" spans="1:31" x14ac:dyDescent="0.25">
      <c r="A88" s="6" t="s">
        <v>585</v>
      </c>
      <c r="B88" s="23" t="s">
        <v>190</v>
      </c>
      <c r="C88" s="64">
        <f>IF(C7&gt;1,C87*Assumptions!$B$149,IF(C2&gt;Assumptions!$B$150,INDEX($C$87:$AE$87,1,C2-Assumptions!$B$150)*Assumptions!$B$149,0))</f>
        <v>0</v>
      </c>
      <c r="D88" s="64">
        <f>IF(D7&gt;1,D87*Assumptions!$B$149,IF(D2&gt;Assumptions!$B$150,INDEX($C$87:$AE$87,1,D2-Assumptions!$B$150)*Assumptions!$B$149,0))</f>
        <v>0</v>
      </c>
      <c r="E88" s="64">
        <f>IF(E7&gt;1,E87*Assumptions!$B$149,IF(E2&gt;Assumptions!$B$150,INDEX($C$87:$AE$87,1,E2-Assumptions!$B$150)*Assumptions!$B$149,0))</f>
        <v>0</v>
      </c>
      <c r="F88" s="64">
        <f>IF(F7&gt;1,F87*Assumptions!$B$149,IF(F2&gt;Assumptions!$B$150,INDEX($C$87:$AE$87,1,F2-Assumptions!$B$150)*Assumptions!$B$149,0))</f>
        <v>0</v>
      </c>
      <c r="G88" s="64">
        <f>IF(G7&gt;1,G87*Assumptions!$B$149,IF(G2&gt;Assumptions!$B$150,INDEX($C$87:$AE$87,1,G2-Assumptions!$B$150)*Assumptions!$B$149,0))</f>
        <v>0</v>
      </c>
      <c r="H88" s="64">
        <f>IF(H7&gt;1,H87*Assumptions!$B$149,IF(H2&gt;Assumptions!$B$150,INDEX($C$87:$AE$87,1,H2-Assumptions!$B$150)*Assumptions!$B$149,0))</f>
        <v>0</v>
      </c>
      <c r="I88" s="64">
        <f>IF(I7&gt;1,I87*Assumptions!$B$149,IF(I2&gt;Assumptions!$B$150,INDEX($C$87:$AE$87,1,I2-Assumptions!$B$150)*Assumptions!$B$149,0))</f>
        <v>0</v>
      </c>
      <c r="J88" s="64">
        <f>IF(J7&gt;1,J87*Assumptions!$B$149,IF(J2&gt;Assumptions!$B$150,INDEX($C$87:$AE$87,1,J2-Assumptions!$B$150)*Assumptions!$B$149,0))</f>
        <v>0</v>
      </c>
      <c r="K88" s="64">
        <f>IF(K7&gt;1,K87*Assumptions!$B$149,IF(K2&gt;Assumptions!$B$150,INDEX($C$87:$AE$87,1,K2-Assumptions!$B$150)*Assumptions!$B$149,0))</f>
        <v>0</v>
      </c>
      <c r="L88" s="64">
        <f>IF(L7&gt;1,L87*Assumptions!$B$149,IF(L2&gt;Assumptions!$B$150,INDEX($C$87:$AE$87,1,L2-Assumptions!$B$150)*Assumptions!$B$149,0))</f>
        <v>0</v>
      </c>
      <c r="M88" s="64">
        <f>IF(M7&gt;1,M87*Assumptions!$B$149,IF(M2&gt;Assumptions!$B$150,INDEX($C$87:$AE$87,1,M2-Assumptions!$B$150)*Assumptions!$B$149,0))</f>
        <v>0</v>
      </c>
      <c r="N88" s="64">
        <f>IF(N7&gt;1,N87*Assumptions!$B$149,IF(N2&gt;Assumptions!$B$150,INDEX($C$87:$AE$87,1,N2-Assumptions!$B$150)*Assumptions!$B$149,0))</f>
        <v>0</v>
      </c>
      <c r="O88" s="64">
        <f>IF(O7&gt;1,O87*Assumptions!$B$149,IF(O2&gt;Assumptions!$B$150,INDEX($C$87:$AE$87,1,O2-Assumptions!$B$150)*Assumptions!$B$149,0))</f>
        <v>0</v>
      </c>
      <c r="P88" s="64">
        <f>IF(P7&gt;1,P87*Assumptions!$B$149,IF(P2&gt;Assumptions!$B$150,INDEX($C$87:$AE$87,1,P2-Assumptions!$B$150)*Assumptions!$B$149,0))</f>
        <v>0</v>
      </c>
      <c r="Q88" s="64">
        <f>IF(Q7&gt;1,Q87*Assumptions!$B$149,IF(Q2&gt;Assumptions!$B$150,INDEX($C$87:$AE$87,1,Q2-Assumptions!$B$150)*Assumptions!$B$149,0))</f>
        <v>0</v>
      </c>
      <c r="R88" s="64">
        <f>IF(R7&gt;1,R87*Assumptions!$B$149,IF(R2&gt;Assumptions!$B$150,INDEX($C$87:$AE$87,1,R2-Assumptions!$B$150)*Assumptions!$B$149,0))</f>
        <v>0</v>
      </c>
      <c r="S88" s="64">
        <f>IF(S7&gt;1,S87*Assumptions!$B$149,IF(S2&gt;Assumptions!$B$150,INDEX($C$87:$AE$87,1,S2-Assumptions!$B$150)*Assumptions!$B$149,0))</f>
        <v>0</v>
      </c>
      <c r="T88" s="64">
        <f>IF(T7&gt;1,T87*Assumptions!$B$149,IF(T2&gt;Assumptions!$B$150,INDEX($C$87:$AE$87,1,T2-Assumptions!$B$150)*Assumptions!$B$149,0))</f>
        <v>0</v>
      </c>
      <c r="U88" s="64">
        <f>IF(U7&gt;1,U87*Assumptions!$B$149,IF(U2&gt;Assumptions!$B$150,INDEX($C$87:$AE$87,1,U2-Assumptions!$B$150)*Assumptions!$B$149,0))</f>
        <v>0</v>
      </c>
      <c r="V88" s="64">
        <f>IF(V7&gt;1,V87*Assumptions!$B$149,IF(V2&gt;Assumptions!$B$150,INDEX($C$87:$AE$87,1,V2-Assumptions!$B$150)*Assumptions!$B$149,0))</f>
        <v>0</v>
      </c>
      <c r="W88" s="64">
        <f>IF(W7&gt;1,W87*Assumptions!$B$149,IF(W2&gt;Assumptions!$B$150,INDEX($C$87:$AE$87,1,W2-Assumptions!$B$150)*Assumptions!$B$149,0))</f>
        <v>40.174553571428575</v>
      </c>
      <c r="X88" s="64">
        <f>IF(X7&gt;1,X87*Assumptions!$B$149,IF(X2&gt;Assumptions!$B$150,INDEX($C$87:$AE$87,1,X2-Assumptions!$B$150)*Assumptions!$B$149,0))</f>
        <v>79.44655469663924</v>
      </c>
      <c r="Y88" s="64">
        <f>IF(Y7&gt;1,Y87*Assumptions!$B$149,IF(Y2&gt;Assumptions!$B$150,INDEX($C$87:$AE$87,1,Y2-Assumptions!$B$150)*Assumptions!$B$149,0))</f>
        <v>118.0413779472683</v>
      </c>
      <c r="Z88" s="64">
        <f>IF(Z7&gt;1,Z87*Assumptions!$B$149,IF(Z2&gt;Assumptions!$B$150,INDEX($C$87:$AE$87,1,Z2-Assumptions!$B$150)*Assumptions!$B$149,0))</f>
        <v>167.39430414941364</v>
      </c>
      <c r="AA88" s="64">
        <f>IF(AA7&gt;1,AA87*Assumptions!$B$149,IF(AA2&gt;Assumptions!$B$150,INDEX($C$87:$AE$87,1,AA2-Assumptions!$B$150)*Assumptions!$B$149,0))</f>
        <v>1389.165895233411</v>
      </c>
      <c r="AB88" s="64">
        <f>IF(AB7&gt;1,AB87*Assumptions!$B$149,IF(AB2&gt;Assumptions!$B$150,INDEX($C$87:$AE$87,1,AB2-Assumptions!$B$150)*Assumptions!$B$149,0))</f>
        <v>2835.8714506303058</v>
      </c>
      <c r="AC88" s="64">
        <f>IF(AC7&gt;1,AC87*Assumptions!$B$149,IF(AC2&gt;Assumptions!$B$150,INDEX($C$87:$AE$87,1,AC2-Assumptions!$B$150)*Assumptions!$B$149,0))</f>
        <v>5062.6270405068426</v>
      </c>
      <c r="AD88" s="64">
        <f>IF(AD7&gt;1,AD87*Assumptions!$B$149,IF(AD2&gt;Assumptions!$B$150,INDEX($C$87:$AE$87,1,AD2-Assumptions!$B$150)*Assumptions!$B$149,0))</f>
        <v>8103.1023547408749</v>
      </c>
      <c r="AE88" s="64">
        <f>IF(AE7&gt;1,AE87*Assumptions!$B$149,IF(AE2&gt;Assumptions!$B$150,INDEX($C$87:$AE$87,1,AE2-Assumptions!$B$150)*Assumptions!$B$149,0))</f>
        <v>11579.950136970279</v>
      </c>
    </row>
    <row r="89" spans="1:31" x14ac:dyDescent="0.25">
      <c r="A89" s="6" t="s">
        <v>586</v>
      </c>
      <c r="B89" s="23" t="s">
        <v>587</v>
      </c>
      <c r="C89" s="28">
        <f>IF(C2&gt;=Assumptions!$B$51,C87*Assumptions!$B$158,0)</f>
        <v>0</v>
      </c>
      <c r="D89" s="28">
        <f>IF(D2&gt;=Assumptions!$B$51,D87*Assumptions!$B$158,0)</f>
        <v>0</v>
      </c>
      <c r="E89" s="28">
        <f>IF(E2&gt;=Assumptions!$B$51,E87*Assumptions!$B$158,0)</f>
        <v>0</v>
      </c>
      <c r="F89" s="28">
        <f>IF(F2&gt;=Assumptions!$B$51,F87*Assumptions!$B$158,0)</f>
        <v>0</v>
      </c>
      <c r="G89" s="28">
        <f>IF(G2&gt;=Assumptions!$B$51,G87*Assumptions!$B$158,0)</f>
        <v>0</v>
      </c>
      <c r="H89" s="28">
        <f>IF(H2&gt;=Assumptions!$B$51,H87*Assumptions!$B$158,0)</f>
        <v>0</v>
      </c>
      <c r="I89" s="28">
        <f>IF(I2&gt;=Assumptions!$B$51,I87*Assumptions!$B$158,0)</f>
        <v>0</v>
      </c>
      <c r="J89" s="28">
        <f>IF(J2&gt;=Assumptions!$B$51,J87*Assumptions!$B$158,0)</f>
        <v>0</v>
      </c>
      <c r="K89" s="28">
        <f>IF(K2&gt;=Assumptions!$B$51,K87*Assumptions!$B$158,0)</f>
        <v>0</v>
      </c>
      <c r="L89" s="28">
        <f>IF(L2&gt;=Assumptions!$B$51,L87*Assumptions!$B$158,0)</f>
        <v>0</v>
      </c>
      <c r="M89" s="28">
        <f>IF(M2&gt;=Assumptions!$B$51,M87*Assumptions!$B$158,0)</f>
        <v>0</v>
      </c>
      <c r="N89" s="28">
        <f>IF(N2&gt;=Assumptions!$B$51,N87*Assumptions!$B$158,0)</f>
        <v>0</v>
      </c>
      <c r="O89" s="28">
        <f>IF(O2&gt;=Assumptions!$B$51,O87*Assumptions!$B$158,0)</f>
        <v>13.148035714285715</v>
      </c>
      <c r="P89" s="28">
        <f>IF(P2&gt;=Assumptions!$B$51,P87*Assumptions!$B$158,0)</f>
        <v>26.00069062799102</v>
      </c>
      <c r="Q89" s="28">
        <f>IF(Q2&gt;=Assumptions!$B$51,Q87*Assumptions!$B$158,0)</f>
        <v>38.631723691833258</v>
      </c>
      <c r="R89" s="28">
        <f>IF(R2&gt;=Assumptions!$B$51,R87*Assumptions!$B$158,0)</f>
        <v>54.783590448899005</v>
      </c>
      <c r="S89" s="28">
        <f>IF(S2&gt;=Assumptions!$B$51,S87*Assumptions!$B$158,0)</f>
        <v>69.801770140377897</v>
      </c>
      <c r="T89" s="28">
        <f>IF(T2&gt;=Assumptions!$B$51,T87*Assumptions!$B$158,0)</f>
        <v>82.809648042429359</v>
      </c>
      <c r="U89" s="28">
        <f>IF(U2&gt;=Assumptions!$B$51,U87*Assumptions!$B$158,0)</f>
        <v>95.60011518496826</v>
      </c>
      <c r="V89" s="28">
        <f>IF(V2&gt;=Assumptions!$B$51,V87*Assumptions!$B$158,0)</f>
        <v>108.5983357786064</v>
      </c>
      <c r="W89" s="28">
        <f>IF(W2&gt;=Assumptions!$B$51,W87*Assumptions!$B$158,0)</f>
        <v>123.03909203344902</v>
      </c>
      <c r="X89" s="28">
        <f>IF(X2&gt;=Assumptions!$B$51,X87*Assumptions!$B$158,0)</f>
        <v>142.77477928093032</v>
      </c>
      <c r="Y89" s="28">
        <f>IF(Y2&gt;=Assumptions!$B$51,Y87*Assumptions!$B$158,0)</f>
        <v>161.37819581817266</v>
      </c>
      <c r="Z89" s="28">
        <f>IF(Z2&gt;=Assumptions!$B$51,Z87*Assumptions!$B$158,0)</f>
        <v>178.05418957152887</v>
      </c>
      <c r="AA89" s="28">
        <f>IF(AA2&gt;=Assumptions!$B$51,AA87*Assumptions!$B$158,0)</f>
        <v>454.63611116729811</v>
      </c>
      <c r="AB89" s="28">
        <f>IF(AB2&gt;=Assumptions!$B$51,AB87*Assumptions!$B$158,0)</f>
        <v>928.10338384264548</v>
      </c>
      <c r="AC89" s="28">
        <f>IF(AC2&gt;=Assumptions!$B$51,AC87*Assumptions!$B$158,0)</f>
        <v>1656.85975871133</v>
      </c>
      <c r="AD89" s="28">
        <f>IF(AD2&gt;=Assumptions!$B$51,AD87*Assumptions!$B$158,0)</f>
        <v>2651.924407006104</v>
      </c>
      <c r="AE89" s="28">
        <f>IF(AE2&gt;=Assumptions!$B$51,AE87*Assumptions!$B$158,0)</f>
        <v>3789.8018630084548</v>
      </c>
    </row>
    <row r="90" spans="1:31" x14ac:dyDescent="0.25">
      <c r="A90" s="6" t="s">
        <v>588</v>
      </c>
      <c r="B90" s="23" t="s">
        <v>587</v>
      </c>
      <c r="C90" s="28">
        <f t="shared" ref="C90:AE90" si="23">C89</f>
        <v>0</v>
      </c>
      <c r="D90" s="28">
        <f t="shared" si="23"/>
        <v>0</v>
      </c>
      <c r="E90" s="28">
        <f t="shared" si="23"/>
        <v>0</v>
      </c>
      <c r="F90" s="28">
        <f t="shared" si="23"/>
        <v>0</v>
      </c>
      <c r="G90" s="28">
        <f t="shared" si="23"/>
        <v>0</v>
      </c>
      <c r="H90" s="28">
        <f t="shared" si="23"/>
        <v>0</v>
      </c>
      <c r="I90" s="28">
        <f t="shared" si="23"/>
        <v>0</v>
      </c>
      <c r="J90" s="28">
        <f t="shared" si="23"/>
        <v>0</v>
      </c>
      <c r="K90" s="28">
        <f t="shared" si="23"/>
        <v>0</v>
      </c>
      <c r="L90" s="28">
        <f t="shared" si="23"/>
        <v>0</v>
      </c>
      <c r="M90" s="28">
        <f t="shared" si="23"/>
        <v>0</v>
      </c>
      <c r="N90" s="28">
        <f t="shared" si="23"/>
        <v>0</v>
      </c>
      <c r="O90" s="28">
        <f t="shared" si="23"/>
        <v>13.148035714285715</v>
      </c>
      <c r="P90" s="28">
        <f t="shared" si="23"/>
        <v>26.00069062799102</v>
      </c>
      <c r="Q90" s="28">
        <f t="shared" si="23"/>
        <v>38.631723691833258</v>
      </c>
      <c r="R90" s="28">
        <f t="shared" si="23"/>
        <v>54.783590448899005</v>
      </c>
      <c r="S90" s="28">
        <f t="shared" si="23"/>
        <v>69.801770140377897</v>
      </c>
      <c r="T90" s="28">
        <f t="shared" si="23"/>
        <v>82.809648042429359</v>
      </c>
      <c r="U90" s="28">
        <f t="shared" si="23"/>
        <v>95.60011518496826</v>
      </c>
      <c r="V90" s="28">
        <f t="shared" si="23"/>
        <v>108.5983357786064</v>
      </c>
      <c r="W90" s="28">
        <f t="shared" si="23"/>
        <v>123.03909203344902</v>
      </c>
      <c r="X90" s="28">
        <f t="shared" si="23"/>
        <v>142.77477928093032</v>
      </c>
      <c r="Y90" s="28">
        <f t="shared" si="23"/>
        <v>161.37819581817266</v>
      </c>
      <c r="Z90" s="28">
        <f t="shared" si="23"/>
        <v>178.05418957152887</v>
      </c>
      <c r="AA90" s="28">
        <f t="shared" si="23"/>
        <v>454.63611116729811</v>
      </c>
      <c r="AB90" s="28">
        <f t="shared" si="23"/>
        <v>928.10338384264548</v>
      </c>
      <c r="AC90" s="28">
        <f t="shared" si="23"/>
        <v>1656.85975871133</v>
      </c>
      <c r="AD90" s="28">
        <f t="shared" si="23"/>
        <v>2651.924407006104</v>
      </c>
      <c r="AE90" s="28">
        <f t="shared" si="23"/>
        <v>3789.8018630084548</v>
      </c>
    </row>
    <row r="91" spans="1:31" x14ac:dyDescent="0.25">
      <c r="A91" s="6" t="s">
        <v>589</v>
      </c>
      <c r="B91" s="23" t="s">
        <v>587</v>
      </c>
      <c r="C91" s="60">
        <f>C89</f>
        <v>0</v>
      </c>
      <c r="D91" s="60">
        <f t="shared" ref="D91:AE91" si="24">MAX(0,D89-C89)</f>
        <v>0</v>
      </c>
      <c r="E91" s="60">
        <f t="shared" si="24"/>
        <v>0</v>
      </c>
      <c r="F91" s="60">
        <f t="shared" si="24"/>
        <v>0</v>
      </c>
      <c r="G91" s="60">
        <f t="shared" si="24"/>
        <v>0</v>
      </c>
      <c r="H91" s="60">
        <f t="shared" si="24"/>
        <v>0</v>
      </c>
      <c r="I91" s="60">
        <f t="shared" si="24"/>
        <v>0</v>
      </c>
      <c r="J91" s="60">
        <f t="shared" si="24"/>
        <v>0</v>
      </c>
      <c r="K91" s="60">
        <f t="shared" si="24"/>
        <v>0</v>
      </c>
      <c r="L91" s="60">
        <f t="shared" si="24"/>
        <v>0</v>
      </c>
      <c r="M91" s="60">
        <f t="shared" si="24"/>
        <v>0</v>
      </c>
      <c r="N91" s="60">
        <f t="shared" si="24"/>
        <v>0</v>
      </c>
      <c r="O91" s="60">
        <f t="shared" si="24"/>
        <v>13.148035714285715</v>
      </c>
      <c r="P91" s="60">
        <f t="shared" si="24"/>
        <v>12.852654913705305</v>
      </c>
      <c r="Q91" s="60">
        <f t="shared" si="24"/>
        <v>12.631033063842239</v>
      </c>
      <c r="R91" s="60">
        <f t="shared" si="24"/>
        <v>16.151866757065747</v>
      </c>
      <c r="S91" s="60">
        <f t="shared" si="24"/>
        <v>15.018179691478892</v>
      </c>
      <c r="T91" s="60">
        <f t="shared" si="24"/>
        <v>13.007877902051462</v>
      </c>
      <c r="U91" s="60">
        <f t="shared" si="24"/>
        <v>12.790467142538901</v>
      </c>
      <c r="V91" s="60">
        <f t="shared" si="24"/>
        <v>12.998220593638138</v>
      </c>
      <c r="W91" s="60">
        <f t="shared" si="24"/>
        <v>14.440756254842626</v>
      </c>
      <c r="X91" s="60">
        <f t="shared" si="24"/>
        <v>19.735687247481295</v>
      </c>
      <c r="Y91" s="60">
        <f t="shared" si="24"/>
        <v>18.603416537242339</v>
      </c>
      <c r="Z91" s="60">
        <f t="shared" si="24"/>
        <v>16.675993753356209</v>
      </c>
      <c r="AA91" s="60">
        <f t="shared" si="24"/>
        <v>276.58192159576924</v>
      </c>
      <c r="AB91" s="60">
        <f t="shared" si="24"/>
        <v>473.46727267534737</v>
      </c>
      <c r="AC91" s="60">
        <f t="shared" si="24"/>
        <v>728.75637486868447</v>
      </c>
      <c r="AD91" s="60">
        <f t="shared" si="24"/>
        <v>995.06464829477409</v>
      </c>
      <c r="AE91" s="60">
        <f t="shared" si="24"/>
        <v>1137.8774560023508</v>
      </c>
    </row>
    <row r="92" spans="1:31" x14ac:dyDescent="0.25">
      <c r="A92" s="6" t="s">
        <v>590</v>
      </c>
      <c r="B92" s="23" t="s">
        <v>114</v>
      </c>
      <c r="C92" s="61">
        <f>IF(C87=0,0,C86/C87*Assumptions!$B$31)</f>
        <v>0</v>
      </c>
      <c r="D92" s="61">
        <f>IF(D87=0,0,D86/D87*Assumptions!$B$31)</f>
        <v>0</v>
      </c>
      <c r="E92" s="61">
        <f>IF(E87=0,0,E86/E87*Assumptions!$B$31)</f>
        <v>0</v>
      </c>
      <c r="F92" s="61">
        <f>IF(F87=0,0,F86/F87*Assumptions!$B$31)</f>
        <v>0</v>
      </c>
      <c r="G92" s="61">
        <f>IF(G87=0,0,G86/G87*Assumptions!$B$31)</f>
        <v>0</v>
      </c>
      <c r="H92" s="61">
        <f>IF(H87=0,0,H86/H87*Assumptions!$B$31)</f>
        <v>0</v>
      </c>
      <c r="I92" s="61">
        <f>IF(I87=0,0,I86/I87*Assumptions!$B$31)</f>
        <v>0</v>
      </c>
      <c r="J92" s="61">
        <f>IF(J87=0,0,J86/J87*Assumptions!$B$31)</f>
        <v>0</v>
      </c>
      <c r="K92" s="61">
        <f>IF(K87=0,0,K86/K87*Assumptions!$B$31)</f>
        <v>0</v>
      </c>
      <c r="L92" s="61">
        <f>IF(L87=0,0,L86/L87*Assumptions!$B$31)</f>
        <v>0</v>
      </c>
      <c r="M92" s="61">
        <f>IF(M87=0,0,M86/M87*Assumptions!$B$31)</f>
        <v>0</v>
      </c>
      <c r="N92" s="61">
        <f>IF(N87=0,0,N86/N87*Assumptions!$B$31)</f>
        <v>0</v>
      </c>
      <c r="O92" s="61">
        <f>IF(O87=0,0,O86/O87*Assumptions!$B$31)</f>
        <v>12.997887122636607</v>
      </c>
      <c r="P92" s="61">
        <f>IF(P87=0,0,P86/P87*Assumptions!$B$31)</f>
        <v>19.184545445047469</v>
      </c>
      <c r="Q92" s="61">
        <f>IF(Q87=0,0,Q86/Q87*Assumptions!$B$31)</f>
        <v>25.148257140614469</v>
      </c>
      <c r="R92" s="61">
        <f>IF(R87=0,0,R86/R87*Assumptions!$B$31)</f>
        <v>29.68165769084483</v>
      </c>
      <c r="S92" s="61">
        <f>IF(S87=0,0,S86/S87*Assumptions!$B$31)</f>
        <v>34.908880953819462</v>
      </c>
      <c r="T92" s="61">
        <f>IF(T87=0,0,T86/T87*Assumptions!$B$31)</f>
        <v>40.667426366630217</v>
      </c>
      <c r="U92" s="61">
        <f>IF(U87=0,0,U86/U87*Assumptions!$B$31)</f>
        <v>46.113743300879847</v>
      </c>
      <c r="V92" s="61">
        <f>IF(V87=0,0,V86/V87*Assumptions!$B$31)</f>
        <v>51.149883556741301</v>
      </c>
      <c r="W92" s="61">
        <f>IF(W87=0,0,W86/W87*Assumptions!$B$31)</f>
        <v>55.417169331060734</v>
      </c>
      <c r="X92" s="61">
        <f>IF(X87=0,0,X86/X87*Assumptions!$B$31)</f>
        <v>57.859185162696981</v>
      </c>
      <c r="Y92" s="61">
        <f>IF(Y87=0,0,Y86/Y87*Assumptions!$B$31)</f>
        <v>61.072292092892944</v>
      </c>
      <c r="Z92" s="61">
        <f>IF(Z87=0,0,Z86/Z87*Assumptions!$B$31)</f>
        <v>64.969720111537157</v>
      </c>
      <c r="AA92" s="61">
        <f>IF(AA87=0,0,AA86/AA87*Assumptions!$B$31)</f>
        <v>122.3614483617224</v>
      </c>
      <c r="AB92" s="61">
        <f>IF(AB87=0,0,AB86/AB87*Assumptions!$B$31)</f>
        <v>143.00282583676054</v>
      </c>
      <c r="AC92" s="61">
        <f>IF(AC87=0,0,AC86/AC87*Assumptions!$B$31)</f>
        <v>153.6032579543043</v>
      </c>
      <c r="AD92" s="61">
        <f>IF(AD87=0,0,AD86/AD87*Assumptions!$B$31)</f>
        <v>160.86836348300812</v>
      </c>
      <c r="AE92" s="61">
        <f>IF(AE87=0,0,AE86/AE87*Assumptions!$B$31)</f>
        <v>167.61139678045348</v>
      </c>
    </row>
    <row r="93" spans="1:31" x14ac:dyDescent="0.25">
      <c r="A93" s="6" t="s">
        <v>591</v>
      </c>
      <c r="B93" s="23" t="s">
        <v>76</v>
      </c>
      <c r="C93" s="61">
        <f>C92*Assumptions!$B$171*Assumptions!$B$173</f>
        <v>0</v>
      </c>
      <c r="D93" s="61">
        <f>D92*Assumptions!$B$171*Assumptions!$B$173</f>
        <v>0</v>
      </c>
      <c r="E93" s="61">
        <f>E92*Assumptions!$B$171*Assumptions!$B$173</f>
        <v>0</v>
      </c>
      <c r="F93" s="61">
        <f>F92*Assumptions!$B$171*Assumptions!$B$173</f>
        <v>0</v>
      </c>
      <c r="G93" s="61">
        <f>G92*Assumptions!$B$171*Assumptions!$B$173</f>
        <v>0</v>
      </c>
      <c r="H93" s="61">
        <f>H92*Assumptions!$B$171*Assumptions!$B$173</f>
        <v>0</v>
      </c>
      <c r="I93" s="61">
        <f>I92*Assumptions!$B$171*Assumptions!$B$173</f>
        <v>0</v>
      </c>
      <c r="J93" s="61">
        <f>J92*Assumptions!$B$171*Assumptions!$B$173</f>
        <v>0</v>
      </c>
      <c r="K93" s="61">
        <f>K92*Assumptions!$B$171*Assumptions!$B$173</f>
        <v>0</v>
      </c>
      <c r="L93" s="61">
        <f>L92*Assumptions!$B$171*Assumptions!$B$173</f>
        <v>0</v>
      </c>
      <c r="M93" s="61">
        <f>M92*Assumptions!$B$171*Assumptions!$B$173</f>
        <v>0</v>
      </c>
      <c r="N93" s="61">
        <f>N92*Assumptions!$B$171*Assumptions!$B$173</f>
        <v>0</v>
      </c>
      <c r="O93" s="61">
        <f>O92*Assumptions!$B$171*Assumptions!$B$173</f>
        <v>13.647781478768438</v>
      </c>
      <c r="P93" s="61">
        <f>P92*Assumptions!$B$171*Assumptions!$B$173</f>
        <v>20.143772717299843</v>
      </c>
      <c r="Q93" s="61">
        <f>Q92*Assumptions!$B$171*Assumptions!$B$173</f>
        <v>26.405669997645195</v>
      </c>
      <c r="R93" s="61">
        <f>R92*Assumptions!$B$171*Assumptions!$B$173</f>
        <v>31.165740575387073</v>
      </c>
      <c r="S93" s="61">
        <f>S92*Assumptions!$B$171*Assumptions!$B$173</f>
        <v>36.654325001510436</v>
      </c>
      <c r="T93" s="61">
        <f>T92*Assumptions!$B$171*Assumptions!$B$173</f>
        <v>42.700797684961728</v>
      </c>
      <c r="U93" s="61">
        <f>U92*Assumptions!$B$171*Assumptions!$B$173</f>
        <v>48.419430465923838</v>
      </c>
      <c r="V93" s="61">
        <f>V92*Assumptions!$B$171*Assumptions!$B$173</f>
        <v>53.707377734578365</v>
      </c>
      <c r="W93" s="61">
        <f>W92*Assumptions!$B$171*Assumptions!$B$173</f>
        <v>58.188027797613771</v>
      </c>
      <c r="X93" s="61">
        <f>X92*Assumptions!$B$171*Assumptions!$B$173</f>
        <v>60.752144420831833</v>
      </c>
      <c r="Y93" s="61">
        <f>Y92*Assumptions!$B$171*Assumptions!$B$173</f>
        <v>64.125906697537587</v>
      </c>
      <c r="Z93" s="61">
        <f>Z92*Assumptions!$B$171*Assumptions!$B$173</f>
        <v>68.218206117114022</v>
      </c>
      <c r="AA93" s="61">
        <f>AA92*Assumptions!$B$171*Assumptions!$B$173</f>
        <v>128.47952077980852</v>
      </c>
      <c r="AB93" s="61">
        <f>AB92*Assumptions!$B$171*Assumptions!$B$173</f>
        <v>150.15296712859856</v>
      </c>
      <c r="AC93" s="61">
        <f>AC92*Assumptions!$B$171*Assumptions!$B$173</f>
        <v>161.28342085201953</v>
      </c>
      <c r="AD93" s="61">
        <f>AD92*Assumptions!$B$171*Assumptions!$B$173</f>
        <v>168.91178165715854</v>
      </c>
      <c r="AE93" s="61">
        <f>AE92*Assumptions!$B$171*Assumptions!$B$173</f>
        <v>175.99196661947616</v>
      </c>
    </row>
    <row r="94" spans="1:31" x14ac:dyDescent="0.25">
      <c r="A94" s="6" t="s">
        <v>592</v>
      </c>
      <c r="B94" s="23" t="s">
        <v>114</v>
      </c>
      <c r="C94" s="61">
        <f t="shared" ref="C94:AE94" si="25">C93/12*C16</f>
        <v>0</v>
      </c>
      <c r="D94" s="61">
        <f t="shared" si="25"/>
        <v>0</v>
      </c>
      <c r="E94" s="61">
        <f t="shared" si="25"/>
        <v>0</v>
      </c>
      <c r="F94" s="61">
        <f t="shared" si="25"/>
        <v>0</v>
      </c>
      <c r="G94" s="61">
        <f t="shared" si="25"/>
        <v>0</v>
      </c>
      <c r="H94" s="61">
        <f t="shared" si="25"/>
        <v>0</v>
      </c>
      <c r="I94" s="61">
        <f t="shared" si="25"/>
        <v>0</v>
      </c>
      <c r="J94" s="61">
        <f t="shared" si="25"/>
        <v>0</v>
      </c>
      <c r="K94" s="61">
        <f t="shared" si="25"/>
        <v>0</v>
      </c>
      <c r="L94" s="61">
        <f t="shared" si="25"/>
        <v>0</v>
      </c>
      <c r="M94" s="61">
        <f t="shared" si="25"/>
        <v>0</v>
      </c>
      <c r="N94" s="61">
        <f t="shared" si="25"/>
        <v>0</v>
      </c>
      <c r="O94" s="61">
        <f t="shared" si="25"/>
        <v>1.2510466355537735</v>
      </c>
      <c r="P94" s="61">
        <f t="shared" si="25"/>
        <v>1.6786477264416533</v>
      </c>
      <c r="Q94" s="61">
        <f t="shared" si="25"/>
        <v>2.1564630498076909</v>
      </c>
      <c r="R94" s="61">
        <f t="shared" si="25"/>
        <v>2.545202146989944</v>
      </c>
      <c r="S94" s="61">
        <f t="shared" si="25"/>
        <v>3.0545270834592024</v>
      </c>
      <c r="T94" s="61">
        <f t="shared" si="25"/>
        <v>3.3804798167261358</v>
      </c>
      <c r="U94" s="61">
        <f t="shared" si="25"/>
        <v>3.5507582341677475</v>
      </c>
      <c r="V94" s="61">
        <f t="shared" si="25"/>
        <v>4.0280533300933765</v>
      </c>
      <c r="W94" s="61">
        <f t="shared" si="25"/>
        <v>4.8490023164678133</v>
      </c>
      <c r="X94" s="61">
        <f t="shared" si="25"/>
        <v>5.163932275770704</v>
      </c>
      <c r="Y94" s="61">
        <f t="shared" si="25"/>
        <v>5.6110168360345387</v>
      </c>
      <c r="Z94" s="61">
        <f t="shared" si="25"/>
        <v>6.4807295811258321</v>
      </c>
      <c r="AA94" s="61">
        <f t="shared" si="25"/>
        <v>10.70662673165071</v>
      </c>
      <c r="AB94" s="61">
        <f t="shared" si="25"/>
        <v>12.512747260716546</v>
      </c>
      <c r="AC94" s="61">
        <f t="shared" si="25"/>
        <v>13.440285071001627</v>
      </c>
      <c r="AD94" s="61">
        <f t="shared" si="25"/>
        <v>14.075981804763211</v>
      </c>
      <c r="AE94" s="61">
        <f t="shared" si="25"/>
        <v>14.665997218289681</v>
      </c>
    </row>
    <row r="95" spans="1:31" x14ac:dyDescent="0.25">
      <c r="A95" s="6" t="s">
        <v>593</v>
      </c>
      <c r="B95" s="23" t="s">
        <v>394</v>
      </c>
      <c r="C95" s="50">
        <f>C90*C94*Assumptions!$B$7*C7</f>
        <v>0</v>
      </c>
      <c r="D95" s="50">
        <f>D90*D94*Assumptions!$B$7*D7</f>
        <v>0</v>
      </c>
      <c r="E95" s="50">
        <f>E90*E94*Assumptions!$B$7*E7</f>
        <v>0</v>
      </c>
      <c r="F95" s="50">
        <f>F90*F94*Assumptions!$B$7*F7</f>
        <v>0</v>
      </c>
      <c r="G95" s="50">
        <f>G90*G94*Assumptions!$B$7*G7</f>
        <v>0</v>
      </c>
      <c r="H95" s="50">
        <f>H90*H94*Assumptions!$B$7*H7</f>
        <v>0</v>
      </c>
      <c r="I95" s="50">
        <f>I90*I94*Assumptions!$B$7*I7</f>
        <v>0</v>
      </c>
      <c r="J95" s="50">
        <f>J90*J94*Assumptions!$B$7*J7</f>
        <v>0</v>
      </c>
      <c r="K95" s="50">
        <f>K90*K94*Assumptions!$B$7*K7</f>
        <v>0</v>
      </c>
      <c r="L95" s="50">
        <f>L90*L94*Assumptions!$B$7*L7</f>
        <v>0</v>
      </c>
      <c r="M95" s="50">
        <f>M90*M94*Assumptions!$B$7*M7</f>
        <v>0</v>
      </c>
      <c r="N95" s="50">
        <f>N90*N94*Assumptions!$B$7*N7</f>
        <v>0</v>
      </c>
      <c r="O95" s="50">
        <f>O90*O94*Assumptions!$B$7*O7</f>
        <v>60.408239463918903</v>
      </c>
      <c r="P95" s="50">
        <f>P90*P94*Assumptions!$B$7*P7</f>
        <v>160.28993576604648</v>
      </c>
      <c r="Q95" s="50">
        <f>Q90*Q94*Assumptions!$B$7*Q7</f>
        <v>305.94820653070445</v>
      </c>
      <c r="R95" s="50">
        <f>R90*R94*Assumptions!$B$7*R7</f>
        <v>512.07618343148067</v>
      </c>
      <c r="S95" s="50">
        <f>S90*S94*Assumptions!$B$7*S7</f>
        <v>783.01885683096168</v>
      </c>
      <c r="T95" s="50">
        <f>T90*T94*Assumptions!$B$7*T7</f>
        <v>1028.0662227436867</v>
      </c>
      <c r="U95" s="50">
        <f>U90*U94*Assumptions!$B$7*U7</f>
        <v>1246.6407612225601</v>
      </c>
      <c r="V95" s="50">
        <f>V90*V94*Assumptions!$B$7*V7</f>
        <v>1606.497988957693</v>
      </c>
      <c r="W95" s="50">
        <f>W90*W94*Assumptions!$B$7*W7</f>
        <v>2191.0753532964027</v>
      </c>
      <c r="X95" s="50">
        <f>X90*X94*Assumptions!$B$7*X7</f>
        <v>2707.6581958112797</v>
      </c>
      <c r="Y95" s="50">
        <f>Y90*Y94*Assumptions!$B$7*Y7</f>
        <v>3325.4332289303097</v>
      </c>
      <c r="Z95" s="50">
        <f>Z90*Z94*Assumptions!$B$7*Z7</f>
        <v>4237.775068610008</v>
      </c>
      <c r="AA95" s="50">
        <f>AA90*AA94*Assumptions!$B$7*AA7</f>
        <v>214515.97554376064</v>
      </c>
      <c r="AB95" s="50">
        <f>AB90*AB94*Assumptions!$B$7*AB7</f>
        <v>511790.33386407676</v>
      </c>
      <c r="AC95" s="50">
        <f>AC90*AC94*Assumptions!$B$7*AC7</f>
        <v>981380.17583263735</v>
      </c>
      <c r="AD95" s="50">
        <f>AD90*AD94*Assumptions!$B$7*AD7</f>
        <v>1645064.3376065604</v>
      </c>
      <c r="AE95" s="50">
        <f>AE90*AE94*Assumptions!$B$7*AE7</f>
        <v>2449464.5232036985</v>
      </c>
    </row>
    <row r="96" spans="1:31" x14ac:dyDescent="0.25">
      <c r="A96" s="6" t="s">
        <v>593</v>
      </c>
      <c r="B96" s="23" t="s">
        <v>114</v>
      </c>
      <c r="C96" s="61">
        <f>C95/Assumptions!$B$7</f>
        <v>0</v>
      </c>
      <c r="D96" s="61">
        <f>D95/Assumptions!$B$7</f>
        <v>0</v>
      </c>
      <c r="E96" s="61">
        <f>E95/Assumptions!$B$7</f>
        <v>0</v>
      </c>
      <c r="F96" s="61">
        <f>F95/Assumptions!$B$7</f>
        <v>0</v>
      </c>
      <c r="G96" s="61">
        <f>G95/Assumptions!$B$7</f>
        <v>0</v>
      </c>
      <c r="H96" s="61">
        <f>H95/Assumptions!$B$7</f>
        <v>0</v>
      </c>
      <c r="I96" s="61">
        <f>I95/Assumptions!$B$7</f>
        <v>0</v>
      </c>
      <c r="J96" s="61">
        <f>J95/Assumptions!$B$7</f>
        <v>0</v>
      </c>
      <c r="K96" s="61">
        <f>K95/Assumptions!$B$7</f>
        <v>0</v>
      </c>
      <c r="L96" s="61">
        <f>L95/Assumptions!$B$7</f>
        <v>0</v>
      </c>
      <c r="M96" s="61">
        <f>M95/Assumptions!$B$7</f>
        <v>0</v>
      </c>
      <c r="N96" s="61">
        <f>N95/Assumptions!$B$7</f>
        <v>0</v>
      </c>
      <c r="O96" s="61">
        <f>O95/Assumptions!$B$7</f>
        <v>16.448805844498001</v>
      </c>
      <c r="P96" s="61">
        <f>P95/Assumptions!$B$7</f>
        <v>43.646000208589925</v>
      </c>
      <c r="Q96" s="61">
        <f>Q95/Assumptions!$B$7</f>
        <v>83.307884691818785</v>
      </c>
      <c r="R96" s="61">
        <f>R95/Assumptions!$B$7</f>
        <v>139.43531203035553</v>
      </c>
      <c r="S96" s="61">
        <f>S95/Assumptions!$B$7</f>
        <v>213.21139736717814</v>
      </c>
      <c r="T96" s="61">
        <f>T95/Assumptions!$B$7</f>
        <v>279.93634383762742</v>
      </c>
      <c r="U96" s="61">
        <f>U95/Assumptions!$B$7</f>
        <v>339.45289618041119</v>
      </c>
      <c r="V96" s="61">
        <f>V95/Assumptions!$B$7</f>
        <v>437.43988807561419</v>
      </c>
      <c r="W96" s="61">
        <f>W95/Assumptions!$B$7</f>
        <v>596.61684228629076</v>
      </c>
      <c r="X96" s="61">
        <f>X95/Assumptions!$B$7</f>
        <v>737.2792908948345</v>
      </c>
      <c r="Y96" s="61">
        <f>Y95/Assumptions!$B$7</f>
        <v>905.49577370464533</v>
      </c>
      <c r="Z96" s="61">
        <f>Z95/Assumptions!$B$7</f>
        <v>1153.9210533995938</v>
      </c>
      <c r="AA96" s="61">
        <f>AA95/Assumptions!$B$7</f>
        <v>58411.429691970225</v>
      </c>
      <c r="AB96" s="61">
        <f>AB95/Assumptions!$B$7</f>
        <v>139357.47688606582</v>
      </c>
      <c r="AC96" s="61">
        <f>AC95/Assumptions!$B$7</f>
        <v>267224.00975701492</v>
      </c>
      <c r="AD96" s="61">
        <f>AD95/Assumptions!$B$7</f>
        <v>447941.27640750457</v>
      </c>
      <c r="AE96" s="61">
        <f>AE95/Assumptions!$B$7</f>
        <v>666974.68296901253</v>
      </c>
    </row>
    <row r="97" spans="1:31" x14ac:dyDescent="0.25">
      <c r="A97" s="6" t="s">
        <v>594</v>
      </c>
      <c r="B97" s="23" t="s">
        <v>394</v>
      </c>
      <c r="C97" s="50">
        <f>IF(Assumptions!$B$159=0,0,C92*Assumptions!$B$171*Assumptions!$B$7/Assumptions!$B$159)</f>
        <v>0</v>
      </c>
      <c r="D97" s="50">
        <f>IF(Assumptions!$B$159=0,0,D92*Assumptions!$B$171*Assumptions!$B$7/Assumptions!$B$159)</f>
        <v>0</v>
      </c>
      <c r="E97" s="50">
        <f>IF(Assumptions!$B$159=0,0,E92*Assumptions!$B$171*Assumptions!$B$7/Assumptions!$B$159)</f>
        <v>0</v>
      </c>
      <c r="F97" s="50">
        <f>IF(Assumptions!$B$159=0,0,F92*Assumptions!$B$171*Assumptions!$B$7/Assumptions!$B$159)</f>
        <v>0</v>
      </c>
      <c r="G97" s="50">
        <f>IF(Assumptions!$B$159=0,0,G92*Assumptions!$B$171*Assumptions!$B$7/Assumptions!$B$159)</f>
        <v>0</v>
      </c>
      <c r="H97" s="50">
        <f>IF(Assumptions!$B$159=0,0,H92*Assumptions!$B$171*Assumptions!$B$7/Assumptions!$B$159)</f>
        <v>0</v>
      </c>
      <c r="I97" s="50">
        <f>IF(Assumptions!$B$159=0,0,I92*Assumptions!$B$171*Assumptions!$B$7/Assumptions!$B$159)</f>
        <v>0</v>
      </c>
      <c r="J97" s="50">
        <f>IF(Assumptions!$B$159=0,0,J92*Assumptions!$B$171*Assumptions!$B$7/Assumptions!$B$159)</f>
        <v>0</v>
      </c>
      <c r="K97" s="50">
        <f>IF(Assumptions!$B$159=0,0,K92*Assumptions!$B$171*Assumptions!$B$7/Assumptions!$B$159)</f>
        <v>0</v>
      </c>
      <c r="L97" s="50">
        <f>IF(Assumptions!$B$159=0,0,L92*Assumptions!$B$171*Assumptions!$B$7/Assumptions!$B$159)</f>
        <v>0</v>
      </c>
      <c r="M97" s="50">
        <f>IF(Assumptions!$B$159=0,0,M92*Assumptions!$B$171*Assumptions!$B$7/Assumptions!$B$159)</f>
        <v>0</v>
      </c>
      <c r="N97" s="50">
        <f>IF(Assumptions!$B$159=0,0,N92*Assumptions!$B$171*Assumptions!$B$7/Assumptions!$B$159)</f>
        <v>0</v>
      </c>
      <c r="O97" s="50">
        <f>IF(Assumptions!$B$159=0,0,O92*Assumptions!$B$171*Assumptions!$B$7/Assumptions!$B$159)</f>
        <v>5.9668425572353669</v>
      </c>
      <c r="P97" s="50">
        <f>IF(Assumptions!$B$159=0,0,P92*Assumptions!$B$171*Assumptions!$B$7/Assumptions!$B$159)</f>
        <v>8.8069053933671029</v>
      </c>
      <c r="Q97" s="50">
        <f>IF(Assumptions!$B$159=0,0,Q92*Assumptions!$B$171*Assumptions!$B$7/Assumptions!$B$159)</f>
        <v>11.544621793613329</v>
      </c>
      <c r="R97" s="50">
        <f>IF(Assumptions!$B$159=0,0,R92*Assumptions!$B$171*Assumptions!$B$7/Assumptions!$B$159)</f>
        <v>13.625735983703454</v>
      </c>
      <c r="S97" s="50">
        <f>IF(Assumptions!$B$159=0,0,S92*Assumptions!$B$171*Assumptions!$B$7/Assumptions!$B$159)</f>
        <v>16.025358162862748</v>
      </c>
      <c r="T97" s="50">
        <f>IF(Assumptions!$B$159=0,0,T92*Assumptions!$B$171*Assumptions!$B$7/Assumptions!$B$159)</f>
        <v>18.668890416431182</v>
      </c>
      <c r="U97" s="50">
        <f>IF(Assumptions!$B$159=0,0,U92*Assumptions!$B$171*Assumptions!$B$7/Assumptions!$B$159)</f>
        <v>21.169090284060154</v>
      </c>
      <c r="V97" s="50">
        <f>IF(Assumptions!$B$159=0,0,V92*Assumptions!$B$171*Assumptions!$B$7/Assumptions!$B$159)</f>
        <v>23.480993420266554</v>
      </c>
      <c r="W97" s="50">
        <f>IF(Assumptions!$B$159=0,0,W92*Assumptions!$B$171*Assumptions!$B$7/Assumptions!$B$159)</f>
        <v>25.439944296040068</v>
      </c>
      <c r="X97" s="50">
        <f>IF(Assumptions!$B$159=0,0,X92*Assumptions!$B$171*Assumptions!$B$7/Assumptions!$B$159)</f>
        <v>26.560982188750582</v>
      </c>
      <c r="Y97" s="50">
        <f>IF(Assumptions!$B$159=0,0,Y92*Assumptions!$B$171*Assumptions!$B$7/Assumptions!$B$159)</f>
        <v>28.035999088893668</v>
      </c>
      <c r="Z97" s="50">
        <f>IF(Assumptions!$B$159=0,0,Z92*Assumptions!$B$171*Assumptions!$B$7/Assumptions!$B$159)</f>
        <v>29.825162138702524</v>
      </c>
      <c r="AA97" s="50">
        <f>IF(Assumptions!$B$159=0,0,AA92*Assumptions!$B$171*Assumptions!$B$7/Assumptions!$B$159)</f>
        <v>56.171552388553188</v>
      </c>
      <c r="AB97" s="50">
        <f>IF(Assumptions!$B$159=0,0,AB92*Assumptions!$B$171*Assumptions!$B$7/Assumptions!$B$159)</f>
        <v>65.647234735687874</v>
      </c>
      <c r="AC97" s="50">
        <f>IF(Assumptions!$B$159=0,0,AC92*Assumptions!$B$171*Assumptions!$B$7/Assumptions!$B$159)</f>
        <v>70.513495604647815</v>
      </c>
      <c r="AD97" s="50">
        <f>IF(Assumptions!$B$159=0,0,AD92*Assumptions!$B$171*Assumptions!$B$7/Assumptions!$B$159)</f>
        <v>73.848633111418408</v>
      </c>
      <c r="AE97" s="50">
        <f>IF(Assumptions!$B$159=0,0,AE92*Assumptions!$B$171*Assumptions!$B$7/Assumptions!$B$159)</f>
        <v>76.94410683452692</v>
      </c>
    </row>
    <row r="98" spans="1:31" x14ac:dyDescent="0.25">
      <c r="A98" s="6" t="s">
        <v>595</v>
      </c>
      <c r="B98" s="23" t="s">
        <v>596</v>
      </c>
      <c r="C98" s="50">
        <f>C90*Assumptions!$B$173*Assumptions!$B$159*C7/12*(1+Assumptions!$B$16)</f>
        <v>0</v>
      </c>
      <c r="D98" s="50">
        <f>D90*Assumptions!$B$173*Assumptions!$B$159*D7/12*(1+Assumptions!$B$16)</f>
        <v>0</v>
      </c>
      <c r="E98" s="50">
        <f>E90*Assumptions!$B$173*Assumptions!$B$159*E7/12*(1+Assumptions!$B$16)</f>
        <v>0</v>
      </c>
      <c r="F98" s="50">
        <f>F90*Assumptions!$B$173*Assumptions!$B$159*F7/12*(1+Assumptions!$B$16)</f>
        <v>0</v>
      </c>
      <c r="G98" s="50">
        <f>G90*Assumptions!$B$173*Assumptions!$B$159*G7/12*(1+Assumptions!$B$16)</f>
        <v>0</v>
      </c>
      <c r="H98" s="50">
        <f>H90*Assumptions!$B$173*Assumptions!$B$159*H7/12*(1+Assumptions!$B$16)</f>
        <v>0</v>
      </c>
      <c r="I98" s="50">
        <f>I90*Assumptions!$B$173*Assumptions!$B$159*I7/12*(1+Assumptions!$B$16)</f>
        <v>0</v>
      </c>
      <c r="J98" s="50">
        <f>J90*Assumptions!$B$173*Assumptions!$B$159*J7/12*(1+Assumptions!$B$16)</f>
        <v>0</v>
      </c>
      <c r="K98" s="50">
        <f>K90*Assumptions!$B$173*Assumptions!$B$159*K7/12*(1+Assumptions!$B$16)</f>
        <v>0</v>
      </c>
      <c r="L98" s="50">
        <f>L90*Assumptions!$B$173*Assumptions!$B$159*L7/12*(1+Assumptions!$B$16)</f>
        <v>0</v>
      </c>
      <c r="M98" s="50">
        <f>M90*Assumptions!$B$173*Assumptions!$B$159*M7/12*(1+Assumptions!$B$16)</f>
        <v>0</v>
      </c>
      <c r="N98" s="50">
        <f>N90*Assumptions!$B$173*Assumptions!$B$159*N7/12*(1+Assumptions!$B$16)</f>
        <v>0</v>
      </c>
      <c r="O98" s="50">
        <f>O90*Assumptions!$B$173*Assumptions!$B$159*O7/12*(1+Assumptions!$B$16)</f>
        <v>9.7558425000000017</v>
      </c>
      <c r="P98" s="50">
        <f>P90*Assumptions!$B$173*Assumptions!$B$159*P7/12*(1+Assumptions!$B$16)</f>
        <v>19.29251244596934</v>
      </c>
      <c r="Q98" s="50">
        <f>Q90*Assumptions!$B$173*Assumptions!$B$159*Q7/12*(1+Assumptions!$B$16)</f>
        <v>28.664738979340282</v>
      </c>
      <c r="R98" s="50">
        <f>R90*Assumptions!$B$173*Assumptions!$B$159*R7/12*(1+Assumptions!$B$16)</f>
        <v>40.649424113083064</v>
      </c>
      <c r="S98" s="50">
        <f>S90*Assumptions!$B$173*Assumptions!$B$159*S7/12*(1+Assumptions!$B$16)</f>
        <v>51.792913444160398</v>
      </c>
      <c r="T98" s="50">
        <f>T90*Assumptions!$B$173*Assumptions!$B$159*T7/12*(1+Assumptions!$B$16)</f>
        <v>61.444758847482589</v>
      </c>
      <c r="U98" s="50">
        <f>U90*Assumptions!$B$173*Assumptions!$B$159*U7/12*(1+Assumptions!$B$16)</f>
        <v>70.935285467246445</v>
      </c>
      <c r="V98" s="50">
        <f>V90*Assumptions!$B$173*Assumptions!$B$159*V7/12*(1+Assumptions!$B$16)</f>
        <v>80.579965147725957</v>
      </c>
      <c r="W98" s="50">
        <f>W90*Assumptions!$B$173*Assumptions!$B$159*W7/12*(1+Assumptions!$B$16)</f>
        <v>91.295006288819167</v>
      </c>
      <c r="X98" s="50">
        <f>X90*Assumptions!$B$173*Assumptions!$B$159*X7/12*(1+Assumptions!$B$16)</f>
        <v>105.93888622645031</v>
      </c>
      <c r="Y98" s="50">
        <f>Y90*Assumptions!$B$173*Assumptions!$B$159*Y7/12*(1+Assumptions!$B$16)</f>
        <v>119.74262129708413</v>
      </c>
      <c r="Z98" s="50">
        <f>Z90*Assumptions!$B$173*Assumptions!$B$159*Z7/12*(1+Assumptions!$B$16)</f>
        <v>132.11620866207443</v>
      </c>
      <c r="AA98" s="50">
        <f>AA90*Assumptions!$B$173*Assumptions!$B$159*AA7/12*(1+Assumptions!$B$16)</f>
        <v>4048.0799338336228</v>
      </c>
      <c r="AB98" s="50">
        <f>AB90*Assumptions!$B$173*Assumptions!$B$159*AB7/12*(1+Assumptions!$B$16)</f>
        <v>8263.8325297349165</v>
      </c>
      <c r="AC98" s="50">
        <f>AC90*Assumptions!$B$173*Assumptions!$B$159*AC7/12*(1+Assumptions!$B$16)</f>
        <v>14752.679291565682</v>
      </c>
      <c r="AD98" s="50">
        <f>AD90*Assumptions!$B$173*Assumptions!$B$159*AD7/12*(1+Assumptions!$B$16)</f>
        <v>23612.734919982355</v>
      </c>
      <c r="AE98" s="50">
        <f>AE90*Assumptions!$B$173*Assumptions!$B$159*AE7/12*(1+Assumptions!$B$16)</f>
        <v>33744.395788227281</v>
      </c>
    </row>
    <row r="99" spans="1:31" x14ac:dyDescent="0.25">
      <c r="A99" s="6" t="s">
        <v>597</v>
      </c>
      <c r="B99" s="23" t="s">
        <v>114</v>
      </c>
      <c r="C99" s="61">
        <f>C79*Assumptions!$B$8</f>
        <v>0</v>
      </c>
      <c r="D99" s="61">
        <f>D79*Assumptions!$B$8</f>
        <v>0</v>
      </c>
      <c r="E99" s="61">
        <f>E79*Assumptions!$B$8</f>
        <v>0</v>
      </c>
      <c r="F99" s="61">
        <f>F79*Assumptions!$B$8</f>
        <v>0</v>
      </c>
      <c r="G99" s="61">
        <f>G79*Assumptions!$B$8</f>
        <v>0</v>
      </c>
      <c r="H99" s="61">
        <f>H79*Assumptions!$B$8</f>
        <v>0</v>
      </c>
      <c r="I99" s="61">
        <f>I79*Assumptions!$B$8</f>
        <v>0</v>
      </c>
      <c r="J99" s="61">
        <f>J79*Assumptions!$B$8</f>
        <v>0</v>
      </c>
      <c r="K99" s="61">
        <f>K79*Assumptions!$B$8</f>
        <v>0</v>
      </c>
      <c r="L99" s="61">
        <f>L79*Assumptions!$B$8</f>
        <v>0</v>
      </c>
      <c r="M99" s="61">
        <f>M79*Assumptions!$B$8</f>
        <v>0</v>
      </c>
      <c r="N99" s="61">
        <f>N79*Assumptions!$B$8</f>
        <v>0</v>
      </c>
      <c r="O99" s="61">
        <f>O79*Assumptions!$B$8</f>
        <v>92.621860625006306</v>
      </c>
      <c r="P99" s="61">
        <f>P79*Assumptions!$B$8</f>
        <v>178.66156029043708</v>
      </c>
      <c r="Q99" s="61">
        <f>Q79*Assumptions!$B$8</f>
        <v>258.95858396407431</v>
      </c>
      <c r="R99" s="61">
        <f>R79*Assumptions!$B$8</f>
        <v>360.15589748657112</v>
      </c>
      <c r="S99" s="61">
        <f>S79*Assumptions!$B$8</f>
        <v>448.44880891589293</v>
      </c>
      <c r="T99" s="61">
        <f>T79*Assumptions!$B$8</f>
        <v>518.28911329844709</v>
      </c>
      <c r="U99" s="61">
        <f>U79*Assumptions!$B$8</f>
        <v>583.20368293022125</v>
      </c>
      <c r="V99" s="61">
        <f>V79*Assumptions!$B$8</f>
        <v>646.42699028678499</v>
      </c>
      <c r="W99" s="61">
        <f>W79*Assumptions!$B$8</f>
        <v>716.73970159363864</v>
      </c>
      <c r="X99" s="61">
        <f>X79*Assumptions!$B$8</f>
        <v>820.93563035474426</v>
      </c>
      <c r="Y99" s="61">
        <f>Y79*Assumptions!$B$8</f>
        <v>912.09140458942079</v>
      </c>
      <c r="Z99" s="61">
        <f>Z79*Assumptions!$B$8</f>
        <v>985.23928367020335</v>
      </c>
      <c r="AA99" s="61">
        <f>AA79*Assumptions!$B$8</f>
        <v>24279.528319193494</v>
      </c>
      <c r="AB99" s="61">
        <f>AB79*Assumptions!$B$8</f>
        <v>43785.243593526342</v>
      </c>
      <c r="AC99" s="61">
        <f>AC79*Assumptions!$B$8</f>
        <v>70921.767324380795</v>
      </c>
      <c r="AD99" s="61">
        <f>AD79*Assumptions!$B$8</f>
        <v>102963.47883520882</v>
      </c>
      <c r="AE99" s="61">
        <f>AE79*Assumptions!$B$8</f>
        <v>129765.53061280731</v>
      </c>
    </row>
    <row r="100" spans="1:31" x14ac:dyDescent="0.25">
      <c r="A100" s="6" t="s">
        <v>598</v>
      </c>
      <c r="B100" s="23" t="s">
        <v>114</v>
      </c>
      <c r="C100" s="61">
        <f>C80*Assumptions!$B$8</f>
        <v>0</v>
      </c>
      <c r="D100" s="61">
        <f>D80*Assumptions!$B$8</f>
        <v>0</v>
      </c>
      <c r="E100" s="61">
        <f>E80*Assumptions!$B$8</f>
        <v>0</v>
      </c>
      <c r="F100" s="61">
        <f>F80*Assumptions!$B$8</f>
        <v>0</v>
      </c>
      <c r="G100" s="61">
        <f>G80*Assumptions!$B$8</f>
        <v>0</v>
      </c>
      <c r="H100" s="61">
        <f>H80*Assumptions!$B$8</f>
        <v>0</v>
      </c>
      <c r="I100" s="61">
        <f>I80*Assumptions!$B$8</f>
        <v>0</v>
      </c>
      <c r="J100" s="61">
        <f>J80*Assumptions!$B$8</f>
        <v>0</v>
      </c>
      <c r="K100" s="61">
        <f>K80*Assumptions!$B$8</f>
        <v>0</v>
      </c>
      <c r="L100" s="61">
        <f>L80*Assumptions!$B$8</f>
        <v>0</v>
      </c>
      <c r="M100" s="61">
        <f>M80*Assumptions!$B$8</f>
        <v>0</v>
      </c>
      <c r="N100" s="61">
        <f>N80*Assumptions!$B$8</f>
        <v>0</v>
      </c>
      <c r="O100" s="61">
        <f>O80*Assumptions!$B$8</f>
        <v>7.3177207192512999</v>
      </c>
      <c r="P100" s="61">
        <f>P80*Assumptions!$B$8</f>
        <v>14.11540852935665</v>
      </c>
      <c r="Q100" s="61">
        <f>Q80*Assumptions!$B$8</f>
        <v>20.459388124084722</v>
      </c>
      <c r="R100" s="61">
        <f>R80*Assumptions!$B$8</f>
        <v>28.454624593089672</v>
      </c>
      <c r="S100" s="61">
        <f>S80*Assumptions!$B$8</f>
        <v>35.430330576207574</v>
      </c>
      <c r="T100" s="61">
        <f>T80*Assumptions!$B$8</f>
        <v>40.948162316688212</v>
      </c>
      <c r="U100" s="61">
        <f>U80*Assumptions!$B$8</f>
        <v>46.076829436634469</v>
      </c>
      <c r="V100" s="61">
        <f>V80*Assumptions!$B$8</f>
        <v>51.07187599541426</v>
      </c>
      <c r="W100" s="61">
        <f>W80*Assumptions!$B$8</f>
        <v>56.627030911164084</v>
      </c>
      <c r="X100" s="61">
        <f>X80*Assumptions!$B$8</f>
        <v>64.859177205911692</v>
      </c>
      <c r="Y100" s="61">
        <f>Y80*Assumptions!$B$8</f>
        <v>72.06106770233724</v>
      </c>
      <c r="Z100" s="61">
        <f>Z80*Assumptions!$B$8</f>
        <v>77.840219046379843</v>
      </c>
      <c r="AA100" s="61">
        <f>AA80*Assumptions!$B$8</f>
        <v>1918.2383752183323</v>
      </c>
      <c r="AB100" s="61">
        <f>AB80*Assumptions!$B$8</f>
        <v>3459.3149185270022</v>
      </c>
      <c r="AC100" s="61">
        <f>AC80*Assumptions!$B$8</f>
        <v>5603.2742453397004</v>
      </c>
      <c r="AD100" s="61">
        <f>AD80*Assumptions!$B$8</f>
        <v>8134.774850281723</v>
      </c>
      <c r="AE100" s="61">
        <f>AE80*Assumptions!$B$8</f>
        <v>10252.308748736221</v>
      </c>
    </row>
    <row r="101" spans="1:31" x14ac:dyDescent="0.25">
      <c r="A101" s="6" t="s">
        <v>599</v>
      </c>
      <c r="B101" s="23" t="s">
        <v>114</v>
      </c>
      <c r="C101" s="61">
        <f>C96*IF(Assumptions!$B$227=1,MIN(Assumptions!$B$14,1%),Assumptions!$B$14)*(1-Assumptions!$B$157)</f>
        <v>0</v>
      </c>
      <c r="D101" s="61">
        <f>D96*IF(Assumptions!$B$227=1,MIN(Assumptions!$B$14,1%),Assumptions!$B$14)*(1-Assumptions!$B$157)</f>
        <v>0</v>
      </c>
      <c r="E101" s="61">
        <f>E96*IF(Assumptions!$B$227=1,MIN(Assumptions!$B$14,1%),Assumptions!$B$14)*(1-Assumptions!$B$157)</f>
        <v>0</v>
      </c>
      <c r="F101" s="61">
        <f>F96*IF(Assumptions!$B$227=1,MIN(Assumptions!$B$14,1%),Assumptions!$B$14)*(1-Assumptions!$B$157)</f>
        <v>0</v>
      </c>
      <c r="G101" s="61">
        <f>G96*IF(Assumptions!$B$227=1,MIN(Assumptions!$B$14,1%),Assumptions!$B$14)*(1-Assumptions!$B$157)</f>
        <v>0</v>
      </c>
      <c r="H101" s="61">
        <f>H96*IF(Assumptions!$B$227=1,MIN(Assumptions!$B$14,1%),Assumptions!$B$14)*(1-Assumptions!$B$157)</f>
        <v>0</v>
      </c>
      <c r="I101" s="61">
        <f>I96*IF(Assumptions!$B$227=1,MIN(Assumptions!$B$14,1%),Assumptions!$B$14)*(1-Assumptions!$B$157)</f>
        <v>0</v>
      </c>
      <c r="J101" s="61">
        <f>J96*IF(Assumptions!$B$227=1,MIN(Assumptions!$B$14,1%),Assumptions!$B$14)*(1-Assumptions!$B$157)</f>
        <v>0</v>
      </c>
      <c r="K101" s="61">
        <f>K96*IF(Assumptions!$B$227=1,MIN(Assumptions!$B$14,1%),Assumptions!$B$14)*(1-Assumptions!$B$157)</f>
        <v>0</v>
      </c>
      <c r="L101" s="61">
        <f>L96*IF(Assumptions!$B$227=1,MIN(Assumptions!$B$14,1%),Assumptions!$B$14)*(1-Assumptions!$B$157)</f>
        <v>0</v>
      </c>
      <c r="M101" s="61">
        <f>M96*IF(Assumptions!$B$227=1,MIN(Assumptions!$B$14,1%),Assumptions!$B$14)*(1-Assumptions!$B$157)</f>
        <v>0</v>
      </c>
      <c r="N101" s="61">
        <f>N96*IF(Assumptions!$B$227=1,MIN(Assumptions!$B$14,1%),Assumptions!$B$14)*(1-Assumptions!$B$157)</f>
        <v>0</v>
      </c>
      <c r="O101" s="61">
        <f>O96*IF(Assumptions!$B$227=1,MIN(Assumptions!$B$14,1%),Assumptions!$B$14)*(1-Assumptions!$B$157)</f>
        <v>0.11843140208038561</v>
      </c>
      <c r="P101" s="61">
        <f>P96*IF(Assumptions!$B$227=1,MIN(Assumptions!$B$14,1%),Assumptions!$B$14)*(1-Assumptions!$B$157)</f>
        <v>0.31425120150184749</v>
      </c>
      <c r="Q101" s="61">
        <f>Q96*IF(Assumptions!$B$227=1,MIN(Assumptions!$B$14,1%),Assumptions!$B$14)*(1-Assumptions!$B$157)</f>
        <v>0.59981676978109522</v>
      </c>
      <c r="R101" s="61">
        <f>R96*IF(Assumptions!$B$227=1,MIN(Assumptions!$B$14,1%),Assumptions!$B$14)*(1-Assumptions!$B$157)</f>
        <v>1.0039342466185599</v>
      </c>
      <c r="S101" s="61">
        <f>S96*IF(Assumptions!$B$227=1,MIN(Assumptions!$B$14,1%),Assumptions!$B$14)*(1-Assumptions!$B$157)</f>
        <v>1.5351220610436824</v>
      </c>
      <c r="T101" s="61">
        <f>T96*IF(Assumptions!$B$227=1,MIN(Assumptions!$B$14,1%),Assumptions!$B$14)*(1-Assumptions!$B$157)</f>
        <v>2.0155416756309172</v>
      </c>
      <c r="U101" s="61">
        <f>U96*IF(Assumptions!$B$227=1,MIN(Assumptions!$B$14,1%),Assumptions!$B$14)*(1-Assumptions!$B$157)</f>
        <v>2.4440608524989607</v>
      </c>
      <c r="V101" s="61">
        <f>V96*IF(Assumptions!$B$227=1,MIN(Assumptions!$B$14,1%),Assumptions!$B$14)*(1-Assumptions!$B$157)</f>
        <v>3.1495671941444221</v>
      </c>
      <c r="W101" s="61">
        <f>W96*IF(Assumptions!$B$227=1,MIN(Assumptions!$B$14,1%),Assumptions!$B$14)*(1-Assumptions!$B$157)</f>
        <v>4.2956412644612936</v>
      </c>
      <c r="X101" s="61">
        <f>X96*IF(Assumptions!$B$227=1,MIN(Assumptions!$B$14,1%),Assumptions!$B$14)*(1-Assumptions!$B$157)</f>
        <v>5.3084108944428081</v>
      </c>
      <c r="Y101" s="61">
        <f>Y96*IF(Assumptions!$B$227=1,MIN(Assumptions!$B$14,1%),Assumptions!$B$14)*(1-Assumptions!$B$157)</f>
        <v>6.519569570673446</v>
      </c>
      <c r="Z101" s="61">
        <f>Z96*IF(Assumptions!$B$227=1,MIN(Assumptions!$B$14,1%),Assumptions!$B$14)*(1-Assumptions!$B$157)</f>
        <v>8.3082315844770758</v>
      </c>
      <c r="AA101" s="61">
        <f>AA96*IF(Assumptions!$B$227=1,MIN(Assumptions!$B$14,1%),Assumptions!$B$14)*(1-Assumptions!$B$157)</f>
        <v>420.56229378218563</v>
      </c>
      <c r="AB101" s="61">
        <f>AB96*IF(Assumptions!$B$227=1,MIN(Assumptions!$B$14,1%),Assumptions!$B$14)*(1-Assumptions!$B$157)</f>
        <v>1003.3738335796739</v>
      </c>
      <c r="AC101" s="61">
        <f>AC96*IF(Assumptions!$B$227=1,MIN(Assumptions!$B$14,1%),Assumptions!$B$14)*(1-Assumptions!$B$157)</f>
        <v>1924.0128702505074</v>
      </c>
      <c r="AD101" s="61">
        <f>AD96*IF(Assumptions!$B$227=1,MIN(Assumptions!$B$14,1%),Assumptions!$B$14)*(1-Assumptions!$B$157)</f>
        <v>3225.1771901340326</v>
      </c>
      <c r="AE101" s="61">
        <f>AE96*IF(Assumptions!$B$227=1,MIN(Assumptions!$B$14,1%),Assumptions!$B$14)*(1-Assumptions!$B$157)</f>
        <v>4802.2177173768896</v>
      </c>
    </row>
    <row r="102" spans="1:31" x14ac:dyDescent="0.25">
      <c r="A102" s="6" t="s">
        <v>600</v>
      </c>
      <c r="B102" s="23" t="s">
        <v>601</v>
      </c>
      <c r="C102" s="60">
        <f>IF(C2&gt;=Assumptions!$B$50,C74*Assumptions!$B$174*(1-Assumptions!$B$177)^(C7/2),0)</f>
        <v>0</v>
      </c>
      <c r="D102" s="60">
        <f>IF(D2&gt;=Assumptions!$B$50,C102*(1-Assumptions!$B$177)^D7+D74*Assumptions!$B$174*(1-Assumptions!$B$177)^(D7/2),0)</f>
        <v>0</v>
      </c>
      <c r="E102" s="60">
        <f>IF(E2&gt;=Assumptions!$B$50,D102*(1-Assumptions!$B$177)^E7+E74*Assumptions!$B$174*(1-Assumptions!$B$177)^(E7/2),0)</f>
        <v>0</v>
      </c>
      <c r="F102" s="60">
        <f>IF(F2&gt;=Assumptions!$B$50,E102*(1-Assumptions!$B$177)^F7+F74*Assumptions!$B$174*(1-Assumptions!$B$177)^(F7/2),0)</f>
        <v>0</v>
      </c>
      <c r="G102" s="60">
        <f>IF(G2&gt;=Assumptions!$B$50,F102*(1-Assumptions!$B$177)^G7+G74*Assumptions!$B$174*(1-Assumptions!$B$177)^(G7/2),0)</f>
        <v>0</v>
      </c>
      <c r="H102" s="60">
        <f>IF(H2&gt;=Assumptions!$B$50,G102*(1-Assumptions!$B$177)^H7+H74*Assumptions!$B$174*(1-Assumptions!$B$177)^(H7/2),0)</f>
        <v>0</v>
      </c>
      <c r="I102" s="60">
        <f>IF(I2&gt;=Assumptions!$B$50,H102*(1-Assumptions!$B$177)^I7+I74*Assumptions!$B$174*(1-Assumptions!$B$177)^(I7/2),0)</f>
        <v>0</v>
      </c>
      <c r="J102" s="60">
        <f>IF(J2&gt;=Assumptions!$B$50,I102*(1-Assumptions!$B$177)^J7+J74*Assumptions!$B$174*(1-Assumptions!$B$177)^(J7/2),0)</f>
        <v>0</v>
      </c>
      <c r="K102" s="60">
        <f>IF(K2&gt;=Assumptions!$B$50,J102*(1-Assumptions!$B$177)^K7+K74*Assumptions!$B$174*(1-Assumptions!$B$177)^(K7/2),0)</f>
        <v>0</v>
      </c>
      <c r="L102" s="60">
        <f>IF(L2&gt;=Assumptions!$B$50,K102*(1-Assumptions!$B$177)^L7+L74*Assumptions!$B$174*(1-Assumptions!$B$177)^(L7/2),0)</f>
        <v>0</v>
      </c>
      <c r="M102" s="60">
        <f>IF(M2&gt;=Assumptions!$B$50,L102*(1-Assumptions!$B$177)^M7+M74*Assumptions!$B$174*(1-Assumptions!$B$177)^(M7/2),0)</f>
        <v>0</v>
      </c>
      <c r="N102" s="60">
        <f>IF(N2&gt;=Assumptions!$B$50,M102*(1-Assumptions!$B$177)^N7+N74*Assumptions!$B$174*(1-Assumptions!$B$177)^(N7/2),0)</f>
        <v>0</v>
      </c>
      <c r="O102" s="60">
        <f>IF(O2&gt;=Assumptions!$B$50,N102*(1-Assumptions!$B$177)^O7+O74*Assumptions!$B$174*(1-Assumptions!$B$177)^(O7/2),0)</f>
        <v>10.559798401009761</v>
      </c>
      <c r="P102" s="60">
        <f>IF(P2&gt;=Assumptions!$B$50,O102*(1-Assumptions!$B$177)^P7+P74*Assumptions!$B$174*(1-Assumptions!$B$177)^(P7/2),0)</f>
        <v>20.131177884384623</v>
      </c>
      <c r="Q102" s="60">
        <f>IF(Q2&gt;=Assumptions!$B$50,P102*(1-Assumptions!$B$177)^Q7+Q74*Assumptions!$B$174*(1-Assumptions!$B$177)^(Q7/2),0)</f>
        <v>28.843690144509193</v>
      </c>
      <c r="R102" s="60">
        <f>IF(R2&gt;=Assumptions!$B$50,Q102*(1-Assumptions!$B$177)^R7+R74*Assumptions!$B$174*(1-Assumptions!$B$177)^(R7/2),0)</f>
        <v>39.764171747014409</v>
      </c>
      <c r="S102" s="60">
        <f>IF(S2&gt;=Assumptions!$B$50,R102*(1-Assumptions!$B$177)^S7+S74*Assumptions!$B$174*(1-Assumptions!$B$177)^(S7/2),0)</f>
        <v>48.997294054355365</v>
      </c>
      <c r="T102" s="60">
        <f>IF(T2&gt;=Assumptions!$B$50,S102*(1-Assumptions!$B$177)^T7+T74*Assumptions!$B$174*(1-Assumptions!$B$177)^(T7/2),0)</f>
        <v>55.959039528861496</v>
      </c>
      <c r="U102" s="60">
        <f>IF(U2&gt;=Assumptions!$B$50,T102*(1-Assumptions!$B$177)^U7+U74*Assumptions!$B$174*(1-Assumptions!$B$177)^(U7/2),0)</f>
        <v>62.25093958175254</v>
      </c>
      <c r="V102" s="60">
        <f>IF(V2&gt;=Assumptions!$B$50,U102*(1-Assumptions!$B$177)^V7+V74*Assumptions!$B$174*(1-Assumptions!$B$177)^(V7/2),0)</f>
        <v>68.262113663243042</v>
      </c>
      <c r="W102" s="60">
        <f>IF(W2&gt;=Assumptions!$B$50,V102*(1-Assumptions!$B$177)^W7+W74*Assumptions!$B$174*(1-Assumptions!$B$177)^(W7/2),0)</f>
        <v>75.004242543851007</v>
      </c>
      <c r="X102" s="60">
        <f>IF(X2&gt;=Assumptions!$B$50,W102*(1-Assumptions!$B$177)^X7+X74*Assumptions!$B$174*(1-Assumptions!$B$177)^(X7/2),0)</f>
        <v>85.519366502537537</v>
      </c>
      <c r="Y102" s="60">
        <f>IF(Y2&gt;=Assumptions!$B$50,X102*(1-Assumptions!$B$177)^Y7+Y74*Assumptions!$B$174*(1-Assumptions!$B$177)^(Y7/2),0)</f>
        <v>94.377104345391018</v>
      </c>
      <c r="Z102" s="60">
        <f>IF(Z2&gt;=Assumptions!$B$50,Y102*(1-Assumptions!$B$177)^Z7+Z74*Assumptions!$B$174*(1-Assumptions!$B$177)^(Z7/2),0)</f>
        <v>101.05673279349431</v>
      </c>
      <c r="AA102" s="60">
        <f>IF(AA2&gt;=Assumptions!$B$50,Z102*(1-Assumptions!$B$177)^AA7+AA74*Assumptions!$B$174*(1-Assumptions!$B$177)^(AA7/2),0)</f>
        <v>189.7175318586406</v>
      </c>
      <c r="AB102" s="60">
        <f>IF(AB2&gt;=Assumptions!$B$50,AA102*(1-Assumptions!$B$177)^AB7+AB74*Assumptions!$B$174*(1-Assumptions!$B$177)^(AB7/2),0)</f>
        <v>331.66670005423509</v>
      </c>
      <c r="AC102" s="60">
        <f>IF(AC2&gt;=Assumptions!$B$50,AB102*(1-Assumptions!$B$177)^AC7+AC74*Assumptions!$B$174*(1-Assumptions!$B$177)^(AC7/2),0)</f>
        <v>526.85606078791886</v>
      </c>
      <c r="AD102" s="60">
        <f>IF(AD2&gt;=Assumptions!$B$50,AC102*(1-Assumptions!$B$177)^AD7+AD74*Assumptions!$B$174*(1-Assumptions!$B$177)^(AD7/2),0)</f>
        <v>749.90465999809953</v>
      </c>
      <c r="AE102" s="60">
        <f>IF(AE2&gt;=Assumptions!$B$50,AD102*(1-Assumptions!$B$177)^AE7+AE74*Assumptions!$B$174*(1-Assumptions!$B$177)^(AE7/2),0)</f>
        <v>918.3481959312993</v>
      </c>
    </row>
    <row r="103" spans="1:31" x14ac:dyDescent="0.25">
      <c r="A103" s="6" t="s">
        <v>602</v>
      </c>
      <c r="B103" s="23" t="s">
        <v>114</v>
      </c>
      <c r="C103" s="61">
        <f>C102*(Assumptions!$B$25+MAX(0,Assumptions!$B$176-1)*Assumptions!$B$26)/12*C7</f>
        <v>0</v>
      </c>
      <c r="D103" s="61">
        <f>D102*(Assumptions!$B$25+MAX(0,Assumptions!$B$176-1)*Assumptions!$B$26)/12*D7</f>
        <v>0</v>
      </c>
      <c r="E103" s="61">
        <f>E102*(Assumptions!$B$25+MAX(0,Assumptions!$B$176-1)*Assumptions!$B$26)/12*E7</f>
        <v>0</v>
      </c>
      <c r="F103" s="61">
        <f>F102*(Assumptions!$B$25+MAX(0,Assumptions!$B$176-1)*Assumptions!$B$26)/12*F7</f>
        <v>0</v>
      </c>
      <c r="G103" s="61">
        <f>G102*(Assumptions!$B$25+MAX(0,Assumptions!$B$176-1)*Assumptions!$B$26)/12*G7</f>
        <v>0</v>
      </c>
      <c r="H103" s="61">
        <f>H102*(Assumptions!$B$25+MAX(0,Assumptions!$B$176-1)*Assumptions!$B$26)/12*H7</f>
        <v>0</v>
      </c>
      <c r="I103" s="61">
        <f>I102*(Assumptions!$B$25+MAX(0,Assumptions!$B$176-1)*Assumptions!$B$26)/12*I7</f>
        <v>0</v>
      </c>
      <c r="J103" s="61">
        <f>J102*(Assumptions!$B$25+MAX(0,Assumptions!$B$176-1)*Assumptions!$B$26)/12*J7</f>
        <v>0</v>
      </c>
      <c r="K103" s="61">
        <f>K102*(Assumptions!$B$25+MAX(0,Assumptions!$B$176-1)*Assumptions!$B$26)/12*K7</f>
        <v>0</v>
      </c>
      <c r="L103" s="61">
        <f>L102*(Assumptions!$B$25+MAX(0,Assumptions!$B$176-1)*Assumptions!$B$26)/12*L7</f>
        <v>0</v>
      </c>
      <c r="M103" s="61">
        <f>M102*(Assumptions!$B$25+MAX(0,Assumptions!$B$176-1)*Assumptions!$B$26)/12*M7</f>
        <v>0</v>
      </c>
      <c r="N103" s="61">
        <f>N102*(Assumptions!$B$25+MAX(0,Assumptions!$B$176-1)*Assumptions!$B$26)/12*N7</f>
        <v>0</v>
      </c>
      <c r="O103" s="61">
        <f>O102*(Assumptions!$B$25+MAX(0,Assumptions!$B$176-1)*Assumptions!$B$26)/12*O7</f>
        <v>51.919008804964655</v>
      </c>
      <c r="P103" s="61">
        <f>P102*(Assumptions!$B$25+MAX(0,Assumptions!$B$176-1)*Assumptions!$B$26)/12*P7</f>
        <v>98.97829126489107</v>
      </c>
      <c r="Q103" s="61">
        <f>Q102*(Assumptions!$B$25+MAX(0,Assumptions!$B$176-1)*Assumptions!$B$26)/12*Q7</f>
        <v>141.81480987717021</v>
      </c>
      <c r="R103" s="61">
        <f>R102*(Assumptions!$B$25+MAX(0,Assumptions!$B$176-1)*Assumptions!$B$26)/12*R7</f>
        <v>195.50717775615419</v>
      </c>
      <c r="S103" s="61">
        <f>S102*(Assumptions!$B$25+MAX(0,Assumptions!$B$176-1)*Assumptions!$B$26)/12*S7</f>
        <v>240.90336243391388</v>
      </c>
      <c r="T103" s="61">
        <f>T102*(Assumptions!$B$25+MAX(0,Assumptions!$B$176-1)*Assumptions!$B$26)/12*T7</f>
        <v>275.1319443502357</v>
      </c>
      <c r="U103" s="61">
        <f>U102*(Assumptions!$B$25+MAX(0,Assumptions!$B$176-1)*Assumptions!$B$26)/12*U7</f>
        <v>306.06711961028333</v>
      </c>
      <c r="V103" s="61">
        <f>V102*(Assumptions!$B$25+MAX(0,Assumptions!$B$176-1)*Assumptions!$B$26)/12*V7</f>
        <v>335.62205884427829</v>
      </c>
      <c r="W103" s="61">
        <f>W102*(Assumptions!$B$25+MAX(0,Assumptions!$B$176-1)*Assumptions!$B$26)/12*W7</f>
        <v>368.77085917393407</v>
      </c>
      <c r="X103" s="61">
        <f>X102*(Assumptions!$B$25+MAX(0,Assumptions!$B$176-1)*Assumptions!$B$26)/12*X7</f>
        <v>420.47021863747619</v>
      </c>
      <c r="Y103" s="61">
        <f>Y102*(Assumptions!$B$25+MAX(0,Assumptions!$B$176-1)*Assumptions!$B$26)/12*Y7</f>
        <v>464.02076303150585</v>
      </c>
      <c r="Z103" s="61">
        <f>Z102*(Assumptions!$B$25+MAX(0,Assumptions!$B$176-1)*Assumptions!$B$26)/12*Z7</f>
        <v>496.86226956801369</v>
      </c>
      <c r="AA103" s="61">
        <f>AA102*(Assumptions!$B$25+MAX(0,Assumptions!$B$176-1)*Assumptions!$B$26)/12*AA7</f>
        <v>11193.334379659795</v>
      </c>
      <c r="AB103" s="61">
        <f>AB102*(Assumptions!$B$25+MAX(0,Assumptions!$B$176-1)*Assumptions!$B$26)/12*AB7</f>
        <v>19568.33530319987</v>
      </c>
      <c r="AC103" s="61">
        <f>AC102*(Assumptions!$B$25+MAX(0,Assumptions!$B$176-1)*Assumptions!$B$26)/12*AC7</f>
        <v>31084.507586487212</v>
      </c>
      <c r="AD103" s="61">
        <f>AD102*(Assumptions!$B$25+MAX(0,Assumptions!$B$176-1)*Assumptions!$B$26)/12*AD7</f>
        <v>44244.374939887872</v>
      </c>
      <c r="AE103" s="61">
        <f>AE102*(Assumptions!$B$25+MAX(0,Assumptions!$B$176-1)*Assumptions!$B$26)/12*AE7</f>
        <v>54182.543559946658</v>
      </c>
    </row>
    <row r="104" spans="1:31" x14ac:dyDescent="0.25">
      <c r="A104" s="6" t="s">
        <v>603</v>
      </c>
      <c r="B104" s="23" t="s">
        <v>114</v>
      </c>
      <c r="C104" s="61">
        <f>IF(C2&gt;=Assumptions!$B$52,C96*C17*Assumptions!$B$17+C90*(Assumptions!$B$163*MAX(0,Assumptions!$B$167-Assumptions!$B$18)+Assumptions!$B$164*MAX(0,Assumptions!$B$168-Assumptions!$B$18)+Assumptions!$B$165*MAX(0,Assumptions!$B$169-Assumptions!$B$18)+Assumptions!$B$166*MAX(0,Assumptions!$B$170-Assumptions!$B$18))*Assumptions!$B$19/Assumptions!$B$7*C7+C91*Assumptions!$B$20/Assumptions!$B$7+C89*(Assumptions!$B$161*Assumptions!$B$20+Assumptions!$B$162*Assumptions!$B$21)/12/Assumptions!$B$7*C7,0)</f>
        <v>0</v>
      </c>
      <c r="D104" s="61">
        <f>IF(D2&gt;=Assumptions!$B$52,D96*D17*Assumptions!$B$17+D90*(Assumptions!$B$163*MAX(0,Assumptions!$B$167-Assumptions!$B$18)+Assumptions!$B$164*MAX(0,Assumptions!$B$168-Assumptions!$B$18)+Assumptions!$B$165*MAX(0,Assumptions!$B$169-Assumptions!$B$18)+Assumptions!$B$166*MAX(0,Assumptions!$B$170-Assumptions!$B$18))*Assumptions!$B$19/Assumptions!$B$7*D7+D91*Assumptions!$B$20/Assumptions!$B$7+D89*(Assumptions!$B$161*Assumptions!$B$20+Assumptions!$B$162*Assumptions!$B$21)/12/Assumptions!$B$7*D7,0)</f>
        <v>0</v>
      </c>
      <c r="E104" s="61">
        <f>IF(E2&gt;=Assumptions!$B$52,E96*E17*Assumptions!$B$17+E90*(Assumptions!$B$163*MAX(0,Assumptions!$B$167-Assumptions!$B$18)+Assumptions!$B$164*MAX(0,Assumptions!$B$168-Assumptions!$B$18)+Assumptions!$B$165*MAX(0,Assumptions!$B$169-Assumptions!$B$18)+Assumptions!$B$166*MAX(0,Assumptions!$B$170-Assumptions!$B$18))*Assumptions!$B$19/Assumptions!$B$7*E7+E91*Assumptions!$B$20/Assumptions!$B$7+E89*(Assumptions!$B$161*Assumptions!$B$20+Assumptions!$B$162*Assumptions!$B$21)/12/Assumptions!$B$7*E7,0)</f>
        <v>0</v>
      </c>
      <c r="F104" s="61">
        <f>IF(F2&gt;=Assumptions!$B$52,F96*F17*Assumptions!$B$17+F90*(Assumptions!$B$163*MAX(0,Assumptions!$B$167-Assumptions!$B$18)+Assumptions!$B$164*MAX(0,Assumptions!$B$168-Assumptions!$B$18)+Assumptions!$B$165*MAX(0,Assumptions!$B$169-Assumptions!$B$18)+Assumptions!$B$166*MAX(0,Assumptions!$B$170-Assumptions!$B$18))*Assumptions!$B$19/Assumptions!$B$7*F7+F91*Assumptions!$B$20/Assumptions!$B$7+F89*(Assumptions!$B$161*Assumptions!$B$20+Assumptions!$B$162*Assumptions!$B$21)/12/Assumptions!$B$7*F7,0)</f>
        <v>0</v>
      </c>
      <c r="G104" s="61">
        <f>IF(G2&gt;=Assumptions!$B$52,G96*G17*Assumptions!$B$17+G90*(Assumptions!$B$163*MAX(0,Assumptions!$B$167-Assumptions!$B$18)+Assumptions!$B$164*MAX(0,Assumptions!$B$168-Assumptions!$B$18)+Assumptions!$B$165*MAX(0,Assumptions!$B$169-Assumptions!$B$18)+Assumptions!$B$166*MAX(0,Assumptions!$B$170-Assumptions!$B$18))*Assumptions!$B$19/Assumptions!$B$7*G7+G91*Assumptions!$B$20/Assumptions!$B$7+G89*(Assumptions!$B$161*Assumptions!$B$20+Assumptions!$B$162*Assumptions!$B$21)/12/Assumptions!$B$7*G7,0)</f>
        <v>0</v>
      </c>
      <c r="H104" s="61">
        <f>IF(H2&gt;=Assumptions!$B$52,H96*H17*Assumptions!$B$17+H90*(Assumptions!$B$163*MAX(0,Assumptions!$B$167-Assumptions!$B$18)+Assumptions!$B$164*MAX(0,Assumptions!$B$168-Assumptions!$B$18)+Assumptions!$B$165*MAX(0,Assumptions!$B$169-Assumptions!$B$18)+Assumptions!$B$166*MAX(0,Assumptions!$B$170-Assumptions!$B$18))*Assumptions!$B$19/Assumptions!$B$7*H7+H91*Assumptions!$B$20/Assumptions!$B$7+H89*(Assumptions!$B$161*Assumptions!$B$20+Assumptions!$B$162*Assumptions!$B$21)/12/Assumptions!$B$7*H7,0)</f>
        <v>0</v>
      </c>
      <c r="I104" s="61">
        <f>IF(I2&gt;=Assumptions!$B$52,I96*I17*Assumptions!$B$17+I90*(Assumptions!$B$163*MAX(0,Assumptions!$B$167-Assumptions!$B$18)+Assumptions!$B$164*MAX(0,Assumptions!$B$168-Assumptions!$B$18)+Assumptions!$B$165*MAX(0,Assumptions!$B$169-Assumptions!$B$18)+Assumptions!$B$166*MAX(0,Assumptions!$B$170-Assumptions!$B$18))*Assumptions!$B$19/Assumptions!$B$7*I7+I91*Assumptions!$B$20/Assumptions!$B$7+I89*(Assumptions!$B$161*Assumptions!$B$20+Assumptions!$B$162*Assumptions!$B$21)/12/Assumptions!$B$7*I7,0)</f>
        <v>0</v>
      </c>
      <c r="J104" s="61">
        <f>IF(J2&gt;=Assumptions!$B$52,J96*J17*Assumptions!$B$17+J90*(Assumptions!$B$163*MAX(0,Assumptions!$B$167-Assumptions!$B$18)+Assumptions!$B$164*MAX(0,Assumptions!$B$168-Assumptions!$B$18)+Assumptions!$B$165*MAX(0,Assumptions!$B$169-Assumptions!$B$18)+Assumptions!$B$166*MAX(0,Assumptions!$B$170-Assumptions!$B$18))*Assumptions!$B$19/Assumptions!$B$7*J7+J91*Assumptions!$B$20/Assumptions!$B$7+J89*(Assumptions!$B$161*Assumptions!$B$20+Assumptions!$B$162*Assumptions!$B$21)/12/Assumptions!$B$7*J7,0)</f>
        <v>0</v>
      </c>
      <c r="K104" s="61">
        <f>IF(K2&gt;=Assumptions!$B$52,K96*K17*Assumptions!$B$17+K90*(Assumptions!$B$163*MAX(0,Assumptions!$B$167-Assumptions!$B$18)+Assumptions!$B$164*MAX(0,Assumptions!$B$168-Assumptions!$B$18)+Assumptions!$B$165*MAX(0,Assumptions!$B$169-Assumptions!$B$18)+Assumptions!$B$166*MAX(0,Assumptions!$B$170-Assumptions!$B$18))*Assumptions!$B$19/Assumptions!$B$7*K7+K91*Assumptions!$B$20/Assumptions!$B$7+K89*(Assumptions!$B$161*Assumptions!$B$20+Assumptions!$B$162*Assumptions!$B$21)/12/Assumptions!$B$7*K7,0)</f>
        <v>0</v>
      </c>
      <c r="L104" s="61">
        <f>IF(L2&gt;=Assumptions!$B$52,L96*L17*Assumptions!$B$17+L90*(Assumptions!$B$163*MAX(0,Assumptions!$B$167-Assumptions!$B$18)+Assumptions!$B$164*MAX(0,Assumptions!$B$168-Assumptions!$B$18)+Assumptions!$B$165*MAX(0,Assumptions!$B$169-Assumptions!$B$18)+Assumptions!$B$166*MAX(0,Assumptions!$B$170-Assumptions!$B$18))*Assumptions!$B$19/Assumptions!$B$7*L7+L91*Assumptions!$B$20/Assumptions!$B$7+L89*(Assumptions!$B$161*Assumptions!$B$20+Assumptions!$B$162*Assumptions!$B$21)/12/Assumptions!$B$7*L7,0)</f>
        <v>0</v>
      </c>
      <c r="M104" s="61">
        <f>IF(M2&gt;=Assumptions!$B$52,M96*M17*Assumptions!$B$17+M90*(Assumptions!$B$163*MAX(0,Assumptions!$B$167-Assumptions!$B$18)+Assumptions!$B$164*MAX(0,Assumptions!$B$168-Assumptions!$B$18)+Assumptions!$B$165*MAX(0,Assumptions!$B$169-Assumptions!$B$18)+Assumptions!$B$166*MAX(0,Assumptions!$B$170-Assumptions!$B$18))*Assumptions!$B$19/Assumptions!$B$7*M7+M91*Assumptions!$B$20/Assumptions!$B$7+M89*(Assumptions!$B$161*Assumptions!$B$20+Assumptions!$B$162*Assumptions!$B$21)/12/Assumptions!$B$7*M7,0)</f>
        <v>0</v>
      </c>
      <c r="N104" s="61">
        <f>IF(N2&gt;=Assumptions!$B$52,N96*N17*Assumptions!$B$17+N90*(Assumptions!$B$163*MAX(0,Assumptions!$B$167-Assumptions!$B$18)+Assumptions!$B$164*MAX(0,Assumptions!$B$168-Assumptions!$B$18)+Assumptions!$B$165*MAX(0,Assumptions!$B$169-Assumptions!$B$18)+Assumptions!$B$166*MAX(0,Assumptions!$B$170-Assumptions!$B$18))*Assumptions!$B$19/Assumptions!$B$7*N7+N91*Assumptions!$B$20/Assumptions!$B$7+N89*(Assumptions!$B$161*Assumptions!$B$20+Assumptions!$B$162*Assumptions!$B$21)/12/Assumptions!$B$7*N7,0)</f>
        <v>0</v>
      </c>
      <c r="O104" s="61">
        <f>IF(O2&gt;=Assumptions!$B$52,O96*O17*Assumptions!$B$17+O90*(Assumptions!$B$163*MAX(0,Assumptions!$B$167-Assumptions!$B$18)+Assumptions!$B$164*MAX(0,Assumptions!$B$168-Assumptions!$B$18)+Assumptions!$B$165*MAX(0,Assumptions!$B$169-Assumptions!$B$18)+Assumptions!$B$166*MAX(0,Assumptions!$B$170-Assumptions!$B$18))*Assumptions!$B$19/Assumptions!$B$7*O7+O91*Assumptions!$B$20/Assumptions!$B$7+O89*(Assumptions!$B$161*Assumptions!$B$20+Assumptions!$B$162*Assumptions!$B$21)/12/Assumptions!$B$7*O7,0)</f>
        <v>290.40330813024565</v>
      </c>
      <c r="P104" s="61">
        <f>IF(P2&gt;=Assumptions!$B$52,P96*P17*Assumptions!$B$17+P90*(Assumptions!$B$163*MAX(0,Assumptions!$B$167-Assumptions!$B$18)+Assumptions!$B$164*MAX(0,Assumptions!$B$168-Assumptions!$B$18)+Assumptions!$B$165*MAX(0,Assumptions!$B$169-Assumptions!$B$18)+Assumptions!$B$166*MAX(0,Assumptions!$B$170-Assumptions!$B$18))*Assumptions!$B$19/Assumptions!$B$7*P7+P91*Assumptions!$B$20/Assumptions!$B$7+P89*(Assumptions!$B$161*Assumptions!$B$20+Assumptions!$B$162*Assumptions!$B$21)/12/Assumptions!$B$7*P7,0)</f>
        <v>305.82961987323301</v>
      </c>
      <c r="Q104" s="61">
        <f>IF(Q2&gt;=Assumptions!$B$52,Q96*Q17*Assumptions!$B$17+Q90*(Assumptions!$B$163*MAX(0,Assumptions!$B$167-Assumptions!$B$18)+Assumptions!$B$164*MAX(0,Assumptions!$B$168-Assumptions!$B$18)+Assumptions!$B$165*MAX(0,Assumptions!$B$169-Assumptions!$B$18)+Assumptions!$B$166*MAX(0,Assumptions!$B$170-Assumptions!$B$18))*Assumptions!$B$19/Assumptions!$B$7*Q7+Q91*Assumptions!$B$20/Assumptions!$B$7+Q89*(Assumptions!$B$161*Assumptions!$B$20+Assumptions!$B$162*Assumptions!$B$21)/12/Assumptions!$B$7*Q7,0)</f>
        <v>322.45860110658458</v>
      </c>
      <c r="R104" s="61">
        <f>IF(R2&gt;=Assumptions!$B$52,R96*R17*Assumptions!$B$17+R90*(Assumptions!$B$163*MAX(0,Assumptions!$B$167-Assumptions!$B$18)+Assumptions!$B$164*MAX(0,Assumptions!$B$168-Assumptions!$B$18)+Assumptions!$B$165*MAX(0,Assumptions!$B$169-Assumptions!$B$18)+Assumptions!$B$166*MAX(0,Assumptions!$B$170-Assumptions!$B$18))*Assumptions!$B$19/Assumptions!$B$7*R7+R91*Assumptions!$B$20/Assumptions!$B$7+R89*(Assumptions!$B$161*Assumptions!$B$20+Assumptions!$B$162*Assumptions!$B$21)/12/Assumptions!$B$7*R7,0)</f>
        <v>421.48852093301002</v>
      </c>
      <c r="S104" s="61">
        <f>IF(S2&gt;=Assumptions!$B$52,S96*S17*Assumptions!$B$17+S90*(Assumptions!$B$163*MAX(0,Assumptions!$B$167-Assumptions!$B$18)+Assumptions!$B$164*MAX(0,Assumptions!$B$168-Assumptions!$B$18)+Assumptions!$B$165*MAX(0,Assumptions!$B$169-Assumptions!$B$18)+Assumptions!$B$166*MAX(0,Assumptions!$B$170-Assumptions!$B$18))*Assumptions!$B$19/Assumptions!$B$7*S7+S91*Assumptions!$B$20/Assumptions!$B$7+S89*(Assumptions!$B$161*Assumptions!$B$20+Assumptions!$B$162*Assumptions!$B$21)/12/Assumptions!$B$7*S7,0)</f>
        <v>423.72414070822083</v>
      </c>
      <c r="T104" s="61">
        <f>IF(T2&gt;=Assumptions!$B$52,T96*T17*Assumptions!$B$17+T90*(Assumptions!$B$163*MAX(0,Assumptions!$B$167-Assumptions!$B$18)+Assumptions!$B$164*MAX(0,Assumptions!$B$168-Assumptions!$B$18)+Assumptions!$B$165*MAX(0,Assumptions!$B$169-Assumptions!$B$18)+Assumptions!$B$166*MAX(0,Assumptions!$B$170-Assumptions!$B$18))*Assumptions!$B$19/Assumptions!$B$7*T7+T91*Assumptions!$B$20/Assumptions!$B$7+T89*(Assumptions!$B$161*Assumptions!$B$20+Assumptions!$B$162*Assumptions!$B$21)/12/Assumptions!$B$7*T7,0)</f>
        <v>405.63988834895468</v>
      </c>
      <c r="U104" s="61">
        <f>IF(U2&gt;=Assumptions!$B$52,U96*U17*Assumptions!$B$17+U90*(Assumptions!$B$163*MAX(0,Assumptions!$B$167-Assumptions!$B$18)+Assumptions!$B$164*MAX(0,Assumptions!$B$168-Assumptions!$B$18)+Assumptions!$B$165*MAX(0,Assumptions!$B$169-Assumptions!$B$18)+Assumptions!$B$166*MAX(0,Assumptions!$B$170-Assumptions!$B$18))*Assumptions!$B$19/Assumptions!$B$7*U7+U91*Assumptions!$B$20/Assumptions!$B$7+U89*(Assumptions!$B$161*Assumptions!$B$20+Assumptions!$B$162*Assumptions!$B$21)/12/Assumptions!$B$7*U7,0)</f>
        <v>423.26610745747075</v>
      </c>
      <c r="V104" s="61">
        <f>IF(V2&gt;=Assumptions!$B$52,V96*V17*Assumptions!$B$17+V90*(Assumptions!$B$163*MAX(0,Assumptions!$B$167-Assumptions!$B$18)+Assumptions!$B$164*MAX(0,Assumptions!$B$168-Assumptions!$B$18)+Assumptions!$B$165*MAX(0,Assumptions!$B$169-Assumptions!$B$18)+Assumptions!$B$166*MAX(0,Assumptions!$B$170-Assumptions!$B$18))*Assumptions!$B$19/Assumptions!$B$7*V7+V91*Assumptions!$B$20/Assumptions!$B$7+V89*(Assumptions!$B$161*Assumptions!$B$20+Assumptions!$B$162*Assumptions!$B$21)/12/Assumptions!$B$7*V7,0)</f>
        <v>449.77575365551178</v>
      </c>
      <c r="W104" s="61">
        <f>IF(W2&gt;=Assumptions!$B$52,W96*W17*Assumptions!$B$17+W90*(Assumptions!$B$163*MAX(0,Assumptions!$B$167-Assumptions!$B$18)+Assumptions!$B$164*MAX(0,Assumptions!$B$168-Assumptions!$B$18)+Assumptions!$B$165*MAX(0,Assumptions!$B$169-Assumptions!$B$18)+Assumptions!$B$166*MAX(0,Assumptions!$B$170-Assumptions!$B$18))*Assumptions!$B$19/Assumptions!$B$7*W7+W91*Assumptions!$B$20/Assumptions!$B$7+W89*(Assumptions!$B$161*Assumptions!$B$20+Assumptions!$B$162*Assumptions!$B$21)/12/Assumptions!$B$7*W7,0)</f>
        <v>502.67217743854167</v>
      </c>
      <c r="X104" s="61">
        <f>IF(X2&gt;=Assumptions!$B$52,X96*X17*Assumptions!$B$17+X90*(Assumptions!$B$163*MAX(0,Assumptions!$B$167-Assumptions!$B$18)+Assumptions!$B$164*MAX(0,Assumptions!$B$168-Assumptions!$B$18)+Assumptions!$B$165*MAX(0,Assumptions!$B$169-Assumptions!$B$18)+Assumptions!$B$166*MAX(0,Assumptions!$B$170-Assumptions!$B$18))*Assumptions!$B$19/Assumptions!$B$7*X7+X91*Assumptions!$B$20/Assumptions!$B$7+X89*(Assumptions!$B$161*Assumptions!$B$20+Assumptions!$B$162*Assumptions!$B$21)/12/Assumptions!$B$7*X7,0)</f>
        <v>645.16464970589038</v>
      </c>
      <c r="Y104" s="61">
        <f>IF(Y2&gt;=Assumptions!$B$52,Y96*Y17*Assumptions!$B$17+Y90*(Assumptions!$B$163*MAX(0,Assumptions!$B$167-Assumptions!$B$18)+Assumptions!$B$164*MAX(0,Assumptions!$B$168-Assumptions!$B$18)+Assumptions!$B$165*MAX(0,Assumptions!$B$169-Assumptions!$B$18)+Assumptions!$B$166*MAX(0,Assumptions!$B$170-Assumptions!$B$18))*Assumptions!$B$19/Assumptions!$B$7*Y7+Y91*Assumptions!$B$20/Assumptions!$B$7+Y89*(Assumptions!$B$161*Assumptions!$B$20+Assumptions!$B$162*Assumptions!$B$21)/12/Assumptions!$B$7*Y7,0)</f>
        <v>653.79811633169811</v>
      </c>
      <c r="Z104" s="61">
        <f>IF(Z2&gt;=Assumptions!$B$52,Z96*Z17*Assumptions!$B$17+Z90*(Assumptions!$B$163*MAX(0,Assumptions!$B$167-Assumptions!$B$18)+Assumptions!$B$164*MAX(0,Assumptions!$B$168-Assumptions!$B$18)+Assumptions!$B$165*MAX(0,Assumptions!$B$169-Assumptions!$B$18)+Assumptions!$B$166*MAX(0,Assumptions!$B$170-Assumptions!$B$18))*Assumptions!$B$19/Assumptions!$B$7*Z7+Z91*Assumptions!$B$20/Assumptions!$B$7+Z89*(Assumptions!$B$161*Assumptions!$B$20+Assumptions!$B$162*Assumptions!$B$21)/12/Assumptions!$B$7*Z7,0)</f>
        <v>642.21777805075885</v>
      </c>
      <c r="AA104" s="61">
        <f>IF(AA2&gt;=Assumptions!$B$52,AA96*AA17*Assumptions!$B$17+AA90*(Assumptions!$B$163*MAX(0,Assumptions!$B$167-Assumptions!$B$18)+Assumptions!$B$164*MAX(0,Assumptions!$B$168-Assumptions!$B$18)+Assumptions!$B$165*MAX(0,Assumptions!$B$169-Assumptions!$B$18)+Assumptions!$B$166*MAX(0,Assumptions!$B$170-Assumptions!$B$18))*Assumptions!$B$19/Assumptions!$B$7*AA7+AA91*Assumptions!$B$20/Assumptions!$B$7+AA89*(Assumptions!$B$161*Assumptions!$B$20+Assumptions!$B$162*Assumptions!$B$21)/12/Assumptions!$B$7*AA7,0)</f>
        <v>15094.963234774612</v>
      </c>
      <c r="AB104" s="61">
        <f>IF(AB2&gt;=Assumptions!$B$52,AB96*AB17*Assumptions!$B$17+AB90*(Assumptions!$B$163*MAX(0,Assumptions!$B$167-Assumptions!$B$18)+Assumptions!$B$164*MAX(0,Assumptions!$B$168-Assumptions!$B$18)+Assumptions!$B$165*MAX(0,Assumptions!$B$169-Assumptions!$B$18)+Assumptions!$B$166*MAX(0,Assumptions!$B$170-Assumptions!$B$18))*Assumptions!$B$19/Assumptions!$B$7*AB7+AB91*Assumptions!$B$20/Assumptions!$B$7+AB89*(Assumptions!$B$161*Assumptions!$B$20+Assumptions!$B$162*Assumptions!$B$21)/12/Assumptions!$B$7*AB7,0)</f>
        <v>29090.422622144091</v>
      </c>
      <c r="AC104" s="61">
        <f>IF(AC2&gt;=Assumptions!$B$52,AC96*AC17*Assumptions!$B$17+AC90*(Assumptions!$B$163*MAX(0,Assumptions!$B$167-Assumptions!$B$18)+Assumptions!$B$164*MAX(0,Assumptions!$B$168-Assumptions!$B$18)+Assumptions!$B$165*MAX(0,Assumptions!$B$169-Assumptions!$B$18)+Assumptions!$B$166*MAX(0,Assumptions!$B$170-Assumptions!$B$18))*Assumptions!$B$19/Assumptions!$B$7*AC7+AC91*Assumptions!$B$20/Assumptions!$B$7+AC89*(Assumptions!$B$161*Assumptions!$B$20+Assumptions!$B$162*Assumptions!$B$21)/12/Assumptions!$B$7*AC7,0)</f>
        <v>49679.118222630772</v>
      </c>
      <c r="AD104" s="61">
        <f>IF(AD2&gt;=Assumptions!$B$52,AD96*AD17*Assumptions!$B$17+AD90*(Assumptions!$B$163*MAX(0,Assumptions!$B$167-Assumptions!$B$18)+Assumptions!$B$164*MAX(0,Assumptions!$B$168-Assumptions!$B$18)+Assumptions!$B$165*MAX(0,Assumptions!$B$169-Assumptions!$B$18)+Assumptions!$B$166*MAX(0,Assumptions!$B$170-Assumptions!$B$18))*Assumptions!$B$19/Assumptions!$B$7*AD7+AD91*Assumptions!$B$20/Assumptions!$B$7+AD89*(Assumptions!$B$161*Assumptions!$B$20+Assumptions!$B$162*Assumptions!$B$21)/12/Assumptions!$B$7*AD7,0)</f>
        <v>76153.018453363882</v>
      </c>
      <c r="AE104" s="61">
        <f>IF(AE2&gt;=Assumptions!$B$52,AE96*AE17*Assumptions!$B$17+AE90*(Assumptions!$B$163*MAX(0,Assumptions!$B$167-Assumptions!$B$18)+Assumptions!$B$164*MAX(0,Assumptions!$B$168-Assumptions!$B$18)+Assumptions!$B$165*MAX(0,Assumptions!$B$169-Assumptions!$B$18)+Assumptions!$B$166*MAX(0,Assumptions!$B$170-Assumptions!$B$18))*Assumptions!$B$19/Assumptions!$B$7*AE7+AE91*Assumptions!$B$20/Assumptions!$B$7+AE89*(Assumptions!$B$161*Assumptions!$B$20+Assumptions!$B$162*Assumptions!$B$21)/12/Assumptions!$B$7*AE7,0)</f>
        <v>103208.08281657714</v>
      </c>
    </row>
    <row r="105" spans="1:31" x14ac:dyDescent="0.25">
      <c r="A105" s="6" t="s">
        <v>604</v>
      </c>
      <c r="B105" s="23" t="s">
        <v>114</v>
      </c>
      <c r="C105" s="61">
        <f>IF(C2&gt;=Assumptions!$B$53,C89*C92*(1-Assumptions!$B$227)*Assumptions!$B$171*Assumptions!$B$172,0)</f>
        <v>0</v>
      </c>
      <c r="D105" s="61">
        <f>IF(D2&gt;=Assumptions!$B$53,D89*D92*(1-Assumptions!$B$227)*Assumptions!$B$171*Assumptions!$B$172,0)</f>
        <v>0</v>
      </c>
      <c r="E105" s="61">
        <f>IF(E2&gt;=Assumptions!$B$53,E89*E92*(1-Assumptions!$B$227)*Assumptions!$B$171*Assumptions!$B$172,0)</f>
        <v>0</v>
      </c>
      <c r="F105" s="61">
        <f>IF(F2&gt;=Assumptions!$B$53,F89*F92*(1-Assumptions!$B$227)*Assumptions!$B$171*Assumptions!$B$172,0)</f>
        <v>0</v>
      </c>
      <c r="G105" s="61">
        <f>IF(G2&gt;=Assumptions!$B$53,G89*G92*(1-Assumptions!$B$227)*Assumptions!$B$171*Assumptions!$B$172,0)</f>
        <v>0</v>
      </c>
      <c r="H105" s="61">
        <f>IF(H2&gt;=Assumptions!$B$53,H89*H92*(1-Assumptions!$B$227)*Assumptions!$B$171*Assumptions!$B$172,0)</f>
        <v>0</v>
      </c>
      <c r="I105" s="61">
        <f>IF(I2&gt;=Assumptions!$B$53,I89*I92*(1-Assumptions!$B$227)*Assumptions!$B$171*Assumptions!$B$172,0)</f>
        <v>0</v>
      </c>
      <c r="J105" s="61">
        <f>IF(J2&gt;=Assumptions!$B$53,J89*J92*(1-Assumptions!$B$227)*Assumptions!$B$171*Assumptions!$B$172,0)</f>
        <v>0</v>
      </c>
      <c r="K105" s="61">
        <f>IF(K2&gt;=Assumptions!$B$53,K89*K92*(1-Assumptions!$B$227)*Assumptions!$B$171*Assumptions!$B$172,0)</f>
        <v>0</v>
      </c>
      <c r="L105" s="61">
        <f>IF(L2&gt;=Assumptions!$B$53,L89*L92*(1-Assumptions!$B$227)*Assumptions!$B$171*Assumptions!$B$172,0)</f>
        <v>0</v>
      </c>
      <c r="M105" s="61">
        <f>IF(M2&gt;=Assumptions!$B$53,M89*M92*(1-Assumptions!$B$227)*Assumptions!$B$171*Assumptions!$B$172,0)</f>
        <v>0</v>
      </c>
      <c r="N105" s="61">
        <f>IF(N2&gt;=Assumptions!$B$53,N89*N92*(1-Assumptions!$B$227)*Assumptions!$B$171*Assumptions!$B$172,0)</f>
        <v>0</v>
      </c>
      <c r="O105" s="61">
        <f>IF(O2&gt;=Assumptions!$B$53,O89*O92*(1-Assumptions!$B$227)*Assumptions!$B$171*Assumptions!$B$172,0)</f>
        <v>35.888303660722904</v>
      </c>
      <c r="P105" s="61">
        <f>IF(P2&gt;=Assumptions!$B$53,P89*P92*(1-Assumptions!$B$227)*Assumptions!$B$171*Assumptions!$B$172,0)</f>
        <v>104.75040050061584</v>
      </c>
      <c r="Q105" s="61">
        <f>IF(Q2&gt;=Assumptions!$B$53,Q89*Q92*(1-Assumptions!$B$227)*Assumptions!$B$171*Assumptions!$B$172,0)</f>
        <v>204.01930944935208</v>
      </c>
      <c r="R105" s="61">
        <f>IF(R2&gt;=Assumptions!$B$53,R89*R92*(1-Assumptions!$B$227)*Assumptions!$B$171*Assumptions!$B$172,0)</f>
        <v>341.47423354372785</v>
      </c>
      <c r="S105" s="61">
        <f>IF(S2&gt;=Assumptions!$B$53,S89*S92*(1-Assumptions!$B$227)*Assumptions!$B$171*Assumptions!$B$172,0)</f>
        <v>511.70735368122757</v>
      </c>
      <c r="T105" s="61">
        <f>IF(T2&gt;=Assumptions!$B$53,T89*T92*(1-Assumptions!$B$227)*Assumptions!$B$171*Assumptions!$B$172,0)</f>
        <v>707.20760548453256</v>
      </c>
      <c r="U105" s="61">
        <f>IF(U2&gt;=Assumptions!$B$53,U89*U92*(1-Assumptions!$B$227)*Assumptions!$B$171*Assumptions!$B$172,0)</f>
        <v>925.78062594657604</v>
      </c>
      <c r="V105" s="61">
        <f>IF(V2&gt;=Assumptions!$B$53,V89*V92*(1-Assumptions!$B$227)*Assumptions!$B$171*Assumptions!$B$172,0)</f>
        <v>1166.506368201638</v>
      </c>
      <c r="W105" s="61">
        <f>IF(W2&gt;=Assumptions!$B$53,W89*W92*(1-Assumptions!$B$227)*Assumptions!$B$171*Assumptions!$B$172,0)</f>
        <v>1431.8804214870981</v>
      </c>
      <c r="X105" s="61">
        <f>IF(X2&gt;=Assumptions!$B$53,X89*X92*(1-Assumptions!$B$227)*Assumptions!$B$171*Assumptions!$B$172,0)</f>
        <v>1734.7748021054933</v>
      </c>
      <c r="Y105" s="61">
        <f>IF(Y2&gt;=Assumptions!$B$53,Y89*Y92*(1-Assumptions!$B$227)*Assumptions!$B$171*Assumptions!$B$172,0)</f>
        <v>2069.7046256106178</v>
      </c>
      <c r="Z105" s="61">
        <f>IF(Z2&gt;=Assumptions!$B$53,Z89*Z92*(1-Assumptions!$B$227)*Assumptions!$B$171*Assumptions!$B$172,0)</f>
        <v>2429.3074808412498</v>
      </c>
      <c r="AA105" s="61">
        <f>IF(AA2&gt;=Assumptions!$B$53,AA89*AA92*(1-Assumptions!$B$227)*Assumptions!$B$171*Assumptions!$B$172,0)</f>
        <v>11682.285938394041</v>
      </c>
      <c r="AB105" s="61">
        <f>IF(AB2&gt;=Assumptions!$B$53,AB89*AB92*(1-Assumptions!$B$227)*Assumptions!$B$171*Assumptions!$B$172,0)</f>
        <v>27871.495377213167</v>
      </c>
      <c r="AC105" s="61">
        <f>IF(AC2&gt;=Assumptions!$B$53,AC89*AC92*(1-Assumptions!$B$227)*Assumptions!$B$171*Assumptions!$B$172,0)</f>
        <v>53444.80195140298</v>
      </c>
      <c r="AD105" s="61">
        <f>IF(AD2&gt;=Assumptions!$B$53,AD89*AD92*(1-Assumptions!$B$227)*Assumptions!$B$171*Assumptions!$B$172,0)</f>
        <v>89588.255281500926</v>
      </c>
      <c r="AE105" s="61">
        <f>IF(AE2&gt;=Assumptions!$B$53,AE89*AE92*(1-Assumptions!$B$227)*Assumptions!$B$171*Assumptions!$B$172,0)</f>
        <v>133394.9365938025</v>
      </c>
    </row>
    <row r="106" spans="1:31" x14ac:dyDescent="0.25">
      <c r="A106" s="6" t="s">
        <v>605</v>
      </c>
      <c r="B106" s="23" t="s">
        <v>114</v>
      </c>
      <c r="C106" s="61">
        <f>IF(C2&gt;=Assumptions!$B$53,(C105*Assumptions!$B$29*Assumptions!$B$30+C90*C93*(1-Assumptions!$B$227)*Assumptions!$B$27*Assumptions!$B$28)*C7/12,0)</f>
        <v>0</v>
      </c>
      <c r="D106" s="61">
        <f>IF(D2&gt;=Assumptions!$B$53,(D105*Assumptions!$B$29*Assumptions!$B$30+D90*D93*(1-Assumptions!$B$227)*Assumptions!$B$27*Assumptions!$B$28)*D7/12,0)</f>
        <v>0</v>
      </c>
      <c r="E106" s="61">
        <f>IF(E2&gt;=Assumptions!$B$53,(E105*Assumptions!$B$29*Assumptions!$B$30+E90*E93*(1-Assumptions!$B$227)*Assumptions!$B$27*Assumptions!$B$28)*E7/12,0)</f>
        <v>0</v>
      </c>
      <c r="F106" s="61">
        <f>IF(F2&gt;=Assumptions!$B$53,(F105*Assumptions!$B$29*Assumptions!$B$30+F90*F93*(1-Assumptions!$B$227)*Assumptions!$B$27*Assumptions!$B$28)*F7/12,0)</f>
        <v>0</v>
      </c>
      <c r="G106" s="61">
        <f>IF(G2&gt;=Assumptions!$B$53,(G105*Assumptions!$B$29*Assumptions!$B$30+G90*G93*(1-Assumptions!$B$227)*Assumptions!$B$27*Assumptions!$B$28)*G7/12,0)</f>
        <v>0</v>
      </c>
      <c r="H106" s="61">
        <f>IF(H2&gt;=Assumptions!$B$53,(H105*Assumptions!$B$29*Assumptions!$B$30+H90*H93*(1-Assumptions!$B$227)*Assumptions!$B$27*Assumptions!$B$28)*H7/12,0)</f>
        <v>0</v>
      </c>
      <c r="I106" s="61">
        <f>IF(I2&gt;=Assumptions!$B$53,(I105*Assumptions!$B$29*Assumptions!$B$30+I90*I93*(1-Assumptions!$B$227)*Assumptions!$B$27*Assumptions!$B$28)*I7/12,0)</f>
        <v>0</v>
      </c>
      <c r="J106" s="61">
        <f>IF(J2&gt;=Assumptions!$B$53,(J105*Assumptions!$B$29*Assumptions!$B$30+J90*J93*(1-Assumptions!$B$227)*Assumptions!$B$27*Assumptions!$B$28)*J7/12,0)</f>
        <v>0</v>
      </c>
      <c r="K106" s="61">
        <f>IF(K2&gt;=Assumptions!$B$53,(K105*Assumptions!$B$29*Assumptions!$B$30+K90*K93*(1-Assumptions!$B$227)*Assumptions!$B$27*Assumptions!$B$28)*K7/12,0)</f>
        <v>0</v>
      </c>
      <c r="L106" s="61">
        <f>IF(L2&gt;=Assumptions!$B$53,(L105*Assumptions!$B$29*Assumptions!$B$30+L90*L93*(1-Assumptions!$B$227)*Assumptions!$B$27*Assumptions!$B$28)*L7/12,0)</f>
        <v>0</v>
      </c>
      <c r="M106" s="61">
        <f>IF(M2&gt;=Assumptions!$B$53,(M105*Assumptions!$B$29*Assumptions!$B$30+M90*M93*(1-Assumptions!$B$227)*Assumptions!$B$27*Assumptions!$B$28)*M7/12,0)</f>
        <v>0</v>
      </c>
      <c r="N106" s="61">
        <f>IF(N2&gt;=Assumptions!$B$53,(N105*Assumptions!$B$29*Assumptions!$B$30+N90*N93*(1-Assumptions!$B$227)*Assumptions!$B$27*Assumptions!$B$28)*N7/12,0)</f>
        <v>0</v>
      </c>
      <c r="O106" s="61">
        <f>IF(O2&gt;=Assumptions!$B$53,(O105*Assumptions!$B$29*Assumptions!$B$30+O90*O93*(1-Assumptions!$B$227)*Assumptions!$B$27*Assumptions!$B$28)*O7/12,0)</f>
        <v>8.5234721194216892E-2</v>
      </c>
      <c r="P106" s="61">
        <f>IF(P2&gt;=Assumptions!$B$53,(P105*Assumptions!$B$29*Assumptions!$B$30+P90*P93*(1-Assumptions!$B$227)*Assumptions!$B$27*Assumptions!$B$28)*P7/12,0)</f>
        <v>0.24878220118896263</v>
      </c>
      <c r="Q106" s="61">
        <f>IF(Q2&gt;=Assumptions!$B$53,(Q105*Assumptions!$B$29*Assumptions!$B$30+Q90*Q93*(1-Assumptions!$B$227)*Assumptions!$B$27*Assumptions!$B$28)*Q7/12,0)</f>
        <v>0.48454585994221128</v>
      </c>
      <c r="R106" s="61">
        <f>IF(R2&gt;=Assumptions!$B$53,(R105*Assumptions!$B$29*Assumptions!$B$30+R90*R93*(1-Assumptions!$B$227)*Assumptions!$B$27*Assumptions!$B$28)*R7/12,0)</f>
        <v>0.81100130466635367</v>
      </c>
      <c r="S106" s="61">
        <f>IF(S2&gt;=Assumptions!$B$53,(S105*Assumptions!$B$29*Assumptions!$B$30+S90*S93*(1-Assumptions!$B$227)*Assumptions!$B$27*Assumptions!$B$28)*S7/12,0)</f>
        <v>1.2153049649929157</v>
      </c>
      <c r="T106" s="61">
        <f>IF(T2&gt;=Assumptions!$B$53,(T105*Assumptions!$B$29*Assumptions!$B$30+T90*T93*(1-Assumptions!$B$227)*Assumptions!$B$27*Assumptions!$B$28)*T7/12,0)</f>
        <v>1.6796180630257649</v>
      </c>
      <c r="U106" s="61">
        <f>IF(U2&gt;=Assumptions!$B$53,(U105*Assumptions!$B$29*Assumptions!$B$30+U90*U93*(1-Assumptions!$B$227)*Assumptions!$B$27*Assumptions!$B$28)*U7/12,0)</f>
        <v>2.1987289866231183</v>
      </c>
      <c r="V106" s="61">
        <f>IF(V2&gt;=Assumptions!$B$53,(V105*Assumptions!$B$29*Assumptions!$B$30+V90*V93*(1-Assumptions!$B$227)*Assumptions!$B$27*Assumptions!$B$28)*V7/12,0)</f>
        <v>2.7704526244788901</v>
      </c>
      <c r="W106" s="61">
        <f>IF(W2&gt;=Assumptions!$B$53,(W105*Assumptions!$B$29*Assumptions!$B$30+W90*W93*(1-Assumptions!$B$227)*Assumptions!$B$27*Assumptions!$B$28)*W7/12,0)</f>
        <v>3.4007160010318582</v>
      </c>
      <c r="X106" s="61">
        <f>IF(X2&gt;=Assumptions!$B$53,(X105*Assumptions!$B$29*Assumptions!$B$30+X90*X93*(1-Assumptions!$B$227)*Assumptions!$B$27*Assumptions!$B$28)*X7/12,0)</f>
        <v>4.1200901550005469</v>
      </c>
      <c r="Y106" s="61">
        <f>IF(Y2&gt;=Assumptions!$B$53,(Y105*Assumptions!$B$29*Assumptions!$B$30+Y90*Y93*(1-Assumptions!$B$227)*Assumptions!$B$27*Assumptions!$B$28)*Y7/12,0)</f>
        <v>4.9155484858252176</v>
      </c>
      <c r="Z106" s="61">
        <f>IF(Z2&gt;=Assumptions!$B$53,(Z105*Assumptions!$B$29*Assumptions!$B$30+Z90*Z93*(1-Assumptions!$B$227)*Assumptions!$B$27*Assumptions!$B$28)*Z7/12,0)</f>
        <v>5.7696052669979681</v>
      </c>
      <c r="AA106" s="61">
        <f>IF(AA2&gt;=Assumptions!$B$53,(AA105*Assumptions!$B$29*Assumptions!$B$30+AA90*AA93*(1-Assumptions!$B$227)*Assumptions!$B$27*Assumptions!$B$28)*AA7/12,0)</f>
        <v>332.94514924423021</v>
      </c>
      <c r="AB106" s="61">
        <f>IF(AB2&gt;=Assumptions!$B$53,(AB105*Assumptions!$B$29*Assumptions!$B$30+AB90*AB93*(1-Assumptions!$B$227)*Assumptions!$B$27*Assumptions!$B$28)*AB7/12,0)</f>
        <v>794.33761825057536</v>
      </c>
      <c r="AC106" s="61">
        <f>IF(AC2&gt;=Assumptions!$B$53,(AC105*Assumptions!$B$29*Assumptions!$B$30+AC90*AC93*(1-Assumptions!$B$227)*Assumptions!$B$27*Assumptions!$B$28)*AC7/12,0)</f>
        <v>1523.1768556149855</v>
      </c>
      <c r="AD106" s="61">
        <f>IF(AD2&gt;=Assumptions!$B$53,(AD105*Assumptions!$B$29*Assumptions!$B$30+AD90*AD93*(1-Assumptions!$B$227)*Assumptions!$B$27*Assumptions!$B$28)*AD7/12,0)</f>
        <v>2553.2652755227764</v>
      </c>
      <c r="AE106" s="61">
        <f>IF(AE2&gt;=Assumptions!$B$53,(AE105*Assumptions!$B$29*Assumptions!$B$30+AE90*AE93*(1-Assumptions!$B$227)*Assumptions!$B$27*Assumptions!$B$28)*AE7/12,0)</f>
        <v>3801.755692923371</v>
      </c>
    </row>
    <row r="107" spans="1:31" x14ac:dyDescent="0.25">
      <c r="A107" s="6" t="s">
        <v>606</v>
      </c>
      <c r="B107" s="23" t="s">
        <v>607</v>
      </c>
      <c r="C107" s="50">
        <f>IF(C2&gt;=Assumptions!$B$49,(C75+C77*Assumptions!$B$153)*Assumptions!$B$152*C7/12,0)</f>
        <v>0</v>
      </c>
      <c r="D107" s="50">
        <f>IF(D2&gt;=Assumptions!$B$49,(D75+D77*Assumptions!$B$153)*Assumptions!$B$152*D7/12,0)</f>
        <v>0</v>
      </c>
      <c r="E107" s="50">
        <f>IF(E2&gt;=Assumptions!$B$49,(E75+E77*Assumptions!$B$153)*Assumptions!$B$152*E7/12,0)</f>
        <v>0</v>
      </c>
      <c r="F107" s="50">
        <f>IF(F2&gt;=Assumptions!$B$49,(F75+F77*Assumptions!$B$153)*Assumptions!$B$152*F7/12,0)</f>
        <v>0</v>
      </c>
      <c r="G107" s="50">
        <f>IF(G2&gt;=Assumptions!$B$49,(G75+G77*Assumptions!$B$153)*Assumptions!$B$152*G7/12,0)</f>
        <v>0</v>
      </c>
      <c r="H107" s="50">
        <f>IF(H2&gt;=Assumptions!$B$49,(H75+H77*Assumptions!$B$153)*Assumptions!$B$152*H7/12,0)</f>
        <v>0</v>
      </c>
      <c r="I107" s="50">
        <f>IF(I2&gt;=Assumptions!$B$49,(I75+I77*Assumptions!$B$153)*Assumptions!$B$152*I7/12,0)</f>
        <v>0</v>
      </c>
      <c r="J107" s="50">
        <f>IF(J2&gt;=Assumptions!$B$49,(J75+J77*Assumptions!$B$153)*Assumptions!$B$152*J7/12,0)</f>
        <v>0</v>
      </c>
      <c r="K107" s="50">
        <f>IF(K2&gt;=Assumptions!$B$49,(K75+K77*Assumptions!$B$153)*Assumptions!$B$152*K7/12,0)</f>
        <v>0</v>
      </c>
      <c r="L107" s="50">
        <f>IF(L2&gt;=Assumptions!$B$49,(L75+L77*Assumptions!$B$153)*Assumptions!$B$152*L7/12,0)</f>
        <v>0</v>
      </c>
      <c r="M107" s="50">
        <f>IF(M2&gt;=Assumptions!$B$49,(M75+M77*Assumptions!$B$153)*Assumptions!$B$152*M7/12,0)</f>
        <v>0</v>
      </c>
      <c r="N107" s="50">
        <f>IF(N2&gt;=Assumptions!$B$49,(N75+N77*Assumptions!$B$153)*Assumptions!$B$152*N7/12,0)</f>
        <v>0</v>
      </c>
      <c r="O107" s="50">
        <f>IF(O2&gt;=Assumptions!$B$49,(O75+O77*Assumptions!$B$153)*Assumptions!$B$152*O7/12,0)</f>
        <v>0.37061438756866688</v>
      </c>
      <c r="P107" s="50">
        <f>IF(P2&gt;=Assumptions!$B$49,(P75+P77*Assumptions!$B$153)*Assumptions!$B$152*P7/12,0)</f>
        <v>0.74329034177038711</v>
      </c>
      <c r="Q107" s="50">
        <f>IF(Q2&gt;=Assumptions!$B$49,(Q75+Q77*Assumptions!$B$153)*Assumptions!$B$152*Q7/12,0)</f>
        <v>1.1193687651900246</v>
      </c>
      <c r="R107" s="50">
        <f>IF(R2&gt;=Assumptions!$B$49,(R75+R77*Assumptions!$B$153)*Assumptions!$B$152*R7/12,0)</f>
        <v>1.6036972479735097</v>
      </c>
      <c r="S107" s="50">
        <f>IF(S2&gt;=Assumptions!$B$49,(S75+S77*Assumptions!$B$153)*Assumptions!$B$152*S7/12,0)</f>
        <v>2.0674190283989229</v>
      </c>
      <c r="T107" s="50">
        <f>IF(T2&gt;=Assumptions!$B$49,(T75+T77*Assumptions!$B$153)*Assumptions!$B$152*T7/12,0)</f>
        <v>2.4843770019662559</v>
      </c>
      <c r="U107" s="50">
        <f>IF(U2&gt;=Assumptions!$B$49,(U75+U77*Assumptions!$B$153)*Assumptions!$B$152*U7/12,0)</f>
        <v>2.9030393553049163</v>
      </c>
      <c r="V107" s="50">
        <f>IF(V2&gt;=Assumptions!$B$49,(V75+V77*Assumptions!$B$153)*Assumptions!$B$152*V7/12,0)</f>
        <v>3.3348381083018919</v>
      </c>
      <c r="W107" s="50">
        <f>IF(W2&gt;=Assumptions!$B$49,(W75+W77*Assumptions!$B$153)*Assumptions!$B$152*W7/12,0)</f>
        <v>3.8143893943901932</v>
      </c>
      <c r="X107" s="50">
        <f>IF(X2&gt;=Assumptions!$B$49,(X75+X77*Assumptions!$B$153)*Assumptions!$B$152*X7/12,0)</f>
        <v>4.4510789065389451</v>
      </c>
      <c r="Y107" s="50">
        <f>IF(Y2&gt;=Assumptions!$B$49,(Y75+Y77*Assumptions!$B$153)*Assumptions!$B$152*Y7/12,0)</f>
        <v>5.0675379403021745</v>
      </c>
      <c r="Z107" s="50">
        <f>IF(Z2&gt;=Assumptions!$B$49,(Z75+Z77*Assumptions!$B$153)*Assumptions!$B$152*Z7/12,0)</f>
        <v>5.6398904203503868</v>
      </c>
      <c r="AA107" s="50">
        <f>IF(AA2&gt;=Assumptions!$B$49,(AA75+AA77*Assumptions!$B$153)*Assumptions!$B$152*AA7/12,0)</f>
        <v>186.44291188595864</v>
      </c>
      <c r="AB107" s="50">
        <f>IF(AB2&gt;=Assumptions!$B$49,(AB75+AB77*Assumptions!$B$153)*Assumptions!$B$152*AB7/12,0)</f>
        <v>393.94560155152959</v>
      </c>
      <c r="AC107" s="50">
        <f>IF(AC2&gt;=Assumptions!$B$49,(AC75+AC77*Assumptions!$B$153)*Assumptions!$B$152*AC7/12,0)</f>
        <v>719.99292107695874</v>
      </c>
      <c r="AD107" s="50">
        <f>IF(AD2&gt;=Assumptions!$B$49,(AD75+AD77*Assumptions!$B$153)*Assumptions!$B$152*AD7/12,0)</f>
        <v>1176.7516556553378</v>
      </c>
      <c r="AE107" s="50">
        <f>IF(AE2&gt;=Assumptions!$B$49,(AE75+AE77*Assumptions!$B$153)*Assumptions!$B$152*AE7/12,0)</f>
        <v>1721.76874347239</v>
      </c>
    </row>
    <row r="108" spans="1:31" x14ac:dyDescent="0.25">
      <c r="A108" s="3" t="s">
        <v>610</v>
      </c>
      <c r="B108" s="23" t="s">
        <v>114</v>
      </c>
      <c r="C108" s="63">
        <f t="shared" ref="C108:AE108" si="26">C99+C100+C101+C103+C104+C106</f>
        <v>0</v>
      </c>
      <c r="D108" s="63">
        <f t="shared" si="26"/>
        <v>0</v>
      </c>
      <c r="E108" s="63">
        <f t="shared" si="26"/>
        <v>0</v>
      </c>
      <c r="F108" s="63">
        <f t="shared" si="26"/>
        <v>0</v>
      </c>
      <c r="G108" s="63">
        <f t="shared" si="26"/>
        <v>0</v>
      </c>
      <c r="H108" s="63">
        <f t="shared" si="26"/>
        <v>0</v>
      </c>
      <c r="I108" s="63">
        <f t="shared" si="26"/>
        <v>0</v>
      </c>
      <c r="J108" s="63">
        <f t="shared" si="26"/>
        <v>0</v>
      </c>
      <c r="K108" s="63">
        <f t="shared" si="26"/>
        <v>0</v>
      </c>
      <c r="L108" s="63">
        <f t="shared" si="26"/>
        <v>0</v>
      </c>
      <c r="M108" s="63">
        <f t="shared" si="26"/>
        <v>0</v>
      </c>
      <c r="N108" s="63">
        <f t="shared" si="26"/>
        <v>0</v>
      </c>
      <c r="O108" s="63">
        <f t="shared" si="26"/>
        <v>442.46556440274253</v>
      </c>
      <c r="P108" s="63">
        <f t="shared" si="26"/>
        <v>598.14791336060864</v>
      </c>
      <c r="Q108" s="63">
        <f t="shared" si="26"/>
        <v>744.77574570163711</v>
      </c>
      <c r="R108" s="63">
        <f t="shared" si="26"/>
        <v>1007.4211563201098</v>
      </c>
      <c r="S108" s="63">
        <f t="shared" si="26"/>
        <v>1151.2570696602716</v>
      </c>
      <c r="T108" s="63">
        <f t="shared" si="26"/>
        <v>1243.7042680529826</v>
      </c>
      <c r="U108" s="63">
        <f t="shared" si="26"/>
        <v>1363.256529273732</v>
      </c>
      <c r="V108" s="63">
        <f t="shared" si="26"/>
        <v>1488.8166986006127</v>
      </c>
      <c r="W108" s="63">
        <f t="shared" si="26"/>
        <v>1652.5061263827718</v>
      </c>
      <c r="X108" s="63">
        <f t="shared" si="26"/>
        <v>1960.8581769534658</v>
      </c>
      <c r="Y108" s="63">
        <f t="shared" si="26"/>
        <v>2113.4064697114604</v>
      </c>
      <c r="Z108" s="63">
        <f t="shared" si="26"/>
        <v>2216.2373871868308</v>
      </c>
      <c r="AA108" s="63">
        <f t="shared" si="26"/>
        <v>53239.571751872645</v>
      </c>
      <c r="AB108" s="63">
        <f t="shared" si="26"/>
        <v>97701.027889227553</v>
      </c>
      <c r="AC108" s="63">
        <f t="shared" si="26"/>
        <v>160735.85710470396</v>
      </c>
      <c r="AD108" s="63">
        <f t="shared" si="26"/>
        <v>237274.08954439912</v>
      </c>
      <c r="AE108" s="63">
        <f t="shared" si="26"/>
        <v>306012.43914836756</v>
      </c>
    </row>
    <row r="110" spans="1:31" x14ac:dyDescent="0.25">
      <c r="A110" s="51" t="s">
        <v>611</v>
      </c>
      <c r="B110" s="52"/>
      <c r="C110" s="52"/>
      <c r="D110" s="52"/>
      <c r="E110" s="52"/>
      <c r="F110" s="52"/>
      <c r="G110" s="52"/>
      <c r="H110" s="52"/>
      <c r="I110" s="52"/>
      <c r="J110" s="52"/>
      <c r="K110" s="52"/>
      <c r="L110" s="52"/>
      <c r="M110" s="52"/>
      <c r="N110" s="52"/>
      <c r="O110" s="52"/>
      <c r="P110" s="52"/>
      <c r="Q110" s="52"/>
      <c r="R110" s="52"/>
      <c r="S110" s="52"/>
      <c r="T110" s="52"/>
      <c r="U110" s="52"/>
      <c r="V110" s="52"/>
      <c r="W110" s="52"/>
      <c r="X110" s="52"/>
      <c r="Y110" s="52"/>
      <c r="Z110" s="52"/>
      <c r="AA110" s="52"/>
      <c r="AB110" s="52"/>
      <c r="AC110" s="52"/>
      <c r="AD110" s="52"/>
      <c r="AE110" s="52"/>
    </row>
    <row r="111" spans="1:31" x14ac:dyDescent="0.25">
      <c r="A111" s="6" t="s">
        <v>562</v>
      </c>
      <c r="B111" s="23" t="s">
        <v>563</v>
      </c>
      <c r="C111" s="59">
        <f>Assumptions!$B$138+(Assumptions!$B$141-Assumptions!$B$138)*(C5-1)/6</f>
        <v>15</v>
      </c>
      <c r="D111" s="59">
        <f>Assumptions!$B$138+(Assumptions!$B$141-Assumptions!$B$138)*(D5-1)/6</f>
        <v>15</v>
      </c>
      <c r="E111" s="59">
        <f>Assumptions!$B$138+(Assumptions!$B$141-Assumptions!$B$138)*(E5-1)/6</f>
        <v>15</v>
      </c>
      <c r="F111" s="59">
        <f>Assumptions!$B$138+(Assumptions!$B$141-Assumptions!$B$138)*(F5-1)/6</f>
        <v>15</v>
      </c>
      <c r="G111" s="59">
        <f>Assumptions!$B$138+(Assumptions!$B$141-Assumptions!$B$138)*(G5-1)/6</f>
        <v>15</v>
      </c>
      <c r="H111" s="59">
        <f>Assumptions!$B$138+(Assumptions!$B$141-Assumptions!$B$138)*(H5-1)/6</f>
        <v>15</v>
      </c>
      <c r="I111" s="59">
        <f>Assumptions!$B$138+(Assumptions!$B$141-Assumptions!$B$138)*(I5-1)/6</f>
        <v>15</v>
      </c>
      <c r="J111" s="59">
        <f>Assumptions!$B$138+(Assumptions!$B$141-Assumptions!$B$138)*(J5-1)/6</f>
        <v>15</v>
      </c>
      <c r="K111" s="59">
        <f>Assumptions!$B$138+(Assumptions!$B$141-Assumptions!$B$138)*(K5-1)/6</f>
        <v>15</v>
      </c>
      <c r="L111" s="59">
        <f>Assumptions!$B$138+(Assumptions!$B$141-Assumptions!$B$138)*(L5-1)/6</f>
        <v>15</v>
      </c>
      <c r="M111" s="59">
        <f>Assumptions!$B$138+(Assumptions!$B$141-Assumptions!$B$138)*(M5-1)/6</f>
        <v>15</v>
      </c>
      <c r="N111" s="59">
        <f>Assumptions!$B$138+(Assumptions!$B$141-Assumptions!$B$138)*(N5-1)/6</f>
        <v>15</v>
      </c>
      <c r="O111" s="59">
        <f>Assumptions!$B$138+(Assumptions!$B$141-Assumptions!$B$138)*(O5-1)/6</f>
        <v>14.166666666666666</v>
      </c>
      <c r="P111" s="59">
        <f>Assumptions!$B$138+(Assumptions!$B$141-Assumptions!$B$138)*(P5-1)/6</f>
        <v>14.166666666666666</v>
      </c>
      <c r="Q111" s="59">
        <f>Assumptions!$B$138+(Assumptions!$B$141-Assumptions!$B$138)*(Q5-1)/6</f>
        <v>14.166666666666666</v>
      </c>
      <c r="R111" s="59">
        <f>Assumptions!$B$138+(Assumptions!$B$141-Assumptions!$B$138)*(R5-1)/6</f>
        <v>14.166666666666666</v>
      </c>
      <c r="S111" s="59">
        <f>Assumptions!$B$138+(Assumptions!$B$141-Assumptions!$B$138)*(S5-1)/6</f>
        <v>14.166666666666666</v>
      </c>
      <c r="T111" s="59">
        <f>Assumptions!$B$138+(Assumptions!$B$141-Assumptions!$B$138)*(T5-1)/6</f>
        <v>14.166666666666666</v>
      </c>
      <c r="U111" s="59">
        <f>Assumptions!$B$138+(Assumptions!$B$141-Assumptions!$B$138)*(U5-1)/6</f>
        <v>14.166666666666666</v>
      </c>
      <c r="V111" s="59">
        <f>Assumptions!$B$138+(Assumptions!$B$141-Assumptions!$B$138)*(V5-1)/6</f>
        <v>14.166666666666666</v>
      </c>
      <c r="W111" s="59">
        <f>Assumptions!$B$138+(Assumptions!$B$141-Assumptions!$B$138)*(W5-1)/6</f>
        <v>14.166666666666666</v>
      </c>
      <c r="X111" s="59">
        <f>Assumptions!$B$138+(Assumptions!$B$141-Assumptions!$B$138)*(X5-1)/6</f>
        <v>14.166666666666666</v>
      </c>
      <c r="Y111" s="59">
        <f>Assumptions!$B$138+(Assumptions!$B$141-Assumptions!$B$138)*(Y5-1)/6</f>
        <v>14.166666666666666</v>
      </c>
      <c r="Z111" s="59">
        <f>Assumptions!$B$138+(Assumptions!$B$141-Assumptions!$B$138)*(Z5-1)/6</f>
        <v>14.166666666666666</v>
      </c>
      <c r="AA111" s="59">
        <f>Assumptions!$B$138+(Assumptions!$B$141-Assumptions!$B$138)*(AA5-1)/6</f>
        <v>13.333333333333334</v>
      </c>
      <c r="AB111" s="59">
        <f>Assumptions!$B$138+(Assumptions!$B$141-Assumptions!$B$138)*(AB5-1)/6</f>
        <v>12.5</v>
      </c>
      <c r="AC111" s="59">
        <f>Assumptions!$B$138+(Assumptions!$B$141-Assumptions!$B$138)*(AC5-1)/6</f>
        <v>11.666666666666666</v>
      </c>
      <c r="AD111" s="59">
        <f>Assumptions!$B$138+(Assumptions!$B$141-Assumptions!$B$138)*(AD5-1)/6</f>
        <v>10.833333333333332</v>
      </c>
      <c r="AE111" s="59">
        <f>Assumptions!$B$138+(Assumptions!$B$141-Assumptions!$B$138)*(AE5-1)/6</f>
        <v>10</v>
      </c>
    </row>
    <row r="112" spans="1:31" x14ac:dyDescent="0.25">
      <c r="A112" s="6" t="s">
        <v>564</v>
      </c>
      <c r="B112" s="23" t="s">
        <v>190</v>
      </c>
      <c r="C112" s="58">
        <f>INDEX(Assumptions!$B$114:$B$120,C5)*Assumptions!$B$144/12*C7/C111*(1+Assumptions!$B$147)*IF(C2&gt;=Assumptions!$B$57,1,0)</f>
        <v>50</v>
      </c>
      <c r="D112" s="58">
        <f>INDEX(Assumptions!$B$114:$B$120,D5)*Assumptions!$B$144/12*D7/D111*(1+Assumptions!$B$147)*IF(D2&gt;=Assumptions!$B$57,1,0)</f>
        <v>50</v>
      </c>
      <c r="E112" s="58">
        <f>INDEX(Assumptions!$B$114:$B$120,E5)*Assumptions!$B$144/12*E7/E111*(1+Assumptions!$B$147)*IF(E2&gt;=Assumptions!$B$57,1,0)</f>
        <v>50</v>
      </c>
      <c r="F112" s="58">
        <f>INDEX(Assumptions!$B$114:$B$120,F5)*Assumptions!$B$144/12*F7/F111*(1+Assumptions!$B$147)*IF(F2&gt;=Assumptions!$B$57,1,0)</f>
        <v>50</v>
      </c>
      <c r="G112" s="58">
        <f>INDEX(Assumptions!$B$114:$B$120,G5)*Assumptions!$B$144/12*G7/G111*(1+Assumptions!$B$147)*IF(G2&gt;=Assumptions!$B$57,1,0)</f>
        <v>50</v>
      </c>
      <c r="H112" s="58">
        <f>INDEX(Assumptions!$B$114:$B$120,H5)*Assumptions!$B$144/12*H7/H111*(1+Assumptions!$B$147)*IF(H2&gt;=Assumptions!$B$57,1,0)</f>
        <v>50</v>
      </c>
      <c r="I112" s="58">
        <f>INDEX(Assumptions!$B$114:$B$120,I5)*Assumptions!$B$144/12*I7/I111*(1+Assumptions!$B$147)*IF(I2&gt;=Assumptions!$B$57,1,0)</f>
        <v>50</v>
      </c>
      <c r="J112" s="58">
        <f>INDEX(Assumptions!$B$114:$B$120,J5)*Assumptions!$B$144/12*J7/J111*(1+Assumptions!$B$147)*IF(J2&gt;=Assumptions!$B$57,1,0)</f>
        <v>50</v>
      </c>
      <c r="K112" s="58">
        <f>INDEX(Assumptions!$B$114:$B$120,K5)*Assumptions!$B$144/12*K7/K111*(1+Assumptions!$B$147)*IF(K2&gt;=Assumptions!$B$57,1,0)</f>
        <v>50</v>
      </c>
      <c r="L112" s="58">
        <f>INDEX(Assumptions!$B$114:$B$120,L5)*Assumptions!$B$144/12*L7/L111*(1+Assumptions!$B$147)*IF(L2&gt;=Assumptions!$B$57,1,0)</f>
        <v>50</v>
      </c>
      <c r="M112" s="58">
        <f>INDEX(Assumptions!$B$114:$B$120,M5)*Assumptions!$B$144/12*M7/M111*(1+Assumptions!$B$147)*IF(M2&gt;=Assumptions!$B$57,1,0)</f>
        <v>50</v>
      </c>
      <c r="N112" s="58">
        <f>INDEX(Assumptions!$B$114:$B$120,N5)*Assumptions!$B$144/12*N7/N111*(1+Assumptions!$B$147)*IF(N2&gt;=Assumptions!$B$57,1,0)</f>
        <v>50</v>
      </c>
      <c r="O112" s="58">
        <f>INDEX(Assumptions!$B$114:$B$120,O5)*Assumptions!$B$144/12*O7/O111*(1+Assumptions!$B$147)*IF(O2&gt;=Assumptions!$B$57,1,0)</f>
        <v>158.8235294117647</v>
      </c>
      <c r="P112" s="58">
        <f>INDEX(Assumptions!$B$114:$B$120,P5)*Assumptions!$B$144/12*P7/P111*(1+Assumptions!$B$147)*IF(P2&gt;=Assumptions!$B$57,1,0)</f>
        <v>158.8235294117647</v>
      </c>
      <c r="Q112" s="58">
        <f>INDEX(Assumptions!$B$114:$B$120,Q5)*Assumptions!$B$144/12*Q7/Q111*(1+Assumptions!$B$147)*IF(Q2&gt;=Assumptions!$B$57,1,0)</f>
        <v>158.8235294117647</v>
      </c>
      <c r="R112" s="58">
        <f>INDEX(Assumptions!$B$114:$B$120,R5)*Assumptions!$B$144/12*R7/R111*(1+Assumptions!$B$147)*IF(R2&gt;=Assumptions!$B$57,1,0)</f>
        <v>158.8235294117647</v>
      </c>
      <c r="S112" s="58">
        <f>INDEX(Assumptions!$B$114:$B$120,S5)*Assumptions!$B$144/12*S7/S111*(1+Assumptions!$B$147)*IF(S2&gt;=Assumptions!$B$57,1,0)</f>
        <v>158.8235294117647</v>
      </c>
      <c r="T112" s="58">
        <f>INDEX(Assumptions!$B$114:$B$120,T5)*Assumptions!$B$144/12*T7/T111*(1+Assumptions!$B$147)*IF(T2&gt;=Assumptions!$B$57,1,0)</f>
        <v>158.8235294117647</v>
      </c>
      <c r="U112" s="58">
        <f>INDEX(Assumptions!$B$114:$B$120,U5)*Assumptions!$B$144/12*U7/U111*(1+Assumptions!$B$147)*IF(U2&gt;=Assumptions!$B$57,1,0)</f>
        <v>158.8235294117647</v>
      </c>
      <c r="V112" s="58">
        <f>INDEX(Assumptions!$B$114:$B$120,V5)*Assumptions!$B$144/12*V7/V111*(1+Assumptions!$B$147)*IF(V2&gt;=Assumptions!$B$57,1,0)</f>
        <v>158.8235294117647</v>
      </c>
      <c r="W112" s="58">
        <f>INDEX(Assumptions!$B$114:$B$120,W5)*Assumptions!$B$144/12*W7/W111*(1+Assumptions!$B$147)*IF(W2&gt;=Assumptions!$B$57,1,0)</f>
        <v>158.8235294117647</v>
      </c>
      <c r="X112" s="58">
        <f>INDEX(Assumptions!$B$114:$B$120,X5)*Assumptions!$B$144/12*X7/X111*(1+Assumptions!$B$147)*IF(X2&gt;=Assumptions!$B$57,1,0)</f>
        <v>158.8235294117647</v>
      </c>
      <c r="Y112" s="58">
        <f>INDEX(Assumptions!$B$114:$B$120,Y5)*Assumptions!$B$144/12*Y7/Y111*(1+Assumptions!$B$147)*IF(Y2&gt;=Assumptions!$B$57,1,0)</f>
        <v>158.8235294117647</v>
      </c>
      <c r="Z112" s="58">
        <f>INDEX(Assumptions!$B$114:$B$120,Z5)*Assumptions!$B$144/12*Z7/Z111*(1+Assumptions!$B$147)*IF(Z2&gt;=Assumptions!$B$57,1,0)</f>
        <v>158.8235294117647</v>
      </c>
      <c r="AA112" s="58">
        <f>INDEX(Assumptions!$B$114:$B$120,AA5)*Assumptions!$B$144/12*AA7/AA111*(1+Assumptions!$B$147)*IF(AA2&gt;=Assumptions!$B$57,1,0)</f>
        <v>2812.5</v>
      </c>
      <c r="AB112" s="58">
        <f>INDEX(Assumptions!$B$114:$B$120,AB5)*Assumptions!$B$144/12*AB7/AB111*(1+Assumptions!$B$147)*IF(AB2&gt;=Assumptions!$B$57,1,0)</f>
        <v>4800</v>
      </c>
      <c r="AC112" s="58">
        <f>INDEX(Assumptions!$B$114:$B$120,AC5)*Assumptions!$B$144/12*AC7/AC111*(1+Assumptions!$B$147)*IF(AC2&gt;=Assumptions!$B$57,1,0)</f>
        <v>7714.2857142857147</v>
      </c>
      <c r="AD112" s="58">
        <f>INDEX(Assumptions!$B$114:$B$120,AD5)*Assumptions!$B$144/12*AD7/AD111*(1+Assumptions!$B$147)*IF(AD2&gt;=Assumptions!$B$57,1,0)</f>
        <v>11769.230769230771</v>
      </c>
      <c r="AE112" s="58">
        <f>INDEX(Assumptions!$B$114:$B$120,AE5)*Assumptions!$B$144/12*AE7/AE111*(1+Assumptions!$B$147)*IF(AE2&gt;=Assumptions!$B$57,1,0)</f>
        <v>16500</v>
      </c>
    </row>
    <row r="113" spans="1:31" x14ac:dyDescent="0.25">
      <c r="A113" s="6" t="s">
        <v>565</v>
      </c>
      <c r="B113" s="23" t="s">
        <v>190</v>
      </c>
      <c r="C113" s="60">
        <v>0</v>
      </c>
      <c r="D113" s="60">
        <f>IF(D2&gt;=Assumptions!$B$55,C118*Assumptions!$B$145/12*Assumptions!$B$146*D7,0)</f>
        <v>0</v>
      </c>
      <c r="E113" s="60">
        <f>IF(E2&gt;=Assumptions!$B$55,D118*Assumptions!$B$145/12*Assumptions!$B$146*E7,0)</f>
        <v>0</v>
      </c>
      <c r="F113" s="60">
        <f>IF(F2&gt;=Assumptions!$B$55,E118*Assumptions!$B$145/12*Assumptions!$B$146*F7,0)</f>
        <v>0</v>
      </c>
      <c r="G113" s="60">
        <f>IF(G2&gt;=Assumptions!$B$55,F118*Assumptions!$B$145/12*Assumptions!$B$146*G7,0)</f>
        <v>0</v>
      </c>
      <c r="H113" s="60">
        <f>IF(H2&gt;=Assumptions!$B$55,G118*Assumptions!$B$145/12*Assumptions!$B$146*H7,0)</f>
        <v>0</v>
      </c>
      <c r="I113" s="60">
        <f>IF(I2&gt;=Assumptions!$B$55,H118*Assumptions!$B$145/12*Assumptions!$B$146*I7,0)</f>
        <v>0</v>
      </c>
      <c r="J113" s="60">
        <f>IF(J2&gt;=Assumptions!$B$55,I118*Assumptions!$B$145/12*Assumptions!$B$146*J7,0)</f>
        <v>0</v>
      </c>
      <c r="K113" s="60">
        <f>IF(K2&gt;=Assumptions!$B$55,J118*Assumptions!$B$145/12*Assumptions!$B$146*K7,0)</f>
        <v>0</v>
      </c>
      <c r="L113" s="60">
        <f>IF(L2&gt;=Assumptions!$B$55,K118*Assumptions!$B$145/12*Assumptions!$B$146*L7,0)</f>
        <v>0</v>
      </c>
      <c r="M113" s="60">
        <f>IF(M2&gt;=Assumptions!$B$55,L118*Assumptions!$B$145/12*Assumptions!$B$146*M7,0)</f>
        <v>0</v>
      </c>
      <c r="N113" s="60">
        <f>IF(N2&gt;=Assumptions!$B$55,M118*Assumptions!$B$145/12*Assumptions!$B$146*N7,0)</f>
        <v>0</v>
      </c>
      <c r="O113" s="60">
        <f>IF(O2&gt;=Assumptions!$B$55,N118*Assumptions!$B$145/12*Assumptions!$B$146*O7,0)</f>
        <v>54.091688932082228</v>
      </c>
      <c r="P113" s="60">
        <f>IF(P2&gt;=Assumptions!$B$55,O118*Assumptions!$B$145/12*Assumptions!$B$146*P7,0)</f>
        <v>63.960230987090597</v>
      </c>
      <c r="Q113" s="60">
        <f>IF(Q2&gt;=Assumptions!$B$55,P118*Assumptions!$B$145/12*Assumptions!$B$146*Q7,0)</f>
        <v>72.970700164782755</v>
      </c>
      <c r="R113" s="60">
        <f>IF(R2&gt;=Assumptions!$B$55,Q118*Assumptions!$B$145/12*Assumptions!$B$146*R7,0)</f>
        <v>81.244643633138509</v>
      </c>
      <c r="S113" s="60">
        <f>IF(S2&gt;=Assumptions!$B$55,R118*Assumptions!$B$145/12*Assumptions!$B$146*S7,0)</f>
        <v>92.303776198100792</v>
      </c>
      <c r="T113" s="60">
        <f>IF(T2&gt;=Assumptions!$B$55,S118*Assumptions!$B$145/12*Assumptions!$B$146*T7,0)</f>
        <v>101.67111167462735</v>
      </c>
      <c r="U113" s="60">
        <f>IF(U2&gt;=Assumptions!$B$55,T118*Assumptions!$B$145/12*Assumptions!$B$146*U7,0)</f>
        <v>108.6478972399687</v>
      </c>
      <c r="V113" s="60">
        <f>IF(V2&gt;=Assumptions!$B$55,U118*Assumptions!$B$145/12*Assumptions!$B$146*V7,0)</f>
        <v>115.01402240230497</v>
      </c>
      <c r="W113" s="60">
        <f>IF(W2&gt;=Assumptions!$B$55,V118*Assumptions!$B$145/12*Assumptions!$B$146*W7,0)</f>
        <v>121.19017369008837</v>
      </c>
      <c r="X113" s="60">
        <f>IF(X2&gt;=Assumptions!$B$55,W118*Assumptions!$B$145/12*Assumptions!$B$146*X7,0)</f>
        <v>128.29755065740096</v>
      </c>
      <c r="Y113" s="60">
        <f>IF(Y2&gt;=Assumptions!$B$55,X118*Assumptions!$B$145/12*Assumptions!$B$146*Y7,0)</f>
        <v>139.72433053454836</v>
      </c>
      <c r="Z113" s="60">
        <f>IF(Z2&gt;=Assumptions!$B$55,Y118*Assumptions!$B$145/12*Assumptions!$B$146*Z7,0)</f>
        <v>149.47922665981596</v>
      </c>
      <c r="AA113" s="60">
        <f>IF(AA2&gt;=Assumptions!$B$55,Z118*Assumptions!$B$145/12*Assumptions!$B$146*AA7,0)</f>
        <v>1883.5127848929908</v>
      </c>
      <c r="AB113" s="60">
        <f>IF(AB2&gt;=Assumptions!$B$55,AA118*Assumptions!$B$145/12*Assumptions!$B$146*AB7,0)</f>
        <v>3370.371307119603</v>
      </c>
      <c r="AC113" s="60">
        <f>IF(AC2&gt;=Assumptions!$B$55,AB118*Assumptions!$B$145/12*Assumptions!$B$146*AC7,0)</f>
        <v>6878.297324052116</v>
      </c>
      <c r="AD113" s="60">
        <f>IF(AD2&gt;=Assumptions!$B$55,AC118*Assumptions!$B$145/12*Assumptions!$B$146*AD7,0)</f>
        <v>10994.554087626359</v>
      </c>
      <c r="AE113" s="60">
        <f>IF(AE2&gt;=Assumptions!$B$55,AD118*Assumptions!$B$145/12*Assumptions!$B$146*AE7,0)</f>
        <v>12936.497312547011</v>
      </c>
    </row>
    <row r="114" spans="1:31" x14ac:dyDescent="0.25">
      <c r="A114" s="6" t="s">
        <v>566</v>
      </c>
      <c r="B114" s="23" t="s">
        <v>190</v>
      </c>
      <c r="C114" s="58">
        <f>INDEX(Assumptions!$B$107:$B$113,C5)*Assumptions!$B$135*INDEX(Assumptions!$B$121:$B$127,C5)*C7*IF(C2&gt;=Assumptions!$B$57,1,0)</f>
        <v>144</v>
      </c>
      <c r="D114" s="58">
        <f>INDEX(Assumptions!$B$107:$B$113,D5)*Assumptions!$B$135*INDEX(Assumptions!$B$121:$B$127,D5)*D7*IF(D2&gt;=Assumptions!$B$57,1,0)</f>
        <v>144</v>
      </c>
      <c r="E114" s="58">
        <f>INDEX(Assumptions!$B$107:$B$113,E5)*Assumptions!$B$135*INDEX(Assumptions!$B$121:$B$127,E5)*E7*IF(E2&gt;=Assumptions!$B$57,1,0)</f>
        <v>144</v>
      </c>
      <c r="F114" s="58">
        <f>INDEX(Assumptions!$B$107:$B$113,F5)*Assumptions!$B$135*INDEX(Assumptions!$B$121:$B$127,F5)*F7*IF(F2&gt;=Assumptions!$B$57,1,0)</f>
        <v>144</v>
      </c>
      <c r="G114" s="58">
        <f>INDEX(Assumptions!$B$107:$B$113,G5)*Assumptions!$B$135*INDEX(Assumptions!$B$121:$B$127,G5)*G7*IF(G2&gt;=Assumptions!$B$57,1,0)</f>
        <v>144</v>
      </c>
      <c r="H114" s="58">
        <f>INDEX(Assumptions!$B$107:$B$113,H5)*Assumptions!$B$135*INDEX(Assumptions!$B$121:$B$127,H5)*H7*IF(H2&gt;=Assumptions!$B$57,1,0)</f>
        <v>144</v>
      </c>
      <c r="I114" s="58">
        <f>INDEX(Assumptions!$B$107:$B$113,I5)*Assumptions!$B$135*INDEX(Assumptions!$B$121:$B$127,I5)*I7*IF(I2&gt;=Assumptions!$B$57,1,0)</f>
        <v>144</v>
      </c>
      <c r="J114" s="58">
        <f>INDEX(Assumptions!$B$107:$B$113,J5)*Assumptions!$B$135*INDEX(Assumptions!$B$121:$B$127,J5)*J7*IF(J2&gt;=Assumptions!$B$57,1,0)</f>
        <v>144</v>
      </c>
      <c r="K114" s="58">
        <f>INDEX(Assumptions!$B$107:$B$113,K5)*Assumptions!$B$135*INDEX(Assumptions!$B$121:$B$127,K5)*K7*IF(K2&gt;=Assumptions!$B$57,1,0)</f>
        <v>144</v>
      </c>
      <c r="L114" s="58">
        <f>INDEX(Assumptions!$B$107:$B$113,L5)*Assumptions!$B$135*INDEX(Assumptions!$B$121:$B$127,L5)*L7*IF(L2&gt;=Assumptions!$B$57,1,0)</f>
        <v>144</v>
      </c>
      <c r="M114" s="58">
        <f>INDEX(Assumptions!$B$107:$B$113,M5)*Assumptions!$B$135*INDEX(Assumptions!$B$121:$B$127,M5)*M7*IF(M2&gt;=Assumptions!$B$57,1,0)</f>
        <v>144</v>
      </c>
      <c r="N114" s="58">
        <f>INDEX(Assumptions!$B$107:$B$113,N5)*Assumptions!$B$135*INDEX(Assumptions!$B$121:$B$127,N5)*N7*IF(N2&gt;=Assumptions!$B$57,1,0)</f>
        <v>144</v>
      </c>
      <c r="O114" s="58">
        <f>INDEX(Assumptions!$B$107:$B$113,O5)*Assumptions!$B$135*INDEX(Assumptions!$B$121:$B$127,O5)*O7*IF(O2&gt;=Assumptions!$B$57,1,0)</f>
        <v>204</v>
      </c>
      <c r="P114" s="58">
        <f>INDEX(Assumptions!$B$107:$B$113,P5)*Assumptions!$B$135*INDEX(Assumptions!$B$121:$B$127,P5)*P7*IF(P2&gt;=Assumptions!$B$57,1,0)</f>
        <v>204</v>
      </c>
      <c r="Q114" s="58">
        <f>INDEX(Assumptions!$B$107:$B$113,Q5)*Assumptions!$B$135*INDEX(Assumptions!$B$121:$B$127,Q5)*Q7*IF(Q2&gt;=Assumptions!$B$57,1,0)</f>
        <v>204</v>
      </c>
      <c r="R114" s="58">
        <f>INDEX(Assumptions!$B$107:$B$113,R5)*Assumptions!$B$135*INDEX(Assumptions!$B$121:$B$127,R5)*R7*IF(R2&gt;=Assumptions!$B$57,1,0)</f>
        <v>204</v>
      </c>
      <c r="S114" s="58">
        <f>INDEX(Assumptions!$B$107:$B$113,S5)*Assumptions!$B$135*INDEX(Assumptions!$B$121:$B$127,S5)*S7*IF(S2&gt;=Assumptions!$B$57,1,0)</f>
        <v>204</v>
      </c>
      <c r="T114" s="58">
        <f>INDEX(Assumptions!$B$107:$B$113,T5)*Assumptions!$B$135*INDEX(Assumptions!$B$121:$B$127,T5)*T7*IF(T2&gt;=Assumptions!$B$57,1,0)</f>
        <v>204</v>
      </c>
      <c r="U114" s="58">
        <f>INDEX(Assumptions!$B$107:$B$113,U5)*Assumptions!$B$135*INDEX(Assumptions!$B$121:$B$127,U5)*U7*IF(U2&gt;=Assumptions!$B$57,1,0)</f>
        <v>204</v>
      </c>
      <c r="V114" s="58">
        <f>INDEX(Assumptions!$B$107:$B$113,V5)*Assumptions!$B$135*INDEX(Assumptions!$B$121:$B$127,V5)*V7*IF(V2&gt;=Assumptions!$B$57,1,0)</f>
        <v>204</v>
      </c>
      <c r="W114" s="58">
        <f>INDEX(Assumptions!$B$107:$B$113,W5)*Assumptions!$B$135*INDEX(Assumptions!$B$121:$B$127,W5)*W7*IF(W2&gt;=Assumptions!$B$57,1,0)</f>
        <v>204</v>
      </c>
      <c r="X114" s="58">
        <f>INDEX(Assumptions!$B$107:$B$113,X5)*Assumptions!$B$135*INDEX(Assumptions!$B$121:$B$127,X5)*X7*IF(X2&gt;=Assumptions!$B$57,1,0)</f>
        <v>204</v>
      </c>
      <c r="Y114" s="58">
        <f>INDEX(Assumptions!$B$107:$B$113,Y5)*Assumptions!$B$135*INDEX(Assumptions!$B$121:$B$127,Y5)*Y7*IF(Y2&gt;=Assumptions!$B$57,1,0)</f>
        <v>204</v>
      </c>
      <c r="Z114" s="58">
        <f>INDEX(Assumptions!$B$107:$B$113,Z5)*Assumptions!$B$135*INDEX(Assumptions!$B$121:$B$127,Z5)*Z7*IF(Z2&gt;=Assumptions!$B$57,1,0)</f>
        <v>204</v>
      </c>
      <c r="AA114" s="58">
        <f>INDEX(Assumptions!$B$107:$B$113,AA5)*Assumptions!$B$135*INDEX(Assumptions!$B$121:$B$127,AA5)*AA7*IF(AA2&gt;=Assumptions!$B$57,1,0)</f>
        <v>4320</v>
      </c>
      <c r="AB114" s="58">
        <f>INDEX(Assumptions!$B$107:$B$113,AB5)*Assumptions!$B$135*INDEX(Assumptions!$B$121:$B$127,AB5)*AB7*IF(AB2&gt;=Assumptions!$B$57,1,0)</f>
        <v>12744</v>
      </c>
      <c r="AC114" s="58">
        <f>INDEX(Assumptions!$B$107:$B$113,AC5)*Assumptions!$B$135*INDEX(Assumptions!$B$121:$B$127,AC5)*AC7*IF(AC2&gt;=Assumptions!$B$57,1,0)</f>
        <v>21456</v>
      </c>
      <c r="AD114" s="58">
        <f>INDEX(Assumptions!$B$107:$B$113,AD5)*Assumptions!$B$135*INDEX(Assumptions!$B$121:$B$127,AD5)*AD7*IF(AD2&gt;=Assumptions!$B$57,1,0)</f>
        <v>25632</v>
      </c>
      <c r="AE114" s="58">
        <f>INDEX(Assumptions!$B$107:$B$113,AE5)*Assumptions!$B$135*INDEX(Assumptions!$B$121:$B$127,AE5)*AE7*IF(AE2&gt;=Assumptions!$B$57,1,0)</f>
        <v>30240</v>
      </c>
    </row>
    <row r="115" spans="1:31" x14ac:dyDescent="0.25">
      <c r="A115" s="6" t="s">
        <v>567</v>
      </c>
      <c r="B115" s="23" t="s">
        <v>190</v>
      </c>
      <c r="C115" s="60">
        <f t="shared" ref="C115:AE115" si="27">C112+C113+C114</f>
        <v>194</v>
      </c>
      <c r="D115" s="60">
        <f t="shared" si="27"/>
        <v>194</v>
      </c>
      <c r="E115" s="60">
        <f t="shared" si="27"/>
        <v>194</v>
      </c>
      <c r="F115" s="60">
        <f t="shared" si="27"/>
        <v>194</v>
      </c>
      <c r="G115" s="60">
        <f t="shared" si="27"/>
        <v>194</v>
      </c>
      <c r="H115" s="60">
        <f t="shared" si="27"/>
        <v>194</v>
      </c>
      <c r="I115" s="60">
        <f t="shared" si="27"/>
        <v>194</v>
      </c>
      <c r="J115" s="60">
        <f t="shared" si="27"/>
        <v>194</v>
      </c>
      <c r="K115" s="60">
        <f t="shared" si="27"/>
        <v>194</v>
      </c>
      <c r="L115" s="60">
        <f t="shared" si="27"/>
        <v>194</v>
      </c>
      <c r="M115" s="60">
        <f t="shared" si="27"/>
        <v>194</v>
      </c>
      <c r="N115" s="60">
        <f t="shared" si="27"/>
        <v>194</v>
      </c>
      <c r="O115" s="60">
        <f t="shared" si="27"/>
        <v>416.91521834384696</v>
      </c>
      <c r="P115" s="60">
        <f t="shared" si="27"/>
        <v>426.78376039885529</v>
      </c>
      <c r="Q115" s="60">
        <f t="shared" si="27"/>
        <v>435.79422957654742</v>
      </c>
      <c r="R115" s="60">
        <f t="shared" si="27"/>
        <v>444.06817304490323</v>
      </c>
      <c r="S115" s="60">
        <f t="shared" si="27"/>
        <v>455.12730560986552</v>
      </c>
      <c r="T115" s="60">
        <f t="shared" si="27"/>
        <v>464.49464108639205</v>
      </c>
      <c r="U115" s="60">
        <f t="shared" si="27"/>
        <v>471.4714266517334</v>
      </c>
      <c r="V115" s="60">
        <f t="shared" si="27"/>
        <v>477.83755181406968</v>
      </c>
      <c r="W115" s="60">
        <f t="shared" si="27"/>
        <v>484.01370310185308</v>
      </c>
      <c r="X115" s="60">
        <f t="shared" si="27"/>
        <v>491.12108006916566</v>
      </c>
      <c r="Y115" s="60">
        <f t="shared" si="27"/>
        <v>502.54785994631305</v>
      </c>
      <c r="Z115" s="60">
        <f t="shared" si="27"/>
        <v>512.30275607158069</v>
      </c>
      <c r="AA115" s="60">
        <f t="shared" si="27"/>
        <v>9016.0127848929915</v>
      </c>
      <c r="AB115" s="60">
        <f t="shared" si="27"/>
        <v>20914.371307119603</v>
      </c>
      <c r="AC115" s="60">
        <f t="shared" si="27"/>
        <v>36048.583038337834</v>
      </c>
      <c r="AD115" s="60">
        <f t="shared" si="27"/>
        <v>48395.784856857128</v>
      </c>
      <c r="AE115" s="60">
        <f t="shared" si="27"/>
        <v>59676.497312547013</v>
      </c>
    </row>
    <row r="116" spans="1:31" x14ac:dyDescent="0.25">
      <c r="A116" s="6" t="s">
        <v>568</v>
      </c>
      <c r="B116" s="23" t="s">
        <v>569</v>
      </c>
      <c r="C116" s="56">
        <v>1</v>
      </c>
      <c r="D116" s="56">
        <f>MAX(0,1-C121/Assumptions!$B$86)</f>
        <v>0.99843247999999996</v>
      </c>
      <c r="E116" s="56">
        <f>MAX(0,1-D121/Assumptions!$B$86)</f>
        <v>0.99694489547939835</v>
      </c>
      <c r="F116" s="56">
        <f>MAX(0,1-E121/Assumptions!$B$86)</f>
        <v>0.99552141767983715</v>
      </c>
      <c r="G116" s="56">
        <f>MAX(0,1-F121/Assumptions!$B$86)</f>
        <v>0.99374461105356215</v>
      </c>
      <c r="H116" s="56">
        <f>MAX(0,1-G121/Assumptions!$B$86)</f>
        <v>0.99214062775175282</v>
      </c>
      <c r="I116" s="56">
        <f>MAX(0,1-H121/Assumptions!$B$86)</f>
        <v>0.99078560176799457</v>
      </c>
      <c r="J116" s="56">
        <f>MAX(0,1-I121/Assumptions!$B$86)</f>
        <v>0.98947855740214219</v>
      </c>
      <c r="K116" s="56">
        <f>MAX(0,1-J121/Assumptions!$B$86)</f>
        <v>0.98817323728921735</v>
      </c>
      <c r="L116" s="56">
        <f>MAX(0,1-K121/Assumptions!$B$86)</f>
        <v>0.98674694756544357</v>
      </c>
      <c r="M116" s="56">
        <f>MAX(0,1-L121/Assumptions!$B$86)</f>
        <v>0.98483265848716661</v>
      </c>
      <c r="N116" s="56">
        <f>MAX(0,1-M121/Assumptions!$B$86)</f>
        <v>0.98307492915829864</v>
      </c>
      <c r="O116" s="56">
        <f>MAX(0,1-N121/Assumptions!$B$86)</f>
        <v>0.98153393954534451</v>
      </c>
      <c r="P116" s="56">
        <f>MAX(0,1-O121/Assumptions!$B$86)</f>
        <v>0.97822747073666749</v>
      </c>
      <c r="Q116" s="56">
        <f>MAX(0,1-P121/Assumptions!$B$86)</f>
        <v>0.97502113526029155</v>
      </c>
      <c r="R116" s="56">
        <f>MAX(0,1-Q121/Assumptions!$B$86)</f>
        <v>0.97189380807865411</v>
      </c>
      <c r="S116" s="56">
        <f>MAX(0,1-R121/Assumptions!$B$86)</f>
        <v>0.96792320668738041</v>
      </c>
      <c r="T116" s="56">
        <f>MAX(0,1-S121/Assumptions!$B$86)</f>
        <v>0.9642580113886543</v>
      </c>
      <c r="U116" s="56">
        <f>MAX(0,1-T121/Assumptions!$B$86)</f>
        <v>0.96110484692909515</v>
      </c>
      <c r="V116" s="56">
        <f>MAX(0,1-U121/Assumptions!$B$86)</f>
        <v>0.958023539310359</v>
      </c>
      <c r="W116" s="56">
        <f>MAX(0,1-V121/Assumptions!$B$86)</f>
        <v>0.95491063787664965</v>
      </c>
      <c r="X116" s="56">
        <f>MAX(0,1-W121/Assumptions!$B$86)</f>
        <v>0.95147194551191261</v>
      </c>
      <c r="Y116" s="56">
        <f>MAX(0,1-X121/Assumptions!$B$86)</f>
        <v>0.9467990662165594</v>
      </c>
      <c r="Z116" s="56">
        <f>MAX(0,1-Y121/Assumptions!$B$86)</f>
        <v>0.94242159724691743</v>
      </c>
      <c r="AA116" s="56">
        <f>MAX(0,1-Z121/Assumptions!$B$86)</f>
        <v>0.93852053137917757</v>
      </c>
      <c r="AB116" s="56">
        <f>MAX(0,1-AA121/Assumptions!$B$86)</f>
        <v>0.87082682650078369</v>
      </c>
      <c r="AC116" s="56">
        <f>MAX(0,1-AB121/Assumptions!$B$86)</f>
        <v>0.72512446175167966</v>
      </c>
      <c r="AD116" s="56">
        <f>MAX(0,1-AC121/Assumptions!$B$86)</f>
        <v>0.51600678677099598</v>
      </c>
      <c r="AE116" s="56">
        <f>MAX(0,1-AD121/Assumptions!$B$86)</f>
        <v>0.3162263592730179</v>
      </c>
    </row>
    <row r="117" spans="1:31" x14ac:dyDescent="0.25">
      <c r="A117" s="6" t="s">
        <v>570</v>
      </c>
      <c r="B117" s="23" t="s">
        <v>190</v>
      </c>
      <c r="C117" s="60">
        <f t="shared" ref="C117:AE117" si="28">C115*C116*C15</f>
        <v>195.94</v>
      </c>
      <c r="D117" s="60">
        <f t="shared" si="28"/>
        <v>185.94806507519999</v>
      </c>
      <c r="E117" s="60">
        <f t="shared" si="28"/>
        <v>177.93472494516303</v>
      </c>
      <c r="F117" s="60">
        <f t="shared" si="28"/>
        <v>222.10082828437166</v>
      </c>
      <c r="G117" s="60">
        <f t="shared" si="28"/>
        <v>200.4979127261667</v>
      </c>
      <c r="H117" s="60">
        <f t="shared" si="28"/>
        <v>169.37824796977924</v>
      </c>
      <c r="I117" s="60">
        <f t="shared" si="28"/>
        <v>163.3805457315423</v>
      </c>
      <c r="J117" s="60">
        <f t="shared" si="28"/>
        <v>163.16501411561325</v>
      </c>
      <c r="K117" s="60">
        <f t="shared" si="28"/>
        <v>178.2862154717206</v>
      </c>
      <c r="L117" s="60">
        <f t="shared" si="28"/>
        <v>239.28613478462009</v>
      </c>
      <c r="M117" s="60">
        <f t="shared" si="28"/>
        <v>219.71616610848685</v>
      </c>
      <c r="N117" s="60">
        <f t="shared" si="28"/>
        <v>192.62370161927703</v>
      </c>
      <c r="O117" s="60">
        <f t="shared" si="28"/>
        <v>413.30860108461803</v>
      </c>
      <c r="P117" s="60">
        <f t="shared" si="28"/>
        <v>400.79193454699782</v>
      </c>
      <c r="Q117" s="60">
        <f t="shared" si="28"/>
        <v>390.91589770468067</v>
      </c>
      <c r="R117" s="60">
        <f t="shared" si="28"/>
        <v>496.32517390921299</v>
      </c>
      <c r="S117" s="60">
        <f t="shared" si="28"/>
        <v>458.14941234076394</v>
      </c>
      <c r="T117" s="60">
        <f t="shared" si="28"/>
        <v>394.14555744489297</v>
      </c>
      <c r="U117" s="60">
        <f t="shared" si="28"/>
        <v>385.16345234202288</v>
      </c>
      <c r="V117" s="60">
        <f t="shared" si="28"/>
        <v>389.11267921366527</v>
      </c>
      <c r="W117" s="60">
        <f t="shared" si="28"/>
        <v>429.83654559212778</v>
      </c>
      <c r="X117" s="60">
        <f t="shared" si="28"/>
        <v>584.10991191915105</v>
      </c>
      <c r="Y117" s="60">
        <f t="shared" si="28"/>
        <v>547.18362120524432</v>
      </c>
      <c r="Z117" s="60">
        <f t="shared" si="28"/>
        <v>487.63323346748678</v>
      </c>
      <c r="AA117" s="60">
        <f t="shared" si="28"/>
        <v>8461.7131097992296</v>
      </c>
      <c r="AB117" s="60">
        <f t="shared" si="28"/>
        <v>18212.795593638013</v>
      </c>
      <c r="AC117" s="60">
        <f t="shared" si="28"/>
        <v>26139.70937258545</v>
      </c>
      <c r="AD117" s="60">
        <f t="shared" si="28"/>
        <v>24972.553437247272</v>
      </c>
      <c r="AE117" s="60">
        <f t="shared" si="28"/>
        <v>18871.28147931278</v>
      </c>
    </row>
    <row r="118" spans="1:31" x14ac:dyDescent="0.25">
      <c r="A118" s="6" t="s">
        <v>571</v>
      </c>
      <c r="B118" s="23" t="s">
        <v>190</v>
      </c>
      <c r="C118" s="28">
        <f>C117*(1-Assumptions!$B$134)^(C7/2)</f>
        <v>191.11944802090565</v>
      </c>
      <c r="D118" s="28">
        <f>C118*(1-Assumptions!$B$134)^D7+D117*(1-Assumptions!$B$134)^(D7/2)</f>
        <v>363.20455118313362</v>
      </c>
      <c r="E118" s="28">
        <f>D118*(1-Assumptions!$B$134)^E7+E117*(1-Assumptions!$B$134)^(E7/2)</f>
        <v>519.1102785760678</v>
      </c>
      <c r="F118" s="28">
        <f>E118*(1-Assumptions!$B$134)^F7+F117*(1-Assumptions!$B$134)^(F7/2)</f>
        <v>710.5186485045773</v>
      </c>
      <c r="G118" s="28">
        <f>F118*(1-Assumptions!$B$134)^G7+G117*(1-Assumptions!$B$134)^(G7/2)</f>
        <v>871.55330708073222</v>
      </c>
      <c r="H118" s="28">
        <f>G118*(1-Assumptions!$B$134)^H7+H117*(1-Assumptions!$B$134)^(H7/2)</f>
        <v>994.4077729892573</v>
      </c>
      <c r="I118" s="28">
        <f>H118*(1-Assumptions!$B$134)^I7+I117*(1-Assumptions!$B$134)^(I7/2)</f>
        <v>1105.4414766377956</v>
      </c>
      <c r="J118" s="28">
        <f>I118*(1-Assumptions!$B$134)^J7+J117*(1-Assumptions!$B$134)^(J7/2)</f>
        <v>1210.8688130407152</v>
      </c>
      <c r="K118" s="28">
        <f>J118*(1-Assumptions!$B$134)^K7+K117*(1-Assumptions!$B$134)^(K7/2)</f>
        <v>1325.921662447927</v>
      </c>
      <c r="L118" s="28">
        <f>K118*(1-Assumptions!$B$134)^L7+L117*(1-Assumptions!$B$134)^(L7/2)</f>
        <v>1494.8822348658748</v>
      </c>
      <c r="M118" s="28">
        <f>L118*(1-Assumptions!$B$134)^M7+M117*(1-Assumptions!$B$134)^(M7/2)</f>
        <v>1636.5429706582886</v>
      </c>
      <c r="N118" s="28">
        <f>M118*(1-Assumptions!$B$134)^N7+N117*(1-Assumptions!$B$134)^(N7/2)</f>
        <v>1744.8931913574911</v>
      </c>
      <c r="O118" s="28">
        <f>N118*(1-Assumptions!$B$134)^O7+O117*(1-Assumptions!$B$134)^(O7/2)</f>
        <v>2063.233257648084</v>
      </c>
      <c r="P118" s="28">
        <f>O118*(1-Assumptions!$B$134)^P7+P117*(1-Assumptions!$B$134)^(P7/2)</f>
        <v>2353.8935537026696</v>
      </c>
      <c r="Q118" s="28">
        <f>P118*(1-Assumptions!$B$134)^Q7+Q117*(1-Assumptions!$B$134)^(Q7/2)</f>
        <v>2620.7949559076942</v>
      </c>
      <c r="R118" s="28">
        <f>Q118*(1-Assumptions!$B$134)^R7+R117*(1-Assumptions!$B$134)^(R7/2)</f>
        <v>2977.5411676806712</v>
      </c>
      <c r="S118" s="28">
        <f>R118*(1-Assumptions!$B$134)^S7+S117*(1-Assumptions!$B$134)^(S7/2)</f>
        <v>3279.7132798266889</v>
      </c>
      <c r="T118" s="28">
        <f>S118*(1-Assumptions!$B$134)^T7+T117*(1-Assumptions!$B$134)^(T7/2)</f>
        <v>3504.7708787086676</v>
      </c>
      <c r="U118" s="28">
        <f>T118*(1-Assumptions!$B$134)^U7+U117*(1-Assumptions!$B$134)^(U7/2)</f>
        <v>3710.1297549130632</v>
      </c>
      <c r="V118" s="28">
        <f>U118*(1-Assumptions!$B$134)^V7+V117*(1-Assumptions!$B$134)^(V7/2)</f>
        <v>3909.3604416157541</v>
      </c>
      <c r="W118" s="28">
        <f>V118*(1-Assumptions!$B$134)^W7+W117*(1-Assumptions!$B$134)^(W7/2)</f>
        <v>4138.6306663677733</v>
      </c>
      <c r="X118" s="28">
        <f>W118*(1-Assumptions!$B$134)^X7+X117*(1-Assumptions!$B$134)^(X7/2)</f>
        <v>4507.2364688563985</v>
      </c>
      <c r="Y118" s="28">
        <f>X118*(1-Assumptions!$B$134)^Y7+Y117*(1-Assumptions!$B$134)^(Y7/2)</f>
        <v>4821.9105374134178</v>
      </c>
      <c r="Z118" s="28">
        <f>Y118*(1-Assumptions!$B$134)^Z7+Z117*(1-Assumptions!$B$134)^(Z7/2)</f>
        <v>5063.2064110026631</v>
      </c>
      <c r="AA118" s="28">
        <f>Z118*(1-Assumptions!$B$134)^AA7+AA117*(1-Assumptions!$B$134)^(AA7/2)</f>
        <v>9060.1379223645235</v>
      </c>
      <c r="AB118" s="28">
        <f>AA118*(1-Assumptions!$B$134)^AB7+AB117*(1-Assumptions!$B$134)^(AB7/2)</f>
        <v>18490.046570032569</v>
      </c>
      <c r="AC118" s="28">
        <f>AB118*(1-Assumptions!$B$134)^AC7+AC117*(1-Assumptions!$B$134)^(AC7/2)</f>
        <v>29555.25292372677</v>
      </c>
      <c r="AD118" s="28">
        <f>AC118*(1-Assumptions!$B$134)^AD7+AD117*(1-Assumptions!$B$134)^(AD7/2)</f>
        <v>34775.530410072613</v>
      </c>
      <c r="AE118" s="28">
        <f>AD118*(1-Assumptions!$B$134)^AE7+AE117*(1-Assumptions!$B$134)^(AE7/2)</f>
        <v>33121.858641183528</v>
      </c>
    </row>
    <row r="119" spans="1:31" x14ac:dyDescent="0.25">
      <c r="A119" s="6" t="s">
        <v>572</v>
      </c>
      <c r="B119" s="23" t="s">
        <v>190</v>
      </c>
      <c r="C119" s="60">
        <f>C117-C118</f>
        <v>4.820551979094347</v>
      </c>
      <c r="D119" s="60">
        <f t="shared" ref="D119:AE119" si="29">C118+D117-D118</f>
        <v>13.862961912972025</v>
      </c>
      <c r="E119" s="60">
        <f t="shared" si="29"/>
        <v>22.028997552228816</v>
      </c>
      <c r="F119" s="60">
        <f t="shared" si="29"/>
        <v>30.692458355862186</v>
      </c>
      <c r="G119" s="60">
        <f t="shared" si="29"/>
        <v>39.463254150011721</v>
      </c>
      <c r="H119" s="60">
        <f t="shared" si="29"/>
        <v>46.52378206125411</v>
      </c>
      <c r="I119" s="60">
        <f t="shared" si="29"/>
        <v>52.346842083004049</v>
      </c>
      <c r="J119" s="60">
        <f t="shared" si="29"/>
        <v>57.737677712693767</v>
      </c>
      <c r="K119" s="60">
        <f t="shared" si="29"/>
        <v>63.2333660645088</v>
      </c>
      <c r="L119" s="60">
        <f t="shared" si="29"/>
        <v>70.32556236667233</v>
      </c>
      <c r="M119" s="60">
        <f t="shared" si="29"/>
        <v>78.055430316072943</v>
      </c>
      <c r="N119" s="60">
        <f t="shared" si="29"/>
        <v>84.273480920074462</v>
      </c>
      <c r="O119" s="60">
        <f t="shared" si="29"/>
        <v>94.968534794025345</v>
      </c>
      <c r="P119" s="60">
        <f t="shared" si="29"/>
        <v>110.13163849241209</v>
      </c>
      <c r="Q119" s="60">
        <f t="shared" si="29"/>
        <v>124.01449549965582</v>
      </c>
      <c r="R119" s="60">
        <f t="shared" si="29"/>
        <v>139.57896213623599</v>
      </c>
      <c r="S119" s="60">
        <f t="shared" si="29"/>
        <v>155.97730019474602</v>
      </c>
      <c r="T119" s="60">
        <f t="shared" si="29"/>
        <v>169.08795856291408</v>
      </c>
      <c r="U119" s="60">
        <f t="shared" si="29"/>
        <v>179.80457613762746</v>
      </c>
      <c r="V119" s="60">
        <f t="shared" si="29"/>
        <v>189.88199251097467</v>
      </c>
      <c r="W119" s="60">
        <f t="shared" si="29"/>
        <v>200.56632084010835</v>
      </c>
      <c r="X119" s="60">
        <f t="shared" si="29"/>
        <v>215.50410943052611</v>
      </c>
      <c r="Y119" s="60">
        <f t="shared" si="29"/>
        <v>232.5095526482246</v>
      </c>
      <c r="Z119" s="60">
        <f t="shared" si="29"/>
        <v>246.33735987824184</v>
      </c>
      <c r="AA119" s="60">
        <f t="shared" si="29"/>
        <v>4464.7815984373701</v>
      </c>
      <c r="AB119" s="60">
        <f t="shared" si="29"/>
        <v>8782.8869459699672</v>
      </c>
      <c r="AC119" s="60">
        <f t="shared" si="29"/>
        <v>15074.503018891253</v>
      </c>
      <c r="AD119" s="60">
        <f t="shared" si="29"/>
        <v>19752.275950901429</v>
      </c>
      <c r="AE119" s="60">
        <f t="shared" si="29"/>
        <v>20524.953248201869</v>
      </c>
    </row>
    <row r="120" spans="1:31" x14ac:dyDescent="0.25">
      <c r="A120" s="6" t="s">
        <v>573</v>
      </c>
      <c r="B120" s="23" t="s">
        <v>190</v>
      </c>
      <c r="C120" s="50">
        <f>C119</f>
        <v>4.820551979094347</v>
      </c>
      <c r="D120" s="50">
        <f t="shared" ref="D120:AE120" si="30">C120+D119</f>
        <v>18.683513892066372</v>
      </c>
      <c r="E120" s="50">
        <f t="shared" si="30"/>
        <v>40.712511444295188</v>
      </c>
      <c r="F120" s="50">
        <f t="shared" si="30"/>
        <v>71.404969800157374</v>
      </c>
      <c r="G120" s="50">
        <f t="shared" si="30"/>
        <v>110.8682239501691</v>
      </c>
      <c r="H120" s="50">
        <f t="shared" si="30"/>
        <v>157.39200601142321</v>
      </c>
      <c r="I120" s="50">
        <f t="shared" si="30"/>
        <v>209.73884809442725</v>
      </c>
      <c r="J120" s="50">
        <f t="shared" si="30"/>
        <v>267.47652580712099</v>
      </c>
      <c r="K120" s="50">
        <f t="shared" si="30"/>
        <v>330.70989187162979</v>
      </c>
      <c r="L120" s="50">
        <f t="shared" si="30"/>
        <v>401.03545423830212</v>
      </c>
      <c r="M120" s="50">
        <f t="shared" si="30"/>
        <v>479.09088455437507</v>
      </c>
      <c r="N120" s="50">
        <f t="shared" si="30"/>
        <v>563.36436547444953</v>
      </c>
      <c r="O120" s="50">
        <f t="shared" si="30"/>
        <v>658.33290026847487</v>
      </c>
      <c r="P120" s="50">
        <f t="shared" si="30"/>
        <v>768.46453876088697</v>
      </c>
      <c r="Q120" s="50">
        <f t="shared" si="30"/>
        <v>892.47903426054279</v>
      </c>
      <c r="R120" s="50">
        <f t="shared" si="30"/>
        <v>1032.0579963967789</v>
      </c>
      <c r="S120" s="50">
        <f t="shared" si="30"/>
        <v>1188.0352965915249</v>
      </c>
      <c r="T120" s="50">
        <f t="shared" si="30"/>
        <v>1357.123255154439</v>
      </c>
      <c r="U120" s="50">
        <f t="shared" si="30"/>
        <v>1536.9278312920665</v>
      </c>
      <c r="V120" s="50">
        <f t="shared" si="30"/>
        <v>1726.8098238030411</v>
      </c>
      <c r="W120" s="50">
        <f t="shared" si="30"/>
        <v>1927.3761446431495</v>
      </c>
      <c r="X120" s="50">
        <f t="shared" si="30"/>
        <v>2142.8802540736756</v>
      </c>
      <c r="Y120" s="50">
        <f t="shared" si="30"/>
        <v>2375.3898067219002</v>
      </c>
      <c r="Z120" s="50">
        <f t="shared" si="30"/>
        <v>2621.727166600142</v>
      </c>
      <c r="AA120" s="50">
        <f t="shared" si="30"/>
        <v>7086.5087650375117</v>
      </c>
      <c r="AB120" s="50">
        <f t="shared" si="30"/>
        <v>15869.395711007479</v>
      </c>
      <c r="AC120" s="50">
        <f t="shared" si="30"/>
        <v>30943.898729898734</v>
      </c>
      <c r="AD120" s="50">
        <f t="shared" si="30"/>
        <v>50696.174680800163</v>
      </c>
      <c r="AE120" s="50">
        <f t="shared" si="30"/>
        <v>71221.127929002032</v>
      </c>
    </row>
    <row r="121" spans="1:31" x14ac:dyDescent="0.25">
      <c r="A121" s="6" t="s">
        <v>574</v>
      </c>
      <c r="B121" s="23" t="s">
        <v>190</v>
      </c>
      <c r="C121" s="50">
        <f>C117</f>
        <v>195.94</v>
      </c>
      <c r="D121" s="50">
        <f t="shared" ref="D121:AE121" si="31">C121+D117</f>
        <v>381.88806507519996</v>
      </c>
      <c r="E121" s="50">
        <f t="shared" si="31"/>
        <v>559.82279002036296</v>
      </c>
      <c r="F121" s="50">
        <f t="shared" si="31"/>
        <v>781.92361830473465</v>
      </c>
      <c r="G121" s="50">
        <f t="shared" si="31"/>
        <v>982.42153103090141</v>
      </c>
      <c r="H121" s="50">
        <f t="shared" si="31"/>
        <v>1151.7997790006807</v>
      </c>
      <c r="I121" s="50">
        <f t="shared" si="31"/>
        <v>1315.180324732223</v>
      </c>
      <c r="J121" s="50">
        <f t="shared" si="31"/>
        <v>1478.3453388478363</v>
      </c>
      <c r="K121" s="50">
        <f t="shared" si="31"/>
        <v>1656.6315543195569</v>
      </c>
      <c r="L121" s="50">
        <f t="shared" si="31"/>
        <v>1895.917689104177</v>
      </c>
      <c r="M121" s="50">
        <f t="shared" si="31"/>
        <v>2115.633855212664</v>
      </c>
      <c r="N121" s="50">
        <f t="shared" si="31"/>
        <v>2308.2575568319412</v>
      </c>
      <c r="O121" s="50">
        <f t="shared" si="31"/>
        <v>2721.5661579165594</v>
      </c>
      <c r="P121" s="50">
        <f t="shared" si="31"/>
        <v>3122.3580924635571</v>
      </c>
      <c r="Q121" s="50">
        <f t="shared" si="31"/>
        <v>3513.273990168238</v>
      </c>
      <c r="R121" s="50">
        <f t="shared" si="31"/>
        <v>4009.599164077451</v>
      </c>
      <c r="S121" s="50">
        <f t="shared" si="31"/>
        <v>4467.7485764182147</v>
      </c>
      <c r="T121" s="50">
        <f t="shared" si="31"/>
        <v>4861.8941338631075</v>
      </c>
      <c r="U121" s="50">
        <f t="shared" si="31"/>
        <v>5247.0575862051301</v>
      </c>
      <c r="V121" s="50">
        <f t="shared" si="31"/>
        <v>5636.1702654187957</v>
      </c>
      <c r="W121" s="50">
        <f t="shared" si="31"/>
        <v>6066.0068110109232</v>
      </c>
      <c r="X121" s="50">
        <f t="shared" si="31"/>
        <v>6650.1167229300745</v>
      </c>
      <c r="Y121" s="50">
        <f t="shared" si="31"/>
        <v>7197.3003441353185</v>
      </c>
      <c r="Z121" s="50">
        <f t="shared" si="31"/>
        <v>7684.9335776028056</v>
      </c>
      <c r="AA121" s="50">
        <f t="shared" si="31"/>
        <v>16146.646687402035</v>
      </c>
      <c r="AB121" s="50">
        <f t="shared" si="31"/>
        <v>34359.44228104005</v>
      </c>
      <c r="AC121" s="50">
        <f t="shared" si="31"/>
        <v>60499.1516536255</v>
      </c>
      <c r="AD121" s="50">
        <f t="shared" si="31"/>
        <v>85471.705090872769</v>
      </c>
      <c r="AE121" s="50">
        <f t="shared" si="31"/>
        <v>104342.98657018555</v>
      </c>
    </row>
    <row r="122" spans="1:31" x14ac:dyDescent="0.25">
      <c r="A122" s="6" t="s">
        <v>575</v>
      </c>
      <c r="B122" s="23" t="s">
        <v>114</v>
      </c>
      <c r="C122" s="61">
        <f>IF(C2&gt;=Assumptions!$B$47,C118*Assumptions!$B$192*C7,0)</f>
        <v>5733.5834406271697</v>
      </c>
      <c r="D122" s="61">
        <f>IF(D2&gt;=Assumptions!$B$47,D118*Assumptions!$B$192*D7,0)</f>
        <v>10896.136535494008</v>
      </c>
      <c r="E122" s="61">
        <f>IF(E2&gt;=Assumptions!$B$47,E118*Assumptions!$B$192*E7,0)</f>
        <v>15573.308357282034</v>
      </c>
      <c r="F122" s="61">
        <f>IF(F2&gt;=Assumptions!$B$47,F118*Assumptions!$B$192*F7,0)</f>
        <v>21315.559455137318</v>
      </c>
      <c r="G122" s="61">
        <f>IF(G2&gt;=Assumptions!$B$47,G118*Assumptions!$B$192*G7,0)</f>
        <v>26146.599212421967</v>
      </c>
      <c r="H122" s="61">
        <f>IF(H2&gt;=Assumptions!$B$47,H118*Assumptions!$B$192*H7,0)</f>
        <v>29832.233189677718</v>
      </c>
      <c r="I122" s="61">
        <f>IF(I2&gt;=Assumptions!$B$47,I118*Assumptions!$B$192*I7,0)</f>
        <v>33163.244299133868</v>
      </c>
      <c r="J122" s="61">
        <f>IF(J2&gt;=Assumptions!$B$47,J118*Assumptions!$B$192*J7,0)</f>
        <v>36326.064391221458</v>
      </c>
      <c r="K122" s="61">
        <f>IF(K2&gt;=Assumptions!$B$47,K118*Assumptions!$B$192*K7,0)</f>
        <v>39777.649873437811</v>
      </c>
      <c r="L122" s="61">
        <f>IF(L2&gt;=Assumptions!$B$47,L118*Assumptions!$B$192*L7,0)</f>
        <v>44846.467045976242</v>
      </c>
      <c r="M122" s="61">
        <f>IF(M2&gt;=Assumptions!$B$47,M118*Assumptions!$B$192*M7,0)</f>
        <v>49096.289119748661</v>
      </c>
      <c r="N122" s="61">
        <f>IF(N2&gt;=Assumptions!$B$47,N118*Assumptions!$B$192*N7,0)</f>
        <v>52346.79574072473</v>
      </c>
      <c r="O122" s="61">
        <f>IF(O2&gt;=Assumptions!$B$47,O118*Assumptions!$B$192*O7,0)</f>
        <v>61896.997729442519</v>
      </c>
      <c r="P122" s="61">
        <f>IF(P2&gt;=Assumptions!$B$47,P118*Assumptions!$B$192*P7,0)</f>
        <v>70616.806611080086</v>
      </c>
      <c r="Q122" s="61">
        <f>IF(Q2&gt;=Assumptions!$B$47,Q118*Assumptions!$B$192*Q7,0)</f>
        <v>78623.848677230824</v>
      </c>
      <c r="R122" s="61">
        <f>IF(R2&gt;=Assumptions!$B$47,R118*Assumptions!$B$192*R7,0)</f>
        <v>89326.235030420139</v>
      </c>
      <c r="S122" s="61">
        <f>IF(S2&gt;=Assumptions!$B$47,S118*Assumptions!$B$192*S7,0)</f>
        <v>98391.398394800664</v>
      </c>
      <c r="T122" s="61">
        <f>IF(T2&gt;=Assumptions!$B$47,T118*Assumptions!$B$192*T7,0)</f>
        <v>105143.12636126003</v>
      </c>
      <c r="U122" s="61">
        <f>IF(U2&gt;=Assumptions!$B$47,U118*Assumptions!$B$192*U7,0)</f>
        <v>111303.8926473919</v>
      </c>
      <c r="V122" s="61">
        <f>IF(V2&gt;=Assumptions!$B$47,V118*Assumptions!$B$192*V7,0)</f>
        <v>117280.81324847262</v>
      </c>
      <c r="W122" s="61">
        <f>IF(W2&gt;=Assumptions!$B$47,W118*Assumptions!$B$192*W7,0)</f>
        <v>124158.9199910332</v>
      </c>
      <c r="X122" s="61">
        <f>IF(X2&gt;=Assumptions!$B$47,X118*Assumptions!$B$192*X7,0)</f>
        <v>135217.09406569196</v>
      </c>
      <c r="Y122" s="61">
        <f>IF(Y2&gt;=Assumptions!$B$47,Y118*Assumptions!$B$192*Y7,0)</f>
        <v>144657.31612240252</v>
      </c>
      <c r="Z122" s="61">
        <f>IF(Z2&gt;=Assumptions!$B$47,Z118*Assumptions!$B$192*Z7,0)</f>
        <v>151896.19233007988</v>
      </c>
      <c r="AA122" s="61">
        <f>IF(AA2&gt;=Assumptions!$B$47,AA118*Assumptions!$B$192*AA7,0)</f>
        <v>3261649.6520512286</v>
      </c>
      <c r="AB122" s="61">
        <f>IF(AB2&gt;=Assumptions!$B$47,AB118*Assumptions!$B$192*AB7,0)</f>
        <v>6656416.7652117256</v>
      </c>
      <c r="AC122" s="61">
        <f>IF(AC2&gt;=Assumptions!$B$47,AC118*Assumptions!$B$192*AC7,0)</f>
        <v>10639891.052541638</v>
      </c>
      <c r="AD122" s="61">
        <f>IF(AD2&gt;=Assumptions!$B$47,AD118*Assumptions!$B$192*AD7,0)</f>
        <v>12519190.947626142</v>
      </c>
      <c r="AE122" s="61">
        <f>IF(AE2&gt;=Assumptions!$B$47,AE118*Assumptions!$B$192*AE7,0)</f>
        <v>11923869.110826069</v>
      </c>
    </row>
    <row r="123" spans="1:31" x14ac:dyDescent="0.25">
      <c r="A123" s="6" t="s">
        <v>576</v>
      </c>
      <c r="B123" s="23" t="s">
        <v>114</v>
      </c>
      <c r="C123" s="61">
        <f>IF(C2&gt;=Assumptions!$B$48,C118*Assumptions!$B$37*Assumptions!$B$154*Assumptions!$B$156*Assumptions!$B$34*Assumptions!$B$155/12*C7,0)</f>
        <v>379.05357190812947</v>
      </c>
      <c r="D123" s="61">
        <f>IF(D2&gt;=Assumptions!$B$48,D118*Assumptions!$B$37*Assumptions!$B$154*Assumptions!$B$156*Assumptions!$B$34*Assumptions!$B$155/12*D7,0)</f>
        <v>720.35569317988154</v>
      </c>
      <c r="E123" s="61">
        <f>IF(E2&gt;=Assumptions!$B$48,E118*Assumptions!$B$37*Assumptions!$B$154*Assumptions!$B$156*Assumptions!$B$34*Assumptions!$B$155/12*E7,0)</f>
        <v>1029.5687191758677</v>
      </c>
      <c r="F123" s="61">
        <f>IF(F2&gt;=Assumptions!$B$48,F118*Assumptions!$B$37*Assumptions!$B$154*Assumptions!$B$156*Assumptions!$B$34*Assumptions!$B$155/12*F7,0)</f>
        <v>1409.1953195340782</v>
      </c>
      <c r="G123" s="61">
        <f>IF(G2&gt;=Assumptions!$B$48,G118*Assumptions!$B$37*Assumptions!$B$154*Assumptions!$B$156*Assumptions!$B$34*Assumptions!$B$155/12*G7,0)</f>
        <v>1728.5807257101187</v>
      </c>
      <c r="H123" s="61">
        <f>IF(H2&gt;=Assumptions!$B$48,H118*Assumptions!$B$37*Assumptions!$B$154*Assumptions!$B$156*Assumptions!$B$34*Assumptions!$B$155/12*H7,0)</f>
        <v>1972.2420830953604</v>
      </c>
      <c r="I123" s="61">
        <f>IF(I2&gt;=Assumptions!$B$48,I118*Assumptions!$B$37*Assumptions!$B$154*Assumptions!$B$156*Assumptions!$B$34*Assumptions!$B$155/12*I7,0)</f>
        <v>2192.4589286649611</v>
      </c>
      <c r="J123" s="61">
        <f>IF(J2&gt;=Assumptions!$B$48,J118*Assumptions!$B$37*Assumptions!$B$154*Assumptions!$B$156*Assumptions!$B$34*Assumptions!$B$155/12*J7,0)</f>
        <v>2401.5564791974184</v>
      </c>
      <c r="K123" s="61">
        <f>IF(K2&gt;=Assumptions!$B$48,K118*Assumptions!$B$37*Assumptions!$B$154*Assumptions!$B$156*Assumptions!$B$34*Assumptions!$B$155/12*K7,0)</f>
        <v>2629.7446305217213</v>
      </c>
      <c r="L123" s="61">
        <f>IF(L2&gt;=Assumptions!$B$48,L118*Assumptions!$B$37*Assumptions!$B$154*Assumptions!$B$156*Assumptions!$B$34*Assumptions!$B$155/12*L7,0)</f>
        <v>2964.8497658173183</v>
      </c>
      <c r="M123" s="61">
        <f>IF(M2&gt;=Assumptions!$B$48,M118*Assumptions!$B$37*Assumptions!$B$154*Assumptions!$B$156*Assumptions!$B$34*Assumptions!$B$155/12*M7,0)</f>
        <v>3245.8102251389387</v>
      </c>
      <c r="N123" s="61">
        <f>IF(N2&gt;=Assumptions!$B$48,N118*Assumptions!$B$37*Assumptions!$B$154*Assumptions!$B$156*Assumptions!$B$34*Assumptions!$B$155/12*N7,0)</f>
        <v>3460.70482952569</v>
      </c>
      <c r="O123" s="61">
        <f>IF(O2&gt;=Assumptions!$B$48,O118*Assumptions!$B$37*Assumptions!$B$154*Assumptions!$B$156*Assumptions!$B$34*Assumptions!$B$155/12*O7,0)</f>
        <v>4092.0792943353663</v>
      </c>
      <c r="P123" s="61">
        <f>IF(P2&gt;=Assumptions!$B$48,P118*Assumptions!$B$37*Assumptions!$B$154*Assumptions!$B$156*Assumptions!$B$34*Assumptions!$B$155/12*P7,0)</f>
        <v>4668.5555481769616</v>
      </c>
      <c r="Q123" s="61">
        <f>IF(Q2&gt;=Assumptions!$B$48,Q118*Assumptions!$B$37*Assumptions!$B$154*Assumptions!$B$156*Assumptions!$B$34*Assumptions!$B$155/12*Q7,0)</f>
        <v>5197.9099958835932</v>
      </c>
      <c r="R123" s="61">
        <f>IF(R2&gt;=Assumptions!$B$48,R118*Assumptions!$B$37*Assumptions!$B$154*Assumptions!$B$156*Assumptions!$B$34*Assumptions!$B$155/12*R7,0)</f>
        <v>5905.4566492333315</v>
      </c>
      <c r="S123" s="61">
        <f>IF(S2&gt;=Assumptions!$B$48,S118*Assumptions!$B$37*Assumptions!$B$154*Assumptions!$B$156*Assumptions!$B$34*Assumptions!$B$155/12*S7,0)</f>
        <v>6504.7646716562658</v>
      </c>
      <c r="T123" s="61">
        <f>IF(T2&gt;=Assumptions!$B$48,T118*Assumptions!$B$37*Assumptions!$B$154*Assumptions!$B$156*Assumptions!$B$34*Assumptions!$B$155/12*T7,0)</f>
        <v>6951.1289094388558</v>
      </c>
      <c r="U123" s="61">
        <f>IF(U2&gt;=Assumptions!$B$48,U118*Assumptions!$B$37*Assumptions!$B$154*Assumptions!$B$156*Assumptions!$B$34*Assumptions!$B$155/12*U7,0)</f>
        <v>7358.424013910907</v>
      </c>
      <c r="V123" s="61">
        <f>IF(V2&gt;=Assumptions!$B$48,V118*Assumptions!$B$37*Assumptions!$B$154*Assumptions!$B$156*Assumptions!$B$34*Assumptions!$B$155/12*V7,0)</f>
        <v>7753.564875871245</v>
      </c>
      <c r="W123" s="61">
        <f>IF(W2&gt;=Assumptions!$B$48,W118*Assumptions!$B$37*Assumptions!$B$154*Assumptions!$B$156*Assumptions!$B$34*Assumptions!$B$155/12*W7,0)</f>
        <v>8208.2841549627501</v>
      </c>
      <c r="X123" s="61">
        <f>IF(X2&gt;=Assumptions!$B$48,X118*Assumptions!$B$37*Assumptions!$B$154*Assumptions!$B$156*Assumptions!$B$34*Assumptions!$B$155/12*X7,0)</f>
        <v>8939.3523298985237</v>
      </c>
      <c r="Y123" s="61">
        <f>IF(Y2&gt;=Assumptions!$B$48,Y118*Assumptions!$B$37*Assumptions!$B$154*Assumptions!$B$156*Assumptions!$B$34*Assumptions!$B$155/12*Y7,0)</f>
        <v>9563.455899203278</v>
      </c>
      <c r="Z123" s="61">
        <f>IF(Z2&gt;=Assumptions!$B$48,Z118*Assumptions!$B$37*Assumptions!$B$154*Assumptions!$B$156*Assumptions!$B$34*Assumptions!$B$155/12*Z7,0)</f>
        <v>10042.026048488613</v>
      </c>
      <c r="AA123" s="61">
        <f>IF(AA2&gt;=Assumptions!$B$48,AA118*Assumptions!$B$37*Assumptions!$B$154*Assumptions!$B$156*Assumptions!$B$34*Assumptions!$B$155/12*AA7,0)</f>
        <v>215631.28255227563</v>
      </c>
      <c r="AB123" s="61">
        <f>IF(AB2&gt;=Assumptions!$B$48,AB118*Assumptions!$B$37*Assumptions!$B$154*Assumptions!$B$156*Assumptions!$B$34*Assumptions!$B$155/12*AB7,0)</f>
        <v>440063.10836677509</v>
      </c>
      <c r="AC123" s="61">
        <f>IF(AC2&gt;=Assumptions!$B$48,AC118*Assumptions!$B$37*Assumptions!$B$154*Assumptions!$B$156*Assumptions!$B$34*Assumptions!$B$155/12*AC7,0)</f>
        <v>703415.01958469697</v>
      </c>
      <c r="AD123" s="61">
        <f>IF(AD2&gt;=Assumptions!$B$48,AD118*Assumptions!$B$37*Assumptions!$B$154*Assumptions!$B$156*Assumptions!$B$34*Assumptions!$B$155/12*AD7,0)</f>
        <v>827657.62375972816</v>
      </c>
      <c r="AE123" s="61">
        <f>IF(AE2&gt;=Assumptions!$B$48,AE118*Assumptions!$B$37*Assumptions!$B$154*Assumptions!$B$156*Assumptions!$B$34*Assumptions!$B$155/12*AE7,0)</f>
        <v>788300.23566016788</v>
      </c>
    </row>
    <row r="124" spans="1:31" x14ac:dyDescent="0.25">
      <c r="A124" s="6" t="s">
        <v>577</v>
      </c>
      <c r="B124" s="23" t="s">
        <v>47</v>
      </c>
      <c r="C124" s="60">
        <f>(C122+C123)*(1-Assumptions!$B$8)/C20/(1+Assumptions!$B$9*(1-Assumptions!$B$229))</f>
        <v>41.050510122356378</v>
      </c>
      <c r="D124" s="60">
        <f>(D122+D123)*(1-Assumptions!$B$8)/D20/(1+Assumptions!$B$9*(1-Assumptions!$B$229))</f>
        <v>78.012636909657814</v>
      </c>
      <c r="E124" s="60">
        <f>(E122+E123)*(1-Assumptions!$B$8)/E20/(1+Assumptions!$B$9*(1-Assumptions!$B$229))</f>
        <v>111.49959863307653</v>
      </c>
      <c r="F124" s="60">
        <f>(F122+F123)*(1-Assumptions!$B$8)/F20/(1+Assumptions!$B$9*(1-Assumptions!$B$229))</f>
        <v>152.61216623736624</v>
      </c>
      <c r="G124" s="60">
        <f>(G122+G123)*(1-Assumptions!$B$8)/G20/(1+Assumptions!$B$9*(1-Assumptions!$B$229))</f>
        <v>187.20077012035543</v>
      </c>
      <c r="H124" s="60">
        <f>(H122+H123)*(1-Assumptions!$B$8)/H20/(1+Assumptions!$B$9*(1-Assumptions!$B$229))</f>
        <v>213.58865763561727</v>
      </c>
      <c r="I124" s="60">
        <f>(I122+I123)*(1-Assumptions!$B$8)/I20/(1+Assumptions!$B$9*(1-Assumptions!$B$229))</f>
        <v>237.4375658589629</v>
      </c>
      <c r="J124" s="60">
        <f>(J122+J123)*(1-Assumptions!$B$8)/J20/(1+Assumptions!$B$9*(1-Assumptions!$B$229))</f>
        <v>260.08228352112206</v>
      </c>
      <c r="K124" s="60">
        <f>(K122+K123)*(1-Assumptions!$B$8)/K20/(1+Assumptions!$B$9*(1-Assumptions!$B$229))</f>
        <v>284.79446330242865</v>
      </c>
      <c r="L124" s="60">
        <f>(L122+L123)*(1-Assumptions!$B$8)/L20/(1+Assumptions!$B$9*(1-Assumptions!$B$229))</f>
        <v>321.08547272164481</v>
      </c>
      <c r="M124" s="60">
        <f>(M122+M123)*(1-Assumptions!$B$8)/M20/(1+Assumptions!$B$9*(1-Assumptions!$B$229))</f>
        <v>351.51275539122867</v>
      </c>
      <c r="N124" s="60">
        <f>(N122+N123)*(1-Assumptions!$B$8)/N20/(1+Assumptions!$B$9*(1-Assumptions!$B$229))</f>
        <v>374.78527881901522</v>
      </c>
      <c r="O124" s="60">
        <f>(O122+O123)*(1-Assumptions!$B$8)/O20/(1+Assumptions!$B$9*(1-Assumptions!$B$229))</f>
        <v>409.95511701865416</v>
      </c>
      <c r="P124" s="60">
        <f>(P122+P123)*(1-Assumptions!$B$8)/P20/(1+Assumptions!$B$9*(1-Assumptions!$B$229))</f>
        <v>467.70800329073967</v>
      </c>
      <c r="Q124" s="60">
        <f>(Q122+Q123)*(1-Assumptions!$B$8)/Q20/(1+Assumptions!$B$9*(1-Assumptions!$B$229))</f>
        <v>520.7401048080111</v>
      </c>
      <c r="R124" s="60">
        <f>(R122+R123)*(1-Assumptions!$B$8)/R20/(1+Assumptions!$B$9*(1-Assumptions!$B$229))</f>
        <v>591.62396365006236</v>
      </c>
      <c r="S124" s="60">
        <f>(S122+S123)*(1-Assumptions!$B$8)/S20/(1+Assumptions!$B$9*(1-Assumptions!$B$229))</f>
        <v>651.66419571563313</v>
      </c>
      <c r="T124" s="60">
        <f>(T122+T123)*(1-Assumptions!$B$8)/T20/(1+Assumptions!$B$9*(1-Assumptions!$B$229))</f>
        <v>696.38212275737339</v>
      </c>
      <c r="U124" s="60">
        <f>(U122+U123)*(1-Assumptions!$B$8)/U20/(1+Assumptions!$B$9*(1-Assumptions!$B$229))</f>
        <v>737.18600269344972</v>
      </c>
      <c r="V124" s="60">
        <f>(V122+V123)*(1-Assumptions!$B$8)/V20/(1+Assumptions!$B$9*(1-Assumptions!$B$229))</f>
        <v>776.7722390911764</v>
      </c>
      <c r="W124" s="60">
        <f>(W122+W123)*(1-Assumptions!$B$8)/W20/(1+Assumptions!$B$9*(1-Assumptions!$B$229))</f>
        <v>822.32719584107326</v>
      </c>
      <c r="X124" s="60">
        <f>(X122+X123)*(1-Assumptions!$B$8)/X20/(1+Assumptions!$B$9*(1-Assumptions!$B$229))</f>
        <v>895.56750172157956</v>
      </c>
      <c r="Y124" s="60">
        <f>(Y122+Y123)*(1-Assumptions!$B$8)/Y20/(1+Assumptions!$B$9*(1-Assumptions!$B$229))</f>
        <v>958.09181598407872</v>
      </c>
      <c r="Z124" s="60">
        <f>(Z122+Z123)*(1-Assumptions!$B$8)/Z20/(1+Assumptions!$B$9*(1-Assumptions!$B$229))</f>
        <v>1006.036214770166</v>
      </c>
      <c r="AA124" s="60">
        <f>(AA122+AA123)*(1-Assumptions!$B$8)/AA20/(1+Assumptions!$B$9*(1-Assumptions!$B$229))</f>
        <v>19983.812351898367</v>
      </c>
      <c r="AB124" s="60">
        <f>(AB122+AB123)*(1-Assumptions!$B$8)/AB20/(1+Assumptions!$B$9*(1-Assumptions!$B$229))</f>
        <v>37727.310387825513</v>
      </c>
      <c r="AC124" s="60">
        <f>(AC122+AC123)*(1-Assumptions!$B$8)/AC20/(1+Assumptions!$B$9*(1-Assumptions!$B$229))</f>
        <v>55786.206021981328</v>
      </c>
      <c r="AD124" s="60">
        <f>(AD122+AD123)*(1-Assumptions!$B$8)/AD20/(1+Assumptions!$B$9*(1-Assumptions!$B$229))</f>
        <v>60721.181715282415</v>
      </c>
      <c r="AE124" s="60">
        <f>(AE122+AE123)*(1-Assumptions!$B$8)/AE20/(1+Assumptions!$B$9*(1-Assumptions!$B$229))</f>
        <v>53500.20640711749</v>
      </c>
    </row>
    <row r="125" spans="1:31" x14ac:dyDescent="0.25">
      <c r="A125" s="6" t="s">
        <v>578</v>
      </c>
      <c r="B125" s="23" t="s">
        <v>579</v>
      </c>
      <c r="C125" s="62">
        <f>(Assumptions!$B$151+Assumptions!$B$152*IF(C118+C120=0,1,(C118+C120*Assumptions!$B$153)/(C118+C120)))*C7/12</f>
        <v>1.0073806552706356E-2</v>
      </c>
      <c r="D125" s="62">
        <f>(Assumptions!$B$151+Assumptions!$B$152*IF(D118+D120=0,1,(D118+D120*Assumptions!$B$153)/(D118+D120)))*D7/12</f>
        <v>1.0146772174367802E-2</v>
      </c>
      <c r="E125" s="62">
        <f>(Assumptions!$B$151+Assumptions!$B$152*IF(E118+E120=0,1,(E118+E120*Assumptions!$B$153)/(E118+E120)))*E7/12</f>
        <v>1.0218171779552674E-2</v>
      </c>
      <c r="F125" s="62">
        <f>(Assumptions!$B$151+Assumptions!$B$152*IF(F118+F120=0,1,(F118+F120*Assumptions!$B$153)/(F118+F120)))*F7/12</f>
        <v>1.0273958868085997E-2</v>
      </c>
      <c r="G125" s="62">
        <f>(Assumptions!$B$151+Assumptions!$B$152*IF(G118+G120=0,1,(G118+G120*Assumptions!$B$153)/(G118+G120)))*G7/12</f>
        <v>1.0338555967418067E-2</v>
      </c>
      <c r="H125" s="62">
        <f>(Assumptions!$B$151+Assumptions!$B$152*IF(H118+H120=0,1,(H118+H120*Assumptions!$B$153)/(H118+H120)))*H7/12</f>
        <v>1.0409946265525364E-2</v>
      </c>
      <c r="I125" s="62">
        <f>(Assumptions!$B$151+Assumptions!$B$152*IF(I118+I120=0,1,(I118+I120*Assumptions!$B$153)/(I118+I120)))*I7/12</f>
        <v>1.0478426062533587E-2</v>
      </c>
      <c r="J125" s="62">
        <f>(Assumptions!$B$151+Assumptions!$B$152*IF(J118+J120=0,1,(J118+J120*Assumptions!$B$153)/(J118+J120)))*J7/12</f>
        <v>1.0542788992757771E-2</v>
      </c>
      <c r="K125" s="62">
        <f>(Assumptions!$B$151+Assumptions!$B$152*IF(K118+K120=0,1,(K118+K120*Assumptions!$B$153)/(K118+K120)))*K7/12</f>
        <v>1.0598883724644731E-2</v>
      </c>
      <c r="L125" s="62">
        <f>(Assumptions!$B$151+Assumptions!$B$152*IF(L118+L120=0,1,(L118+L120*Assumptions!$B$153)/(L118+L120)))*L7/12</f>
        <v>1.0634577318218584E-2</v>
      </c>
      <c r="M125" s="62">
        <f>(Assumptions!$B$151+Assumptions!$B$152*IF(M118+M120=0,1,(M118+M120*Assumptions!$B$153)/(M118+M120)))*M7/12</f>
        <v>1.0679357938105339E-2</v>
      </c>
      <c r="N125" s="62">
        <f>(Assumptions!$B$151+Assumptions!$B$152*IF(N118+N120=0,1,(N118+N120*Assumptions!$B$153)/(N118+N120)))*N7/12</f>
        <v>1.0732194330490131E-2</v>
      </c>
      <c r="O125" s="62">
        <f>(Assumptions!$B$151+Assumptions!$B$152*IF(O118+O120=0,1,(O118+O120*Assumptions!$B$153)/(O118+O120)))*O7/12</f>
        <v>1.0725684619152284E-2</v>
      </c>
      <c r="P125" s="62">
        <f>(Assumptions!$B$151+Assumptions!$B$152*IF(P118+P120=0,1,(P118+P120*Assumptions!$B$153)/(P118+P120)))*P7/12</f>
        <v>1.0738350166128348E-2</v>
      </c>
      <c r="Q125" s="62">
        <f>(Assumptions!$B$151+Assumptions!$B$152*IF(Q118+Q120=0,1,(Q118+Q120*Assumptions!$B$153)/(Q118+Q120)))*Q7/12</f>
        <v>1.0762091744132207E-2</v>
      </c>
      <c r="R125" s="62">
        <f>(Assumptions!$B$151+Assumptions!$B$152*IF(R118+R120=0,1,(R118+R120*Assumptions!$B$153)/(R118+R120)))*R7/12</f>
        <v>1.0772190401706331E-2</v>
      </c>
      <c r="S125" s="62">
        <f>(Assumptions!$B$151+Assumptions!$B$152*IF(S118+S120=0,1,(S118+S120*Assumptions!$B$153)/(S118+S120)))*S7/12</f>
        <v>1.0797740926735836E-2</v>
      </c>
      <c r="T125" s="62">
        <f>(Assumptions!$B$151+Assumptions!$B$152*IF(T118+T120=0,1,(T118+T120*Assumptions!$B$153)/(T118+T120)))*T7/12</f>
        <v>1.0837404035004836E-2</v>
      </c>
      <c r="U125" s="62">
        <f>(Assumptions!$B$151+Assumptions!$B$152*IF(U118+U120=0,1,(U118+U120*Assumptions!$B$153)/(U118+U120)))*U7/12</f>
        <v>1.0878736971745509E-2</v>
      </c>
      <c r="V125" s="62">
        <f>(Assumptions!$B$151+Assumptions!$B$152*IF(V118+V120=0,1,(V118+V120*Assumptions!$B$153)/(V118+V120)))*V7/12</f>
        <v>1.0919139988228193E-2</v>
      </c>
      <c r="W125" s="62">
        <f>(Assumptions!$B$151+Assumptions!$B$152*IF(W118+W120=0,1,(W118+W120*Assumptions!$B$153)/(W118+W120)))*W7/12</f>
        <v>1.0953201770798183E-2</v>
      </c>
      <c r="X125" s="62">
        <f>(Assumptions!$B$151+Assumptions!$B$152*IF(X118+X120=0,1,(X118+X120*Assumptions!$B$153)/(X118+X120)))*X7/12</f>
        <v>1.0966695928818002E-2</v>
      </c>
      <c r="Y125" s="62">
        <f>(Assumptions!$B$151+Assumptions!$B$152*IF(Y118+Y120=0,1,(Y118+Y120*Assumptions!$B$153)/(Y118+Y120)))*Y7/12</f>
        <v>1.0990116999351351E-2</v>
      </c>
      <c r="Z125" s="62">
        <f>(Assumptions!$B$151+Assumptions!$B$152*IF(Z118+Z120=0,1,(Z118+Z120*Assumptions!$B$153)/(Z118+Z120)))*Z7/12</f>
        <v>1.1023454714393749E-2</v>
      </c>
      <c r="AA125" s="62">
        <f>(Assumptions!$B$151+Assumptions!$B$152*IF(AA118+AA120=0,1,(AA118+AA120*Assumptions!$B$153)/(AA118+AA120)))*AA7/12</f>
        <v>0.13579983265134526</v>
      </c>
      <c r="AB125" s="62">
        <f>(Assumptions!$B$151+Assumptions!$B$152*IF(AB118+AB120=0,1,(AB118+AB120*Assumptions!$B$153)/(AB118+AB120)))*AB7/12</f>
        <v>0.13662711056027582</v>
      </c>
      <c r="AC125" s="62">
        <f>(Assumptions!$B$151+Assumptions!$B$152*IF(AC118+AC120=0,1,(AC118+AC120*Assumptions!$B$153)/(AC118+AC120)))*AC7/12</f>
        <v>0.13841315661175221</v>
      </c>
      <c r="AD125" s="62">
        <f>(Assumptions!$B$151+Assumptions!$B$152*IF(AD118+AD120=0,1,(AD118+AD120*Assumptions!$B$153)/(AD118+AD120)))*AD7/12</f>
        <v>0.14135282414886208</v>
      </c>
      <c r="AE125" s="62">
        <f>(Assumptions!$B$151+Assumptions!$B$152*IF(AE118+AE120=0,1,(AE118+AE120*Assumptions!$B$153)/(AE118+AE120)))*AE7/12</f>
        <v>0.14457242877286672</v>
      </c>
    </row>
    <row r="126" spans="1:31" x14ac:dyDescent="0.25">
      <c r="A126" s="6" t="s">
        <v>580</v>
      </c>
      <c r="B126" s="23" t="s">
        <v>579</v>
      </c>
      <c r="C126" s="62">
        <f>Assumptions!$B$152*IF(C118+C120=0,1,(C118+C120*Assumptions!$B$153)/(C118+C120))*C7/12</f>
        <v>5.0738065527063548E-3</v>
      </c>
      <c r="D126" s="62">
        <f>Assumptions!$B$152*IF(D118+D120=0,1,(D118+D120*Assumptions!$B$153)/(D118+D120))*D7/12</f>
        <v>5.1467721743678006E-3</v>
      </c>
      <c r="E126" s="62">
        <f>Assumptions!$B$152*IF(E118+E120=0,1,(E118+E120*Assumptions!$B$153)/(E118+E120))*E7/12</f>
        <v>5.2181717795526739E-3</v>
      </c>
      <c r="F126" s="62">
        <f>Assumptions!$B$152*IF(F118+F120=0,1,(F118+F120*Assumptions!$B$153)/(F118+F120))*F7/12</f>
        <v>5.2739588680859968E-3</v>
      </c>
      <c r="G126" s="62">
        <f>Assumptions!$B$152*IF(G118+G120=0,1,(G118+G120*Assumptions!$B$153)/(G118+G120))*G7/12</f>
        <v>5.3385559674180676E-3</v>
      </c>
      <c r="H126" s="62">
        <f>Assumptions!$B$152*IF(H118+H120=0,1,(H118+H120*Assumptions!$B$153)/(H118+H120))*H7/12</f>
        <v>5.4099462655253644E-3</v>
      </c>
      <c r="I126" s="62">
        <f>Assumptions!$B$152*IF(I118+I120=0,1,(I118+I120*Assumptions!$B$153)/(I118+I120))*I7/12</f>
        <v>5.4784260625335866E-3</v>
      </c>
      <c r="J126" s="62">
        <f>Assumptions!$B$152*IF(J118+J120=0,1,(J118+J120*Assumptions!$B$153)/(J118+J120))*J7/12</f>
        <v>5.5427889927577708E-3</v>
      </c>
      <c r="K126" s="62">
        <f>Assumptions!$B$152*IF(K118+K120=0,1,(K118+K120*Assumptions!$B$153)/(K118+K120))*K7/12</f>
        <v>5.5988837246447321E-3</v>
      </c>
      <c r="L126" s="62">
        <f>Assumptions!$B$152*IF(L118+L120=0,1,(L118+L120*Assumptions!$B$153)/(L118+L120))*L7/12</f>
        <v>5.6345773182185852E-3</v>
      </c>
      <c r="M126" s="62">
        <f>Assumptions!$B$152*IF(M118+M120=0,1,(M118+M120*Assumptions!$B$153)/(M118+M120))*M7/12</f>
        <v>5.6793579381053394E-3</v>
      </c>
      <c r="N126" s="62">
        <f>Assumptions!$B$152*IF(N118+N120=0,1,(N118+N120*Assumptions!$B$153)/(N118+N120))*N7/12</f>
        <v>5.7321943304901304E-3</v>
      </c>
      <c r="O126" s="62">
        <f>Assumptions!$B$152*IF(O118+O120=0,1,(O118+O120*Assumptions!$B$153)/(O118+O120))*O7/12</f>
        <v>5.7256846191522841E-3</v>
      </c>
      <c r="P126" s="62">
        <f>Assumptions!$B$152*IF(P118+P120=0,1,(P118+P120*Assumptions!$B$153)/(P118+P120))*P7/12</f>
        <v>5.7383501661283478E-3</v>
      </c>
      <c r="Q126" s="62">
        <f>Assumptions!$B$152*IF(Q118+Q120=0,1,(Q118+Q120*Assumptions!$B$153)/(Q118+Q120))*Q7/12</f>
        <v>5.7620917441322051E-3</v>
      </c>
      <c r="R126" s="62">
        <f>Assumptions!$B$152*IF(R118+R120=0,1,(R118+R120*Assumptions!$B$153)/(R118+R120))*R7/12</f>
        <v>5.7721904017063314E-3</v>
      </c>
      <c r="S126" s="62">
        <f>Assumptions!$B$152*IF(S118+S120=0,1,(S118+S120*Assumptions!$B$153)/(S118+S120))*S7/12</f>
        <v>5.7977409267358357E-3</v>
      </c>
      <c r="T126" s="62">
        <f>Assumptions!$B$152*IF(T118+T120=0,1,(T118+T120*Assumptions!$B$153)/(T118+T120))*T7/12</f>
        <v>5.8374040350048367E-3</v>
      </c>
      <c r="U126" s="62">
        <f>Assumptions!$B$152*IF(U118+U120=0,1,(U118+U120*Assumptions!$B$153)/(U118+U120))*U7/12</f>
        <v>5.8787369717455094E-3</v>
      </c>
      <c r="V126" s="62">
        <f>Assumptions!$B$152*IF(V118+V120=0,1,(V118+V120*Assumptions!$B$153)/(V118+V120))*V7/12</f>
        <v>5.9191399882281932E-3</v>
      </c>
      <c r="W126" s="62">
        <f>Assumptions!$B$152*IF(W118+W120=0,1,(W118+W120*Assumptions!$B$153)/(W118+W120))*W7/12</f>
        <v>5.9532017707981831E-3</v>
      </c>
      <c r="X126" s="62">
        <f>Assumptions!$B$152*IF(X118+X120=0,1,(X118+X120*Assumptions!$B$153)/(X118+X120))*X7/12</f>
        <v>5.9666959288180036E-3</v>
      </c>
      <c r="Y126" s="62">
        <f>Assumptions!$B$152*IF(Y118+Y120=0,1,(Y118+Y120*Assumptions!$B$153)/(Y118+Y120))*Y7/12</f>
        <v>5.990116999351351E-3</v>
      </c>
      <c r="Z126" s="62">
        <f>Assumptions!$B$152*IF(Z118+Z120=0,1,(Z118+Z120*Assumptions!$B$153)/(Z118+Z120))*Z7/12</f>
        <v>6.02345471439375E-3</v>
      </c>
      <c r="AA126" s="62">
        <f>Assumptions!$B$152*IF(AA118+AA120=0,1,(AA118+AA120*Assumptions!$B$153)/(AA118+AA120))*AA7/12</f>
        <v>7.5799832651345267E-2</v>
      </c>
      <c r="AB126" s="62">
        <f>Assumptions!$B$152*IF(AB118+AB120=0,1,(AB118+AB120*Assumptions!$B$153)/(AB118+AB120))*AB7/12</f>
        <v>7.6627110560275838E-2</v>
      </c>
      <c r="AC126" s="62">
        <f>Assumptions!$B$152*IF(AC118+AC120=0,1,(AC118+AC120*Assumptions!$B$153)/(AC118+AC120))*AC7/12</f>
        <v>7.8413156611752216E-2</v>
      </c>
      <c r="AD126" s="62">
        <f>Assumptions!$B$152*IF(AD118+AD120=0,1,(AD118+AD120*Assumptions!$B$153)/(AD118+AD120))*AD7/12</f>
        <v>8.135282414886208E-2</v>
      </c>
      <c r="AE126" s="62">
        <f>Assumptions!$B$152*IF(AE118+AE120=0,1,(AE118+AE120*Assumptions!$B$153)/(AE118+AE120))*AE7/12</f>
        <v>8.4572428772866706E-2</v>
      </c>
    </row>
    <row r="127" spans="1:31" x14ac:dyDescent="0.25">
      <c r="A127" s="6" t="s">
        <v>581</v>
      </c>
      <c r="B127" s="23" t="s">
        <v>47</v>
      </c>
      <c r="C127" s="50">
        <f>C124</f>
        <v>41.050510122356378</v>
      </c>
      <c r="D127" s="50">
        <f t="shared" ref="D127:AE127" si="32">C127*(1-D125)+D124</f>
        <v>118.64661685816107</v>
      </c>
      <c r="E127" s="50">
        <f t="shared" si="32"/>
        <v>228.93386397911814</v>
      </c>
      <c r="F127" s="50">
        <f t="shared" si="32"/>
        <v>379.19397311445096</v>
      </c>
      <c r="G127" s="50">
        <f t="shared" si="32"/>
        <v>562.47442512125497</v>
      </c>
      <c r="H127" s="50">
        <f t="shared" si="32"/>
        <v>770.2077542156278</v>
      </c>
      <c r="I127" s="50">
        <f t="shared" si="32"/>
        <v>999.57475506925221</v>
      </c>
      <c r="J127" s="50">
        <f t="shared" si="32"/>
        <v>1249.1187328651918</v>
      </c>
      <c r="K127" s="50">
        <f t="shared" si="32"/>
        <v>1520.6739319597068</v>
      </c>
      <c r="L127" s="50">
        <f t="shared" si="32"/>
        <v>1825.5876801761265</v>
      </c>
      <c r="M127" s="50">
        <f t="shared" si="32"/>
        <v>2157.604331283359</v>
      </c>
      <c r="N127" s="50">
        <f t="shared" si="32"/>
        <v>2509.2337811307343</v>
      </c>
      <c r="O127" s="50">
        <f t="shared" si="32"/>
        <v>2892.2756479772574</v>
      </c>
      <c r="P127" s="50">
        <f t="shared" si="32"/>
        <v>3328.9253825830515</v>
      </c>
      <c r="Q127" s="50">
        <f t="shared" si="32"/>
        <v>3813.839287014333</v>
      </c>
      <c r="R127" s="50">
        <f t="shared" si="32"/>
        <v>4364.3798477031696</v>
      </c>
      <c r="S127" s="50">
        <f t="shared" si="32"/>
        <v>4968.9186005174379</v>
      </c>
      <c r="T127" s="50">
        <f t="shared" si="32"/>
        <v>5611.4505447839529</v>
      </c>
      <c r="U127" s="50">
        <f t="shared" si="32"/>
        <v>6287.5910529707407</v>
      </c>
      <c r="V127" s="50">
        <f t="shared" si="32"/>
        <v>6995.708205165799</v>
      </c>
      <c r="W127" s="50">
        <f t="shared" si="32"/>
        <v>7741.4099975060626</v>
      </c>
      <c r="X127" s="50">
        <f t="shared" si="32"/>
        <v>8552.0798097246807</v>
      </c>
      <c r="Y127" s="50">
        <f t="shared" si="32"/>
        <v>9416.1832680120951</v>
      </c>
      <c r="Z127" s="50">
        <f t="shared" si="32"/>
        <v>10318.420612944898</v>
      </c>
      <c r="AA127" s="50">
        <f t="shared" si="32"/>
        <v>28900.993172379156</v>
      </c>
      <c r="AB127" s="50">
        <f t="shared" si="32"/>
        <v>62679.644370740243</v>
      </c>
      <c r="AC127" s="50">
        <f t="shared" si="32"/>
        <v>109790.16296006537</v>
      </c>
      <c r="AD127" s="50">
        <f t="shared" si="32"/>
        <v>154992.19507717877</v>
      </c>
      <c r="AE127" s="50">
        <f t="shared" si="32"/>
        <v>186084.80340115057</v>
      </c>
    </row>
    <row r="128" spans="1:31" x14ac:dyDescent="0.25">
      <c r="A128" s="6" t="s">
        <v>582</v>
      </c>
      <c r="B128" s="23" t="s">
        <v>47</v>
      </c>
      <c r="C128" s="50">
        <f>C124</f>
        <v>41.050510122356378</v>
      </c>
      <c r="D128" s="50">
        <f t="shared" ref="D128:AE128" si="33">C128*(1-D126)+D124</f>
        <v>118.85186940877284</v>
      </c>
      <c r="E128" s="50">
        <f t="shared" si="33"/>
        <v>229.73127857095344</v>
      </c>
      <c r="F128" s="50">
        <f t="shared" si="33"/>
        <v>381.13185149442364</v>
      </c>
      <c r="G128" s="50">
        <f t="shared" si="33"/>
        <v>566.29792789461044</v>
      </c>
      <c r="H128" s="50">
        <f t="shared" si="33"/>
        <v>776.82294417003959</v>
      </c>
      <c r="I128" s="50">
        <f t="shared" si="33"/>
        <v>1010.0047429656872</v>
      </c>
      <c r="J128" s="50">
        <f t="shared" si="33"/>
        <v>1264.4887833148659</v>
      </c>
      <c r="K128" s="50">
        <f t="shared" si="33"/>
        <v>1542.203520948397</v>
      </c>
      <c r="L128" s="50">
        <f t="shared" si="33"/>
        <v>1854.5993286908292</v>
      </c>
      <c r="M128" s="50">
        <f t="shared" si="33"/>
        <v>2195.5791506626529</v>
      </c>
      <c r="N128" s="50">
        <f t="shared" si="33"/>
        <v>2557.7789431220972</v>
      </c>
      <c r="O128" s="50">
        <f t="shared" si="33"/>
        <v>2953.0890245869259</v>
      </c>
      <c r="P128" s="50">
        <f t="shared" si="33"/>
        <v>3403.8511689828356</v>
      </c>
      <c r="Q128" s="50">
        <f t="shared" si="33"/>
        <v>3904.9779710717958</v>
      </c>
      <c r="R128" s="50">
        <f t="shared" si="33"/>
        <v>4474.0616583583633</v>
      </c>
      <c r="S128" s="50">
        <f t="shared" si="33"/>
        <v>5099.7864036885931</v>
      </c>
      <c r="T128" s="50">
        <f t="shared" si="33"/>
        <v>5766.399012715412</v>
      </c>
      <c r="U128" s="50">
        <f t="shared" si="33"/>
        <v>6469.6858723389751</v>
      </c>
      <c r="V128" s="50">
        <f t="shared" si="33"/>
        <v>7208.1631350719144</v>
      </c>
      <c r="W128" s="50">
        <f t="shared" si="33"/>
        <v>7987.5786813730756</v>
      </c>
      <c r="X128" s="50">
        <f t="shared" si="33"/>
        <v>8835.4867298953923</v>
      </c>
      <c r="Y128" s="50">
        <f t="shared" si="33"/>
        <v>9740.6529466211814</v>
      </c>
      <c r="Z128" s="50">
        <f t="shared" si="33"/>
        <v>10688.016779478747</v>
      </c>
      <c r="AA128" s="50">
        <f t="shared" si="33"/>
        <v>29861.679248117856</v>
      </c>
      <c r="AB128" s="50">
        <f t="shared" si="33"/>
        <v>65300.775438682351</v>
      </c>
      <c r="AC128" s="50">
        <f t="shared" si="33"/>
        <v>115966.54152932142</v>
      </c>
      <c r="AD128" s="50">
        <f t="shared" si="33"/>
        <v>167253.51758441722</v>
      </c>
      <c r="AE128" s="50">
        <f t="shared" si="33"/>
        <v>206608.68778861515</v>
      </c>
    </row>
    <row r="129" spans="1:31" x14ac:dyDescent="0.25">
      <c r="A129" s="6" t="s">
        <v>583</v>
      </c>
      <c r="B129" s="23" t="s">
        <v>114</v>
      </c>
      <c r="C129" s="63">
        <f t="shared" ref="C129:AE129" si="34">C127*C20</f>
        <v>5807.0051619085334</v>
      </c>
      <c r="D129" s="63">
        <f t="shared" si="34"/>
        <v>16783.750420755467</v>
      </c>
      <c r="E129" s="63">
        <f t="shared" si="34"/>
        <v>32384.984398486053</v>
      </c>
      <c r="F129" s="63">
        <f t="shared" si="34"/>
        <v>53640.779436770237</v>
      </c>
      <c r="G129" s="63">
        <f t="shared" si="34"/>
        <v>79567.632177652733</v>
      </c>
      <c r="H129" s="63">
        <f t="shared" si="34"/>
        <v>108953.58891134271</v>
      </c>
      <c r="I129" s="63">
        <f t="shared" si="34"/>
        <v>141399.84485209643</v>
      </c>
      <c r="J129" s="63">
        <f t="shared" si="34"/>
        <v>176700.33595111003</v>
      </c>
      <c r="K129" s="63">
        <f t="shared" si="34"/>
        <v>215114.53441502014</v>
      </c>
      <c r="L129" s="63">
        <f t="shared" si="34"/>
        <v>258247.63323771488</v>
      </c>
      <c r="M129" s="63">
        <f t="shared" si="34"/>
        <v>305214.70870334399</v>
      </c>
      <c r="N129" s="63">
        <f t="shared" si="34"/>
        <v>354956.21067875368</v>
      </c>
      <c r="O129" s="63">
        <f t="shared" si="34"/>
        <v>442281.75952905475</v>
      </c>
      <c r="P129" s="63">
        <f t="shared" si="34"/>
        <v>509053.47717443458</v>
      </c>
      <c r="Q129" s="63">
        <f t="shared" si="34"/>
        <v>583205.66768987244</v>
      </c>
      <c r="R129" s="63">
        <f t="shared" si="34"/>
        <v>667393.37228983373</v>
      </c>
      <c r="S129" s="63">
        <f t="shared" si="34"/>
        <v>759838.38647276175</v>
      </c>
      <c r="T129" s="63">
        <f t="shared" si="34"/>
        <v>858093.25338441413</v>
      </c>
      <c r="U129" s="63">
        <f t="shared" si="34"/>
        <v>961487.48341185355</v>
      </c>
      <c r="V129" s="63">
        <f t="shared" si="34"/>
        <v>1069771.526201677</v>
      </c>
      <c r="W129" s="63">
        <f t="shared" si="34"/>
        <v>1183802.9467652314</v>
      </c>
      <c r="X129" s="63">
        <f t="shared" si="34"/>
        <v>1307769.1638842293</v>
      </c>
      <c r="Y129" s="63">
        <f t="shared" si="34"/>
        <v>1439906.3611855232</v>
      </c>
      <c r="Z129" s="63">
        <f t="shared" si="34"/>
        <v>1577874.9260796672</v>
      </c>
      <c r="AA129" s="63">
        <f t="shared" si="34"/>
        <v>4777468.2448356608</v>
      </c>
      <c r="AB129" s="63">
        <f t="shared" si="34"/>
        <v>11200496.104232641</v>
      </c>
      <c r="AC129" s="63">
        <f t="shared" si="34"/>
        <v>21208007.058057267</v>
      </c>
      <c r="AD129" s="63">
        <f t="shared" si="34"/>
        <v>32364727.333280832</v>
      </c>
      <c r="AE129" s="63">
        <f t="shared" si="34"/>
        <v>42004781.063085847</v>
      </c>
    </row>
    <row r="130" spans="1:31" x14ac:dyDescent="0.25">
      <c r="A130" s="6" t="s">
        <v>584</v>
      </c>
      <c r="B130" s="23" t="s">
        <v>190</v>
      </c>
      <c r="C130" s="60">
        <f>C118+C120*Assumptions!$B$228</f>
        <v>195.94</v>
      </c>
      <c r="D130" s="60">
        <f>D118+D120*Assumptions!$B$228</f>
        <v>381.88806507519996</v>
      </c>
      <c r="E130" s="60">
        <f>E118+E120*Assumptions!$B$228</f>
        <v>559.82279002036296</v>
      </c>
      <c r="F130" s="60">
        <f>F118+F120*Assumptions!$B$228</f>
        <v>781.92361830473465</v>
      </c>
      <c r="G130" s="60">
        <f>G118+G120*Assumptions!$B$228</f>
        <v>982.42153103090129</v>
      </c>
      <c r="H130" s="60">
        <f>H118+H120*Assumptions!$B$228</f>
        <v>1151.7997790006805</v>
      </c>
      <c r="I130" s="60">
        <f>I118+I120*Assumptions!$B$228</f>
        <v>1315.180324732223</v>
      </c>
      <c r="J130" s="60">
        <f>J118+J120*Assumptions!$B$228</f>
        <v>1478.345338847836</v>
      </c>
      <c r="K130" s="60">
        <f>K118+K120*Assumptions!$B$228</f>
        <v>1656.6315543195569</v>
      </c>
      <c r="L130" s="60">
        <f>L118+L120*Assumptions!$B$228</f>
        <v>1895.917689104177</v>
      </c>
      <c r="M130" s="60">
        <f>M118+M120*Assumptions!$B$228</f>
        <v>2115.6338552126635</v>
      </c>
      <c r="N130" s="60">
        <f>N118+N120*Assumptions!$B$228</f>
        <v>2308.2575568319407</v>
      </c>
      <c r="O130" s="60">
        <f>O118+O120*Assumptions!$B$228</f>
        <v>2721.566157916559</v>
      </c>
      <c r="P130" s="60">
        <f>P118+P120*Assumptions!$B$228</f>
        <v>3122.3580924635567</v>
      </c>
      <c r="Q130" s="60">
        <f>Q118+Q120*Assumptions!$B$228</f>
        <v>3513.2739901682371</v>
      </c>
      <c r="R130" s="60">
        <f>R118+R120*Assumptions!$B$228</f>
        <v>4009.59916407745</v>
      </c>
      <c r="S130" s="60">
        <f>S118+S120*Assumptions!$B$228</f>
        <v>4467.7485764182138</v>
      </c>
      <c r="T130" s="60">
        <f>T118+T120*Assumptions!$B$228</f>
        <v>4861.8941338631066</v>
      </c>
      <c r="U130" s="60">
        <f>U118+U120*Assumptions!$B$228</f>
        <v>5247.0575862051301</v>
      </c>
      <c r="V130" s="60">
        <f>V118+V120*Assumptions!$B$228</f>
        <v>5636.1702654187957</v>
      </c>
      <c r="W130" s="60">
        <f>W118+W120*Assumptions!$B$228</f>
        <v>6066.0068110109223</v>
      </c>
      <c r="X130" s="60">
        <f>X118+X120*Assumptions!$B$228</f>
        <v>6650.1167229300736</v>
      </c>
      <c r="Y130" s="60">
        <f>Y118+Y120*Assumptions!$B$228</f>
        <v>7197.3003441353176</v>
      </c>
      <c r="Z130" s="60">
        <f>Z118+Z120*Assumptions!$B$228</f>
        <v>7684.9335776028056</v>
      </c>
      <c r="AA130" s="60">
        <f>AA118+AA120*Assumptions!$B$228</f>
        <v>16146.646687402035</v>
      </c>
      <c r="AB130" s="60">
        <f>AB118+AB120*Assumptions!$B$228</f>
        <v>34359.44228104005</v>
      </c>
      <c r="AC130" s="60">
        <f>AC118+AC120*Assumptions!$B$228</f>
        <v>60499.151653625508</v>
      </c>
      <c r="AD130" s="60">
        <f>AD118+AD120*Assumptions!$B$228</f>
        <v>85471.705090872769</v>
      </c>
      <c r="AE130" s="60">
        <f>AE118+AE120*Assumptions!$B$228</f>
        <v>104342.98657018556</v>
      </c>
    </row>
    <row r="131" spans="1:31" x14ac:dyDescent="0.25">
      <c r="A131" s="6" t="s">
        <v>585</v>
      </c>
      <c r="B131" s="23" t="s">
        <v>190</v>
      </c>
      <c r="C131" s="64">
        <f>IF(C7&gt;1,C130*Assumptions!$B$149,IF(C2&gt;Assumptions!$B$150,INDEX($C$130:$AE$130,1,C2-Assumptions!$B$150)*Assumptions!$B$149,0))</f>
        <v>0</v>
      </c>
      <c r="D131" s="64">
        <f>IF(D7&gt;1,D130*Assumptions!$B$149,IF(D2&gt;Assumptions!$B$150,INDEX($C$130:$AE$130,1,D2-Assumptions!$B$150)*Assumptions!$B$149,0))</f>
        <v>0</v>
      </c>
      <c r="E131" s="64">
        <f>IF(E7&gt;1,E130*Assumptions!$B$149,IF(E2&gt;Assumptions!$B$150,INDEX($C$130:$AE$130,1,E2-Assumptions!$B$150)*Assumptions!$B$149,0))</f>
        <v>0</v>
      </c>
      <c r="F131" s="64">
        <f>IF(F7&gt;1,F130*Assumptions!$B$149,IF(F2&gt;Assumptions!$B$150,INDEX($C$130:$AE$130,1,F2-Assumptions!$B$150)*Assumptions!$B$149,0))</f>
        <v>0</v>
      </c>
      <c r="G131" s="64">
        <f>IF(G7&gt;1,G130*Assumptions!$B$149,IF(G2&gt;Assumptions!$B$150,INDEX($C$130:$AE$130,1,G2-Assumptions!$B$150)*Assumptions!$B$149,0))</f>
        <v>0</v>
      </c>
      <c r="H131" s="64">
        <f>IF(H7&gt;1,H130*Assumptions!$B$149,IF(H2&gt;Assumptions!$B$150,INDEX($C$130:$AE$130,1,H2-Assumptions!$B$150)*Assumptions!$B$149,0))</f>
        <v>0</v>
      </c>
      <c r="I131" s="64">
        <f>IF(I7&gt;1,I130*Assumptions!$B$149,IF(I2&gt;Assumptions!$B$150,INDEX($C$130:$AE$130,1,I2-Assumptions!$B$150)*Assumptions!$B$149,0))</f>
        <v>0</v>
      </c>
      <c r="J131" s="64">
        <f>IF(J7&gt;1,J130*Assumptions!$B$149,IF(J2&gt;Assumptions!$B$150,INDEX($C$130:$AE$130,1,J2-Assumptions!$B$150)*Assumptions!$B$149,0))</f>
        <v>0</v>
      </c>
      <c r="K131" s="64">
        <f>IF(K7&gt;1,K130*Assumptions!$B$149,IF(K2&gt;Assumptions!$B$150,INDEX($C$130:$AE$130,1,K2-Assumptions!$B$150)*Assumptions!$B$149,0))</f>
        <v>107.76700000000001</v>
      </c>
      <c r="L131" s="64">
        <f>IF(L7&gt;1,L130*Assumptions!$B$149,IF(L2&gt;Assumptions!$B$150,INDEX($C$130:$AE$130,1,L2-Assumptions!$B$150)*Assumptions!$B$149,0))</f>
        <v>210.03843579136</v>
      </c>
      <c r="M131" s="64">
        <f>IF(M7&gt;1,M130*Assumptions!$B$149,IF(M2&gt;Assumptions!$B$150,INDEX($C$130:$AE$130,1,M2-Assumptions!$B$150)*Assumptions!$B$149,0))</f>
        <v>307.90253451119963</v>
      </c>
      <c r="N131" s="64">
        <f>IF(N7&gt;1,N130*Assumptions!$B$149,IF(N2&gt;Assumptions!$B$150,INDEX($C$130:$AE$130,1,N2-Assumptions!$B$150)*Assumptions!$B$149,0))</f>
        <v>430.05799006760407</v>
      </c>
      <c r="O131" s="64">
        <f>IF(O7&gt;1,O130*Assumptions!$B$149,IF(O2&gt;Assumptions!$B$150,INDEX($C$130:$AE$130,1,O2-Assumptions!$B$150)*Assumptions!$B$149,0))</f>
        <v>540.3318420669957</v>
      </c>
      <c r="P131" s="64">
        <f>IF(P7&gt;1,P130*Assumptions!$B$149,IF(P2&gt;Assumptions!$B$150,INDEX($C$130:$AE$130,1,P2-Assumptions!$B$150)*Assumptions!$B$149,0))</f>
        <v>633.48987845037436</v>
      </c>
      <c r="Q131" s="64">
        <f>IF(Q7&gt;1,Q130*Assumptions!$B$149,IF(Q2&gt;Assumptions!$B$150,INDEX($C$130:$AE$130,1,Q2-Assumptions!$B$150)*Assumptions!$B$149,0))</f>
        <v>723.34917860272265</v>
      </c>
      <c r="R131" s="64">
        <f>IF(R7&gt;1,R130*Assumptions!$B$149,IF(R2&gt;Assumptions!$B$150,INDEX($C$130:$AE$130,1,R2-Assumptions!$B$150)*Assumptions!$B$149,0))</f>
        <v>813.08993636630987</v>
      </c>
      <c r="S131" s="64">
        <f>IF(S7&gt;1,S130*Assumptions!$B$149,IF(S2&gt;Assumptions!$B$150,INDEX($C$130:$AE$130,1,S2-Assumptions!$B$150)*Assumptions!$B$149,0))</f>
        <v>911.14735487575638</v>
      </c>
      <c r="T131" s="64">
        <f>IF(T7&gt;1,T130*Assumptions!$B$149,IF(T2&gt;Assumptions!$B$150,INDEX($C$130:$AE$130,1,T2-Assumptions!$B$150)*Assumptions!$B$149,0))</f>
        <v>1042.7547290072976</v>
      </c>
      <c r="U131" s="64">
        <f>IF(U7&gt;1,U130*Assumptions!$B$149,IF(U2&gt;Assumptions!$B$150,INDEX($C$130:$AE$130,1,U2-Assumptions!$B$150)*Assumptions!$B$149,0))</f>
        <v>1163.598620366965</v>
      </c>
      <c r="V131" s="64">
        <f>IF(V7&gt;1,V130*Assumptions!$B$149,IF(V2&gt;Assumptions!$B$150,INDEX($C$130:$AE$130,1,V2-Assumptions!$B$150)*Assumptions!$B$149,0))</f>
        <v>1269.5416562575674</v>
      </c>
      <c r="W131" s="64">
        <f>IF(W7&gt;1,W130*Assumptions!$B$149,IF(W2&gt;Assumptions!$B$150,INDEX($C$130:$AE$130,1,W2-Assumptions!$B$150)*Assumptions!$B$149,0))</f>
        <v>1496.8613868541076</v>
      </c>
      <c r="X131" s="64">
        <f>IF(X7&gt;1,X130*Assumptions!$B$149,IF(X2&gt;Assumptions!$B$150,INDEX($C$130:$AE$130,1,X2-Assumptions!$B$150)*Assumptions!$B$149,0))</f>
        <v>1717.2969508549563</v>
      </c>
      <c r="Y131" s="64">
        <f>IF(Y7&gt;1,Y130*Assumptions!$B$149,IF(Y2&gt;Assumptions!$B$150,INDEX($C$130:$AE$130,1,Y2-Assumptions!$B$150)*Assumptions!$B$149,0))</f>
        <v>1932.3006945925306</v>
      </c>
      <c r="Z131" s="64">
        <f>IF(Z7&gt;1,Z130*Assumptions!$B$149,IF(Z2&gt;Assumptions!$B$150,INDEX($C$130:$AE$130,1,Z2-Assumptions!$B$150)*Assumptions!$B$149,0))</f>
        <v>2205.2795402425977</v>
      </c>
      <c r="AA131" s="64">
        <f>IF(AA7&gt;1,AA130*Assumptions!$B$149,IF(AA2&gt;Assumptions!$B$150,INDEX($C$130:$AE$130,1,AA2-Assumptions!$B$150)*Assumptions!$B$149,0))</f>
        <v>8880.6556780711198</v>
      </c>
      <c r="AB131" s="64">
        <f>IF(AB7&gt;1,AB130*Assumptions!$B$149,IF(AB2&gt;Assumptions!$B$150,INDEX($C$130:$AE$130,1,AB2-Assumptions!$B$150)*Assumptions!$B$149,0))</f>
        <v>18897.69325457203</v>
      </c>
      <c r="AC131" s="64">
        <f>IF(AC7&gt;1,AC130*Assumptions!$B$149,IF(AC2&gt;Assumptions!$B$150,INDEX($C$130:$AE$130,1,AC2-Assumptions!$B$150)*Assumptions!$B$149,0))</f>
        <v>33274.533409494034</v>
      </c>
      <c r="AD131" s="64">
        <f>IF(AD7&gt;1,AD130*Assumptions!$B$149,IF(AD2&gt;Assumptions!$B$150,INDEX($C$130:$AE$130,1,AD2-Assumptions!$B$150)*Assumptions!$B$149,0))</f>
        <v>47009.437799980027</v>
      </c>
      <c r="AE131" s="64">
        <f>IF(AE7&gt;1,AE130*Assumptions!$B$149,IF(AE2&gt;Assumptions!$B$150,INDEX($C$130:$AE$130,1,AE2-Assumptions!$B$150)*Assumptions!$B$149,0))</f>
        <v>57388.64261360206</v>
      </c>
    </row>
    <row r="132" spans="1:31" x14ac:dyDescent="0.25">
      <c r="A132" s="6" t="s">
        <v>586</v>
      </c>
      <c r="B132" s="23" t="s">
        <v>587</v>
      </c>
      <c r="C132" s="28">
        <f>IF(C2&gt;=Assumptions!$B$51,C130*Assumptions!$B$158,0)</f>
        <v>0</v>
      </c>
      <c r="D132" s="28">
        <f>IF(D2&gt;=Assumptions!$B$51,D130*Assumptions!$B$158,0)</f>
        <v>0</v>
      </c>
      <c r="E132" s="28">
        <f>IF(E2&gt;=Assumptions!$B$51,E130*Assumptions!$B$158,0)</f>
        <v>0</v>
      </c>
      <c r="F132" s="28">
        <f>IF(F2&gt;=Assumptions!$B$51,F130*Assumptions!$B$158,0)</f>
        <v>0</v>
      </c>
      <c r="G132" s="28">
        <f>IF(G2&gt;=Assumptions!$B$51,G130*Assumptions!$B$158,0)</f>
        <v>0</v>
      </c>
      <c r="H132" s="28">
        <f>IF(H2&gt;=Assumptions!$B$51,H130*Assumptions!$B$158,0)</f>
        <v>0</v>
      </c>
      <c r="I132" s="28">
        <f>IF(I2&gt;=Assumptions!$B$51,I130*Assumptions!$B$158,0)</f>
        <v>0</v>
      </c>
      <c r="J132" s="28">
        <f>IF(J2&gt;=Assumptions!$B$51,J130*Assumptions!$B$158,0)</f>
        <v>0</v>
      </c>
      <c r="K132" s="28">
        <f>IF(K2&gt;=Assumptions!$B$51,K130*Assumptions!$B$158,0)</f>
        <v>0</v>
      </c>
      <c r="L132" s="28">
        <f>IF(L2&gt;=Assumptions!$B$51,L130*Assumptions!$B$158,0)</f>
        <v>0</v>
      </c>
      <c r="M132" s="28">
        <f>IF(M2&gt;=Assumptions!$B$51,M130*Assumptions!$B$158,0)</f>
        <v>0</v>
      </c>
      <c r="N132" s="28">
        <f>IF(N2&gt;=Assumptions!$B$51,N130*Assumptions!$B$158,0)</f>
        <v>0</v>
      </c>
      <c r="O132" s="28">
        <f>IF(O2&gt;=Assumptions!$B$51,O130*Assumptions!$B$158,0)</f>
        <v>489.88190842498057</v>
      </c>
      <c r="P132" s="28">
        <f>IF(P2&gt;=Assumptions!$B$51,P130*Assumptions!$B$158,0)</f>
        <v>562.0244566434402</v>
      </c>
      <c r="Q132" s="28">
        <f>IF(Q2&gt;=Assumptions!$B$51,Q130*Assumptions!$B$158,0)</f>
        <v>632.3893182302827</v>
      </c>
      <c r="R132" s="28">
        <f>IF(R2&gt;=Assumptions!$B$51,R130*Assumptions!$B$158,0)</f>
        <v>721.72784953394103</v>
      </c>
      <c r="S132" s="28">
        <f>IF(S2&gt;=Assumptions!$B$51,S130*Assumptions!$B$158,0)</f>
        <v>804.19474375527841</v>
      </c>
      <c r="T132" s="28">
        <f>IF(T2&gt;=Assumptions!$B$51,T130*Assumptions!$B$158,0)</f>
        <v>875.14094409535915</v>
      </c>
      <c r="U132" s="28">
        <f>IF(U2&gt;=Assumptions!$B$51,U130*Assumptions!$B$158,0)</f>
        <v>944.47036551692338</v>
      </c>
      <c r="V132" s="28">
        <f>IF(V2&gt;=Assumptions!$B$51,V130*Assumptions!$B$158,0)</f>
        <v>1014.5106477753832</v>
      </c>
      <c r="W132" s="28">
        <f>IF(W2&gt;=Assumptions!$B$51,W130*Assumptions!$B$158,0)</f>
        <v>1091.8812259819661</v>
      </c>
      <c r="X132" s="28">
        <f>IF(X2&gt;=Assumptions!$B$51,X130*Assumptions!$B$158,0)</f>
        <v>1197.0210101274131</v>
      </c>
      <c r="Y132" s="28">
        <f>IF(Y2&gt;=Assumptions!$B$51,Y130*Assumptions!$B$158,0)</f>
        <v>1295.5140619443571</v>
      </c>
      <c r="Z132" s="28">
        <f>IF(Z2&gt;=Assumptions!$B$51,Z130*Assumptions!$B$158,0)</f>
        <v>1383.288043968505</v>
      </c>
      <c r="AA132" s="28">
        <f>IF(AA2&gt;=Assumptions!$B$51,AA130*Assumptions!$B$158,0)</f>
        <v>2906.3964037323663</v>
      </c>
      <c r="AB132" s="28">
        <f>IF(AB2&gt;=Assumptions!$B$51,AB130*Assumptions!$B$158,0)</f>
        <v>6184.6996105872086</v>
      </c>
      <c r="AC132" s="28">
        <f>IF(AC2&gt;=Assumptions!$B$51,AC130*Assumptions!$B$158,0)</f>
        <v>10889.847297652592</v>
      </c>
      <c r="AD132" s="28">
        <f>IF(AD2&gt;=Assumptions!$B$51,AD130*Assumptions!$B$158,0)</f>
        <v>15384.906916357098</v>
      </c>
      <c r="AE132" s="28">
        <f>IF(AE2&gt;=Assumptions!$B$51,AE130*Assumptions!$B$158,0)</f>
        <v>18781.737582633399</v>
      </c>
    </row>
    <row r="133" spans="1:31" x14ac:dyDescent="0.25">
      <c r="A133" s="6" t="s">
        <v>588</v>
      </c>
      <c r="B133" s="23" t="s">
        <v>587</v>
      </c>
      <c r="C133" s="28">
        <f t="shared" ref="C133:AE133" si="35">C132</f>
        <v>0</v>
      </c>
      <c r="D133" s="28">
        <f t="shared" si="35"/>
        <v>0</v>
      </c>
      <c r="E133" s="28">
        <f t="shared" si="35"/>
        <v>0</v>
      </c>
      <c r="F133" s="28">
        <f t="shared" si="35"/>
        <v>0</v>
      </c>
      <c r="G133" s="28">
        <f t="shared" si="35"/>
        <v>0</v>
      </c>
      <c r="H133" s="28">
        <f t="shared" si="35"/>
        <v>0</v>
      </c>
      <c r="I133" s="28">
        <f t="shared" si="35"/>
        <v>0</v>
      </c>
      <c r="J133" s="28">
        <f t="shared" si="35"/>
        <v>0</v>
      </c>
      <c r="K133" s="28">
        <f t="shared" si="35"/>
        <v>0</v>
      </c>
      <c r="L133" s="28">
        <f t="shared" si="35"/>
        <v>0</v>
      </c>
      <c r="M133" s="28">
        <f t="shared" si="35"/>
        <v>0</v>
      </c>
      <c r="N133" s="28">
        <f t="shared" si="35"/>
        <v>0</v>
      </c>
      <c r="O133" s="28">
        <f t="shared" si="35"/>
        <v>489.88190842498057</v>
      </c>
      <c r="P133" s="28">
        <f t="shared" si="35"/>
        <v>562.0244566434402</v>
      </c>
      <c r="Q133" s="28">
        <f t="shared" si="35"/>
        <v>632.3893182302827</v>
      </c>
      <c r="R133" s="28">
        <f t="shared" si="35"/>
        <v>721.72784953394103</v>
      </c>
      <c r="S133" s="28">
        <f t="shared" si="35"/>
        <v>804.19474375527841</v>
      </c>
      <c r="T133" s="28">
        <f t="shared" si="35"/>
        <v>875.14094409535915</v>
      </c>
      <c r="U133" s="28">
        <f t="shared" si="35"/>
        <v>944.47036551692338</v>
      </c>
      <c r="V133" s="28">
        <f t="shared" si="35"/>
        <v>1014.5106477753832</v>
      </c>
      <c r="W133" s="28">
        <f t="shared" si="35"/>
        <v>1091.8812259819661</v>
      </c>
      <c r="X133" s="28">
        <f t="shared" si="35"/>
        <v>1197.0210101274131</v>
      </c>
      <c r="Y133" s="28">
        <f t="shared" si="35"/>
        <v>1295.5140619443571</v>
      </c>
      <c r="Z133" s="28">
        <f t="shared" si="35"/>
        <v>1383.288043968505</v>
      </c>
      <c r="AA133" s="28">
        <f t="shared" si="35"/>
        <v>2906.3964037323663</v>
      </c>
      <c r="AB133" s="28">
        <f t="shared" si="35"/>
        <v>6184.6996105872086</v>
      </c>
      <c r="AC133" s="28">
        <f t="shared" si="35"/>
        <v>10889.847297652592</v>
      </c>
      <c r="AD133" s="28">
        <f t="shared" si="35"/>
        <v>15384.906916357098</v>
      </c>
      <c r="AE133" s="28">
        <f t="shared" si="35"/>
        <v>18781.737582633399</v>
      </c>
    </row>
    <row r="134" spans="1:31" x14ac:dyDescent="0.25">
      <c r="A134" s="6" t="s">
        <v>589</v>
      </c>
      <c r="B134" s="23" t="s">
        <v>587</v>
      </c>
      <c r="C134" s="60">
        <f>C132</f>
        <v>0</v>
      </c>
      <c r="D134" s="60">
        <f t="shared" ref="D134:AE134" si="36">MAX(0,D132-C132)</f>
        <v>0</v>
      </c>
      <c r="E134" s="60">
        <f t="shared" si="36"/>
        <v>0</v>
      </c>
      <c r="F134" s="60">
        <f t="shared" si="36"/>
        <v>0</v>
      </c>
      <c r="G134" s="60">
        <f t="shared" si="36"/>
        <v>0</v>
      </c>
      <c r="H134" s="60">
        <f t="shared" si="36"/>
        <v>0</v>
      </c>
      <c r="I134" s="60">
        <f t="shared" si="36"/>
        <v>0</v>
      </c>
      <c r="J134" s="60">
        <f t="shared" si="36"/>
        <v>0</v>
      </c>
      <c r="K134" s="60">
        <f t="shared" si="36"/>
        <v>0</v>
      </c>
      <c r="L134" s="60">
        <f t="shared" si="36"/>
        <v>0</v>
      </c>
      <c r="M134" s="60">
        <f t="shared" si="36"/>
        <v>0</v>
      </c>
      <c r="N134" s="60">
        <f t="shared" si="36"/>
        <v>0</v>
      </c>
      <c r="O134" s="60">
        <f t="shared" si="36"/>
        <v>489.88190842498057</v>
      </c>
      <c r="P134" s="60">
        <f t="shared" si="36"/>
        <v>72.142548218459638</v>
      </c>
      <c r="Q134" s="60">
        <f t="shared" si="36"/>
        <v>70.364861586842494</v>
      </c>
      <c r="R134" s="60">
        <f t="shared" si="36"/>
        <v>89.338531303658328</v>
      </c>
      <c r="S134" s="60">
        <f t="shared" si="36"/>
        <v>82.466894221337384</v>
      </c>
      <c r="T134" s="60">
        <f t="shared" si="36"/>
        <v>70.946200340080736</v>
      </c>
      <c r="U134" s="60">
        <f t="shared" si="36"/>
        <v>69.329421421564234</v>
      </c>
      <c r="V134" s="60">
        <f t="shared" si="36"/>
        <v>70.040282258459797</v>
      </c>
      <c r="W134" s="60">
        <f t="shared" si="36"/>
        <v>77.370578206582877</v>
      </c>
      <c r="X134" s="60">
        <f t="shared" si="36"/>
        <v>105.13978414544704</v>
      </c>
      <c r="Y134" s="60">
        <f t="shared" si="36"/>
        <v>98.493051816943989</v>
      </c>
      <c r="Z134" s="60">
        <f t="shared" si="36"/>
        <v>87.773982024147926</v>
      </c>
      <c r="AA134" s="60">
        <f t="shared" si="36"/>
        <v>1523.1083597638612</v>
      </c>
      <c r="AB134" s="60">
        <f t="shared" si="36"/>
        <v>3278.3032068548423</v>
      </c>
      <c r="AC134" s="60">
        <f t="shared" si="36"/>
        <v>4705.1476870653833</v>
      </c>
      <c r="AD134" s="60">
        <f t="shared" si="36"/>
        <v>4495.0596187045066</v>
      </c>
      <c r="AE134" s="60">
        <f t="shared" si="36"/>
        <v>3396.8306662763007</v>
      </c>
    </row>
    <row r="135" spans="1:31" x14ac:dyDescent="0.25">
      <c r="A135" s="6" t="s">
        <v>590</v>
      </c>
      <c r="B135" s="23" t="s">
        <v>114</v>
      </c>
      <c r="C135" s="61">
        <f>IF(C130=0,0,C129/C130*Assumptions!$B$31)</f>
        <v>14.818324900246335</v>
      </c>
      <c r="D135" s="61">
        <f>IF(D130=0,0,D129/D130*Assumptions!$B$31)</f>
        <v>21.974698813185579</v>
      </c>
      <c r="E135" s="61">
        <f>IF(E130=0,0,E129/E130*Assumptions!$B$31)</f>
        <v>28.924317637468889</v>
      </c>
      <c r="F135" s="61">
        <f>IF(F130=0,0,F129/F130*Assumptions!$B$31)</f>
        <v>34.300523849802119</v>
      </c>
      <c r="G135" s="61">
        <f>IF(G130=0,0,G129/G130*Assumptions!$B$31)</f>
        <v>40.495667930933202</v>
      </c>
      <c r="H135" s="61">
        <f>IF(H130=0,0,H129/H130*Assumptions!$B$31)</f>
        <v>47.29710445242165</v>
      </c>
      <c r="I135" s="61">
        <f>IF(I130=0,0,I129/I130*Assumptions!$B$31)</f>
        <v>53.756827939501804</v>
      </c>
      <c r="J135" s="61">
        <f>IF(J130=0,0,J129/J130*Assumptions!$B$31)</f>
        <v>59.762875191537887</v>
      </c>
      <c r="K135" s="61">
        <f>IF(K130=0,0,K129/K130*Assumptions!$B$31)</f>
        <v>64.925279810747071</v>
      </c>
      <c r="L135" s="61">
        <f>IF(L130=0,0,L129/L130*Assumptions!$B$31)</f>
        <v>68.106235497949584</v>
      </c>
      <c r="M135" s="61">
        <f>IF(M130=0,0,M129/M130*Assumptions!$B$31)</f>
        <v>72.133159514188193</v>
      </c>
      <c r="N135" s="61">
        <f>IF(N130=0,0,N129/N130*Assumptions!$B$31)</f>
        <v>76.88834584948296</v>
      </c>
      <c r="O135" s="61">
        <f>IF(O130=0,0,O129/O130*Assumptions!$B$31)</f>
        <v>81.25500793771532</v>
      </c>
      <c r="P135" s="61">
        <f>IF(P130=0,0,P129/P130*Assumptions!$B$31)</f>
        <v>81.517472067527777</v>
      </c>
      <c r="Q135" s="61">
        <f>IF(Q130=0,0,Q129/Q130*Assumptions!$B$31)</f>
        <v>83.000311009325088</v>
      </c>
      <c r="R135" s="61">
        <f>IF(R130=0,0,R129/R130*Assumptions!$B$31)</f>
        <v>83.22445024793285</v>
      </c>
      <c r="S135" s="61">
        <f>IF(S130=0,0,S129/S130*Assumptions!$B$31)</f>
        <v>85.035938513120499</v>
      </c>
      <c r="T135" s="61">
        <f>IF(T130=0,0,T129/T130*Assumptions!$B$31)</f>
        <v>88.246805643894234</v>
      </c>
      <c r="U135" s="61">
        <f>IF(U130=0,0,U129/U130*Assumptions!$B$31)</f>
        <v>91.621586728881084</v>
      </c>
      <c r="V135" s="61">
        <f>IF(V130=0,0,V129/V130*Assumptions!$B$31)</f>
        <v>94.902342887452463</v>
      </c>
      <c r="W135" s="61">
        <f>IF(W130=0,0,W129/W130*Assumptions!$B$31)</f>
        <v>97.576790106500582</v>
      </c>
      <c r="X135" s="61">
        <f>IF(X130=0,0,X129/X130*Assumptions!$B$31)</f>
        <v>98.326782699538825</v>
      </c>
      <c r="Y135" s="61">
        <f>IF(Y130=0,0,Y129/Y130*Assumptions!$B$31)</f>
        <v>100.03100414996739</v>
      </c>
      <c r="Z135" s="61">
        <f>IF(Z130=0,0,Z129/Z130*Assumptions!$B$31)</f>
        <v>102.66028392738956</v>
      </c>
      <c r="AA135" s="61">
        <f>IF(AA130=0,0,AA129/AA130*Assumptions!$B$31)</f>
        <v>147.93995116531363</v>
      </c>
      <c r="AB135" s="61">
        <f>IF(AB130=0,0,AB129/AB130*Assumptions!$B$31)</f>
        <v>162.99007435305793</v>
      </c>
      <c r="AC135" s="61">
        <f>IF(AC130=0,0,AC129/AC130*Assumptions!$B$31)</f>
        <v>175.27524335778304</v>
      </c>
      <c r="AD135" s="61">
        <f>IF(AD130=0,0,AD129/AD130*Assumptions!$B$31)</f>
        <v>189.33006717761705</v>
      </c>
      <c r="AE135" s="61">
        <f>IF(AE130=0,0,AE129/AE130*Assumptions!$B$31)</f>
        <v>201.28224446993201</v>
      </c>
    </row>
    <row r="136" spans="1:31" x14ac:dyDescent="0.25">
      <c r="A136" s="6" t="s">
        <v>591</v>
      </c>
      <c r="B136" s="23" t="s">
        <v>76</v>
      </c>
      <c r="C136" s="61">
        <f>C135*Assumptions!$B$171*Assumptions!$B$173</f>
        <v>15.559241145258651</v>
      </c>
      <c r="D136" s="61">
        <f>D135*Assumptions!$B$171*Assumptions!$B$173</f>
        <v>23.07343375384486</v>
      </c>
      <c r="E136" s="61">
        <f>E135*Assumptions!$B$171*Assumptions!$B$173</f>
        <v>30.370533519342334</v>
      </c>
      <c r="F136" s="61">
        <f>F135*Assumptions!$B$171*Assumptions!$B$173</f>
        <v>36.015550042292226</v>
      </c>
      <c r="G136" s="61">
        <f>G135*Assumptions!$B$171*Assumptions!$B$173</f>
        <v>42.520451327479861</v>
      </c>
      <c r="H136" s="61">
        <f>H135*Assumptions!$B$171*Assumptions!$B$173</f>
        <v>49.661959675042731</v>
      </c>
      <c r="I136" s="61">
        <f>I135*Assumptions!$B$171*Assumptions!$B$173</f>
        <v>56.444669336476899</v>
      </c>
      <c r="J136" s="61">
        <f>J135*Assumptions!$B$171*Assumptions!$B$173</f>
        <v>62.751018951114787</v>
      </c>
      <c r="K136" s="61">
        <f>K135*Assumptions!$B$171*Assumptions!$B$173</f>
        <v>68.171543801284429</v>
      </c>
      <c r="L136" s="61">
        <f>L135*Assumptions!$B$171*Assumptions!$B$173</f>
        <v>71.511547272847068</v>
      </c>
      <c r="M136" s="61">
        <f>M135*Assumptions!$B$171*Assumptions!$B$173</f>
        <v>75.739817489897604</v>
      </c>
      <c r="N136" s="61">
        <f>N135*Assumptions!$B$171*Assumptions!$B$173</f>
        <v>80.732763141957108</v>
      </c>
      <c r="O136" s="61">
        <f>O135*Assumptions!$B$171*Assumptions!$B$173</f>
        <v>85.317758334601095</v>
      </c>
      <c r="P136" s="61">
        <f>P135*Assumptions!$B$171*Assumptions!$B$173</f>
        <v>85.593345670904171</v>
      </c>
      <c r="Q136" s="61">
        <f>Q135*Assumptions!$B$171*Assumptions!$B$173</f>
        <v>87.150326559791353</v>
      </c>
      <c r="R136" s="61">
        <f>R135*Assumptions!$B$171*Assumptions!$B$173</f>
        <v>87.385672760329498</v>
      </c>
      <c r="S136" s="61">
        <f>S135*Assumptions!$B$171*Assumptions!$B$173</f>
        <v>89.287735438776522</v>
      </c>
      <c r="T136" s="61">
        <f>T135*Assumptions!$B$171*Assumptions!$B$173</f>
        <v>92.659145926088954</v>
      </c>
      <c r="U136" s="61">
        <f>U135*Assumptions!$B$171*Assumptions!$B$173</f>
        <v>96.202666065325147</v>
      </c>
      <c r="V136" s="61">
        <f>V135*Assumptions!$B$171*Assumptions!$B$173</f>
        <v>99.647460031825091</v>
      </c>
      <c r="W136" s="61">
        <f>W135*Assumptions!$B$171*Assumptions!$B$173</f>
        <v>102.45562961182561</v>
      </c>
      <c r="X136" s="61">
        <f>X135*Assumptions!$B$171*Assumptions!$B$173</f>
        <v>103.24312183451578</v>
      </c>
      <c r="Y136" s="61">
        <f>Y135*Assumptions!$B$171*Assumptions!$B$173</f>
        <v>105.03255435746576</v>
      </c>
      <c r="Z136" s="61">
        <f>Z135*Assumptions!$B$171*Assumptions!$B$173</f>
        <v>107.79329812375904</v>
      </c>
      <c r="AA136" s="61">
        <f>AA135*Assumptions!$B$171*Assumptions!$B$173</f>
        <v>155.33694872357933</v>
      </c>
      <c r="AB136" s="61">
        <f>AB135*Assumptions!$B$171*Assumptions!$B$173</f>
        <v>171.13957807071083</v>
      </c>
      <c r="AC136" s="61">
        <f>AC135*Assumptions!$B$171*Assumptions!$B$173</f>
        <v>184.0390055256722</v>
      </c>
      <c r="AD136" s="61">
        <f>AD135*Assumptions!$B$171*Assumptions!$B$173</f>
        <v>198.79657053649791</v>
      </c>
      <c r="AE136" s="61">
        <f>AE135*Assumptions!$B$171*Assumptions!$B$173</f>
        <v>211.34635669342862</v>
      </c>
    </row>
    <row r="137" spans="1:31" x14ac:dyDescent="0.25">
      <c r="A137" s="6" t="s">
        <v>592</v>
      </c>
      <c r="B137" s="23" t="s">
        <v>114</v>
      </c>
      <c r="C137" s="61">
        <f t="shared" ref="C137:AE137" si="37">C136/12*C16</f>
        <v>1.4262637716487094</v>
      </c>
      <c r="D137" s="61">
        <f t="shared" si="37"/>
        <v>1.9227861461537381</v>
      </c>
      <c r="E137" s="61">
        <f t="shared" si="37"/>
        <v>2.4802602374129572</v>
      </c>
      <c r="F137" s="61">
        <f t="shared" si="37"/>
        <v>2.9412699201205315</v>
      </c>
      <c r="G137" s="61">
        <f t="shared" si="37"/>
        <v>3.5433709439566545</v>
      </c>
      <c r="H137" s="61">
        <f t="shared" si="37"/>
        <v>3.9315718076075488</v>
      </c>
      <c r="I137" s="61">
        <f t="shared" si="37"/>
        <v>4.1392757513416392</v>
      </c>
      <c r="J137" s="61">
        <f t="shared" si="37"/>
        <v>4.7063264213336087</v>
      </c>
      <c r="K137" s="61">
        <f t="shared" si="37"/>
        <v>5.6809619834403682</v>
      </c>
      <c r="L137" s="61">
        <f t="shared" si="37"/>
        <v>6.0784815181919996</v>
      </c>
      <c r="M137" s="61">
        <f t="shared" si="37"/>
        <v>6.6272340303660409</v>
      </c>
      <c r="N137" s="61">
        <f t="shared" si="37"/>
        <v>7.6696124984859244</v>
      </c>
      <c r="O137" s="61">
        <f t="shared" si="37"/>
        <v>7.8207945140051001</v>
      </c>
      <c r="P137" s="61">
        <f t="shared" si="37"/>
        <v>7.1327788059086803</v>
      </c>
      <c r="Q137" s="61">
        <f t="shared" si="37"/>
        <v>7.1172766690496259</v>
      </c>
      <c r="R137" s="61">
        <f t="shared" si="37"/>
        <v>7.1364966087602415</v>
      </c>
      <c r="S137" s="61">
        <f t="shared" si="37"/>
        <v>7.4406446198980429</v>
      </c>
      <c r="T137" s="61">
        <f t="shared" si="37"/>
        <v>7.3355157191487068</v>
      </c>
      <c r="U137" s="61">
        <f t="shared" si="37"/>
        <v>7.0548621781238436</v>
      </c>
      <c r="V137" s="61">
        <f t="shared" si="37"/>
        <v>7.4735595023868804</v>
      </c>
      <c r="W137" s="61">
        <f t="shared" si="37"/>
        <v>8.5379691343188</v>
      </c>
      <c r="X137" s="61">
        <f t="shared" si="37"/>
        <v>8.7756653559338407</v>
      </c>
      <c r="Y137" s="61">
        <f t="shared" si="37"/>
        <v>9.1903485062782551</v>
      </c>
      <c r="Z137" s="61">
        <f t="shared" si="37"/>
        <v>10.240363321757108</v>
      </c>
      <c r="AA137" s="61">
        <f t="shared" si="37"/>
        <v>12.944745726964944</v>
      </c>
      <c r="AB137" s="61">
        <f t="shared" si="37"/>
        <v>14.261631505892568</v>
      </c>
      <c r="AC137" s="61">
        <f t="shared" si="37"/>
        <v>15.336583793806016</v>
      </c>
      <c r="AD137" s="61">
        <f t="shared" si="37"/>
        <v>16.566380878041493</v>
      </c>
      <c r="AE137" s="61">
        <f t="shared" si="37"/>
        <v>17.612196391119053</v>
      </c>
    </row>
    <row r="138" spans="1:31" x14ac:dyDescent="0.25">
      <c r="A138" s="6" t="s">
        <v>593</v>
      </c>
      <c r="B138" s="23" t="s">
        <v>394</v>
      </c>
      <c r="C138" s="50">
        <f>C133*C137*Assumptions!$B$7*C7</f>
        <v>0</v>
      </c>
      <c r="D138" s="50">
        <f>D133*D137*Assumptions!$B$7*D7</f>
        <v>0</v>
      </c>
      <c r="E138" s="50">
        <f>E133*E137*Assumptions!$B$7*E7</f>
        <v>0</v>
      </c>
      <c r="F138" s="50">
        <f>F133*F137*Assumptions!$B$7*F7</f>
        <v>0</v>
      </c>
      <c r="G138" s="50">
        <f>G133*G137*Assumptions!$B$7*G7</f>
        <v>0</v>
      </c>
      <c r="H138" s="50">
        <f>H133*H137*Assumptions!$B$7*H7</f>
        <v>0</v>
      </c>
      <c r="I138" s="50">
        <f>I133*I137*Assumptions!$B$7*I7</f>
        <v>0</v>
      </c>
      <c r="J138" s="50">
        <f>J133*J137*Assumptions!$B$7*J7</f>
        <v>0</v>
      </c>
      <c r="K138" s="50">
        <f>K133*K137*Assumptions!$B$7*K7</f>
        <v>0</v>
      </c>
      <c r="L138" s="50">
        <f>L133*L137*Assumptions!$B$7*L7</f>
        <v>0</v>
      </c>
      <c r="M138" s="50">
        <f>M133*M137*Assumptions!$B$7*M7</f>
        <v>0</v>
      </c>
      <c r="N138" s="50">
        <f>N133*N137*Assumptions!$B$7*N7</f>
        <v>0</v>
      </c>
      <c r="O138" s="50">
        <f>O133*O137*Assumptions!$B$7*O7</f>
        <v>14070.323437202804</v>
      </c>
      <c r="P138" s="50">
        <f>P133*P137*Assumptions!$B$7*P7</f>
        <v>14722.303797519498</v>
      </c>
      <c r="Q138" s="50">
        <f>Q133*Q137*Assumptions!$B$7*Q7</f>
        <v>16529.517571606477</v>
      </c>
      <c r="R138" s="50">
        <f>R133*R137*Assumptions!$B$7*R7</f>
        <v>18915.609167750343</v>
      </c>
      <c r="S138" s="50">
        <f>S133*S137*Assumptions!$B$7*S7</f>
        <v>21975.23848527958</v>
      </c>
      <c r="T138" s="50">
        <f>T133*T137*Assumptions!$B$7*T7</f>
        <v>23576.018282787183</v>
      </c>
      <c r="U138" s="50">
        <f>U133*U137*Assumptions!$B$7*U7</f>
        <v>24470.265085012121</v>
      </c>
      <c r="V138" s="50">
        <f>V133*V137*Assumptions!$B$7*V7</f>
        <v>27844.915903702473</v>
      </c>
      <c r="W138" s="50">
        <f>W133*W137*Assumptions!$B$7*W7</f>
        <v>34236.691035713076</v>
      </c>
      <c r="X138" s="50">
        <f>X133*X137*Assumptions!$B$7*X7</f>
        <v>38578.348458185508</v>
      </c>
      <c r="Y138" s="50">
        <f>Y133*Y137*Assumptions!$B$7*Y7</f>
        <v>43725.613971583894</v>
      </c>
      <c r="Z138" s="50">
        <f>Z133*Z137*Assumptions!$B$7*Z7</f>
        <v>52022.329216762577</v>
      </c>
      <c r="AA138" s="50">
        <f>AA133*AA137*Assumptions!$B$7*AA7</f>
        <v>1658026.3262055218</v>
      </c>
      <c r="AB138" s="50">
        <f>AB133*AB137*Assumptions!$B$7*AB7</f>
        <v>3887146.1735940678</v>
      </c>
      <c r="AC138" s="50">
        <f>AC133*AC137*Assumptions!$B$7*AC7</f>
        <v>7360265.3595075961</v>
      </c>
      <c r="AD138" s="50">
        <f>AD133*AD137*Assumptions!$B$7*AD7</f>
        <v>11232219.076924277</v>
      </c>
      <c r="AE138" s="50">
        <f>AE133*AE137*Assumptions!$B$7*AE7</f>
        <v>14577811.773920272</v>
      </c>
    </row>
    <row r="139" spans="1:31" x14ac:dyDescent="0.25">
      <c r="A139" s="6" t="s">
        <v>593</v>
      </c>
      <c r="B139" s="23" t="s">
        <v>114</v>
      </c>
      <c r="C139" s="61">
        <f>C138/Assumptions!$B$7</f>
        <v>0</v>
      </c>
      <c r="D139" s="61">
        <f>D138/Assumptions!$B$7</f>
        <v>0</v>
      </c>
      <c r="E139" s="61">
        <f>E138/Assumptions!$B$7</f>
        <v>0</v>
      </c>
      <c r="F139" s="61">
        <f>F138/Assumptions!$B$7</f>
        <v>0</v>
      </c>
      <c r="G139" s="61">
        <f>G138/Assumptions!$B$7</f>
        <v>0</v>
      </c>
      <c r="H139" s="61">
        <f>H138/Assumptions!$B$7</f>
        <v>0</v>
      </c>
      <c r="I139" s="61">
        <f>I138/Assumptions!$B$7</f>
        <v>0</v>
      </c>
      <c r="J139" s="61">
        <f>J138/Assumptions!$B$7</f>
        <v>0</v>
      </c>
      <c r="K139" s="61">
        <f>K138/Assumptions!$B$7</f>
        <v>0</v>
      </c>
      <c r="L139" s="61">
        <f>L138/Assumptions!$B$7</f>
        <v>0</v>
      </c>
      <c r="M139" s="61">
        <f>M138/Assumptions!$B$7</f>
        <v>0</v>
      </c>
      <c r="N139" s="61">
        <f>N138/Assumptions!$B$7</f>
        <v>0</v>
      </c>
      <c r="O139" s="61">
        <f>O138/Assumptions!$B$7</f>
        <v>3831.265741920437</v>
      </c>
      <c r="P139" s="61">
        <f>P138/Assumptions!$B$7</f>
        <v>4008.7961327486723</v>
      </c>
      <c r="Q139" s="61">
        <f>Q138/Assumptions!$B$7</f>
        <v>4500.8897403965902</v>
      </c>
      <c r="R139" s="61">
        <f>R138/Assumptions!$B$7</f>
        <v>5150.6083506467921</v>
      </c>
      <c r="S139" s="61">
        <f>S138/Assumptions!$B$7</f>
        <v>5983.7272934729972</v>
      </c>
      <c r="T139" s="61">
        <f>T138/Assumptions!$B$7</f>
        <v>6419.610151882147</v>
      </c>
      <c r="U139" s="61">
        <f>U138/Assumptions!$B$7</f>
        <v>6663.108260044145</v>
      </c>
      <c r="V139" s="61">
        <f>V138/Assumptions!$B$7</f>
        <v>7582.005691954384</v>
      </c>
      <c r="W139" s="61">
        <f>W138/Assumptions!$B$7</f>
        <v>9322.4482057761961</v>
      </c>
      <c r="X139" s="61">
        <f>X138/Assumptions!$B$7</f>
        <v>10504.65580890007</v>
      </c>
      <c r="Y139" s="61">
        <f>Y138/Assumptions!$B$7</f>
        <v>11906.225724052796</v>
      </c>
      <c r="Z139" s="61">
        <f>Z138/Assumptions!$B$7</f>
        <v>14165.372148880211</v>
      </c>
      <c r="AA139" s="61">
        <f>AA138/Assumptions!$B$7</f>
        <v>451470.74913696985</v>
      </c>
      <c r="AB139" s="61">
        <f>AB138/Assumptions!$B$7</f>
        <v>1058446.8818499844</v>
      </c>
      <c r="AC139" s="61">
        <f>AC138/Assumptions!$B$7</f>
        <v>2004156.6669864114</v>
      </c>
      <c r="AD139" s="61">
        <f>AD138/Assumptions!$B$7</f>
        <v>3058466.7329950384</v>
      </c>
      <c r="AE139" s="61">
        <f>AE138/Assumptions!$B$7</f>
        <v>3969451.8104616124</v>
      </c>
    </row>
    <row r="140" spans="1:31" x14ac:dyDescent="0.25">
      <c r="A140" s="6" t="s">
        <v>594</v>
      </c>
      <c r="B140" s="23" t="s">
        <v>394</v>
      </c>
      <c r="C140" s="50">
        <f>IF(Assumptions!$B$159=0,0,C135*Assumptions!$B$171*Assumptions!$B$7/Assumptions!$B$159)</f>
        <v>6.8025372745193327</v>
      </c>
      <c r="D140" s="50">
        <f>IF(Assumptions!$B$159=0,0,D135*Assumptions!$B$171*Assumptions!$B$7/Assumptions!$B$159)</f>
        <v>10.087760173928004</v>
      </c>
      <c r="E140" s="50">
        <f>IF(Assumptions!$B$159=0,0,E135*Assumptions!$B$171*Assumptions!$B$7/Assumptions!$B$159)</f>
        <v>13.278069565450561</v>
      </c>
      <c r="F140" s="50">
        <f>IF(Assumptions!$B$159=0,0,F135*Assumptions!$B$171*Assumptions!$B$7/Assumptions!$B$159)</f>
        <v>15.746084229799784</v>
      </c>
      <c r="G140" s="50">
        <f>IF(Assumptions!$B$159=0,0,G135*Assumptions!$B$171*Assumptions!$B$7/Assumptions!$B$159)</f>
        <v>18.590042559544024</v>
      </c>
      <c r="H140" s="50">
        <f>IF(Assumptions!$B$159=0,0,H135*Assumptions!$B$171*Assumptions!$B$7/Assumptions!$B$159)</f>
        <v>21.712327012689812</v>
      </c>
      <c r="I140" s="50">
        <f>IF(Assumptions!$B$159=0,0,I135*Assumptions!$B$171*Assumptions!$B$7/Assumptions!$B$159)</f>
        <v>24.677743825977547</v>
      </c>
      <c r="J140" s="50">
        <f>IF(Assumptions!$B$159=0,0,J135*Assumptions!$B$171*Assumptions!$B$7/Assumptions!$B$159)</f>
        <v>27.434894892615361</v>
      </c>
      <c r="K140" s="50">
        <f>IF(Assumptions!$B$159=0,0,K135*Assumptions!$B$171*Assumptions!$B$7/Assumptions!$B$159)</f>
        <v>29.804761263121076</v>
      </c>
      <c r="L140" s="50">
        <f>IF(Assumptions!$B$159=0,0,L135*Assumptions!$B$171*Assumptions!$B$7/Assumptions!$B$159)</f>
        <v>31.265018733277479</v>
      </c>
      <c r="M140" s="50">
        <f>IF(Assumptions!$B$159=0,0,M135*Assumptions!$B$171*Assumptions!$B$7/Assumptions!$B$159)</f>
        <v>33.113628539482015</v>
      </c>
      <c r="N140" s="50">
        <f>IF(Assumptions!$B$159=0,0,N135*Assumptions!$B$171*Assumptions!$B$7/Assumptions!$B$159)</f>
        <v>35.29655626652827</v>
      </c>
      <c r="O140" s="50">
        <f>IF(Assumptions!$B$159=0,0,O135*Assumptions!$B$171*Assumptions!$B$7/Assumptions!$B$159)</f>
        <v>37.301127081407436</v>
      </c>
      <c r="P140" s="50">
        <f>IF(Assumptions!$B$159=0,0,P135*Assumptions!$B$171*Assumptions!$B$7/Assumptions!$B$159)</f>
        <v>37.421614520999469</v>
      </c>
      <c r="Q140" s="50">
        <f>IF(Assumptions!$B$159=0,0,Q135*Assumptions!$B$171*Assumptions!$B$7/Assumptions!$B$159)</f>
        <v>38.102330272718298</v>
      </c>
      <c r="R140" s="50">
        <f>IF(Assumptions!$B$159=0,0,R135*Assumptions!$B$171*Assumptions!$B$7/Assumptions!$B$159)</f>
        <v>38.205224191941674</v>
      </c>
      <c r="S140" s="50">
        <f>IF(Assumptions!$B$159=0,0,S135*Assumptions!$B$171*Assumptions!$B$7/Assumptions!$B$159)</f>
        <v>39.036810523679378</v>
      </c>
      <c r="T140" s="50">
        <f>IF(Assumptions!$B$159=0,0,T135*Assumptions!$B$171*Assumptions!$B$7/Assumptions!$B$159)</f>
        <v>40.510799215900192</v>
      </c>
      <c r="U140" s="50">
        <f>IF(Assumptions!$B$159=0,0,U135*Assumptions!$B$171*Assumptions!$B$7/Assumptions!$B$159)</f>
        <v>42.060034657726973</v>
      </c>
      <c r="V140" s="50">
        <f>IF(Assumptions!$B$159=0,0,V135*Assumptions!$B$171*Assumptions!$B$7/Assumptions!$B$159)</f>
        <v>43.566106781771147</v>
      </c>
      <c r="W140" s="50">
        <f>IF(Assumptions!$B$159=0,0,W135*Assumptions!$B$171*Assumptions!$B$7/Assumptions!$B$159)</f>
        <v>44.793845208265424</v>
      </c>
      <c r="X140" s="50">
        <f>IF(Assumptions!$B$159=0,0,X135*Assumptions!$B$171*Assumptions!$B$7/Assumptions!$B$159)</f>
        <v>45.138138683007043</v>
      </c>
      <c r="Y140" s="50">
        <f>IF(Assumptions!$B$159=0,0,Y135*Assumptions!$B$171*Assumptions!$B$7/Assumptions!$B$159)</f>
        <v>45.920482842594403</v>
      </c>
      <c r="Z140" s="50">
        <f>IF(Assumptions!$B$159=0,0,Z135*Assumptions!$B$171*Assumptions!$B$7/Assumptions!$B$159)</f>
        <v>47.12748659041727</v>
      </c>
      <c r="AA140" s="50">
        <f>IF(Assumptions!$B$159=0,0,AA135*Assumptions!$B$171*Assumptions!$B$7/Assumptions!$B$159)</f>
        <v>67.913683831826788</v>
      </c>
      <c r="AB140" s="50">
        <f>IF(Assumptions!$B$159=0,0,AB135*Assumptions!$B$171*Assumptions!$B$7/Assumptions!$B$159)</f>
        <v>74.82263100770065</v>
      </c>
      <c r="AC140" s="50">
        <f>IF(Assumptions!$B$159=0,0,AC135*Assumptions!$B$171*Assumptions!$B$7/Assumptions!$B$159)</f>
        <v>80.462291403932269</v>
      </c>
      <c r="AD140" s="50">
        <f>IF(Assumptions!$B$159=0,0,AD135*Assumptions!$B$171*Assumptions!$B$7/Assumptions!$B$159)</f>
        <v>86.914333963724829</v>
      </c>
      <c r="AE140" s="50">
        <f>IF(Assumptions!$B$159=0,0,AE135*Assumptions!$B$171*Assumptions!$B$7/Assumptions!$B$159)</f>
        <v>92.401130351978153</v>
      </c>
    </row>
    <row r="141" spans="1:31" x14ac:dyDescent="0.25">
      <c r="A141" s="6" t="s">
        <v>595</v>
      </c>
      <c r="B141" s="23" t="s">
        <v>596</v>
      </c>
      <c r="C141" s="50">
        <f>C133*Assumptions!$B$173*Assumptions!$B$159*C7/12*(1+Assumptions!$B$16)</f>
        <v>0</v>
      </c>
      <c r="D141" s="50">
        <f>D133*Assumptions!$B$173*Assumptions!$B$159*D7/12*(1+Assumptions!$B$16)</f>
        <v>0</v>
      </c>
      <c r="E141" s="50">
        <f>E133*Assumptions!$B$173*Assumptions!$B$159*E7/12*(1+Assumptions!$B$16)</f>
        <v>0</v>
      </c>
      <c r="F141" s="50">
        <f>F133*Assumptions!$B$173*Assumptions!$B$159*F7/12*(1+Assumptions!$B$16)</f>
        <v>0</v>
      </c>
      <c r="G141" s="50">
        <f>G133*Assumptions!$B$173*Assumptions!$B$159*G7/12*(1+Assumptions!$B$16)</f>
        <v>0</v>
      </c>
      <c r="H141" s="50">
        <f>H133*Assumptions!$B$173*Assumptions!$B$159*H7/12*(1+Assumptions!$B$16)</f>
        <v>0</v>
      </c>
      <c r="I141" s="50">
        <f>I133*Assumptions!$B$173*Assumptions!$B$159*I7/12*(1+Assumptions!$B$16)</f>
        <v>0</v>
      </c>
      <c r="J141" s="50">
        <f>J133*Assumptions!$B$173*Assumptions!$B$159*J7/12*(1+Assumptions!$B$16)</f>
        <v>0</v>
      </c>
      <c r="K141" s="50">
        <f>K133*Assumptions!$B$173*Assumptions!$B$159*K7/12*(1+Assumptions!$B$16)</f>
        <v>0</v>
      </c>
      <c r="L141" s="50">
        <f>L133*Assumptions!$B$173*Assumptions!$B$159*L7/12*(1+Assumptions!$B$16)</f>
        <v>0</v>
      </c>
      <c r="M141" s="50">
        <f>M133*Assumptions!$B$173*Assumptions!$B$159*M7/12*(1+Assumptions!$B$16)</f>
        <v>0</v>
      </c>
      <c r="N141" s="50">
        <f>N133*Assumptions!$B$173*Assumptions!$B$159*N7/12*(1+Assumptions!$B$16)</f>
        <v>0</v>
      </c>
      <c r="O141" s="50">
        <f>O133*Assumptions!$B$173*Assumptions!$B$159*O7/12*(1+Assumptions!$B$16)</f>
        <v>363.49237605133567</v>
      </c>
      <c r="P141" s="50">
        <f>P133*Assumptions!$B$173*Assumptions!$B$159*P7/12*(1+Assumptions!$B$16)</f>
        <v>417.0221468294327</v>
      </c>
      <c r="Q141" s="50">
        <f>Q133*Assumptions!$B$173*Assumptions!$B$159*Q7/12*(1+Assumptions!$B$16)</f>
        <v>469.23287412686977</v>
      </c>
      <c r="R141" s="50">
        <f>R133*Assumptions!$B$173*Assumptions!$B$159*R7/12*(1+Assumptions!$B$16)</f>
        <v>535.52206435418418</v>
      </c>
      <c r="S141" s="50">
        <f>S133*Assumptions!$B$173*Assumptions!$B$159*S7/12*(1+Assumptions!$B$16)</f>
        <v>596.71249986641669</v>
      </c>
      <c r="T141" s="50">
        <f>T133*Assumptions!$B$173*Assumptions!$B$159*T7/12*(1+Assumptions!$B$16)</f>
        <v>649.35458051875651</v>
      </c>
      <c r="U141" s="50">
        <f>U133*Assumptions!$B$173*Assumptions!$B$159*U7/12*(1+Assumptions!$B$16)</f>
        <v>700.79701121355731</v>
      </c>
      <c r="V141" s="50">
        <f>V133*Assumptions!$B$173*Assumptions!$B$159*V7/12*(1+Assumptions!$B$16)</f>
        <v>752.76690064933427</v>
      </c>
      <c r="W141" s="50">
        <f>W133*Assumptions!$B$173*Assumptions!$B$159*W7/12*(1+Assumptions!$B$16)</f>
        <v>810.17586967861882</v>
      </c>
      <c r="X141" s="50">
        <f>X133*Assumptions!$B$173*Assumptions!$B$159*X7/12*(1+Assumptions!$B$16)</f>
        <v>888.18958951454056</v>
      </c>
      <c r="Y141" s="50">
        <f>Y133*Assumptions!$B$173*Assumptions!$B$159*Y7/12*(1+Assumptions!$B$16)</f>
        <v>961.2714339627131</v>
      </c>
      <c r="Z141" s="50">
        <f>Z133*Assumptions!$B$173*Assumptions!$B$159*Z7/12*(1+Assumptions!$B$16)</f>
        <v>1026.3997286246308</v>
      </c>
      <c r="AA141" s="50">
        <f>AA133*Assumptions!$B$173*Assumptions!$B$159*AA7/12*(1+Assumptions!$B$16)</f>
        <v>25878.553578832987</v>
      </c>
      <c r="AB141" s="50">
        <f>AB133*Assumptions!$B$173*Assumptions!$B$159*AB7/12*(1+Assumptions!$B$16)</f>
        <v>55068.565332668513</v>
      </c>
      <c r="AC141" s="50">
        <f>AC133*Assumptions!$B$173*Assumptions!$B$159*AC7/12*(1+Assumptions!$B$16)</f>
        <v>96963.200338298702</v>
      </c>
      <c r="AD141" s="50">
        <f>AD133*Assumptions!$B$173*Assumptions!$B$159*AD7/12*(1+Assumptions!$B$16)</f>
        <v>136987.21118324361</v>
      </c>
      <c r="AE141" s="50">
        <f>AE133*Assumptions!$B$173*Assumptions!$B$159*AE7/12*(1+Assumptions!$B$16)</f>
        <v>167232.5914357678</v>
      </c>
    </row>
    <row r="142" spans="1:31" x14ac:dyDescent="0.25">
      <c r="A142" s="6" t="s">
        <v>597</v>
      </c>
      <c r="B142" s="23" t="s">
        <v>114</v>
      </c>
      <c r="C142" s="61">
        <f>C122*Assumptions!$B$8</f>
        <v>286.67917203135852</v>
      </c>
      <c r="D142" s="61">
        <f>D122*Assumptions!$B$8</f>
        <v>544.80682677470043</v>
      </c>
      <c r="E142" s="61">
        <f>E122*Assumptions!$B$8</f>
        <v>778.66541786410176</v>
      </c>
      <c r="F142" s="61">
        <f>F122*Assumptions!$B$8</f>
        <v>1065.7779727568659</v>
      </c>
      <c r="G142" s="61">
        <f>G122*Assumptions!$B$8</f>
        <v>1307.3299606210985</v>
      </c>
      <c r="H142" s="61">
        <f>H122*Assumptions!$B$8</f>
        <v>1491.6116594838859</v>
      </c>
      <c r="I142" s="61">
        <f>I122*Assumptions!$B$8</f>
        <v>1658.1622149566936</v>
      </c>
      <c r="J142" s="61">
        <f>J122*Assumptions!$B$8</f>
        <v>1816.3032195610731</v>
      </c>
      <c r="K142" s="61">
        <f>K122*Assumptions!$B$8</f>
        <v>1988.8824936718906</v>
      </c>
      <c r="L142" s="61">
        <f>L122*Assumptions!$B$8</f>
        <v>2242.3233522988121</v>
      </c>
      <c r="M142" s="61">
        <f>M122*Assumptions!$B$8</f>
        <v>2454.8144559874331</v>
      </c>
      <c r="N142" s="61">
        <f>N122*Assumptions!$B$8</f>
        <v>2617.3397870362369</v>
      </c>
      <c r="O142" s="61">
        <f>O122*Assumptions!$B$8</f>
        <v>3094.8498864721259</v>
      </c>
      <c r="P142" s="61">
        <f>P122*Assumptions!$B$8</f>
        <v>3530.8403305540046</v>
      </c>
      <c r="Q142" s="61">
        <f>Q122*Assumptions!$B$8</f>
        <v>3931.1924338615413</v>
      </c>
      <c r="R142" s="61">
        <f>R122*Assumptions!$B$8</f>
        <v>4466.311751521007</v>
      </c>
      <c r="S142" s="61">
        <f>S122*Assumptions!$B$8</f>
        <v>4919.5699197400336</v>
      </c>
      <c r="T142" s="61">
        <f>T122*Assumptions!$B$8</f>
        <v>5257.1563180630019</v>
      </c>
      <c r="U142" s="61">
        <f>U122*Assumptions!$B$8</f>
        <v>5565.1946323695956</v>
      </c>
      <c r="V142" s="61">
        <f>V122*Assumptions!$B$8</f>
        <v>5864.0406624236311</v>
      </c>
      <c r="W142" s="61">
        <f>W122*Assumptions!$B$8</f>
        <v>6207.94599955166</v>
      </c>
      <c r="X142" s="61">
        <f>X122*Assumptions!$B$8</f>
        <v>6760.8547032845981</v>
      </c>
      <c r="Y142" s="61">
        <f>Y122*Assumptions!$B$8</f>
        <v>7232.8658061201268</v>
      </c>
      <c r="Z142" s="61">
        <f>Z122*Assumptions!$B$8</f>
        <v>7594.8096165039942</v>
      </c>
      <c r="AA142" s="61">
        <f>AA122*Assumptions!$B$8</f>
        <v>163082.48260256145</v>
      </c>
      <c r="AB142" s="61">
        <f>AB122*Assumptions!$B$8</f>
        <v>332820.83826058632</v>
      </c>
      <c r="AC142" s="61">
        <f>AC122*Assumptions!$B$8</f>
        <v>531994.55262708187</v>
      </c>
      <c r="AD142" s="61">
        <f>AD122*Assumptions!$B$8</f>
        <v>625959.54738130711</v>
      </c>
      <c r="AE142" s="61">
        <f>AE122*Assumptions!$B$8</f>
        <v>596193.4555413035</v>
      </c>
    </row>
    <row r="143" spans="1:31" x14ac:dyDescent="0.25">
      <c r="A143" s="6" t="s">
        <v>598</v>
      </c>
      <c r="B143" s="23" t="s">
        <v>114</v>
      </c>
      <c r="C143" s="61">
        <f>C123*Assumptions!$B$8</f>
        <v>18.952678595406475</v>
      </c>
      <c r="D143" s="61">
        <f>D123*Assumptions!$B$8</f>
        <v>36.017784658994081</v>
      </c>
      <c r="E143" s="61">
        <f>E123*Assumptions!$B$8</f>
        <v>51.478435958793391</v>
      </c>
      <c r="F143" s="61">
        <f>F123*Assumptions!$B$8</f>
        <v>70.459765976703906</v>
      </c>
      <c r="G143" s="61">
        <f>G123*Assumptions!$B$8</f>
        <v>86.429036285505944</v>
      </c>
      <c r="H143" s="61">
        <f>H123*Assumptions!$B$8</f>
        <v>98.612104154768019</v>
      </c>
      <c r="I143" s="61">
        <f>I123*Assumptions!$B$8</f>
        <v>109.62294643324806</v>
      </c>
      <c r="J143" s="61">
        <f>J123*Assumptions!$B$8</f>
        <v>120.07782395987093</v>
      </c>
      <c r="K143" s="61">
        <f>K123*Assumptions!$B$8</f>
        <v>131.48723152608608</v>
      </c>
      <c r="L143" s="61">
        <f>L123*Assumptions!$B$8</f>
        <v>148.24248829086591</v>
      </c>
      <c r="M143" s="61">
        <f>M123*Assumptions!$B$8</f>
        <v>162.29051125694696</v>
      </c>
      <c r="N143" s="61">
        <f>N123*Assumptions!$B$8</f>
        <v>173.03524147628451</v>
      </c>
      <c r="O143" s="61">
        <f>O123*Assumptions!$B$8</f>
        <v>204.60396471676833</v>
      </c>
      <c r="P143" s="61">
        <f>P123*Assumptions!$B$8</f>
        <v>233.4277774088481</v>
      </c>
      <c r="Q143" s="61">
        <f>Q123*Assumptions!$B$8</f>
        <v>259.89549979417967</v>
      </c>
      <c r="R143" s="61">
        <f>R123*Assumptions!$B$8</f>
        <v>295.27283246166661</v>
      </c>
      <c r="S143" s="61">
        <f>S123*Assumptions!$B$8</f>
        <v>325.23823358281334</v>
      </c>
      <c r="T143" s="61">
        <f>T123*Assumptions!$B$8</f>
        <v>347.55644547194282</v>
      </c>
      <c r="U143" s="61">
        <f>U123*Assumptions!$B$8</f>
        <v>367.92120069554539</v>
      </c>
      <c r="V143" s="61">
        <f>V123*Assumptions!$B$8</f>
        <v>387.67824379356227</v>
      </c>
      <c r="W143" s="61">
        <f>W123*Assumptions!$B$8</f>
        <v>410.41420774813753</v>
      </c>
      <c r="X143" s="61">
        <f>X123*Assumptions!$B$8</f>
        <v>446.96761649492623</v>
      </c>
      <c r="Y143" s="61">
        <f>Y123*Assumptions!$B$8</f>
        <v>478.17279496016391</v>
      </c>
      <c r="Z143" s="61">
        <f>Z123*Assumptions!$B$8</f>
        <v>502.10130242443068</v>
      </c>
      <c r="AA143" s="61">
        <f>AA123*Assumptions!$B$8</f>
        <v>10781.564127613783</v>
      </c>
      <c r="AB143" s="61">
        <f>AB123*Assumptions!$B$8</f>
        <v>22003.155418338756</v>
      </c>
      <c r="AC143" s="61">
        <f>AC123*Assumptions!$B$8</f>
        <v>35170.75097923485</v>
      </c>
      <c r="AD143" s="61">
        <f>AD123*Assumptions!$B$8</f>
        <v>41382.881187986408</v>
      </c>
      <c r="AE143" s="61">
        <f>AE123*Assumptions!$B$8</f>
        <v>39415.011783008398</v>
      </c>
    </row>
    <row r="144" spans="1:31" x14ac:dyDescent="0.25">
      <c r="A144" s="6" t="s">
        <v>599</v>
      </c>
      <c r="B144" s="23" t="s">
        <v>114</v>
      </c>
      <c r="C144" s="61">
        <f>C139*IF(Assumptions!$B$227=1,MIN(Assumptions!$B$14,1%),Assumptions!$B$14)*(1-Assumptions!$B$157)</f>
        <v>0</v>
      </c>
      <c r="D144" s="61">
        <f>D139*IF(Assumptions!$B$227=1,MIN(Assumptions!$B$14,1%),Assumptions!$B$14)*(1-Assumptions!$B$157)</f>
        <v>0</v>
      </c>
      <c r="E144" s="61">
        <f>E139*IF(Assumptions!$B$227=1,MIN(Assumptions!$B$14,1%),Assumptions!$B$14)*(1-Assumptions!$B$157)</f>
        <v>0</v>
      </c>
      <c r="F144" s="61">
        <f>F139*IF(Assumptions!$B$227=1,MIN(Assumptions!$B$14,1%),Assumptions!$B$14)*(1-Assumptions!$B$157)</f>
        <v>0</v>
      </c>
      <c r="G144" s="61">
        <f>G139*IF(Assumptions!$B$227=1,MIN(Assumptions!$B$14,1%),Assumptions!$B$14)*(1-Assumptions!$B$157)</f>
        <v>0</v>
      </c>
      <c r="H144" s="61">
        <f>H139*IF(Assumptions!$B$227=1,MIN(Assumptions!$B$14,1%),Assumptions!$B$14)*(1-Assumptions!$B$157)</f>
        <v>0</v>
      </c>
      <c r="I144" s="61">
        <f>I139*IF(Assumptions!$B$227=1,MIN(Assumptions!$B$14,1%),Assumptions!$B$14)*(1-Assumptions!$B$157)</f>
        <v>0</v>
      </c>
      <c r="J144" s="61">
        <f>J139*IF(Assumptions!$B$227=1,MIN(Assumptions!$B$14,1%),Assumptions!$B$14)*(1-Assumptions!$B$157)</f>
        <v>0</v>
      </c>
      <c r="K144" s="61">
        <f>K139*IF(Assumptions!$B$227=1,MIN(Assumptions!$B$14,1%),Assumptions!$B$14)*(1-Assumptions!$B$157)</f>
        <v>0</v>
      </c>
      <c r="L144" s="61">
        <f>L139*IF(Assumptions!$B$227=1,MIN(Assumptions!$B$14,1%),Assumptions!$B$14)*(1-Assumptions!$B$157)</f>
        <v>0</v>
      </c>
      <c r="M144" s="61">
        <f>M139*IF(Assumptions!$B$227=1,MIN(Assumptions!$B$14,1%),Assumptions!$B$14)*(1-Assumptions!$B$157)</f>
        <v>0</v>
      </c>
      <c r="N144" s="61">
        <f>N139*IF(Assumptions!$B$227=1,MIN(Assumptions!$B$14,1%),Assumptions!$B$14)*(1-Assumptions!$B$157)</f>
        <v>0</v>
      </c>
      <c r="O144" s="61">
        <f>O139*IF(Assumptions!$B$227=1,MIN(Assumptions!$B$14,1%),Assumptions!$B$14)*(1-Assumptions!$B$157)</f>
        <v>27.585113341827146</v>
      </c>
      <c r="P144" s="61">
        <f>P139*IF(Assumptions!$B$227=1,MIN(Assumptions!$B$14,1%),Assumptions!$B$14)*(1-Assumptions!$B$157)</f>
        <v>28.863332155790438</v>
      </c>
      <c r="Q144" s="61">
        <f>Q139*IF(Assumptions!$B$227=1,MIN(Assumptions!$B$14,1%),Assumptions!$B$14)*(1-Assumptions!$B$157)</f>
        <v>32.406406130855451</v>
      </c>
      <c r="R144" s="61">
        <f>R139*IF(Assumptions!$B$227=1,MIN(Assumptions!$B$14,1%),Assumptions!$B$14)*(1-Assumptions!$B$157)</f>
        <v>37.084380124656903</v>
      </c>
      <c r="S144" s="61">
        <f>S139*IF(Assumptions!$B$227=1,MIN(Assumptions!$B$14,1%),Assumptions!$B$14)*(1-Assumptions!$B$157)</f>
        <v>43.082836513005581</v>
      </c>
      <c r="T144" s="61">
        <f>T139*IF(Assumptions!$B$227=1,MIN(Assumptions!$B$14,1%),Assumptions!$B$14)*(1-Assumptions!$B$157)</f>
        <v>46.221193093551456</v>
      </c>
      <c r="U144" s="61">
        <f>U139*IF(Assumptions!$B$227=1,MIN(Assumptions!$B$14,1%),Assumptions!$B$14)*(1-Assumptions!$B$157)</f>
        <v>47.974379472317842</v>
      </c>
      <c r="V144" s="61">
        <f>V139*IF(Assumptions!$B$227=1,MIN(Assumptions!$B$14,1%),Assumptions!$B$14)*(1-Assumptions!$B$157)</f>
        <v>54.590440982071563</v>
      </c>
      <c r="W144" s="61">
        <f>W139*IF(Assumptions!$B$227=1,MIN(Assumptions!$B$14,1%),Assumptions!$B$14)*(1-Assumptions!$B$157)</f>
        <v>67.121627081588613</v>
      </c>
      <c r="X144" s="61">
        <f>X139*IF(Assumptions!$B$227=1,MIN(Assumptions!$B$14,1%),Assumptions!$B$14)*(1-Assumptions!$B$157)</f>
        <v>75.633521824080503</v>
      </c>
      <c r="Y144" s="61">
        <f>Y139*IF(Assumptions!$B$227=1,MIN(Assumptions!$B$14,1%),Assumptions!$B$14)*(1-Assumptions!$B$157)</f>
        <v>85.724825213180125</v>
      </c>
      <c r="Z144" s="61">
        <f>Z139*IF(Assumptions!$B$227=1,MIN(Assumptions!$B$14,1%),Assumptions!$B$14)*(1-Assumptions!$B$157)</f>
        <v>101.99067947193753</v>
      </c>
      <c r="AA144" s="61">
        <f>AA139*IF(Assumptions!$B$227=1,MIN(Assumptions!$B$14,1%),Assumptions!$B$14)*(1-Assumptions!$B$157)</f>
        <v>3250.5893937861829</v>
      </c>
      <c r="AB144" s="61">
        <f>AB139*IF(Assumptions!$B$227=1,MIN(Assumptions!$B$14,1%),Assumptions!$B$14)*(1-Assumptions!$B$157)</f>
        <v>7620.8175493198869</v>
      </c>
      <c r="AC144" s="61">
        <f>AC139*IF(Assumptions!$B$227=1,MIN(Assumptions!$B$14,1%),Assumptions!$B$14)*(1-Assumptions!$B$157)</f>
        <v>14429.928002302164</v>
      </c>
      <c r="AD144" s="61">
        <f>AD139*IF(Assumptions!$B$227=1,MIN(Assumptions!$B$14,1%),Assumptions!$B$14)*(1-Assumptions!$B$157)</f>
        <v>22020.960477564277</v>
      </c>
      <c r="AE144" s="61">
        <f>AE139*IF(Assumptions!$B$227=1,MIN(Assumptions!$B$14,1%),Assumptions!$B$14)*(1-Assumptions!$B$157)</f>
        <v>28580.05303532361</v>
      </c>
    </row>
    <row r="145" spans="1:31" x14ac:dyDescent="0.25">
      <c r="A145" s="6" t="s">
        <v>600</v>
      </c>
      <c r="B145" s="23" t="s">
        <v>601</v>
      </c>
      <c r="C145" s="60">
        <f>IF(C2&gt;=Assumptions!$B$50,C117*Assumptions!$B$174*(1-Assumptions!$B$177)^(C7/2),0)</f>
        <v>0</v>
      </c>
      <c r="D145" s="60">
        <f>IF(D2&gt;=Assumptions!$B$50,C145*(1-Assumptions!$B$177)^D7+D117*Assumptions!$B$174*(1-Assumptions!$B$177)^(D7/2),0)</f>
        <v>0</v>
      </c>
      <c r="E145" s="60">
        <f>IF(E2&gt;=Assumptions!$B$50,D145*(1-Assumptions!$B$177)^E7+E117*Assumptions!$B$174*(1-Assumptions!$B$177)^(E7/2),0)</f>
        <v>0</v>
      </c>
      <c r="F145" s="60">
        <f>IF(F2&gt;=Assumptions!$B$50,E145*(1-Assumptions!$B$177)^F7+F117*Assumptions!$B$174*(1-Assumptions!$B$177)^(F7/2),0)</f>
        <v>0</v>
      </c>
      <c r="G145" s="60">
        <f>IF(G2&gt;=Assumptions!$B$50,F145*(1-Assumptions!$B$177)^G7+G117*Assumptions!$B$174*(1-Assumptions!$B$177)^(G7/2),0)</f>
        <v>0</v>
      </c>
      <c r="H145" s="60">
        <f>IF(H2&gt;=Assumptions!$B$50,G145*(1-Assumptions!$B$177)^H7+H117*Assumptions!$B$174*(1-Assumptions!$B$177)^(H7/2),0)</f>
        <v>0</v>
      </c>
      <c r="I145" s="60">
        <f>IF(I2&gt;=Assumptions!$B$50,H145*(1-Assumptions!$B$177)^I7+I117*Assumptions!$B$174*(1-Assumptions!$B$177)^(I7/2),0)</f>
        <v>23.619331385413613</v>
      </c>
      <c r="J145" s="60">
        <f>IF(J2&gt;=Assumptions!$B$50,I145*(1-Assumptions!$B$177)^J7+J117*Assumptions!$B$174*(1-Assumptions!$B$177)^(J7/2),0)</f>
        <v>45.527312563011535</v>
      </c>
      <c r="K145" s="60">
        <f>IF(K2&gt;=Assumptions!$B$50,J145*(1-Assumptions!$B$177)^K7+K117*Assumptions!$B$174*(1-Assumptions!$B$177)^(K7/2),0)</f>
        <v>68.062858351770132</v>
      </c>
      <c r="L145" s="60">
        <f>IF(L2&gt;=Assumptions!$B$50,K145*(1-Assumptions!$B$177)^L7+L117*Assumptions!$B$174*(1-Assumptions!$B$177)^(L7/2),0)</f>
        <v>97.813845557413288</v>
      </c>
      <c r="M145" s="60">
        <f>IF(M2&gt;=Assumptions!$B$50,L145*(1-Assumptions!$B$177)^M7+M117*Assumptions!$B$174*(1-Assumptions!$B$177)^(M7/2),0)</f>
        <v>122.61929872810083</v>
      </c>
      <c r="N145" s="60">
        <f>IF(N2&gt;=Assumptions!$B$50,M145*(1-Assumptions!$B$177)^N7+N117*Assumptions!$B$174*(1-Assumptions!$B$177)^(N7/2),0)</f>
        <v>141.74352493754208</v>
      </c>
      <c r="O145" s="60">
        <f>IF(O2&gt;=Assumptions!$B$50,N145*(1-Assumptions!$B$177)^O7+O117*Assumptions!$B$174*(1-Assumptions!$B$177)^(O7/2),0)</f>
        <v>191.41093808774636</v>
      </c>
      <c r="P145" s="60">
        <f>IF(P2&gt;=Assumptions!$B$50,O145*(1-Assumptions!$B$177)^P7+P117*Assumptions!$B$174*(1-Assumptions!$B$177)^(P7/2),0)</f>
        <v>235.73570681090138</v>
      </c>
      <c r="Q145" s="60">
        <f>IF(Q2&gt;=Assumptions!$B$50,P145*(1-Assumptions!$B$177)^Q7+Q117*Assumptions!$B$174*(1-Assumptions!$B$177)^(Q7/2),0)</f>
        <v>275.47963323830561</v>
      </c>
      <c r="R145" s="60">
        <f>IF(R2&gt;=Assumptions!$B$50,Q145*(1-Assumptions!$B$177)^R7+R117*Assumptions!$B$174*(1-Assumptions!$B$177)^(R7/2),0)</f>
        <v>327.63495997976401</v>
      </c>
      <c r="S145" s="60">
        <f>IF(S2&gt;=Assumptions!$B$50,R145*(1-Assumptions!$B$177)^S7+S117*Assumptions!$B$174*(1-Assumptions!$B$177)^(S7/2),0)</f>
        <v>370.56121929086299</v>
      </c>
      <c r="T145" s="60">
        <f>IF(T2&gt;=Assumptions!$B$50,S145*(1-Assumptions!$B$177)^T7+T117*Assumptions!$B$174*(1-Assumptions!$B$177)^(T7/2),0)</f>
        <v>401.181059248461</v>
      </c>
      <c r="U145" s="60">
        <f>IF(U2&gt;=Assumptions!$B$50,T145*(1-Assumptions!$B$177)^U7+U117*Assumptions!$B$174*(1-Assumptions!$B$177)^(U7/2),0)</f>
        <v>428.32420714602216</v>
      </c>
      <c r="V145" s="60">
        <f>IF(V2&gt;=Assumptions!$B$50,U145*(1-Assumptions!$B$177)^V7+V117*Assumptions!$B$174*(1-Assumptions!$B$177)^(V7/2),0)</f>
        <v>454.10741759558755</v>
      </c>
      <c r="W145" s="60">
        <f>IF(W2&gt;=Assumptions!$B$50,V145*(1-Assumptions!$B$177)^W7+W117*Assumptions!$B$174*(1-Assumptions!$B$177)^(W7/2),0)</f>
        <v>483.94380740817684</v>
      </c>
      <c r="X145" s="60">
        <f>IF(X2&gt;=Assumptions!$B$50,W145*(1-Assumptions!$B$177)^X7+X117*Assumptions!$B$174*(1-Assumptions!$B$177)^(X7/2),0)</f>
        <v>533.96048674518227</v>
      </c>
      <c r="Y145" s="60">
        <f>IF(Y2&gt;=Assumptions!$B$50,X145*(1-Assumptions!$B$177)^Y7+Y117*Assumptions!$B$174*(1-Assumptions!$B$177)^(Y7/2),0)</f>
        <v>575.08086554979218</v>
      </c>
      <c r="Z145" s="60">
        <f>IF(Z2&gt;=Assumptions!$B$50,Y145*(1-Assumptions!$B$177)^Z7+Z117*Assumptions!$B$174*(1-Assumptions!$B$177)^(Z7/2),0)</f>
        <v>604.66711019132083</v>
      </c>
      <c r="AA145" s="60">
        <f>IF(AA2&gt;=Assumptions!$B$50,Z145*(1-Assumptions!$B$177)^AA7+AA117*Assumptions!$B$174*(1-Assumptions!$B$177)^(AA7/2),0)</f>
        <v>1064.6202297737516</v>
      </c>
      <c r="AB145" s="60">
        <f>IF(AB2&gt;=Assumptions!$B$50,AA145*(1-Assumptions!$B$177)^AB7+AB117*Assumptions!$B$174*(1-Assumptions!$B$177)^(AB7/2),0)</f>
        <v>2193.7628095914306</v>
      </c>
      <c r="AC145" s="60">
        <f>IF(AC2&gt;=Assumptions!$B$50,AB145*(1-Assumptions!$B$177)^AC7+AC117*Assumptions!$B$174*(1-Assumptions!$B$177)^(AC7/2),0)</f>
        <v>3423.2070071782618</v>
      </c>
      <c r="AD145" s="60">
        <f>IF(AD2&gt;=Assumptions!$B$50,AC145*(1-Assumptions!$B$177)^AD7+AD117*Assumptions!$B$174*(1-Assumptions!$B$177)^(AD7/2),0)</f>
        <v>3817.9098178454174</v>
      </c>
      <c r="AE145" s="60">
        <f>IF(AE2&gt;=Assumptions!$B$50,AD145*(1-Assumptions!$B$177)^AE7+AE117*Assumptions!$B$174*(1-Assumptions!$B$177)^(AE7/2),0)</f>
        <v>3392.9327973054483</v>
      </c>
    </row>
    <row r="146" spans="1:31" x14ac:dyDescent="0.25">
      <c r="A146" s="6" t="s">
        <v>602</v>
      </c>
      <c r="B146" s="23" t="s">
        <v>114</v>
      </c>
      <c r="C146" s="61">
        <f>C145*(Assumptions!$B$25+MAX(0,Assumptions!$B$176-1)*Assumptions!$B$26)/12*C7</f>
        <v>0</v>
      </c>
      <c r="D146" s="61">
        <f>D145*(Assumptions!$B$25+MAX(0,Assumptions!$B$176-1)*Assumptions!$B$26)/12*D7</f>
        <v>0</v>
      </c>
      <c r="E146" s="61">
        <f>E145*(Assumptions!$B$25+MAX(0,Assumptions!$B$176-1)*Assumptions!$B$26)/12*E7</f>
        <v>0</v>
      </c>
      <c r="F146" s="61">
        <f>F145*(Assumptions!$B$25+MAX(0,Assumptions!$B$176-1)*Assumptions!$B$26)/12*F7</f>
        <v>0</v>
      </c>
      <c r="G146" s="61">
        <f>G145*(Assumptions!$B$25+MAX(0,Assumptions!$B$176-1)*Assumptions!$B$26)/12*G7</f>
        <v>0</v>
      </c>
      <c r="H146" s="61">
        <f>H145*(Assumptions!$B$25+MAX(0,Assumptions!$B$176-1)*Assumptions!$B$26)/12*H7</f>
        <v>0</v>
      </c>
      <c r="I146" s="61">
        <f>I145*(Assumptions!$B$25+MAX(0,Assumptions!$B$176-1)*Assumptions!$B$26)/12*I7</f>
        <v>116.12837931161692</v>
      </c>
      <c r="J146" s="61">
        <f>J145*(Assumptions!$B$25+MAX(0,Assumptions!$B$176-1)*Assumptions!$B$26)/12*J7</f>
        <v>223.84262010147339</v>
      </c>
      <c r="K146" s="61">
        <f>K145*(Assumptions!$B$25+MAX(0,Assumptions!$B$176-1)*Assumptions!$B$26)/12*K7</f>
        <v>334.64238689620316</v>
      </c>
      <c r="L146" s="61">
        <f>L145*(Assumptions!$B$25+MAX(0,Assumptions!$B$176-1)*Assumptions!$B$26)/12*L7</f>
        <v>480.91807399061531</v>
      </c>
      <c r="M146" s="61">
        <f>M145*(Assumptions!$B$25+MAX(0,Assumptions!$B$176-1)*Assumptions!$B$26)/12*M7</f>
        <v>602.87821874649569</v>
      </c>
      <c r="N146" s="61">
        <f>N145*(Assumptions!$B$25+MAX(0,Assumptions!$B$176-1)*Assumptions!$B$26)/12*N7</f>
        <v>696.90566427624856</v>
      </c>
      <c r="O146" s="61">
        <f>O145*(Assumptions!$B$25+MAX(0,Assumptions!$B$176-1)*Assumptions!$B$26)/12*O7</f>
        <v>941.10377893141958</v>
      </c>
      <c r="P146" s="61">
        <f>P145*(Assumptions!$B$25+MAX(0,Assumptions!$B$176-1)*Assumptions!$B$26)/12*P7</f>
        <v>1159.0338918202651</v>
      </c>
      <c r="Q146" s="61">
        <f>Q145*(Assumptions!$B$25+MAX(0,Assumptions!$B$176-1)*Assumptions!$B$26)/12*Q7</f>
        <v>1354.4415300883359</v>
      </c>
      <c r="R146" s="61">
        <f>R145*(Assumptions!$B$25+MAX(0,Assumptions!$B$176-1)*Assumptions!$B$26)/12*R7</f>
        <v>1610.8718865671729</v>
      </c>
      <c r="S146" s="61">
        <f>S145*(Assumptions!$B$25+MAX(0,Assumptions!$B$176-1)*Assumptions!$B$26)/12*S7</f>
        <v>1821.9259948467432</v>
      </c>
      <c r="T146" s="61">
        <f>T145*(Assumptions!$B$25+MAX(0,Assumptions!$B$176-1)*Assumptions!$B$26)/12*T7</f>
        <v>1972.4735413049332</v>
      </c>
      <c r="U146" s="61">
        <f>U145*(Assumptions!$B$25+MAX(0,Assumptions!$B$176-1)*Assumptions!$B$26)/12*U7</f>
        <v>2105.9273518012756</v>
      </c>
      <c r="V146" s="61">
        <f>V145*(Assumptions!$B$25+MAX(0,Assumptions!$B$176-1)*Assumptions!$B$26)/12*V7</f>
        <v>2232.6948031783054</v>
      </c>
      <c r="W146" s="61">
        <f>W145*(Assumptions!$B$25+MAX(0,Assumptions!$B$176-1)*Assumptions!$B$26)/12*W7</f>
        <v>2379.3903864235363</v>
      </c>
      <c r="X146" s="61">
        <f>X145*(Assumptions!$B$25+MAX(0,Assumptions!$B$176-1)*Assumptions!$B$26)/12*X7</f>
        <v>2625.3057264971462</v>
      </c>
      <c r="Y146" s="61">
        <f>Y145*(Assumptions!$B$25+MAX(0,Assumptions!$B$176-1)*Assumptions!$B$26)/12*Y7</f>
        <v>2827.4809222864783</v>
      </c>
      <c r="Z146" s="61">
        <f>Z145*(Assumptions!$B$25+MAX(0,Assumptions!$B$176-1)*Assumptions!$B$26)/12*Z7</f>
        <v>2972.9466251073277</v>
      </c>
      <c r="AA146" s="61">
        <f>AA145*(Assumptions!$B$25+MAX(0,Assumptions!$B$176-1)*Assumptions!$B$26)/12*AA7</f>
        <v>62812.593556651344</v>
      </c>
      <c r="AB146" s="61">
        <f>AB145*(Assumptions!$B$25+MAX(0,Assumptions!$B$176-1)*Assumptions!$B$26)/12*AB7</f>
        <v>129432.0057658944</v>
      </c>
      <c r="AC146" s="61">
        <f>AC145*(Assumptions!$B$25+MAX(0,Assumptions!$B$176-1)*Assumptions!$B$26)/12*AC7</f>
        <v>201969.21342351742</v>
      </c>
      <c r="AD146" s="61">
        <f>AD145*(Assumptions!$B$25+MAX(0,Assumptions!$B$176-1)*Assumptions!$B$26)/12*AD7</f>
        <v>225256.67925287964</v>
      </c>
      <c r="AE146" s="61">
        <f>AE145*(Assumptions!$B$25+MAX(0,Assumptions!$B$176-1)*Assumptions!$B$26)/12*AE7</f>
        <v>200183.03504102147</v>
      </c>
    </row>
    <row r="147" spans="1:31" x14ac:dyDescent="0.25">
      <c r="A147" s="6" t="s">
        <v>603</v>
      </c>
      <c r="B147" s="23" t="s">
        <v>114</v>
      </c>
      <c r="C147" s="61">
        <f>IF(C2&gt;=Assumptions!$B$52,C139*C17*Assumptions!$B$17+C133*(Assumptions!$B$163*MAX(0,Assumptions!$B$167-Assumptions!$B$18)+Assumptions!$B$164*MAX(0,Assumptions!$B$168-Assumptions!$B$18)+Assumptions!$B$165*MAX(0,Assumptions!$B$169-Assumptions!$B$18)+Assumptions!$B$166*MAX(0,Assumptions!$B$170-Assumptions!$B$18))*Assumptions!$B$19/Assumptions!$B$7*C7+C134*Assumptions!$B$20/Assumptions!$B$7+C132*(Assumptions!$B$161*Assumptions!$B$20+Assumptions!$B$162*Assumptions!$B$21)/12/Assumptions!$B$7*C7,0)</f>
        <v>0</v>
      </c>
      <c r="D147" s="61">
        <f>IF(D2&gt;=Assumptions!$B$52,D139*D17*Assumptions!$B$17+D133*(Assumptions!$B$163*MAX(0,Assumptions!$B$167-Assumptions!$B$18)+Assumptions!$B$164*MAX(0,Assumptions!$B$168-Assumptions!$B$18)+Assumptions!$B$165*MAX(0,Assumptions!$B$169-Assumptions!$B$18)+Assumptions!$B$166*MAX(0,Assumptions!$B$170-Assumptions!$B$18))*Assumptions!$B$19/Assumptions!$B$7*D7+D134*Assumptions!$B$20/Assumptions!$B$7+D132*(Assumptions!$B$161*Assumptions!$B$20+Assumptions!$B$162*Assumptions!$B$21)/12/Assumptions!$B$7*D7,0)</f>
        <v>0</v>
      </c>
      <c r="E147" s="61">
        <f>IF(E2&gt;=Assumptions!$B$52,E139*E17*Assumptions!$B$17+E133*(Assumptions!$B$163*MAX(0,Assumptions!$B$167-Assumptions!$B$18)+Assumptions!$B$164*MAX(0,Assumptions!$B$168-Assumptions!$B$18)+Assumptions!$B$165*MAX(0,Assumptions!$B$169-Assumptions!$B$18)+Assumptions!$B$166*MAX(0,Assumptions!$B$170-Assumptions!$B$18))*Assumptions!$B$19/Assumptions!$B$7*E7+E134*Assumptions!$B$20/Assumptions!$B$7+E132*(Assumptions!$B$161*Assumptions!$B$20+Assumptions!$B$162*Assumptions!$B$21)/12/Assumptions!$B$7*E7,0)</f>
        <v>0</v>
      </c>
      <c r="F147" s="61">
        <f>IF(F2&gt;=Assumptions!$B$52,F139*F17*Assumptions!$B$17+F133*(Assumptions!$B$163*MAX(0,Assumptions!$B$167-Assumptions!$B$18)+Assumptions!$B$164*MAX(0,Assumptions!$B$168-Assumptions!$B$18)+Assumptions!$B$165*MAX(0,Assumptions!$B$169-Assumptions!$B$18)+Assumptions!$B$166*MAX(0,Assumptions!$B$170-Assumptions!$B$18))*Assumptions!$B$19/Assumptions!$B$7*F7+F134*Assumptions!$B$20/Assumptions!$B$7+F132*(Assumptions!$B$161*Assumptions!$B$20+Assumptions!$B$162*Assumptions!$B$21)/12/Assumptions!$B$7*F7,0)</f>
        <v>0</v>
      </c>
      <c r="G147" s="61">
        <f>IF(G2&gt;=Assumptions!$B$52,G139*G17*Assumptions!$B$17+G133*(Assumptions!$B$163*MAX(0,Assumptions!$B$167-Assumptions!$B$18)+Assumptions!$B$164*MAX(0,Assumptions!$B$168-Assumptions!$B$18)+Assumptions!$B$165*MAX(0,Assumptions!$B$169-Assumptions!$B$18)+Assumptions!$B$166*MAX(0,Assumptions!$B$170-Assumptions!$B$18))*Assumptions!$B$19/Assumptions!$B$7*G7+G134*Assumptions!$B$20/Assumptions!$B$7+G132*(Assumptions!$B$161*Assumptions!$B$20+Assumptions!$B$162*Assumptions!$B$21)/12/Assumptions!$B$7*G7,0)</f>
        <v>0</v>
      </c>
      <c r="H147" s="61">
        <f>IF(H2&gt;=Assumptions!$B$52,H139*H17*Assumptions!$B$17+H133*(Assumptions!$B$163*MAX(0,Assumptions!$B$167-Assumptions!$B$18)+Assumptions!$B$164*MAX(0,Assumptions!$B$168-Assumptions!$B$18)+Assumptions!$B$165*MAX(0,Assumptions!$B$169-Assumptions!$B$18)+Assumptions!$B$166*MAX(0,Assumptions!$B$170-Assumptions!$B$18))*Assumptions!$B$19/Assumptions!$B$7*H7+H134*Assumptions!$B$20/Assumptions!$B$7+H132*(Assumptions!$B$161*Assumptions!$B$20+Assumptions!$B$162*Assumptions!$B$21)/12/Assumptions!$B$7*H7,0)</f>
        <v>0</v>
      </c>
      <c r="I147" s="61">
        <f>IF(I2&gt;=Assumptions!$B$52,I139*I17*Assumptions!$B$17+I133*(Assumptions!$B$163*MAX(0,Assumptions!$B$167-Assumptions!$B$18)+Assumptions!$B$164*MAX(0,Assumptions!$B$168-Assumptions!$B$18)+Assumptions!$B$165*MAX(0,Assumptions!$B$169-Assumptions!$B$18)+Assumptions!$B$166*MAX(0,Assumptions!$B$170-Assumptions!$B$18))*Assumptions!$B$19/Assumptions!$B$7*I7+I134*Assumptions!$B$20/Assumptions!$B$7+I132*(Assumptions!$B$161*Assumptions!$B$20+Assumptions!$B$162*Assumptions!$B$21)/12/Assumptions!$B$7*I7,0)</f>
        <v>0</v>
      </c>
      <c r="J147" s="61">
        <f>IF(J2&gt;=Assumptions!$B$52,J139*J17*Assumptions!$B$17+J133*(Assumptions!$B$163*MAX(0,Assumptions!$B$167-Assumptions!$B$18)+Assumptions!$B$164*MAX(0,Assumptions!$B$168-Assumptions!$B$18)+Assumptions!$B$165*MAX(0,Assumptions!$B$169-Assumptions!$B$18)+Assumptions!$B$166*MAX(0,Assumptions!$B$170-Assumptions!$B$18))*Assumptions!$B$19/Assumptions!$B$7*J7+J134*Assumptions!$B$20/Assumptions!$B$7+J132*(Assumptions!$B$161*Assumptions!$B$20+Assumptions!$B$162*Assumptions!$B$21)/12/Assumptions!$B$7*J7,0)</f>
        <v>0</v>
      </c>
      <c r="K147" s="61">
        <f>IF(K2&gt;=Assumptions!$B$52,K139*K17*Assumptions!$B$17+K133*(Assumptions!$B$163*MAX(0,Assumptions!$B$167-Assumptions!$B$18)+Assumptions!$B$164*MAX(0,Assumptions!$B$168-Assumptions!$B$18)+Assumptions!$B$165*MAX(0,Assumptions!$B$169-Assumptions!$B$18)+Assumptions!$B$166*MAX(0,Assumptions!$B$170-Assumptions!$B$18))*Assumptions!$B$19/Assumptions!$B$7*K7+K134*Assumptions!$B$20/Assumptions!$B$7+K132*(Assumptions!$B$161*Assumptions!$B$20+Assumptions!$B$162*Assumptions!$B$21)/12/Assumptions!$B$7*K7,0)</f>
        <v>0</v>
      </c>
      <c r="L147" s="61">
        <f>IF(L2&gt;=Assumptions!$B$52,L139*L17*Assumptions!$B$17+L133*(Assumptions!$B$163*MAX(0,Assumptions!$B$167-Assumptions!$B$18)+Assumptions!$B$164*MAX(0,Assumptions!$B$168-Assumptions!$B$18)+Assumptions!$B$165*MAX(0,Assumptions!$B$169-Assumptions!$B$18)+Assumptions!$B$166*MAX(0,Assumptions!$B$170-Assumptions!$B$18))*Assumptions!$B$19/Assumptions!$B$7*L7+L134*Assumptions!$B$20/Assumptions!$B$7+L132*(Assumptions!$B$161*Assumptions!$B$20+Assumptions!$B$162*Assumptions!$B$21)/12/Assumptions!$B$7*L7,0)</f>
        <v>0</v>
      </c>
      <c r="M147" s="61">
        <f>IF(M2&gt;=Assumptions!$B$52,M139*M17*Assumptions!$B$17+M133*(Assumptions!$B$163*MAX(0,Assumptions!$B$167-Assumptions!$B$18)+Assumptions!$B$164*MAX(0,Assumptions!$B$168-Assumptions!$B$18)+Assumptions!$B$165*MAX(0,Assumptions!$B$169-Assumptions!$B$18)+Assumptions!$B$166*MAX(0,Assumptions!$B$170-Assumptions!$B$18))*Assumptions!$B$19/Assumptions!$B$7*M7+M134*Assumptions!$B$20/Assumptions!$B$7+M132*(Assumptions!$B$161*Assumptions!$B$20+Assumptions!$B$162*Assumptions!$B$21)/12/Assumptions!$B$7*M7,0)</f>
        <v>0</v>
      </c>
      <c r="N147" s="61">
        <f>IF(N2&gt;=Assumptions!$B$52,N139*N17*Assumptions!$B$17+N133*(Assumptions!$B$163*MAX(0,Assumptions!$B$167-Assumptions!$B$18)+Assumptions!$B$164*MAX(0,Assumptions!$B$168-Assumptions!$B$18)+Assumptions!$B$165*MAX(0,Assumptions!$B$169-Assumptions!$B$18)+Assumptions!$B$166*MAX(0,Assumptions!$B$170-Assumptions!$B$18))*Assumptions!$B$19/Assumptions!$B$7*N7+N134*Assumptions!$B$20/Assumptions!$B$7+N132*(Assumptions!$B$161*Assumptions!$B$20+Assumptions!$B$162*Assumptions!$B$21)/12/Assumptions!$B$7*N7,0)</f>
        <v>0</v>
      </c>
      <c r="O147" s="61">
        <f>IF(O2&gt;=Assumptions!$B$52,O139*O17*Assumptions!$B$17+O133*(Assumptions!$B$163*MAX(0,Assumptions!$B$167-Assumptions!$B$18)+Assumptions!$B$164*MAX(0,Assumptions!$B$168-Assumptions!$B$18)+Assumptions!$B$165*MAX(0,Assumptions!$B$169-Assumptions!$B$18)+Assumptions!$B$166*MAX(0,Assumptions!$B$170-Assumptions!$B$18))*Assumptions!$B$19/Assumptions!$B$7*O7+O134*Assumptions!$B$20/Assumptions!$B$7+O132*(Assumptions!$B$161*Assumptions!$B$20+Assumptions!$B$162*Assumptions!$B$21)/12/Assumptions!$B$7*O7,0)</f>
        <v>10836.637273198086</v>
      </c>
      <c r="P147" s="61">
        <f>IF(P2&gt;=Assumptions!$B$52,P139*P17*Assumptions!$B$17+P133*(Assumptions!$B$163*MAX(0,Assumptions!$B$167-Assumptions!$B$18)+Assumptions!$B$164*MAX(0,Assumptions!$B$168-Assumptions!$B$18)+Assumptions!$B$165*MAX(0,Assumptions!$B$169-Assumptions!$B$18)+Assumptions!$B$166*MAX(0,Assumptions!$B$170-Assumptions!$B$18))*Assumptions!$B$19/Assumptions!$B$7*P7+P134*Assumptions!$B$20/Assumptions!$B$7+P132*(Assumptions!$B$161*Assumptions!$B$20+Assumptions!$B$162*Assumptions!$B$21)/12/Assumptions!$B$7*P7,0)</f>
        <v>2426.1164707901708</v>
      </c>
      <c r="Q147" s="61">
        <f>IF(Q2&gt;=Assumptions!$B$52,Q139*Q17*Assumptions!$B$17+Q133*(Assumptions!$B$163*MAX(0,Assumptions!$B$167-Assumptions!$B$18)+Assumptions!$B$164*MAX(0,Assumptions!$B$168-Assumptions!$B$18)+Assumptions!$B$165*MAX(0,Assumptions!$B$169-Assumptions!$B$18)+Assumptions!$B$166*MAX(0,Assumptions!$B$170-Assumptions!$B$18))*Assumptions!$B$19/Assumptions!$B$7*Q7+Q134*Assumptions!$B$20/Assumptions!$B$7+Q132*(Assumptions!$B$161*Assumptions!$B$20+Assumptions!$B$162*Assumptions!$B$21)/12/Assumptions!$B$7*Q7,0)</f>
        <v>2509.0538545734248</v>
      </c>
      <c r="R147" s="61">
        <f>IF(R2&gt;=Assumptions!$B$52,R139*R17*Assumptions!$B$17+R133*(Assumptions!$B$163*MAX(0,Assumptions!$B$167-Assumptions!$B$18)+Assumptions!$B$164*MAX(0,Assumptions!$B$168-Assumptions!$B$18)+Assumptions!$B$165*MAX(0,Assumptions!$B$169-Assumptions!$B$18)+Assumptions!$B$166*MAX(0,Assumptions!$B$170-Assumptions!$B$18))*Assumptions!$B$19/Assumptions!$B$7*R7+R134*Assumptions!$B$20/Assumptions!$B$7+R132*(Assumptions!$B$161*Assumptions!$B$20+Assumptions!$B$162*Assumptions!$B$21)/12/Assumptions!$B$7*R7,0)</f>
        <v>3049.8198558520921</v>
      </c>
      <c r="S147" s="61">
        <f>IF(S2&gt;=Assumptions!$B$52,S139*S17*Assumptions!$B$17+S133*(Assumptions!$B$163*MAX(0,Assumptions!$B$167-Assumptions!$B$18)+Assumptions!$B$164*MAX(0,Assumptions!$B$168-Assumptions!$B$18)+Assumptions!$B$165*MAX(0,Assumptions!$B$169-Assumptions!$B$18)+Assumptions!$B$166*MAX(0,Assumptions!$B$170-Assumptions!$B$18))*Assumptions!$B$19/Assumptions!$B$7*S7+S134*Assumptions!$B$20/Assumptions!$B$7+S132*(Assumptions!$B$161*Assumptions!$B$20+Assumptions!$B$162*Assumptions!$B$21)/12/Assumptions!$B$7*S7,0)</f>
        <v>3052.884712697045</v>
      </c>
      <c r="T147" s="61">
        <f>IF(T2&gt;=Assumptions!$B$52,T139*T17*Assumptions!$B$17+T133*(Assumptions!$B$163*MAX(0,Assumptions!$B$167-Assumptions!$B$18)+Assumptions!$B$164*MAX(0,Assumptions!$B$168-Assumptions!$B$18)+Assumptions!$B$165*MAX(0,Assumptions!$B$169-Assumptions!$B$18)+Assumptions!$B$166*MAX(0,Assumptions!$B$170-Assumptions!$B$18))*Assumptions!$B$19/Assumptions!$B$7*T7+T134*Assumptions!$B$20/Assumptions!$B$7+T132*(Assumptions!$B$161*Assumptions!$B$20+Assumptions!$B$162*Assumptions!$B$21)/12/Assumptions!$B$7*T7,0)</f>
        <v>2960.8860729006169</v>
      </c>
      <c r="U147" s="61">
        <f>IF(U2&gt;=Assumptions!$B$52,U139*U17*Assumptions!$B$17+U133*(Assumptions!$B$163*MAX(0,Assumptions!$B$167-Assumptions!$B$18)+Assumptions!$B$164*MAX(0,Assumptions!$B$168-Assumptions!$B$18)+Assumptions!$B$165*MAX(0,Assumptions!$B$169-Assumptions!$B$18)+Assumptions!$B$166*MAX(0,Assumptions!$B$170-Assumptions!$B$18))*Assumptions!$B$19/Assumptions!$B$7*U7+U134*Assumptions!$B$20/Assumptions!$B$7+U132*(Assumptions!$B$161*Assumptions!$B$20+Assumptions!$B$162*Assumptions!$B$21)/12/Assumptions!$B$7*U7,0)</f>
        <v>3050.8568398498915</v>
      </c>
      <c r="V147" s="61">
        <f>IF(V2&gt;=Assumptions!$B$52,V139*V17*Assumptions!$B$17+V133*(Assumptions!$B$163*MAX(0,Assumptions!$B$167-Assumptions!$B$18)+Assumptions!$B$164*MAX(0,Assumptions!$B$168-Assumptions!$B$18)+Assumptions!$B$165*MAX(0,Assumptions!$B$169-Assumptions!$B$18)+Assumptions!$B$166*MAX(0,Assumptions!$B$170-Assumptions!$B$18))*Assumptions!$B$19/Assumptions!$B$7*V7+V134*Assumptions!$B$20/Assumptions!$B$7+V132*(Assumptions!$B$161*Assumptions!$B$20+Assumptions!$B$162*Assumptions!$B$21)/12/Assumptions!$B$7*V7,0)</f>
        <v>3185.7951415298894</v>
      </c>
      <c r="W147" s="61">
        <f>IF(W2&gt;=Assumptions!$B$52,W139*W17*Assumptions!$B$17+W133*(Assumptions!$B$163*MAX(0,Assumptions!$B$167-Assumptions!$B$18)+Assumptions!$B$164*MAX(0,Assumptions!$B$168-Assumptions!$B$18)+Assumptions!$B$165*MAX(0,Assumptions!$B$169-Assumptions!$B$18)+Assumptions!$B$166*MAX(0,Assumptions!$B$170-Assumptions!$B$18))*Assumptions!$B$19/Assumptions!$B$7*W7+W134*Assumptions!$B$20/Assumptions!$B$7+W132*(Assumptions!$B$161*Assumptions!$B$20+Assumptions!$B$162*Assumptions!$B$21)/12/Assumptions!$B$7*W7,0)</f>
        <v>3448.6088965345075</v>
      </c>
      <c r="X147" s="61">
        <f>IF(X2&gt;=Assumptions!$B$52,X139*X17*Assumptions!$B$17+X133*(Assumptions!$B$163*MAX(0,Assumptions!$B$167-Assumptions!$B$18)+Assumptions!$B$164*MAX(0,Assumptions!$B$168-Assumptions!$B$18)+Assumptions!$B$165*MAX(0,Assumptions!$B$169-Assumptions!$B$18)+Assumptions!$B$166*MAX(0,Assumptions!$B$170-Assumptions!$B$18))*Assumptions!$B$19/Assumptions!$B$7*X7+X134*Assumptions!$B$20/Assumptions!$B$7+X132*(Assumptions!$B$161*Assumptions!$B$20+Assumptions!$B$162*Assumptions!$B$21)/12/Assumptions!$B$7*X7,0)</f>
        <v>4208.1738847669376</v>
      </c>
      <c r="Y147" s="61">
        <f>IF(Y2&gt;=Assumptions!$B$52,Y139*Y17*Assumptions!$B$17+Y133*(Assumptions!$B$163*MAX(0,Assumptions!$B$167-Assumptions!$B$18)+Assumptions!$B$164*MAX(0,Assumptions!$B$168-Assumptions!$B$18)+Assumptions!$B$165*MAX(0,Assumptions!$B$169-Assumptions!$B$18)+Assumptions!$B$166*MAX(0,Assumptions!$B$170-Assumptions!$B$18))*Assumptions!$B$19/Assumptions!$B$7*Y7+Y134*Assumptions!$B$20/Assumptions!$B$7+Y132*(Assumptions!$B$161*Assumptions!$B$20+Assumptions!$B$162*Assumptions!$B$21)/12/Assumptions!$B$7*Y7,0)</f>
        <v>4241.8033804982579</v>
      </c>
      <c r="Z147" s="61">
        <f>IF(Z2&gt;=Assumptions!$B$52,Z139*Z17*Assumptions!$B$17+Z133*(Assumptions!$B$163*MAX(0,Assumptions!$B$167-Assumptions!$B$18)+Assumptions!$B$164*MAX(0,Assumptions!$B$168-Assumptions!$B$18)+Assumptions!$B$165*MAX(0,Assumptions!$B$169-Assumptions!$B$18)+Assumptions!$B$166*MAX(0,Assumptions!$B$170-Assumptions!$B$18))*Assumptions!$B$19/Assumptions!$B$7*Z7+Z134*Assumptions!$B$20/Assumptions!$B$7+Z132*(Assumptions!$B$161*Assumptions!$B$20+Assumptions!$B$162*Assumptions!$B$21)/12/Assumptions!$B$7*Z7,0)</f>
        <v>4164.5635599882335</v>
      </c>
      <c r="AA147" s="61">
        <f>IF(AA2&gt;=Assumptions!$B$52,AA139*AA17*Assumptions!$B$17+AA133*(Assumptions!$B$163*MAX(0,Assumptions!$B$167-Assumptions!$B$18)+Assumptions!$B$164*MAX(0,Assumptions!$B$168-Assumptions!$B$18)+Assumptions!$B$165*MAX(0,Assumptions!$B$169-Assumptions!$B$18)+Assumptions!$B$166*MAX(0,Assumptions!$B$170-Assumptions!$B$18))*Assumptions!$B$19/Assumptions!$B$7*AA7+AA134*Assumptions!$B$20/Assumptions!$B$7+AA132*(Assumptions!$B$161*Assumptions!$B$20+Assumptions!$B$162*Assumptions!$B$21)/12/Assumptions!$B$7*AA7,0)</f>
        <v>92025.945027453548</v>
      </c>
      <c r="AB147" s="61">
        <f>IF(AB2&gt;=Assumptions!$B$52,AB139*AB17*Assumptions!$B$17+AB133*(Assumptions!$B$163*MAX(0,Assumptions!$B$167-Assumptions!$B$18)+Assumptions!$B$164*MAX(0,Assumptions!$B$168-Assumptions!$B$18)+Assumptions!$B$165*MAX(0,Assumptions!$B$169-Assumptions!$B$18)+Assumptions!$B$166*MAX(0,Assumptions!$B$170-Assumptions!$B$18))*Assumptions!$B$19/Assumptions!$B$7*AB7+AB134*Assumptions!$B$20/Assumptions!$B$7+AB132*(Assumptions!$B$161*Assumptions!$B$20+Assumptions!$B$162*Assumptions!$B$21)/12/Assumptions!$B$7*AB7,0)</f>
        <v>197251.70211803346</v>
      </c>
      <c r="AC147" s="61">
        <f>IF(AC2&gt;=Assumptions!$B$52,AC139*AC17*Assumptions!$B$17+AC133*(Assumptions!$B$163*MAX(0,Assumptions!$B$167-Assumptions!$B$18)+Assumptions!$B$164*MAX(0,Assumptions!$B$168-Assumptions!$B$18)+Assumptions!$B$165*MAX(0,Assumptions!$B$169-Assumptions!$B$18)+Assumptions!$B$166*MAX(0,Assumptions!$B$170-Assumptions!$B$18))*Assumptions!$B$19/Assumptions!$B$7*AC7+AC134*Assumptions!$B$20/Assumptions!$B$7+AC132*(Assumptions!$B$161*Assumptions!$B$20+Assumptions!$B$162*Assumptions!$B$21)/12/Assumptions!$B$7*AC7,0)</f>
        <v>326476.16567269166</v>
      </c>
      <c r="AD147" s="61">
        <f>IF(AD2&gt;=Assumptions!$B$52,AD139*AD17*Assumptions!$B$17+AD133*(Assumptions!$B$163*MAX(0,Assumptions!$B$167-Assumptions!$B$18)+Assumptions!$B$164*MAX(0,Assumptions!$B$168-Assumptions!$B$18)+Assumptions!$B$165*MAX(0,Assumptions!$B$169-Assumptions!$B$18)+Assumptions!$B$166*MAX(0,Assumptions!$B$170-Assumptions!$B$18))*Assumptions!$B$19/Assumptions!$B$7*AD7+AD134*Assumptions!$B$20/Assumptions!$B$7+AD132*(Assumptions!$B$161*Assumptions!$B$20+Assumptions!$B$162*Assumptions!$B$21)/12/Assumptions!$B$7*AD7,0)</f>
        <v>418827.84389697126</v>
      </c>
      <c r="AE147" s="61">
        <f>IF(AE2&gt;=Assumptions!$B$52,AE139*AE17*Assumptions!$B$17+AE133*(Assumptions!$B$163*MAX(0,Assumptions!$B$167-Assumptions!$B$18)+Assumptions!$B$164*MAX(0,Assumptions!$B$168-Assumptions!$B$18)+Assumptions!$B$165*MAX(0,Assumptions!$B$169-Assumptions!$B$18)+Assumptions!$B$166*MAX(0,Assumptions!$B$170-Assumptions!$B$18))*Assumptions!$B$19/Assumptions!$B$7*AE7+AE134*Assumptions!$B$20/Assumptions!$B$7+AE132*(Assumptions!$B$161*Assumptions!$B$20+Assumptions!$B$162*Assumptions!$B$21)/12/Assumptions!$B$7*AE7,0)</f>
        <v>470207.3348737596</v>
      </c>
    </row>
    <row r="148" spans="1:31" x14ac:dyDescent="0.25">
      <c r="A148" s="6" t="s">
        <v>604</v>
      </c>
      <c r="B148" s="23" t="s">
        <v>114</v>
      </c>
      <c r="C148" s="61">
        <f>IF(C2&gt;=Assumptions!$B$53,C132*C135*(1-Assumptions!$B$227)*Assumptions!$B$171*Assumptions!$B$172,0)</f>
        <v>0</v>
      </c>
      <c r="D148" s="61">
        <f>IF(D2&gt;=Assumptions!$B$53,D132*D135*(1-Assumptions!$B$227)*Assumptions!$B$171*Assumptions!$B$172,0)</f>
        <v>0</v>
      </c>
      <c r="E148" s="61">
        <f>IF(E2&gt;=Assumptions!$B$53,E132*E135*(1-Assumptions!$B$227)*Assumptions!$B$171*Assumptions!$B$172,0)</f>
        <v>0</v>
      </c>
      <c r="F148" s="61">
        <f>IF(F2&gt;=Assumptions!$B$53,F132*F135*(1-Assumptions!$B$227)*Assumptions!$B$171*Assumptions!$B$172,0)</f>
        <v>0</v>
      </c>
      <c r="G148" s="61">
        <f>IF(G2&gt;=Assumptions!$B$53,G132*G135*(1-Assumptions!$B$227)*Assumptions!$B$171*Assumptions!$B$172,0)</f>
        <v>0</v>
      </c>
      <c r="H148" s="61">
        <f>IF(H2&gt;=Assumptions!$B$53,H132*H135*(1-Assumptions!$B$227)*Assumptions!$B$171*Assumptions!$B$172,0)</f>
        <v>0</v>
      </c>
      <c r="I148" s="61">
        <f>IF(I2&gt;=Assumptions!$B$53,I132*I135*(1-Assumptions!$B$227)*Assumptions!$B$171*Assumptions!$B$172,0)</f>
        <v>0</v>
      </c>
      <c r="J148" s="61">
        <f>IF(J2&gt;=Assumptions!$B$53,J132*J135*(1-Assumptions!$B$227)*Assumptions!$B$171*Assumptions!$B$172,0)</f>
        <v>0</v>
      </c>
      <c r="K148" s="61">
        <f>IF(K2&gt;=Assumptions!$B$53,K132*K135*(1-Assumptions!$B$227)*Assumptions!$B$171*Assumptions!$B$172,0)</f>
        <v>0</v>
      </c>
      <c r="L148" s="61">
        <f>IF(L2&gt;=Assumptions!$B$53,L132*L135*(1-Assumptions!$B$227)*Assumptions!$B$171*Assumptions!$B$172,0)</f>
        <v>0</v>
      </c>
      <c r="M148" s="61">
        <f>IF(M2&gt;=Assumptions!$B$53,M132*M135*(1-Assumptions!$B$227)*Assumptions!$B$171*Assumptions!$B$172,0)</f>
        <v>0</v>
      </c>
      <c r="N148" s="61">
        <f>IF(N2&gt;=Assumptions!$B$53,N132*N135*(1-Assumptions!$B$227)*Assumptions!$B$171*Assumptions!$B$172,0)</f>
        <v>0</v>
      </c>
      <c r="O148" s="61">
        <f>IF(O2&gt;=Assumptions!$B$53,O132*O135*(1-Assumptions!$B$227)*Assumptions!$B$171*Assumptions!$B$172,0)</f>
        <v>8359.1252550991339</v>
      </c>
      <c r="P148" s="61">
        <f>IF(P2&gt;=Assumptions!$B$53,P132*P135*(1-Assumptions!$B$227)*Assumptions!$B$171*Assumptions!$B$172,0)</f>
        <v>9621.110718596814</v>
      </c>
      <c r="Q148" s="61">
        <f>IF(Q2&gt;=Assumptions!$B$53,Q132*Q135*(1-Assumptions!$B$227)*Assumptions!$B$171*Assumptions!$B$172,0)</f>
        <v>11022.587119338588</v>
      </c>
      <c r="R148" s="61">
        <f>IF(R2&gt;=Assumptions!$B$53,R132*R135*(1-Assumptions!$B$227)*Assumptions!$B$171*Assumptions!$B$172,0)</f>
        <v>12613.734736277858</v>
      </c>
      <c r="S148" s="61">
        <f>IF(S2&gt;=Assumptions!$B$53,S132*S135*(1-Assumptions!$B$227)*Assumptions!$B$171*Assumptions!$B$172,0)</f>
        <v>14360.945504335195</v>
      </c>
      <c r="T148" s="61">
        <f>IF(T2&gt;=Assumptions!$B$53,T132*T135*(1-Assumptions!$B$227)*Assumptions!$B$171*Assumptions!$B$172,0)</f>
        <v>16217.962488965426</v>
      </c>
      <c r="U148" s="61">
        <f>IF(U2&gt;=Assumptions!$B$53,U132*U135*(1-Assumptions!$B$227)*Assumptions!$B$171*Assumptions!$B$172,0)</f>
        <v>18172.113436484033</v>
      </c>
      <c r="V148" s="61">
        <f>IF(V2&gt;=Assumptions!$B$53,V132*V135*(1-Assumptions!$B$227)*Assumptions!$B$171*Assumptions!$B$172,0)</f>
        <v>20218.681845211693</v>
      </c>
      <c r="W148" s="61">
        <f>IF(W2&gt;=Assumptions!$B$53,W132*W135*(1-Assumptions!$B$227)*Assumptions!$B$171*Assumptions!$B$172,0)</f>
        <v>22373.875693862872</v>
      </c>
      <c r="X148" s="61">
        <f>IF(X2&gt;=Assumptions!$B$53,X132*X135*(1-Assumptions!$B$227)*Assumptions!$B$171*Assumptions!$B$172,0)</f>
        <v>24716.837197411925</v>
      </c>
      <c r="Y148" s="61">
        <f>IF(Y2&gt;=Assumptions!$B$53,Y132*Y135*(1-Assumptions!$B$227)*Assumptions!$B$171*Assumptions!$B$172,0)</f>
        <v>27214.230226406387</v>
      </c>
      <c r="Z148" s="61">
        <f>IF(Z2&gt;=Assumptions!$B$53,Z132*Z135*(1-Assumptions!$B$227)*Assumptions!$B$171*Assumptions!$B$172,0)</f>
        <v>29821.836102905712</v>
      </c>
      <c r="AA148" s="61">
        <f>IF(AA2&gt;=Assumptions!$B$53,AA132*AA135*(1-Assumptions!$B$227)*Assumptions!$B$171*Assumptions!$B$172,0)</f>
        <v>90294.149827393965</v>
      </c>
      <c r="AB148" s="61">
        <f>IF(AB2&gt;=Assumptions!$B$53,AB132*AB135*(1-Assumptions!$B$227)*Assumptions!$B$171*Assumptions!$B$172,0)</f>
        <v>211689.37636999687</v>
      </c>
      <c r="AC148" s="61">
        <f>IF(AC2&gt;=Assumptions!$B$53,AC132*AC135*(1-Assumptions!$B$227)*Assumptions!$B$171*Assumptions!$B$172,0)</f>
        <v>400831.33339728235</v>
      </c>
      <c r="AD148" s="61">
        <f>IF(AD2&gt;=Assumptions!$B$53,AD132*AD135*(1-Assumptions!$B$227)*Assumptions!$B$171*Assumptions!$B$172,0)</f>
        <v>611693.34659900772</v>
      </c>
      <c r="AE148" s="61">
        <f>IF(AE2&gt;=Assumptions!$B$53,AE132*AE135*(1-Assumptions!$B$227)*Assumptions!$B$171*Assumptions!$B$172,0)</f>
        <v>793890.36209232232</v>
      </c>
    </row>
    <row r="149" spans="1:31" x14ac:dyDescent="0.25">
      <c r="A149" s="6" t="s">
        <v>605</v>
      </c>
      <c r="B149" s="23" t="s">
        <v>114</v>
      </c>
      <c r="C149" s="61">
        <f>IF(C2&gt;=Assumptions!$B$53,(C148*Assumptions!$B$29*Assumptions!$B$30+C133*C136*(1-Assumptions!$B$227)*Assumptions!$B$27*Assumptions!$B$28)*C7/12,0)</f>
        <v>0</v>
      </c>
      <c r="D149" s="61">
        <f>IF(D2&gt;=Assumptions!$B$53,(D148*Assumptions!$B$29*Assumptions!$B$30+D133*D136*(1-Assumptions!$B$227)*Assumptions!$B$27*Assumptions!$B$28)*D7/12,0)</f>
        <v>0</v>
      </c>
      <c r="E149" s="61">
        <f>IF(E2&gt;=Assumptions!$B$53,(E148*Assumptions!$B$29*Assumptions!$B$30+E133*E136*(1-Assumptions!$B$227)*Assumptions!$B$27*Assumptions!$B$28)*E7/12,0)</f>
        <v>0</v>
      </c>
      <c r="F149" s="61">
        <f>IF(F2&gt;=Assumptions!$B$53,(F148*Assumptions!$B$29*Assumptions!$B$30+F133*F136*(1-Assumptions!$B$227)*Assumptions!$B$27*Assumptions!$B$28)*F7/12,0)</f>
        <v>0</v>
      </c>
      <c r="G149" s="61">
        <f>IF(G2&gt;=Assumptions!$B$53,(G148*Assumptions!$B$29*Assumptions!$B$30+G133*G136*(1-Assumptions!$B$227)*Assumptions!$B$27*Assumptions!$B$28)*G7/12,0)</f>
        <v>0</v>
      </c>
      <c r="H149" s="61">
        <f>IF(H2&gt;=Assumptions!$B$53,(H148*Assumptions!$B$29*Assumptions!$B$30+H133*H136*(1-Assumptions!$B$227)*Assumptions!$B$27*Assumptions!$B$28)*H7/12,0)</f>
        <v>0</v>
      </c>
      <c r="I149" s="61">
        <f>IF(I2&gt;=Assumptions!$B$53,(I148*Assumptions!$B$29*Assumptions!$B$30+I133*I136*(1-Assumptions!$B$227)*Assumptions!$B$27*Assumptions!$B$28)*I7/12,0)</f>
        <v>0</v>
      </c>
      <c r="J149" s="61">
        <f>IF(J2&gt;=Assumptions!$B$53,(J148*Assumptions!$B$29*Assumptions!$B$30+J133*J136*(1-Assumptions!$B$227)*Assumptions!$B$27*Assumptions!$B$28)*J7/12,0)</f>
        <v>0</v>
      </c>
      <c r="K149" s="61">
        <f>IF(K2&gt;=Assumptions!$B$53,(K148*Assumptions!$B$29*Assumptions!$B$30+K133*K136*(1-Assumptions!$B$227)*Assumptions!$B$27*Assumptions!$B$28)*K7/12,0)</f>
        <v>0</v>
      </c>
      <c r="L149" s="61">
        <f>IF(L2&gt;=Assumptions!$B$53,(L148*Assumptions!$B$29*Assumptions!$B$30+L133*L136*(1-Assumptions!$B$227)*Assumptions!$B$27*Assumptions!$B$28)*L7/12,0)</f>
        <v>0</v>
      </c>
      <c r="M149" s="61">
        <f>IF(M2&gt;=Assumptions!$B$53,(M148*Assumptions!$B$29*Assumptions!$B$30+M133*M136*(1-Assumptions!$B$227)*Assumptions!$B$27*Assumptions!$B$28)*M7/12,0)</f>
        <v>0</v>
      </c>
      <c r="N149" s="61">
        <f>IF(N2&gt;=Assumptions!$B$53,(N148*Assumptions!$B$29*Assumptions!$B$30+N133*N136*(1-Assumptions!$B$227)*Assumptions!$B$27*Assumptions!$B$28)*N7/12,0)</f>
        <v>0</v>
      </c>
      <c r="O149" s="61">
        <f>IF(O2&gt;=Assumptions!$B$53,(O148*Assumptions!$B$29*Assumptions!$B$30+O133*O136*(1-Assumptions!$B$227)*Assumptions!$B$27*Assumptions!$B$28)*O7/12,0)</f>
        <v>19.852922480860446</v>
      </c>
      <c r="P149" s="61">
        <f>IF(P2&gt;=Assumptions!$B$53,(P148*Assumptions!$B$29*Assumptions!$B$30+P133*P136*(1-Assumptions!$B$227)*Assumptions!$B$27*Assumptions!$B$28)*P7/12,0)</f>
        <v>22.850137956667435</v>
      </c>
      <c r="Q149" s="61">
        <f>IF(Q2&gt;=Assumptions!$B$53,(Q148*Assumptions!$B$29*Assumptions!$B$30+Q133*Q136*(1-Assumptions!$B$227)*Assumptions!$B$27*Assumptions!$B$28)*Q7/12,0)</f>
        <v>26.178644408429154</v>
      </c>
      <c r="R149" s="61">
        <f>IF(R2&gt;=Assumptions!$B$53,(R148*Assumptions!$B$29*Assumptions!$B$30+R133*R136*(1-Assumptions!$B$227)*Assumptions!$B$27*Assumptions!$B$28)*R7/12,0)</f>
        <v>29.957619998659919</v>
      </c>
      <c r="S149" s="61">
        <f>IF(S2&gt;=Assumptions!$B$53,(S148*Assumptions!$B$29*Assumptions!$B$30+S133*S136*(1-Assumptions!$B$227)*Assumptions!$B$27*Assumptions!$B$28)*S7/12,0)</f>
        <v>34.107245572796089</v>
      </c>
      <c r="T149" s="61">
        <f>IF(T2&gt;=Assumptions!$B$53,(T148*Assumptions!$B$29*Assumptions!$B$30+T133*T136*(1-Assumptions!$B$227)*Assumptions!$B$27*Assumptions!$B$28)*T7/12,0)</f>
        <v>38.517660911292893</v>
      </c>
      <c r="U149" s="61">
        <f>IF(U2&gt;=Assumptions!$B$53,(U148*Assumptions!$B$29*Assumptions!$B$30+U133*U136*(1-Assumptions!$B$227)*Assumptions!$B$27*Assumptions!$B$28)*U7/12,0)</f>
        <v>43.15876941164958</v>
      </c>
      <c r="V149" s="61">
        <f>IF(V2&gt;=Assumptions!$B$53,(V148*Assumptions!$B$29*Assumptions!$B$30+V133*V136*(1-Assumptions!$B$227)*Assumptions!$B$27*Assumptions!$B$28)*V7/12,0)</f>
        <v>48.019369382377782</v>
      </c>
      <c r="W149" s="61">
        <f>IF(W2&gt;=Assumptions!$B$53,(W148*Assumptions!$B$29*Assumptions!$B$30+W133*W136*(1-Assumptions!$B$227)*Assumptions!$B$27*Assumptions!$B$28)*W7/12,0)</f>
        <v>53.137954772924331</v>
      </c>
      <c r="X149" s="61">
        <f>IF(X2&gt;=Assumptions!$B$53,(X148*Assumptions!$B$29*Assumptions!$B$30+X133*X136*(1-Assumptions!$B$227)*Assumptions!$B$27*Assumptions!$B$28)*X7/12,0)</f>
        <v>58.702488343853339</v>
      </c>
      <c r="Y149" s="61">
        <f>IF(Y2&gt;=Assumptions!$B$53,(Y148*Assumptions!$B$29*Assumptions!$B$30+Y133*Y136*(1-Assumptions!$B$227)*Assumptions!$B$27*Assumptions!$B$28)*Y7/12,0)</f>
        <v>64.633796787715184</v>
      </c>
      <c r="Z149" s="61">
        <f>IF(Z2&gt;=Assumptions!$B$53,(Z148*Assumptions!$B$29*Assumptions!$B$30+Z133*Z136*(1-Assumptions!$B$227)*Assumptions!$B$27*Assumptions!$B$28)*Z7/12,0)</f>
        <v>70.82686074440106</v>
      </c>
      <c r="AA149" s="61">
        <f>IF(AA2&gt;=Assumptions!$B$53,(AA148*Assumptions!$B$29*Assumptions!$B$30+AA133*AA136*(1-Assumptions!$B$227)*Assumptions!$B$27*Assumptions!$B$28)*AA7/12,0)</f>
        <v>2573.3832700807284</v>
      </c>
      <c r="AB149" s="61">
        <f>IF(AB2&gt;=Assumptions!$B$53,(AB148*Assumptions!$B$29*Assumptions!$B$30+AB133*AB136*(1-Assumptions!$B$227)*Assumptions!$B$27*Assumptions!$B$28)*AB7/12,0)</f>
        <v>6033.1472265449111</v>
      </c>
      <c r="AC149" s="61">
        <f>IF(AC2&gt;=Assumptions!$B$53,(AC148*Assumptions!$B$29*Assumptions!$B$30+AC133*AC136*(1-Assumptions!$B$227)*Assumptions!$B$27*Assumptions!$B$28)*AC7/12,0)</f>
        <v>11423.693001822547</v>
      </c>
      <c r="AD149" s="61">
        <f>IF(AD2&gt;=Assumptions!$B$53,(AD148*Assumptions!$B$29*Assumptions!$B$30+AD133*AD136*(1-Assumptions!$B$227)*Assumptions!$B$27*Assumptions!$B$28)*AD7/12,0)</f>
        <v>17433.260378071718</v>
      </c>
      <c r="AE149" s="61">
        <f>IF(AE2&gt;=Assumptions!$B$53,(AE148*Assumptions!$B$29*Assumptions!$B$30+AE133*AE136*(1-Assumptions!$B$227)*Assumptions!$B$27*Assumptions!$B$28)*AE7/12,0)</f>
        <v>22625.875319631188</v>
      </c>
    </row>
    <row r="150" spans="1:31" x14ac:dyDescent="0.25">
      <c r="A150" s="6" t="s">
        <v>606</v>
      </c>
      <c r="B150" s="23" t="s">
        <v>607</v>
      </c>
      <c r="C150" s="50">
        <f>IF(C2&gt;=Assumptions!$B$49,(C118+C120*Assumptions!$B$153)*Assumptions!$B$152*C7/12,0)</f>
        <v>0.99416165593728312</v>
      </c>
      <c r="D150" s="50">
        <f>IF(D2&gt;=Assumptions!$B$49,(D118+D120*Assumptions!$B$153)*Assumptions!$B$152*D7/12,0)</f>
        <v>1.9654908670521989</v>
      </c>
      <c r="E150" s="50">
        <f>IF(E2&gt;=Assumptions!$B$49,(E118+E120*Assumptions!$B$153)*Assumptions!$B$152*E7/12,0)</f>
        <v>2.9212514844347002</v>
      </c>
      <c r="F150" s="50">
        <f>IF(F2&gt;=Assumptions!$B$49,(F118+F120*Assumptions!$B$153)*Assumptions!$B$152*F7/12,0)</f>
        <v>4.1238330009241455</v>
      </c>
      <c r="G150" s="50">
        <f>IF(G2&gt;=Assumptions!$B$49,(G118+G120*Assumptions!$B$153)*Assumptions!$B$152*G7/12,0)</f>
        <v>5.2447123270050131</v>
      </c>
      <c r="H150" s="50">
        <f>IF(H2&gt;=Assumptions!$B$49,(H118+H120*Assumptions!$B$153)*Assumptions!$B$152*H7/12,0)</f>
        <v>6.2311749130376723</v>
      </c>
      <c r="I150" s="50">
        <f>IF(I2&gt;=Assumptions!$B$49,(I118+I120*Assumptions!$B$153)*Assumptions!$B$152*I7/12,0)</f>
        <v>7.2051181679443959</v>
      </c>
      <c r="J150" s="50">
        <f>IF(J2&gt;=Assumptions!$B$49,(J118+J120*Assumptions!$B$153)*Assumptions!$B$152*J7/12,0)</f>
        <v>8.1941562716605443</v>
      </c>
      <c r="K150" s="50">
        <f>IF(K2&gt;=Assumptions!$B$49,(K118+K120*Assumptions!$B$153)*Assumptions!$B$152*K7/12,0)</f>
        <v>9.2752874472126727</v>
      </c>
      <c r="L150" s="50">
        <f>IF(L2&gt;=Assumptions!$B$49,(L118+L120*Assumptions!$B$153)*Assumptions!$B$152*L7/12,0)</f>
        <v>10.682694808235793</v>
      </c>
      <c r="M150" s="50">
        <f>IF(M2&gt;=Assumptions!$B$49,(M118+M120*Assumptions!$B$153)*Assumptions!$B$152*M7/12,0)</f>
        <v>12.015441929726443</v>
      </c>
      <c r="N150" s="50">
        <f>IF(N2&gt;=Assumptions!$B$49,(N118+N120*Assumptions!$B$153)*Assumptions!$B$152*N7/12,0)</f>
        <v>13.231380880583052</v>
      </c>
      <c r="O150" s="50">
        <f>IF(O2&gt;=Assumptions!$B$49,(O118+O120*Assumptions!$B$153)*Assumptions!$B$152*O7/12,0)</f>
        <v>15.582829490388219</v>
      </c>
      <c r="P150" s="50">
        <f>IF(P2&gt;=Assumptions!$B$49,(P118+P120*Assumptions!$B$153)*Assumptions!$B$152*P7/12,0)</f>
        <v>17.917184078600442</v>
      </c>
      <c r="Q150" s="50">
        <f>IF(Q2&gt;=Assumptions!$B$49,(Q118+Q120*Assumptions!$B$153)*Assumptions!$B$152*Q7/12,0)</f>
        <v>20.243807053622813</v>
      </c>
      <c r="R150" s="50">
        <f>IF(R2&gt;=Assumptions!$B$49,(R118+R120*Assumptions!$B$153)*Assumptions!$B$152*R7/12,0)</f>
        <v>23.144169809577587</v>
      </c>
      <c r="S150" s="50">
        <f>IF(S2&gt;=Assumptions!$B$49,(S118+S120*Assumptions!$B$153)*Assumptions!$B$152*S7/12,0)</f>
        <v>25.902848771865646</v>
      </c>
      <c r="T150" s="50">
        <f>IF(T2&gt;=Assumptions!$B$49,(T118+T120*Assumptions!$B$153)*Assumptions!$B$152*T7/12,0)</f>
        <v>28.380840434778847</v>
      </c>
      <c r="U150" s="50">
        <f>IF(U2&gt;=Assumptions!$B$49,(U118+U120*Assumptions!$B$153)*Assumptions!$B$152*U7/12,0)</f>
        <v>30.846071424901847</v>
      </c>
      <c r="V150" s="50">
        <f>IF(V2&gt;=Assumptions!$B$49,(V118+V120*Assumptions!$B$153)*Assumptions!$B$152*V7/12,0)</f>
        <v>33.361280798503103</v>
      </c>
      <c r="W150" s="50">
        <f>IF(W2&gt;=Assumptions!$B$49,(W118+W120*Assumptions!$B$153)*Assumptions!$B$152*W7/12,0)</f>
        <v>36.112162488984062</v>
      </c>
      <c r="X150" s="50">
        <f>IF(X2&gt;=Assumptions!$B$49,(X118+X120*Assumptions!$B$153)*Assumptions!$B$152*X7/12,0)</f>
        <v>39.679224376871396</v>
      </c>
      <c r="Y150" s="50">
        <f>IF(Y2&gt;=Assumptions!$B$49,(Y118+Y120*Assumptions!$B$153)*Assumptions!$B$152*Y7/12,0)</f>
        <v>43.112671140842288</v>
      </c>
      <c r="Z150" s="50">
        <f>IF(Z2&gt;=Assumptions!$B$49,(Z118+Z120*Assumptions!$B$153)*Assumptions!$B$152*Z7/12,0)</f>
        <v>46.289849387814449</v>
      </c>
      <c r="AA150" s="50">
        <f>IF(AA2&gt;=Assumptions!$B$49,(AA118+AA120*Assumptions!$B$153)*Assumptions!$B$152*AA7/12,0)</f>
        <v>1223.9131167854725</v>
      </c>
      <c r="AB150" s="50">
        <f>IF(AB2&gt;=Assumptions!$B$49,(AB118+AB120*Assumptions!$B$153)*Assumptions!$B$152*AB7/12,0)</f>
        <v>2632.8647824586724</v>
      </c>
      <c r="AC150" s="50">
        <f>IF(AC2&gt;=Assumptions!$B$49,(AC118+AC120*Assumptions!$B$153)*Assumptions!$B$152*AC7/12,0)</f>
        <v>4743.9294534938854</v>
      </c>
      <c r="AD150" s="50">
        <f>IF(AD2&gt;=Assumptions!$B$49,(AD118+AD120*Assumptions!$B$153)*Assumptions!$B$152*AD7/12,0)</f>
        <v>6953.3645939611715</v>
      </c>
      <c r="AE150" s="50">
        <f>IF(AE2&gt;=Assumptions!$B$49,(AE118+AE120*Assumptions!$B$153)*Assumptions!$B$152*AE7/12,0)</f>
        <v>8824.5397996552056</v>
      </c>
    </row>
    <row r="151" spans="1:31" x14ac:dyDescent="0.25">
      <c r="A151" s="3" t="s">
        <v>612</v>
      </c>
      <c r="B151" s="23" t="s">
        <v>114</v>
      </c>
      <c r="C151" s="63">
        <f t="shared" ref="C151:AE151" si="38">C142+C143+C144+C146+C147+C149</f>
        <v>305.63185062676502</v>
      </c>
      <c r="D151" s="63">
        <f t="shared" si="38"/>
        <v>580.82461143369449</v>
      </c>
      <c r="E151" s="63">
        <f t="shared" si="38"/>
        <v>830.14385382289515</v>
      </c>
      <c r="F151" s="63">
        <f t="shared" si="38"/>
        <v>1136.2377387335698</v>
      </c>
      <c r="G151" s="63">
        <f t="shared" si="38"/>
        <v>1393.7589969066044</v>
      </c>
      <c r="H151" s="63">
        <f t="shared" si="38"/>
        <v>1590.223763638654</v>
      </c>
      <c r="I151" s="63">
        <f t="shared" si="38"/>
        <v>1883.9135407015585</v>
      </c>
      <c r="J151" s="63">
        <f t="shared" si="38"/>
        <v>2160.2236636224175</v>
      </c>
      <c r="K151" s="63">
        <f t="shared" si="38"/>
        <v>2455.0121120941799</v>
      </c>
      <c r="L151" s="63">
        <f t="shared" si="38"/>
        <v>2871.4839145802935</v>
      </c>
      <c r="M151" s="63">
        <f t="shared" si="38"/>
        <v>3219.9831859908759</v>
      </c>
      <c r="N151" s="63">
        <f t="shared" si="38"/>
        <v>3487.28069278877</v>
      </c>
      <c r="O151" s="63">
        <f t="shared" si="38"/>
        <v>15124.632939141089</v>
      </c>
      <c r="P151" s="63">
        <f t="shared" si="38"/>
        <v>7401.1319406857465</v>
      </c>
      <c r="Q151" s="63">
        <f t="shared" si="38"/>
        <v>8113.1683688567655</v>
      </c>
      <c r="R151" s="63">
        <f t="shared" si="38"/>
        <v>9489.3183265252555</v>
      </c>
      <c r="S151" s="63">
        <f t="shared" si="38"/>
        <v>10196.808942952437</v>
      </c>
      <c r="T151" s="63">
        <f t="shared" si="38"/>
        <v>10622.81123174534</v>
      </c>
      <c r="U151" s="63">
        <f t="shared" si="38"/>
        <v>11181.033173600277</v>
      </c>
      <c r="V151" s="63">
        <f t="shared" si="38"/>
        <v>11772.818661289839</v>
      </c>
      <c r="W151" s="63">
        <f t="shared" si="38"/>
        <v>12566.619072112355</v>
      </c>
      <c r="X151" s="63">
        <f t="shared" si="38"/>
        <v>14175.637941211542</v>
      </c>
      <c r="Y151" s="63">
        <f t="shared" si="38"/>
        <v>14930.681525865923</v>
      </c>
      <c r="Z151" s="63">
        <f t="shared" si="38"/>
        <v>15407.238644240324</v>
      </c>
      <c r="AA151" s="63">
        <f t="shared" si="38"/>
        <v>334526.55797814706</v>
      </c>
      <c r="AB151" s="63">
        <f t="shared" si="38"/>
        <v>695161.66633871768</v>
      </c>
      <c r="AC151" s="63">
        <f t="shared" si="38"/>
        <v>1121464.3037066506</v>
      </c>
      <c r="AD151" s="63">
        <f t="shared" si="38"/>
        <v>1350881.1725747806</v>
      </c>
      <c r="AE151" s="63">
        <f t="shared" si="38"/>
        <v>1357204.765594048</v>
      </c>
    </row>
    <row r="153" spans="1:31" x14ac:dyDescent="0.25">
      <c r="A153" s="51" t="s">
        <v>613</v>
      </c>
      <c r="B153" s="52"/>
      <c r="C153" s="52"/>
      <c r="D153" s="52"/>
      <c r="E153" s="52"/>
      <c r="F153" s="52"/>
      <c r="G153" s="52"/>
      <c r="H153" s="52"/>
      <c r="I153" s="52"/>
      <c r="J153" s="52"/>
      <c r="K153" s="52"/>
      <c r="L153" s="52"/>
      <c r="M153" s="52"/>
      <c r="N153" s="52"/>
      <c r="O153" s="52"/>
      <c r="P153" s="52"/>
      <c r="Q153" s="52"/>
      <c r="R153" s="52"/>
      <c r="S153" s="52"/>
      <c r="T153" s="52"/>
      <c r="U153" s="52"/>
      <c r="V153" s="52"/>
      <c r="W153" s="52"/>
      <c r="X153" s="52"/>
      <c r="Y153" s="52"/>
      <c r="Z153" s="52"/>
      <c r="AA153" s="52"/>
      <c r="AB153" s="52"/>
      <c r="AC153" s="52"/>
      <c r="AD153" s="52"/>
      <c r="AE153" s="52"/>
    </row>
    <row r="154" spans="1:31" x14ac:dyDescent="0.25">
      <c r="A154" s="6" t="s">
        <v>614</v>
      </c>
      <c r="B154" s="23" t="s">
        <v>114</v>
      </c>
      <c r="C154" s="65">
        <f>IF(C2&gt;=Assumptions!$B$54,INDEX(Assumptions!$B$178:$B$184,C5)*Assumptions!$B$189,0)</f>
        <v>0</v>
      </c>
      <c r="D154" s="65">
        <f>IF(D2&gt;=Assumptions!$B$54,INDEX(Assumptions!$B$178:$B$184,D5)*Assumptions!$B$189,0)</f>
        <v>0</v>
      </c>
      <c r="E154" s="65">
        <f>IF(E2&gt;=Assumptions!$B$54,INDEX(Assumptions!$B$178:$B$184,E5)*Assumptions!$B$189,0)</f>
        <v>0</v>
      </c>
      <c r="F154" s="65">
        <f>IF(F2&gt;=Assumptions!$B$54,INDEX(Assumptions!$B$178:$B$184,F5)*Assumptions!$B$189,0)</f>
        <v>0</v>
      </c>
      <c r="G154" s="65">
        <f>IF(G2&gt;=Assumptions!$B$54,INDEX(Assumptions!$B$178:$B$184,G5)*Assumptions!$B$189,0)</f>
        <v>0</v>
      </c>
      <c r="H154" s="65">
        <f>IF(H2&gt;=Assumptions!$B$54,INDEX(Assumptions!$B$178:$B$184,H5)*Assumptions!$B$189,0)</f>
        <v>0</v>
      </c>
      <c r="I154" s="65">
        <f>IF(I2&gt;=Assumptions!$B$54,INDEX(Assumptions!$B$178:$B$184,I5)*Assumptions!$B$189,0)</f>
        <v>0</v>
      </c>
      <c r="J154" s="65">
        <f>IF(J2&gt;=Assumptions!$B$54,INDEX(Assumptions!$B$178:$B$184,J5)*Assumptions!$B$189,0)</f>
        <v>0</v>
      </c>
      <c r="K154" s="65">
        <f>IF(K2&gt;=Assumptions!$B$54,INDEX(Assumptions!$B$178:$B$184,K5)*Assumptions!$B$189,0)</f>
        <v>0</v>
      </c>
      <c r="L154" s="65">
        <f>IF(L2&gt;=Assumptions!$B$54,INDEX(Assumptions!$B$178:$B$184,L5)*Assumptions!$B$189,0)</f>
        <v>0</v>
      </c>
      <c r="M154" s="65">
        <f>IF(M2&gt;=Assumptions!$B$54,INDEX(Assumptions!$B$178:$B$184,M5)*Assumptions!$B$189,0)</f>
        <v>0</v>
      </c>
      <c r="N154" s="65">
        <f>IF(N2&gt;=Assumptions!$B$54,INDEX(Assumptions!$B$178:$B$184,N5)*Assumptions!$B$189,0)</f>
        <v>0</v>
      </c>
      <c r="O154" s="65">
        <f>IF(O2&gt;=Assumptions!$B$54,INDEX(Assumptions!$B$178:$B$184,O5)*Assumptions!$B$189,0)</f>
        <v>18900000</v>
      </c>
      <c r="P154" s="65">
        <f>IF(P2&gt;=Assumptions!$B$54,INDEX(Assumptions!$B$178:$B$184,P5)*Assumptions!$B$189,0)</f>
        <v>18900000</v>
      </c>
      <c r="Q154" s="65">
        <f>IF(Q2&gt;=Assumptions!$B$54,INDEX(Assumptions!$B$178:$B$184,Q5)*Assumptions!$B$189,0)</f>
        <v>18900000</v>
      </c>
      <c r="R154" s="65">
        <f>IF(R2&gt;=Assumptions!$B$54,INDEX(Assumptions!$B$178:$B$184,R5)*Assumptions!$B$189,0)</f>
        <v>18900000</v>
      </c>
      <c r="S154" s="65">
        <f>IF(S2&gt;=Assumptions!$B$54,INDEX(Assumptions!$B$178:$B$184,S5)*Assumptions!$B$189,0)</f>
        <v>18900000</v>
      </c>
      <c r="T154" s="65">
        <f>IF(T2&gt;=Assumptions!$B$54,INDEX(Assumptions!$B$178:$B$184,T5)*Assumptions!$B$189,0)</f>
        <v>18900000</v>
      </c>
      <c r="U154" s="65">
        <f>IF(U2&gt;=Assumptions!$B$54,INDEX(Assumptions!$B$178:$B$184,U5)*Assumptions!$B$189,0)</f>
        <v>18900000</v>
      </c>
      <c r="V154" s="65">
        <f>IF(V2&gt;=Assumptions!$B$54,INDEX(Assumptions!$B$178:$B$184,V5)*Assumptions!$B$189,0)</f>
        <v>18900000</v>
      </c>
      <c r="W154" s="65">
        <f>IF(W2&gt;=Assumptions!$B$54,INDEX(Assumptions!$B$178:$B$184,W5)*Assumptions!$B$189,0)</f>
        <v>18900000</v>
      </c>
      <c r="X154" s="65">
        <f>IF(X2&gt;=Assumptions!$B$54,INDEX(Assumptions!$B$178:$B$184,X5)*Assumptions!$B$189,0)</f>
        <v>18900000</v>
      </c>
      <c r="Y154" s="65">
        <f>IF(Y2&gt;=Assumptions!$B$54,INDEX(Assumptions!$B$178:$B$184,Y5)*Assumptions!$B$189,0)</f>
        <v>18900000</v>
      </c>
      <c r="Z154" s="65">
        <f>IF(Z2&gt;=Assumptions!$B$54,INDEX(Assumptions!$B$178:$B$184,Z5)*Assumptions!$B$189,0)</f>
        <v>18900000</v>
      </c>
      <c r="AA154" s="65">
        <f>IF(AA2&gt;=Assumptions!$B$54,INDEX(Assumptions!$B$178:$B$184,AA5)*Assumptions!$B$189,0)</f>
        <v>56700000</v>
      </c>
      <c r="AB154" s="65">
        <f>IF(AB2&gt;=Assumptions!$B$54,INDEX(Assumptions!$B$178:$B$184,AB5)*Assumptions!$B$189,0)</f>
        <v>94500000</v>
      </c>
      <c r="AC154" s="65">
        <f>IF(AC2&gt;=Assumptions!$B$54,INDEX(Assumptions!$B$178:$B$184,AC5)*Assumptions!$B$189,0)</f>
        <v>132300000</v>
      </c>
      <c r="AD154" s="65">
        <f>IF(AD2&gt;=Assumptions!$B$54,INDEX(Assumptions!$B$178:$B$184,AD5)*Assumptions!$B$189,0)</f>
        <v>170100000</v>
      </c>
      <c r="AE154" s="65">
        <f>IF(AE2&gt;=Assumptions!$B$54,INDEX(Assumptions!$B$178:$B$184,AE5)*Assumptions!$B$189,0)</f>
        <v>207900000</v>
      </c>
    </row>
    <row r="155" spans="1:31" x14ac:dyDescent="0.25">
      <c r="A155" s="6" t="s">
        <v>132</v>
      </c>
      <c r="B155" s="23" t="s">
        <v>114</v>
      </c>
      <c r="C155" s="63">
        <f>C154*Assumptions!$B$185*C7/12</f>
        <v>0</v>
      </c>
      <c r="D155" s="63">
        <f>D154*Assumptions!$B$185*D7/12</f>
        <v>0</v>
      </c>
      <c r="E155" s="63">
        <f>E154*Assumptions!$B$185*E7/12</f>
        <v>0</v>
      </c>
      <c r="F155" s="63">
        <f>F154*Assumptions!$B$185*F7/12</f>
        <v>0</v>
      </c>
      <c r="G155" s="63">
        <f>G154*Assumptions!$B$185*G7/12</f>
        <v>0</v>
      </c>
      <c r="H155" s="63">
        <f>H154*Assumptions!$B$185*H7/12</f>
        <v>0</v>
      </c>
      <c r="I155" s="63">
        <f>I154*Assumptions!$B$185*I7/12</f>
        <v>0</v>
      </c>
      <c r="J155" s="63">
        <f>J154*Assumptions!$B$185*J7/12</f>
        <v>0</v>
      </c>
      <c r="K155" s="63">
        <f>K154*Assumptions!$B$185*K7/12</f>
        <v>0</v>
      </c>
      <c r="L155" s="63">
        <f>L154*Assumptions!$B$185*L7/12</f>
        <v>0</v>
      </c>
      <c r="M155" s="63">
        <f>M154*Assumptions!$B$185*M7/12</f>
        <v>0</v>
      </c>
      <c r="N155" s="63">
        <f>N154*Assumptions!$B$185*N7/12</f>
        <v>0</v>
      </c>
      <c r="O155" s="63">
        <f>O154*Assumptions!$B$185*O7/12</f>
        <v>11812.5</v>
      </c>
      <c r="P155" s="63">
        <f>P154*Assumptions!$B$185*P7/12</f>
        <v>11812.5</v>
      </c>
      <c r="Q155" s="63">
        <f>Q154*Assumptions!$B$185*Q7/12</f>
        <v>11812.5</v>
      </c>
      <c r="R155" s="63">
        <f>R154*Assumptions!$B$185*R7/12</f>
        <v>11812.5</v>
      </c>
      <c r="S155" s="63">
        <f>S154*Assumptions!$B$185*S7/12</f>
        <v>11812.5</v>
      </c>
      <c r="T155" s="63">
        <f>T154*Assumptions!$B$185*T7/12</f>
        <v>11812.5</v>
      </c>
      <c r="U155" s="63">
        <f>U154*Assumptions!$B$185*U7/12</f>
        <v>11812.5</v>
      </c>
      <c r="V155" s="63">
        <f>V154*Assumptions!$B$185*V7/12</f>
        <v>11812.5</v>
      </c>
      <c r="W155" s="63">
        <f>W154*Assumptions!$B$185*W7/12</f>
        <v>11812.5</v>
      </c>
      <c r="X155" s="63">
        <f>X154*Assumptions!$B$185*X7/12</f>
        <v>11812.5</v>
      </c>
      <c r="Y155" s="63">
        <f>Y154*Assumptions!$B$185*Y7/12</f>
        <v>11812.5</v>
      </c>
      <c r="Z155" s="63">
        <f>Z154*Assumptions!$B$185*Z7/12</f>
        <v>11812.5</v>
      </c>
      <c r="AA155" s="63">
        <f>AA154*Assumptions!$B$185*AA7/12</f>
        <v>425250</v>
      </c>
      <c r="AB155" s="63">
        <f>AB154*Assumptions!$B$185*AB7/12</f>
        <v>708750</v>
      </c>
      <c r="AC155" s="63">
        <f>AC154*Assumptions!$B$185*AC7/12</f>
        <v>992250</v>
      </c>
      <c r="AD155" s="63">
        <f>AD154*Assumptions!$B$185*AD7/12</f>
        <v>1275750</v>
      </c>
      <c r="AE155" s="63">
        <f>AE154*Assumptions!$B$185*AE7/12</f>
        <v>1559250</v>
      </c>
    </row>
    <row r="156" spans="1:31" x14ac:dyDescent="0.25">
      <c r="A156" s="9" t="s">
        <v>615</v>
      </c>
    </row>
    <row r="158" spans="1:31" x14ac:dyDescent="0.25">
      <c r="A158" s="51" t="s">
        <v>616</v>
      </c>
      <c r="B158" s="52"/>
      <c r="C158" s="52"/>
      <c r="D158" s="52"/>
      <c r="E158" s="52"/>
      <c r="F158" s="52"/>
      <c r="G158" s="52"/>
      <c r="H158" s="52"/>
      <c r="I158" s="52"/>
      <c r="J158" s="52"/>
      <c r="K158" s="52"/>
      <c r="L158" s="52"/>
      <c r="M158" s="52"/>
      <c r="N158" s="52"/>
      <c r="O158" s="52"/>
      <c r="P158" s="52"/>
      <c r="Q158" s="52"/>
      <c r="R158" s="52"/>
      <c r="S158" s="52"/>
      <c r="T158" s="52"/>
      <c r="U158" s="52"/>
      <c r="V158" s="52"/>
      <c r="W158" s="52"/>
      <c r="X158" s="52"/>
      <c r="Y158" s="52"/>
      <c r="Z158" s="52"/>
      <c r="AA158" s="52"/>
      <c r="AB158" s="52"/>
      <c r="AC158" s="52"/>
      <c r="AD158" s="52"/>
      <c r="AE158" s="52"/>
    </row>
    <row r="159" spans="1:31" x14ac:dyDescent="0.25">
      <c r="A159" s="3" t="s">
        <v>617</v>
      </c>
      <c r="B159" s="23" t="s">
        <v>207</v>
      </c>
      <c r="C159" s="50">
        <f t="shared" ref="C159:AE159" si="39">C32+C75+C118</f>
        <v>271.52521943661418</v>
      </c>
      <c r="D159" s="50">
        <f t="shared" si="39"/>
        <v>516.08379374897231</v>
      </c>
      <c r="E159" s="50">
        <f t="shared" si="39"/>
        <v>737.71809082478524</v>
      </c>
      <c r="F159" s="50">
        <f t="shared" si="39"/>
        <v>1009.9021309867019</v>
      </c>
      <c r="G159" s="50">
        <f t="shared" si="39"/>
        <v>1238.989852483006</v>
      </c>
      <c r="H159" s="50">
        <f t="shared" si="39"/>
        <v>1413.8403418410262</v>
      </c>
      <c r="I159" s="50">
        <f t="shared" si="39"/>
        <v>1571.9277781282983</v>
      </c>
      <c r="J159" s="50">
        <f t="shared" si="39"/>
        <v>1722.0892780029737</v>
      </c>
      <c r="K159" s="50">
        <f t="shared" si="39"/>
        <v>1886.0103790438561</v>
      </c>
      <c r="L159" s="50">
        <f t="shared" si="39"/>
        <v>2126.7751757350698</v>
      </c>
      <c r="M159" s="50">
        <f t="shared" si="39"/>
        <v>2328.763430983764</v>
      </c>
      <c r="N159" s="50">
        <f t="shared" si="39"/>
        <v>2483.373936186953</v>
      </c>
      <c r="O159" s="50">
        <f t="shared" si="39"/>
        <v>3114.0097830678969</v>
      </c>
      <c r="P159" s="50">
        <f t="shared" si="39"/>
        <v>3692.8858577277242</v>
      </c>
      <c r="Q159" s="50">
        <f t="shared" si="39"/>
        <v>4227.1649982044064</v>
      </c>
      <c r="R159" s="50">
        <f t="shared" si="39"/>
        <v>4929.8010436195964</v>
      </c>
      <c r="S159" s="50">
        <f t="shared" si="39"/>
        <v>5530.2860204391418</v>
      </c>
      <c r="T159" s="50">
        <f t="shared" si="39"/>
        <v>5985.7184520784203</v>
      </c>
      <c r="U159" s="50">
        <f t="shared" si="39"/>
        <v>6403.8391697373618</v>
      </c>
      <c r="V159" s="50">
        <f t="shared" si="39"/>
        <v>6810.202953531124</v>
      </c>
      <c r="W159" s="50">
        <f t="shared" si="39"/>
        <v>7273.3223264713288</v>
      </c>
      <c r="X159" s="50">
        <f t="shared" si="39"/>
        <v>8000.9055041138645</v>
      </c>
      <c r="Y159" s="50">
        <f t="shared" si="39"/>
        <v>8626.938971099531</v>
      </c>
      <c r="Z159" s="50">
        <f t="shared" si="39"/>
        <v>9113.9162960608119</v>
      </c>
      <c r="AA159" s="50">
        <f t="shared" si="39"/>
        <v>16621.514866603702</v>
      </c>
      <c r="AB159" s="50">
        <f t="shared" si="39"/>
        <v>31586.392184445638</v>
      </c>
      <c r="AC159" s="50">
        <f t="shared" si="39"/>
        <v>50383.086522570986</v>
      </c>
      <c r="AD159" s="50">
        <f t="shared" si="39"/>
        <v>64834.3715656938</v>
      </c>
      <c r="AE159" s="50">
        <f t="shared" si="39"/>
        <v>71208.462567260198</v>
      </c>
    </row>
    <row r="160" spans="1:31" x14ac:dyDescent="0.25">
      <c r="A160" s="3" t="s">
        <v>618</v>
      </c>
      <c r="B160" s="23" t="s">
        <v>207</v>
      </c>
      <c r="C160" s="50">
        <f t="shared" ref="C160:AE160" si="40">C34+C77+C120</f>
        <v>6.8486040927976148</v>
      </c>
      <c r="D160" s="50">
        <f t="shared" si="40"/>
        <v>26.545753660898953</v>
      </c>
      <c r="E160" s="50">
        <f t="shared" si="40"/>
        <v>57.849797748174126</v>
      </c>
      <c r="F160" s="50">
        <f t="shared" si="40"/>
        <v>101.47175098729645</v>
      </c>
      <c r="G160" s="50">
        <f t="shared" si="40"/>
        <v>157.5682411697623</v>
      </c>
      <c r="H160" s="50">
        <f t="shared" si="40"/>
        <v>223.71099430196767</v>
      </c>
      <c r="I160" s="50">
        <f t="shared" si="40"/>
        <v>298.14284624272744</v>
      </c>
      <c r="J160" s="50">
        <f t="shared" si="40"/>
        <v>380.25147561147628</v>
      </c>
      <c r="K160" s="50">
        <f t="shared" si="40"/>
        <v>470.18894160304978</v>
      </c>
      <c r="L160" s="50">
        <f t="shared" si="40"/>
        <v>570.23196734082774</v>
      </c>
      <c r="M160" s="50">
        <f t="shared" si="40"/>
        <v>681.2930258051349</v>
      </c>
      <c r="N160" s="50">
        <f t="shared" si="40"/>
        <v>801.22313374125849</v>
      </c>
      <c r="O160" s="50">
        <f t="shared" si="40"/>
        <v>940.86334806093146</v>
      </c>
      <c r="P160" s="50">
        <f t="shared" si="40"/>
        <v>1110.6194097722614</v>
      </c>
      <c r="Q160" s="50">
        <f t="shared" si="40"/>
        <v>1308.0930595197981</v>
      </c>
      <c r="R160" s="50">
        <f t="shared" si="40"/>
        <v>1536.4335340819487</v>
      </c>
      <c r="S160" s="50">
        <f t="shared" si="40"/>
        <v>1797.2062534347715</v>
      </c>
      <c r="T160" s="50">
        <f t="shared" si="40"/>
        <v>2084.2394586982186</v>
      </c>
      <c r="U160" s="50">
        <f t="shared" si="40"/>
        <v>2393.0234375848313</v>
      </c>
      <c r="V160" s="50">
        <f t="shared" si="40"/>
        <v>2722.3436986034008</v>
      </c>
      <c r="W160" s="50">
        <f t="shared" si="40"/>
        <v>3073.3425257319868</v>
      </c>
      <c r="X160" s="50">
        <f t="shared" si="40"/>
        <v>3454.0867264500562</v>
      </c>
      <c r="Y160" s="50">
        <f t="shared" si="40"/>
        <v>3868.5213282697787</v>
      </c>
      <c r="Z160" s="50">
        <f t="shared" si="40"/>
        <v>4310.6406126168968</v>
      </c>
      <c r="AA160" s="50">
        <f t="shared" si="40"/>
        <v>12456.426891427634</v>
      </c>
      <c r="AB160" s="50">
        <f t="shared" si="40"/>
        <v>27755.786765817793</v>
      </c>
      <c r="AC160" s="50">
        <f t="shared" si="40"/>
        <v>53470.537042564814</v>
      </c>
      <c r="AD160" s="50">
        <f t="shared" si="40"/>
        <v>89076.803780014889</v>
      </c>
      <c r="AE160" s="50">
        <f t="shared" si="40"/>
        <v>130637.72728485033</v>
      </c>
    </row>
    <row r="161" spans="1:31" x14ac:dyDescent="0.25">
      <c r="A161" s="6" t="s">
        <v>619</v>
      </c>
      <c r="B161" s="23" t="s">
        <v>207</v>
      </c>
      <c r="C161" s="50">
        <f t="shared" ref="C161:AE161" si="41">C35+C78+C121</f>
        <v>278.37382352941177</v>
      </c>
      <c r="D161" s="50">
        <f t="shared" si="41"/>
        <v>542.62954740987129</v>
      </c>
      <c r="E161" s="50">
        <f t="shared" si="41"/>
        <v>795.5678885729593</v>
      </c>
      <c r="F161" s="50">
        <f t="shared" si="41"/>
        <v>1111.3738819739983</v>
      </c>
      <c r="G161" s="50">
        <f t="shared" si="41"/>
        <v>1396.5580936527683</v>
      </c>
      <c r="H161" s="50">
        <f t="shared" si="41"/>
        <v>1637.5513361429942</v>
      </c>
      <c r="I161" s="50">
        <f t="shared" si="41"/>
        <v>1870.0706243710258</v>
      </c>
      <c r="J161" s="50">
        <f t="shared" si="41"/>
        <v>2102.34075361445</v>
      </c>
      <c r="K161" s="50">
        <f t="shared" si="41"/>
        <v>2356.199320646906</v>
      </c>
      <c r="L161" s="50">
        <f t="shared" si="41"/>
        <v>2697.0071430758976</v>
      </c>
      <c r="M161" s="50">
        <f t="shared" si="41"/>
        <v>3010.0564567888996</v>
      </c>
      <c r="N161" s="50">
        <f t="shared" si="41"/>
        <v>3284.5970699282116</v>
      </c>
      <c r="O161" s="50">
        <f t="shared" si="41"/>
        <v>4054.8731311288293</v>
      </c>
      <c r="P161" s="50">
        <f t="shared" si="41"/>
        <v>4803.5052674999861</v>
      </c>
      <c r="Q161" s="50">
        <f t="shared" si="41"/>
        <v>5535.2580577242061</v>
      </c>
      <c r="R161" s="50">
        <f t="shared" si="41"/>
        <v>6466.2345777015471</v>
      </c>
      <c r="S161" s="50">
        <f t="shared" si="41"/>
        <v>7327.4922738739151</v>
      </c>
      <c r="T161" s="50">
        <f t="shared" si="41"/>
        <v>8069.9579107766403</v>
      </c>
      <c r="U161" s="50">
        <f t="shared" si="41"/>
        <v>8796.8626073221931</v>
      </c>
      <c r="V161" s="50">
        <f t="shared" si="41"/>
        <v>9532.5466521345261</v>
      </c>
      <c r="W161" s="50">
        <f t="shared" si="41"/>
        <v>10346.664852203317</v>
      </c>
      <c r="X161" s="50">
        <f t="shared" si="41"/>
        <v>11454.992230563921</v>
      </c>
      <c r="Y161" s="50">
        <f t="shared" si="41"/>
        <v>12495.460299369312</v>
      </c>
      <c r="Z161" s="50">
        <f t="shared" si="41"/>
        <v>13424.55690867771</v>
      </c>
      <c r="AA161" s="50">
        <f t="shared" si="41"/>
        <v>29077.941758031338</v>
      </c>
      <c r="AB161" s="50">
        <f t="shared" si="41"/>
        <v>59342.178950263435</v>
      </c>
      <c r="AC161" s="50">
        <f t="shared" si="41"/>
        <v>103853.62356513581</v>
      </c>
      <c r="AD161" s="50">
        <f t="shared" si="41"/>
        <v>153911.17534570867</v>
      </c>
      <c r="AE161" s="50">
        <f t="shared" si="41"/>
        <v>201846.18985211052</v>
      </c>
    </row>
    <row r="162" spans="1:31" x14ac:dyDescent="0.25">
      <c r="A162" s="3" t="s">
        <v>620</v>
      </c>
      <c r="B162" s="23" t="s">
        <v>207</v>
      </c>
      <c r="C162" s="50">
        <f t="shared" ref="C162:AE162" si="42">C31+C74+C117</f>
        <v>278.37382352941177</v>
      </c>
      <c r="D162" s="50">
        <f t="shared" si="42"/>
        <v>264.25572388045953</v>
      </c>
      <c r="E162" s="50">
        <f t="shared" si="42"/>
        <v>252.93834116308807</v>
      </c>
      <c r="F162" s="50">
        <f t="shared" si="42"/>
        <v>315.80599340103902</v>
      </c>
      <c r="G162" s="50">
        <f t="shared" si="42"/>
        <v>285.18421167876983</v>
      </c>
      <c r="H162" s="50">
        <f t="shared" si="42"/>
        <v>240.99324249022587</v>
      </c>
      <c r="I162" s="50">
        <f t="shared" si="42"/>
        <v>232.51928822803166</v>
      </c>
      <c r="J162" s="50">
        <f t="shared" si="42"/>
        <v>232.27012924342429</v>
      </c>
      <c r="K162" s="50">
        <f t="shared" si="42"/>
        <v>253.85856703245574</v>
      </c>
      <c r="L162" s="50">
        <f t="shared" si="42"/>
        <v>340.8078224289917</v>
      </c>
      <c r="M162" s="50">
        <f t="shared" si="42"/>
        <v>313.04931371300177</v>
      </c>
      <c r="N162" s="50">
        <f t="shared" si="42"/>
        <v>274.5406131393122</v>
      </c>
      <c r="O162" s="50">
        <f t="shared" si="42"/>
        <v>770.27606120061728</v>
      </c>
      <c r="P162" s="50">
        <f t="shared" si="42"/>
        <v>748.63213637115712</v>
      </c>
      <c r="Q162" s="50">
        <f t="shared" si="42"/>
        <v>731.7527902242191</v>
      </c>
      <c r="R162" s="50">
        <f t="shared" si="42"/>
        <v>930.97651997734079</v>
      </c>
      <c r="S162" s="50">
        <f t="shared" si="42"/>
        <v>861.25769617236813</v>
      </c>
      <c r="T162" s="50">
        <f t="shared" si="42"/>
        <v>742.46563690272592</v>
      </c>
      <c r="U162" s="50">
        <f t="shared" si="42"/>
        <v>726.90469654555386</v>
      </c>
      <c r="V162" s="50">
        <f t="shared" si="42"/>
        <v>735.68404481233119</v>
      </c>
      <c r="W162" s="50">
        <f t="shared" si="42"/>
        <v>814.11820006879157</v>
      </c>
      <c r="X162" s="50">
        <f t="shared" si="42"/>
        <v>1108.3273783606044</v>
      </c>
      <c r="Y162" s="50">
        <f t="shared" si="42"/>
        <v>1040.4680688053893</v>
      </c>
      <c r="Z162" s="50">
        <f t="shared" si="42"/>
        <v>929.09660930839846</v>
      </c>
      <c r="AA162" s="50">
        <f t="shared" si="42"/>
        <v>15653.384849353628</v>
      </c>
      <c r="AB162" s="50">
        <f t="shared" si="42"/>
        <v>30264.237192232096</v>
      </c>
      <c r="AC162" s="50">
        <f t="shared" si="42"/>
        <v>44511.444614872365</v>
      </c>
      <c r="AD162" s="50">
        <f t="shared" si="42"/>
        <v>50057.551780572874</v>
      </c>
      <c r="AE162" s="50">
        <f t="shared" si="42"/>
        <v>47935.014506401843</v>
      </c>
    </row>
    <row r="163" spans="1:31" x14ac:dyDescent="0.25">
      <c r="A163" s="3" t="s">
        <v>621</v>
      </c>
      <c r="B163" s="23" t="s">
        <v>207</v>
      </c>
      <c r="C163" s="50">
        <f t="shared" ref="C163:AE163" si="43">C46+C89+C132</f>
        <v>0</v>
      </c>
      <c r="D163" s="50">
        <f t="shared" si="43"/>
        <v>0</v>
      </c>
      <c r="E163" s="50">
        <f t="shared" si="43"/>
        <v>0</v>
      </c>
      <c r="F163" s="50">
        <f t="shared" si="43"/>
        <v>0</v>
      </c>
      <c r="G163" s="50">
        <f t="shared" si="43"/>
        <v>0</v>
      </c>
      <c r="H163" s="50">
        <f t="shared" si="43"/>
        <v>0</v>
      </c>
      <c r="I163" s="50">
        <f t="shared" si="43"/>
        <v>0</v>
      </c>
      <c r="J163" s="50">
        <f t="shared" si="43"/>
        <v>0</v>
      </c>
      <c r="K163" s="50">
        <f t="shared" si="43"/>
        <v>0</v>
      </c>
      <c r="L163" s="50">
        <f t="shared" si="43"/>
        <v>0</v>
      </c>
      <c r="M163" s="50">
        <f t="shared" si="43"/>
        <v>0</v>
      </c>
      <c r="N163" s="50">
        <f t="shared" si="43"/>
        <v>0</v>
      </c>
      <c r="O163" s="50">
        <f t="shared" si="43"/>
        <v>729.87716360318916</v>
      </c>
      <c r="P163" s="50">
        <f t="shared" si="43"/>
        <v>864.63094814999749</v>
      </c>
      <c r="Q163" s="50">
        <f t="shared" si="43"/>
        <v>996.34645039035695</v>
      </c>
      <c r="R163" s="50">
        <f t="shared" si="43"/>
        <v>1163.9222239862781</v>
      </c>
      <c r="S163" s="50">
        <f t="shared" si="43"/>
        <v>1318.9486092973043</v>
      </c>
      <c r="T163" s="50">
        <f t="shared" si="43"/>
        <v>1452.592423939795</v>
      </c>
      <c r="U163" s="50">
        <f t="shared" si="43"/>
        <v>1583.4352693179949</v>
      </c>
      <c r="V163" s="50">
        <f t="shared" si="43"/>
        <v>1715.8583973842144</v>
      </c>
      <c r="W163" s="50">
        <f t="shared" si="43"/>
        <v>1862.3996733965969</v>
      </c>
      <c r="X163" s="50">
        <f t="shared" si="43"/>
        <v>2061.8986015015053</v>
      </c>
      <c r="Y163" s="50">
        <f t="shared" si="43"/>
        <v>2249.1828538864756</v>
      </c>
      <c r="Z163" s="50">
        <f t="shared" si="43"/>
        <v>2416.4202435619877</v>
      </c>
      <c r="AA163" s="50">
        <f t="shared" si="43"/>
        <v>5234.0295164456402</v>
      </c>
      <c r="AB163" s="50">
        <f t="shared" si="43"/>
        <v>10681.592211047417</v>
      </c>
      <c r="AC163" s="50">
        <f t="shared" si="43"/>
        <v>18693.652241724445</v>
      </c>
      <c r="AD163" s="50">
        <f t="shared" si="43"/>
        <v>27704.011562227563</v>
      </c>
      <c r="AE163" s="50">
        <f t="shared" si="43"/>
        <v>36332.314173379898</v>
      </c>
    </row>
    <row r="164" spans="1:31" x14ac:dyDescent="0.25">
      <c r="A164" s="6" t="s">
        <v>622</v>
      </c>
      <c r="B164" s="23" t="s">
        <v>207</v>
      </c>
      <c r="C164" s="50">
        <f t="shared" ref="C164:AE164" si="44">C41+C84+C127</f>
        <v>60.937950622699347</v>
      </c>
      <c r="D164" s="50">
        <f t="shared" si="44"/>
        <v>176.1451827181096</v>
      </c>
      <c r="E164" s="50">
        <f t="shared" si="44"/>
        <v>339.91502661861097</v>
      </c>
      <c r="F164" s="50">
        <f t="shared" si="44"/>
        <v>563.08399111445601</v>
      </c>
      <c r="G164" s="50">
        <f t="shared" si="44"/>
        <v>835.34452704020373</v>
      </c>
      <c r="H164" s="50">
        <f t="shared" si="44"/>
        <v>1143.979201330684</v>
      </c>
      <c r="I164" s="50">
        <f t="shared" si="44"/>
        <v>1484.8098503825267</v>
      </c>
      <c r="J164" s="50">
        <f t="shared" si="44"/>
        <v>1855.6828747645745</v>
      </c>
      <c r="K164" s="50">
        <f t="shared" si="44"/>
        <v>2259.3411105320361</v>
      </c>
      <c r="L164" s="50">
        <f t="shared" si="44"/>
        <v>2712.6915830273592</v>
      </c>
      <c r="M164" s="50">
        <f t="shared" si="44"/>
        <v>3206.4483020225671</v>
      </c>
      <c r="N164" s="50">
        <f t="shared" si="44"/>
        <v>3729.4774423227518</v>
      </c>
      <c r="O164" s="50">
        <f t="shared" si="44"/>
        <v>4336.0402070195187</v>
      </c>
      <c r="P164" s="50">
        <f t="shared" si="44"/>
        <v>5056.1897266660008</v>
      </c>
      <c r="Q164" s="50">
        <f t="shared" si="44"/>
        <v>5879.385528616036</v>
      </c>
      <c r="R164" s="50">
        <f t="shared" si="44"/>
        <v>6839.5080732140086</v>
      </c>
      <c r="S164" s="50">
        <f t="shared" si="44"/>
        <v>7913.7721284388699</v>
      </c>
      <c r="T164" s="50">
        <f t="shared" si="44"/>
        <v>9070.690790541641</v>
      </c>
      <c r="U164" s="50">
        <f t="shared" si="44"/>
        <v>10301.529856968211</v>
      </c>
      <c r="V164" s="50">
        <f t="shared" si="44"/>
        <v>11602.96373646428</v>
      </c>
      <c r="W164" s="50">
        <f t="shared" si="44"/>
        <v>12985.979858290135</v>
      </c>
      <c r="X164" s="50">
        <f t="shared" si="44"/>
        <v>14504.759812420725</v>
      </c>
      <c r="Y164" s="50">
        <f t="shared" si="44"/>
        <v>16136.568092893682</v>
      </c>
      <c r="Z164" s="50">
        <f t="shared" si="44"/>
        <v>17851.076812284951</v>
      </c>
      <c r="AA164" s="50">
        <f t="shared" si="44"/>
        <v>53679.649985287499</v>
      </c>
      <c r="AB164" s="50">
        <f t="shared" si="44"/>
        <v>113259.10440378156</v>
      </c>
      <c r="AC164" s="50">
        <f t="shared" si="44"/>
        <v>196268.26941544528</v>
      </c>
      <c r="AD164" s="50">
        <f t="shared" si="44"/>
        <v>286622.16153282521</v>
      </c>
      <c r="AE164" s="50">
        <f t="shared" si="44"/>
        <v>366185.65019966697</v>
      </c>
    </row>
    <row r="165" spans="1:31" x14ac:dyDescent="0.25">
      <c r="A165" s="3" t="s">
        <v>623</v>
      </c>
      <c r="B165" s="23" t="s">
        <v>207</v>
      </c>
      <c r="C165" s="50">
        <f t="shared" ref="C165:AE165" si="45">C42+C85+C128</f>
        <v>60.937950622699347</v>
      </c>
      <c r="D165" s="50">
        <f t="shared" si="45"/>
        <v>176.44987247122307</v>
      </c>
      <c r="E165" s="50">
        <f t="shared" si="45"/>
        <v>341.09885237073058</v>
      </c>
      <c r="F165" s="50">
        <f t="shared" si="45"/>
        <v>565.96114861641468</v>
      </c>
      <c r="G165" s="50">
        <f t="shared" si="45"/>
        <v>841.02174487713251</v>
      </c>
      <c r="H165" s="50">
        <f t="shared" si="45"/>
        <v>1153.8024290274843</v>
      </c>
      <c r="I165" s="50">
        <f t="shared" si="45"/>
        <v>1500.2991597739956</v>
      </c>
      <c r="J165" s="50">
        <f t="shared" si="45"/>
        <v>1878.5103824585649</v>
      </c>
      <c r="K165" s="50">
        <f t="shared" si="45"/>
        <v>2291.3192296095149</v>
      </c>
      <c r="L165" s="50">
        <f t="shared" si="45"/>
        <v>2755.7862344333807</v>
      </c>
      <c r="M165" s="50">
        <f t="shared" si="45"/>
        <v>3262.8616775584687</v>
      </c>
      <c r="N165" s="50">
        <f t="shared" si="45"/>
        <v>3801.5997113741355</v>
      </c>
      <c r="O165" s="50">
        <f t="shared" si="45"/>
        <v>4426.3982674993049</v>
      </c>
      <c r="P165" s="50">
        <f t="shared" si="45"/>
        <v>5167.711966117362</v>
      </c>
      <c r="Q165" s="50">
        <f t="shared" si="45"/>
        <v>6015.5497231236404</v>
      </c>
      <c r="R165" s="50">
        <f t="shared" si="45"/>
        <v>7004.2881536790683</v>
      </c>
      <c r="S165" s="50">
        <f t="shared" si="45"/>
        <v>8111.800692599767</v>
      </c>
      <c r="T165" s="50">
        <f t="shared" si="45"/>
        <v>9307.1400573286519</v>
      </c>
      <c r="U165" s="50">
        <f t="shared" si="45"/>
        <v>10581.952137869692</v>
      </c>
      <c r="V165" s="50">
        <f t="shared" si="45"/>
        <v>11933.245435081706</v>
      </c>
      <c r="W165" s="50">
        <f t="shared" si="45"/>
        <v>13372.324123272194</v>
      </c>
      <c r="X165" s="50">
        <f t="shared" si="45"/>
        <v>14953.74548632462</v>
      </c>
      <c r="Y165" s="50">
        <f t="shared" si="45"/>
        <v>16655.407685316331</v>
      </c>
      <c r="Z165" s="50">
        <f t="shared" si="45"/>
        <v>18447.496727918577</v>
      </c>
      <c r="AA165" s="50">
        <f t="shared" si="45"/>
        <v>55302.078638992542</v>
      </c>
      <c r="AB165" s="50">
        <f t="shared" si="45"/>
        <v>117977.5930626983</v>
      </c>
      <c r="AC165" s="50">
        <f t="shared" si="45"/>
        <v>207411.60075458797</v>
      </c>
      <c r="AD165" s="50">
        <f t="shared" si="45"/>
        <v>308640.70404579642</v>
      </c>
      <c r="AE165" s="50">
        <f t="shared" si="45"/>
        <v>403564.95920986787</v>
      </c>
    </row>
    <row r="166" spans="1:31" x14ac:dyDescent="0.25">
      <c r="A166" s="6" t="s">
        <v>624</v>
      </c>
      <c r="B166" s="23" t="s">
        <v>207</v>
      </c>
      <c r="C166" s="60">
        <f t="shared" ref="C166:AE166" si="46">C38+C81+C124</f>
        <v>60.937950622699347</v>
      </c>
      <c r="D166" s="60">
        <f t="shared" si="46"/>
        <v>115.82555489717971</v>
      </c>
      <c r="E166" s="60">
        <f t="shared" si="46"/>
        <v>165.569720496955</v>
      </c>
      <c r="F166" s="60">
        <f t="shared" si="46"/>
        <v>226.66121880930046</v>
      </c>
      <c r="G166" s="60">
        <f t="shared" si="46"/>
        <v>278.08196317003342</v>
      </c>
      <c r="H166" s="60">
        <f t="shared" si="46"/>
        <v>317.33046758380135</v>
      </c>
      <c r="I166" s="60">
        <f t="shared" si="46"/>
        <v>352.81757405704332</v>
      </c>
      <c r="J166" s="60">
        <f t="shared" si="46"/>
        <v>386.5267712797251</v>
      </c>
      <c r="K166" s="60">
        <f t="shared" si="46"/>
        <v>423.32594966335512</v>
      </c>
      <c r="L166" s="60">
        <f t="shared" si="46"/>
        <v>477.37690607101439</v>
      </c>
      <c r="M166" s="60">
        <f t="shared" si="46"/>
        <v>522.72550511622444</v>
      </c>
      <c r="N166" s="60">
        <f t="shared" si="46"/>
        <v>557.43997654604482</v>
      </c>
      <c r="O166" s="60">
        <f t="shared" si="46"/>
        <v>646.49390822681391</v>
      </c>
      <c r="P166" s="60">
        <f t="shared" si="46"/>
        <v>766.58373058262123</v>
      </c>
      <c r="Q166" s="60">
        <f t="shared" si="46"/>
        <v>877.42575246115086</v>
      </c>
      <c r="R166" s="60">
        <f t="shared" si="46"/>
        <v>1023.2069914124086</v>
      </c>
      <c r="S166" s="60">
        <f t="shared" si="46"/>
        <v>1147.7999302833668</v>
      </c>
      <c r="T166" s="60">
        <f t="shared" si="46"/>
        <v>1242.2998542764267</v>
      </c>
      <c r="U166" s="60">
        <f t="shared" si="46"/>
        <v>1329.0623625716025</v>
      </c>
      <c r="V166" s="60">
        <f t="shared" si="46"/>
        <v>1413.3902695047771</v>
      </c>
      <c r="W166" s="60">
        <f t="shared" si="46"/>
        <v>1509.5023529280277</v>
      </c>
      <c r="X166" s="60">
        <f t="shared" si="46"/>
        <v>1660.5087806879162</v>
      </c>
      <c r="Y166" s="60">
        <f t="shared" si="46"/>
        <v>1790.4508539421256</v>
      </c>
      <c r="Z166" s="60">
        <f t="shared" si="46"/>
        <v>1891.5407707424918</v>
      </c>
      <c r="AA166" s="60">
        <f t="shared" si="46"/>
        <v>38247.229535909297</v>
      </c>
      <c r="AB166" s="60">
        <f t="shared" si="46"/>
        <v>66927.22270102828</v>
      </c>
      <c r="AC166" s="60">
        <f t="shared" si="46"/>
        <v>98702.025716124655</v>
      </c>
      <c r="AD166" s="60">
        <f t="shared" si="46"/>
        <v>117997.89692238641</v>
      </c>
      <c r="AE166" s="60">
        <f t="shared" si="46"/>
        <v>120655.51723504558</v>
      </c>
    </row>
    <row r="167" spans="1:31" x14ac:dyDescent="0.25">
      <c r="A167" s="3" t="s">
        <v>625</v>
      </c>
      <c r="B167" s="23" t="s">
        <v>207</v>
      </c>
      <c r="C167" s="61">
        <f t="shared" ref="C167:AE167" si="47">C43+C86+C129</f>
        <v>8620.282495087049</v>
      </c>
      <c r="D167" s="61">
        <f t="shared" si="47"/>
        <v>24917.497547303785</v>
      </c>
      <c r="E167" s="61">
        <f t="shared" si="47"/>
        <v>48084.37966546871</v>
      </c>
      <c r="F167" s="61">
        <f t="shared" si="47"/>
        <v>79653.861383050942</v>
      </c>
      <c r="G167" s="61">
        <f t="shared" si="47"/>
        <v>118167.83679510723</v>
      </c>
      <c r="H167" s="61">
        <f t="shared" si="47"/>
        <v>161827.29782023857</v>
      </c>
      <c r="I167" s="61">
        <f t="shared" si="47"/>
        <v>210041.20143511222</v>
      </c>
      <c r="J167" s="61">
        <f t="shared" si="47"/>
        <v>262504.8994641967</v>
      </c>
      <c r="K167" s="61">
        <f t="shared" si="47"/>
        <v>319606.39349586185</v>
      </c>
      <c r="L167" s="61">
        <f t="shared" si="47"/>
        <v>383737.35133505025</v>
      </c>
      <c r="M167" s="61">
        <f t="shared" si="47"/>
        <v>453584.17680411239</v>
      </c>
      <c r="N167" s="61">
        <f t="shared" si="47"/>
        <v>527571.87899097649</v>
      </c>
      <c r="O167" s="61">
        <f t="shared" si="47"/>
        <v>663059.7237474646</v>
      </c>
      <c r="P167" s="61">
        <f t="shared" si="47"/>
        <v>773183.73523164052</v>
      </c>
      <c r="Q167" s="61">
        <f t="shared" si="47"/>
        <v>899065.40490514459</v>
      </c>
      <c r="R167" s="61">
        <f t="shared" si="47"/>
        <v>1045885.6738118387</v>
      </c>
      <c r="S167" s="61">
        <f t="shared" si="47"/>
        <v>1210160.2639173684</v>
      </c>
      <c r="T167" s="61">
        <f t="shared" si="47"/>
        <v>1387074.2526876521</v>
      </c>
      <c r="U167" s="61">
        <f t="shared" si="47"/>
        <v>1575292.0210656279</v>
      </c>
      <c r="V167" s="61">
        <f t="shared" si="47"/>
        <v>1774305.0254232166</v>
      </c>
      <c r="W167" s="61">
        <f t="shared" si="47"/>
        <v>1985793.444324774</v>
      </c>
      <c r="X167" s="61">
        <f t="shared" si="47"/>
        <v>2218042.632233304</v>
      </c>
      <c r="Y167" s="61">
        <f t="shared" si="47"/>
        <v>2467575.9151368202</v>
      </c>
      <c r="Z167" s="61">
        <f t="shared" si="47"/>
        <v>2729755.6052609617</v>
      </c>
      <c r="AA167" s="61">
        <f t="shared" si="47"/>
        <v>8873495.1656850837</v>
      </c>
      <c r="AB167" s="61">
        <f t="shared" si="47"/>
        <v>20238758.058997773</v>
      </c>
      <c r="AC167" s="61">
        <f t="shared" si="47"/>
        <v>37912857.862771228</v>
      </c>
      <c r="AD167" s="61">
        <f t="shared" si="47"/>
        <v>59851066.055721268</v>
      </c>
      <c r="AE167" s="61">
        <f t="shared" si="47"/>
        <v>82658808.155989617</v>
      </c>
    </row>
    <row r="168" spans="1:31" x14ac:dyDescent="0.25">
      <c r="A168" s="6" t="s">
        <v>626</v>
      </c>
      <c r="B168" s="23" t="s">
        <v>207</v>
      </c>
      <c r="C168" s="50">
        <f t="shared" ref="C168:AE168" si="48">C45+C88+C131</f>
        <v>0</v>
      </c>
      <c r="D168" s="50">
        <f t="shared" si="48"/>
        <v>0</v>
      </c>
      <c r="E168" s="50">
        <f t="shared" si="48"/>
        <v>0</v>
      </c>
      <c r="F168" s="50">
        <f t="shared" si="48"/>
        <v>0</v>
      </c>
      <c r="G168" s="50">
        <f t="shared" si="48"/>
        <v>0</v>
      </c>
      <c r="H168" s="50">
        <f t="shared" si="48"/>
        <v>0</v>
      </c>
      <c r="I168" s="50">
        <f t="shared" si="48"/>
        <v>0</v>
      </c>
      <c r="J168" s="50">
        <f t="shared" si="48"/>
        <v>0</v>
      </c>
      <c r="K168" s="50">
        <f t="shared" si="48"/>
        <v>153.10560294117647</v>
      </c>
      <c r="L168" s="50">
        <f t="shared" si="48"/>
        <v>298.44625107542925</v>
      </c>
      <c r="M168" s="50">
        <f t="shared" si="48"/>
        <v>437.56233871512768</v>
      </c>
      <c r="N168" s="50">
        <f t="shared" si="48"/>
        <v>611.25563508569917</v>
      </c>
      <c r="O168" s="50">
        <f t="shared" si="48"/>
        <v>768.10695150902245</v>
      </c>
      <c r="P168" s="50">
        <f t="shared" si="48"/>
        <v>900.6532348786468</v>
      </c>
      <c r="Q168" s="50">
        <f t="shared" si="48"/>
        <v>1028.5388434040642</v>
      </c>
      <c r="R168" s="50">
        <f t="shared" si="48"/>
        <v>1156.2874144879474</v>
      </c>
      <c r="S168" s="50">
        <f t="shared" si="48"/>
        <v>1295.9096263557983</v>
      </c>
      <c r="T168" s="50">
        <f t="shared" si="48"/>
        <v>1483.3539286917439</v>
      </c>
      <c r="U168" s="50">
        <f t="shared" si="48"/>
        <v>1655.5310512338945</v>
      </c>
      <c r="V168" s="50">
        <f t="shared" si="48"/>
        <v>1806.5283884605162</v>
      </c>
      <c r="W168" s="50">
        <f t="shared" si="48"/>
        <v>2230.1802221208563</v>
      </c>
      <c r="X168" s="50">
        <f t="shared" si="48"/>
        <v>2641.9278971249923</v>
      </c>
      <c r="Y168" s="50">
        <f t="shared" si="48"/>
        <v>3044.3919317483133</v>
      </c>
      <c r="Z168" s="50">
        <f t="shared" si="48"/>
        <v>3556.4290177358503</v>
      </c>
      <c r="AA168" s="50">
        <f t="shared" si="48"/>
        <v>15992.867966917238</v>
      </c>
      <c r="AB168" s="50">
        <f t="shared" si="48"/>
        <v>32638.198422644891</v>
      </c>
      <c r="AC168" s="50">
        <f t="shared" si="48"/>
        <v>57119.492960824704</v>
      </c>
      <c r="AD168" s="50">
        <f t="shared" si="48"/>
        <v>84651.146440139782</v>
      </c>
      <c r="AE168" s="50">
        <f t="shared" si="48"/>
        <v>111015.40441866079</v>
      </c>
    </row>
    <row r="169" spans="1:31" x14ac:dyDescent="0.25">
      <c r="A169" s="6" t="s">
        <v>627</v>
      </c>
      <c r="B169" s="23" t="s">
        <v>207</v>
      </c>
      <c r="C169" s="61">
        <f t="shared" ref="C169:AE169" si="49">C36+C79+C122</f>
        <v>8435.2173601949762</v>
      </c>
      <c r="D169" s="61">
        <f t="shared" si="49"/>
        <v>16032.87908570619</v>
      </c>
      <c r="E169" s="61">
        <f t="shared" si="49"/>
        <v>22918.530848838942</v>
      </c>
      <c r="F169" s="61">
        <f t="shared" si="49"/>
        <v>31374.844466536706</v>
      </c>
      <c r="G169" s="61">
        <f t="shared" si="49"/>
        <v>38492.467137938358</v>
      </c>
      <c r="H169" s="61">
        <f t="shared" si="49"/>
        <v>43925.16750309716</v>
      </c>
      <c r="I169" s="61">
        <f t="shared" si="49"/>
        <v>48837.184029214761</v>
      </c>
      <c r="J169" s="61">
        <f t="shared" si="49"/>
        <v>53503.072013953351</v>
      </c>
      <c r="K169" s="61">
        <f t="shared" si="49"/>
        <v>58596.63075106102</v>
      </c>
      <c r="L169" s="61">
        <f t="shared" si="49"/>
        <v>66078.069859181196</v>
      </c>
      <c r="M169" s="61">
        <f t="shared" si="49"/>
        <v>72354.896586684641</v>
      </c>
      <c r="N169" s="61">
        <f t="shared" si="49"/>
        <v>77159.748766994642</v>
      </c>
      <c r="O169" s="61">
        <f t="shared" si="49"/>
        <v>96661.60733681744</v>
      </c>
      <c r="P169" s="61">
        <f t="shared" si="49"/>
        <v>114562.46505847014</v>
      </c>
      <c r="Q169" s="61">
        <f t="shared" si="49"/>
        <v>131083.97037676425</v>
      </c>
      <c r="R169" s="61">
        <f t="shared" si="49"/>
        <v>152816.64007666195</v>
      </c>
      <c r="S169" s="61">
        <f t="shared" si="49"/>
        <v>171388.94175033233</v>
      </c>
      <c r="T169" s="61">
        <f t="shared" si="49"/>
        <v>185472.96693335433</v>
      </c>
      <c r="U169" s="61">
        <f t="shared" si="49"/>
        <v>198403.03053143475</v>
      </c>
      <c r="V169" s="61">
        <f t="shared" si="49"/>
        <v>210970.01001330631</v>
      </c>
      <c r="W169" s="61">
        <f t="shared" si="49"/>
        <v>225294.38920734986</v>
      </c>
      <c r="X169" s="61">
        <f t="shared" si="49"/>
        <v>247805.05765749971</v>
      </c>
      <c r="Y169" s="61">
        <f t="shared" si="49"/>
        <v>267174.04482127161</v>
      </c>
      <c r="Z169" s="61">
        <f t="shared" si="49"/>
        <v>282240.18404042331</v>
      </c>
      <c r="AA169" s="61">
        <f t="shared" si="49"/>
        <v>6168454.9781024121</v>
      </c>
      <c r="AB169" s="61">
        <f t="shared" si="49"/>
        <v>11680888.046703998</v>
      </c>
      <c r="AC169" s="61">
        <f t="shared" si="49"/>
        <v>18623053.996776171</v>
      </c>
      <c r="AD169" s="61">
        <f t="shared" si="49"/>
        <v>24036975.363766767</v>
      </c>
      <c r="AE169" s="61">
        <f t="shared" si="49"/>
        <v>26521758.557929926</v>
      </c>
    </row>
    <row r="170" spans="1:31" x14ac:dyDescent="0.25">
      <c r="A170" s="6" t="s">
        <v>628</v>
      </c>
      <c r="B170" s="23" t="s">
        <v>207</v>
      </c>
      <c r="C170" s="61">
        <f t="shared" ref="C170:AE170" si="50">C37+C80+C123</f>
        <v>638.76421358086782</v>
      </c>
      <c r="D170" s="61">
        <f t="shared" si="50"/>
        <v>1214.1556466675406</v>
      </c>
      <c r="E170" s="61">
        <f t="shared" si="50"/>
        <v>1735.6719527392249</v>
      </c>
      <c r="F170" s="61">
        <f t="shared" si="50"/>
        <v>2376.2039679513409</v>
      </c>
      <c r="G170" s="61">
        <f t="shared" si="50"/>
        <v>2915.4007673594624</v>
      </c>
      <c r="H170" s="61">
        <f t="shared" si="50"/>
        <v>3327.0092804865744</v>
      </c>
      <c r="I170" s="61">
        <f t="shared" si="50"/>
        <v>3699.2096824792843</v>
      </c>
      <c r="J170" s="61">
        <f t="shared" si="50"/>
        <v>4052.7985810255141</v>
      </c>
      <c r="K170" s="61">
        <f t="shared" si="50"/>
        <v>4438.8311851265717</v>
      </c>
      <c r="L170" s="61">
        <f t="shared" si="50"/>
        <v>5005.8639648248172</v>
      </c>
      <c r="M170" s="61">
        <f t="shared" si="50"/>
        <v>5481.6823119902247</v>
      </c>
      <c r="N170" s="61">
        <f t="shared" si="50"/>
        <v>5845.9976353248512</v>
      </c>
      <c r="O170" s="61">
        <f t="shared" si="50"/>
        <v>7402.3121859657958</v>
      </c>
      <c r="P170" s="61">
        <f t="shared" si="50"/>
        <v>8831.903599428013</v>
      </c>
      <c r="Q170" s="61">
        <f t="shared" si="50"/>
        <v>10152.260513288315</v>
      </c>
      <c r="R170" s="61">
        <f t="shared" si="50"/>
        <v>11885.49965662276</v>
      </c>
      <c r="S170" s="61">
        <f t="shared" si="50"/>
        <v>13368.498425513768</v>
      </c>
      <c r="T170" s="61">
        <f t="shared" si="50"/>
        <v>14495.803713176932</v>
      </c>
      <c r="U170" s="61">
        <f t="shared" si="50"/>
        <v>15531.605169553299</v>
      </c>
      <c r="V170" s="61">
        <f t="shared" si="50"/>
        <v>16538.60126416901</v>
      </c>
      <c r="W170" s="61">
        <f t="shared" si="50"/>
        <v>17685.056345976322</v>
      </c>
      <c r="X170" s="61">
        <f t="shared" si="50"/>
        <v>19481.377560940047</v>
      </c>
      <c r="Y170" s="61">
        <f t="shared" si="50"/>
        <v>21028.722758037839</v>
      </c>
      <c r="Z170" s="61">
        <f t="shared" si="50"/>
        <v>22234.682676419601</v>
      </c>
      <c r="AA170" s="61">
        <f t="shared" si="50"/>
        <v>486749.73082227982</v>
      </c>
      <c r="AB170" s="61">
        <f t="shared" si="50"/>
        <v>908074.27290035784</v>
      </c>
      <c r="AC170" s="61">
        <f t="shared" si="50"/>
        <v>1446554.0205844238</v>
      </c>
      <c r="AD170" s="61">
        <f t="shared" si="50"/>
        <v>1899609.1603897593</v>
      </c>
      <c r="AE170" s="61">
        <f t="shared" si="50"/>
        <v>2147165.7450562641</v>
      </c>
    </row>
    <row r="171" spans="1:31" x14ac:dyDescent="0.25">
      <c r="A171" s="6" t="s">
        <v>629</v>
      </c>
      <c r="B171" s="23" t="s">
        <v>207</v>
      </c>
      <c r="C171" s="61">
        <f t="shared" ref="C171:AE171" si="51">C53+C96+C139</f>
        <v>0</v>
      </c>
      <c r="D171" s="61">
        <f t="shared" si="51"/>
        <v>0</v>
      </c>
      <c r="E171" s="61">
        <f t="shared" si="51"/>
        <v>0</v>
      </c>
      <c r="F171" s="61">
        <f t="shared" si="51"/>
        <v>0</v>
      </c>
      <c r="G171" s="61">
        <f t="shared" si="51"/>
        <v>0</v>
      </c>
      <c r="H171" s="61">
        <f t="shared" si="51"/>
        <v>0</v>
      </c>
      <c r="I171" s="61">
        <f t="shared" si="51"/>
        <v>0</v>
      </c>
      <c r="J171" s="61">
        <f t="shared" si="51"/>
        <v>0</v>
      </c>
      <c r="K171" s="61">
        <f t="shared" si="51"/>
        <v>0</v>
      </c>
      <c r="L171" s="61">
        <f t="shared" si="51"/>
        <v>0</v>
      </c>
      <c r="M171" s="61">
        <f t="shared" si="51"/>
        <v>0</v>
      </c>
      <c r="N171" s="61">
        <f t="shared" si="51"/>
        <v>0</v>
      </c>
      <c r="O171" s="61">
        <f t="shared" si="51"/>
        <v>5743.7548569624123</v>
      </c>
      <c r="P171" s="61">
        <f t="shared" si="51"/>
        <v>6088.8219149491688</v>
      </c>
      <c r="Q171" s="61">
        <f t="shared" si="51"/>
        <v>6938.5372623554531</v>
      </c>
      <c r="R171" s="61">
        <f t="shared" si="51"/>
        <v>8071.6226876428645</v>
      </c>
      <c r="S171" s="61">
        <f t="shared" si="51"/>
        <v>9530.0120783492748</v>
      </c>
      <c r="T171" s="61">
        <f t="shared" si="51"/>
        <v>10377.049252919496</v>
      </c>
      <c r="U171" s="61">
        <f t="shared" si="51"/>
        <v>10916.7737059848</v>
      </c>
      <c r="V171" s="61">
        <f t="shared" si="51"/>
        <v>12575.386867687044</v>
      </c>
      <c r="W171" s="61">
        <f t="shared" si="51"/>
        <v>15638.123374057592</v>
      </c>
      <c r="X171" s="61">
        <f t="shared" si="51"/>
        <v>17816.42744341401</v>
      </c>
      <c r="Y171" s="61">
        <f t="shared" si="51"/>
        <v>20403.768348287587</v>
      </c>
      <c r="Z171" s="61">
        <f t="shared" si="51"/>
        <v>24506.380946230282</v>
      </c>
      <c r="AA171" s="61">
        <f t="shared" si="51"/>
        <v>838545.29315724038</v>
      </c>
      <c r="AB171" s="61">
        <f t="shared" si="51"/>
        <v>1912562.6365752891</v>
      </c>
      <c r="AC171" s="61">
        <f t="shared" si="51"/>
        <v>3582765.068031881</v>
      </c>
      <c r="AD171" s="61">
        <f t="shared" si="51"/>
        <v>5655925.7422656594</v>
      </c>
      <c r="AE171" s="61">
        <f t="shared" si="51"/>
        <v>7811257.37074102</v>
      </c>
    </row>
    <row r="172" spans="1:31" x14ac:dyDescent="0.25">
      <c r="A172" s="6" t="s">
        <v>630</v>
      </c>
      <c r="B172" s="23" t="s">
        <v>114</v>
      </c>
      <c r="C172" s="63">
        <f t="shared" ref="C172:AE172" si="52">C165*C20</f>
        <v>8620.2824950870508</v>
      </c>
      <c r="D172" s="63">
        <f t="shared" si="52"/>
        <v>24960.598959779218</v>
      </c>
      <c r="E172" s="63">
        <f t="shared" si="52"/>
        <v>48251.843656363548</v>
      </c>
      <c r="F172" s="63">
        <f t="shared" si="52"/>
        <v>80060.864083278022</v>
      </c>
      <c r="G172" s="63">
        <f t="shared" si="52"/>
        <v>118970.93603031916</v>
      </c>
      <c r="H172" s="63">
        <f t="shared" si="52"/>
        <v>163216.89161022793</v>
      </c>
      <c r="I172" s="63">
        <f t="shared" si="52"/>
        <v>212232.31914162944</v>
      </c>
      <c r="J172" s="63">
        <f t="shared" si="52"/>
        <v>265734.07870258862</v>
      </c>
      <c r="K172" s="63">
        <f t="shared" si="52"/>
        <v>324130.01822056196</v>
      </c>
      <c r="L172" s="63">
        <f t="shared" si="52"/>
        <v>389833.52072294604</v>
      </c>
      <c r="M172" s="63">
        <f t="shared" si="52"/>
        <v>461564.41290742101</v>
      </c>
      <c r="N172" s="63">
        <f t="shared" si="52"/>
        <v>537774.29517098528</v>
      </c>
      <c r="O172" s="63">
        <f t="shared" si="52"/>
        <v>676877.12113300827</v>
      </c>
      <c r="P172" s="63">
        <f t="shared" si="52"/>
        <v>790237.52203984594</v>
      </c>
      <c r="Q172" s="63">
        <f t="shared" si="52"/>
        <v>919887.3966035489</v>
      </c>
      <c r="R172" s="63">
        <f t="shared" si="52"/>
        <v>1071083.5569992159</v>
      </c>
      <c r="S172" s="63">
        <f t="shared" si="52"/>
        <v>1240442.4473791514</v>
      </c>
      <c r="T172" s="63">
        <f t="shared" si="52"/>
        <v>1423231.6631429978</v>
      </c>
      <c r="U172" s="63">
        <f t="shared" si="52"/>
        <v>1618173.7083263134</v>
      </c>
      <c r="V172" s="63">
        <f t="shared" si="52"/>
        <v>1824811.1280856375</v>
      </c>
      <c r="W172" s="63">
        <f t="shared" si="52"/>
        <v>2044872.5370868095</v>
      </c>
      <c r="X172" s="63">
        <f t="shared" si="52"/>
        <v>2286700.7402516147</v>
      </c>
      <c r="Y172" s="63">
        <f t="shared" si="52"/>
        <v>2546915.962829201</v>
      </c>
      <c r="Z172" s="63">
        <f t="shared" si="52"/>
        <v>2820959.1009890023</v>
      </c>
      <c r="AA172" s="63">
        <f t="shared" si="52"/>
        <v>9141690.1486863978</v>
      </c>
      <c r="AB172" s="63">
        <f t="shared" si="52"/>
        <v>21081925.156907052</v>
      </c>
      <c r="AC172" s="63">
        <f t="shared" si="52"/>
        <v>40065399.067913353</v>
      </c>
      <c r="AD172" s="63">
        <f t="shared" si="52"/>
        <v>64448872.573357277</v>
      </c>
      <c r="AE172" s="63">
        <f t="shared" si="52"/>
        <v>91096411.133585647</v>
      </c>
    </row>
    <row r="173" spans="1:31" x14ac:dyDescent="0.25">
      <c r="A173" s="9" t="s">
        <v>631</v>
      </c>
    </row>
    <row r="174" spans="1:31" x14ac:dyDescent="0.25">
      <c r="A174" s="6" t="s">
        <v>632</v>
      </c>
      <c r="B174" s="23" t="s">
        <v>114</v>
      </c>
      <c r="C174" s="61">
        <f>C165*Assumptions!$B$6</f>
        <v>8620.2824950870508</v>
      </c>
      <c r="D174" s="61">
        <f>D165*Assumptions!$B$6</f>
        <v>24960.598959779218</v>
      </c>
      <c r="E174" s="61">
        <f>E165*Assumptions!$B$6</f>
        <v>48251.843656363548</v>
      </c>
      <c r="F174" s="61">
        <f>F165*Assumptions!$B$6</f>
        <v>80060.864083278022</v>
      </c>
      <c r="G174" s="61">
        <f>G165*Assumptions!$B$6</f>
        <v>118970.93603031916</v>
      </c>
      <c r="H174" s="61">
        <f>H165*Assumptions!$B$6</f>
        <v>163216.89161022793</v>
      </c>
      <c r="I174" s="61">
        <f>I165*Assumptions!$B$6</f>
        <v>212232.31914162944</v>
      </c>
      <c r="J174" s="61">
        <f>J165*Assumptions!$B$6</f>
        <v>265734.07870258862</v>
      </c>
      <c r="K174" s="61">
        <f>K165*Assumptions!$B$6</f>
        <v>324130.01822056196</v>
      </c>
      <c r="L174" s="61">
        <f>L165*Assumptions!$B$6</f>
        <v>389833.52072294604</v>
      </c>
      <c r="M174" s="61">
        <f>M165*Assumptions!$B$6</f>
        <v>461564.41290742101</v>
      </c>
      <c r="N174" s="61">
        <f>N165*Assumptions!$B$6</f>
        <v>537774.29517098528</v>
      </c>
      <c r="O174" s="61">
        <f>O165*Assumptions!$B$6</f>
        <v>626158.29892045166</v>
      </c>
      <c r="P174" s="61">
        <f>P165*Assumptions!$B$6</f>
        <v>731024.5347269621</v>
      </c>
      <c r="Q174" s="61">
        <f>Q165*Assumptions!$B$6</f>
        <v>850959.6638330702</v>
      </c>
      <c r="R174" s="61">
        <f>R165*Assumptions!$B$6</f>
        <v>990826.60221944109</v>
      </c>
      <c r="S174" s="61">
        <f>S165*Assumptions!$B$6</f>
        <v>1147495.3259751631</v>
      </c>
      <c r="T174" s="61">
        <f>T165*Assumptions!$B$6</f>
        <v>1316588.0325097111</v>
      </c>
      <c r="U174" s="61">
        <f>U165*Assumptions!$B$6</f>
        <v>1496922.9494230468</v>
      </c>
      <c r="V174" s="61">
        <f>V165*Assumptions!$B$6</f>
        <v>1688076.8992466582</v>
      </c>
      <c r="W174" s="61">
        <f>W165*Assumptions!$B$6</f>
        <v>1891648.9704780846</v>
      </c>
      <c r="X174" s="61">
        <f>X165*Assumptions!$B$6</f>
        <v>2115356.836495481</v>
      </c>
      <c r="Y174" s="61">
        <f>Y165*Assumptions!$B$6</f>
        <v>2356073.9711648482</v>
      </c>
      <c r="Z174" s="61">
        <f>Z165*Assumptions!$B$6</f>
        <v>2609582.8871313622</v>
      </c>
      <c r="AA174" s="61">
        <f>AA165*Assumptions!$B$6</f>
        <v>7823032.0442718854</v>
      </c>
      <c r="AB174" s="61">
        <f>AB165*Assumptions!$B$6</f>
        <v>16689110.314649303</v>
      </c>
      <c r="AC174" s="61">
        <f>AC165*Assumptions!$B$6</f>
        <v>29340445.042744014</v>
      </c>
      <c r="AD174" s="61">
        <f>AD165*Assumptions!$B$6</f>
        <v>43660313.994318366</v>
      </c>
      <c r="AE174" s="61">
        <f>AE165*Assumptions!$B$6</f>
        <v>57088299.129827909</v>
      </c>
    </row>
    <row r="175" spans="1:31" x14ac:dyDescent="0.25">
      <c r="A175" s="6" t="s">
        <v>633</v>
      </c>
      <c r="B175" s="23" t="s">
        <v>114</v>
      </c>
      <c r="C175" s="61">
        <f t="shared" ref="C175:AE175" si="53">C172-C174</f>
        <v>0</v>
      </c>
      <c r="D175" s="61">
        <f t="shared" si="53"/>
        <v>0</v>
      </c>
      <c r="E175" s="61">
        <f t="shared" si="53"/>
        <v>0</v>
      </c>
      <c r="F175" s="61">
        <f t="shared" si="53"/>
        <v>0</v>
      </c>
      <c r="G175" s="61">
        <f t="shared" si="53"/>
        <v>0</v>
      </c>
      <c r="H175" s="61">
        <f t="shared" si="53"/>
        <v>0</v>
      </c>
      <c r="I175" s="61">
        <f t="shared" si="53"/>
        <v>0</v>
      </c>
      <c r="J175" s="61">
        <f t="shared" si="53"/>
        <v>0</v>
      </c>
      <c r="K175" s="61">
        <f t="shared" si="53"/>
        <v>0</v>
      </c>
      <c r="L175" s="61">
        <f t="shared" si="53"/>
        <v>0</v>
      </c>
      <c r="M175" s="61">
        <f t="shared" si="53"/>
        <v>0</v>
      </c>
      <c r="N175" s="61">
        <f t="shared" si="53"/>
        <v>0</v>
      </c>
      <c r="O175" s="61">
        <f t="shared" si="53"/>
        <v>50718.82221255661</v>
      </c>
      <c r="P175" s="61">
        <f t="shared" si="53"/>
        <v>59212.987312883837</v>
      </c>
      <c r="Q175" s="61">
        <f t="shared" si="53"/>
        <v>68927.732770478702</v>
      </c>
      <c r="R175" s="61">
        <f t="shared" si="53"/>
        <v>80256.954779774765</v>
      </c>
      <c r="S175" s="61">
        <f t="shared" si="53"/>
        <v>92947.121403988218</v>
      </c>
      <c r="T175" s="61">
        <f t="shared" si="53"/>
        <v>106643.63063328667</v>
      </c>
      <c r="U175" s="61">
        <f t="shared" si="53"/>
        <v>121250.75890326663</v>
      </c>
      <c r="V175" s="61">
        <f t="shared" si="53"/>
        <v>136734.22883897927</v>
      </c>
      <c r="W175" s="61">
        <f t="shared" si="53"/>
        <v>153223.56660872488</v>
      </c>
      <c r="X175" s="61">
        <f t="shared" si="53"/>
        <v>171343.90375613375</v>
      </c>
      <c r="Y175" s="61">
        <f t="shared" si="53"/>
        <v>190841.99166435283</v>
      </c>
      <c r="Z175" s="61">
        <f t="shared" si="53"/>
        <v>211376.21385764005</v>
      </c>
      <c r="AA175" s="61">
        <f t="shared" si="53"/>
        <v>1318658.1044145124</v>
      </c>
      <c r="AB175" s="61">
        <f t="shared" si="53"/>
        <v>4392814.8422577493</v>
      </c>
      <c r="AC175" s="61">
        <f t="shared" si="53"/>
        <v>10724954.025169339</v>
      </c>
      <c r="AD175" s="61">
        <f t="shared" si="53"/>
        <v>20788558.579038911</v>
      </c>
      <c r="AE175" s="61">
        <f t="shared" si="53"/>
        <v>34008112.003757738</v>
      </c>
    </row>
    <row r="176" spans="1:31" x14ac:dyDescent="0.25">
      <c r="A176" s="9" t="s">
        <v>634</v>
      </c>
    </row>
    <row r="177" spans="1:31" x14ac:dyDescent="0.25">
      <c r="A177" s="6" t="s">
        <v>635</v>
      </c>
      <c r="B177" s="23" t="s">
        <v>636</v>
      </c>
      <c r="C177" s="66">
        <f t="shared" ref="C177:AE177" si="54">C159+C160-C161</f>
        <v>0</v>
      </c>
      <c r="D177" s="66">
        <f t="shared" si="54"/>
        <v>0</v>
      </c>
      <c r="E177" s="66">
        <f t="shared" si="54"/>
        <v>0</v>
      </c>
      <c r="F177" s="66">
        <f t="shared" si="54"/>
        <v>0</v>
      </c>
      <c r="G177" s="66">
        <f t="shared" si="54"/>
        <v>0</v>
      </c>
      <c r="H177" s="66">
        <f t="shared" si="54"/>
        <v>0</v>
      </c>
      <c r="I177" s="66">
        <f t="shared" si="54"/>
        <v>0</v>
      </c>
      <c r="J177" s="66">
        <f t="shared" si="54"/>
        <v>0</v>
      </c>
      <c r="K177" s="66">
        <f t="shared" si="54"/>
        <v>0</v>
      </c>
      <c r="L177" s="66">
        <f t="shared" si="54"/>
        <v>0</v>
      </c>
      <c r="M177" s="66">
        <f t="shared" si="54"/>
        <v>0</v>
      </c>
      <c r="N177" s="66">
        <f t="shared" si="54"/>
        <v>0</v>
      </c>
      <c r="O177" s="66">
        <f t="shared" si="54"/>
        <v>0</v>
      </c>
      <c r="P177" s="66">
        <f t="shared" si="54"/>
        <v>0</v>
      </c>
      <c r="Q177" s="66">
        <f t="shared" si="54"/>
        <v>0</v>
      </c>
      <c r="R177" s="66">
        <f t="shared" si="54"/>
        <v>0</v>
      </c>
      <c r="S177" s="66">
        <f t="shared" si="54"/>
        <v>0</v>
      </c>
      <c r="T177" s="66">
        <f t="shared" si="54"/>
        <v>0</v>
      </c>
      <c r="U177" s="66">
        <f t="shared" si="54"/>
        <v>0</v>
      </c>
      <c r="V177" s="66">
        <f t="shared" si="54"/>
        <v>0</v>
      </c>
      <c r="W177" s="66">
        <f t="shared" si="54"/>
        <v>0</v>
      </c>
      <c r="X177" s="66">
        <f t="shared" si="54"/>
        <v>0</v>
      </c>
      <c r="Y177" s="66">
        <f t="shared" si="54"/>
        <v>0</v>
      </c>
      <c r="Z177" s="66">
        <f t="shared" si="54"/>
        <v>0</v>
      </c>
      <c r="AA177" s="66">
        <f t="shared" si="54"/>
        <v>0</v>
      </c>
      <c r="AB177" s="66">
        <f t="shared" si="54"/>
        <v>0</v>
      </c>
      <c r="AC177" s="66">
        <f t="shared" si="54"/>
        <v>0</v>
      </c>
      <c r="AD177" s="66">
        <f t="shared" si="54"/>
        <v>0</v>
      </c>
      <c r="AE177" s="66">
        <f t="shared" si="54"/>
        <v>0</v>
      </c>
    </row>
    <row r="178" spans="1:31" x14ac:dyDescent="0.25">
      <c r="A178" s="6" t="s">
        <v>637</v>
      </c>
      <c r="B178" s="23" t="s">
        <v>47</v>
      </c>
      <c r="C178" s="66">
        <f t="shared" ref="C178:AE178" si="55">C165-C164</f>
        <v>0</v>
      </c>
      <c r="D178" s="66">
        <f t="shared" si="55"/>
        <v>0.3046897531134789</v>
      </c>
      <c r="E178" s="66">
        <f t="shared" si="55"/>
        <v>1.1838257521196169</v>
      </c>
      <c r="F178" s="66">
        <f t="shared" si="55"/>
        <v>2.8771575019586635</v>
      </c>
      <c r="G178" s="66">
        <f t="shared" si="55"/>
        <v>5.6772178369287758</v>
      </c>
      <c r="H178" s="66">
        <f t="shared" si="55"/>
        <v>9.8232276968003589</v>
      </c>
      <c r="I178" s="66">
        <f t="shared" si="55"/>
        <v>15.489309391468851</v>
      </c>
      <c r="J178" s="66">
        <f t="shared" si="55"/>
        <v>22.827507693990356</v>
      </c>
      <c r="K178" s="66">
        <f t="shared" si="55"/>
        <v>31.978119077478823</v>
      </c>
      <c r="L178" s="66">
        <f t="shared" si="55"/>
        <v>43.094651406021512</v>
      </c>
      <c r="M178" s="66">
        <f t="shared" si="55"/>
        <v>56.41337553590165</v>
      </c>
      <c r="N178" s="66">
        <f t="shared" si="55"/>
        <v>72.122269051383682</v>
      </c>
      <c r="O178" s="66">
        <f t="shared" si="55"/>
        <v>90.358060479786218</v>
      </c>
      <c r="P178" s="66">
        <f t="shared" si="55"/>
        <v>111.5222394513612</v>
      </c>
      <c r="Q178" s="66">
        <f t="shared" si="55"/>
        <v>136.16419450760441</v>
      </c>
      <c r="R178" s="66">
        <f t="shared" si="55"/>
        <v>164.78008046505965</v>
      </c>
      <c r="S178" s="66">
        <f t="shared" si="55"/>
        <v>198.02856416089708</v>
      </c>
      <c r="T178" s="66">
        <f t="shared" si="55"/>
        <v>236.44926678701086</v>
      </c>
      <c r="U178" s="66">
        <f t="shared" si="55"/>
        <v>280.42228090148092</v>
      </c>
      <c r="V178" s="66">
        <f t="shared" si="55"/>
        <v>330.28169861742572</v>
      </c>
      <c r="W178" s="66">
        <f t="shared" si="55"/>
        <v>386.34426498205903</v>
      </c>
      <c r="X178" s="66">
        <f t="shared" si="55"/>
        <v>448.98567390389508</v>
      </c>
      <c r="Y178" s="66">
        <f t="shared" si="55"/>
        <v>518.83959242264973</v>
      </c>
      <c r="Z178" s="66">
        <f t="shared" si="55"/>
        <v>596.41991563362535</v>
      </c>
      <c r="AA178" s="66">
        <f t="shared" si="55"/>
        <v>1622.428653705043</v>
      </c>
      <c r="AB178" s="66">
        <f t="shared" si="55"/>
        <v>4718.4886589167436</v>
      </c>
      <c r="AC178" s="66">
        <f t="shared" si="55"/>
        <v>11143.331339142693</v>
      </c>
      <c r="AD178" s="66">
        <f t="shared" si="55"/>
        <v>22018.542512971209</v>
      </c>
      <c r="AE178" s="66">
        <f t="shared" si="55"/>
        <v>37379.309010200901</v>
      </c>
    </row>
    <row r="179" spans="1:31" x14ac:dyDescent="0.25">
      <c r="A179" s="6" t="s">
        <v>638</v>
      </c>
      <c r="B179" s="23" t="s">
        <v>114</v>
      </c>
      <c r="C179" s="61">
        <f t="shared" ref="C179:AE179" si="56">IF(C159=0,0,C167/C159)</f>
        <v>31.747631078148888</v>
      </c>
      <c r="D179" s="61">
        <f t="shared" si="56"/>
        <v>48.28188338621591</v>
      </c>
      <c r="E179" s="61">
        <f t="shared" si="56"/>
        <v>65.179884109537426</v>
      </c>
      <c r="F179" s="61">
        <f t="shared" si="56"/>
        <v>78.872852070553563</v>
      </c>
      <c r="G179" s="61">
        <f t="shared" si="56"/>
        <v>95.374337859420052</v>
      </c>
      <c r="H179" s="61">
        <f t="shared" si="56"/>
        <v>114.45938627661157</v>
      </c>
      <c r="I179" s="61">
        <f t="shared" si="56"/>
        <v>133.62013468914535</v>
      </c>
      <c r="J179" s="61">
        <f t="shared" si="56"/>
        <v>152.43396658773193</v>
      </c>
      <c r="K179" s="61">
        <f t="shared" si="56"/>
        <v>169.4616302471737</v>
      </c>
      <c r="L179" s="61">
        <f t="shared" si="56"/>
        <v>180.43155464348527</v>
      </c>
      <c r="M179" s="61">
        <f t="shared" si="56"/>
        <v>194.77469062304024</v>
      </c>
      <c r="N179" s="61">
        <f t="shared" si="56"/>
        <v>212.44157849261566</v>
      </c>
      <c r="O179" s="61">
        <f t="shared" si="56"/>
        <v>212.92795139976201</v>
      </c>
      <c r="P179" s="61">
        <f t="shared" si="56"/>
        <v>209.37114360404021</v>
      </c>
      <c r="Q179" s="61">
        <f t="shared" si="56"/>
        <v>212.68755898741711</v>
      </c>
      <c r="R179" s="61">
        <f t="shared" si="56"/>
        <v>212.15575731306197</v>
      </c>
      <c r="S179" s="61">
        <f t="shared" si="56"/>
        <v>218.82417282664767</v>
      </c>
      <c r="T179" s="61">
        <f t="shared" si="56"/>
        <v>231.73062077552586</v>
      </c>
      <c r="U179" s="61">
        <f t="shared" si="56"/>
        <v>245.99181511459395</v>
      </c>
      <c r="V179" s="61">
        <f t="shared" si="56"/>
        <v>260.53629202096403</v>
      </c>
      <c r="W179" s="61">
        <f t="shared" si="56"/>
        <v>273.02425977980641</v>
      </c>
      <c r="X179" s="61">
        <f t="shared" si="56"/>
        <v>277.22395060069664</v>
      </c>
      <c r="Y179" s="61">
        <f t="shared" si="56"/>
        <v>286.03145604753473</v>
      </c>
      <c r="Z179" s="61">
        <f t="shared" si="56"/>
        <v>299.51510597489334</v>
      </c>
      <c r="AA179" s="61">
        <f t="shared" si="56"/>
        <v>533.85598345875781</v>
      </c>
      <c r="AB179" s="61">
        <f t="shared" si="56"/>
        <v>640.74294844487247</v>
      </c>
      <c r="AC179" s="61">
        <f t="shared" si="56"/>
        <v>752.49176816086378</v>
      </c>
      <c r="AD179" s="61">
        <f t="shared" si="56"/>
        <v>923.13790679804504</v>
      </c>
      <c r="AE179" s="61">
        <f t="shared" si="56"/>
        <v>1160.8003483843504</v>
      </c>
    </row>
    <row r="180" spans="1:31" x14ac:dyDescent="0.25">
      <c r="A180" s="6" t="s">
        <v>639</v>
      </c>
      <c r="B180" s="23" t="s">
        <v>114</v>
      </c>
      <c r="C180" s="61">
        <f t="shared" ref="C180:AE180" si="57">C46*C49+C89*C92+C132*C135</f>
        <v>0</v>
      </c>
      <c r="D180" s="61">
        <f t="shared" si="57"/>
        <v>0</v>
      </c>
      <c r="E180" s="61">
        <f t="shared" si="57"/>
        <v>0</v>
      </c>
      <c r="F180" s="61">
        <f t="shared" si="57"/>
        <v>0</v>
      </c>
      <c r="G180" s="61">
        <f t="shared" si="57"/>
        <v>0</v>
      </c>
      <c r="H180" s="61">
        <f t="shared" si="57"/>
        <v>0</v>
      </c>
      <c r="I180" s="61">
        <f t="shared" si="57"/>
        <v>0</v>
      </c>
      <c r="J180" s="61">
        <f t="shared" si="57"/>
        <v>0</v>
      </c>
      <c r="K180" s="61">
        <f t="shared" si="57"/>
        <v>0</v>
      </c>
      <c r="L180" s="61">
        <f t="shared" si="57"/>
        <v>0</v>
      </c>
      <c r="M180" s="61">
        <f t="shared" si="57"/>
        <v>0</v>
      </c>
      <c r="N180" s="61">
        <f t="shared" si="57"/>
        <v>0</v>
      </c>
      <c r="O180" s="61">
        <f t="shared" si="57"/>
        <v>59675.375137271811</v>
      </c>
      <c r="P180" s="61">
        <f t="shared" si="57"/>
        <v>69586.536170847641</v>
      </c>
      <c r="Q180" s="61">
        <f t="shared" si="57"/>
        <v>80915.886441463008</v>
      </c>
      <c r="R180" s="61">
        <f t="shared" si="57"/>
        <v>94129.710643065482</v>
      </c>
      <c r="S180" s="61">
        <f t="shared" si="57"/>
        <v>108914.42375256315</v>
      </c>
      <c r="T180" s="61">
        <f t="shared" si="57"/>
        <v>124836.68274188871</v>
      </c>
      <c r="U180" s="61">
        <f t="shared" si="57"/>
        <v>141776.28189590649</v>
      </c>
      <c r="V180" s="61">
        <f t="shared" si="57"/>
        <v>159687.45228808947</v>
      </c>
      <c r="W180" s="61">
        <f t="shared" si="57"/>
        <v>178721.40998922964</v>
      </c>
      <c r="X180" s="61">
        <f t="shared" si="57"/>
        <v>199623.83690099732</v>
      </c>
      <c r="Y180" s="61">
        <f t="shared" si="57"/>
        <v>222081.83236231381</v>
      </c>
      <c r="Z180" s="61">
        <f t="shared" si="57"/>
        <v>245678.00447348654</v>
      </c>
      <c r="AA180" s="61">
        <f t="shared" si="57"/>
        <v>798614.56491165748</v>
      </c>
      <c r="AB180" s="61">
        <f t="shared" si="57"/>
        <v>1821488.2253097994</v>
      </c>
      <c r="AC180" s="61">
        <f t="shared" si="57"/>
        <v>3412157.2076494107</v>
      </c>
      <c r="AD180" s="61">
        <f t="shared" si="57"/>
        <v>5386595.9450149145</v>
      </c>
      <c r="AE180" s="61">
        <f t="shared" si="57"/>
        <v>7439292.7340390654</v>
      </c>
    </row>
    <row r="181" spans="1:31" x14ac:dyDescent="0.25">
      <c r="A181" s="6" t="s">
        <v>640</v>
      </c>
      <c r="B181" s="23" t="s">
        <v>569</v>
      </c>
      <c r="C181" s="67">
        <f t="shared" ref="C181:AE181" si="58">IF(C180=0,0,((C53+C96+C139)/C7)/C180)</f>
        <v>0</v>
      </c>
      <c r="D181" s="67">
        <f t="shared" si="58"/>
        <v>0</v>
      </c>
      <c r="E181" s="67">
        <f t="shared" si="58"/>
        <v>0</v>
      </c>
      <c r="F181" s="67">
        <f t="shared" si="58"/>
        <v>0</v>
      </c>
      <c r="G181" s="67">
        <f t="shared" si="58"/>
        <v>0</v>
      </c>
      <c r="H181" s="67">
        <f t="shared" si="58"/>
        <v>0</v>
      </c>
      <c r="I181" s="67">
        <f t="shared" si="58"/>
        <v>0</v>
      </c>
      <c r="J181" s="67">
        <f t="shared" si="58"/>
        <v>0</v>
      </c>
      <c r="K181" s="67">
        <f t="shared" si="58"/>
        <v>0</v>
      </c>
      <c r="L181" s="67">
        <f t="shared" si="58"/>
        <v>0</v>
      </c>
      <c r="M181" s="67">
        <f t="shared" si="58"/>
        <v>0</v>
      </c>
      <c r="N181" s="67">
        <f t="shared" si="58"/>
        <v>0</v>
      </c>
      <c r="O181" s="67">
        <f t="shared" si="58"/>
        <v>9.6250000000000002E-2</v>
      </c>
      <c r="P181" s="67">
        <f t="shared" si="58"/>
        <v>8.7500000000000008E-2</v>
      </c>
      <c r="Q181" s="67">
        <f t="shared" si="58"/>
        <v>8.5750000000000007E-2</v>
      </c>
      <c r="R181" s="67">
        <f t="shared" si="58"/>
        <v>8.5749999999999993E-2</v>
      </c>
      <c r="S181" s="67">
        <f t="shared" si="58"/>
        <v>8.7499999999999994E-2</v>
      </c>
      <c r="T181" s="67">
        <f t="shared" si="58"/>
        <v>8.3124999999999977E-2</v>
      </c>
      <c r="U181" s="67">
        <f t="shared" si="58"/>
        <v>7.6999999999999999E-2</v>
      </c>
      <c r="V181" s="67">
        <f t="shared" si="58"/>
        <v>7.8749999999999987E-2</v>
      </c>
      <c r="W181" s="67">
        <f t="shared" si="58"/>
        <v>8.7499999999999994E-2</v>
      </c>
      <c r="X181" s="67">
        <f t="shared" si="58"/>
        <v>8.9249999999999996E-2</v>
      </c>
      <c r="Y181" s="67">
        <f t="shared" si="58"/>
        <v>9.1875000000000026E-2</v>
      </c>
      <c r="Z181" s="67">
        <f t="shared" si="58"/>
        <v>9.9749999999999991E-2</v>
      </c>
      <c r="AA181" s="67">
        <f t="shared" si="58"/>
        <v>8.7499999999999994E-2</v>
      </c>
      <c r="AB181" s="67">
        <f t="shared" si="58"/>
        <v>8.7499999999999994E-2</v>
      </c>
      <c r="AC181" s="67">
        <f t="shared" si="58"/>
        <v>8.7499999999999994E-2</v>
      </c>
      <c r="AD181" s="67">
        <f t="shared" si="58"/>
        <v>8.7499999999999981E-2</v>
      </c>
      <c r="AE181" s="67">
        <f t="shared" si="58"/>
        <v>8.7500000000000008E-2</v>
      </c>
    </row>
    <row r="183" spans="1:31" ht="18" customHeight="1" x14ac:dyDescent="0.25">
      <c r="A183" s="12" t="s">
        <v>641</v>
      </c>
      <c r="B183" s="13"/>
      <c r="C183" s="13"/>
      <c r="D183" s="13"/>
      <c r="E183" s="13"/>
      <c r="F183" s="13"/>
      <c r="G183" s="13"/>
      <c r="H183" s="13"/>
    </row>
    <row r="184" spans="1:31" x14ac:dyDescent="0.25">
      <c r="A184" s="6" t="s">
        <v>642</v>
      </c>
      <c r="B184" s="23" t="s">
        <v>643</v>
      </c>
      <c r="C184" s="60">
        <f>IF(C28=0,0,C32/(C28/Assumptions!$B$135/C7))</f>
        <v>0</v>
      </c>
      <c r="D184" s="60">
        <f>IF(D28=0,0,D32/(D28/Assumptions!$B$135/D7))</f>
        <v>0</v>
      </c>
      <c r="E184" s="60">
        <f>IF(E28=0,0,E32/(E28/Assumptions!$B$135/E7))</f>
        <v>0</v>
      </c>
      <c r="F184" s="60">
        <f>IF(F28=0,0,F32/(F28/Assumptions!$B$135/F7))</f>
        <v>0</v>
      </c>
      <c r="G184" s="60">
        <f>IF(G28=0,0,G32/(G28/Assumptions!$B$135/G7))</f>
        <v>0</v>
      </c>
      <c r="H184" s="60">
        <f>IF(H28=0,0,H32/(H28/Assumptions!$B$135/H7))</f>
        <v>0</v>
      </c>
      <c r="I184" s="60">
        <f>IF(I28=0,0,I32/(I28/Assumptions!$B$135/I7))</f>
        <v>0</v>
      </c>
      <c r="J184" s="60">
        <f>IF(J28=0,0,J32/(J28/Assumptions!$B$135/J7))</f>
        <v>0</v>
      </c>
      <c r="K184" s="60">
        <f>IF(K28=0,0,K32/(K28/Assumptions!$B$135/K7))</f>
        <v>0</v>
      </c>
      <c r="L184" s="60">
        <f>IF(L28=0,0,L32/(L28/Assumptions!$B$135/L7))</f>
        <v>0</v>
      </c>
      <c r="M184" s="60">
        <f>IF(M28=0,0,M32/(M28/Assumptions!$B$135/M7))</f>
        <v>0</v>
      </c>
      <c r="N184" s="60">
        <f>IF(N28=0,0,N32/(N28/Assumptions!$B$135/N7))</f>
        <v>0</v>
      </c>
      <c r="O184" s="60">
        <f>IF(O28=0,0,O32/(O28/Assumptions!$B$135/O7))</f>
        <v>0</v>
      </c>
      <c r="P184" s="60">
        <f>IF(P28=0,0,P32/(P28/Assumptions!$B$135/P7))</f>
        <v>0</v>
      </c>
      <c r="Q184" s="60">
        <f>IF(Q28=0,0,Q32/(Q28/Assumptions!$B$135/Q7))</f>
        <v>0</v>
      </c>
      <c r="R184" s="60">
        <f>IF(R28=0,0,R32/(R28/Assumptions!$B$135/R7))</f>
        <v>0</v>
      </c>
      <c r="S184" s="60">
        <f>IF(S28=0,0,S32/(S28/Assumptions!$B$135/S7))</f>
        <v>0</v>
      </c>
      <c r="T184" s="60">
        <f>IF(T28=0,0,T32/(T28/Assumptions!$B$135/T7))</f>
        <v>0</v>
      </c>
      <c r="U184" s="60">
        <f>IF(U28=0,0,U32/(U28/Assumptions!$B$135/U7))</f>
        <v>0</v>
      </c>
      <c r="V184" s="60">
        <f>IF(V28=0,0,V32/(V28/Assumptions!$B$135/V7))</f>
        <v>0</v>
      </c>
      <c r="W184" s="60">
        <f>IF(W28=0,0,W32/(W28/Assumptions!$B$135/W7))</f>
        <v>0</v>
      </c>
      <c r="X184" s="60">
        <f>IF(X28=0,0,X32/(X28/Assumptions!$B$135/X7))</f>
        <v>0</v>
      </c>
      <c r="Y184" s="60">
        <f>IF(Y28=0,0,Y32/(Y28/Assumptions!$B$135/Y7))</f>
        <v>0</v>
      </c>
      <c r="Z184" s="60">
        <f>IF(Z28=0,0,Z32/(Z28/Assumptions!$B$135/Z7))</f>
        <v>0</v>
      </c>
      <c r="AA184" s="60">
        <f>IF(AA28=0,0,AA32/(AA28/Assumptions!$B$135/AA7))</f>
        <v>0</v>
      </c>
      <c r="AB184" s="60">
        <f>IF(AB28=0,0,AB32/(AB28/Assumptions!$B$135/AB7))</f>
        <v>0</v>
      </c>
      <c r="AC184" s="60">
        <f>IF(AC28=0,0,AC32/(AC28/Assumptions!$B$135/AC7))</f>
        <v>0</v>
      </c>
      <c r="AD184" s="60">
        <f>IF(AD28=0,0,AD32/(AD28/Assumptions!$B$135/AD7))</f>
        <v>0</v>
      </c>
      <c r="AE184" s="60">
        <f>IF(AE28=0,0,AE32/(AE28/Assumptions!$B$135/AE7))</f>
        <v>0</v>
      </c>
    </row>
    <row r="185" spans="1:31" x14ac:dyDescent="0.25">
      <c r="A185" s="6" t="s">
        <v>644</v>
      </c>
      <c r="B185" s="23" t="s">
        <v>643</v>
      </c>
      <c r="C185" s="60">
        <f>IF(C71=0,0,C75/(C71/Assumptions!$B$135/C7))</f>
        <v>0</v>
      </c>
      <c r="D185" s="60">
        <f>IF(D71=0,0,D75/(D71/Assumptions!$B$135/D7))</f>
        <v>0</v>
      </c>
      <c r="E185" s="60">
        <f>IF(E71=0,0,E75/(E71/Assumptions!$B$135/E7))</f>
        <v>0</v>
      </c>
      <c r="F185" s="60">
        <f>IF(F71=0,0,F75/(F71/Assumptions!$B$135/F7))</f>
        <v>0</v>
      </c>
      <c r="G185" s="60">
        <f>IF(G71=0,0,G75/(G71/Assumptions!$B$135/G7))</f>
        <v>0</v>
      </c>
      <c r="H185" s="60">
        <f>IF(H71=0,0,H75/(H71/Assumptions!$B$135/H7))</f>
        <v>0</v>
      </c>
      <c r="I185" s="60">
        <f>IF(I71=0,0,I75/(I71/Assumptions!$B$135/I7))</f>
        <v>0</v>
      </c>
      <c r="J185" s="60">
        <f>IF(J71=0,0,J75/(J71/Assumptions!$B$135/J7))</f>
        <v>0</v>
      </c>
      <c r="K185" s="60">
        <f>IF(K71=0,0,K75/(K71/Assumptions!$B$135/K7))</f>
        <v>0</v>
      </c>
      <c r="L185" s="60">
        <f>IF(L71=0,0,L75/(L71/Assumptions!$B$135/L7))</f>
        <v>0</v>
      </c>
      <c r="M185" s="60">
        <f>IF(M71=0,0,M75/(M71/Assumptions!$B$135/M7))</f>
        <v>0</v>
      </c>
      <c r="N185" s="60">
        <f>IF(N71=0,0,N75/(N71/Assumptions!$B$135/N7))</f>
        <v>0</v>
      </c>
      <c r="O185" s="60">
        <f>IF(O71=0,0,O75/(O71/Assumptions!$B$135/O7))</f>
        <v>0</v>
      </c>
      <c r="P185" s="60">
        <f>IF(P71=0,0,P75/(P71/Assumptions!$B$135/P7))</f>
        <v>0</v>
      </c>
      <c r="Q185" s="60">
        <f>IF(Q71=0,0,Q75/(Q71/Assumptions!$B$135/Q7))</f>
        <v>0</v>
      </c>
      <c r="R185" s="60">
        <f>IF(R71=0,0,R75/(R71/Assumptions!$B$135/R7))</f>
        <v>0</v>
      </c>
      <c r="S185" s="60">
        <f>IF(S71=0,0,S75/(S71/Assumptions!$B$135/S7))</f>
        <v>0</v>
      </c>
      <c r="T185" s="60">
        <f>IF(T71=0,0,T75/(T71/Assumptions!$B$135/T7))</f>
        <v>0</v>
      </c>
      <c r="U185" s="60">
        <f>IF(U71=0,0,U75/(U71/Assumptions!$B$135/U7))</f>
        <v>0</v>
      </c>
      <c r="V185" s="60">
        <f>IF(V71=0,0,V75/(V71/Assumptions!$B$135/V7))</f>
        <v>0</v>
      </c>
      <c r="W185" s="60">
        <f>IF(W71=0,0,W75/(W71/Assumptions!$B$135/W7))</f>
        <v>0</v>
      </c>
      <c r="X185" s="60">
        <f>IF(X71=0,0,X75/(X71/Assumptions!$B$135/X7))</f>
        <v>0</v>
      </c>
      <c r="Y185" s="60">
        <f>IF(Y71=0,0,Y75/(Y71/Assumptions!$B$135/Y7))</f>
        <v>0</v>
      </c>
      <c r="Z185" s="60">
        <f>IF(Z71=0,0,Z75/(Z71/Assumptions!$B$135/Z7))</f>
        <v>0</v>
      </c>
      <c r="AA185" s="60">
        <f>IF(AA71=0,0,AA75/(AA71/Assumptions!$B$135/AA7))</f>
        <v>0</v>
      </c>
      <c r="AB185" s="60">
        <f>IF(AB71=0,0,AB75/(AB71/Assumptions!$B$135/AB7))</f>
        <v>0</v>
      </c>
      <c r="AC185" s="60">
        <f>IF(AC71=0,0,AC75/(AC71/Assumptions!$B$135/AC7))</f>
        <v>0</v>
      </c>
      <c r="AD185" s="60">
        <f>IF(AD71=0,0,AD75/(AD71/Assumptions!$B$135/AD7))</f>
        <v>0</v>
      </c>
      <c r="AE185" s="60">
        <f>IF(AE71=0,0,AE75/(AE71/Assumptions!$B$135/AE7))</f>
        <v>0</v>
      </c>
    </row>
    <row r="186" spans="1:31" x14ac:dyDescent="0.25">
      <c r="A186" s="6" t="s">
        <v>645</v>
      </c>
      <c r="B186" s="23" t="s">
        <v>643</v>
      </c>
      <c r="C186" s="60">
        <f>IF(C114=0,0,C118/(C114/Assumptions!$B$135/C7))</f>
        <v>7.9633103342044018</v>
      </c>
      <c r="D186" s="60">
        <f>IF(D114=0,0,D118/(D114/Assumptions!$B$135/D7))</f>
        <v>15.1335229659639</v>
      </c>
      <c r="E186" s="60">
        <f>IF(E114=0,0,E118/(E114/Assumptions!$B$135/E7))</f>
        <v>21.629594940669492</v>
      </c>
      <c r="F186" s="60">
        <f>IF(F114=0,0,F118/(F114/Assumptions!$B$135/F7))</f>
        <v>29.604943687690721</v>
      </c>
      <c r="G186" s="60">
        <f>IF(G114=0,0,G118/(G114/Assumptions!$B$135/G7))</f>
        <v>36.314721128363843</v>
      </c>
      <c r="H186" s="60">
        <f>IF(H114=0,0,H118/(H114/Assumptions!$B$135/H7))</f>
        <v>41.433657207885723</v>
      </c>
      <c r="I186" s="60">
        <f>IF(I114=0,0,I118/(I114/Assumptions!$B$135/I7))</f>
        <v>46.06006152657482</v>
      </c>
      <c r="J186" s="60">
        <f>IF(J114=0,0,J118/(J114/Assumptions!$B$135/J7))</f>
        <v>50.452867210029801</v>
      </c>
      <c r="K186" s="60">
        <f>IF(K114=0,0,K118/(K114/Assumptions!$B$135/K7))</f>
        <v>55.246735935330292</v>
      </c>
      <c r="L186" s="60">
        <f>IF(L114=0,0,L118/(L114/Assumptions!$B$135/L7))</f>
        <v>62.286759786078115</v>
      </c>
      <c r="M186" s="60">
        <f>IF(M114=0,0,M118/(M114/Assumptions!$B$135/M7))</f>
        <v>68.189290444095363</v>
      </c>
      <c r="N186" s="60">
        <f>IF(N114=0,0,N118/(N114/Assumptions!$B$135/N7))</f>
        <v>72.703882973228801</v>
      </c>
      <c r="O186" s="60">
        <f>IF(O114=0,0,O118/(O114/Assumptions!$B$135/O7))</f>
        <v>60.683331107296588</v>
      </c>
      <c r="P186" s="60">
        <f>IF(P114=0,0,P118/(P114/Assumptions!$B$135/P7))</f>
        <v>69.232163344196167</v>
      </c>
      <c r="Q186" s="60">
        <f>IF(Q114=0,0,Q118/(Q114/Assumptions!$B$135/Q7))</f>
        <v>77.082204585520415</v>
      </c>
      <c r="R186" s="60">
        <f>IF(R114=0,0,R118/(R114/Assumptions!$B$135/R7))</f>
        <v>87.57474022590209</v>
      </c>
      <c r="S186" s="60">
        <f>IF(S114=0,0,S118/(S114/Assumptions!$B$135/S7))</f>
        <v>96.462155289020259</v>
      </c>
      <c r="T186" s="60">
        <f>IF(T114=0,0,T118/(T114/Assumptions!$B$135/T7))</f>
        <v>103.08149643260788</v>
      </c>
      <c r="U186" s="60">
        <f>IF(U114=0,0,U118/(U114/Assumptions!$B$135/U7))</f>
        <v>109.12146337979597</v>
      </c>
      <c r="V186" s="60">
        <f>IF(V114=0,0,V118/(V114/Assumptions!$B$135/V7))</f>
        <v>114.98118945928688</v>
      </c>
      <c r="W186" s="60">
        <f>IF(W114=0,0,W118/(W114/Assumptions!$B$135/W7))</f>
        <v>121.72443136375804</v>
      </c>
      <c r="X186" s="60">
        <f>IF(X114=0,0,X118/(X114/Assumptions!$B$135/X7))</f>
        <v>132.56577849577641</v>
      </c>
      <c r="Y186" s="60">
        <f>IF(Y114=0,0,Y118/(Y114/Assumptions!$B$135/Y7))</f>
        <v>141.82089815921816</v>
      </c>
      <c r="Z186" s="60">
        <f>IF(Z114=0,0,Z118/(Z114/Assumptions!$B$135/Z7))</f>
        <v>148.91783561772539</v>
      </c>
      <c r="AA186" s="60">
        <f>IF(AA114=0,0,AA118/(AA114/Assumptions!$B$135/AA7))</f>
        <v>151.00229870607538</v>
      </c>
      <c r="AB186" s="60">
        <f>IF(AB114=0,0,AB118/(AB114/Assumptions!$B$135/AB7))</f>
        <v>104.46353994368684</v>
      </c>
      <c r="AC186" s="60">
        <f>IF(AC114=0,0,AC118/(AC114/Assumptions!$B$135/AC7))</f>
        <v>99.178701086331444</v>
      </c>
      <c r="AD186" s="60">
        <f>IF(AD114=0,0,AD118/(AD114/Assumptions!$B$135/AD7))</f>
        <v>97.684074185597225</v>
      </c>
      <c r="AE186" s="60">
        <f>IF(AE114=0,0,AE118/(AE114/Assumptions!$B$135/AE7))</f>
        <v>78.861568193294119</v>
      </c>
    </row>
    <row r="187" spans="1:31" x14ac:dyDescent="0.25">
      <c r="A187" s="9" t="s">
        <v>646</v>
      </c>
    </row>
    <row r="189" spans="1:31" x14ac:dyDescent="0.25">
      <c r="A189" s="6" t="s">
        <v>117</v>
      </c>
      <c r="B189" s="23" t="s">
        <v>114</v>
      </c>
      <c r="C189" s="61">
        <f t="shared" ref="C189:AE189" si="59">C56+C99+C142</f>
        <v>421.76086800974883</v>
      </c>
      <c r="D189" s="61">
        <f t="shared" si="59"/>
        <v>801.64395428530952</v>
      </c>
      <c r="E189" s="61">
        <f t="shared" si="59"/>
        <v>1145.926542441947</v>
      </c>
      <c r="F189" s="61">
        <f t="shared" si="59"/>
        <v>1568.7422233268353</v>
      </c>
      <c r="G189" s="61">
        <f t="shared" si="59"/>
        <v>1924.6233568969183</v>
      </c>
      <c r="H189" s="61">
        <f t="shared" si="59"/>
        <v>2196.2583751548582</v>
      </c>
      <c r="I189" s="61">
        <f t="shared" si="59"/>
        <v>2441.8592014607384</v>
      </c>
      <c r="J189" s="61">
        <f t="shared" si="59"/>
        <v>2675.1536006976676</v>
      </c>
      <c r="K189" s="61">
        <f t="shared" si="59"/>
        <v>2929.8315375530515</v>
      </c>
      <c r="L189" s="61">
        <f t="shared" si="59"/>
        <v>3303.9034929590598</v>
      </c>
      <c r="M189" s="61">
        <f t="shared" si="59"/>
        <v>3617.7448293342322</v>
      </c>
      <c r="N189" s="61">
        <f t="shared" si="59"/>
        <v>3857.9874383497327</v>
      </c>
      <c r="O189" s="61">
        <f t="shared" si="59"/>
        <v>4833.0803668408716</v>
      </c>
      <c r="P189" s="61">
        <f t="shared" si="59"/>
        <v>5728.1232529235076</v>
      </c>
      <c r="Q189" s="61">
        <f t="shared" si="59"/>
        <v>6554.1985188382123</v>
      </c>
      <c r="R189" s="61">
        <f t="shared" si="59"/>
        <v>7640.8320038330967</v>
      </c>
      <c r="S189" s="61">
        <f t="shared" si="59"/>
        <v>8569.4470875166171</v>
      </c>
      <c r="T189" s="61">
        <f t="shared" si="59"/>
        <v>9273.6483466677164</v>
      </c>
      <c r="U189" s="61">
        <f t="shared" si="59"/>
        <v>9920.1515265717389</v>
      </c>
      <c r="V189" s="61">
        <f t="shared" si="59"/>
        <v>10548.500500665315</v>
      </c>
      <c r="W189" s="61">
        <f t="shared" si="59"/>
        <v>11264.719460367494</v>
      </c>
      <c r="X189" s="61">
        <f t="shared" si="59"/>
        <v>12390.252882874986</v>
      </c>
      <c r="Y189" s="61">
        <f t="shared" si="59"/>
        <v>13358.702241063584</v>
      </c>
      <c r="Z189" s="61">
        <f t="shared" si="59"/>
        <v>14112.009202021167</v>
      </c>
      <c r="AA189" s="61">
        <f t="shared" si="59"/>
        <v>308422.74890512059</v>
      </c>
      <c r="AB189" s="61">
        <f t="shared" si="59"/>
        <v>584044.40233519999</v>
      </c>
      <c r="AC189" s="61">
        <f t="shared" si="59"/>
        <v>931152.69983880862</v>
      </c>
      <c r="AD189" s="61">
        <f t="shared" si="59"/>
        <v>1201848.7681883383</v>
      </c>
      <c r="AE189" s="61">
        <f t="shared" si="59"/>
        <v>1326087.9278964964</v>
      </c>
    </row>
    <row r="190" spans="1:31" x14ac:dyDescent="0.25">
      <c r="A190" s="6" t="s">
        <v>120</v>
      </c>
      <c r="B190" s="23" t="s">
        <v>114</v>
      </c>
      <c r="C190" s="61">
        <f t="shared" ref="C190:AE190" si="60">C57+C100+C143</f>
        <v>31.938210679043394</v>
      </c>
      <c r="D190" s="61">
        <f t="shared" si="60"/>
        <v>60.70778233337704</v>
      </c>
      <c r="E190" s="61">
        <f t="shared" si="60"/>
        <v>86.783597636961247</v>
      </c>
      <c r="F190" s="61">
        <f t="shared" si="60"/>
        <v>118.81019839756704</v>
      </c>
      <c r="G190" s="61">
        <f t="shared" si="60"/>
        <v>145.77003836797314</v>
      </c>
      <c r="H190" s="61">
        <f t="shared" si="60"/>
        <v>166.35046402432872</v>
      </c>
      <c r="I190" s="61">
        <f t="shared" si="60"/>
        <v>184.96048412396425</v>
      </c>
      <c r="J190" s="61">
        <f t="shared" si="60"/>
        <v>202.63992905127571</v>
      </c>
      <c r="K190" s="61">
        <f t="shared" si="60"/>
        <v>221.94155925632859</v>
      </c>
      <c r="L190" s="61">
        <f t="shared" si="60"/>
        <v>250.29319824124087</v>
      </c>
      <c r="M190" s="61">
        <f t="shared" si="60"/>
        <v>274.08411559951128</v>
      </c>
      <c r="N190" s="61">
        <f t="shared" si="60"/>
        <v>292.29988176624255</v>
      </c>
      <c r="O190" s="61">
        <f t="shared" si="60"/>
        <v>370.11560929828983</v>
      </c>
      <c r="P190" s="61">
        <f t="shared" si="60"/>
        <v>441.59517997140068</v>
      </c>
      <c r="Q190" s="61">
        <f t="shared" si="60"/>
        <v>507.61302566441577</v>
      </c>
      <c r="R190" s="61">
        <f t="shared" si="60"/>
        <v>594.274982831138</v>
      </c>
      <c r="S190" s="61">
        <f t="shared" si="60"/>
        <v>668.42492127568858</v>
      </c>
      <c r="T190" s="61">
        <f t="shared" si="60"/>
        <v>724.79018565884667</v>
      </c>
      <c r="U190" s="61">
        <f t="shared" si="60"/>
        <v>776.58025847766498</v>
      </c>
      <c r="V190" s="61">
        <f t="shared" si="60"/>
        <v>826.93006320845052</v>
      </c>
      <c r="W190" s="61">
        <f t="shared" si="60"/>
        <v>884.25281729881613</v>
      </c>
      <c r="X190" s="61">
        <f t="shared" si="60"/>
        <v>974.06887804700227</v>
      </c>
      <c r="Y190" s="61">
        <f t="shared" si="60"/>
        <v>1051.4361379018919</v>
      </c>
      <c r="Z190" s="61">
        <f t="shared" si="60"/>
        <v>1111.7341338209801</v>
      </c>
      <c r="AA190" s="61">
        <f t="shared" si="60"/>
        <v>24337.486541113991</v>
      </c>
      <c r="AB190" s="61">
        <f t="shared" si="60"/>
        <v>45403.713645017895</v>
      </c>
      <c r="AC190" s="61">
        <f t="shared" si="60"/>
        <v>72327.701029221193</v>
      </c>
      <c r="AD190" s="61">
        <f t="shared" si="60"/>
        <v>94980.458019487967</v>
      </c>
      <c r="AE190" s="61">
        <f t="shared" si="60"/>
        <v>107358.28725281323</v>
      </c>
    </row>
    <row r="191" spans="1:31" x14ac:dyDescent="0.25">
      <c r="A191" s="6" t="s">
        <v>126</v>
      </c>
      <c r="B191" s="23" t="s">
        <v>114</v>
      </c>
      <c r="C191" s="61">
        <f t="shared" ref="C191:AE191" si="61">C58+C101+C144</f>
        <v>0</v>
      </c>
      <c r="D191" s="61">
        <f t="shared" si="61"/>
        <v>0</v>
      </c>
      <c r="E191" s="61">
        <f t="shared" si="61"/>
        <v>0</v>
      </c>
      <c r="F191" s="61">
        <f t="shared" si="61"/>
        <v>0</v>
      </c>
      <c r="G191" s="61">
        <f t="shared" si="61"/>
        <v>0</v>
      </c>
      <c r="H191" s="61">
        <f t="shared" si="61"/>
        <v>0</v>
      </c>
      <c r="I191" s="61">
        <f t="shared" si="61"/>
        <v>0</v>
      </c>
      <c r="J191" s="61">
        <f t="shared" si="61"/>
        <v>0</v>
      </c>
      <c r="K191" s="61">
        <f t="shared" si="61"/>
        <v>0</v>
      </c>
      <c r="L191" s="61">
        <f t="shared" si="61"/>
        <v>0</v>
      </c>
      <c r="M191" s="61">
        <f t="shared" si="61"/>
        <v>0</v>
      </c>
      <c r="N191" s="61">
        <f t="shared" si="61"/>
        <v>0</v>
      </c>
      <c r="O191" s="61">
        <f t="shared" si="61"/>
        <v>41.355034970129367</v>
      </c>
      <c r="P191" s="61">
        <f t="shared" si="61"/>
        <v>43.839517787634009</v>
      </c>
      <c r="Q191" s="61">
        <f t="shared" si="61"/>
        <v>49.957468288959262</v>
      </c>
      <c r="R191" s="61">
        <f t="shared" si="61"/>
        <v>58.115683351028622</v>
      </c>
      <c r="S191" s="61">
        <f t="shared" si="61"/>
        <v>68.616086964114771</v>
      </c>
      <c r="T191" s="61">
        <f t="shared" si="61"/>
        <v>74.714754621020376</v>
      </c>
      <c r="U191" s="61">
        <f t="shared" si="61"/>
        <v>78.600770683090559</v>
      </c>
      <c r="V191" s="61">
        <f t="shared" si="61"/>
        <v>90.542785447346716</v>
      </c>
      <c r="W191" s="61">
        <f t="shared" si="61"/>
        <v>112.59448829321465</v>
      </c>
      <c r="X191" s="61">
        <f t="shared" si="61"/>
        <v>128.27827759258088</v>
      </c>
      <c r="Y191" s="61">
        <f t="shared" si="61"/>
        <v>146.90713210767061</v>
      </c>
      <c r="Z191" s="61">
        <f t="shared" si="61"/>
        <v>176.44594281285799</v>
      </c>
      <c r="AA191" s="61">
        <f t="shared" si="61"/>
        <v>6037.5261107321303</v>
      </c>
      <c r="AB191" s="61">
        <f t="shared" si="61"/>
        <v>13770.450983342082</v>
      </c>
      <c r="AC191" s="61">
        <f t="shared" si="61"/>
        <v>25795.908489829548</v>
      </c>
      <c r="AD191" s="61">
        <f t="shared" si="61"/>
        <v>40722.665344312743</v>
      </c>
      <c r="AE191" s="61">
        <f t="shared" si="61"/>
        <v>56241.053069335343</v>
      </c>
    </row>
    <row r="192" spans="1:31" x14ac:dyDescent="0.25">
      <c r="A192" s="6" t="s">
        <v>124</v>
      </c>
      <c r="B192" s="23" t="s">
        <v>114</v>
      </c>
      <c r="C192" s="61">
        <f t="shared" ref="C192:AE192" si="62">C60+C103+C146</f>
        <v>0</v>
      </c>
      <c r="D192" s="61">
        <f t="shared" si="62"/>
        <v>0</v>
      </c>
      <c r="E192" s="61">
        <f t="shared" si="62"/>
        <v>0</v>
      </c>
      <c r="F192" s="61">
        <f t="shared" si="62"/>
        <v>0</v>
      </c>
      <c r="G192" s="61">
        <f t="shared" si="62"/>
        <v>0</v>
      </c>
      <c r="H192" s="61">
        <f t="shared" si="62"/>
        <v>0</v>
      </c>
      <c r="I192" s="61">
        <f t="shared" si="62"/>
        <v>165.27113420823281</v>
      </c>
      <c r="J192" s="61">
        <f t="shared" si="62"/>
        <v>318.60839485855377</v>
      </c>
      <c r="K192" s="61">
        <f t="shared" si="62"/>
        <v>476.38254138148341</v>
      </c>
      <c r="L192" s="61">
        <f t="shared" si="62"/>
        <v>684.73541416629268</v>
      </c>
      <c r="M192" s="61">
        <f t="shared" si="62"/>
        <v>858.53651565406869</v>
      </c>
      <c r="N192" s="61">
        <f t="shared" si="62"/>
        <v>992.60265958925902</v>
      </c>
      <c r="O192" s="61">
        <f t="shared" si="62"/>
        <v>1469.492968223421</v>
      </c>
      <c r="P192" s="61">
        <f t="shared" si="62"/>
        <v>1897.0749010806671</v>
      </c>
      <c r="Q192" s="61">
        <f t="shared" si="62"/>
        <v>2282.2426622895655</v>
      </c>
      <c r="R192" s="61">
        <f t="shared" si="62"/>
        <v>2781.6161815734749</v>
      </c>
      <c r="S192" s="61">
        <f t="shared" si="62"/>
        <v>3195.9110540494876</v>
      </c>
      <c r="T192" s="61">
        <f t="shared" si="62"/>
        <v>3496.2989578518955</v>
      </c>
      <c r="U192" s="61">
        <f t="shared" si="62"/>
        <v>3764.2579037888599</v>
      </c>
      <c r="V192" s="61">
        <f t="shared" si="62"/>
        <v>4019.395470412233</v>
      </c>
      <c r="W192" s="61">
        <f t="shared" si="62"/>
        <v>4312.1332886694963</v>
      </c>
      <c r="X192" s="61">
        <f t="shared" si="62"/>
        <v>4793.1661842058184</v>
      </c>
      <c r="Y192" s="61">
        <f t="shared" si="62"/>
        <v>5191.7468309791366</v>
      </c>
      <c r="Z192" s="61">
        <f t="shared" si="62"/>
        <v>5482.8128089800557</v>
      </c>
      <c r="AA192" s="61">
        <f t="shared" si="62"/>
        <v>116114.00420168671</v>
      </c>
      <c r="AB192" s="61">
        <f t="shared" si="62"/>
        <v>219919.41748911882</v>
      </c>
      <c r="AC192" s="61">
        <f t="shared" si="62"/>
        <v>343720.49709626666</v>
      </c>
      <c r="AD192" s="61">
        <f t="shared" si="62"/>
        <v>426312.60106317396</v>
      </c>
      <c r="AE192" s="61">
        <f t="shared" si="62"/>
        <v>448317.30936197453</v>
      </c>
    </row>
    <row r="193" spans="1:31" x14ac:dyDescent="0.25">
      <c r="A193" s="6" t="s">
        <v>128</v>
      </c>
      <c r="B193" s="23" t="s">
        <v>114</v>
      </c>
      <c r="C193" s="61">
        <f t="shared" ref="C193:AE193" si="63">C61+C104+C147</f>
        <v>0</v>
      </c>
      <c r="D193" s="61">
        <f t="shared" si="63"/>
        <v>0</v>
      </c>
      <c r="E193" s="61">
        <f t="shared" si="63"/>
        <v>0</v>
      </c>
      <c r="F193" s="61">
        <f t="shared" si="63"/>
        <v>0</v>
      </c>
      <c r="G193" s="61">
        <f t="shared" si="63"/>
        <v>0</v>
      </c>
      <c r="H193" s="61">
        <f t="shared" si="63"/>
        <v>0</v>
      </c>
      <c r="I193" s="61">
        <f t="shared" si="63"/>
        <v>0</v>
      </c>
      <c r="J193" s="61">
        <f t="shared" si="63"/>
        <v>0</v>
      </c>
      <c r="K193" s="61">
        <f t="shared" si="63"/>
        <v>0</v>
      </c>
      <c r="L193" s="61">
        <f t="shared" si="63"/>
        <v>0</v>
      </c>
      <c r="M193" s="61">
        <f t="shared" si="63"/>
        <v>0</v>
      </c>
      <c r="N193" s="61">
        <f t="shared" si="63"/>
        <v>0</v>
      </c>
      <c r="O193" s="61">
        <f t="shared" si="63"/>
        <v>16145.734880631824</v>
      </c>
      <c r="P193" s="61">
        <f t="shared" si="63"/>
        <v>4217.382362171531</v>
      </c>
      <c r="Q193" s="61">
        <f t="shared" si="63"/>
        <v>4378.1749589280562</v>
      </c>
      <c r="R193" s="61">
        <f t="shared" si="63"/>
        <v>5397.0541981689839</v>
      </c>
      <c r="S193" s="61">
        <f t="shared" si="63"/>
        <v>5409.1601113942388</v>
      </c>
      <c r="T193" s="61">
        <f t="shared" si="63"/>
        <v>5236.3680899558303</v>
      </c>
      <c r="U193" s="61">
        <f t="shared" si="63"/>
        <v>5410.6145859837125</v>
      </c>
      <c r="V193" s="61">
        <f t="shared" si="63"/>
        <v>5670.9599392995815</v>
      </c>
      <c r="W193" s="61">
        <f t="shared" si="63"/>
        <v>6178.1897979298774</v>
      </c>
      <c r="X193" s="61">
        <f t="shared" si="63"/>
        <v>7622.3098510479676</v>
      </c>
      <c r="Y193" s="61">
        <f t="shared" si="63"/>
        <v>7695.1229758964037</v>
      </c>
      <c r="Z193" s="61">
        <f t="shared" si="63"/>
        <v>7557.6605559147674</v>
      </c>
      <c r="AA193" s="61">
        <f t="shared" si="63"/>
        <v>167425.25383920112</v>
      </c>
      <c r="AB193" s="61">
        <f t="shared" si="63"/>
        <v>336869.71257886838</v>
      </c>
      <c r="AC193" s="61">
        <f t="shared" si="63"/>
        <v>560077.02470110124</v>
      </c>
      <c r="AD193" s="61">
        <f t="shared" si="63"/>
        <v>773910.31390011404</v>
      </c>
      <c r="AE193" s="61">
        <f t="shared" si="63"/>
        <v>952507.93525664019</v>
      </c>
    </row>
    <row r="194" spans="1:31" x14ac:dyDescent="0.25">
      <c r="A194" s="6" t="s">
        <v>130</v>
      </c>
      <c r="B194" s="23" t="s">
        <v>114</v>
      </c>
      <c r="C194" s="61">
        <f t="shared" ref="C194:AE194" si="64">C63+C106+C149</f>
        <v>0</v>
      </c>
      <c r="D194" s="61">
        <f t="shared" si="64"/>
        <v>0</v>
      </c>
      <c r="E194" s="61">
        <f t="shared" si="64"/>
        <v>0</v>
      </c>
      <c r="F194" s="61">
        <f t="shared" si="64"/>
        <v>0</v>
      </c>
      <c r="G194" s="61">
        <f t="shared" si="64"/>
        <v>0</v>
      </c>
      <c r="H194" s="61">
        <f t="shared" si="64"/>
        <v>0</v>
      </c>
      <c r="I194" s="61">
        <f t="shared" si="64"/>
        <v>0</v>
      </c>
      <c r="J194" s="61">
        <f t="shared" si="64"/>
        <v>0</v>
      </c>
      <c r="K194" s="61">
        <f t="shared" si="64"/>
        <v>0</v>
      </c>
      <c r="L194" s="61">
        <f t="shared" si="64"/>
        <v>0</v>
      </c>
      <c r="M194" s="61">
        <f t="shared" si="64"/>
        <v>0</v>
      </c>
      <c r="N194" s="61">
        <f t="shared" si="64"/>
        <v>0</v>
      </c>
      <c r="O194" s="61">
        <f t="shared" si="64"/>
        <v>29.763093349714318</v>
      </c>
      <c r="P194" s="61">
        <f t="shared" si="64"/>
        <v>34.706284915210261</v>
      </c>
      <c r="Q194" s="61">
        <f t="shared" si="64"/>
        <v>40.356798362679683</v>
      </c>
      <c r="R194" s="61">
        <f t="shared" si="64"/>
        <v>46.947193183228919</v>
      </c>
      <c r="S194" s="61">
        <f t="shared" si="64"/>
        <v>54.321068846590876</v>
      </c>
      <c r="T194" s="61">
        <f t="shared" si="64"/>
        <v>62.262295517516989</v>
      </c>
      <c r="U194" s="61">
        <f t="shared" si="64"/>
        <v>70.710920595583374</v>
      </c>
      <c r="V194" s="61">
        <f t="shared" si="64"/>
        <v>79.644116828684631</v>
      </c>
      <c r="W194" s="61">
        <f t="shared" si="64"/>
        <v>89.137303232128303</v>
      </c>
      <c r="X194" s="61">
        <f t="shared" si="64"/>
        <v>99.562388654372427</v>
      </c>
      <c r="Y194" s="61">
        <f t="shared" si="64"/>
        <v>110.76331389070403</v>
      </c>
      <c r="Z194" s="61">
        <f t="shared" si="64"/>
        <v>122.5319047311514</v>
      </c>
      <c r="AA194" s="61">
        <f t="shared" si="64"/>
        <v>4779.7081709962704</v>
      </c>
      <c r="AB194" s="61">
        <f t="shared" si="64"/>
        <v>10901.607028479149</v>
      </c>
      <c r="AC194" s="61">
        <f t="shared" si="64"/>
        <v>20421.760887781726</v>
      </c>
      <c r="AD194" s="61">
        <f t="shared" si="64"/>
        <v>32238.776730914258</v>
      </c>
      <c r="AE194" s="61">
        <f t="shared" si="64"/>
        <v>44524.167013223807</v>
      </c>
    </row>
    <row r="195" spans="1:31" x14ac:dyDescent="0.25">
      <c r="A195" s="6" t="s">
        <v>647</v>
      </c>
      <c r="B195" s="23" t="s">
        <v>607</v>
      </c>
      <c r="C195" s="50">
        <f t="shared" ref="C195:AE195" si="65">C64+C107+C150</f>
        <v>1.4124149299254518</v>
      </c>
      <c r="D195" s="50">
        <f t="shared" si="65"/>
        <v>2.7927849980320532</v>
      </c>
      <c r="E195" s="50">
        <f t="shared" si="65"/>
        <v>4.1513888361093185</v>
      </c>
      <c r="F195" s="50">
        <f t="shared" si="65"/>
        <v>5.8612846628318813</v>
      </c>
      <c r="G195" s="50">
        <f t="shared" si="65"/>
        <v>7.4554951917731263</v>
      </c>
      <c r="H195" s="50">
        <f t="shared" si="65"/>
        <v>8.8588896636208734</v>
      </c>
      <c r="I195" s="50">
        <f t="shared" si="65"/>
        <v>10.24478166058331</v>
      </c>
      <c r="J195" s="50">
        <f t="shared" si="65"/>
        <v>11.65245819490668</v>
      </c>
      <c r="K195" s="50">
        <f t="shared" si="65"/>
        <v>13.191563428043677</v>
      </c>
      <c r="L195" s="50">
        <f t="shared" si="65"/>
        <v>15.195731617401972</v>
      </c>
      <c r="M195" s="50">
        <f t="shared" si="65"/>
        <v>17.094161361359898</v>
      </c>
      <c r="N195" s="50">
        <f t="shared" si="65"/>
        <v>18.826654750864833</v>
      </c>
      <c r="O195" s="50">
        <f t="shared" si="65"/>
        <v>23.096955699826939</v>
      </c>
      <c r="P195" s="50">
        <f t="shared" si="65"/>
        <v>27.349384566816713</v>
      </c>
      <c r="Q195" s="50">
        <f t="shared" si="65"/>
        <v>31.600569467180417</v>
      </c>
      <c r="R195" s="50">
        <f t="shared" si="65"/>
        <v>36.940473490753575</v>
      </c>
      <c r="S195" s="50">
        <f t="shared" si="65"/>
        <v>42.029080129673886</v>
      </c>
      <c r="T195" s="50">
        <f t="shared" si="65"/>
        <v>46.602507929977847</v>
      </c>
      <c r="U195" s="50">
        <f t="shared" si="65"/>
        <v>51.163383349365461</v>
      </c>
      <c r="V195" s="50">
        <f t="shared" si="65"/>
        <v>55.829764356482826</v>
      </c>
      <c r="W195" s="50">
        <f t="shared" si="65"/>
        <v>60.953351838212541</v>
      </c>
      <c r="X195" s="50">
        <f t="shared" si="65"/>
        <v>67.637221332169773</v>
      </c>
      <c r="Y195" s="50">
        <f t="shared" si="65"/>
        <v>74.082865481655887</v>
      </c>
      <c r="Z195" s="50">
        <f t="shared" si="65"/>
        <v>80.054706381239242</v>
      </c>
      <c r="AA195" s="50">
        <f t="shared" si="65"/>
        <v>2193.1078735732754</v>
      </c>
      <c r="AB195" s="50">
        <f t="shared" si="65"/>
        <v>4559.739060585247</v>
      </c>
      <c r="AC195" s="50">
        <f t="shared" si="65"/>
        <v>8156.1567474404819</v>
      </c>
      <c r="AD195" s="50">
        <f t="shared" si="65"/>
        <v>12441.435456823056</v>
      </c>
      <c r="AE195" s="50">
        <f t="shared" si="65"/>
        <v>16813.729573381243</v>
      </c>
    </row>
    <row r="196" spans="1:31" x14ac:dyDescent="0.25">
      <c r="A196" s="6" t="s">
        <v>648</v>
      </c>
      <c r="B196" s="23" t="s">
        <v>607</v>
      </c>
      <c r="C196" s="50">
        <f t="shared" ref="C196:AE196" si="66">C55+C98+C141</f>
        <v>0</v>
      </c>
      <c r="D196" s="50">
        <f t="shared" si="66"/>
        <v>0</v>
      </c>
      <c r="E196" s="50">
        <f t="shared" si="66"/>
        <v>0</v>
      </c>
      <c r="F196" s="50">
        <f t="shared" si="66"/>
        <v>0</v>
      </c>
      <c r="G196" s="50">
        <f t="shared" si="66"/>
        <v>0</v>
      </c>
      <c r="H196" s="50">
        <f t="shared" si="66"/>
        <v>0</v>
      </c>
      <c r="I196" s="50">
        <f t="shared" si="66"/>
        <v>0</v>
      </c>
      <c r="J196" s="50">
        <f t="shared" si="66"/>
        <v>0</v>
      </c>
      <c r="K196" s="50">
        <f t="shared" si="66"/>
        <v>0</v>
      </c>
      <c r="L196" s="50">
        <f t="shared" si="66"/>
        <v>0</v>
      </c>
      <c r="M196" s="50">
        <f t="shared" si="66"/>
        <v>0</v>
      </c>
      <c r="N196" s="50">
        <f t="shared" si="66"/>
        <v>0</v>
      </c>
      <c r="O196" s="50">
        <f t="shared" si="66"/>
        <v>541.56885539356642</v>
      </c>
      <c r="P196" s="50">
        <f t="shared" si="66"/>
        <v>641.55616352729817</v>
      </c>
      <c r="Q196" s="50">
        <f t="shared" si="66"/>
        <v>739.28906618964481</v>
      </c>
      <c r="R196" s="50">
        <f t="shared" si="66"/>
        <v>863.63029019781834</v>
      </c>
      <c r="S196" s="50">
        <f t="shared" si="66"/>
        <v>978.65986809859999</v>
      </c>
      <c r="T196" s="50">
        <f t="shared" si="66"/>
        <v>1077.8235785633278</v>
      </c>
      <c r="U196" s="50">
        <f t="shared" si="66"/>
        <v>1174.9089698339524</v>
      </c>
      <c r="V196" s="50">
        <f t="shared" si="66"/>
        <v>1273.1669308590872</v>
      </c>
      <c r="W196" s="50">
        <f t="shared" si="66"/>
        <v>1381.9005576602749</v>
      </c>
      <c r="X196" s="50">
        <f t="shared" si="66"/>
        <v>1529.9287623141172</v>
      </c>
      <c r="Y196" s="50">
        <f t="shared" si="66"/>
        <v>1668.8936775837651</v>
      </c>
      <c r="Z196" s="50">
        <f t="shared" si="66"/>
        <v>1792.983820722995</v>
      </c>
      <c r="AA196" s="50">
        <f t="shared" si="66"/>
        <v>46603.798814431982</v>
      </c>
      <c r="AB196" s="50">
        <f t="shared" si="66"/>
        <v>95108.897047166218</v>
      </c>
      <c r="AC196" s="50">
        <f t="shared" si="66"/>
        <v>166448.27956031449</v>
      </c>
      <c r="AD196" s="50">
        <f t="shared" si="66"/>
        <v>246676.51895007421</v>
      </c>
      <c r="AE196" s="50">
        <f t="shared" si="66"/>
        <v>323502.92539977457</v>
      </c>
    </row>
    <row r="197" spans="1:31" x14ac:dyDescent="0.25">
      <c r="A197" s="3" t="s">
        <v>649</v>
      </c>
      <c r="B197" s="23" t="s">
        <v>114</v>
      </c>
      <c r="C197" s="63">
        <f t="shared" ref="C197:AE197" si="67">C65+C108+C151+C155</f>
        <v>453.69907868879221</v>
      </c>
      <c r="D197" s="63">
        <f t="shared" si="67"/>
        <v>862.35173661868657</v>
      </c>
      <c r="E197" s="63">
        <f t="shared" si="67"/>
        <v>1232.7101400789084</v>
      </c>
      <c r="F197" s="63">
        <f t="shared" si="67"/>
        <v>1687.5524217244024</v>
      </c>
      <c r="G197" s="63">
        <f t="shared" si="67"/>
        <v>2070.3933952648913</v>
      </c>
      <c r="H197" s="63">
        <f t="shared" si="67"/>
        <v>2362.6088391791868</v>
      </c>
      <c r="I197" s="63">
        <f t="shared" si="67"/>
        <v>2792.0908197929352</v>
      </c>
      <c r="J197" s="63">
        <f t="shared" si="67"/>
        <v>3196.4019246074968</v>
      </c>
      <c r="K197" s="63">
        <f t="shared" si="67"/>
        <v>3628.1556381908631</v>
      </c>
      <c r="L197" s="63">
        <f t="shared" si="67"/>
        <v>4238.9321053665935</v>
      </c>
      <c r="M197" s="63">
        <f t="shared" si="67"/>
        <v>4750.3654605878128</v>
      </c>
      <c r="N197" s="63">
        <f t="shared" si="67"/>
        <v>5142.8899797052345</v>
      </c>
      <c r="O197" s="63">
        <f t="shared" si="67"/>
        <v>34702.041953314256</v>
      </c>
      <c r="P197" s="63">
        <f t="shared" si="67"/>
        <v>24175.221498849951</v>
      </c>
      <c r="Q197" s="63">
        <f t="shared" si="67"/>
        <v>25625.043432371887</v>
      </c>
      <c r="R197" s="63">
        <f t="shared" si="67"/>
        <v>28331.340242940951</v>
      </c>
      <c r="S197" s="63">
        <f t="shared" si="67"/>
        <v>29778.380330046737</v>
      </c>
      <c r="T197" s="63">
        <f t="shared" si="67"/>
        <v>30680.582630272827</v>
      </c>
      <c r="U197" s="63">
        <f t="shared" si="67"/>
        <v>31833.415966100652</v>
      </c>
      <c r="V197" s="63">
        <f t="shared" si="67"/>
        <v>33048.472875861611</v>
      </c>
      <c r="W197" s="63">
        <f t="shared" si="67"/>
        <v>34653.527155791024</v>
      </c>
      <c r="X197" s="63">
        <f t="shared" si="67"/>
        <v>37820.138462422728</v>
      </c>
      <c r="Y197" s="63">
        <f t="shared" si="67"/>
        <v>39367.178631839386</v>
      </c>
      <c r="Z197" s="63">
        <f t="shared" si="67"/>
        <v>40375.694548280982</v>
      </c>
      <c r="AA197" s="63">
        <f t="shared" si="67"/>
        <v>1052366.727768851</v>
      </c>
      <c r="AB197" s="63">
        <f t="shared" si="67"/>
        <v>1919659.3040600263</v>
      </c>
      <c r="AC197" s="63">
        <f t="shared" si="67"/>
        <v>2945745.5920430091</v>
      </c>
      <c r="AD197" s="63">
        <f t="shared" si="67"/>
        <v>3845763.5832463419</v>
      </c>
      <c r="AE197" s="63">
        <f t="shared" si="67"/>
        <v>4494286.6798504833</v>
      </c>
    </row>
    <row r="198" spans="1:31" x14ac:dyDescent="0.25">
      <c r="A198" s="6" t="s">
        <v>650</v>
      </c>
      <c r="B198" s="23" t="s">
        <v>114</v>
      </c>
      <c r="C198" s="61">
        <f t="shared" ref="C198:AE198" si="68">IF(C159=0,0,C197/C159/C7*12)</f>
        <v>20.051135417778251</v>
      </c>
      <c r="D198" s="61">
        <f t="shared" si="68"/>
        <v>20.051435376902582</v>
      </c>
      <c r="E198" s="61">
        <f t="shared" si="68"/>
        <v>20.051726892597323</v>
      </c>
      <c r="F198" s="61">
        <f t="shared" si="68"/>
        <v>20.052070828791514</v>
      </c>
      <c r="G198" s="61">
        <f t="shared" si="68"/>
        <v>20.052400504643735</v>
      </c>
      <c r="H198" s="61">
        <f t="shared" si="68"/>
        <v>20.052692819072277</v>
      </c>
      <c r="I198" s="61">
        <f t="shared" si="68"/>
        <v>21.314649631937854</v>
      </c>
      <c r="J198" s="61">
        <f t="shared" si="68"/>
        <v>22.273423094399945</v>
      </c>
      <c r="K198" s="61">
        <f t="shared" si="68"/>
        <v>23.084638420899143</v>
      </c>
      <c r="L198" s="61">
        <f t="shared" si="68"/>
        <v>23.917518807232682</v>
      </c>
      <c r="M198" s="61">
        <f t="shared" si="68"/>
        <v>24.478392596096711</v>
      </c>
      <c r="N198" s="61">
        <f t="shared" si="68"/>
        <v>24.851142575500084</v>
      </c>
      <c r="O198" s="61">
        <f t="shared" si="68"/>
        <v>133.72613846752691</v>
      </c>
      <c r="P198" s="61">
        <f t="shared" si="68"/>
        <v>78.557168881656949</v>
      </c>
      <c r="Q198" s="61">
        <f t="shared" si="68"/>
        <v>72.743912603146825</v>
      </c>
      <c r="R198" s="61">
        <f t="shared" si="68"/>
        <v>68.963449012877732</v>
      </c>
      <c r="S198" s="61">
        <f t="shared" si="68"/>
        <v>64.615204826636727</v>
      </c>
      <c r="T198" s="61">
        <f t="shared" si="68"/>
        <v>61.50756914325553</v>
      </c>
      <c r="U198" s="61">
        <f t="shared" si="68"/>
        <v>59.651871552057528</v>
      </c>
      <c r="V198" s="61">
        <f t="shared" si="68"/>
        <v>58.233459005022723</v>
      </c>
      <c r="W198" s="61">
        <f t="shared" si="68"/>
        <v>57.173641865977807</v>
      </c>
      <c r="X198" s="61">
        <f t="shared" si="68"/>
        <v>56.723787240796533</v>
      </c>
      <c r="Y198" s="61">
        <f t="shared" si="68"/>
        <v>54.759416423907183</v>
      </c>
      <c r="Z198" s="61">
        <f t="shared" si="68"/>
        <v>53.161376387534354</v>
      </c>
      <c r="AA198" s="61">
        <f t="shared" si="68"/>
        <v>63.313526848463638</v>
      </c>
      <c r="AB198" s="61">
        <f t="shared" si="68"/>
        <v>60.77488346406782</v>
      </c>
      <c r="AC198" s="61">
        <f t="shared" si="68"/>
        <v>58.466953800524948</v>
      </c>
      <c r="AD198" s="61">
        <f t="shared" si="68"/>
        <v>59.316740339645307</v>
      </c>
      <c r="AE198" s="61">
        <f t="shared" si="68"/>
        <v>63.114502375407838</v>
      </c>
    </row>
    <row r="199" spans="1:31" x14ac:dyDescent="0.25">
      <c r="A199" s="6" t="s">
        <v>651</v>
      </c>
      <c r="B199" s="23" t="s">
        <v>636</v>
      </c>
      <c r="C199" s="66">
        <f t="shared" ref="C199:AE199" si="69">C197-(C189+C190+C191+C192+C193+C194+C155)</f>
        <v>0</v>
      </c>
      <c r="D199" s="66">
        <f t="shared" si="69"/>
        <v>0</v>
      </c>
      <c r="E199" s="66">
        <f t="shared" si="69"/>
        <v>0</v>
      </c>
      <c r="F199" s="66">
        <f t="shared" si="69"/>
        <v>0</v>
      </c>
      <c r="G199" s="66">
        <f t="shared" si="69"/>
        <v>0</v>
      </c>
      <c r="H199" s="66">
        <f t="shared" si="69"/>
        <v>0</v>
      </c>
      <c r="I199" s="66">
        <f t="shared" si="69"/>
        <v>0</v>
      </c>
      <c r="J199" s="66">
        <f t="shared" si="69"/>
        <v>0</v>
      </c>
      <c r="K199" s="66">
        <f t="shared" si="69"/>
        <v>0</v>
      </c>
      <c r="L199" s="66">
        <f t="shared" si="69"/>
        <v>0</v>
      </c>
      <c r="M199" s="66">
        <f t="shared" si="69"/>
        <v>0</v>
      </c>
      <c r="N199" s="66">
        <f t="shared" si="69"/>
        <v>0</v>
      </c>
      <c r="O199" s="66">
        <f t="shared" si="69"/>
        <v>0</v>
      </c>
      <c r="P199" s="66">
        <f t="shared" si="69"/>
        <v>0</v>
      </c>
      <c r="Q199" s="66">
        <f t="shared" si="69"/>
        <v>0</v>
      </c>
      <c r="R199" s="66">
        <f t="shared" si="69"/>
        <v>0</v>
      </c>
      <c r="S199" s="66">
        <f t="shared" si="69"/>
        <v>0</v>
      </c>
      <c r="T199" s="66">
        <f t="shared" si="69"/>
        <v>0</v>
      </c>
      <c r="U199" s="66">
        <f t="shared" si="69"/>
        <v>0</v>
      </c>
      <c r="V199" s="66">
        <f t="shared" si="69"/>
        <v>0</v>
      </c>
      <c r="W199" s="66">
        <f t="shared" si="69"/>
        <v>0</v>
      </c>
      <c r="X199" s="66">
        <f t="shared" si="69"/>
        <v>0</v>
      </c>
      <c r="Y199" s="66">
        <f t="shared" si="69"/>
        <v>0</v>
      </c>
      <c r="Z199" s="66">
        <f t="shared" si="69"/>
        <v>0</v>
      </c>
      <c r="AA199" s="66">
        <f t="shared" si="69"/>
        <v>0</v>
      </c>
      <c r="AB199" s="66">
        <f t="shared" si="69"/>
        <v>0</v>
      </c>
      <c r="AC199" s="66">
        <f t="shared" si="69"/>
        <v>0</v>
      </c>
      <c r="AD199" s="66">
        <f t="shared" si="69"/>
        <v>0</v>
      </c>
      <c r="AE199" s="66">
        <f t="shared" si="69"/>
        <v>0</v>
      </c>
    </row>
    <row r="202" spans="1:31" ht="20.100000000000001" customHeight="1" x14ac:dyDescent="0.25">
      <c r="A202" s="12" t="s">
        <v>652</v>
      </c>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c r="AD202" s="13"/>
      <c r="AE202" s="13"/>
    </row>
    <row r="204" spans="1:31" x14ac:dyDescent="0.25">
      <c r="A204" s="51" t="s">
        <v>653</v>
      </c>
      <c r="B204" s="52"/>
      <c r="C204" s="52"/>
      <c r="D204" s="52"/>
      <c r="E204" s="52"/>
      <c r="F204" s="52"/>
      <c r="G204" s="52"/>
      <c r="H204" s="52"/>
      <c r="I204" s="52"/>
      <c r="J204" s="52"/>
      <c r="K204" s="52"/>
      <c r="L204" s="52"/>
      <c r="M204" s="52"/>
      <c r="N204" s="52"/>
      <c r="O204" s="52"/>
      <c r="P204" s="52"/>
      <c r="Q204" s="52"/>
      <c r="R204" s="52"/>
      <c r="S204" s="52"/>
      <c r="T204" s="52"/>
      <c r="U204" s="52"/>
      <c r="V204" s="52"/>
      <c r="W204" s="52"/>
      <c r="X204" s="52"/>
      <c r="Y204" s="52"/>
      <c r="Z204" s="52"/>
      <c r="AA204" s="52"/>
      <c r="AB204" s="52"/>
      <c r="AC204" s="52"/>
      <c r="AD204" s="52"/>
      <c r="AE204" s="52"/>
    </row>
    <row r="205" spans="1:31" x14ac:dyDescent="0.25">
      <c r="A205" s="6" t="s">
        <v>654</v>
      </c>
      <c r="B205" s="23" t="s">
        <v>655</v>
      </c>
      <c r="C205" s="60">
        <f t="shared" ref="C205:AE205" si="70">C166/(C7*365/12)</f>
        <v>2.0034394725271016</v>
      </c>
      <c r="D205" s="60">
        <f t="shared" si="70"/>
        <v>3.8079634486744016</v>
      </c>
      <c r="E205" s="60">
        <f t="shared" si="70"/>
        <v>5.4433880711327669</v>
      </c>
      <c r="F205" s="60">
        <f t="shared" si="70"/>
        <v>7.4518756868811105</v>
      </c>
      <c r="G205" s="60">
        <f t="shared" si="70"/>
        <v>9.142420706960003</v>
      </c>
      <c r="H205" s="60">
        <f t="shared" si="70"/>
        <v>10.432782495905798</v>
      </c>
      <c r="I205" s="60">
        <f t="shared" si="70"/>
        <v>11.599481886806903</v>
      </c>
      <c r="J205" s="60">
        <f t="shared" si="70"/>
        <v>12.707729466730688</v>
      </c>
      <c r="K205" s="60">
        <f t="shared" si="70"/>
        <v>13.917565468384277</v>
      </c>
      <c r="L205" s="60">
        <f t="shared" si="70"/>
        <v>15.694583213293622</v>
      </c>
      <c r="M205" s="60">
        <f t="shared" si="70"/>
        <v>17.185496058615598</v>
      </c>
      <c r="N205" s="60">
        <f t="shared" si="70"/>
        <v>18.326793749459007</v>
      </c>
      <c r="O205" s="60">
        <f t="shared" si="70"/>
        <v>21.254594243073335</v>
      </c>
      <c r="P205" s="60">
        <f t="shared" si="70"/>
        <v>25.202752786277959</v>
      </c>
      <c r="Q205" s="60">
        <f t="shared" si="70"/>
        <v>28.846874053517286</v>
      </c>
      <c r="R205" s="60">
        <f t="shared" si="70"/>
        <v>33.639681909449045</v>
      </c>
      <c r="S205" s="60">
        <f t="shared" si="70"/>
        <v>37.735888118905208</v>
      </c>
      <c r="T205" s="60">
        <f t="shared" si="70"/>
        <v>40.842734935115395</v>
      </c>
      <c r="U205" s="60">
        <f t="shared" si="70"/>
        <v>43.695200961258166</v>
      </c>
      <c r="V205" s="60">
        <f t="shared" si="70"/>
        <v>46.467625298787191</v>
      </c>
      <c r="W205" s="60">
        <f t="shared" si="70"/>
        <v>49.627474616811867</v>
      </c>
      <c r="X205" s="60">
        <f t="shared" si="70"/>
        <v>54.592069502068476</v>
      </c>
      <c r="Y205" s="60">
        <f t="shared" si="70"/>
        <v>58.864137663850705</v>
      </c>
      <c r="Z205" s="60">
        <f t="shared" si="70"/>
        <v>62.187641777835346</v>
      </c>
      <c r="AA205" s="60">
        <f t="shared" si="70"/>
        <v>104.78693023536793</v>
      </c>
      <c r="AB205" s="60">
        <f t="shared" si="70"/>
        <v>183.36225397541995</v>
      </c>
      <c r="AC205" s="60">
        <f t="shared" si="70"/>
        <v>270.41650881130045</v>
      </c>
      <c r="AD205" s="60">
        <f t="shared" si="70"/>
        <v>323.28190937640113</v>
      </c>
      <c r="AE205" s="60">
        <f t="shared" si="70"/>
        <v>330.56306091793311</v>
      </c>
    </row>
    <row r="206" spans="1:31" x14ac:dyDescent="0.25">
      <c r="A206" s="6" t="s">
        <v>656</v>
      </c>
      <c r="B206" s="23" t="s">
        <v>47</v>
      </c>
      <c r="C206" s="50">
        <f>MAX(2*Assumptions!$B$10,Assumptions!$B$10+Assumptions!$B$132*C205)</f>
        <v>200</v>
      </c>
      <c r="D206" s="50">
        <f>MAX(2*Assumptions!$B$10,Assumptions!$B$10+Assumptions!$B$132*D205)</f>
        <v>200</v>
      </c>
      <c r="E206" s="50">
        <f>MAX(2*Assumptions!$B$10,Assumptions!$B$10+Assumptions!$B$132*E205)</f>
        <v>200</v>
      </c>
      <c r="F206" s="50">
        <f>MAX(2*Assumptions!$B$10,Assumptions!$B$10+Assumptions!$B$132*F205)</f>
        <v>200</v>
      </c>
      <c r="G206" s="50">
        <f>MAX(2*Assumptions!$B$10,Assumptions!$B$10+Assumptions!$B$132*G205)</f>
        <v>200</v>
      </c>
      <c r="H206" s="50">
        <f>MAX(2*Assumptions!$B$10,Assumptions!$B$10+Assumptions!$B$132*H205)</f>
        <v>204.32782495905798</v>
      </c>
      <c r="I206" s="50">
        <f>MAX(2*Assumptions!$B$10,Assumptions!$B$10+Assumptions!$B$132*I205)</f>
        <v>215.99481886806902</v>
      </c>
      <c r="J206" s="50">
        <f>MAX(2*Assumptions!$B$10,Assumptions!$B$10+Assumptions!$B$132*J205)</f>
        <v>227.07729466730689</v>
      </c>
      <c r="K206" s="50">
        <f>MAX(2*Assumptions!$B$10,Assumptions!$B$10+Assumptions!$B$132*K205)</f>
        <v>239.17565468384277</v>
      </c>
      <c r="L206" s="50">
        <f>MAX(2*Assumptions!$B$10,Assumptions!$B$10+Assumptions!$B$132*L205)</f>
        <v>256.94583213293623</v>
      </c>
      <c r="M206" s="50">
        <f>MAX(2*Assumptions!$B$10,Assumptions!$B$10+Assumptions!$B$132*M205)</f>
        <v>271.85496058615598</v>
      </c>
      <c r="N206" s="50">
        <f>MAX(2*Assumptions!$B$10,Assumptions!$B$10+Assumptions!$B$132*N205)</f>
        <v>283.26793749459006</v>
      </c>
      <c r="O206" s="50">
        <f>MAX(2*Assumptions!$B$10,Assumptions!$B$10+Assumptions!$B$132*O205)</f>
        <v>312.54594243073336</v>
      </c>
      <c r="P206" s="50">
        <f>MAX(2*Assumptions!$B$10,Assumptions!$B$10+Assumptions!$B$132*P205)</f>
        <v>352.02752786277961</v>
      </c>
      <c r="Q206" s="50">
        <f>MAX(2*Assumptions!$B$10,Assumptions!$B$10+Assumptions!$B$132*Q205)</f>
        <v>388.46874053517286</v>
      </c>
      <c r="R206" s="50">
        <f>MAX(2*Assumptions!$B$10,Assumptions!$B$10+Assumptions!$B$132*R205)</f>
        <v>436.39681909449047</v>
      </c>
      <c r="S206" s="50">
        <f>MAX(2*Assumptions!$B$10,Assumptions!$B$10+Assumptions!$B$132*S205)</f>
        <v>477.35888118905211</v>
      </c>
      <c r="T206" s="50">
        <f>MAX(2*Assumptions!$B$10,Assumptions!$B$10+Assumptions!$B$132*T205)</f>
        <v>508.42734935115396</v>
      </c>
      <c r="U206" s="50">
        <f>MAX(2*Assumptions!$B$10,Assumptions!$B$10+Assumptions!$B$132*U205)</f>
        <v>536.95200961258161</v>
      </c>
      <c r="V206" s="50">
        <f>MAX(2*Assumptions!$B$10,Assumptions!$B$10+Assumptions!$B$132*V205)</f>
        <v>564.67625298787198</v>
      </c>
      <c r="W206" s="50">
        <f>MAX(2*Assumptions!$B$10,Assumptions!$B$10+Assumptions!$B$132*W205)</f>
        <v>596.27474616811867</v>
      </c>
      <c r="X206" s="50">
        <f>MAX(2*Assumptions!$B$10,Assumptions!$B$10+Assumptions!$B$132*X205)</f>
        <v>645.92069502068478</v>
      </c>
      <c r="Y206" s="50">
        <f>MAX(2*Assumptions!$B$10,Assumptions!$B$10+Assumptions!$B$132*Y205)</f>
        <v>688.64137663850704</v>
      </c>
      <c r="Z206" s="50">
        <f>MAX(2*Assumptions!$B$10,Assumptions!$B$10+Assumptions!$B$132*Z205)</f>
        <v>721.87641777835347</v>
      </c>
      <c r="AA206" s="50">
        <f>MAX(2*Assumptions!$B$10,Assumptions!$B$10+Assumptions!$B$132*AA205)</f>
        <v>1147.8693023536794</v>
      </c>
      <c r="AB206" s="50">
        <f>MAX(2*Assumptions!$B$10,Assumptions!$B$10+Assumptions!$B$132*AB205)</f>
        <v>1933.6225397541994</v>
      </c>
      <c r="AC206" s="50">
        <f>MAX(2*Assumptions!$B$10,Assumptions!$B$10+Assumptions!$B$132*AC205)</f>
        <v>2804.1650881130045</v>
      </c>
      <c r="AD206" s="50">
        <f>MAX(2*Assumptions!$B$10,Assumptions!$B$10+Assumptions!$B$132*AD205)</f>
        <v>3332.8190937640111</v>
      </c>
      <c r="AE206" s="50">
        <f>MAX(2*Assumptions!$B$10,Assumptions!$B$10+Assumptions!$B$132*AE205)</f>
        <v>3405.6306091793313</v>
      </c>
    </row>
    <row r="207" spans="1:31" x14ac:dyDescent="0.25">
      <c r="A207" s="9" t="s">
        <v>657</v>
      </c>
    </row>
    <row r="208" spans="1:31" x14ac:dyDescent="0.25">
      <c r="A208" s="6" t="s">
        <v>658</v>
      </c>
      <c r="B208" s="23" t="s">
        <v>659</v>
      </c>
      <c r="C208" s="60">
        <f>C206/Assumptions!$B$10</f>
        <v>2</v>
      </c>
      <c r="D208" s="60">
        <f>D206/Assumptions!$B$10</f>
        <v>2</v>
      </c>
      <c r="E208" s="60">
        <f>E206/Assumptions!$B$10</f>
        <v>2</v>
      </c>
      <c r="F208" s="60">
        <f>F206/Assumptions!$B$10</f>
        <v>2</v>
      </c>
      <c r="G208" s="60">
        <f>G206/Assumptions!$B$10</f>
        <v>2</v>
      </c>
      <c r="H208" s="60">
        <f>H206/Assumptions!$B$10</f>
        <v>2.0432782495905797</v>
      </c>
      <c r="I208" s="60">
        <f>I206/Assumptions!$B$10</f>
        <v>2.1599481886806902</v>
      </c>
      <c r="J208" s="60">
        <f>J206/Assumptions!$B$10</f>
        <v>2.2707729466730688</v>
      </c>
      <c r="K208" s="60">
        <f>K206/Assumptions!$B$10</f>
        <v>2.3917565468384279</v>
      </c>
      <c r="L208" s="60">
        <f>L206/Assumptions!$B$10</f>
        <v>2.5694583213293622</v>
      </c>
      <c r="M208" s="60">
        <f>M206/Assumptions!$B$10</f>
        <v>2.7185496058615599</v>
      </c>
      <c r="N208" s="60">
        <f>N206/Assumptions!$B$10</f>
        <v>2.8326793749459007</v>
      </c>
      <c r="O208" s="60">
        <f>O206/Assumptions!$B$10</f>
        <v>3.1254594243073335</v>
      </c>
      <c r="P208" s="60">
        <f>P206/Assumptions!$B$10</f>
        <v>3.5202752786277962</v>
      </c>
      <c r="Q208" s="60">
        <f>Q206/Assumptions!$B$10</f>
        <v>3.8846874053517286</v>
      </c>
      <c r="R208" s="60">
        <f>R206/Assumptions!$B$10</f>
        <v>4.3639681909449051</v>
      </c>
      <c r="S208" s="60">
        <f>S206/Assumptions!$B$10</f>
        <v>4.7735888118905212</v>
      </c>
      <c r="T208" s="60">
        <f>T206/Assumptions!$B$10</f>
        <v>5.0842734935115397</v>
      </c>
      <c r="U208" s="60">
        <f>U206/Assumptions!$B$10</f>
        <v>5.3695200961258163</v>
      </c>
      <c r="V208" s="60">
        <f>V206/Assumptions!$B$10</f>
        <v>5.6467625298787194</v>
      </c>
      <c r="W208" s="60">
        <f>W206/Assumptions!$B$10</f>
        <v>5.9627474616811869</v>
      </c>
      <c r="X208" s="60">
        <f>X206/Assumptions!$B$10</f>
        <v>6.4592069502068474</v>
      </c>
      <c r="Y208" s="60">
        <f>Y206/Assumptions!$B$10</f>
        <v>6.8864137663850702</v>
      </c>
      <c r="Z208" s="60">
        <f>Z206/Assumptions!$B$10</f>
        <v>7.2187641777835347</v>
      </c>
      <c r="AA208" s="60">
        <f>AA206/Assumptions!$B$10</f>
        <v>11.478693023536794</v>
      </c>
      <c r="AB208" s="60">
        <f>AB206/Assumptions!$B$10</f>
        <v>19.336225397541995</v>
      </c>
      <c r="AC208" s="60">
        <f>AC206/Assumptions!$B$10</f>
        <v>28.041650881130046</v>
      </c>
      <c r="AD208" s="60">
        <f>AD206/Assumptions!$B$10</f>
        <v>33.328190937640109</v>
      </c>
      <c r="AE208" s="60">
        <f>AE206/Assumptions!$B$10</f>
        <v>34.05630609179331</v>
      </c>
    </row>
    <row r="209" spans="1:31" x14ac:dyDescent="0.25">
      <c r="A209" s="3" t="s">
        <v>660</v>
      </c>
      <c r="B209" s="23" t="s">
        <v>114</v>
      </c>
      <c r="C209" s="63">
        <f>C206*C20*(1+Assumptions!$B$9)</f>
        <v>28716.379999999997</v>
      </c>
      <c r="D209" s="63">
        <f>D206*D20*(1+Assumptions!$B$9)</f>
        <v>28716.379999999997</v>
      </c>
      <c r="E209" s="63">
        <f>E206*E20*(1+Assumptions!$B$9)</f>
        <v>28716.379999999997</v>
      </c>
      <c r="F209" s="63">
        <f>F206*F20*(1+Assumptions!$B$9)</f>
        <v>28716.379999999997</v>
      </c>
      <c r="G209" s="63">
        <f>G206*G20*(1+Assumptions!$B$9)</f>
        <v>28716.379999999997</v>
      </c>
      <c r="H209" s="63">
        <f>H206*H20*(1+Assumptions!$B$9)</f>
        <v>29337.777330488967</v>
      </c>
      <c r="I209" s="63">
        <f>I206*I20*(1+Assumptions!$B$9)</f>
        <v>31012.946483233198</v>
      </c>
      <c r="J209" s="63">
        <f>J206*J20*(1+Assumptions!$B$9)</f>
        <v>32604.189415191788</v>
      </c>
      <c r="K209" s="63">
        <f>K206*K20*(1+Assumptions!$B$9)</f>
        <v>34341.294933250043</v>
      </c>
      <c r="L209" s="63">
        <f>L206*L20*(1+Assumptions!$B$9)</f>
        <v>36892.770774728036</v>
      </c>
      <c r="M209" s="63">
        <f>M206*M20*(1+Assumptions!$B$9)</f>
        <v>39033.451765385391</v>
      </c>
      <c r="N209" s="63">
        <f>N206*N20*(1+Assumptions!$B$9)</f>
        <v>40672.148674554475</v>
      </c>
      <c r="O209" s="63">
        <f>O206*O20*(1+Assumptions!$B$9)</f>
        <v>48510.891411866432</v>
      </c>
      <c r="P209" s="63">
        <f>P206*P20*(1+Assumptions!$B$9)</f>
        <v>54638.908588370941</v>
      </c>
      <c r="Q209" s="63">
        <f>Q206*Q20*(1+Assumptions!$B$9)</f>
        <v>60295.023325035552</v>
      </c>
      <c r="R209" s="63">
        <f>R206*R20*(1+Assumptions!$B$9)</f>
        <v>67734.037879146214</v>
      </c>
      <c r="S209" s="63">
        <f>S206*S20*(1+Assumptions!$B$9)</f>
        <v>74091.842849581226</v>
      </c>
      <c r="T209" s="63">
        <f>T206*T20*(1+Assumptions!$B$9)</f>
        <v>78914.042983178442</v>
      </c>
      <c r="U209" s="63">
        <f>U206*U20*(1+Assumptions!$B$9)</f>
        <v>83341.413518661124</v>
      </c>
      <c r="V209" s="63">
        <f>V206*V20*(1+Assumptions!$B$9)</f>
        <v>87644.549721278556</v>
      </c>
      <c r="W209" s="63">
        <f>W206*W20*(1+Assumptions!$B$9)</f>
        <v>92549.016115959923</v>
      </c>
      <c r="X209" s="63">
        <f>X206*X20*(1+Assumptions!$B$9)</f>
        <v>100254.66481226208</v>
      </c>
      <c r="Y209" s="63">
        <f>Y206*Y20*(1+Assumptions!$B$9)</f>
        <v>106885.42869575862</v>
      </c>
      <c r="Z209" s="63">
        <f>Z206*Z20*(1+Assumptions!$B$9)</f>
        <v>112043.90702782436</v>
      </c>
      <c r="AA209" s="63">
        <f>AA206*AA20*(1+Assumptions!$B$9)</f>
        <v>192594.34252433339</v>
      </c>
      <c r="AB209" s="63">
        <f>AB206*AB20*(1+Assumptions!$B$9)</f>
        <v>350710.26519238885</v>
      </c>
      <c r="AC209" s="63">
        <f>AC206*AC20*(1+Assumptions!$B$9)</f>
        <v>549801.66390065732</v>
      </c>
      <c r="AD209" s="63">
        <f>AD206*AD20*(1+Assumptions!$B$9)</f>
        <v>706382.45935299504</v>
      </c>
      <c r="AE209" s="63">
        <f>AE206*AE20*(1+Assumptions!$B$9)</f>
        <v>780281.66184594808</v>
      </c>
    </row>
    <row r="210" spans="1:31" x14ac:dyDescent="0.25">
      <c r="A210" s="9" t="s">
        <v>661</v>
      </c>
    </row>
    <row r="211" spans="1:31" x14ac:dyDescent="0.25">
      <c r="A211" s="6" t="s">
        <v>662</v>
      </c>
      <c r="B211" s="23" t="s">
        <v>114</v>
      </c>
      <c r="C211" s="61">
        <f>C206*C20*(1+Assumptions!$B$9)</f>
        <v>28716.379999999997</v>
      </c>
      <c r="D211" s="61">
        <f>MAX(0,D206-C206)*D20*(1+Assumptions!$B$9)</f>
        <v>0</v>
      </c>
      <c r="E211" s="61">
        <f>MAX(0,E206-D206)*E20*(1+Assumptions!$B$9)</f>
        <v>0</v>
      </c>
      <c r="F211" s="61">
        <f>MAX(0,F206-E206)*F20*(1+Assumptions!$B$9)</f>
        <v>0</v>
      </c>
      <c r="G211" s="61">
        <f>MAX(0,G206-F206)*G20*(1+Assumptions!$B$9)</f>
        <v>0</v>
      </c>
      <c r="H211" s="61">
        <f>MAX(0,H206-G206)*H20*(1+Assumptions!$B$9)</f>
        <v>621.39733048896653</v>
      </c>
      <c r="I211" s="61">
        <f>MAX(0,I206-H206)*I20*(1+Assumptions!$B$9)</f>
        <v>1675.1691527442322</v>
      </c>
      <c r="J211" s="61">
        <f>MAX(0,J206-I206)*J20*(1+Assumptions!$B$9)</f>
        <v>1591.242931958592</v>
      </c>
      <c r="K211" s="61">
        <f>MAX(0,K206-J206)*K20*(1+Assumptions!$B$9)</f>
        <v>1737.1055180582528</v>
      </c>
      <c r="L211" s="61">
        <f>MAX(0,L206-K206)*L20*(1+Assumptions!$B$9)</f>
        <v>2551.4758414779931</v>
      </c>
      <c r="M211" s="61">
        <f>MAX(0,M206-L206)*M20*(1+Assumptions!$B$9)</f>
        <v>2140.680990657353</v>
      </c>
      <c r="N211" s="61">
        <f>MAX(0,N206-M206)*N20*(1+Assumptions!$B$9)</f>
        <v>1638.6969091690905</v>
      </c>
      <c r="O211" s="61">
        <f>MAX(0,O206-N206)*O20*(1+Assumptions!$B$9)</f>
        <v>4544.2986946730416</v>
      </c>
      <c r="P211" s="61">
        <f>MAX(0,P206-O206)*P20*(1+Assumptions!$B$9)</f>
        <v>6128.017176504507</v>
      </c>
      <c r="Q211" s="61">
        <f>MAX(0,Q206-P206)*Q20*(1+Assumptions!$B$9)</f>
        <v>5656.1147366646101</v>
      </c>
      <c r="R211" s="61">
        <f>MAX(0,R206-Q206)*R20*(1+Assumptions!$B$9)</f>
        <v>7439.0145541106685</v>
      </c>
      <c r="S211" s="61">
        <f>MAX(0,S206-R206)*S20*(1+Assumptions!$B$9)</f>
        <v>6357.8049704350069</v>
      </c>
      <c r="T211" s="61">
        <f>MAX(0,T206-S206)*T20*(1+Assumptions!$B$9)</f>
        <v>4822.2001335972227</v>
      </c>
      <c r="U211" s="61">
        <f>MAX(0,U206-T206)*U20*(1+Assumptions!$B$9)</f>
        <v>4427.3705354826898</v>
      </c>
      <c r="V211" s="61">
        <f>MAX(0,V206-U206)*V20*(1+Assumptions!$B$9)</f>
        <v>4303.1362026174193</v>
      </c>
      <c r="W211" s="61">
        <f>MAX(0,W206-V206)*W20*(1+Assumptions!$B$9)</f>
        <v>4904.466394681368</v>
      </c>
      <c r="X211" s="61">
        <f>MAX(0,X206-W206)*X20*(1+Assumptions!$B$9)</f>
        <v>7705.6486963021562</v>
      </c>
      <c r="Y211" s="61">
        <f>MAX(0,Y206-X206)*Y20*(1+Assumptions!$B$9)</f>
        <v>6630.7638834965364</v>
      </c>
      <c r="Z211" s="61">
        <f>MAX(0,Z206-Y206)*Z20*(1+Assumptions!$B$9)</f>
        <v>5158.4783320657389</v>
      </c>
      <c r="AA211" s="61">
        <f>MAX(0,AA206-Z206)*AA20*(1+Assumptions!$B$9)</f>
        <v>71474.879027255258</v>
      </c>
      <c r="AB211" s="61">
        <f>MAX(0,AB206-AA206)*AB20*(1+Assumptions!$B$9)</f>
        <v>142515.78092358445</v>
      </c>
      <c r="AC211" s="61">
        <f>MAX(0,AC206-AB206)*AC20*(1+Assumptions!$B$9)</f>
        <v>170683.86722768494</v>
      </c>
      <c r="AD211" s="61">
        <f>MAX(0,AD206-AC206)*AD20*(1+Assumptions!$B$9)</f>
        <v>112046.86067638449</v>
      </c>
      <c r="AE211" s="61">
        <f>MAX(0,AE206-AD206)*AE20*(1+Assumptions!$B$9)</f>
        <v>16682.223285360495</v>
      </c>
    </row>
    <row r="212" spans="1:31" x14ac:dyDescent="0.25">
      <c r="A212" s="9" t="s">
        <v>663</v>
      </c>
    </row>
    <row r="213" spans="1:31" x14ac:dyDescent="0.25">
      <c r="A213" s="3" t="s">
        <v>664</v>
      </c>
      <c r="B213" s="23" t="s">
        <v>114</v>
      </c>
      <c r="C213" s="63">
        <f>C211</f>
        <v>28716.379999999997</v>
      </c>
      <c r="D213" s="63">
        <f t="shared" ref="D213:AE213" si="71">C213+D211</f>
        <v>28716.379999999997</v>
      </c>
      <c r="E213" s="63">
        <f t="shared" si="71"/>
        <v>28716.379999999997</v>
      </c>
      <c r="F213" s="63">
        <f t="shared" si="71"/>
        <v>28716.379999999997</v>
      </c>
      <c r="G213" s="63">
        <f t="shared" si="71"/>
        <v>28716.379999999997</v>
      </c>
      <c r="H213" s="63">
        <f t="shared" si="71"/>
        <v>29337.777330488963</v>
      </c>
      <c r="I213" s="63">
        <f t="shared" si="71"/>
        <v>31012.946483233194</v>
      </c>
      <c r="J213" s="63">
        <f t="shared" si="71"/>
        <v>32604.189415191788</v>
      </c>
      <c r="K213" s="63">
        <f t="shared" si="71"/>
        <v>34341.294933250043</v>
      </c>
      <c r="L213" s="63">
        <f t="shared" si="71"/>
        <v>36892.770774728036</v>
      </c>
      <c r="M213" s="63">
        <f t="shared" si="71"/>
        <v>39033.451765385391</v>
      </c>
      <c r="N213" s="63">
        <f t="shared" si="71"/>
        <v>40672.148674554483</v>
      </c>
      <c r="O213" s="63">
        <f t="shared" si="71"/>
        <v>45216.447369227521</v>
      </c>
      <c r="P213" s="63">
        <f t="shared" si="71"/>
        <v>51344.464545732029</v>
      </c>
      <c r="Q213" s="63">
        <f t="shared" si="71"/>
        <v>57000.57928239664</v>
      </c>
      <c r="R213" s="63">
        <f t="shared" si="71"/>
        <v>64439.593836507309</v>
      </c>
      <c r="S213" s="63">
        <f t="shared" si="71"/>
        <v>70797.398806942321</v>
      </c>
      <c r="T213" s="63">
        <f t="shared" si="71"/>
        <v>75619.598940539538</v>
      </c>
      <c r="U213" s="63">
        <f t="shared" si="71"/>
        <v>80046.969476022234</v>
      </c>
      <c r="V213" s="63">
        <f t="shared" si="71"/>
        <v>84350.105678639651</v>
      </c>
      <c r="W213" s="63">
        <f t="shared" si="71"/>
        <v>89254.572073321018</v>
      </c>
      <c r="X213" s="63">
        <f t="shared" si="71"/>
        <v>96960.220769623178</v>
      </c>
      <c r="Y213" s="63">
        <f t="shared" si="71"/>
        <v>103590.98465311971</v>
      </c>
      <c r="Z213" s="63">
        <f t="shared" si="71"/>
        <v>108749.46298518546</v>
      </c>
      <c r="AA213" s="63">
        <f t="shared" si="71"/>
        <v>180224.34201244073</v>
      </c>
      <c r="AB213" s="63">
        <f t="shared" si="71"/>
        <v>322740.12293602515</v>
      </c>
      <c r="AC213" s="63">
        <f t="shared" si="71"/>
        <v>493423.99016371008</v>
      </c>
      <c r="AD213" s="63">
        <f t="shared" si="71"/>
        <v>605470.85084009462</v>
      </c>
      <c r="AE213" s="63">
        <f t="shared" si="71"/>
        <v>622153.07412545511</v>
      </c>
    </row>
    <row r="214" spans="1:31" x14ac:dyDescent="0.25">
      <c r="A214" s="3" t="s">
        <v>665</v>
      </c>
      <c r="B214" s="23" t="s">
        <v>114</v>
      </c>
      <c r="C214" s="63">
        <f>IF(C2&gt;=Assumptions!$B$51,MAX(Assumptions!$B$221,C171/365*Assumptions!$B$220),0)</f>
        <v>0</v>
      </c>
      <c r="D214" s="63">
        <f>IF(D2&gt;=Assumptions!$B$51,MAX(Assumptions!$B$221,D171/365*Assumptions!$B$220),0)</f>
        <v>0</v>
      </c>
      <c r="E214" s="63">
        <f>IF(E2&gt;=Assumptions!$B$51,MAX(Assumptions!$B$221,E171/365*Assumptions!$B$220),0)</f>
        <v>0</v>
      </c>
      <c r="F214" s="63">
        <f>IF(F2&gt;=Assumptions!$B$51,MAX(Assumptions!$B$221,F171/365*Assumptions!$B$220),0)</f>
        <v>0</v>
      </c>
      <c r="G214" s="63">
        <f>IF(G2&gt;=Assumptions!$B$51,MAX(Assumptions!$B$221,G171/365*Assumptions!$B$220),0)</f>
        <v>0</v>
      </c>
      <c r="H214" s="63">
        <f>IF(H2&gt;=Assumptions!$B$51,MAX(Assumptions!$B$221,H171/365*Assumptions!$B$220),0)</f>
        <v>0</v>
      </c>
      <c r="I214" s="63">
        <f>IF(I2&gt;=Assumptions!$B$51,MAX(Assumptions!$B$221,I171/365*Assumptions!$B$220),0)</f>
        <v>0</v>
      </c>
      <c r="J214" s="63">
        <f>IF(J2&gt;=Assumptions!$B$51,MAX(Assumptions!$B$221,J171/365*Assumptions!$B$220),0)</f>
        <v>0</v>
      </c>
      <c r="K214" s="63">
        <f>IF(K2&gt;=Assumptions!$B$51,MAX(Assumptions!$B$221,K171/365*Assumptions!$B$220),0)</f>
        <v>0</v>
      </c>
      <c r="L214" s="63">
        <f>IF(L2&gt;=Assumptions!$B$51,MAX(Assumptions!$B$221,L171/365*Assumptions!$B$220),0)</f>
        <v>0</v>
      </c>
      <c r="M214" s="63">
        <f>IF(M2&gt;=Assumptions!$B$51,MAX(Assumptions!$B$221,M171/365*Assumptions!$B$220),0)</f>
        <v>0</v>
      </c>
      <c r="N214" s="63">
        <f>IF(N2&gt;=Assumptions!$B$51,MAX(Assumptions!$B$221,N171/365*Assumptions!$B$220),0)</f>
        <v>0</v>
      </c>
      <c r="O214" s="63">
        <f>IF(O2&gt;=Assumptions!$B$51,MAX(Assumptions!$B$221,O171/365*Assumptions!$B$220),0)</f>
        <v>100000</v>
      </c>
      <c r="P214" s="63">
        <f>IF(P2&gt;=Assumptions!$B$51,MAX(Assumptions!$B$221,P171/365*Assumptions!$B$220),0)</f>
        <v>100000</v>
      </c>
      <c r="Q214" s="63">
        <f>IF(Q2&gt;=Assumptions!$B$51,MAX(Assumptions!$B$221,Q171/365*Assumptions!$B$220),0)</f>
        <v>100000</v>
      </c>
      <c r="R214" s="63">
        <f>IF(R2&gt;=Assumptions!$B$51,MAX(Assumptions!$B$221,R171/365*Assumptions!$B$220),0)</f>
        <v>100000</v>
      </c>
      <c r="S214" s="63">
        <f>IF(S2&gt;=Assumptions!$B$51,MAX(Assumptions!$B$221,S171/365*Assumptions!$B$220),0)</f>
        <v>100000</v>
      </c>
      <c r="T214" s="63">
        <f>IF(T2&gt;=Assumptions!$B$51,MAX(Assumptions!$B$221,T171/365*Assumptions!$B$220),0)</f>
        <v>100000</v>
      </c>
      <c r="U214" s="63">
        <f>IF(U2&gt;=Assumptions!$B$51,MAX(Assumptions!$B$221,U171/365*Assumptions!$B$220),0)</f>
        <v>100000</v>
      </c>
      <c r="V214" s="63">
        <f>IF(V2&gt;=Assumptions!$B$51,MAX(Assumptions!$B$221,V171/365*Assumptions!$B$220),0)</f>
        <v>100000</v>
      </c>
      <c r="W214" s="63">
        <f>IF(W2&gt;=Assumptions!$B$51,MAX(Assumptions!$B$221,W171/365*Assumptions!$B$220),0)</f>
        <v>100000</v>
      </c>
      <c r="X214" s="63">
        <f>IF(X2&gt;=Assumptions!$B$51,MAX(Assumptions!$B$221,X171/365*Assumptions!$B$220),0)</f>
        <v>100000</v>
      </c>
      <c r="Y214" s="63">
        <f>IF(Y2&gt;=Assumptions!$B$51,MAX(Assumptions!$B$221,Y171/365*Assumptions!$B$220),0)</f>
        <v>100000</v>
      </c>
      <c r="Z214" s="63">
        <f>IF(Z2&gt;=Assumptions!$B$51,MAX(Assumptions!$B$221,Z171/365*Assumptions!$B$220),0)</f>
        <v>100000</v>
      </c>
      <c r="AA214" s="63">
        <f>IF(AA2&gt;=Assumptions!$B$51,MAX(Assumptions!$B$221,AA171/365*Assumptions!$B$220),0)</f>
        <v>100000</v>
      </c>
      <c r="AB214" s="63">
        <f>IF(AB2&gt;=Assumptions!$B$51,MAX(Assumptions!$B$221,AB171/365*Assumptions!$B$220),0)</f>
        <v>100000</v>
      </c>
      <c r="AC214" s="63">
        <f>IF(AC2&gt;=Assumptions!$B$51,MAX(Assumptions!$B$221,AC171/365*Assumptions!$B$220),0)</f>
        <v>100000</v>
      </c>
      <c r="AD214" s="63">
        <f>IF(AD2&gt;=Assumptions!$B$51,MAX(Assumptions!$B$221,AD171/365*Assumptions!$B$220),0)</f>
        <v>100000</v>
      </c>
      <c r="AE214" s="63">
        <f>IF(AE2&gt;=Assumptions!$B$51,MAX(Assumptions!$B$221,AE171/365*Assumptions!$B$220),0)</f>
        <v>100000</v>
      </c>
    </row>
    <row r="215" spans="1:31" x14ac:dyDescent="0.25">
      <c r="A215" s="9" t="s">
        <v>666</v>
      </c>
    </row>
    <row r="216" spans="1:31" x14ac:dyDescent="0.25">
      <c r="A216" s="6" t="s">
        <v>667</v>
      </c>
      <c r="B216" s="23" t="s">
        <v>47</v>
      </c>
      <c r="C216" s="68">
        <f>C206-2*Assumptions!$B$10</f>
        <v>0</v>
      </c>
      <c r="D216" s="68">
        <f>D206-2*Assumptions!$B$10</f>
        <v>0</v>
      </c>
      <c r="E216" s="68">
        <f>E206-2*Assumptions!$B$10</f>
        <v>0</v>
      </c>
      <c r="F216" s="68">
        <f>F206-2*Assumptions!$B$10</f>
        <v>0</v>
      </c>
      <c r="G216" s="68">
        <f>G206-2*Assumptions!$B$10</f>
        <v>0</v>
      </c>
      <c r="H216" s="68">
        <f>H206-2*Assumptions!$B$10</f>
        <v>4.3278249590579776</v>
      </c>
      <c r="I216" s="68">
        <f>I206-2*Assumptions!$B$10</f>
        <v>15.994818868069018</v>
      </c>
      <c r="J216" s="68">
        <f>J206-2*Assumptions!$B$10</f>
        <v>27.077294667306887</v>
      </c>
      <c r="K216" s="68">
        <f>K206-2*Assumptions!$B$10</f>
        <v>39.175654683842765</v>
      </c>
      <c r="L216" s="68">
        <f>L206-2*Assumptions!$B$10</f>
        <v>56.945832132936232</v>
      </c>
      <c r="M216" s="68">
        <f>M206-2*Assumptions!$B$10</f>
        <v>71.854960586155983</v>
      </c>
      <c r="N216" s="68">
        <f>N206-2*Assumptions!$B$10</f>
        <v>83.267937494590058</v>
      </c>
      <c r="O216" s="68">
        <f>O206-2*Assumptions!$B$10</f>
        <v>112.54594243073336</v>
      </c>
      <c r="P216" s="68">
        <f>P206-2*Assumptions!$B$10</f>
        <v>152.02752786277961</v>
      </c>
      <c r="Q216" s="68">
        <f>Q206-2*Assumptions!$B$10</f>
        <v>188.46874053517286</v>
      </c>
      <c r="R216" s="68">
        <f>R206-2*Assumptions!$B$10</f>
        <v>236.39681909449047</v>
      </c>
      <c r="S216" s="68">
        <f>S206-2*Assumptions!$B$10</f>
        <v>277.35888118905211</v>
      </c>
      <c r="T216" s="68">
        <f>T206-2*Assumptions!$B$10</f>
        <v>308.42734935115396</v>
      </c>
      <c r="U216" s="68">
        <f>U206-2*Assumptions!$B$10</f>
        <v>336.95200961258161</v>
      </c>
      <c r="V216" s="68">
        <f>V206-2*Assumptions!$B$10</f>
        <v>364.67625298787198</v>
      </c>
      <c r="W216" s="68">
        <f>W206-2*Assumptions!$B$10</f>
        <v>396.27474616811867</v>
      </c>
      <c r="X216" s="68">
        <f>X206-2*Assumptions!$B$10</f>
        <v>445.92069502068478</v>
      </c>
      <c r="Y216" s="68">
        <f>Y206-2*Assumptions!$B$10</f>
        <v>488.64137663850704</v>
      </c>
      <c r="Z216" s="68">
        <f>Z206-2*Assumptions!$B$10</f>
        <v>521.87641777835347</v>
      </c>
      <c r="AA216" s="68">
        <f>AA206-2*Assumptions!$B$10</f>
        <v>947.86930235367936</v>
      </c>
      <c r="AB216" s="68">
        <f>AB206-2*Assumptions!$B$10</f>
        <v>1733.6225397541994</v>
      </c>
      <c r="AC216" s="68">
        <f>AC206-2*Assumptions!$B$10</f>
        <v>2604.1650881130045</v>
      </c>
      <c r="AD216" s="68">
        <f>AD206-2*Assumptions!$B$10</f>
        <v>3132.8190937640111</v>
      </c>
      <c r="AE216" s="68">
        <f>AE206-2*Assumptions!$B$10</f>
        <v>3205.6306091793313</v>
      </c>
    </row>
    <row r="219" spans="1:31" ht="20.100000000000001" customHeight="1" x14ac:dyDescent="0.25">
      <c r="A219" s="12" t="s">
        <v>668</v>
      </c>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c r="AD219" s="13"/>
      <c r="AE219" s="13"/>
    </row>
    <row r="221" spans="1:31" x14ac:dyDescent="0.25">
      <c r="A221" s="51" t="s">
        <v>669</v>
      </c>
      <c r="B221" s="52"/>
      <c r="C221" s="52"/>
      <c r="D221" s="52"/>
      <c r="E221" s="52"/>
      <c r="F221" s="52"/>
      <c r="G221" s="52"/>
      <c r="H221" s="52"/>
      <c r="I221" s="52"/>
      <c r="J221" s="52"/>
      <c r="K221" s="52"/>
      <c r="L221" s="52"/>
      <c r="M221" s="52"/>
      <c r="N221" s="52"/>
      <c r="O221" s="52"/>
      <c r="P221" s="52"/>
      <c r="Q221" s="52"/>
      <c r="R221" s="52"/>
      <c r="S221" s="52"/>
      <c r="T221" s="52"/>
      <c r="U221" s="52"/>
      <c r="V221" s="52"/>
      <c r="W221" s="52"/>
      <c r="X221" s="52"/>
      <c r="Y221" s="52"/>
      <c r="Z221" s="52"/>
      <c r="AA221" s="52"/>
      <c r="AB221" s="52"/>
      <c r="AC221" s="52"/>
      <c r="AD221" s="52"/>
      <c r="AE221" s="52"/>
    </row>
    <row r="222" spans="1:31" x14ac:dyDescent="0.25">
      <c r="A222" s="6" t="s">
        <v>670</v>
      </c>
      <c r="B222" s="23" t="s">
        <v>47</v>
      </c>
      <c r="C222" s="60">
        <f>0</f>
        <v>0</v>
      </c>
      <c r="D222" s="60">
        <f t="shared" ref="D222:AE222" si="72">MAX(0,C165+D166-D165)</f>
        <v>0.31363304865598707</v>
      </c>
      <c r="E222" s="60">
        <f t="shared" si="72"/>
        <v>0.92074059744749093</v>
      </c>
      <c r="F222" s="60">
        <f t="shared" si="72"/>
        <v>1.7989225636163155</v>
      </c>
      <c r="G222" s="60">
        <f t="shared" si="72"/>
        <v>3.0213669093155886</v>
      </c>
      <c r="H222" s="60">
        <f t="shared" si="72"/>
        <v>4.5497834334496474</v>
      </c>
      <c r="I222" s="60">
        <f t="shared" si="72"/>
        <v>6.3208433105319273</v>
      </c>
      <c r="J222" s="60">
        <f t="shared" si="72"/>
        <v>8.3155485951558603</v>
      </c>
      <c r="K222" s="60">
        <f t="shared" si="72"/>
        <v>10.517102512405017</v>
      </c>
      <c r="L222" s="60">
        <f t="shared" si="72"/>
        <v>12.909901247148355</v>
      </c>
      <c r="M222" s="60">
        <f t="shared" si="72"/>
        <v>15.650061991136681</v>
      </c>
      <c r="N222" s="60">
        <f t="shared" si="72"/>
        <v>18.70194273037805</v>
      </c>
      <c r="O222" s="60">
        <f t="shared" si="72"/>
        <v>21.695352101644858</v>
      </c>
      <c r="P222" s="60">
        <f t="shared" si="72"/>
        <v>25.270031964564623</v>
      </c>
      <c r="Q222" s="60">
        <f t="shared" si="72"/>
        <v>29.587995454872726</v>
      </c>
      <c r="R222" s="60">
        <f t="shared" si="72"/>
        <v>34.46856085698073</v>
      </c>
      <c r="S222" s="60">
        <f t="shared" si="72"/>
        <v>40.287391362668131</v>
      </c>
      <c r="T222" s="60">
        <f t="shared" si="72"/>
        <v>46.960489547542238</v>
      </c>
      <c r="U222" s="60">
        <f t="shared" si="72"/>
        <v>54.25028203056354</v>
      </c>
      <c r="V222" s="60">
        <f t="shared" si="72"/>
        <v>62.096972292762075</v>
      </c>
      <c r="W222" s="60">
        <f t="shared" si="72"/>
        <v>70.423664737540093</v>
      </c>
      <c r="X222" s="60">
        <f t="shared" si="72"/>
        <v>79.087417635490056</v>
      </c>
      <c r="Y222" s="60">
        <f t="shared" si="72"/>
        <v>88.788654950414639</v>
      </c>
      <c r="Z222" s="60">
        <f t="shared" si="72"/>
        <v>99.451728140247724</v>
      </c>
      <c r="AA222" s="60">
        <f t="shared" si="72"/>
        <v>1392.6476248353356</v>
      </c>
      <c r="AB222" s="60">
        <f t="shared" si="72"/>
        <v>4251.708277322512</v>
      </c>
      <c r="AC222" s="60">
        <f t="shared" si="72"/>
        <v>9268.0180242349743</v>
      </c>
      <c r="AD222" s="60">
        <f t="shared" si="72"/>
        <v>16768.793631177978</v>
      </c>
      <c r="AE222" s="60">
        <f t="shared" si="72"/>
        <v>25731.262070974102</v>
      </c>
    </row>
    <row r="223" spans="1:31" x14ac:dyDescent="0.25">
      <c r="A223" s="9" t="s">
        <v>671</v>
      </c>
    </row>
    <row r="224" spans="1:31" x14ac:dyDescent="0.25">
      <c r="A224" s="6" t="s">
        <v>672</v>
      </c>
      <c r="B224" s="23" t="s">
        <v>47</v>
      </c>
      <c r="C224" s="60">
        <f>MAX(0,C166-C222*(1-Assumptions!$B$230))</f>
        <v>60.937950622699347</v>
      </c>
      <c r="D224" s="60">
        <f>MAX(0,D166-D222*(1-Assumptions!$B$230))</f>
        <v>115.51192184852373</v>
      </c>
      <c r="E224" s="60">
        <f>MAX(0,E166-E222*(1-Assumptions!$B$230))</f>
        <v>164.64897989950751</v>
      </c>
      <c r="F224" s="60">
        <f>MAX(0,F166-F222*(1-Assumptions!$B$230))</f>
        <v>224.86229624568415</v>
      </c>
      <c r="G224" s="60">
        <f>MAX(0,G166-G222*(1-Assumptions!$B$230))</f>
        <v>275.06059626071783</v>
      </c>
      <c r="H224" s="60">
        <f>MAX(0,H166-H222*(1-Assumptions!$B$230))</f>
        <v>312.7806841503517</v>
      </c>
      <c r="I224" s="60">
        <f>MAX(0,I166-I222*(1-Assumptions!$B$230))</f>
        <v>346.49673074651139</v>
      </c>
      <c r="J224" s="60">
        <f>MAX(0,J166-J222*(1-Assumptions!$B$230))</f>
        <v>378.21122268456924</v>
      </c>
      <c r="K224" s="60">
        <f>MAX(0,K166-K222*(1-Assumptions!$B$230))</f>
        <v>412.8088471509501</v>
      </c>
      <c r="L224" s="60">
        <f>MAX(0,L166-L222*(1-Assumptions!$B$230))</f>
        <v>464.46700482386603</v>
      </c>
      <c r="M224" s="60">
        <f>MAX(0,M166-M222*(1-Assumptions!$B$230))</f>
        <v>507.07544312508776</v>
      </c>
      <c r="N224" s="60">
        <f>MAX(0,N166-N222*(1-Assumptions!$B$230))</f>
        <v>538.73803381566677</v>
      </c>
      <c r="O224" s="60">
        <f>MAX(0,O166-O222*(1-Assumptions!$B$230))</f>
        <v>624.79855612516906</v>
      </c>
      <c r="P224" s="60">
        <f>MAX(0,P166-P222*(1-Assumptions!$B$230))</f>
        <v>741.31369861805661</v>
      </c>
      <c r="Q224" s="60">
        <f>MAX(0,Q166-Q222*(1-Assumptions!$B$230))</f>
        <v>847.83775700627814</v>
      </c>
      <c r="R224" s="60">
        <f>MAX(0,R166-R222*(1-Assumptions!$B$230))</f>
        <v>988.73843055542784</v>
      </c>
      <c r="S224" s="60">
        <f>MAX(0,S166-S222*(1-Assumptions!$B$230))</f>
        <v>1107.5125389206987</v>
      </c>
      <c r="T224" s="60">
        <f>MAX(0,T166-T222*(1-Assumptions!$B$230))</f>
        <v>1195.3393647288844</v>
      </c>
      <c r="U224" s="60">
        <f>MAX(0,U166-U222*(1-Assumptions!$B$230))</f>
        <v>1274.812080541039</v>
      </c>
      <c r="V224" s="60">
        <f>MAX(0,V166-V222*(1-Assumptions!$B$230))</f>
        <v>1351.293297212015</v>
      </c>
      <c r="W224" s="60">
        <f>MAX(0,W166-W222*(1-Assumptions!$B$230))</f>
        <v>1439.0786881904876</v>
      </c>
      <c r="X224" s="60">
        <f>MAX(0,X166-X222*(1-Assumptions!$B$230))</f>
        <v>1581.4213630524262</v>
      </c>
      <c r="Y224" s="60">
        <f>MAX(0,Y166-Y222*(1-Assumptions!$B$230))</f>
        <v>1701.662198991711</v>
      </c>
      <c r="Z224" s="60">
        <f>MAX(0,Z166-Z222*(1-Assumptions!$B$230))</f>
        <v>1792.089042602244</v>
      </c>
      <c r="AA224" s="60">
        <f>MAX(0,AA166-AA222*(1-Assumptions!$B$230))</f>
        <v>36854.581911073961</v>
      </c>
      <c r="AB224" s="60">
        <f>MAX(0,AB166-AB222*(1-Assumptions!$B$230))</f>
        <v>62675.514423705768</v>
      </c>
      <c r="AC224" s="60">
        <f>MAX(0,AC166-AC222*(1-Assumptions!$B$230))</f>
        <v>89434.007691889681</v>
      </c>
      <c r="AD224" s="60">
        <f>MAX(0,AD166-AD222*(1-Assumptions!$B$230))</f>
        <v>101229.10329120843</v>
      </c>
      <c r="AE224" s="60">
        <f>MAX(0,AE166-AE222*(1-Assumptions!$B$230))</f>
        <v>94924.255164071481</v>
      </c>
    </row>
    <row r="225" spans="1:31" x14ac:dyDescent="0.25">
      <c r="A225" s="6" t="s">
        <v>673</v>
      </c>
      <c r="B225" s="23" t="s">
        <v>114</v>
      </c>
      <c r="C225" s="63">
        <f>C224*C20*Assumptions!$B$9*Assumptions!$B$229</f>
        <v>129.30423742630575</v>
      </c>
      <c r="D225" s="63">
        <f>D224*D20*Assumptions!$B$9*Assumptions!$B$229</f>
        <v>245.10474697038251</v>
      </c>
      <c r="E225" s="63">
        <f>E224*E20*Assumptions!$B$9*Assumptions!$B$229</f>
        <v>349.36867044876499</v>
      </c>
      <c r="F225" s="63">
        <f>F224*F20*Assumptions!$B$9*Assumptions!$B$229</f>
        <v>477.13530640371721</v>
      </c>
      <c r="G225" s="63">
        <f>G224*G20*Assumptions!$B$9*Assumptions!$B$229</f>
        <v>583.65107920561718</v>
      </c>
      <c r="H225" s="63">
        <f>H224*H20*Assumptions!$B$9*Assumptions!$B$229</f>
        <v>663.68933369863123</v>
      </c>
      <c r="I225" s="63">
        <f>I224*I20*Assumptions!$B$9*Assumptions!$B$229</f>
        <v>735.23141297102256</v>
      </c>
      <c r="J225" s="63">
        <f>J224*J20*Assumptions!$B$9*Assumptions!$B$229</f>
        <v>802.52639341438748</v>
      </c>
      <c r="K225" s="63">
        <f>K224*K20*Assumptions!$B$9*Assumptions!$B$229</f>
        <v>875.93909276960107</v>
      </c>
      <c r="L225" s="63">
        <f>L224*L20*Assumptions!$B$9*Assumptions!$B$229</f>
        <v>985.5525375357613</v>
      </c>
      <c r="M225" s="63">
        <f>M224*M20*Assumptions!$B$9*Assumptions!$B$229</f>
        <v>1075.9633827671237</v>
      </c>
      <c r="N225" s="63">
        <f>N224*N20*Assumptions!$B$9*Assumptions!$B$229</f>
        <v>1143.1482339534634</v>
      </c>
      <c r="O225" s="63">
        <f>O224*O20*Assumptions!$B$9*Assumptions!$B$229</f>
        <v>1433.146620797598</v>
      </c>
      <c r="P225" s="63">
        <f>P224*P20*Assumptions!$B$9*Assumptions!$B$229</f>
        <v>1700.4060136025641</v>
      </c>
      <c r="Q225" s="63">
        <f>Q224*Q20*Assumptions!$B$9*Assumptions!$B$229</f>
        <v>1944.7481184555429</v>
      </c>
      <c r="R225" s="63">
        <f>R224*R20*Assumptions!$B$9*Assumptions!$B$229</f>
        <v>2267.9424059350031</v>
      </c>
      <c r="S225" s="63">
        <f>S224*S20*Assumptions!$B$9*Assumptions!$B$229</f>
        <v>2540.383355699033</v>
      </c>
      <c r="T225" s="63">
        <f>T224*T20*Assumptions!$B$9*Assumptions!$B$229</f>
        <v>2741.8382364576955</v>
      </c>
      <c r="U225" s="63">
        <f>U224*U20*Assumptions!$B$9*Assumptions!$B$229</f>
        <v>2924.130677749733</v>
      </c>
      <c r="V225" s="63">
        <f>V224*V20*Assumptions!$B$9*Assumptions!$B$229</f>
        <v>3099.5612963898629</v>
      </c>
      <c r="W225" s="63">
        <f>W224*W20*Assumptions!$B$9*Assumptions!$B$229</f>
        <v>3300.9211350175783</v>
      </c>
      <c r="X225" s="63">
        <f>X224*X20*Assumptions!$B$9*Assumptions!$B$229</f>
        <v>3627.4230474720794</v>
      </c>
      <c r="Y225" s="63">
        <f>Y224*Y20*Assumptions!$B$9*Assumptions!$B$229</f>
        <v>3903.2283386637928</v>
      </c>
      <c r="Z225" s="63">
        <f>Z224*Z20*Assumptions!$B$9*Assumptions!$B$229</f>
        <v>4110.6470723970151</v>
      </c>
      <c r="AA225" s="63">
        <f>AA224*AA20*Assumptions!$B$9*Assumptions!$B$229</f>
        <v>91383.500407759289</v>
      </c>
      <c r="AB225" s="63">
        <f>AB224*AB20*Assumptions!$B$9*Assumptions!$B$229</f>
        <v>167996.37159265584</v>
      </c>
      <c r="AC225" s="63">
        <f>AC224*AC20*Assumptions!$B$9*Assumptions!$B$229</f>
        <v>259137.56959945243</v>
      </c>
      <c r="AD225" s="63">
        <f>AD224*AD20*Assumptions!$B$9*Assumptions!$B$229</f>
        <v>317072.64271414414</v>
      </c>
      <c r="AE225" s="63">
        <f>AE224*AE20*Assumptions!$B$9*Assumptions!$B$229</f>
        <v>321407.69822679658</v>
      </c>
    </row>
    <row r="226" spans="1:31" x14ac:dyDescent="0.25">
      <c r="A226" s="9" t="s">
        <v>674</v>
      </c>
    </row>
    <row r="228" spans="1:31" x14ac:dyDescent="0.25">
      <c r="A228" s="3" t="s">
        <v>675</v>
      </c>
      <c r="B228" s="23" t="s">
        <v>114</v>
      </c>
      <c r="C228" s="63">
        <f t="shared" ref="C228:AE228" si="73">C225</f>
        <v>129.30423742630575</v>
      </c>
      <c r="D228" s="63">
        <f t="shared" si="73"/>
        <v>245.10474697038251</v>
      </c>
      <c r="E228" s="63">
        <f t="shared" si="73"/>
        <v>349.36867044876499</v>
      </c>
      <c r="F228" s="63">
        <f t="shared" si="73"/>
        <v>477.13530640371721</v>
      </c>
      <c r="G228" s="63">
        <f t="shared" si="73"/>
        <v>583.65107920561718</v>
      </c>
      <c r="H228" s="63">
        <f t="shared" si="73"/>
        <v>663.68933369863123</v>
      </c>
      <c r="I228" s="63">
        <f t="shared" si="73"/>
        <v>735.23141297102256</v>
      </c>
      <c r="J228" s="63">
        <f t="shared" si="73"/>
        <v>802.52639341438748</v>
      </c>
      <c r="K228" s="63">
        <f t="shared" si="73"/>
        <v>875.93909276960107</v>
      </c>
      <c r="L228" s="63">
        <f t="shared" si="73"/>
        <v>985.5525375357613</v>
      </c>
      <c r="M228" s="63">
        <f t="shared" si="73"/>
        <v>1075.9633827671237</v>
      </c>
      <c r="N228" s="63">
        <f t="shared" si="73"/>
        <v>1143.1482339534634</v>
      </c>
      <c r="O228" s="63">
        <f t="shared" si="73"/>
        <v>1433.146620797598</v>
      </c>
      <c r="P228" s="63">
        <f t="shared" si="73"/>
        <v>1700.4060136025641</v>
      </c>
      <c r="Q228" s="63">
        <f t="shared" si="73"/>
        <v>1944.7481184555429</v>
      </c>
      <c r="R228" s="63">
        <f t="shared" si="73"/>
        <v>2267.9424059350031</v>
      </c>
      <c r="S228" s="63">
        <f t="shared" si="73"/>
        <v>2540.383355699033</v>
      </c>
      <c r="T228" s="63">
        <f t="shared" si="73"/>
        <v>2741.8382364576955</v>
      </c>
      <c r="U228" s="63">
        <f t="shared" si="73"/>
        <v>2924.130677749733</v>
      </c>
      <c r="V228" s="63">
        <f t="shared" si="73"/>
        <v>3099.5612963898629</v>
      </c>
      <c r="W228" s="63">
        <f t="shared" si="73"/>
        <v>3300.9211350175783</v>
      </c>
      <c r="X228" s="63">
        <f t="shared" si="73"/>
        <v>3627.4230474720794</v>
      </c>
      <c r="Y228" s="63">
        <f t="shared" si="73"/>
        <v>3903.2283386637928</v>
      </c>
      <c r="Z228" s="63">
        <f t="shared" si="73"/>
        <v>4110.6470723970151</v>
      </c>
      <c r="AA228" s="63">
        <f t="shared" si="73"/>
        <v>91383.500407759289</v>
      </c>
      <c r="AB228" s="63">
        <f t="shared" si="73"/>
        <v>167996.37159265584</v>
      </c>
      <c r="AC228" s="63">
        <f t="shared" si="73"/>
        <v>259137.56959945243</v>
      </c>
      <c r="AD228" s="63">
        <f t="shared" si="73"/>
        <v>317072.64271414414</v>
      </c>
      <c r="AE228" s="63">
        <f t="shared" si="73"/>
        <v>321407.69822679658</v>
      </c>
    </row>
    <row r="231" spans="1:31" x14ac:dyDescent="0.25">
      <c r="A231" s="51" t="s">
        <v>676</v>
      </c>
      <c r="B231" s="52"/>
      <c r="C231" s="52"/>
      <c r="D231" s="52"/>
      <c r="E231" s="52"/>
      <c r="F231" s="52"/>
      <c r="G231" s="52"/>
      <c r="H231" s="52"/>
      <c r="I231" s="52"/>
      <c r="J231" s="52"/>
      <c r="K231" s="52"/>
      <c r="L231" s="52"/>
      <c r="M231" s="52"/>
      <c r="N231" s="52"/>
      <c r="O231" s="52"/>
      <c r="P231" s="52"/>
      <c r="Q231" s="52"/>
      <c r="R231" s="52"/>
      <c r="S231" s="52"/>
      <c r="T231" s="52"/>
      <c r="U231" s="52"/>
      <c r="V231" s="52"/>
      <c r="W231" s="52"/>
      <c r="X231" s="52"/>
      <c r="Y231" s="52"/>
      <c r="Z231" s="52"/>
      <c r="AA231" s="52"/>
      <c r="AB231" s="52"/>
      <c r="AC231" s="52"/>
      <c r="AD231" s="52"/>
      <c r="AE231" s="52"/>
    </row>
    <row r="232" spans="1:31" x14ac:dyDescent="0.25">
      <c r="A232" s="6" t="s">
        <v>677</v>
      </c>
      <c r="B232" s="23" t="s">
        <v>47</v>
      </c>
      <c r="C232" s="50">
        <f t="shared" ref="C232:AE232" si="74">C165+C206</f>
        <v>260.93795062269936</v>
      </c>
      <c r="D232" s="50">
        <f t="shared" si="74"/>
        <v>376.4498724712231</v>
      </c>
      <c r="E232" s="50">
        <f t="shared" si="74"/>
        <v>541.09885237073058</v>
      </c>
      <c r="F232" s="50">
        <f t="shared" si="74"/>
        <v>765.96114861641468</v>
      </c>
      <c r="G232" s="50">
        <f t="shared" si="74"/>
        <v>1041.0217448771325</v>
      </c>
      <c r="H232" s="50">
        <f t="shared" si="74"/>
        <v>1358.1302539865424</v>
      </c>
      <c r="I232" s="50">
        <f t="shared" si="74"/>
        <v>1716.2939786420645</v>
      </c>
      <c r="J232" s="50">
        <f t="shared" si="74"/>
        <v>2105.5876771258718</v>
      </c>
      <c r="K232" s="50">
        <f t="shared" si="74"/>
        <v>2530.4948842933577</v>
      </c>
      <c r="L232" s="50">
        <f t="shared" si="74"/>
        <v>3012.7320665663169</v>
      </c>
      <c r="M232" s="50">
        <f t="shared" si="74"/>
        <v>3534.7166381446245</v>
      </c>
      <c r="N232" s="50">
        <f t="shared" si="74"/>
        <v>4084.8676488687256</v>
      </c>
      <c r="O232" s="50">
        <f t="shared" si="74"/>
        <v>4738.9442099300386</v>
      </c>
      <c r="P232" s="50">
        <f t="shared" si="74"/>
        <v>5519.7394939801416</v>
      </c>
      <c r="Q232" s="50">
        <f t="shared" si="74"/>
        <v>6404.0184636588128</v>
      </c>
      <c r="R232" s="50">
        <f t="shared" si="74"/>
        <v>7440.6849727735589</v>
      </c>
      <c r="S232" s="50">
        <f t="shared" si="74"/>
        <v>8589.1595737888183</v>
      </c>
      <c r="T232" s="50">
        <f t="shared" si="74"/>
        <v>9815.5674066798056</v>
      </c>
      <c r="U232" s="50">
        <f t="shared" si="74"/>
        <v>11118.904147482273</v>
      </c>
      <c r="V232" s="50">
        <f t="shared" si="74"/>
        <v>12497.921688069579</v>
      </c>
      <c r="W232" s="50">
        <f t="shared" si="74"/>
        <v>13968.598869440313</v>
      </c>
      <c r="X232" s="50">
        <f t="shared" si="74"/>
        <v>15599.666181345305</v>
      </c>
      <c r="Y232" s="50">
        <f t="shared" si="74"/>
        <v>17344.04906195484</v>
      </c>
      <c r="Z232" s="50">
        <f t="shared" si="74"/>
        <v>19169.373145696929</v>
      </c>
      <c r="AA232" s="50">
        <f t="shared" si="74"/>
        <v>56449.947941346218</v>
      </c>
      <c r="AB232" s="50">
        <f t="shared" si="74"/>
        <v>119911.2156024525</v>
      </c>
      <c r="AC232" s="50">
        <f t="shared" si="74"/>
        <v>210215.76584270096</v>
      </c>
      <c r="AD232" s="50">
        <f t="shared" si="74"/>
        <v>311973.52313956042</v>
      </c>
      <c r="AE232" s="50">
        <f t="shared" si="74"/>
        <v>406970.58981904719</v>
      </c>
    </row>
    <row r="233" spans="1:31" x14ac:dyDescent="0.25">
      <c r="A233" s="6" t="s">
        <v>678</v>
      </c>
      <c r="B233" s="23" t="s">
        <v>114</v>
      </c>
      <c r="C233" s="63">
        <f>MAX(Assumptions!$B$194*C7*365/12,Assumptions!$B$193*C232*C20*C7/12)</f>
        <v>760.41666666666663</v>
      </c>
      <c r="D233" s="63">
        <f>MAX(Assumptions!$B$194*D7*365/12,Assumptions!$B$193*D232*D20*D7/12)</f>
        <v>760.41666666666663</v>
      </c>
      <c r="E233" s="63">
        <f>MAX(Assumptions!$B$194*E7*365/12,Assumptions!$B$193*E232*E20*E7/12)</f>
        <v>760.41666666666663</v>
      </c>
      <c r="F233" s="63">
        <f>MAX(Assumptions!$B$194*F7*365/12,Assumptions!$B$193*F232*F20*F7/12)</f>
        <v>760.41666666666663</v>
      </c>
      <c r="G233" s="63">
        <f>MAX(Assumptions!$B$194*G7*365/12,Assumptions!$B$193*G232*G20*G7/12)</f>
        <v>760.41666666666663</v>
      </c>
      <c r="H233" s="63">
        <f>MAX(Assumptions!$B$194*H7*365/12,Assumptions!$B$193*H232*H20*H7/12)</f>
        <v>760.41666666666663</v>
      </c>
      <c r="I233" s="63">
        <f>MAX(Assumptions!$B$194*I7*365/12,Assumptions!$B$193*I232*I20*I7/12)</f>
        <v>760.41666666666663</v>
      </c>
      <c r="J233" s="63">
        <f>MAX(Assumptions!$B$194*J7*365/12,Assumptions!$B$193*J232*J20*J7/12)</f>
        <v>760.41666666666663</v>
      </c>
      <c r="K233" s="63">
        <f>MAX(Assumptions!$B$194*K7*365/12,Assumptions!$B$193*K232*K20*K7/12)</f>
        <v>760.41666666666663</v>
      </c>
      <c r="L233" s="63">
        <f>MAX(Assumptions!$B$194*L7*365/12,Assumptions!$B$193*L232*L20*L7/12)</f>
        <v>760.41666666666663</v>
      </c>
      <c r="M233" s="63">
        <f>MAX(Assumptions!$B$194*M7*365/12,Assumptions!$B$193*M232*M20*M7/12)</f>
        <v>760.41666666666663</v>
      </c>
      <c r="N233" s="63">
        <f>MAX(Assumptions!$B$194*N7*365/12,Assumptions!$B$193*N232*N20*N7/12)</f>
        <v>760.41666666666663</v>
      </c>
      <c r="O233" s="63">
        <f>MAX(Assumptions!$B$194*O7*365/12,Assumptions!$B$193*O232*O20*O7/12)</f>
        <v>760.41666666666663</v>
      </c>
      <c r="P233" s="63">
        <f>MAX(Assumptions!$B$194*P7*365/12,Assumptions!$B$193*P232*P20*P7/12)</f>
        <v>760.41666666666663</v>
      </c>
      <c r="Q233" s="63">
        <f>MAX(Assumptions!$B$194*Q7*365/12,Assumptions!$B$193*Q232*Q20*Q7/12)</f>
        <v>760.41666666666663</v>
      </c>
      <c r="R233" s="63">
        <f>MAX(Assumptions!$B$194*R7*365/12,Assumptions!$B$193*R232*R20*R7/12)</f>
        <v>760.41666666666663</v>
      </c>
      <c r="S233" s="63">
        <f>MAX(Assumptions!$B$194*S7*365/12,Assumptions!$B$193*S232*S20*S7/12)</f>
        <v>760.41666666666663</v>
      </c>
      <c r="T233" s="63">
        <f>MAX(Assumptions!$B$194*T7*365/12,Assumptions!$B$193*T232*T20*T7/12)</f>
        <v>760.41666666666663</v>
      </c>
      <c r="U233" s="63">
        <f>MAX(Assumptions!$B$194*U7*365/12,Assumptions!$B$193*U232*U20*U7/12)</f>
        <v>760.41666666666663</v>
      </c>
      <c r="V233" s="63">
        <f>MAX(Assumptions!$B$194*V7*365/12,Assumptions!$B$193*V232*V20*V7/12)</f>
        <v>760.41666666666663</v>
      </c>
      <c r="W233" s="63">
        <f>MAX(Assumptions!$B$194*W7*365/12,Assumptions!$B$193*W232*W20*W7/12)</f>
        <v>760.41666666666663</v>
      </c>
      <c r="X233" s="63">
        <f>MAX(Assumptions!$B$194*X7*365/12,Assumptions!$B$193*X232*X20*X7/12)</f>
        <v>760.41666666666663</v>
      </c>
      <c r="Y233" s="63">
        <f>MAX(Assumptions!$B$194*Y7*365/12,Assumptions!$B$193*Y232*Y20*Y7/12)</f>
        <v>760.41666666666663</v>
      </c>
      <c r="Z233" s="63">
        <f>MAX(Assumptions!$B$194*Z7*365/12,Assumptions!$B$193*Z232*Z20*Z7/12)</f>
        <v>760.41666666666663</v>
      </c>
      <c r="AA233" s="63">
        <f>MAX(Assumptions!$B$194*AA7*365/12,Assumptions!$B$193*AA232*AA20*AA7/12)</f>
        <v>11197.725923280033</v>
      </c>
      <c r="AB233" s="63">
        <f>MAX(Assumptions!$B$194*AB7*365/12,Assumptions!$B$193*AB232*AB20*AB7/12)</f>
        <v>25712.943014131681</v>
      </c>
      <c r="AC233" s="63">
        <f>MAX(Assumptions!$B$194*AC7*365/12,Assumptions!$B$193*AC232*AC20*AC7/12)</f>
        <v>48728.490700885952</v>
      </c>
      <c r="AD233" s="63">
        <f>MAX(Assumptions!$B$194*AD7*365/12,Assumptions!$B$193*AD232*AD20*AD7/12)</f>
        <v>78173.779059677589</v>
      </c>
      <c r="AE233" s="63">
        <f>MAX(Assumptions!$B$194*AE7*365/12,Assumptions!$B$193*AE232*AE20*AE7/12)</f>
        <v>110238.19384721424</v>
      </c>
    </row>
    <row r="234" spans="1:31" x14ac:dyDescent="0.25">
      <c r="A234" s="9" t="s">
        <v>679</v>
      </c>
    </row>
    <row r="235" spans="1:31" x14ac:dyDescent="0.25">
      <c r="A235" s="6" t="s">
        <v>680</v>
      </c>
      <c r="B235" s="23" t="s">
        <v>251</v>
      </c>
      <c r="C235" s="69">
        <f t="shared" ref="C235:AE235" si="75">IF(C232=0,0,C233/(C232*C20)*12/C7)</f>
        <v>0.24720768760952447</v>
      </c>
      <c r="D235" s="69">
        <f t="shared" si="75"/>
        <v>0.17135313915649367</v>
      </c>
      <c r="E235" s="69">
        <f t="shared" si="75"/>
        <v>0.11921272259289509</v>
      </c>
      <c r="F235" s="69">
        <f t="shared" si="75"/>
        <v>8.4215586520968125E-2</v>
      </c>
      <c r="G235" s="69">
        <f t="shared" si="75"/>
        <v>6.1963996141712829E-2</v>
      </c>
      <c r="H235" s="69">
        <f t="shared" si="75"/>
        <v>4.7496083084564711E-2</v>
      </c>
      <c r="I235" s="69">
        <f t="shared" si="75"/>
        <v>3.758439299195291E-2</v>
      </c>
      <c r="J235" s="69">
        <f t="shared" si="75"/>
        <v>3.0635564637733977E-2</v>
      </c>
      <c r="K235" s="69">
        <f t="shared" si="75"/>
        <v>2.5491403987176635E-2</v>
      </c>
      <c r="L235" s="69">
        <f t="shared" si="75"/>
        <v>2.1411086667432952E-2</v>
      </c>
      <c r="M235" s="69">
        <f t="shared" si="75"/>
        <v>1.8249232961673828E-2</v>
      </c>
      <c r="N235" s="69">
        <f t="shared" si="75"/>
        <v>1.5791421639051201E-2</v>
      </c>
      <c r="O235" s="69">
        <f t="shared" si="75"/>
        <v>1.2591919236873281E-2</v>
      </c>
      <c r="P235" s="69">
        <f t="shared" si="75"/>
        <v>1.0810728083194211E-2</v>
      </c>
      <c r="Q235" s="69">
        <f t="shared" si="75"/>
        <v>9.3179623228935304E-3</v>
      </c>
      <c r="R235" s="69">
        <f t="shared" si="75"/>
        <v>8.019745894072448E-3</v>
      </c>
      <c r="S235" s="69">
        <f t="shared" si="75"/>
        <v>6.9474087944048826E-3</v>
      </c>
      <c r="T235" s="69">
        <f t="shared" si="75"/>
        <v>6.0793635545590922E-3</v>
      </c>
      <c r="U235" s="69">
        <f t="shared" si="75"/>
        <v>5.3667521518295791E-3</v>
      </c>
      <c r="V235" s="69">
        <f t="shared" si="75"/>
        <v>4.7745860670938703E-3</v>
      </c>
      <c r="W235" s="69">
        <f t="shared" si="75"/>
        <v>4.2718960804318841E-3</v>
      </c>
      <c r="X235" s="69">
        <f t="shared" si="75"/>
        <v>3.8252358778578174E-3</v>
      </c>
      <c r="Y235" s="69">
        <f t="shared" si="75"/>
        <v>3.4405116444453641E-3</v>
      </c>
      <c r="Z235" s="69">
        <f t="shared" si="75"/>
        <v>3.1129031870759096E-3</v>
      </c>
      <c r="AA235" s="69">
        <f t="shared" si="75"/>
        <v>1.2000000000000001E-3</v>
      </c>
      <c r="AB235" s="69">
        <f t="shared" si="75"/>
        <v>1.2000000000000001E-3</v>
      </c>
      <c r="AC235" s="69">
        <f t="shared" si="75"/>
        <v>1.1999999999999999E-3</v>
      </c>
      <c r="AD235" s="69">
        <f t="shared" si="75"/>
        <v>1.1999999999999999E-3</v>
      </c>
      <c r="AE235" s="69">
        <f t="shared" si="75"/>
        <v>1.1999999999999999E-3</v>
      </c>
    </row>
    <row r="236" spans="1:31" x14ac:dyDescent="0.25">
      <c r="A236" s="6" t="s">
        <v>681</v>
      </c>
      <c r="B236" s="23" t="s">
        <v>114</v>
      </c>
      <c r="C236" s="63">
        <f>IF(OR(C6=1,C6=0),Assumptions!$B$195/Assumptions!$B$7,0)</f>
        <v>108917.63104152484</v>
      </c>
      <c r="D236" s="63">
        <f>IF(OR(D6=1,D6=0),Assumptions!$B$195/Assumptions!$B$7,0)</f>
        <v>0</v>
      </c>
      <c r="E236" s="63">
        <f>IF(OR(E6=1,E6=0),Assumptions!$B$195/Assumptions!$B$7,0)</f>
        <v>0</v>
      </c>
      <c r="F236" s="63">
        <f>IF(OR(F6=1,F6=0),Assumptions!$B$195/Assumptions!$B$7,0)</f>
        <v>0</v>
      </c>
      <c r="G236" s="63">
        <f>IF(OR(G6=1,G6=0),Assumptions!$B$195/Assumptions!$B$7,0)</f>
        <v>0</v>
      </c>
      <c r="H236" s="63">
        <f>IF(OR(H6=1,H6=0),Assumptions!$B$195/Assumptions!$B$7,0)</f>
        <v>0</v>
      </c>
      <c r="I236" s="63">
        <f>IF(OR(I6=1,I6=0),Assumptions!$B$195/Assumptions!$B$7,0)</f>
        <v>0</v>
      </c>
      <c r="J236" s="63">
        <f>IF(OR(J6=1,J6=0),Assumptions!$B$195/Assumptions!$B$7,0)</f>
        <v>0</v>
      </c>
      <c r="K236" s="63">
        <f>IF(OR(K6=1,K6=0),Assumptions!$B$195/Assumptions!$B$7,0)</f>
        <v>0</v>
      </c>
      <c r="L236" s="63">
        <f>IF(OR(L6=1,L6=0),Assumptions!$B$195/Assumptions!$B$7,0)</f>
        <v>0</v>
      </c>
      <c r="M236" s="63">
        <f>IF(OR(M6=1,M6=0),Assumptions!$B$195/Assumptions!$B$7,0)</f>
        <v>0</v>
      </c>
      <c r="N236" s="63">
        <f>IF(OR(N6=1,N6=0),Assumptions!$B$195/Assumptions!$B$7,0)</f>
        <v>0</v>
      </c>
      <c r="O236" s="63">
        <f>IF(OR(O6=1,O6=0),Assumptions!$B$195/Assumptions!$B$7,0)</f>
        <v>108917.63104152484</v>
      </c>
      <c r="P236" s="63">
        <f>IF(OR(P6=1,P6=0),Assumptions!$B$195/Assumptions!$B$7,0)</f>
        <v>0</v>
      </c>
      <c r="Q236" s="63">
        <f>IF(OR(Q6=1,Q6=0),Assumptions!$B$195/Assumptions!$B$7,0)</f>
        <v>0</v>
      </c>
      <c r="R236" s="63">
        <f>IF(OR(R6=1,R6=0),Assumptions!$B$195/Assumptions!$B$7,0)</f>
        <v>0</v>
      </c>
      <c r="S236" s="63">
        <f>IF(OR(S6=1,S6=0),Assumptions!$B$195/Assumptions!$B$7,0)</f>
        <v>0</v>
      </c>
      <c r="T236" s="63">
        <f>IF(OR(T6=1,T6=0),Assumptions!$B$195/Assumptions!$B$7,0)</f>
        <v>0</v>
      </c>
      <c r="U236" s="63">
        <f>IF(OR(U6=1,U6=0),Assumptions!$B$195/Assumptions!$B$7,0)</f>
        <v>0</v>
      </c>
      <c r="V236" s="63">
        <f>IF(OR(V6=1,V6=0),Assumptions!$B$195/Assumptions!$B$7,0)</f>
        <v>0</v>
      </c>
      <c r="W236" s="63">
        <f>IF(OR(W6=1,W6=0),Assumptions!$B$195/Assumptions!$B$7,0)</f>
        <v>0</v>
      </c>
      <c r="X236" s="63">
        <f>IF(OR(X6=1,X6=0),Assumptions!$B$195/Assumptions!$B$7,0)</f>
        <v>0</v>
      </c>
      <c r="Y236" s="63">
        <f>IF(OR(Y6=1,Y6=0),Assumptions!$B$195/Assumptions!$B$7,0)</f>
        <v>0</v>
      </c>
      <c r="Z236" s="63">
        <f>IF(OR(Z6=1,Z6=0),Assumptions!$B$195/Assumptions!$B$7,0)</f>
        <v>0</v>
      </c>
      <c r="AA236" s="63">
        <f>IF(OR(AA6=1,AA6=0),Assumptions!$B$195/Assumptions!$B$7,0)</f>
        <v>108917.63104152484</v>
      </c>
      <c r="AB236" s="63">
        <f>IF(OR(AB6=1,AB6=0),Assumptions!$B$195/Assumptions!$B$7,0)</f>
        <v>108917.63104152484</v>
      </c>
      <c r="AC236" s="63">
        <f>IF(OR(AC6=1,AC6=0),Assumptions!$B$195/Assumptions!$B$7,0)</f>
        <v>108917.63104152484</v>
      </c>
      <c r="AD236" s="63">
        <f>IF(OR(AD6=1,AD6=0),Assumptions!$B$195/Assumptions!$B$7,0)</f>
        <v>108917.63104152484</v>
      </c>
      <c r="AE236" s="63">
        <f>IF(OR(AE6=1,AE6=0),Assumptions!$B$195/Assumptions!$B$7,0)</f>
        <v>108917.63104152484</v>
      </c>
    </row>
    <row r="237" spans="1:31" x14ac:dyDescent="0.25">
      <c r="A237" s="9" t="s">
        <v>682</v>
      </c>
    </row>
    <row r="238" spans="1:31" x14ac:dyDescent="0.25">
      <c r="A238" s="6" t="s">
        <v>683</v>
      </c>
      <c r="B238" s="23" t="s">
        <v>114</v>
      </c>
      <c r="C238" s="63">
        <f>IF(OR(C6=1,C6=0),Assumptions!$B$197/Assumptions!$B$7,0)</f>
        <v>5518.039482641253</v>
      </c>
      <c r="D238" s="63">
        <f>IF(OR(D6=1,D6=0),Assumptions!$B$197/Assumptions!$B$7,0)</f>
        <v>0</v>
      </c>
      <c r="E238" s="63">
        <f>IF(OR(E6=1,E6=0),Assumptions!$B$197/Assumptions!$B$7,0)</f>
        <v>0</v>
      </c>
      <c r="F238" s="63">
        <f>IF(OR(F6=1,F6=0),Assumptions!$B$197/Assumptions!$B$7,0)</f>
        <v>0</v>
      </c>
      <c r="G238" s="63">
        <f>IF(OR(G6=1,G6=0),Assumptions!$B$197/Assumptions!$B$7,0)</f>
        <v>0</v>
      </c>
      <c r="H238" s="63">
        <f>IF(OR(H6=1,H6=0),Assumptions!$B$197/Assumptions!$B$7,0)</f>
        <v>0</v>
      </c>
      <c r="I238" s="63">
        <f>IF(OR(I6=1,I6=0),Assumptions!$B$197/Assumptions!$B$7,0)</f>
        <v>0</v>
      </c>
      <c r="J238" s="63">
        <f>IF(OR(J6=1,J6=0),Assumptions!$B$197/Assumptions!$B$7,0)</f>
        <v>0</v>
      </c>
      <c r="K238" s="63">
        <f>IF(OR(K6=1,K6=0),Assumptions!$B$197/Assumptions!$B$7,0)</f>
        <v>0</v>
      </c>
      <c r="L238" s="63">
        <f>IF(OR(L6=1,L6=0),Assumptions!$B$197/Assumptions!$B$7,0)</f>
        <v>0</v>
      </c>
      <c r="M238" s="63">
        <f>IF(OR(M6=1,M6=0),Assumptions!$B$197/Assumptions!$B$7,0)</f>
        <v>0</v>
      </c>
      <c r="N238" s="63">
        <f>IF(OR(N6=1,N6=0),Assumptions!$B$197/Assumptions!$B$7,0)</f>
        <v>0</v>
      </c>
      <c r="O238" s="63">
        <f>IF(OR(O6=1,O6=0),Assumptions!$B$197/Assumptions!$B$7,0)</f>
        <v>5518.039482641253</v>
      </c>
      <c r="P238" s="63">
        <f>IF(OR(P6=1,P6=0),Assumptions!$B$197/Assumptions!$B$7,0)</f>
        <v>0</v>
      </c>
      <c r="Q238" s="63">
        <f>IF(OR(Q6=1,Q6=0),Assumptions!$B$197/Assumptions!$B$7,0)</f>
        <v>0</v>
      </c>
      <c r="R238" s="63">
        <f>IF(OR(R6=1,R6=0),Assumptions!$B$197/Assumptions!$B$7,0)</f>
        <v>0</v>
      </c>
      <c r="S238" s="63">
        <f>IF(OR(S6=1,S6=0),Assumptions!$B$197/Assumptions!$B$7,0)</f>
        <v>0</v>
      </c>
      <c r="T238" s="63">
        <f>IF(OR(T6=1,T6=0),Assumptions!$B$197/Assumptions!$B$7,0)</f>
        <v>0</v>
      </c>
      <c r="U238" s="63">
        <f>IF(OR(U6=1,U6=0),Assumptions!$B$197/Assumptions!$B$7,0)</f>
        <v>0</v>
      </c>
      <c r="V238" s="63">
        <f>IF(OR(V6=1,V6=0),Assumptions!$B$197/Assumptions!$B$7,0)</f>
        <v>0</v>
      </c>
      <c r="W238" s="63">
        <f>IF(OR(W6=1,W6=0),Assumptions!$B$197/Assumptions!$B$7,0)</f>
        <v>0</v>
      </c>
      <c r="X238" s="63">
        <f>IF(OR(X6=1,X6=0),Assumptions!$B$197/Assumptions!$B$7,0)</f>
        <v>0</v>
      </c>
      <c r="Y238" s="63">
        <f>IF(OR(Y6=1,Y6=0),Assumptions!$B$197/Assumptions!$B$7,0)</f>
        <v>0</v>
      </c>
      <c r="Z238" s="63">
        <f>IF(OR(Z6=1,Z6=0),Assumptions!$B$197/Assumptions!$B$7,0)</f>
        <v>0</v>
      </c>
      <c r="AA238" s="63">
        <f>IF(OR(AA6=1,AA6=0),Assumptions!$B$197/Assumptions!$B$7,0)</f>
        <v>5518.039482641253</v>
      </c>
      <c r="AB238" s="63">
        <f>IF(OR(AB6=1,AB6=0),Assumptions!$B$197/Assumptions!$B$7,0)</f>
        <v>5518.039482641253</v>
      </c>
      <c r="AC238" s="63">
        <f>IF(OR(AC6=1,AC6=0),Assumptions!$B$197/Assumptions!$B$7,0)</f>
        <v>5518.039482641253</v>
      </c>
      <c r="AD238" s="63">
        <f>IF(OR(AD6=1,AD6=0),Assumptions!$B$197/Assumptions!$B$7,0)</f>
        <v>5518.039482641253</v>
      </c>
      <c r="AE238" s="63">
        <f>IF(OR(AE6=1,AE6=0),Assumptions!$B$197/Assumptions!$B$7,0)</f>
        <v>5518.039482641253</v>
      </c>
    </row>
    <row r="239" spans="1:31" x14ac:dyDescent="0.25">
      <c r="A239" s="6" t="s">
        <v>684</v>
      </c>
      <c r="B239" s="23" t="s">
        <v>114</v>
      </c>
      <c r="C239" s="63">
        <f>MAX(Assumptions!$B$226*C7,Assumptions!$B$199*C162)</f>
        <v>514.99157352941177</v>
      </c>
      <c r="D239" s="63">
        <f>MAX(Assumptions!$B$226*D7,Assumptions!$B$199*D162)</f>
        <v>488.87308917885014</v>
      </c>
      <c r="E239" s="63">
        <f>MAX(Assumptions!$B$226*E7,Assumptions!$B$199*E162)</f>
        <v>467.93593115171296</v>
      </c>
      <c r="F239" s="63">
        <f>MAX(Assumptions!$B$226*F7,Assumptions!$B$199*F162)</f>
        <v>584.24108779192215</v>
      </c>
      <c r="G239" s="63">
        <f>MAX(Assumptions!$B$226*G7,Assumptions!$B$199*G162)</f>
        <v>527.59079160572423</v>
      </c>
      <c r="H239" s="63">
        <f>MAX(Assumptions!$B$226*H7,Assumptions!$B$199*H162)</f>
        <v>445.8374986069179</v>
      </c>
      <c r="I239" s="63">
        <f>MAX(Assumptions!$B$226*I7,Assumptions!$B$199*I162)</f>
        <v>430.16068322185856</v>
      </c>
      <c r="J239" s="63">
        <f>MAX(Assumptions!$B$226*J7,Assumptions!$B$199*J162)</f>
        <v>429.69973910033497</v>
      </c>
      <c r="K239" s="63">
        <f>MAX(Assumptions!$B$226*K7,Assumptions!$B$199*K162)</f>
        <v>469.63834901004316</v>
      </c>
      <c r="L239" s="63">
        <f>MAX(Assumptions!$B$226*L7,Assumptions!$B$199*L162)</f>
        <v>630.49447149363471</v>
      </c>
      <c r="M239" s="63">
        <f>MAX(Assumptions!$B$226*M7,Assumptions!$B$199*M162)</f>
        <v>579.14123036905335</v>
      </c>
      <c r="N239" s="63">
        <f>MAX(Assumptions!$B$226*N7,Assumptions!$B$199*N162)</f>
        <v>507.90013430772757</v>
      </c>
      <c r="O239" s="63">
        <f>MAX(Assumptions!$B$226*O7,Assumptions!$B$199*O162)</f>
        <v>1425.0107132211419</v>
      </c>
      <c r="P239" s="63">
        <f>MAX(Assumptions!$B$226*P7,Assumptions!$B$199*P162)</f>
        <v>1384.9694522866407</v>
      </c>
      <c r="Q239" s="63">
        <f>MAX(Assumptions!$B$226*Q7,Assumptions!$B$199*Q162)</f>
        <v>1353.7426619148055</v>
      </c>
      <c r="R239" s="63">
        <f>MAX(Assumptions!$B$226*R7,Assumptions!$B$199*R162)</f>
        <v>1722.3065619580805</v>
      </c>
      <c r="S239" s="63">
        <f>MAX(Assumptions!$B$226*S7,Assumptions!$B$199*S162)</f>
        <v>1593.326737918881</v>
      </c>
      <c r="T239" s="63">
        <f>MAX(Assumptions!$B$226*T7,Assumptions!$B$199*T162)</f>
        <v>1373.5614282700431</v>
      </c>
      <c r="U239" s="63">
        <f>MAX(Assumptions!$B$226*U7,Assumptions!$B$199*U162)</f>
        <v>1344.7736886092748</v>
      </c>
      <c r="V239" s="63">
        <f>MAX(Assumptions!$B$226*V7,Assumptions!$B$199*V162)</f>
        <v>1361.0154829028127</v>
      </c>
      <c r="W239" s="63">
        <f>MAX(Assumptions!$B$226*W7,Assumptions!$B$199*W162)</f>
        <v>1506.1186701272645</v>
      </c>
      <c r="X239" s="63">
        <f>MAX(Assumptions!$B$226*X7,Assumptions!$B$199*X162)</f>
        <v>2050.4056499671183</v>
      </c>
      <c r="Y239" s="63">
        <f>MAX(Assumptions!$B$226*Y7,Assumptions!$B$199*Y162)</f>
        <v>1924.8659272899704</v>
      </c>
      <c r="Z239" s="63">
        <f>MAX(Assumptions!$B$226*Z7,Assumptions!$B$199*Z162)</f>
        <v>1718.8287272205373</v>
      </c>
      <c r="AA239" s="63">
        <f>MAX(Assumptions!$B$226*AA7,Assumptions!$B$199*AA162)</f>
        <v>28958.761971304211</v>
      </c>
      <c r="AB239" s="63">
        <f>MAX(Assumptions!$B$226*AB7,Assumptions!$B$199*AB162)</f>
        <v>55988.838805629384</v>
      </c>
      <c r="AC239" s="63">
        <f>MAX(Assumptions!$B$226*AC7,Assumptions!$B$199*AC162)</f>
        <v>82346.172537513878</v>
      </c>
      <c r="AD239" s="63">
        <f>MAX(Assumptions!$B$226*AD7,Assumptions!$B$199*AD162)</f>
        <v>92606.470794059816</v>
      </c>
      <c r="AE239" s="63">
        <f>MAX(Assumptions!$B$226*AE7,Assumptions!$B$199*AE162)</f>
        <v>88679.776836843419</v>
      </c>
    </row>
    <row r="240" spans="1:31" x14ac:dyDescent="0.25">
      <c r="A240" s="9" t="s">
        <v>685</v>
      </c>
    </row>
    <row r="241" spans="1:31" x14ac:dyDescent="0.25">
      <c r="A241" s="6" t="s">
        <v>686</v>
      </c>
      <c r="B241" s="23" t="s">
        <v>114</v>
      </c>
      <c r="C241" s="63">
        <f>IF(C2=1,(Assumptions!$B$196+Assumptions!$B$198)/Assumptions!$B$7+Assumptions!$B$206,0)</f>
        <v>84121.170864533691</v>
      </c>
      <c r="D241" s="63">
        <f>IF(D2=1,(Assumptions!$B$196+Assumptions!$B$198)/Assumptions!$B$7+Assumptions!$B$206,0)</f>
        <v>0</v>
      </c>
      <c r="E241" s="63">
        <f>IF(E2=1,(Assumptions!$B$196+Assumptions!$B$198)/Assumptions!$B$7+Assumptions!$B$206,0)</f>
        <v>0</v>
      </c>
      <c r="F241" s="63">
        <f>IF(F2=1,(Assumptions!$B$196+Assumptions!$B$198)/Assumptions!$B$7+Assumptions!$B$206,0)</f>
        <v>0</v>
      </c>
      <c r="G241" s="63">
        <f>IF(G2=1,(Assumptions!$B$196+Assumptions!$B$198)/Assumptions!$B$7+Assumptions!$B$206,0)</f>
        <v>0</v>
      </c>
      <c r="H241" s="63">
        <f>IF(H2=1,(Assumptions!$B$196+Assumptions!$B$198)/Assumptions!$B$7+Assumptions!$B$206,0)</f>
        <v>0</v>
      </c>
      <c r="I241" s="63">
        <f>IF(I2=1,(Assumptions!$B$196+Assumptions!$B$198)/Assumptions!$B$7+Assumptions!$B$206,0)</f>
        <v>0</v>
      </c>
      <c r="J241" s="63">
        <f>IF(J2=1,(Assumptions!$B$196+Assumptions!$B$198)/Assumptions!$B$7+Assumptions!$B$206,0)</f>
        <v>0</v>
      </c>
      <c r="K241" s="63">
        <f>IF(K2=1,(Assumptions!$B$196+Assumptions!$B$198)/Assumptions!$B$7+Assumptions!$B$206,0)</f>
        <v>0</v>
      </c>
      <c r="L241" s="63">
        <f>IF(L2=1,(Assumptions!$B$196+Assumptions!$B$198)/Assumptions!$B$7+Assumptions!$B$206,0)</f>
        <v>0</v>
      </c>
      <c r="M241" s="63">
        <f>IF(M2=1,(Assumptions!$B$196+Assumptions!$B$198)/Assumptions!$B$7+Assumptions!$B$206,0)</f>
        <v>0</v>
      </c>
      <c r="N241" s="63">
        <f>IF(N2=1,(Assumptions!$B$196+Assumptions!$B$198)/Assumptions!$B$7+Assumptions!$B$206,0)</f>
        <v>0</v>
      </c>
      <c r="O241" s="63">
        <f>IF(O2=1,(Assumptions!$B$196+Assumptions!$B$198)/Assumptions!$B$7+Assumptions!$B$206,0)</f>
        <v>0</v>
      </c>
      <c r="P241" s="63">
        <f>IF(P2=1,(Assumptions!$B$196+Assumptions!$B$198)/Assumptions!$B$7+Assumptions!$B$206,0)</f>
        <v>0</v>
      </c>
      <c r="Q241" s="63">
        <f>IF(Q2=1,(Assumptions!$B$196+Assumptions!$B$198)/Assumptions!$B$7+Assumptions!$B$206,0)</f>
        <v>0</v>
      </c>
      <c r="R241" s="63">
        <f>IF(R2=1,(Assumptions!$B$196+Assumptions!$B$198)/Assumptions!$B$7+Assumptions!$B$206,0)</f>
        <v>0</v>
      </c>
      <c r="S241" s="63">
        <f>IF(S2=1,(Assumptions!$B$196+Assumptions!$B$198)/Assumptions!$B$7+Assumptions!$B$206,0)</f>
        <v>0</v>
      </c>
      <c r="T241" s="63">
        <f>IF(T2=1,(Assumptions!$B$196+Assumptions!$B$198)/Assumptions!$B$7+Assumptions!$B$206,0)</f>
        <v>0</v>
      </c>
      <c r="U241" s="63">
        <f>IF(U2=1,(Assumptions!$B$196+Assumptions!$B$198)/Assumptions!$B$7+Assumptions!$B$206,0)</f>
        <v>0</v>
      </c>
      <c r="V241" s="63">
        <f>IF(V2=1,(Assumptions!$B$196+Assumptions!$B$198)/Assumptions!$B$7+Assumptions!$B$206,0)</f>
        <v>0</v>
      </c>
      <c r="W241" s="63">
        <f>IF(W2=1,(Assumptions!$B$196+Assumptions!$B$198)/Assumptions!$B$7+Assumptions!$B$206,0)</f>
        <v>0</v>
      </c>
      <c r="X241" s="63">
        <f>IF(X2=1,(Assumptions!$B$196+Assumptions!$B$198)/Assumptions!$B$7+Assumptions!$B$206,0)</f>
        <v>0</v>
      </c>
      <c r="Y241" s="63">
        <f>IF(Y2=1,(Assumptions!$B$196+Assumptions!$B$198)/Assumptions!$B$7+Assumptions!$B$206,0)</f>
        <v>0</v>
      </c>
      <c r="Z241" s="63">
        <f>IF(Z2=1,(Assumptions!$B$196+Assumptions!$B$198)/Assumptions!$B$7+Assumptions!$B$206,0)</f>
        <v>0</v>
      </c>
      <c r="AA241" s="63">
        <f>IF(AA2=1,(Assumptions!$B$196+Assumptions!$B$198)/Assumptions!$B$7+Assumptions!$B$206,0)</f>
        <v>0</v>
      </c>
      <c r="AB241" s="63">
        <f>IF(AB2=1,(Assumptions!$B$196+Assumptions!$B$198)/Assumptions!$B$7+Assumptions!$B$206,0)</f>
        <v>0</v>
      </c>
      <c r="AC241" s="63">
        <f>IF(AC2=1,(Assumptions!$B$196+Assumptions!$B$198)/Assumptions!$B$7+Assumptions!$B$206,0)</f>
        <v>0</v>
      </c>
      <c r="AD241" s="63">
        <f>IF(AD2=1,(Assumptions!$B$196+Assumptions!$B$198)/Assumptions!$B$7+Assumptions!$B$206,0)</f>
        <v>0</v>
      </c>
      <c r="AE241" s="63">
        <f>IF(AE2=1,(Assumptions!$B$196+Assumptions!$B$198)/Assumptions!$B$7+Assumptions!$B$206,0)</f>
        <v>0</v>
      </c>
    </row>
    <row r="242" spans="1:31" x14ac:dyDescent="0.25">
      <c r="A242" s="9" t="s">
        <v>687</v>
      </c>
    </row>
    <row r="243" spans="1:31" x14ac:dyDescent="0.25">
      <c r="A243" s="6" t="s">
        <v>688</v>
      </c>
      <c r="B243" s="23" t="s">
        <v>114</v>
      </c>
      <c r="C243" s="63">
        <f>Assumptions!$B$203*C7/12</f>
        <v>3750</v>
      </c>
      <c r="D243" s="63">
        <f>Assumptions!$B$203*D7/12</f>
        <v>3750</v>
      </c>
      <c r="E243" s="63">
        <f>Assumptions!$B$203*E7/12</f>
        <v>3750</v>
      </c>
      <c r="F243" s="63">
        <f>Assumptions!$B$203*F7/12</f>
        <v>3750</v>
      </c>
      <c r="G243" s="63">
        <f>Assumptions!$B$203*G7/12</f>
        <v>3750</v>
      </c>
      <c r="H243" s="63">
        <f>Assumptions!$B$203*H7/12</f>
        <v>3750</v>
      </c>
      <c r="I243" s="63">
        <f>Assumptions!$B$203*I7/12</f>
        <v>3750</v>
      </c>
      <c r="J243" s="63">
        <f>Assumptions!$B$203*J7/12</f>
        <v>3750</v>
      </c>
      <c r="K243" s="63">
        <f>Assumptions!$B$203*K7/12</f>
        <v>3750</v>
      </c>
      <c r="L243" s="63">
        <f>Assumptions!$B$203*L7/12</f>
        <v>3750</v>
      </c>
      <c r="M243" s="63">
        <f>Assumptions!$B$203*M7/12</f>
        <v>3750</v>
      </c>
      <c r="N243" s="63">
        <f>Assumptions!$B$203*N7/12</f>
        <v>3750</v>
      </c>
      <c r="O243" s="63">
        <f>Assumptions!$B$203*O7/12</f>
        <v>3750</v>
      </c>
      <c r="P243" s="63">
        <f>Assumptions!$B$203*P7/12</f>
        <v>3750</v>
      </c>
      <c r="Q243" s="63">
        <f>Assumptions!$B$203*Q7/12</f>
        <v>3750</v>
      </c>
      <c r="R243" s="63">
        <f>Assumptions!$B$203*R7/12</f>
        <v>3750</v>
      </c>
      <c r="S243" s="63">
        <f>Assumptions!$B$203*S7/12</f>
        <v>3750</v>
      </c>
      <c r="T243" s="63">
        <f>Assumptions!$B$203*T7/12</f>
        <v>3750</v>
      </c>
      <c r="U243" s="63">
        <f>Assumptions!$B$203*U7/12</f>
        <v>3750</v>
      </c>
      <c r="V243" s="63">
        <f>Assumptions!$B$203*V7/12</f>
        <v>3750</v>
      </c>
      <c r="W243" s="63">
        <f>Assumptions!$B$203*W7/12</f>
        <v>3750</v>
      </c>
      <c r="X243" s="63">
        <f>Assumptions!$B$203*X7/12</f>
        <v>3750</v>
      </c>
      <c r="Y243" s="63">
        <f>Assumptions!$B$203*Y7/12</f>
        <v>3750</v>
      </c>
      <c r="Z243" s="63">
        <f>Assumptions!$B$203*Z7/12</f>
        <v>3750</v>
      </c>
      <c r="AA243" s="63">
        <f>Assumptions!$B$203*AA7/12</f>
        <v>45000</v>
      </c>
      <c r="AB243" s="63">
        <f>Assumptions!$B$203*AB7/12</f>
        <v>45000</v>
      </c>
      <c r="AC243" s="63">
        <f>Assumptions!$B$203*AC7/12</f>
        <v>45000</v>
      </c>
      <c r="AD243" s="63">
        <f>Assumptions!$B$203*AD7/12</f>
        <v>45000</v>
      </c>
      <c r="AE243" s="63">
        <f>Assumptions!$B$203*AE7/12</f>
        <v>45000</v>
      </c>
    </row>
    <row r="244" spans="1:31" x14ac:dyDescent="0.25">
      <c r="A244" s="9" t="s">
        <v>689</v>
      </c>
    </row>
    <row r="245" spans="1:31" x14ac:dyDescent="0.25">
      <c r="A245" s="6" t="s">
        <v>690</v>
      </c>
      <c r="B245" s="23" t="s">
        <v>114</v>
      </c>
      <c r="C245" s="63">
        <f>Assumptions!$B$204*C7/12</f>
        <v>2083.3333333333335</v>
      </c>
      <c r="D245" s="63">
        <f>Assumptions!$B$204*D7/12</f>
        <v>2083.3333333333335</v>
      </c>
      <c r="E245" s="63">
        <f>Assumptions!$B$204*E7/12</f>
        <v>2083.3333333333335</v>
      </c>
      <c r="F245" s="63">
        <f>Assumptions!$B$204*F7/12</f>
        <v>2083.3333333333335</v>
      </c>
      <c r="G245" s="63">
        <f>Assumptions!$B$204*G7/12</f>
        <v>2083.3333333333335</v>
      </c>
      <c r="H245" s="63">
        <f>Assumptions!$B$204*H7/12</f>
        <v>2083.3333333333335</v>
      </c>
      <c r="I245" s="63">
        <f>Assumptions!$B$204*I7/12</f>
        <v>2083.3333333333335</v>
      </c>
      <c r="J245" s="63">
        <f>Assumptions!$B$204*J7/12</f>
        <v>2083.3333333333335</v>
      </c>
      <c r="K245" s="63">
        <f>Assumptions!$B$204*K7/12</f>
        <v>2083.3333333333335</v>
      </c>
      <c r="L245" s="63">
        <f>Assumptions!$B$204*L7/12</f>
        <v>2083.3333333333335</v>
      </c>
      <c r="M245" s="63">
        <f>Assumptions!$B$204*M7/12</f>
        <v>2083.3333333333335</v>
      </c>
      <c r="N245" s="63">
        <f>Assumptions!$B$204*N7/12</f>
        <v>2083.3333333333335</v>
      </c>
      <c r="O245" s="63">
        <f>Assumptions!$B$204*O7/12</f>
        <v>2083.3333333333335</v>
      </c>
      <c r="P245" s="63">
        <f>Assumptions!$B$204*P7/12</f>
        <v>2083.3333333333335</v>
      </c>
      <c r="Q245" s="63">
        <f>Assumptions!$B$204*Q7/12</f>
        <v>2083.3333333333335</v>
      </c>
      <c r="R245" s="63">
        <f>Assumptions!$B$204*R7/12</f>
        <v>2083.3333333333335</v>
      </c>
      <c r="S245" s="63">
        <f>Assumptions!$B$204*S7/12</f>
        <v>2083.3333333333335</v>
      </c>
      <c r="T245" s="63">
        <f>Assumptions!$B$204*T7/12</f>
        <v>2083.3333333333335</v>
      </c>
      <c r="U245" s="63">
        <f>Assumptions!$B$204*U7/12</f>
        <v>2083.3333333333335</v>
      </c>
      <c r="V245" s="63">
        <f>Assumptions!$B$204*V7/12</f>
        <v>2083.3333333333335</v>
      </c>
      <c r="W245" s="63">
        <f>Assumptions!$B$204*W7/12</f>
        <v>2083.3333333333335</v>
      </c>
      <c r="X245" s="63">
        <f>Assumptions!$B$204*X7/12</f>
        <v>2083.3333333333335</v>
      </c>
      <c r="Y245" s="63">
        <f>Assumptions!$B$204*Y7/12</f>
        <v>2083.3333333333335</v>
      </c>
      <c r="Z245" s="63">
        <f>Assumptions!$B$204*Z7/12</f>
        <v>2083.3333333333335</v>
      </c>
      <c r="AA245" s="63">
        <f>Assumptions!$B$204*AA7/12</f>
        <v>25000</v>
      </c>
      <c r="AB245" s="63">
        <f>Assumptions!$B$204*AB7/12</f>
        <v>25000</v>
      </c>
      <c r="AC245" s="63">
        <f>Assumptions!$B$204*AC7/12</f>
        <v>25000</v>
      </c>
      <c r="AD245" s="63">
        <f>Assumptions!$B$204*AD7/12</f>
        <v>25000</v>
      </c>
      <c r="AE245" s="63">
        <f>Assumptions!$B$204*AE7/12</f>
        <v>25000</v>
      </c>
    </row>
    <row r="246" spans="1:31" x14ac:dyDescent="0.25">
      <c r="A246" s="9" t="s">
        <v>691</v>
      </c>
    </row>
    <row r="247" spans="1:31" x14ac:dyDescent="0.25">
      <c r="A247" s="6" t="s">
        <v>692</v>
      </c>
      <c r="B247" s="23" t="s">
        <v>114</v>
      </c>
      <c r="C247" s="63">
        <f>Assumptions!$B$205*C7/12</f>
        <v>1250</v>
      </c>
      <c r="D247" s="63">
        <f>Assumptions!$B$205*D7/12</f>
        <v>1250</v>
      </c>
      <c r="E247" s="63">
        <f>Assumptions!$B$205*E7/12</f>
        <v>1250</v>
      </c>
      <c r="F247" s="63">
        <f>Assumptions!$B$205*F7/12</f>
        <v>1250</v>
      </c>
      <c r="G247" s="63">
        <f>Assumptions!$B$205*G7/12</f>
        <v>1250</v>
      </c>
      <c r="H247" s="63">
        <f>Assumptions!$B$205*H7/12</f>
        <v>1250</v>
      </c>
      <c r="I247" s="63">
        <f>Assumptions!$B$205*I7/12</f>
        <v>1250</v>
      </c>
      <c r="J247" s="63">
        <f>Assumptions!$B$205*J7/12</f>
        <v>1250</v>
      </c>
      <c r="K247" s="63">
        <f>Assumptions!$B$205*K7/12</f>
        <v>1250</v>
      </c>
      <c r="L247" s="63">
        <f>Assumptions!$B$205*L7/12</f>
        <v>1250</v>
      </c>
      <c r="M247" s="63">
        <f>Assumptions!$B$205*M7/12</f>
        <v>1250</v>
      </c>
      <c r="N247" s="63">
        <f>Assumptions!$B$205*N7/12</f>
        <v>1250</v>
      </c>
      <c r="O247" s="63">
        <f>Assumptions!$B$205*O7/12</f>
        <v>1250</v>
      </c>
      <c r="P247" s="63">
        <f>Assumptions!$B$205*P7/12</f>
        <v>1250</v>
      </c>
      <c r="Q247" s="63">
        <f>Assumptions!$B$205*Q7/12</f>
        <v>1250</v>
      </c>
      <c r="R247" s="63">
        <f>Assumptions!$B$205*R7/12</f>
        <v>1250</v>
      </c>
      <c r="S247" s="63">
        <f>Assumptions!$B$205*S7/12</f>
        <v>1250</v>
      </c>
      <c r="T247" s="63">
        <f>Assumptions!$B$205*T7/12</f>
        <v>1250</v>
      </c>
      <c r="U247" s="63">
        <f>Assumptions!$B$205*U7/12</f>
        <v>1250</v>
      </c>
      <c r="V247" s="63">
        <f>Assumptions!$B$205*V7/12</f>
        <v>1250</v>
      </c>
      <c r="W247" s="63">
        <f>Assumptions!$B$205*W7/12</f>
        <v>1250</v>
      </c>
      <c r="X247" s="63">
        <f>Assumptions!$B$205*X7/12</f>
        <v>1250</v>
      </c>
      <c r="Y247" s="63">
        <f>Assumptions!$B$205*Y7/12</f>
        <v>1250</v>
      </c>
      <c r="Z247" s="63">
        <f>Assumptions!$B$205*Z7/12</f>
        <v>1250</v>
      </c>
      <c r="AA247" s="63">
        <f>Assumptions!$B$205*AA7/12</f>
        <v>15000</v>
      </c>
      <c r="AB247" s="63">
        <f>Assumptions!$B$205*AB7/12</f>
        <v>15000</v>
      </c>
      <c r="AC247" s="63">
        <f>Assumptions!$B$205*AC7/12</f>
        <v>15000</v>
      </c>
      <c r="AD247" s="63">
        <f>Assumptions!$B$205*AD7/12</f>
        <v>15000</v>
      </c>
      <c r="AE247" s="63">
        <f>Assumptions!$B$205*AE7/12</f>
        <v>15000</v>
      </c>
    </row>
    <row r="248" spans="1:31" x14ac:dyDescent="0.25">
      <c r="A248" s="9" t="s">
        <v>693</v>
      </c>
    </row>
    <row r="249" spans="1:31" x14ac:dyDescent="0.25">
      <c r="A249" s="6" t="s">
        <v>694</v>
      </c>
      <c r="B249" s="23" t="s">
        <v>114</v>
      </c>
      <c r="C249" s="63">
        <f>C195*Assumptions!$B$43</f>
        <v>2.612967620362086</v>
      </c>
      <c r="D249" s="63">
        <f>D195*Assumptions!$B$43</f>
        <v>5.1666522463592983</v>
      </c>
      <c r="E249" s="63">
        <f>E195*Assumptions!$B$43</f>
        <v>7.6800693468022398</v>
      </c>
      <c r="F249" s="63">
        <f>F195*Assumptions!$B$43</f>
        <v>10.843376626238982</v>
      </c>
      <c r="G249" s="63">
        <f>G195*Assumptions!$B$43</f>
        <v>13.792666104780285</v>
      </c>
      <c r="H249" s="63">
        <f>H195*Assumptions!$B$43</f>
        <v>16.388945877698617</v>
      </c>
      <c r="I249" s="63">
        <f>I195*Assumptions!$B$43</f>
        <v>18.952846072079126</v>
      </c>
      <c r="J249" s="63">
        <f>J195*Assumptions!$B$43</f>
        <v>21.557047660577361</v>
      </c>
      <c r="K249" s="63">
        <f>K195*Assumptions!$B$43</f>
        <v>24.404392341880804</v>
      </c>
      <c r="L249" s="63">
        <f>L195*Assumptions!$B$43</f>
        <v>28.112103492193651</v>
      </c>
      <c r="M249" s="63">
        <f>M195*Assumptions!$B$43</f>
        <v>31.624198518515811</v>
      </c>
      <c r="N249" s="63">
        <f>N195*Assumptions!$B$43</f>
        <v>34.829311289099941</v>
      </c>
      <c r="O249" s="63">
        <f>O195*Assumptions!$B$43</f>
        <v>42.729368044679838</v>
      </c>
      <c r="P249" s="63">
        <f>P195*Assumptions!$B$43</f>
        <v>50.596361448610921</v>
      </c>
      <c r="Q249" s="63">
        <f>Q195*Assumptions!$B$43</f>
        <v>58.461053514283776</v>
      </c>
      <c r="R249" s="63">
        <f>R195*Assumptions!$B$43</f>
        <v>68.339875957894122</v>
      </c>
      <c r="S249" s="63">
        <f>S195*Assumptions!$B$43</f>
        <v>77.753798239896696</v>
      </c>
      <c r="T249" s="63">
        <f>T195*Assumptions!$B$43</f>
        <v>86.214639670459022</v>
      </c>
      <c r="U249" s="63">
        <f>U195*Assumptions!$B$43</f>
        <v>94.652259196326114</v>
      </c>
      <c r="V249" s="63">
        <f>V195*Assumptions!$B$43</f>
        <v>103.28506405949324</v>
      </c>
      <c r="W249" s="63">
        <f>W195*Assumptions!$B$43</f>
        <v>112.76370090069321</v>
      </c>
      <c r="X249" s="63">
        <f>X195*Assumptions!$B$43</f>
        <v>125.12885946451408</v>
      </c>
      <c r="Y249" s="63">
        <f>Y195*Assumptions!$B$43</f>
        <v>137.0533011410634</v>
      </c>
      <c r="Z249" s="63">
        <f>Z195*Assumptions!$B$43</f>
        <v>148.10120680529261</v>
      </c>
      <c r="AA249" s="63">
        <f>AA195*Assumptions!$B$43</f>
        <v>4057.2495661105595</v>
      </c>
      <c r="AB249" s="63">
        <f>AB195*Assumptions!$B$43</f>
        <v>8435.517262082707</v>
      </c>
      <c r="AC249" s="63">
        <f>AC195*Assumptions!$B$43</f>
        <v>15088.889982764893</v>
      </c>
      <c r="AD249" s="63">
        <f>AD195*Assumptions!$B$43</f>
        <v>23016.655595122655</v>
      </c>
      <c r="AE249" s="63">
        <f>AE195*Assumptions!$B$43</f>
        <v>31105.3997107553</v>
      </c>
    </row>
    <row r="250" spans="1:31" x14ac:dyDescent="0.25">
      <c r="A250" s="9" t="s">
        <v>695</v>
      </c>
    </row>
    <row r="251" spans="1:31" x14ac:dyDescent="0.25">
      <c r="A251" s="6" t="s">
        <v>696</v>
      </c>
      <c r="B251" s="23" t="s">
        <v>114</v>
      </c>
      <c r="C251" s="63">
        <f>IF(C5=1,Assumptions!$B$222/12*C7,IF(C5=2,Assumptions!$B$223/12*C7,0))</f>
        <v>29166.666666666668</v>
      </c>
      <c r="D251" s="63">
        <f>IF(D5=1,Assumptions!$B$222/12*D7,IF(D5=2,Assumptions!$B$223/12*D7,0))</f>
        <v>29166.666666666668</v>
      </c>
      <c r="E251" s="63">
        <f>IF(E5=1,Assumptions!$B$222/12*E7,IF(E5=2,Assumptions!$B$223/12*E7,0))</f>
        <v>29166.666666666668</v>
      </c>
      <c r="F251" s="63">
        <f>IF(F5=1,Assumptions!$B$222/12*F7,IF(F5=2,Assumptions!$B$223/12*F7,0))</f>
        <v>29166.666666666668</v>
      </c>
      <c r="G251" s="63">
        <f>IF(G5=1,Assumptions!$B$222/12*G7,IF(G5=2,Assumptions!$B$223/12*G7,0))</f>
        <v>29166.666666666668</v>
      </c>
      <c r="H251" s="63">
        <f>IF(H5=1,Assumptions!$B$222/12*H7,IF(H5=2,Assumptions!$B$223/12*H7,0))</f>
        <v>29166.666666666668</v>
      </c>
      <c r="I251" s="63">
        <f>IF(I5=1,Assumptions!$B$222/12*I7,IF(I5=2,Assumptions!$B$223/12*I7,0))</f>
        <v>29166.666666666668</v>
      </c>
      <c r="J251" s="63">
        <f>IF(J5=1,Assumptions!$B$222/12*J7,IF(J5=2,Assumptions!$B$223/12*J7,0))</f>
        <v>29166.666666666668</v>
      </c>
      <c r="K251" s="63">
        <f>IF(K5=1,Assumptions!$B$222/12*K7,IF(K5=2,Assumptions!$B$223/12*K7,0))</f>
        <v>29166.666666666668</v>
      </c>
      <c r="L251" s="63">
        <f>IF(L5=1,Assumptions!$B$222/12*L7,IF(L5=2,Assumptions!$B$223/12*L7,0))</f>
        <v>29166.666666666668</v>
      </c>
      <c r="M251" s="63">
        <f>IF(M5=1,Assumptions!$B$222/12*M7,IF(M5=2,Assumptions!$B$223/12*M7,0))</f>
        <v>29166.666666666668</v>
      </c>
      <c r="N251" s="63">
        <f>IF(N5=1,Assumptions!$B$222/12*N7,IF(N5=2,Assumptions!$B$223/12*N7,0))</f>
        <v>29166.666666666668</v>
      </c>
      <c r="O251" s="63">
        <f>IF(O5=1,Assumptions!$B$222/12*O7,IF(O5=2,Assumptions!$B$223/12*O7,0))</f>
        <v>12500</v>
      </c>
      <c r="P251" s="63">
        <f>IF(P5=1,Assumptions!$B$222/12*P7,IF(P5=2,Assumptions!$B$223/12*P7,0))</f>
        <v>12500</v>
      </c>
      <c r="Q251" s="63">
        <f>IF(Q5=1,Assumptions!$B$222/12*Q7,IF(Q5=2,Assumptions!$B$223/12*Q7,0))</f>
        <v>12500</v>
      </c>
      <c r="R251" s="63">
        <f>IF(R5=1,Assumptions!$B$222/12*R7,IF(R5=2,Assumptions!$B$223/12*R7,0))</f>
        <v>12500</v>
      </c>
      <c r="S251" s="63">
        <f>IF(S5=1,Assumptions!$B$222/12*S7,IF(S5=2,Assumptions!$B$223/12*S7,0))</f>
        <v>12500</v>
      </c>
      <c r="T251" s="63">
        <f>IF(T5=1,Assumptions!$B$222/12*T7,IF(T5=2,Assumptions!$B$223/12*T7,0))</f>
        <v>12500</v>
      </c>
      <c r="U251" s="63">
        <f>IF(U5=1,Assumptions!$B$222/12*U7,IF(U5=2,Assumptions!$B$223/12*U7,0))</f>
        <v>12500</v>
      </c>
      <c r="V251" s="63">
        <f>IF(V5=1,Assumptions!$B$222/12*V7,IF(V5=2,Assumptions!$B$223/12*V7,0))</f>
        <v>12500</v>
      </c>
      <c r="W251" s="63">
        <f>IF(W5=1,Assumptions!$B$222/12*W7,IF(W5=2,Assumptions!$B$223/12*W7,0))</f>
        <v>12500</v>
      </c>
      <c r="X251" s="63">
        <f>IF(X5=1,Assumptions!$B$222/12*X7,IF(X5=2,Assumptions!$B$223/12*X7,0))</f>
        <v>12500</v>
      </c>
      <c r="Y251" s="63">
        <f>IF(Y5=1,Assumptions!$B$222/12*Y7,IF(Y5=2,Assumptions!$B$223/12*Y7,0))</f>
        <v>12500</v>
      </c>
      <c r="Z251" s="63">
        <f>IF(Z5=1,Assumptions!$B$222/12*Z7,IF(Z5=2,Assumptions!$B$223/12*Z7,0))</f>
        <v>12500</v>
      </c>
      <c r="AA251" s="63">
        <f>IF(AA5=1,Assumptions!$B$222/12*AA7,IF(AA5=2,Assumptions!$B$223/12*AA7,0))</f>
        <v>0</v>
      </c>
      <c r="AB251" s="63">
        <f>IF(AB5=1,Assumptions!$B$222/12*AB7,IF(AB5=2,Assumptions!$B$223/12*AB7,0))</f>
        <v>0</v>
      </c>
      <c r="AC251" s="63">
        <f>IF(AC5=1,Assumptions!$B$222/12*AC7,IF(AC5=2,Assumptions!$B$223/12*AC7,0))</f>
        <v>0</v>
      </c>
      <c r="AD251" s="63">
        <f>IF(AD5=1,Assumptions!$B$222/12*AD7,IF(AD5=2,Assumptions!$B$223/12*AD7,0))</f>
        <v>0</v>
      </c>
      <c r="AE251" s="63">
        <f>IF(AE5=1,Assumptions!$B$222/12*AE7,IF(AE5=2,Assumptions!$B$223/12*AE7,0))</f>
        <v>0</v>
      </c>
    </row>
    <row r="252" spans="1:31" x14ac:dyDescent="0.25">
      <c r="A252" s="9" t="s">
        <v>697</v>
      </c>
    </row>
    <row r="253" spans="1:31" x14ac:dyDescent="0.25">
      <c r="A253" s="6" t="s">
        <v>698</v>
      </c>
      <c r="B253" s="23" t="s">
        <v>114</v>
      </c>
      <c r="C253" s="63">
        <f>IF(C5&gt;=3,Assumptions!$B$224/12*C7,0)</f>
        <v>0</v>
      </c>
      <c r="D253" s="63">
        <f>IF(D5&gt;=3,Assumptions!$B$224/12*D7,0)</f>
        <v>0</v>
      </c>
      <c r="E253" s="63">
        <f>IF(E5&gt;=3,Assumptions!$B$224/12*E7,0)</f>
        <v>0</v>
      </c>
      <c r="F253" s="63">
        <f>IF(F5&gt;=3,Assumptions!$B$224/12*F7,0)</f>
        <v>0</v>
      </c>
      <c r="G253" s="63">
        <f>IF(G5&gt;=3,Assumptions!$B$224/12*G7,0)</f>
        <v>0</v>
      </c>
      <c r="H253" s="63">
        <f>IF(H5&gt;=3,Assumptions!$B$224/12*H7,0)</f>
        <v>0</v>
      </c>
      <c r="I253" s="63">
        <f>IF(I5&gt;=3,Assumptions!$B$224/12*I7,0)</f>
        <v>0</v>
      </c>
      <c r="J253" s="63">
        <f>IF(J5&gt;=3,Assumptions!$B$224/12*J7,0)</f>
        <v>0</v>
      </c>
      <c r="K253" s="63">
        <f>IF(K5&gt;=3,Assumptions!$B$224/12*K7,0)</f>
        <v>0</v>
      </c>
      <c r="L253" s="63">
        <f>IF(L5&gt;=3,Assumptions!$B$224/12*L7,0)</f>
        <v>0</v>
      </c>
      <c r="M253" s="63">
        <f>IF(M5&gt;=3,Assumptions!$B$224/12*M7,0)</f>
        <v>0</v>
      </c>
      <c r="N253" s="63">
        <f>IF(N5&gt;=3,Assumptions!$B$224/12*N7,0)</f>
        <v>0</v>
      </c>
      <c r="O253" s="63">
        <f>IF(O5&gt;=3,Assumptions!$B$224/12*O7,0)</f>
        <v>0</v>
      </c>
      <c r="P253" s="63">
        <f>IF(P5&gt;=3,Assumptions!$B$224/12*P7,0)</f>
        <v>0</v>
      </c>
      <c r="Q253" s="63">
        <f>IF(Q5&gt;=3,Assumptions!$B$224/12*Q7,0)</f>
        <v>0</v>
      </c>
      <c r="R253" s="63">
        <f>IF(R5&gt;=3,Assumptions!$B$224/12*R7,0)</f>
        <v>0</v>
      </c>
      <c r="S253" s="63">
        <f>IF(S5&gt;=3,Assumptions!$B$224/12*S7,0)</f>
        <v>0</v>
      </c>
      <c r="T253" s="63">
        <f>IF(T5&gt;=3,Assumptions!$B$224/12*T7,0)</f>
        <v>0</v>
      </c>
      <c r="U253" s="63">
        <f>IF(U5&gt;=3,Assumptions!$B$224/12*U7,0)</f>
        <v>0</v>
      </c>
      <c r="V253" s="63">
        <f>IF(V5&gt;=3,Assumptions!$B$224/12*V7,0)</f>
        <v>0</v>
      </c>
      <c r="W253" s="63">
        <f>IF(W5&gt;=3,Assumptions!$B$224/12*W7,0)</f>
        <v>0</v>
      </c>
      <c r="X253" s="63">
        <f>IF(X5&gt;=3,Assumptions!$B$224/12*X7,0)</f>
        <v>0</v>
      </c>
      <c r="Y253" s="63">
        <f>IF(Y5&gt;=3,Assumptions!$B$224/12*Y7,0)</f>
        <v>0</v>
      </c>
      <c r="Z253" s="63">
        <f>IF(Z5&gt;=3,Assumptions!$B$224/12*Z7,0)</f>
        <v>0</v>
      </c>
      <c r="AA253" s="63">
        <f>IF(AA5&gt;=3,Assumptions!$B$224/12*AA7,0)</f>
        <v>120000</v>
      </c>
      <c r="AB253" s="63">
        <f>IF(AB5&gt;=3,Assumptions!$B$224/12*AB7,0)</f>
        <v>120000</v>
      </c>
      <c r="AC253" s="63">
        <f>IF(AC5&gt;=3,Assumptions!$B$224/12*AC7,0)</f>
        <v>120000</v>
      </c>
      <c r="AD253" s="63">
        <f>IF(AD5&gt;=3,Assumptions!$B$224/12*AD7,0)</f>
        <v>120000</v>
      </c>
      <c r="AE253" s="63">
        <f>IF(AE5&gt;=3,Assumptions!$B$224/12*AE7,0)</f>
        <v>120000</v>
      </c>
    </row>
    <row r="254" spans="1:31" x14ac:dyDescent="0.25">
      <c r="A254" s="9" t="s">
        <v>699</v>
      </c>
    </row>
    <row r="255" spans="1:31" x14ac:dyDescent="0.25">
      <c r="A255" s="3" t="s">
        <v>700</v>
      </c>
      <c r="B255" s="23" t="s">
        <v>114</v>
      </c>
      <c r="C255" s="63">
        <f t="shared" ref="C255:AE255" si="76">C233+C236+C238+C239+C241+C243+C245+C247+C249+C251+C253</f>
        <v>236084.86259651624</v>
      </c>
      <c r="D255" s="63">
        <f t="shared" si="76"/>
        <v>37504.456408091879</v>
      </c>
      <c r="E255" s="63">
        <f t="shared" si="76"/>
        <v>37486.032667165186</v>
      </c>
      <c r="F255" s="63">
        <f t="shared" si="76"/>
        <v>37605.501131084828</v>
      </c>
      <c r="G255" s="63">
        <f t="shared" si="76"/>
        <v>37551.800124377172</v>
      </c>
      <c r="H255" s="63">
        <f t="shared" si="76"/>
        <v>37472.643111151287</v>
      </c>
      <c r="I255" s="63">
        <f t="shared" si="76"/>
        <v>37459.530195960608</v>
      </c>
      <c r="J255" s="63">
        <f t="shared" si="76"/>
        <v>37461.673453427582</v>
      </c>
      <c r="K255" s="63">
        <f t="shared" si="76"/>
        <v>37504.459408018593</v>
      </c>
      <c r="L255" s="63">
        <f t="shared" si="76"/>
        <v>37669.023241652496</v>
      </c>
      <c r="M255" s="63">
        <f t="shared" si="76"/>
        <v>37621.182095554235</v>
      </c>
      <c r="N255" s="63">
        <f t="shared" si="76"/>
        <v>37553.146112263494</v>
      </c>
      <c r="O255" s="63">
        <f t="shared" si="76"/>
        <v>136247.16060543191</v>
      </c>
      <c r="P255" s="63">
        <f t="shared" si="76"/>
        <v>21779.315813735251</v>
      </c>
      <c r="Q255" s="63">
        <f t="shared" si="76"/>
        <v>21755.953715429088</v>
      </c>
      <c r="R255" s="63">
        <f t="shared" si="76"/>
        <v>22134.396437915973</v>
      </c>
      <c r="S255" s="63">
        <f t="shared" si="76"/>
        <v>22014.830536158777</v>
      </c>
      <c r="T255" s="63">
        <f t="shared" si="76"/>
        <v>21803.526067940504</v>
      </c>
      <c r="U255" s="63">
        <f t="shared" si="76"/>
        <v>21783.175947805601</v>
      </c>
      <c r="V255" s="63">
        <f t="shared" si="76"/>
        <v>21808.050546962306</v>
      </c>
      <c r="W255" s="63">
        <f t="shared" si="76"/>
        <v>21962.632371027961</v>
      </c>
      <c r="X255" s="63">
        <f t="shared" si="76"/>
        <v>22519.284509431633</v>
      </c>
      <c r="Y255" s="63">
        <f t="shared" si="76"/>
        <v>22405.669228431034</v>
      </c>
      <c r="Z255" s="63">
        <f t="shared" si="76"/>
        <v>22210.679934025829</v>
      </c>
      <c r="AA255" s="63">
        <f t="shared" si="76"/>
        <v>363649.40798486088</v>
      </c>
      <c r="AB255" s="63">
        <f t="shared" si="76"/>
        <v>409572.96960600989</v>
      </c>
      <c r="AC255" s="63">
        <f t="shared" si="76"/>
        <v>465599.22374533082</v>
      </c>
      <c r="AD255" s="63">
        <f t="shared" si="76"/>
        <v>513232.57597302616</v>
      </c>
      <c r="AE255" s="63">
        <f t="shared" si="76"/>
        <v>549459.0409189791</v>
      </c>
    </row>
    <row r="258" spans="1:31" x14ac:dyDescent="0.25">
      <c r="A258" s="51" t="s">
        <v>701</v>
      </c>
      <c r="B258" s="52"/>
      <c r="C258" s="52"/>
      <c r="D258" s="52"/>
      <c r="E258" s="52"/>
      <c r="F258" s="52"/>
      <c r="G258" s="52"/>
      <c r="H258" s="52"/>
      <c r="I258" s="52"/>
      <c r="J258" s="52"/>
      <c r="K258" s="52"/>
      <c r="L258" s="52"/>
      <c r="M258" s="52"/>
      <c r="N258" s="52"/>
      <c r="O258" s="52"/>
      <c r="P258" s="52"/>
      <c r="Q258" s="52"/>
      <c r="R258" s="52"/>
      <c r="S258" s="52"/>
      <c r="T258" s="52"/>
      <c r="U258" s="52"/>
      <c r="V258" s="52"/>
      <c r="W258" s="52"/>
      <c r="X258" s="52"/>
      <c r="Y258" s="52"/>
      <c r="Z258" s="52"/>
      <c r="AA258" s="52"/>
      <c r="AB258" s="52"/>
      <c r="AC258" s="52"/>
      <c r="AD258" s="52"/>
      <c r="AE258" s="52"/>
    </row>
    <row r="259" spans="1:31" x14ac:dyDescent="0.25">
      <c r="A259" s="6" t="s">
        <v>702</v>
      </c>
      <c r="B259" s="23" t="s">
        <v>703</v>
      </c>
      <c r="C259" s="62">
        <f t="shared" ref="C259:AE259" si="77">IF(C159+C160=0,0,C168/(C159+C160))</f>
        <v>0</v>
      </c>
      <c r="D259" s="62">
        <f t="shared" si="77"/>
        <v>0</v>
      </c>
      <c r="E259" s="62">
        <f t="shared" si="77"/>
        <v>0</v>
      </c>
      <c r="F259" s="62">
        <f t="shared" si="77"/>
        <v>0</v>
      </c>
      <c r="G259" s="62">
        <f t="shared" si="77"/>
        <v>0</v>
      </c>
      <c r="H259" s="62">
        <f t="shared" si="77"/>
        <v>0</v>
      </c>
      <c r="I259" s="62">
        <f t="shared" si="77"/>
        <v>0</v>
      </c>
      <c r="J259" s="62">
        <f t="shared" si="77"/>
        <v>0</v>
      </c>
      <c r="K259" s="62">
        <f t="shared" si="77"/>
        <v>6.4979902845885118E-2</v>
      </c>
      <c r="L259" s="62">
        <f t="shared" si="77"/>
        <v>0.11065830946782573</v>
      </c>
      <c r="M259" s="62">
        <f t="shared" si="77"/>
        <v>0.14536682118644223</v>
      </c>
      <c r="N259" s="62">
        <f t="shared" si="77"/>
        <v>0.18609760103666501</v>
      </c>
      <c r="O259" s="62">
        <f t="shared" si="77"/>
        <v>0.1894281095041784</v>
      </c>
      <c r="P259" s="62">
        <f t="shared" si="77"/>
        <v>0.18749916669653147</v>
      </c>
      <c r="Q259" s="62">
        <f t="shared" si="77"/>
        <v>0.18581587934618232</v>
      </c>
      <c r="R259" s="62">
        <f t="shared" si="77"/>
        <v>0.17881928046275047</v>
      </c>
      <c r="S259" s="62">
        <f t="shared" si="77"/>
        <v>0.17685581614003862</v>
      </c>
      <c r="T259" s="62">
        <f t="shared" si="77"/>
        <v>0.18381185442254538</v>
      </c>
      <c r="U259" s="62">
        <f t="shared" si="77"/>
        <v>0.18819562440999019</v>
      </c>
      <c r="V259" s="62">
        <f t="shared" si="77"/>
        <v>0.18951162311448003</v>
      </c>
      <c r="W259" s="62">
        <f t="shared" si="77"/>
        <v>0.21554580669015685</v>
      </c>
      <c r="X259" s="62">
        <f t="shared" si="77"/>
        <v>0.23063550318924417</v>
      </c>
      <c r="Y259" s="62">
        <f t="shared" si="77"/>
        <v>0.24363983869421557</v>
      </c>
      <c r="Z259" s="62">
        <f t="shared" si="77"/>
        <v>0.2649196574552829</v>
      </c>
      <c r="AA259" s="62">
        <f t="shared" si="77"/>
        <v>0.55000000000000004</v>
      </c>
      <c r="AB259" s="62">
        <f t="shared" si="77"/>
        <v>0.55000000000000004</v>
      </c>
      <c r="AC259" s="62">
        <f t="shared" si="77"/>
        <v>0.55000000000000016</v>
      </c>
      <c r="AD259" s="62">
        <f t="shared" si="77"/>
        <v>0.55000000000000004</v>
      </c>
      <c r="AE259" s="62">
        <f t="shared" si="77"/>
        <v>0.55000000000000004</v>
      </c>
    </row>
    <row r="260" spans="1:31" x14ac:dyDescent="0.25">
      <c r="A260" s="6" t="s">
        <v>704</v>
      </c>
      <c r="B260" s="23" t="s">
        <v>114</v>
      </c>
      <c r="C260" s="63">
        <f>C189*C259*Assumptions!$B$207</f>
        <v>0</v>
      </c>
      <c r="D260" s="63">
        <f>D189*D259*Assumptions!$B$207</f>
        <v>0</v>
      </c>
      <c r="E260" s="63">
        <f>E189*E259*Assumptions!$B$207</f>
        <v>0</v>
      </c>
      <c r="F260" s="63">
        <f>F189*F259*Assumptions!$B$207</f>
        <v>0</v>
      </c>
      <c r="G260" s="63">
        <f>G189*G259*Assumptions!$B$207</f>
        <v>0</v>
      </c>
      <c r="H260" s="63">
        <f>H189*H259*Assumptions!$B$207</f>
        <v>0</v>
      </c>
      <c r="I260" s="63">
        <f>I189*I259*Assumptions!$B$207</f>
        <v>0</v>
      </c>
      <c r="J260" s="63">
        <f>J189*J259*Assumptions!$B$207</f>
        <v>0</v>
      </c>
      <c r="K260" s="63">
        <f>K189*K259*Assumptions!$B$207</f>
        <v>47.595042166251872</v>
      </c>
      <c r="L260" s="63">
        <f>L189*L259*Assumptions!$B$207</f>
        <v>91.401093793923508</v>
      </c>
      <c r="M260" s="63">
        <f>M189*M259*Assumptions!$B$207</f>
        <v>131.47501642600133</v>
      </c>
      <c r="N260" s="63">
        <f>N189*N259*Assumptions!$B$207</f>
        <v>179.49055177661845</v>
      </c>
      <c r="O260" s="63">
        <f>O189*O259*Assumptions!$B$207</f>
        <v>228.88031924310684</v>
      </c>
      <c r="P260" s="63">
        <f>P189*P259*Assumptions!$B$207</f>
        <v>268.50458416454569</v>
      </c>
      <c r="Q260" s="63">
        <f>Q189*Q259*Assumptions!$B$207</f>
        <v>304.46854029684204</v>
      </c>
      <c r="R260" s="63">
        <f>R189*R259*Assumptions!$B$207</f>
        <v>341.58202026554756</v>
      </c>
      <c r="S260" s="63">
        <f>S189*S259*Assumptions!$B$207</f>
        <v>378.88913963290707</v>
      </c>
      <c r="T260" s="63">
        <f>T189*T259*Assumptions!$B$207</f>
        <v>426.15162496589124</v>
      </c>
      <c r="U260" s="63">
        <f>U189*U259*Assumptions!$B$207</f>
        <v>466.73227769622144</v>
      </c>
      <c r="V260" s="63">
        <f>V189*V259*Assumptions!$B$207</f>
        <v>499.76586282624726</v>
      </c>
      <c r="W260" s="63">
        <f>W189*W259*Assumptions!$B$207</f>
        <v>607.01576080580503</v>
      </c>
      <c r="X260" s="63">
        <f>X189*X259*Assumptions!$B$207</f>
        <v>714.40805207096389</v>
      </c>
      <c r="Y260" s="63">
        <f>Y189*Y259*Assumptions!$B$207</f>
        <v>813.67801479419688</v>
      </c>
      <c r="Z260" s="63">
        <f>Z189*Z259*Assumptions!$B$207</f>
        <v>934.6371609513119</v>
      </c>
      <c r="AA260" s="63">
        <f>AA189*AA259*Assumptions!$B$207</f>
        <v>42408.127974454088</v>
      </c>
      <c r="AB260" s="63">
        <f>AB189*AB259*Assumptions!$B$207</f>
        <v>80306.105321089999</v>
      </c>
      <c r="AC260" s="63">
        <f>AC189*AC259*Assumptions!$B$207</f>
        <v>128033.49622783622</v>
      </c>
      <c r="AD260" s="63">
        <f>AD189*AD259*Assumptions!$B$207</f>
        <v>165254.20562589652</v>
      </c>
      <c r="AE260" s="63">
        <f>AE189*AE259*Assumptions!$B$207</f>
        <v>182337.09008576826</v>
      </c>
    </row>
    <row r="261" spans="1:31" x14ac:dyDescent="0.25">
      <c r="A261" s="9" t="s">
        <v>705</v>
      </c>
    </row>
    <row r="262" spans="1:31" x14ac:dyDescent="0.25">
      <c r="A262" s="6" t="s">
        <v>706</v>
      </c>
      <c r="B262" s="23" t="s">
        <v>114</v>
      </c>
      <c r="C262" s="63">
        <f>C193*C259*Assumptions!$B$208</f>
        <v>0</v>
      </c>
      <c r="D262" s="63">
        <f>D193*D259*Assumptions!$B$208</f>
        <v>0</v>
      </c>
      <c r="E262" s="63">
        <f>E193*E259*Assumptions!$B$208</f>
        <v>0</v>
      </c>
      <c r="F262" s="63">
        <f>F193*F259*Assumptions!$B$208</f>
        <v>0</v>
      </c>
      <c r="G262" s="63">
        <f>G193*G259*Assumptions!$B$208</f>
        <v>0</v>
      </c>
      <c r="H262" s="63">
        <f>H193*H259*Assumptions!$B$208</f>
        <v>0</v>
      </c>
      <c r="I262" s="63">
        <f>I193*I259*Assumptions!$B$208</f>
        <v>0</v>
      </c>
      <c r="J262" s="63">
        <f>J193*J259*Assumptions!$B$208</f>
        <v>0</v>
      </c>
      <c r="K262" s="63">
        <f>K193*K259*Assumptions!$B$208</f>
        <v>0</v>
      </c>
      <c r="L262" s="63">
        <f>L193*L259*Assumptions!$B$208</f>
        <v>0</v>
      </c>
      <c r="M262" s="63">
        <f>M193*M259*Assumptions!$B$208</f>
        <v>0</v>
      </c>
      <c r="N262" s="63">
        <f>N193*N259*Assumptions!$B$208</f>
        <v>0</v>
      </c>
      <c r="O262" s="63">
        <f>O193*O259*Assumptions!$B$208</f>
        <v>611.69120699875157</v>
      </c>
      <c r="P262" s="63">
        <f>P193*P259*Assumptions!$B$208</f>
        <v>158.15113570956231</v>
      </c>
      <c r="Q262" s="63">
        <f>Q193*Q259*Assumptions!$B$208</f>
        <v>162.70688598493049</v>
      </c>
      <c r="R262" s="63">
        <f>R193*R259*Assumptions!$B$208</f>
        <v>193.01946966700891</v>
      </c>
      <c r="S262" s="63">
        <f>S193*S259*Assumptions!$B$208</f>
        <v>191.32828522655407</v>
      </c>
      <c r="T262" s="63">
        <f>T193*T259*Assumptions!$B$208</f>
        <v>192.50130581076462</v>
      </c>
      <c r="U262" s="63">
        <f>U193*U259*Assumptions!$B$208</f>
        <v>203.65079809020108</v>
      </c>
      <c r="V262" s="63">
        <f>V193*V259*Assumptions!$B$208</f>
        <v>214.94256454277138</v>
      </c>
      <c r="W262" s="63">
        <f>W193*W259*Assumptions!$B$208</f>
        <v>266.3365807759385</v>
      </c>
      <c r="X262" s="63">
        <f>X193*X259*Assumptions!$B$208</f>
        <v>351.59505359215615</v>
      </c>
      <c r="Y262" s="63">
        <f>Y193*Y259*Assumptions!$B$208</f>
        <v>374.96770411591041</v>
      </c>
      <c r="Z262" s="63">
        <f>Z193*Z259*Assumptions!$B$208</f>
        <v>400.43456912724866</v>
      </c>
      <c r="AA262" s="63">
        <f>AA193*AA259*Assumptions!$B$208</f>
        <v>18416.777922312125</v>
      </c>
      <c r="AB262" s="63">
        <f>AB193*AB259*Assumptions!$B$208</f>
        <v>37055.668383675526</v>
      </c>
      <c r="AC262" s="63">
        <f>AC193*AC259*Assumptions!$B$208</f>
        <v>61608.472717121156</v>
      </c>
      <c r="AD262" s="63">
        <f>AD193*AD259*Assumptions!$B$208</f>
        <v>85130.134529012546</v>
      </c>
      <c r="AE262" s="63">
        <f>AE193*AE259*Assumptions!$B$208</f>
        <v>104775.87287823044</v>
      </c>
    </row>
    <row r="263" spans="1:31" x14ac:dyDescent="0.25">
      <c r="A263" s="6" t="s">
        <v>707</v>
      </c>
      <c r="B263" s="23" t="s">
        <v>114</v>
      </c>
      <c r="C263" s="63">
        <f>(C191+C193)*C259*Assumptions!$B$209</f>
        <v>0</v>
      </c>
      <c r="D263" s="63">
        <f>(D191+D193)*D259*Assumptions!$B$209</f>
        <v>0</v>
      </c>
      <c r="E263" s="63">
        <f>(E191+E193)*E259*Assumptions!$B$209</f>
        <v>0</v>
      </c>
      <c r="F263" s="63">
        <f>(F191+F193)*F259*Assumptions!$B$209</f>
        <v>0</v>
      </c>
      <c r="G263" s="63">
        <f>(G191+G193)*G259*Assumptions!$B$209</f>
        <v>0</v>
      </c>
      <c r="H263" s="63">
        <f>(H191+H193)*H259*Assumptions!$B$209</f>
        <v>0</v>
      </c>
      <c r="I263" s="63">
        <f>(I191+I193)*I259*Assumptions!$B$209</f>
        <v>0</v>
      </c>
      <c r="J263" s="63">
        <f>(J191+J193)*J259*Assumptions!$B$209</f>
        <v>0</v>
      </c>
      <c r="K263" s="63">
        <f>(K191+K193)*K259*Assumptions!$B$209</f>
        <v>0</v>
      </c>
      <c r="L263" s="63">
        <f>(L191+L193)*L259*Assumptions!$B$209</f>
        <v>0</v>
      </c>
      <c r="M263" s="63">
        <f>(M191+M193)*M259*Assumptions!$B$209</f>
        <v>0</v>
      </c>
      <c r="N263" s="63">
        <f>(N191+N193)*N259*Assumptions!$B$209</f>
        <v>0</v>
      </c>
      <c r="O263" s="63">
        <f>(O191+O193)*O259*Assumptions!$B$209</f>
        <v>153.31449205433145</v>
      </c>
      <c r="P263" s="63">
        <f>(P191+P193)*P259*Assumptions!$B$209</f>
        <v>39.948777580068537</v>
      </c>
      <c r="Q263" s="63">
        <f>(Q191+Q193)*Q259*Assumptions!$B$209</f>
        <v>41.140866041233721</v>
      </c>
      <c r="R263" s="63">
        <f>(R191+R193)*R259*Assumptions!$B$209</f>
        <v>48.774477650773825</v>
      </c>
      <c r="S263" s="63">
        <f>(S191+S193)*S259*Assumptions!$B$209</f>
        <v>48.438829009657233</v>
      </c>
      <c r="T263" s="63">
        <f>(T191+T193)*T259*Assumptions!$B$209</f>
        <v>48.811999332671924</v>
      </c>
      <c r="U263" s="63">
        <f>(U191+U193)*U259*Assumptions!$B$209</f>
        <v>51.652315578440806</v>
      </c>
      <c r="V263" s="63">
        <f>(V191+V193)*V259*Assumptions!$B$209</f>
        <v>54.59358664726448</v>
      </c>
      <c r="W263" s="63">
        <f>(W191+W193)*W259*Assumptions!$B$209</f>
        <v>67.797608684385949</v>
      </c>
      <c r="X263" s="63">
        <f>(X191+X193)*X259*Assumptions!$B$209</f>
        <v>89.378039653079767</v>
      </c>
      <c r="Y263" s="63">
        <f>(Y191+Y193)*Y259*Assumptions!$B$209</f>
        <v>95.531547527464738</v>
      </c>
      <c r="Z263" s="63">
        <f>(Z191+Z193)*Z259*Assumptions!$B$209</f>
        <v>102.44584221828001</v>
      </c>
      <c r="AA263" s="63">
        <f>(AA191+AA193)*AA259*Assumptions!$B$209</f>
        <v>4770.2264486231652</v>
      </c>
      <c r="AB263" s="63">
        <f>(AB191+AB193)*AB259*Assumptions!$B$209</f>
        <v>9642.6044979607886</v>
      </c>
      <c r="AC263" s="63">
        <f>(AC191+AC193)*AC259*Assumptions!$B$209</f>
        <v>16111.505662750602</v>
      </c>
      <c r="AD263" s="63">
        <f>(AD191+AD193)*AD259*Assumptions!$B$209</f>
        <v>22402.406929221743</v>
      </c>
      <c r="AE263" s="63">
        <f>(AE191+AE193)*AE259*Assumptions!$B$209</f>
        <v>27740.59717896433</v>
      </c>
    </row>
    <row r="264" spans="1:31" x14ac:dyDescent="0.25">
      <c r="A264" s="9" t="s">
        <v>708</v>
      </c>
    </row>
    <row r="265" spans="1:31" x14ac:dyDescent="0.25">
      <c r="A265" s="6" t="s">
        <v>709</v>
      </c>
      <c r="B265" s="23" t="s">
        <v>257</v>
      </c>
      <c r="C265" s="62">
        <f t="shared" ref="C265:AE265" si="78">IF(C171=0,0,C263/C171)</f>
        <v>0</v>
      </c>
      <c r="D265" s="62">
        <f t="shared" si="78"/>
        <v>0</v>
      </c>
      <c r="E265" s="62">
        <f t="shared" si="78"/>
        <v>0</v>
      </c>
      <c r="F265" s="62">
        <f t="shared" si="78"/>
        <v>0</v>
      </c>
      <c r="G265" s="62">
        <f t="shared" si="78"/>
        <v>0</v>
      </c>
      <c r="H265" s="62">
        <f t="shared" si="78"/>
        <v>0</v>
      </c>
      <c r="I265" s="62">
        <f t="shared" si="78"/>
        <v>0</v>
      </c>
      <c r="J265" s="62">
        <f t="shared" si="78"/>
        <v>0</v>
      </c>
      <c r="K265" s="62">
        <f t="shared" si="78"/>
        <v>0</v>
      </c>
      <c r="L265" s="62">
        <f t="shared" si="78"/>
        <v>0</v>
      </c>
      <c r="M265" s="62">
        <f t="shared" si="78"/>
        <v>0</v>
      </c>
      <c r="N265" s="62">
        <f t="shared" si="78"/>
        <v>0</v>
      </c>
      <c r="O265" s="62">
        <f t="shared" si="78"/>
        <v>2.6692380833156223E-2</v>
      </c>
      <c r="P265" s="62">
        <f t="shared" si="78"/>
        <v>6.5610027913588671E-3</v>
      </c>
      <c r="Q265" s="62">
        <f t="shared" si="78"/>
        <v>5.9293283995807879E-3</v>
      </c>
      <c r="R265" s="62">
        <f t="shared" si="78"/>
        <v>6.0427103121958878E-3</v>
      </c>
      <c r="S265" s="62">
        <f t="shared" si="78"/>
        <v>5.0827668014926048E-3</v>
      </c>
      <c r="T265" s="62">
        <f t="shared" si="78"/>
        <v>4.7038419249035629E-3</v>
      </c>
      <c r="U265" s="62">
        <f t="shared" si="78"/>
        <v>4.7314634313729469E-3</v>
      </c>
      <c r="V265" s="62">
        <f t="shared" si="78"/>
        <v>4.3413047424842944E-3</v>
      </c>
      <c r="W265" s="62">
        <f t="shared" si="78"/>
        <v>4.3354056661847815E-3</v>
      </c>
      <c r="X265" s="62">
        <f t="shared" si="78"/>
        <v>5.0166084046282299E-3</v>
      </c>
      <c r="Y265" s="62">
        <f t="shared" si="78"/>
        <v>4.6820541135717385E-3</v>
      </c>
      <c r="Z265" s="62">
        <f t="shared" si="78"/>
        <v>4.1803741826693039E-3</v>
      </c>
      <c r="AA265" s="62">
        <f t="shared" si="78"/>
        <v>5.6886926532764793E-3</v>
      </c>
      <c r="AB265" s="62">
        <f t="shared" si="78"/>
        <v>5.0417195826993784E-3</v>
      </c>
      <c r="AC265" s="62">
        <f t="shared" si="78"/>
        <v>4.4969472898208004E-3</v>
      </c>
      <c r="AD265" s="62">
        <f t="shared" si="78"/>
        <v>3.9608735952476899E-3</v>
      </c>
      <c r="AE265" s="62">
        <f t="shared" si="78"/>
        <v>3.5513613061673708E-3</v>
      </c>
    </row>
    <row r="266" spans="1:31" x14ac:dyDescent="0.25">
      <c r="A266" s="6" t="s">
        <v>710</v>
      </c>
      <c r="B266" s="23" t="s">
        <v>114</v>
      </c>
      <c r="C266" s="63">
        <f>C192*C259*Assumptions!$B$210</f>
        <v>0</v>
      </c>
      <c r="D266" s="63">
        <f>D192*D259*Assumptions!$B$210</f>
        <v>0</v>
      </c>
      <c r="E266" s="63">
        <f>E192*E259*Assumptions!$B$210</f>
        <v>0</v>
      </c>
      <c r="F266" s="63">
        <f>F192*F259*Assumptions!$B$210</f>
        <v>0</v>
      </c>
      <c r="G266" s="63">
        <f>G192*G259*Assumptions!$B$210</f>
        <v>0</v>
      </c>
      <c r="H266" s="63">
        <f>H192*H259*Assumptions!$B$210</f>
        <v>0</v>
      </c>
      <c r="I266" s="63">
        <f>I192*I259*Assumptions!$B$210</f>
        <v>0</v>
      </c>
      <c r="J266" s="63">
        <f>J192*J259*Assumptions!$B$210</f>
        <v>0</v>
      </c>
      <c r="K266" s="63">
        <f>K192*K259*Assumptions!$B$210</f>
        <v>6.1910582512889283</v>
      </c>
      <c r="L266" s="63">
        <f>L192*L259*Assumptions!$B$210</f>
        <v>15.15433267287869</v>
      </c>
      <c r="M266" s="63">
        <f>M192*M259*Assumptions!$B$210</f>
        <v>24.960544830623235</v>
      </c>
      <c r="N266" s="63">
        <f>N192*N259*Assumptions!$B$210</f>
        <v>36.94419474643491</v>
      </c>
      <c r="O266" s="63">
        <f>O192*O259*Assumptions!$B$210</f>
        <v>55.67265498004928</v>
      </c>
      <c r="P266" s="63">
        <f>P192*P259*Assumptions!$B$210</f>
        <v>71.139992622706004</v>
      </c>
      <c r="Q266" s="63">
        <f>Q192*Q259*Assumptions!$B$210</f>
        <v>84.815385434941561</v>
      </c>
      <c r="R266" s="63">
        <f>R192*R259*Assumptions!$B$210</f>
        <v>99.481320822502454</v>
      </c>
      <c r="S266" s="63">
        <f>S192*S259*Assumptions!$B$210</f>
        <v>113.04309155497866</v>
      </c>
      <c r="T266" s="63">
        <f>T192*T259*Assumptions!$B$210</f>
        <v>128.53223901167397</v>
      </c>
      <c r="U266" s="63">
        <f>U192*U259*Assumptions!$B$210</f>
        <v>141.68337332875706</v>
      </c>
      <c r="V266" s="63">
        <f>V192*V259*Assumptions!$B$210</f>
        <v>152.34443190736224</v>
      </c>
      <c r="W266" s="63">
        <f>W192*W259*Assumptions!$B$210</f>
        <v>185.89244965234911</v>
      </c>
      <c r="X266" s="63">
        <f>X192*X259*Assumptions!$B$210</f>
        <v>221.09485895279568</v>
      </c>
      <c r="Y266" s="63">
        <f>Y192*Y259*Assumptions!$B$210</f>
        <v>252.98327208819234</v>
      </c>
      <c r="Z266" s="63">
        <f>Z192*Z259*Assumptions!$B$210</f>
        <v>290.50097824928679</v>
      </c>
      <c r="AA266" s="63">
        <f>AA192*AA259*Assumptions!$B$210</f>
        <v>12772.54046218554</v>
      </c>
      <c r="AB266" s="63">
        <f>AB192*AB259*Assumptions!$B$210</f>
        <v>24191.135923803071</v>
      </c>
      <c r="AC266" s="63">
        <f>AC192*AC259*Assumptions!$B$210</f>
        <v>37809.254680589343</v>
      </c>
      <c r="AD266" s="63">
        <f>AD192*AD259*Assumptions!$B$210</f>
        <v>46894.386116949143</v>
      </c>
      <c r="AE266" s="63">
        <f>AE192*AE259*Assumptions!$B$210</f>
        <v>49314.904029817204</v>
      </c>
    </row>
    <row r="267" spans="1:31" x14ac:dyDescent="0.25">
      <c r="A267" s="3" t="s">
        <v>711</v>
      </c>
      <c r="B267" s="23" t="s">
        <v>114</v>
      </c>
      <c r="C267" s="63">
        <f t="shared" ref="C267:AE267" si="79">C260+C262+C263+C266</f>
        <v>0</v>
      </c>
      <c r="D267" s="63">
        <f t="shared" si="79"/>
        <v>0</v>
      </c>
      <c r="E267" s="63">
        <f t="shared" si="79"/>
        <v>0</v>
      </c>
      <c r="F267" s="63">
        <f t="shared" si="79"/>
        <v>0</v>
      </c>
      <c r="G267" s="63">
        <f t="shared" si="79"/>
        <v>0</v>
      </c>
      <c r="H267" s="63">
        <f t="shared" si="79"/>
        <v>0</v>
      </c>
      <c r="I267" s="63">
        <f t="shared" si="79"/>
        <v>0</v>
      </c>
      <c r="J267" s="63">
        <f t="shared" si="79"/>
        <v>0</v>
      </c>
      <c r="K267" s="63">
        <f t="shared" si="79"/>
        <v>53.786100417540801</v>
      </c>
      <c r="L267" s="63">
        <f t="shared" si="79"/>
        <v>106.5554264668022</v>
      </c>
      <c r="M267" s="63">
        <f t="shared" si="79"/>
        <v>156.43556125662457</v>
      </c>
      <c r="N267" s="63">
        <f t="shared" si="79"/>
        <v>216.43474652305335</v>
      </c>
      <c r="O267" s="63">
        <f t="shared" si="79"/>
        <v>1049.5586732762392</v>
      </c>
      <c r="P267" s="63">
        <f t="shared" si="79"/>
        <v>537.74449007688258</v>
      </c>
      <c r="Q267" s="63">
        <f t="shared" si="79"/>
        <v>593.13167775794773</v>
      </c>
      <c r="R267" s="63">
        <f t="shared" si="79"/>
        <v>682.85728840583272</v>
      </c>
      <c r="S267" s="63">
        <f t="shared" si="79"/>
        <v>731.69934542409703</v>
      </c>
      <c r="T267" s="63">
        <f t="shared" si="79"/>
        <v>795.99716912100178</v>
      </c>
      <c r="U267" s="63">
        <f t="shared" si="79"/>
        <v>863.71876469362041</v>
      </c>
      <c r="V267" s="63">
        <f t="shared" si="79"/>
        <v>921.64644592364539</v>
      </c>
      <c r="W267" s="63">
        <f t="shared" si="79"/>
        <v>1127.0423999184786</v>
      </c>
      <c r="X267" s="63">
        <f t="shared" si="79"/>
        <v>1376.4760042689954</v>
      </c>
      <c r="Y267" s="63">
        <f t="shared" si="79"/>
        <v>1537.1605385257642</v>
      </c>
      <c r="Z267" s="63">
        <f t="shared" si="79"/>
        <v>1728.0185505461272</v>
      </c>
      <c r="AA267" s="63">
        <f t="shared" si="79"/>
        <v>78367.672807574912</v>
      </c>
      <c r="AB267" s="63">
        <f t="shared" si="79"/>
        <v>151195.51412652939</v>
      </c>
      <c r="AC267" s="63">
        <f t="shared" si="79"/>
        <v>243562.7292882973</v>
      </c>
      <c r="AD267" s="63">
        <f t="shared" si="79"/>
        <v>319681.13320107997</v>
      </c>
      <c r="AE267" s="63">
        <f t="shared" si="79"/>
        <v>364168.46417278022</v>
      </c>
    </row>
    <row r="268" spans="1:31" x14ac:dyDescent="0.25">
      <c r="A268" s="9" t="s">
        <v>712</v>
      </c>
    </row>
    <row r="271" spans="1:31" x14ac:dyDescent="0.25">
      <c r="A271" s="51" t="s">
        <v>713</v>
      </c>
      <c r="B271" s="52"/>
      <c r="C271" s="52"/>
      <c r="D271" s="52"/>
      <c r="E271" s="52"/>
      <c r="F271" s="52"/>
      <c r="G271" s="52"/>
      <c r="H271" s="52"/>
      <c r="I271" s="52"/>
      <c r="J271" s="52"/>
      <c r="K271" s="52"/>
      <c r="L271" s="52"/>
      <c r="M271" s="52"/>
      <c r="N271" s="52"/>
      <c r="O271" s="52"/>
      <c r="P271" s="52"/>
      <c r="Q271" s="52"/>
      <c r="R271" s="52"/>
      <c r="S271" s="52"/>
      <c r="T271" s="52"/>
      <c r="U271" s="52"/>
      <c r="V271" s="52"/>
      <c r="W271" s="52"/>
      <c r="X271" s="52"/>
      <c r="Y271" s="52"/>
      <c r="Z271" s="52"/>
      <c r="AA271" s="52"/>
      <c r="AB271" s="52"/>
      <c r="AC271" s="52"/>
      <c r="AD271" s="52"/>
      <c r="AE271" s="52"/>
    </row>
    <row r="272" spans="1:31" x14ac:dyDescent="0.25">
      <c r="A272" s="6" t="s">
        <v>714</v>
      </c>
      <c r="B272" s="23" t="s">
        <v>114</v>
      </c>
      <c r="C272" s="63">
        <f>INDEX(Assumptions!$B$114:$B$120,C5)/12*C7</f>
        <v>7500</v>
      </c>
      <c r="D272" s="63">
        <f>INDEX(Assumptions!$B$114:$B$120,D5)/12*D7</f>
        <v>7500</v>
      </c>
      <c r="E272" s="63">
        <f>INDEX(Assumptions!$B$114:$B$120,E5)/12*E7</f>
        <v>7500</v>
      </c>
      <c r="F272" s="63">
        <f>INDEX(Assumptions!$B$114:$B$120,F5)/12*F7</f>
        <v>7500</v>
      </c>
      <c r="G272" s="63">
        <f>INDEX(Assumptions!$B$114:$B$120,G5)/12*G7</f>
        <v>7500</v>
      </c>
      <c r="H272" s="63">
        <f>INDEX(Assumptions!$B$114:$B$120,H5)/12*H7</f>
        <v>7500</v>
      </c>
      <c r="I272" s="63">
        <f>INDEX(Assumptions!$B$114:$B$120,I5)/12*I7</f>
        <v>7500</v>
      </c>
      <c r="J272" s="63">
        <f>INDEX(Assumptions!$B$114:$B$120,J5)/12*J7</f>
        <v>7500</v>
      </c>
      <c r="K272" s="63">
        <f>INDEX(Assumptions!$B$114:$B$120,K5)/12*K7</f>
        <v>7500</v>
      </c>
      <c r="L272" s="63">
        <f>INDEX(Assumptions!$B$114:$B$120,L5)/12*L7</f>
        <v>7500</v>
      </c>
      <c r="M272" s="63">
        <f>INDEX(Assumptions!$B$114:$B$120,M5)/12*M7</f>
        <v>7500</v>
      </c>
      <c r="N272" s="63">
        <f>INDEX(Assumptions!$B$114:$B$120,N5)/12*N7</f>
        <v>7500</v>
      </c>
      <c r="O272" s="63">
        <f>INDEX(Assumptions!$B$114:$B$120,O5)/12*O7</f>
        <v>22500</v>
      </c>
      <c r="P272" s="63">
        <f>INDEX(Assumptions!$B$114:$B$120,P5)/12*P7</f>
        <v>22500</v>
      </c>
      <c r="Q272" s="63">
        <f>INDEX(Assumptions!$B$114:$B$120,Q5)/12*Q7</f>
        <v>22500</v>
      </c>
      <c r="R272" s="63">
        <f>INDEX(Assumptions!$B$114:$B$120,R5)/12*R7</f>
        <v>22500</v>
      </c>
      <c r="S272" s="63">
        <f>INDEX(Assumptions!$B$114:$B$120,S5)/12*S7</f>
        <v>22500</v>
      </c>
      <c r="T272" s="63">
        <f>INDEX(Assumptions!$B$114:$B$120,T5)/12*T7</f>
        <v>22500</v>
      </c>
      <c r="U272" s="63">
        <f>INDEX(Assumptions!$B$114:$B$120,U5)/12*U7</f>
        <v>22500</v>
      </c>
      <c r="V272" s="63">
        <f>INDEX(Assumptions!$B$114:$B$120,V5)/12*V7</f>
        <v>22500</v>
      </c>
      <c r="W272" s="63">
        <f>INDEX(Assumptions!$B$114:$B$120,W5)/12*W7</f>
        <v>22500</v>
      </c>
      <c r="X272" s="63">
        <f>INDEX(Assumptions!$B$114:$B$120,X5)/12*X7</f>
        <v>22500</v>
      </c>
      <c r="Y272" s="63">
        <f>INDEX(Assumptions!$B$114:$B$120,Y5)/12*Y7</f>
        <v>22500</v>
      </c>
      <c r="Z272" s="63">
        <f>INDEX(Assumptions!$B$114:$B$120,Z5)/12*Z7</f>
        <v>22500</v>
      </c>
      <c r="AA272" s="63">
        <f>INDEX(Assumptions!$B$114:$B$120,AA5)/12*AA7</f>
        <v>375000</v>
      </c>
      <c r="AB272" s="63">
        <f>INDEX(Assumptions!$B$114:$B$120,AB5)/12*AB7</f>
        <v>600000</v>
      </c>
      <c r="AC272" s="63">
        <f>INDEX(Assumptions!$B$114:$B$120,AC5)/12*AC7</f>
        <v>900000</v>
      </c>
      <c r="AD272" s="63">
        <f>INDEX(Assumptions!$B$114:$B$120,AD5)/12*AD7</f>
        <v>1275000</v>
      </c>
      <c r="AE272" s="63">
        <f>INDEX(Assumptions!$B$114:$B$120,AE5)/12*AE7</f>
        <v>1650000</v>
      </c>
    </row>
    <row r="273" spans="1:31" x14ac:dyDescent="0.25">
      <c r="A273" s="9" t="s">
        <v>715</v>
      </c>
    </row>
    <row r="274" spans="1:31" x14ac:dyDescent="0.25">
      <c r="A274" s="6" t="s">
        <v>716</v>
      </c>
      <c r="B274" s="23" t="s">
        <v>190</v>
      </c>
      <c r="C274" s="60">
        <f t="shared" ref="C274:AE274" si="80">C28+C71+C114</f>
        <v>144</v>
      </c>
      <c r="D274" s="60">
        <f t="shared" si="80"/>
        <v>144</v>
      </c>
      <c r="E274" s="60">
        <f t="shared" si="80"/>
        <v>144</v>
      </c>
      <c r="F274" s="60">
        <f t="shared" si="80"/>
        <v>144</v>
      </c>
      <c r="G274" s="60">
        <f t="shared" si="80"/>
        <v>144</v>
      </c>
      <c r="H274" s="60">
        <f t="shared" si="80"/>
        <v>144</v>
      </c>
      <c r="I274" s="60">
        <f t="shared" si="80"/>
        <v>144</v>
      </c>
      <c r="J274" s="60">
        <f t="shared" si="80"/>
        <v>144</v>
      </c>
      <c r="K274" s="60">
        <f t="shared" si="80"/>
        <v>144</v>
      </c>
      <c r="L274" s="60">
        <f t="shared" si="80"/>
        <v>144</v>
      </c>
      <c r="M274" s="60">
        <f t="shared" si="80"/>
        <v>144</v>
      </c>
      <c r="N274" s="60">
        <f t="shared" si="80"/>
        <v>144</v>
      </c>
      <c r="O274" s="60">
        <f t="shared" si="80"/>
        <v>204</v>
      </c>
      <c r="P274" s="60">
        <f t="shared" si="80"/>
        <v>204</v>
      </c>
      <c r="Q274" s="60">
        <f t="shared" si="80"/>
        <v>204</v>
      </c>
      <c r="R274" s="60">
        <f t="shared" si="80"/>
        <v>204</v>
      </c>
      <c r="S274" s="60">
        <f t="shared" si="80"/>
        <v>204</v>
      </c>
      <c r="T274" s="60">
        <f t="shared" si="80"/>
        <v>204</v>
      </c>
      <c r="U274" s="60">
        <f t="shared" si="80"/>
        <v>204</v>
      </c>
      <c r="V274" s="60">
        <f t="shared" si="80"/>
        <v>204</v>
      </c>
      <c r="W274" s="60">
        <f t="shared" si="80"/>
        <v>204</v>
      </c>
      <c r="X274" s="60">
        <f t="shared" si="80"/>
        <v>204</v>
      </c>
      <c r="Y274" s="60">
        <f t="shared" si="80"/>
        <v>204</v>
      </c>
      <c r="Z274" s="60">
        <f t="shared" si="80"/>
        <v>204</v>
      </c>
      <c r="AA274" s="60">
        <f t="shared" si="80"/>
        <v>4320</v>
      </c>
      <c r="AB274" s="60">
        <f t="shared" si="80"/>
        <v>12744</v>
      </c>
      <c r="AC274" s="60">
        <f t="shared" si="80"/>
        <v>21456</v>
      </c>
      <c r="AD274" s="60">
        <f t="shared" si="80"/>
        <v>25632</v>
      </c>
      <c r="AE274" s="60">
        <f t="shared" si="80"/>
        <v>30240</v>
      </c>
    </row>
    <row r="275" spans="1:31" x14ac:dyDescent="0.25">
      <c r="A275" s="6" t="s">
        <v>717</v>
      </c>
      <c r="B275" s="23" t="s">
        <v>190</v>
      </c>
      <c r="C275" s="50">
        <f>C274</f>
        <v>144</v>
      </c>
      <c r="D275" s="50">
        <f t="shared" ref="D275:AE275" si="81">C275+D274</f>
        <v>288</v>
      </c>
      <c r="E275" s="50">
        <f t="shared" si="81"/>
        <v>432</v>
      </c>
      <c r="F275" s="50">
        <f t="shared" si="81"/>
        <v>576</v>
      </c>
      <c r="G275" s="50">
        <f t="shared" si="81"/>
        <v>720</v>
      </c>
      <c r="H275" s="50">
        <f t="shared" si="81"/>
        <v>864</v>
      </c>
      <c r="I275" s="50">
        <f t="shared" si="81"/>
        <v>1008</v>
      </c>
      <c r="J275" s="50">
        <f t="shared" si="81"/>
        <v>1152</v>
      </c>
      <c r="K275" s="50">
        <f t="shared" si="81"/>
        <v>1296</v>
      </c>
      <c r="L275" s="50">
        <f t="shared" si="81"/>
        <v>1440</v>
      </c>
      <c r="M275" s="50">
        <f t="shared" si="81"/>
        <v>1584</v>
      </c>
      <c r="N275" s="50">
        <f t="shared" si="81"/>
        <v>1728</v>
      </c>
      <c r="O275" s="50">
        <f t="shared" si="81"/>
        <v>1932</v>
      </c>
      <c r="P275" s="50">
        <f t="shared" si="81"/>
        <v>2136</v>
      </c>
      <c r="Q275" s="50">
        <f t="shared" si="81"/>
        <v>2340</v>
      </c>
      <c r="R275" s="50">
        <f t="shared" si="81"/>
        <v>2544</v>
      </c>
      <c r="S275" s="50">
        <f t="shared" si="81"/>
        <v>2748</v>
      </c>
      <c r="T275" s="50">
        <f t="shared" si="81"/>
        <v>2952</v>
      </c>
      <c r="U275" s="50">
        <f t="shared" si="81"/>
        <v>3156</v>
      </c>
      <c r="V275" s="50">
        <f t="shared" si="81"/>
        <v>3360</v>
      </c>
      <c r="W275" s="50">
        <f t="shared" si="81"/>
        <v>3564</v>
      </c>
      <c r="X275" s="50">
        <f t="shared" si="81"/>
        <v>3768</v>
      </c>
      <c r="Y275" s="50">
        <f t="shared" si="81"/>
        <v>3972</v>
      </c>
      <c r="Z275" s="50">
        <f t="shared" si="81"/>
        <v>4176</v>
      </c>
      <c r="AA275" s="50">
        <f t="shared" si="81"/>
        <v>8496</v>
      </c>
      <c r="AB275" s="50">
        <f t="shared" si="81"/>
        <v>21240</v>
      </c>
      <c r="AC275" s="50">
        <f t="shared" si="81"/>
        <v>42696</v>
      </c>
      <c r="AD275" s="50">
        <f t="shared" si="81"/>
        <v>68328</v>
      </c>
      <c r="AE275" s="50">
        <f t="shared" si="81"/>
        <v>98568</v>
      </c>
    </row>
    <row r="276" spans="1:31" x14ac:dyDescent="0.25">
      <c r="A276" s="6" t="s">
        <v>718</v>
      </c>
      <c r="B276" s="23" t="s">
        <v>703</v>
      </c>
      <c r="C276" s="62">
        <f t="shared" ref="C276:AE276" si="82">IF(C161=0,0,C275/C161)</f>
        <v>0.51729001733809066</v>
      </c>
      <c r="D276" s="62">
        <f t="shared" si="82"/>
        <v>0.53074883477080781</v>
      </c>
      <c r="E276" s="62">
        <f t="shared" si="82"/>
        <v>0.54300834184609315</v>
      </c>
      <c r="F276" s="62">
        <f t="shared" si="82"/>
        <v>0.51827743061310849</v>
      </c>
      <c r="G276" s="62">
        <f t="shared" si="82"/>
        <v>0.5155532041755625</v>
      </c>
      <c r="H276" s="62">
        <f t="shared" si="82"/>
        <v>0.52761704682493926</v>
      </c>
      <c r="I276" s="62">
        <f t="shared" si="82"/>
        <v>0.53901707607381288</v>
      </c>
      <c r="J276" s="62">
        <f t="shared" si="82"/>
        <v>0.54796064720689242</v>
      </c>
      <c r="K276" s="62">
        <f t="shared" si="82"/>
        <v>0.55003835568723314</v>
      </c>
      <c r="L276" s="62">
        <f t="shared" si="82"/>
        <v>0.53392517097959957</v>
      </c>
      <c r="M276" s="62">
        <f t="shared" si="82"/>
        <v>0.52623597687924983</v>
      </c>
      <c r="N276" s="62">
        <f t="shared" si="82"/>
        <v>0.52609192641025138</v>
      </c>
      <c r="O276" s="62">
        <f t="shared" si="82"/>
        <v>0.47646373573768358</v>
      </c>
      <c r="P276" s="62">
        <f t="shared" si="82"/>
        <v>0.44467526963110721</v>
      </c>
      <c r="Q276" s="62">
        <f t="shared" si="82"/>
        <v>0.42274451806896957</v>
      </c>
      <c r="R276" s="62">
        <f t="shared" si="82"/>
        <v>0.39342834990441633</v>
      </c>
      <c r="S276" s="62">
        <f t="shared" si="82"/>
        <v>0.37502598396424935</v>
      </c>
      <c r="T276" s="62">
        <f t="shared" si="82"/>
        <v>0.36580116434782051</v>
      </c>
      <c r="U276" s="62">
        <f t="shared" si="82"/>
        <v>0.35876427095417618</v>
      </c>
      <c r="V276" s="62">
        <f t="shared" si="82"/>
        <v>0.35247663846970312</v>
      </c>
      <c r="W276" s="62">
        <f t="shared" si="82"/>
        <v>0.34445882329329031</v>
      </c>
      <c r="X276" s="62">
        <f t="shared" si="82"/>
        <v>0.32893955091006677</v>
      </c>
      <c r="Y276" s="62">
        <f t="shared" si="82"/>
        <v>0.31787544474856044</v>
      </c>
      <c r="Z276" s="62">
        <f t="shared" si="82"/>
        <v>0.3110717194174662</v>
      </c>
      <c r="AA276" s="62">
        <f t="shared" si="82"/>
        <v>0.2921802399460891</v>
      </c>
      <c r="AB276" s="62">
        <f t="shared" si="82"/>
        <v>0.35792416752680956</v>
      </c>
      <c r="AC276" s="62">
        <f t="shared" si="82"/>
        <v>0.41111709475617431</v>
      </c>
      <c r="AD276" s="62">
        <f t="shared" si="82"/>
        <v>0.44394437146311555</v>
      </c>
      <c r="AE276" s="62">
        <f t="shared" si="82"/>
        <v>0.48833222996291981</v>
      </c>
    </row>
    <row r="277" spans="1:31" x14ac:dyDescent="0.25">
      <c r="A277" s="6" t="s">
        <v>719</v>
      </c>
      <c r="B277" s="23" t="s">
        <v>114</v>
      </c>
      <c r="C277" s="63">
        <f>(C189+C190)*C276*Assumptions!$B$211</f>
        <v>23.46940042812011</v>
      </c>
      <c r="D277" s="63">
        <f>(D189+D190)*D276*Assumptions!$B$211</f>
        <v>45.769217937295053</v>
      </c>
      <c r="E277" s="63">
        <f>(E189+E190)*E276*Assumptions!$B$211</f>
        <v>66.937188914111331</v>
      </c>
      <c r="F277" s="63">
        <f>(F189+F190)*F276*Assumptions!$B$211</f>
        <v>87.46203331562522</v>
      </c>
      <c r="G277" s="63">
        <f>(G189+G190)*G276*Assumptions!$B$211</f>
        <v>106.73979488327366</v>
      </c>
      <c r="H277" s="63">
        <f>(H189+H190)*H276*Assumptions!$B$211</f>
        <v>124.65526985302205</v>
      </c>
      <c r="I277" s="63">
        <f>(I189+I190)*I276*Assumptions!$B$211</f>
        <v>141.59006662969989</v>
      </c>
      <c r="J277" s="63">
        <f>(J189+J190)*J276*Assumptions!$B$211</f>
        <v>157.69176050890385</v>
      </c>
      <c r="K277" s="63">
        <f>(K189+K190)*K276*Assumptions!$B$211</f>
        <v>173.35960916682905</v>
      </c>
      <c r="L277" s="63">
        <f>(L189+L190)*L276*Assumptions!$B$211</f>
        <v>189.76750760442476</v>
      </c>
      <c r="M277" s="63">
        <f>(M189+M190)*M276*Assumptions!$B$211</f>
        <v>204.80204066841489</v>
      </c>
      <c r="N277" s="63">
        <f>(N189+N190)*N276*Assumptions!$B$211</f>
        <v>218.34326513958533</v>
      </c>
      <c r="O277" s="63">
        <f>(O189+O190)*O276*Assumptions!$B$211</f>
        <v>247.91341925665483</v>
      </c>
      <c r="P277" s="63">
        <f>(P189+P190)*P276*Assumptions!$B$211</f>
        <v>274.35212076955554</v>
      </c>
      <c r="Q277" s="63">
        <f>(Q189+Q190)*Q276*Assumptions!$B$211</f>
        <v>298.53421180746494</v>
      </c>
      <c r="R277" s="63">
        <f>(R189+R190)*R276*Assumptions!$B$211</f>
        <v>323.9924553049641</v>
      </c>
      <c r="S277" s="63">
        <f>(S189+S190)*S276*Assumptions!$B$211</f>
        <v>346.44420398331317</v>
      </c>
      <c r="T277" s="63">
        <f>(T189+T190)*T276*Assumptions!$B$211</f>
        <v>365.74404567851707</v>
      </c>
      <c r="U277" s="63">
        <f>(U189+U190)*U276*Assumptions!$B$211</f>
        <v>383.7605180455613</v>
      </c>
      <c r="V277" s="63">
        <f>(V189+V190)*V276*Assumptions!$B$211</f>
        <v>400.95735262997448</v>
      </c>
      <c r="W277" s="63">
        <f>(W189+W190)*W276*Assumptions!$B$211</f>
        <v>418.48206949877425</v>
      </c>
      <c r="X277" s="63">
        <f>(X189+X190)*X276*Assumptions!$B$211</f>
        <v>439.60539982553121</v>
      </c>
      <c r="Y277" s="63">
        <f>(Y189+Y190)*Y276*Assumptions!$B$211</f>
        <v>458.06291461019504</v>
      </c>
      <c r="Z277" s="63">
        <f>(Z189+Z190)*Z276*Assumptions!$B$211</f>
        <v>473.56760154506094</v>
      </c>
      <c r="AA277" s="63">
        <f>(AA189+AA190)*AA276*Assumptions!$B$211</f>
        <v>9722.5965437197938</v>
      </c>
      <c r="AB277" s="63">
        <f>(AB189+AB190)*AB276*Assumptions!$B$211</f>
        <v>22529.469291353817</v>
      </c>
      <c r="AC277" s="63">
        <f>(AC189+AC190)*AC276*Assumptions!$B$211</f>
        <v>41254.794704962558</v>
      </c>
      <c r="AD277" s="63">
        <f>(AD189+AD190)*AD276*Assumptions!$B$211</f>
        <v>57572.003572383197</v>
      </c>
      <c r="AE277" s="63">
        <f>(AE189+AE190)*AE276*Assumptions!$B$211</f>
        <v>69999.798677576968</v>
      </c>
    </row>
    <row r="278" spans="1:31" x14ac:dyDescent="0.25">
      <c r="A278" s="9" t="s">
        <v>720</v>
      </c>
    </row>
    <row r="279" spans="1:31" x14ac:dyDescent="0.25">
      <c r="A279" s="6" t="s">
        <v>721</v>
      </c>
      <c r="B279" s="23" t="s">
        <v>190</v>
      </c>
      <c r="C279" s="60">
        <f t="shared" ref="C279:AE279" si="83">C27+C70+C113</f>
        <v>0</v>
      </c>
      <c r="D279" s="60">
        <f t="shared" si="83"/>
        <v>0</v>
      </c>
      <c r="E279" s="60">
        <f t="shared" si="83"/>
        <v>0</v>
      </c>
      <c r="F279" s="60">
        <f t="shared" si="83"/>
        <v>0</v>
      </c>
      <c r="G279" s="60">
        <f t="shared" si="83"/>
        <v>0</v>
      </c>
      <c r="H279" s="60">
        <f t="shared" si="83"/>
        <v>0</v>
      </c>
      <c r="I279" s="60">
        <f t="shared" si="83"/>
        <v>0</v>
      </c>
      <c r="J279" s="60">
        <f t="shared" si="83"/>
        <v>0</v>
      </c>
      <c r="K279" s="60">
        <f t="shared" si="83"/>
        <v>0</v>
      </c>
      <c r="L279" s="60">
        <f t="shared" si="83"/>
        <v>0</v>
      </c>
      <c r="M279" s="60">
        <f t="shared" si="83"/>
        <v>0</v>
      </c>
      <c r="N279" s="60">
        <f t="shared" si="83"/>
        <v>0</v>
      </c>
      <c r="O279" s="60">
        <f t="shared" si="83"/>
        <v>76.984592021795535</v>
      </c>
      <c r="P279" s="60">
        <f t="shared" si="83"/>
        <v>96.534303275104804</v>
      </c>
      <c r="Q279" s="60">
        <f t="shared" si="83"/>
        <v>114.47946158955946</v>
      </c>
      <c r="R279" s="60">
        <f t="shared" si="83"/>
        <v>131.04211494433659</v>
      </c>
      <c r="S279" s="60">
        <f t="shared" si="83"/>
        <v>152.82383235220749</v>
      </c>
      <c r="T279" s="60">
        <f t="shared" si="83"/>
        <v>171.4388666336134</v>
      </c>
      <c r="U279" s="60">
        <f t="shared" si="83"/>
        <v>185.55727201443102</v>
      </c>
      <c r="V279" s="60">
        <f t="shared" si="83"/>
        <v>198.51901426185822</v>
      </c>
      <c r="W279" s="60">
        <f t="shared" si="83"/>
        <v>211.11629155946483</v>
      </c>
      <c r="X279" s="60">
        <f t="shared" si="83"/>
        <v>225.4729921206112</v>
      </c>
      <c r="Y279" s="60">
        <f t="shared" si="83"/>
        <v>248.02807062752981</v>
      </c>
      <c r="Z279" s="60">
        <f t="shared" si="83"/>
        <v>267.43510810408549</v>
      </c>
      <c r="AA279" s="60">
        <f t="shared" si="83"/>
        <v>3390.3768621346226</v>
      </c>
      <c r="AB279" s="60">
        <f t="shared" si="83"/>
        <v>6183.203530376577</v>
      </c>
      <c r="AC279" s="60">
        <f t="shared" si="83"/>
        <v>11750.137892613777</v>
      </c>
      <c r="AD279" s="60">
        <f t="shared" si="83"/>
        <v>18742.508186396408</v>
      </c>
      <c r="AE279" s="60">
        <f t="shared" si="83"/>
        <v>24118.386222438094</v>
      </c>
    </row>
    <row r="280" spans="1:31" x14ac:dyDescent="0.25">
      <c r="A280" s="6" t="s">
        <v>722</v>
      </c>
      <c r="B280" s="23" t="s">
        <v>114</v>
      </c>
      <c r="C280" s="63">
        <f>(C27*Assumptions!$B$190+C70*Assumptions!$B$191+C113*Assumptions!$B$192)*6*Assumptions!$B$8*Assumptions!$B$212</f>
        <v>0</v>
      </c>
      <c r="D280" s="63">
        <f>(D27*Assumptions!$B$190+D70*Assumptions!$B$191+D113*Assumptions!$B$192)*6*Assumptions!$B$8*Assumptions!$B$212</f>
        <v>0</v>
      </c>
      <c r="E280" s="63">
        <f>(E27*Assumptions!$B$190+E70*Assumptions!$B$191+E113*Assumptions!$B$192)*6*Assumptions!$B$8*Assumptions!$B$212</f>
        <v>0</v>
      </c>
      <c r="F280" s="63">
        <f>(F27*Assumptions!$B$190+F70*Assumptions!$B$191+F113*Assumptions!$B$192)*6*Assumptions!$B$8*Assumptions!$B$212</f>
        <v>0</v>
      </c>
      <c r="G280" s="63">
        <f>(G27*Assumptions!$B$190+G70*Assumptions!$B$191+G113*Assumptions!$B$192)*6*Assumptions!$B$8*Assumptions!$B$212</f>
        <v>0</v>
      </c>
      <c r="H280" s="63">
        <f>(H27*Assumptions!$B$190+H70*Assumptions!$B$191+H113*Assumptions!$B$192)*6*Assumptions!$B$8*Assumptions!$B$212</f>
        <v>0</v>
      </c>
      <c r="I280" s="63">
        <f>(I27*Assumptions!$B$190+I70*Assumptions!$B$191+I113*Assumptions!$B$192)*6*Assumptions!$B$8*Assumptions!$B$212</f>
        <v>0</v>
      </c>
      <c r="J280" s="63">
        <f>(J27*Assumptions!$B$190+J70*Assumptions!$B$191+J113*Assumptions!$B$192)*6*Assumptions!$B$8*Assumptions!$B$212</f>
        <v>0</v>
      </c>
      <c r="K280" s="63">
        <f>(K27*Assumptions!$B$190+K70*Assumptions!$B$191+K113*Assumptions!$B$192)*6*Assumptions!$B$8*Assumptions!$B$212</f>
        <v>0</v>
      </c>
      <c r="L280" s="63">
        <f>(L27*Assumptions!$B$190+L70*Assumptions!$B$191+L113*Assumptions!$B$192)*6*Assumptions!$B$8*Assumptions!$B$212</f>
        <v>0</v>
      </c>
      <c r="M280" s="63">
        <f>(M27*Assumptions!$B$190+M70*Assumptions!$B$191+M113*Assumptions!$B$192)*6*Assumptions!$B$8*Assumptions!$B$212</f>
        <v>0</v>
      </c>
      <c r="N280" s="63">
        <f>(N27*Assumptions!$B$190+N70*Assumptions!$B$191+N113*Assumptions!$B$192)*6*Assumptions!$B$8*Assumptions!$B$212</f>
        <v>0</v>
      </c>
      <c r="O280" s="63">
        <f>(O27*Assumptions!$B$190+O70*Assumptions!$B$191+O113*Assumptions!$B$192)*6*Assumptions!$B$8*Assumptions!$B$212</f>
        <v>215.2756990599151</v>
      </c>
      <c r="P280" s="63">
        <f>(P27*Assumptions!$B$190+P70*Assumptions!$B$191+P113*Assumptions!$B$192)*6*Assumptions!$B$8*Assumptions!$B$212</f>
        <v>269.68588446972069</v>
      </c>
      <c r="Q280" s="63">
        <f>(Q27*Assumptions!$B$190+Q70*Assumptions!$B$191+Q113*Assumptions!$B$192)*6*Assumptions!$B$8*Assumptions!$B$212</f>
        <v>319.62927751313174</v>
      </c>
      <c r="R280" s="63">
        <f>(R27*Assumptions!$B$190+R70*Assumptions!$B$191+R113*Assumptions!$B$192)*6*Assumptions!$B$8*Assumptions!$B$212</f>
        <v>365.72427735117213</v>
      </c>
      <c r="S280" s="63">
        <f>(S27*Assumptions!$B$190+S70*Assumptions!$B$191+S113*Assumptions!$B$192)*6*Assumptions!$B$8*Assumptions!$B$212</f>
        <v>426.3584258138867</v>
      </c>
      <c r="T280" s="63">
        <f>(T27*Assumptions!$B$190+T70*Assumptions!$B$191+T113*Assumptions!$B$192)*6*Assumptions!$B$8*Assumptions!$B$212</f>
        <v>478.17514748342717</v>
      </c>
      <c r="U280" s="63">
        <f>(U27*Assumptions!$B$190+U70*Assumptions!$B$191+U113*Assumptions!$B$192)*6*Assumptions!$B$8*Assumptions!$B$212</f>
        <v>517.4695777440586</v>
      </c>
      <c r="V280" s="63">
        <f>(V27*Assumptions!$B$190+V70*Assumptions!$B$191+V113*Assumptions!$B$192)*6*Assumptions!$B$8*Assumptions!$B$212</f>
        <v>553.5444551827029</v>
      </c>
      <c r="W280" s="63">
        <f>(W27*Assumptions!$B$190+W70*Assumptions!$B$191+W113*Assumptions!$B$192)*6*Assumptions!$B$8*Assumptions!$B$212</f>
        <v>588.60632793712455</v>
      </c>
      <c r="X280" s="63">
        <f>(X27*Assumptions!$B$190+X70*Assumptions!$B$191+X113*Assumptions!$B$192)*6*Assumptions!$B$8*Assumptions!$B$212</f>
        <v>628.57134588850602</v>
      </c>
      <c r="Y280" s="63">
        <f>(Y27*Assumptions!$B$190+Y70*Assumptions!$B$191+Y113*Assumptions!$B$192)*6*Assumptions!$B$8*Assumptions!$B$212</f>
        <v>691.37611086442405</v>
      </c>
      <c r="Z280" s="63">
        <f>(Z27*Assumptions!$B$190+Z70*Assumptions!$B$191+Z113*Assumptions!$B$192)*6*Assumptions!$B$8*Assumptions!$B$212</f>
        <v>745.41558505134799</v>
      </c>
      <c r="AA280" s="63">
        <f>(AA27*Assumptions!$B$190+AA70*Assumptions!$B$191+AA113*Assumptions!$B$192)*6*Assumptions!$B$8*Assumptions!$B$212</f>
        <v>9449.4013616733719</v>
      </c>
      <c r="AB280" s="63">
        <f>(AB27*Assumptions!$B$190+AB70*Assumptions!$B$191+AB113*Assumptions!$B$192)*6*Assumptions!$B$8*Assumptions!$B$212</f>
        <v>17209.989388905728</v>
      </c>
      <c r="AC280" s="63">
        <f>(AC27*Assumptions!$B$190+AC70*Assumptions!$B$191+AC113*Assumptions!$B$192)*6*Assumptions!$B$8*Assumptions!$B$212</f>
        <v>32589.677650304155</v>
      </c>
      <c r="AD280" s="63">
        <f>(AD27*Assumptions!$B$190+AD70*Assumptions!$B$191+AD113*Assumptions!$B$192)*6*Assumptions!$B$8*Assumptions!$B$212</f>
        <v>51958.320651005524</v>
      </c>
      <c r="AE280" s="63">
        <f>(AE27*Assumptions!$B$190+AE70*Assumptions!$B$191+AE113*Assumptions!$B$192)*6*Assumptions!$B$8*Assumptions!$B$212</f>
        <v>67063.161264909271</v>
      </c>
    </row>
    <row r="281" spans="1:31" x14ac:dyDescent="0.25">
      <c r="A281" s="9" t="s">
        <v>723</v>
      </c>
    </row>
    <row r="282" spans="1:31" x14ac:dyDescent="0.25">
      <c r="A282" s="3" t="s">
        <v>724</v>
      </c>
      <c r="B282" s="23" t="s">
        <v>114</v>
      </c>
      <c r="C282" s="63">
        <f t="shared" ref="C282:AE282" si="84">C272+C277+C280</f>
        <v>7523.46940042812</v>
      </c>
      <c r="D282" s="63">
        <f t="shared" si="84"/>
        <v>7545.7692179372953</v>
      </c>
      <c r="E282" s="63">
        <f t="shared" si="84"/>
        <v>7566.9371889141112</v>
      </c>
      <c r="F282" s="63">
        <f t="shared" si="84"/>
        <v>7587.4620333156254</v>
      </c>
      <c r="G282" s="63">
        <f t="shared" si="84"/>
        <v>7606.739794883274</v>
      </c>
      <c r="H282" s="63">
        <f t="shared" si="84"/>
        <v>7624.6552698530222</v>
      </c>
      <c r="I282" s="63">
        <f t="shared" si="84"/>
        <v>7641.5900666297002</v>
      </c>
      <c r="J282" s="63">
        <f t="shared" si="84"/>
        <v>7657.6917605089038</v>
      </c>
      <c r="K282" s="63">
        <f t="shared" si="84"/>
        <v>7673.3596091668287</v>
      </c>
      <c r="L282" s="63">
        <f t="shared" si="84"/>
        <v>7689.7675076044252</v>
      </c>
      <c r="M282" s="63">
        <f t="shared" si="84"/>
        <v>7704.8020406684145</v>
      </c>
      <c r="N282" s="63">
        <f t="shared" si="84"/>
        <v>7718.3432651395851</v>
      </c>
      <c r="O282" s="63">
        <f t="shared" si="84"/>
        <v>22963.189118316572</v>
      </c>
      <c r="P282" s="63">
        <f t="shared" si="84"/>
        <v>23044.038005239276</v>
      </c>
      <c r="Q282" s="63">
        <f t="shared" si="84"/>
        <v>23118.163489320599</v>
      </c>
      <c r="R282" s="63">
        <f t="shared" si="84"/>
        <v>23189.716732656136</v>
      </c>
      <c r="S282" s="63">
        <f t="shared" si="84"/>
        <v>23272.802629797199</v>
      </c>
      <c r="T282" s="63">
        <f t="shared" si="84"/>
        <v>23343.919193161946</v>
      </c>
      <c r="U282" s="63">
        <f t="shared" si="84"/>
        <v>23401.230095789619</v>
      </c>
      <c r="V282" s="63">
        <f t="shared" si="84"/>
        <v>23454.501807812678</v>
      </c>
      <c r="W282" s="63">
        <f t="shared" si="84"/>
        <v>23507.088397435899</v>
      </c>
      <c r="X282" s="63">
        <f t="shared" si="84"/>
        <v>23568.176745714038</v>
      </c>
      <c r="Y282" s="63">
        <f t="shared" si="84"/>
        <v>23649.439025474621</v>
      </c>
      <c r="Z282" s="63">
        <f t="shared" si="84"/>
        <v>23718.983186596412</v>
      </c>
      <c r="AA282" s="63">
        <f t="shared" si="84"/>
        <v>394171.99790539319</v>
      </c>
      <c r="AB282" s="63">
        <f t="shared" si="84"/>
        <v>639739.45868025953</v>
      </c>
      <c r="AC282" s="63">
        <f t="shared" si="84"/>
        <v>973844.47235526668</v>
      </c>
      <c r="AD282" s="63">
        <f t="shared" si="84"/>
        <v>1384530.3242233887</v>
      </c>
      <c r="AE282" s="63">
        <f t="shared" si="84"/>
        <v>1787062.9599424861</v>
      </c>
    </row>
    <row r="283" spans="1:31" x14ac:dyDescent="0.25">
      <c r="A283" s="6" t="s">
        <v>725</v>
      </c>
      <c r="B283" s="23" t="s">
        <v>114</v>
      </c>
      <c r="C283" s="59">
        <f t="shared" ref="C283:AE283" si="85">IF(C162=0,0,C282/C162)</f>
        <v>27.02649733743095</v>
      </c>
      <c r="D283" s="59">
        <f t="shared" si="85"/>
        <v>28.554799521961346</v>
      </c>
      <c r="E283" s="59">
        <f t="shared" si="85"/>
        <v>29.91613352929814</v>
      </c>
      <c r="F283" s="59">
        <f t="shared" si="85"/>
        <v>24.025706262263299</v>
      </c>
      <c r="G283" s="59">
        <f t="shared" si="85"/>
        <v>26.67307474738984</v>
      </c>
      <c r="H283" s="59">
        <f t="shared" si="85"/>
        <v>31.638460859176419</v>
      </c>
      <c r="I283" s="59">
        <f t="shared" si="85"/>
        <v>32.864327621438413</v>
      </c>
      <c r="J283" s="59">
        <f t="shared" si="85"/>
        <v>32.968904720776521</v>
      </c>
      <c r="K283" s="59">
        <f t="shared" si="85"/>
        <v>30.226908230305231</v>
      </c>
      <c r="L283" s="59">
        <f t="shared" si="85"/>
        <v>22.563353894867276</v>
      </c>
      <c r="M283" s="59">
        <f t="shared" si="85"/>
        <v>24.612103279459813</v>
      </c>
      <c r="N283" s="59">
        <f t="shared" si="85"/>
        <v>28.113666597018227</v>
      </c>
      <c r="O283" s="59">
        <f t="shared" si="85"/>
        <v>29.811635431749245</v>
      </c>
      <c r="P283" s="59">
        <f t="shared" si="85"/>
        <v>30.781523909647522</v>
      </c>
      <c r="Q283" s="59">
        <f t="shared" si="85"/>
        <v>31.592860045312403</v>
      </c>
      <c r="R283" s="59">
        <f t="shared" si="85"/>
        <v>24.909024271869452</v>
      </c>
      <c r="S283" s="59">
        <f t="shared" si="85"/>
        <v>27.021880597673626</v>
      </c>
      <c r="T283" s="59">
        <f t="shared" si="85"/>
        <v>31.441076910365279</v>
      </c>
      <c r="U283" s="59">
        <f t="shared" si="85"/>
        <v>32.192982390949659</v>
      </c>
      <c r="V283" s="59">
        <f t="shared" si="85"/>
        <v>31.881215819755596</v>
      </c>
      <c r="W283" s="59">
        <f t="shared" si="85"/>
        <v>28.874294169384239</v>
      </c>
      <c r="X283" s="59">
        <f t="shared" si="85"/>
        <v>21.264634624992471</v>
      </c>
      <c r="Y283" s="59">
        <f t="shared" si="85"/>
        <v>22.729615386109508</v>
      </c>
      <c r="Z283" s="59">
        <f t="shared" si="85"/>
        <v>25.529081635818653</v>
      </c>
      <c r="AA283" s="59">
        <f t="shared" si="85"/>
        <v>25.181262819438675</v>
      </c>
      <c r="AB283" s="59">
        <f t="shared" si="85"/>
        <v>21.138463018802305</v>
      </c>
      <c r="AC283" s="59">
        <f t="shared" si="85"/>
        <v>21.87851867719165</v>
      </c>
      <c r="AD283" s="59">
        <f t="shared" si="85"/>
        <v>27.658770254935224</v>
      </c>
      <c r="AE283" s="59">
        <f t="shared" si="85"/>
        <v>37.280951687285281</v>
      </c>
    </row>
    <row r="284" spans="1:31" x14ac:dyDescent="0.25">
      <c r="A284" s="9" t="s">
        <v>726</v>
      </c>
    </row>
    <row r="287" spans="1:31" x14ac:dyDescent="0.25">
      <c r="A287" s="51" t="s">
        <v>727</v>
      </c>
      <c r="B287" s="52"/>
      <c r="C287" s="52"/>
      <c r="D287" s="52"/>
      <c r="E287" s="52"/>
      <c r="F287" s="52"/>
      <c r="G287" s="52"/>
      <c r="H287" s="52"/>
      <c r="I287" s="52"/>
      <c r="J287" s="52"/>
      <c r="K287" s="52"/>
      <c r="L287" s="52"/>
      <c r="M287" s="52"/>
      <c r="N287" s="52"/>
      <c r="O287" s="52"/>
      <c r="P287" s="52"/>
      <c r="Q287" s="52"/>
      <c r="R287" s="52"/>
      <c r="S287" s="52"/>
      <c r="T287" s="52"/>
      <c r="U287" s="52"/>
      <c r="V287" s="52"/>
      <c r="W287" s="52"/>
      <c r="X287" s="52"/>
      <c r="Y287" s="52"/>
      <c r="Z287" s="52"/>
      <c r="AA287" s="52"/>
      <c r="AB287" s="52"/>
      <c r="AC287" s="52"/>
      <c r="AD287" s="52"/>
      <c r="AE287" s="52"/>
    </row>
    <row r="288" spans="1:31" x14ac:dyDescent="0.25">
      <c r="A288" s="6" t="s">
        <v>728</v>
      </c>
      <c r="B288" s="23" t="s">
        <v>587</v>
      </c>
      <c r="C288" s="60">
        <f t="shared" ref="C288:AE288" si="86">C48+C91+C134</f>
        <v>0</v>
      </c>
      <c r="D288" s="60">
        <f t="shared" si="86"/>
        <v>0</v>
      </c>
      <c r="E288" s="60">
        <f t="shared" si="86"/>
        <v>0</v>
      </c>
      <c r="F288" s="60">
        <f t="shared" si="86"/>
        <v>0</v>
      </c>
      <c r="G288" s="60">
        <f t="shared" si="86"/>
        <v>0</v>
      </c>
      <c r="H288" s="60">
        <f t="shared" si="86"/>
        <v>0</v>
      </c>
      <c r="I288" s="60">
        <f t="shared" si="86"/>
        <v>0</v>
      </c>
      <c r="J288" s="60">
        <f t="shared" si="86"/>
        <v>0</v>
      </c>
      <c r="K288" s="60">
        <f t="shared" si="86"/>
        <v>0</v>
      </c>
      <c r="L288" s="60">
        <f t="shared" si="86"/>
        <v>0</v>
      </c>
      <c r="M288" s="60">
        <f t="shared" si="86"/>
        <v>0</v>
      </c>
      <c r="N288" s="60">
        <f t="shared" si="86"/>
        <v>0</v>
      </c>
      <c r="O288" s="60">
        <f t="shared" si="86"/>
        <v>729.87716360318916</v>
      </c>
      <c r="P288" s="60">
        <f t="shared" si="86"/>
        <v>134.75378454680833</v>
      </c>
      <c r="Q288" s="60">
        <f t="shared" si="86"/>
        <v>131.71550224035943</v>
      </c>
      <c r="R288" s="60">
        <f t="shared" si="86"/>
        <v>167.57577359592131</v>
      </c>
      <c r="S288" s="60">
        <f t="shared" si="86"/>
        <v>155.02638531102616</v>
      </c>
      <c r="T288" s="60">
        <f t="shared" si="86"/>
        <v>133.64381464249067</v>
      </c>
      <c r="U288" s="60">
        <f t="shared" si="86"/>
        <v>130.8428453781998</v>
      </c>
      <c r="V288" s="60">
        <f t="shared" si="86"/>
        <v>132.42312806621962</v>
      </c>
      <c r="W288" s="60">
        <f t="shared" si="86"/>
        <v>146.54127601238244</v>
      </c>
      <c r="X288" s="60">
        <f t="shared" si="86"/>
        <v>199.49892810490866</v>
      </c>
      <c r="Y288" s="60">
        <f t="shared" si="86"/>
        <v>187.28425238497007</v>
      </c>
      <c r="Z288" s="60">
        <f t="shared" si="86"/>
        <v>167.23738967551205</v>
      </c>
      <c r="AA288" s="60">
        <f t="shared" si="86"/>
        <v>2817.6092728836529</v>
      </c>
      <c r="AB288" s="60">
        <f t="shared" si="86"/>
        <v>5447.5626946017765</v>
      </c>
      <c r="AC288" s="60">
        <f t="shared" si="86"/>
        <v>8012.0600306770284</v>
      </c>
      <c r="AD288" s="60">
        <f t="shared" si="86"/>
        <v>9010.3593205031175</v>
      </c>
      <c r="AE288" s="60">
        <f t="shared" si="86"/>
        <v>8628.3026111523322</v>
      </c>
    </row>
    <row r="289" spans="1:31" x14ac:dyDescent="0.25">
      <c r="A289" s="6" t="s">
        <v>729</v>
      </c>
      <c r="B289" s="23" t="s">
        <v>114</v>
      </c>
      <c r="C289" s="63">
        <f>IF(C2&gt;=Assumptions!$B$51,Assumptions!$B$213*C7/12,0)</f>
        <v>0</v>
      </c>
      <c r="D289" s="63">
        <f>IF(D2&gt;=Assumptions!$B$51,Assumptions!$B$213*D7/12,0)</f>
        <v>0</v>
      </c>
      <c r="E289" s="63">
        <f>IF(E2&gt;=Assumptions!$B$51,Assumptions!$B$213*E7/12,0)</f>
        <v>0</v>
      </c>
      <c r="F289" s="63">
        <f>IF(F2&gt;=Assumptions!$B$51,Assumptions!$B$213*F7/12,0)</f>
        <v>0</v>
      </c>
      <c r="G289" s="63">
        <f>IF(G2&gt;=Assumptions!$B$51,Assumptions!$B$213*G7/12,0)</f>
        <v>0</v>
      </c>
      <c r="H289" s="63">
        <f>IF(H2&gt;=Assumptions!$B$51,Assumptions!$B$213*H7/12,0)</f>
        <v>0</v>
      </c>
      <c r="I289" s="63">
        <f>IF(I2&gt;=Assumptions!$B$51,Assumptions!$B$213*I7/12,0)</f>
        <v>0</v>
      </c>
      <c r="J289" s="63">
        <f>IF(J2&gt;=Assumptions!$B$51,Assumptions!$B$213*J7/12,0)</f>
        <v>0</v>
      </c>
      <c r="K289" s="63">
        <f>IF(K2&gt;=Assumptions!$B$51,Assumptions!$B$213*K7/12,0)</f>
        <v>0</v>
      </c>
      <c r="L289" s="63">
        <f>IF(L2&gt;=Assumptions!$B$51,Assumptions!$B$213*L7/12,0)</f>
        <v>0</v>
      </c>
      <c r="M289" s="63">
        <f>IF(M2&gt;=Assumptions!$B$51,Assumptions!$B$213*M7/12,0)</f>
        <v>0</v>
      </c>
      <c r="N289" s="63">
        <f>IF(N2&gt;=Assumptions!$B$51,Assumptions!$B$213*N7/12,0)</f>
        <v>0</v>
      </c>
      <c r="O289" s="63">
        <f>IF(O2&gt;=Assumptions!$B$51,Assumptions!$B$213*O7/12,0)</f>
        <v>2500</v>
      </c>
      <c r="P289" s="63">
        <f>IF(P2&gt;=Assumptions!$B$51,Assumptions!$B$213*P7/12,0)</f>
        <v>2500</v>
      </c>
      <c r="Q289" s="63">
        <f>IF(Q2&gt;=Assumptions!$B$51,Assumptions!$B$213*Q7/12,0)</f>
        <v>2500</v>
      </c>
      <c r="R289" s="63">
        <f>IF(R2&gt;=Assumptions!$B$51,Assumptions!$B$213*R7/12,0)</f>
        <v>2500</v>
      </c>
      <c r="S289" s="63">
        <f>IF(S2&gt;=Assumptions!$B$51,Assumptions!$B$213*S7/12,0)</f>
        <v>2500</v>
      </c>
      <c r="T289" s="63">
        <f>IF(T2&gt;=Assumptions!$B$51,Assumptions!$B$213*T7/12,0)</f>
        <v>2500</v>
      </c>
      <c r="U289" s="63">
        <f>IF(U2&gt;=Assumptions!$B$51,Assumptions!$B$213*U7/12,0)</f>
        <v>2500</v>
      </c>
      <c r="V289" s="63">
        <f>IF(V2&gt;=Assumptions!$B$51,Assumptions!$B$213*V7/12,0)</f>
        <v>2500</v>
      </c>
      <c r="W289" s="63">
        <f>IF(W2&gt;=Assumptions!$B$51,Assumptions!$B$213*W7/12,0)</f>
        <v>2500</v>
      </c>
      <c r="X289" s="63">
        <f>IF(X2&gt;=Assumptions!$B$51,Assumptions!$B$213*X7/12,0)</f>
        <v>2500</v>
      </c>
      <c r="Y289" s="63">
        <f>IF(Y2&gt;=Assumptions!$B$51,Assumptions!$B$213*Y7/12,0)</f>
        <v>2500</v>
      </c>
      <c r="Z289" s="63">
        <f>IF(Z2&gt;=Assumptions!$B$51,Assumptions!$B$213*Z7/12,0)</f>
        <v>2500</v>
      </c>
      <c r="AA289" s="63">
        <f>IF(AA2&gt;=Assumptions!$B$51,Assumptions!$B$213*AA7/12,0)</f>
        <v>30000</v>
      </c>
      <c r="AB289" s="63">
        <f>IF(AB2&gt;=Assumptions!$B$51,Assumptions!$B$213*AB7/12,0)</f>
        <v>30000</v>
      </c>
      <c r="AC289" s="63">
        <f>IF(AC2&gt;=Assumptions!$B$51,Assumptions!$B$213*AC7/12,0)</f>
        <v>30000</v>
      </c>
      <c r="AD289" s="63">
        <f>IF(AD2&gt;=Assumptions!$B$51,Assumptions!$B$213*AD7/12,0)</f>
        <v>30000</v>
      </c>
      <c r="AE289" s="63">
        <f>IF(AE2&gt;=Assumptions!$B$51,Assumptions!$B$213*AE7/12,0)</f>
        <v>30000</v>
      </c>
    </row>
    <row r="290" spans="1:31" x14ac:dyDescent="0.25">
      <c r="A290" s="9" t="s">
        <v>730</v>
      </c>
    </row>
    <row r="291" spans="1:31" x14ac:dyDescent="0.25">
      <c r="A291" s="6" t="s">
        <v>731</v>
      </c>
      <c r="B291" s="23" t="s">
        <v>114</v>
      </c>
      <c r="C291" s="63">
        <f>IF(C2=Assumptions!$B$51,Assumptions!$B$214,0)</f>
        <v>0</v>
      </c>
      <c r="D291" s="63">
        <f>IF(D2=Assumptions!$B$51,Assumptions!$B$214,0)</f>
        <v>0</v>
      </c>
      <c r="E291" s="63">
        <f>IF(E2=Assumptions!$B$51,Assumptions!$B$214,0)</f>
        <v>0</v>
      </c>
      <c r="F291" s="63">
        <f>IF(F2=Assumptions!$B$51,Assumptions!$B$214,0)</f>
        <v>0</v>
      </c>
      <c r="G291" s="63">
        <f>IF(G2=Assumptions!$B$51,Assumptions!$B$214,0)</f>
        <v>0</v>
      </c>
      <c r="H291" s="63">
        <f>IF(H2=Assumptions!$B$51,Assumptions!$B$214,0)</f>
        <v>0</v>
      </c>
      <c r="I291" s="63">
        <f>IF(I2=Assumptions!$B$51,Assumptions!$B$214,0)</f>
        <v>0</v>
      </c>
      <c r="J291" s="63">
        <f>IF(J2=Assumptions!$B$51,Assumptions!$B$214,0)</f>
        <v>0</v>
      </c>
      <c r="K291" s="63">
        <f>IF(K2=Assumptions!$B$51,Assumptions!$B$214,0)</f>
        <v>0</v>
      </c>
      <c r="L291" s="63">
        <f>IF(L2=Assumptions!$B$51,Assumptions!$B$214,0)</f>
        <v>0</v>
      </c>
      <c r="M291" s="63">
        <f>IF(M2=Assumptions!$B$51,Assumptions!$B$214,0)</f>
        <v>0</v>
      </c>
      <c r="N291" s="63">
        <f>IF(N2=Assumptions!$B$51,Assumptions!$B$214,0)</f>
        <v>0</v>
      </c>
      <c r="O291" s="63">
        <f>IF(O2=Assumptions!$B$51,Assumptions!$B$214,0)</f>
        <v>50000</v>
      </c>
      <c r="P291" s="63">
        <f>IF(P2=Assumptions!$B$51,Assumptions!$B$214,0)</f>
        <v>0</v>
      </c>
      <c r="Q291" s="63">
        <f>IF(Q2=Assumptions!$B$51,Assumptions!$B$214,0)</f>
        <v>0</v>
      </c>
      <c r="R291" s="63">
        <f>IF(R2=Assumptions!$B$51,Assumptions!$B$214,0)</f>
        <v>0</v>
      </c>
      <c r="S291" s="63">
        <f>IF(S2=Assumptions!$B$51,Assumptions!$B$214,0)</f>
        <v>0</v>
      </c>
      <c r="T291" s="63">
        <f>IF(T2=Assumptions!$B$51,Assumptions!$B$214,0)</f>
        <v>0</v>
      </c>
      <c r="U291" s="63">
        <f>IF(U2=Assumptions!$B$51,Assumptions!$B$214,0)</f>
        <v>0</v>
      </c>
      <c r="V291" s="63">
        <f>IF(V2=Assumptions!$B$51,Assumptions!$B$214,0)</f>
        <v>0</v>
      </c>
      <c r="W291" s="63">
        <f>IF(W2=Assumptions!$B$51,Assumptions!$B$214,0)</f>
        <v>0</v>
      </c>
      <c r="X291" s="63">
        <f>IF(X2=Assumptions!$B$51,Assumptions!$B$214,0)</f>
        <v>0</v>
      </c>
      <c r="Y291" s="63">
        <f>IF(Y2=Assumptions!$B$51,Assumptions!$B$214,0)</f>
        <v>0</v>
      </c>
      <c r="Z291" s="63">
        <f>IF(Z2=Assumptions!$B$51,Assumptions!$B$214,0)</f>
        <v>0</v>
      </c>
      <c r="AA291" s="63">
        <f>IF(AA2=Assumptions!$B$51,Assumptions!$B$214,0)</f>
        <v>0</v>
      </c>
      <c r="AB291" s="63">
        <f>IF(AB2=Assumptions!$B$51,Assumptions!$B$214,0)</f>
        <v>0</v>
      </c>
      <c r="AC291" s="63">
        <f>IF(AC2=Assumptions!$B$51,Assumptions!$B$214,0)</f>
        <v>0</v>
      </c>
      <c r="AD291" s="63">
        <f>IF(AD2=Assumptions!$B$51,Assumptions!$B$214,0)</f>
        <v>0</v>
      </c>
      <c r="AE291" s="63">
        <f>IF(AE2=Assumptions!$B$51,Assumptions!$B$214,0)</f>
        <v>0</v>
      </c>
    </row>
    <row r="292" spans="1:31" x14ac:dyDescent="0.25">
      <c r="A292" s="6" t="s">
        <v>732</v>
      </c>
      <c r="B292" s="23" t="s">
        <v>114</v>
      </c>
      <c r="C292" s="63">
        <f>C288*Assumptions!$B$215</f>
        <v>0</v>
      </c>
      <c r="D292" s="63">
        <f>D288*Assumptions!$B$215</f>
        <v>0</v>
      </c>
      <c r="E292" s="63">
        <f>E288*Assumptions!$B$215</f>
        <v>0</v>
      </c>
      <c r="F292" s="63">
        <f>F288*Assumptions!$B$215</f>
        <v>0</v>
      </c>
      <c r="G292" s="63">
        <f>G288*Assumptions!$B$215</f>
        <v>0</v>
      </c>
      <c r="H292" s="63">
        <f>H288*Assumptions!$B$215</f>
        <v>0</v>
      </c>
      <c r="I292" s="63">
        <f>I288*Assumptions!$B$215</f>
        <v>0</v>
      </c>
      <c r="J292" s="63">
        <f>J288*Assumptions!$B$215</f>
        <v>0</v>
      </c>
      <c r="K292" s="63">
        <f>K288*Assumptions!$B$215</f>
        <v>0</v>
      </c>
      <c r="L292" s="63">
        <f>L288*Assumptions!$B$215</f>
        <v>0</v>
      </c>
      <c r="M292" s="63">
        <f>M288*Assumptions!$B$215</f>
        <v>0</v>
      </c>
      <c r="N292" s="63">
        <f>N288*Assumptions!$B$215</f>
        <v>0</v>
      </c>
      <c r="O292" s="63">
        <f>O288*Assumptions!$B$215</f>
        <v>2919.5086544127566</v>
      </c>
      <c r="P292" s="63">
        <f>P288*Assumptions!$B$215</f>
        <v>539.01513818723333</v>
      </c>
      <c r="Q292" s="63">
        <f>Q288*Assumptions!$B$215</f>
        <v>526.86200896143771</v>
      </c>
      <c r="R292" s="63">
        <f>R288*Assumptions!$B$215</f>
        <v>670.30309438368522</v>
      </c>
      <c r="S292" s="63">
        <f>S288*Assumptions!$B$215</f>
        <v>620.10554124410464</v>
      </c>
      <c r="T292" s="63">
        <f>T288*Assumptions!$B$215</f>
        <v>534.57525856996267</v>
      </c>
      <c r="U292" s="63">
        <f>U288*Assumptions!$B$215</f>
        <v>523.37138151279919</v>
      </c>
      <c r="V292" s="63">
        <f>V288*Assumptions!$B$215</f>
        <v>529.69251226487847</v>
      </c>
      <c r="W292" s="63">
        <f>W288*Assumptions!$B$215</f>
        <v>586.16510404952976</v>
      </c>
      <c r="X292" s="63">
        <f>X288*Assumptions!$B$215</f>
        <v>797.99571241963463</v>
      </c>
      <c r="Y292" s="63">
        <f>Y288*Assumptions!$B$215</f>
        <v>749.1370095398803</v>
      </c>
      <c r="Z292" s="63">
        <f>Z288*Assumptions!$B$215</f>
        <v>668.94955870204819</v>
      </c>
      <c r="AA292" s="63">
        <f>AA288*Assumptions!$B$215</f>
        <v>11270.437091534612</v>
      </c>
      <c r="AB292" s="63">
        <f>AB288*Assumptions!$B$215</f>
        <v>21790.250778407106</v>
      </c>
      <c r="AC292" s="63">
        <f>AC288*Assumptions!$B$215</f>
        <v>32048.240122708114</v>
      </c>
      <c r="AD292" s="63">
        <f>AD288*Assumptions!$B$215</f>
        <v>36041.43728201247</v>
      </c>
      <c r="AE292" s="63">
        <f>AE288*Assumptions!$B$215</f>
        <v>34513.210444609329</v>
      </c>
    </row>
    <row r="293" spans="1:31" x14ac:dyDescent="0.25">
      <c r="A293" s="6" t="s">
        <v>733</v>
      </c>
      <c r="B293" s="23" t="s">
        <v>114</v>
      </c>
      <c r="C293" s="63">
        <f>C196*Assumptions!$B$216</f>
        <v>0</v>
      </c>
      <c r="D293" s="63">
        <f>D196*Assumptions!$B$216</f>
        <v>0</v>
      </c>
      <c r="E293" s="63">
        <f>E196*Assumptions!$B$216</f>
        <v>0</v>
      </c>
      <c r="F293" s="63">
        <f>F196*Assumptions!$B$216</f>
        <v>0</v>
      </c>
      <c r="G293" s="63">
        <f>G196*Assumptions!$B$216</f>
        <v>0</v>
      </c>
      <c r="H293" s="63">
        <f>H196*Assumptions!$B$216</f>
        <v>0</v>
      </c>
      <c r="I293" s="63">
        <f>I196*Assumptions!$B$216</f>
        <v>0</v>
      </c>
      <c r="J293" s="63">
        <f>J196*Assumptions!$B$216</f>
        <v>0</v>
      </c>
      <c r="K293" s="63">
        <f>K196*Assumptions!$B$216</f>
        <v>0</v>
      </c>
      <c r="L293" s="63">
        <f>L196*Assumptions!$B$216</f>
        <v>0</v>
      </c>
      <c r="M293" s="63">
        <f>M196*Assumptions!$B$216</f>
        <v>0</v>
      </c>
      <c r="N293" s="63">
        <f>N196*Assumptions!$B$216</f>
        <v>0</v>
      </c>
      <c r="O293" s="63">
        <f>O196*Assumptions!$B$216</f>
        <v>16.247065661806992</v>
      </c>
      <c r="P293" s="63">
        <f>P196*Assumptions!$B$216</f>
        <v>19.246684905818945</v>
      </c>
      <c r="Q293" s="63">
        <f>Q196*Assumptions!$B$216</f>
        <v>22.178671985689345</v>
      </c>
      <c r="R293" s="63">
        <f>R196*Assumptions!$B$216</f>
        <v>25.90890870593455</v>
      </c>
      <c r="S293" s="63">
        <f>S196*Assumptions!$B$216</f>
        <v>29.359796042957999</v>
      </c>
      <c r="T293" s="63">
        <f>T196*Assumptions!$B$216</f>
        <v>32.334707356899834</v>
      </c>
      <c r="U293" s="63">
        <f>U196*Assumptions!$B$216</f>
        <v>35.247269095018567</v>
      </c>
      <c r="V293" s="63">
        <f>V196*Assumptions!$B$216</f>
        <v>38.195007925772614</v>
      </c>
      <c r="W293" s="63">
        <f>W196*Assumptions!$B$216</f>
        <v>41.457016729808245</v>
      </c>
      <c r="X293" s="63">
        <f>X196*Assumptions!$B$216</f>
        <v>45.897862869423513</v>
      </c>
      <c r="Y293" s="63">
        <f>Y196*Assumptions!$B$216</f>
        <v>50.066810327512954</v>
      </c>
      <c r="Z293" s="63">
        <f>Z196*Assumptions!$B$216</f>
        <v>53.789514621689847</v>
      </c>
      <c r="AA293" s="63">
        <f>AA196*Assumptions!$B$216</f>
        <v>1398.1139644329594</v>
      </c>
      <c r="AB293" s="63">
        <f>AB196*Assumptions!$B$216</f>
        <v>2853.2669114149862</v>
      </c>
      <c r="AC293" s="63">
        <f>AC196*Assumptions!$B$216</f>
        <v>4993.4483868094349</v>
      </c>
      <c r="AD293" s="63">
        <f>AD196*Assumptions!$B$216</f>
        <v>7400.2955685022262</v>
      </c>
      <c r="AE293" s="63">
        <f>AE196*Assumptions!$B$216</f>
        <v>9705.0877619932362</v>
      </c>
    </row>
    <row r="294" spans="1:31" x14ac:dyDescent="0.25">
      <c r="A294" s="6" t="s">
        <v>734</v>
      </c>
      <c r="B294" s="23" t="s">
        <v>114</v>
      </c>
      <c r="C294" s="63">
        <f>C171*Assumptions!$B$217</f>
        <v>0</v>
      </c>
      <c r="D294" s="63">
        <f>D171*Assumptions!$B$217</f>
        <v>0</v>
      </c>
      <c r="E294" s="63">
        <f>E171*Assumptions!$B$217</f>
        <v>0</v>
      </c>
      <c r="F294" s="63">
        <f>F171*Assumptions!$B$217</f>
        <v>0</v>
      </c>
      <c r="G294" s="63">
        <f>G171*Assumptions!$B$217</f>
        <v>0</v>
      </c>
      <c r="H294" s="63">
        <f>H171*Assumptions!$B$217</f>
        <v>0</v>
      </c>
      <c r="I294" s="63">
        <f>I171*Assumptions!$B$217</f>
        <v>0</v>
      </c>
      <c r="J294" s="63">
        <f>J171*Assumptions!$B$217</f>
        <v>0</v>
      </c>
      <c r="K294" s="63">
        <f>K171*Assumptions!$B$217</f>
        <v>0</v>
      </c>
      <c r="L294" s="63">
        <f>L171*Assumptions!$B$217</f>
        <v>0</v>
      </c>
      <c r="M294" s="63">
        <f>M171*Assumptions!$B$217</f>
        <v>0</v>
      </c>
      <c r="N294" s="63">
        <f>N171*Assumptions!$B$217</f>
        <v>0</v>
      </c>
      <c r="O294" s="63">
        <f>O171*Assumptions!$B$217</f>
        <v>4.5950038855699304</v>
      </c>
      <c r="P294" s="63">
        <f>P171*Assumptions!$B$217</f>
        <v>4.8710575319593357</v>
      </c>
      <c r="Q294" s="63">
        <f>Q171*Assumptions!$B$217</f>
        <v>5.5508298098843625</v>
      </c>
      <c r="R294" s="63">
        <f>R171*Assumptions!$B$217</f>
        <v>6.4572981501142923</v>
      </c>
      <c r="S294" s="63">
        <f>S171*Assumptions!$B$217</f>
        <v>7.6240096626794198</v>
      </c>
      <c r="T294" s="63">
        <f>T171*Assumptions!$B$217</f>
        <v>8.3016394023355975</v>
      </c>
      <c r="U294" s="63">
        <f>U171*Assumptions!$B$217</f>
        <v>8.7334189647878411</v>
      </c>
      <c r="V294" s="63">
        <f>V171*Assumptions!$B$217</f>
        <v>10.060309494149635</v>
      </c>
      <c r="W294" s="63">
        <f>W171*Assumptions!$B$217</f>
        <v>12.510498699246074</v>
      </c>
      <c r="X294" s="63">
        <f>X171*Assumptions!$B$217</f>
        <v>14.253141954731209</v>
      </c>
      <c r="Y294" s="63">
        <f>Y171*Assumptions!$B$217</f>
        <v>16.32301467863007</v>
      </c>
      <c r="Z294" s="63">
        <f>Z171*Assumptions!$B$217</f>
        <v>19.605104756984225</v>
      </c>
      <c r="AA294" s="63">
        <f>AA171*Assumptions!$B$217</f>
        <v>670.83623452579229</v>
      </c>
      <c r="AB294" s="63">
        <f>AB171*Assumptions!$B$217</f>
        <v>1530.0501092602312</v>
      </c>
      <c r="AC294" s="63">
        <f>AC171*Assumptions!$B$217</f>
        <v>2866.2120544255049</v>
      </c>
      <c r="AD294" s="63">
        <f>AD171*Assumptions!$B$217</f>
        <v>4524.7405938125275</v>
      </c>
      <c r="AE294" s="63">
        <f>AE171*Assumptions!$B$217</f>
        <v>6249.0058965928165</v>
      </c>
    </row>
    <row r="295" spans="1:31" x14ac:dyDescent="0.25">
      <c r="A295" s="6" t="s">
        <v>735</v>
      </c>
      <c r="B295" s="23" t="s">
        <v>114</v>
      </c>
      <c r="C295" s="61">
        <f>C96+C139+C53*Assumptions!$B$219</f>
        <v>0</v>
      </c>
      <c r="D295" s="61">
        <f>D96+D139+D53*Assumptions!$B$219</f>
        <v>0</v>
      </c>
      <c r="E295" s="61">
        <f>E96+E139+E53*Assumptions!$B$219</f>
        <v>0</v>
      </c>
      <c r="F295" s="61">
        <f>F96+F139+F53*Assumptions!$B$219</f>
        <v>0</v>
      </c>
      <c r="G295" s="61">
        <f>G96+G139+G53*Assumptions!$B$219</f>
        <v>0</v>
      </c>
      <c r="H295" s="61">
        <f>H96+H139+H53*Assumptions!$B$219</f>
        <v>0</v>
      </c>
      <c r="I295" s="61">
        <f>I96+I139+I53*Assumptions!$B$219</f>
        <v>0</v>
      </c>
      <c r="J295" s="61">
        <f>J96+J139+J53*Assumptions!$B$219</f>
        <v>0</v>
      </c>
      <c r="K295" s="61">
        <f>K96+K139+K53*Assumptions!$B$219</f>
        <v>0</v>
      </c>
      <c r="L295" s="61">
        <f>L96+L139+L53*Assumptions!$B$219</f>
        <v>0</v>
      </c>
      <c r="M295" s="61">
        <f>M96+M139+M53*Assumptions!$B$219</f>
        <v>0</v>
      </c>
      <c r="N295" s="61">
        <f>N96+N139+N53*Assumptions!$B$219</f>
        <v>0</v>
      </c>
      <c r="O295" s="61">
        <f>O96+O139+O53*Assumptions!$B$219</f>
        <v>4037.318578684683</v>
      </c>
      <c r="P295" s="61">
        <f>P96+P139+P53*Assumptions!$B$219</f>
        <v>4256.0801111564533</v>
      </c>
      <c r="Q295" s="61">
        <f>Q96+Q139+Q53*Assumptions!$B$219</f>
        <v>4819.631588815113</v>
      </c>
      <c r="R295" s="61">
        <f>R96+R139+R53*Assumptions!$B$219</f>
        <v>5568.2015651737192</v>
      </c>
      <c r="S295" s="61">
        <f>S96+S139+S53*Assumptions!$B$219</f>
        <v>6530.246029591086</v>
      </c>
      <c r="T295" s="61">
        <f>T96+T139+T53*Assumptions!$B$219</f>
        <v>7067.2967714397464</v>
      </c>
      <c r="U295" s="61">
        <f>U96+U139+U53*Assumptions!$B$219</f>
        <v>7393.9824112005799</v>
      </c>
      <c r="V295" s="61">
        <f>V96+V139+V53*Assumptions!$B$219</f>
        <v>8475.0397087957026</v>
      </c>
      <c r="W295" s="61">
        <f>W96+W139+W53*Assumptions!$B$219</f>
        <v>10490.970880661996</v>
      </c>
      <c r="X295" s="61">
        <f>X96+X139+X53*Assumptions!$B$219</f>
        <v>11899.384334156815</v>
      </c>
      <c r="Y295" s="61">
        <f>Y96+Y139+Y53*Assumptions!$B$219</f>
        <v>13570.926182810457</v>
      </c>
      <c r="Z295" s="61">
        <f>Z96+Z139+Z53*Assumptions!$B$219</f>
        <v>16238.001976674852</v>
      </c>
      <c r="AA295" s="61">
        <f>AA96+AA139+AA53*Assumptions!$B$219</f>
        <v>542748.49026177009</v>
      </c>
      <c r="AB295" s="61">
        <f>AB96+AB139+AB53*Assumptions!$B$219</f>
        <v>1269280.1865199741</v>
      </c>
      <c r="AC295" s="61">
        <f>AC96+AC139+AC53*Assumptions!$B$219</f>
        <v>2402519.1158722718</v>
      </c>
      <c r="AD295" s="61">
        <f>AD96+AD139+AD53*Assumptions!$B$219</f>
        <v>3721359.7826888543</v>
      </c>
      <c r="AE295" s="61">
        <f>AE96+AE139+AE53*Assumptions!$B$219</f>
        <v>4953909.5811616639</v>
      </c>
    </row>
    <row r="296" spans="1:31" x14ac:dyDescent="0.25">
      <c r="A296" s="6" t="s">
        <v>736</v>
      </c>
      <c r="B296" s="23" t="s">
        <v>114</v>
      </c>
      <c r="C296" s="63">
        <f>C295*Assumptions!$B$218</f>
        <v>0</v>
      </c>
      <c r="D296" s="63">
        <f>D295*Assumptions!$B$218</f>
        <v>0</v>
      </c>
      <c r="E296" s="63">
        <f>E295*Assumptions!$B$218</f>
        <v>0</v>
      </c>
      <c r="F296" s="63">
        <f>F295*Assumptions!$B$218</f>
        <v>0</v>
      </c>
      <c r="G296" s="63">
        <f>G295*Assumptions!$B$218</f>
        <v>0</v>
      </c>
      <c r="H296" s="63">
        <f>H295*Assumptions!$B$218</f>
        <v>0</v>
      </c>
      <c r="I296" s="63">
        <f>I295*Assumptions!$B$218</f>
        <v>0</v>
      </c>
      <c r="J296" s="63">
        <f>J295*Assumptions!$B$218</f>
        <v>0</v>
      </c>
      <c r="K296" s="63">
        <f>K295*Assumptions!$B$218</f>
        <v>0</v>
      </c>
      <c r="L296" s="63">
        <f>L295*Assumptions!$B$218</f>
        <v>0</v>
      </c>
      <c r="M296" s="63">
        <f>M295*Assumptions!$B$218</f>
        <v>0</v>
      </c>
      <c r="N296" s="63">
        <f>N295*Assumptions!$B$218</f>
        <v>0</v>
      </c>
      <c r="O296" s="63">
        <f>O295*Assumptions!$B$218</f>
        <v>56.522460101585565</v>
      </c>
      <c r="P296" s="63">
        <f>P295*Assumptions!$B$218</f>
        <v>59.585121556190344</v>
      </c>
      <c r="Q296" s="63">
        <f>Q295*Assumptions!$B$218</f>
        <v>67.474842243411587</v>
      </c>
      <c r="R296" s="63">
        <f>R295*Assumptions!$B$218</f>
        <v>77.954821912432067</v>
      </c>
      <c r="S296" s="63">
        <f>S295*Assumptions!$B$218</f>
        <v>91.42344441427521</v>
      </c>
      <c r="T296" s="63">
        <f>T295*Assumptions!$B$218</f>
        <v>98.942154800156459</v>
      </c>
      <c r="U296" s="63">
        <f>U295*Assumptions!$B$218</f>
        <v>103.51575375680812</v>
      </c>
      <c r="V296" s="63">
        <f>V295*Assumptions!$B$218</f>
        <v>118.65055592313983</v>
      </c>
      <c r="W296" s="63">
        <f>W295*Assumptions!$B$218</f>
        <v>146.87359232926795</v>
      </c>
      <c r="X296" s="63">
        <f>X295*Assumptions!$B$218</f>
        <v>166.59138067819541</v>
      </c>
      <c r="Y296" s="63">
        <f>Y295*Assumptions!$B$218</f>
        <v>189.9929665593464</v>
      </c>
      <c r="Z296" s="63">
        <f>Z295*Assumptions!$B$218</f>
        <v>227.33202767344793</v>
      </c>
      <c r="AA296" s="63">
        <f>AA295*Assumptions!$B$218</f>
        <v>7598.4788636647818</v>
      </c>
      <c r="AB296" s="63">
        <f>AB295*Assumptions!$B$218</f>
        <v>17769.922611279639</v>
      </c>
      <c r="AC296" s="63">
        <f>AC295*Assumptions!$B$218</f>
        <v>33635.26762221181</v>
      </c>
      <c r="AD296" s="63">
        <f>AD295*Assumptions!$B$218</f>
        <v>52099.036957643963</v>
      </c>
      <c r="AE296" s="63">
        <f>AE295*Assumptions!$B$218</f>
        <v>69354.734136263301</v>
      </c>
    </row>
    <row r="297" spans="1:31" x14ac:dyDescent="0.25">
      <c r="A297" s="9" t="s">
        <v>737</v>
      </c>
    </row>
    <row r="298" spans="1:31" x14ac:dyDescent="0.25">
      <c r="A298" s="3" t="s">
        <v>738</v>
      </c>
      <c r="B298" s="23" t="s">
        <v>114</v>
      </c>
      <c r="C298" s="63">
        <f t="shared" ref="C298:AE298" si="87">C289+C291+C292+C293+C294+C296</f>
        <v>0</v>
      </c>
      <c r="D298" s="63">
        <f t="shared" si="87"/>
        <v>0</v>
      </c>
      <c r="E298" s="63">
        <f t="shared" si="87"/>
        <v>0</v>
      </c>
      <c r="F298" s="63">
        <f t="shared" si="87"/>
        <v>0</v>
      </c>
      <c r="G298" s="63">
        <f t="shared" si="87"/>
        <v>0</v>
      </c>
      <c r="H298" s="63">
        <f t="shared" si="87"/>
        <v>0</v>
      </c>
      <c r="I298" s="63">
        <f t="shared" si="87"/>
        <v>0</v>
      </c>
      <c r="J298" s="63">
        <f t="shared" si="87"/>
        <v>0</v>
      </c>
      <c r="K298" s="63">
        <f t="shared" si="87"/>
        <v>0</v>
      </c>
      <c r="L298" s="63">
        <f t="shared" si="87"/>
        <v>0</v>
      </c>
      <c r="M298" s="63">
        <f t="shared" si="87"/>
        <v>0</v>
      </c>
      <c r="N298" s="63">
        <f t="shared" si="87"/>
        <v>0</v>
      </c>
      <c r="O298" s="63">
        <f t="shared" si="87"/>
        <v>55496.873184061726</v>
      </c>
      <c r="P298" s="63">
        <f t="shared" si="87"/>
        <v>3122.7180021812019</v>
      </c>
      <c r="Q298" s="63">
        <f t="shared" si="87"/>
        <v>3122.0663530004235</v>
      </c>
      <c r="R298" s="63">
        <f t="shared" si="87"/>
        <v>3280.6241231521662</v>
      </c>
      <c r="S298" s="63">
        <f t="shared" si="87"/>
        <v>3248.5127913640172</v>
      </c>
      <c r="T298" s="63">
        <f t="shared" si="87"/>
        <v>3174.1537601293549</v>
      </c>
      <c r="U298" s="63">
        <f t="shared" si="87"/>
        <v>3170.8678233294136</v>
      </c>
      <c r="V298" s="63">
        <f t="shared" si="87"/>
        <v>3196.5983856079411</v>
      </c>
      <c r="W298" s="63">
        <f t="shared" si="87"/>
        <v>3287.0062118078522</v>
      </c>
      <c r="X298" s="63">
        <f t="shared" si="87"/>
        <v>3524.7380979219847</v>
      </c>
      <c r="Y298" s="63">
        <f t="shared" si="87"/>
        <v>3505.5198011053694</v>
      </c>
      <c r="Z298" s="63">
        <f t="shared" si="87"/>
        <v>3469.67620575417</v>
      </c>
      <c r="AA298" s="63">
        <f t="shared" si="87"/>
        <v>50937.866154158139</v>
      </c>
      <c r="AB298" s="63">
        <f t="shared" si="87"/>
        <v>73943.490410361963</v>
      </c>
      <c r="AC298" s="63">
        <f t="shared" si="87"/>
        <v>103543.16818615486</v>
      </c>
      <c r="AD298" s="63">
        <f t="shared" si="87"/>
        <v>130065.5104019712</v>
      </c>
      <c r="AE298" s="63">
        <f t="shared" si="87"/>
        <v>149822.03823945869</v>
      </c>
    </row>
    <row r="299" spans="1:31" x14ac:dyDescent="0.25">
      <c r="A299" s="6" t="s">
        <v>739</v>
      </c>
      <c r="B299" s="23" t="s">
        <v>257</v>
      </c>
      <c r="C299" s="70">
        <f t="shared" ref="C299:AE299" si="88">IF(C191+C193=0,0,C298/(C191+C193))</f>
        <v>0</v>
      </c>
      <c r="D299" s="70">
        <f t="shared" si="88"/>
        <v>0</v>
      </c>
      <c r="E299" s="70">
        <f t="shared" si="88"/>
        <v>0</v>
      </c>
      <c r="F299" s="70">
        <f t="shared" si="88"/>
        <v>0</v>
      </c>
      <c r="G299" s="70">
        <f t="shared" si="88"/>
        <v>0</v>
      </c>
      <c r="H299" s="70">
        <f t="shared" si="88"/>
        <v>0</v>
      </c>
      <c r="I299" s="70">
        <f t="shared" si="88"/>
        <v>0</v>
      </c>
      <c r="J299" s="70">
        <f t="shared" si="88"/>
        <v>0</v>
      </c>
      <c r="K299" s="70">
        <f t="shared" si="88"/>
        <v>0</v>
      </c>
      <c r="L299" s="70">
        <f t="shared" si="88"/>
        <v>0</v>
      </c>
      <c r="M299" s="70">
        <f t="shared" si="88"/>
        <v>0</v>
      </c>
      <c r="N299" s="70">
        <f t="shared" si="88"/>
        <v>0</v>
      </c>
      <c r="O299" s="70">
        <f t="shared" si="88"/>
        <v>3.4284651208720955</v>
      </c>
      <c r="P299" s="70">
        <f t="shared" si="88"/>
        <v>0.73282220221095995</v>
      </c>
      <c r="Q299" s="70">
        <f t="shared" si="88"/>
        <v>0.7050526162702353</v>
      </c>
      <c r="R299" s="70">
        <f t="shared" si="88"/>
        <v>0.60137891108866126</v>
      </c>
      <c r="S299" s="70">
        <f t="shared" si="88"/>
        <v>0.59303496048954518</v>
      </c>
      <c r="T299" s="70">
        <f t="shared" si="88"/>
        <v>0.59764719418197076</v>
      </c>
      <c r="U299" s="70">
        <f t="shared" si="88"/>
        <v>0.57765411216346385</v>
      </c>
      <c r="V299" s="70">
        <f t="shared" si="88"/>
        <v>0.55482025060542695</v>
      </c>
      <c r="W299" s="70">
        <f t="shared" si="88"/>
        <v>0.52251135347407207</v>
      </c>
      <c r="X299" s="70">
        <f t="shared" si="88"/>
        <v>0.45477040444158179</v>
      </c>
      <c r="Y299" s="70">
        <f t="shared" si="88"/>
        <v>0.44701687609276242</v>
      </c>
      <c r="Z299" s="70">
        <f t="shared" si="88"/>
        <v>0.44862017433105977</v>
      </c>
      <c r="AA299" s="70">
        <f t="shared" si="88"/>
        <v>0.29365300249921272</v>
      </c>
      <c r="AB299" s="70">
        <f t="shared" si="88"/>
        <v>0.21088140519659249</v>
      </c>
      <c r="AC299" s="70">
        <f t="shared" si="88"/>
        <v>0.17673314864063033</v>
      </c>
      <c r="AD299" s="70">
        <f t="shared" si="88"/>
        <v>0.15966148402512151</v>
      </c>
      <c r="AE299" s="70">
        <f t="shared" si="88"/>
        <v>0.14852261560934915</v>
      </c>
    </row>
    <row r="300" spans="1:31" x14ac:dyDescent="0.25">
      <c r="A300" s="9" t="s">
        <v>740</v>
      </c>
    </row>
    <row r="301" spans="1:31" x14ac:dyDescent="0.25">
      <c r="A301" s="6" t="s">
        <v>741</v>
      </c>
      <c r="B301" s="23" t="s">
        <v>114</v>
      </c>
      <c r="C301" s="63">
        <f t="shared" ref="C301:AE301" si="89">C228+C255+C267+C282+C298</f>
        <v>243737.63623437067</v>
      </c>
      <c r="D301" s="63">
        <f t="shared" si="89"/>
        <v>45295.33037299956</v>
      </c>
      <c r="E301" s="63">
        <f t="shared" si="89"/>
        <v>45402.338526528059</v>
      </c>
      <c r="F301" s="63">
        <f t="shared" si="89"/>
        <v>45670.098470804172</v>
      </c>
      <c r="G301" s="63">
        <f t="shared" si="89"/>
        <v>45742.19099846606</v>
      </c>
      <c r="H301" s="63">
        <f t="shared" si="89"/>
        <v>45760.98771470294</v>
      </c>
      <c r="I301" s="63">
        <f t="shared" si="89"/>
        <v>45836.351675561331</v>
      </c>
      <c r="J301" s="63">
        <f t="shared" si="89"/>
        <v>45921.891607350874</v>
      </c>
      <c r="K301" s="63">
        <f t="shared" si="89"/>
        <v>46107.544210372565</v>
      </c>
      <c r="L301" s="63">
        <f t="shared" si="89"/>
        <v>46450.898713259485</v>
      </c>
      <c r="M301" s="63">
        <f t="shared" si="89"/>
        <v>46558.383080246393</v>
      </c>
      <c r="N301" s="63">
        <f t="shared" si="89"/>
        <v>46631.072357879595</v>
      </c>
      <c r="O301" s="63">
        <f t="shared" si="89"/>
        <v>217189.92820188406</v>
      </c>
      <c r="P301" s="63">
        <f t="shared" si="89"/>
        <v>50184.222324835173</v>
      </c>
      <c r="Q301" s="63">
        <f t="shared" si="89"/>
        <v>50534.063353963604</v>
      </c>
      <c r="R301" s="63">
        <f t="shared" si="89"/>
        <v>51555.536988065105</v>
      </c>
      <c r="S301" s="63">
        <f t="shared" si="89"/>
        <v>51808.228658443128</v>
      </c>
      <c r="T301" s="63">
        <f t="shared" si="89"/>
        <v>51859.434426810505</v>
      </c>
      <c r="U301" s="63">
        <f t="shared" si="89"/>
        <v>52143.123309367984</v>
      </c>
      <c r="V301" s="63">
        <f t="shared" si="89"/>
        <v>52480.358482696436</v>
      </c>
      <c r="W301" s="63">
        <f t="shared" si="89"/>
        <v>53184.690515207767</v>
      </c>
      <c r="X301" s="63">
        <f t="shared" si="89"/>
        <v>54616.098404808727</v>
      </c>
      <c r="Y301" s="63">
        <f t="shared" si="89"/>
        <v>55001.016932200582</v>
      </c>
      <c r="Z301" s="63">
        <f t="shared" si="89"/>
        <v>55238.004949319555</v>
      </c>
      <c r="AA301" s="63">
        <f t="shared" si="89"/>
        <v>978510.44525974628</v>
      </c>
      <c r="AB301" s="63">
        <f t="shared" si="89"/>
        <v>1442447.8044158167</v>
      </c>
      <c r="AC301" s="63">
        <f t="shared" si="89"/>
        <v>2045687.1631745023</v>
      </c>
      <c r="AD301" s="63">
        <f t="shared" si="89"/>
        <v>2664582.1865136102</v>
      </c>
      <c r="AE301" s="63">
        <f t="shared" si="89"/>
        <v>3171920.2015005006</v>
      </c>
    </row>
    <row r="302" spans="1:31" x14ac:dyDescent="0.25">
      <c r="A302" s="6" t="s">
        <v>742</v>
      </c>
      <c r="B302" s="23" t="s">
        <v>114</v>
      </c>
      <c r="C302" s="63">
        <f>C301*Assumptions!$B$225</f>
        <v>36560.645435155602</v>
      </c>
      <c r="D302" s="63">
        <f>D301*Assumptions!$B$225</f>
        <v>6794.2995559499341</v>
      </c>
      <c r="E302" s="63">
        <f>E301*Assumptions!$B$225</f>
        <v>6810.3507789792084</v>
      </c>
      <c r="F302" s="63">
        <f>F301*Assumptions!$B$225</f>
        <v>6850.5147706206253</v>
      </c>
      <c r="G302" s="63">
        <f>G301*Assumptions!$B$225</f>
        <v>6861.3286497699091</v>
      </c>
      <c r="H302" s="63">
        <f>H301*Assumptions!$B$225</f>
        <v>6864.1481572054408</v>
      </c>
      <c r="I302" s="63">
        <f>I301*Assumptions!$B$225</f>
        <v>6875.4527513341991</v>
      </c>
      <c r="J302" s="63">
        <f>J301*Assumptions!$B$225</f>
        <v>6888.2837411026312</v>
      </c>
      <c r="K302" s="63">
        <f>K301*Assumptions!$B$225</f>
        <v>6916.1316315558843</v>
      </c>
      <c r="L302" s="63">
        <f>L301*Assumptions!$B$225</f>
        <v>6967.6348069889227</v>
      </c>
      <c r="M302" s="63">
        <f>M301*Assumptions!$B$225</f>
        <v>6983.7574620369587</v>
      </c>
      <c r="N302" s="63">
        <f>N301*Assumptions!$B$225</f>
        <v>6994.6608536819394</v>
      </c>
      <c r="O302" s="63">
        <f>O301*Assumptions!$B$225</f>
        <v>32578.489230282608</v>
      </c>
      <c r="P302" s="63">
        <f>P301*Assumptions!$B$225</f>
        <v>7527.6333487252759</v>
      </c>
      <c r="Q302" s="63">
        <f>Q301*Assumptions!$B$225</f>
        <v>7580.1095030945398</v>
      </c>
      <c r="R302" s="63">
        <f>R301*Assumptions!$B$225</f>
        <v>7733.3305482097658</v>
      </c>
      <c r="S302" s="63">
        <f>S301*Assumptions!$B$225</f>
        <v>7771.2342987664688</v>
      </c>
      <c r="T302" s="63">
        <f>T301*Assumptions!$B$225</f>
        <v>7778.915164021575</v>
      </c>
      <c r="U302" s="63">
        <f>U301*Assumptions!$B$225</f>
        <v>7821.4684964051976</v>
      </c>
      <c r="V302" s="63">
        <f>V301*Assumptions!$B$225</f>
        <v>7872.0537724044652</v>
      </c>
      <c r="W302" s="63">
        <f>W301*Assumptions!$B$225</f>
        <v>7977.7035772811651</v>
      </c>
      <c r="X302" s="63">
        <f>X301*Assumptions!$B$225</f>
        <v>8192.414760721309</v>
      </c>
      <c r="Y302" s="63">
        <f>Y301*Assumptions!$B$225</f>
        <v>8250.1525398300873</v>
      </c>
      <c r="Z302" s="63">
        <f>Z301*Assumptions!$B$225</f>
        <v>8285.7007423979321</v>
      </c>
      <c r="AA302" s="63">
        <f>AA301*Assumptions!$B$225</f>
        <v>146776.56678896194</v>
      </c>
      <c r="AB302" s="63">
        <f>AB301*Assumptions!$B$225</f>
        <v>216367.17066237249</v>
      </c>
      <c r="AC302" s="63">
        <f>AC301*Assumptions!$B$225</f>
        <v>306853.07447617536</v>
      </c>
      <c r="AD302" s="63">
        <f>AD301*Assumptions!$B$225</f>
        <v>399687.32797704154</v>
      </c>
      <c r="AE302" s="63">
        <f>AE301*Assumptions!$B$225</f>
        <v>475788.03022507508</v>
      </c>
    </row>
    <row r="303" spans="1:31" x14ac:dyDescent="0.25">
      <c r="A303" s="9" t="s">
        <v>743</v>
      </c>
    </row>
    <row r="304" spans="1:31" x14ac:dyDescent="0.25">
      <c r="A304" s="3" t="s">
        <v>744</v>
      </c>
      <c r="B304" s="23" t="s">
        <v>114</v>
      </c>
      <c r="C304" s="63">
        <f t="shared" ref="C304:AE304" si="90">C301+C302</f>
        <v>280298.28166952624</v>
      </c>
      <c r="D304" s="63">
        <f t="shared" si="90"/>
        <v>52089.629928949493</v>
      </c>
      <c r="E304" s="63">
        <f t="shared" si="90"/>
        <v>52212.689305507265</v>
      </c>
      <c r="F304" s="63">
        <f t="shared" si="90"/>
        <v>52520.613241424799</v>
      </c>
      <c r="G304" s="63">
        <f t="shared" si="90"/>
        <v>52603.519648235968</v>
      </c>
      <c r="H304" s="63">
        <f t="shared" si="90"/>
        <v>52625.13587190838</v>
      </c>
      <c r="I304" s="63">
        <f t="shared" si="90"/>
        <v>52711.804426895527</v>
      </c>
      <c r="J304" s="63">
        <f t="shared" si="90"/>
        <v>52810.175348453507</v>
      </c>
      <c r="K304" s="63">
        <f t="shared" si="90"/>
        <v>53023.675841928452</v>
      </c>
      <c r="L304" s="63">
        <f t="shared" si="90"/>
        <v>53418.533520248406</v>
      </c>
      <c r="M304" s="63">
        <f t="shared" si="90"/>
        <v>53542.140542283349</v>
      </c>
      <c r="N304" s="63">
        <f t="shared" si="90"/>
        <v>53625.733211561535</v>
      </c>
      <c r="O304" s="63">
        <f t="shared" si="90"/>
        <v>249768.41743216667</v>
      </c>
      <c r="P304" s="63">
        <f t="shared" si="90"/>
        <v>57711.855673560451</v>
      </c>
      <c r="Q304" s="63">
        <f t="shared" si="90"/>
        <v>58114.172857058147</v>
      </c>
      <c r="R304" s="63">
        <f t="shared" si="90"/>
        <v>59288.867536274869</v>
      </c>
      <c r="S304" s="63">
        <f t="shared" si="90"/>
        <v>59579.462957209595</v>
      </c>
      <c r="T304" s="63">
        <f t="shared" si="90"/>
        <v>59638.349590832077</v>
      </c>
      <c r="U304" s="63">
        <f t="shared" si="90"/>
        <v>59964.591805773183</v>
      </c>
      <c r="V304" s="63">
        <f t="shared" si="90"/>
        <v>60352.412255100899</v>
      </c>
      <c r="W304" s="63">
        <f t="shared" si="90"/>
        <v>61162.394092488932</v>
      </c>
      <c r="X304" s="63">
        <f t="shared" si="90"/>
        <v>62808.513165530036</v>
      </c>
      <c r="Y304" s="63">
        <f t="shared" si="90"/>
        <v>63251.16947203067</v>
      </c>
      <c r="Z304" s="63">
        <f t="shared" si="90"/>
        <v>63523.705691717485</v>
      </c>
      <c r="AA304" s="63">
        <f t="shared" si="90"/>
        <v>1125287.0120487083</v>
      </c>
      <c r="AB304" s="63">
        <f t="shared" si="90"/>
        <v>1658814.9750781893</v>
      </c>
      <c r="AC304" s="63">
        <f t="shared" si="90"/>
        <v>2352540.2376506776</v>
      </c>
      <c r="AD304" s="63">
        <f t="shared" si="90"/>
        <v>3064269.5144906519</v>
      </c>
      <c r="AE304" s="63">
        <f t="shared" si="90"/>
        <v>3647708.2317255754</v>
      </c>
    </row>
    <row r="305" spans="1:31" x14ac:dyDescent="0.25">
      <c r="A305" s="6" t="s">
        <v>745</v>
      </c>
      <c r="B305" s="23" t="s">
        <v>636</v>
      </c>
      <c r="C305" s="66">
        <f>(C169+C170)*(1-Assumptions!$B$8)-C166*C20*(1+Assumptions!$B$9*(1-Assumptions!$B$229))</f>
        <v>0</v>
      </c>
      <c r="D305" s="66">
        <f>(D169+D170)*(1-Assumptions!$B$8)-D166*D20*(1+Assumptions!$B$9*(1-Assumptions!$B$229))</f>
        <v>0</v>
      </c>
      <c r="E305" s="66">
        <f>(E169+E170)*(1-Assumptions!$B$8)-E166*E20*(1+Assumptions!$B$9*(1-Assumptions!$B$229))</f>
        <v>0</v>
      </c>
      <c r="F305" s="66">
        <f>(F169+F170)*(1-Assumptions!$B$8)-F166*F20*(1+Assumptions!$B$9*(1-Assumptions!$B$229))</f>
        <v>0</v>
      </c>
      <c r="G305" s="66">
        <f>(G169+G170)*(1-Assumptions!$B$8)-G166*G20*(1+Assumptions!$B$9*(1-Assumptions!$B$229))</f>
        <v>0</v>
      </c>
      <c r="H305" s="66">
        <f>(H169+H170)*(1-Assumptions!$B$8)-H166*H20*(1+Assumptions!$B$9*(1-Assumptions!$B$229))</f>
        <v>0</v>
      </c>
      <c r="I305" s="66">
        <f>(I169+I170)*(1-Assumptions!$B$8)-I166*I20*(1+Assumptions!$B$9*(1-Assumptions!$B$229))</f>
        <v>0</v>
      </c>
      <c r="J305" s="66">
        <f>(J169+J170)*(1-Assumptions!$B$8)-J166*J20*(1+Assumptions!$B$9*(1-Assumptions!$B$229))</f>
        <v>0</v>
      </c>
      <c r="K305" s="66">
        <f>(K169+K170)*(1-Assumptions!$B$8)-K166*K20*(1+Assumptions!$B$9*(1-Assumptions!$B$229))</f>
        <v>0</v>
      </c>
      <c r="L305" s="66">
        <f>(L169+L170)*(1-Assumptions!$B$8)-L166*L20*(1+Assumptions!$B$9*(1-Assumptions!$B$229))</f>
        <v>0</v>
      </c>
      <c r="M305" s="66">
        <f>(M169+M170)*(1-Assumptions!$B$8)-M166*M20*(1+Assumptions!$B$9*(1-Assumptions!$B$229))</f>
        <v>0</v>
      </c>
      <c r="N305" s="66">
        <f>(N169+N170)*(1-Assumptions!$B$8)-N166*N20*(1+Assumptions!$B$9*(1-Assumptions!$B$229))</f>
        <v>0</v>
      </c>
      <c r="O305" s="66">
        <f>(O169+O170)*(1-Assumptions!$B$8)-O166*O20*(1+Assumptions!$B$9*(1-Assumptions!$B$229))</f>
        <v>0</v>
      </c>
      <c r="P305" s="66">
        <f>(P169+P170)*(1-Assumptions!$B$8)-P166*P20*(1+Assumptions!$B$9*(1-Assumptions!$B$229))</f>
        <v>0</v>
      </c>
      <c r="Q305" s="66">
        <f>(Q169+Q170)*(1-Assumptions!$B$8)-Q166*Q20*(1+Assumptions!$B$9*(1-Assumptions!$B$229))</f>
        <v>0</v>
      </c>
      <c r="R305" s="66">
        <f>(R169+R170)*(1-Assumptions!$B$8)-R166*R20*(1+Assumptions!$B$9*(1-Assumptions!$B$229))</f>
        <v>0</v>
      </c>
      <c r="S305" s="66">
        <f>(S169+S170)*(1-Assumptions!$B$8)-S166*S20*(1+Assumptions!$B$9*(1-Assumptions!$B$229))</f>
        <v>0</v>
      </c>
      <c r="T305" s="66">
        <f>(T169+T170)*(1-Assumptions!$B$8)-T166*T20*(1+Assumptions!$B$9*(1-Assumptions!$B$229))</f>
        <v>0</v>
      </c>
      <c r="U305" s="66">
        <f>(U169+U170)*(1-Assumptions!$B$8)-U166*U20*(1+Assumptions!$B$9*(1-Assumptions!$B$229))</f>
        <v>0</v>
      </c>
      <c r="V305" s="66">
        <f>(V169+V170)*(1-Assumptions!$B$8)-V166*V20*(1+Assumptions!$B$9*(1-Assumptions!$B$229))</f>
        <v>0</v>
      </c>
      <c r="W305" s="66">
        <f>(W169+W170)*(1-Assumptions!$B$8)-W166*W20*(1+Assumptions!$B$9*(1-Assumptions!$B$229))</f>
        <v>0</v>
      </c>
      <c r="X305" s="66">
        <f>(X169+X170)*(1-Assumptions!$B$8)-X166*X20*(1+Assumptions!$B$9*(1-Assumptions!$B$229))</f>
        <v>0</v>
      </c>
      <c r="Y305" s="66">
        <f>(Y169+Y170)*(1-Assumptions!$B$8)-Y166*Y20*(1+Assumptions!$B$9*(1-Assumptions!$B$229))</f>
        <v>0</v>
      </c>
      <c r="Z305" s="66">
        <f>(Z169+Z170)*(1-Assumptions!$B$8)-Z166*Z20*(1+Assumptions!$B$9*(1-Assumptions!$B$229))</f>
        <v>0</v>
      </c>
      <c r="AA305" s="66">
        <f>(AA169+AA170)*(1-Assumptions!$B$8)-AA166*AA20*(1+Assumptions!$B$9*(1-Assumptions!$B$229))</f>
        <v>0</v>
      </c>
      <c r="AB305" s="66">
        <f>(AB169+AB170)*(1-Assumptions!$B$8)-AB166*AB20*(1+Assumptions!$B$9*(1-Assumptions!$B$229))</f>
        <v>0</v>
      </c>
      <c r="AC305" s="66">
        <f>(AC169+AC170)*(1-Assumptions!$B$8)-AC166*AC20*(1+Assumptions!$B$9*(1-Assumptions!$B$229))</f>
        <v>0</v>
      </c>
      <c r="AD305" s="66">
        <f>(AD169+AD170)*(1-Assumptions!$B$8)-AD166*AD20*(1+Assumptions!$B$9*(1-Assumptions!$B$229))</f>
        <v>0</v>
      </c>
      <c r="AE305" s="66">
        <f>(AE169+AE170)*(1-Assumptions!$B$8)-AE166*AE20*(1+Assumptions!$B$9*(1-Assumptions!$B$229))</f>
        <v>0</v>
      </c>
    </row>
    <row r="306" spans="1:31" x14ac:dyDescent="0.25">
      <c r="A306" s="9" t="s">
        <v>746</v>
      </c>
    </row>
    <row r="308" spans="1:31" ht="20.100000000000001" customHeight="1" x14ac:dyDescent="0.25">
      <c r="A308" s="12" t="s">
        <v>747</v>
      </c>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row>
    <row r="310" spans="1:31" x14ac:dyDescent="0.25">
      <c r="A310" s="51" t="s">
        <v>748</v>
      </c>
      <c r="B310" s="52"/>
      <c r="C310" s="52"/>
      <c r="D310" s="52"/>
      <c r="E310" s="52"/>
      <c r="F310" s="52"/>
      <c r="G310" s="52"/>
      <c r="H310" s="52"/>
      <c r="I310" s="52"/>
      <c r="J310" s="52"/>
      <c r="K310" s="52"/>
      <c r="L310" s="52"/>
      <c r="M310" s="52"/>
      <c r="N310" s="52"/>
      <c r="O310" s="52"/>
      <c r="P310" s="52"/>
      <c r="Q310" s="52"/>
      <c r="R310" s="52"/>
      <c r="S310" s="52"/>
      <c r="T310" s="52"/>
      <c r="U310" s="52"/>
      <c r="V310" s="52"/>
      <c r="W310" s="52"/>
      <c r="X310" s="52"/>
      <c r="Y310" s="52"/>
      <c r="Z310" s="52"/>
      <c r="AA310" s="52"/>
      <c r="AB310" s="52"/>
      <c r="AC310" s="52"/>
      <c r="AD310" s="52"/>
      <c r="AE310" s="52"/>
    </row>
    <row r="311" spans="1:31" x14ac:dyDescent="0.25">
      <c r="A311" s="6" t="s">
        <v>749</v>
      </c>
      <c r="B311" s="23" t="s">
        <v>114</v>
      </c>
      <c r="C311" s="61">
        <f>Assumptions!$B$200/Assumptions!$B$7</f>
        <v>408441.1164057182</v>
      </c>
      <c r="D311" s="61">
        <f>Assumptions!$B$200/Assumptions!$B$7</f>
        <v>408441.1164057182</v>
      </c>
      <c r="E311" s="61">
        <f>Assumptions!$B$200/Assumptions!$B$7</f>
        <v>408441.1164057182</v>
      </c>
      <c r="F311" s="61">
        <f>Assumptions!$B$200/Assumptions!$B$7</f>
        <v>408441.1164057182</v>
      </c>
      <c r="G311" s="61">
        <f>Assumptions!$B$200/Assumptions!$B$7</f>
        <v>408441.1164057182</v>
      </c>
      <c r="H311" s="61">
        <f>Assumptions!$B$200/Assumptions!$B$7</f>
        <v>408441.1164057182</v>
      </c>
      <c r="I311" s="61">
        <f>Assumptions!$B$200/Assumptions!$B$7</f>
        <v>408441.1164057182</v>
      </c>
      <c r="J311" s="61">
        <f>Assumptions!$B$200/Assumptions!$B$7</f>
        <v>408441.1164057182</v>
      </c>
      <c r="K311" s="61">
        <f>Assumptions!$B$200/Assumptions!$B$7</f>
        <v>408441.1164057182</v>
      </c>
      <c r="L311" s="61">
        <f>Assumptions!$B$200/Assumptions!$B$7</f>
        <v>408441.1164057182</v>
      </c>
      <c r="M311" s="61">
        <f>Assumptions!$B$200/Assumptions!$B$7</f>
        <v>408441.1164057182</v>
      </c>
      <c r="N311" s="61">
        <f>Assumptions!$B$200/Assumptions!$B$7</f>
        <v>408441.1164057182</v>
      </c>
      <c r="O311" s="61">
        <f>Assumptions!$B$200/Assumptions!$B$7</f>
        <v>408441.1164057182</v>
      </c>
      <c r="P311" s="61">
        <f>Assumptions!$B$200/Assumptions!$B$7</f>
        <v>408441.1164057182</v>
      </c>
      <c r="Q311" s="61">
        <f>Assumptions!$B$200/Assumptions!$B$7</f>
        <v>408441.1164057182</v>
      </c>
      <c r="R311" s="61">
        <f>Assumptions!$B$200/Assumptions!$B$7</f>
        <v>408441.1164057182</v>
      </c>
      <c r="S311" s="61">
        <f>Assumptions!$B$200/Assumptions!$B$7</f>
        <v>408441.1164057182</v>
      </c>
      <c r="T311" s="61">
        <f>Assumptions!$B$200/Assumptions!$B$7</f>
        <v>408441.1164057182</v>
      </c>
      <c r="U311" s="61">
        <f>Assumptions!$B$200/Assumptions!$B$7</f>
        <v>408441.1164057182</v>
      </c>
      <c r="V311" s="61">
        <f>Assumptions!$B$200/Assumptions!$B$7</f>
        <v>408441.1164057182</v>
      </c>
      <c r="W311" s="61">
        <f>Assumptions!$B$200/Assumptions!$B$7</f>
        <v>408441.1164057182</v>
      </c>
      <c r="X311" s="61">
        <f>Assumptions!$B$200/Assumptions!$B$7</f>
        <v>408441.1164057182</v>
      </c>
      <c r="Y311" s="61">
        <f>Assumptions!$B$200/Assumptions!$B$7</f>
        <v>408441.1164057182</v>
      </c>
      <c r="Z311" s="61">
        <f>Assumptions!$B$200/Assumptions!$B$7</f>
        <v>408441.1164057182</v>
      </c>
      <c r="AA311" s="61">
        <f>Assumptions!$B$200/Assumptions!$B$7</f>
        <v>408441.1164057182</v>
      </c>
      <c r="AB311" s="61">
        <f>Assumptions!$B$200/Assumptions!$B$7</f>
        <v>408441.1164057182</v>
      </c>
      <c r="AC311" s="61">
        <f>Assumptions!$B$200/Assumptions!$B$7</f>
        <v>408441.1164057182</v>
      </c>
      <c r="AD311" s="61">
        <f>Assumptions!$B$200/Assumptions!$B$7</f>
        <v>408441.1164057182</v>
      </c>
      <c r="AE311" s="61">
        <f>Assumptions!$B$200/Assumptions!$B$7</f>
        <v>408441.1164057182</v>
      </c>
    </row>
    <row r="312" spans="1:31" x14ac:dyDescent="0.25">
      <c r="A312" s="9" t="s">
        <v>750</v>
      </c>
    </row>
    <row r="313" spans="1:31" x14ac:dyDescent="0.25">
      <c r="A313" s="6" t="s">
        <v>751</v>
      </c>
      <c r="B313" s="23" t="s">
        <v>114</v>
      </c>
      <c r="C313" s="61">
        <f>Assumptions!$B$201/Assumptions!$B$7</f>
        <v>163376.44656228728</v>
      </c>
      <c r="D313" s="61">
        <f>Assumptions!$B$201/Assumptions!$B$7</f>
        <v>163376.44656228728</v>
      </c>
      <c r="E313" s="61">
        <f>Assumptions!$B$201/Assumptions!$B$7</f>
        <v>163376.44656228728</v>
      </c>
      <c r="F313" s="61">
        <f>Assumptions!$B$201/Assumptions!$B$7</f>
        <v>163376.44656228728</v>
      </c>
      <c r="G313" s="61">
        <f>Assumptions!$B$201/Assumptions!$B$7</f>
        <v>163376.44656228728</v>
      </c>
      <c r="H313" s="61">
        <f>Assumptions!$B$201/Assumptions!$B$7</f>
        <v>163376.44656228728</v>
      </c>
      <c r="I313" s="61">
        <f>Assumptions!$B$201/Assumptions!$B$7</f>
        <v>163376.44656228728</v>
      </c>
      <c r="J313" s="61">
        <f>Assumptions!$B$201/Assumptions!$B$7</f>
        <v>163376.44656228728</v>
      </c>
      <c r="K313" s="61">
        <f>Assumptions!$B$201/Assumptions!$B$7</f>
        <v>163376.44656228728</v>
      </c>
      <c r="L313" s="61">
        <f>Assumptions!$B$201/Assumptions!$B$7</f>
        <v>163376.44656228728</v>
      </c>
      <c r="M313" s="61">
        <f>Assumptions!$B$201/Assumptions!$B$7</f>
        <v>163376.44656228728</v>
      </c>
      <c r="N313" s="61">
        <f>Assumptions!$B$201/Assumptions!$B$7</f>
        <v>163376.44656228728</v>
      </c>
      <c r="O313" s="61">
        <f>Assumptions!$B$201/Assumptions!$B$7</f>
        <v>163376.44656228728</v>
      </c>
      <c r="P313" s="61">
        <f>Assumptions!$B$201/Assumptions!$B$7</f>
        <v>163376.44656228728</v>
      </c>
      <c r="Q313" s="61">
        <f>Assumptions!$B$201/Assumptions!$B$7</f>
        <v>163376.44656228728</v>
      </c>
      <c r="R313" s="61">
        <f>Assumptions!$B$201/Assumptions!$B$7</f>
        <v>163376.44656228728</v>
      </c>
      <c r="S313" s="61">
        <f>Assumptions!$B$201/Assumptions!$B$7</f>
        <v>163376.44656228728</v>
      </c>
      <c r="T313" s="61">
        <f>Assumptions!$B$201/Assumptions!$B$7</f>
        <v>163376.44656228728</v>
      </c>
      <c r="U313" s="61">
        <f>Assumptions!$B$201/Assumptions!$B$7</f>
        <v>163376.44656228728</v>
      </c>
      <c r="V313" s="61">
        <f>Assumptions!$B$201/Assumptions!$B$7</f>
        <v>163376.44656228728</v>
      </c>
      <c r="W313" s="61">
        <f>Assumptions!$B$201/Assumptions!$B$7</f>
        <v>163376.44656228728</v>
      </c>
      <c r="X313" s="61">
        <f>Assumptions!$B$201/Assumptions!$B$7</f>
        <v>163376.44656228728</v>
      </c>
      <c r="Y313" s="61">
        <f>Assumptions!$B$201/Assumptions!$B$7</f>
        <v>163376.44656228728</v>
      </c>
      <c r="Z313" s="61">
        <f>Assumptions!$B$201/Assumptions!$B$7</f>
        <v>163376.44656228728</v>
      </c>
      <c r="AA313" s="61">
        <f>Assumptions!$B$201/Assumptions!$B$7</f>
        <v>163376.44656228728</v>
      </c>
      <c r="AB313" s="61">
        <f>Assumptions!$B$201/Assumptions!$B$7</f>
        <v>163376.44656228728</v>
      </c>
      <c r="AC313" s="61">
        <f>Assumptions!$B$201/Assumptions!$B$7</f>
        <v>163376.44656228728</v>
      </c>
      <c r="AD313" s="61">
        <f>Assumptions!$B$201/Assumptions!$B$7</f>
        <v>163376.44656228728</v>
      </c>
      <c r="AE313" s="61">
        <f>Assumptions!$B$201/Assumptions!$B$7</f>
        <v>163376.44656228728</v>
      </c>
    </row>
    <row r="314" spans="1:31" x14ac:dyDescent="0.25">
      <c r="A314" s="9" t="s">
        <v>752</v>
      </c>
    </row>
    <row r="315" spans="1:31" x14ac:dyDescent="0.25">
      <c r="A315" s="3" t="s">
        <v>753</v>
      </c>
      <c r="B315" s="23" t="s">
        <v>114</v>
      </c>
      <c r="C315" s="63">
        <f t="shared" ref="C315:AE315" si="91">C311+C313</f>
        <v>571817.56296800543</v>
      </c>
      <c r="D315" s="63">
        <f t="shared" si="91"/>
        <v>571817.56296800543</v>
      </c>
      <c r="E315" s="63">
        <f t="shared" si="91"/>
        <v>571817.56296800543</v>
      </c>
      <c r="F315" s="63">
        <f t="shared" si="91"/>
        <v>571817.56296800543</v>
      </c>
      <c r="G315" s="63">
        <f t="shared" si="91"/>
        <v>571817.56296800543</v>
      </c>
      <c r="H315" s="63">
        <f t="shared" si="91"/>
        <v>571817.56296800543</v>
      </c>
      <c r="I315" s="63">
        <f t="shared" si="91"/>
        <v>571817.56296800543</v>
      </c>
      <c r="J315" s="63">
        <f t="shared" si="91"/>
        <v>571817.56296800543</v>
      </c>
      <c r="K315" s="63">
        <f t="shared" si="91"/>
        <v>571817.56296800543</v>
      </c>
      <c r="L315" s="63">
        <f t="shared" si="91"/>
        <v>571817.56296800543</v>
      </c>
      <c r="M315" s="63">
        <f t="shared" si="91"/>
        <v>571817.56296800543</v>
      </c>
      <c r="N315" s="63">
        <f t="shared" si="91"/>
        <v>571817.56296800543</v>
      </c>
      <c r="O315" s="63">
        <f t="shared" si="91"/>
        <v>571817.56296800543</v>
      </c>
      <c r="P315" s="63">
        <f t="shared" si="91"/>
        <v>571817.56296800543</v>
      </c>
      <c r="Q315" s="63">
        <f t="shared" si="91"/>
        <v>571817.56296800543</v>
      </c>
      <c r="R315" s="63">
        <f t="shared" si="91"/>
        <v>571817.56296800543</v>
      </c>
      <c r="S315" s="63">
        <f t="shared" si="91"/>
        <v>571817.56296800543</v>
      </c>
      <c r="T315" s="63">
        <f t="shared" si="91"/>
        <v>571817.56296800543</v>
      </c>
      <c r="U315" s="63">
        <f t="shared" si="91"/>
        <v>571817.56296800543</v>
      </c>
      <c r="V315" s="63">
        <f t="shared" si="91"/>
        <v>571817.56296800543</v>
      </c>
      <c r="W315" s="63">
        <f t="shared" si="91"/>
        <v>571817.56296800543</v>
      </c>
      <c r="X315" s="63">
        <f t="shared" si="91"/>
        <v>571817.56296800543</v>
      </c>
      <c r="Y315" s="63">
        <f t="shared" si="91"/>
        <v>571817.56296800543</v>
      </c>
      <c r="Z315" s="63">
        <f t="shared" si="91"/>
        <v>571817.56296800543</v>
      </c>
      <c r="AA315" s="63">
        <f t="shared" si="91"/>
        <v>571817.56296800543</v>
      </c>
      <c r="AB315" s="63">
        <f t="shared" si="91"/>
        <v>571817.56296800543</v>
      </c>
      <c r="AC315" s="63">
        <f t="shared" si="91"/>
        <v>571817.56296800543</v>
      </c>
      <c r="AD315" s="63">
        <f t="shared" si="91"/>
        <v>571817.56296800543</v>
      </c>
      <c r="AE315" s="63">
        <f t="shared" si="91"/>
        <v>571817.56296800543</v>
      </c>
    </row>
    <row r="316" spans="1:31" x14ac:dyDescent="0.25">
      <c r="A316" s="6" t="s">
        <v>754</v>
      </c>
      <c r="B316" s="23" t="s">
        <v>114</v>
      </c>
      <c r="C316" s="61">
        <f>Assumptions!$B$202*(SUMIF($C$5:$AE$5,C5,$C$255:$AE$255)-SUMIF($C$5:$AE$5,C5,$C$241:$AE$241))/12</f>
        <v>56485.313968072995</v>
      </c>
      <c r="D316" s="61">
        <f>Assumptions!$B$202*(SUMIF($C$5:$AE$5,D5,$C$255:$AE$255)-SUMIF($C$5:$AE$5,D5,$C$241:$AE$241))/12</f>
        <v>56485.313968072995</v>
      </c>
      <c r="E316" s="61">
        <f>Assumptions!$B$202*(SUMIF($C$5:$AE$5,E5,$C$255:$AE$255)-SUMIF($C$5:$AE$5,E5,$C$241:$AE$241))/12</f>
        <v>56485.313968072995</v>
      </c>
      <c r="F316" s="61">
        <f>Assumptions!$B$202*(SUMIF($C$5:$AE$5,F5,$C$255:$AE$255)-SUMIF($C$5:$AE$5,F5,$C$241:$AE$241))/12</f>
        <v>56485.313968072995</v>
      </c>
      <c r="G316" s="61">
        <f>Assumptions!$B$202*(SUMIF($C$5:$AE$5,G5,$C$255:$AE$255)-SUMIF($C$5:$AE$5,G5,$C$241:$AE$241))/12</f>
        <v>56485.313968072995</v>
      </c>
      <c r="H316" s="61">
        <f>Assumptions!$B$202*(SUMIF($C$5:$AE$5,H5,$C$255:$AE$255)-SUMIF($C$5:$AE$5,H5,$C$241:$AE$241))/12</f>
        <v>56485.313968072995</v>
      </c>
      <c r="I316" s="61">
        <f>Assumptions!$B$202*(SUMIF($C$5:$AE$5,I5,$C$255:$AE$255)-SUMIF($C$5:$AE$5,I5,$C$241:$AE$241))/12</f>
        <v>56485.313968072995</v>
      </c>
      <c r="J316" s="61">
        <f>Assumptions!$B$202*(SUMIF($C$5:$AE$5,J5,$C$255:$AE$255)-SUMIF($C$5:$AE$5,J5,$C$241:$AE$241))/12</f>
        <v>56485.313968072995</v>
      </c>
      <c r="K316" s="61">
        <f>Assumptions!$B$202*(SUMIF($C$5:$AE$5,K5,$C$255:$AE$255)-SUMIF($C$5:$AE$5,K5,$C$241:$AE$241))/12</f>
        <v>56485.313968072995</v>
      </c>
      <c r="L316" s="61">
        <f>Assumptions!$B$202*(SUMIF($C$5:$AE$5,L5,$C$255:$AE$255)-SUMIF($C$5:$AE$5,L5,$C$241:$AE$241))/12</f>
        <v>56485.313968072995</v>
      </c>
      <c r="M316" s="61">
        <f>Assumptions!$B$202*(SUMIF($C$5:$AE$5,M5,$C$255:$AE$255)-SUMIF($C$5:$AE$5,M5,$C$241:$AE$241))/12</f>
        <v>56485.313968072995</v>
      </c>
      <c r="N316" s="61">
        <f>Assumptions!$B$202*(SUMIF($C$5:$AE$5,N5,$C$255:$AE$255)-SUMIF($C$5:$AE$5,N5,$C$241:$AE$241))/12</f>
        <v>56485.313968072995</v>
      </c>
      <c r="O316" s="61">
        <f>Assumptions!$B$202*(SUMIF($C$5:$AE$5,O5,$C$255:$AE$255)-SUMIF($C$5:$AE$5,O5,$C$241:$AE$241))/12</f>
        <v>37842.467571429581</v>
      </c>
      <c r="P316" s="61">
        <f>Assumptions!$B$202*(SUMIF($C$5:$AE$5,P5,$C$255:$AE$255)-SUMIF($C$5:$AE$5,P5,$C$241:$AE$241))/12</f>
        <v>37842.467571429581</v>
      </c>
      <c r="Q316" s="61">
        <f>Assumptions!$B$202*(SUMIF($C$5:$AE$5,Q5,$C$255:$AE$255)-SUMIF($C$5:$AE$5,Q5,$C$241:$AE$241))/12</f>
        <v>37842.467571429581</v>
      </c>
      <c r="R316" s="61">
        <f>Assumptions!$B$202*(SUMIF($C$5:$AE$5,R5,$C$255:$AE$255)-SUMIF($C$5:$AE$5,R5,$C$241:$AE$241))/12</f>
        <v>37842.467571429581</v>
      </c>
      <c r="S316" s="61">
        <f>Assumptions!$B$202*(SUMIF($C$5:$AE$5,S5,$C$255:$AE$255)-SUMIF($C$5:$AE$5,S5,$C$241:$AE$241))/12</f>
        <v>37842.467571429581</v>
      </c>
      <c r="T316" s="61">
        <f>Assumptions!$B$202*(SUMIF($C$5:$AE$5,T5,$C$255:$AE$255)-SUMIF($C$5:$AE$5,T5,$C$241:$AE$241))/12</f>
        <v>37842.467571429581</v>
      </c>
      <c r="U316" s="61">
        <f>Assumptions!$B$202*(SUMIF($C$5:$AE$5,U5,$C$255:$AE$255)-SUMIF($C$5:$AE$5,U5,$C$241:$AE$241))/12</f>
        <v>37842.467571429581</v>
      </c>
      <c r="V316" s="61">
        <f>Assumptions!$B$202*(SUMIF($C$5:$AE$5,V5,$C$255:$AE$255)-SUMIF($C$5:$AE$5,V5,$C$241:$AE$241))/12</f>
        <v>37842.467571429581</v>
      </c>
      <c r="W316" s="61">
        <f>Assumptions!$B$202*(SUMIF($C$5:$AE$5,W5,$C$255:$AE$255)-SUMIF($C$5:$AE$5,W5,$C$241:$AE$241))/12</f>
        <v>37842.467571429581</v>
      </c>
      <c r="X316" s="61">
        <f>Assumptions!$B$202*(SUMIF($C$5:$AE$5,X5,$C$255:$AE$255)-SUMIF($C$5:$AE$5,X5,$C$241:$AE$241))/12</f>
        <v>37842.467571429581</v>
      </c>
      <c r="Y316" s="61">
        <f>Assumptions!$B$202*(SUMIF($C$5:$AE$5,Y5,$C$255:$AE$255)-SUMIF($C$5:$AE$5,Y5,$C$241:$AE$241))/12</f>
        <v>37842.467571429581</v>
      </c>
      <c r="Z316" s="61">
        <f>Assumptions!$B$202*(SUMIF($C$5:$AE$5,Z5,$C$255:$AE$255)-SUMIF($C$5:$AE$5,Z5,$C$241:$AE$241))/12</f>
        <v>37842.467571429581</v>
      </c>
      <c r="AA316" s="61">
        <f>Assumptions!$B$202*(SUMIF($C$5:$AE$5,AA5,$C$255:$AE$255)-SUMIF($C$5:$AE$5,AA5,$C$241:$AE$241))/12</f>
        <v>36364.940798486088</v>
      </c>
      <c r="AB316" s="61">
        <f>Assumptions!$B$202*(SUMIF($C$5:$AE$5,AB5,$C$255:$AE$255)-SUMIF($C$5:$AE$5,AB5,$C$241:$AE$241))/12</f>
        <v>40957.296960600986</v>
      </c>
      <c r="AC316" s="61">
        <f>Assumptions!$B$202*(SUMIF($C$5:$AE$5,AC5,$C$255:$AE$255)-SUMIF($C$5:$AE$5,AC5,$C$241:$AE$241))/12</f>
        <v>46559.922374533082</v>
      </c>
      <c r="AD316" s="61">
        <f>Assumptions!$B$202*(SUMIF($C$5:$AE$5,AD5,$C$255:$AE$255)-SUMIF($C$5:$AE$5,AD5,$C$241:$AE$241))/12</f>
        <v>51323.257597302611</v>
      </c>
      <c r="AE316" s="61">
        <f>Assumptions!$B$202*(SUMIF($C$5:$AE$5,AE5,$C$255:$AE$255)-SUMIF($C$5:$AE$5,AE5,$C$241:$AE$241))/12</f>
        <v>54945.904091897908</v>
      </c>
    </row>
    <row r="317" spans="1:31" x14ac:dyDescent="0.25">
      <c r="A317" s="9" t="s">
        <v>755</v>
      </c>
    </row>
    <row r="318" spans="1:31" x14ac:dyDescent="0.25">
      <c r="A318" s="6" t="s">
        <v>756</v>
      </c>
      <c r="B318" s="23" t="s">
        <v>114</v>
      </c>
      <c r="C318" s="63">
        <f t="shared" ref="C318:AE318" si="92">C315-C316</f>
        <v>515332.24899993243</v>
      </c>
      <c r="D318" s="63">
        <f t="shared" si="92"/>
        <v>515332.24899993243</v>
      </c>
      <c r="E318" s="63">
        <f t="shared" si="92"/>
        <v>515332.24899993243</v>
      </c>
      <c r="F318" s="63">
        <f t="shared" si="92"/>
        <v>515332.24899993243</v>
      </c>
      <c r="G318" s="63">
        <f t="shared" si="92"/>
        <v>515332.24899993243</v>
      </c>
      <c r="H318" s="63">
        <f t="shared" si="92"/>
        <v>515332.24899993243</v>
      </c>
      <c r="I318" s="63">
        <f t="shared" si="92"/>
        <v>515332.24899993243</v>
      </c>
      <c r="J318" s="63">
        <f t="shared" si="92"/>
        <v>515332.24899993243</v>
      </c>
      <c r="K318" s="63">
        <f t="shared" si="92"/>
        <v>515332.24899993243</v>
      </c>
      <c r="L318" s="63">
        <f t="shared" si="92"/>
        <v>515332.24899993243</v>
      </c>
      <c r="M318" s="63">
        <f t="shared" si="92"/>
        <v>515332.24899993243</v>
      </c>
      <c r="N318" s="63">
        <f t="shared" si="92"/>
        <v>515332.24899993243</v>
      </c>
      <c r="O318" s="63">
        <f t="shared" si="92"/>
        <v>533975.09539657587</v>
      </c>
      <c r="P318" s="63">
        <f t="shared" si="92"/>
        <v>533975.09539657587</v>
      </c>
      <c r="Q318" s="63">
        <f t="shared" si="92"/>
        <v>533975.09539657587</v>
      </c>
      <c r="R318" s="63">
        <f t="shared" si="92"/>
        <v>533975.09539657587</v>
      </c>
      <c r="S318" s="63">
        <f t="shared" si="92"/>
        <v>533975.09539657587</v>
      </c>
      <c r="T318" s="63">
        <f t="shared" si="92"/>
        <v>533975.09539657587</v>
      </c>
      <c r="U318" s="63">
        <f t="shared" si="92"/>
        <v>533975.09539657587</v>
      </c>
      <c r="V318" s="63">
        <f t="shared" si="92"/>
        <v>533975.09539657587</v>
      </c>
      <c r="W318" s="63">
        <f t="shared" si="92"/>
        <v>533975.09539657587</v>
      </c>
      <c r="X318" s="63">
        <f t="shared" si="92"/>
        <v>533975.09539657587</v>
      </c>
      <c r="Y318" s="63">
        <f t="shared" si="92"/>
        <v>533975.09539657587</v>
      </c>
      <c r="Z318" s="63">
        <f t="shared" si="92"/>
        <v>533975.09539657587</v>
      </c>
      <c r="AA318" s="63">
        <f t="shared" si="92"/>
        <v>535452.62216951931</v>
      </c>
      <c r="AB318" s="63">
        <f t="shared" si="92"/>
        <v>530860.26600740443</v>
      </c>
      <c r="AC318" s="63">
        <f t="shared" si="92"/>
        <v>525257.6405934724</v>
      </c>
      <c r="AD318" s="63">
        <f t="shared" si="92"/>
        <v>520494.30537070282</v>
      </c>
      <c r="AE318" s="63">
        <f t="shared" si="92"/>
        <v>516871.65887610754</v>
      </c>
    </row>
    <row r="319" spans="1:31" x14ac:dyDescent="0.25">
      <c r="A319" s="3" t="s">
        <v>757</v>
      </c>
      <c r="B319" s="23" t="s">
        <v>114</v>
      </c>
      <c r="C319" s="63">
        <f t="shared" ref="C319:AE319" si="93">C209+C315+C214</f>
        <v>600533.94296800543</v>
      </c>
      <c r="D319" s="63">
        <f t="shared" si="93"/>
        <v>600533.94296800543</v>
      </c>
      <c r="E319" s="63">
        <f t="shared" si="93"/>
        <v>600533.94296800543</v>
      </c>
      <c r="F319" s="63">
        <f t="shared" si="93"/>
        <v>600533.94296800543</v>
      </c>
      <c r="G319" s="63">
        <f t="shared" si="93"/>
        <v>600533.94296800543</v>
      </c>
      <c r="H319" s="63">
        <f t="shared" si="93"/>
        <v>601155.34029849444</v>
      </c>
      <c r="I319" s="63">
        <f t="shared" si="93"/>
        <v>602830.50945123867</v>
      </c>
      <c r="J319" s="63">
        <f t="shared" si="93"/>
        <v>604421.75238319719</v>
      </c>
      <c r="K319" s="63">
        <f t="shared" si="93"/>
        <v>606158.85790125548</v>
      </c>
      <c r="L319" s="63">
        <f t="shared" si="93"/>
        <v>608710.33374273346</v>
      </c>
      <c r="M319" s="63">
        <f t="shared" si="93"/>
        <v>610851.01473339077</v>
      </c>
      <c r="N319" s="63">
        <f t="shared" si="93"/>
        <v>612489.71164255985</v>
      </c>
      <c r="O319" s="63">
        <f t="shared" si="93"/>
        <v>720328.45437987184</v>
      </c>
      <c r="P319" s="63">
        <f t="shared" si="93"/>
        <v>726456.47155637632</v>
      </c>
      <c r="Q319" s="63">
        <f t="shared" si="93"/>
        <v>732112.58629304101</v>
      </c>
      <c r="R319" s="63">
        <f t="shared" si="93"/>
        <v>739551.6008471516</v>
      </c>
      <c r="S319" s="63">
        <f t="shared" si="93"/>
        <v>745909.4058175867</v>
      </c>
      <c r="T319" s="63">
        <f t="shared" si="93"/>
        <v>750731.60595118382</v>
      </c>
      <c r="U319" s="63">
        <f t="shared" si="93"/>
        <v>755158.97648666659</v>
      </c>
      <c r="V319" s="63">
        <f t="shared" si="93"/>
        <v>759462.11268928403</v>
      </c>
      <c r="W319" s="63">
        <f t="shared" si="93"/>
        <v>764366.57908396539</v>
      </c>
      <c r="X319" s="63">
        <f t="shared" si="93"/>
        <v>772072.22778026748</v>
      </c>
      <c r="Y319" s="63">
        <f t="shared" si="93"/>
        <v>778702.991663764</v>
      </c>
      <c r="Z319" s="63">
        <f t="shared" si="93"/>
        <v>783861.46999582974</v>
      </c>
      <c r="AA319" s="63">
        <f t="shared" si="93"/>
        <v>864411.90549233882</v>
      </c>
      <c r="AB319" s="63">
        <f t="shared" si="93"/>
        <v>1022527.8281603942</v>
      </c>
      <c r="AC319" s="63">
        <f t="shared" si="93"/>
        <v>1221619.2268686628</v>
      </c>
      <c r="AD319" s="63">
        <f t="shared" si="93"/>
        <v>1378200.0223210005</v>
      </c>
      <c r="AE319" s="63">
        <f t="shared" si="93"/>
        <v>1452099.2248139535</v>
      </c>
    </row>
    <row r="320" spans="1:31" x14ac:dyDescent="0.25">
      <c r="A320" s="9" t="s">
        <v>758</v>
      </c>
    </row>
    <row r="323" spans="1:31" ht="20.100000000000001" customHeight="1" x14ac:dyDescent="0.25">
      <c r="A323" s="12" t="s">
        <v>759</v>
      </c>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row>
    <row r="325" spans="1:31" x14ac:dyDescent="0.25">
      <c r="A325" s="51" t="s">
        <v>760</v>
      </c>
      <c r="B325" s="52"/>
      <c r="C325" s="52"/>
      <c r="D325" s="52"/>
      <c r="E325" s="52"/>
      <c r="F325" s="52"/>
      <c r="G325" s="52"/>
      <c r="H325" s="52"/>
      <c r="I325" s="52"/>
      <c r="J325" s="52"/>
      <c r="K325" s="52"/>
      <c r="L325" s="52"/>
      <c r="M325" s="52"/>
      <c r="N325" s="52"/>
      <c r="O325" s="52"/>
      <c r="P325" s="52"/>
      <c r="Q325" s="52"/>
      <c r="R325" s="52"/>
      <c r="S325" s="52"/>
      <c r="T325" s="52"/>
      <c r="U325" s="52"/>
      <c r="V325" s="52"/>
      <c r="W325" s="52"/>
      <c r="X325" s="52"/>
      <c r="Y325" s="52"/>
      <c r="Z325" s="52"/>
      <c r="AA325" s="52"/>
      <c r="AB325" s="52"/>
      <c r="AC325" s="52"/>
      <c r="AD325" s="52"/>
      <c r="AE325" s="52"/>
    </row>
    <row r="326" spans="1:31" x14ac:dyDescent="0.25">
      <c r="A326" s="3" t="s">
        <v>761</v>
      </c>
      <c r="B326" s="23" t="s">
        <v>114</v>
      </c>
      <c r="C326" s="63">
        <f t="shared" ref="C326:AE326" si="94">C197-C304</f>
        <v>-279844.58259083744</v>
      </c>
      <c r="D326" s="63">
        <f t="shared" si="94"/>
        <v>-51227.278192330807</v>
      </c>
      <c r="E326" s="63">
        <f t="shared" si="94"/>
        <v>-50979.979165428354</v>
      </c>
      <c r="F326" s="63">
        <f t="shared" si="94"/>
        <v>-50833.060819700397</v>
      </c>
      <c r="G326" s="63">
        <f t="shared" si="94"/>
        <v>-50533.12625297108</v>
      </c>
      <c r="H326" s="63">
        <f t="shared" si="94"/>
        <v>-50262.527032729195</v>
      </c>
      <c r="I326" s="63">
        <f t="shared" si="94"/>
        <v>-49919.713607102589</v>
      </c>
      <c r="J326" s="63">
        <f t="shared" si="94"/>
        <v>-49613.773423846011</v>
      </c>
      <c r="K326" s="63">
        <f t="shared" si="94"/>
        <v>-49395.520203737586</v>
      </c>
      <c r="L326" s="63">
        <f t="shared" si="94"/>
        <v>-49179.601414881814</v>
      </c>
      <c r="M326" s="63">
        <f t="shared" si="94"/>
        <v>-48791.775081695538</v>
      </c>
      <c r="N326" s="63">
        <f t="shared" si="94"/>
        <v>-48482.843231856299</v>
      </c>
      <c r="O326" s="63">
        <f t="shared" si="94"/>
        <v>-215066.37547885242</v>
      </c>
      <c r="P326" s="63">
        <f t="shared" si="94"/>
        <v>-33536.634174710503</v>
      </c>
      <c r="Q326" s="63">
        <f t="shared" si="94"/>
        <v>-32489.12942468626</v>
      </c>
      <c r="R326" s="63">
        <f t="shared" si="94"/>
        <v>-30957.527293333918</v>
      </c>
      <c r="S326" s="63">
        <f t="shared" si="94"/>
        <v>-29801.082627162858</v>
      </c>
      <c r="T326" s="63">
        <f t="shared" si="94"/>
        <v>-28957.766960559249</v>
      </c>
      <c r="U326" s="63">
        <f t="shared" si="94"/>
        <v>-28131.175839672531</v>
      </c>
      <c r="V326" s="63">
        <f t="shared" si="94"/>
        <v>-27303.939379239288</v>
      </c>
      <c r="W326" s="63">
        <f t="shared" si="94"/>
        <v>-26508.866936697908</v>
      </c>
      <c r="X326" s="63">
        <f t="shared" si="94"/>
        <v>-24988.374703107307</v>
      </c>
      <c r="Y326" s="63">
        <f t="shared" si="94"/>
        <v>-23883.990840191283</v>
      </c>
      <c r="Z326" s="63">
        <f t="shared" si="94"/>
        <v>-23148.011143436503</v>
      </c>
      <c r="AA326" s="63">
        <f t="shared" si="94"/>
        <v>-72920.284279857296</v>
      </c>
      <c r="AB326" s="63">
        <f t="shared" si="94"/>
        <v>260844.32898183702</v>
      </c>
      <c r="AC326" s="63">
        <f t="shared" si="94"/>
        <v>593205.35439233156</v>
      </c>
      <c r="AD326" s="63">
        <f t="shared" si="94"/>
        <v>781494.06875569001</v>
      </c>
      <c r="AE326" s="63">
        <f t="shared" si="94"/>
        <v>846578.44812490791</v>
      </c>
    </row>
    <row r="327" spans="1:31" x14ac:dyDescent="0.25">
      <c r="A327" s="9" t="s">
        <v>762</v>
      </c>
    </row>
    <row r="328" spans="1:31" x14ac:dyDescent="0.25">
      <c r="A328" s="6" t="s">
        <v>763</v>
      </c>
      <c r="B328" s="23" t="s">
        <v>764</v>
      </c>
      <c r="C328" s="57">
        <f t="shared" ref="C328:AE328" si="95">IF(C197=0,0,C326/C197)</f>
        <v>-616.8065921570726</v>
      </c>
      <c r="D328" s="57">
        <f t="shared" si="95"/>
        <v>-59.4041572794819</v>
      </c>
      <c r="E328" s="57">
        <f t="shared" si="95"/>
        <v>-41.356015098703594</v>
      </c>
      <c r="F328" s="57">
        <f t="shared" si="95"/>
        <v>-30.122359557729961</v>
      </c>
      <c r="G328" s="57">
        <f t="shared" si="95"/>
        <v>-24.40749973823489</v>
      </c>
      <c r="H328" s="57">
        <f t="shared" si="95"/>
        <v>-21.27416362760723</v>
      </c>
      <c r="I328" s="57">
        <f t="shared" si="95"/>
        <v>-17.878972006650091</v>
      </c>
      <c r="J328" s="57">
        <f t="shared" si="95"/>
        <v>-15.521756835989375</v>
      </c>
      <c r="K328" s="57">
        <f t="shared" si="95"/>
        <v>-13.614498695642528</v>
      </c>
      <c r="L328" s="57">
        <f t="shared" si="95"/>
        <v>-11.601884671051753</v>
      </c>
      <c r="M328" s="57">
        <f t="shared" si="95"/>
        <v>-10.271162395084023</v>
      </c>
      <c r="N328" s="57">
        <f t="shared" si="95"/>
        <v>-9.4271593254334203</v>
      </c>
      <c r="O328" s="57">
        <f t="shared" si="95"/>
        <v>-6.1975135575073059</v>
      </c>
      <c r="P328" s="57">
        <f t="shared" si="95"/>
        <v>-1.387231723039472</v>
      </c>
      <c r="Q328" s="57">
        <f t="shared" si="95"/>
        <v>-1.2678663164193131</v>
      </c>
      <c r="R328" s="57">
        <f t="shared" si="95"/>
        <v>-1.0926954753242677</v>
      </c>
      <c r="S328" s="57">
        <f t="shared" si="95"/>
        <v>-1.0007623751481611</v>
      </c>
      <c r="T328" s="57">
        <f t="shared" si="95"/>
        <v>-0.94384670948153182</v>
      </c>
      <c r="U328" s="57">
        <f t="shared" si="95"/>
        <v>-0.88369956493608381</v>
      </c>
      <c r="V328" s="57">
        <f t="shared" si="95"/>
        <v>-0.82617854936292401</v>
      </c>
      <c r="W328" s="57">
        <f t="shared" si="95"/>
        <v>-0.76496879574545573</v>
      </c>
      <c r="X328" s="57">
        <f t="shared" si="95"/>
        <v>-0.66071610837530947</v>
      </c>
      <c r="Y328" s="57">
        <f t="shared" si="95"/>
        <v>-0.60669805838903557</v>
      </c>
      <c r="Z328" s="57">
        <f t="shared" si="95"/>
        <v>-0.57331549097579648</v>
      </c>
      <c r="AA328" s="57">
        <f t="shared" si="95"/>
        <v>-6.9291704455971742E-2</v>
      </c>
      <c r="AB328" s="57">
        <f t="shared" si="95"/>
        <v>0.13588053277483067</v>
      </c>
      <c r="AC328" s="57">
        <f t="shared" si="95"/>
        <v>0.20137698109255814</v>
      </c>
      <c r="AD328" s="57">
        <f t="shared" si="95"/>
        <v>0.20320907716745393</v>
      </c>
      <c r="AE328" s="57">
        <f t="shared" si="95"/>
        <v>0.18836770068995065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3"/>
  <sheetViews>
    <sheetView showGridLines="0" tabSelected="1" workbookViewId="0">
      <selection activeCell="M8" sqref="M8"/>
    </sheetView>
  </sheetViews>
  <sheetFormatPr defaultRowHeight="15" x14ac:dyDescent="0.25"/>
  <cols>
    <col min="1" max="1" width="46" customWidth="1"/>
    <col min="2" max="2" width="4" customWidth="1"/>
    <col min="4" max="10" width="16" customWidth="1"/>
    <col min="13" max="13" width="11.140625" bestFit="1" customWidth="1"/>
  </cols>
  <sheetData>
    <row r="1" spans="1:13" ht="23.25" x14ac:dyDescent="0.35">
      <c r="A1" s="76" t="str">
        <f>Cover!$B$2</f>
        <v>Aurumix Revenue Model</v>
      </c>
      <c r="B1" s="76"/>
      <c r="C1" s="76"/>
      <c r="D1" s="76"/>
      <c r="E1" s="76"/>
      <c r="F1" s="76"/>
      <c r="G1" s="76"/>
      <c r="H1" s="76"/>
      <c r="I1" s="76"/>
      <c r="J1" s="76"/>
    </row>
    <row r="2" spans="1:13" ht="18.75" x14ac:dyDescent="0.3">
      <c r="A2" s="77" t="s">
        <v>766</v>
      </c>
      <c r="B2" s="77"/>
      <c r="C2" s="77"/>
      <c r="D2" s="77"/>
      <c r="E2" s="77"/>
      <c r="F2" s="77"/>
      <c r="G2" s="77"/>
      <c r="H2" s="77"/>
      <c r="I2" s="77"/>
      <c r="J2" s="77"/>
    </row>
    <row r="4" spans="1:13" x14ac:dyDescent="0.25">
      <c r="D4" s="71" t="s">
        <v>767</v>
      </c>
      <c r="E4" s="71" t="s">
        <v>768</v>
      </c>
      <c r="F4" s="71" t="s">
        <v>531</v>
      </c>
      <c r="G4" s="71" t="s">
        <v>532</v>
      </c>
      <c r="H4" s="71" t="s">
        <v>533</v>
      </c>
      <c r="I4" s="71" t="s">
        <v>534</v>
      </c>
      <c r="J4" s="71" t="s">
        <v>535</v>
      </c>
    </row>
    <row r="6" spans="1:13" ht="18" customHeight="1" x14ac:dyDescent="0.25">
      <c r="A6" s="12" t="s">
        <v>769</v>
      </c>
      <c r="B6" s="13"/>
      <c r="C6" s="13"/>
      <c r="D6" s="13"/>
      <c r="E6" s="13"/>
      <c r="F6" s="13"/>
      <c r="G6" s="13"/>
      <c r="H6" s="13"/>
      <c r="I6" s="13"/>
      <c r="J6" s="13"/>
      <c r="K6" s="13"/>
    </row>
    <row r="7" spans="1:13" x14ac:dyDescent="0.25">
      <c r="A7" s="6" t="s">
        <v>770</v>
      </c>
      <c r="D7" s="37">
        <f>SUM(Model!C65:N65)</f>
        <v>10503.433614865526</v>
      </c>
      <c r="E7" s="37">
        <f>SUM(Model!O65:Z65)</f>
        <v>91676.283854258872</v>
      </c>
      <c r="F7" s="37">
        <f>Model!AA65</f>
        <v>239350.59803883114</v>
      </c>
      <c r="G7" s="37">
        <f>Model!AB65</f>
        <v>418046.60983208101</v>
      </c>
      <c r="H7" s="37">
        <f>Model!AC65</f>
        <v>671295.43123165448</v>
      </c>
      <c r="I7" s="37">
        <f>Model!AD65</f>
        <v>981858.32112716185</v>
      </c>
      <c r="J7" s="37">
        <f>Model!AE65</f>
        <v>1271819.4751080682</v>
      </c>
    </row>
    <row r="8" spans="1:13" x14ac:dyDescent="0.25">
      <c r="A8" s="6" t="s">
        <v>771</v>
      </c>
      <c r="D8" s="37">
        <f>SUM(Model!C108:N108)</f>
        <v>0</v>
      </c>
      <c r="E8" s="37">
        <f>SUM(Model!O108:Z108)</f>
        <v>15982.853105607224</v>
      </c>
      <c r="F8" s="37">
        <f>Model!AA108</f>
        <v>53239.571751872645</v>
      </c>
      <c r="G8" s="37">
        <f>Model!AB108</f>
        <v>97701.027889227553</v>
      </c>
      <c r="H8" s="37">
        <f>Model!AC108</f>
        <v>160735.85710470396</v>
      </c>
      <c r="I8" s="37">
        <f>Model!AD108</f>
        <v>237274.08954439912</v>
      </c>
      <c r="J8" s="37">
        <f>Model!AE108</f>
        <v>306012.43914836756</v>
      </c>
    </row>
    <row r="9" spans="1:13" x14ac:dyDescent="0.25">
      <c r="A9" s="6" t="s">
        <v>772</v>
      </c>
      <c r="D9" s="37">
        <f>SUM(Model!C151:N151)</f>
        <v>21914.71792494028</v>
      </c>
      <c r="E9" s="37">
        <f>SUM(Model!O151:Z151)</f>
        <v>140981.90076822691</v>
      </c>
      <c r="F9" s="37">
        <f>Model!AA151</f>
        <v>334526.55797814706</v>
      </c>
      <c r="G9" s="37">
        <f>Model!AB151</f>
        <v>695161.66633871768</v>
      </c>
      <c r="H9" s="37">
        <f>Model!AC151</f>
        <v>1121464.3037066506</v>
      </c>
      <c r="I9" s="37">
        <f>Model!AD151</f>
        <v>1350881.1725747806</v>
      </c>
      <c r="J9" s="37">
        <f>Model!AE151</f>
        <v>1357204.765594048</v>
      </c>
    </row>
    <row r="10" spans="1:13" x14ac:dyDescent="0.25">
      <c r="A10" s="6" t="s">
        <v>773</v>
      </c>
      <c r="D10" s="37">
        <f>SUM(Model!C155:N155)</f>
        <v>0</v>
      </c>
      <c r="E10" s="37">
        <f>SUM(Model!O155:Z155)</f>
        <v>141750</v>
      </c>
      <c r="F10" s="37">
        <f>Model!AA155</f>
        <v>425250</v>
      </c>
      <c r="G10" s="37">
        <f>Model!AB155</f>
        <v>708750</v>
      </c>
      <c r="H10" s="37">
        <f>Model!AC155</f>
        <v>992250</v>
      </c>
      <c r="I10" s="37">
        <f>Model!AD155</f>
        <v>1275750</v>
      </c>
      <c r="J10" s="37">
        <f>Model!AE155</f>
        <v>1559250</v>
      </c>
    </row>
    <row r="11" spans="1:13" x14ac:dyDescent="0.25">
      <c r="A11" s="3" t="s">
        <v>774</v>
      </c>
      <c r="D11" s="72">
        <f>SUM(Model!C197:N197)</f>
        <v>32418.151539805804</v>
      </c>
      <c r="E11" s="72">
        <f>SUM(Model!O197:Z197)</f>
        <v>390391.03772809292</v>
      </c>
      <c r="F11" s="72">
        <f>Model!AA197</f>
        <v>1052366.727768851</v>
      </c>
      <c r="G11" s="72">
        <f>Model!AB197</f>
        <v>1919659.3040600263</v>
      </c>
      <c r="H11" s="72">
        <f>Model!AC197</f>
        <v>2945745.5920430091</v>
      </c>
      <c r="I11" s="72">
        <f>Model!AD197</f>
        <v>3845763.5832463419</v>
      </c>
      <c r="J11" s="72">
        <f>Model!AE197</f>
        <v>4494286.6798504833</v>
      </c>
      <c r="M11" s="75">
        <f>SUM(D11:J11)</f>
        <v>14680631.076236611</v>
      </c>
    </row>
    <row r="13" spans="1:13" ht="18" customHeight="1" x14ac:dyDescent="0.25">
      <c r="A13" s="12" t="s">
        <v>775</v>
      </c>
      <c r="B13" s="13"/>
      <c r="C13" s="13"/>
      <c r="D13" s="13"/>
      <c r="E13" s="13"/>
      <c r="F13" s="13"/>
      <c r="G13" s="13"/>
      <c r="H13" s="13"/>
      <c r="I13" s="13"/>
      <c r="J13" s="13"/>
      <c r="K13" s="13"/>
    </row>
    <row r="14" spans="1:13" x14ac:dyDescent="0.25">
      <c r="A14" s="6" t="s">
        <v>776</v>
      </c>
      <c r="D14" s="37">
        <f>SUM(Model!C189:N189)</f>
        <v>26885.435420470098</v>
      </c>
      <c r="E14" s="37">
        <f>SUM(Model!O189:Z189)</f>
        <v>114193.66539018432</v>
      </c>
      <c r="F14" s="37">
        <f>Model!AA189</f>
        <v>308422.74890512059</v>
      </c>
      <c r="G14" s="37">
        <f>Model!AB189</f>
        <v>584044.40233519999</v>
      </c>
      <c r="H14" s="37">
        <f>Model!AC189</f>
        <v>931152.69983880862</v>
      </c>
      <c r="I14" s="37">
        <f>Model!AD189</f>
        <v>1201848.7681883383</v>
      </c>
      <c r="J14" s="37">
        <f>Model!AE189</f>
        <v>1326087.9278964964</v>
      </c>
    </row>
    <row r="15" spans="1:13" x14ac:dyDescent="0.25">
      <c r="A15" s="6" t="s">
        <v>777</v>
      </c>
      <c r="D15" s="37">
        <f>SUM(Model!C190:N190)</f>
        <v>2036.5794594778138</v>
      </c>
      <c r="E15" s="37">
        <f>SUM(Model!O190:Z190)</f>
        <v>8931.816193454586</v>
      </c>
      <c r="F15" s="37">
        <f>Model!AA190</f>
        <v>24337.486541113991</v>
      </c>
      <c r="G15" s="37">
        <f>Model!AB190</f>
        <v>45403.713645017895</v>
      </c>
      <c r="H15" s="37">
        <f>Model!AC190</f>
        <v>72327.701029221193</v>
      </c>
      <c r="I15" s="37">
        <f>Model!AD190</f>
        <v>94980.458019487967</v>
      </c>
      <c r="J15" s="37">
        <f>Model!AE190</f>
        <v>107358.28725281323</v>
      </c>
    </row>
    <row r="16" spans="1:13" x14ac:dyDescent="0.25">
      <c r="A16" s="6" t="s">
        <v>778</v>
      </c>
      <c r="D16" s="37">
        <f>SUM(Model!C191:N191)</f>
        <v>0</v>
      </c>
      <c r="E16" s="37">
        <f>SUM(Model!O191:Z191)</f>
        <v>1069.9679429196478</v>
      </c>
      <c r="F16" s="37">
        <f>Model!AA191</f>
        <v>6037.5261107321303</v>
      </c>
      <c r="G16" s="37">
        <f>Model!AB191</f>
        <v>13770.450983342082</v>
      </c>
      <c r="H16" s="37">
        <f>Model!AC191</f>
        <v>25795.908489829548</v>
      </c>
      <c r="I16" s="37">
        <f>Model!AD191</f>
        <v>40722.665344312743</v>
      </c>
      <c r="J16" s="37">
        <f>Model!AE191</f>
        <v>56241.053069335343</v>
      </c>
    </row>
    <row r="17" spans="1:11" x14ac:dyDescent="0.25">
      <c r="A17" s="6" t="s">
        <v>779</v>
      </c>
      <c r="D17" s="37">
        <f>SUM(Model!C192:N192)</f>
        <v>3496.1366598578902</v>
      </c>
      <c r="E17" s="37">
        <f>SUM(Model!O192:Z192)</f>
        <v>42686.149212104108</v>
      </c>
      <c r="F17" s="37">
        <f>Model!AA192</f>
        <v>116114.00420168671</v>
      </c>
      <c r="G17" s="37">
        <f>Model!AB192</f>
        <v>219919.41748911882</v>
      </c>
      <c r="H17" s="37">
        <f>Model!AC192</f>
        <v>343720.49709626666</v>
      </c>
      <c r="I17" s="37">
        <f>Model!AD192</f>
        <v>426312.60106317396</v>
      </c>
      <c r="J17" s="37">
        <f>Model!AE192</f>
        <v>448317.30936197453</v>
      </c>
    </row>
    <row r="18" spans="1:11" x14ac:dyDescent="0.25">
      <c r="A18" s="6" t="s">
        <v>780</v>
      </c>
      <c r="D18" s="37">
        <f>SUM(Model!C193:N193)</f>
        <v>0</v>
      </c>
      <c r="E18" s="37">
        <f>SUM(Model!O193:Z193)</f>
        <v>80918.732307322774</v>
      </c>
      <c r="F18" s="37">
        <f>Model!AA193</f>
        <v>167425.25383920112</v>
      </c>
      <c r="G18" s="37">
        <f>Model!AB193</f>
        <v>336869.71257886838</v>
      </c>
      <c r="H18" s="37">
        <f>Model!AC193</f>
        <v>560077.02470110124</v>
      </c>
      <c r="I18" s="37">
        <f>Model!AD193</f>
        <v>773910.31390011404</v>
      </c>
      <c r="J18" s="37">
        <f>Model!AE193</f>
        <v>952507.93525664019</v>
      </c>
    </row>
    <row r="19" spans="1:11" x14ac:dyDescent="0.25">
      <c r="A19" s="6" t="s">
        <v>781</v>
      </c>
      <c r="D19" s="37">
        <f>SUM(Model!C194:N194)</f>
        <v>0</v>
      </c>
      <c r="E19" s="37">
        <f>SUM(Model!O194:Z194)</f>
        <v>840.70668210756514</v>
      </c>
      <c r="F19" s="37">
        <f>Model!AA194</f>
        <v>4779.7081709962704</v>
      </c>
      <c r="G19" s="37">
        <f>Model!AB194</f>
        <v>10901.607028479149</v>
      </c>
      <c r="H19" s="37">
        <f>Model!AC194</f>
        <v>20421.760887781726</v>
      </c>
      <c r="I19" s="37">
        <f>Model!AD194</f>
        <v>32238.776730914258</v>
      </c>
      <c r="J19" s="37">
        <f>Model!AE194</f>
        <v>44524.167013223807</v>
      </c>
    </row>
    <row r="20" spans="1:11" x14ac:dyDescent="0.25">
      <c r="A20" s="6" t="s">
        <v>782</v>
      </c>
      <c r="D20" s="37">
        <f>SUM(Model!C155:N155)</f>
        <v>0</v>
      </c>
      <c r="E20" s="37">
        <f>SUM(Model!O155:Z155)</f>
        <v>141750</v>
      </c>
      <c r="F20" s="37">
        <f>Model!AA155</f>
        <v>425250</v>
      </c>
      <c r="G20" s="37">
        <f>Model!AB155</f>
        <v>708750</v>
      </c>
      <c r="H20" s="37">
        <f>Model!AC155</f>
        <v>992250</v>
      </c>
      <c r="I20" s="37">
        <f>Model!AD155</f>
        <v>1275750</v>
      </c>
      <c r="J20" s="37">
        <f>Model!AE155</f>
        <v>1559250</v>
      </c>
    </row>
    <row r="21" spans="1:11" x14ac:dyDescent="0.25">
      <c r="A21" s="3" t="s">
        <v>783</v>
      </c>
      <c r="D21" s="72">
        <f>SUM(Model!C197:N197)</f>
        <v>32418.151539805804</v>
      </c>
      <c r="E21" s="72">
        <f>SUM(Model!O197:Z197)</f>
        <v>390391.03772809292</v>
      </c>
      <c r="F21" s="72">
        <f>Model!AA197</f>
        <v>1052366.727768851</v>
      </c>
      <c r="G21" s="72">
        <f>Model!AB197</f>
        <v>1919659.3040600263</v>
      </c>
      <c r="H21" s="72">
        <f>Model!AC197</f>
        <v>2945745.5920430091</v>
      </c>
      <c r="I21" s="72">
        <f>Model!AD197</f>
        <v>3845763.5832463419</v>
      </c>
      <c r="J21" s="72">
        <f>Model!AE197</f>
        <v>4494286.6798504833</v>
      </c>
    </row>
    <row r="23" spans="1:11" ht="18" customHeight="1" x14ac:dyDescent="0.25">
      <c r="A23" s="12" t="s">
        <v>784</v>
      </c>
      <c r="B23" s="13"/>
      <c r="C23" s="13"/>
      <c r="D23" s="13"/>
      <c r="E23" s="13"/>
      <c r="F23" s="13"/>
      <c r="G23" s="13"/>
      <c r="H23" s="13"/>
      <c r="I23" s="13"/>
      <c r="J23" s="13"/>
      <c r="K23" s="13"/>
    </row>
    <row r="24" spans="1:11" x14ac:dyDescent="0.25">
      <c r="A24" t="s">
        <v>785</v>
      </c>
      <c r="D24" s="73">
        <f t="shared" ref="D24:J30" si="0">IF(D$11=0,0,D14/D$11)</f>
        <v>0.82933277017530871</v>
      </c>
      <c r="E24" s="73">
        <f t="shared" si="0"/>
        <v>0.29251098092502864</v>
      </c>
      <c r="F24" s="73">
        <f t="shared" si="0"/>
        <v>0.29307535174455335</v>
      </c>
      <c r="G24" s="73">
        <f t="shared" si="0"/>
        <v>0.3042437796644239</v>
      </c>
      <c r="H24" s="73">
        <f t="shared" si="0"/>
        <v>0.31610085485794165</v>
      </c>
      <c r="I24" s="73">
        <f t="shared" si="0"/>
        <v>0.31251238984738011</v>
      </c>
      <c r="J24" s="73">
        <f t="shared" si="0"/>
        <v>0.29506082329857358</v>
      </c>
    </row>
    <row r="25" spans="1:11" x14ac:dyDescent="0.25">
      <c r="A25" t="s">
        <v>786</v>
      </c>
      <c r="D25" s="73">
        <f t="shared" si="0"/>
        <v>6.2822195675688849E-2</v>
      </c>
      <c r="E25" s="73">
        <f t="shared" si="0"/>
        <v>2.2879152773162763E-2</v>
      </c>
      <c r="F25" s="73">
        <f t="shared" si="0"/>
        <v>2.312643102344418E-2</v>
      </c>
      <c r="G25" s="73">
        <f t="shared" si="0"/>
        <v>2.365196446525188E-2</v>
      </c>
      <c r="H25" s="73">
        <f t="shared" si="0"/>
        <v>2.4553274805737255E-2</v>
      </c>
      <c r="I25" s="73">
        <f t="shared" si="0"/>
        <v>2.4697425092187201E-2</v>
      </c>
      <c r="J25" s="73">
        <f t="shared" si="0"/>
        <v>2.3887725661591495E-2</v>
      </c>
    </row>
    <row r="26" spans="1:11" x14ac:dyDescent="0.25">
      <c r="A26" t="s">
        <v>787</v>
      </c>
      <c r="D26" s="73">
        <f t="shared" si="0"/>
        <v>0</v>
      </c>
      <c r="E26" s="73">
        <f t="shared" si="0"/>
        <v>2.7407594937281315E-3</v>
      </c>
      <c r="F26" s="73">
        <f t="shared" si="0"/>
        <v>5.7370933073230476E-3</v>
      </c>
      <c r="G26" s="73">
        <f t="shared" si="0"/>
        <v>7.1733827738171864E-3</v>
      </c>
      <c r="H26" s="73">
        <f t="shared" si="0"/>
        <v>8.7570048681423658E-3</v>
      </c>
      <c r="I26" s="73">
        <f t="shared" si="0"/>
        <v>1.0588967434638125E-2</v>
      </c>
      <c r="J26" s="73">
        <f t="shared" si="0"/>
        <v>1.2513899774459065E-2</v>
      </c>
    </row>
    <row r="27" spans="1:11" x14ac:dyDescent="0.25">
      <c r="A27" t="s">
        <v>788</v>
      </c>
      <c r="D27" s="73">
        <f t="shared" si="0"/>
        <v>0.10784503414900236</v>
      </c>
      <c r="E27" s="73">
        <f t="shared" si="0"/>
        <v>0.10934203167295808</v>
      </c>
      <c r="F27" s="73">
        <f t="shared" si="0"/>
        <v>0.11033606549673317</v>
      </c>
      <c r="G27" s="73">
        <f t="shared" si="0"/>
        <v>0.11456169176686475</v>
      </c>
      <c r="H27" s="73">
        <f t="shared" si="0"/>
        <v>0.11668370073258118</v>
      </c>
      <c r="I27" s="73">
        <f t="shared" si="0"/>
        <v>0.11085252429981897</v>
      </c>
      <c r="J27" s="73">
        <f t="shared" si="0"/>
        <v>9.9752717460580245E-2</v>
      </c>
    </row>
    <row r="28" spans="1:11" x14ac:dyDescent="0.25">
      <c r="A28" t="s">
        <v>789</v>
      </c>
      <c r="D28" s="73">
        <f t="shared" si="0"/>
        <v>0</v>
      </c>
      <c r="E28" s="73">
        <f t="shared" si="0"/>
        <v>0.20727610136296881</v>
      </c>
      <c r="F28" s="73">
        <f t="shared" si="0"/>
        <v>0.15909402057414299</v>
      </c>
      <c r="G28" s="73">
        <f t="shared" si="0"/>
        <v>0.17548411422089236</v>
      </c>
      <c r="H28" s="73">
        <f t="shared" si="0"/>
        <v>0.19013081992347555</v>
      </c>
      <c r="I28" s="73">
        <f t="shared" si="0"/>
        <v>0.2012371008118054</v>
      </c>
      <c r="J28" s="73">
        <f t="shared" si="0"/>
        <v>0.21193751158044247</v>
      </c>
    </row>
    <row r="29" spans="1:11" x14ac:dyDescent="0.25">
      <c r="A29" t="s">
        <v>790</v>
      </c>
      <c r="D29" s="73">
        <f t="shared" si="0"/>
        <v>0</v>
      </c>
      <c r="E29" s="73">
        <f t="shared" si="0"/>
        <v>2.1534989302011507E-3</v>
      </c>
      <c r="F29" s="73">
        <f t="shared" si="0"/>
        <v>4.5418655349640799E-3</v>
      </c>
      <c r="G29" s="73">
        <f t="shared" si="0"/>
        <v>5.6789280292719405E-3</v>
      </c>
      <c r="H29" s="73">
        <f t="shared" si="0"/>
        <v>6.9326288539460403E-3</v>
      </c>
      <c r="I29" s="73">
        <f t="shared" si="0"/>
        <v>8.3829325524218505E-3</v>
      </c>
      <c r="J29" s="73">
        <f t="shared" si="0"/>
        <v>9.906837321446758E-3</v>
      </c>
    </row>
    <row r="30" spans="1:11" x14ac:dyDescent="0.25">
      <c r="A30" t="s">
        <v>791</v>
      </c>
      <c r="D30" s="73">
        <f t="shared" si="0"/>
        <v>0</v>
      </c>
      <c r="E30" s="73">
        <f t="shared" si="0"/>
        <v>0.36309747484195265</v>
      </c>
      <c r="F30" s="73">
        <f t="shared" si="0"/>
        <v>0.40408917231883906</v>
      </c>
      <c r="G30" s="73">
        <f t="shared" si="0"/>
        <v>0.36920613907947797</v>
      </c>
      <c r="H30" s="73">
        <f t="shared" si="0"/>
        <v>0.33684171595817591</v>
      </c>
      <c r="I30" s="73">
        <f t="shared" si="0"/>
        <v>0.33172865996174816</v>
      </c>
      <c r="J30" s="73">
        <f t="shared" si="0"/>
        <v>0.34694048490290641</v>
      </c>
    </row>
    <row r="31" spans="1:11" x14ac:dyDescent="0.25">
      <c r="A31" s="3" t="s">
        <v>792</v>
      </c>
      <c r="D31" s="42">
        <f t="shared" ref="D31:J31" si="1">SUM(D24:D30)</f>
        <v>0.99999999999999989</v>
      </c>
      <c r="E31" s="42">
        <f t="shared" si="1"/>
        <v>1.0000000000000002</v>
      </c>
      <c r="F31" s="42">
        <f t="shared" si="1"/>
        <v>0.99999999999999978</v>
      </c>
      <c r="G31" s="42">
        <f t="shared" si="1"/>
        <v>1</v>
      </c>
      <c r="H31" s="42">
        <f t="shared" si="1"/>
        <v>1</v>
      </c>
      <c r="I31" s="42">
        <f t="shared" si="1"/>
        <v>0.99999999999999978</v>
      </c>
      <c r="J31" s="42">
        <f t="shared" si="1"/>
        <v>0.99999999999999989</v>
      </c>
    </row>
    <row r="33" spans="1:11" ht="18" customHeight="1" x14ac:dyDescent="0.25">
      <c r="A33" s="12" t="s">
        <v>793</v>
      </c>
      <c r="B33" s="13"/>
      <c r="C33" s="13"/>
      <c r="D33" s="13"/>
      <c r="E33" s="13"/>
      <c r="F33" s="13"/>
      <c r="G33" s="13"/>
      <c r="H33" s="13"/>
      <c r="I33" s="13"/>
      <c r="J33" s="13"/>
      <c r="K33" s="13"/>
    </row>
    <row r="34" spans="1:11" x14ac:dyDescent="0.25">
      <c r="A34" s="6" t="s">
        <v>794</v>
      </c>
      <c r="D34" s="34">
        <f>SUM(Model!C224:N224)</f>
        <v>3801.5997113741355</v>
      </c>
      <c r="E34" s="34">
        <f>SUM(Model!O224:Z224)</f>
        <v>14645.897016544437</v>
      </c>
      <c r="F34" s="34">
        <f>Model!AA224</f>
        <v>36854.581911073961</v>
      </c>
      <c r="G34" s="34">
        <f>Model!AB224</f>
        <v>62675.514423705768</v>
      </c>
      <c r="H34" s="34">
        <f>Model!AC224</f>
        <v>89434.007691889681</v>
      </c>
      <c r="I34" s="34">
        <f>Model!AD224</f>
        <v>101229.10329120843</v>
      </c>
      <c r="J34" s="34">
        <f>Model!AE224</f>
        <v>94924.255164071481</v>
      </c>
    </row>
    <row r="35" spans="1:11" x14ac:dyDescent="0.25">
      <c r="A35" s="6" t="s">
        <v>795</v>
      </c>
      <c r="D35" s="37">
        <f>SUM(Model!C225:N225)</f>
        <v>8066.6144275647785</v>
      </c>
      <c r="E35" s="37">
        <f>SUM(Model!O225:Z225)</f>
        <v>33594.3763186375</v>
      </c>
      <c r="F35" s="37">
        <f>Model!AA225</f>
        <v>91383.500407759289</v>
      </c>
      <c r="G35" s="37">
        <f>Model!AB225</f>
        <v>167996.37159265584</v>
      </c>
      <c r="H35" s="37">
        <f>Model!AC225</f>
        <v>259137.56959945243</v>
      </c>
      <c r="I35" s="37">
        <f>Model!AD225</f>
        <v>317072.64271414414</v>
      </c>
      <c r="J35" s="37">
        <f>Model!AE225</f>
        <v>321407.69822679658</v>
      </c>
    </row>
    <row r="36" spans="1:11" x14ac:dyDescent="0.25">
      <c r="A36" s="3" t="s">
        <v>675</v>
      </c>
      <c r="D36" s="72">
        <f>SUM(Model!C228:N228)</f>
        <v>8066.6144275647785</v>
      </c>
      <c r="E36" s="72">
        <f>SUM(Model!O228:Z228)</f>
        <v>33594.3763186375</v>
      </c>
      <c r="F36" s="72">
        <f>Model!AA228</f>
        <v>91383.500407759289</v>
      </c>
      <c r="G36" s="72">
        <f>Model!AB228</f>
        <v>167996.37159265584</v>
      </c>
      <c r="H36" s="72">
        <f>Model!AC228</f>
        <v>259137.56959945243</v>
      </c>
      <c r="I36" s="72">
        <f>Model!AD228</f>
        <v>317072.64271414414</v>
      </c>
      <c r="J36" s="72">
        <f>Model!AE228</f>
        <v>321407.69822679658</v>
      </c>
    </row>
    <row r="37" spans="1:11" x14ac:dyDescent="0.25">
      <c r="A37" s="6" t="s">
        <v>796</v>
      </c>
      <c r="D37" s="37">
        <f>SUM(Model!C233:N233)</f>
        <v>9125</v>
      </c>
      <c r="E37" s="37">
        <f>SUM(Model!O233:Z233)</f>
        <v>9125</v>
      </c>
      <c r="F37" s="37">
        <f>Model!AA233</f>
        <v>11197.725923280033</v>
      </c>
      <c r="G37" s="37">
        <f>Model!AB233</f>
        <v>25712.943014131681</v>
      </c>
      <c r="H37" s="37">
        <f>Model!AC233</f>
        <v>48728.490700885952</v>
      </c>
      <c r="I37" s="37">
        <f>Model!AD233</f>
        <v>78173.779059677589</v>
      </c>
      <c r="J37" s="37">
        <f>Model!AE233</f>
        <v>110238.19384721424</v>
      </c>
    </row>
    <row r="38" spans="1:11" x14ac:dyDescent="0.25">
      <c r="A38" s="6" t="s">
        <v>797</v>
      </c>
      <c r="D38" s="38">
        <f>Model!N235</f>
        <v>1.5791421639051201E-2</v>
      </c>
      <c r="E38" s="38">
        <f>Model!Z235</f>
        <v>3.1129031870759096E-3</v>
      </c>
      <c r="F38" s="38">
        <f>Model!AA235</f>
        <v>1.2000000000000001E-3</v>
      </c>
      <c r="G38" s="38">
        <f>Model!AB235</f>
        <v>1.2000000000000001E-3</v>
      </c>
      <c r="H38" s="38">
        <f>Model!AC235</f>
        <v>1.1999999999999999E-3</v>
      </c>
      <c r="I38" s="38">
        <f>Model!AD235</f>
        <v>1.1999999999999999E-3</v>
      </c>
      <c r="J38" s="38">
        <f>Model!AE235</f>
        <v>1.1999999999999999E-3</v>
      </c>
    </row>
    <row r="39" spans="1:11" x14ac:dyDescent="0.25">
      <c r="A39" s="6" t="s">
        <v>798</v>
      </c>
      <c r="D39" s="37">
        <f>SUM(Model!C236:N236)</f>
        <v>108917.63104152484</v>
      </c>
      <c r="E39" s="37">
        <f>SUM(Model!O236:Z236)</f>
        <v>108917.63104152484</v>
      </c>
      <c r="F39" s="37">
        <f>Model!AA236</f>
        <v>108917.63104152484</v>
      </c>
      <c r="G39" s="37">
        <f>Model!AB236</f>
        <v>108917.63104152484</v>
      </c>
      <c r="H39" s="37">
        <f>Model!AC236</f>
        <v>108917.63104152484</v>
      </c>
      <c r="I39" s="37">
        <f>Model!AD236</f>
        <v>108917.63104152484</v>
      </c>
      <c r="J39" s="37">
        <f>Model!AE236</f>
        <v>108917.63104152484</v>
      </c>
    </row>
    <row r="40" spans="1:11" x14ac:dyDescent="0.25">
      <c r="A40" s="6" t="s">
        <v>799</v>
      </c>
      <c r="D40" s="37">
        <f>SUM(Model!C238:N238)</f>
        <v>5518.039482641253</v>
      </c>
      <c r="E40" s="37">
        <f>SUM(Model!O238:Z238)</f>
        <v>5518.039482641253</v>
      </c>
      <c r="F40" s="37">
        <f>Model!AA238</f>
        <v>5518.039482641253</v>
      </c>
      <c r="G40" s="37">
        <f>Model!AB238</f>
        <v>5518.039482641253</v>
      </c>
      <c r="H40" s="37">
        <f>Model!AC238</f>
        <v>5518.039482641253</v>
      </c>
      <c r="I40" s="37">
        <f>Model!AD238</f>
        <v>5518.039482641253</v>
      </c>
      <c r="J40" s="37">
        <f>Model!AE238</f>
        <v>5518.039482641253</v>
      </c>
    </row>
    <row r="41" spans="1:11" x14ac:dyDescent="0.25">
      <c r="A41" s="6" t="s">
        <v>800</v>
      </c>
      <c r="D41" s="37">
        <f>SUM(Model!C239:N239)</f>
        <v>6076.5045793671916</v>
      </c>
      <c r="E41" s="37">
        <f>SUM(Model!O239:Z239)</f>
        <v>18758.92570168657</v>
      </c>
      <c r="F41" s="37">
        <f>Model!AA239</f>
        <v>28958.761971304211</v>
      </c>
      <c r="G41" s="37">
        <f>Model!AB239</f>
        <v>55988.838805629384</v>
      </c>
      <c r="H41" s="37">
        <f>Model!AC239</f>
        <v>82346.172537513878</v>
      </c>
      <c r="I41" s="37">
        <f>Model!AD239</f>
        <v>92606.470794059816</v>
      </c>
      <c r="J41" s="37">
        <f>Model!AE239</f>
        <v>88679.776836843419</v>
      </c>
    </row>
    <row r="42" spans="1:11" x14ac:dyDescent="0.25">
      <c r="A42" s="6" t="s">
        <v>801</v>
      </c>
      <c r="D42" s="37">
        <f>SUM(Model!C243:N243)</f>
        <v>45000</v>
      </c>
      <c r="E42" s="37">
        <f>SUM(Model!O243:Z243)</f>
        <v>45000</v>
      </c>
      <c r="F42" s="37">
        <f>Model!AA243</f>
        <v>45000</v>
      </c>
      <c r="G42" s="37">
        <f>Model!AB243</f>
        <v>45000</v>
      </c>
      <c r="H42" s="37">
        <f>Model!AC243</f>
        <v>45000</v>
      </c>
      <c r="I42" s="37">
        <f>Model!AD243</f>
        <v>45000</v>
      </c>
      <c r="J42" s="37">
        <f>Model!AE243</f>
        <v>45000</v>
      </c>
    </row>
    <row r="43" spans="1:11" x14ac:dyDescent="0.25">
      <c r="A43" s="6" t="s">
        <v>802</v>
      </c>
      <c r="D43" s="37">
        <f>SUM(Model!C245:N245)</f>
        <v>24999.999999999996</v>
      </c>
      <c r="E43" s="37">
        <f>SUM(Model!O245:Z245)</f>
        <v>24999.999999999996</v>
      </c>
      <c r="F43" s="37">
        <f>Model!AA245</f>
        <v>25000</v>
      </c>
      <c r="G43" s="37">
        <f>Model!AB245</f>
        <v>25000</v>
      </c>
      <c r="H43" s="37">
        <f>Model!AC245</f>
        <v>25000</v>
      </c>
      <c r="I43" s="37">
        <f>Model!AD245</f>
        <v>25000</v>
      </c>
      <c r="J43" s="37">
        <f>Model!AE245</f>
        <v>25000</v>
      </c>
    </row>
    <row r="44" spans="1:11" x14ac:dyDescent="0.25">
      <c r="A44" s="6" t="s">
        <v>803</v>
      </c>
      <c r="D44" s="37">
        <f>SUM(Model!C247:N247)</f>
        <v>15000</v>
      </c>
      <c r="E44" s="37">
        <f>SUM(Model!O247:Z247)</f>
        <v>15000</v>
      </c>
      <c r="F44" s="37">
        <f>Model!AA247</f>
        <v>15000</v>
      </c>
      <c r="G44" s="37">
        <f>Model!AB247</f>
        <v>15000</v>
      </c>
      <c r="H44" s="37">
        <f>Model!AC247</f>
        <v>15000</v>
      </c>
      <c r="I44" s="37">
        <f>Model!AD247</f>
        <v>15000</v>
      </c>
      <c r="J44" s="37">
        <f>Model!AE247</f>
        <v>15000</v>
      </c>
    </row>
    <row r="45" spans="1:11" x14ac:dyDescent="0.25">
      <c r="A45" s="6" t="s">
        <v>804</v>
      </c>
      <c r="D45" s="37">
        <f>SUM(Model!C249:N249)</f>
        <v>215.96457719658818</v>
      </c>
      <c r="E45" s="37">
        <f>SUM(Model!O249:Z249)</f>
        <v>1105.0794884432071</v>
      </c>
      <c r="F45" s="37">
        <f>Model!AA249</f>
        <v>4057.2495661105595</v>
      </c>
      <c r="G45" s="37">
        <f>Model!AB249</f>
        <v>8435.517262082707</v>
      </c>
      <c r="H45" s="37">
        <f>Model!AC249</f>
        <v>15088.889982764893</v>
      </c>
      <c r="I45" s="37">
        <f>Model!AD249</f>
        <v>23016.655595122655</v>
      </c>
      <c r="J45" s="37">
        <f>Model!AE249</f>
        <v>31105.3997107553</v>
      </c>
    </row>
    <row r="46" spans="1:11" x14ac:dyDescent="0.25">
      <c r="A46" s="6" t="s">
        <v>805</v>
      </c>
      <c r="D46" s="37">
        <f>SUM(Model!C251:N251)</f>
        <v>350000.00000000006</v>
      </c>
      <c r="E46" s="37">
        <f>SUM(Model!O251:Z251)</f>
        <v>150000</v>
      </c>
      <c r="F46" s="37">
        <f>Model!AA251</f>
        <v>0</v>
      </c>
      <c r="G46" s="37">
        <f>Model!AB251</f>
        <v>0</v>
      </c>
      <c r="H46" s="37">
        <f>Model!AC251</f>
        <v>0</v>
      </c>
      <c r="I46" s="37">
        <f>Model!AD251</f>
        <v>0</v>
      </c>
      <c r="J46" s="37">
        <f>Model!AE251</f>
        <v>0</v>
      </c>
    </row>
    <row r="47" spans="1:11" x14ac:dyDescent="0.25">
      <c r="A47" s="6" t="s">
        <v>806</v>
      </c>
      <c r="D47" s="37">
        <f>SUM(Model!C253:N253)</f>
        <v>0</v>
      </c>
      <c r="E47" s="37">
        <f>SUM(Model!O253:Z253)</f>
        <v>0</v>
      </c>
      <c r="F47" s="37">
        <f>Model!AA253</f>
        <v>120000</v>
      </c>
      <c r="G47" s="37">
        <f>Model!AB253</f>
        <v>120000</v>
      </c>
      <c r="H47" s="37">
        <f>Model!AC253</f>
        <v>120000</v>
      </c>
      <c r="I47" s="37">
        <f>Model!AD253</f>
        <v>120000</v>
      </c>
      <c r="J47" s="37">
        <f>Model!AE253</f>
        <v>120000</v>
      </c>
    </row>
    <row r="48" spans="1:11" x14ac:dyDescent="0.25">
      <c r="A48" s="6" t="s">
        <v>807</v>
      </c>
      <c r="D48" s="37">
        <f>SUM(Model!C241:N241)</f>
        <v>84121.170864533691</v>
      </c>
      <c r="E48" s="37">
        <f>SUM(Model!O241:Z241)</f>
        <v>0</v>
      </c>
      <c r="F48" s="37">
        <f>Model!AA241</f>
        <v>0</v>
      </c>
      <c r="G48" s="37">
        <f>Model!AB241</f>
        <v>0</v>
      </c>
      <c r="H48" s="37">
        <f>Model!AC241</f>
        <v>0</v>
      </c>
      <c r="I48" s="37">
        <f>Model!AD241</f>
        <v>0</v>
      </c>
      <c r="J48" s="37">
        <f>Model!AE241</f>
        <v>0</v>
      </c>
    </row>
    <row r="49" spans="1:10" x14ac:dyDescent="0.25">
      <c r="A49" s="3" t="s">
        <v>700</v>
      </c>
      <c r="D49" s="72">
        <f>SUM(Model!C255:N255)</f>
        <v>648974.31054526358</v>
      </c>
      <c r="E49" s="72">
        <f>SUM(Model!O255:Z255)</f>
        <v>378424.67571429582</v>
      </c>
      <c r="F49" s="72">
        <f>Model!AA255</f>
        <v>363649.40798486088</v>
      </c>
      <c r="G49" s="72">
        <f>Model!AB255</f>
        <v>409572.96960600989</v>
      </c>
      <c r="H49" s="72">
        <f>Model!AC255</f>
        <v>465599.22374533082</v>
      </c>
      <c r="I49" s="72">
        <f>Model!AD255</f>
        <v>513232.57597302616</v>
      </c>
      <c r="J49" s="72">
        <f>Model!AE255</f>
        <v>549459.0409189791</v>
      </c>
    </row>
    <row r="50" spans="1:10" x14ac:dyDescent="0.25">
      <c r="A50" s="6" t="s">
        <v>808</v>
      </c>
      <c r="D50" s="37">
        <f>SUM(Model!C260:N260)</f>
        <v>449.96170416279517</v>
      </c>
      <c r="E50" s="37">
        <f>SUM(Model!O260:Z260)</f>
        <v>5984.7133577135874</v>
      </c>
      <c r="F50" s="37">
        <f>Model!AA260</f>
        <v>42408.127974454088</v>
      </c>
      <c r="G50" s="37">
        <f>Model!AB260</f>
        <v>80306.105321089999</v>
      </c>
      <c r="H50" s="37">
        <f>Model!AC260</f>
        <v>128033.49622783622</v>
      </c>
      <c r="I50" s="37">
        <f>Model!AD260</f>
        <v>165254.20562589652</v>
      </c>
      <c r="J50" s="37">
        <f>Model!AE260</f>
        <v>182337.09008576826</v>
      </c>
    </row>
    <row r="51" spans="1:10" x14ac:dyDescent="0.25">
      <c r="A51" s="6" t="s">
        <v>809</v>
      </c>
      <c r="D51" s="37">
        <f>SUM(Model!C262:N262)</f>
        <v>0</v>
      </c>
      <c r="E51" s="37">
        <f>SUM(Model!O262:Z262)</f>
        <v>3321.3255596417985</v>
      </c>
      <c r="F51" s="37">
        <f>Model!AA262</f>
        <v>18416.777922312125</v>
      </c>
      <c r="G51" s="37">
        <f>Model!AB262</f>
        <v>37055.668383675526</v>
      </c>
      <c r="H51" s="37">
        <f>Model!AC262</f>
        <v>61608.472717121156</v>
      </c>
      <c r="I51" s="37">
        <f>Model!AD262</f>
        <v>85130.134529012546</v>
      </c>
      <c r="J51" s="37">
        <f>Model!AE262</f>
        <v>104775.87287823044</v>
      </c>
    </row>
    <row r="52" spans="1:10" x14ac:dyDescent="0.25">
      <c r="A52" s="6" t="s">
        <v>810</v>
      </c>
      <c r="D52" s="37">
        <f>SUM(Model!C263:N263)</f>
        <v>0</v>
      </c>
      <c r="E52" s="37">
        <f>SUM(Model!O263:Z263)</f>
        <v>841.8283819776525</v>
      </c>
      <c r="F52" s="37">
        <f>Model!AA263</f>
        <v>4770.2264486231652</v>
      </c>
      <c r="G52" s="37">
        <f>Model!AB263</f>
        <v>9642.6044979607886</v>
      </c>
      <c r="H52" s="37">
        <f>Model!AC263</f>
        <v>16111.505662750602</v>
      </c>
      <c r="I52" s="37">
        <f>Model!AD263</f>
        <v>22402.406929221743</v>
      </c>
      <c r="J52" s="37">
        <f>Model!AE263</f>
        <v>27740.59717896433</v>
      </c>
    </row>
    <row r="53" spans="1:10" x14ac:dyDescent="0.25">
      <c r="A53" s="6" t="s">
        <v>811</v>
      </c>
      <c r="D53" s="37">
        <f>SUM(Model!C266:N266)</f>
        <v>83.250130501225755</v>
      </c>
      <c r="E53" s="37">
        <f>SUM(Model!O266:Z266)</f>
        <v>1797.1840486055951</v>
      </c>
      <c r="F53" s="37">
        <f>Model!AA266</f>
        <v>12772.54046218554</v>
      </c>
      <c r="G53" s="37">
        <f>Model!AB266</f>
        <v>24191.135923803071</v>
      </c>
      <c r="H53" s="37">
        <f>Model!AC266</f>
        <v>37809.254680589343</v>
      </c>
      <c r="I53" s="37">
        <f>Model!AD266</f>
        <v>46894.386116949143</v>
      </c>
      <c r="J53" s="37">
        <f>Model!AE266</f>
        <v>49314.904029817204</v>
      </c>
    </row>
    <row r="54" spans="1:10" x14ac:dyDescent="0.25">
      <c r="A54" s="3" t="s">
        <v>711</v>
      </c>
      <c r="D54" s="72">
        <f>SUM(Model!C267:N267)</f>
        <v>533.2118346640209</v>
      </c>
      <c r="E54" s="72">
        <f>SUM(Model!O267:Z267)</f>
        <v>11945.051347938632</v>
      </c>
      <c r="F54" s="72">
        <f>Model!AA267</f>
        <v>78367.672807574912</v>
      </c>
      <c r="G54" s="72">
        <f>Model!AB267</f>
        <v>151195.51412652939</v>
      </c>
      <c r="H54" s="72">
        <f>Model!AC267</f>
        <v>243562.7292882973</v>
      </c>
      <c r="I54" s="72">
        <f>Model!AD267</f>
        <v>319681.13320107997</v>
      </c>
      <c r="J54" s="72">
        <f>Model!AE267</f>
        <v>364168.46417278022</v>
      </c>
    </row>
    <row r="55" spans="1:10" x14ac:dyDescent="0.25">
      <c r="A55" s="6" t="s">
        <v>812</v>
      </c>
      <c r="D55" s="37">
        <f>SUM(Model!C272:N272)</f>
        <v>90000</v>
      </c>
      <c r="E55" s="37">
        <f>SUM(Model!O272:Z272)</f>
        <v>270000</v>
      </c>
      <c r="F55" s="37">
        <f>Model!AA272</f>
        <v>375000</v>
      </c>
      <c r="G55" s="37">
        <f>Model!AB272</f>
        <v>600000</v>
      </c>
      <c r="H55" s="37">
        <f>Model!AC272</f>
        <v>900000</v>
      </c>
      <c r="I55" s="37">
        <f>Model!AD272</f>
        <v>1275000</v>
      </c>
      <c r="J55" s="37">
        <f>Model!AE272</f>
        <v>1650000</v>
      </c>
    </row>
    <row r="56" spans="1:10" x14ac:dyDescent="0.25">
      <c r="A56" s="6" t="s">
        <v>813</v>
      </c>
      <c r="D56" s="37">
        <f>SUM(Model!C277:N277)</f>
        <v>1540.5871550493052</v>
      </c>
      <c r="E56" s="37">
        <f>SUM(Model!O277:Z277)</f>
        <v>4431.4163129555673</v>
      </c>
      <c r="F56" s="37">
        <f>Model!AA277</f>
        <v>9722.5965437197938</v>
      </c>
      <c r="G56" s="37">
        <f>Model!AB277</f>
        <v>22529.469291353817</v>
      </c>
      <c r="H56" s="37">
        <f>Model!AC277</f>
        <v>41254.794704962558</v>
      </c>
      <c r="I56" s="37">
        <f>Model!AD277</f>
        <v>57572.003572383197</v>
      </c>
      <c r="J56" s="37">
        <f>Model!AE277</f>
        <v>69999.798677576968</v>
      </c>
    </row>
    <row r="57" spans="1:10" x14ac:dyDescent="0.25">
      <c r="A57" s="6" t="s">
        <v>814</v>
      </c>
      <c r="D57" s="37">
        <f>SUM(Model!C280:N280)</f>
        <v>0</v>
      </c>
      <c r="E57" s="37">
        <f>SUM(Model!O280:Z280)</f>
        <v>5799.8321143594176</v>
      </c>
      <c r="F57" s="37">
        <f>Model!AA280</f>
        <v>9449.4013616733719</v>
      </c>
      <c r="G57" s="37">
        <f>Model!AB280</f>
        <v>17209.989388905728</v>
      </c>
      <c r="H57" s="37">
        <f>Model!AC280</f>
        <v>32589.677650304155</v>
      </c>
      <c r="I57" s="37">
        <f>Model!AD280</f>
        <v>51958.320651005524</v>
      </c>
      <c r="J57" s="37">
        <f>Model!AE280</f>
        <v>67063.161264909271</v>
      </c>
    </row>
    <row r="58" spans="1:10" x14ac:dyDescent="0.25">
      <c r="A58" s="3" t="s">
        <v>724</v>
      </c>
      <c r="D58" s="72">
        <f>SUM(Model!C282:N282)</f>
        <v>91540.587155049303</v>
      </c>
      <c r="E58" s="72">
        <f>SUM(Model!O282:Z282)</f>
        <v>280231.24842731503</v>
      </c>
      <c r="F58" s="72">
        <f>Model!AA282</f>
        <v>394171.99790539319</v>
      </c>
      <c r="G58" s="72">
        <f>Model!AB282</f>
        <v>639739.45868025953</v>
      </c>
      <c r="H58" s="72">
        <f>Model!AC282</f>
        <v>973844.47235526668</v>
      </c>
      <c r="I58" s="72">
        <f>Model!AD282</f>
        <v>1384530.3242233887</v>
      </c>
      <c r="J58" s="72">
        <f>Model!AE282</f>
        <v>1787062.9599424861</v>
      </c>
    </row>
    <row r="59" spans="1:10" x14ac:dyDescent="0.25">
      <c r="A59" s="6" t="s">
        <v>815</v>
      </c>
      <c r="D59" s="37">
        <f>SUM(Model!C289:N289)</f>
        <v>0</v>
      </c>
      <c r="E59" s="37">
        <f>SUM(Model!O289:Z289)</f>
        <v>30000</v>
      </c>
      <c r="F59" s="37">
        <f>Model!AA289</f>
        <v>30000</v>
      </c>
      <c r="G59" s="37">
        <f>Model!AB289</f>
        <v>30000</v>
      </c>
      <c r="H59" s="37">
        <f>Model!AC289</f>
        <v>30000</v>
      </c>
      <c r="I59" s="37">
        <f>Model!AD289</f>
        <v>30000</v>
      </c>
      <c r="J59" s="37">
        <f>Model!AE289</f>
        <v>30000</v>
      </c>
    </row>
    <row r="60" spans="1:10" x14ac:dyDescent="0.25">
      <c r="A60" s="6" t="s">
        <v>816</v>
      </c>
      <c r="D60" s="37">
        <f>SUM(Model!C291:N291)</f>
        <v>0</v>
      </c>
      <c r="E60" s="37">
        <f>SUM(Model!O291:Z291)</f>
        <v>50000</v>
      </c>
      <c r="F60" s="37">
        <f>Model!AA291</f>
        <v>0</v>
      </c>
      <c r="G60" s="37">
        <f>Model!AB291</f>
        <v>0</v>
      </c>
      <c r="H60" s="37">
        <f>Model!AC291</f>
        <v>0</v>
      </c>
      <c r="I60" s="37">
        <f>Model!AD291</f>
        <v>0</v>
      </c>
      <c r="J60" s="37">
        <f>Model!AE291</f>
        <v>0</v>
      </c>
    </row>
    <row r="61" spans="1:10" x14ac:dyDescent="0.25">
      <c r="A61" s="6" t="s">
        <v>817</v>
      </c>
      <c r="D61" s="37">
        <f>SUM(Model!C292:N292)</f>
        <v>0</v>
      </c>
      <c r="E61" s="37">
        <f>SUM(Model!O292:Z292)</f>
        <v>9665.6809742479509</v>
      </c>
      <c r="F61" s="37">
        <f>Model!AA292</f>
        <v>11270.437091534612</v>
      </c>
      <c r="G61" s="37">
        <f>Model!AB292</f>
        <v>21790.250778407106</v>
      </c>
      <c r="H61" s="37">
        <f>Model!AC292</f>
        <v>32048.240122708114</v>
      </c>
      <c r="I61" s="37">
        <f>Model!AD292</f>
        <v>36041.43728201247</v>
      </c>
      <c r="J61" s="37">
        <f>Model!AE292</f>
        <v>34513.210444609329</v>
      </c>
    </row>
    <row r="62" spans="1:10" x14ac:dyDescent="0.25">
      <c r="A62" s="6" t="s">
        <v>818</v>
      </c>
      <c r="D62" s="37">
        <f>SUM(Model!C293:N293)</f>
        <v>0</v>
      </c>
      <c r="E62" s="37">
        <f>SUM(Model!O293:Z293)</f>
        <v>409.92931622833339</v>
      </c>
      <c r="F62" s="37">
        <f>Model!AA293</f>
        <v>1398.1139644329594</v>
      </c>
      <c r="G62" s="37">
        <f>Model!AB293</f>
        <v>2853.2669114149862</v>
      </c>
      <c r="H62" s="37">
        <f>Model!AC293</f>
        <v>4993.4483868094349</v>
      </c>
      <c r="I62" s="37">
        <f>Model!AD293</f>
        <v>7400.2955685022262</v>
      </c>
      <c r="J62" s="37">
        <f>Model!AE293</f>
        <v>9705.0877619932362</v>
      </c>
    </row>
    <row r="63" spans="1:10" x14ac:dyDescent="0.25">
      <c r="A63" s="6" t="s">
        <v>819</v>
      </c>
      <c r="D63" s="37">
        <f>SUM(Model!C294:N294)</f>
        <v>0</v>
      </c>
      <c r="E63" s="37">
        <f>SUM(Model!O294:Z294)</f>
        <v>118.88532699107199</v>
      </c>
      <c r="F63" s="37">
        <f>Model!AA294</f>
        <v>670.83623452579229</v>
      </c>
      <c r="G63" s="37">
        <f>Model!AB294</f>
        <v>1530.0501092602312</v>
      </c>
      <c r="H63" s="37">
        <f>Model!AC294</f>
        <v>2866.2120544255049</v>
      </c>
      <c r="I63" s="37">
        <f>Model!AD294</f>
        <v>4524.7405938125275</v>
      </c>
      <c r="J63" s="37">
        <f>Model!AE294</f>
        <v>6249.0058965928165</v>
      </c>
    </row>
    <row r="64" spans="1:10" x14ac:dyDescent="0.25">
      <c r="A64" s="6" t="s">
        <v>820</v>
      </c>
      <c r="D64" s="37">
        <f>SUM(Model!C296:N296)</f>
        <v>0</v>
      </c>
      <c r="E64" s="37">
        <f>SUM(Model!O296:Z296)</f>
        <v>1404.8591219482569</v>
      </c>
      <c r="F64" s="37">
        <f>Model!AA296</f>
        <v>7598.4788636647818</v>
      </c>
      <c r="G64" s="37">
        <f>Model!AB296</f>
        <v>17769.922611279639</v>
      </c>
      <c r="H64" s="37">
        <f>Model!AC296</f>
        <v>33635.26762221181</v>
      </c>
      <c r="I64" s="37">
        <f>Model!AD296</f>
        <v>52099.036957643963</v>
      </c>
      <c r="J64" s="37">
        <f>Model!AE296</f>
        <v>69354.734136263301</v>
      </c>
    </row>
    <row r="65" spans="1:11" x14ac:dyDescent="0.25">
      <c r="A65" s="3" t="s">
        <v>738</v>
      </c>
      <c r="D65" s="72">
        <f>SUM(Model!C298:N298)</f>
        <v>0</v>
      </c>
      <c r="E65" s="72">
        <f>SUM(Model!O298:Z298)</f>
        <v>91599.354739415619</v>
      </c>
      <c r="F65" s="72">
        <f>Model!AA298</f>
        <v>50937.866154158139</v>
      </c>
      <c r="G65" s="72">
        <f>Model!AB298</f>
        <v>73943.490410361963</v>
      </c>
      <c r="H65" s="72">
        <f>Model!AC298</f>
        <v>103543.16818615486</v>
      </c>
      <c r="I65" s="72">
        <f>Model!AD298</f>
        <v>130065.5104019712</v>
      </c>
      <c r="J65" s="72">
        <f>Model!AE298</f>
        <v>149822.03823945869</v>
      </c>
    </row>
    <row r="66" spans="1:11" x14ac:dyDescent="0.25">
      <c r="A66" s="6" t="s">
        <v>821</v>
      </c>
      <c r="D66" s="35">
        <f>Model!N299</f>
        <v>0</v>
      </c>
      <c r="E66" s="35">
        <f>Model!Z299</f>
        <v>0.44862017433105977</v>
      </c>
      <c r="F66" s="35">
        <f>Model!AA299</f>
        <v>0.29365300249921272</v>
      </c>
      <c r="G66" s="35">
        <f>Model!AB299</f>
        <v>0.21088140519659249</v>
      </c>
      <c r="H66" s="35">
        <f>Model!AC299</f>
        <v>0.17673314864063033</v>
      </c>
      <c r="I66" s="35">
        <f>Model!AD299</f>
        <v>0.15966148402512151</v>
      </c>
      <c r="J66" s="35">
        <f>Model!AE299</f>
        <v>0.14852261560934915</v>
      </c>
    </row>
    <row r="67" spans="1:11" x14ac:dyDescent="0.25">
      <c r="A67" s="6" t="s">
        <v>822</v>
      </c>
      <c r="D67" s="39">
        <f>Model!N283</f>
        <v>28.113666597018227</v>
      </c>
      <c r="E67" s="39">
        <f>Model!Z283</f>
        <v>25.529081635818653</v>
      </c>
      <c r="F67" s="39">
        <f>Model!AA283</f>
        <v>25.181262819438675</v>
      </c>
      <c r="G67" s="39">
        <f>Model!AB283</f>
        <v>21.138463018802305</v>
      </c>
      <c r="H67" s="39">
        <f>Model!AC283</f>
        <v>21.87851867719165</v>
      </c>
      <c r="I67" s="39">
        <f>Model!AD283</f>
        <v>27.658770254935224</v>
      </c>
      <c r="J67" s="39">
        <f>Model!AE283</f>
        <v>37.280951687285281</v>
      </c>
    </row>
    <row r="68" spans="1:11" x14ac:dyDescent="0.25">
      <c r="A68" s="6" t="s">
        <v>741</v>
      </c>
      <c r="D68" s="37">
        <f>SUM(Model!C301:N301)</f>
        <v>749114.72396254179</v>
      </c>
      <c r="E68" s="37">
        <f>SUM(Model!O301:Z301)</f>
        <v>795794.70654760266</v>
      </c>
      <c r="F68" s="37">
        <f>Model!AA301</f>
        <v>978510.44525974628</v>
      </c>
      <c r="G68" s="37">
        <f>Model!AB301</f>
        <v>1442447.8044158167</v>
      </c>
      <c r="H68" s="37">
        <f>Model!AC301</f>
        <v>2045687.1631745023</v>
      </c>
      <c r="I68" s="37">
        <f>Model!AD301</f>
        <v>2664582.1865136102</v>
      </c>
      <c r="J68" s="37">
        <f>Model!AE301</f>
        <v>3171920.2015005006</v>
      </c>
    </row>
    <row r="69" spans="1:11" x14ac:dyDescent="0.25">
      <c r="A69" s="6" t="s">
        <v>823</v>
      </c>
      <c r="D69" s="37">
        <f>SUM(Model!C302:N302)</f>
        <v>112367.20859438124</v>
      </c>
      <c r="E69" s="37">
        <f>SUM(Model!O302:Z302)</f>
        <v>119369.2059821404</v>
      </c>
      <c r="F69" s="37">
        <f>Model!AA302</f>
        <v>146776.56678896194</v>
      </c>
      <c r="G69" s="37">
        <f>Model!AB302</f>
        <v>216367.17066237249</v>
      </c>
      <c r="H69" s="37">
        <f>Model!AC302</f>
        <v>306853.07447617536</v>
      </c>
      <c r="I69" s="37">
        <f>Model!AD302</f>
        <v>399687.32797704154</v>
      </c>
      <c r="J69" s="37">
        <f>Model!AE302</f>
        <v>475788.03022507508</v>
      </c>
    </row>
    <row r="70" spans="1:11" x14ac:dyDescent="0.25">
      <c r="A70" s="3" t="s">
        <v>824</v>
      </c>
      <c r="D70" s="72">
        <f>SUM(Model!C304:N304)</f>
        <v>861481.9325569229</v>
      </c>
      <c r="E70" s="72">
        <f>SUM(Model!O304:Z304)</f>
        <v>915163.91252974304</v>
      </c>
      <c r="F70" s="72">
        <f>Model!AA304</f>
        <v>1125287.0120487083</v>
      </c>
      <c r="G70" s="72">
        <f>Model!AB304</f>
        <v>1658814.9750781893</v>
      </c>
      <c r="H70" s="72">
        <f>Model!AC304</f>
        <v>2352540.2376506776</v>
      </c>
      <c r="I70" s="72">
        <f>Model!AD304</f>
        <v>3064269.5144906519</v>
      </c>
      <c r="J70" s="72">
        <f>Model!AE304</f>
        <v>3647708.2317255754</v>
      </c>
    </row>
    <row r="72" spans="1:11" ht="18" customHeight="1" x14ac:dyDescent="0.25">
      <c r="A72" s="12" t="s">
        <v>825</v>
      </c>
      <c r="B72" s="13"/>
      <c r="C72" s="13"/>
      <c r="D72" s="13"/>
      <c r="E72" s="13"/>
      <c r="F72" s="13"/>
      <c r="G72" s="13"/>
      <c r="H72" s="13"/>
      <c r="I72" s="13"/>
      <c r="J72" s="13"/>
      <c r="K72" s="13"/>
    </row>
    <row r="73" spans="1:11" x14ac:dyDescent="0.25">
      <c r="A73" s="3" t="s">
        <v>761</v>
      </c>
      <c r="D73" s="72">
        <f>SUM(Model!C326:N326)</f>
        <v>-829063.78101711697</v>
      </c>
      <c r="E73" s="72">
        <f>SUM(Model!O326:Z326)</f>
        <v>-524772.87480164994</v>
      </c>
      <c r="F73" s="72">
        <f>Model!AA326</f>
        <v>-72920.284279857296</v>
      </c>
      <c r="G73" s="72">
        <f>Model!AB326</f>
        <v>260844.32898183702</v>
      </c>
      <c r="H73" s="72">
        <f>Model!AC326</f>
        <v>593205.35439233156</v>
      </c>
      <c r="I73" s="72">
        <f>Model!AD326</f>
        <v>781494.06875569001</v>
      </c>
      <c r="J73" s="72">
        <f>Model!AE326</f>
        <v>846578.44812490791</v>
      </c>
    </row>
    <row r="74" spans="1:11" x14ac:dyDescent="0.25">
      <c r="A74" s="6" t="s">
        <v>763</v>
      </c>
      <c r="D74" s="35">
        <f>Model!N328</f>
        <v>-9.4271593254334203</v>
      </c>
      <c r="E74" s="35">
        <f>Model!Z328</f>
        <v>-0.57331549097579648</v>
      </c>
      <c r="F74" s="35">
        <f>Model!AA328</f>
        <v>-6.9291704455971742E-2</v>
      </c>
      <c r="G74" s="35">
        <f>Model!AB328</f>
        <v>0.13588053277483067</v>
      </c>
      <c r="H74" s="35">
        <f>Model!AC328</f>
        <v>0.20137698109255814</v>
      </c>
      <c r="I74" s="35">
        <f>Model!AD328</f>
        <v>0.20320907716745393</v>
      </c>
      <c r="J74" s="35">
        <f>Model!AE328</f>
        <v>0.18836770068995065</v>
      </c>
    </row>
    <row r="75" spans="1:11" x14ac:dyDescent="0.25">
      <c r="A75" s="3" t="s">
        <v>765</v>
      </c>
      <c r="D75" s="72">
        <f>D73</f>
        <v>-829063.78101711697</v>
      </c>
      <c r="E75" s="72">
        <f>D75+E73</f>
        <v>-1353836.6558187669</v>
      </c>
      <c r="F75" s="72">
        <f t="shared" ref="F75:J75" si="2">E75+F73</f>
        <v>-1426756.9400986242</v>
      </c>
      <c r="G75" s="72">
        <f t="shared" si="2"/>
        <v>-1165912.6111167872</v>
      </c>
      <c r="H75" s="72">
        <f t="shared" si="2"/>
        <v>-572707.25672445563</v>
      </c>
      <c r="I75" s="72">
        <f t="shared" si="2"/>
        <v>208786.81203123438</v>
      </c>
      <c r="J75" s="72">
        <f t="shared" si="2"/>
        <v>1055365.2601561423</v>
      </c>
    </row>
    <row r="77" spans="1:11" ht="18" customHeight="1" x14ac:dyDescent="0.25">
      <c r="A77" s="12" t="s">
        <v>826</v>
      </c>
      <c r="B77" s="13"/>
      <c r="C77" s="13"/>
      <c r="D77" s="13"/>
      <c r="E77" s="13"/>
      <c r="F77" s="13"/>
      <c r="G77" s="13"/>
      <c r="H77" s="13"/>
      <c r="I77" s="13"/>
      <c r="J77" s="13"/>
      <c r="K77" s="13"/>
    </row>
    <row r="78" spans="1:11" x14ac:dyDescent="0.25">
      <c r="A78" s="6" t="s">
        <v>827</v>
      </c>
      <c r="D78" s="37">
        <f>Model!N311</f>
        <v>408441.1164057182</v>
      </c>
      <c r="E78" s="37">
        <f>Model!Z311</f>
        <v>408441.1164057182</v>
      </c>
      <c r="F78" s="37">
        <f>Model!AA311</f>
        <v>408441.1164057182</v>
      </c>
      <c r="G78" s="37">
        <f>Model!AB311</f>
        <v>408441.1164057182</v>
      </c>
      <c r="H78" s="37">
        <f>Model!AC311</f>
        <v>408441.1164057182</v>
      </c>
      <c r="I78" s="37">
        <f>Model!AD311</f>
        <v>408441.1164057182</v>
      </c>
      <c r="J78" s="37">
        <f>Model!AE311</f>
        <v>408441.1164057182</v>
      </c>
    </row>
    <row r="79" spans="1:11" x14ac:dyDescent="0.25">
      <c r="A79" s="6" t="s">
        <v>828</v>
      </c>
      <c r="D79" s="37">
        <f>Model!N313</f>
        <v>163376.44656228728</v>
      </c>
      <c r="E79" s="37">
        <f>Model!Z313</f>
        <v>163376.44656228728</v>
      </c>
      <c r="F79" s="37">
        <f>Model!AA313</f>
        <v>163376.44656228728</v>
      </c>
      <c r="G79" s="37">
        <f>Model!AB313</f>
        <v>163376.44656228728</v>
      </c>
      <c r="H79" s="37">
        <f>Model!AC313</f>
        <v>163376.44656228728</v>
      </c>
      <c r="I79" s="37">
        <f>Model!AD313</f>
        <v>163376.44656228728</v>
      </c>
      <c r="J79" s="37">
        <f>Model!AE313</f>
        <v>163376.44656228728</v>
      </c>
    </row>
    <row r="80" spans="1:11" x14ac:dyDescent="0.25">
      <c r="A80" s="3" t="s">
        <v>753</v>
      </c>
      <c r="D80" s="72">
        <f>Model!N315</f>
        <v>571817.56296800543</v>
      </c>
      <c r="E80" s="72">
        <f>Model!Z315</f>
        <v>571817.56296800543</v>
      </c>
      <c r="F80" s="72">
        <f>Model!AA315</f>
        <v>571817.56296800543</v>
      </c>
      <c r="G80" s="72">
        <f>Model!AB315</f>
        <v>571817.56296800543</v>
      </c>
      <c r="H80" s="72">
        <f>Model!AC315</f>
        <v>571817.56296800543</v>
      </c>
      <c r="I80" s="72">
        <f>Model!AD315</f>
        <v>571817.56296800543</v>
      </c>
      <c r="J80" s="72">
        <f>Model!AE315</f>
        <v>571817.56296800543</v>
      </c>
    </row>
    <row r="81" spans="1:11" x14ac:dyDescent="0.25">
      <c r="A81" s="6" t="s">
        <v>829</v>
      </c>
      <c r="D81" s="37">
        <f>Model!N316</f>
        <v>56485.313968072995</v>
      </c>
      <c r="E81" s="37">
        <f>Model!Z316</f>
        <v>37842.467571429581</v>
      </c>
      <c r="F81" s="37">
        <f>Model!AA316</f>
        <v>36364.940798486088</v>
      </c>
      <c r="G81" s="37">
        <f>Model!AB316</f>
        <v>40957.296960600986</v>
      </c>
      <c r="H81" s="37">
        <f>Model!AC316</f>
        <v>46559.922374533082</v>
      </c>
      <c r="I81" s="37">
        <f>Model!AD316</f>
        <v>51323.257597302611</v>
      </c>
      <c r="J81" s="37">
        <f>Model!AE316</f>
        <v>54945.904091897908</v>
      </c>
    </row>
    <row r="82" spans="1:11" x14ac:dyDescent="0.25">
      <c r="A82" s="6" t="s">
        <v>830</v>
      </c>
      <c r="D82" s="37">
        <f>Model!N214</f>
        <v>0</v>
      </c>
      <c r="E82" s="37">
        <f>Model!Z214</f>
        <v>100000</v>
      </c>
      <c r="F82" s="37">
        <f>Model!AA214</f>
        <v>100000</v>
      </c>
      <c r="G82" s="37">
        <f>Model!AB214</f>
        <v>100000</v>
      </c>
      <c r="H82" s="37">
        <f>Model!AC214</f>
        <v>100000</v>
      </c>
      <c r="I82" s="37">
        <f>Model!AD214</f>
        <v>100000</v>
      </c>
      <c r="J82" s="37">
        <f>Model!AE214</f>
        <v>100000</v>
      </c>
    </row>
    <row r="83" spans="1:11" x14ac:dyDescent="0.25">
      <c r="A83" s="3" t="s">
        <v>831</v>
      </c>
      <c r="D83" s="72">
        <f>Model!N319</f>
        <v>612489.71164255985</v>
      </c>
      <c r="E83" s="72">
        <f>Model!Z319</f>
        <v>783861.46999582974</v>
      </c>
      <c r="F83" s="72">
        <f>Model!AA319</f>
        <v>864411.90549233882</v>
      </c>
      <c r="G83" s="72">
        <f>Model!AB319</f>
        <v>1022527.8281603942</v>
      </c>
      <c r="H83" s="72">
        <f>Model!AC319</f>
        <v>1221619.2268686628</v>
      </c>
      <c r="I83" s="72">
        <f>Model!AD319</f>
        <v>1378200.0223210005</v>
      </c>
      <c r="J83" s="72">
        <f>Model!AE319</f>
        <v>1452099.2248139535</v>
      </c>
    </row>
    <row r="85" spans="1:11" ht="18" customHeight="1" x14ac:dyDescent="0.25">
      <c r="A85" s="12" t="s">
        <v>832</v>
      </c>
      <c r="B85" s="13"/>
      <c r="C85" s="13"/>
      <c r="D85" s="13"/>
      <c r="E85" s="13"/>
      <c r="F85" s="13"/>
      <c r="G85" s="13"/>
      <c r="H85" s="13"/>
      <c r="I85" s="13"/>
      <c r="J85" s="13"/>
      <c r="K85" s="13"/>
    </row>
    <row r="86" spans="1:11" x14ac:dyDescent="0.25">
      <c r="A86" s="6" t="s">
        <v>833</v>
      </c>
      <c r="D86" s="34">
        <f>Model!N206</f>
        <v>283.26793749459006</v>
      </c>
      <c r="E86" s="34">
        <f>Model!Z206</f>
        <v>721.87641777835347</v>
      </c>
      <c r="F86" s="34">
        <f>Model!AA206</f>
        <v>1147.8693023536794</v>
      </c>
      <c r="G86" s="34">
        <f>Model!AB206</f>
        <v>1933.6225397541994</v>
      </c>
      <c r="H86" s="34">
        <f>Model!AC206</f>
        <v>2804.1650881130045</v>
      </c>
      <c r="I86" s="34">
        <f>Model!AD206</f>
        <v>3332.8190937640111</v>
      </c>
      <c r="J86" s="34">
        <f>Model!AE206</f>
        <v>3405.6306091793313</v>
      </c>
    </row>
    <row r="87" spans="1:11" x14ac:dyDescent="0.25">
      <c r="A87" s="3" t="s">
        <v>834</v>
      </c>
      <c r="D87" s="72">
        <f>Model!N209</f>
        <v>40672.148674554475</v>
      </c>
      <c r="E87" s="72">
        <f>Model!Z209</f>
        <v>112043.90702782436</v>
      </c>
      <c r="F87" s="72">
        <f>Model!AA209</f>
        <v>192594.34252433339</v>
      </c>
      <c r="G87" s="72">
        <f>Model!AB209</f>
        <v>350710.26519238885</v>
      </c>
      <c r="H87" s="72">
        <f>Model!AC209</f>
        <v>549801.66390065732</v>
      </c>
      <c r="I87" s="72">
        <f>Model!AD209</f>
        <v>706382.45935299504</v>
      </c>
      <c r="J87" s="72">
        <f>Model!AE209</f>
        <v>780281.66184594808</v>
      </c>
    </row>
    <row r="88" spans="1:11" x14ac:dyDescent="0.25">
      <c r="A88" s="6" t="s">
        <v>835</v>
      </c>
      <c r="D88" s="37">
        <f>SUM(Model!C211:N211)</f>
        <v>40672.148674554483</v>
      </c>
      <c r="E88" s="37">
        <f>SUM(Model!O211:Z211)</f>
        <v>68077.314310630958</v>
      </c>
      <c r="F88" s="37">
        <f>Model!AA211</f>
        <v>71474.879027255258</v>
      </c>
      <c r="G88" s="37">
        <f>Model!AB211</f>
        <v>142515.78092358445</v>
      </c>
      <c r="H88" s="37">
        <f>Model!AC211</f>
        <v>170683.86722768494</v>
      </c>
      <c r="I88" s="37">
        <f>Model!AD211</f>
        <v>112046.86067638449</v>
      </c>
      <c r="J88" s="37">
        <f>Model!AE211</f>
        <v>16682.223285360495</v>
      </c>
    </row>
    <row r="89" spans="1:11" x14ac:dyDescent="0.25">
      <c r="A89" s="3" t="s">
        <v>664</v>
      </c>
      <c r="D89" s="72">
        <f>Model!N213</f>
        <v>40672.148674554483</v>
      </c>
      <c r="E89" s="72">
        <f>Model!Z213</f>
        <v>108749.46298518546</v>
      </c>
      <c r="F89" s="72">
        <f>Model!AA213</f>
        <v>180224.34201244073</v>
      </c>
      <c r="G89" s="72">
        <f>Model!AB213</f>
        <v>322740.12293602515</v>
      </c>
      <c r="H89" s="72">
        <f>Model!AC213</f>
        <v>493423.99016371008</v>
      </c>
      <c r="I89" s="72">
        <f>Model!AD213</f>
        <v>605470.85084009462</v>
      </c>
      <c r="J89" s="72">
        <f>Model!AE213</f>
        <v>622153.07412545511</v>
      </c>
    </row>
    <row r="91" spans="1:11" ht="18" customHeight="1" x14ac:dyDescent="0.25">
      <c r="A91" s="12" t="s">
        <v>836</v>
      </c>
      <c r="B91" s="13"/>
      <c r="C91" s="13"/>
      <c r="D91" s="13"/>
      <c r="E91" s="13"/>
      <c r="F91" s="13"/>
      <c r="G91" s="13"/>
      <c r="H91" s="13"/>
      <c r="I91" s="13"/>
      <c r="J91" s="13"/>
      <c r="K91" s="13"/>
    </row>
    <row r="92" spans="1:11" x14ac:dyDescent="0.25">
      <c r="A92" s="6" t="s">
        <v>837</v>
      </c>
      <c r="D92" s="34">
        <f>SUM(Model!C162:N162)</f>
        <v>3284.5970699282107</v>
      </c>
      <c r="E92" s="34">
        <f>SUM(Model!O162:Z162)</f>
        <v>10139.959838749497</v>
      </c>
      <c r="F92" s="34">
        <f>Model!AA162</f>
        <v>15653.384849353628</v>
      </c>
      <c r="G92" s="34">
        <f>Model!AB162</f>
        <v>30264.237192232096</v>
      </c>
      <c r="H92" s="34">
        <f>Model!AC162</f>
        <v>44511.444614872365</v>
      </c>
      <c r="I92" s="34">
        <f>Model!AD162</f>
        <v>50057.551780572874</v>
      </c>
      <c r="J92" s="34">
        <f>Model!AE162</f>
        <v>47935.014506401843</v>
      </c>
    </row>
    <row r="93" spans="1:11" x14ac:dyDescent="0.25">
      <c r="A93" s="3" t="s">
        <v>838</v>
      </c>
      <c r="D93" s="74">
        <f>Model!N159</f>
        <v>2483.373936186953</v>
      </c>
      <c r="E93" s="74">
        <f>Model!Z159</f>
        <v>9113.9162960608119</v>
      </c>
      <c r="F93" s="74">
        <f>Model!AA159</f>
        <v>16621.514866603702</v>
      </c>
      <c r="G93" s="74">
        <f>Model!AB159</f>
        <v>31586.392184445638</v>
      </c>
      <c r="H93" s="74">
        <f>Model!AC159</f>
        <v>50383.086522570986</v>
      </c>
      <c r="I93" s="74">
        <f>Model!AD159</f>
        <v>64834.3715656938</v>
      </c>
      <c r="J93" s="74">
        <f>Model!AE159</f>
        <v>71208.462567260198</v>
      </c>
    </row>
    <row r="94" spans="1:11" x14ac:dyDescent="0.25">
      <c r="A94" s="6" t="s">
        <v>839</v>
      </c>
      <c r="D94" s="34">
        <f>Model!N160</f>
        <v>801.22313374125849</v>
      </c>
      <c r="E94" s="34">
        <f>Model!Z160</f>
        <v>4310.6406126168968</v>
      </c>
      <c r="F94" s="34">
        <f>Model!AA160</f>
        <v>12456.426891427634</v>
      </c>
      <c r="G94" s="34">
        <f>Model!AB160</f>
        <v>27755.786765817793</v>
      </c>
      <c r="H94" s="34">
        <f>Model!AC160</f>
        <v>53470.537042564814</v>
      </c>
      <c r="I94" s="34">
        <f>Model!AD160</f>
        <v>89076.803780014889</v>
      </c>
      <c r="J94" s="34">
        <f>Model!AE160</f>
        <v>130637.72728485033</v>
      </c>
    </row>
    <row r="95" spans="1:11" x14ac:dyDescent="0.25">
      <c r="A95" s="6" t="s">
        <v>619</v>
      </c>
      <c r="D95" s="34">
        <f>Model!N161</f>
        <v>3284.5970699282116</v>
      </c>
      <c r="E95" s="34">
        <f>Model!Z161</f>
        <v>13424.55690867771</v>
      </c>
      <c r="F95" s="34">
        <f>Model!AA161</f>
        <v>29077.941758031338</v>
      </c>
      <c r="G95" s="34">
        <f>Model!AB161</f>
        <v>59342.178950263435</v>
      </c>
      <c r="H95" s="34">
        <f>Model!AC161</f>
        <v>103853.62356513581</v>
      </c>
      <c r="I95" s="34">
        <f>Model!AD161</f>
        <v>153911.17534570867</v>
      </c>
      <c r="J95" s="34">
        <f>Model!AE161</f>
        <v>201846.18985211052</v>
      </c>
    </row>
    <row r="96" spans="1:11" x14ac:dyDescent="0.25">
      <c r="A96" s="6" t="s">
        <v>840</v>
      </c>
      <c r="D96" s="34">
        <f>Model!N163</f>
        <v>0</v>
      </c>
      <c r="E96" s="34">
        <f>Model!Z163</f>
        <v>2416.4202435619877</v>
      </c>
      <c r="F96" s="34">
        <f>Model!AA163</f>
        <v>5234.0295164456402</v>
      </c>
      <c r="G96" s="34">
        <f>Model!AB163</f>
        <v>10681.592211047417</v>
      </c>
      <c r="H96" s="34">
        <f>Model!AC163</f>
        <v>18693.652241724445</v>
      </c>
      <c r="I96" s="34">
        <f>Model!AD163</f>
        <v>27704.011562227563</v>
      </c>
      <c r="J96" s="34">
        <f>Model!AE163</f>
        <v>36332.314173379898</v>
      </c>
    </row>
    <row r="97" spans="1:10" x14ac:dyDescent="0.25">
      <c r="A97" s="6" t="s">
        <v>841</v>
      </c>
      <c r="D97" s="34">
        <f>Model!N165</f>
        <v>3801.5997113741355</v>
      </c>
      <c r="E97" s="34">
        <f>Model!Z165</f>
        <v>18447.496727918577</v>
      </c>
      <c r="F97" s="34">
        <f>Model!AA165</f>
        <v>55302.078638992542</v>
      </c>
      <c r="G97" s="34">
        <f>Model!AB165</f>
        <v>117977.5930626983</v>
      </c>
      <c r="H97" s="34">
        <f>Model!AC165</f>
        <v>207411.60075458797</v>
      </c>
      <c r="I97" s="34">
        <f>Model!AD165</f>
        <v>308640.70404579642</v>
      </c>
      <c r="J97" s="34">
        <f>Model!AE165</f>
        <v>403564.95920986787</v>
      </c>
    </row>
    <row r="98" spans="1:10" x14ac:dyDescent="0.25">
      <c r="A98" s="3" t="s">
        <v>842</v>
      </c>
      <c r="D98" s="72">
        <f>Model!N172</f>
        <v>537774.29517098528</v>
      </c>
      <c r="E98" s="72">
        <f>Model!Z172</f>
        <v>2820959.1009890023</v>
      </c>
      <c r="F98" s="72">
        <f>Model!AA172</f>
        <v>9141690.1486863978</v>
      </c>
      <c r="G98" s="72">
        <f>Model!AB172</f>
        <v>21081925.156907052</v>
      </c>
      <c r="H98" s="72">
        <f>Model!AC172</f>
        <v>40065399.067913353</v>
      </c>
      <c r="I98" s="72">
        <f>Model!AD172</f>
        <v>64448872.573357277</v>
      </c>
      <c r="J98" s="72">
        <f>Model!AE172</f>
        <v>91096411.133585647</v>
      </c>
    </row>
    <row r="99" spans="1:10" x14ac:dyDescent="0.25">
      <c r="A99" s="6" t="s">
        <v>843</v>
      </c>
      <c r="D99" s="34">
        <f>Model!N164</f>
        <v>3729.4774423227518</v>
      </c>
      <c r="E99" s="34">
        <f>Model!Z164</f>
        <v>17851.076812284951</v>
      </c>
      <c r="F99" s="34">
        <f>Model!AA164</f>
        <v>53679.649985287499</v>
      </c>
      <c r="G99" s="34">
        <f>Model!AB164</f>
        <v>113259.10440378156</v>
      </c>
      <c r="H99" s="34">
        <f>Model!AC164</f>
        <v>196268.26941544528</v>
      </c>
      <c r="I99" s="34">
        <f>Model!AD164</f>
        <v>286622.16153282521</v>
      </c>
      <c r="J99" s="34">
        <f>Model!AE164</f>
        <v>366185.65019966697</v>
      </c>
    </row>
    <row r="100" spans="1:10" x14ac:dyDescent="0.25">
      <c r="A100" s="3" t="s">
        <v>844</v>
      </c>
      <c r="D100" s="72">
        <f>Model!N167</f>
        <v>527571.87899097649</v>
      </c>
      <c r="E100" s="72">
        <f>Model!Z167</f>
        <v>2729755.6052609617</v>
      </c>
      <c r="F100" s="72">
        <f>Model!AA167</f>
        <v>8873495.1656850837</v>
      </c>
      <c r="G100" s="72">
        <f>Model!AB167</f>
        <v>20238758.058997773</v>
      </c>
      <c r="H100" s="72">
        <f>Model!AC167</f>
        <v>37912857.862771228</v>
      </c>
      <c r="I100" s="72">
        <f>Model!AD167</f>
        <v>59851066.055721268</v>
      </c>
      <c r="J100" s="72">
        <f>Model!AE167</f>
        <v>82658808.155989617</v>
      </c>
    </row>
    <row r="101" spans="1:10" x14ac:dyDescent="0.25">
      <c r="A101" s="6" t="s">
        <v>650</v>
      </c>
      <c r="D101" s="37">
        <f>Model!N198</f>
        <v>24.851142575500084</v>
      </c>
      <c r="E101" s="37">
        <f>Model!Z198</f>
        <v>53.161376387534354</v>
      </c>
      <c r="F101" s="37">
        <f>Model!AA198</f>
        <v>63.313526848463638</v>
      </c>
      <c r="G101" s="37">
        <f>Model!AB198</f>
        <v>60.77488346406782</v>
      </c>
      <c r="H101" s="37">
        <f>Model!AC198</f>
        <v>58.466953800524948</v>
      </c>
      <c r="I101" s="37">
        <f>Model!AD198</f>
        <v>59.316740339645307</v>
      </c>
      <c r="J101" s="37">
        <f>Model!AE198</f>
        <v>63.114502375407838</v>
      </c>
    </row>
    <row r="103" spans="1:10" x14ac:dyDescent="0.25">
      <c r="A103" s="9" t="s">
        <v>845</v>
      </c>
    </row>
  </sheetData>
  <mergeCells count="2">
    <mergeCell ref="A1:J1"/>
    <mergeCell ref="A2:J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183</vt:i4>
      </vt:variant>
    </vt:vector>
  </HeadingPairs>
  <TitlesOfParts>
    <vt:vector size="188" baseType="lpstr">
      <vt:lpstr>Cover</vt:lpstr>
      <vt:lpstr>Assumptions</vt:lpstr>
      <vt:lpstr>Scenario Parameters</vt:lpstr>
      <vt:lpstr>Model</vt:lpstr>
      <vt:lpstr>Summary</vt:lpstr>
      <vt:lpstr>act_gulf</vt:lpstr>
      <vt:lpstr>act_india</vt:lpstr>
      <vt:lpstr>act_referral</vt:lpstr>
      <vt:lpstr>act_s0</vt:lpstr>
      <vt:lpstr>act_s1a</vt:lpstr>
      <vt:lpstr>act_s1b</vt:lpstr>
      <vt:lpstr>act_s2</vt:lpstr>
      <vt:lpstr>act_s3</vt:lpstr>
      <vt:lpstr>act_s4</vt:lpstr>
      <vt:lpstr>act_s5</vt:lpstr>
      <vt:lpstr>act_s6</vt:lpstr>
      <vt:lpstr>aed_usd</vt:lpstr>
      <vt:lpstr>agent_commission</vt:lpstr>
      <vt:lpstr>agent_productivity</vt:lpstr>
      <vt:lpstr>agents_gulf_y1</vt:lpstr>
      <vt:lpstr>agents_gulf_y2</vt:lpstr>
      <vt:lpstr>agents_gulf_y3</vt:lpstr>
      <vt:lpstr>agents_gulf_y4</vt:lpstr>
      <vt:lpstr>agents_gulf_y5</vt:lpstr>
      <vt:lpstr>agents_gulf_y6</vt:lpstr>
      <vt:lpstr>agents_gulf_y7</vt:lpstr>
      <vt:lpstr>agents_india_y1</vt:lpstr>
      <vt:lpstr>agents_india_y2</vt:lpstr>
      <vt:lpstr>agents_india_y3</vt:lpstr>
      <vt:lpstr>agents_india_y4</vt:lpstr>
      <vt:lpstr>agents_india_y5</vt:lpstr>
      <vt:lpstr>agents_india_y6</vt:lpstr>
      <vt:lpstr>agents_india_y7</vt:lpstr>
      <vt:lpstr>agents_uae_y1</vt:lpstr>
      <vt:lpstr>agents_uae_y2</vt:lpstr>
      <vt:lpstr>agents_uae_y3</vt:lpstr>
      <vt:lpstr>agents_uae_y4</vt:lpstr>
      <vt:lpstr>agents_uae_y5</vt:lpstr>
      <vt:lpstr>agents_uae_y6</vt:lpstr>
      <vt:lpstr>agents_uae_y7</vt:lpstr>
      <vt:lpstr>atm_a1500</vt:lpstr>
      <vt:lpstr>atm_a3000</vt:lpstr>
      <vt:lpstr>atm_a3000p</vt:lpstr>
      <vt:lpstr>atm_a500</vt:lpstr>
      <vt:lpstr>atm_allowance</vt:lpstr>
      <vt:lpstr>atm_fee</vt:lpstr>
      <vt:lpstr>atmm_a1500</vt:lpstr>
      <vt:lpstr>atmm_a3000</vt:lpstr>
      <vt:lpstr>atmm_a3000p</vt:lpstr>
      <vt:lpstr>atmm_a500</vt:lpstr>
      <vt:lpstr>audit_usd</vt:lpstr>
      <vt:lpstr>aum_per_partner</vt:lpstr>
      <vt:lpstr>aum_per_partner_user</vt:lpstr>
      <vt:lpstr>b2b_fee</vt:lpstr>
      <vt:lpstr>bar_grams</vt:lpstr>
      <vt:lpstr>benef_count</vt:lpstr>
      <vt:lpstr>benef_fee</vt:lpstr>
      <vt:lpstr>cac_gulf</vt:lpstr>
      <vt:lpstr>cac_india</vt:lpstr>
      <vt:lpstr>cac_uae</vt:lpstr>
      <vt:lpstr>cac7_gulf</vt:lpstr>
      <vt:lpstr>cac7_india</vt:lpstr>
      <vt:lpstr>cac7_uae</vt:lpstr>
      <vt:lpstr>card_activation</vt:lpstr>
      <vt:lpstr>card_fixed_usd</vt:lpstr>
      <vt:lpstr>card_fraud_bps</vt:lpstr>
      <vt:lpstr>card_per_auth</vt:lpstr>
      <vt:lpstr>card_per_card</vt:lpstr>
      <vt:lpstr>card_setup_usd</vt:lpstr>
      <vt:lpstr>card_txns_per_draw</vt:lpstr>
      <vt:lpstr>ceil_gulf</vt:lpstr>
      <vt:lpstr>ceil_india</vt:lpstr>
      <vt:lpstr>ceil_total</vt:lpstr>
      <vt:lpstr>ceil_uae</vt:lpstr>
      <vt:lpstr>cost_contingency</vt:lpstr>
      <vt:lpstr>decline_uplift</vt:lpstr>
      <vt:lpstr>disc_card</vt:lpstr>
      <vt:lpstr>disc_entry</vt:lpstr>
      <vt:lpstr>disc_family</vt:lpstr>
      <vt:lpstr>disc_rebate</vt:lpstr>
      <vt:lpstr>dmcc_annual_aed</vt:lpstr>
      <vt:lpstr>dmcc_setup_aed</vt:lpstr>
      <vt:lpstr>draw_events</vt:lpstr>
      <vt:lpstr>drawn_share</vt:lpstr>
      <vt:lpstr>entry_fee</vt:lpstr>
      <vt:lpstr>ever_qualify</vt:lpstr>
      <vt:lpstr>fab_premium</vt:lpstr>
      <vt:lpstr>facility_turnover</vt:lpstr>
      <vt:lpstr>family_attach</vt:lpstr>
      <vt:lpstr>family_churn</vt:lpstr>
      <vt:lpstr>family_churn_m</vt:lpstr>
      <vt:lpstr>family_price</vt:lpstr>
      <vt:lpstr>float_buffer_days</vt:lpstr>
      <vt:lpstr>foreign_spend_share</vt:lpstr>
      <vt:lpstr>fx_margin</vt:lpstr>
      <vt:lpstr>gate_run</vt:lpstr>
      <vt:lpstr>gold_cagr</vt:lpstr>
      <vt:lpstr>gold_price</vt:lpstr>
      <vt:lpstr>ic_gold</vt:lpstr>
      <vt:lpstr>insurance_usd</vt:lpstr>
      <vt:lpstr>issuance_fee</vt:lpstr>
      <vt:lpstr>kyc_min_month</vt:lpstr>
      <vt:lpstr>kyc_per_check</vt:lpstr>
      <vt:lpstr>lapsed_redemption_mult</vt:lpstr>
      <vt:lpstr>launch_audit_usd</vt:lpstr>
      <vt:lpstr>ltv_gold</vt:lpstr>
      <vt:lpstr>mktg_y1</vt:lpstr>
      <vt:lpstr>mktg_y2</vt:lpstr>
      <vt:lpstr>mktg_y3</vt:lpstr>
      <vt:lpstr>mktg_y4</vt:lpstr>
      <vt:lpstr>mktg_y5</vt:lpstr>
      <vt:lpstr>mktg_y6</vt:lpstr>
      <vt:lpstr>mktg_y7</vt:lpstr>
      <vt:lpstr>mktshare_gulf</vt:lpstr>
      <vt:lpstr>mktshare_india</vt:lpstr>
      <vt:lpstr>mktshare_uae</vt:lpstr>
      <vt:lpstr>monthly_churn</vt:lpstr>
      <vt:lpstr>months_to_qualify</vt:lpstr>
      <vt:lpstr>nla_months</vt:lpstr>
      <vt:lpstr>organic_share</vt:lpstr>
      <vt:lpstr>origination_gross</vt:lpstr>
      <vt:lpstr>origination_share</vt:lpstr>
      <vt:lpstr>paidup_activity_aed</vt:lpstr>
      <vt:lpstr>paidup_issuance_aed</vt:lpstr>
      <vt:lpstr>partner_adoption</vt:lpstr>
      <vt:lpstr>partner_users</vt:lpstr>
      <vt:lpstr>partners_y1</vt:lpstr>
      <vt:lpstr>partners_y2</vt:lpstr>
      <vt:lpstr>partners_y3</vt:lpstr>
      <vt:lpstr>partners_y4</vt:lpstr>
      <vt:lpstr>partners_y5</vt:lpstr>
      <vt:lpstr>partners_y6</vt:lpstr>
      <vt:lpstr>partners_y7</vt:lpstr>
      <vt:lpstr>persistency_m13</vt:lpstr>
      <vt:lpstr>pm_share</vt:lpstr>
      <vt:lpstr>prefund_days</vt:lpstr>
      <vt:lpstr>prefund_floor</vt:lpstr>
      <vt:lpstr>ramp_y1</vt:lpstr>
      <vt:lpstr>ramp_y2</vt:lpstr>
      <vt:lpstr>ramp_y3</vt:lpstr>
      <vt:lpstr>ramp_y4</vt:lpstr>
      <vt:lpstr>ramp_y5</vt:lpstr>
      <vt:lpstr>ramp_y6</vt:lpstr>
      <vt:lpstr>ramp_y7</vt:lpstr>
      <vt:lpstr>redemption_cost</vt:lpstr>
      <vt:lpstr>redemption_rate</vt:lpstr>
      <vt:lpstr>referral_conversion</vt:lpstr>
      <vt:lpstr>referral_rate</vt:lpstr>
      <vt:lpstr>referral_reward</vt:lpstr>
      <vt:lpstr>reissue_rate</vt:lpstr>
      <vt:lpstr>replacement_events</vt:lpstr>
      <vt:lpstr>replacement_fee</vt:lpstr>
      <vt:lpstr>scenario_index</vt:lpstr>
      <vt:lpstr>seas_sum_acq</vt:lpstr>
      <vt:lpstr>seas_sum_spend</vt:lpstr>
      <vt:lpstr>seasonality_amplitude</vt:lpstr>
      <vt:lpstr>self_custody_leakage</vt:lpstr>
      <vt:lpstr>servicing_gross</vt:lpstr>
      <vt:lpstr>servicing_share</vt:lpstr>
      <vt:lpstr>sip_floor</vt:lpstr>
      <vt:lpstr>spot_attach_mult</vt:lpstr>
      <vt:lpstr>spot_frequency</vt:lpstr>
      <vt:lpstr>spot_ticket_mult</vt:lpstr>
      <vt:lpstr>spotattach_gulf</vt:lpstr>
      <vt:lpstr>spotattach_india</vt:lpstr>
      <vt:lpstr>spotattach_uae</vt:lpstr>
      <vt:lpstr>spotticket_gulf</vt:lpstr>
      <vt:lpstr>spotticket_india</vt:lpstr>
      <vt:lpstr>spotticket_uae</vt:lpstr>
      <vt:lpstr>storage_min_day</vt:lpstr>
      <vt:lpstr>storage_rate</vt:lpstr>
      <vt:lpstr>sw_lapsed_keeps_card</vt:lpstr>
      <vt:lpstr>sw_premium_absorbed</vt:lpstr>
      <vt:lpstr>sw_premium_on_gross</vt:lpstr>
      <vt:lpstr>sw_prepaid_vs_credit</vt:lpstr>
      <vt:lpstr>tech_build_y1</vt:lpstr>
      <vt:lpstr>tech_build_y2</vt:lpstr>
      <vt:lpstr>tech_maint</vt:lpstr>
      <vt:lpstr>techaudit_usd</vt:lpstr>
      <vt:lpstr>ticket_gulf</vt:lpstr>
      <vt:lpstr>ticket_india</vt:lpstr>
      <vt:lpstr>ticket_uae</vt:lpstr>
      <vt:lpstr>txn_fee</vt:lpstr>
      <vt:lpstr>uae_spend_abroad</vt:lpstr>
      <vt:lpstr>vara_application_aed</vt:lpstr>
      <vt:lpstr>vara_supervision_aed</vt:lpstr>
      <vt:lpstr>xborder_rate</vt:lpstr>
      <vt:lpstr>xchk_uae_obs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Abdur Rehman</cp:lastModifiedBy>
  <dcterms:created xsi:type="dcterms:W3CDTF">2026-08-26T14:55:58Z</dcterms:created>
  <dcterms:modified xsi:type="dcterms:W3CDTF">2026-08-26T16:05:48Z</dcterms:modified>
</cp:coreProperties>
</file>