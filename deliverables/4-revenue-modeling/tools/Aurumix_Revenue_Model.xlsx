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Assumptions!$B$54</definedName>
    <definedName name="act_india">Assumptions!$B$55</definedName>
    <definedName name="act_referral">Assumptions!$B$53</definedName>
    <definedName name="act_s0">Assumptions!$B$47</definedName>
    <definedName name="act_s1a">Assumptions!$B$45</definedName>
    <definedName name="act_s1b">Assumptions!$B$46</definedName>
    <definedName name="act_s2">Assumptions!$B$49</definedName>
    <definedName name="act_s3">Assumptions!$B$48</definedName>
    <definedName name="act_s4">Assumptions!$B$50</definedName>
    <definedName name="act_s5">Assumptions!$B$51</definedName>
    <definedName name="act_s6">Assumptions!$B$52</definedName>
    <definedName name="aed_usd">Assumptions!$B$7</definedName>
    <definedName name="agent_productivity">'Scenario Parameters'!$B$12</definedName>
    <definedName name="agents_y1">Assumptions!$B$86</definedName>
    <definedName name="agents_y2">Assumptions!$B$87</definedName>
    <definedName name="agents_y3">Assumptions!$B$88</definedName>
    <definedName name="agents_y4">Assumptions!$B$89</definedName>
    <definedName name="agents_y5">Assumptions!$B$90</definedName>
    <definedName name="agents_y6">Assumptions!$B$91</definedName>
    <definedName name="agents_y7">Assumptions!$B$92</definedName>
    <definedName name="agentshare_gulf">Assumptions!$B$108</definedName>
    <definedName name="agentshare_india">Assumptions!$B$109</definedName>
    <definedName name="agentshare_uae">Assumptions!$B$107</definedName>
    <definedName name="atm_a1500">'Scenario Parameters'!$B$43</definedName>
    <definedName name="atm_a3000">'Scenario Parameters'!$B$44</definedName>
    <definedName name="atm_a3000p">'Scenario Parameters'!$B$45</definedName>
    <definedName name="atm_a500">'Scenario Parameters'!$B$42</definedName>
    <definedName name="atm_allowance">Assumptions!$B$19</definedName>
    <definedName name="atm_fee">Assumptions!$B$20</definedName>
    <definedName name="atmm_a1500">'Scenario Parameters'!$B$47</definedName>
    <definedName name="atmm_a3000">'Scenario Parameters'!$B$48</definedName>
    <definedName name="atmm_a3000p">'Scenario Parameters'!$B$49</definedName>
    <definedName name="atmm_a500">'Scenario Parameters'!$B$46</definedName>
    <definedName name="aum_per_partner">'Scenario Parameters'!$B$65</definedName>
    <definedName name="avg_txn_gold">Assumptions!$B$17</definedName>
    <definedName name="b2b_fee">Assumptions!$B$27</definedName>
    <definedName name="bar_grams">Assumptions!$B$10</definedName>
    <definedName name="cac_base">'Scenario Parameters'!$B$13</definedName>
    <definedName name="card_activation">'Scenario Parameters'!$B$38</definedName>
    <definedName name="card_spend_mult">'Scenario Parameters'!$B$37</definedName>
    <definedName name="ceil_gulf">Assumptions!$B$83</definedName>
    <definedName name="ceil_india">Assumptions!$B$84</definedName>
    <definedName name="ceil_total">Assumptions!$B$85</definedName>
    <definedName name="ceil_uae">Assumptions!$B$82</definedName>
    <definedName name="credit_takeup">'Scenario Parameters'!$B$53</definedName>
    <definedName name="decline_uplift">Assumptions!$B$16</definedName>
    <definedName name="draw_events">'Scenario Parameters'!$B$56</definedName>
    <definedName name="drawn_share">'Scenario Parameters'!$B$54</definedName>
    <definedName name="entry_fee">Assumptions!$B$8</definedName>
    <definedName name="ever_qualify">'Scenario Parameters'!$B$21</definedName>
    <definedName name="fab_premium">Assumptions!$B$9</definedName>
    <definedName name="facility_turnover">'Scenario Parameters'!$B$55</definedName>
    <definedName name="family_attach">'Scenario Parameters'!$B$57</definedName>
    <definedName name="family_price">Assumptions!$B$26</definedName>
    <definedName name="foreign_spend_share">'Scenario Parameters'!$B$39</definedName>
    <definedName name="fx_margin">Assumptions!$B$18</definedName>
    <definedName name="gate_run">Assumptions!$B$40</definedName>
    <definedName name="gold_price">Assumptions!$B$6</definedName>
    <definedName name="ic_gold">Assumptions!$B$14</definedName>
    <definedName name="issuance_events">'Scenario Parameters'!$B$40</definedName>
    <definedName name="issuance_fee">Assumptions!$B$21</definedName>
    <definedName name="lapsed_redemption_mult">'Scenario Parameters'!$B$28</definedName>
    <definedName name="ltv_gold">Assumptions!$B$32</definedName>
    <definedName name="mix_gulf">'Scenario Parameters'!$B$73</definedName>
    <definedName name="mix_india">'Scenario Parameters'!$B$74</definedName>
    <definedName name="mix_uae">'Scenario Parameters'!$B$72</definedName>
    <definedName name="mktg_y1">Assumptions!$B$93</definedName>
    <definedName name="mktg_y2">Assumptions!$B$94</definedName>
    <definedName name="mktg_y3">Assumptions!$B$95</definedName>
    <definedName name="mktg_y4">Assumptions!$B$96</definedName>
    <definedName name="mktg_y5">Assumptions!$B$97</definedName>
    <definedName name="mktg_y6">Assumptions!$B$98</definedName>
    <definedName name="mktg_y7">Assumptions!$B$99</definedName>
    <definedName name="monthly_churn">'Scenario Parameters'!$B$11</definedName>
    <definedName name="months_to_qualify">'Scenario Parameters'!$B$22</definedName>
    <definedName name="organic_share">'Scenario Parameters'!$B$16</definedName>
    <definedName name="origination_gross">Assumptions!$B$28</definedName>
    <definedName name="origination_share">Assumptions!$B$29</definedName>
    <definedName name="partners_y1">'Scenario Parameters'!$B$58</definedName>
    <definedName name="partners_y2">'Scenario Parameters'!$B$59</definedName>
    <definedName name="partners_y3">'Scenario Parameters'!$B$60</definedName>
    <definedName name="partners_y4">'Scenario Parameters'!$B$61</definedName>
    <definedName name="partners_y5">'Scenario Parameters'!$B$62</definedName>
    <definedName name="partners_y6">'Scenario Parameters'!$B$63</definedName>
    <definedName name="partners_y7">'Scenario Parameters'!$B$64</definedName>
    <definedName name="persistency_m13">'Scenario Parameters'!$B$10</definedName>
    <definedName name="pm_share">'Scenario Parameters'!$B$36</definedName>
    <definedName name="ramp_y1">Assumptions!$B$100</definedName>
    <definedName name="ramp_y2">Assumptions!$B$101</definedName>
    <definedName name="ramp_y3">Assumptions!$B$102</definedName>
    <definedName name="ramp_y4">Assumptions!$B$103</definedName>
    <definedName name="ramp_y5">Assumptions!$B$104</definedName>
    <definedName name="ramp_y6">Assumptions!$B$105</definedName>
    <definedName name="ramp_y7">Assumptions!$B$106</definedName>
    <definedName name="redemption_cost">Assumptions!$B$41</definedName>
    <definedName name="redemption_rate">'Scenario Parameters'!$B$27</definedName>
    <definedName name="referral_conversion">'Scenario Parameters'!$B$15</definedName>
    <definedName name="referral_rate">'Scenario Parameters'!$B$14</definedName>
    <definedName name="replacement_events">'Scenario Parameters'!$B$41</definedName>
    <definedName name="replacement_fee">Assumptions!$B$22</definedName>
    <definedName name="scenario_index">'Scenario Parameters'!$C$6</definedName>
    <definedName name="seas_sum_acq">Model!$C$14</definedName>
    <definedName name="seas_sum_spend">Model!$D$14</definedName>
    <definedName name="seasonality_amplitude">'Scenario Parameters'!$B$17</definedName>
    <definedName name="self_custody_leakage">'Scenario Parameters'!$B$26</definedName>
    <definedName name="servicing_gross">Assumptions!$B$30</definedName>
    <definedName name="servicing_share">Assumptions!$B$31</definedName>
    <definedName name="sip_floor">Assumptions!$B$39</definedName>
    <definedName name="spot_attach">'Scenario Parameters'!$B$29</definedName>
    <definedName name="spot_frequency">'Scenario Parameters'!$B$31</definedName>
    <definedName name="spot_ticket">'Scenario Parameters'!$B$30</definedName>
    <definedName name="spot_to_sip">'Scenario Parameters'!$B$32</definedName>
    <definedName name="spotmult_gulf">Assumptions!$B$34</definedName>
    <definedName name="spotmult_india">Assumptions!$B$35</definedName>
    <definedName name="spotmult_uae">Assumptions!$B$33</definedName>
    <definedName name="sw_lapsed_keeps_card">'Scenario Parameters'!$B$79</definedName>
    <definedName name="sw_prepaid_vs_credit">'Scenario Parameters'!$B$78</definedName>
    <definedName name="ticket_gulf">'Scenario Parameters'!$B$70</definedName>
    <definedName name="ticket_india">'Scenario Parameters'!$B$71</definedName>
    <definedName name="ticket_uae">'Scenario Parameters'!$B$69</definedName>
    <definedName name="txn_fee">Assumptions!$B$15</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0"/>
    <numFmt numFmtId="171" formatCode="0.00&quot;x&quot;"/>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0" fontId="6" fillId="0" borderId="0" applyAlignment="1" pivotButton="0" quotePrefix="0" xfId="0">
      <alignment horizontal="center"/>
    </xf>
    <xf numFmtId="168" fontId="6" fillId="0" borderId="0" applyAlignment="1" pivotButton="0" quotePrefix="0" xfId="0">
      <alignment horizontal="center"/>
    </xf>
    <xf numFmtId="170" fontId="3" fillId="0" borderId="0" pivotButton="0" quotePrefix="0" xfId="0"/>
    <xf numFmtId="170"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0" fontId="3" fillId="0" borderId="0" applyAlignment="1" pivotButton="0" quotePrefix="0" xfId="0">
      <alignment horizontal="center"/>
    </xf>
    <xf numFmtId="171"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Average transaction size</t>
        </is>
      </c>
      <c r="B17" s="17" t="n">
        <v>100</v>
      </c>
      <c r="C17" t="inlineStr">
        <is>
          <t>AED</t>
        </is>
      </c>
      <c r="D17" t="inlineStr">
        <is>
          <t>RE-CUT 2026-08-20 from AED 185. Groceries, telecom top-ups, transport and bills for a blue/grey collar base - not restaurants and retail. AED 185 implied ~10 transactions a month on the re-cut spend level, which is not the behaviour of a primary card; AED 100 implies ~18/month. DOES NOT AFFECT REVENUE - it drives the authorisation count, which is a COST input for the later cost build. ⚠ CARRY THIS FINDING TO THE COST BUILD: the processor fee is flat per authorisation while Aurumix's interchange share is a percentage, so below roughly AED 77 per transaction (at a 72% PM share and USD 0.10 per authorisation) the fee exceeds the interchange earned. That threshold falls to ~AED 34 at the 36% PM floor, and to ~AED 23 at a negotiated USD 0.03 fee. ASSUMPTION.</t>
        </is>
      </c>
    </row>
    <row r="18">
      <c r="A18" t="inlineStr">
        <is>
          <t>FX margin on foreign spend</t>
        </is>
      </c>
      <c r="B18" s="16" t="n">
        <v>0.02</v>
      </c>
      <c r="C18" t="inlineStr">
        <is>
          <t>% of foreign spend</t>
        </is>
      </c>
      <c r="D18" t="inlineStr">
        <is>
          <t>Market rate ~2%, converged across four comparables. CITED.</t>
        </is>
      </c>
    </row>
    <row r="19">
      <c r="A19" t="inlineStr">
        <is>
          <t>Free ATM allowance (Gold)</t>
        </is>
      </c>
      <c r="B19" s="17" t="n">
        <v>1000</v>
      </c>
      <c r="C19" t="inlineStr">
        <is>
          <t>AED/month</t>
        </is>
      </c>
      <c r="D19" t="inlineStr">
        <is>
          <t>Monthly and NOT rolling. Set deliberately ABOVE the median draw - that is the finding. CITED.</t>
        </is>
      </c>
    </row>
    <row r="20">
      <c r="A20" t="inlineStr">
        <is>
          <t>ATM fee over the allowance</t>
        </is>
      </c>
      <c r="B20" s="16" t="n">
        <v>0.02</v>
      </c>
      <c r="C20" t="inlineStr">
        <is>
          <t>% of the excess</t>
        </is>
      </c>
      <c r="D20" t="inlineStr">
        <is>
          <t>Sector converged. CITED.</t>
        </is>
      </c>
    </row>
    <row r="21">
      <c r="A21" t="inlineStr">
        <is>
          <t>Card issuance fee</t>
        </is>
      </c>
      <c r="B21" s="17" t="n">
        <v>75</v>
      </c>
      <c r="C21" t="inlineStr">
        <is>
          <t>AED one-off</t>
        </is>
      </c>
      <c r="D21" t="inlineStr">
        <is>
          <t>Charged at base level, waived at upper tiers. CITED structure, ASSUMPTION rate.</t>
        </is>
      </c>
    </row>
    <row r="22">
      <c r="A22" t="inlineStr">
        <is>
          <t>Card replacement fee</t>
        </is>
      </c>
      <c r="B22" s="17" t="n">
        <v>100</v>
      </c>
      <c r="C22" t="inlineStr">
        <is>
          <t>AED per event</t>
        </is>
      </c>
      <c r="D22" t="inlineStr">
        <is>
          <t>Market-normal UAE replacement is AED 75-150. ASSUMPTION.</t>
        </is>
      </c>
    </row>
    <row r="24" ht="18" customHeight="1">
      <c r="A24" s="12" t="inlineStr">
        <is>
          <t>OTHER STREAM PRICING</t>
        </is>
      </c>
      <c r="B24" s="13" t="n"/>
      <c r="C24" s="13" t="n"/>
      <c r="D24" s="13" t="n"/>
    </row>
    <row r="25">
      <c r="A25" s="14" t="inlineStr">
        <is>
          <t>Parameter</t>
        </is>
      </c>
      <c r="B25" s="14" t="inlineStr">
        <is>
          <t>Value</t>
        </is>
      </c>
      <c r="C25" s="14" t="inlineStr">
        <is>
          <t>Unit</t>
        </is>
      </c>
      <c r="D25" s="14" t="inlineStr">
        <is>
          <t>Source</t>
        </is>
      </c>
    </row>
    <row r="26">
      <c r="A26" t="inlineStr">
        <is>
          <t>Family plan / Digital Will price</t>
        </is>
      </c>
      <c r="B26" s="20" t="n">
        <v>120</v>
      </c>
      <c r="C26" t="inlineStr">
        <is>
          <t>USD/yr</t>
        </is>
      </c>
      <c r="D26" t="inlineStr">
        <is>
          <t>Price is ours; the cost floor is verified. ASSUMPTION.</t>
        </is>
      </c>
    </row>
    <row r="27">
      <c r="A27" t="inlineStr">
        <is>
          <t>B2B platform fee</t>
        </is>
      </c>
      <c r="B27" s="16" t="n">
        <v>0.00625</v>
      </c>
      <c r="C27" t="inlineStr">
        <is>
          <t>% of partner AUM/yr</t>
        </is>
      </c>
      <c r="D27" t="inlineStr">
        <is>
          <t>Placeholder in the 0.5-0.75% band, coupled to the partner set. ASSUMPTION.</t>
        </is>
      </c>
    </row>
    <row r="28">
      <c r="A28" t="inlineStr">
        <is>
          <t>Credit origination fee - gross</t>
        </is>
      </c>
      <c r="B28" s="16" t="n">
        <v>0.01</v>
      </c>
      <c r="C28" t="inlineStr">
        <is>
          <t>% of draw</t>
        </is>
      </c>
      <c r="D28" t="inlineStr">
        <is>
          <t>Finance House UAE gold loan Key Facts Statement carries a 1% processing fee - the one gross rate with a real UAE anchor. CITED.</t>
        </is>
      </c>
    </row>
    <row r="29">
      <c r="A29" t="inlineStr">
        <is>
          <t>Credit origination - Aurumix share</t>
        </is>
      </c>
      <c r="B29" s="19" t="n">
        <v>0.5</v>
      </c>
      <c r="C29" t="inlineStr">
        <is>
          <t>% of gross</t>
        </is>
      </c>
      <c r="D29" t="inlineStr">
        <is>
          <t>ASSUMPTION.</t>
        </is>
      </c>
    </row>
    <row r="30">
      <c r="A30" t="inlineStr">
        <is>
          <t>Credit servicing fee - gross</t>
        </is>
      </c>
      <c r="B30" s="16" t="n">
        <v>0.005</v>
      </c>
      <c r="C30" t="inlineStr">
        <is>
          <t>%/yr of drawn</t>
        </is>
      </c>
      <c r="D30" t="inlineStr">
        <is>
          <t>ASSUMPTION.</t>
        </is>
      </c>
    </row>
    <row r="31">
      <c r="A31" t="inlineStr">
        <is>
          <t>Credit servicing - Aurumix share</t>
        </is>
      </c>
      <c r="B31" s="19" t="n">
        <v>0.7</v>
      </c>
      <c r="C31" t="inlineStr">
        <is>
          <t>% of gross</t>
        </is>
      </c>
      <c r="D31" t="inlineStr">
        <is>
          <t>The highest of the heads: servicing is where Aurumix does the actual work. ASSUMPTION.</t>
        </is>
      </c>
    </row>
    <row r="32">
      <c r="A32" t="inlineStr">
        <is>
          <t>LTV against collateral</t>
        </is>
      </c>
      <c r="B32" s="19" t="n">
        <v>0.5</v>
      </c>
      <c r="C32" t="inlineStr">
        <is>
          <t>% of collateral</t>
        </is>
      </c>
      <c r="D32" t="inlineStr">
        <is>
          <t>_draft_ics-scoring.md sec 6.2, settled 2026-08-13. CITED.</t>
        </is>
      </c>
    </row>
    <row r="33">
      <c r="A33" t="inlineStr">
        <is>
          <t>Spot ticket multiplier - UAE</t>
        </is>
      </c>
      <c r="B33" s="15" t="n">
        <v>1.07</v>
      </c>
      <c r="C33" t="inlineStr">
        <is>
          <t>x average</t>
        </is>
      </c>
      <c r="D33" t="inlineStr">
        <is>
          <t>Derived from the regional SIP ticket relative to the book-weighted average of ~USD 31.5. Weighted across the region mix these average 1.00, so they redistribute the spot ticket without changing its level. DERIVED.</t>
        </is>
      </c>
    </row>
    <row r="34">
      <c r="A34" t="inlineStr">
        <is>
          <t>Spot ticket multiplier - Oman and Bahrain</t>
        </is>
      </c>
      <c r="B34" s="15" t="n">
        <v>0.83</v>
      </c>
      <c r="C34" t="inlineStr">
        <is>
          <t>x average</t>
        </is>
      </c>
      <c r="D34" t="inlineStr">
        <is>
          <t>Derived from the regional SIP ticket relative to the book-weighted average of ~USD 31.5. Weighted across the region mix these average 1.00, so they redistribute the spot ticket without changing its level. DERIVED.</t>
        </is>
      </c>
    </row>
    <row r="35">
      <c r="A35" t="inlineStr">
        <is>
          <t>Spot ticket multiplier - India</t>
        </is>
      </c>
      <c r="B35" s="15" t="n">
        <v>0.95</v>
      </c>
      <c r="C35" t="inlineStr">
        <is>
          <t>x average</t>
        </is>
      </c>
      <c r="D35" t="inlineStr">
        <is>
          <t>Derived from the regional SIP ticket relative to the book-weighted average of ~USD 31.5. Weighted across the region mix these average 1.00, so they redistribute the spot ticket without changing its level. DERIVED.</t>
        </is>
      </c>
    </row>
    <row r="37" ht="18" customHeight="1">
      <c r="A37" s="12" t="inlineStr">
        <is>
          <t>SIP RULES</t>
        </is>
      </c>
      <c r="B37" s="13" t="n"/>
      <c r="C37" s="13" t="n"/>
      <c r="D37" s="13" t="n"/>
    </row>
    <row r="38">
      <c r="A38" s="14" t="inlineStr">
        <is>
          <t>Parameter</t>
        </is>
      </c>
      <c r="B38" s="14" t="inlineStr">
        <is>
          <t>Value</t>
        </is>
      </c>
      <c r="C38" s="14" t="inlineStr">
        <is>
          <t>Unit</t>
        </is>
      </c>
      <c r="D38" s="14" t="inlineStr">
        <is>
          <t>Source</t>
        </is>
      </c>
    </row>
    <row r="39">
      <c r="A39" t="inlineStr">
        <is>
          <t>SIP hard floor</t>
        </is>
      </c>
      <c r="B39" s="18" t="n">
        <v>20</v>
      </c>
      <c r="C39" t="inlineStr">
        <is>
          <t>USD/month</t>
        </is>
      </c>
      <c r="D39" t="inlineStr">
        <is>
          <t>Rejected outright below; never partially credited. CITED.</t>
        </is>
      </c>
    </row>
    <row r="40">
      <c r="A40" t="inlineStr">
        <is>
          <t>Confirmed SIP gate</t>
        </is>
      </c>
      <c r="B40" s="17" t="n">
        <v>6</v>
      </c>
      <c r="C40" t="inlineStr">
        <is>
          <t>consecutive payments</t>
        </is>
      </c>
      <c r="D40" t="inlineStr">
        <is>
          <t>Client's own figure. The gate is why eligibility is NOT universal - see the two eligibility parameters on the Scenario sheet. CLIENT INPUT.</t>
        </is>
      </c>
    </row>
    <row r="41">
      <c r="A41" t="inlineStr">
        <is>
          <t>Cost per redemption event (memo - for the cost build)</t>
        </is>
      </c>
      <c r="B41" s="18" t="n">
        <v>3.2</v>
      </c>
      <c r="C41" t="inlineStr">
        <is>
          <t>USD</t>
        </is>
      </c>
      <c r="D41"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3" ht="18" customHeight="1">
      <c r="A43" s="12" t="inlineStr">
        <is>
          <t>ACTIVATION CALENDAR - the single source of every activation period</t>
        </is>
      </c>
      <c r="B43" s="13" t="n"/>
      <c r="C43" s="13" t="n"/>
      <c r="D43" s="13" t="n"/>
    </row>
    <row r="44">
      <c r="A44" s="14" t="inlineStr">
        <is>
          <t>Parameter</t>
        </is>
      </c>
      <c r="B44" s="14" t="inlineStr">
        <is>
          <t>Value</t>
        </is>
      </c>
      <c r="C44" s="14" t="inlineStr">
        <is>
          <t>Unit</t>
        </is>
      </c>
      <c r="D44" s="14" t="inlineStr">
        <is>
          <t>Source</t>
        </is>
      </c>
    </row>
    <row r="45">
      <c r="A45" t="inlineStr">
        <is>
          <t>Stream 1a - Entry fee margin, SIP</t>
        </is>
      </c>
      <c r="B45" s="17" t="n">
        <v>1</v>
      </c>
      <c r="C45" t="inlineStr">
        <is>
          <t>period # (from)</t>
        </is>
      </c>
      <c r="D45" t="inlineStr">
        <is>
          <t>M1. The core product - live at launch.</t>
        </is>
      </c>
    </row>
    <row r="46">
      <c r="A46" t="inlineStr">
        <is>
          <t>Stream 1b - Entry fee margin, SPOT</t>
        </is>
      </c>
      <c r="B46" s="17" t="n">
        <v>1</v>
      </c>
      <c r="C46" t="inlineStr">
        <is>
          <t>period # (from)</t>
        </is>
      </c>
      <c r="D46" t="inlineStr">
        <is>
          <t>M1. A sub-stream of 1: the same fee on the same gold through a different rail, so it needs no additional build.</t>
        </is>
      </c>
    </row>
    <row r="47">
      <c r="A47" t="inlineStr">
        <is>
          <t>Stream 0 - Redemption cost</t>
        </is>
      </c>
      <c r="B47" s="17" t="n">
        <v>1</v>
      </c>
      <c r="C47" t="inlineStr">
        <is>
          <t>period # (from)</t>
        </is>
      </c>
      <c r="D47" t="inlineStr">
        <is>
          <t>M1. A mandatory cost from day one. VARA Annex 2 III.E.4 forbids charging any fee on redemption, so there is no offsetting revenue and there can never be an exit fee.</t>
        </is>
      </c>
    </row>
    <row r="48">
      <c r="A48" t="inlineStr">
        <is>
          <t>Stream 3 - Family plan and Digital Will</t>
        </is>
      </c>
      <c r="B48" s="17" t="n">
        <v>7</v>
      </c>
      <c r="C48" t="inlineStr">
        <is>
          <t>period # (from)</t>
        </is>
      </c>
      <c r="D48"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49">
      <c r="A49" t="inlineStr">
        <is>
          <t>Stream 2 - Card interchange</t>
        </is>
      </c>
      <c r="B49" s="17" t="n">
        <v>13</v>
      </c>
      <c r="C49" t="inlineStr">
        <is>
          <t>period # (from)</t>
        </is>
      </c>
      <c r="D49"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0">
      <c r="A50" t="inlineStr">
        <is>
          <t>Stream 4 - Cardholder fees</t>
        </is>
      </c>
      <c r="B50" s="17" t="n">
        <v>13</v>
      </c>
      <c r="C50" t="inlineStr">
        <is>
          <t>period # (from)</t>
        </is>
      </c>
      <c r="D50" t="inlineStr">
        <is>
          <t>M13, necessarily with stream 2 - FX, ATM and issuance fees cannot exist before the card does.</t>
        </is>
      </c>
    </row>
    <row r="51">
      <c r="A51" t="inlineStr">
        <is>
          <t>Stream 5 - Lending revenue share</t>
        </is>
      </c>
      <c r="B51" s="17" t="n">
        <v>13</v>
      </c>
      <c r="C51" t="inlineStr">
        <is>
          <t>period # (from)</t>
        </is>
      </c>
      <c r="D51"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2">
      <c r="A52" t="inlineStr">
        <is>
          <t>Stream 6 - B2B platform fee</t>
        </is>
      </c>
      <c r="B52" s="17" t="n">
        <v>13</v>
      </c>
      <c r="C52" t="inlineStr">
        <is>
          <t>period # (from)</t>
        </is>
      </c>
      <c r="D52"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3">
      <c r="A53" t="inlineStr">
        <is>
          <t>Referral channel begins</t>
        </is>
      </c>
      <c r="B53" s="17" t="n">
        <v>13</v>
      </c>
      <c r="C53" t="inlineStr">
        <is>
          <t>period # (from)</t>
        </is>
      </c>
      <c r="D53"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4">
      <c r="A54" t="inlineStr">
        <is>
          <t>Region opens - Oman and Bahrain</t>
        </is>
      </c>
      <c r="B54" s="17" t="n">
        <v>13</v>
      </c>
      <c r="C54" t="inlineStr">
        <is>
          <t>period # (from)</t>
        </is>
      </c>
      <c r="D54" t="inlineStr">
        <is>
          <t>M13 (client decision 2026-08-20). THE ONLY STAGED REGION, and the reason is regulatory: it requires local authorisation in a second and third jurisdiction. These customers are also NOT UAE-resident, so the VAT and reporting treatment differs.</t>
        </is>
      </c>
    </row>
    <row r="55">
      <c r="A55" t="inlineStr">
        <is>
          <t>Region opens - India</t>
        </is>
      </c>
      <c r="B55" s="17" t="n">
        <v>1</v>
      </c>
      <c r="C55" t="inlineStr">
        <is>
          <t>period # (from)</t>
        </is>
      </c>
      <c r="D55"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7" ht="18" customHeight="1">
      <c r="A57" s="12" t="inlineStr">
        <is>
          <t>SEASONALITY VECTORS (raw - the Model normalises to exactly 12.000)</t>
        </is>
      </c>
      <c r="B57" s="13" t="n"/>
      <c r="C57" s="13" t="n"/>
      <c r="D57" s="13" t="n"/>
    </row>
    <row r="58">
      <c r="A58" t="inlineStr">
        <is>
          <t>Vector</t>
        </is>
      </c>
      <c r="F58" s="21" t="inlineStr">
        <is>
          <t>Jan</t>
        </is>
      </c>
      <c r="G58" s="21" t="inlineStr">
        <is>
          <t>Feb</t>
        </is>
      </c>
      <c r="H58" s="21" t="inlineStr">
        <is>
          <t>Mar</t>
        </is>
      </c>
      <c r="I58" s="21" t="inlineStr">
        <is>
          <t>Apr</t>
        </is>
      </c>
      <c r="J58" s="21" t="inlineStr">
        <is>
          <t>May</t>
        </is>
      </c>
      <c r="K58" s="21" t="inlineStr">
        <is>
          <t>Jun</t>
        </is>
      </c>
      <c r="L58" s="21" t="inlineStr">
        <is>
          <t>Jul</t>
        </is>
      </c>
      <c r="M58" s="21" t="inlineStr">
        <is>
          <t>Aug</t>
        </is>
      </c>
      <c r="N58" s="21" t="inlineStr">
        <is>
          <t>Sep</t>
        </is>
      </c>
      <c r="O58" s="21" t="inlineStr">
        <is>
          <t>Oct</t>
        </is>
      </c>
      <c r="P58" s="21" t="inlineStr">
        <is>
          <t>Nov</t>
        </is>
      </c>
      <c r="Q58" s="21" t="inlineStr">
        <is>
          <t>Dec</t>
        </is>
      </c>
    </row>
    <row r="59">
      <c r="A59" t="inlineStr">
        <is>
          <t>Acquisition seasonality</t>
        </is>
      </c>
      <c r="D59"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59" s="22" t="n">
        <v>1.01</v>
      </c>
      <c r="G59" s="22" t="n">
        <v>0.96</v>
      </c>
      <c r="H59" s="22" t="n">
        <v>0.92</v>
      </c>
      <c r="I59" s="22" t="n">
        <v>1.15</v>
      </c>
      <c r="J59" s="22" t="n">
        <v>1.04</v>
      </c>
      <c r="K59" s="22" t="n">
        <v>0.88</v>
      </c>
      <c r="L59" s="22" t="n">
        <v>0.85</v>
      </c>
      <c r="M59" s="22" t="n">
        <v>0.85</v>
      </c>
      <c r="N59" s="22" t="n">
        <v>0.93</v>
      </c>
      <c r="O59" s="22" t="n">
        <v>1.25</v>
      </c>
      <c r="P59" s="22" t="n">
        <v>1.15</v>
      </c>
      <c r="Q59" s="22" t="n">
        <v>1.01</v>
      </c>
    </row>
    <row r="60">
      <c r="A60" t="inlineStr">
        <is>
          <t>Card spend seasonality</t>
        </is>
      </c>
      <c r="D60"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0" s="22" t="n">
        <v>1.1</v>
      </c>
      <c r="G60" s="22" t="n">
        <v>1</v>
      </c>
      <c r="H60" s="22" t="n">
        <v>0.98</v>
      </c>
      <c r="I60" s="22" t="n">
        <v>0.98</v>
      </c>
      <c r="J60" s="22" t="n">
        <v>1</v>
      </c>
      <c r="K60" s="22" t="n">
        <v>0.95</v>
      </c>
      <c r="L60" s="22" t="n">
        <v>0.88</v>
      </c>
      <c r="M60" s="22" t="n">
        <v>0.9</v>
      </c>
      <c r="N60" s="22" t="n">
        <v>1</v>
      </c>
      <c r="O60" s="22" t="n">
        <v>1.02</v>
      </c>
      <c r="P60" s="22" t="n">
        <v>1.05</v>
      </c>
      <c r="Q60" s="22" t="n">
        <v>1.14</v>
      </c>
    </row>
    <row r="61">
      <c r="A61" t="inlineStr">
        <is>
          <t>Foreign-spend share vector</t>
        </is>
      </c>
      <c r="D61" t="inlineStr">
        <is>
          <t>The one seasonality vector the brief itself tabulates. Raw mean 39.75, rescaled on the Model to the foreign-spend-share parameter. THE SUMMER TRAVEL SEASON IS THE LARGEST STREAM-4 MONTH on the weakest total-spend base.</t>
        </is>
      </c>
      <c r="F61" s="22" t="n">
        <v>30</v>
      </c>
      <c r="G61" s="22" t="n">
        <v>30</v>
      </c>
      <c r="H61" s="22" t="n">
        <v>30</v>
      </c>
      <c r="I61" s="22" t="n">
        <v>32</v>
      </c>
      <c r="J61" s="22" t="n">
        <v>34</v>
      </c>
      <c r="K61" s="22" t="n">
        <v>55</v>
      </c>
      <c r="L61" s="22" t="n">
        <v>60</v>
      </c>
      <c r="M61" s="22" t="n">
        <v>56</v>
      </c>
      <c r="N61" s="22" t="n">
        <v>36</v>
      </c>
      <c r="O61" s="22" t="n">
        <v>42</v>
      </c>
      <c r="P61" s="22" t="n">
        <v>40</v>
      </c>
      <c r="Q61" s="22" t="n">
        <v>32</v>
      </c>
    </row>
    <row r="63" ht="18" customHeight="1">
      <c r="A63" s="12" t="inlineStr">
        <is>
          <t>REGION KEY - who each region is</t>
        </is>
      </c>
      <c r="B63" s="13" t="n"/>
      <c r="C63" s="13" t="n"/>
      <c r="D63" s="13" t="n"/>
    </row>
    <row r="64">
      <c r="A64" s="14" t="inlineStr">
        <is>
          <t>Parameter</t>
        </is>
      </c>
      <c r="B64" s="14" t="inlineStr">
        <is>
          <t>Value</t>
        </is>
      </c>
      <c r="C64" s="14" t="inlineStr">
        <is>
          <t>Unit</t>
        </is>
      </c>
      <c r="D64" s="14" t="inlineStr">
        <is>
          <t>Source</t>
        </is>
      </c>
    </row>
    <row r="65">
      <c r="A65" s="3" t="inlineStr">
        <is>
          <t>UAE</t>
        </is>
      </c>
      <c r="B65" s="23" t="inlineStr">
        <is>
          <t>opens M1</t>
        </is>
      </c>
      <c r="D65"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6">
      <c r="A66" s="3" t="inlineStr">
        <is>
          <t>Oman and Bahrain</t>
        </is>
      </c>
      <c r="B66" s="23" t="inlineStr">
        <is>
          <t>opens M13</t>
        </is>
      </c>
      <c r="D66" t="inlineStr">
        <is>
          <t>Expatriate workers in Oman and Bahrain. ~600,000 addressable. NOT UAE-resident, so VAT and reporting treatment differ. Requires local authorisation in a second and third jurisdiction, which is why it is the only staged region.</t>
        </is>
      </c>
    </row>
    <row r="67">
      <c r="A67" s="3" t="inlineStr">
        <is>
          <t>India</t>
        </is>
      </c>
      <c r="B67" s="23" t="inlineStr">
        <is>
          <t>opens M1</t>
        </is>
      </c>
      <c r="D67"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69" ht="18" customHeight="1">
      <c r="A69" s="12" t="inlineStr">
        <is>
          <t>MARKET SIZING - how each region's reachable SIP account ceiling is derived</t>
        </is>
      </c>
      <c r="B69" s="13" t="n"/>
      <c r="C69" s="13" t="n"/>
      <c r="D69" s="13" t="n"/>
    </row>
    <row r="70">
      <c r="A70" s="24" t="inlineStr">
        <is>
          <t>Funnel step</t>
        </is>
      </c>
      <c r="F70" s="25" t="inlineStr">
        <is>
          <t>UAE - Indian</t>
        </is>
      </c>
      <c r="G70" s="25" t="inlineStr">
        <is>
          <t>UAE - other South Asian</t>
        </is>
      </c>
      <c r="H70" s="25" t="inlineStr">
        <is>
          <t>Oman and Bahrain</t>
        </is>
      </c>
      <c r="I70" s="25" t="inlineStr">
        <is>
          <t>India</t>
        </is>
      </c>
    </row>
    <row r="71">
      <c r="A71" t="inlineStr">
        <is>
          <t>Source population</t>
        </is>
      </c>
      <c r="D71"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1" s="26" t="n">
        <v>4360000</v>
      </c>
      <c r="G71" s="26" t="n">
        <v>3460000</v>
      </c>
      <c r="H71" s="26" t="n">
        <v>2630000</v>
      </c>
      <c r="I71" s="26" t="n">
        <v>12500000</v>
      </c>
    </row>
    <row r="72">
      <c r="A72" t="inlineStr">
        <is>
          <t xml:space="preserve">  x Economically active</t>
        </is>
      </c>
      <c r="D72" t="inlineStr">
        <is>
          <t>Oman and Bahrain is 100% because the source counts EXPAT WORKERS, who are working-age and economically active by definition - applying a labour-force filter would double-count.</t>
        </is>
      </c>
      <c r="F72" s="27" t="n">
        <v>0.8</v>
      </c>
      <c r="G72" s="27" t="n">
        <v>0.8</v>
      </c>
      <c r="H72" s="27" t="n">
        <v>1</v>
      </c>
      <c r="I72" s="27" t="n">
        <v>1</v>
      </c>
    </row>
    <row r="73">
      <c r="A73" t="inlineStr">
        <is>
          <t xml:space="preserve">  x Payment capable (IBAN able to carry a direct debit)</t>
        </is>
      </c>
      <c r="D73"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3" s="27" t="n">
        <v>0.57</v>
      </c>
      <c r="G73" s="27" t="n">
        <v>0.57</v>
      </c>
      <c r="H73" s="27" t="n">
        <v>0.57</v>
      </c>
      <c r="I73" s="27" t="n">
        <v>1</v>
      </c>
    </row>
    <row r="74">
      <c r="A74" t="inlineStr">
        <is>
          <t xml:space="preserve">  x Money capable (USD 20/month after remittances)</t>
        </is>
      </c>
      <c r="D74" t="inlineStr">
        <is>
          <t>Discretionary capacity for a RECURRING USD 240/year commitment, tested after remittance obligations rather than before them.</t>
        </is>
      </c>
      <c r="F74" s="27" t="n">
        <v>0.4</v>
      </c>
      <c r="G74" s="27" t="n">
        <v>0.4</v>
      </c>
      <c r="H74" s="27" t="n">
        <v>0.4</v>
      </c>
      <c r="I74" s="27" t="n">
        <v>1</v>
      </c>
    </row>
    <row r="75">
      <c r="A75" t="inlineStr">
        <is>
          <t xml:space="preserve">  = Addressable base</t>
        </is>
      </c>
      <c r="D75" t="inlineStr">
        <is>
          <t>Population x the three filters. The UAE-Indian column reproduces the brief's worked figure of ~640,000.</t>
        </is>
      </c>
      <c r="F75" s="28">
        <f>F71*F72*F73*F74</f>
        <v/>
      </c>
      <c r="G75" s="28">
        <f>G71*G72*G73*G74</f>
        <v/>
      </c>
      <c r="H75" s="28">
        <f>H71*H72*H73*H74</f>
        <v/>
      </c>
      <c r="I75" s="28">
        <f>I71*I72*I73*I74</f>
        <v/>
      </c>
    </row>
    <row r="76">
      <c r="A76" t="inlineStr">
        <is>
          <t xml:space="preserve">  x Penetration ceiling</t>
        </is>
      </c>
      <c r="D76" t="inlineStr">
        <is>
          <t>The share of the addressable base the product could ever reach. 'base x ceiling' is the INVARIANT - changing one without the other silently re-scales the whole model.</t>
        </is>
      </c>
      <c r="F76" s="29" t="n">
        <v>0.095</v>
      </c>
      <c r="G76" s="29" t="n">
        <v>0.06</v>
      </c>
      <c r="H76" s="29" t="n">
        <v>0.04</v>
      </c>
      <c r="I76" s="29" t="n">
        <v>0.0035</v>
      </c>
    </row>
    <row r="77">
      <c r="A77" t="inlineStr">
        <is>
          <t xml:space="preserve">  = REACHABLE SIP ACCOUNTS</t>
        </is>
      </c>
      <c r="D77" t="inlineStr">
        <is>
          <t>This is what the acquisition engine saturates against.</t>
        </is>
      </c>
      <c r="F77" s="28">
        <f>F75*F76</f>
        <v/>
      </c>
      <c r="G77" s="28">
        <f>G75*G76</f>
        <v/>
      </c>
      <c r="H77" s="28">
        <f>H75*H76</f>
        <v/>
      </c>
      <c r="I77" s="28">
        <f>I75*I76</f>
        <v/>
      </c>
    </row>
    <row r="78">
      <c r="A78" t="inlineStr">
        <is>
          <t xml:space="preserve">  Feeds model region</t>
        </is>
      </c>
      <c r="F78" s="30" t="inlineStr">
        <is>
          <t>UAE</t>
        </is>
      </c>
      <c r="G78" s="30" t="inlineStr">
        <is>
          <t>UAE</t>
        </is>
      </c>
      <c r="H78" s="30" t="inlineStr">
        <is>
          <t>Oman and Bahrain</t>
        </is>
      </c>
      <c r="I78" s="30" t="inlineStr">
        <is>
          <t>India</t>
        </is>
      </c>
    </row>
    <row r="80" ht="18" customHeight="1">
      <c r="A80" s="12" t="inlineStr">
        <is>
          <t>MARKET CEILINGS AND ACQUISITION DRIVERS</t>
        </is>
      </c>
      <c r="B80" s="13" t="n"/>
      <c r="C80" s="13" t="n"/>
      <c r="D80" s="13" t="n"/>
    </row>
    <row r="81">
      <c r="A81" s="14" t="inlineStr">
        <is>
          <t>Parameter</t>
        </is>
      </c>
      <c r="B81" s="14" t="inlineStr">
        <is>
          <t>Value</t>
        </is>
      </c>
      <c r="C81" s="14" t="inlineStr">
        <is>
          <t>Unit</t>
        </is>
      </c>
      <c r="D81" s="14" t="inlineStr">
        <is>
          <t>Source</t>
        </is>
      </c>
    </row>
    <row r="82">
      <c r="A82" t="inlineStr">
        <is>
          <t>Reachable SIP ceiling - UAE</t>
        </is>
      </c>
      <c r="B82" s="31">
        <f>F77+G77</f>
        <v/>
      </c>
      <c r="C82" t="inlineStr">
        <is>
          <t>accounts</t>
        </is>
      </c>
      <c r="D82" t="inlineStr">
        <is>
          <t>DERIVED from the market sizing funnel above - the sum of its source populations (UAE - Indian, UAE - other South Asian), not a typed number. Change any filter and this follows.</t>
        </is>
      </c>
    </row>
    <row r="83">
      <c r="A83" t="inlineStr">
        <is>
          <t>Reachable SIP ceiling - Oman and Bahrain</t>
        </is>
      </c>
      <c r="B83" s="31">
        <f>H77</f>
        <v/>
      </c>
      <c r="C83" t="inlineStr">
        <is>
          <t>accounts</t>
        </is>
      </c>
      <c r="D83" t="inlineStr">
        <is>
          <t>DERIVED from the market sizing funnel above - the sum of its source populations (Oman and Bahrain), not a typed number. Change any filter and this follows.</t>
        </is>
      </c>
    </row>
    <row r="84">
      <c r="A84" t="inlineStr">
        <is>
          <t>Reachable SIP ceiling - India</t>
        </is>
      </c>
      <c r="B84" s="31">
        <f>I77</f>
        <v/>
      </c>
      <c r="C84" t="inlineStr">
        <is>
          <t>accounts</t>
        </is>
      </c>
      <c r="D84" t="inlineStr">
        <is>
          <t>DERIVED from the market sizing funnel above - the sum of its source populations (India), not a typed number. Change any filter and this follows.</t>
        </is>
      </c>
    </row>
    <row r="85">
      <c r="A85" s="3" t="inlineStr">
        <is>
          <t>Total reachable SIP accounts</t>
        </is>
      </c>
      <c r="B85" s="31">
        <f>$B$82+$B$83+$B$84</f>
        <v/>
      </c>
      <c r="C85" t="inlineStr">
        <is>
          <t>accounts</t>
        </is>
      </c>
      <c r="D85"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6">
      <c r="A86" t="inlineStr">
        <is>
          <t>Active agents - Y1</t>
        </is>
      </c>
      <c r="B86" s="17" t="n">
        <v>5</v>
      </c>
      <c r="C86" t="inlineStr">
        <is>
          <t>agents</t>
        </is>
      </c>
      <c r="D86" t="inlineStr">
        <is>
          <t>A STOCK, not a flow: at 45% attrition, holding 200 active needs ~90 recruits a year. CLIENT INPUT.</t>
        </is>
      </c>
    </row>
    <row r="87">
      <c r="A87" t="inlineStr">
        <is>
          <t>Active agents - Y2</t>
        </is>
      </c>
      <c r="B87" s="17" t="n">
        <v>15</v>
      </c>
      <c r="C87" t="inlineStr">
        <is>
          <t>agents</t>
        </is>
      </c>
      <c r="D87" t="inlineStr">
        <is>
          <t>A STOCK, not a flow: at 45% attrition, holding 200 active needs ~90 recruits a year. CLIENT INPUT.</t>
        </is>
      </c>
    </row>
    <row r="88">
      <c r="A88" t="inlineStr">
        <is>
          <t>Active agents - Y3</t>
        </is>
      </c>
      <c r="B88" s="17" t="n">
        <v>40</v>
      </c>
      <c r="C88" t="inlineStr">
        <is>
          <t>agents</t>
        </is>
      </c>
      <c r="D88" t="inlineStr">
        <is>
          <t>A STOCK, not a flow: at 45% attrition, holding 200 active needs ~90 recruits a year. CLIENT INPUT.</t>
        </is>
      </c>
    </row>
    <row r="89">
      <c r="A89" t="inlineStr">
        <is>
          <t>Active agents - Y4</t>
        </is>
      </c>
      <c r="B89" s="17" t="n">
        <v>60</v>
      </c>
      <c r="C89" t="inlineStr">
        <is>
          <t>agents</t>
        </is>
      </c>
      <c r="D89" t="inlineStr">
        <is>
          <t>A STOCK, not a flow: at 45% attrition, holding 200 active needs ~90 recruits a year. CLIENT INPUT.</t>
        </is>
      </c>
    </row>
    <row r="90">
      <c r="A90" t="inlineStr">
        <is>
          <t>Active agents - Y5</t>
        </is>
      </c>
      <c r="B90" s="17" t="n">
        <v>90</v>
      </c>
      <c r="C90" t="inlineStr">
        <is>
          <t>agents</t>
        </is>
      </c>
      <c r="D90" t="inlineStr">
        <is>
          <t>A STOCK, not a flow: at 45% attrition, holding 200 active needs ~90 recruits a year. CLIENT INPUT.</t>
        </is>
      </c>
    </row>
    <row r="91">
      <c r="A91" t="inlineStr">
        <is>
          <t>Active agents - Y6</t>
        </is>
      </c>
      <c r="B91" s="17" t="n">
        <v>106</v>
      </c>
      <c r="C91" t="inlineStr">
        <is>
          <t>agents</t>
        </is>
      </c>
      <c r="D91" t="inlineStr">
        <is>
          <t>A STOCK, not a flow: at 45% attrition, holding 200 active needs ~90 recruits a year. CLIENT INPUT.</t>
        </is>
      </c>
    </row>
    <row r="92">
      <c r="A92" t="inlineStr">
        <is>
          <t>Active agents - Y7</t>
        </is>
      </c>
      <c r="B92" s="17" t="n">
        <v>124</v>
      </c>
      <c r="C92" t="inlineStr">
        <is>
          <t>agents</t>
        </is>
      </c>
      <c r="D92" t="inlineStr">
        <is>
          <t>A STOCK, not a flow: at 45% attrition, holding 200 active needs ~90 recruits a year. CLIENT INPUT.</t>
        </is>
      </c>
    </row>
    <row r="93">
      <c r="A93" t="inlineStr">
        <is>
          <t>Marketing spend - Y1</t>
        </is>
      </c>
      <c r="B93" s="20" t="n">
        <v>60000</v>
      </c>
      <c r="C93" t="inlineStr">
        <is>
          <t>USD/yr</t>
        </is>
      </c>
      <c r="D93" t="inlineStr">
        <is>
          <t>A DECISION VARIABLE and an input to acquisition, not an output of a cost table.</t>
        </is>
      </c>
    </row>
    <row r="94">
      <c r="A94" t="inlineStr">
        <is>
          <t>Marketing spend - Y2</t>
        </is>
      </c>
      <c r="B94" s="20" t="n">
        <v>180000</v>
      </c>
      <c r="C94" t="inlineStr">
        <is>
          <t>USD/yr</t>
        </is>
      </c>
      <c r="D94" t="inlineStr">
        <is>
          <t>A DECISION VARIABLE and an input to acquisition, not an output of a cost table.</t>
        </is>
      </c>
    </row>
    <row r="95">
      <c r="A95" t="inlineStr">
        <is>
          <t>Marketing spend - Y3</t>
        </is>
      </c>
      <c r="B95" s="20" t="n">
        <v>250000</v>
      </c>
      <c r="C95" t="inlineStr">
        <is>
          <t>USD/yr</t>
        </is>
      </c>
      <c r="D95" t="inlineStr">
        <is>
          <t>A DECISION VARIABLE and an input to acquisition, not an output of a cost table.</t>
        </is>
      </c>
    </row>
    <row r="96">
      <c r="A96" t="inlineStr">
        <is>
          <t>Marketing spend - Y4</t>
        </is>
      </c>
      <c r="B96" s="20" t="n">
        <v>400000</v>
      </c>
      <c r="C96" t="inlineStr">
        <is>
          <t>USD/yr</t>
        </is>
      </c>
      <c r="D96" t="inlineStr">
        <is>
          <t>A DECISION VARIABLE and an input to acquisition, not an output of a cost table.</t>
        </is>
      </c>
    </row>
    <row r="97">
      <c r="A97" t="inlineStr">
        <is>
          <t>Marketing spend - Y5</t>
        </is>
      </c>
      <c r="B97" s="20" t="n">
        <v>600000</v>
      </c>
      <c r="C97" t="inlineStr">
        <is>
          <t>USD/yr</t>
        </is>
      </c>
      <c r="D97" t="inlineStr">
        <is>
          <t>A DECISION VARIABLE and an input to acquisition, not an output of a cost table.</t>
        </is>
      </c>
    </row>
    <row r="98">
      <c r="A98" t="inlineStr">
        <is>
          <t>Marketing spend - Y6</t>
        </is>
      </c>
      <c r="B98" s="20" t="n">
        <v>850000</v>
      </c>
      <c r="C98" t="inlineStr">
        <is>
          <t>USD/yr</t>
        </is>
      </c>
      <c r="D98" t="inlineStr">
        <is>
          <t>A DECISION VARIABLE and an input to acquisition, not an output of a cost table.</t>
        </is>
      </c>
    </row>
    <row r="99">
      <c r="A99" t="inlineStr">
        <is>
          <t>Marketing spend - Y7</t>
        </is>
      </c>
      <c r="B99" s="20" t="n">
        <v>1100000</v>
      </c>
      <c r="C99" t="inlineStr">
        <is>
          <t>USD/yr</t>
        </is>
      </c>
      <c r="D99" t="inlineStr">
        <is>
          <t>A DECISION VARIABLE and an input to acquisition, not an output of a cost table.</t>
        </is>
      </c>
    </row>
    <row r="100">
      <c r="A100" t="inlineStr">
        <is>
          <t>Agent blended ramp - Y1</t>
        </is>
      </c>
      <c r="B100" s="15" t="n">
        <v>0.6</v>
      </c>
      <c r="C100" t="inlineStr">
        <is>
          <t>x productivity</t>
        </is>
      </c>
      <c r="D100" t="inlineStr">
        <is>
          <t>Six months to full productivity, which happens to match the six-payment gate.</t>
        </is>
      </c>
    </row>
    <row r="101">
      <c r="A101" t="inlineStr">
        <is>
          <t>Agent blended ramp - Y2</t>
        </is>
      </c>
      <c r="B101" s="15" t="n">
        <v>0.85</v>
      </c>
      <c r="C101" t="inlineStr">
        <is>
          <t>x productivity</t>
        </is>
      </c>
      <c r="D101" t="inlineStr">
        <is>
          <t>Six months to full productivity, which happens to match the six-payment gate.</t>
        </is>
      </c>
    </row>
    <row r="102">
      <c r="A102" t="inlineStr">
        <is>
          <t>Agent blended ramp - Y3</t>
        </is>
      </c>
      <c r="B102" s="15" t="n">
        <v>1</v>
      </c>
      <c r="C102" t="inlineStr">
        <is>
          <t>x productivity</t>
        </is>
      </c>
      <c r="D102" t="inlineStr">
        <is>
          <t>Six months to full productivity, which happens to match the six-payment gate.</t>
        </is>
      </c>
    </row>
    <row r="103">
      <c r="A103" t="inlineStr">
        <is>
          <t>Agent blended ramp - Y4</t>
        </is>
      </c>
      <c r="B103" s="15" t="n">
        <v>1</v>
      </c>
      <c r="C103" t="inlineStr">
        <is>
          <t>x productivity</t>
        </is>
      </c>
      <c r="D103" t="inlineStr">
        <is>
          <t>Six months to full productivity, which happens to match the six-payment gate.</t>
        </is>
      </c>
    </row>
    <row r="104">
      <c r="A104" t="inlineStr">
        <is>
          <t>Agent blended ramp - Y5</t>
        </is>
      </c>
      <c r="B104" s="15" t="n">
        <v>1</v>
      </c>
      <c r="C104" t="inlineStr">
        <is>
          <t>x productivity</t>
        </is>
      </c>
      <c r="D104" t="inlineStr">
        <is>
          <t>Six months to full productivity, which happens to match the six-payment gate.</t>
        </is>
      </c>
    </row>
    <row r="105">
      <c r="A105" t="inlineStr">
        <is>
          <t>Agent blended ramp - Y6</t>
        </is>
      </c>
      <c r="B105" s="15" t="n">
        <v>1</v>
      </c>
      <c r="C105" t="inlineStr">
        <is>
          <t>x productivity</t>
        </is>
      </c>
      <c r="D105" t="inlineStr">
        <is>
          <t>Six months to full productivity, which happens to match the six-payment gate.</t>
        </is>
      </c>
    </row>
    <row r="106">
      <c r="A106" t="inlineStr">
        <is>
          <t>Agent blended ramp - Y7</t>
        </is>
      </c>
      <c r="B106" s="15" t="n">
        <v>1</v>
      </c>
      <c r="C106" t="inlineStr">
        <is>
          <t>x productivity</t>
        </is>
      </c>
      <c r="D106" t="inlineStr">
        <is>
          <t>Six months to full productivity, which happens to match the six-payment gate.</t>
        </is>
      </c>
    </row>
    <row r="107">
      <c r="A107" t="inlineStr">
        <is>
          <t>Share of agent-driven acquisition - UAE</t>
        </is>
      </c>
      <c r="B107" s="19" t="n">
        <v>0</v>
      </c>
      <c r="C107" t="inlineStr">
        <is>
          <t>% of agent output</t>
        </is>
      </c>
      <c r="D107" t="inlineStr">
        <is>
          <t>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is>
      </c>
    </row>
    <row r="108">
      <c r="A108" t="inlineStr">
        <is>
          <t>Share of agent-driven acquisition - Oman and Bahrain</t>
        </is>
      </c>
      <c r="B108" s="19" t="n">
        <v>0</v>
      </c>
      <c r="C108" t="inlineStr">
        <is>
          <t>% of agent output</t>
        </is>
      </c>
      <c r="D108" t="inlineStr">
        <is>
          <t>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is>
      </c>
    </row>
    <row r="109">
      <c r="A109" t="inlineStr">
        <is>
          <t>Share of agent-driven acquisition - India</t>
        </is>
      </c>
      <c r="B109" s="19" t="n">
        <v>1</v>
      </c>
      <c r="C109" t="inlineStr">
        <is>
          <t>% of agent output</t>
        </is>
      </c>
      <c r="D109" t="inlineStr">
        <is>
          <t>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is>
      </c>
    </row>
    <row r="111" ht="18" customHeight="1">
      <c r="A111" s="12" t="inlineStr">
        <is>
          <t>SCENARIO-LINKED INPUTS (live values - move with the scenario switch)</t>
        </is>
      </c>
      <c r="B111" s="13" t="n"/>
      <c r="C111" s="13" t="n"/>
      <c r="D111" s="13" t="n"/>
    </row>
    <row r="112">
      <c r="A112" s="14" t="inlineStr">
        <is>
          <t>Parameter</t>
        </is>
      </c>
      <c r="B112" s="14" t="inlineStr">
        <is>
          <t>Value</t>
        </is>
      </c>
      <c r="C112" s="14" t="inlineStr">
        <is>
          <t>Unit</t>
        </is>
      </c>
      <c r="D112" s="14" t="inlineStr">
        <is>
          <t>Source</t>
        </is>
      </c>
    </row>
    <row r="113">
      <c r="A113" t="inlineStr">
        <is>
          <t>Persistency - customers still paying after 12 months</t>
        </is>
      </c>
      <c r="B113" s="32">
        <f>'Scenario Parameters'!$B$10</f>
        <v/>
      </c>
      <c r="C113" t="inlineStr">
        <is>
          <t>%</t>
        </is>
      </c>
      <c r="D113"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4">
      <c r="A114" t="inlineStr">
        <is>
          <t>Monthly churn rate (derived)</t>
        </is>
      </c>
      <c r="B114" s="33">
        <f>'Scenario Parameters'!$B$11</f>
        <v/>
      </c>
      <c r="C114" t="inlineStr">
        <is>
          <t>%/month</t>
        </is>
      </c>
      <c r="D114" t="inlineStr">
        <is>
          <t>DERIVED, not typed: the monthly rate that reproduces the persistency above over twelve months. Change persistency and this follows. Base 55% implies ~4.9%/month.</t>
        </is>
      </c>
    </row>
    <row r="115">
      <c r="A115" t="inlineStr">
        <is>
          <t>Agent productivity</t>
        </is>
      </c>
      <c r="B115" s="34">
        <f>'Scenario Parameters'!$B$12</f>
        <v/>
      </c>
      <c r="C115" t="inlineStr">
        <is>
          <t>accounts/agent/month</t>
        </is>
      </c>
      <c r="D115" t="inlineStr">
        <is>
          <t>Insurance agency comparator. TRIANGULATED.</t>
        </is>
      </c>
    </row>
    <row r="116">
      <c r="A116" t="inlineStr">
        <is>
          <t>Marketing CAC</t>
        </is>
      </c>
      <c r="B116" s="35">
        <f>'Scenario Parameters'!$B$13</f>
        <v/>
      </c>
      <c r="C116" t="inlineStr">
        <is>
          <t>USD</t>
        </is>
      </c>
      <c r="D116" t="inlineStr">
        <is>
          <t>No UAE gold-product benchmark. CAC is LINEAR: the brake on unbounded growth is the SATURATION ceiling, which is sourced, not a convexity curve, which is not. ASSUMPTION.</t>
        </is>
      </c>
    </row>
    <row r="117">
      <c r="A117" t="inlineStr">
        <is>
          <t>Referral rate</t>
        </is>
      </c>
      <c r="B117" s="34">
        <f>'Scenario Parameters'!$B$14</f>
        <v/>
      </c>
      <c r="C117" t="inlineStr">
        <is>
          <t>referrals/customer/yr</t>
        </is>
      </c>
      <c r="D117" t="inlineStr">
        <is>
          <t>Cap removed deliberately, so the distribution is right-skewed. MODEL THE MEAN, NOT THE MEDIAN. ASSUMPTION.</t>
        </is>
      </c>
    </row>
    <row r="118">
      <c r="A118" t="inlineStr">
        <is>
          <t>Referral conversion</t>
        </is>
      </c>
      <c r="B118" s="32">
        <f>'Scenario Parameters'!$B$15</f>
        <v/>
      </c>
      <c r="C118" t="inlineStr">
        <is>
          <t>%</t>
        </is>
      </c>
      <c r="D118" t="inlineStr">
        <is>
          <t>The M7 survival of the referred cohort, uplifted ~1.1x. DERIVED.</t>
        </is>
      </c>
    </row>
    <row r="119">
      <c r="A119" t="inlineStr">
        <is>
          <t>Organic share of direct</t>
        </is>
      </c>
      <c r="B119" s="32">
        <f>'Scenario Parameters'!$B$16</f>
        <v/>
      </c>
      <c r="C119" t="inlineStr">
        <is>
          <t>% of direct</t>
        </is>
      </c>
      <c r="D119" t="inlineStr">
        <is>
          <t>Kept separate so the CAC never applies to it. ASSUMPTION.</t>
        </is>
      </c>
    </row>
    <row r="120">
      <c r="A120" t="inlineStr">
        <is>
          <t>Seasonality amplitude</t>
        </is>
      </c>
      <c r="B120" s="34">
        <f>'Scenario Parameters'!$B$17</f>
        <v/>
      </c>
      <c r="C120" t="inlineStr">
        <is>
          <t>x deviation from 1.0</t>
        </is>
      </c>
      <c r="D120" t="inlineStr">
        <is>
          <t>Festival TIMING is sourced; how hard a Dubai savings signup responds to Dhanteras is the open question. Applied to the deviation from 1.0, then renormalised, so the vectors stay at exactly 12.000.</t>
        </is>
      </c>
    </row>
    <row r="121">
      <c r="A121" t="inlineStr">
        <is>
          <t>Customers who EVER clear the six-payment gate</t>
        </is>
      </c>
      <c r="B121" s="32">
        <f>'Scenario Parameters'!$B$21</f>
        <v/>
      </c>
      <c r="C121" t="inlineStr">
        <is>
          <t>% of customers</t>
        </is>
      </c>
      <c r="D121"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22">
      <c r="A122" t="inlineStr">
        <is>
          <t>Average months to clear the gate</t>
        </is>
      </c>
      <c r="B122" s="36">
        <f>'Scenario Parameters'!$B$22</f>
        <v/>
      </c>
      <c r="C122" t="inlineStr">
        <is>
          <t>months</t>
        </is>
      </c>
      <c r="D122"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23">
      <c r="A123" t="inlineStr">
        <is>
          <t>Self-custody leakage</t>
        </is>
      </c>
      <c r="B123" s="32">
        <f>'Scenario Parameters'!$B$26</f>
        <v/>
      </c>
      <c r="C123" t="inlineStr">
        <is>
          <t>% of AUM/yr</t>
        </is>
      </c>
      <c r="D123" t="inlineStr">
        <is>
          <t>Gold withdrawn to a customer's own wallet. Free to Aurumix but it leaves AUM. ASSUMPTION.</t>
        </is>
      </c>
    </row>
    <row r="124">
      <c r="A124" t="inlineStr">
        <is>
          <t>Redemption rate</t>
        </is>
      </c>
      <c r="B124" s="32">
        <f>'Scenario Parameters'!$B$27</f>
        <v/>
      </c>
      <c r="C124" t="inlineStr">
        <is>
          <t>% of AUM/yr</t>
        </is>
      </c>
      <c r="D124" t="inlineStr">
        <is>
          <t>A DIFFERENT EVENT from self-custody and a separate line. PAXG turnover of 5.9% is the only comparator. VARA forbids charging any fee on it. ASSUMPTION.</t>
        </is>
      </c>
    </row>
    <row r="125">
      <c r="A125" t="inlineStr">
        <is>
          <t>Holder redemption multiplier</t>
        </is>
      </c>
      <c r="B125" s="34">
        <f>'Scenario Parameters'!$B$28</f>
        <v/>
      </c>
      <c r="C125" t="inlineStr">
        <is>
          <t>x the paying rate</t>
        </is>
      </c>
      <c r="D125" t="inlineStr">
        <is>
          <t>Customers who stopped paying redeem FASTER - they have no accruing benefit left to protect. Because holders become the majority of the book by Y4, this is the DOMINANT AUM DECAY TERM from roughly Y4. ASSUMPTION.</t>
        </is>
      </c>
    </row>
    <row r="126">
      <c r="A126" t="inlineStr">
        <is>
          <t>Spot attach rate</t>
        </is>
      </c>
      <c r="B126" s="32">
        <f>'Scenario Parameters'!$B$29</f>
        <v/>
      </c>
      <c r="C126" t="inlineStr">
        <is>
          <t>% of customers/yr</t>
        </is>
      </c>
      <c r="D126" t="inlineStr">
        <is>
          <t>Load-bearing because it is MISSING, not because it is large. ASSUMPTION.</t>
        </is>
      </c>
    </row>
    <row r="127">
      <c r="A127" t="inlineStr">
        <is>
          <t>Average spot ticket</t>
        </is>
      </c>
      <c r="B127" s="35">
        <f>'Scenario Parameters'!$B$30</f>
        <v/>
      </c>
      <c r="C127" t="inlineStr">
        <is>
          <t>USD/event</t>
        </is>
      </c>
      <c r="D127" t="inlineStr">
        <is>
          <t>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is>
      </c>
    </row>
    <row r="128">
      <c r="A128" t="inlineStr">
        <is>
          <t>Spot frequency</t>
        </is>
      </c>
      <c r="B128" s="34">
        <f>'Scenario Parameters'!$B$31</f>
        <v/>
      </c>
      <c r="C128" t="inlineStr">
        <is>
          <t>events/attacher/yr</t>
        </is>
      </c>
      <c r="D128" t="inlineStr">
        <is>
          <t>External check: Botim's 128,000 trades against ~45,000 buyers implies ~1.9/yr. INFERRED from two disclosures of different vintage - supportive, not confirmatory. ASSUMPTION.</t>
        </is>
      </c>
    </row>
    <row r="129">
      <c r="A129" t="inlineStr">
        <is>
          <t>Spot-to-SIP conversion</t>
        </is>
      </c>
      <c r="B129" s="32">
        <f>'Scenario Parameters'!$B$32</f>
        <v/>
      </c>
      <c r="C129" t="inlineStr">
        <is>
          <t>% of spot buyers/yr</t>
        </is>
      </c>
      <c r="D129"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130">
      <c r="A130" t="inlineStr">
        <is>
          <t>Programme manager share of interchange</t>
        </is>
      </c>
      <c r="B130" s="32">
        <f>'Scenario Parameters'!$B$36</f>
        <v/>
      </c>
      <c r="C130" t="inlineStr">
        <is>
          <t>%</t>
        </is>
      </c>
      <c r="D130" t="inlineStr">
        <is>
          <t>SIZES THE LARGEST STREAM. No UAE/MENA figure is published. FLOOR IS 36% - take that into the sponsor conversation as the walk-away. TRIANGULATED.</t>
        </is>
      </c>
    </row>
    <row r="131">
      <c r="A131" t="inlineStr">
        <is>
          <t>Card spend as a multiple of the monthly SIP ticket</t>
        </is>
      </c>
      <c r="B131" s="34">
        <f>'Scenario Parameters'!$B$37</f>
        <v/>
      </c>
      <c r="C131" t="inlineStr">
        <is>
          <t>x monthly ticket</t>
        </is>
      </c>
      <c r="D131" t="inlineStr">
        <is>
          <t>RE-EXPRESSED 2026-08-20 as a MULTIPLE rather than an absolute AED figure, for two reasons. First it REGIONALISES for free: a region that saves more per month also spends more, because both are driven by the same income. Second, and more important, it makes an incoherent answer unrepresentable - an absolute figure can drift to a level the customer could not possibly transact, and AED 1,800 flat against a book saving USD 31.50/month was already a 15.5x multiple. THE BINDING CONSTRAINT IS THE CREDIT LIMIT: under the credit variant the card is secured on the customer's gold at 50% LTV, so monthly spend cannot exceed the limit that gold supports. At 15.5x it did - USD 493/month against a USD 457 limit - which is not a high estimate but an impossible one. Base 8x is anchored on the income build-up: a USD 38 saver has ~USD 300/month savings capacity, AED 3,700-5,500 income with employer housing, 60-80% remitted, leaving ~AED 700-1,500 discretionary of which the card takes most. ASSUMPTION, income-anchored.</t>
        </is>
      </c>
    </row>
    <row r="132">
      <c r="A132" t="inlineStr">
        <is>
          <t>Card activation rate</t>
        </is>
      </c>
      <c r="B132" s="32">
        <f>'Scenario Parameters'!$B$38</f>
        <v/>
      </c>
      <c r="C132" t="inlineStr">
        <is>
          <t>% of eligible</t>
        </is>
      </c>
      <c r="D132" t="inlineStr">
        <is>
          <t>RE-CUT 2026-08-20 from 65%. PULSE 68.2% and Monzo 68% are NEOBANKS WHERE THE CARD IS THE PRODUCT - people signed up FOR the card. Here the card is a secondary benefit on a savings product: the customer came for gold. The comparable is wrong in kind, not just in level. Partly offset by the base already being gate-filtered, hence 50% rather than lower. NO PRIMARY SOURCE EXISTS.</t>
        </is>
      </c>
    </row>
    <row r="133">
      <c r="A133" t="inlineStr">
        <is>
          <t>Foreign spend share (mean)</t>
        </is>
      </c>
      <c r="B133" s="32">
        <f>'Scenario Parameters'!$B$39</f>
        <v/>
      </c>
      <c r="C133" t="inlineStr">
        <is>
          <t>% of card spend</t>
        </is>
      </c>
      <c r="D133" t="inlineStr">
        <is>
          <t>Applied through the seasonal vector, not as a constant. ASSUMPTION.</t>
        </is>
      </c>
    </row>
    <row r="134">
      <c r="A134" t="inlineStr">
        <is>
          <t>Card issuance events</t>
        </is>
      </c>
      <c r="B134" s="34">
        <f>'Scenario Parameters'!$B$40</f>
        <v/>
      </c>
      <c r="C134" t="inlineStr">
        <is>
          <t>events/card/yr</t>
        </is>
      </c>
      <c r="D134" t="inlineStr">
        <is>
          <t>1.00 at activation plus reissues - a tier upgrade forces a physical reissue. ASSUMPTION.</t>
        </is>
      </c>
    </row>
    <row r="135">
      <c r="A135" t="inlineStr">
        <is>
          <t>Card replacement events</t>
        </is>
      </c>
      <c r="B135" s="34">
        <f>'Scenario Parameters'!$B$41</f>
        <v/>
      </c>
      <c r="C135" t="inlineStr">
        <is>
          <t>events/card/yr</t>
        </is>
      </c>
      <c r="D135" t="inlineStr">
        <is>
          <t>Industry-normal loss/theft/damage is 8-15% annually. ASSUMPTION.</t>
        </is>
      </c>
    </row>
    <row r="136">
      <c r="A136" t="inlineStr">
        <is>
          <t>ATM AED 0-500 - share of cardholders</t>
        </is>
      </c>
      <c r="B136" s="32">
        <f>'Scenario Parameters'!$B$42</f>
        <v/>
      </c>
      <c r="C136" t="inlineStr">
        <is>
          <t>%</t>
        </is>
      </c>
      <c r="D136"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37">
      <c r="A137" t="inlineStr">
        <is>
          <t>ATM AED 500-1,500 - share of cardholders</t>
        </is>
      </c>
      <c r="B137" s="32">
        <f>'Scenario Parameters'!$B$43</f>
        <v/>
      </c>
      <c r="C137" t="inlineStr">
        <is>
          <t>%</t>
        </is>
      </c>
      <c r="D137"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38">
      <c r="A138" t="inlineStr">
        <is>
          <t>ATM AED 1,500-3,000 - share of cardholders</t>
        </is>
      </c>
      <c r="B138" s="32">
        <f>'Scenario Parameters'!$B$44</f>
        <v/>
      </c>
      <c r="C138" t="inlineStr">
        <is>
          <t>%</t>
        </is>
      </c>
      <c r="D13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39">
      <c r="A139" t="inlineStr">
        <is>
          <t>ATM AED 3,000+ - share of cardholders</t>
        </is>
      </c>
      <c r="B139" s="32">
        <f>'Scenario Parameters'!$B$45</f>
        <v/>
      </c>
      <c r="C139" t="inlineStr">
        <is>
          <t>%</t>
        </is>
      </c>
      <c r="D13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0">
      <c r="A140" t="inlineStr">
        <is>
          <t>ATM AED 0-500 - midpoint draw</t>
        </is>
      </c>
      <c r="B140" s="36">
        <f>'Scenario Parameters'!$B$46</f>
        <v/>
      </c>
      <c r="C140" t="inlineStr">
        <is>
          <t>AED/month</t>
        </is>
      </c>
      <c r="D140" t="inlineStr">
        <is>
          <t>Raising the allowance at the top tier waives revenue from only the top ~3% of cardholders.</t>
        </is>
      </c>
    </row>
    <row r="141">
      <c r="A141" t="inlineStr">
        <is>
          <t>ATM AED 500-1,500 - midpoint draw</t>
        </is>
      </c>
      <c r="B141" s="36">
        <f>'Scenario Parameters'!$B$47</f>
        <v/>
      </c>
      <c r="C141" t="inlineStr">
        <is>
          <t>AED/month</t>
        </is>
      </c>
      <c r="D141" t="inlineStr">
        <is>
          <t>Raising the allowance at the top tier waives revenue from only the top ~3% of cardholders.</t>
        </is>
      </c>
    </row>
    <row r="142">
      <c r="A142" t="inlineStr">
        <is>
          <t>ATM AED 1,500-3,000 - midpoint draw</t>
        </is>
      </c>
      <c r="B142" s="36">
        <f>'Scenario Parameters'!$B$48</f>
        <v/>
      </c>
      <c r="C142" t="inlineStr">
        <is>
          <t>AED/month</t>
        </is>
      </c>
      <c r="D142" t="inlineStr">
        <is>
          <t>Raising the allowance at the top tier waives revenue from only the top ~3% of cardholders.</t>
        </is>
      </c>
    </row>
    <row r="143">
      <c r="A143" t="inlineStr">
        <is>
          <t>ATM AED 3,000+ - midpoint draw</t>
        </is>
      </c>
      <c r="B143" s="36">
        <f>'Scenario Parameters'!$B$49</f>
        <v/>
      </c>
      <c r="C143" t="inlineStr">
        <is>
          <t>AED/month</t>
        </is>
      </c>
      <c r="D143" t="inlineStr">
        <is>
          <t>Raising the allowance at the top tier waives revenue from only the top ~3% of cardholders.</t>
        </is>
      </c>
    </row>
    <row r="144">
      <c r="A144" t="inlineStr">
        <is>
          <t>Credit take-up among eligible</t>
        </is>
      </c>
      <c r="B144" s="32">
        <f>'Scenario Parameters'!$B$53</f>
        <v/>
      </c>
      <c r="C144" t="inlineStr">
        <is>
          <t>%</t>
        </is>
      </c>
      <c r="D144" t="inlineStr">
        <is>
          <t>Indian gold-loan penetration is &lt;10% at a point in time; pre-selection uplift applied. DERIVED.</t>
        </is>
      </c>
    </row>
    <row r="145">
      <c r="A145" t="inlineStr">
        <is>
          <t>Drawn as % of permitted limit</t>
        </is>
      </c>
      <c r="B145" s="32">
        <f>'Scenario Parameters'!$B$54</f>
        <v/>
      </c>
      <c r="C145" t="inlineStr">
        <is>
          <t>%</t>
        </is>
      </c>
      <c r="D145" t="inlineStr">
        <is>
          <t>Revolving facilities draw 40-55% of permitted. TRIANGULATED.</t>
        </is>
      </c>
    </row>
    <row r="146">
      <c r="A146" t="inlineStr">
        <is>
          <t>Facility turnover, peak -&gt; average</t>
        </is>
      </c>
      <c r="B146" s="34">
        <f>'Scenario Parameters'!$B$55</f>
        <v/>
      </c>
      <c r="C146" t="inlineStr">
        <is>
          <t>x peak drawn</t>
        </is>
      </c>
      <c r="D146" t="inlineStr">
        <is>
          <t>AN ARITHMETIC CORRECTION, not a sensitivity, derived from Manappuram's 71-day realised tenor. It cuts the lending stream by 1.88x. DERIVED.</t>
        </is>
      </c>
    </row>
    <row r="147">
      <c r="A147" t="inlineStr">
        <is>
          <t>Draw events per borrower per year</t>
        </is>
      </c>
      <c r="B147" s="34">
        <f>'Scenario Parameters'!$B$56</f>
        <v/>
      </c>
      <c r="C147" t="inlineStr">
        <is>
          <t>events/yr</t>
        </is>
      </c>
      <c r="D147" t="inlineStr">
        <is>
          <t>MOVES WITH facility turnover - do not flex independently. DERIVED.</t>
        </is>
      </c>
    </row>
    <row r="148">
      <c r="A148" t="inlineStr">
        <is>
          <t>Family plan attach rate</t>
        </is>
      </c>
      <c r="B148" s="32">
        <f>'Scenario Parameters'!$B$57</f>
        <v/>
      </c>
      <c r="C148" t="inlineStr">
        <is>
          <t>% of customers</t>
        </is>
      </c>
      <c r="D148" t="inlineStr">
        <is>
          <t>NOTHING IS STATED ANYWHERE IN THE CORPUS. Pure assumption. Scales stream 3 linearly.</t>
        </is>
      </c>
    </row>
    <row r="149">
      <c r="A149" t="inlineStr">
        <is>
          <t>B2B partners - Y1</t>
        </is>
      </c>
      <c r="B149" s="36">
        <f>'Scenario Parameters'!$B$58</f>
        <v/>
      </c>
      <c r="C149" t="inlineStr">
        <is>
          <t>partners</t>
        </is>
      </c>
      <c r="D14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0">
      <c r="A150" t="inlineStr">
        <is>
          <t>B2B partners - Y2</t>
        </is>
      </c>
      <c r="B150" s="36">
        <f>'Scenario Parameters'!$B$59</f>
        <v/>
      </c>
      <c r="C150" t="inlineStr">
        <is>
          <t>partners</t>
        </is>
      </c>
      <c r="D15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1">
      <c r="A151" t="inlineStr">
        <is>
          <t>B2B partners - Y3</t>
        </is>
      </c>
      <c r="B151" s="36">
        <f>'Scenario Parameters'!$B$60</f>
        <v/>
      </c>
      <c r="C151" t="inlineStr">
        <is>
          <t>partners</t>
        </is>
      </c>
      <c r="D15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2">
      <c r="A152" t="inlineStr">
        <is>
          <t>B2B partners - Y4</t>
        </is>
      </c>
      <c r="B152" s="36">
        <f>'Scenario Parameters'!$B$61</f>
        <v/>
      </c>
      <c r="C152" t="inlineStr">
        <is>
          <t>partners</t>
        </is>
      </c>
      <c r="D15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3">
      <c r="A153" t="inlineStr">
        <is>
          <t>B2B partners - Y5</t>
        </is>
      </c>
      <c r="B153" s="36">
        <f>'Scenario Parameters'!$B$62</f>
        <v/>
      </c>
      <c r="C153" t="inlineStr">
        <is>
          <t>partners</t>
        </is>
      </c>
      <c r="D15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4">
      <c r="A154" t="inlineStr">
        <is>
          <t>B2B partners - Y6</t>
        </is>
      </c>
      <c r="B154" s="36">
        <f>'Scenario Parameters'!$B$63</f>
        <v/>
      </c>
      <c r="C154" t="inlineStr">
        <is>
          <t>partners</t>
        </is>
      </c>
      <c r="D15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5">
      <c r="A155" t="inlineStr">
        <is>
          <t>B2B partners - Y7</t>
        </is>
      </c>
      <c r="B155" s="36">
        <f>'Scenario Parameters'!$B$64</f>
        <v/>
      </c>
      <c r="C155" t="inlineStr">
        <is>
          <t>partners</t>
        </is>
      </c>
      <c r="D15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6">
      <c r="A156" t="inlineStr">
        <is>
          <t>AUM per partner (mature)</t>
        </is>
      </c>
      <c r="B156" s="35">
        <f>'Scenario Parameters'!$B$65</f>
        <v/>
      </c>
      <c r="C156" t="inlineStr">
        <is>
          <t>USD</t>
        </is>
      </c>
      <c r="D156" t="inlineStr">
        <is>
          <t>Requires a signed partner. Partner AUM earns NO tier and consumes NO benefits - structurally the highest-margin book. DERIVED.</t>
        </is>
      </c>
    </row>
    <row r="157">
      <c r="A157" t="inlineStr">
        <is>
          <t>Average monthly ticket - UAE</t>
        </is>
      </c>
      <c r="B157" s="35">
        <f>'Scenario Parameters'!$B$69</f>
        <v/>
      </c>
      <c r="C157" t="inlineStr">
        <is>
          <t>USD/month</t>
        </is>
      </c>
      <c r="D15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58">
      <c r="A158" t="inlineStr">
        <is>
          <t>Average monthly ticket - Oman and Bahrain</t>
        </is>
      </c>
      <c r="B158" s="35">
        <f>'Scenario Parameters'!$B$70</f>
        <v/>
      </c>
      <c r="C158" t="inlineStr">
        <is>
          <t>USD/month</t>
        </is>
      </c>
      <c r="D15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59">
      <c r="A159" t="inlineStr">
        <is>
          <t>Average monthly ticket - India</t>
        </is>
      </c>
      <c r="B159" s="35">
        <f>'Scenario Parameters'!$B$71</f>
        <v/>
      </c>
      <c r="C159" t="inlineStr">
        <is>
          <t>USD/month</t>
        </is>
      </c>
      <c r="D15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0">
      <c r="A160" t="inlineStr">
        <is>
          <t>Share of new customers - UAE</t>
        </is>
      </c>
      <c r="B160" s="32">
        <f>'Scenario Parameters'!$B$72</f>
        <v/>
      </c>
      <c r="C160" t="inlineStr">
        <is>
          <t>% of new</t>
        </is>
      </c>
      <c r="D160"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1">
      <c r="A161" t="inlineStr">
        <is>
          <t>Share of new customers - Oman and Bahrain</t>
        </is>
      </c>
      <c r="B161" s="32">
        <f>'Scenario Parameters'!$B$73</f>
        <v/>
      </c>
      <c r="C161" t="inlineStr">
        <is>
          <t>% of new</t>
        </is>
      </c>
      <c r="D161"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2">
      <c r="A162" t="inlineStr">
        <is>
          <t>Share of new customers - India</t>
        </is>
      </c>
      <c r="B162" s="32">
        <f>'Scenario Parameters'!$B$74</f>
        <v/>
      </c>
      <c r="C162" t="inlineStr">
        <is>
          <t>% of new</t>
        </is>
      </c>
      <c r="D162"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3">
      <c r="A163" t="inlineStr">
        <is>
          <t>Prepaid instead of credit</t>
        </is>
      </c>
      <c r="B163" s="36">
        <f>'Scenario Parameters'!$B$78</f>
        <v/>
      </c>
      <c r="C163" t="inlineStr">
        <is>
          <t>1/0 switch</t>
        </is>
      </c>
      <c r="D163" t="inlineStr">
        <is>
          <t>ON (Prepaid) caps interchange at 1.00% and removes the credit stream entirely. 'NOT A PRODUCT CHOICE, IT IS THE BUSINESS MODEL.' Worth ~USD 2.3m of Y10 revenue on the ten-year run.</t>
        </is>
      </c>
    </row>
    <row r="164">
      <c r="A164" t="inlineStr">
        <is>
          <t>Holders keep the card</t>
        </is>
      </c>
      <c r="B164" s="36">
        <f>'Scenario Parameters'!$B$79</f>
        <v/>
      </c>
      <c r="C164" t="inlineStr">
        <is>
          <t>1/0 switch</t>
        </is>
      </c>
      <c r="D164" t="inlineStr">
        <is>
          <t>NOBODY HAS DECIDED THIS. It determines whether the card streams - the majority of revenue - decay with churn or are immune to it. Worth a 42% swing in terminal revenue. Default ON because nothing in the design revokes the card; report both.</t>
        </is>
      </c>
    </row>
    <row r="165">
      <c r="A165"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7"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8">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39">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0">
        <f>CHOOSE($C$6,C12,D12,E12)</f>
        <v/>
      </c>
      <c r="C12" s="15" t="n">
        <v>4</v>
      </c>
      <c r="D12" s="15" t="n">
        <v>6</v>
      </c>
      <c r="E12" s="15" t="n">
        <v>2</v>
      </c>
      <c r="F12" s="23" t="inlineStr">
        <is>
          <t>accounts/agent/month</t>
        </is>
      </c>
      <c r="G12" s="9" t="inlineStr">
        <is>
          <t>Insurance agency comparator. TRIANGULATED.</t>
        </is>
      </c>
    </row>
    <row r="13">
      <c r="A13" t="inlineStr">
        <is>
          <t>Marketing CAC</t>
        </is>
      </c>
      <c r="B13" s="41">
        <f>CHOOSE($C$6,C13,D13,E13)</f>
        <v/>
      </c>
      <c r="C13" s="20" t="n">
        <v>120</v>
      </c>
      <c r="D13" s="20" t="n">
        <v>80</v>
      </c>
      <c r="E13" s="20" t="n">
        <v>200</v>
      </c>
      <c r="F13" s="23" t="inlineStr">
        <is>
          <t>USD</t>
        </is>
      </c>
      <c r="G13" s="9" t="inlineStr">
        <is>
          <t>No UAE gold-product benchmark. CAC is LINEAR: the brake on unbounded growth is the SATURATION ceiling, which is sourced, not a convexity curve, which is not. ASSUMPTION.</t>
        </is>
      </c>
    </row>
    <row r="14">
      <c r="A14" t="inlineStr">
        <is>
          <t>Referral rate</t>
        </is>
      </c>
      <c r="B14" s="40">
        <f>CHOOSE($C$6,C14,D14,E14)</f>
        <v/>
      </c>
      <c r="C14" s="15" t="n">
        <v>0.45</v>
      </c>
      <c r="D14" s="15" t="n">
        <v>0.9</v>
      </c>
      <c r="E14" s="15" t="n">
        <v>0.18</v>
      </c>
      <c r="F14" s="23" t="inlineStr">
        <is>
          <t>referrals/customer/yr</t>
        </is>
      </c>
      <c r="G14" s="9" t="inlineStr">
        <is>
          <t>Cap removed deliberately, so the distribution is right-skewed. MODEL THE MEAN, NOT THE MEDIAN. ASSUMPTION.</t>
        </is>
      </c>
    </row>
    <row r="15">
      <c r="A15" t="inlineStr">
        <is>
          <t>Referral conversion</t>
        </is>
      </c>
      <c r="B15" s="38">
        <f>CHOOSE($C$6,C15,D15,E15)</f>
        <v/>
      </c>
      <c r="C15" s="19" t="n">
        <v>0.62</v>
      </c>
      <c r="D15" s="19" t="n">
        <v>0.72</v>
      </c>
      <c r="E15" s="19" t="n">
        <v>0.48</v>
      </c>
      <c r="F15" s="23" t="inlineStr">
        <is>
          <t>%</t>
        </is>
      </c>
      <c r="G15" s="9" t="inlineStr">
        <is>
          <t>The M7 survival of the referred cohort, uplifted ~1.1x. DERIVED.</t>
        </is>
      </c>
    </row>
    <row r="16">
      <c r="A16" t="inlineStr">
        <is>
          <t>Organic share of direct</t>
        </is>
      </c>
      <c r="B16" s="38">
        <f>CHOOSE($C$6,C16,D16,E16)</f>
        <v/>
      </c>
      <c r="C16" s="19" t="n">
        <v>0.12</v>
      </c>
      <c r="D16" s="19" t="n">
        <v>0.2</v>
      </c>
      <c r="E16" s="19" t="n">
        <v>0.05</v>
      </c>
      <c r="F16" s="23" t="inlineStr">
        <is>
          <t>% of direct</t>
        </is>
      </c>
      <c r="G16" s="9" t="inlineStr">
        <is>
          <t>Kept separate so the CAC never applies to it. ASSUMPTION.</t>
        </is>
      </c>
    </row>
    <row r="17">
      <c r="A17" t="inlineStr">
        <is>
          <t>Seasonality amplitude</t>
        </is>
      </c>
      <c r="B17" s="40">
        <f>CHOOSE($C$6,C17,D17,E17)</f>
        <v/>
      </c>
      <c r="C17" s="15" t="n">
        <v>1</v>
      </c>
      <c r="D17" s="15" t="n">
        <v>1.4</v>
      </c>
      <c r="E17" s="15" t="n">
        <v>0.6</v>
      </c>
      <c r="F17" s="23" t="inlineStr">
        <is>
          <t>x deviation from 1.0</t>
        </is>
      </c>
      <c r="G17" s="9" t="inlineStr">
        <is>
          <t>Festival TIMING is sourced; how hard a Dubai savings signup responds to Dhanteras is the open question. Applied to the deviation from 1.0, then renormalised, so the vectors stay at exactly 12.000.</t>
        </is>
      </c>
    </row>
    <row r="19" ht="18" customHeight="1">
      <c r="A19" s="12" t="inlineStr">
        <is>
          <t>GROUP B: CARD ELIGIBILITY - the two cells that replace the archetype engine</t>
        </is>
      </c>
      <c r="B19" s="13" t="n"/>
      <c r="C19" s="13" t="n"/>
      <c r="D19" s="13" t="n"/>
      <c r="E19" s="13" t="n"/>
    </row>
    <row r="20">
      <c r="A20" s="14" t="inlineStr">
        <is>
          <t>Parameter</t>
        </is>
      </c>
      <c r="B20" s="14" t="inlineStr">
        <is>
          <t>Active Value</t>
        </is>
      </c>
      <c r="C20" s="14" t="inlineStr">
        <is>
          <t>Base</t>
        </is>
      </c>
      <c r="D20" s="14" t="inlineStr">
        <is>
          <t>Aggressive</t>
        </is>
      </c>
      <c r="E20" s="14" t="inlineStr">
        <is>
          <t>Conservative</t>
        </is>
      </c>
      <c r="F20" s="14" t="inlineStr">
        <is>
          <t>Unit</t>
        </is>
      </c>
    </row>
    <row r="21">
      <c r="A21" t="inlineStr">
        <is>
          <t>Customers who EVER clear the six-payment gate</t>
        </is>
      </c>
      <c r="B21" s="38">
        <f>CHOOSE($C$6,C21,D21,E21)</f>
        <v/>
      </c>
      <c r="C21" s="19" t="n">
        <v>0.55</v>
      </c>
      <c r="D21" s="19" t="n">
        <v>0.65</v>
      </c>
      <c r="E21" s="19" t="n">
        <v>0.45</v>
      </c>
      <c r="F21" s="23" t="inlineStr">
        <is>
          <t>% of customers</t>
        </is>
      </c>
      <c r="G21"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2">
      <c r="A22" t="inlineStr">
        <is>
          <t>Average months to clear the gate</t>
        </is>
      </c>
      <c r="B22" s="31">
        <f>CHOOSE($C$6,C22,D22,E22)</f>
        <v/>
      </c>
      <c r="C22" s="17" t="n">
        <v>8</v>
      </c>
      <c r="D22" s="17" t="n">
        <v>6</v>
      </c>
      <c r="E22" s="17" t="n">
        <v>11</v>
      </c>
      <c r="F22" s="23" t="inlineStr">
        <is>
          <t>months</t>
        </is>
      </c>
      <c r="G22"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4" ht="18" customHeight="1">
      <c r="A24" s="12" t="inlineStr">
        <is>
          <t>GROUP C: AUM, LEAKAGE AND SPOT</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Self-custody leakage</t>
        </is>
      </c>
      <c r="B26" s="38">
        <f>CHOOSE($C$6,C26,D26,E26)</f>
        <v/>
      </c>
      <c r="C26" s="19" t="n">
        <v>0.12</v>
      </c>
      <c r="D26" s="19" t="n">
        <v>0.06</v>
      </c>
      <c r="E26" s="19" t="n">
        <v>0.3</v>
      </c>
      <c r="F26" s="23" t="inlineStr">
        <is>
          <t>% of AUM/yr</t>
        </is>
      </c>
      <c r="G26" s="9" t="inlineStr">
        <is>
          <t>Gold withdrawn to a customer's own wallet. Free to Aurumix but it leaves AUM. ASSUMPTION.</t>
        </is>
      </c>
    </row>
    <row r="27">
      <c r="A27" t="inlineStr">
        <is>
          <t>Redemption rate</t>
        </is>
      </c>
      <c r="B27" s="38">
        <f>CHOOSE($C$6,C27,D27,E27)</f>
        <v/>
      </c>
      <c r="C27" s="19" t="n">
        <v>0.08</v>
      </c>
      <c r="D27" s="19" t="n">
        <v>0.04</v>
      </c>
      <c r="E27" s="19" t="n">
        <v>0.16</v>
      </c>
      <c r="F27" s="23" t="inlineStr">
        <is>
          <t>% of AUM/yr</t>
        </is>
      </c>
      <c r="G27" s="9" t="inlineStr">
        <is>
          <t>A DIFFERENT EVENT from self-custody and a separate line. PAXG turnover of 5.9% is the only comparator. VARA forbids charging any fee on it. ASSUMPTION.</t>
        </is>
      </c>
    </row>
    <row r="28">
      <c r="A28" t="inlineStr">
        <is>
          <t>Holder redemption multiplier</t>
        </is>
      </c>
      <c r="B28" s="40">
        <f>CHOOSE($C$6,C28,D28,E28)</f>
        <v/>
      </c>
      <c r="C28" s="15" t="n">
        <v>2.2</v>
      </c>
      <c r="D28" s="15" t="n">
        <v>1.6</v>
      </c>
      <c r="E28" s="15" t="n">
        <v>3.5</v>
      </c>
      <c r="F28" s="23" t="inlineStr">
        <is>
          <t>x the paying rate</t>
        </is>
      </c>
      <c r="G28" s="9" t="inlineStr">
        <is>
          <t>Customers who stopped paying redeem FASTER - they have no accruing benefit left to protect. Because holders become the majority of the book by Y4, this is the DOMINANT AUM DECAY TERM from roughly Y4. ASSUMPTION.</t>
        </is>
      </c>
    </row>
    <row r="29">
      <c r="A29" t="inlineStr">
        <is>
          <t>Spot attach rate</t>
        </is>
      </c>
      <c r="B29" s="38">
        <f>CHOOSE($C$6,C29,D29,E29)</f>
        <v/>
      </c>
      <c r="C29" s="19" t="n">
        <v>0.14</v>
      </c>
      <c r="D29" s="19" t="n">
        <v>0.24</v>
      </c>
      <c r="E29" s="19" t="n">
        <v>0.07000000000000001</v>
      </c>
      <c r="F29" s="23" t="inlineStr">
        <is>
          <t>% of customers/yr</t>
        </is>
      </c>
      <c r="G29" s="9" t="inlineStr">
        <is>
          <t>Load-bearing because it is MISSING, not because it is large. ASSUMPTION.</t>
        </is>
      </c>
    </row>
    <row r="30">
      <c r="A30" t="inlineStr">
        <is>
          <t>Average spot ticket</t>
        </is>
      </c>
      <c r="B30" s="41">
        <f>CHOOSE($C$6,C30,D30,E30)</f>
        <v/>
      </c>
      <c r="C30" s="20" t="n">
        <v>300</v>
      </c>
      <c r="D30" s="20" t="n">
        <v>530</v>
      </c>
      <c r="E30" s="20" t="n">
        <v>200</v>
      </c>
      <c r="F30" s="23" t="inlineStr">
        <is>
          <t>USD/event</t>
        </is>
      </c>
      <c r="G30" s="9" t="inlineStr">
        <is>
          <t>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is>
      </c>
    </row>
    <row r="31">
      <c r="A31" t="inlineStr">
        <is>
          <t>Spot frequency</t>
        </is>
      </c>
      <c r="B31" s="40">
        <f>CHOOSE($C$6,C31,D31,E31)</f>
        <v/>
      </c>
      <c r="C31" s="15" t="n">
        <v>1.7</v>
      </c>
      <c r="D31" s="15" t="n">
        <v>2.4</v>
      </c>
      <c r="E31" s="15" t="n">
        <v>1.2</v>
      </c>
      <c r="F31" s="23" t="inlineStr">
        <is>
          <t>events/attacher/yr</t>
        </is>
      </c>
      <c r="G31" s="9" t="inlineStr">
        <is>
          <t>External check: Botim's 128,000 trades against ~45,000 buyers implies ~1.9/yr. INFERRED from two disclosures of different vintage - supportive, not confirmatory. ASSUMPTION.</t>
        </is>
      </c>
    </row>
    <row r="32">
      <c r="A32" t="inlineStr">
        <is>
          <t>Spot-to-SIP conversion</t>
        </is>
      </c>
      <c r="B32" s="38">
        <f>CHOOSE($C$6,C32,D32,E32)</f>
        <v/>
      </c>
      <c r="C32" s="19" t="n">
        <v>0.08</v>
      </c>
      <c r="D32" s="19" t="n">
        <v>0.15</v>
      </c>
      <c r="E32" s="19" t="n">
        <v>0.03</v>
      </c>
      <c r="F32" s="23" t="inlineStr">
        <is>
          <t>% of spot buyers/yr</t>
        </is>
      </c>
      <c r="G32" s="9"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34" ht="18" customHeight="1">
      <c r="A34" s="12" t="inlineStr">
        <is>
          <t>GROUP D: CARD</t>
        </is>
      </c>
      <c r="B34" s="13" t="n"/>
      <c r="C34" s="13" t="n"/>
      <c r="D34" s="13" t="n"/>
      <c r="E34" s="13" t="n"/>
    </row>
    <row r="35">
      <c r="A35" s="14" t="inlineStr">
        <is>
          <t>Parameter</t>
        </is>
      </c>
      <c r="B35" s="14" t="inlineStr">
        <is>
          <t>Active Value</t>
        </is>
      </c>
      <c r="C35" s="14" t="inlineStr">
        <is>
          <t>Base</t>
        </is>
      </c>
      <c r="D35" s="14" t="inlineStr">
        <is>
          <t>Aggressive</t>
        </is>
      </c>
      <c r="E35" s="14" t="inlineStr">
        <is>
          <t>Conservative</t>
        </is>
      </c>
      <c r="F35" s="14" t="inlineStr">
        <is>
          <t>Unit</t>
        </is>
      </c>
    </row>
    <row r="36">
      <c r="A36" t="inlineStr">
        <is>
          <t>Programme manager share of interchange</t>
        </is>
      </c>
      <c r="B36" s="38">
        <f>CHOOSE($C$6,C36,D36,E36)</f>
        <v/>
      </c>
      <c r="C36" s="19" t="n">
        <v>0.72</v>
      </c>
      <c r="D36" s="19" t="n">
        <v>0.85</v>
      </c>
      <c r="E36" s="19" t="n">
        <v>0.55</v>
      </c>
      <c r="F36" s="23" t="inlineStr">
        <is>
          <t>%</t>
        </is>
      </c>
      <c r="G36" s="9" t="inlineStr">
        <is>
          <t>SIZES THE LARGEST STREAM. No UAE/MENA figure is published. FLOOR IS 36% - take that into the sponsor conversation as the walk-away. TRIANGULATED.</t>
        </is>
      </c>
    </row>
    <row r="37">
      <c r="A37" t="inlineStr">
        <is>
          <t>Card spend as a multiple of the monthly SIP ticket</t>
        </is>
      </c>
      <c r="B37" s="40">
        <f>CHOOSE($C$6,C37,D37,E37)</f>
        <v/>
      </c>
      <c r="C37" s="15" t="n">
        <v>8</v>
      </c>
      <c r="D37" s="15" t="n">
        <v>12</v>
      </c>
      <c r="E37" s="15" t="n">
        <v>5</v>
      </c>
      <c r="F37" s="23" t="inlineStr">
        <is>
          <t>x monthly ticket</t>
        </is>
      </c>
      <c r="G37" s="9" t="inlineStr">
        <is>
          <t>RE-EXPRESSED 2026-08-20 as a MULTIPLE rather than an absolute AED figure, for two reasons. First it REGIONALISES for free: a region that saves more per month also spends more, because both are driven by the same income. Second, and more important, it makes an incoherent answer unrepresentable - an absolute figure can drift to a level the customer could not possibly transact, and AED 1,800 flat against a book saving USD 31.50/month was already a 15.5x multiple. THE BINDING CONSTRAINT IS THE CREDIT LIMIT: under the credit variant the card is secured on the customer's gold at 50% LTV, so monthly spend cannot exceed the limit that gold supports. At 15.5x it did - USD 493/month against a USD 457 limit - which is not a high estimate but an impossible one. Base 8x is anchored on the income build-up: a USD 38 saver has ~USD 300/month savings capacity, AED 3,700-5,500 income with employer housing, 60-80% remitted, leaving ~AED 700-1,500 discretionary of which the card takes most. ASSUMPTION, income-anchored.</t>
        </is>
      </c>
    </row>
    <row r="38">
      <c r="A38" t="inlineStr">
        <is>
          <t>Card activation rate</t>
        </is>
      </c>
      <c r="B38" s="38">
        <f>CHOOSE($C$6,C38,D38,E38)</f>
        <v/>
      </c>
      <c r="C38" s="19" t="n">
        <v>0.5</v>
      </c>
      <c r="D38" s="19" t="n">
        <v>0.7</v>
      </c>
      <c r="E38" s="19" t="n">
        <v>0.3</v>
      </c>
      <c r="F38" s="23" t="inlineStr">
        <is>
          <t>% of eligible</t>
        </is>
      </c>
      <c r="G38" s="9" t="inlineStr">
        <is>
          <t>RE-CUT 2026-08-20 from 65%. PULSE 68.2% and Monzo 68% are NEOBANKS WHERE THE CARD IS THE PRODUCT - people signed up FOR the card. Here the card is a secondary benefit on a savings product: the customer came for gold. The comparable is wrong in kind, not just in level. Partly offset by the base already being gate-filtered, hence 50% rather than lower. NO PRIMARY SOURCE EXISTS.</t>
        </is>
      </c>
    </row>
    <row r="39">
      <c r="A39" t="inlineStr">
        <is>
          <t>Foreign spend share (mean)</t>
        </is>
      </c>
      <c r="B39" s="38">
        <f>CHOOSE($C$6,C39,D39,E39)</f>
        <v/>
      </c>
      <c r="C39" s="19" t="n">
        <v>0.34</v>
      </c>
      <c r="D39" s="19" t="n">
        <v>0.45</v>
      </c>
      <c r="E39" s="19" t="n">
        <v>0.24</v>
      </c>
      <c r="F39" s="23" t="inlineStr">
        <is>
          <t>% of card spend</t>
        </is>
      </c>
      <c r="G39" s="9" t="inlineStr">
        <is>
          <t>Applied through the seasonal vector, not as a constant. ASSUMPTION.</t>
        </is>
      </c>
    </row>
    <row r="40">
      <c r="A40" t="inlineStr">
        <is>
          <t>Card issuance events</t>
        </is>
      </c>
      <c r="B40" s="40">
        <f>CHOOSE($C$6,C40,D40,E40)</f>
        <v/>
      </c>
      <c r="C40" s="15" t="n">
        <v>1.06</v>
      </c>
      <c r="D40" s="15" t="n">
        <v>1.04</v>
      </c>
      <c r="E40" s="15" t="n">
        <v>1.1</v>
      </c>
      <c r="F40" s="23" t="inlineStr">
        <is>
          <t>events/card/yr</t>
        </is>
      </c>
      <c r="G40" s="9" t="inlineStr">
        <is>
          <t>1.00 at activation plus reissues - a tier upgrade forces a physical reissue. ASSUMPTION.</t>
        </is>
      </c>
    </row>
    <row r="41">
      <c r="A41" t="inlineStr">
        <is>
          <t>Card replacement events</t>
        </is>
      </c>
      <c r="B41" s="40">
        <f>CHOOSE($C$6,C41,D41,E41)</f>
        <v/>
      </c>
      <c r="C41" s="15" t="n">
        <v>0.11</v>
      </c>
      <c r="D41" s="15" t="n">
        <v>0.07000000000000001</v>
      </c>
      <c r="E41" s="15" t="n">
        <v>0.18</v>
      </c>
      <c r="F41" s="23" t="inlineStr">
        <is>
          <t>events/card/yr</t>
        </is>
      </c>
      <c r="G41" s="9" t="inlineStr">
        <is>
          <t>Industry-normal loss/theft/damage is 8-15% annually. ASSUMPTION.</t>
        </is>
      </c>
    </row>
    <row r="42">
      <c r="A42" t="inlineStr">
        <is>
          <t>ATM AED 0-500 - share of cardholders</t>
        </is>
      </c>
      <c r="B42" s="38">
        <f>CHOOSE($C$6,C42,D42,E42)</f>
        <v/>
      </c>
      <c r="C42" s="19" t="n">
        <v>0.6</v>
      </c>
      <c r="D42" s="19" t="n">
        <v>0.42</v>
      </c>
      <c r="E42" s="19" t="n">
        <v>0.74</v>
      </c>
      <c r="F42" s="23" t="inlineStr">
        <is>
          <t>%</t>
        </is>
      </c>
      <c r="G4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3">
      <c r="A43" t="inlineStr">
        <is>
          <t>ATM AED 500-1,500 - share of cardholders</t>
        </is>
      </c>
      <c r="B43" s="38">
        <f>CHOOSE($C$6,C43,D43,E43)</f>
        <v/>
      </c>
      <c r="C43" s="19" t="n">
        <v>0.25</v>
      </c>
      <c r="D43" s="19" t="n">
        <v>0.3</v>
      </c>
      <c r="E43" s="19" t="n">
        <v>0.18</v>
      </c>
      <c r="F43" s="23" t="inlineStr">
        <is>
          <t>%</t>
        </is>
      </c>
      <c r="G4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4">
      <c r="A44" t="inlineStr">
        <is>
          <t>ATM AED 1,500-3,000 - share of cardholders</t>
        </is>
      </c>
      <c r="B44" s="38">
        <f>CHOOSE($C$6,C44,D44,E44)</f>
        <v/>
      </c>
      <c r="C44" s="19" t="n">
        <v>0.12</v>
      </c>
      <c r="D44" s="19" t="n">
        <v>0.2</v>
      </c>
      <c r="E44" s="19" t="n">
        <v>0.06</v>
      </c>
      <c r="F44" s="23" t="inlineStr">
        <is>
          <t>%</t>
        </is>
      </c>
      <c r="G44"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5">
      <c r="A45" t="inlineStr">
        <is>
          <t>ATM AED 3,000+ - share of cardholders</t>
        </is>
      </c>
      <c r="B45" s="38">
        <f>CHOOSE($C$6,C45,D45,E45)</f>
        <v/>
      </c>
      <c r="C45" s="19" t="n">
        <v>0.03</v>
      </c>
      <c r="D45" s="19" t="n">
        <v>0.08</v>
      </c>
      <c r="E45" s="19" t="n">
        <v>0.02</v>
      </c>
      <c r="F45" s="23" t="inlineStr">
        <is>
          <t>%</t>
        </is>
      </c>
      <c r="G45"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6">
      <c r="A46" t="inlineStr">
        <is>
          <t>ATM AED 0-500 - midpoint draw</t>
        </is>
      </c>
      <c r="B46" s="31">
        <f>CHOOSE($C$6,C46,D46,E46)</f>
        <v/>
      </c>
      <c r="C46" s="17" t="n">
        <v>250</v>
      </c>
      <c r="D46" s="17" t="n">
        <v>300</v>
      </c>
      <c r="E46" s="17" t="n">
        <v>200</v>
      </c>
      <c r="F46" s="23" t="inlineStr">
        <is>
          <t>AED/month</t>
        </is>
      </c>
      <c r="G46" s="9" t="inlineStr">
        <is>
          <t>Raising the allowance at the top tier waives revenue from only the top ~3% of cardholders.</t>
        </is>
      </c>
    </row>
    <row r="47">
      <c r="A47" t="inlineStr">
        <is>
          <t>ATM AED 500-1,500 - midpoint draw</t>
        </is>
      </c>
      <c r="B47" s="31">
        <f>CHOOSE($C$6,C47,D47,E47)</f>
        <v/>
      </c>
      <c r="C47" s="17" t="n">
        <v>1000</v>
      </c>
      <c r="D47" s="17" t="n">
        <v>1100</v>
      </c>
      <c r="E47" s="17" t="n">
        <v>900</v>
      </c>
      <c r="F47" s="23" t="inlineStr">
        <is>
          <t>AED/month</t>
        </is>
      </c>
      <c r="G47" s="9" t="inlineStr">
        <is>
          <t>Raising the allowance at the top tier waives revenue from only the top ~3% of cardholders.</t>
        </is>
      </c>
    </row>
    <row r="48">
      <c r="A48" t="inlineStr">
        <is>
          <t>ATM AED 1,500-3,000 - midpoint draw</t>
        </is>
      </c>
      <c r="B48" s="31">
        <f>CHOOSE($C$6,C48,D48,E48)</f>
        <v/>
      </c>
      <c r="C48" s="17" t="n">
        <v>2250</v>
      </c>
      <c r="D48" s="17" t="n">
        <v>2400</v>
      </c>
      <c r="E48" s="17" t="n">
        <v>2100</v>
      </c>
      <c r="F48" s="23" t="inlineStr">
        <is>
          <t>AED/month</t>
        </is>
      </c>
      <c r="G48" s="9" t="inlineStr">
        <is>
          <t>Raising the allowance at the top tier waives revenue from only the top ~3% of cardholders.</t>
        </is>
      </c>
    </row>
    <row r="49">
      <c r="A49" t="inlineStr">
        <is>
          <t>ATM AED 3,000+ - midpoint draw</t>
        </is>
      </c>
      <c r="B49" s="31">
        <f>CHOOSE($C$6,C49,D49,E49)</f>
        <v/>
      </c>
      <c r="C49" s="17" t="n">
        <v>4000</v>
      </c>
      <c r="D49" s="17" t="n">
        <v>4500</v>
      </c>
      <c r="E49" s="17" t="n">
        <v>3600</v>
      </c>
      <c r="F49" s="23" t="inlineStr">
        <is>
          <t>AED/month</t>
        </is>
      </c>
      <c r="G49" s="9" t="inlineStr">
        <is>
          <t>Raising the allowance at the top tier waives revenue from only the top ~3% of cardholders.</t>
        </is>
      </c>
    </row>
    <row r="51" ht="18" customHeight="1">
      <c r="A51" s="12" t="inlineStr">
        <is>
          <t>GROUP E: CREDIT, B2B AND FAMILY</t>
        </is>
      </c>
      <c r="B51" s="13" t="n"/>
      <c r="C51" s="13" t="n"/>
      <c r="D51" s="13" t="n"/>
      <c r="E51" s="13" t="n"/>
    </row>
    <row r="52">
      <c r="A52" s="14" t="inlineStr">
        <is>
          <t>Parameter</t>
        </is>
      </c>
      <c r="B52" s="14" t="inlineStr">
        <is>
          <t>Active Value</t>
        </is>
      </c>
      <c r="C52" s="14" t="inlineStr">
        <is>
          <t>Base</t>
        </is>
      </c>
      <c r="D52" s="14" t="inlineStr">
        <is>
          <t>Aggressive</t>
        </is>
      </c>
      <c r="E52" s="14" t="inlineStr">
        <is>
          <t>Conservative</t>
        </is>
      </c>
      <c r="F52" s="14" t="inlineStr">
        <is>
          <t>Unit</t>
        </is>
      </c>
    </row>
    <row r="53">
      <c r="A53" t="inlineStr">
        <is>
          <t>Credit take-up among eligible</t>
        </is>
      </c>
      <c r="B53" s="38">
        <f>CHOOSE($C$6,C53,D53,E53)</f>
        <v/>
      </c>
      <c r="C53" s="19" t="n">
        <v>0.18</v>
      </c>
      <c r="D53" s="19" t="n">
        <v>0.3</v>
      </c>
      <c r="E53" s="19" t="n">
        <v>0.08</v>
      </c>
      <c r="F53" s="23" t="inlineStr">
        <is>
          <t>%</t>
        </is>
      </c>
      <c r="G53" s="9" t="inlineStr">
        <is>
          <t>Indian gold-loan penetration is &lt;10% at a point in time; pre-selection uplift applied. DERIVED.</t>
        </is>
      </c>
    </row>
    <row r="54">
      <c r="A54" t="inlineStr">
        <is>
          <t>Drawn as % of permitted limit</t>
        </is>
      </c>
      <c r="B54" s="38">
        <f>CHOOSE($C$6,C54,D54,E54)</f>
        <v/>
      </c>
      <c r="C54" s="19" t="n">
        <v>0.5</v>
      </c>
      <c r="D54" s="19" t="n">
        <v>0.7</v>
      </c>
      <c r="E54" s="19" t="n">
        <v>0.3</v>
      </c>
      <c r="F54" s="23" t="inlineStr">
        <is>
          <t>%</t>
        </is>
      </c>
      <c r="G54" s="9" t="inlineStr">
        <is>
          <t>Revolving facilities draw 40-55% of permitted. TRIANGULATED.</t>
        </is>
      </c>
    </row>
    <row r="55">
      <c r="A55" t="inlineStr">
        <is>
          <t>Facility turnover, peak -&gt; average</t>
        </is>
      </c>
      <c r="B55" s="40">
        <f>CHOOSE($C$6,C55,D55,E55)</f>
        <v/>
      </c>
      <c r="C55" s="15" t="n">
        <v>0.42</v>
      </c>
      <c r="D55" s="15" t="n">
        <v>0.55</v>
      </c>
      <c r="E55" s="15" t="n">
        <v>0.3</v>
      </c>
      <c r="F55" s="23" t="inlineStr">
        <is>
          <t>x peak drawn</t>
        </is>
      </c>
      <c r="G55" s="9" t="inlineStr">
        <is>
          <t>AN ARITHMETIC CORRECTION, not a sensitivity, derived from Manappuram's 71-day realised tenor. It cuts the lending stream by 1.88x. DERIVED.</t>
        </is>
      </c>
    </row>
    <row r="56">
      <c r="A56" t="inlineStr">
        <is>
          <t>Draw events per borrower per year</t>
        </is>
      </c>
      <c r="B56" s="40">
        <f>CHOOSE($C$6,C56,D56,E56)</f>
        <v/>
      </c>
      <c r="C56" s="15" t="n">
        <v>2.1</v>
      </c>
      <c r="D56" s="15" t="n">
        <v>3.2</v>
      </c>
      <c r="E56" s="15" t="n">
        <v>1.3</v>
      </c>
      <c r="F56" s="23" t="inlineStr">
        <is>
          <t>events/yr</t>
        </is>
      </c>
      <c r="G56" s="9" t="inlineStr">
        <is>
          <t>MOVES WITH facility turnover - do not flex independently. DERIVED.</t>
        </is>
      </c>
    </row>
    <row r="57">
      <c r="A57" t="inlineStr">
        <is>
          <t>Family plan attach rate</t>
        </is>
      </c>
      <c r="B57" s="38">
        <f>CHOOSE($C$6,C57,D57,E57)</f>
        <v/>
      </c>
      <c r="C57" s="19" t="n">
        <v>0.2</v>
      </c>
      <c r="D57" s="19" t="n">
        <v>0.35</v>
      </c>
      <c r="E57" s="19" t="n">
        <v>0.1</v>
      </c>
      <c r="F57" s="23" t="inlineStr">
        <is>
          <t>% of customers</t>
        </is>
      </c>
      <c r="G57" s="9" t="inlineStr">
        <is>
          <t>NOTHING IS STATED ANYWHERE IN THE CORPUS. Pure assumption. Scales stream 3 linearly.</t>
        </is>
      </c>
    </row>
    <row r="58">
      <c r="A58" t="inlineStr">
        <is>
          <t>B2B partners - Y1</t>
        </is>
      </c>
      <c r="B58" s="31">
        <f>CHOOSE($C$6,C58,D58,E58)</f>
        <v/>
      </c>
      <c r="C58" s="17" t="n">
        <v>0</v>
      </c>
      <c r="D58" s="17" t="n">
        <v>0</v>
      </c>
      <c r="E58" s="17" t="n">
        <v>0</v>
      </c>
      <c r="F58" s="23" t="inlineStr">
        <is>
          <t>partners</t>
        </is>
      </c>
      <c r="G5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59">
      <c r="A59" t="inlineStr">
        <is>
          <t>B2B partners - Y2</t>
        </is>
      </c>
      <c r="B59" s="31">
        <f>CHOOSE($C$6,C59,D59,E59)</f>
        <v/>
      </c>
      <c r="C59" s="17" t="n">
        <v>1</v>
      </c>
      <c r="D59" s="17" t="n">
        <v>1</v>
      </c>
      <c r="E59" s="17" t="n">
        <v>1</v>
      </c>
      <c r="F59" s="23" t="inlineStr">
        <is>
          <t>partners</t>
        </is>
      </c>
      <c r="G5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0">
      <c r="A60" t="inlineStr">
        <is>
          <t>B2B partners - Y3</t>
        </is>
      </c>
      <c r="B60" s="31">
        <f>CHOOSE($C$6,C60,D60,E60)</f>
        <v/>
      </c>
      <c r="C60" s="17" t="n">
        <v>2</v>
      </c>
      <c r="D60" s="17" t="n">
        <v>3</v>
      </c>
      <c r="E60" s="17" t="n">
        <v>1</v>
      </c>
      <c r="F60" s="23" t="inlineStr">
        <is>
          <t>partners</t>
        </is>
      </c>
      <c r="G60"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1">
      <c r="A61" t="inlineStr">
        <is>
          <t>B2B partners - Y4</t>
        </is>
      </c>
      <c r="B61" s="31">
        <f>CHOOSE($C$6,C61,D61,E61)</f>
        <v/>
      </c>
      <c r="C61" s="17" t="n">
        <v>3</v>
      </c>
      <c r="D61" s="17" t="n">
        <v>5</v>
      </c>
      <c r="E61" s="17" t="n">
        <v>1</v>
      </c>
      <c r="F61" s="23" t="inlineStr">
        <is>
          <t>partners</t>
        </is>
      </c>
      <c r="G6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2">
      <c r="A62" t="inlineStr">
        <is>
          <t>B2B partners - Y5</t>
        </is>
      </c>
      <c r="B62" s="31">
        <f>CHOOSE($C$6,C62,D62,E62)</f>
        <v/>
      </c>
      <c r="C62" s="17" t="n">
        <v>4</v>
      </c>
      <c r="D62" s="17" t="n">
        <v>7</v>
      </c>
      <c r="E62" s="17" t="n">
        <v>2</v>
      </c>
      <c r="F62" s="23" t="inlineStr">
        <is>
          <t>partners</t>
        </is>
      </c>
      <c r="G62"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3">
      <c r="A63" t="inlineStr">
        <is>
          <t>B2B partners - Y6</t>
        </is>
      </c>
      <c r="B63" s="31">
        <f>CHOOSE($C$6,C63,D63,E63)</f>
        <v/>
      </c>
      <c r="C63" s="17" t="n">
        <v>5</v>
      </c>
      <c r="D63" s="17" t="n">
        <v>9</v>
      </c>
      <c r="E63" s="17" t="n">
        <v>2</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Y7</t>
        </is>
      </c>
      <c r="B64" s="31">
        <f>CHOOSE($C$6,C64,D64,E64)</f>
        <v/>
      </c>
      <c r="C64" s="17" t="n">
        <v>6</v>
      </c>
      <c r="D64" s="17" t="n">
        <v>11</v>
      </c>
      <c r="E64" s="17" t="n">
        <v>2</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AUM per partner (mature)</t>
        </is>
      </c>
      <c r="B65" s="41">
        <f>CHOOSE($C$6,C65,D65,E65)</f>
        <v/>
      </c>
      <c r="C65" s="20" t="n">
        <v>32000000</v>
      </c>
      <c r="D65" s="20" t="n">
        <v>45000000</v>
      </c>
      <c r="E65" s="20" t="n">
        <v>22000000</v>
      </c>
      <c r="F65" s="23" t="inlineStr">
        <is>
          <t>USD</t>
        </is>
      </c>
      <c r="G65" s="9" t="inlineStr">
        <is>
          <t>Requires a signed partner. Partner AUM earns NO tier and consumes NO benefits - structurally the highest-margin book. DERIVED.</t>
        </is>
      </c>
    </row>
    <row r="67" ht="18" customHeight="1">
      <c r="A67" s="12" t="inlineStr">
        <is>
          <t>GROUP F: REGIONS</t>
        </is>
      </c>
      <c r="B67" s="13" t="n"/>
      <c r="C67" s="13" t="n"/>
      <c r="D67" s="13" t="n"/>
      <c r="E67" s="13" t="n"/>
    </row>
    <row r="68">
      <c r="A68" s="14" t="inlineStr">
        <is>
          <t>Parameter</t>
        </is>
      </c>
      <c r="B68" s="14" t="inlineStr">
        <is>
          <t>Active Value</t>
        </is>
      </c>
      <c r="C68" s="14" t="inlineStr">
        <is>
          <t>Base</t>
        </is>
      </c>
      <c r="D68" s="14" t="inlineStr">
        <is>
          <t>Aggressive</t>
        </is>
      </c>
      <c r="E68" s="14" t="inlineStr">
        <is>
          <t>Conservative</t>
        </is>
      </c>
      <c r="F68" s="14" t="inlineStr">
        <is>
          <t>Unit</t>
        </is>
      </c>
    </row>
    <row r="69">
      <c r="A69" t="inlineStr">
        <is>
          <t>Average monthly ticket - UAE</t>
        </is>
      </c>
      <c r="B69" s="41">
        <f>CHOOSE($C$6,C69,D69,E69)</f>
        <v/>
      </c>
      <c r="C69" s="20" t="n">
        <v>33.6</v>
      </c>
      <c r="D69" s="20" t="n">
        <v>41</v>
      </c>
      <c r="E69" s="20" t="n">
        <v>26.5</v>
      </c>
      <c r="F69" s="23" t="inlineStr">
        <is>
          <t>USD/month</t>
        </is>
      </c>
      <c r="G69"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0">
      <c r="A70" t="inlineStr">
        <is>
          <t>Average monthly ticket - Oman and Bahrain</t>
        </is>
      </c>
      <c r="B70" s="41">
        <f>CHOOSE($C$6,C70,D70,E70)</f>
        <v/>
      </c>
      <c r="C70" s="20" t="n">
        <v>26</v>
      </c>
      <c r="D70" s="20" t="n">
        <v>32</v>
      </c>
      <c r="E70" s="20" t="n">
        <v>21</v>
      </c>
      <c r="F70" s="23" t="inlineStr">
        <is>
          <t>USD/month</t>
        </is>
      </c>
      <c r="G70"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1">
      <c r="A71" t="inlineStr">
        <is>
          <t>Average monthly ticket - India</t>
        </is>
      </c>
      <c r="B71" s="41">
        <f>CHOOSE($C$6,C71,D71,E71)</f>
        <v/>
      </c>
      <c r="C71" s="20" t="n">
        <v>30</v>
      </c>
      <c r="D71" s="20" t="n">
        <v>36</v>
      </c>
      <c r="E71" s="20" t="n">
        <v>24</v>
      </c>
      <c r="F71" s="23" t="inlineStr">
        <is>
          <t>USD/month</t>
        </is>
      </c>
      <c r="G71"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2">
      <c r="A72" t="inlineStr">
        <is>
          <t>Share of new customers - UAE</t>
        </is>
      </c>
      <c r="B72" s="38">
        <f>Assumptions!$B$82/(Assumptions!$B$82+Assumptions!$B$83+Assumptions!$B$84)</f>
        <v/>
      </c>
      <c r="F72" s="23" t="inlineStr">
        <is>
          <t>% of new</t>
        </is>
      </c>
      <c r="G72"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3">
      <c r="A73" t="inlineStr">
        <is>
          <t>Share of new customers - Oman and Bahrain</t>
        </is>
      </c>
      <c r="B73" s="38">
        <f>Assumptions!$B$83/(Assumptions!$B$82+Assumptions!$B$83+Assumptions!$B$84)</f>
        <v/>
      </c>
      <c r="F73" s="23" t="inlineStr">
        <is>
          <t>% of new</t>
        </is>
      </c>
      <c r="G73"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4">
      <c r="A74" t="inlineStr">
        <is>
          <t>Share of new customers - India</t>
        </is>
      </c>
      <c r="B74" s="38">
        <f>Assumptions!$B$84/(Assumptions!$B$82+Assumptions!$B$83+Assumptions!$B$84)</f>
        <v/>
      </c>
      <c r="F74" s="23" t="inlineStr">
        <is>
          <t>% of new</t>
        </is>
      </c>
      <c r="G74"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6" ht="18" customHeight="1">
      <c r="A76" s="12" t="inlineStr">
        <is>
          <t>STRUCTURAL SWITCHES - the two that move revenue</t>
        </is>
      </c>
      <c r="B76" s="13" t="n"/>
      <c r="C76" s="13" t="n"/>
      <c r="D76" s="13" t="n"/>
      <c r="E76" s="13" t="n"/>
    </row>
    <row r="77">
      <c r="A77" s="14" t="inlineStr">
        <is>
          <t>Switch</t>
        </is>
      </c>
      <c r="B77" s="14" t="inlineStr">
        <is>
          <t>Active (1/0)</t>
        </is>
      </c>
      <c r="C77" s="14" t="inlineStr">
        <is>
          <t>State</t>
        </is>
      </c>
      <c r="D77" s="14" t="inlineStr">
        <is>
          <t>ON value</t>
        </is>
      </c>
    </row>
    <row r="78">
      <c r="A78" t="inlineStr">
        <is>
          <t>Prepaid instead of credit</t>
        </is>
      </c>
      <c r="B78" s="31">
        <f>IF($C$78="Prepaid",1,0)</f>
        <v/>
      </c>
      <c r="C78" s="37" t="inlineStr">
        <is>
          <t>Credit</t>
        </is>
      </c>
      <c r="D78" s="23" t="inlineStr">
        <is>
          <t>Prepaid</t>
        </is>
      </c>
      <c r="G78" s="9" t="inlineStr">
        <is>
          <t>ON (Prepaid) caps interchange at 1.00% and removes the credit stream entirely. 'NOT A PRODUCT CHOICE, IT IS THE BUSINESS MODEL.' Worth ~USD 2.3m of Y10 revenue on the ten-year run.</t>
        </is>
      </c>
    </row>
    <row r="79">
      <c r="A79" t="inlineStr">
        <is>
          <t>Holders keep the card</t>
        </is>
      </c>
      <c r="B79" s="31">
        <f>IF($C$79="ON",1,0)</f>
        <v/>
      </c>
      <c r="C79" s="37" t="inlineStr">
        <is>
          <t>ON</t>
        </is>
      </c>
      <c r="D79" s="23" t="inlineStr">
        <is>
          <t>ON</t>
        </is>
      </c>
      <c r="G7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78" showDropDown="0" showInputMessage="0" showErrorMessage="0" allowBlank="0" type="list">
      <formula1>"Credit,Prepaid"</formula1>
    </dataValidation>
    <dataValidation sqref="C7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50"/>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2" t="inlineStr">
        <is>
          <t>M1</t>
        </is>
      </c>
      <c r="D3" s="42" t="inlineStr">
        <is>
          <t>M2</t>
        </is>
      </c>
      <c r="E3" s="42" t="inlineStr">
        <is>
          <t>M3</t>
        </is>
      </c>
      <c r="F3" s="42" t="inlineStr">
        <is>
          <t>M4</t>
        </is>
      </c>
      <c r="G3" s="42" t="inlineStr">
        <is>
          <t>M5</t>
        </is>
      </c>
      <c r="H3" s="42" t="inlineStr">
        <is>
          <t>M6</t>
        </is>
      </c>
      <c r="I3" s="42" t="inlineStr">
        <is>
          <t>M7</t>
        </is>
      </c>
      <c r="J3" s="42" t="inlineStr">
        <is>
          <t>M8</t>
        </is>
      </c>
      <c r="K3" s="42" t="inlineStr">
        <is>
          <t>M9</t>
        </is>
      </c>
      <c r="L3" s="42" t="inlineStr">
        <is>
          <t>M10</t>
        </is>
      </c>
      <c r="M3" s="42" t="inlineStr">
        <is>
          <t>M11</t>
        </is>
      </c>
      <c r="N3" s="42" t="inlineStr">
        <is>
          <t>M12</t>
        </is>
      </c>
      <c r="O3" s="42" t="inlineStr">
        <is>
          <t>M13</t>
        </is>
      </c>
      <c r="P3" s="42" t="inlineStr">
        <is>
          <t>M14</t>
        </is>
      </c>
      <c r="Q3" s="42" t="inlineStr">
        <is>
          <t>M15</t>
        </is>
      </c>
      <c r="R3" s="42" t="inlineStr">
        <is>
          <t>M16</t>
        </is>
      </c>
      <c r="S3" s="42" t="inlineStr">
        <is>
          <t>M17</t>
        </is>
      </c>
      <c r="T3" s="42" t="inlineStr">
        <is>
          <t>M18</t>
        </is>
      </c>
      <c r="U3" s="42" t="inlineStr">
        <is>
          <t>M19</t>
        </is>
      </c>
      <c r="V3" s="42" t="inlineStr">
        <is>
          <t>M20</t>
        </is>
      </c>
      <c r="W3" s="42" t="inlineStr">
        <is>
          <t>M21</t>
        </is>
      </c>
      <c r="X3" s="42" t="inlineStr">
        <is>
          <t>M22</t>
        </is>
      </c>
      <c r="Y3" s="42" t="inlineStr">
        <is>
          <t>M23</t>
        </is>
      </c>
      <c r="Z3" s="42" t="inlineStr">
        <is>
          <t>M24</t>
        </is>
      </c>
      <c r="AA3" s="42" t="inlineStr">
        <is>
          <t>Y3</t>
        </is>
      </c>
      <c r="AB3" s="42" t="inlineStr">
        <is>
          <t>Y4</t>
        </is>
      </c>
      <c r="AC3" s="42" t="inlineStr">
        <is>
          <t>Y5</t>
        </is>
      </c>
      <c r="AD3" s="42" t="inlineStr">
        <is>
          <t>Y6</t>
        </is>
      </c>
      <c r="AE3" s="42" t="inlineStr">
        <is>
          <t>Y7</t>
        </is>
      </c>
    </row>
    <row r="4">
      <c r="A4" s="6" t="inlineStr">
        <is>
          <t>Period type</t>
        </is>
      </c>
      <c r="B4" s="23" t="inlineStr">
        <is>
          <t>-</t>
        </is>
      </c>
      <c r="C4" s="43" t="inlineStr">
        <is>
          <t>Monthly</t>
        </is>
      </c>
      <c r="D4" s="43" t="inlineStr">
        <is>
          <t>Monthly</t>
        </is>
      </c>
      <c r="E4" s="43" t="inlineStr">
        <is>
          <t>Monthly</t>
        </is>
      </c>
      <c r="F4" s="43" t="inlineStr">
        <is>
          <t>Monthly</t>
        </is>
      </c>
      <c r="G4" s="43" t="inlineStr">
        <is>
          <t>Monthly</t>
        </is>
      </c>
      <c r="H4" s="43" t="inlineStr">
        <is>
          <t>Monthly</t>
        </is>
      </c>
      <c r="I4" s="43" t="inlineStr">
        <is>
          <t>Monthly</t>
        </is>
      </c>
      <c r="J4" s="43" t="inlineStr">
        <is>
          <t>Monthly</t>
        </is>
      </c>
      <c r="K4" s="43" t="inlineStr">
        <is>
          <t>Monthly</t>
        </is>
      </c>
      <c r="L4" s="43" t="inlineStr">
        <is>
          <t>Monthly</t>
        </is>
      </c>
      <c r="M4" s="43" t="inlineStr">
        <is>
          <t>Monthly</t>
        </is>
      </c>
      <c r="N4" s="43" t="inlineStr">
        <is>
          <t>Monthly</t>
        </is>
      </c>
      <c r="O4" s="43" t="inlineStr">
        <is>
          <t>Monthly</t>
        </is>
      </c>
      <c r="P4" s="43" t="inlineStr">
        <is>
          <t>Monthly</t>
        </is>
      </c>
      <c r="Q4" s="43" t="inlineStr">
        <is>
          <t>Monthly</t>
        </is>
      </c>
      <c r="R4" s="43" t="inlineStr">
        <is>
          <t>Monthly</t>
        </is>
      </c>
      <c r="S4" s="43" t="inlineStr">
        <is>
          <t>Monthly</t>
        </is>
      </c>
      <c r="T4" s="43" t="inlineStr">
        <is>
          <t>Monthly</t>
        </is>
      </c>
      <c r="U4" s="43" t="inlineStr">
        <is>
          <t>Monthly</t>
        </is>
      </c>
      <c r="V4" s="43" t="inlineStr">
        <is>
          <t>Monthly</t>
        </is>
      </c>
      <c r="W4" s="43" t="inlineStr">
        <is>
          <t>Monthly</t>
        </is>
      </c>
      <c r="X4" s="43" t="inlineStr">
        <is>
          <t>Monthly</t>
        </is>
      </c>
      <c r="Y4" s="43" t="inlineStr">
        <is>
          <t>Monthly</t>
        </is>
      </c>
      <c r="Z4" s="43" t="inlineStr">
        <is>
          <t>Monthly</t>
        </is>
      </c>
      <c r="AA4" s="43" t="inlineStr">
        <is>
          <t>Annual</t>
        </is>
      </c>
      <c r="AB4" s="43" t="inlineStr">
        <is>
          <t>Annual</t>
        </is>
      </c>
      <c r="AC4" s="43" t="inlineStr">
        <is>
          <t>Annual</t>
        </is>
      </c>
      <c r="AD4" s="43" t="inlineStr">
        <is>
          <t>Annual</t>
        </is>
      </c>
      <c r="AE4" s="43" t="inlineStr">
        <is>
          <t>Annual</t>
        </is>
      </c>
    </row>
    <row r="5">
      <c r="A5" s="6" t="inlineStr">
        <is>
          <t>Model year</t>
        </is>
      </c>
      <c r="B5" s="23" t="inlineStr">
        <is>
          <t>1..7</t>
        </is>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 r="A6" s="6" t="inlineStr">
        <is>
          <t>Calendar month</t>
        </is>
      </c>
      <c r="B6" s="23" t="inlineStr">
        <is>
          <t>0 = annual</t>
        </is>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 r="A7" s="6" t="inlineStr">
        <is>
          <t>Months in period</t>
        </is>
      </c>
      <c r="B7" s="23" t="inlineStr">
        <is>
          <t>months</t>
        </is>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 r="A8" s="6" t="inlineStr">
        <is>
          <t>Financial-year end</t>
        </is>
      </c>
      <c r="B8" s="23" t="inlineStr">
        <is>
          <t>1/0</t>
        </is>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 r="A10" s="45" t="inlineStr">
        <is>
          <t>SEASONALITY - normalised to EXACTLY 12.000 by construction</t>
        </is>
      </c>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row>
    <row r="11">
      <c r="A11" t="inlineStr">
        <is>
          <t>Acquisition seasonality - normalised</t>
        </is>
      </c>
      <c r="B11" s="23" t="inlineStr">
        <is>
          <t>Jan..Dec</t>
        </is>
      </c>
      <c r="C11" s="47">
        <f>(1+(Assumptions!$F$59-1)*Assumptions!$B$120)*12/SUMPRODUCT(1+(Assumptions!$F$59:$Q$59-1)*Assumptions!$B$120)</f>
        <v/>
      </c>
      <c r="D11" s="47">
        <f>(1+(Assumptions!$G$59-1)*Assumptions!$B$120)*12/SUMPRODUCT(1+(Assumptions!$F$59:$Q$59-1)*Assumptions!$B$120)</f>
        <v/>
      </c>
      <c r="E11" s="47">
        <f>(1+(Assumptions!$H$59-1)*Assumptions!$B$120)*12/SUMPRODUCT(1+(Assumptions!$F$59:$Q$59-1)*Assumptions!$B$120)</f>
        <v/>
      </c>
      <c r="F11" s="47">
        <f>(1+(Assumptions!$I$59-1)*Assumptions!$B$120)*12/SUMPRODUCT(1+(Assumptions!$F$59:$Q$59-1)*Assumptions!$B$120)</f>
        <v/>
      </c>
      <c r="G11" s="47">
        <f>(1+(Assumptions!$J$59-1)*Assumptions!$B$120)*12/SUMPRODUCT(1+(Assumptions!$F$59:$Q$59-1)*Assumptions!$B$120)</f>
        <v/>
      </c>
      <c r="H11" s="47">
        <f>(1+(Assumptions!$K$59-1)*Assumptions!$B$120)*12/SUMPRODUCT(1+(Assumptions!$F$59:$Q$59-1)*Assumptions!$B$120)</f>
        <v/>
      </c>
      <c r="I11" s="47">
        <f>(1+(Assumptions!$L$59-1)*Assumptions!$B$120)*12/SUMPRODUCT(1+(Assumptions!$F$59:$Q$59-1)*Assumptions!$B$120)</f>
        <v/>
      </c>
      <c r="J11" s="47">
        <f>(1+(Assumptions!$M$59-1)*Assumptions!$B$120)*12/SUMPRODUCT(1+(Assumptions!$F$59:$Q$59-1)*Assumptions!$B$120)</f>
        <v/>
      </c>
      <c r="K11" s="47">
        <f>(1+(Assumptions!$N$59-1)*Assumptions!$B$120)*12/SUMPRODUCT(1+(Assumptions!$F$59:$Q$59-1)*Assumptions!$B$120)</f>
        <v/>
      </c>
      <c r="L11" s="47">
        <f>(1+(Assumptions!$O$59-1)*Assumptions!$B$120)*12/SUMPRODUCT(1+(Assumptions!$F$59:$Q$59-1)*Assumptions!$B$120)</f>
        <v/>
      </c>
      <c r="M11" s="47">
        <f>(1+(Assumptions!$P$59-1)*Assumptions!$B$120)*12/SUMPRODUCT(1+(Assumptions!$F$59:$Q$59-1)*Assumptions!$B$120)</f>
        <v/>
      </c>
      <c r="N11" s="47">
        <f>(1+(Assumptions!$Q$59-1)*Assumptions!$B$120)*12/SUMPRODUCT(1+(Assumptions!$F$59:$Q$59-1)*Assumptions!$B$120)</f>
        <v/>
      </c>
    </row>
    <row r="12">
      <c r="A12" t="inlineStr">
        <is>
          <t>Card spend seasonality - normalised</t>
        </is>
      </c>
      <c r="B12" s="23" t="inlineStr">
        <is>
          <t>Jan..Dec</t>
        </is>
      </c>
      <c r="C12" s="47">
        <f>(1+(Assumptions!$F$60-1)*Assumptions!$B$120)*12/SUMPRODUCT(1+(Assumptions!$F$60:$Q$60-1)*Assumptions!$B$120)</f>
        <v/>
      </c>
      <c r="D12" s="47">
        <f>(1+(Assumptions!$G$60-1)*Assumptions!$B$120)*12/SUMPRODUCT(1+(Assumptions!$F$60:$Q$60-1)*Assumptions!$B$120)</f>
        <v/>
      </c>
      <c r="E12" s="47">
        <f>(1+(Assumptions!$H$60-1)*Assumptions!$B$120)*12/SUMPRODUCT(1+(Assumptions!$F$60:$Q$60-1)*Assumptions!$B$120)</f>
        <v/>
      </c>
      <c r="F12" s="47">
        <f>(1+(Assumptions!$I$60-1)*Assumptions!$B$120)*12/SUMPRODUCT(1+(Assumptions!$F$60:$Q$60-1)*Assumptions!$B$120)</f>
        <v/>
      </c>
      <c r="G12" s="47">
        <f>(1+(Assumptions!$J$60-1)*Assumptions!$B$120)*12/SUMPRODUCT(1+(Assumptions!$F$60:$Q$60-1)*Assumptions!$B$120)</f>
        <v/>
      </c>
      <c r="H12" s="47">
        <f>(1+(Assumptions!$K$60-1)*Assumptions!$B$120)*12/SUMPRODUCT(1+(Assumptions!$F$60:$Q$60-1)*Assumptions!$B$120)</f>
        <v/>
      </c>
      <c r="I12" s="47">
        <f>(1+(Assumptions!$L$60-1)*Assumptions!$B$120)*12/SUMPRODUCT(1+(Assumptions!$F$60:$Q$60-1)*Assumptions!$B$120)</f>
        <v/>
      </c>
      <c r="J12" s="47">
        <f>(1+(Assumptions!$M$60-1)*Assumptions!$B$120)*12/SUMPRODUCT(1+(Assumptions!$F$60:$Q$60-1)*Assumptions!$B$120)</f>
        <v/>
      </c>
      <c r="K12" s="47">
        <f>(1+(Assumptions!$N$60-1)*Assumptions!$B$120)*12/SUMPRODUCT(1+(Assumptions!$F$60:$Q$60-1)*Assumptions!$B$120)</f>
        <v/>
      </c>
      <c r="L12" s="47">
        <f>(1+(Assumptions!$O$60-1)*Assumptions!$B$120)*12/SUMPRODUCT(1+(Assumptions!$F$60:$Q$60-1)*Assumptions!$B$120)</f>
        <v/>
      </c>
      <c r="M12" s="47">
        <f>(1+(Assumptions!$P$60-1)*Assumptions!$B$120)*12/SUMPRODUCT(1+(Assumptions!$F$60:$Q$60-1)*Assumptions!$B$120)</f>
        <v/>
      </c>
      <c r="N12" s="47">
        <f>(1+(Assumptions!$Q$60-1)*Assumptions!$B$120)*12/SUMPRODUCT(1+(Assumptions!$F$60:$Q$60-1)*Assumptions!$B$120)</f>
        <v/>
      </c>
    </row>
    <row r="13">
      <c r="A13" t="inlineStr">
        <is>
          <t>Foreign-spend share - rescaled to the mean</t>
        </is>
      </c>
      <c r="B13" s="23" t="inlineStr">
        <is>
          <t>Jan..Dec</t>
        </is>
      </c>
      <c r="C13" s="48">
        <f>Assumptions!$F$61/AVERAGE(Assumptions!$F$61:$Q$61)*Assumptions!$B$133</f>
        <v/>
      </c>
      <c r="D13" s="48">
        <f>Assumptions!$G$61/AVERAGE(Assumptions!$F$61:$Q$61)*Assumptions!$B$133</f>
        <v/>
      </c>
      <c r="E13" s="48">
        <f>Assumptions!$H$61/AVERAGE(Assumptions!$F$61:$Q$61)*Assumptions!$B$133</f>
        <v/>
      </c>
      <c r="F13" s="48">
        <f>Assumptions!$I$61/AVERAGE(Assumptions!$F$61:$Q$61)*Assumptions!$B$133</f>
        <v/>
      </c>
      <c r="G13" s="48">
        <f>Assumptions!$J$61/AVERAGE(Assumptions!$F$61:$Q$61)*Assumptions!$B$133</f>
        <v/>
      </c>
      <c r="H13" s="48">
        <f>Assumptions!$K$61/AVERAGE(Assumptions!$F$61:$Q$61)*Assumptions!$B$133</f>
        <v/>
      </c>
      <c r="I13" s="48">
        <f>Assumptions!$L$61/AVERAGE(Assumptions!$F$61:$Q$61)*Assumptions!$B$133</f>
        <v/>
      </c>
      <c r="J13" s="48">
        <f>Assumptions!$M$61/AVERAGE(Assumptions!$F$61:$Q$61)*Assumptions!$B$133</f>
        <v/>
      </c>
      <c r="K13" s="48">
        <f>Assumptions!$N$61/AVERAGE(Assumptions!$F$61:$Q$61)*Assumptions!$B$133</f>
        <v/>
      </c>
      <c r="L13" s="48">
        <f>Assumptions!$O$61/AVERAGE(Assumptions!$F$61:$Q$61)*Assumptions!$B$133</f>
        <v/>
      </c>
      <c r="M13" s="48">
        <f>Assumptions!$P$61/AVERAGE(Assumptions!$F$61:$Q$61)*Assumptions!$B$133</f>
        <v/>
      </c>
      <c r="N13" s="48">
        <f>Assumptions!$Q$61/AVERAGE(Assumptions!$F$61:$Q$61)*Assumptions!$B$133</f>
        <v/>
      </c>
    </row>
    <row r="14">
      <c r="A14" s="3" t="inlineStr">
        <is>
          <t>Seasonality sum check (must be exactly 12.000)</t>
        </is>
      </c>
      <c r="B14" s="23" t="inlineStr">
        <is>
          <t>acq | spend</t>
        </is>
      </c>
      <c r="C14" s="49">
        <f>SUM($C$11:$N$11)</f>
        <v/>
      </c>
      <c r="D14" s="49">
        <f>SUM($C$12:$N$12)</f>
        <v/>
      </c>
    </row>
    <row r="15">
      <c r="A15" s="6" t="inlineStr">
        <is>
          <t>Acquisition seasonality applied</t>
        </is>
      </c>
      <c r="B15" s="23" t="inlineStr">
        <is>
          <t>multiplier</t>
        </is>
      </c>
      <c r="C15" s="50">
        <f>IF(C7=1,INDEX($C$11:$N$11,1,C6),1)</f>
        <v/>
      </c>
      <c r="D15" s="50">
        <f>IF(D7=1,INDEX($C$11:$N$11,1,D6),1)</f>
        <v/>
      </c>
      <c r="E15" s="50">
        <f>IF(E7=1,INDEX($C$11:$N$11,1,E6),1)</f>
        <v/>
      </c>
      <c r="F15" s="50">
        <f>IF(F7=1,INDEX($C$11:$N$11,1,F6),1)</f>
        <v/>
      </c>
      <c r="G15" s="50">
        <f>IF(G7=1,INDEX($C$11:$N$11,1,G6),1)</f>
        <v/>
      </c>
      <c r="H15" s="50">
        <f>IF(H7=1,INDEX($C$11:$N$11,1,H6),1)</f>
        <v/>
      </c>
      <c r="I15" s="50">
        <f>IF(I7=1,INDEX($C$11:$N$11,1,I6),1)</f>
        <v/>
      </c>
      <c r="J15" s="50">
        <f>IF(J7=1,INDEX($C$11:$N$11,1,J6),1)</f>
        <v/>
      </c>
      <c r="K15" s="50">
        <f>IF(K7=1,INDEX($C$11:$N$11,1,K6),1)</f>
        <v/>
      </c>
      <c r="L15" s="50">
        <f>IF(L7=1,INDEX($C$11:$N$11,1,L6),1)</f>
        <v/>
      </c>
      <c r="M15" s="50">
        <f>IF(M7=1,INDEX($C$11:$N$11,1,M6),1)</f>
        <v/>
      </c>
      <c r="N15" s="50">
        <f>IF(N7=1,INDEX($C$11:$N$11,1,N6),1)</f>
        <v/>
      </c>
      <c r="O15" s="50">
        <f>IF(O7=1,INDEX($C$11:$N$11,1,O6),1)</f>
        <v/>
      </c>
      <c r="P15" s="50">
        <f>IF(P7=1,INDEX($C$11:$N$11,1,P6),1)</f>
        <v/>
      </c>
      <c r="Q15" s="50">
        <f>IF(Q7=1,INDEX($C$11:$N$11,1,Q6),1)</f>
        <v/>
      </c>
      <c r="R15" s="50">
        <f>IF(R7=1,INDEX($C$11:$N$11,1,R6),1)</f>
        <v/>
      </c>
      <c r="S15" s="50">
        <f>IF(S7=1,INDEX($C$11:$N$11,1,S6),1)</f>
        <v/>
      </c>
      <c r="T15" s="50">
        <f>IF(T7=1,INDEX($C$11:$N$11,1,T6),1)</f>
        <v/>
      </c>
      <c r="U15" s="50">
        <f>IF(U7=1,INDEX($C$11:$N$11,1,U6),1)</f>
        <v/>
      </c>
      <c r="V15" s="50">
        <f>IF(V7=1,INDEX($C$11:$N$11,1,V6),1)</f>
        <v/>
      </c>
      <c r="W15" s="50">
        <f>IF(W7=1,INDEX($C$11:$N$11,1,W6),1)</f>
        <v/>
      </c>
      <c r="X15" s="50">
        <f>IF(X7=1,INDEX($C$11:$N$11,1,X6),1)</f>
        <v/>
      </c>
      <c r="Y15" s="50">
        <f>IF(Y7=1,INDEX($C$11:$N$11,1,Y6),1)</f>
        <v/>
      </c>
      <c r="Z15" s="50">
        <f>IF(Z7=1,INDEX($C$11:$N$11,1,Z6),1)</f>
        <v/>
      </c>
      <c r="AA15" s="50">
        <f>IF(AA7=1,INDEX($C$11:$N$11,1,AA6),1)</f>
        <v/>
      </c>
      <c r="AB15" s="50">
        <f>IF(AB7=1,INDEX($C$11:$N$11,1,AB6),1)</f>
        <v/>
      </c>
      <c r="AC15" s="50">
        <f>IF(AC7=1,INDEX($C$11:$N$11,1,AC6),1)</f>
        <v/>
      </c>
      <c r="AD15" s="50">
        <f>IF(AD7=1,INDEX($C$11:$N$11,1,AD6),1)</f>
        <v/>
      </c>
      <c r="AE15" s="50">
        <f>IF(AE7=1,INDEX($C$11:$N$11,1,AE6),1)</f>
        <v/>
      </c>
    </row>
    <row r="16">
      <c r="A16" s="6" t="inlineStr">
        <is>
          <t>Card spend seasonality applied</t>
        </is>
      </c>
      <c r="B16" s="23" t="inlineStr">
        <is>
          <t>multiplier</t>
        </is>
      </c>
      <c r="C16" s="50">
        <f>IF(C7=1,INDEX($C$12:$N$12,1,C6),1)</f>
        <v/>
      </c>
      <c r="D16" s="50">
        <f>IF(D7=1,INDEX($C$12:$N$12,1,D6),1)</f>
        <v/>
      </c>
      <c r="E16" s="50">
        <f>IF(E7=1,INDEX($C$12:$N$12,1,E6),1)</f>
        <v/>
      </c>
      <c r="F16" s="50">
        <f>IF(F7=1,INDEX($C$12:$N$12,1,F6),1)</f>
        <v/>
      </c>
      <c r="G16" s="50">
        <f>IF(G7=1,INDEX($C$12:$N$12,1,G6),1)</f>
        <v/>
      </c>
      <c r="H16" s="50">
        <f>IF(H7=1,INDEX($C$12:$N$12,1,H6),1)</f>
        <v/>
      </c>
      <c r="I16" s="50">
        <f>IF(I7=1,INDEX($C$12:$N$12,1,I6),1)</f>
        <v/>
      </c>
      <c r="J16" s="50">
        <f>IF(J7=1,INDEX($C$12:$N$12,1,J6),1)</f>
        <v/>
      </c>
      <c r="K16" s="50">
        <f>IF(K7=1,INDEX($C$12:$N$12,1,K6),1)</f>
        <v/>
      </c>
      <c r="L16" s="50">
        <f>IF(L7=1,INDEX($C$12:$N$12,1,L6),1)</f>
        <v/>
      </c>
      <c r="M16" s="50">
        <f>IF(M7=1,INDEX($C$12:$N$12,1,M6),1)</f>
        <v/>
      </c>
      <c r="N16" s="50">
        <f>IF(N7=1,INDEX($C$12:$N$12,1,N6),1)</f>
        <v/>
      </c>
      <c r="O16" s="50">
        <f>IF(O7=1,INDEX($C$12:$N$12,1,O6),1)</f>
        <v/>
      </c>
      <c r="P16" s="50">
        <f>IF(P7=1,INDEX($C$12:$N$12,1,P6),1)</f>
        <v/>
      </c>
      <c r="Q16" s="50">
        <f>IF(Q7=1,INDEX($C$12:$N$12,1,Q6),1)</f>
        <v/>
      </c>
      <c r="R16" s="50">
        <f>IF(R7=1,INDEX($C$12:$N$12,1,R6),1)</f>
        <v/>
      </c>
      <c r="S16" s="50">
        <f>IF(S7=1,INDEX($C$12:$N$12,1,S6),1)</f>
        <v/>
      </c>
      <c r="T16" s="50">
        <f>IF(T7=1,INDEX($C$12:$N$12,1,T6),1)</f>
        <v/>
      </c>
      <c r="U16" s="50">
        <f>IF(U7=1,INDEX($C$12:$N$12,1,U6),1)</f>
        <v/>
      </c>
      <c r="V16" s="50">
        <f>IF(V7=1,INDEX($C$12:$N$12,1,V6),1)</f>
        <v/>
      </c>
      <c r="W16" s="50">
        <f>IF(W7=1,INDEX($C$12:$N$12,1,W6),1)</f>
        <v/>
      </c>
      <c r="X16" s="50">
        <f>IF(X7=1,INDEX($C$12:$N$12,1,X6),1)</f>
        <v/>
      </c>
      <c r="Y16" s="50">
        <f>IF(Y7=1,INDEX($C$12:$N$12,1,Y6),1)</f>
        <v/>
      </c>
      <c r="Z16" s="50">
        <f>IF(Z7=1,INDEX($C$12:$N$12,1,Z6),1)</f>
        <v/>
      </c>
      <c r="AA16" s="50">
        <f>IF(AA7=1,INDEX($C$12:$N$12,1,AA6),1)</f>
        <v/>
      </c>
      <c r="AB16" s="50">
        <f>IF(AB7=1,INDEX($C$12:$N$12,1,AB6),1)</f>
        <v/>
      </c>
      <c r="AC16" s="50">
        <f>IF(AC7=1,INDEX($C$12:$N$12,1,AC6),1)</f>
        <v/>
      </c>
      <c r="AD16" s="50">
        <f>IF(AD7=1,INDEX($C$12:$N$12,1,AD6),1)</f>
        <v/>
      </c>
      <c r="AE16" s="50">
        <f>IF(AE7=1,INDEX($C$12:$N$12,1,AE6),1)</f>
        <v/>
      </c>
    </row>
    <row r="17">
      <c r="A17" s="6" t="inlineStr">
        <is>
          <t>Foreign-spend share applied</t>
        </is>
      </c>
      <c r="B17" s="23" t="inlineStr">
        <is>
          <t>%</t>
        </is>
      </c>
      <c r="C17" s="51">
        <f>IF(C7=1,INDEX($C$13:$N$13,1,C6),AVERAGE($C$13:$N$13))</f>
        <v/>
      </c>
      <c r="D17" s="51">
        <f>IF(D7=1,INDEX($C$13:$N$13,1,D6),AVERAGE($C$13:$N$13))</f>
        <v/>
      </c>
      <c r="E17" s="51">
        <f>IF(E7=1,INDEX($C$13:$N$13,1,E6),AVERAGE($C$13:$N$13))</f>
        <v/>
      </c>
      <c r="F17" s="51">
        <f>IF(F7=1,INDEX($C$13:$N$13,1,F6),AVERAGE($C$13:$N$13))</f>
        <v/>
      </c>
      <c r="G17" s="51">
        <f>IF(G7=1,INDEX($C$13:$N$13,1,G6),AVERAGE($C$13:$N$13))</f>
        <v/>
      </c>
      <c r="H17" s="51">
        <f>IF(H7=1,INDEX($C$13:$N$13,1,H6),AVERAGE($C$13:$N$13))</f>
        <v/>
      </c>
      <c r="I17" s="51">
        <f>IF(I7=1,INDEX($C$13:$N$13,1,I6),AVERAGE($C$13:$N$13))</f>
        <v/>
      </c>
      <c r="J17" s="51">
        <f>IF(J7=1,INDEX($C$13:$N$13,1,J6),AVERAGE($C$13:$N$13))</f>
        <v/>
      </c>
      <c r="K17" s="51">
        <f>IF(K7=1,INDEX($C$13:$N$13,1,K6),AVERAGE($C$13:$N$13))</f>
        <v/>
      </c>
      <c r="L17" s="51">
        <f>IF(L7=1,INDEX($C$13:$N$13,1,L6),AVERAGE($C$13:$N$13))</f>
        <v/>
      </c>
      <c r="M17" s="51">
        <f>IF(M7=1,INDEX($C$13:$N$13,1,M6),AVERAGE($C$13:$N$13))</f>
        <v/>
      </c>
      <c r="N17" s="51">
        <f>IF(N7=1,INDEX($C$13:$N$13,1,N6),AVERAGE($C$13:$N$13))</f>
        <v/>
      </c>
      <c r="O17" s="51">
        <f>IF(O7=1,INDEX($C$13:$N$13,1,O6),AVERAGE($C$13:$N$13))</f>
        <v/>
      </c>
      <c r="P17" s="51">
        <f>IF(P7=1,INDEX($C$13:$N$13,1,P6),AVERAGE($C$13:$N$13))</f>
        <v/>
      </c>
      <c r="Q17" s="51">
        <f>IF(Q7=1,INDEX($C$13:$N$13,1,Q6),AVERAGE($C$13:$N$13))</f>
        <v/>
      </c>
      <c r="R17" s="51">
        <f>IF(R7=1,INDEX($C$13:$N$13,1,R6),AVERAGE($C$13:$N$13))</f>
        <v/>
      </c>
      <c r="S17" s="51">
        <f>IF(S7=1,INDEX($C$13:$N$13,1,S6),AVERAGE($C$13:$N$13))</f>
        <v/>
      </c>
      <c r="T17" s="51">
        <f>IF(T7=1,INDEX($C$13:$N$13,1,T6),AVERAGE($C$13:$N$13))</f>
        <v/>
      </c>
      <c r="U17" s="51">
        <f>IF(U7=1,INDEX($C$13:$N$13,1,U6),AVERAGE($C$13:$N$13))</f>
        <v/>
      </c>
      <c r="V17" s="51">
        <f>IF(V7=1,INDEX($C$13:$N$13,1,V6),AVERAGE($C$13:$N$13))</f>
        <v/>
      </c>
      <c r="W17" s="51">
        <f>IF(W7=1,INDEX($C$13:$N$13,1,W6),AVERAGE($C$13:$N$13))</f>
        <v/>
      </c>
      <c r="X17" s="51">
        <f>IF(X7=1,INDEX($C$13:$N$13,1,X6),AVERAGE($C$13:$N$13))</f>
        <v/>
      </c>
      <c r="Y17" s="51">
        <f>IF(Y7=1,INDEX($C$13:$N$13,1,Y6),AVERAGE($C$13:$N$13))</f>
        <v/>
      </c>
      <c r="Z17" s="51">
        <f>IF(Z7=1,INDEX($C$13:$N$13,1,Z6),AVERAGE($C$13:$N$13))</f>
        <v/>
      </c>
      <c r="AA17" s="51">
        <f>IF(AA7=1,INDEX($C$13:$N$13,1,AA6),AVERAGE($C$13:$N$13))</f>
        <v/>
      </c>
      <c r="AB17" s="51">
        <f>IF(AB7=1,INDEX($C$13:$N$13,1,AB6),AVERAGE($C$13:$N$13))</f>
        <v/>
      </c>
      <c r="AC17" s="51">
        <f>IF(AC7=1,INDEX($C$13:$N$13,1,AC6),AVERAGE($C$13:$N$13))</f>
        <v/>
      </c>
      <c r="AD17" s="51">
        <f>IF(AD7=1,INDEX($C$13:$N$13,1,AD6),AVERAGE($C$13:$N$13))</f>
        <v/>
      </c>
      <c r="AE17" s="51">
        <f>IF(AE7=1,INDEX($C$13:$N$13,1,AE6),AVERAGE($C$13:$N$13))</f>
        <v/>
      </c>
    </row>
    <row r="19">
      <c r="A19" s="45" t="inlineStr">
        <is>
          <t>ACQUISITION - all channels, then split across regions</t>
        </is>
      </c>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row>
    <row r="20">
      <c r="A20" s="6" t="inlineStr">
        <is>
          <t>Agent-driven new customers (routed by region below)</t>
        </is>
      </c>
      <c r="B20" s="23" t="inlineStr">
        <is>
          <t>accounts</t>
        </is>
      </c>
      <c r="C20" s="52">
        <f>INDEX(Assumptions!$B$86:$B$92,C5)*Assumptions!$B$115*INDEX(Assumptions!$B$100:$B$106,C5)*C7</f>
        <v/>
      </c>
      <c r="D20" s="52">
        <f>INDEX(Assumptions!$B$86:$B$92,D5)*Assumptions!$B$115*INDEX(Assumptions!$B$100:$B$106,D5)*D7</f>
        <v/>
      </c>
      <c r="E20" s="52">
        <f>INDEX(Assumptions!$B$86:$B$92,E5)*Assumptions!$B$115*INDEX(Assumptions!$B$100:$B$106,E5)*E7</f>
        <v/>
      </c>
      <c r="F20" s="52">
        <f>INDEX(Assumptions!$B$86:$B$92,F5)*Assumptions!$B$115*INDEX(Assumptions!$B$100:$B$106,F5)*F7</f>
        <v/>
      </c>
      <c r="G20" s="52">
        <f>INDEX(Assumptions!$B$86:$B$92,G5)*Assumptions!$B$115*INDEX(Assumptions!$B$100:$B$106,G5)*G7</f>
        <v/>
      </c>
      <c r="H20" s="52">
        <f>INDEX(Assumptions!$B$86:$B$92,H5)*Assumptions!$B$115*INDEX(Assumptions!$B$100:$B$106,H5)*H7</f>
        <v/>
      </c>
      <c r="I20" s="52">
        <f>INDEX(Assumptions!$B$86:$B$92,I5)*Assumptions!$B$115*INDEX(Assumptions!$B$100:$B$106,I5)*I7</f>
        <v/>
      </c>
      <c r="J20" s="52">
        <f>INDEX(Assumptions!$B$86:$B$92,J5)*Assumptions!$B$115*INDEX(Assumptions!$B$100:$B$106,J5)*J7</f>
        <v/>
      </c>
      <c r="K20" s="52">
        <f>INDEX(Assumptions!$B$86:$B$92,K5)*Assumptions!$B$115*INDEX(Assumptions!$B$100:$B$106,K5)*K7</f>
        <v/>
      </c>
      <c r="L20" s="52">
        <f>INDEX(Assumptions!$B$86:$B$92,L5)*Assumptions!$B$115*INDEX(Assumptions!$B$100:$B$106,L5)*L7</f>
        <v/>
      </c>
      <c r="M20" s="52">
        <f>INDEX(Assumptions!$B$86:$B$92,M5)*Assumptions!$B$115*INDEX(Assumptions!$B$100:$B$106,M5)*M7</f>
        <v/>
      </c>
      <c r="N20" s="52">
        <f>INDEX(Assumptions!$B$86:$B$92,N5)*Assumptions!$B$115*INDEX(Assumptions!$B$100:$B$106,N5)*N7</f>
        <v/>
      </c>
      <c r="O20" s="52">
        <f>INDEX(Assumptions!$B$86:$B$92,O5)*Assumptions!$B$115*INDEX(Assumptions!$B$100:$B$106,O5)*O7</f>
        <v/>
      </c>
      <c r="P20" s="52">
        <f>INDEX(Assumptions!$B$86:$B$92,P5)*Assumptions!$B$115*INDEX(Assumptions!$B$100:$B$106,P5)*P7</f>
        <v/>
      </c>
      <c r="Q20" s="52">
        <f>INDEX(Assumptions!$B$86:$B$92,Q5)*Assumptions!$B$115*INDEX(Assumptions!$B$100:$B$106,Q5)*Q7</f>
        <v/>
      </c>
      <c r="R20" s="52">
        <f>INDEX(Assumptions!$B$86:$B$92,R5)*Assumptions!$B$115*INDEX(Assumptions!$B$100:$B$106,R5)*R7</f>
        <v/>
      </c>
      <c r="S20" s="52">
        <f>INDEX(Assumptions!$B$86:$B$92,S5)*Assumptions!$B$115*INDEX(Assumptions!$B$100:$B$106,S5)*S7</f>
        <v/>
      </c>
      <c r="T20" s="52">
        <f>INDEX(Assumptions!$B$86:$B$92,T5)*Assumptions!$B$115*INDEX(Assumptions!$B$100:$B$106,T5)*T7</f>
        <v/>
      </c>
      <c r="U20" s="52">
        <f>INDEX(Assumptions!$B$86:$B$92,U5)*Assumptions!$B$115*INDEX(Assumptions!$B$100:$B$106,U5)*U7</f>
        <v/>
      </c>
      <c r="V20" s="52">
        <f>INDEX(Assumptions!$B$86:$B$92,V5)*Assumptions!$B$115*INDEX(Assumptions!$B$100:$B$106,V5)*V7</f>
        <v/>
      </c>
      <c r="W20" s="52">
        <f>INDEX(Assumptions!$B$86:$B$92,W5)*Assumptions!$B$115*INDEX(Assumptions!$B$100:$B$106,W5)*W7</f>
        <v/>
      </c>
      <c r="X20" s="52">
        <f>INDEX(Assumptions!$B$86:$B$92,X5)*Assumptions!$B$115*INDEX(Assumptions!$B$100:$B$106,X5)*X7</f>
        <v/>
      </c>
      <c r="Y20" s="52">
        <f>INDEX(Assumptions!$B$86:$B$92,Y5)*Assumptions!$B$115*INDEX(Assumptions!$B$100:$B$106,Y5)*Y7</f>
        <v/>
      </c>
      <c r="Z20" s="52">
        <f>INDEX(Assumptions!$B$86:$B$92,Z5)*Assumptions!$B$115*INDEX(Assumptions!$B$100:$B$106,Z5)*Z7</f>
        <v/>
      </c>
      <c r="AA20" s="52">
        <f>INDEX(Assumptions!$B$86:$B$92,AA5)*Assumptions!$B$115*INDEX(Assumptions!$B$100:$B$106,AA5)*AA7</f>
        <v/>
      </c>
      <c r="AB20" s="52">
        <f>INDEX(Assumptions!$B$86:$B$92,AB5)*Assumptions!$B$115*INDEX(Assumptions!$B$100:$B$106,AB5)*AB7</f>
        <v/>
      </c>
      <c r="AC20" s="52">
        <f>INDEX(Assumptions!$B$86:$B$92,AC5)*Assumptions!$B$115*INDEX(Assumptions!$B$100:$B$106,AC5)*AC7</f>
        <v/>
      </c>
      <c r="AD20" s="52">
        <f>INDEX(Assumptions!$B$86:$B$92,AD5)*Assumptions!$B$115*INDEX(Assumptions!$B$100:$B$106,AD5)*AD7</f>
        <v/>
      </c>
      <c r="AE20" s="52">
        <f>INDEX(Assumptions!$B$86:$B$92,AE5)*Assumptions!$B$115*INDEX(Assumptions!$B$100:$B$106,AE5)*AE7</f>
        <v/>
      </c>
    </row>
    <row r="21">
      <c r="A21" s="6" t="inlineStr">
        <is>
          <t>Direct-driven new customers</t>
        </is>
      </c>
      <c r="B21" s="23" t="inlineStr">
        <is>
          <t>accounts</t>
        </is>
      </c>
      <c r="C21" s="52">
        <f>INDEX(Assumptions!$B$93:$B$99,C5)/12*C7/Assumptions!$B$116*(1+Assumptions!$B$119)</f>
        <v/>
      </c>
      <c r="D21" s="52">
        <f>INDEX(Assumptions!$B$93:$B$99,D5)/12*D7/Assumptions!$B$116*(1+Assumptions!$B$119)</f>
        <v/>
      </c>
      <c r="E21" s="52">
        <f>INDEX(Assumptions!$B$93:$B$99,E5)/12*E7/Assumptions!$B$116*(1+Assumptions!$B$119)</f>
        <v/>
      </c>
      <c r="F21" s="52">
        <f>INDEX(Assumptions!$B$93:$B$99,F5)/12*F7/Assumptions!$B$116*(1+Assumptions!$B$119)</f>
        <v/>
      </c>
      <c r="G21" s="52">
        <f>INDEX(Assumptions!$B$93:$B$99,G5)/12*G7/Assumptions!$B$116*(1+Assumptions!$B$119)</f>
        <v/>
      </c>
      <c r="H21" s="52">
        <f>INDEX(Assumptions!$B$93:$B$99,H5)/12*H7/Assumptions!$B$116*(1+Assumptions!$B$119)</f>
        <v/>
      </c>
      <c r="I21" s="52">
        <f>INDEX(Assumptions!$B$93:$B$99,I5)/12*I7/Assumptions!$B$116*(1+Assumptions!$B$119)</f>
        <v/>
      </c>
      <c r="J21" s="52">
        <f>INDEX(Assumptions!$B$93:$B$99,J5)/12*J7/Assumptions!$B$116*(1+Assumptions!$B$119)</f>
        <v/>
      </c>
      <c r="K21" s="52">
        <f>INDEX(Assumptions!$B$93:$B$99,K5)/12*K7/Assumptions!$B$116*(1+Assumptions!$B$119)</f>
        <v/>
      </c>
      <c r="L21" s="52">
        <f>INDEX(Assumptions!$B$93:$B$99,L5)/12*L7/Assumptions!$B$116*(1+Assumptions!$B$119)</f>
        <v/>
      </c>
      <c r="M21" s="52">
        <f>INDEX(Assumptions!$B$93:$B$99,M5)/12*M7/Assumptions!$B$116*(1+Assumptions!$B$119)</f>
        <v/>
      </c>
      <c r="N21" s="52">
        <f>INDEX(Assumptions!$B$93:$B$99,N5)/12*N7/Assumptions!$B$116*(1+Assumptions!$B$119)</f>
        <v/>
      </c>
      <c r="O21" s="52">
        <f>INDEX(Assumptions!$B$93:$B$99,O5)/12*O7/Assumptions!$B$116*(1+Assumptions!$B$119)</f>
        <v/>
      </c>
      <c r="P21" s="52">
        <f>INDEX(Assumptions!$B$93:$B$99,P5)/12*P7/Assumptions!$B$116*(1+Assumptions!$B$119)</f>
        <v/>
      </c>
      <c r="Q21" s="52">
        <f>INDEX(Assumptions!$B$93:$B$99,Q5)/12*Q7/Assumptions!$B$116*(1+Assumptions!$B$119)</f>
        <v/>
      </c>
      <c r="R21" s="52">
        <f>INDEX(Assumptions!$B$93:$B$99,R5)/12*R7/Assumptions!$B$116*(1+Assumptions!$B$119)</f>
        <v/>
      </c>
      <c r="S21" s="52">
        <f>INDEX(Assumptions!$B$93:$B$99,S5)/12*S7/Assumptions!$B$116*(1+Assumptions!$B$119)</f>
        <v/>
      </c>
      <c r="T21" s="52">
        <f>INDEX(Assumptions!$B$93:$B$99,T5)/12*T7/Assumptions!$B$116*(1+Assumptions!$B$119)</f>
        <v/>
      </c>
      <c r="U21" s="52">
        <f>INDEX(Assumptions!$B$93:$B$99,U5)/12*U7/Assumptions!$B$116*(1+Assumptions!$B$119)</f>
        <v/>
      </c>
      <c r="V21" s="52">
        <f>INDEX(Assumptions!$B$93:$B$99,V5)/12*V7/Assumptions!$B$116*(1+Assumptions!$B$119)</f>
        <v/>
      </c>
      <c r="W21" s="52">
        <f>INDEX(Assumptions!$B$93:$B$99,W5)/12*W7/Assumptions!$B$116*(1+Assumptions!$B$119)</f>
        <v/>
      </c>
      <c r="X21" s="52">
        <f>INDEX(Assumptions!$B$93:$B$99,X5)/12*X7/Assumptions!$B$116*(1+Assumptions!$B$119)</f>
        <v/>
      </c>
      <c r="Y21" s="52">
        <f>INDEX(Assumptions!$B$93:$B$99,Y5)/12*Y7/Assumptions!$B$116*(1+Assumptions!$B$119)</f>
        <v/>
      </c>
      <c r="Z21" s="52">
        <f>INDEX(Assumptions!$B$93:$B$99,Z5)/12*Z7/Assumptions!$B$116*(1+Assumptions!$B$119)</f>
        <v/>
      </c>
      <c r="AA21" s="52">
        <f>INDEX(Assumptions!$B$93:$B$99,AA5)/12*AA7/Assumptions!$B$116*(1+Assumptions!$B$119)</f>
        <v/>
      </c>
      <c r="AB21" s="52">
        <f>INDEX(Assumptions!$B$93:$B$99,AB5)/12*AB7/Assumptions!$B$116*(1+Assumptions!$B$119)</f>
        <v/>
      </c>
      <c r="AC21" s="52">
        <f>INDEX(Assumptions!$B$93:$B$99,AC5)/12*AC7/Assumptions!$B$116*(1+Assumptions!$B$119)</f>
        <v/>
      </c>
      <c r="AD21" s="52">
        <f>INDEX(Assumptions!$B$93:$B$99,AD5)/12*AD7/Assumptions!$B$116*(1+Assumptions!$B$119)</f>
        <v/>
      </c>
      <c r="AE21" s="52">
        <f>INDEX(Assumptions!$B$93:$B$99,AE5)/12*AE7/Assumptions!$B$116*(1+Assumptions!$B$119)</f>
        <v/>
      </c>
    </row>
    <row r="22">
      <c r="A22" s="6" t="inlineStr">
        <is>
          <t>Referral-driven new customers</t>
        </is>
      </c>
      <c r="B22" s="23" t="inlineStr">
        <is>
          <t>accounts</t>
        </is>
      </c>
      <c r="C22" s="53" t="n">
        <v>0</v>
      </c>
      <c r="D22" s="53">
        <f>IF(D2&gt;=Assumptions!$B$53,C125*Assumptions!$B$117/12*Assumptions!$B$118*D7,0)</f>
        <v/>
      </c>
      <c r="E22" s="53">
        <f>IF(E2&gt;=Assumptions!$B$53,D125*Assumptions!$B$117/12*Assumptions!$B$118*E7,0)</f>
        <v/>
      </c>
      <c r="F22" s="53">
        <f>IF(F2&gt;=Assumptions!$B$53,E125*Assumptions!$B$117/12*Assumptions!$B$118*F7,0)</f>
        <v/>
      </c>
      <c r="G22" s="53">
        <f>IF(G2&gt;=Assumptions!$B$53,F125*Assumptions!$B$117/12*Assumptions!$B$118*G7,0)</f>
        <v/>
      </c>
      <c r="H22" s="53">
        <f>IF(H2&gt;=Assumptions!$B$53,G125*Assumptions!$B$117/12*Assumptions!$B$118*H7,0)</f>
        <v/>
      </c>
      <c r="I22" s="53">
        <f>IF(I2&gt;=Assumptions!$B$53,H125*Assumptions!$B$117/12*Assumptions!$B$118*I7,0)</f>
        <v/>
      </c>
      <c r="J22" s="53">
        <f>IF(J2&gt;=Assumptions!$B$53,I125*Assumptions!$B$117/12*Assumptions!$B$118*J7,0)</f>
        <v/>
      </c>
      <c r="K22" s="53">
        <f>IF(K2&gt;=Assumptions!$B$53,J125*Assumptions!$B$117/12*Assumptions!$B$118*K7,0)</f>
        <v/>
      </c>
      <c r="L22" s="53">
        <f>IF(L2&gt;=Assumptions!$B$53,K125*Assumptions!$B$117/12*Assumptions!$B$118*L7,0)</f>
        <v/>
      </c>
      <c r="M22" s="53">
        <f>IF(M2&gt;=Assumptions!$B$53,L125*Assumptions!$B$117/12*Assumptions!$B$118*M7,0)</f>
        <v/>
      </c>
      <c r="N22" s="53">
        <f>IF(N2&gt;=Assumptions!$B$53,M125*Assumptions!$B$117/12*Assumptions!$B$118*N7,0)</f>
        <v/>
      </c>
      <c r="O22" s="53">
        <f>IF(O2&gt;=Assumptions!$B$53,N125*Assumptions!$B$117/12*Assumptions!$B$118*O7,0)</f>
        <v/>
      </c>
      <c r="P22" s="53">
        <f>IF(P2&gt;=Assumptions!$B$53,O125*Assumptions!$B$117/12*Assumptions!$B$118*P7,0)</f>
        <v/>
      </c>
      <c r="Q22" s="53">
        <f>IF(Q2&gt;=Assumptions!$B$53,P125*Assumptions!$B$117/12*Assumptions!$B$118*Q7,0)</f>
        <v/>
      </c>
      <c r="R22" s="53">
        <f>IF(R2&gt;=Assumptions!$B$53,Q125*Assumptions!$B$117/12*Assumptions!$B$118*R7,0)</f>
        <v/>
      </c>
      <c r="S22" s="53">
        <f>IF(S2&gt;=Assumptions!$B$53,R125*Assumptions!$B$117/12*Assumptions!$B$118*S7,0)</f>
        <v/>
      </c>
      <c r="T22" s="53">
        <f>IF(T2&gt;=Assumptions!$B$53,S125*Assumptions!$B$117/12*Assumptions!$B$118*T7,0)</f>
        <v/>
      </c>
      <c r="U22" s="53">
        <f>IF(U2&gt;=Assumptions!$B$53,T125*Assumptions!$B$117/12*Assumptions!$B$118*U7,0)</f>
        <v/>
      </c>
      <c r="V22" s="53">
        <f>IF(V2&gt;=Assumptions!$B$53,U125*Assumptions!$B$117/12*Assumptions!$B$118*V7,0)</f>
        <v/>
      </c>
      <c r="W22" s="53">
        <f>IF(W2&gt;=Assumptions!$B$53,V125*Assumptions!$B$117/12*Assumptions!$B$118*W7,0)</f>
        <v/>
      </c>
      <c r="X22" s="53">
        <f>IF(X2&gt;=Assumptions!$B$53,W125*Assumptions!$B$117/12*Assumptions!$B$118*X7,0)</f>
        <v/>
      </c>
      <c r="Y22" s="53">
        <f>IF(Y2&gt;=Assumptions!$B$53,X125*Assumptions!$B$117/12*Assumptions!$B$118*Y7,0)</f>
        <v/>
      </c>
      <c r="Z22" s="53">
        <f>IF(Z2&gt;=Assumptions!$B$53,Y125*Assumptions!$B$117/12*Assumptions!$B$118*Z7,0)</f>
        <v/>
      </c>
      <c r="AA22" s="53">
        <f>IF(AA2&gt;=Assumptions!$B$53,Z125*Assumptions!$B$117/12*Assumptions!$B$118*AA7,0)</f>
        <v/>
      </c>
      <c r="AB22" s="53">
        <f>IF(AB2&gt;=Assumptions!$B$53,AA125*Assumptions!$B$117/12*Assumptions!$B$118*AB7,0)</f>
        <v/>
      </c>
      <c r="AC22" s="53">
        <f>IF(AC2&gt;=Assumptions!$B$53,AB125*Assumptions!$B$117/12*Assumptions!$B$118*AC7,0)</f>
        <v/>
      </c>
      <c r="AD22" s="53">
        <f>IF(AD2&gt;=Assumptions!$B$53,AC125*Assumptions!$B$117/12*Assumptions!$B$118*AD7,0)</f>
        <v/>
      </c>
      <c r="AE22" s="53">
        <f>IF(AE2&gt;=Assumptions!$B$53,AD125*Assumptions!$B$117/12*Assumptions!$B$118*AE7,0)</f>
        <v/>
      </c>
    </row>
    <row r="23">
      <c r="A23" s="6" t="inlineStr">
        <is>
          <t>Non-agent demand (direct + referral, split by market size)</t>
        </is>
      </c>
      <c r="B23" s="23" t="inlineStr">
        <is>
          <t>accounts</t>
        </is>
      </c>
      <c r="C23" s="53">
        <f>C21+C22</f>
        <v/>
      </c>
      <c r="D23" s="53">
        <f>D21+D22</f>
        <v/>
      </c>
      <c r="E23" s="53">
        <f>E21+E22</f>
        <v/>
      </c>
      <c r="F23" s="53">
        <f>F21+F22</f>
        <v/>
      </c>
      <c r="G23" s="53">
        <f>G21+G22</f>
        <v/>
      </c>
      <c r="H23" s="53">
        <f>H21+H22</f>
        <v/>
      </c>
      <c r="I23" s="53">
        <f>I21+I22</f>
        <v/>
      </c>
      <c r="J23" s="53">
        <f>J21+J22</f>
        <v/>
      </c>
      <c r="K23" s="53">
        <f>K21+K22</f>
        <v/>
      </c>
      <c r="L23" s="53">
        <f>L21+L22</f>
        <v/>
      </c>
      <c r="M23" s="53">
        <f>M21+M22</f>
        <v/>
      </c>
      <c r="N23" s="53">
        <f>N21+N22</f>
        <v/>
      </c>
      <c r="O23" s="53">
        <f>O21+O22</f>
        <v/>
      </c>
      <c r="P23" s="53">
        <f>P21+P22</f>
        <v/>
      </c>
      <c r="Q23" s="53">
        <f>Q21+Q22</f>
        <v/>
      </c>
      <c r="R23" s="53">
        <f>R21+R22</f>
        <v/>
      </c>
      <c r="S23" s="53">
        <f>S21+S22</f>
        <v/>
      </c>
      <c r="T23" s="53">
        <f>T21+T22</f>
        <v/>
      </c>
      <c r="U23" s="53">
        <f>U21+U22</f>
        <v/>
      </c>
      <c r="V23" s="53">
        <f>V21+V22</f>
        <v/>
      </c>
      <c r="W23" s="53">
        <f>W21+W22</f>
        <v/>
      </c>
      <c r="X23" s="53">
        <f>X21+X22</f>
        <v/>
      </c>
      <c r="Y23" s="53">
        <f>Y21+Y22</f>
        <v/>
      </c>
      <c r="Z23" s="53">
        <f>Z21+Z22</f>
        <v/>
      </c>
      <c r="AA23" s="53">
        <f>AA21+AA22</f>
        <v/>
      </c>
      <c r="AB23" s="53">
        <f>AB21+AB22</f>
        <v/>
      </c>
      <c r="AC23" s="53">
        <f>AC21+AC22</f>
        <v/>
      </c>
      <c r="AD23" s="53">
        <f>AD21+AD22</f>
        <v/>
      </c>
      <c r="AE23" s="53">
        <f>AE21+AE22</f>
        <v/>
      </c>
    </row>
    <row r="24">
      <c r="A24" s="6" t="inlineStr">
        <is>
          <t>Open-region share total (renormalisation base)</t>
        </is>
      </c>
      <c r="B24" s="23" t="inlineStr">
        <is>
          <t>x</t>
        </is>
      </c>
      <c r="C24" s="50">
        <f>Assumptions!$B$160*1+Assumptions!$B$161*IF(C2&gt;=Assumptions!$B$54,1,0)+Assumptions!$B$162*IF(C2&gt;=Assumptions!$B$55,1,0)</f>
        <v/>
      </c>
      <c r="D24" s="50">
        <f>Assumptions!$B$160*1+Assumptions!$B$161*IF(D2&gt;=Assumptions!$B$54,1,0)+Assumptions!$B$162*IF(D2&gt;=Assumptions!$B$55,1,0)</f>
        <v/>
      </c>
      <c r="E24" s="50">
        <f>Assumptions!$B$160*1+Assumptions!$B$161*IF(E2&gt;=Assumptions!$B$54,1,0)+Assumptions!$B$162*IF(E2&gt;=Assumptions!$B$55,1,0)</f>
        <v/>
      </c>
      <c r="F24" s="50">
        <f>Assumptions!$B$160*1+Assumptions!$B$161*IF(F2&gt;=Assumptions!$B$54,1,0)+Assumptions!$B$162*IF(F2&gt;=Assumptions!$B$55,1,0)</f>
        <v/>
      </c>
      <c r="G24" s="50">
        <f>Assumptions!$B$160*1+Assumptions!$B$161*IF(G2&gt;=Assumptions!$B$54,1,0)+Assumptions!$B$162*IF(G2&gt;=Assumptions!$B$55,1,0)</f>
        <v/>
      </c>
      <c r="H24" s="50">
        <f>Assumptions!$B$160*1+Assumptions!$B$161*IF(H2&gt;=Assumptions!$B$54,1,0)+Assumptions!$B$162*IF(H2&gt;=Assumptions!$B$55,1,0)</f>
        <v/>
      </c>
      <c r="I24" s="50">
        <f>Assumptions!$B$160*1+Assumptions!$B$161*IF(I2&gt;=Assumptions!$B$54,1,0)+Assumptions!$B$162*IF(I2&gt;=Assumptions!$B$55,1,0)</f>
        <v/>
      </c>
      <c r="J24" s="50">
        <f>Assumptions!$B$160*1+Assumptions!$B$161*IF(J2&gt;=Assumptions!$B$54,1,0)+Assumptions!$B$162*IF(J2&gt;=Assumptions!$B$55,1,0)</f>
        <v/>
      </c>
      <c r="K24" s="50">
        <f>Assumptions!$B$160*1+Assumptions!$B$161*IF(K2&gt;=Assumptions!$B$54,1,0)+Assumptions!$B$162*IF(K2&gt;=Assumptions!$B$55,1,0)</f>
        <v/>
      </c>
      <c r="L24" s="50">
        <f>Assumptions!$B$160*1+Assumptions!$B$161*IF(L2&gt;=Assumptions!$B$54,1,0)+Assumptions!$B$162*IF(L2&gt;=Assumptions!$B$55,1,0)</f>
        <v/>
      </c>
      <c r="M24" s="50">
        <f>Assumptions!$B$160*1+Assumptions!$B$161*IF(M2&gt;=Assumptions!$B$54,1,0)+Assumptions!$B$162*IF(M2&gt;=Assumptions!$B$55,1,0)</f>
        <v/>
      </c>
      <c r="N24" s="50">
        <f>Assumptions!$B$160*1+Assumptions!$B$161*IF(N2&gt;=Assumptions!$B$54,1,0)+Assumptions!$B$162*IF(N2&gt;=Assumptions!$B$55,1,0)</f>
        <v/>
      </c>
      <c r="O24" s="50">
        <f>Assumptions!$B$160*1+Assumptions!$B$161*IF(O2&gt;=Assumptions!$B$54,1,0)+Assumptions!$B$162*IF(O2&gt;=Assumptions!$B$55,1,0)</f>
        <v/>
      </c>
      <c r="P24" s="50">
        <f>Assumptions!$B$160*1+Assumptions!$B$161*IF(P2&gt;=Assumptions!$B$54,1,0)+Assumptions!$B$162*IF(P2&gt;=Assumptions!$B$55,1,0)</f>
        <v/>
      </c>
      <c r="Q24" s="50">
        <f>Assumptions!$B$160*1+Assumptions!$B$161*IF(Q2&gt;=Assumptions!$B$54,1,0)+Assumptions!$B$162*IF(Q2&gt;=Assumptions!$B$55,1,0)</f>
        <v/>
      </c>
      <c r="R24" s="50">
        <f>Assumptions!$B$160*1+Assumptions!$B$161*IF(R2&gt;=Assumptions!$B$54,1,0)+Assumptions!$B$162*IF(R2&gt;=Assumptions!$B$55,1,0)</f>
        <v/>
      </c>
      <c r="S24" s="50">
        <f>Assumptions!$B$160*1+Assumptions!$B$161*IF(S2&gt;=Assumptions!$B$54,1,0)+Assumptions!$B$162*IF(S2&gt;=Assumptions!$B$55,1,0)</f>
        <v/>
      </c>
      <c r="T24" s="50">
        <f>Assumptions!$B$160*1+Assumptions!$B$161*IF(T2&gt;=Assumptions!$B$54,1,0)+Assumptions!$B$162*IF(T2&gt;=Assumptions!$B$55,1,0)</f>
        <v/>
      </c>
      <c r="U24" s="50">
        <f>Assumptions!$B$160*1+Assumptions!$B$161*IF(U2&gt;=Assumptions!$B$54,1,0)+Assumptions!$B$162*IF(U2&gt;=Assumptions!$B$55,1,0)</f>
        <v/>
      </c>
      <c r="V24" s="50">
        <f>Assumptions!$B$160*1+Assumptions!$B$161*IF(V2&gt;=Assumptions!$B$54,1,0)+Assumptions!$B$162*IF(V2&gt;=Assumptions!$B$55,1,0)</f>
        <v/>
      </c>
      <c r="W24" s="50">
        <f>Assumptions!$B$160*1+Assumptions!$B$161*IF(W2&gt;=Assumptions!$B$54,1,0)+Assumptions!$B$162*IF(W2&gt;=Assumptions!$B$55,1,0)</f>
        <v/>
      </c>
      <c r="X24" s="50">
        <f>Assumptions!$B$160*1+Assumptions!$B$161*IF(X2&gt;=Assumptions!$B$54,1,0)+Assumptions!$B$162*IF(X2&gt;=Assumptions!$B$55,1,0)</f>
        <v/>
      </c>
      <c r="Y24" s="50">
        <f>Assumptions!$B$160*1+Assumptions!$B$161*IF(Y2&gt;=Assumptions!$B$54,1,0)+Assumptions!$B$162*IF(Y2&gt;=Assumptions!$B$55,1,0)</f>
        <v/>
      </c>
      <c r="Z24" s="50">
        <f>Assumptions!$B$160*1+Assumptions!$B$161*IF(Z2&gt;=Assumptions!$B$54,1,0)+Assumptions!$B$162*IF(Z2&gt;=Assumptions!$B$55,1,0)</f>
        <v/>
      </c>
      <c r="AA24" s="50">
        <f>Assumptions!$B$160*1+Assumptions!$B$161*IF(AA2&gt;=Assumptions!$B$54,1,0)+Assumptions!$B$162*IF(AA2&gt;=Assumptions!$B$55,1,0)</f>
        <v/>
      </c>
      <c r="AB24" s="50">
        <f>Assumptions!$B$160*1+Assumptions!$B$161*IF(AB2&gt;=Assumptions!$B$54,1,0)+Assumptions!$B$162*IF(AB2&gt;=Assumptions!$B$55,1,0)</f>
        <v/>
      </c>
      <c r="AC24" s="50">
        <f>Assumptions!$B$160*1+Assumptions!$B$161*IF(AC2&gt;=Assumptions!$B$54,1,0)+Assumptions!$B$162*IF(AC2&gt;=Assumptions!$B$55,1,0)</f>
        <v/>
      </c>
      <c r="AD24" s="50">
        <f>Assumptions!$B$160*1+Assumptions!$B$161*IF(AD2&gt;=Assumptions!$B$54,1,0)+Assumptions!$B$162*IF(AD2&gt;=Assumptions!$B$55,1,0)</f>
        <v/>
      </c>
      <c r="AE24" s="50">
        <f>Assumptions!$B$160*1+Assumptions!$B$161*IF(AE2&gt;=Assumptions!$B$54,1,0)+Assumptions!$B$162*IF(AE2&gt;=Assumptions!$B$55,1,0)</f>
        <v/>
      </c>
    </row>
    <row r="26">
      <c r="A26" s="45" t="inlineStr">
        <is>
          <t>REGION: UAE</t>
        </is>
      </c>
      <c r="B26" s="46" t="n"/>
      <c r="C26" s="46" t="n"/>
      <c r="D26" s="46" t="n"/>
      <c r="E26" s="46" t="n"/>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c r="AB26" s="46" t="n"/>
      <c r="AC26" s="46" t="n"/>
      <c r="AD26" s="46" t="n"/>
      <c r="AE26" s="46" t="n"/>
    </row>
    <row r="27">
      <c r="A27" s="6" t="inlineStr">
        <is>
          <t xml:space="preserve">  Raw demand</t>
        </is>
      </c>
      <c r="B27" s="23" t="inlineStr">
        <is>
          <t>accounts</t>
        </is>
      </c>
      <c r="C27" s="53">
        <f>C23*Assumptions!$B$160*1/C24+C20*Assumptions!$B$107</f>
        <v/>
      </c>
      <c r="D27" s="53">
        <f>D23*Assumptions!$B$160*1/D24+D20*Assumptions!$B$107</f>
        <v/>
      </c>
      <c r="E27" s="53">
        <f>E23*Assumptions!$B$160*1/E24+E20*Assumptions!$B$107</f>
        <v/>
      </c>
      <c r="F27" s="53">
        <f>F23*Assumptions!$B$160*1/F24+F20*Assumptions!$B$107</f>
        <v/>
      </c>
      <c r="G27" s="53">
        <f>G23*Assumptions!$B$160*1/G24+G20*Assumptions!$B$107</f>
        <v/>
      </c>
      <c r="H27" s="53">
        <f>H23*Assumptions!$B$160*1/H24+H20*Assumptions!$B$107</f>
        <v/>
      </c>
      <c r="I27" s="53">
        <f>I23*Assumptions!$B$160*1/I24+I20*Assumptions!$B$107</f>
        <v/>
      </c>
      <c r="J27" s="53">
        <f>J23*Assumptions!$B$160*1/J24+J20*Assumptions!$B$107</f>
        <v/>
      </c>
      <c r="K27" s="53">
        <f>K23*Assumptions!$B$160*1/K24+K20*Assumptions!$B$107</f>
        <v/>
      </c>
      <c r="L27" s="53">
        <f>L23*Assumptions!$B$160*1/L24+L20*Assumptions!$B$107</f>
        <v/>
      </c>
      <c r="M27" s="53">
        <f>M23*Assumptions!$B$160*1/M24+M20*Assumptions!$B$107</f>
        <v/>
      </c>
      <c r="N27" s="53">
        <f>N23*Assumptions!$B$160*1/N24+N20*Assumptions!$B$107</f>
        <v/>
      </c>
      <c r="O27" s="53">
        <f>O23*Assumptions!$B$160*1/O24+O20*Assumptions!$B$107</f>
        <v/>
      </c>
      <c r="P27" s="53">
        <f>P23*Assumptions!$B$160*1/P24+P20*Assumptions!$B$107</f>
        <v/>
      </c>
      <c r="Q27" s="53">
        <f>Q23*Assumptions!$B$160*1/Q24+Q20*Assumptions!$B$107</f>
        <v/>
      </c>
      <c r="R27" s="53">
        <f>R23*Assumptions!$B$160*1/R24+R20*Assumptions!$B$107</f>
        <v/>
      </c>
      <c r="S27" s="53">
        <f>S23*Assumptions!$B$160*1/S24+S20*Assumptions!$B$107</f>
        <v/>
      </c>
      <c r="T27" s="53">
        <f>T23*Assumptions!$B$160*1/T24+T20*Assumptions!$B$107</f>
        <v/>
      </c>
      <c r="U27" s="53">
        <f>U23*Assumptions!$B$160*1/U24+U20*Assumptions!$B$107</f>
        <v/>
      </c>
      <c r="V27" s="53">
        <f>V23*Assumptions!$B$160*1/V24+V20*Assumptions!$B$107</f>
        <v/>
      </c>
      <c r="W27" s="53">
        <f>W23*Assumptions!$B$160*1/W24+W20*Assumptions!$B$107</f>
        <v/>
      </c>
      <c r="X27" s="53">
        <f>X23*Assumptions!$B$160*1/X24+X20*Assumptions!$B$107</f>
        <v/>
      </c>
      <c r="Y27" s="53">
        <f>Y23*Assumptions!$B$160*1/Y24+Y20*Assumptions!$B$107</f>
        <v/>
      </c>
      <c r="Z27" s="53">
        <f>Z23*Assumptions!$B$160*1/Z24+Z20*Assumptions!$B$107</f>
        <v/>
      </c>
      <c r="AA27" s="53">
        <f>AA23*Assumptions!$B$160*1/AA24+AA20*Assumptions!$B$107</f>
        <v/>
      </c>
      <c r="AB27" s="53">
        <f>AB23*Assumptions!$B$160*1/AB24+AB20*Assumptions!$B$107</f>
        <v/>
      </c>
      <c r="AC27" s="53">
        <f>AC23*Assumptions!$B$160*1/AC24+AC20*Assumptions!$B$107</f>
        <v/>
      </c>
      <c r="AD27" s="53">
        <f>AD23*Assumptions!$B$160*1/AD24+AD20*Assumptions!$B$107</f>
        <v/>
      </c>
      <c r="AE27" s="53">
        <f>AE23*Assumptions!$B$160*1/AE24+AE20*Assumptions!$B$107</f>
        <v/>
      </c>
    </row>
    <row r="28">
      <c r="A28" s="6" t="inlineStr">
        <is>
          <t xml:space="preserve">  Saturation (this region's own headroom)</t>
        </is>
      </c>
      <c r="B28" s="23" t="inlineStr">
        <is>
          <t>x</t>
        </is>
      </c>
      <c r="C28" s="50" t="n">
        <v>1</v>
      </c>
      <c r="D28" s="50">
        <f>MAX(0,1-C33/Assumptions!$B$82)</f>
        <v/>
      </c>
      <c r="E28" s="50">
        <f>MAX(0,1-D33/Assumptions!$B$82)</f>
        <v/>
      </c>
      <c r="F28" s="50">
        <f>MAX(0,1-E33/Assumptions!$B$82)</f>
        <v/>
      </c>
      <c r="G28" s="50">
        <f>MAX(0,1-F33/Assumptions!$B$82)</f>
        <v/>
      </c>
      <c r="H28" s="50">
        <f>MAX(0,1-G33/Assumptions!$B$82)</f>
        <v/>
      </c>
      <c r="I28" s="50">
        <f>MAX(0,1-H33/Assumptions!$B$82)</f>
        <v/>
      </c>
      <c r="J28" s="50">
        <f>MAX(0,1-I33/Assumptions!$B$82)</f>
        <v/>
      </c>
      <c r="K28" s="50">
        <f>MAX(0,1-J33/Assumptions!$B$82)</f>
        <v/>
      </c>
      <c r="L28" s="50">
        <f>MAX(0,1-K33/Assumptions!$B$82)</f>
        <v/>
      </c>
      <c r="M28" s="50">
        <f>MAX(0,1-L33/Assumptions!$B$82)</f>
        <v/>
      </c>
      <c r="N28" s="50">
        <f>MAX(0,1-M33/Assumptions!$B$82)</f>
        <v/>
      </c>
      <c r="O28" s="50">
        <f>MAX(0,1-N33/Assumptions!$B$82)</f>
        <v/>
      </c>
      <c r="P28" s="50">
        <f>MAX(0,1-O33/Assumptions!$B$82)</f>
        <v/>
      </c>
      <c r="Q28" s="50">
        <f>MAX(0,1-P33/Assumptions!$B$82)</f>
        <v/>
      </c>
      <c r="R28" s="50">
        <f>MAX(0,1-Q33/Assumptions!$B$82)</f>
        <v/>
      </c>
      <c r="S28" s="50">
        <f>MAX(0,1-R33/Assumptions!$B$82)</f>
        <v/>
      </c>
      <c r="T28" s="50">
        <f>MAX(0,1-S33/Assumptions!$B$82)</f>
        <v/>
      </c>
      <c r="U28" s="50">
        <f>MAX(0,1-T33/Assumptions!$B$82)</f>
        <v/>
      </c>
      <c r="V28" s="50">
        <f>MAX(0,1-U33/Assumptions!$B$82)</f>
        <v/>
      </c>
      <c r="W28" s="50">
        <f>MAX(0,1-V33/Assumptions!$B$82)</f>
        <v/>
      </c>
      <c r="X28" s="50">
        <f>MAX(0,1-W33/Assumptions!$B$82)</f>
        <v/>
      </c>
      <c r="Y28" s="50">
        <f>MAX(0,1-X33/Assumptions!$B$82)</f>
        <v/>
      </c>
      <c r="Z28" s="50">
        <f>MAX(0,1-Y33/Assumptions!$B$82)</f>
        <v/>
      </c>
      <c r="AA28" s="50">
        <f>MAX(0,1-Z33/Assumptions!$B$82)</f>
        <v/>
      </c>
      <c r="AB28" s="50">
        <f>MAX(0,1-AA33/Assumptions!$B$82)</f>
        <v/>
      </c>
      <c r="AC28" s="50">
        <f>MAX(0,1-AB33/Assumptions!$B$82)</f>
        <v/>
      </c>
      <c r="AD28" s="50">
        <f>MAX(0,1-AC33/Assumptions!$B$82)</f>
        <v/>
      </c>
      <c r="AE28" s="50">
        <f>MAX(0,1-AD33/Assumptions!$B$82)</f>
        <v/>
      </c>
    </row>
    <row r="29">
      <c r="A29" s="6" t="inlineStr">
        <is>
          <t xml:space="preserve">  New customers</t>
        </is>
      </c>
      <c r="B29" s="23" t="inlineStr">
        <is>
          <t>accounts</t>
        </is>
      </c>
      <c r="C29" s="53">
        <f>C27*C28*C15</f>
        <v/>
      </c>
      <c r="D29" s="53">
        <f>D27*D28*D15</f>
        <v/>
      </c>
      <c r="E29" s="53">
        <f>E27*E28*E15</f>
        <v/>
      </c>
      <c r="F29" s="53">
        <f>F27*F28*F15</f>
        <v/>
      </c>
      <c r="G29" s="53">
        <f>G27*G28*G15</f>
        <v/>
      </c>
      <c r="H29" s="53">
        <f>H27*H28*H15</f>
        <v/>
      </c>
      <c r="I29" s="53">
        <f>I27*I28*I15</f>
        <v/>
      </c>
      <c r="J29" s="53">
        <f>J27*J28*J15</f>
        <v/>
      </c>
      <c r="K29" s="53">
        <f>K27*K28*K15</f>
        <v/>
      </c>
      <c r="L29" s="53">
        <f>L27*L28*L15</f>
        <v/>
      </c>
      <c r="M29" s="53">
        <f>M27*M28*M15</f>
        <v/>
      </c>
      <c r="N29" s="53">
        <f>N27*N28*N15</f>
        <v/>
      </c>
      <c r="O29" s="53">
        <f>O27*O28*O15</f>
        <v/>
      </c>
      <c r="P29" s="53">
        <f>P27*P28*P15</f>
        <v/>
      </c>
      <c r="Q29" s="53">
        <f>Q27*Q28*Q15</f>
        <v/>
      </c>
      <c r="R29" s="53">
        <f>R27*R28*R15</f>
        <v/>
      </c>
      <c r="S29" s="53">
        <f>S27*S28*S15</f>
        <v/>
      </c>
      <c r="T29" s="53">
        <f>T27*T28*T15</f>
        <v/>
      </c>
      <c r="U29" s="53">
        <f>U27*U28*U15</f>
        <v/>
      </c>
      <c r="V29" s="53">
        <f>V27*V28*V15</f>
        <v/>
      </c>
      <c r="W29" s="53">
        <f>W27*W28*W15</f>
        <v/>
      </c>
      <c r="X29" s="53">
        <f>X27*X28*X15</f>
        <v/>
      </c>
      <c r="Y29" s="53">
        <f>Y27*Y28*Y15</f>
        <v/>
      </c>
      <c r="Z29" s="53">
        <f>Z27*Z28*Z15</f>
        <v/>
      </c>
      <c r="AA29" s="53">
        <f>AA27*AA28*AA15</f>
        <v/>
      </c>
      <c r="AB29" s="53">
        <f>AB27*AB28*AB15</f>
        <v/>
      </c>
      <c r="AC29" s="53">
        <f>AC27*AC28*AC15</f>
        <v/>
      </c>
      <c r="AD29" s="53">
        <f>AD27*AD28*AD15</f>
        <v/>
      </c>
      <c r="AE29" s="53">
        <f>AE27*AE28*AE15</f>
        <v/>
      </c>
    </row>
    <row r="30">
      <c r="A30" s="6" t="inlineStr">
        <is>
          <t xml:space="preserve">  Paying customers</t>
        </is>
      </c>
      <c r="B30" s="23" t="inlineStr">
        <is>
          <t>accounts</t>
        </is>
      </c>
      <c r="C30" s="28">
        <f>C29*(1-Assumptions!$B$114)^(C7/2)</f>
        <v/>
      </c>
      <c r="D30" s="28">
        <f>C30*(1-Assumptions!$B$114)^D7+D29*(1-Assumptions!$B$114)^(D7/2)</f>
        <v/>
      </c>
      <c r="E30" s="28">
        <f>D30*(1-Assumptions!$B$114)^E7+E29*(1-Assumptions!$B$114)^(E7/2)</f>
        <v/>
      </c>
      <c r="F30" s="28">
        <f>E30*(1-Assumptions!$B$114)^F7+F29*(1-Assumptions!$B$114)^(F7/2)</f>
        <v/>
      </c>
      <c r="G30" s="28">
        <f>F30*(1-Assumptions!$B$114)^G7+G29*(1-Assumptions!$B$114)^(G7/2)</f>
        <v/>
      </c>
      <c r="H30" s="28">
        <f>G30*(1-Assumptions!$B$114)^H7+H29*(1-Assumptions!$B$114)^(H7/2)</f>
        <v/>
      </c>
      <c r="I30" s="28">
        <f>H30*(1-Assumptions!$B$114)^I7+I29*(1-Assumptions!$B$114)^(I7/2)</f>
        <v/>
      </c>
      <c r="J30" s="28">
        <f>I30*(1-Assumptions!$B$114)^J7+J29*(1-Assumptions!$B$114)^(J7/2)</f>
        <v/>
      </c>
      <c r="K30" s="28">
        <f>J30*(1-Assumptions!$B$114)^K7+K29*(1-Assumptions!$B$114)^(K7/2)</f>
        <v/>
      </c>
      <c r="L30" s="28">
        <f>K30*(1-Assumptions!$B$114)^L7+L29*(1-Assumptions!$B$114)^(L7/2)</f>
        <v/>
      </c>
      <c r="M30" s="28">
        <f>L30*(1-Assumptions!$B$114)^M7+M29*(1-Assumptions!$B$114)^(M7/2)</f>
        <v/>
      </c>
      <c r="N30" s="28">
        <f>M30*(1-Assumptions!$B$114)^N7+N29*(1-Assumptions!$B$114)^(N7/2)</f>
        <v/>
      </c>
      <c r="O30" s="28">
        <f>N30*(1-Assumptions!$B$114)^O7+O29*(1-Assumptions!$B$114)^(O7/2)</f>
        <v/>
      </c>
      <c r="P30" s="28">
        <f>O30*(1-Assumptions!$B$114)^P7+P29*(1-Assumptions!$B$114)^(P7/2)</f>
        <v/>
      </c>
      <c r="Q30" s="28">
        <f>P30*(1-Assumptions!$B$114)^Q7+Q29*(1-Assumptions!$B$114)^(Q7/2)</f>
        <v/>
      </c>
      <c r="R30" s="28">
        <f>Q30*(1-Assumptions!$B$114)^R7+R29*(1-Assumptions!$B$114)^(R7/2)</f>
        <v/>
      </c>
      <c r="S30" s="28">
        <f>R30*(1-Assumptions!$B$114)^S7+S29*(1-Assumptions!$B$114)^(S7/2)</f>
        <v/>
      </c>
      <c r="T30" s="28">
        <f>S30*(1-Assumptions!$B$114)^T7+T29*(1-Assumptions!$B$114)^(T7/2)</f>
        <v/>
      </c>
      <c r="U30" s="28">
        <f>T30*(1-Assumptions!$B$114)^U7+U29*(1-Assumptions!$B$114)^(U7/2)</f>
        <v/>
      </c>
      <c r="V30" s="28">
        <f>U30*(1-Assumptions!$B$114)^V7+V29*(1-Assumptions!$B$114)^(V7/2)</f>
        <v/>
      </c>
      <c r="W30" s="28">
        <f>V30*(1-Assumptions!$B$114)^W7+W29*(1-Assumptions!$B$114)^(W7/2)</f>
        <v/>
      </c>
      <c r="X30" s="28">
        <f>W30*(1-Assumptions!$B$114)^X7+X29*(1-Assumptions!$B$114)^(X7/2)</f>
        <v/>
      </c>
      <c r="Y30" s="28">
        <f>X30*(1-Assumptions!$B$114)^Y7+Y29*(1-Assumptions!$B$114)^(Y7/2)</f>
        <v/>
      </c>
      <c r="Z30" s="28">
        <f>Y30*(1-Assumptions!$B$114)^Z7+Z29*(1-Assumptions!$B$114)^(Z7/2)</f>
        <v/>
      </c>
      <c r="AA30" s="28">
        <f>Z30*(1-Assumptions!$B$114)^AA7+AA29*(1-Assumptions!$B$114)^(AA7/2)</f>
        <v/>
      </c>
      <c r="AB30" s="28">
        <f>AA30*(1-Assumptions!$B$114)^AB7+AB29*(1-Assumptions!$B$114)^(AB7/2)</f>
        <v/>
      </c>
      <c r="AC30" s="28">
        <f>AB30*(1-Assumptions!$B$114)^AC7+AC29*(1-Assumptions!$B$114)^(AC7/2)</f>
        <v/>
      </c>
      <c r="AD30" s="28">
        <f>AC30*(1-Assumptions!$B$114)^AD7+AD29*(1-Assumptions!$B$114)^(AD7/2)</f>
        <v/>
      </c>
      <c r="AE30" s="28">
        <f>AD30*(1-Assumptions!$B$114)^AE7+AE29*(1-Assumptions!$B$114)^(AE7/2)</f>
        <v/>
      </c>
    </row>
    <row r="31">
      <c r="A31" s="6" t="inlineStr">
        <is>
          <t xml:space="preserve">  Churned this period</t>
        </is>
      </c>
      <c r="B31" s="23" t="inlineStr">
        <is>
          <t>accounts</t>
        </is>
      </c>
      <c r="C31" s="53">
        <f>C29-C30</f>
        <v/>
      </c>
      <c r="D31" s="53">
        <f>C30+D29-D30</f>
        <v/>
      </c>
      <c r="E31" s="53">
        <f>D30+E29-E30</f>
        <v/>
      </c>
      <c r="F31" s="53">
        <f>E30+F29-F30</f>
        <v/>
      </c>
      <c r="G31" s="53">
        <f>F30+G29-G30</f>
        <v/>
      </c>
      <c r="H31" s="53">
        <f>G30+H29-H30</f>
        <v/>
      </c>
      <c r="I31" s="53">
        <f>H30+I29-I30</f>
        <v/>
      </c>
      <c r="J31" s="53">
        <f>I30+J29-J30</f>
        <v/>
      </c>
      <c r="K31" s="53">
        <f>J30+K29-K30</f>
        <v/>
      </c>
      <c r="L31" s="53">
        <f>K30+L29-L30</f>
        <v/>
      </c>
      <c r="M31" s="53">
        <f>L30+M29-M30</f>
        <v/>
      </c>
      <c r="N31" s="53">
        <f>M30+N29-N30</f>
        <v/>
      </c>
      <c r="O31" s="53">
        <f>N30+O29-O30</f>
        <v/>
      </c>
      <c r="P31" s="53">
        <f>O30+P29-P30</f>
        <v/>
      </c>
      <c r="Q31" s="53">
        <f>P30+Q29-Q30</f>
        <v/>
      </c>
      <c r="R31" s="53">
        <f>Q30+R29-R30</f>
        <v/>
      </c>
      <c r="S31" s="53">
        <f>R30+S29-S30</f>
        <v/>
      </c>
      <c r="T31" s="53">
        <f>S30+T29-T30</f>
        <v/>
      </c>
      <c r="U31" s="53">
        <f>T30+U29-U30</f>
        <v/>
      </c>
      <c r="V31" s="53">
        <f>U30+V29-V30</f>
        <v/>
      </c>
      <c r="W31" s="53">
        <f>V30+W29-W30</f>
        <v/>
      </c>
      <c r="X31" s="53">
        <f>W30+X29-X30</f>
        <v/>
      </c>
      <c r="Y31" s="53">
        <f>X30+Y29-Y30</f>
        <v/>
      </c>
      <c r="Z31" s="53">
        <f>Y30+Z29-Z30</f>
        <v/>
      </c>
      <c r="AA31" s="53">
        <f>Z30+AA29-AA30</f>
        <v/>
      </c>
      <c r="AB31" s="53">
        <f>AA30+AB29-AB30</f>
        <v/>
      </c>
      <c r="AC31" s="53">
        <f>AB30+AC29-AC30</f>
        <v/>
      </c>
      <c r="AD31" s="53">
        <f>AC30+AD29-AD30</f>
        <v/>
      </c>
      <c r="AE31" s="53">
        <f>AD30+AE29-AE30</f>
        <v/>
      </c>
    </row>
    <row r="32">
      <c r="A32" s="6" t="inlineStr">
        <is>
          <t xml:space="preserve">  Holders (stopped paying, still hold gold)</t>
        </is>
      </c>
      <c r="B32" s="23" t="inlineStr">
        <is>
          <t>accounts</t>
        </is>
      </c>
      <c r="C32" s="44">
        <f>C31</f>
        <v/>
      </c>
      <c r="D32" s="44">
        <f>C32+D31</f>
        <v/>
      </c>
      <c r="E32" s="44">
        <f>D32+E31</f>
        <v/>
      </c>
      <c r="F32" s="44">
        <f>E32+F31</f>
        <v/>
      </c>
      <c r="G32" s="44">
        <f>F32+G31</f>
        <v/>
      </c>
      <c r="H32" s="44">
        <f>G32+H31</f>
        <v/>
      </c>
      <c r="I32" s="44">
        <f>H32+I31</f>
        <v/>
      </c>
      <c r="J32" s="44">
        <f>I32+J31</f>
        <v/>
      </c>
      <c r="K32" s="44">
        <f>J32+K31</f>
        <v/>
      </c>
      <c r="L32" s="44">
        <f>K32+L31</f>
        <v/>
      </c>
      <c r="M32" s="44">
        <f>L32+M31</f>
        <v/>
      </c>
      <c r="N32" s="44">
        <f>M32+N31</f>
        <v/>
      </c>
      <c r="O32" s="44">
        <f>N32+O31</f>
        <v/>
      </c>
      <c r="P32" s="44">
        <f>O32+P31</f>
        <v/>
      </c>
      <c r="Q32" s="44">
        <f>P32+Q31</f>
        <v/>
      </c>
      <c r="R32" s="44">
        <f>Q32+R31</f>
        <v/>
      </c>
      <c r="S32" s="44">
        <f>R32+S31</f>
        <v/>
      </c>
      <c r="T32" s="44">
        <f>S32+T31</f>
        <v/>
      </c>
      <c r="U32" s="44">
        <f>T32+U31</f>
        <v/>
      </c>
      <c r="V32" s="44">
        <f>U32+V31</f>
        <v/>
      </c>
      <c r="W32" s="44">
        <f>V32+W31</f>
        <v/>
      </c>
      <c r="X32" s="44">
        <f>W32+X31</f>
        <v/>
      </c>
      <c r="Y32" s="44">
        <f>X32+Y31</f>
        <v/>
      </c>
      <c r="Z32" s="44">
        <f>Y32+Z31</f>
        <v/>
      </c>
      <c r="AA32" s="44">
        <f>Z32+AA31</f>
        <v/>
      </c>
      <c r="AB32" s="44">
        <f>AA32+AB31</f>
        <v/>
      </c>
      <c r="AC32" s="44">
        <f>AB32+AC31</f>
        <v/>
      </c>
      <c r="AD32" s="44">
        <f>AC32+AD31</f>
        <v/>
      </c>
      <c r="AE32" s="44">
        <f>AD32+AE31</f>
        <v/>
      </c>
    </row>
    <row r="33">
      <c r="A33" s="6" t="inlineStr">
        <is>
          <t xml:space="preserve">  Cumulative ever acquired</t>
        </is>
      </c>
      <c r="B33" s="23" t="inlineStr">
        <is>
          <t>accounts</t>
        </is>
      </c>
      <c r="C33" s="44">
        <f>C29</f>
        <v/>
      </c>
      <c r="D33" s="44">
        <f>C33+D29</f>
        <v/>
      </c>
      <c r="E33" s="44">
        <f>D33+E29</f>
        <v/>
      </c>
      <c r="F33" s="44">
        <f>E33+F29</f>
        <v/>
      </c>
      <c r="G33" s="44">
        <f>F33+G29</f>
        <v/>
      </c>
      <c r="H33" s="44">
        <f>G33+H29</f>
        <v/>
      </c>
      <c r="I33" s="44">
        <f>H33+I29</f>
        <v/>
      </c>
      <c r="J33" s="44">
        <f>I33+J29</f>
        <v/>
      </c>
      <c r="K33" s="44">
        <f>J33+K29</f>
        <v/>
      </c>
      <c r="L33" s="44">
        <f>K33+L29</f>
        <v/>
      </c>
      <c r="M33" s="44">
        <f>L33+M29</f>
        <v/>
      </c>
      <c r="N33" s="44">
        <f>M33+N29</f>
        <v/>
      </c>
      <c r="O33" s="44">
        <f>N33+O29</f>
        <v/>
      </c>
      <c r="P33" s="44">
        <f>O33+P29</f>
        <v/>
      </c>
      <c r="Q33" s="44">
        <f>P33+Q29</f>
        <v/>
      </c>
      <c r="R33" s="44">
        <f>Q33+R29</f>
        <v/>
      </c>
      <c r="S33" s="44">
        <f>R33+S29</f>
        <v/>
      </c>
      <c r="T33" s="44">
        <f>S33+T29</f>
        <v/>
      </c>
      <c r="U33" s="44">
        <f>T33+U29</f>
        <v/>
      </c>
      <c r="V33" s="44">
        <f>U33+V29</f>
        <v/>
      </c>
      <c r="W33" s="44">
        <f>V33+W29</f>
        <v/>
      </c>
      <c r="X33" s="44">
        <f>W33+X29</f>
        <v/>
      </c>
      <c r="Y33" s="44">
        <f>X33+Y29</f>
        <v/>
      </c>
      <c r="Z33" s="44">
        <f>Y33+Z29</f>
        <v/>
      </c>
      <c r="AA33" s="44">
        <f>Z33+AA29</f>
        <v/>
      </c>
      <c r="AB33" s="44">
        <f>AA33+AB29</f>
        <v/>
      </c>
      <c r="AC33" s="44">
        <f>AB33+AC29</f>
        <v/>
      </c>
      <c r="AD33" s="44">
        <f>AC33+AD29</f>
        <v/>
      </c>
      <c r="AE33" s="44">
        <f>AD33+AE29</f>
        <v/>
      </c>
    </row>
    <row r="34">
      <c r="A34" s="6" t="inlineStr">
        <is>
          <t xml:space="preserve">  SIP contributions</t>
        </is>
      </c>
      <c r="B34" s="23" t="inlineStr">
        <is>
          <t>USD</t>
        </is>
      </c>
      <c r="C34" s="54">
        <f>IF(C2&gt;=Assumptions!$B$45,C30*Assumptions!$B$157*C7,0)</f>
        <v/>
      </c>
      <c r="D34" s="54">
        <f>IF(D2&gt;=Assumptions!$B$45,D30*Assumptions!$B$157*D7,0)</f>
        <v/>
      </c>
      <c r="E34" s="54">
        <f>IF(E2&gt;=Assumptions!$B$45,E30*Assumptions!$B$157*E7,0)</f>
        <v/>
      </c>
      <c r="F34" s="54">
        <f>IF(F2&gt;=Assumptions!$B$45,F30*Assumptions!$B$157*F7,0)</f>
        <v/>
      </c>
      <c r="G34" s="54">
        <f>IF(G2&gt;=Assumptions!$B$45,G30*Assumptions!$B$157*G7,0)</f>
        <v/>
      </c>
      <c r="H34" s="54">
        <f>IF(H2&gt;=Assumptions!$B$45,H30*Assumptions!$B$157*H7,0)</f>
        <v/>
      </c>
      <c r="I34" s="54">
        <f>IF(I2&gt;=Assumptions!$B$45,I30*Assumptions!$B$157*I7,0)</f>
        <v/>
      </c>
      <c r="J34" s="54">
        <f>IF(J2&gt;=Assumptions!$B$45,J30*Assumptions!$B$157*J7,0)</f>
        <v/>
      </c>
      <c r="K34" s="54">
        <f>IF(K2&gt;=Assumptions!$B$45,K30*Assumptions!$B$157*K7,0)</f>
        <v/>
      </c>
      <c r="L34" s="54">
        <f>IF(L2&gt;=Assumptions!$B$45,L30*Assumptions!$B$157*L7,0)</f>
        <v/>
      </c>
      <c r="M34" s="54">
        <f>IF(M2&gt;=Assumptions!$B$45,M30*Assumptions!$B$157*M7,0)</f>
        <v/>
      </c>
      <c r="N34" s="54">
        <f>IF(N2&gt;=Assumptions!$B$45,N30*Assumptions!$B$157*N7,0)</f>
        <v/>
      </c>
      <c r="O34" s="54">
        <f>IF(O2&gt;=Assumptions!$B$45,O30*Assumptions!$B$157*O7,0)</f>
        <v/>
      </c>
      <c r="P34" s="54">
        <f>IF(P2&gt;=Assumptions!$B$45,P30*Assumptions!$B$157*P7,0)</f>
        <v/>
      </c>
      <c r="Q34" s="54">
        <f>IF(Q2&gt;=Assumptions!$B$45,Q30*Assumptions!$B$157*Q7,0)</f>
        <v/>
      </c>
      <c r="R34" s="54">
        <f>IF(R2&gt;=Assumptions!$B$45,R30*Assumptions!$B$157*R7,0)</f>
        <v/>
      </c>
      <c r="S34" s="54">
        <f>IF(S2&gt;=Assumptions!$B$45,S30*Assumptions!$B$157*S7,0)</f>
        <v/>
      </c>
      <c r="T34" s="54">
        <f>IF(T2&gt;=Assumptions!$B$45,T30*Assumptions!$B$157*T7,0)</f>
        <v/>
      </c>
      <c r="U34" s="54">
        <f>IF(U2&gt;=Assumptions!$B$45,U30*Assumptions!$B$157*U7,0)</f>
        <v/>
      </c>
      <c r="V34" s="54">
        <f>IF(V2&gt;=Assumptions!$B$45,V30*Assumptions!$B$157*V7,0)</f>
        <v/>
      </c>
      <c r="W34" s="54">
        <f>IF(W2&gt;=Assumptions!$B$45,W30*Assumptions!$B$157*W7,0)</f>
        <v/>
      </c>
      <c r="X34" s="54">
        <f>IF(X2&gt;=Assumptions!$B$45,X30*Assumptions!$B$157*X7,0)</f>
        <v/>
      </c>
      <c r="Y34" s="54">
        <f>IF(Y2&gt;=Assumptions!$B$45,Y30*Assumptions!$B$157*Y7,0)</f>
        <v/>
      </c>
      <c r="Z34" s="54">
        <f>IF(Z2&gt;=Assumptions!$B$45,Z30*Assumptions!$B$157*Z7,0)</f>
        <v/>
      </c>
      <c r="AA34" s="54">
        <f>IF(AA2&gt;=Assumptions!$B$45,AA30*Assumptions!$B$157*AA7,0)</f>
        <v/>
      </c>
      <c r="AB34" s="54">
        <f>IF(AB2&gt;=Assumptions!$B$45,AB30*Assumptions!$B$157*AB7,0)</f>
        <v/>
      </c>
      <c r="AC34" s="54">
        <f>IF(AC2&gt;=Assumptions!$B$45,AC30*Assumptions!$B$157*AC7,0)</f>
        <v/>
      </c>
      <c r="AD34" s="54">
        <f>IF(AD2&gt;=Assumptions!$B$45,AD30*Assumptions!$B$157*AD7,0)</f>
        <v/>
      </c>
      <c r="AE34" s="54">
        <f>IF(AE2&gt;=Assumptions!$B$45,AE30*Assumptions!$B$157*AE7,0)</f>
        <v/>
      </c>
    </row>
    <row r="35">
      <c r="A35" s="6" t="inlineStr">
        <is>
          <t xml:space="preserve">  Spot purchase volume</t>
        </is>
      </c>
      <c r="B35" s="23" t="inlineStr">
        <is>
          <t>USD</t>
        </is>
      </c>
      <c r="C35" s="54">
        <f>IF(C2&gt;=Assumptions!$B$46,C30*Assumptions!$B$33*Assumptions!$B$126*Assumptions!$B$128*Assumptions!$B$127/12*C7,0)</f>
        <v/>
      </c>
      <c r="D35" s="54">
        <f>IF(D2&gt;=Assumptions!$B$46,D30*Assumptions!$B$33*Assumptions!$B$126*Assumptions!$B$128*Assumptions!$B$127/12*D7,0)</f>
        <v/>
      </c>
      <c r="E35" s="54">
        <f>IF(E2&gt;=Assumptions!$B$46,E30*Assumptions!$B$33*Assumptions!$B$126*Assumptions!$B$128*Assumptions!$B$127/12*E7,0)</f>
        <v/>
      </c>
      <c r="F35" s="54">
        <f>IF(F2&gt;=Assumptions!$B$46,F30*Assumptions!$B$33*Assumptions!$B$126*Assumptions!$B$128*Assumptions!$B$127/12*F7,0)</f>
        <v/>
      </c>
      <c r="G35" s="54">
        <f>IF(G2&gt;=Assumptions!$B$46,G30*Assumptions!$B$33*Assumptions!$B$126*Assumptions!$B$128*Assumptions!$B$127/12*G7,0)</f>
        <v/>
      </c>
      <c r="H35" s="54">
        <f>IF(H2&gt;=Assumptions!$B$46,H30*Assumptions!$B$33*Assumptions!$B$126*Assumptions!$B$128*Assumptions!$B$127/12*H7,0)</f>
        <v/>
      </c>
      <c r="I35" s="54">
        <f>IF(I2&gt;=Assumptions!$B$46,I30*Assumptions!$B$33*Assumptions!$B$126*Assumptions!$B$128*Assumptions!$B$127/12*I7,0)</f>
        <v/>
      </c>
      <c r="J35" s="54">
        <f>IF(J2&gt;=Assumptions!$B$46,J30*Assumptions!$B$33*Assumptions!$B$126*Assumptions!$B$128*Assumptions!$B$127/12*J7,0)</f>
        <v/>
      </c>
      <c r="K35" s="54">
        <f>IF(K2&gt;=Assumptions!$B$46,K30*Assumptions!$B$33*Assumptions!$B$126*Assumptions!$B$128*Assumptions!$B$127/12*K7,0)</f>
        <v/>
      </c>
      <c r="L35" s="54">
        <f>IF(L2&gt;=Assumptions!$B$46,L30*Assumptions!$B$33*Assumptions!$B$126*Assumptions!$B$128*Assumptions!$B$127/12*L7,0)</f>
        <v/>
      </c>
      <c r="M35" s="54">
        <f>IF(M2&gt;=Assumptions!$B$46,M30*Assumptions!$B$33*Assumptions!$B$126*Assumptions!$B$128*Assumptions!$B$127/12*M7,0)</f>
        <v/>
      </c>
      <c r="N35" s="54">
        <f>IF(N2&gt;=Assumptions!$B$46,N30*Assumptions!$B$33*Assumptions!$B$126*Assumptions!$B$128*Assumptions!$B$127/12*N7,0)</f>
        <v/>
      </c>
      <c r="O35" s="54">
        <f>IF(O2&gt;=Assumptions!$B$46,O30*Assumptions!$B$33*Assumptions!$B$126*Assumptions!$B$128*Assumptions!$B$127/12*O7,0)</f>
        <v/>
      </c>
      <c r="P35" s="54">
        <f>IF(P2&gt;=Assumptions!$B$46,P30*Assumptions!$B$33*Assumptions!$B$126*Assumptions!$B$128*Assumptions!$B$127/12*P7,0)</f>
        <v/>
      </c>
      <c r="Q35" s="54">
        <f>IF(Q2&gt;=Assumptions!$B$46,Q30*Assumptions!$B$33*Assumptions!$B$126*Assumptions!$B$128*Assumptions!$B$127/12*Q7,0)</f>
        <v/>
      </c>
      <c r="R35" s="54">
        <f>IF(R2&gt;=Assumptions!$B$46,R30*Assumptions!$B$33*Assumptions!$B$126*Assumptions!$B$128*Assumptions!$B$127/12*R7,0)</f>
        <v/>
      </c>
      <c r="S35" s="54">
        <f>IF(S2&gt;=Assumptions!$B$46,S30*Assumptions!$B$33*Assumptions!$B$126*Assumptions!$B$128*Assumptions!$B$127/12*S7,0)</f>
        <v/>
      </c>
      <c r="T35" s="54">
        <f>IF(T2&gt;=Assumptions!$B$46,T30*Assumptions!$B$33*Assumptions!$B$126*Assumptions!$B$128*Assumptions!$B$127/12*T7,0)</f>
        <v/>
      </c>
      <c r="U35" s="54">
        <f>IF(U2&gt;=Assumptions!$B$46,U30*Assumptions!$B$33*Assumptions!$B$126*Assumptions!$B$128*Assumptions!$B$127/12*U7,0)</f>
        <v/>
      </c>
      <c r="V35" s="54">
        <f>IF(V2&gt;=Assumptions!$B$46,V30*Assumptions!$B$33*Assumptions!$B$126*Assumptions!$B$128*Assumptions!$B$127/12*V7,0)</f>
        <v/>
      </c>
      <c r="W35" s="54">
        <f>IF(W2&gt;=Assumptions!$B$46,W30*Assumptions!$B$33*Assumptions!$B$126*Assumptions!$B$128*Assumptions!$B$127/12*W7,0)</f>
        <v/>
      </c>
      <c r="X35" s="54">
        <f>IF(X2&gt;=Assumptions!$B$46,X30*Assumptions!$B$33*Assumptions!$B$126*Assumptions!$B$128*Assumptions!$B$127/12*X7,0)</f>
        <v/>
      </c>
      <c r="Y35" s="54">
        <f>IF(Y2&gt;=Assumptions!$B$46,Y30*Assumptions!$B$33*Assumptions!$B$126*Assumptions!$B$128*Assumptions!$B$127/12*Y7,0)</f>
        <v/>
      </c>
      <c r="Z35" s="54">
        <f>IF(Z2&gt;=Assumptions!$B$46,Z30*Assumptions!$B$33*Assumptions!$B$126*Assumptions!$B$128*Assumptions!$B$127/12*Z7,0)</f>
        <v/>
      </c>
      <c r="AA35" s="54">
        <f>IF(AA2&gt;=Assumptions!$B$46,AA30*Assumptions!$B$33*Assumptions!$B$126*Assumptions!$B$128*Assumptions!$B$127/12*AA7,0)</f>
        <v/>
      </c>
      <c r="AB35" s="54">
        <f>IF(AB2&gt;=Assumptions!$B$46,AB30*Assumptions!$B$33*Assumptions!$B$126*Assumptions!$B$128*Assumptions!$B$127/12*AB7,0)</f>
        <v/>
      </c>
      <c r="AC35" s="54">
        <f>IF(AC2&gt;=Assumptions!$B$46,AC30*Assumptions!$B$33*Assumptions!$B$126*Assumptions!$B$128*Assumptions!$B$127/12*AC7,0)</f>
        <v/>
      </c>
      <c r="AD35" s="54">
        <f>IF(AD2&gt;=Assumptions!$B$46,AD30*Assumptions!$B$33*Assumptions!$B$126*Assumptions!$B$128*Assumptions!$B$127/12*AD7,0)</f>
        <v/>
      </c>
      <c r="AE35" s="54">
        <f>IF(AE2&gt;=Assumptions!$B$46,AE30*Assumptions!$B$33*Assumptions!$B$126*Assumptions!$B$128*Assumptions!$B$127/12*AE7,0)</f>
        <v/>
      </c>
    </row>
    <row r="36">
      <c r="A36" s="6" t="inlineStr">
        <is>
          <t xml:space="preserve">  Grams purchased</t>
        </is>
      </c>
      <c r="B36" s="23" t="inlineStr">
        <is>
          <t>grams</t>
        </is>
      </c>
      <c r="C36" s="53">
        <f>(C34+C35)*(1-Assumptions!$B$8)/Assumptions!$B$6/(1+Assumptions!$B$9)</f>
        <v/>
      </c>
      <c r="D36" s="53">
        <f>(D34+D35)*(1-Assumptions!$B$8)/Assumptions!$B$6/(1+Assumptions!$B$9)</f>
        <v/>
      </c>
      <c r="E36" s="53">
        <f>(E34+E35)*(1-Assumptions!$B$8)/Assumptions!$B$6/(1+Assumptions!$B$9)</f>
        <v/>
      </c>
      <c r="F36" s="53">
        <f>(F34+F35)*(1-Assumptions!$B$8)/Assumptions!$B$6/(1+Assumptions!$B$9)</f>
        <v/>
      </c>
      <c r="G36" s="53">
        <f>(G34+G35)*(1-Assumptions!$B$8)/Assumptions!$B$6/(1+Assumptions!$B$9)</f>
        <v/>
      </c>
      <c r="H36" s="53">
        <f>(H34+H35)*(1-Assumptions!$B$8)/Assumptions!$B$6/(1+Assumptions!$B$9)</f>
        <v/>
      </c>
      <c r="I36" s="53">
        <f>(I34+I35)*(1-Assumptions!$B$8)/Assumptions!$B$6/(1+Assumptions!$B$9)</f>
        <v/>
      </c>
      <c r="J36" s="53">
        <f>(J34+J35)*(1-Assumptions!$B$8)/Assumptions!$B$6/(1+Assumptions!$B$9)</f>
        <v/>
      </c>
      <c r="K36" s="53">
        <f>(K34+K35)*(1-Assumptions!$B$8)/Assumptions!$B$6/(1+Assumptions!$B$9)</f>
        <v/>
      </c>
      <c r="L36" s="53">
        <f>(L34+L35)*(1-Assumptions!$B$8)/Assumptions!$B$6/(1+Assumptions!$B$9)</f>
        <v/>
      </c>
      <c r="M36" s="53">
        <f>(M34+M35)*(1-Assumptions!$B$8)/Assumptions!$B$6/(1+Assumptions!$B$9)</f>
        <v/>
      </c>
      <c r="N36" s="53">
        <f>(N34+N35)*(1-Assumptions!$B$8)/Assumptions!$B$6/(1+Assumptions!$B$9)</f>
        <v/>
      </c>
      <c r="O36" s="53">
        <f>(O34+O35)*(1-Assumptions!$B$8)/Assumptions!$B$6/(1+Assumptions!$B$9)</f>
        <v/>
      </c>
      <c r="P36" s="53">
        <f>(P34+P35)*(1-Assumptions!$B$8)/Assumptions!$B$6/(1+Assumptions!$B$9)</f>
        <v/>
      </c>
      <c r="Q36" s="53">
        <f>(Q34+Q35)*(1-Assumptions!$B$8)/Assumptions!$B$6/(1+Assumptions!$B$9)</f>
        <v/>
      </c>
      <c r="R36" s="53">
        <f>(R34+R35)*(1-Assumptions!$B$8)/Assumptions!$B$6/(1+Assumptions!$B$9)</f>
        <v/>
      </c>
      <c r="S36" s="53">
        <f>(S34+S35)*(1-Assumptions!$B$8)/Assumptions!$B$6/(1+Assumptions!$B$9)</f>
        <v/>
      </c>
      <c r="T36" s="53">
        <f>(T34+T35)*(1-Assumptions!$B$8)/Assumptions!$B$6/(1+Assumptions!$B$9)</f>
        <v/>
      </c>
      <c r="U36" s="53">
        <f>(U34+U35)*(1-Assumptions!$B$8)/Assumptions!$B$6/(1+Assumptions!$B$9)</f>
        <v/>
      </c>
      <c r="V36" s="53">
        <f>(V34+V35)*(1-Assumptions!$B$8)/Assumptions!$B$6/(1+Assumptions!$B$9)</f>
        <v/>
      </c>
      <c r="W36" s="53">
        <f>(W34+W35)*(1-Assumptions!$B$8)/Assumptions!$B$6/(1+Assumptions!$B$9)</f>
        <v/>
      </c>
      <c r="X36" s="53">
        <f>(X34+X35)*(1-Assumptions!$B$8)/Assumptions!$B$6/(1+Assumptions!$B$9)</f>
        <v/>
      </c>
      <c r="Y36" s="53">
        <f>(Y34+Y35)*(1-Assumptions!$B$8)/Assumptions!$B$6/(1+Assumptions!$B$9)</f>
        <v/>
      </c>
      <c r="Z36" s="53">
        <f>(Z34+Z35)*(1-Assumptions!$B$8)/Assumptions!$B$6/(1+Assumptions!$B$9)</f>
        <v/>
      </c>
      <c r="AA36" s="53">
        <f>(AA34+AA35)*(1-Assumptions!$B$8)/Assumptions!$B$6/(1+Assumptions!$B$9)</f>
        <v/>
      </c>
      <c r="AB36" s="53">
        <f>(AB34+AB35)*(1-Assumptions!$B$8)/Assumptions!$B$6/(1+Assumptions!$B$9)</f>
        <v/>
      </c>
      <c r="AC36" s="53">
        <f>(AC34+AC35)*(1-Assumptions!$B$8)/Assumptions!$B$6/(1+Assumptions!$B$9)</f>
        <v/>
      </c>
      <c r="AD36" s="53">
        <f>(AD34+AD35)*(1-Assumptions!$B$8)/Assumptions!$B$6/(1+Assumptions!$B$9)</f>
        <v/>
      </c>
      <c r="AE36" s="53">
        <f>(AE34+AE35)*(1-Assumptions!$B$8)/Assumptions!$B$6/(1+Assumptions!$B$9)</f>
        <v/>
      </c>
    </row>
    <row r="37">
      <c r="A37" s="6" t="inlineStr">
        <is>
          <t xml:space="preserve">  AUM decay rate (holder-weighted)</t>
        </is>
      </c>
      <c r="B37" s="23" t="inlineStr">
        <is>
          <t>%/period</t>
        </is>
      </c>
      <c r="C37" s="55">
        <f>(Assumptions!$B$123+Assumptions!$B$124*IF(C30+C32=0,1,(C30+C32*Assumptions!$B$125)/(C30+C32)))*C7/12</f>
        <v/>
      </c>
      <c r="D37" s="55">
        <f>(Assumptions!$B$123+Assumptions!$B$124*IF(D30+D32=0,1,(D30+D32*Assumptions!$B$125)/(D30+D32)))*D7/12</f>
        <v/>
      </c>
      <c r="E37" s="55">
        <f>(Assumptions!$B$123+Assumptions!$B$124*IF(E30+E32=0,1,(E30+E32*Assumptions!$B$125)/(E30+E32)))*E7/12</f>
        <v/>
      </c>
      <c r="F37" s="55">
        <f>(Assumptions!$B$123+Assumptions!$B$124*IF(F30+F32=0,1,(F30+F32*Assumptions!$B$125)/(F30+F32)))*F7/12</f>
        <v/>
      </c>
      <c r="G37" s="55">
        <f>(Assumptions!$B$123+Assumptions!$B$124*IF(G30+G32=0,1,(G30+G32*Assumptions!$B$125)/(G30+G32)))*G7/12</f>
        <v/>
      </c>
      <c r="H37" s="55">
        <f>(Assumptions!$B$123+Assumptions!$B$124*IF(H30+H32=0,1,(H30+H32*Assumptions!$B$125)/(H30+H32)))*H7/12</f>
        <v/>
      </c>
      <c r="I37" s="55">
        <f>(Assumptions!$B$123+Assumptions!$B$124*IF(I30+I32=0,1,(I30+I32*Assumptions!$B$125)/(I30+I32)))*I7/12</f>
        <v/>
      </c>
      <c r="J37" s="55">
        <f>(Assumptions!$B$123+Assumptions!$B$124*IF(J30+J32=0,1,(J30+J32*Assumptions!$B$125)/(J30+J32)))*J7/12</f>
        <v/>
      </c>
      <c r="K37" s="55">
        <f>(Assumptions!$B$123+Assumptions!$B$124*IF(K30+K32=0,1,(K30+K32*Assumptions!$B$125)/(K30+K32)))*K7/12</f>
        <v/>
      </c>
      <c r="L37" s="55">
        <f>(Assumptions!$B$123+Assumptions!$B$124*IF(L30+L32=0,1,(L30+L32*Assumptions!$B$125)/(L30+L32)))*L7/12</f>
        <v/>
      </c>
      <c r="M37" s="55">
        <f>(Assumptions!$B$123+Assumptions!$B$124*IF(M30+M32=0,1,(M30+M32*Assumptions!$B$125)/(M30+M32)))*M7/12</f>
        <v/>
      </c>
      <c r="N37" s="55">
        <f>(Assumptions!$B$123+Assumptions!$B$124*IF(N30+N32=0,1,(N30+N32*Assumptions!$B$125)/(N30+N32)))*N7/12</f>
        <v/>
      </c>
      <c r="O37" s="55">
        <f>(Assumptions!$B$123+Assumptions!$B$124*IF(O30+O32=0,1,(O30+O32*Assumptions!$B$125)/(O30+O32)))*O7/12</f>
        <v/>
      </c>
      <c r="P37" s="55">
        <f>(Assumptions!$B$123+Assumptions!$B$124*IF(P30+P32=0,1,(P30+P32*Assumptions!$B$125)/(P30+P32)))*P7/12</f>
        <v/>
      </c>
      <c r="Q37" s="55">
        <f>(Assumptions!$B$123+Assumptions!$B$124*IF(Q30+Q32=0,1,(Q30+Q32*Assumptions!$B$125)/(Q30+Q32)))*Q7/12</f>
        <v/>
      </c>
      <c r="R37" s="55">
        <f>(Assumptions!$B$123+Assumptions!$B$124*IF(R30+R32=0,1,(R30+R32*Assumptions!$B$125)/(R30+R32)))*R7/12</f>
        <v/>
      </c>
      <c r="S37" s="55">
        <f>(Assumptions!$B$123+Assumptions!$B$124*IF(S30+S32=0,1,(S30+S32*Assumptions!$B$125)/(S30+S32)))*S7/12</f>
        <v/>
      </c>
      <c r="T37" s="55">
        <f>(Assumptions!$B$123+Assumptions!$B$124*IF(T30+T32=0,1,(T30+T32*Assumptions!$B$125)/(T30+T32)))*T7/12</f>
        <v/>
      </c>
      <c r="U37" s="55">
        <f>(Assumptions!$B$123+Assumptions!$B$124*IF(U30+U32=0,1,(U30+U32*Assumptions!$B$125)/(U30+U32)))*U7/12</f>
        <v/>
      </c>
      <c r="V37" s="55">
        <f>(Assumptions!$B$123+Assumptions!$B$124*IF(V30+V32=0,1,(V30+V32*Assumptions!$B$125)/(V30+V32)))*V7/12</f>
        <v/>
      </c>
      <c r="W37" s="55">
        <f>(Assumptions!$B$123+Assumptions!$B$124*IF(W30+W32=0,1,(W30+W32*Assumptions!$B$125)/(W30+W32)))*W7/12</f>
        <v/>
      </c>
      <c r="X37" s="55">
        <f>(Assumptions!$B$123+Assumptions!$B$124*IF(X30+X32=0,1,(X30+X32*Assumptions!$B$125)/(X30+X32)))*X7/12</f>
        <v/>
      </c>
      <c r="Y37" s="55">
        <f>(Assumptions!$B$123+Assumptions!$B$124*IF(Y30+Y32=0,1,(Y30+Y32*Assumptions!$B$125)/(Y30+Y32)))*Y7/12</f>
        <v/>
      </c>
      <c r="Z37" s="55">
        <f>(Assumptions!$B$123+Assumptions!$B$124*IF(Z30+Z32=0,1,(Z30+Z32*Assumptions!$B$125)/(Z30+Z32)))*Z7/12</f>
        <v/>
      </c>
      <c r="AA37" s="55">
        <f>(Assumptions!$B$123+Assumptions!$B$124*IF(AA30+AA32=0,1,(AA30+AA32*Assumptions!$B$125)/(AA30+AA32)))*AA7/12</f>
        <v/>
      </c>
      <c r="AB37" s="55">
        <f>(Assumptions!$B$123+Assumptions!$B$124*IF(AB30+AB32=0,1,(AB30+AB32*Assumptions!$B$125)/(AB30+AB32)))*AB7/12</f>
        <v/>
      </c>
      <c r="AC37" s="55">
        <f>(Assumptions!$B$123+Assumptions!$B$124*IF(AC30+AC32=0,1,(AC30+AC32*Assumptions!$B$125)/(AC30+AC32)))*AC7/12</f>
        <v/>
      </c>
      <c r="AD37" s="55">
        <f>(Assumptions!$B$123+Assumptions!$B$124*IF(AD30+AD32=0,1,(AD30+AD32*Assumptions!$B$125)/(AD30+AD32)))*AD7/12</f>
        <v/>
      </c>
      <c r="AE37" s="55">
        <f>(Assumptions!$B$123+Assumptions!$B$124*IF(AE30+AE32=0,1,(AE30+AE32*Assumptions!$B$125)/(AE30+AE32)))*AE7/12</f>
        <v/>
      </c>
    </row>
    <row r="38">
      <c r="A38" s="6" t="inlineStr">
        <is>
          <t xml:space="preserve">  Grams held</t>
        </is>
      </c>
      <c r="B38" s="23" t="inlineStr">
        <is>
          <t>grams</t>
        </is>
      </c>
      <c r="C38" s="44">
        <f>C36</f>
        <v/>
      </c>
      <c r="D38" s="44">
        <f>C38*(1-D37)+D36</f>
        <v/>
      </c>
      <c r="E38" s="44">
        <f>D38*(1-E37)+E36</f>
        <v/>
      </c>
      <c r="F38" s="44">
        <f>E38*(1-F37)+F36</f>
        <v/>
      </c>
      <c r="G38" s="44">
        <f>F38*(1-G37)+G36</f>
        <v/>
      </c>
      <c r="H38" s="44">
        <f>G38*(1-H37)+H36</f>
        <v/>
      </c>
      <c r="I38" s="44">
        <f>H38*(1-I37)+I36</f>
        <v/>
      </c>
      <c r="J38" s="44">
        <f>I38*(1-J37)+J36</f>
        <v/>
      </c>
      <c r="K38" s="44">
        <f>J38*(1-K37)+K36</f>
        <v/>
      </c>
      <c r="L38" s="44">
        <f>K38*(1-L37)+L36</f>
        <v/>
      </c>
      <c r="M38" s="44">
        <f>L38*(1-M37)+M36</f>
        <v/>
      </c>
      <c r="N38" s="44">
        <f>M38*(1-N37)+N36</f>
        <v/>
      </c>
      <c r="O38" s="44">
        <f>N38*(1-O37)+O36</f>
        <v/>
      </c>
      <c r="P38" s="44">
        <f>O38*(1-P37)+P36</f>
        <v/>
      </c>
      <c r="Q38" s="44">
        <f>P38*(1-Q37)+Q36</f>
        <v/>
      </c>
      <c r="R38" s="44">
        <f>Q38*(1-R37)+R36</f>
        <v/>
      </c>
      <c r="S38" s="44">
        <f>R38*(1-S37)+S36</f>
        <v/>
      </c>
      <c r="T38" s="44">
        <f>S38*(1-T37)+T36</f>
        <v/>
      </c>
      <c r="U38" s="44">
        <f>T38*(1-U37)+U36</f>
        <v/>
      </c>
      <c r="V38" s="44">
        <f>U38*(1-V37)+V36</f>
        <v/>
      </c>
      <c r="W38" s="44">
        <f>V38*(1-W37)+W36</f>
        <v/>
      </c>
      <c r="X38" s="44">
        <f>W38*(1-X37)+X36</f>
        <v/>
      </c>
      <c r="Y38" s="44">
        <f>X38*(1-Y37)+Y36</f>
        <v/>
      </c>
      <c r="Z38" s="44">
        <f>Y38*(1-Z37)+Z36</f>
        <v/>
      </c>
      <c r="AA38" s="44">
        <f>Z38*(1-AA37)+AA36</f>
        <v/>
      </c>
      <c r="AB38" s="44">
        <f>AA38*(1-AB37)+AB36</f>
        <v/>
      </c>
      <c r="AC38" s="44">
        <f>AB38*(1-AC37)+AC36</f>
        <v/>
      </c>
      <c r="AD38" s="44">
        <f>AC38*(1-AD37)+AD36</f>
        <v/>
      </c>
      <c r="AE38" s="44">
        <f>AD38*(1-AE37)+AE36</f>
        <v/>
      </c>
    </row>
    <row r="39">
      <c r="A39" s="6" t="inlineStr">
        <is>
          <t xml:space="preserve">  AUM</t>
        </is>
      </c>
      <c r="B39" s="23" t="inlineStr">
        <is>
          <t>USD</t>
        </is>
      </c>
      <c r="C39" s="56">
        <f>C38*Assumptions!$B$6</f>
        <v/>
      </c>
      <c r="D39" s="56">
        <f>D38*Assumptions!$B$6</f>
        <v/>
      </c>
      <c r="E39" s="56">
        <f>E38*Assumptions!$B$6</f>
        <v/>
      </c>
      <c r="F39" s="56">
        <f>F38*Assumptions!$B$6</f>
        <v/>
      </c>
      <c r="G39" s="56">
        <f>G38*Assumptions!$B$6</f>
        <v/>
      </c>
      <c r="H39" s="56">
        <f>H38*Assumptions!$B$6</f>
        <v/>
      </c>
      <c r="I39" s="56">
        <f>I38*Assumptions!$B$6</f>
        <v/>
      </c>
      <c r="J39" s="56">
        <f>J38*Assumptions!$B$6</f>
        <v/>
      </c>
      <c r="K39" s="56">
        <f>K38*Assumptions!$B$6</f>
        <v/>
      </c>
      <c r="L39" s="56">
        <f>L38*Assumptions!$B$6</f>
        <v/>
      </c>
      <c r="M39" s="56">
        <f>M38*Assumptions!$B$6</f>
        <v/>
      </c>
      <c r="N39" s="56">
        <f>N38*Assumptions!$B$6</f>
        <v/>
      </c>
      <c r="O39" s="56">
        <f>O38*Assumptions!$B$6</f>
        <v/>
      </c>
      <c r="P39" s="56">
        <f>P38*Assumptions!$B$6</f>
        <v/>
      </c>
      <c r="Q39" s="56">
        <f>Q38*Assumptions!$B$6</f>
        <v/>
      </c>
      <c r="R39" s="56">
        <f>R38*Assumptions!$B$6</f>
        <v/>
      </c>
      <c r="S39" s="56">
        <f>S38*Assumptions!$B$6</f>
        <v/>
      </c>
      <c r="T39" s="56">
        <f>T38*Assumptions!$B$6</f>
        <v/>
      </c>
      <c r="U39" s="56">
        <f>U38*Assumptions!$B$6</f>
        <v/>
      </c>
      <c r="V39" s="56">
        <f>V38*Assumptions!$B$6</f>
        <v/>
      </c>
      <c r="W39" s="56">
        <f>W38*Assumptions!$B$6</f>
        <v/>
      </c>
      <c r="X39" s="56">
        <f>X38*Assumptions!$B$6</f>
        <v/>
      </c>
      <c r="Y39" s="56">
        <f>Y38*Assumptions!$B$6</f>
        <v/>
      </c>
      <c r="Z39" s="56">
        <f>Z38*Assumptions!$B$6</f>
        <v/>
      </c>
      <c r="AA39" s="56">
        <f>AA38*Assumptions!$B$6</f>
        <v/>
      </c>
      <c r="AB39" s="56">
        <f>AB38*Assumptions!$B$6</f>
        <v/>
      </c>
      <c r="AC39" s="56">
        <f>AC38*Assumptions!$B$6</f>
        <v/>
      </c>
      <c r="AD39" s="56">
        <f>AD38*Assumptions!$B$6</f>
        <v/>
      </c>
      <c r="AE39" s="56">
        <f>AE38*Assumptions!$B$6</f>
        <v/>
      </c>
    </row>
    <row r="40">
      <c r="A40" s="6" t="inlineStr">
        <is>
          <t xml:space="preserve">  Card-eligible base</t>
        </is>
      </c>
      <c r="B40" s="23" t="inlineStr">
        <is>
          <t>accounts</t>
        </is>
      </c>
      <c r="C40" s="53">
        <f>C30+C32*Assumptions!$B$164</f>
        <v/>
      </c>
      <c r="D40" s="53">
        <f>D30+D32*Assumptions!$B$164</f>
        <v/>
      </c>
      <c r="E40" s="53">
        <f>E30+E32*Assumptions!$B$164</f>
        <v/>
      </c>
      <c r="F40" s="53">
        <f>F30+F32*Assumptions!$B$164</f>
        <v/>
      </c>
      <c r="G40" s="53">
        <f>G30+G32*Assumptions!$B$164</f>
        <v/>
      </c>
      <c r="H40" s="53">
        <f>H30+H32*Assumptions!$B$164</f>
        <v/>
      </c>
      <c r="I40" s="53">
        <f>I30+I32*Assumptions!$B$164</f>
        <v/>
      </c>
      <c r="J40" s="53">
        <f>J30+J32*Assumptions!$B$164</f>
        <v/>
      </c>
      <c r="K40" s="53">
        <f>K30+K32*Assumptions!$B$164</f>
        <v/>
      </c>
      <c r="L40" s="53">
        <f>L30+L32*Assumptions!$B$164</f>
        <v/>
      </c>
      <c r="M40" s="53">
        <f>M30+M32*Assumptions!$B$164</f>
        <v/>
      </c>
      <c r="N40" s="53">
        <f>N30+N32*Assumptions!$B$164</f>
        <v/>
      </c>
      <c r="O40" s="53">
        <f>O30+O32*Assumptions!$B$164</f>
        <v/>
      </c>
      <c r="P40" s="53">
        <f>P30+P32*Assumptions!$B$164</f>
        <v/>
      </c>
      <c r="Q40" s="53">
        <f>Q30+Q32*Assumptions!$B$164</f>
        <v/>
      </c>
      <c r="R40" s="53">
        <f>R30+R32*Assumptions!$B$164</f>
        <v/>
      </c>
      <c r="S40" s="53">
        <f>S30+S32*Assumptions!$B$164</f>
        <v/>
      </c>
      <c r="T40" s="53">
        <f>T30+T32*Assumptions!$B$164</f>
        <v/>
      </c>
      <c r="U40" s="53">
        <f>U30+U32*Assumptions!$B$164</f>
        <v/>
      </c>
      <c r="V40" s="53">
        <f>V30+V32*Assumptions!$B$164</f>
        <v/>
      </c>
      <c r="W40" s="53">
        <f>W30+W32*Assumptions!$B$164</f>
        <v/>
      </c>
      <c r="X40" s="53">
        <f>X30+X32*Assumptions!$B$164</f>
        <v/>
      </c>
      <c r="Y40" s="53">
        <f>Y30+Y32*Assumptions!$B$164</f>
        <v/>
      </c>
      <c r="Z40" s="53">
        <f>Z30+Z32*Assumptions!$B$164</f>
        <v/>
      </c>
      <c r="AA40" s="53">
        <f>AA30+AA32*Assumptions!$B$164</f>
        <v/>
      </c>
      <c r="AB40" s="53">
        <f>AB30+AB32*Assumptions!$B$164</f>
        <v/>
      </c>
      <c r="AC40" s="53">
        <f>AC30+AC32*Assumptions!$B$164</f>
        <v/>
      </c>
      <c r="AD40" s="53">
        <f>AD30+AD32*Assumptions!$B$164</f>
        <v/>
      </c>
      <c r="AE40" s="53">
        <f>AE30+AE32*Assumptions!$B$164</f>
        <v/>
      </c>
    </row>
    <row r="41">
      <c r="A41" s="6" t="inlineStr">
        <is>
          <t xml:space="preserve">  Cleared the six-payment gate</t>
        </is>
      </c>
      <c r="B41" s="23" t="inlineStr">
        <is>
          <t>accounts</t>
        </is>
      </c>
      <c r="C41" s="44">
        <f>IF(C7&gt;1,C40*Assumptions!$B$121,IF(C2&gt;Assumptions!$B$122,INDEX($C$40:$AE$40,1,C2-Assumptions!$B$122)*Assumptions!$B$121,0))</f>
        <v/>
      </c>
      <c r="D41" s="44">
        <f>IF(D7&gt;1,D40*Assumptions!$B$121,IF(D2&gt;Assumptions!$B$122,INDEX($C$40:$AE$40,1,D2-Assumptions!$B$122)*Assumptions!$B$121,0))</f>
        <v/>
      </c>
      <c r="E41" s="44">
        <f>IF(E7&gt;1,E40*Assumptions!$B$121,IF(E2&gt;Assumptions!$B$122,INDEX($C$40:$AE$40,1,E2-Assumptions!$B$122)*Assumptions!$B$121,0))</f>
        <v/>
      </c>
      <c r="F41" s="44">
        <f>IF(F7&gt;1,F40*Assumptions!$B$121,IF(F2&gt;Assumptions!$B$122,INDEX($C$40:$AE$40,1,F2-Assumptions!$B$122)*Assumptions!$B$121,0))</f>
        <v/>
      </c>
      <c r="G41" s="44">
        <f>IF(G7&gt;1,G40*Assumptions!$B$121,IF(G2&gt;Assumptions!$B$122,INDEX($C$40:$AE$40,1,G2-Assumptions!$B$122)*Assumptions!$B$121,0))</f>
        <v/>
      </c>
      <c r="H41" s="44">
        <f>IF(H7&gt;1,H40*Assumptions!$B$121,IF(H2&gt;Assumptions!$B$122,INDEX($C$40:$AE$40,1,H2-Assumptions!$B$122)*Assumptions!$B$121,0))</f>
        <v/>
      </c>
      <c r="I41" s="44">
        <f>IF(I7&gt;1,I40*Assumptions!$B$121,IF(I2&gt;Assumptions!$B$122,INDEX($C$40:$AE$40,1,I2-Assumptions!$B$122)*Assumptions!$B$121,0))</f>
        <v/>
      </c>
      <c r="J41" s="44">
        <f>IF(J7&gt;1,J40*Assumptions!$B$121,IF(J2&gt;Assumptions!$B$122,INDEX($C$40:$AE$40,1,J2-Assumptions!$B$122)*Assumptions!$B$121,0))</f>
        <v/>
      </c>
      <c r="K41" s="44">
        <f>IF(K7&gt;1,K40*Assumptions!$B$121,IF(K2&gt;Assumptions!$B$122,INDEX($C$40:$AE$40,1,K2-Assumptions!$B$122)*Assumptions!$B$121,0))</f>
        <v/>
      </c>
      <c r="L41" s="44">
        <f>IF(L7&gt;1,L40*Assumptions!$B$121,IF(L2&gt;Assumptions!$B$122,INDEX($C$40:$AE$40,1,L2-Assumptions!$B$122)*Assumptions!$B$121,0))</f>
        <v/>
      </c>
      <c r="M41" s="44">
        <f>IF(M7&gt;1,M40*Assumptions!$B$121,IF(M2&gt;Assumptions!$B$122,INDEX($C$40:$AE$40,1,M2-Assumptions!$B$122)*Assumptions!$B$121,0))</f>
        <v/>
      </c>
      <c r="N41" s="44">
        <f>IF(N7&gt;1,N40*Assumptions!$B$121,IF(N2&gt;Assumptions!$B$122,INDEX($C$40:$AE$40,1,N2-Assumptions!$B$122)*Assumptions!$B$121,0))</f>
        <v/>
      </c>
      <c r="O41" s="44">
        <f>IF(O7&gt;1,O40*Assumptions!$B$121,IF(O2&gt;Assumptions!$B$122,INDEX($C$40:$AE$40,1,O2-Assumptions!$B$122)*Assumptions!$B$121,0))</f>
        <v/>
      </c>
      <c r="P41" s="44">
        <f>IF(P7&gt;1,P40*Assumptions!$B$121,IF(P2&gt;Assumptions!$B$122,INDEX($C$40:$AE$40,1,P2-Assumptions!$B$122)*Assumptions!$B$121,0))</f>
        <v/>
      </c>
      <c r="Q41" s="44">
        <f>IF(Q7&gt;1,Q40*Assumptions!$B$121,IF(Q2&gt;Assumptions!$B$122,INDEX($C$40:$AE$40,1,Q2-Assumptions!$B$122)*Assumptions!$B$121,0))</f>
        <v/>
      </c>
      <c r="R41" s="44">
        <f>IF(R7&gt;1,R40*Assumptions!$B$121,IF(R2&gt;Assumptions!$B$122,INDEX($C$40:$AE$40,1,R2-Assumptions!$B$122)*Assumptions!$B$121,0))</f>
        <v/>
      </c>
      <c r="S41" s="44">
        <f>IF(S7&gt;1,S40*Assumptions!$B$121,IF(S2&gt;Assumptions!$B$122,INDEX($C$40:$AE$40,1,S2-Assumptions!$B$122)*Assumptions!$B$121,0))</f>
        <v/>
      </c>
      <c r="T41" s="44">
        <f>IF(T7&gt;1,T40*Assumptions!$B$121,IF(T2&gt;Assumptions!$B$122,INDEX($C$40:$AE$40,1,T2-Assumptions!$B$122)*Assumptions!$B$121,0))</f>
        <v/>
      </c>
      <c r="U41" s="44">
        <f>IF(U7&gt;1,U40*Assumptions!$B$121,IF(U2&gt;Assumptions!$B$122,INDEX($C$40:$AE$40,1,U2-Assumptions!$B$122)*Assumptions!$B$121,0))</f>
        <v/>
      </c>
      <c r="V41" s="44">
        <f>IF(V7&gt;1,V40*Assumptions!$B$121,IF(V2&gt;Assumptions!$B$122,INDEX($C$40:$AE$40,1,V2-Assumptions!$B$122)*Assumptions!$B$121,0))</f>
        <v/>
      </c>
      <c r="W41" s="44">
        <f>IF(W7&gt;1,W40*Assumptions!$B$121,IF(W2&gt;Assumptions!$B$122,INDEX($C$40:$AE$40,1,W2-Assumptions!$B$122)*Assumptions!$B$121,0))</f>
        <v/>
      </c>
      <c r="X41" s="44">
        <f>IF(X7&gt;1,X40*Assumptions!$B$121,IF(X2&gt;Assumptions!$B$122,INDEX($C$40:$AE$40,1,X2-Assumptions!$B$122)*Assumptions!$B$121,0))</f>
        <v/>
      </c>
      <c r="Y41" s="44">
        <f>IF(Y7&gt;1,Y40*Assumptions!$B$121,IF(Y2&gt;Assumptions!$B$122,INDEX($C$40:$AE$40,1,Y2-Assumptions!$B$122)*Assumptions!$B$121,0))</f>
        <v/>
      </c>
      <c r="Z41" s="44">
        <f>IF(Z7&gt;1,Z40*Assumptions!$B$121,IF(Z2&gt;Assumptions!$B$122,INDEX($C$40:$AE$40,1,Z2-Assumptions!$B$122)*Assumptions!$B$121,0))</f>
        <v/>
      </c>
      <c r="AA41" s="44">
        <f>IF(AA7&gt;1,AA40*Assumptions!$B$121,IF(AA2&gt;Assumptions!$B$122,INDEX($C$40:$AE$40,1,AA2-Assumptions!$B$122)*Assumptions!$B$121,0))</f>
        <v/>
      </c>
      <c r="AB41" s="44">
        <f>IF(AB7&gt;1,AB40*Assumptions!$B$121,IF(AB2&gt;Assumptions!$B$122,INDEX($C$40:$AE$40,1,AB2-Assumptions!$B$122)*Assumptions!$B$121,0))</f>
        <v/>
      </c>
      <c r="AC41" s="44">
        <f>IF(AC7&gt;1,AC40*Assumptions!$B$121,IF(AC2&gt;Assumptions!$B$122,INDEX($C$40:$AE$40,1,AC2-Assumptions!$B$122)*Assumptions!$B$121,0))</f>
        <v/>
      </c>
      <c r="AD41" s="44">
        <f>IF(AD7&gt;1,AD40*Assumptions!$B$121,IF(AD2&gt;Assumptions!$B$122,INDEX($C$40:$AE$40,1,AD2-Assumptions!$B$122)*Assumptions!$B$121,0))</f>
        <v/>
      </c>
      <c r="AE41" s="44">
        <f>IF(AE7&gt;1,AE40*Assumptions!$B$121,IF(AE2&gt;Assumptions!$B$122,INDEX($C$40:$AE$40,1,AE2-Assumptions!$B$122)*Assumptions!$B$121,0))</f>
        <v/>
      </c>
    </row>
    <row r="42">
      <c r="A42" s="6" t="inlineStr">
        <is>
          <t xml:space="preserve">  Active cards</t>
        </is>
      </c>
      <c r="B42" s="23" t="inlineStr">
        <is>
          <t>cards</t>
        </is>
      </c>
      <c r="C42" s="28">
        <f>IF(C2&gt;=Assumptions!$B$49,C41*Assumptions!$B$132,0)</f>
        <v/>
      </c>
      <c r="D42" s="28">
        <f>IF(D2&gt;=Assumptions!$B$49,D41*Assumptions!$B$132,0)</f>
        <v/>
      </c>
      <c r="E42" s="28">
        <f>IF(E2&gt;=Assumptions!$B$49,E41*Assumptions!$B$132,0)</f>
        <v/>
      </c>
      <c r="F42" s="28">
        <f>IF(F2&gt;=Assumptions!$B$49,F41*Assumptions!$B$132,0)</f>
        <v/>
      </c>
      <c r="G42" s="28">
        <f>IF(G2&gt;=Assumptions!$B$49,G41*Assumptions!$B$132,0)</f>
        <v/>
      </c>
      <c r="H42" s="28">
        <f>IF(H2&gt;=Assumptions!$B$49,H41*Assumptions!$B$132,0)</f>
        <v/>
      </c>
      <c r="I42" s="28">
        <f>IF(I2&gt;=Assumptions!$B$49,I41*Assumptions!$B$132,0)</f>
        <v/>
      </c>
      <c r="J42" s="28">
        <f>IF(J2&gt;=Assumptions!$B$49,J41*Assumptions!$B$132,0)</f>
        <v/>
      </c>
      <c r="K42" s="28">
        <f>IF(K2&gt;=Assumptions!$B$49,K41*Assumptions!$B$132,0)</f>
        <v/>
      </c>
      <c r="L42" s="28">
        <f>IF(L2&gt;=Assumptions!$B$49,L41*Assumptions!$B$132,0)</f>
        <v/>
      </c>
      <c r="M42" s="28">
        <f>IF(M2&gt;=Assumptions!$B$49,M41*Assumptions!$B$132,0)</f>
        <v/>
      </c>
      <c r="N42" s="28">
        <f>IF(N2&gt;=Assumptions!$B$49,N41*Assumptions!$B$132,0)</f>
        <v/>
      </c>
      <c r="O42" s="28">
        <f>IF(O2&gt;=Assumptions!$B$49,O41*Assumptions!$B$132,0)</f>
        <v/>
      </c>
      <c r="P42" s="28">
        <f>IF(P2&gt;=Assumptions!$B$49,P41*Assumptions!$B$132,0)</f>
        <v/>
      </c>
      <c r="Q42" s="28">
        <f>IF(Q2&gt;=Assumptions!$B$49,Q41*Assumptions!$B$132,0)</f>
        <v/>
      </c>
      <c r="R42" s="28">
        <f>IF(R2&gt;=Assumptions!$B$49,R41*Assumptions!$B$132,0)</f>
        <v/>
      </c>
      <c r="S42" s="28">
        <f>IF(S2&gt;=Assumptions!$B$49,S41*Assumptions!$B$132,0)</f>
        <v/>
      </c>
      <c r="T42" s="28">
        <f>IF(T2&gt;=Assumptions!$B$49,T41*Assumptions!$B$132,0)</f>
        <v/>
      </c>
      <c r="U42" s="28">
        <f>IF(U2&gt;=Assumptions!$B$49,U41*Assumptions!$B$132,0)</f>
        <v/>
      </c>
      <c r="V42" s="28">
        <f>IF(V2&gt;=Assumptions!$B$49,V41*Assumptions!$B$132,0)</f>
        <v/>
      </c>
      <c r="W42" s="28">
        <f>IF(W2&gt;=Assumptions!$B$49,W41*Assumptions!$B$132,0)</f>
        <v/>
      </c>
      <c r="X42" s="28">
        <f>IF(X2&gt;=Assumptions!$B$49,X41*Assumptions!$B$132,0)</f>
        <v/>
      </c>
      <c r="Y42" s="28">
        <f>IF(Y2&gt;=Assumptions!$B$49,Y41*Assumptions!$B$132,0)</f>
        <v/>
      </c>
      <c r="Z42" s="28">
        <f>IF(Z2&gt;=Assumptions!$B$49,Z41*Assumptions!$B$132,0)</f>
        <v/>
      </c>
      <c r="AA42" s="28">
        <f>IF(AA2&gt;=Assumptions!$B$49,AA41*Assumptions!$B$132,0)</f>
        <v/>
      </c>
      <c r="AB42" s="28">
        <f>IF(AB2&gt;=Assumptions!$B$49,AB41*Assumptions!$B$132,0)</f>
        <v/>
      </c>
      <c r="AC42" s="28">
        <f>IF(AC2&gt;=Assumptions!$B$49,AC41*Assumptions!$B$132,0)</f>
        <v/>
      </c>
      <c r="AD42" s="28">
        <f>IF(AD2&gt;=Assumptions!$B$49,AD41*Assumptions!$B$132,0)</f>
        <v/>
      </c>
      <c r="AE42" s="28">
        <f>IF(AE2&gt;=Assumptions!$B$49,AE41*Assumptions!$B$132,0)</f>
        <v/>
      </c>
    </row>
    <row r="43">
      <c r="A43" s="6" t="inlineStr">
        <is>
          <t xml:space="preserve">  Credit limit per customer (gold x LTV)</t>
        </is>
      </c>
      <c r="B43" s="23" t="inlineStr">
        <is>
          <t>USD</t>
        </is>
      </c>
      <c r="C43" s="54">
        <f>IF(C30=0,0,C39/C30*Assumptions!$B$32)</f>
        <v/>
      </c>
      <c r="D43" s="54">
        <f>IF(D30=0,0,D39/D30*Assumptions!$B$32)</f>
        <v/>
      </c>
      <c r="E43" s="54">
        <f>IF(E30=0,0,E39/E30*Assumptions!$B$32)</f>
        <v/>
      </c>
      <c r="F43" s="54">
        <f>IF(F30=0,0,F39/F30*Assumptions!$B$32)</f>
        <v/>
      </c>
      <c r="G43" s="54">
        <f>IF(G30=0,0,G39/G30*Assumptions!$B$32)</f>
        <v/>
      </c>
      <c r="H43" s="54">
        <f>IF(H30=0,0,H39/H30*Assumptions!$B$32)</f>
        <v/>
      </c>
      <c r="I43" s="54">
        <f>IF(I30=0,0,I39/I30*Assumptions!$B$32)</f>
        <v/>
      </c>
      <c r="J43" s="54">
        <f>IF(J30=0,0,J39/J30*Assumptions!$B$32)</f>
        <v/>
      </c>
      <c r="K43" s="54">
        <f>IF(K30=0,0,K39/K30*Assumptions!$B$32)</f>
        <v/>
      </c>
      <c r="L43" s="54">
        <f>IF(L30=0,0,L39/L30*Assumptions!$B$32)</f>
        <v/>
      </c>
      <c r="M43" s="54">
        <f>IF(M30=0,0,M39/M30*Assumptions!$B$32)</f>
        <v/>
      </c>
      <c r="N43" s="54">
        <f>IF(N30=0,0,N39/N30*Assumptions!$B$32)</f>
        <v/>
      </c>
      <c r="O43" s="54">
        <f>IF(O30=0,0,O39/O30*Assumptions!$B$32)</f>
        <v/>
      </c>
      <c r="P43" s="54">
        <f>IF(P30=0,0,P39/P30*Assumptions!$B$32)</f>
        <v/>
      </c>
      <c r="Q43" s="54">
        <f>IF(Q30=0,0,Q39/Q30*Assumptions!$B$32)</f>
        <v/>
      </c>
      <c r="R43" s="54">
        <f>IF(R30=0,0,R39/R30*Assumptions!$B$32)</f>
        <v/>
      </c>
      <c r="S43" s="54">
        <f>IF(S30=0,0,S39/S30*Assumptions!$B$32)</f>
        <v/>
      </c>
      <c r="T43" s="54">
        <f>IF(T30=0,0,T39/T30*Assumptions!$B$32)</f>
        <v/>
      </c>
      <c r="U43" s="54">
        <f>IF(U30=0,0,U39/U30*Assumptions!$B$32)</f>
        <v/>
      </c>
      <c r="V43" s="54">
        <f>IF(V30=0,0,V39/V30*Assumptions!$B$32)</f>
        <v/>
      </c>
      <c r="W43" s="54">
        <f>IF(W30=0,0,W39/W30*Assumptions!$B$32)</f>
        <v/>
      </c>
      <c r="X43" s="54">
        <f>IF(X30=0,0,X39/X30*Assumptions!$B$32)</f>
        <v/>
      </c>
      <c r="Y43" s="54">
        <f>IF(Y30=0,0,Y39/Y30*Assumptions!$B$32)</f>
        <v/>
      </c>
      <c r="Z43" s="54">
        <f>IF(Z30=0,0,Z39/Z30*Assumptions!$B$32)</f>
        <v/>
      </c>
      <c r="AA43" s="54">
        <f>IF(AA30=0,0,AA39/AA30*Assumptions!$B$32)</f>
        <v/>
      </c>
      <c r="AB43" s="54">
        <f>IF(AB30=0,0,AB39/AB30*Assumptions!$B$32)</f>
        <v/>
      </c>
      <c r="AC43" s="54">
        <f>IF(AC30=0,0,AC39/AC30*Assumptions!$B$32)</f>
        <v/>
      </c>
      <c r="AD43" s="54">
        <f>IF(AD30=0,0,AD39/AD30*Assumptions!$B$32)</f>
        <v/>
      </c>
      <c r="AE43" s="54">
        <f>IF(AE30=0,0,AE39/AE30*Assumptions!$B$32)</f>
        <v/>
      </c>
    </row>
    <row r="44">
      <c r="A44" s="6" t="inlineStr">
        <is>
          <t xml:space="preserve">  Card spend per card per month</t>
        </is>
      </c>
      <c r="B44" s="23" t="inlineStr">
        <is>
          <t>USD</t>
        </is>
      </c>
      <c r="C44" s="54">
        <f>IF(Assumptions!$B$163=1,Assumptions!$B$157*Assumptions!$B$131*C16,MIN(Assumptions!$B$157*Assumptions!$B$131*C16,C43))</f>
        <v/>
      </c>
      <c r="D44" s="54">
        <f>IF(Assumptions!$B$163=1,Assumptions!$B$157*Assumptions!$B$131*D16,MIN(Assumptions!$B$157*Assumptions!$B$131*D16,D43))</f>
        <v/>
      </c>
      <c r="E44" s="54">
        <f>IF(Assumptions!$B$163=1,Assumptions!$B$157*Assumptions!$B$131*E16,MIN(Assumptions!$B$157*Assumptions!$B$131*E16,E43))</f>
        <v/>
      </c>
      <c r="F44" s="54">
        <f>IF(Assumptions!$B$163=1,Assumptions!$B$157*Assumptions!$B$131*F16,MIN(Assumptions!$B$157*Assumptions!$B$131*F16,F43))</f>
        <v/>
      </c>
      <c r="G44" s="54">
        <f>IF(Assumptions!$B$163=1,Assumptions!$B$157*Assumptions!$B$131*G16,MIN(Assumptions!$B$157*Assumptions!$B$131*G16,G43))</f>
        <v/>
      </c>
      <c r="H44" s="54">
        <f>IF(Assumptions!$B$163=1,Assumptions!$B$157*Assumptions!$B$131*H16,MIN(Assumptions!$B$157*Assumptions!$B$131*H16,H43))</f>
        <v/>
      </c>
      <c r="I44" s="54">
        <f>IF(Assumptions!$B$163=1,Assumptions!$B$157*Assumptions!$B$131*I16,MIN(Assumptions!$B$157*Assumptions!$B$131*I16,I43))</f>
        <v/>
      </c>
      <c r="J44" s="54">
        <f>IF(Assumptions!$B$163=1,Assumptions!$B$157*Assumptions!$B$131*J16,MIN(Assumptions!$B$157*Assumptions!$B$131*J16,J43))</f>
        <v/>
      </c>
      <c r="K44" s="54">
        <f>IF(Assumptions!$B$163=1,Assumptions!$B$157*Assumptions!$B$131*K16,MIN(Assumptions!$B$157*Assumptions!$B$131*K16,K43))</f>
        <v/>
      </c>
      <c r="L44" s="54">
        <f>IF(Assumptions!$B$163=1,Assumptions!$B$157*Assumptions!$B$131*L16,MIN(Assumptions!$B$157*Assumptions!$B$131*L16,L43))</f>
        <v/>
      </c>
      <c r="M44" s="54">
        <f>IF(Assumptions!$B$163=1,Assumptions!$B$157*Assumptions!$B$131*M16,MIN(Assumptions!$B$157*Assumptions!$B$131*M16,M43))</f>
        <v/>
      </c>
      <c r="N44" s="54">
        <f>IF(Assumptions!$B$163=1,Assumptions!$B$157*Assumptions!$B$131*N16,MIN(Assumptions!$B$157*Assumptions!$B$131*N16,N43))</f>
        <v/>
      </c>
      <c r="O44" s="54">
        <f>IF(Assumptions!$B$163=1,Assumptions!$B$157*Assumptions!$B$131*O16,MIN(Assumptions!$B$157*Assumptions!$B$131*O16,O43))</f>
        <v/>
      </c>
      <c r="P44" s="54">
        <f>IF(Assumptions!$B$163=1,Assumptions!$B$157*Assumptions!$B$131*P16,MIN(Assumptions!$B$157*Assumptions!$B$131*P16,P43))</f>
        <v/>
      </c>
      <c r="Q44" s="54">
        <f>IF(Assumptions!$B$163=1,Assumptions!$B$157*Assumptions!$B$131*Q16,MIN(Assumptions!$B$157*Assumptions!$B$131*Q16,Q43))</f>
        <v/>
      </c>
      <c r="R44" s="54">
        <f>IF(Assumptions!$B$163=1,Assumptions!$B$157*Assumptions!$B$131*R16,MIN(Assumptions!$B$157*Assumptions!$B$131*R16,R43))</f>
        <v/>
      </c>
      <c r="S44" s="54">
        <f>IF(Assumptions!$B$163=1,Assumptions!$B$157*Assumptions!$B$131*S16,MIN(Assumptions!$B$157*Assumptions!$B$131*S16,S43))</f>
        <v/>
      </c>
      <c r="T44" s="54">
        <f>IF(Assumptions!$B$163=1,Assumptions!$B$157*Assumptions!$B$131*T16,MIN(Assumptions!$B$157*Assumptions!$B$131*T16,T43))</f>
        <v/>
      </c>
      <c r="U44" s="54">
        <f>IF(Assumptions!$B$163=1,Assumptions!$B$157*Assumptions!$B$131*U16,MIN(Assumptions!$B$157*Assumptions!$B$131*U16,U43))</f>
        <v/>
      </c>
      <c r="V44" s="54">
        <f>IF(Assumptions!$B$163=1,Assumptions!$B$157*Assumptions!$B$131*V16,MIN(Assumptions!$B$157*Assumptions!$B$131*V16,V43))</f>
        <v/>
      </c>
      <c r="W44" s="54">
        <f>IF(Assumptions!$B$163=1,Assumptions!$B$157*Assumptions!$B$131*W16,MIN(Assumptions!$B$157*Assumptions!$B$131*W16,W43))</f>
        <v/>
      </c>
      <c r="X44" s="54">
        <f>IF(Assumptions!$B$163=1,Assumptions!$B$157*Assumptions!$B$131*X16,MIN(Assumptions!$B$157*Assumptions!$B$131*X16,X43))</f>
        <v/>
      </c>
      <c r="Y44" s="54">
        <f>IF(Assumptions!$B$163=1,Assumptions!$B$157*Assumptions!$B$131*Y16,MIN(Assumptions!$B$157*Assumptions!$B$131*Y16,Y43))</f>
        <v/>
      </c>
      <c r="Z44" s="54">
        <f>IF(Assumptions!$B$163=1,Assumptions!$B$157*Assumptions!$B$131*Z16,MIN(Assumptions!$B$157*Assumptions!$B$131*Z16,Z43))</f>
        <v/>
      </c>
      <c r="AA44" s="54">
        <f>IF(Assumptions!$B$163=1,Assumptions!$B$157*Assumptions!$B$131*AA16,MIN(Assumptions!$B$157*Assumptions!$B$131*AA16,AA43))</f>
        <v/>
      </c>
      <c r="AB44" s="54">
        <f>IF(Assumptions!$B$163=1,Assumptions!$B$157*Assumptions!$B$131*AB16,MIN(Assumptions!$B$157*Assumptions!$B$131*AB16,AB43))</f>
        <v/>
      </c>
      <c r="AC44" s="54">
        <f>IF(Assumptions!$B$163=1,Assumptions!$B$157*Assumptions!$B$131*AC16,MIN(Assumptions!$B$157*Assumptions!$B$131*AC16,AC43))</f>
        <v/>
      </c>
      <c r="AD44" s="54">
        <f>IF(Assumptions!$B$163=1,Assumptions!$B$157*Assumptions!$B$131*AD16,MIN(Assumptions!$B$157*Assumptions!$B$131*AD16,AD43))</f>
        <v/>
      </c>
      <c r="AE44" s="54">
        <f>IF(Assumptions!$B$163=1,Assumptions!$B$157*Assumptions!$B$131*AE16,MIN(Assumptions!$B$157*Assumptions!$B$131*AE16,AE43))</f>
        <v/>
      </c>
    </row>
    <row r="45">
      <c r="A45" s="6" t="inlineStr">
        <is>
          <t xml:space="preserve">  Card spend</t>
        </is>
      </c>
      <c r="B45" s="23" t="inlineStr">
        <is>
          <t>AED</t>
        </is>
      </c>
      <c r="C45" s="44">
        <f>C42*C44*Assumptions!$B$7*C7</f>
        <v/>
      </c>
      <c r="D45" s="44">
        <f>D42*D44*Assumptions!$B$7*D7</f>
        <v/>
      </c>
      <c r="E45" s="44">
        <f>E42*E44*Assumptions!$B$7*E7</f>
        <v/>
      </c>
      <c r="F45" s="44">
        <f>F42*F44*Assumptions!$B$7*F7</f>
        <v/>
      </c>
      <c r="G45" s="44">
        <f>G42*G44*Assumptions!$B$7*G7</f>
        <v/>
      </c>
      <c r="H45" s="44">
        <f>H42*H44*Assumptions!$B$7*H7</f>
        <v/>
      </c>
      <c r="I45" s="44">
        <f>I42*I44*Assumptions!$B$7*I7</f>
        <v/>
      </c>
      <c r="J45" s="44">
        <f>J42*J44*Assumptions!$B$7*J7</f>
        <v/>
      </c>
      <c r="K45" s="44">
        <f>K42*K44*Assumptions!$B$7*K7</f>
        <v/>
      </c>
      <c r="L45" s="44">
        <f>L42*L44*Assumptions!$B$7*L7</f>
        <v/>
      </c>
      <c r="M45" s="44">
        <f>M42*M44*Assumptions!$B$7*M7</f>
        <v/>
      </c>
      <c r="N45" s="44">
        <f>N42*N44*Assumptions!$B$7*N7</f>
        <v/>
      </c>
      <c r="O45" s="44">
        <f>O42*O44*Assumptions!$B$7*O7</f>
        <v/>
      </c>
      <c r="P45" s="44">
        <f>P42*P44*Assumptions!$B$7*P7</f>
        <v/>
      </c>
      <c r="Q45" s="44">
        <f>Q42*Q44*Assumptions!$B$7*Q7</f>
        <v/>
      </c>
      <c r="R45" s="44">
        <f>R42*R44*Assumptions!$B$7*R7</f>
        <v/>
      </c>
      <c r="S45" s="44">
        <f>S42*S44*Assumptions!$B$7*S7</f>
        <v/>
      </c>
      <c r="T45" s="44">
        <f>T42*T44*Assumptions!$B$7*T7</f>
        <v/>
      </c>
      <c r="U45" s="44">
        <f>U42*U44*Assumptions!$B$7*U7</f>
        <v/>
      </c>
      <c r="V45" s="44">
        <f>V42*V44*Assumptions!$B$7*V7</f>
        <v/>
      </c>
      <c r="W45" s="44">
        <f>W42*W44*Assumptions!$B$7*W7</f>
        <v/>
      </c>
      <c r="X45" s="44">
        <f>X42*X44*Assumptions!$B$7*X7</f>
        <v/>
      </c>
      <c r="Y45" s="44">
        <f>Y42*Y44*Assumptions!$B$7*Y7</f>
        <v/>
      </c>
      <c r="Z45" s="44">
        <f>Z42*Z44*Assumptions!$B$7*Z7</f>
        <v/>
      </c>
      <c r="AA45" s="44">
        <f>AA42*AA44*Assumptions!$B$7*AA7</f>
        <v/>
      </c>
      <c r="AB45" s="44">
        <f>AB42*AB44*Assumptions!$B$7*AB7</f>
        <v/>
      </c>
      <c r="AC45" s="44">
        <f>AC42*AC44*Assumptions!$B$7*AC7</f>
        <v/>
      </c>
      <c r="AD45" s="44">
        <f>AD42*AD44*Assumptions!$B$7*AD7</f>
        <v/>
      </c>
      <c r="AE45" s="44">
        <f>AE42*AE44*Assumptions!$B$7*AE7</f>
        <v/>
      </c>
    </row>
    <row r="46">
      <c r="A46" s="6" t="inlineStr">
        <is>
          <t xml:space="preserve">  Card spend</t>
        </is>
      </c>
      <c r="B46" s="23" t="inlineStr">
        <is>
          <t>USD</t>
        </is>
      </c>
      <c r="C46" s="54">
        <f>C45/Assumptions!$B$7</f>
        <v/>
      </c>
      <c r="D46" s="54">
        <f>D45/Assumptions!$B$7</f>
        <v/>
      </c>
      <c r="E46" s="54">
        <f>E45/Assumptions!$B$7</f>
        <v/>
      </c>
      <c r="F46" s="54">
        <f>F45/Assumptions!$B$7</f>
        <v/>
      </c>
      <c r="G46" s="54">
        <f>G45/Assumptions!$B$7</f>
        <v/>
      </c>
      <c r="H46" s="54">
        <f>H45/Assumptions!$B$7</f>
        <v/>
      </c>
      <c r="I46" s="54">
        <f>I45/Assumptions!$B$7</f>
        <v/>
      </c>
      <c r="J46" s="54">
        <f>J45/Assumptions!$B$7</f>
        <v/>
      </c>
      <c r="K46" s="54">
        <f>K45/Assumptions!$B$7</f>
        <v/>
      </c>
      <c r="L46" s="54">
        <f>L45/Assumptions!$B$7</f>
        <v/>
      </c>
      <c r="M46" s="54">
        <f>M45/Assumptions!$B$7</f>
        <v/>
      </c>
      <c r="N46" s="54">
        <f>N45/Assumptions!$B$7</f>
        <v/>
      </c>
      <c r="O46" s="54">
        <f>O45/Assumptions!$B$7</f>
        <v/>
      </c>
      <c r="P46" s="54">
        <f>P45/Assumptions!$B$7</f>
        <v/>
      </c>
      <c r="Q46" s="54">
        <f>Q45/Assumptions!$B$7</f>
        <v/>
      </c>
      <c r="R46" s="54">
        <f>R45/Assumptions!$B$7</f>
        <v/>
      </c>
      <c r="S46" s="54">
        <f>S45/Assumptions!$B$7</f>
        <v/>
      </c>
      <c r="T46" s="54">
        <f>T45/Assumptions!$B$7</f>
        <v/>
      </c>
      <c r="U46" s="54">
        <f>U45/Assumptions!$B$7</f>
        <v/>
      </c>
      <c r="V46" s="54">
        <f>V45/Assumptions!$B$7</f>
        <v/>
      </c>
      <c r="W46" s="54">
        <f>W45/Assumptions!$B$7</f>
        <v/>
      </c>
      <c r="X46" s="54">
        <f>X45/Assumptions!$B$7</f>
        <v/>
      </c>
      <c r="Y46" s="54">
        <f>Y45/Assumptions!$B$7</f>
        <v/>
      </c>
      <c r="Z46" s="54">
        <f>Z45/Assumptions!$B$7</f>
        <v/>
      </c>
      <c r="AA46" s="54">
        <f>AA45/Assumptions!$B$7</f>
        <v/>
      </c>
      <c r="AB46" s="54">
        <f>AB45/Assumptions!$B$7</f>
        <v/>
      </c>
      <c r="AC46" s="54">
        <f>AC45/Assumptions!$B$7</f>
        <v/>
      </c>
      <c r="AD46" s="54">
        <f>AD45/Assumptions!$B$7</f>
        <v/>
      </c>
      <c r="AE46" s="54">
        <f>AE45/Assumptions!$B$7</f>
        <v/>
      </c>
    </row>
    <row r="47">
      <c r="A47" s="6" t="inlineStr">
        <is>
          <t xml:space="preserve">  Stream 1a - Entry fee margin, SIP</t>
        </is>
      </c>
      <c r="B47" s="23" t="inlineStr">
        <is>
          <t>USD</t>
        </is>
      </c>
      <c r="C47" s="54">
        <f>C34*(Assumptions!$B$8-(1-Assumptions!$B$8)*Assumptions!$B$9)</f>
        <v/>
      </c>
      <c r="D47" s="54">
        <f>D34*(Assumptions!$B$8-(1-Assumptions!$B$8)*Assumptions!$B$9)</f>
        <v/>
      </c>
      <c r="E47" s="54">
        <f>E34*(Assumptions!$B$8-(1-Assumptions!$B$8)*Assumptions!$B$9)</f>
        <v/>
      </c>
      <c r="F47" s="54">
        <f>F34*(Assumptions!$B$8-(1-Assumptions!$B$8)*Assumptions!$B$9)</f>
        <v/>
      </c>
      <c r="G47" s="54">
        <f>G34*(Assumptions!$B$8-(1-Assumptions!$B$8)*Assumptions!$B$9)</f>
        <v/>
      </c>
      <c r="H47" s="54">
        <f>H34*(Assumptions!$B$8-(1-Assumptions!$B$8)*Assumptions!$B$9)</f>
        <v/>
      </c>
      <c r="I47" s="54">
        <f>I34*(Assumptions!$B$8-(1-Assumptions!$B$8)*Assumptions!$B$9)</f>
        <v/>
      </c>
      <c r="J47" s="54">
        <f>J34*(Assumptions!$B$8-(1-Assumptions!$B$8)*Assumptions!$B$9)</f>
        <v/>
      </c>
      <c r="K47" s="54">
        <f>K34*(Assumptions!$B$8-(1-Assumptions!$B$8)*Assumptions!$B$9)</f>
        <v/>
      </c>
      <c r="L47" s="54">
        <f>L34*(Assumptions!$B$8-(1-Assumptions!$B$8)*Assumptions!$B$9)</f>
        <v/>
      </c>
      <c r="M47" s="54">
        <f>M34*(Assumptions!$B$8-(1-Assumptions!$B$8)*Assumptions!$B$9)</f>
        <v/>
      </c>
      <c r="N47" s="54">
        <f>N34*(Assumptions!$B$8-(1-Assumptions!$B$8)*Assumptions!$B$9)</f>
        <v/>
      </c>
      <c r="O47" s="54">
        <f>O34*(Assumptions!$B$8-(1-Assumptions!$B$8)*Assumptions!$B$9)</f>
        <v/>
      </c>
      <c r="P47" s="54">
        <f>P34*(Assumptions!$B$8-(1-Assumptions!$B$8)*Assumptions!$B$9)</f>
        <v/>
      </c>
      <c r="Q47" s="54">
        <f>Q34*(Assumptions!$B$8-(1-Assumptions!$B$8)*Assumptions!$B$9)</f>
        <v/>
      </c>
      <c r="R47" s="54">
        <f>R34*(Assumptions!$B$8-(1-Assumptions!$B$8)*Assumptions!$B$9)</f>
        <v/>
      </c>
      <c r="S47" s="54">
        <f>S34*(Assumptions!$B$8-(1-Assumptions!$B$8)*Assumptions!$B$9)</f>
        <v/>
      </c>
      <c r="T47" s="54">
        <f>T34*(Assumptions!$B$8-(1-Assumptions!$B$8)*Assumptions!$B$9)</f>
        <v/>
      </c>
      <c r="U47" s="54">
        <f>U34*(Assumptions!$B$8-(1-Assumptions!$B$8)*Assumptions!$B$9)</f>
        <v/>
      </c>
      <c r="V47" s="54">
        <f>V34*(Assumptions!$B$8-(1-Assumptions!$B$8)*Assumptions!$B$9)</f>
        <v/>
      </c>
      <c r="W47" s="54">
        <f>W34*(Assumptions!$B$8-(1-Assumptions!$B$8)*Assumptions!$B$9)</f>
        <v/>
      </c>
      <c r="X47" s="54">
        <f>X34*(Assumptions!$B$8-(1-Assumptions!$B$8)*Assumptions!$B$9)</f>
        <v/>
      </c>
      <c r="Y47" s="54">
        <f>Y34*(Assumptions!$B$8-(1-Assumptions!$B$8)*Assumptions!$B$9)</f>
        <v/>
      </c>
      <c r="Z47" s="54">
        <f>Z34*(Assumptions!$B$8-(1-Assumptions!$B$8)*Assumptions!$B$9)</f>
        <v/>
      </c>
      <c r="AA47" s="54">
        <f>AA34*(Assumptions!$B$8-(1-Assumptions!$B$8)*Assumptions!$B$9)</f>
        <v/>
      </c>
      <c r="AB47" s="54">
        <f>AB34*(Assumptions!$B$8-(1-Assumptions!$B$8)*Assumptions!$B$9)</f>
        <v/>
      </c>
      <c r="AC47" s="54">
        <f>AC34*(Assumptions!$B$8-(1-Assumptions!$B$8)*Assumptions!$B$9)</f>
        <v/>
      </c>
      <c r="AD47" s="54">
        <f>AD34*(Assumptions!$B$8-(1-Assumptions!$B$8)*Assumptions!$B$9)</f>
        <v/>
      </c>
      <c r="AE47" s="54">
        <f>AE34*(Assumptions!$B$8-(1-Assumptions!$B$8)*Assumptions!$B$9)</f>
        <v/>
      </c>
    </row>
    <row r="48">
      <c r="A48" s="6" t="inlineStr">
        <is>
          <t xml:space="preserve">  Stream 1b - Entry fee margin, SPOT</t>
        </is>
      </c>
      <c r="B48" s="23" t="inlineStr">
        <is>
          <t>USD</t>
        </is>
      </c>
      <c r="C48" s="54">
        <f>C35*(Assumptions!$B$8-(1-Assumptions!$B$8)*Assumptions!$B$9)</f>
        <v/>
      </c>
      <c r="D48" s="54">
        <f>D35*(Assumptions!$B$8-(1-Assumptions!$B$8)*Assumptions!$B$9)</f>
        <v/>
      </c>
      <c r="E48" s="54">
        <f>E35*(Assumptions!$B$8-(1-Assumptions!$B$8)*Assumptions!$B$9)</f>
        <v/>
      </c>
      <c r="F48" s="54">
        <f>F35*(Assumptions!$B$8-(1-Assumptions!$B$8)*Assumptions!$B$9)</f>
        <v/>
      </c>
      <c r="G48" s="54">
        <f>G35*(Assumptions!$B$8-(1-Assumptions!$B$8)*Assumptions!$B$9)</f>
        <v/>
      </c>
      <c r="H48" s="54">
        <f>H35*(Assumptions!$B$8-(1-Assumptions!$B$8)*Assumptions!$B$9)</f>
        <v/>
      </c>
      <c r="I48" s="54">
        <f>I35*(Assumptions!$B$8-(1-Assumptions!$B$8)*Assumptions!$B$9)</f>
        <v/>
      </c>
      <c r="J48" s="54">
        <f>J35*(Assumptions!$B$8-(1-Assumptions!$B$8)*Assumptions!$B$9)</f>
        <v/>
      </c>
      <c r="K48" s="54">
        <f>K35*(Assumptions!$B$8-(1-Assumptions!$B$8)*Assumptions!$B$9)</f>
        <v/>
      </c>
      <c r="L48" s="54">
        <f>L35*(Assumptions!$B$8-(1-Assumptions!$B$8)*Assumptions!$B$9)</f>
        <v/>
      </c>
      <c r="M48" s="54">
        <f>M35*(Assumptions!$B$8-(1-Assumptions!$B$8)*Assumptions!$B$9)</f>
        <v/>
      </c>
      <c r="N48" s="54">
        <f>N35*(Assumptions!$B$8-(1-Assumptions!$B$8)*Assumptions!$B$9)</f>
        <v/>
      </c>
      <c r="O48" s="54">
        <f>O35*(Assumptions!$B$8-(1-Assumptions!$B$8)*Assumptions!$B$9)</f>
        <v/>
      </c>
      <c r="P48" s="54">
        <f>P35*(Assumptions!$B$8-(1-Assumptions!$B$8)*Assumptions!$B$9)</f>
        <v/>
      </c>
      <c r="Q48" s="54">
        <f>Q35*(Assumptions!$B$8-(1-Assumptions!$B$8)*Assumptions!$B$9)</f>
        <v/>
      </c>
      <c r="R48" s="54">
        <f>R35*(Assumptions!$B$8-(1-Assumptions!$B$8)*Assumptions!$B$9)</f>
        <v/>
      </c>
      <c r="S48" s="54">
        <f>S35*(Assumptions!$B$8-(1-Assumptions!$B$8)*Assumptions!$B$9)</f>
        <v/>
      </c>
      <c r="T48" s="54">
        <f>T35*(Assumptions!$B$8-(1-Assumptions!$B$8)*Assumptions!$B$9)</f>
        <v/>
      </c>
      <c r="U48" s="54">
        <f>U35*(Assumptions!$B$8-(1-Assumptions!$B$8)*Assumptions!$B$9)</f>
        <v/>
      </c>
      <c r="V48" s="54">
        <f>V35*(Assumptions!$B$8-(1-Assumptions!$B$8)*Assumptions!$B$9)</f>
        <v/>
      </c>
      <c r="W48" s="54">
        <f>W35*(Assumptions!$B$8-(1-Assumptions!$B$8)*Assumptions!$B$9)</f>
        <v/>
      </c>
      <c r="X48" s="54">
        <f>X35*(Assumptions!$B$8-(1-Assumptions!$B$8)*Assumptions!$B$9)</f>
        <v/>
      </c>
      <c r="Y48" s="54">
        <f>Y35*(Assumptions!$B$8-(1-Assumptions!$B$8)*Assumptions!$B$9)</f>
        <v/>
      </c>
      <c r="Z48" s="54">
        <f>Z35*(Assumptions!$B$8-(1-Assumptions!$B$8)*Assumptions!$B$9)</f>
        <v/>
      </c>
      <c r="AA48" s="54">
        <f>AA35*(Assumptions!$B$8-(1-Assumptions!$B$8)*Assumptions!$B$9)</f>
        <v/>
      </c>
      <c r="AB48" s="54">
        <f>AB35*(Assumptions!$B$8-(1-Assumptions!$B$8)*Assumptions!$B$9)</f>
        <v/>
      </c>
      <c r="AC48" s="54">
        <f>AC35*(Assumptions!$B$8-(1-Assumptions!$B$8)*Assumptions!$B$9)</f>
        <v/>
      </c>
      <c r="AD48" s="54">
        <f>AD35*(Assumptions!$B$8-(1-Assumptions!$B$8)*Assumptions!$B$9)</f>
        <v/>
      </c>
      <c r="AE48" s="54">
        <f>AE35*(Assumptions!$B$8-(1-Assumptions!$B$8)*Assumptions!$B$9)</f>
        <v/>
      </c>
    </row>
    <row r="49">
      <c r="A49" s="6" t="inlineStr">
        <is>
          <t xml:space="preserve">  Stream 2 - Card interchange</t>
        </is>
      </c>
      <c r="B49" s="23" t="inlineStr">
        <is>
          <t>USD</t>
        </is>
      </c>
      <c r="C49" s="54">
        <f>C46*IF(Assumptions!$B$163=1,MIN(Assumptions!$B$14,1%),Assumptions!$B$14)*(1-Assumptions!$B$130)</f>
        <v/>
      </c>
      <c r="D49" s="54">
        <f>D46*IF(Assumptions!$B$163=1,MIN(Assumptions!$B$14,1%),Assumptions!$B$14)*(1-Assumptions!$B$130)</f>
        <v/>
      </c>
      <c r="E49" s="54">
        <f>E46*IF(Assumptions!$B$163=1,MIN(Assumptions!$B$14,1%),Assumptions!$B$14)*(1-Assumptions!$B$130)</f>
        <v/>
      </c>
      <c r="F49" s="54">
        <f>F46*IF(Assumptions!$B$163=1,MIN(Assumptions!$B$14,1%),Assumptions!$B$14)*(1-Assumptions!$B$130)</f>
        <v/>
      </c>
      <c r="G49" s="54">
        <f>G46*IF(Assumptions!$B$163=1,MIN(Assumptions!$B$14,1%),Assumptions!$B$14)*(1-Assumptions!$B$130)</f>
        <v/>
      </c>
      <c r="H49" s="54">
        <f>H46*IF(Assumptions!$B$163=1,MIN(Assumptions!$B$14,1%),Assumptions!$B$14)*(1-Assumptions!$B$130)</f>
        <v/>
      </c>
      <c r="I49" s="54">
        <f>I46*IF(Assumptions!$B$163=1,MIN(Assumptions!$B$14,1%),Assumptions!$B$14)*(1-Assumptions!$B$130)</f>
        <v/>
      </c>
      <c r="J49" s="54">
        <f>J46*IF(Assumptions!$B$163=1,MIN(Assumptions!$B$14,1%),Assumptions!$B$14)*(1-Assumptions!$B$130)</f>
        <v/>
      </c>
      <c r="K49" s="54">
        <f>K46*IF(Assumptions!$B$163=1,MIN(Assumptions!$B$14,1%),Assumptions!$B$14)*(1-Assumptions!$B$130)</f>
        <v/>
      </c>
      <c r="L49" s="54">
        <f>L46*IF(Assumptions!$B$163=1,MIN(Assumptions!$B$14,1%),Assumptions!$B$14)*(1-Assumptions!$B$130)</f>
        <v/>
      </c>
      <c r="M49" s="54">
        <f>M46*IF(Assumptions!$B$163=1,MIN(Assumptions!$B$14,1%),Assumptions!$B$14)*(1-Assumptions!$B$130)</f>
        <v/>
      </c>
      <c r="N49" s="54">
        <f>N46*IF(Assumptions!$B$163=1,MIN(Assumptions!$B$14,1%),Assumptions!$B$14)*(1-Assumptions!$B$130)</f>
        <v/>
      </c>
      <c r="O49" s="54">
        <f>O46*IF(Assumptions!$B$163=1,MIN(Assumptions!$B$14,1%),Assumptions!$B$14)*(1-Assumptions!$B$130)</f>
        <v/>
      </c>
      <c r="P49" s="54">
        <f>P46*IF(Assumptions!$B$163=1,MIN(Assumptions!$B$14,1%),Assumptions!$B$14)*(1-Assumptions!$B$130)</f>
        <v/>
      </c>
      <c r="Q49" s="54">
        <f>Q46*IF(Assumptions!$B$163=1,MIN(Assumptions!$B$14,1%),Assumptions!$B$14)*(1-Assumptions!$B$130)</f>
        <v/>
      </c>
      <c r="R49" s="54">
        <f>R46*IF(Assumptions!$B$163=1,MIN(Assumptions!$B$14,1%),Assumptions!$B$14)*(1-Assumptions!$B$130)</f>
        <v/>
      </c>
      <c r="S49" s="54">
        <f>S46*IF(Assumptions!$B$163=1,MIN(Assumptions!$B$14,1%),Assumptions!$B$14)*(1-Assumptions!$B$130)</f>
        <v/>
      </c>
      <c r="T49" s="54">
        <f>T46*IF(Assumptions!$B$163=1,MIN(Assumptions!$B$14,1%),Assumptions!$B$14)*(1-Assumptions!$B$130)</f>
        <v/>
      </c>
      <c r="U49" s="54">
        <f>U46*IF(Assumptions!$B$163=1,MIN(Assumptions!$B$14,1%),Assumptions!$B$14)*(1-Assumptions!$B$130)</f>
        <v/>
      </c>
      <c r="V49" s="54">
        <f>V46*IF(Assumptions!$B$163=1,MIN(Assumptions!$B$14,1%),Assumptions!$B$14)*(1-Assumptions!$B$130)</f>
        <v/>
      </c>
      <c r="W49" s="54">
        <f>W46*IF(Assumptions!$B$163=1,MIN(Assumptions!$B$14,1%),Assumptions!$B$14)*(1-Assumptions!$B$130)</f>
        <v/>
      </c>
      <c r="X49" s="54">
        <f>X46*IF(Assumptions!$B$163=1,MIN(Assumptions!$B$14,1%),Assumptions!$B$14)*(1-Assumptions!$B$130)</f>
        <v/>
      </c>
      <c r="Y49" s="54">
        <f>Y46*IF(Assumptions!$B$163=1,MIN(Assumptions!$B$14,1%),Assumptions!$B$14)*(1-Assumptions!$B$130)</f>
        <v/>
      </c>
      <c r="Z49" s="54">
        <f>Z46*IF(Assumptions!$B$163=1,MIN(Assumptions!$B$14,1%),Assumptions!$B$14)*(1-Assumptions!$B$130)</f>
        <v/>
      </c>
      <c r="AA49" s="54">
        <f>AA46*IF(Assumptions!$B$163=1,MIN(Assumptions!$B$14,1%),Assumptions!$B$14)*(1-Assumptions!$B$130)</f>
        <v/>
      </c>
      <c r="AB49" s="54">
        <f>AB46*IF(Assumptions!$B$163=1,MIN(Assumptions!$B$14,1%),Assumptions!$B$14)*(1-Assumptions!$B$130)</f>
        <v/>
      </c>
      <c r="AC49" s="54">
        <f>AC46*IF(Assumptions!$B$163=1,MIN(Assumptions!$B$14,1%),Assumptions!$B$14)*(1-Assumptions!$B$130)</f>
        <v/>
      </c>
      <c r="AD49" s="54">
        <f>AD46*IF(Assumptions!$B$163=1,MIN(Assumptions!$B$14,1%),Assumptions!$B$14)*(1-Assumptions!$B$130)</f>
        <v/>
      </c>
      <c r="AE49" s="54">
        <f>AE46*IF(Assumptions!$B$163=1,MIN(Assumptions!$B$14,1%),Assumptions!$B$14)*(1-Assumptions!$B$130)</f>
        <v/>
      </c>
    </row>
    <row r="50">
      <c r="A50" s="6" t="inlineStr">
        <is>
          <t xml:space="preserve">  Stream 3 - Family plan and Digital Will</t>
        </is>
      </c>
      <c r="B50" s="23" t="inlineStr">
        <is>
          <t>USD</t>
        </is>
      </c>
      <c r="C50" s="54">
        <f>IF(C2&gt;=Assumptions!$B$48,C30*Assumptions!$B$148*Assumptions!$B$26/12*C7,0)</f>
        <v/>
      </c>
      <c r="D50" s="54">
        <f>IF(D2&gt;=Assumptions!$B$48,D30*Assumptions!$B$148*Assumptions!$B$26/12*D7,0)</f>
        <v/>
      </c>
      <c r="E50" s="54">
        <f>IF(E2&gt;=Assumptions!$B$48,E30*Assumptions!$B$148*Assumptions!$B$26/12*E7,0)</f>
        <v/>
      </c>
      <c r="F50" s="54">
        <f>IF(F2&gt;=Assumptions!$B$48,F30*Assumptions!$B$148*Assumptions!$B$26/12*F7,0)</f>
        <v/>
      </c>
      <c r="G50" s="54">
        <f>IF(G2&gt;=Assumptions!$B$48,G30*Assumptions!$B$148*Assumptions!$B$26/12*G7,0)</f>
        <v/>
      </c>
      <c r="H50" s="54">
        <f>IF(H2&gt;=Assumptions!$B$48,H30*Assumptions!$B$148*Assumptions!$B$26/12*H7,0)</f>
        <v/>
      </c>
      <c r="I50" s="54">
        <f>IF(I2&gt;=Assumptions!$B$48,I30*Assumptions!$B$148*Assumptions!$B$26/12*I7,0)</f>
        <v/>
      </c>
      <c r="J50" s="54">
        <f>IF(J2&gt;=Assumptions!$B$48,J30*Assumptions!$B$148*Assumptions!$B$26/12*J7,0)</f>
        <v/>
      </c>
      <c r="K50" s="54">
        <f>IF(K2&gt;=Assumptions!$B$48,K30*Assumptions!$B$148*Assumptions!$B$26/12*K7,0)</f>
        <v/>
      </c>
      <c r="L50" s="54">
        <f>IF(L2&gt;=Assumptions!$B$48,L30*Assumptions!$B$148*Assumptions!$B$26/12*L7,0)</f>
        <v/>
      </c>
      <c r="M50" s="54">
        <f>IF(M2&gt;=Assumptions!$B$48,M30*Assumptions!$B$148*Assumptions!$B$26/12*M7,0)</f>
        <v/>
      </c>
      <c r="N50" s="54">
        <f>IF(N2&gt;=Assumptions!$B$48,N30*Assumptions!$B$148*Assumptions!$B$26/12*N7,0)</f>
        <v/>
      </c>
      <c r="O50" s="54">
        <f>IF(O2&gt;=Assumptions!$B$48,O30*Assumptions!$B$148*Assumptions!$B$26/12*O7,0)</f>
        <v/>
      </c>
      <c r="P50" s="54">
        <f>IF(P2&gt;=Assumptions!$B$48,P30*Assumptions!$B$148*Assumptions!$B$26/12*P7,0)</f>
        <v/>
      </c>
      <c r="Q50" s="54">
        <f>IF(Q2&gt;=Assumptions!$B$48,Q30*Assumptions!$B$148*Assumptions!$B$26/12*Q7,0)</f>
        <v/>
      </c>
      <c r="R50" s="54">
        <f>IF(R2&gt;=Assumptions!$B$48,R30*Assumptions!$B$148*Assumptions!$B$26/12*R7,0)</f>
        <v/>
      </c>
      <c r="S50" s="54">
        <f>IF(S2&gt;=Assumptions!$B$48,S30*Assumptions!$B$148*Assumptions!$B$26/12*S7,0)</f>
        <v/>
      </c>
      <c r="T50" s="54">
        <f>IF(T2&gt;=Assumptions!$B$48,T30*Assumptions!$B$148*Assumptions!$B$26/12*T7,0)</f>
        <v/>
      </c>
      <c r="U50" s="54">
        <f>IF(U2&gt;=Assumptions!$B$48,U30*Assumptions!$B$148*Assumptions!$B$26/12*U7,0)</f>
        <v/>
      </c>
      <c r="V50" s="54">
        <f>IF(V2&gt;=Assumptions!$B$48,V30*Assumptions!$B$148*Assumptions!$B$26/12*V7,0)</f>
        <v/>
      </c>
      <c r="W50" s="54">
        <f>IF(W2&gt;=Assumptions!$B$48,W30*Assumptions!$B$148*Assumptions!$B$26/12*W7,0)</f>
        <v/>
      </c>
      <c r="X50" s="54">
        <f>IF(X2&gt;=Assumptions!$B$48,X30*Assumptions!$B$148*Assumptions!$B$26/12*X7,0)</f>
        <v/>
      </c>
      <c r="Y50" s="54">
        <f>IF(Y2&gt;=Assumptions!$B$48,Y30*Assumptions!$B$148*Assumptions!$B$26/12*Y7,0)</f>
        <v/>
      </c>
      <c r="Z50" s="54">
        <f>IF(Z2&gt;=Assumptions!$B$48,Z30*Assumptions!$B$148*Assumptions!$B$26/12*Z7,0)</f>
        <v/>
      </c>
      <c r="AA50" s="54">
        <f>IF(AA2&gt;=Assumptions!$B$48,AA30*Assumptions!$B$148*Assumptions!$B$26/12*AA7,0)</f>
        <v/>
      </c>
      <c r="AB50" s="54">
        <f>IF(AB2&gt;=Assumptions!$B$48,AB30*Assumptions!$B$148*Assumptions!$B$26/12*AB7,0)</f>
        <v/>
      </c>
      <c r="AC50" s="54">
        <f>IF(AC2&gt;=Assumptions!$B$48,AC30*Assumptions!$B$148*Assumptions!$B$26/12*AC7,0)</f>
        <v/>
      </c>
      <c r="AD50" s="54">
        <f>IF(AD2&gt;=Assumptions!$B$48,AD30*Assumptions!$B$148*Assumptions!$B$26/12*AD7,0)</f>
        <v/>
      </c>
      <c r="AE50" s="54">
        <f>IF(AE2&gt;=Assumptions!$B$48,AE30*Assumptions!$B$148*Assumptions!$B$26/12*AE7,0)</f>
        <v/>
      </c>
    </row>
    <row r="51">
      <c r="A51" s="6" t="inlineStr">
        <is>
          <t xml:space="preserve">  Stream 4 - Cardholder fees (FX, ATM, events)</t>
        </is>
      </c>
      <c r="B51" s="23" t="inlineStr">
        <is>
          <t>USD</t>
        </is>
      </c>
      <c r="C51" s="54">
        <f>IF(C2&gt;=Assumptions!$B$50,C46*C17*Assumptions!$B$18+C42*(Assumptions!$B$136*MAX(0,Assumptions!$B$140-Assumptions!$B$19)+Assumptions!$B$137*MAX(0,Assumptions!$B$141-Assumptions!$B$19)+Assumptions!$B$138*MAX(0,Assumptions!$B$142-Assumptions!$B$19)+Assumptions!$B$139*MAX(0,Assumptions!$B$143-Assumptions!$B$19))*Assumptions!$B$20/Assumptions!$B$7*C7+C42*(Assumptions!$B$134*Assumptions!$B$21+Assumptions!$B$135*Assumptions!$B$22)/12/Assumptions!$B$7*C7,0)</f>
        <v/>
      </c>
      <c r="D51" s="54">
        <f>IF(D2&gt;=Assumptions!$B$50,D46*D17*Assumptions!$B$18+D42*(Assumptions!$B$136*MAX(0,Assumptions!$B$140-Assumptions!$B$19)+Assumptions!$B$137*MAX(0,Assumptions!$B$141-Assumptions!$B$19)+Assumptions!$B$138*MAX(0,Assumptions!$B$142-Assumptions!$B$19)+Assumptions!$B$139*MAX(0,Assumptions!$B$143-Assumptions!$B$19))*Assumptions!$B$20/Assumptions!$B$7*D7+D42*(Assumptions!$B$134*Assumptions!$B$21+Assumptions!$B$135*Assumptions!$B$22)/12/Assumptions!$B$7*D7,0)</f>
        <v/>
      </c>
      <c r="E51" s="54">
        <f>IF(E2&gt;=Assumptions!$B$50,E46*E17*Assumptions!$B$18+E42*(Assumptions!$B$136*MAX(0,Assumptions!$B$140-Assumptions!$B$19)+Assumptions!$B$137*MAX(0,Assumptions!$B$141-Assumptions!$B$19)+Assumptions!$B$138*MAX(0,Assumptions!$B$142-Assumptions!$B$19)+Assumptions!$B$139*MAX(0,Assumptions!$B$143-Assumptions!$B$19))*Assumptions!$B$20/Assumptions!$B$7*E7+E42*(Assumptions!$B$134*Assumptions!$B$21+Assumptions!$B$135*Assumptions!$B$22)/12/Assumptions!$B$7*E7,0)</f>
        <v/>
      </c>
      <c r="F51" s="54">
        <f>IF(F2&gt;=Assumptions!$B$50,F46*F17*Assumptions!$B$18+F42*(Assumptions!$B$136*MAX(0,Assumptions!$B$140-Assumptions!$B$19)+Assumptions!$B$137*MAX(0,Assumptions!$B$141-Assumptions!$B$19)+Assumptions!$B$138*MAX(0,Assumptions!$B$142-Assumptions!$B$19)+Assumptions!$B$139*MAX(0,Assumptions!$B$143-Assumptions!$B$19))*Assumptions!$B$20/Assumptions!$B$7*F7+F42*(Assumptions!$B$134*Assumptions!$B$21+Assumptions!$B$135*Assumptions!$B$22)/12/Assumptions!$B$7*F7,0)</f>
        <v/>
      </c>
      <c r="G51" s="54">
        <f>IF(G2&gt;=Assumptions!$B$50,G46*G17*Assumptions!$B$18+G42*(Assumptions!$B$136*MAX(0,Assumptions!$B$140-Assumptions!$B$19)+Assumptions!$B$137*MAX(0,Assumptions!$B$141-Assumptions!$B$19)+Assumptions!$B$138*MAX(0,Assumptions!$B$142-Assumptions!$B$19)+Assumptions!$B$139*MAX(0,Assumptions!$B$143-Assumptions!$B$19))*Assumptions!$B$20/Assumptions!$B$7*G7+G42*(Assumptions!$B$134*Assumptions!$B$21+Assumptions!$B$135*Assumptions!$B$22)/12/Assumptions!$B$7*G7,0)</f>
        <v/>
      </c>
      <c r="H51" s="54">
        <f>IF(H2&gt;=Assumptions!$B$50,H46*H17*Assumptions!$B$18+H42*(Assumptions!$B$136*MAX(0,Assumptions!$B$140-Assumptions!$B$19)+Assumptions!$B$137*MAX(0,Assumptions!$B$141-Assumptions!$B$19)+Assumptions!$B$138*MAX(0,Assumptions!$B$142-Assumptions!$B$19)+Assumptions!$B$139*MAX(0,Assumptions!$B$143-Assumptions!$B$19))*Assumptions!$B$20/Assumptions!$B$7*H7+H42*(Assumptions!$B$134*Assumptions!$B$21+Assumptions!$B$135*Assumptions!$B$22)/12/Assumptions!$B$7*H7,0)</f>
        <v/>
      </c>
      <c r="I51" s="54">
        <f>IF(I2&gt;=Assumptions!$B$50,I46*I17*Assumptions!$B$18+I42*(Assumptions!$B$136*MAX(0,Assumptions!$B$140-Assumptions!$B$19)+Assumptions!$B$137*MAX(0,Assumptions!$B$141-Assumptions!$B$19)+Assumptions!$B$138*MAX(0,Assumptions!$B$142-Assumptions!$B$19)+Assumptions!$B$139*MAX(0,Assumptions!$B$143-Assumptions!$B$19))*Assumptions!$B$20/Assumptions!$B$7*I7+I42*(Assumptions!$B$134*Assumptions!$B$21+Assumptions!$B$135*Assumptions!$B$22)/12/Assumptions!$B$7*I7,0)</f>
        <v/>
      </c>
      <c r="J51" s="54">
        <f>IF(J2&gt;=Assumptions!$B$50,J46*J17*Assumptions!$B$18+J42*(Assumptions!$B$136*MAX(0,Assumptions!$B$140-Assumptions!$B$19)+Assumptions!$B$137*MAX(0,Assumptions!$B$141-Assumptions!$B$19)+Assumptions!$B$138*MAX(0,Assumptions!$B$142-Assumptions!$B$19)+Assumptions!$B$139*MAX(0,Assumptions!$B$143-Assumptions!$B$19))*Assumptions!$B$20/Assumptions!$B$7*J7+J42*(Assumptions!$B$134*Assumptions!$B$21+Assumptions!$B$135*Assumptions!$B$22)/12/Assumptions!$B$7*J7,0)</f>
        <v/>
      </c>
      <c r="K51" s="54">
        <f>IF(K2&gt;=Assumptions!$B$50,K46*K17*Assumptions!$B$18+K42*(Assumptions!$B$136*MAX(0,Assumptions!$B$140-Assumptions!$B$19)+Assumptions!$B$137*MAX(0,Assumptions!$B$141-Assumptions!$B$19)+Assumptions!$B$138*MAX(0,Assumptions!$B$142-Assumptions!$B$19)+Assumptions!$B$139*MAX(0,Assumptions!$B$143-Assumptions!$B$19))*Assumptions!$B$20/Assumptions!$B$7*K7+K42*(Assumptions!$B$134*Assumptions!$B$21+Assumptions!$B$135*Assumptions!$B$22)/12/Assumptions!$B$7*K7,0)</f>
        <v/>
      </c>
      <c r="L51" s="54">
        <f>IF(L2&gt;=Assumptions!$B$50,L46*L17*Assumptions!$B$18+L42*(Assumptions!$B$136*MAX(0,Assumptions!$B$140-Assumptions!$B$19)+Assumptions!$B$137*MAX(0,Assumptions!$B$141-Assumptions!$B$19)+Assumptions!$B$138*MAX(0,Assumptions!$B$142-Assumptions!$B$19)+Assumptions!$B$139*MAX(0,Assumptions!$B$143-Assumptions!$B$19))*Assumptions!$B$20/Assumptions!$B$7*L7+L42*(Assumptions!$B$134*Assumptions!$B$21+Assumptions!$B$135*Assumptions!$B$22)/12/Assumptions!$B$7*L7,0)</f>
        <v/>
      </c>
      <c r="M51" s="54">
        <f>IF(M2&gt;=Assumptions!$B$50,M46*M17*Assumptions!$B$18+M42*(Assumptions!$B$136*MAX(0,Assumptions!$B$140-Assumptions!$B$19)+Assumptions!$B$137*MAX(0,Assumptions!$B$141-Assumptions!$B$19)+Assumptions!$B$138*MAX(0,Assumptions!$B$142-Assumptions!$B$19)+Assumptions!$B$139*MAX(0,Assumptions!$B$143-Assumptions!$B$19))*Assumptions!$B$20/Assumptions!$B$7*M7+M42*(Assumptions!$B$134*Assumptions!$B$21+Assumptions!$B$135*Assumptions!$B$22)/12/Assumptions!$B$7*M7,0)</f>
        <v/>
      </c>
      <c r="N51" s="54">
        <f>IF(N2&gt;=Assumptions!$B$50,N46*N17*Assumptions!$B$18+N42*(Assumptions!$B$136*MAX(0,Assumptions!$B$140-Assumptions!$B$19)+Assumptions!$B$137*MAX(0,Assumptions!$B$141-Assumptions!$B$19)+Assumptions!$B$138*MAX(0,Assumptions!$B$142-Assumptions!$B$19)+Assumptions!$B$139*MAX(0,Assumptions!$B$143-Assumptions!$B$19))*Assumptions!$B$20/Assumptions!$B$7*N7+N42*(Assumptions!$B$134*Assumptions!$B$21+Assumptions!$B$135*Assumptions!$B$22)/12/Assumptions!$B$7*N7,0)</f>
        <v/>
      </c>
      <c r="O51" s="54">
        <f>IF(O2&gt;=Assumptions!$B$50,O46*O17*Assumptions!$B$18+O42*(Assumptions!$B$136*MAX(0,Assumptions!$B$140-Assumptions!$B$19)+Assumptions!$B$137*MAX(0,Assumptions!$B$141-Assumptions!$B$19)+Assumptions!$B$138*MAX(0,Assumptions!$B$142-Assumptions!$B$19)+Assumptions!$B$139*MAX(0,Assumptions!$B$143-Assumptions!$B$19))*Assumptions!$B$20/Assumptions!$B$7*O7+O42*(Assumptions!$B$134*Assumptions!$B$21+Assumptions!$B$135*Assumptions!$B$22)/12/Assumptions!$B$7*O7,0)</f>
        <v/>
      </c>
      <c r="P51" s="54">
        <f>IF(P2&gt;=Assumptions!$B$50,P46*P17*Assumptions!$B$18+P42*(Assumptions!$B$136*MAX(0,Assumptions!$B$140-Assumptions!$B$19)+Assumptions!$B$137*MAX(0,Assumptions!$B$141-Assumptions!$B$19)+Assumptions!$B$138*MAX(0,Assumptions!$B$142-Assumptions!$B$19)+Assumptions!$B$139*MAX(0,Assumptions!$B$143-Assumptions!$B$19))*Assumptions!$B$20/Assumptions!$B$7*P7+P42*(Assumptions!$B$134*Assumptions!$B$21+Assumptions!$B$135*Assumptions!$B$22)/12/Assumptions!$B$7*P7,0)</f>
        <v/>
      </c>
      <c r="Q51" s="54">
        <f>IF(Q2&gt;=Assumptions!$B$50,Q46*Q17*Assumptions!$B$18+Q42*(Assumptions!$B$136*MAX(0,Assumptions!$B$140-Assumptions!$B$19)+Assumptions!$B$137*MAX(0,Assumptions!$B$141-Assumptions!$B$19)+Assumptions!$B$138*MAX(0,Assumptions!$B$142-Assumptions!$B$19)+Assumptions!$B$139*MAX(0,Assumptions!$B$143-Assumptions!$B$19))*Assumptions!$B$20/Assumptions!$B$7*Q7+Q42*(Assumptions!$B$134*Assumptions!$B$21+Assumptions!$B$135*Assumptions!$B$22)/12/Assumptions!$B$7*Q7,0)</f>
        <v/>
      </c>
      <c r="R51" s="54">
        <f>IF(R2&gt;=Assumptions!$B$50,R46*R17*Assumptions!$B$18+R42*(Assumptions!$B$136*MAX(0,Assumptions!$B$140-Assumptions!$B$19)+Assumptions!$B$137*MAX(0,Assumptions!$B$141-Assumptions!$B$19)+Assumptions!$B$138*MAX(0,Assumptions!$B$142-Assumptions!$B$19)+Assumptions!$B$139*MAX(0,Assumptions!$B$143-Assumptions!$B$19))*Assumptions!$B$20/Assumptions!$B$7*R7+R42*(Assumptions!$B$134*Assumptions!$B$21+Assumptions!$B$135*Assumptions!$B$22)/12/Assumptions!$B$7*R7,0)</f>
        <v/>
      </c>
      <c r="S51" s="54">
        <f>IF(S2&gt;=Assumptions!$B$50,S46*S17*Assumptions!$B$18+S42*(Assumptions!$B$136*MAX(0,Assumptions!$B$140-Assumptions!$B$19)+Assumptions!$B$137*MAX(0,Assumptions!$B$141-Assumptions!$B$19)+Assumptions!$B$138*MAX(0,Assumptions!$B$142-Assumptions!$B$19)+Assumptions!$B$139*MAX(0,Assumptions!$B$143-Assumptions!$B$19))*Assumptions!$B$20/Assumptions!$B$7*S7+S42*(Assumptions!$B$134*Assumptions!$B$21+Assumptions!$B$135*Assumptions!$B$22)/12/Assumptions!$B$7*S7,0)</f>
        <v/>
      </c>
      <c r="T51" s="54">
        <f>IF(T2&gt;=Assumptions!$B$50,T46*T17*Assumptions!$B$18+T42*(Assumptions!$B$136*MAX(0,Assumptions!$B$140-Assumptions!$B$19)+Assumptions!$B$137*MAX(0,Assumptions!$B$141-Assumptions!$B$19)+Assumptions!$B$138*MAX(0,Assumptions!$B$142-Assumptions!$B$19)+Assumptions!$B$139*MAX(0,Assumptions!$B$143-Assumptions!$B$19))*Assumptions!$B$20/Assumptions!$B$7*T7+T42*(Assumptions!$B$134*Assumptions!$B$21+Assumptions!$B$135*Assumptions!$B$22)/12/Assumptions!$B$7*T7,0)</f>
        <v/>
      </c>
      <c r="U51" s="54">
        <f>IF(U2&gt;=Assumptions!$B$50,U46*U17*Assumptions!$B$18+U42*(Assumptions!$B$136*MAX(0,Assumptions!$B$140-Assumptions!$B$19)+Assumptions!$B$137*MAX(0,Assumptions!$B$141-Assumptions!$B$19)+Assumptions!$B$138*MAX(0,Assumptions!$B$142-Assumptions!$B$19)+Assumptions!$B$139*MAX(0,Assumptions!$B$143-Assumptions!$B$19))*Assumptions!$B$20/Assumptions!$B$7*U7+U42*(Assumptions!$B$134*Assumptions!$B$21+Assumptions!$B$135*Assumptions!$B$22)/12/Assumptions!$B$7*U7,0)</f>
        <v/>
      </c>
      <c r="V51" s="54">
        <f>IF(V2&gt;=Assumptions!$B$50,V46*V17*Assumptions!$B$18+V42*(Assumptions!$B$136*MAX(0,Assumptions!$B$140-Assumptions!$B$19)+Assumptions!$B$137*MAX(0,Assumptions!$B$141-Assumptions!$B$19)+Assumptions!$B$138*MAX(0,Assumptions!$B$142-Assumptions!$B$19)+Assumptions!$B$139*MAX(0,Assumptions!$B$143-Assumptions!$B$19))*Assumptions!$B$20/Assumptions!$B$7*V7+V42*(Assumptions!$B$134*Assumptions!$B$21+Assumptions!$B$135*Assumptions!$B$22)/12/Assumptions!$B$7*V7,0)</f>
        <v/>
      </c>
      <c r="W51" s="54">
        <f>IF(W2&gt;=Assumptions!$B$50,W46*W17*Assumptions!$B$18+W42*(Assumptions!$B$136*MAX(0,Assumptions!$B$140-Assumptions!$B$19)+Assumptions!$B$137*MAX(0,Assumptions!$B$141-Assumptions!$B$19)+Assumptions!$B$138*MAX(0,Assumptions!$B$142-Assumptions!$B$19)+Assumptions!$B$139*MAX(0,Assumptions!$B$143-Assumptions!$B$19))*Assumptions!$B$20/Assumptions!$B$7*W7+W42*(Assumptions!$B$134*Assumptions!$B$21+Assumptions!$B$135*Assumptions!$B$22)/12/Assumptions!$B$7*W7,0)</f>
        <v/>
      </c>
      <c r="X51" s="54">
        <f>IF(X2&gt;=Assumptions!$B$50,X46*X17*Assumptions!$B$18+X42*(Assumptions!$B$136*MAX(0,Assumptions!$B$140-Assumptions!$B$19)+Assumptions!$B$137*MAX(0,Assumptions!$B$141-Assumptions!$B$19)+Assumptions!$B$138*MAX(0,Assumptions!$B$142-Assumptions!$B$19)+Assumptions!$B$139*MAX(0,Assumptions!$B$143-Assumptions!$B$19))*Assumptions!$B$20/Assumptions!$B$7*X7+X42*(Assumptions!$B$134*Assumptions!$B$21+Assumptions!$B$135*Assumptions!$B$22)/12/Assumptions!$B$7*X7,0)</f>
        <v/>
      </c>
      <c r="Y51" s="54">
        <f>IF(Y2&gt;=Assumptions!$B$50,Y46*Y17*Assumptions!$B$18+Y42*(Assumptions!$B$136*MAX(0,Assumptions!$B$140-Assumptions!$B$19)+Assumptions!$B$137*MAX(0,Assumptions!$B$141-Assumptions!$B$19)+Assumptions!$B$138*MAX(0,Assumptions!$B$142-Assumptions!$B$19)+Assumptions!$B$139*MAX(0,Assumptions!$B$143-Assumptions!$B$19))*Assumptions!$B$20/Assumptions!$B$7*Y7+Y42*(Assumptions!$B$134*Assumptions!$B$21+Assumptions!$B$135*Assumptions!$B$22)/12/Assumptions!$B$7*Y7,0)</f>
        <v/>
      </c>
      <c r="Z51" s="54">
        <f>IF(Z2&gt;=Assumptions!$B$50,Z46*Z17*Assumptions!$B$18+Z42*(Assumptions!$B$136*MAX(0,Assumptions!$B$140-Assumptions!$B$19)+Assumptions!$B$137*MAX(0,Assumptions!$B$141-Assumptions!$B$19)+Assumptions!$B$138*MAX(0,Assumptions!$B$142-Assumptions!$B$19)+Assumptions!$B$139*MAX(0,Assumptions!$B$143-Assumptions!$B$19))*Assumptions!$B$20/Assumptions!$B$7*Z7+Z42*(Assumptions!$B$134*Assumptions!$B$21+Assumptions!$B$135*Assumptions!$B$22)/12/Assumptions!$B$7*Z7,0)</f>
        <v/>
      </c>
      <c r="AA51" s="54">
        <f>IF(AA2&gt;=Assumptions!$B$50,AA46*AA17*Assumptions!$B$18+AA42*(Assumptions!$B$136*MAX(0,Assumptions!$B$140-Assumptions!$B$19)+Assumptions!$B$137*MAX(0,Assumptions!$B$141-Assumptions!$B$19)+Assumptions!$B$138*MAX(0,Assumptions!$B$142-Assumptions!$B$19)+Assumptions!$B$139*MAX(0,Assumptions!$B$143-Assumptions!$B$19))*Assumptions!$B$20/Assumptions!$B$7*AA7+AA42*(Assumptions!$B$134*Assumptions!$B$21+Assumptions!$B$135*Assumptions!$B$22)/12/Assumptions!$B$7*AA7,0)</f>
        <v/>
      </c>
      <c r="AB51" s="54">
        <f>IF(AB2&gt;=Assumptions!$B$50,AB46*AB17*Assumptions!$B$18+AB42*(Assumptions!$B$136*MAX(0,Assumptions!$B$140-Assumptions!$B$19)+Assumptions!$B$137*MAX(0,Assumptions!$B$141-Assumptions!$B$19)+Assumptions!$B$138*MAX(0,Assumptions!$B$142-Assumptions!$B$19)+Assumptions!$B$139*MAX(0,Assumptions!$B$143-Assumptions!$B$19))*Assumptions!$B$20/Assumptions!$B$7*AB7+AB42*(Assumptions!$B$134*Assumptions!$B$21+Assumptions!$B$135*Assumptions!$B$22)/12/Assumptions!$B$7*AB7,0)</f>
        <v/>
      </c>
      <c r="AC51" s="54">
        <f>IF(AC2&gt;=Assumptions!$B$50,AC46*AC17*Assumptions!$B$18+AC42*(Assumptions!$B$136*MAX(0,Assumptions!$B$140-Assumptions!$B$19)+Assumptions!$B$137*MAX(0,Assumptions!$B$141-Assumptions!$B$19)+Assumptions!$B$138*MAX(0,Assumptions!$B$142-Assumptions!$B$19)+Assumptions!$B$139*MAX(0,Assumptions!$B$143-Assumptions!$B$19))*Assumptions!$B$20/Assumptions!$B$7*AC7+AC42*(Assumptions!$B$134*Assumptions!$B$21+Assumptions!$B$135*Assumptions!$B$22)/12/Assumptions!$B$7*AC7,0)</f>
        <v/>
      </c>
      <c r="AD51" s="54">
        <f>IF(AD2&gt;=Assumptions!$B$50,AD46*AD17*Assumptions!$B$18+AD42*(Assumptions!$B$136*MAX(0,Assumptions!$B$140-Assumptions!$B$19)+Assumptions!$B$137*MAX(0,Assumptions!$B$141-Assumptions!$B$19)+Assumptions!$B$138*MAX(0,Assumptions!$B$142-Assumptions!$B$19)+Assumptions!$B$139*MAX(0,Assumptions!$B$143-Assumptions!$B$19))*Assumptions!$B$20/Assumptions!$B$7*AD7+AD42*(Assumptions!$B$134*Assumptions!$B$21+Assumptions!$B$135*Assumptions!$B$22)/12/Assumptions!$B$7*AD7,0)</f>
        <v/>
      </c>
      <c r="AE51" s="54">
        <f>IF(AE2&gt;=Assumptions!$B$50,AE46*AE17*Assumptions!$B$18+AE42*(Assumptions!$B$136*MAX(0,Assumptions!$B$140-Assumptions!$B$19)+Assumptions!$B$137*MAX(0,Assumptions!$B$141-Assumptions!$B$19)+Assumptions!$B$138*MAX(0,Assumptions!$B$142-Assumptions!$B$19)+Assumptions!$B$139*MAX(0,Assumptions!$B$143-Assumptions!$B$19))*Assumptions!$B$20/Assumptions!$B$7*AE7+AE42*(Assumptions!$B$134*Assumptions!$B$21+Assumptions!$B$135*Assumptions!$B$22)/12/Assumptions!$B$7*AE7,0)</f>
        <v/>
      </c>
    </row>
    <row r="52">
      <c r="A52" s="6" t="inlineStr">
        <is>
          <t xml:space="preserve">  Average drawn credit balance</t>
        </is>
      </c>
      <c r="B52" s="23" t="inlineStr">
        <is>
          <t>USD</t>
        </is>
      </c>
      <c r="C52" s="54">
        <f>IF(C2&gt;=Assumptions!$B$51,C41*Assumptions!$B$144*(1-Assumptions!$B$163)*IF(C33=0,0,C39/C33)*Assumptions!$B$32*Assumptions!$B$145*Assumptions!$B$146,0)</f>
        <v/>
      </c>
      <c r="D52" s="54">
        <f>IF(D2&gt;=Assumptions!$B$51,D41*Assumptions!$B$144*(1-Assumptions!$B$163)*IF(D33=0,0,D39/D33)*Assumptions!$B$32*Assumptions!$B$145*Assumptions!$B$146,0)</f>
        <v/>
      </c>
      <c r="E52" s="54">
        <f>IF(E2&gt;=Assumptions!$B$51,E41*Assumptions!$B$144*(1-Assumptions!$B$163)*IF(E33=0,0,E39/E33)*Assumptions!$B$32*Assumptions!$B$145*Assumptions!$B$146,0)</f>
        <v/>
      </c>
      <c r="F52" s="54">
        <f>IF(F2&gt;=Assumptions!$B$51,F41*Assumptions!$B$144*(1-Assumptions!$B$163)*IF(F33=0,0,F39/F33)*Assumptions!$B$32*Assumptions!$B$145*Assumptions!$B$146,0)</f>
        <v/>
      </c>
      <c r="G52" s="54">
        <f>IF(G2&gt;=Assumptions!$B$51,G41*Assumptions!$B$144*(1-Assumptions!$B$163)*IF(G33=0,0,G39/G33)*Assumptions!$B$32*Assumptions!$B$145*Assumptions!$B$146,0)</f>
        <v/>
      </c>
      <c r="H52" s="54">
        <f>IF(H2&gt;=Assumptions!$B$51,H41*Assumptions!$B$144*(1-Assumptions!$B$163)*IF(H33=0,0,H39/H33)*Assumptions!$B$32*Assumptions!$B$145*Assumptions!$B$146,0)</f>
        <v/>
      </c>
      <c r="I52" s="54">
        <f>IF(I2&gt;=Assumptions!$B$51,I41*Assumptions!$B$144*(1-Assumptions!$B$163)*IF(I33=0,0,I39/I33)*Assumptions!$B$32*Assumptions!$B$145*Assumptions!$B$146,0)</f>
        <v/>
      </c>
      <c r="J52" s="54">
        <f>IF(J2&gt;=Assumptions!$B$51,J41*Assumptions!$B$144*(1-Assumptions!$B$163)*IF(J33=0,0,J39/J33)*Assumptions!$B$32*Assumptions!$B$145*Assumptions!$B$146,0)</f>
        <v/>
      </c>
      <c r="K52" s="54">
        <f>IF(K2&gt;=Assumptions!$B$51,K41*Assumptions!$B$144*(1-Assumptions!$B$163)*IF(K33=0,0,K39/K33)*Assumptions!$B$32*Assumptions!$B$145*Assumptions!$B$146,0)</f>
        <v/>
      </c>
      <c r="L52" s="54">
        <f>IF(L2&gt;=Assumptions!$B$51,L41*Assumptions!$B$144*(1-Assumptions!$B$163)*IF(L33=0,0,L39/L33)*Assumptions!$B$32*Assumptions!$B$145*Assumptions!$B$146,0)</f>
        <v/>
      </c>
      <c r="M52" s="54">
        <f>IF(M2&gt;=Assumptions!$B$51,M41*Assumptions!$B$144*(1-Assumptions!$B$163)*IF(M33=0,0,M39/M33)*Assumptions!$B$32*Assumptions!$B$145*Assumptions!$B$146,0)</f>
        <v/>
      </c>
      <c r="N52" s="54">
        <f>IF(N2&gt;=Assumptions!$B$51,N41*Assumptions!$B$144*(1-Assumptions!$B$163)*IF(N33=0,0,N39/N33)*Assumptions!$B$32*Assumptions!$B$145*Assumptions!$B$146,0)</f>
        <v/>
      </c>
      <c r="O52" s="54">
        <f>IF(O2&gt;=Assumptions!$B$51,O41*Assumptions!$B$144*(1-Assumptions!$B$163)*IF(O33=0,0,O39/O33)*Assumptions!$B$32*Assumptions!$B$145*Assumptions!$B$146,0)</f>
        <v/>
      </c>
      <c r="P52" s="54">
        <f>IF(P2&gt;=Assumptions!$B$51,P41*Assumptions!$B$144*(1-Assumptions!$B$163)*IF(P33=0,0,P39/P33)*Assumptions!$B$32*Assumptions!$B$145*Assumptions!$B$146,0)</f>
        <v/>
      </c>
      <c r="Q52" s="54">
        <f>IF(Q2&gt;=Assumptions!$B$51,Q41*Assumptions!$B$144*(1-Assumptions!$B$163)*IF(Q33=0,0,Q39/Q33)*Assumptions!$B$32*Assumptions!$B$145*Assumptions!$B$146,0)</f>
        <v/>
      </c>
      <c r="R52" s="54">
        <f>IF(R2&gt;=Assumptions!$B$51,R41*Assumptions!$B$144*(1-Assumptions!$B$163)*IF(R33=0,0,R39/R33)*Assumptions!$B$32*Assumptions!$B$145*Assumptions!$B$146,0)</f>
        <v/>
      </c>
      <c r="S52" s="54">
        <f>IF(S2&gt;=Assumptions!$B$51,S41*Assumptions!$B$144*(1-Assumptions!$B$163)*IF(S33=0,0,S39/S33)*Assumptions!$B$32*Assumptions!$B$145*Assumptions!$B$146,0)</f>
        <v/>
      </c>
      <c r="T52" s="54">
        <f>IF(T2&gt;=Assumptions!$B$51,T41*Assumptions!$B$144*(1-Assumptions!$B$163)*IF(T33=0,0,T39/T33)*Assumptions!$B$32*Assumptions!$B$145*Assumptions!$B$146,0)</f>
        <v/>
      </c>
      <c r="U52" s="54">
        <f>IF(U2&gt;=Assumptions!$B$51,U41*Assumptions!$B$144*(1-Assumptions!$B$163)*IF(U33=0,0,U39/U33)*Assumptions!$B$32*Assumptions!$B$145*Assumptions!$B$146,0)</f>
        <v/>
      </c>
      <c r="V52" s="54">
        <f>IF(V2&gt;=Assumptions!$B$51,V41*Assumptions!$B$144*(1-Assumptions!$B$163)*IF(V33=0,0,V39/V33)*Assumptions!$B$32*Assumptions!$B$145*Assumptions!$B$146,0)</f>
        <v/>
      </c>
      <c r="W52" s="54">
        <f>IF(W2&gt;=Assumptions!$B$51,W41*Assumptions!$B$144*(1-Assumptions!$B$163)*IF(W33=0,0,W39/W33)*Assumptions!$B$32*Assumptions!$B$145*Assumptions!$B$146,0)</f>
        <v/>
      </c>
      <c r="X52" s="54">
        <f>IF(X2&gt;=Assumptions!$B$51,X41*Assumptions!$B$144*(1-Assumptions!$B$163)*IF(X33=0,0,X39/X33)*Assumptions!$B$32*Assumptions!$B$145*Assumptions!$B$146,0)</f>
        <v/>
      </c>
      <c r="Y52" s="54">
        <f>IF(Y2&gt;=Assumptions!$B$51,Y41*Assumptions!$B$144*(1-Assumptions!$B$163)*IF(Y33=0,0,Y39/Y33)*Assumptions!$B$32*Assumptions!$B$145*Assumptions!$B$146,0)</f>
        <v/>
      </c>
      <c r="Z52" s="54">
        <f>IF(Z2&gt;=Assumptions!$B$51,Z41*Assumptions!$B$144*(1-Assumptions!$B$163)*IF(Z33=0,0,Z39/Z33)*Assumptions!$B$32*Assumptions!$B$145*Assumptions!$B$146,0)</f>
        <v/>
      </c>
      <c r="AA52" s="54">
        <f>IF(AA2&gt;=Assumptions!$B$51,AA41*Assumptions!$B$144*(1-Assumptions!$B$163)*IF(AA33=0,0,AA39/AA33)*Assumptions!$B$32*Assumptions!$B$145*Assumptions!$B$146,0)</f>
        <v/>
      </c>
      <c r="AB52" s="54">
        <f>IF(AB2&gt;=Assumptions!$B$51,AB41*Assumptions!$B$144*(1-Assumptions!$B$163)*IF(AB33=0,0,AB39/AB33)*Assumptions!$B$32*Assumptions!$B$145*Assumptions!$B$146,0)</f>
        <v/>
      </c>
      <c r="AC52" s="54">
        <f>IF(AC2&gt;=Assumptions!$B$51,AC41*Assumptions!$B$144*(1-Assumptions!$B$163)*IF(AC33=0,0,AC39/AC33)*Assumptions!$B$32*Assumptions!$B$145*Assumptions!$B$146,0)</f>
        <v/>
      </c>
      <c r="AD52" s="54">
        <f>IF(AD2&gt;=Assumptions!$B$51,AD41*Assumptions!$B$144*(1-Assumptions!$B$163)*IF(AD33=0,0,AD39/AD33)*Assumptions!$B$32*Assumptions!$B$145*Assumptions!$B$146,0)</f>
        <v/>
      </c>
      <c r="AE52" s="54">
        <f>IF(AE2&gt;=Assumptions!$B$51,AE41*Assumptions!$B$144*(1-Assumptions!$B$163)*IF(AE33=0,0,AE39/AE33)*Assumptions!$B$32*Assumptions!$B$145*Assumptions!$B$146,0)</f>
        <v/>
      </c>
    </row>
    <row r="53">
      <c r="A53" s="6" t="inlineStr">
        <is>
          <t xml:space="preserve">  Stream 5 - Lending revenue share</t>
        </is>
      </c>
      <c r="B53" s="23" t="inlineStr">
        <is>
          <t>USD</t>
        </is>
      </c>
      <c r="C53" s="54">
        <f>(C52*Assumptions!$B$30*Assumptions!$B$31+C52/Assumptions!$B$146*Assumptions!$B$147*Assumptions!$B$28*Assumptions!$B$29)*C7/12</f>
        <v/>
      </c>
      <c r="D53" s="54">
        <f>(D52*Assumptions!$B$30*Assumptions!$B$31+D52/Assumptions!$B$146*Assumptions!$B$147*Assumptions!$B$28*Assumptions!$B$29)*D7/12</f>
        <v/>
      </c>
      <c r="E53" s="54">
        <f>(E52*Assumptions!$B$30*Assumptions!$B$31+E52/Assumptions!$B$146*Assumptions!$B$147*Assumptions!$B$28*Assumptions!$B$29)*E7/12</f>
        <v/>
      </c>
      <c r="F53" s="54">
        <f>(F52*Assumptions!$B$30*Assumptions!$B$31+F52/Assumptions!$B$146*Assumptions!$B$147*Assumptions!$B$28*Assumptions!$B$29)*F7/12</f>
        <v/>
      </c>
      <c r="G53" s="54">
        <f>(G52*Assumptions!$B$30*Assumptions!$B$31+G52/Assumptions!$B$146*Assumptions!$B$147*Assumptions!$B$28*Assumptions!$B$29)*G7/12</f>
        <v/>
      </c>
      <c r="H53" s="54">
        <f>(H52*Assumptions!$B$30*Assumptions!$B$31+H52/Assumptions!$B$146*Assumptions!$B$147*Assumptions!$B$28*Assumptions!$B$29)*H7/12</f>
        <v/>
      </c>
      <c r="I53" s="54">
        <f>(I52*Assumptions!$B$30*Assumptions!$B$31+I52/Assumptions!$B$146*Assumptions!$B$147*Assumptions!$B$28*Assumptions!$B$29)*I7/12</f>
        <v/>
      </c>
      <c r="J53" s="54">
        <f>(J52*Assumptions!$B$30*Assumptions!$B$31+J52/Assumptions!$B$146*Assumptions!$B$147*Assumptions!$B$28*Assumptions!$B$29)*J7/12</f>
        <v/>
      </c>
      <c r="K53" s="54">
        <f>(K52*Assumptions!$B$30*Assumptions!$B$31+K52/Assumptions!$B$146*Assumptions!$B$147*Assumptions!$B$28*Assumptions!$B$29)*K7/12</f>
        <v/>
      </c>
      <c r="L53" s="54">
        <f>(L52*Assumptions!$B$30*Assumptions!$B$31+L52/Assumptions!$B$146*Assumptions!$B$147*Assumptions!$B$28*Assumptions!$B$29)*L7/12</f>
        <v/>
      </c>
      <c r="M53" s="54">
        <f>(M52*Assumptions!$B$30*Assumptions!$B$31+M52/Assumptions!$B$146*Assumptions!$B$147*Assumptions!$B$28*Assumptions!$B$29)*M7/12</f>
        <v/>
      </c>
      <c r="N53" s="54">
        <f>(N52*Assumptions!$B$30*Assumptions!$B$31+N52/Assumptions!$B$146*Assumptions!$B$147*Assumptions!$B$28*Assumptions!$B$29)*N7/12</f>
        <v/>
      </c>
      <c r="O53" s="54">
        <f>(O52*Assumptions!$B$30*Assumptions!$B$31+O52/Assumptions!$B$146*Assumptions!$B$147*Assumptions!$B$28*Assumptions!$B$29)*O7/12</f>
        <v/>
      </c>
      <c r="P53" s="54">
        <f>(P52*Assumptions!$B$30*Assumptions!$B$31+P52/Assumptions!$B$146*Assumptions!$B$147*Assumptions!$B$28*Assumptions!$B$29)*P7/12</f>
        <v/>
      </c>
      <c r="Q53" s="54">
        <f>(Q52*Assumptions!$B$30*Assumptions!$B$31+Q52/Assumptions!$B$146*Assumptions!$B$147*Assumptions!$B$28*Assumptions!$B$29)*Q7/12</f>
        <v/>
      </c>
      <c r="R53" s="54">
        <f>(R52*Assumptions!$B$30*Assumptions!$B$31+R52/Assumptions!$B$146*Assumptions!$B$147*Assumptions!$B$28*Assumptions!$B$29)*R7/12</f>
        <v/>
      </c>
      <c r="S53" s="54">
        <f>(S52*Assumptions!$B$30*Assumptions!$B$31+S52/Assumptions!$B$146*Assumptions!$B$147*Assumptions!$B$28*Assumptions!$B$29)*S7/12</f>
        <v/>
      </c>
      <c r="T53" s="54">
        <f>(T52*Assumptions!$B$30*Assumptions!$B$31+T52/Assumptions!$B$146*Assumptions!$B$147*Assumptions!$B$28*Assumptions!$B$29)*T7/12</f>
        <v/>
      </c>
      <c r="U53" s="54">
        <f>(U52*Assumptions!$B$30*Assumptions!$B$31+U52/Assumptions!$B$146*Assumptions!$B$147*Assumptions!$B$28*Assumptions!$B$29)*U7/12</f>
        <v/>
      </c>
      <c r="V53" s="54">
        <f>(V52*Assumptions!$B$30*Assumptions!$B$31+V52/Assumptions!$B$146*Assumptions!$B$147*Assumptions!$B$28*Assumptions!$B$29)*V7/12</f>
        <v/>
      </c>
      <c r="W53" s="54">
        <f>(W52*Assumptions!$B$30*Assumptions!$B$31+W52/Assumptions!$B$146*Assumptions!$B$147*Assumptions!$B$28*Assumptions!$B$29)*W7/12</f>
        <v/>
      </c>
      <c r="X53" s="54">
        <f>(X52*Assumptions!$B$30*Assumptions!$B$31+X52/Assumptions!$B$146*Assumptions!$B$147*Assumptions!$B$28*Assumptions!$B$29)*X7/12</f>
        <v/>
      </c>
      <c r="Y53" s="54">
        <f>(Y52*Assumptions!$B$30*Assumptions!$B$31+Y52/Assumptions!$B$146*Assumptions!$B$147*Assumptions!$B$28*Assumptions!$B$29)*Y7/12</f>
        <v/>
      </c>
      <c r="Z53" s="54">
        <f>(Z52*Assumptions!$B$30*Assumptions!$B$31+Z52/Assumptions!$B$146*Assumptions!$B$147*Assumptions!$B$28*Assumptions!$B$29)*Z7/12</f>
        <v/>
      </c>
      <c r="AA53" s="54">
        <f>(AA52*Assumptions!$B$30*Assumptions!$B$31+AA52/Assumptions!$B$146*Assumptions!$B$147*Assumptions!$B$28*Assumptions!$B$29)*AA7/12</f>
        <v/>
      </c>
      <c r="AB53" s="54">
        <f>(AB52*Assumptions!$B$30*Assumptions!$B$31+AB52/Assumptions!$B$146*Assumptions!$B$147*Assumptions!$B$28*Assumptions!$B$29)*AB7/12</f>
        <v/>
      </c>
      <c r="AC53" s="54">
        <f>(AC52*Assumptions!$B$30*Assumptions!$B$31+AC52/Assumptions!$B$146*Assumptions!$B$147*Assumptions!$B$28*Assumptions!$B$29)*AC7/12</f>
        <v/>
      </c>
      <c r="AD53" s="54">
        <f>(AD52*Assumptions!$B$30*Assumptions!$B$31+AD52/Assumptions!$B$146*Assumptions!$B$147*Assumptions!$B$28*Assumptions!$B$29)*AD7/12</f>
        <v/>
      </c>
      <c r="AE53" s="54">
        <f>(AE52*Assumptions!$B$30*Assumptions!$B$31+AE52/Assumptions!$B$146*Assumptions!$B$147*Assumptions!$B$28*Assumptions!$B$29)*AE7/12</f>
        <v/>
      </c>
    </row>
    <row r="54">
      <c r="A54" s="6" t="inlineStr">
        <is>
          <t xml:space="preserve">  Redemption events (memo - drives cost, not revenue)</t>
        </is>
      </c>
      <c r="B54" s="23" t="inlineStr">
        <is>
          <t>events</t>
        </is>
      </c>
      <c r="C54" s="44">
        <f>IF(C2&gt;=Assumptions!$B$47,(C30+C32*Assumptions!$B$125)*Assumptions!$B$124*C7/12,0)</f>
        <v/>
      </c>
      <c r="D54" s="44">
        <f>IF(D2&gt;=Assumptions!$B$47,(D30+D32*Assumptions!$B$125)*Assumptions!$B$124*D7/12,0)</f>
        <v/>
      </c>
      <c r="E54" s="44">
        <f>IF(E2&gt;=Assumptions!$B$47,(E30+E32*Assumptions!$B$125)*Assumptions!$B$124*E7/12,0)</f>
        <v/>
      </c>
      <c r="F54" s="44">
        <f>IF(F2&gt;=Assumptions!$B$47,(F30+F32*Assumptions!$B$125)*Assumptions!$B$124*F7/12,0)</f>
        <v/>
      </c>
      <c r="G54" s="44">
        <f>IF(G2&gt;=Assumptions!$B$47,(G30+G32*Assumptions!$B$125)*Assumptions!$B$124*G7/12,0)</f>
        <v/>
      </c>
      <c r="H54" s="44">
        <f>IF(H2&gt;=Assumptions!$B$47,(H30+H32*Assumptions!$B$125)*Assumptions!$B$124*H7/12,0)</f>
        <v/>
      </c>
      <c r="I54" s="44">
        <f>IF(I2&gt;=Assumptions!$B$47,(I30+I32*Assumptions!$B$125)*Assumptions!$B$124*I7/12,0)</f>
        <v/>
      </c>
      <c r="J54" s="44">
        <f>IF(J2&gt;=Assumptions!$B$47,(J30+J32*Assumptions!$B$125)*Assumptions!$B$124*J7/12,0)</f>
        <v/>
      </c>
      <c r="K54" s="44">
        <f>IF(K2&gt;=Assumptions!$B$47,(K30+K32*Assumptions!$B$125)*Assumptions!$B$124*K7/12,0)</f>
        <v/>
      </c>
      <c r="L54" s="44">
        <f>IF(L2&gt;=Assumptions!$B$47,(L30+L32*Assumptions!$B$125)*Assumptions!$B$124*L7/12,0)</f>
        <v/>
      </c>
      <c r="M54" s="44">
        <f>IF(M2&gt;=Assumptions!$B$47,(M30+M32*Assumptions!$B$125)*Assumptions!$B$124*M7/12,0)</f>
        <v/>
      </c>
      <c r="N54" s="44">
        <f>IF(N2&gt;=Assumptions!$B$47,(N30+N32*Assumptions!$B$125)*Assumptions!$B$124*N7/12,0)</f>
        <v/>
      </c>
      <c r="O54" s="44">
        <f>IF(O2&gt;=Assumptions!$B$47,(O30+O32*Assumptions!$B$125)*Assumptions!$B$124*O7/12,0)</f>
        <v/>
      </c>
      <c r="P54" s="44">
        <f>IF(P2&gt;=Assumptions!$B$47,(P30+P32*Assumptions!$B$125)*Assumptions!$B$124*P7/12,0)</f>
        <v/>
      </c>
      <c r="Q54" s="44">
        <f>IF(Q2&gt;=Assumptions!$B$47,(Q30+Q32*Assumptions!$B$125)*Assumptions!$B$124*Q7/12,0)</f>
        <v/>
      </c>
      <c r="R54" s="44">
        <f>IF(R2&gt;=Assumptions!$B$47,(R30+R32*Assumptions!$B$125)*Assumptions!$B$124*R7/12,0)</f>
        <v/>
      </c>
      <c r="S54" s="44">
        <f>IF(S2&gt;=Assumptions!$B$47,(S30+S32*Assumptions!$B$125)*Assumptions!$B$124*S7/12,0)</f>
        <v/>
      </c>
      <c r="T54" s="44">
        <f>IF(T2&gt;=Assumptions!$B$47,(T30+T32*Assumptions!$B$125)*Assumptions!$B$124*T7/12,0)</f>
        <v/>
      </c>
      <c r="U54" s="44">
        <f>IF(U2&gt;=Assumptions!$B$47,(U30+U32*Assumptions!$B$125)*Assumptions!$B$124*U7/12,0)</f>
        <v/>
      </c>
      <c r="V54" s="44">
        <f>IF(V2&gt;=Assumptions!$B$47,(V30+V32*Assumptions!$B$125)*Assumptions!$B$124*V7/12,0)</f>
        <v/>
      </c>
      <c r="W54" s="44">
        <f>IF(W2&gt;=Assumptions!$B$47,(W30+W32*Assumptions!$B$125)*Assumptions!$B$124*W7/12,0)</f>
        <v/>
      </c>
      <c r="X54" s="44">
        <f>IF(X2&gt;=Assumptions!$B$47,(X30+X32*Assumptions!$B$125)*Assumptions!$B$124*X7/12,0)</f>
        <v/>
      </c>
      <c r="Y54" s="44">
        <f>IF(Y2&gt;=Assumptions!$B$47,(Y30+Y32*Assumptions!$B$125)*Assumptions!$B$124*Y7/12,0)</f>
        <v/>
      </c>
      <c r="Z54" s="44">
        <f>IF(Z2&gt;=Assumptions!$B$47,(Z30+Z32*Assumptions!$B$125)*Assumptions!$B$124*Z7/12,0)</f>
        <v/>
      </c>
      <c r="AA54" s="44">
        <f>IF(AA2&gt;=Assumptions!$B$47,(AA30+AA32*Assumptions!$B$125)*Assumptions!$B$124*AA7/12,0)</f>
        <v/>
      </c>
      <c r="AB54" s="44">
        <f>IF(AB2&gt;=Assumptions!$B$47,(AB30+AB32*Assumptions!$B$125)*Assumptions!$B$124*AB7/12,0)</f>
        <v/>
      </c>
      <c r="AC54" s="44">
        <f>IF(AC2&gt;=Assumptions!$B$47,(AC30+AC32*Assumptions!$B$125)*Assumptions!$B$124*AC7/12,0)</f>
        <v/>
      </c>
      <c r="AD54" s="44">
        <f>IF(AD2&gt;=Assumptions!$B$47,(AD30+AD32*Assumptions!$B$125)*Assumptions!$B$124*AD7/12,0)</f>
        <v/>
      </c>
      <c r="AE54" s="44">
        <f>IF(AE2&gt;=Assumptions!$B$47,(AE30+AE32*Assumptions!$B$125)*Assumptions!$B$124*AE7/12,0)</f>
        <v/>
      </c>
    </row>
    <row r="55">
      <c r="A55" s="3" t="inlineStr">
        <is>
          <t xml:space="preserve">  SUBTOTAL - UAE</t>
        </is>
      </c>
      <c r="B55" s="23" t="inlineStr">
        <is>
          <t>USD</t>
        </is>
      </c>
      <c r="C55" s="56">
        <f>C47+C48+C49+C50+C51+C53</f>
        <v/>
      </c>
      <c r="D55" s="56">
        <f>D47+D48+D49+D50+D51+D53</f>
        <v/>
      </c>
      <c r="E55" s="56">
        <f>E47+E48+E49+E50+E51+E53</f>
        <v/>
      </c>
      <c r="F55" s="56">
        <f>F47+F48+F49+F50+F51+F53</f>
        <v/>
      </c>
      <c r="G55" s="56">
        <f>G47+G48+G49+G50+G51+G53</f>
        <v/>
      </c>
      <c r="H55" s="56">
        <f>H47+H48+H49+H50+H51+H53</f>
        <v/>
      </c>
      <c r="I55" s="56">
        <f>I47+I48+I49+I50+I51+I53</f>
        <v/>
      </c>
      <c r="J55" s="56">
        <f>J47+J48+J49+J50+J51+J53</f>
        <v/>
      </c>
      <c r="K55" s="56">
        <f>K47+K48+K49+K50+K51+K53</f>
        <v/>
      </c>
      <c r="L55" s="56">
        <f>L47+L48+L49+L50+L51+L53</f>
        <v/>
      </c>
      <c r="M55" s="56">
        <f>M47+M48+M49+M50+M51+M53</f>
        <v/>
      </c>
      <c r="N55" s="56">
        <f>N47+N48+N49+N50+N51+N53</f>
        <v/>
      </c>
      <c r="O55" s="56">
        <f>O47+O48+O49+O50+O51+O53</f>
        <v/>
      </c>
      <c r="P55" s="56">
        <f>P47+P48+P49+P50+P51+P53</f>
        <v/>
      </c>
      <c r="Q55" s="56">
        <f>Q47+Q48+Q49+Q50+Q51+Q53</f>
        <v/>
      </c>
      <c r="R55" s="56">
        <f>R47+R48+R49+R50+R51+R53</f>
        <v/>
      </c>
      <c r="S55" s="56">
        <f>S47+S48+S49+S50+S51+S53</f>
        <v/>
      </c>
      <c r="T55" s="56">
        <f>T47+T48+T49+T50+T51+T53</f>
        <v/>
      </c>
      <c r="U55" s="56">
        <f>U47+U48+U49+U50+U51+U53</f>
        <v/>
      </c>
      <c r="V55" s="56">
        <f>V47+V48+V49+V50+V51+V53</f>
        <v/>
      </c>
      <c r="W55" s="56">
        <f>W47+W48+W49+W50+W51+W53</f>
        <v/>
      </c>
      <c r="X55" s="56">
        <f>X47+X48+X49+X50+X51+X53</f>
        <v/>
      </c>
      <c r="Y55" s="56">
        <f>Y47+Y48+Y49+Y50+Y51+Y53</f>
        <v/>
      </c>
      <c r="Z55" s="56">
        <f>Z47+Z48+Z49+Z50+Z51+Z53</f>
        <v/>
      </c>
      <c r="AA55" s="56">
        <f>AA47+AA48+AA49+AA50+AA51+AA53</f>
        <v/>
      </c>
      <c r="AB55" s="56">
        <f>AB47+AB48+AB49+AB50+AB51+AB53</f>
        <v/>
      </c>
      <c r="AC55" s="56">
        <f>AC47+AC48+AC49+AC50+AC51+AC53</f>
        <v/>
      </c>
      <c r="AD55" s="56">
        <f>AD47+AD48+AD49+AD50+AD51+AD53</f>
        <v/>
      </c>
      <c r="AE55" s="56">
        <f>AE47+AE48+AE49+AE50+AE51+AE53</f>
        <v/>
      </c>
    </row>
    <row r="57">
      <c r="A57" s="45" t="inlineStr">
        <is>
          <t>REGION: OMAN AND BAHRAIN</t>
        </is>
      </c>
      <c r="B57" s="46" t="n"/>
      <c r="C57" s="46" t="n"/>
      <c r="D57" s="46" t="n"/>
      <c r="E57" s="46" t="n"/>
      <c r="F57" s="46" t="n"/>
      <c r="G57" s="46" t="n"/>
      <c r="H57" s="46" t="n"/>
      <c r="I57" s="46" t="n"/>
      <c r="J57" s="46" t="n"/>
      <c r="K57" s="46" t="n"/>
      <c r="L57" s="46" t="n"/>
      <c r="M57" s="46" t="n"/>
      <c r="N57" s="46" t="n"/>
      <c r="O57" s="46" t="n"/>
      <c r="P57" s="46" t="n"/>
      <c r="Q57" s="46" t="n"/>
      <c r="R57" s="46" t="n"/>
      <c r="S57" s="46" t="n"/>
      <c r="T57" s="46" t="n"/>
      <c r="U57" s="46" t="n"/>
      <c r="V57" s="46" t="n"/>
      <c r="W57" s="46" t="n"/>
      <c r="X57" s="46" t="n"/>
      <c r="Y57" s="46" t="n"/>
      <c r="Z57" s="46" t="n"/>
      <c r="AA57" s="46" t="n"/>
      <c r="AB57" s="46" t="n"/>
      <c r="AC57" s="46" t="n"/>
      <c r="AD57" s="46" t="n"/>
      <c r="AE57" s="46" t="n"/>
    </row>
    <row r="58">
      <c r="A58" s="6" t="inlineStr">
        <is>
          <t xml:space="preserve">  Raw demand</t>
        </is>
      </c>
      <c r="B58" s="23" t="inlineStr">
        <is>
          <t>accounts</t>
        </is>
      </c>
      <c r="C58" s="53">
        <f>C23*Assumptions!$B$161*IF(C2&gt;=Assumptions!$B$54,1,0)/C24+C20*Assumptions!$B$108</f>
        <v/>
      </c>
      <c r="D58" s="53">
        <f>D23*Assumptions!$B$161*IF(D2&gt;=Assumptions!$B$54,1,0)/D24+D20*Assumptions!$B$108</f>
        <v/>
      </c>
      <c r="E58" s="53">
        <f>E23*Assumptions!$B$161*IF(E2&gt;=Assumptions!$B$54,1,0)/E24+E20*Assumptions!$B$108</f>
        <v/>
      </c>
      <c r="F58" s="53">
        <f>F23*Assumptions!$B$161*IF(F2&gt;=Assumptions!$B$54,1,0)/F24+F20*Assumptions!$B$108</f>
        <v/>
      </c>
      <c r="G58" s="53">
        <f>G23*Assumptions!$B$161*IF(G2&gt;=Assumptions!$B$54,1,0)/G24+G20*Assumptions!$B$108</f>
        <v/>
      </c>
      <c r="H58" s="53">
        <f>H23*Assumptions!$B$161*IF(H2&gt;=Assumptions!$B$54,1,0)/H24+H20*Assumptions!$B$108</f>
        <v/>
      </c>
      <c r="I58" s="53">
        <f>I23*Assumptions!$B$161*IF(I2&gt;=Assumptions!$B$54,1,0)/I24+I20*Assumptions!$B$108</f>
        <v/>
      </c>
      <c r="J58" s="53">
        <f>J23*Assumptions!$B$161*IF(J2&gt;=Assumptions!$B$54,1,0)/J24+J20*Assumptions!$B$108</f>
        <v/>
      </c>
      <c r="K58" s="53">
        <f>K23*Assumptions!$B$161*IF(K2&gt;=Assumptions!$B$54,1,0)/K24+K20*Assumptions!$B$108</f>
        <v/>
      </c>
      <c r="L58" s="53">
        <f>L23*Assumptions!$B$161*IF(L2&gt;=Assumptions!$B$54,1,0)/L24+L20*Assumptions!$B$108</f>
        <v/>
      </c>
      <c r="M58" s="53">
        <f>M23*Assumptions!$B$161*IF(M2&gt;=Assumptions!$B$54,1,0)/M24+M20*Assumptions!$B$108</f>
        <v/>
      </c>
      <c r="N58" s="53">
        <f>N23*Assumptions!$B$161*IF(N2&gt;=Assumptions!$B$54,1,0)/N24+N20*Assumptions!$B$108</f>
        <v/>
      </c>
      <c r="O58" s="53">
        <f>O23*Assumptions!$B$161*IF(O2&gt;=Assumptions!$B$54,1,0)/O24+O20*Assumptions!$B$108</f>
        <v/>
      </c>
      <c r="P58" s="53">
        <f>P23*Assumptions!$B$161*IF(P2&gt;=Assumptions!$B$54,1,0)/P24+P20*Assumptions!$B$108</f>
        <v/>
      </c>
      <c r="Q58" s="53">
        <f>Q23*Assumptions!$B$161*IF(Q2&gt;=Assumptions!$B$54,1,0)/Q24+Q20*Assumptions!$B$108</f>
        <v/>
      </c>
      <c r="R58" s="53">
        <f>R23*Assumptions!$B$161*IF(R2&gt;=Assumptions!$B$54,1,0)/R24+R20*Assumptions!$B$108</f>
        <v/>
      </c>
      <c r="S58" s="53">
        <f>S23*Assumptions!$B$161*IF(S2&gt;=Assumptions!$B$54,1,0)/S24+S20*Assumptions!$B$108</f>
        <v/>
      </c>
      <c r="T58" s="53">
        <f>T23*Assumptions!$B$161*IF(T2&gt;=Assumptions!$B$54,1,0)/T24+T20*Assumptions!$B$108</f>
        <v/>
      </c>
      <c r="U58" s="53">
        <f>U23*Assumptions!$B$161*IF(U2&gt;=Assumptions!$B$54,1,0)/U24+U20*Assumptions!$B$108</f>
        <v/>
      </c>
      <c r="V58" s="53">
        <f>V23*Assumptions!$B$161*IF(V2&gt;=Assumptions!$B$54,1,0)/V24+V20*Assumptions!$B$108</f>
        <v/>
      </c>
      <c r="W58" s="53">
        <f>W23*Assumptions!$B$161*IF(W2&gt;=Assumptions!$B$54,1,0)/W24+W20*Assumptions!$B$108</f>
        <v/>
      </c>
      <c r="X58" s="53">
        <f>X23*Assumptions!$B$161*IF(X2&gt;=Assumptions!$B$54,1,0)/X24+X20*Assumptions!$B$108</f>
        <v/>
      </c>
      <c r="Y58" s="53">
        <f>Y23*Assumptions!$B$161*IF(Y2&gt;=Assumptions!$B$54,1,0)/Y24+Y20*Assumptions!$B$108</f>
        <v/>
      </c>
      <c r="Z58" s="53">
        <f>Z23*Assumptions!$B$161*IF(Z2&gt;=Assumptions!$B$54,1,0)/Z24+Z20*Assumptions!$B$108</f>
        <v/>
      </c>
      <c r="AA58" s="53">
        <f>AA23*Assumptions!$B$161*IF(AA2&gt;=Assumptions!$B$54,1,0)/AA24+AA20*Assumptions!$B$108</f>
        <v/>
      </c>
      <c r="AB58" s="53">
        <f>AB23*Assumptions!$B$161*IF(AB2&gt;=Assumptions!$B$54,1,0)/AB24+AB20*Assumptions!$B$108</f>
        <v/>
      </c>
      <c r="AC58" s="53">
        <f>AC23*Assumptions!$B$161*IF(AC2&gt;=Assumptions!$B$54,1,0)/AC24+AC20*Assumptions!$B$108</f>
        <v/>
      </c>
      <c r="AD58" s="53">
        <f>AD23*Assumptions!$B$161*IF(AD2&gt;=Assumptions!$B$54,1,0)/AD24+AD20*Assumptions!$B$108</f>
        <v/>
      </c>
      <c r="AE58" s="53">
        <f>AE23*Assumptions!$B$161*IF(AE2&gt;=Assumptions!$B$54,1,0)/AE24+AE20*Assumptions!$B$108</f>
        <v/>
      </c>
    </row>
    <row r="59">
      <c r="A59" s="6" t="inlineStr">
        <is>
          <t xml:space="preserve">  Saturation (this region's own headroom)</t>
        </is>
      </c>
      <c r="B59" s="23" t="inlineStr">
        <is>
          <t>x</t>
        </is>
      </c>
      <c r="C59" s="50" t="n">
        <v>1</v>
      </c>
      <c r="D59" s="50">
        <f>MAX(0,1-C64/Assumptions!$B$83)</f>
        <v/>
      </c>
      <c r="E59" s="50">
        <f>MAX(0,1-D64/Assumptions!$B$83)</f>
        <v/>
      </c>
      <c r="F59" s="50">
        <f>MAX(0,1-E64/Assumptions!$B$83)</f>
        <v/>
      </c>
      <c r="G59" s="50">
        <f>MAX(0,1-F64/Assumptions!$B$83)</f>
        <v/>
      </c>
      <c r="H59" s="50">
        <f>MAX(0,1-G64/Assumptions!$B$83)</f>
        <v/>
      </c>
      <c r="I59" s="50">
        <f>MAX(0,1-H64/Assumptions!$B$83)</f>
        <v/>
      </c>
      <c r="J59" s="50">
        <f>MAX(0,1-I64/Assumptions!$B$83)</f>
        <v/>
      </c>
      <c r="K59" s="50">
        <f>MAX(0,1-J64/Assumptions!$B$83)</f>
        <v/>
      </c>
      <c r="L59" s="50">
        <f>MAX(0,1-K64/Assumptions!$B$83)</f>
        <v/>
      </c>
      <c r="M59" s="50">
        <f>MAX(0,1-L64/Assumptions!$B$83)</f>
        <v/>
      </c>
      <c r="N59" s="50">
        <f>MAX(0,1-M64/Assumptions!$B$83)</f>
        <v/>
      </c>
      <c r="O59" s="50">
        <f>MAX(0,1-N64/Assumptions!$B$83)</f>
        <v/>
      </c>
      <c r="P59" s="50">
        <f>MAX(0,1-O64/Assumptions!$B$83)</f>
        <v/>
      </c>
      <c r="Q59" s="50">
        <f>MAX(0,1-P64/Assumptions!$B$83)</f>
        <v/>
      </c>
      <c r="R59" s="50">
        <f>MAX(0,1-Q64/Assumptions!$B$83)</f>
        <v/>
      </c>
      <c r="S59" s="50">
        <f>MAX(0,1-R64/Assumptions!$B$83)</f>
        <v/>
      </c>
      <c r="T59" s="50">
        <f>MAX(0,1-S64/Assumptions!$B$83)</f>
        <v/>
      </c>
      <c r="U59" s="50">
        <f>MAX(0,1-T64/Assumptions!$B$83)</f>
        <v/>
      </c>
      <c r="V59" s="50">
        <f>MAX(0,1-U64/Assumptions!$B$83)</f>
        <v/>
      </c>
      <c r="W59" s="50">
        <f>MAX(0,1-V64/Assumptions!$B$83)</f>
        <v/>
      </c>
      <c r="X59" s="50">
        <f>MAX(0,1-W64/Assumptions!$B$83)</f>
        <v/>
      </c>
      <c r="Y59" s="50">
        <f>MAX(0,1-X64/Assumptions!$B$83)</f>
        <v/>
      </c>
      <c r="Z59" s="50">
        <f>MAX(0,1-Y64/Assumptions!$B$83)</f>
        <v/>
      </c>
      <c r="AA59" s="50">
        <f>MAX(0,1-Z64/Assumptions!$B$83)</f>
        <v/>
      </c>
      <c r="AB59" s="50">
        <f>MAX(0,1-AA64/Assumptions!$B$83)</f>
        <v/>
      </c>
      <c r="AC59" s="50">
        <f>MAX(0,1-AB64/Assumptions!$B$83)</f>
        <v/>
      </c>
      <c r="AD59" s="50">
        <f>MAX(0,1-AC64/Assumptions!$B$83)</f>
        <v/>
      </c>
      <c r="AE59" s="50">
        <f>MAX(0,1-AD64/Assumptions!$B$83)</f>
        <v/>
      </c>
    </row>
    <row r="60">
      <c r="A60" s="6" t="inlineStr">
        <is>
          <t xml:space="preserve">  New customers</t>
        </is>
      </c>
      <c r="B60" s="23" t="inlineStr">
        <is>
          <t>accounts</t>
        </is>
      </c>
      <c r="C60" s="53">
        <f>C58*C59*C15</f>
        <v/>
      </c>
      <c r="D60" s="53">
        <f>D58*D59*D15</f>
        <v/>
      </c>
      <c r="E60" s="53">
        <f>E58*E59*E15</f>
        <v/>
      </c>
      <c r="F60" s="53">
        <f>F58*F59*F15</f>
        <v/>
      </c>
      <c r="G60" s="53">
        <f>G58*G59*G15</f>
        <v/>
      </c>
      <c r="H60" s="53">
        <f>H58*H59*H15</f>
        <v/>
      </c>
      <c r="I60" s="53">
        <f>I58*I59*I15</f>
        <v/>
      </c>
      <c r="J60" s="53">
        <f>J58*J59*J15</f>
        <v/>
      </c>
      <c r="K60" s="53">
        <f>K58*K59*K15</f>
        <v/>
      </c>
      <c r="L60" s="53">
        <f>L58*L59*L15</f>
        <v/>
      </c>
      <c r="M60" s="53">
        <f>M58*M59*M15</f>
        <v/>
      </c>
      <c r="N60" s="53">
        <f>N58*N59*N15</f>
        <v/>
      </c>
      <c r="O60" s="53">
        <f>O58*O59*O15</f>
        <v/>
      </c>
      <c r="P60" s="53">
        <f>P58*P59*P15</f>
        <v/>
      </c>
      <c r="Q60" s="53">
        <f>Q58*Q59*Q15</f>
        <v/>
      </c>
      <c r="R60" s="53">
        <f>R58*R59*R15</f>
        <v/>
      </c>
      <c r="S60" s="53">
        <f>S58*S59*S15</f>
        <v/>
      </c>
      <c r="T60" s="53">
        <f>T58*T59*T15</f>
        <v/>
      </c>
      <c r="U60" s="53">
        <f>U58*U59*U15</f>
        <v/>
      </c>
      <c r="V60" s="53">
        <f>V58*V59*V15</f>
        <v/>
      </c>
      <c r="W60" s="53">
        <f>W58*W59*W15</f>
        <v/>
      </c>
      <c r="X60" s="53">
        <f>X58*X59*X15</f>
        <v/>
      </c>
      <c r="Y60" s="53">
        <f>Y58*Y59*Y15</f>
        <v/>
      </c>
      <c r="Z60" s="53">
        <f>Z58*Z59*Z15</f>
        <v/>
      </c>
      <c r="AA60" s="53">
        <f>AA58*AA59*AA15</f>
        <v/>
      </c>
      <c r="AB60" s="53">
        <f>AB58*AB59*AB15</f>
        <v/>
      </c>
      <c r="AC60" s="53">
        <f>AC58*AC59*AC15</f>
        <v/>
      </c>
      <c r="AD60" s="53">
        <f>AD58*AD59*AD15</f>
        <v/>
      </c>
      <c r="AE60" s="53">
        <f>AE58*AE59*AE15</f>
        <v/>
      </c>
    </row>
    <row r="61">
      <c r="A61" s="6" t="inlineStr">
        <is>
          <t xml:space="preserve">  Paying customers</t>
        </is>
      </c>
      <c r="B61" s="23" t="inlineStr">
        <is>
          <t>accounts</t>
        </is>
      </c>
      <c r="C61" s="28">
        <f>C60*(1-Assumptions!$B$114)^(C7/2)</f>
        <v/>
      </c>
      <c r="D61" s="28">
        <f>C61*(1-Assumptions!$B$114)^D7+D60*(1-Assumptions!$B$114)^(D7/2)</f>
        <v/>
      </c>
      <c r="E61" s="28">
        <f>D61*(1-Assumptions!$B$114)^E7+E60*(1-Assumptions!$B$114)^(E7/2)</f>
        <v/>
      </c>
      <c r="F61" s="28">
        <f>E61*(1-Assumptions!$B$114)^F7+F60*(1-Assumptions!$B$114)^(F7/2)</f>
        <v/>
      </c>
      <c r="G61" s="28">
        <f>F61*(1-Assumptions!$B$114)^G7+G60*(1-Assumptions!$B$114)^(G7/2)</f>
        <v/>
      </c>
      <c r="H61" s="28">
        <f>G61*(1-Assumptions!$B$114)^H7+H60*(1-Assumptions!$B$114)^(H7/2)</f>
        <v/>
      </c>
      <c r="I61" s="28">
        <f>H61*(1-Assumptions!$B$114)^I7+I60*(1-Assumptions!$B$114)^(I7/2)</f>
        <v/>
      </c>
      <c r="J61" s="28">
        <f>I61*(1-Assumptions!$B$114)^J7+J60*(1-Assumptions!$B$114)^(J7/2)</f>
        <v/>
      </c>
      <c r="K61" s="28">
        <f>J61*(1-Assumptions!$B$114)^K7+K60*(1-Assumptions!$B$114)^(K7/2)</f>
        <v/>
      </c>
      <c r="L61" s="28">
        <f>K61*(1-Assumptions!$B$114)^L7+L60*(1-Assumptions!$B$114)^(L7/2)</f>
        <v/>
      </c>
      <c r="M61" s="28">
        <f>L61*(1-Assumptions!$B$114)^M7+M60*(1-Assumptions!$B$114)^(M7/2)</f>
        <v/>
      </c>
      <c r="N61" s="28">
        <f>M61*(1-Assumptions!$B$114)^N7+N60*(1-Assumptions!$B$114)^(N7/2)</f>
        <v/>
      </c>
      <c r="O61" s="28">
        <f>N61*(1-Assumptions!$B$114)^O7+O60*(1-Assumptions!$B$114)^(O7/2)</f>
        <v/>
      </c>
      <c r="P61" s="28">
        <f>O61*(1-Assumptions!$B$114)^P7+P60*(1-Assumptions!$B$114)^(P7/2)</f>
        <v/>
      </c>
      <c r="Q61" s="28">
        <f>P61*(1-Assumptions!$B$114)^Q7+Q60*(1-Assumptions!$B$114)^(Q7/2)</f>
        <v/>
      </c>
      <c r="R61" s="28">
        <f>Q61*(1-Assumptions!$B$114)^R7+R60*(1-Assumptions!$B$114)^(R7/2)</f>
        <v/>
      </c>
      <c r="S61" s="28">
        <f>R61*(1-Assumptions!$B$114)^S7+S60*(1-Assumptions!$B$114)^(S7/2)</f>
        <v/>
      </c>
      <c r="T61" s="28">
        <f>S61*(1-Assumptions!$B$114)^T7+T60*(1-Assumptions!$B$114)^(T7/2)</f>
        <v/>
      </c>
      <c r="U61" s="28">
        <f>T61*(1-Assumptions!$B$114)^U7+U60*(1-Assumptions!$B$114)^(U7/2)</f>
        <v/>
      </c>
      <c r="V61" s="28">
        <f>U61*(1-Assumptions!$B$114)^V7+V60*(1-Assumptions!$B$114)^(V7/2)</f>
        <v/>
      </c>
      <c r="W61" s="28">
        <f>V61*(1-Assumptions!$B$114)^W7+W60*(1-Assumptions!$B$114)^(W7/2)</f>
        <v/>
      </c>
      <c r="X61" s="28">
        <f>W61*(1-Assumptions!$B$114)^X7+X60*(1-Assumptions!$B$114)^(X7/2)</f>
        <v/>
      </c>
      <c r="Y61" s="28">
        <f>X61*(1-Assumptions!$B$114)^Y7+Y60*(1-Assumptions!$B$114)^(Y7/2)</f>
        <v/>
      </c>
      <c r="Z61" s="28">
        <f>Y61*(1-Assumptions!$B$114)^Z7+Z60*(1-Assumptions!$B$114)^(Z7/2)</f>
        <v/>
      </c>
      <c r="AA61" s="28">
        <f>Z61*(1-Assumptions!$B$114)^AA7+AA60*(1-Assumptions!$B$114)^(AA7/2)</f>
        <v/>
      </c>
      <c r="AB61" s="28">
        <f>AA61*(1-Assumptions!$B$114)^AB7+AB60*(1-Assumptions!$B$114)^(AB7/2)</f>
        <v/>
      </c>
      <c r="AC61" s="28">
        <f>AB61*(1-Assumptions!$B$114)^AC7+AC60*(1-Assumptions!$B$114)^(AC7/2)</f>
        <v/>
      </c>
      <c r="AD61" s="28">
        <f>AC61*(1-Assumptions!$B$114)^AD7+AD60*(1-Assumptions!$B$114)^(AD7/2)</f>
        <v/>
      </c>
      <c r="AE61" s="28">
        <f>AD61*(1-Assumptions!$B$114)^AE7+AE60*(1-Assumptions!$B$114)^(AE7/2)</f>
        <v/>
      </c>
    </row>
    <row r="62">
      <c r="A62" s="6" t="inlineStr">
        <is>
          <t xml:space="preserve">  Churned this period</t>
        </is>
      </c>
      <c r="B62" s="23" t="inlineStr">
        <is>
          <t>accounts</t>
        </is>
      </c>
      <c r="C62" s="53">
        <f>C60-C61</f>
        <v/>
      </c>
      <c r="D62" s="53">
        <f>C61+D60-D61</f>
        <v/>
      </c>
      <c r="E62" s="53">
        <f>D61+E60-E61</f>
        <v/>
      </c>
      <c r="F62" s="53">
        <f>E61+F60-F61</f>
        <v/>
      </c>
      <c r="G62" s="53">
        <f>F61+G60-G61</f>
        <v/>
      </c>
      <c r="H62" s="53">
        <f>G61+H60-H61</f>
        <v/>
      </c>
      <c r="I62" s="53">
        <f>H61+I60-I61</f>
        <v/>
      </c>
      <c r="J62" s="53">
        <f>I61+J60-J61</f>
        <v/>
      </c>
      <c r="K62" s="53">
        <f>J61+K60-K61</f>
        <v/>
      </c>
      <c r="L62" s="53">
        <f>K61+L60-L61</f>
        <v/>
      </c>
      <c r="M62" s="53">
        <f>L61+M60-M61</f>
        <v/>
      </c>
      <c r="N62" s="53">
        <f>M61+N60-N61</f>
        <v/>
      </c>
      <c r="O62" s="53">
        <f>N61+O60-O61</f>
        <v/>
      </c>
      <c r="P62" s="53">
        <f>O61+P60-P61</f>
        <v/>
      </c>
      <c r="Q62" s="53">
        <f>P61+Q60-Q61</f>
        <v/>
      </c>
      <c r="R62" s="53">
        <f>Q61+R60-R61</f>
        <v/>
      </c>
      <c r="S62" s="53">
        <f>R61+S60-S61</f>
        <v/>
      </c>
      <c r="T62" s="53">
        <f>S61+T60-T61</f>
        <v/>
      </c>
      <c r="U62" s="53">
        <f>T61+U60-U61</f>
        <v/>
      </c>
      <c r="V62" s="53">
        <f>U61+V60-V61</f>
        <v/>
      </c>
      <c r="W62" s="53">
        <f>V61+W60-W61</f>
        <v/>
      </c>
      <c r="X62" s="53">
        <f>W61+X60-X61</f>
        <v/>
      </c>
      <c r="Y62" s="53">
        <f>X61+Y60-Y61</f>
        <v/>
      </c>
      <c r="Z62" s="53">
        <f>Y61+Z60-Z61</f>
        <v/>
      </c>
      <c r="AA62" s="53">
        <f>Z61+AA60-AA61</f>
        <v/>
      </c>
      <c r="AB62" s="53">
        <f>AA61+AB60-AB61</f>
        <v/>
      </c>
      <c r="AC62" s="53">
        <f>AB61+AC60-AC61</f>
        <v/>
      </c>
      <c r="AD62" s="53">
        <f>AC61+AD60-AD61</f>
        <v/>
      </c>
      <c r="AE62" s="53">
        <f>AD61+AE60-AE61</f>
        <v/>
      </c>
    </row>
    <row r="63">
      <c r="A63" s="6" t="inlineStr">
        <is>
          <t xml:space="preserve">  Holders (stopped paying, still hold gold)</t>
        </is>
      </c>
      <c r="B63" s="23" t="inlineStr">
        <is>
          <t>accounts</t>
        </is>
      </c>
      <c r="C63" s="44">
        <f>C62</f>
        <v/>
      </c>
      <c r="D63" s="44">
        <f>C63+D62</f>
        <v/>
      </c>
      <c r="E63" s="44">
        <f>D63+E62</f>
        <v/>
      </c>
      <c r="F63" s="44">
        <f>E63+F62</f>
        <v/>
      </c>
      <c r="G63" s="44">
        <f>F63+G62</f>
        <v/>
      </c>
      <c r="H63" s="44">
        <f>G63+H62</f>
        <v/>
      </c>
      <c r="I63" s="44">
        <f>H63+I62</f>
        <v/>
      </c>
      <c r="J63" s="44">
        <f>I63+J62</f>
        <v/>
      </c>
      <c r="K63" s="44">
        <f>J63+K62</f>
        <v/>
      </c>
      <c r="L63" s="44">
        <f>K63+L62</f>
        <v/>
      </c>
      <c r="M63" s="44">
        <f>L63+M62</f>
        <v/>
      </c>
      <c r="N63" s="44">
        <f>M63+N62</f>
        <v/>
      </c>
      <c r="O63" s="44">
        <f>N63+O62</f>
        <v/>
      </c>
      <c r="P63" s="44">
        <f>O63+P62</f>
        <v/>
      </c>
      <c r="Q63" s="44">
        <f>P63+Q62</f>
        <v/>
      </c>
      <c r="R63" s="44">
        <f>Q63+R62</f>
        <v/>
      </c>
      <c r="S63" s="44">
        <f>R63+S62</f>
        <v/>
      </c>
      <c r="T63" s="44">
        <f>S63+T62</f>
        <v/>
      </c>
      <c r="U63" s="44">
        <f>T63+U62</f>
        <v/>
      </c>
      <c r="V63" s="44">
        <f>U63+V62</f>
        <v/>
      </c>
      <c r="W63" s="44">
        <f>V63+W62</f>
        <v/>
      </c>
      <c r="X63" s="44">
        <f>W63+X62</f>
        <v/>
      </c>
      <c r="Y63" s="44">
        <f>X63+Y62</f>
        <v/>
      </c>
      <c r="Z63" s="44">
        <f>Y63+Z62</f>
        <v/>
      </c>
      <c r="AA63" s="44">
        <f>Z63+AA62</f>
        <v/>
      </c>
      <c r="AB63" s="44">
        <f>AA63+AB62</f>
        <v/>
      </c>
      <c r="AC63" s="44">
        <f>AB63+AC62</f>
        <v/>
      </c>
      <c r="AD63" s="44">
        <f>AC63+AD62</f>
        <v/>
      </c>
      <c r="AE63" s="44">
        <f>AD63+AE62</f>
        <v/>
      </c>
    </row>
    <row r="64">
      <c r="A64" s="6" t="inlineStr">
        <is>
          <t xml:space="preserve">  Cumulative ever acquired</t>
        </is>
      </c>
      <c r="B64" s="23" t="inlineStr">
        <is>
          <t>accounts</t>
        </is>
      </c>
      <c r="C64" s="44">
        <f>C60</f>
        <v/>
      </c>
      <c r="D64" s="44">
        <f>C64+D60</f>
        <v/>
      </c>
      <c r="E64" s="44">
        <f>D64+E60</f>
        <v/>
      </c>
      <c r="F64" s="44">
        <f>E64+F60</f>
        <v/>
      </c>
      <c r="G64" s="44">
        <f>F64+G60</f>
        <v/>
      </c>
      <c r="H64" s="44">
        <f>G64+H60</f>
        <v/>
      </c>
      <c r="I64" s="44">
        <f>H64+I60</f>
        <v/>
      </c>
      <c r="J64" s="44">
        <f>I64+J60</f>
        <v/>
      </c>
      <c r="K64" s="44">
        <f>J64+K60</f>
        <v/>
      </c>
      <c r="L64" s="44">
        <f>K64+L60</f>
        <v/>
      </c>
      <c r="M64" s="44">
        <f>L64+M60</f>
        <v/>
      </c>
      <c r="N64" s="44">
        <f>M64+N60</f>
        <v/>
      </c>
      <c r="O64" s="44">
        <f>N64+O60</f>
        <v/>
      </c>
      <c r="P64" s="44">
        <f>O64+P60</f>
        <v/>
      </c>
      <c r="Q64" s="44">
        <f>P64+Q60</f>
        <v/>
      </c>
      <c r="R64" s="44">
        <f>Q64+R60</f>
        <v/>
      </c>
      <c r="S64" s="44">
        <f>R64+S60</f>
        <v/>
      </c>
      <c r="T64" s="44">
        <f>S64+T60</f>
        <v/>
      </c>
      <c r="U64" s="44">
        <f>T64+U60</f>
        <v/>
      </c>
      <c r="V64" s="44">
        <f>U64+V60</f>
        <v/>
      </c>
      <c r="W64" s="44">
        <f>V64+W60</f>
        <v/>
      </c>
      <c r="X64" s="44">
        <f>W64+X60</f>
        <v/>
      </c>
      <c r="Y64" s="44">
        <f>X64+Y60</f>
        <v/>
      </c>
      <c r="Z64" s="44">
        <f>Y64+Z60</f>
        <v/>
      </c>
      <c r="AA64" s="44">
        <f>Z64+AA60</f>
        <v/>
      </c>
      <c r="AB64" s="44">
        <f>AA64+AB60</f>
        <v/>
      </c>
      <c r="AC64" s="44">
        <f>AB64+AC60</f>
        <v/>
      </c>
      <c r="AD64" s="44">
        <f>AC64+AD60</f>
        <v/>
      </c>
      <c r="AE64" s="44">
        <f>AD64+AE60</f>
        <v/>
      </c>
    </row>
    <row r="65">
      <c r="A65" s="6" t="inlineStr">
        <is>
          <t xml:space="preserve">  SIP contributions</t>
        </is>
      </c>
      <c r="B65" s="23" t="inlineStr">
        <is>
          <t>USD</t>
        </is>
      </c>
      <c r="C65" s="54">
        <f>IF(C2&gt;=Assumptions!$B$45,C61*Assumptions!$B$158*C7,0)</f>
        <v/>
      </c>
      <c r="D65" s="54">
        <f>IF(D2&gt;=Assumptions!$B$45,D61*Assumptions!$B$158*D7,0)</f>
        <v/>
      </c>
      <c r="E65" s="54">
        <f>IF(E2&gt;=Assumptions!$B$45,E61*Assumptions!$B$158*E7,0)</f>
        <v/>
      </c>
      <c r="F65" s="54">
        <f>IF(F2&gt;=Assumptions!$B$45,F61*Assumptions!$B$158*F7,0)</f>
        <v/>
      </c>
      <c r="G65" s="54">
        <f>IF(G2&gt;=Assumptions!$B$45,G61*Assumptions!$B$158*G7,0)</f>
        <v/>
      </c>
      <c r="H65" s="54">
        <f>IF(H2&gt;=Assumptions!$B$45,H61*Assumptions!$B$158*H7,0)</f>
        <v/>
      </c>
      <c r="I65" s="54">
        <f>IF(I2&gt;=Assumptions!$B$45,I61*Assumptions!$B$158*I7,0)</f>
        <v/>
      </c>
      <c r="J65" s="54">
        <f>IF(J2&gt;=Assumptions!$B$45,J61*Assumptions!$B$158*J7,0)</f>
        <v/>
      </c>
      <c r="K65" s="54">
        <f>IF(K2&gt;=Assumptions!$B$45,K61*Assumptions!$B$158*K7,0)</f>
        <v/>
      </c>
      <c r="L65" s="54">
        <f>IF(L2&gt;=Assumptions!$B$45,L61*Assumptions!$B$158*L7,0)</f>
        <v/>
      </c>
      <c r="M65" s="54">
        <f>IF(M2&gt;=Assumptions!$B$45,M61*Assumptions!$B$158*M7,0)</f>
        <v/>
      </c>
      <c r="N65" s="54">
        <f>IF(N2&gt;=Assumptions!$B$45,N61*Assumptions!$B$158*N7,0)</f>
        <v/>
      </c>
      <c r="O65" s="54">
        <f>IF(O2&gt;=Assumptions!$B$45,O61*Assumptions!$B$158*O7,0)</f>
        <v/>
      </c>
      <c r="P65" s="54">
        <f>IF(P2&gt;=Assumptions!$B$45,P61*Assumptions!$B$158*P7,0)</f>
        <v/>
      </c>
      <c r="Q65" s="54">
        <f>IF(Q2&gt;=Assumptions!$B$45,Q61*Assumptions!$B$158*Q7,0)</f>
        <v/>
      </c>
      <c r="R65" s="54">
        <f>IF(R2&gt;=Assumptions!$B$45,R61*Assumptions!$B$158*R7,0)</f>
        <v/>
      </c>
      <c r="S65" s="54">
        <f>IF(S2&gt;=Assumptions!$B$45,S61*Assumptions!$B$158*S7,0)</f>
        <v/>
      </c>
      <c r="T65" s="54">
        <f>IF(T2&gt;=Assumptions!$B$45,T61*Assumptions!$B$158*T7,0)</f>
        <v/>
      </c>
      <c r="U65" s="54">
        <f>IF(U2&gt;=Assumptions!$B$45,U61*Assumptions!$B$158*U7,0)</f>
        <v/>
      </c>
      <c r="V65" s="54">
        <f>IF(V2&gt;=Assumptions!$B$45,V61*Assumptions!$B$158*V7,0)</f>
        <v/>
      </c>
      <c r="W65" s="54">
        <f>IF(W2&gt;=Assumptions!$B$45,W61*Assumptions!$B$158*W7,0)</f>
        <v/>
      </c>
      <c r="X65" s="54">
        <f>IF(X2&gt;=Assumptions!$B$45,X61*Assumptions!$B$158*X7,0)</f>
        <v/>
      </c>
      <c r="Y65" s="54">
        <f>IF(Y2&gt;=Assumptions!$B$45,Y61*Assumptions!$B$158*Y7,0)</f>
        <v/>
      </c>
      <c r="Z65" s="54">
        <f>IF(Z2&gt;=Assumptions!$B$45,Z61*Assumptions!$B$158*Z7,0)</f>
        <v/>
      </c>
      <c r="AA65" s="54">
        <f>IF(AA2&gt;=Assumptions!$B$45,AA61*Assumptions!$B$158*AA7,0)</f>
        <v/>
      </c>
      <c r="AB65" s="54">
        <f>IF(AB2&gt;=Assumptions!$B$45,AB61*Assumptions!$B$158*AB7,0)</f>
        <v/>
      </c>
      <c r="AC65" s="54">
        <f>IF(AC2&gt;=Assumptions!$B$45,AC61*Assumptions!$B$158*AC7,0)</f>
        <v/>
      </c>
      <c r="AD65" s="54">
        <f>IF(AD2&gt;=Assumptions!$B$45,AD61*Assumptions!$B$158*AD7,0)</f>
        <v/>
      </c>
      <c r="AE65" s="54">
        <f>IF(AE2&gt;=Assumptions!$B$45,AE61*Assumptions!$B$158*AE7,0)</f>
        <v/>
      </c>
    </row>
    <row r="66">
      <c r="A66" s="6" t="inlineStr">
        <is>
          <t xml:space="preserve">  Spot purchase volume</t>
        </is>
      </c>
      <c r="B66" s="23" t="inlineStr">
        <is>
          <t>USD</t>
        </is>
      </c>
      <c r="C66" s="54">
        <f>IF(C2&gt;=Assumptions!$B$46,C61*Assumptions!$B$34*Assumptions!$B$126*Assumptions!$B$128*Assumptions!$B$127/12*C7,0)</f>
        <v/>
      </c>
      <c r="D66" s="54">
        <f>IF(D2&gt;=Assumptions!$B$46,D61*Assumptions!$B$34*Assumptions!$B$126*Assumptions!$B$128*Assumptions!$B$127/12*D7,0)</f>
        <v/>
      </c>
      <c r="E66" s="54">
        <f>IF(E2&gt;=Assumptions!$B$46,E61*Assumptions!$B$34*Assumptions!$B$126*Assumptions!$B$128*Assumptions!$B$127/12*E7,0)</f>
        <v/>
      </c>
      <c r="F66" s="54">
        <f>IF(F2&gt;=Assumptions!$B$46,F61*Assumptions!$B$34*Assumptions!$B$126*Assumptions!$B$128*Assumptions!$B$127/12*F7,0)</f>
        <v/>
      </c>
      <c r="G66" s="54">
        <f>IF(G2&gt;=Assumptions!$B$46,G61*Assumptions!$B$34*Assumptions!$B$126*Assumptions!$B$128*Assumptions!$B$127/12*G7,0)</f>
        <v/>
      </c>
      <c r="H66" s="54">
        <f>IF(H2&gt;=Assumptions!$B$46,H61*Assumptions!$B$34*Assumptions!$B$126*Assumptions!$B$128*Assumptions!$B$127/12*H7,0)</f>
        <v/>
      </c>
      <c r="I66" s="54">
        <f>IF(I2&gt;=Assumptions!$B$46,I61*Assumptions!$B$34*Assumptions!$B$126*Assumptions!$B$128*Assumptions!$B$127/12*I7,0)</f>
        <v/>
      </c>
      <c r="J66" s="54">
        <f>IF(J2&gt;=Assumptions!$B$46,J61*Assumptions!$B$34*Assumptions!$B$126*Assumptions!$B$128*Assumptions!$B$127/12*J7,0)</f>
        <v/>
      </c>
      <c r="K66" s="54">
        <f>IF(K2&gt;=Assumptions!$B$46,K61*Assumptions!$B$34*Assumptions!$B$126*Assumptions!$B$128*Assumptions!$B$127/12*K7,0)</f>
        <v/>
      </c>
      <c r="L66" s="54">
        <f>IF(L2&gt;=Assumptions!$B$46,L61*Assumptions!$B$34*Assumptions!$B$126*Assumptions!$B$128*Assumptions!$B$127/12*L7,0)</f>
        <v/>
      </c>
      <c r="M66" s="54">
        <f>IF(M2&gt;=Assumptions!$B$46,M61*Assumptions!$B$34*Assumptions!$B$126*Assumptions!$B$128*Assumptions!$B$127/12*M7,0)</f>
        <v/>
      </c>
      <c r="N66" s="54">
        <f>IF(N2&gt;=Assumptions!$B$46,N61*Assumptions!$B$34*Assumptions!$B$126*Assumptions!$B$128*Assumptions!$B$127/12*N7,0)</f>
        <v/>
      </c>
      <c r="O66" s="54">
        <f>IF(O2&gt;=Assumptions!$B$46,O61*Assumptions!$B$34*Assumptions!$B$126*Assumptions!$B$128*Assumptions!$B$127/12*O7,0)</f>
        <v/>
      </c>
      <c r="P66" s="54">
        <f>IF(P2&gt;=Assumptions!$B$46,P61*Assumptions!$B$34*Assumptions!$B$126*Assumptions!$B$128*Assumptions!$B$127/12*P7,0)</f>
        <v/>
      </c>
      <c r="Q66" s="54">
        <f>IF(Q2&gt;=Assumptions!$B$46,Q61*Assumptions!$B$34*Assumptions!$B$126*Assumptions!$B$128*Assumptions!$B$127/12*Q7,0)</f>
        <v/>
      </c>
      <c r="R66" s="54">
        <f>IF(R2&gt;=Assumptions!$B$46,R61*Assumptions!$B$34*Assumptions!$B$126*Assumptions!$B$128*Assumptions!$B$127/12*R7,0)</f>
        <v/>
      </c>
      <c r="S66" s="54">
        <f>IF(S2&gt;=Assumptions!$B$46,S61*Assumptions!$B$34*Assumptions!$B$126*Assumptions!$B$128*Assumptions!$B$127/12*S7,0)</f>
        <v/>
      </c>
      <c r="T66" s="54">
        <f>IF(T2&gt;=Assumptions!$B$46,T61*Assumptions!$B$34*Assumptions!$B$126*Assumptions!$B$128*Assumptions!$B$127/12*T7,0)</f>
        <v/>
      </c>
      <c r="U66" s="54">
        <f>IF(U2&gt;=Assumptions!$B$46,U61*Assumptions!$B$34*Assumptions!$B$126*Assumptions!$B$128*Assumptions!$B$127/12*U7,0)</f>
        <v/>
      </c>
      <c r="V66" s="54">
        <f>IF(V2&gt;=Assumptions!$B$46,V61*Assumptions!$B$34*Assumptions!$B$126*Assumptions!$B$128*Assumptions!$B$127/12*V7,0)</f>
        <v/>
      </c>
      <c r="W66" s="54">
        <f>IF(W2&gt;=Assumptions!$B$46,W61*Assumptions!$B$34*Assumptions!$B$126*Assumptions!$B$128*Assumptions!$B$127/12*W7,0)</f>
        <v/>
      </c>
      <c r="X66" s="54">
        <f>IF(X2&gt;=Assumptions!$B$46,X61*Assumptions!$B$34*Assumptions!$B$126*Assumptions!$B$128*Assumptions!$B$127/12*X7,0)</f>
        <v/>
      </c>
      <c r="Y66" s="54">
        <f>IF(Y2&gt;=Assumptions!$B$46,Y61*Assumptions!$B$34*Assumptions!$B$126*Assumptions!$B$128*Assumptions!$B$127/12*Y7,0)</f>
        <v/>
      </c>
      <c r="Z66" s="54">
        <f>IF(Z2&gt;=Assumptions!$B$46,Z61*Assumptions!$B$34*Assumptions!$B$126*Assumptions!$B$128*Assumptions!$B$127/12*Z7,0)</f>
        <v/>
      </c>
      <c r="AA66" s="54">
        <f>IF(AA2&gt;=Assumptions!$B$46,AA61*Assumptions!$B$34*Assumptions!$B$126*Assumptions!$B$128*Assumptions!$B$127/12*AA7,0)</f>
        <v/>
      </c>
      <c r="AB66" s="54">
        <f>IF(AB2&gt;=Assumptions!$B$46,AB61*Assumptions!$B$34*Assumptions!$B$126*Assumptions!$B$128*Assumptions!$B$127/12*AB7,0)</f>
        <v/>
      </c>
      <c r="AC66" s="54">
        <f>IF(AC2&gt;=Assumptions!$B$46,AC61*Assumptions!$B$34*Assumptions!$B$126*Assumptions!$B$128*Assumptions!$B$127/12*AC7,0)</f>
        <v/>
      </c>
      <c r="AD66" s="54">
        <f>IF(AD2&gt;=Assumptions!$B$46,AD61*Assumptions!$B$34*Assumptions!$B$126*Assumptions!$B$128*Assumptions!$B$127/12*AD7,0)</f>
        <v/>
      </c>
      <c r="AE66" s="54">
        <f>IF(AE2&gt;=Assumptions!$B$46,AE61*Assumptions!$B$34*Assumptions!$B$126*Assumptions!$B$128*Assumptions!$B$127/12*AE7,0)</f>
        <v/>
      </c>
    </row>
    <row r="67">
      <c r="A67" s="6" t="inlineStr">
        <is>
          <t xml:space="preserve">  Grams purchased</t>
        </is>
      </c>
      <c r="B67" s="23" t="inlineStr">
        <is>
          <t>grams</t>
        </is>
      </c>
      <c r="C67" s="53">
        <f>(C65+C66)*(1-Assumptions!$B$8)/Assumptions!$B$6/(1+Assumptions!$B$9)</f>
        <v/>
      </c>
      <c r="D67" s="53">
        <f>(D65+D66)*(1-Assumptions!$B$8)/Assumptions!$B$6/(1+Assumptions!$B$9)</f>
        <v/>
      </c>
      <c r="E67" s="53">
        <f>(E65+E66)*(1-Assumptions!$B$8)/Assumptions!$B$6/(1+Assumptions!$B$9)</f>
        <v/>
      </c>
      <c r="F67" s="53">
        <f>(F65+F66)*(1-Assumptions!$B$8)/Assumptions!$B$6/(1+Assumptions!$B$9)</f>
        <v/>
      </c>
      <c r="G67" s="53">
        <f>(G65+G66)*(1-Assumptions!$B$8)/Assumptions!$B$6/(1+Assumptions!$B$9)</f>
        <v/>
      </c>
      <c r="H67" s="53">
        <f>(H65+H66)*(1-Assumptions!$B$8)/Assumptions!$B$6/(1+Assumptions!$B$9)</f>
        <v/>
      </c>
      <c r="I67" s="53">
        <f>(I65+I66)*(1-Assumptions!$B$8)/Assumptions!$B$6/(1+Assumptions!$B$9)</f>
        <v/>
      </c>
      <c r="J67" s="53">
        <f>(J65+J66)*(1-Assumptions!$B$8)/Assumptions!$B$6/(1+Assumptions!$B$9)</f>
        <v/>
      </c>
      <c r="K67" s="53">
        <f>(K65+K66)*(1-Assumptions!$B$8)/Assumptions!$B$6/(1+Assumptions!$B$9)</f>
        <v/>
      </c>
      <c r="L67" s="53">
        <f>(L65+L66)*(1-Assumptions!$B$8)/Assumptions!$B$6/(1+Assumptions!$B$9)</f>
        <v/>
      </c>
      <c r="M67" s="53">
        <f>(M65+M66)*(1-Assumptions!$B$8)/Assumptions!$B$6/(1+Assumptions!$B$9)</f>
        <v/>
      </c>
      <c r="N67" s="53">
        <f>(N65+N66)*(1-Assumptions!$B$8)/Assumptions!$B$6/(1+Assumptions!$B$9)</f>
        <v/>
      </c>
      <c r="O67" s="53">
        <f>(O65+O66)*(1-Assumptions!$B$8)/Assumptions!$B$6/(1+Assumptions!$B$9)</f>
        <v/>
      </c>
      <c r="P67" s="53">
        <f>(P65+P66)*(1-Assumptions!$B$8)/Assumptions!$B$6/(1+Assumptions!$B$9)</f>
        <v/>
      </c>
      <c r="Q67" s="53">
        <f>(Q65+Q66)*(1-Assumptions!$B$8)/Assumptions!$B$6/(1+Assumptions!$B$9)</f>
        <v/>
      </c>
      <c r="R67" s="53">
        <f>(R65+R66)*(1-Assumptions!$B$8)/Assumptions!$B$6/(1+Assumptions!$B$9)</f>
        <v/>
      </c>
      <c r="S67" s="53">
        <f>(S65+S66)*(1-Assumptions!$B$8)/Assumptions!$B$6/(1+Assumptions!$B$9)</f>
        <v/>
      </c>
      <c r="T67" s="53">
        <f>(T65+T66)*(1-Assumptions!$B$8)/Assumptions!$B$6/(1+Assumptions!$B$9)</f>
        <v/>
      </c>
      <c r="U67" s="53">
        <f>(U65+U66)*(1-Assumptions!$B$8)/Assumptions!$B$6/(1+Assumptions!$B$9)</f>
        <v/>
      </c>
      <c r="V67" s="53">
        <f>(V65+V66)*(1-Assumptions!$B$8)/Assumptions!$B$6/(1+Assumptions!$B$9)</f>
        <v/>
      </c>
      <c r="W67" s="53">
        <f>(W65+W66)*(1-Assumptions!$B$8)/Assumptions!$B$6/(1+Assumptions!$B$9)</f>
        <v/>
      </c>
      <c r="X67" s="53">
        <f>(X65+X66)*(1-Assumptions!$B$8)/Assumptions!$B$6/(1+Assumptions!$B$9)</f>
        <v/>
      </c>
      <c r="Y67" s="53">
        <f>(Y65+Y66)*(1-Assumptions!$B$8)/Assumptions!$B$6/(1+Assumptions!$B$9)</f>
        <v/>
      </c>
      <c r="Z67" s="53">
        <f>(Z65+Z66)*(1-Assumptions!$B$8)/Assumptions!$B$6/(1+Assumptions!$B$9)</f>
        <v/>
      </c>
      <c r="AA67" s="53">
        <f>(AA65+AA66)*(1-Assumptions!$B$8)/Assumptions!$B$6/(1+Assumptions!$B$9)</f>
        <v/>
      </c>
      <c r="AB67" s="53">
        <f>(AB65+AB66)*(1-Assumptions!$B$8)/Assumptions!$B$6/(1+Assumptions!$B$9)</f>
        <v/>
      </c>
      <c r="AC67" s="53">
        <f>(AC65+AC66)*(1-Assumptions!$B$8)/Assumptions!$B$6/(1+Assumptions!$B$9)</f>
        <v/>
      </c>
      <c r="AD67" s="53">
        <f>(AD65+AD66)*(1-Assumptions!$B$8)/Assumptions!$B$6/(1+Assumptions!$B$9)</f>
        <v/>
      </c>
      <c r="AE67" s="53">
        <f>(AE65+AE66)*(1-Assumptions!$B$8)/Assumptions!$B$6/(1+Assumptions!$B$9)</f>
        <v/>
      </c>
    </row>
    <row r="68">
      <c r="A68" s="6" t="inlineStr">
        <is>
          <t xml:space="preserve">  AUM decay rate (holder-weighted)</t>
        </is>
      </c>
      <c r="B68" s="23" t="inlineStr">
        <is>
          <t>%/period</t>
        </is>
      </c>
      <c r="C68" s="55">
        <f>(Assumptions!$B$123+Assumptions!$B$124*IF(C61+C63=0,1,(C61+C63*Assumptions!$B$125)/(C61+C63)))*C7/12</f>
        <v/>
      </c>
      <c r="D68" s="55">
        <f>(Assumptions!$B$123+Assumptions!$B$124*IF(D61+D63=0,1,(D61+D63*Assumptions!$B$125)/(D61+D63)))*D7/12</f>
        <v/>
      </c>
      <c r="E68" s="55">
        <f>(Assumptions!$B$123+Assumptions!$B$124*IF(E61+E63=0,1,(E61+E63*Assumptions!$B$125)/(E61+E63)))*E7/12</f>
        <v/>
      </c>
      <c r="F68" s="55">
        <f>(Assumptions!$B$123+Assumptions!$B$124*IF(F61+F63=0,1,(F61+F63*Assumptions!$B$125)/(F61+F63)))*F7/12</f>
        <v/>
      </c>
      <c r="G68" s="55">
        <f>(Assumptions!$B$123+Assumptions!$B$124*IF(G61+G63=0,1,(G61+G63*Assumptions!$B$125)/(G61+G63)))*G7/12</f>
        <v/>
      </c>
      <c r="H68" s="55">
        <f>(Assumptions!$B$123+Assumptions!$B$124*IF(H61+H63=0,1,(H61+H63*Assumptions!$B$125)/(H61+H63)))*H7/12</f>
        <v/>
      </c>
      <c r="I68" s="55">
        <f>(Assumptions!$B$123+Assumptions!$B$124*IF(I61+I63=0,1,(I61+I63*Assumptions!$B$125)/(I61+I63)))*I7/12</f>
        <v/>
      </c>
      <c r="J68" s="55">
        <f>(Assumptions!$B$123+Assumptions!$B$124*IF(J61+J63=0,1,(J61+J63*Assumptions!$B$125)/(J61+J63)))*J7/12</f>
        <v/>
      </c>
      <c r="K68" s="55">
        <f>(Assumptions!$B$123+Assumptions!$B$124*IF(K61+K63=0,1,(K61+K63*Assumptions!$B$125)/(K61+K63)))*K7/12</f>
        <v/>
      </c>
      <c r="L68" s="55">
        <f>(Assumptions!$B$123+Assumptions!$B$124*IF(L61+L63=0,1,(L61+L63*Assumptions!$B$125)/(L61+L63)))*L7/12</f>
        <v/>
      </c>
      <c r="M68" s="55">
        <f>(Assumptions!$B$123+Assumptions!$B$124*IF(M61+M63=0,1,(M61+M63*Assumptions!$B$125)/(M61+M63)))*M7/12</f>
        <v/>
      </c>
      <c r="N68" s="55">
        <f>(Assumptions!$B$123+Assumptions!$B$124*IF(N61+N63=0,1,(N61+N63*Assumptions!$B$125)/(N61+N63)))*N7/12</f>
        <v/>
      </c>
      <c r="O68" s="55">
        <f>(Assumptions!$B$123+Assumptions!$B$124*IF(O61+O63=0,1,(O61+O63*Assumptions!$B$125)/(O61+O63)))*O7/12</f>
        <v/>
      </c>
      <c r="P68" s="55">
        <f>(Assumptions!$B$123+Assumptions!$B$124*IF(P61+P63=0,1,(P61+P63*Assumptions!$B$125)/(P61+P63)))*P7/12</f>
        <v/>
      </c>
      <c r="Q68" s="55">
        <f>(Assumptions!$B$123+Assumptions!$B$124*IF(Q61+Q63=0,1,(Q61+Q63*Assumptions!$B$125)/(Q61+Q63)))*Q7/12</f>
        <v/>
      </c>
      <c r="R68" s="55">
        <f>(Assumptions!$B$123+Assumptions!$B$124*IF(R61+R63=0,1,(R61+R63*Assumptions!$B$125)/(R61+R63)))*R7/12</f>
        <v/>
      </c>
      <c r="S68" s="55">
        <f>(Assumptions!$B$123+Assumptions!$B$124*IF(S61+S63=0,1,(S61+S63*Assumptions!$B$125)/(S61+S63)))*S7/12</f>
        <v/>
      </c>
      <c r="T68" s="55">
        <f>(Assumptions!$B$123+Assumptions!$B$124*IF(T61+T63=0,1,(T61+T63*Assumptions!$B$125)/(T61+T63)))*T7/12</f>
        <v/>
      </c>
      <c r="U68" s="55">
        <f>(Assumptions!$B$123+Assumptions!$B$124*IF(U61+U63=0,1,(U61+U63*Assumptions!$B$125)/(U61+U63)))*U7/12</f>
        <v/>
      </c>
      <c r="V68" s="55">
        <f>(Assumptions!$B$123+Assumptions!$B$124*IF(V61+V63=0,1,(V61+V63*Assumptions!$B$125)/(V61+V63)))*V7/12</f>
        <v/>
      </c>
      <c r="W68" s="55">
        <f>(Assumptions!$B$123+Assumptions!$B$124*IF(W61+W63=0,1,(W61+W63*Assumptions!$B$125)/(W61+W63)))*W7/12</f>
        <v/>
      </c>
      <c r="X68" s="55">
        <f>(Assumptions!$B$123+Assumptions!$B$124*IF(X61+X63=0,1,(X61+X63*Assumptions!$B$125)/(X61+X63)))*X7/12</f>
        <v/>
      </c>
      <c r="Y68" s="55">
        <f>(Assumptions!$B$123+Assumptions!$B$124*IF(Y61+Y63=0,1,(Y61+Y63*Assumptions!$B$125)/(Y61+Y63)))*Y7/12</f>
        <v/>
      </c>
      <c r="Z68" s="55">
        <f>(Assumptions!$B$123+Assumptions!$B$124*IF(Z61+Z63=0,1,(Z61+Z63*Assumptions!$B$125)/(Z61+Z63)))*Z7/12</f>
        <v/>
      </c>
      <c r="AA68" s="55">
        <f>(Assumptions!$B$123+Assumptions!$B$124*IF(AA61+AA63=0,1,(AA61+AA63*Assumptions!$B$125)/(AA61+AA63)))*AA7/12</f>
        <v/>
      </c>
      <c r="AB68" s="55">
        <f>(Assumptions!$B$123+Assumptions!$B$124*IF(AB61+AB63=0,1,(AB61+AB63*Assumptions!$B$125)/(AB61+AB63)))*AB7/12</f>
        <v/>
      </c>
      <c r="AC68" s="55">
        <f>(Assumptions!$B$123+Assumptions!$B$124*IF(AC61+AC63=0,1,(AC61+AC63*Assumptions!$B$125)/(AC61+AC63)))*AC7/12</f>
        <v/>
      </c>
      <c r="AD68" s="55">
        <f>(Assumptions!$B$123+Assumptions!$B$124*IF(AD61+AD63=0,1,(AD61+AD63*Assumptions!$B$125)/(AD61+AD63)))*AD7/12</f>
        <v/>
      </c>
      <c r="AE68" s="55">
        <f>(Assumptions!$B$123+Assumptions!$B$124*IF(AE61+AE63=0,1,(AE61+AE63*Assumptions!$B$125)/(AE61+AE63)))*AE7/12</f>
        <v/>
      </c>
    </row>
    <row r="69">
      <c r="A69" s="6" t="inlineStr">
        <is>
          <t xml:space="preserve">  Grams held</t>
        </is>
      </c>
      <c r="B69" s="23" t="inlineStr">
        <is>
          <t>grams</t>
        </is>
      </c>
      <c r="C69" s="44">
        <f>C67</f>
        <v/>
      </c>
      <c r="D69" s="44">
        <f>C69*(1-D68)+D67</f>
        <v/>
      </c>
      <c r="E69" s="44">
        <f>D69*(1-E68)+E67</f>
        <v/>
      </c>
      <c r="F69" s="44">
        <f>E69*(1-F68)+F67</f>
        <v/>
      </c>
      <c r="G69" s="44">
        <f>F69*(1-G68)+G67</f>
        <v/>
      </c>
      <c r="H69" s="44">
        <f>G69*(1-H68)+H67</f>
        <v/>
      </c>
      <c r="I69" s="44">
        <f>H69*(1-I68)+I67</f>
        <v/>
      </c>
      <c r="J69" s="44">
        <f>I69*(1-J68)+J67</f>
        <v/>
      </c>
      <c r="K69" s="44">
        <f>J69*(1-K68)+K67</f>
        <v/>
      </c>
      <c r="L69" s="44">
        <f>K69*(1-L68)+L67</f>
        <v/>
      </c>
      <c r="M69" s="44">
        <f>L69*(1-M68)+M67</f>
        <v/>
      </c>
      <c r="N69" s="44">
        <f>M69*(1-N68)+N67</f>
        <v/>
      </c>
      <c r="O69" s="44">
        <f>N69*(1-O68)+O67</f>
        <v/>
      </c>
      <c r="P69" s="44">
        <f>O69*(1-P68)+P67</f>
        <v/>
      </c>
      <c r="Q69" s="44">
        <f>P69*(1-Q68)+Q67</f>
        <v/>
      </c>
      <c r="R69" s="44">
        <f>Q69*(1-R68)+R67</f>
        <v/>
      </c>
      <c r="S69" s="44">
        <f>R69*(1-S68)+S67</f>
        <v/>
      </c>
      <c r="T69" s="44">
        <f>S69*(1-T68)+T67</f>
        <v/>
      </c>
      <c r="U69" s="44">
        <f>T69*(1-U68)+U67</f>
        <v/>
      </c>
      <c r="V69" s="44">
        <f>U69*(1-V68)+V67</f>
        <v/>
      </c>
      <c r="W69" s="44">
        <f>V69*(1-W68)+W67</f>
        <v/>
      </c>
      <c r="X69" s="44">
        <f>W69*(1-X68)+X67</f>
        <v/>
      </c>
      <c r="Y69" s="44">
        <f>X69*(1-Y68)+Y67</f>
        <v/>
      </c>
      <c r="Z69" s="44">
        <f>Y69*(1-Z68)+Z67</f>
        <v/>
      </c>
      <c r="AA69" s="44">
        <f>Z69*(1-AA68)+AA67</f>
        <v/>
      </c>
      <c r="AB69" s="44">
        <f>AA69*(1-AB68)+AB67</f>
        <v/>
      </c>
      <c r="AC69" s="44">
        <f>AB69*(1-AC68)+AC67</f>
        <v/>
      </c>
      <c r="AD69" s="44">
        <f>AC69*(1-AD68)+AD67</f>
        <v/>
      </c>
      <c r="AE69" s="44">
        <f>AD69*(1-AE68)+AE67</f>
        <v/>
      </c>
    </row>
    <row r="70">
      <c r="A70" s="6" t="inlineStr">
        <is>
          <t xml:space="preserve">  AUM</t>
        </is>
      </c>
      <c r="B70" s="23" t="inlineStr">
        <is>
          <t>USD</t>
        </is>
      </c>
      <c r="C70" s="56">
        <f>C69*Assumptions!$B$6</f>
        <v/>
      </c>
      <c r="D70" s="56">
        <f>D69*Assumptions!$B$6</f>
        <v/>
      </c>
      <c r="E70" s="56">
        <f>E69*Assumptions!$B$6</f>
        <v/>
      </c>
      <c r="F70" s="56">
        <f>F69*Assumptions!$B$6</f>
        <v/>
      </c>
      <c r="G70" s="56">
        <f>G69*Assumptions!$B$6</f>
        <v/>
      </c>
      <c r="H70" s="56">
        <f>H69*Assumptions!$B$6</f>
        <v/>
      </c>
      <c r="I70" s="56">
        <f>I69*Assumptions!$B$6</f>
        <v/>
      </c>
      <c r="J70" s="56">
        <f>J69*Assumptions!$B$6</f>
        <v/>
      </c>
      <c r="K70" s="56">
        <f>K69*Assumptions!$B$6</f>
        <v/>
      </c>
      <c r="L70" s="56">
        <f>L69*Assumptions!$B$6</f>
        <v/>
      </c>
      <c r="M70" s="56">
        <f>M69*Assumptions!$B$6</f>
        <v/>
      </c>
      <c r="N70" s="56">
        <f>N69*Assumptions!$B$6</f>
        <v/>
      </c>
      <c r="O70" s="56">
        <f>O69*Assumptions!$B$6</f>
        <v/>
      </c>
      <c r="P70" s="56">
        <f>P69*Assumptions!$B$6</f>
        <v/>
      </c>
      <c r="Q70" s="56">
        <f>Q69*Assumptions!$B$6</f>
        <v/>
      </c>
      <c r="R70" s="56">
        <f>R69*Assumptions!$B$6</f>
        <v/>
      </c>
      <c r="S70" s="56">
        <f>S69*Assumptions!$B$6</f>
        <v/>
      </c>
      <c r="T70" s="56">
        <f>T69*Assumptions!$B$6</f>
        <v/>
      </c>
      <c r="U70" s="56">
        <f>U69*Assumptions!$B$6</f>
        <v/>
      </c>
      <c r="V70" s="56">
        <f>V69*Assumptions!$B$6</f>
        <v/>
      </c>
      <c r="W70" s="56">
        <f>W69*Assumptions!$B$6</f>
        <v/>
      </c>
      <c r="X70" s="56">
        <f>X69*Assumptions!$B$6</f>
        <v/>
      </c>
      <c r="Y70" s="56">
        <f>Y69*Assumptions!$B$6</f>
        <v/>
      </c>
      <c r="Z70" s="56">
        <f>Z69*Assumptions!$B$6</f>
        <v/>
      </c>
      <c r="AA70" s="56">
        <f>AA69*Assumptions!$B$6</f>
        <v/>
      </c>
      <c r="AB70" s="56">
        <f>AB69*Assumptions!$B$6</f>
        <v/>
      </c>
      <c r="AC70" s="56">
        <f>AC69*Assumptions!$B$6</f>
        <v/>
      </c>
      <c r="AD70" s="56">
        <f>AD69*Assumptions!$B$6</f>
        <v/>
      </c>
      <c r="AE70" s="56">
        <f>AE69*Assumptions!$B$6</f>
        <v/>
      </c>
    </row>
    <row r="71">
      <c r="A71" s="6" t="inlineStr">
        <is>
          <t xml:space="preserve">  Card-eligible base</t>
        </is>
      </c>
      <c r="B71" s="23" t="inlineStr">
        <is>
          <t>accounts</t>
        </is>
      </c>
      <c r="C71" s="53">
        <f>C61+C63*Assumptions!$B$164</f>
        <v/>
      </c>
      <c r="D71" s="53">
        <f>D61+D63*Assumptions!$B$164</f>
        <v/>
      </c>
      <c r="E71" s="53">
        <f>E61+E63*Assumptions!$B$164</f>
        <v/>
      </c>
      <c r="F71" s="53">
        <f>F61+F63*Assumptions!$B$164</f>
        <v/>
      </c>
      <c r="G71" s="53">
        <f>G61+G63*Assumptions!$B$164</f>
        <v/>
      </c>
      <c r="H71" s="53">
        <f>H61+H63*Assumptions!$B$164</f>
        <v/>
      </c>
      <c r="I71" s="53">
        <f>I61+I63*Assumptions!$B$164</f>
        <v/>
      </c>
      <c r="J71" s="53">
        <f>J61+J63*Assumptions!$B$164</f>
        <v/>
      </c>
      <c r="K71" s="53">
        <f>K61+K63*Assumptions!$B$164</f>
        <v/>
      </c>
      <c r="L71" s="53">
        <f>L61+L63*Assumptions!$B$164</f>
        <v/>
      </c>
      <c r="M71" s="53">
        <f>M61+M63*Assumptions!$B$164</f>
        <v/>
      </c>
      <c r="N71" s="53">
        <f>N61+N63*Assumptions!$B$164</f>
        <v/>
      </c>
      <c r="O71" s="53">
        <f>O61+O63*Assumptions!$B$164</f>
        <v/>
      </c>
      <c r="P71" s="53">
        <f>P61+P63*Assumptions!$B$164</f>
        <v/>
      </c>
      <c r="Q71" s="53">
        <f>Q61+Q63*Assumptions!$B$164</f>
        <v/>
      </c>
      <c r="R71" s="53">
        <f>R61+R63*Assumptions!$B$164</f>
        <v/>
      </c>
      <c r="S71" s="53">
        <f>S61+S63*Assumptions!$B$164</f>
        <v/>
      </c>
      <c r="T71" s="53">
        <f>T61+T63*Assumptions!$B$164</f>
        <v/>
      </c>
      <c r="U71" s="53">
        <f>U61+U63*Assumptions!$B$164</f>
        <v/>
      </c>
      <c r="V71" s="53">
        <f>V61+V63*Assumptions!$B$164</f>
        <v/>
      </c>
      <c r="W71" s="53">
        <f>W61+W63*Assumptions!$B$164</f>
        <v/>
      </c>
      <c r="X71" s="53">
        <f>X61+X63*Assumptions!$B$164</f>
        <v/>
      </c>
      <c r="Y71" s="53">
        <f>Y61+Y63*Assumptions!$B$164</f>
        <v/>
      </c>
      <c r="Z71" s="53">
        <f>Z61+Z63*Assumptions!$B$164</f>
        <v/>
      </c>
      <c r="AA71" s="53">
        <f>AA61+AA63*Assumptions!$B$164</f>
        <v/>
      </c>
      <c r="AB71" s="53">
        <f>AB61+AB63*Assumptions!$B$164</f>
        <v/>
      </c>
      <c r="AC71" s="53">
        <f>AC61+AC63*Assumptions!$B$164</f>
        <v/>
      </c>
      <c r="AD71" s="53">
        <f>AD61+AD63*Assumptions!$B$164</f>
        <v/>
      </c>
      <c r="AE71" s="53">
        <f>AE61+AE63*Assumptions!$B$164</f>
        <v/>
      </c>
    </row>
    <row r="72">
      <c r="A72" s="6" t="inlineStr">
        <is>
          <t xml:space="preserve">  Cleared the six-payment gate</t>
        </is>
      </c>
      <c r="B72" s="23" t="inlineStr">
        <is>
          <t>accounts</t>
        </is>
      </c>
      <c r="C72" s="44">
        <f>IF(C7&gt;1,C71*Assumptions!$B$121,IF(C2&gt;Assumptions!$B$122,INDEX($C$71:$AE$71,1,C2-Assumptions!$B$122)*Assumptions!$B$121,0))</f>
        <v/>
      </c>
      <c r="D72" s="44">
        <f>IF(D7&gt;1,D71*Assumptions!$B$121,IF(D2&gt;Assumptions!$B$122,INDEX($C$71:$AE$71,1,D2-Assumptions!$B$122)*Assumptions!$B$121,0))</f>
        <v/>
      </c>
      <c r="E72" s="44">
        <f>IF(E7&gt;1,E71*Assumptions!$B$121,IF(E2&gt;Assumptions!$B$122,INDEX($C$71:$AE$71,1,E2-Assumptions!$B$122)*Assumptions!$B$121,0))</f>
        <v/>
      </c>
      <c r="F72" s="44">
        <f>IF(F7&gt;1,F71*Assumptions!$B$121,IF(F2&gt;Assumptions!$B$122,INDEX($C$71:$AE$71,1,F2-Assumptions!$B$122)*Assumptions!$B$121,0))</f>
        <v/>
      </c>
      <c r="G72" s="44">
        <f>IF(G7&gt;1,G71*Assumptions!$B$121,IF(G2&gt;Assumptions!$B$122,INDEX($C$71:$AE$71,1,G2-Assumptions!$B$122)*Assumptions!$B$121,0))</f>
        <v/>
      </c>
      <c r="H72" s="44">
        <f>IF(H7&gt;1,H71*Assumptions!$B$121,IF(H2&gt;Assumptions!$B$122,INDEX($C$71:$AE$71,1,H2-Assumptions!$B$122)*Assumptions!$B$121,0))</f>
        <v/>
      </c>
      <c r="I72" s="44">
        <f>IF(I7&gt;1,I71*Assumptions!$B$121,IF(I2&gt;Assumptions!$B$122,INDEX($C$71:$AE$71,1,I2-Assumptions!$B$122)*Assumptions!$B$121,0))</f>
        <v/>
      </c>
      <c r="J72" s="44">
        <f>IF(J7&gt;1,J71*Assumptions!$B$121,IF(J2&gt;Assumptions!$B$122,INDEX($C$71:$AE$71,1,J2-Assumptions!$B$122)*Assumptions!$B$121,0))</f>
        <v/>
      </c>
      <c r="K72" s="44">
        <f>IF(K7&gt;1,K71*Assumptions!$B$121,IF(K2&gt;Assumptions!$B$122,INDEX($C$71:$AE$71,1,K2-Assumptions!$B$122)*Assumptions!$B$121,0))</f>
        <v/>
      </c>
      <c r="L72" s="44">
        <f>IF(L7&gt;1,L71*Assumptions!$B$121,IF(L2&gt;Assumptions!$B$122,INDEX($C$71:$AE$71,1,L2-Assumptions!$B$122)*Assumptions!$B$121,0))</f>
        <v/>
      </c>
      <c r="M72" s="44">
        <f>IF(M7&gt;1,M71*Assumptions!$B$121,IF(M2&gt;Assumptions!$B$122,INDEX($C$71:$AE$71,1,M2-Assumptions!$B$122)*Assumptions!$B$121,0))</f>
        <v/>
      </c>
      <c r="N72" s="44">
        <f>IF(N7&gt;1,N71*Assumptions!$B$121,IF(N2&gt;Assumptions!$B$122,INDEX($C$71:$AE$71,1,N2-Assumptions!$B$122)*Assumptions!$B$121,0))</f>
        <v/>
      </c>
      <c r="O72" s="44">
        <f>IF(O7&gt;1,O71*Assumptions!$B$121,IF(O2&gt;Assumptions!$B$122,INDEX($C$71:$AE$71,1,O2-Assumptions!$B$122)*Assumptions!$B$121,0))</f>
        <v/>
      </c>
      <c r="P72" s="44">
        <f>IF(P7&gt;1,P71*Assumptions!$B$121,IF(P2&gt;Assumptions!$B$122,INDEX($C$71:$AE$71,1,P2-Assumptions!$B$122)*Assumptions!$B$121,0))</f>
        <v/>
      </c>
      <c r="Q72" s="44">
        <f>IF(Q7&gt;1,Q71*Assumptions!$B$121,IF(Q2&gt;Assumptions!$B$122,INDEX($C$71:$AE$71,1,Q2-Assumptions!$B$122)*Assumptions!$B$121,0))</f>
        <v/>
      </c>
      <c r="R72" s="44">
        <f>IF(R7&gt;1,R71*Assumptions!$B$121,IF(R2&gt;Assumptions!$B$122,INDEX($C$71:$AE$71,1,R2-Assumptions!$B$122)*Assumptions!$B$121,0))</f>
        <v/>
      </c>
      <c r="S72" s="44">
        <f>IF(S7&gt;1,S71*Assumptions!$B$121,IF(S2&gt;Assumptions!$B$122,INDEX($C$71:$AE$71,1,S2-Assumptions!$B$122)*Assumptions!$B$121,0))</f>
        <v/>
      </c>
      <c r="T72" s="44">
        <f>IF(T7&gt;1,T71*Assumptions!$B$121,IF(T2&gt;Assumptions!$B$122,INDEX($C$71:$AE$71,1,T2-Assumptions!$B$122)*Assumptions!$B$121,0))</f>
        <v/>
      </c>
      <c r="U72" s="44">
        <f>IF(U7&gt;1,U71*Assumptions!$B$121,IF(U2&gt;Assumptions!$B$122,INDEX($C$71:$AE$71,1,U2-Assumptions!$B$122)*Assumptions!$B$121,0))</f>
        <v/>
      </c>
      <c r="V72" s="44">
        <f>IF(V7&gt;1,V71*Assumptions!$B$121,IF(V2&gt;Assumptions!$B$122,INDEX($C$71:$AE$71,1,V2-Assumptions!$B$122)*Assumptions!$B$121,0))</f>
        <v/>
      </c>
      <c r="W72" s="44">
        <f>IF(W7&gt;1,W71*Assumptions!$B$121,IF(W2&gt;Assumptions!$B$122,INDEX($C$71:$AE$71,1,W2-Assumptions!$B$122)*Assumptions!$B$121,0))</f>
        <v/>
      </c>
      <c r="X72" s="44">
        <f>IF(X7&gt;1,X71*Assumptions!$B$121,IF(X2&gt;Assumptions!$B$122,INDEX($C$71:$AE$71,1,X2-Assumptions!$B$122)*Assumptions!$B$121,0))</f>
        <v/>
      </c>
      <c r="Y72" s="44">
        <f>IF(Y7&gt;1,Y71*Assumptions!$B$121,IF(Y2&gt;Assumptions!$B$122,INDEX($C$71:$AE$71,1,Y2-Assumptions!$B$122)*Assumptions!$B$121,0))</f>
        <v/>
      </c>
      <c r="Z72" s="44">
        <f>IF(Z7&gt;1,Z71*Assumptions!$B$121,IF(Z2&gt;Assumptions!$B$122,INDEX($C$71:$AE$71,1,Z2-Assumptions!$B$122)*Assumptions!$B$121,0))</f>
        <v/>
      </c>
      <c r="AA72" s="44">
        <f>IF(AA7&gt;1,AA71*Assumptions!$B$121,IF(AA2&gt;Assumptions!$B$122,INDEX($C$71:$AE$71,1,AA2-Assumptions!$B$122)*Assumptions!$B$121,0))</f>
        <v/>
      </c>
      <c r="AB72" s="44">
        <f>IF(AB7&gt;1,AB71*Assumptions!$B$121,IF(AB2&gt;Assumptions!$B$122,INDEX($C$71:$AE$71,1,AB2-Assumptions!$B$122)*Assumptions!$B$121,0))</f>
        <v/>
      </c>
      <c r="AC72" s="44">
        <f>IF(AC7&gt;1,AC71*Assumptions!$B$121,IF(AC2&gt;Assumptions!$B$122,INDEX($C$71:$AE$71,1,AC2-Assumptions!$B$122)*Assumptions!$B$121,0))</f>
        <v/>
      </c>
      <c r="AD72" s="44">
        <f>IF(AD7&gt;1,AD71*Assumptions!$B$121,IF(AD2&gt;Assumptions!$B$122,INDEX($C$71:$AE$71,1,AD2-Assumptions!$B$122)*Assumptions!$B$121,0))</f>
        <v/>
      </c>
      <c r="AE72" s="44">
        <f>IF(AE7&gt;1,AE71*Assumptions!$B$121,IF(AE2&gt;Assumptions!$B$122,INDEX($C$71:$AE$71,1,AE2-Assumptions!$B$122)*Assumptions!$B$121,0))</f>
        <v/>
      </c>
    </row>
    <row r="73">
      <c r="A73" s="6" t="inlineStr">
        <is>
          <t xml:space="preserve">  Active cards</t>
        </is>
      </c>
      <c r="B73" s="23" t="inlineStr">
        <is>
          <t>cards</t>
        </is>
      </c>
      <c r="C73" s="28">
        <f>IF(C2&gt;=Assumptions!$B$49,C72*Assumptions!$B$132,0)</f>
        <v/>
      </c>
      <c r="D73" s="28">
        <f>IF(D2&gt;=Assumptions!$B$49,D72*Assumptions!$B$132,0)</f>
        <v/>
      </c>
      <c r="E73" s="28">
        <f>IF(E2&gt;=Assumptions!$B$49,E72*Assumptions!$B$132,0)</f>
        <v/>
      </c>
      <c r="F73" s="28">
        <f>IF(F2&gt;=Assumptions!$B$49,F72*Assumptions!$B$132,0)</f>
        <v/>
      </c>
      <c r="G73" s="28">
        <f>IF(G2&gt;=Assumptions!$B$49,G72*Assumptions!$B$132,0)</f>
        <v/>
      </c>
      <c r="H73" s="28">
        <f>IF(H2&gt;=Assumptions!$B$49,H72*Assumptions!$B$132,0)</f>
        <v/>
      </c>
      <c r="I73" s="28">
        <f>IF(I2&gt;=Assumptions!$B$49,I72*Assumptions!$B$132,0)</f>
        <v/>
      </c>
      <c r="J73" s="28">
        <f>IF(J2&gt;=Assumptions!$B$49,J72*Assumptions!$B$132,0)</f>
        <v/>
      </c>
      <c r="K73" s="28">
        <f>IF(K2&gt;=Assumptions!$B$49,K72*Assumptions!$B$132,0)</f>
        <v/>
      </c>
      <c r="L73" s="28">
        <f>IF(L2&gt;=Assumptions!$B$49,L72*Assumptions!$B$132,0)</f>
        <v/>
      </c>
      <c r="M73" s="28">
        <f>IF(M2&gt;=Assumptions!$B$49,M72*Assumptions!$B$132,0)</f>
        <v/>
      </c>
      <c r="N73" s="28">
        <f>IF(N2&gt;=Assumptions!$B$49,N72*Assumptions!$B$132,0)</f>
        <v/>
      </c>
      <c r="O73" s="28">
        <f>IF(O2&gt;=Assumptions!$B$49,O72*Assumptions!$B$132,0)</f>
        <v/>
      </c>
      <c r="P73" s="28">
        <f>IF(P2&gt;=Assumptions!$B$49,P72*Assumptions!$B$132,0)</f>
        <v/>
      </c>
      <c r="Q73" s="28">
        <f>IF(Q2&gt;=Assumptions!$B$49,Q72*Assumptions!$B$132,0)</f>
        <v/>
      </c>
      <c r="R73" s="28">
        <f>IF(R2&gt;=Assumptions!$B$49,R72*Assumptions!$B$132,0)</f>
        <v/>
      </c>
      <c r="S73" s="28">
        <f>IF(S2&gt;=Assumptions!$B$49,S72*Assumptions!$B$132,0)</f>
        <v/>
      </c>
      <c r="T73" s="28">
        <f>IF(T2&gt;=Assumptions!$B$49,T72*Assumptions!$B$132,0)</f>
        <v/>
      </c>
      <c r="U73" s="28">
        <f>IF(U2&gt;=Assumptions!$B$49,U72*Assumptions!$B$132,0)</f>
        <v/>
      </c>
      <c r="V73" s="28">
        <f>IF(V2&gt;=Assumptions!$B$49,V72*Assumptions!$B$132,0)</f>
        <v/>
      </c>
      <c r="W73" s="28">
        <f>IF(W2&gt;=Assumptions!$B$49,W72*Assumptions!$B$132,0)</f>
        <v/>
      </c>
      <c r="X73" s="28">
        <f>IF(X2&gt;=Assumptions!$B$49,X72*Assumptions!$B$132,0)</f>
        <v/>
      </c>
      <c r="Y73" s="28">
        <f>IF(Y2&gt;=Assumptions!$B$49,Y72*Assumptions!$B$132,0)</f>
        <v/>
      </c>
      <c r="Z73" s="28">
        <f>IF(Z2&gt;=Assumptions!$B$49,Z72*Assumptions!$B$132,0)</f>
        <v/>
      </c>
      <c r="AA73" s="28">
        <f>IF(AA2&gt;=Assumptions!$B$49,AA72*Assumptions!$B$132,0)</f>
        <v/>
      </c>
      <c r="AB73" s="28">
        <f>IF(AB2&gt;=Assumptions!$B$49,AB72*Assumptions!$B$132,0)</f>
        <v/>
      </c>
      <c r="AC73" s="28">
        <f>IF(AC2&gt;=Assumptions!$B$49,AC72*Assumptions!$B$132,0)</f>
        <v/>
      </c>
      <c r="AD73" s="28">
        <f>IF(AD2&gt;=Assumptions!$B$49,AD72*Assumptions!$B$132,0)</f>
        <v/>
      </c>
      <c r="AE73" s="28">
        <f>IF(AE2&gt;=Assumptions!$B$49,AE72*Assumptions!$B$132,0)</f>
        <v/>
      </c>
    </row>
    <row r="74">
      <c r="A74" s="6" t="inlineStr">
        <is>
          <t xml:space="preserve">  Credit limit per customer (gold x LTV)</t>
        </is>
      </c>
      <c r="B74" s="23" t="inlineStr">
        <is>
          <t>USD</t>
        </is>
      </c>
      <c r="C74" s="54">
        <f>IF(C61=0,0,C70/C61*Assumptions!$B$32)</f>
        <v/>
      </c>
      <c r="D74" s="54">
        <f>IF(D61=0,0,D70/D61*Assumptions!$B$32)</f>
        <v/>
      </c>
      <c r="E74" s="54">
        <f>IF(E61=0,0,E70/E61*Assumptions!$B$32)</f>
        <v/>
      </c>
      <c r="F74" s="54">
        <f>IF(F61=0,0,F70/F61*Assumptions!$B$32)</f>
        <v/>
      </c>
      <c r="G74" s="54">
        <f>IF(G61=0,0,G70/G61*Assumptions!$B$32)</f>
        <v/>
      </c>
      <c r="H74" s="54">
        <f>IF(H61=0,0,H70/H61*Assumptions!$B$32)</f>
        <v/>
      </c>
      <c r="I74" s="54">
        <f>IF(I61=0,0,I70/I61*Assumptions!$B$32)</f>
        <v/>
      </c>
      <c r="J74" s="54">
        <f>IF(J61=0,0,J70/J61*Assumptions!$B$32)</f>
        <v/>
      </c>
      <c r="K74" s="54">
        <f>IF(K61=0,0,K70/K61*Assumptions!$B$32)</f>
        <v/>
      </c>
      <c r="L74" s="54">
        <f>IF(L61=0,0,L70/L61*Assumptions!$B$32)</f>
        <v/>
      </c>
      <c r="M74" s="54">
        <f>IF(M61=0,0,M70/M61*Assumptions!$B$32)</f>
        <v/>
      </c>
      <c r="N74" s="54">
        <f>IF(N61=0,0,N70/N61*Assumptions!$B$32)</f>
        <v/>
      </c>
      <c r="O74" s="54">
        <f>IF(O61=0,0,O70/O61*Assumptions!$B$32)</f>
        <v/>
      </c>
      <c r="P74" s="54">
        <f>IF(P61=0,0,P70/P61*Assumptions!$B$32)</f>
        <v/>
      </c>
      <c r="Q74" s="54">
        <f>IF(Q61=0,0,Q70/Q61*Assumptions!$B$32)</f>
        <v/>
      </c>
      <c r="R74" s="54">
        <f>IF(R61=0,0,R70/R61*Assumptions!$B$32)</f>
        <v/>
      </c>
      <c r="S74" s="54">
        <f>IF(S61=0,0,S70/S61*Assumptions!$B$32)</f>
        <v/>
      </c>
      <c r="T74" s="54">
        <f>IF(T61=0,0,T70/T61*Assumptions!$B$32)</f>
        <v/>
      </c>
      <c r="U74" s="54">
        <f>IF(U61=0,0,U70/U61*Assumptions!$B$32)</f>
        <v/>
      </c>
      <c r="V74" s="54">
        <f>IF(V61=0,0,V70/V61*Assumptions!$B$32)</f>
        <v/>
      </c>
      <c r="W74" s="54">
        <f>IF(W61=0,0,W70/W61*Assumptions!$B$32)</f>
        <v/>
      </c>
      <c r="X74" s="54">
        <f>IF(X61=0,0,X70/X61*Assumptions!$B$32)</f>
        <v/>
      </c>
      <c r="Y74" s="54">
        <f>IF(Y61=0,0,Y70/Y61*Assumptions!$B$32)</f>
        <v/>
      </c>
      <c r="Z74" s="54">
        <f>IF(Z61=0,0,Z70/Z61*Assumptions!$B$32)</f>
        <v/>
      </c>
      <c r="AA74" s="54">
        <f>IF(AA61=0,0,AA70/AA61*Assumptions!$B$32)</f>
        <v/>
      </c>
      <c r="AB74" s="54">
        <f>IF(AB61=0,0,AB70/AB61*Assumptions!$B$32)</f>
        <v/>
      </c>
      <c r="AC74" s="54">
        <f>IF(AC61=0,0,AC70/AC61*Assumptions!$B$32)</f>
        <v/>
      </c>
      <c r="AD74" s="54">
        <f>IF(AD61=0,0,AD70/AD61*Assumptions!$B$32)</f>
        <v/>
      </c>
      <c r="AE74" s="54">
        <f>IF(AE61=0,0,AE70/AE61*Assumptions!$B$32)</f>
        <v/>
      </c>
    </row>
    <row r="75">
      <c r="A75" s="6" t="inlineStr">
        <is>
          <t xml:space="preserve">  Card spend per card per month</t>
        </is>
      </c>
      <c r="B75" s="23" t="inlineStr">
        <is>
          <t>USD</t>
        </is>
      </c>
      <c r="C75" s="54">
        <f>IF(Assumptions!$B$163=1,Assumptions!$B$158*Assumptions!$B$131*C16,MIN(Assumptions!$B$158*Assumptions!$B$131*C16,C74))</f>
        <v/>
      </c>
      <c r="D75" s="54">
        <f>IF(Assumptions!$B$163=1,Assumptions!$B$158*Assumptions!$B$131*D16,MIN(Assumptions!$B$158*Assumptions!$B$131*D16,D74))</f>
        <v/>
      </c>
      <c r="E75" s="54">
        <f>IF(Assumptions!$B$163=1,Assumptions!$B$158*Assumptions!$B$131*E16,MIN(Assumptions!$B$158*Assumptions!$B$131*E16,E74))</f>
        <v/>
      </c>
      <c r="F75" s="54">
        <f>IF(Assumptions!$B$163=1,Assumptions!$B$158*Assumptions!$B$131*F16,MIN(Assumptions!$B$158*Assumptions!$B$131*F16,F74))</f>
        <v/>
      </c>
      <c r="G75" s="54">
        <f>IF(Assumptions!$B$163=1,Assumptions!$B$158*Assumptions!$B$131*G16,MIN(Assumptions!$B$158*Assumptions!$B$131*G16,G74))</f>
        <v/>
      </c>
      <c r="H75" s="54">
        <f>IF(Assumptions!$B$163=1,Assumptions!$B$158*Assumptions!$B$131*H16,MIN(Assumptions!$B$158*Assumptions!$B$131*H16,H74))</f>
        <v/>
      </c>
      <c r="I75" s="54">
        <f>IF(Assumptions!$B$163=1,Assumptions!$B$158*Assumptions!$B$131*I16,MIN(Assumptions!$B$158*Assumptions!$B$131*I16,I74))</f>
        <v/>
      </c>
      <c r="J75" s="54">
        <f>IF(Assumptions!$B$163=1,Assumptions!$B$158*Assumptions!$B$131*J16,MIN(Assumptions!$B$158*Assumptions!$B$131*J16,J74))</f>
        <v/>
      </c>
      <c r="K75" s="54">
        <f>IF(Assumptions!$B$163=1,Assumptions!$B$158*Assumptions!$B$131*K16,MIN(Assumptions!$B$158*Assumptions!$B$131*K16,K74))</f>
        <v/>
      </c>
      <c r="L75" s="54">
        <f>IF(Assumptions!$B$163=1,Assumptions!$B$158*Assumptions!$B$131*L16,MIN(Assumptions!$B$158*Assumptions!$B$131*L16,L74))</f>
        <v/>
      </c>
      <c r="M75" s="54">
        <f>IF(Assumptions!$B$163=1,Assumptions!$B$158*Assumptions!$B$131*M16,MIN(Assumptions!$B$158*Assumptions!$B$131*M16,M74))</f>
        <v/>
      </c>
      <c r="N75" s="54">
        <f>IF(Assumptions!$B$163=1,Assumptions!$B$158*Assumptions!$B$131*N16,MIN(Assumptions!$B$158*Assumptions!$B$131*N16,N74))</f>
        <v/>
      </c>
      <c r="O75" s="54">
        <f>IF(Assumptions!$B$163=1,Assumptions!$B$158*Assumptions!$B$131*O16,MIN(Assumptions!$B$158*Assumptions!$B$131*O16,O74))</f>
        <v/>
      </c>
      <c r="P75" s="54">
        <f>IF(Assumptions!$B$163=1,Assumptions!$B$158*Assumptions!$B$131*P16,MIN(Assumptions!$B$158*Assumptions!$B$131*P16,P74))</f>
        <v/>
      </c>
      <c r="Q75" s="54">
        <f>IF(Assumptions!$B$163=1,Assumptions!$B$158*Assumptions!$B$131*Q16,MIN(Assumptions!$B$158*Assumptions!$B$131*Q16,Q74))</f>
        <v/>
      </c>
      <c r="R75" s="54">
        <f>IF(Assumptions!$B$163=1,Assumptions!$B$158*Assumptions!$B$131*R16,MIN(Assumptions!$B$158*Assumptions!$B$131*R16,R74))</f>
        <v/>
      </c>
      <c r="S75" s="54">
        <f>IF(Assumptions!$B$163=1,Assumptions!$B$158*Assumptions!$B$131*S16,MIN(Assumptions!$B$158*Assumptions!$B$131*S16,S74))</f>
        <v/>
      </c>
      <c r="T75" s="54">
        <f>IF(Assumptions!$B$163=1,Assumptions!$B$158*Assumptions!$B$131*T16,MIN(Assumptions!$B$158*Assumptions!$B$131*T16,T74))</f>
        <v/>
      </c>
      <c r="U75" s="54">
        <f>IF(Assumptions!$B$163=1,Assumptions!$B$158*Assumptions!$B$131*U16,MIN(Assumptions!$B$158*Assumptions!$B$131*U16,U74))</f>
        <v/>
      </c>
      <c r="V75" s="54">
        <f>IF(Assumptions!$B$163=1,Assumptions!$B$158*Assumptions!$B$131*V16,MIN(Assumptions!$B$158*Assumptions!$B$131*V16,V74))</f>
        <v/>
      </c>
      <c r="W75" s="54">
        <f>IF(Assumptions!$B$163=1,Assumptions!$B$158*Assumptions!$B$131*W16,MIN(Assumptions!$B$158*Assumptions!$B$131*W16,W74))</f>
        <v/>
      </c>
      <c r="X75" s="54">
        <f>IF(Assumptions!$B$163=1,Assumptions!$B$158*Assumptions!$B$131*X16,MIN(Assumptions!$B$158*Assumptions!$B$131*X16,X74))</f>
        <v/>
      </c>
      <c r="Y75" s="54">
        <f>IF(Assumptions!$B$163=1,Assumptions!$B$158*Assumptions!$B$131*Y16,MIN(Assumptions!$B$158*Assumptions!$B$131*Y16,Y74))</f>
        <v/>
      </c>
      <c r="Z75" s="54">
        <f>IF(Assumptions!$B$163=1,Assumptions!$B$158*Assumptions!$B$131*Z16,MIN(Assumptions!$B$158*Assumptions!$B$131*Z16,Z74))</f>
        <v/>
      </c>
      <c r="AA75" s="54">
        <f>IF(Assumptions!$B$163=1,Assumptions!$B$158*Assumptions!$B$131*AA16,MIN(Assumptions!$B$158*Assumptions!$B$131*AA16,AA74))</f>
        <v/>
      </c>
      <c r="AB75" s="54">
        <f>IF(Assumptions!$B$163=1,Assumptions!$B$158*Assumptions!$B$131*AB16,MIN(Assumptions!$B$158*Assumptions!$B$131*AB16,AB74))</f>
        <v/>
      </c>
      <c r="AC75" s="54">
        <f>IF(Assumptions!$B$163=1,Assumptions!$B$158*Assumptions!$B$131*AC16,MIN(Assumptions!$B$158*Assumptions!$B$131*AC16,AC74))</f>
        <v/>
      </c>
      <c r="AD75" s="54">
        <f>IF(Assumptions!$B$163=1,Assumptions!$B$158*Assumptions!$B$131*AD16,MIN(Assumptions!$B$158*Assumptions!$B$131*AD16,AD74))</f>
        <v/>
      </c>
      <c r="AE75" s="54">
        <f>IF(Assumptions!$B$163=1,Assumptions!$B$158*Assumptions!$B$131*AE16,MIN(Assumptions!$B$158*Assumptions!$B$131*AE16,AE74))</f>
        <v/>
      </c>
    </row>
    <row r="76">
      <c r="A76" s="6" t="inlineStr">
        <is>
          <t xml:space="preserve">  Card spend</t>
        </is>
      </c>
      <c r="B76" s="23" t="inlineStr">
        <is>
          <t>AED</t>
        </is>
      </c>
      <c r="C76" s="44">
        <f>C73*C75*Assumptions!$B$7*C7</f>
        <v/>
      </c>
      <c r="D76" s="44">
        <f>D73*D75*Assumptions!$B$7*D7</f>
        <v/>
      </c>
      <c r="E76" s="44">
        <f>E73*E75*Assumptions!$B$7*E7</f>
        <v/>
      </c>
      <c r="F76" s="44">
        <f>F73*F75*Assumptions!$B$7*F7</f>
        <v/>
      </c>
      <c r="G76" s="44">
        <f>G73*G75*Assumptions!$B$7*G7</f>
        <v/>
      </c>
      <c r="H76" s="44">
        <f>H73*H75*Assumptions!$B$7*H7</f>
        <v/>
      </c>
      <c r="I76" s="44">
        <f>I73*I75*Assumptions!$B$7*I7</f>
        <v/>
      </c>
      <c r="J76" s="44">
        <f>J73*J75*Assumptions!$B$7*J7</f>
        <v/>
      </c>
      <c r="K76" s="44">
        <f>K73*K75*Assumptions!$B$7*K7</f>
        <v/>
      </c>
      <c r="L76" s="44">
        <f>L73*L75*Assumptions!$B$7*L7</f>
        <v/>
      </c>
      <c r="M76" s="44">
        <f>M73*M75*Assumptions!$B$7*M7</f>
        <v/>
      </c>
      <c r="N76" s="44">
        <f>N73*N75*Assumptions!$B$7*N7</f>
        <v/>
      </c>
      <c r="O76" s="44">
        <f>O73*O75*Assumptions!$B$7*O7</f>
        <v/>
      </c>
      <c r="P76" s="44">
        <f>P73*P75*Assumptions!$B$7*P7</f>
        <v/>
      </c>
      <c r="Q76" s="44">
        <f>Q73*Q75*Assumptions!$B$7*Q7</f>
        <v/>
      </c>
      <c r="R76" s="44">
        <f>R73*R75*Assumptions!$B$7*R7</f>
        <v/>
      </c>
      <c r="S76" s="44">
        <f>S73*S75*Assumptions!$B$7*S7</f>
        <v/>
      </c>
      <c r="T76" s="44">
        <f>T73*T75*Assumptions!$B$7*T7</f>
        <v/>
      </c>
      <c r="U76" s="44">
        <f>U73*U75*Assumptions!$B$7*U7</f>
        <v/>
      </c>
      <c r="V76" s="44">
        <f>V73*V75*Assumptions!$B$7*V7</f>
        <v/>
      </c>
      <c r="W76" s="44">
        <f>W73*W75*Assumptions!$B$7*W7</f>
        <v/>
      </c>
      <c r="X76" s="44">
        <f>X73*X75*Assumptions!$B$7*X7</f>
        <v/>
      </c>
      <c r="Y76" s="44">
        <f>Y73*Y75*Assumptions!$B$7*Y7</f>
        <v/>
      </c>
      <c r="Z76" s="44">
        <f>Z73*Z75*Assumptions!$B$7*Z7</f>
        <v/>
      </c>
      <c r="AA76" s="44">
        <f>AA73*AA75*Assumptions!$B$7*AA7</f>
        <v/>
      </c>
      <c r="AB76" s="44">
        <f>AB73*AB75*Assumptions!$B$7*AB7</f>
        <v/>
      </c>
      <c r="AC76" s="44">
        <f>AC73*AC75*Assumptions!$B$7*AC7</f>
        <v/>
      </c>
      <c r="AD76" s="44">
        <f>AD73*AD75*Assumptions!$B$7*AD7</f>
        <v/>
      </c>
      <c r="AE76" s="44">
        <f>AE73*AE75*Assumptions!$B$7*AE7</f>
        <v/>
      </c>
    </row>
    <row r="77">
      <c r="A77" s="6" t="inlineStr">
        <is>
          <t xml:space="preserve">  Card spend</t>
        </is>
      </c>
      <c r="B77" s="23" t="inlineStr">
        <is>
          <t>USD</t>
        </is>
      </c>
      <c r="C77" s="54">
        <f>C76/Assumptions!$B$7</f>
        <v/>
      </c>
      <c r="D77" s="54">
        <f>D76/Assumptions!$B$7</f>
        <v/>
      </c>
      <c r="E77" s="54">
        <f>E76/Assumptions!$B$7</f>
        <v/>
      </c>
      <c r="F77" s="54">
        <f>F76/Assumptions!$B$7</f>
        <v/>
      </c>
      <c r="G77" s="54">
        <f>G76/Assumptions!$B$7</f>
        <v/>
      </c>
      <c r="H77" s="54">
        <f>H76/Assumptions!$B$7</f>
        <v/>
      </c>
      <c r="I77" s="54">
        <f>I76/Assumptions!$B$7</f>
        <v/>
      </c>
      <c r="J77" s="54">
        <f>J76/Assumptions!$B$7</f>
        <v/>
      </c>
      <c r="K77" s="54">
        <f>K76/Assumptions!$B$7</f>
        <v/>
      </c>
      <c r="L77" s="54">
        <f>L76/Assumptions!$B$7</f>
        <v/>
      </c>
      <c r="M77" s="54">
        <f>M76/Assumptions!$B$7</f>
        <v/>
      </c>
      <c r="N77" s="54">
        <f>N76/Assumptions!$B$7</f>
        <v/>
      </c>
      <c r="O77" s="54">
        <f>O76/Assumptions!$B$7</f>
        <v/>
      </c>
      <c r="P77" s="54">
        <f>P76/Assumptions!$B$7</f>
        <v/>
      </c>
      <c r="Q77" s="54">
        <f>Q76/Assumptions!$B$7</f>
        <v/>
      </c>
      <c r="R77" s="54">
        <f>R76/Assumptions!$B$7</f>
        <v/>
      </c>
      <c r="S77" s="54">
        <f>S76/Assumptions!$B$7</f>
        <v/>
      </c>
      <c r="T77" s="54">
        <f>T76/Assumptions!$B$7</f>
        <v/>
      </c>
      <c r="U77" s="54">
        <f>U76/Assumptions!$B$7</f>
        <v/>
      </c>
      <c r="V77" s="54">
        <f>V76/Assumptions!$B$7</f>
        <v/>
      </c>
      <c r="W77" s="54">
        <f>W76/Assumptions!$B$7</f>
        <v/>
      </c>
      <c r="X77" s="54">
        <f>X76/Assumptions!$B$7</f>
        <v/>
      </c>
      <c r="Y77" s="54">
        <f>Y76/Assumptions!$B$7</f>
        <v/>
      </c>
      <c r="Z77" s="54">
        <f>Z76/Assumptions!$B$7</f>
        <v/>
      </c>
      <c r="AA77" s="54">
        <f>AA76/Assumptions!$B$7</f>
        <v/>
      </c>
      <c r="AB77" s="54">
        <f>AB76/Assumptions!$B$7</f>
        <v/>
      </c>
      <c r="AC77" s="54">
        <f>AC76/Assumptions!$B$7</f>
        <v/>
      </c>
      <c r="AD77" s="54">
        <f>AD76/Assumptions!$B$7</f>
        <v/>
      </c>
      <c r="AE77" s="54">
        <f>AE76/Assumptions!$B$7</f>
        <v/>
      </c>
    </row>
    <row r="78">
      <c r="A78" s="6" t="inlineStr">
        <is>
          <t xml:space="preserve">  Stream 1a - Entry fee margin, SIP</t>
        </is>
      </c>
      <c r="B78" s="23" t="inlineStr">
        <is>
          <t>USD</t>
        </is>
      </c>
      <c r="C78" s="54">
        <f>C65*(Assumptions!$B$8-(1-Assumptions!$B$8)*Assumptions!$B$9)</f>
        <v/>
      </c>
      <c r="D78" s="54">
        <f>D65*(Assumptions!$B$8-(1-Assumptions!$B$8)*Assumptions!$B$9)</f>
        <v/>
      </c>
      <c r="E78" s="54">
        <f>E65*(Assumptions!$B$8-(1-Assumptions!$B$8)*Assumptions!$B$9)</f>
        <v/>
      </c>
      <c r="F78" s="54">
        <f>F65*(Assumptions!$B$8-(1-Assumptions!$B$8)*Assumptions!$B$9)</f>
        <v/>
      </c>
      <c r="G78" s="54">
        <f>G65*(Assumptions!$B$8-(1-Assumptions!$B$8)*Assumptions!$B$9)</f>
        <v/>
      </c>
      <c r="H78" s="54">
        <f>H65*(Assumptions!$B$8-(1-Assumptions!$B$8)*Assumptions!$B$9)</f>
        <v/>
      </c>
      <c r="I78" s="54">
        <f>I65*(Assumptions!$B$8-(1-Assumptions!$B$8)*Assumptions!$B$9)</f>
        <v/>
      </c>
      <c r="J78" s="54">
        <f>J65*(Assumptions!$B$8-(1-Assumptions!$B$8)*Assumptions!$B$9)</f>
        <v/>
      </c>
      <c r="K78" s="54">
        <f>K65*(Assumptions!$B$8-(1-Assumptions!$B$8)*Assumptions!$B$9)</f>
        <v/>
      </c>
      <c r="L78" s="54">
        <f>L65*(Assumptions!$B$8-(1-Assumptions!$B$8)*Assumptions!$B$9)</f>
        <v/>
      </c>
      <c r="M78" s="54">
        <f>M65*(Assumptions!$B$8-(1-Assumptions!$B$8)*Assumptions!$B$9)</f>
        <v/>
      </c>
      <c r="N78" s="54">
        <f>N65*(Assumptions!$B$8-(1-Assumptions!$B$8)*Assumptions!$B$9)</f>
        <v/>
      </c>
      <c r="O78" s="54">
        <f>O65*(Assumptions!$B$8-(1-Assumptions!$B$8)*Assumptions!$B$9)</f>
        <v/>
      </c>
      <c r="P78" s="54">
        <f>P65*(Assumptions!$B$8-(1-Assumptions!$B$8)*Assumptions!$B$9)</f>
        <v/>
      </c>
      <c r="Q78" s="54">
        <f>Q65*(Assumptions!$B$8-(1-Assumptions!$B$8)*Assumptions!$B$9)</f>
        <v/>
      </c>
      <c r="R78" s="54">
        <f>R65*(Assumptions!$B$8-(1-Assumptions!$B$8)*Assumptions!$B$9)</f>
        <v/>
      </c>
      <c r="S78" s="54">
        <f>S65*(Assumptions!$B$8-(1-Assumptions!$B$8)*Assumptions!$B$9)</f>
        <v/>
      </c>
      <c r="T78" s="54">
        <f>T65*(Assumptions!$B$8-(1-Assumptions!$B$8)*Assumptions!$B$9)</f>
        <v/>
      </c>
      <c r="U78" s="54">
        <f>U65*(Assumptions!$B$8-(1-Assumptions!$B$8)*Assumptions!$B$9)</f>
        <v/>
      </c>
      <c r="V78" s="54">
        <f>V65*(Assumptions!$B$8-(1-Assumptions!$B$8)*Assumptions!$B$9)</f>
        <v/>
      </c>
      <c r="W78" s="54">
        <f>W65*(Assumptions!$B$8-(1-Assumptions!$B$8)*Assumptions!$B$9)</f>
        <v/>
      </c>
      <c r="X78" s="54">
        <f>X65*(Assumptions!$B$8-(1-Assumptions!$B$8)*Assumptions!$B$9)</f>
        <v/>
      </c>
      <c r="Y78" s="54">
        <f>Y65*(Assumptions!$B$8-(1-Assumptions!$B$8)*Assumptions!$B$9)</f>
        <v/>
      </c>
      <c r="Z78" s="54">
        <f>Z65*(Assumptions!$B$8-(1-Assumptions!$B$8)*Assumptions!$B$9)</f>
        <v/>
      </c>
      <c r="AA78" s="54">
        <f>AA65*(Assumptions!$B$8-(1-Assumptions!$B$8)*Assumptions!$B$9)</f>
        <v/>
      </c>
      <c r="AB78" s="54">
        <f>AB65*(Assumptions!$B$8-(1-Assumptions!$B$8)*Assumptions!$B$9)</f>
        <v/>
      </c>
      <c r="AC78" s="54">
        <f>AC65*(Assumptions!$B$8-(1-Assumptions!$B$8)*Assumptions!$B$9)</f>
        <v/>
      </c>
      <c r="AD78" s="54">
        <f>AD65*(Assumptions!$B$8-(1-Assumptions!$B$8)*Assumptions!$B$9)</f>
        <v/>
      </c>
      <c r="AE78" s="54">
        <f>AE65*(Assumptions!$B$8-(1-Assumptions!$B$8)*Assumptions!$B$9)</f>
        <v/>
      </c>
    </row>
    <row r="79">
      <c r="A79" s="6" t="inlineStr">
        <is>
          <t xml:space="preserve">  Stream 1b - Entry fee margin, SPOT</t>
        </is>
      </c>
      <c r="B79" s="23" t="inlineStr">
        <is>
          <t>USD</t>
        </is>
      </c>
      <c r="C79" s="54">
        <f>C66*(Assumptions!$B$8-(1-Assumptions!$B$8)*Assumptions!$B$9)</f>
        <v/>
      </c>
      <c r="D79" s="54">
        <f>D66*(Assumptions!$B$8-(1-Assumptions!$B$8)*Assumptions!$B$9)</f>
        <v/>
      </c>
      <c r="E79" s="54">
        <f>E66*(Assumptions!$B$8-(1-Assumptions!$B$8)*Assumptions!$B$9)</f>
        <v/>
      </c>
      <c r="F79" s="54">
        <f>F66*(Assumptions!$B$8-(1-Assumptions!$B$8)*Assumptions!$B$9)</f>
        <v/>
      </c>
      <c r="G79" s="54">
        <f>G66*(Assumptions!$B$8-(1-Assumptions!$B$8)*Assumptions!$B$9)</f>
        <v/>
      </c>
      <c r="H79" s="54">
        <f>H66*(Assumptions!$B$8-(1-Assumptions!$B$8)*Assumptions!$B$9)</f>
        <v/>
      </c>
      <c r="I79" s="54">
        <f>I66*(Assumptions!$B$8-(1-Assumptions!$B$8)*Assumptions!$B$9)</f>
        <v/>
      </c>
      <c r="J79" s="54">
        <f>J66*(Assumptions!$B$8-(1-Assumptions!$B$8)*Assumptions!$B$9)</f>
        <v/>
      </c>
      <c r="K79" s="54">
        <f>K66*(Assumptions!$B$8-(1-Assumptions!$B$8)*Assumptions!$B$9)</f>
        <v/>
      </c>
      <c r="L79" s="54">
        <f>L66*(Assumptions!$B$8-(1-Assumptions!$B$8)*Assumptions!$B$9)</f>
        <v/>
      </c>
      <c r="M79" s="54">
        <f>M66*(Assumptions!$B$8-(1-Assumptions!$B$8)*Assumptions!$B$9)</f>
        <v/>
      </c>
      <c r="N79" s="54">
        <f>N66*(Assumptions!$B$8-(1-Assumptions!$B$8)*Assumptions!$B$9)</f>
        <v/>
      </c>
      <c r="O79" s="54">
        <f>O66*(Assumptions!$B$8-(1-Assumptions!$B$8)*Assumptions!$B$9)</f>
        <v/>
      </c>
      <c r="P79" s="54">
        <f>P66*(Assumptions!$B$8-(1-Assumptions!$B$8)*Assumptions!$B$9)</f>
        <v/>
      </c>
      <c r="Q79" s="54">
        <f>Q66*(Assumptions!$B$8-(1-Assumptions!$B$8)*Assumptions!$B$9)</f>
        <v/>
      </c>
      <c r="R79" s="54">
        <f>R66*(Assumptions!$B$8-(1-Assumptions!$B$8)*Assumptions!$B$9)</f>
        <v/>
      </c>
      <c r="S79" s="54">
        <f>S66*(Assumptions!$B$8-(1-Assumptions!$B$8)*Assumptions!$B$9)</f>
        <v/>
      </c>
      <c r="T79" s="54">
        <f>T66*(Assumptions!$B$8-(1-Assumptions!$B$8)*Assumptions!$B$9)</f>
        <v/>
      </c>
      <c r="U79" s="54">
        <f>U66*(Assumptions!$B$8-(1-Assumptions!$B$8)*Assumptions!$B$9)</f>
        <v/>
      </c>
      <c r="V79" s="54">
        <f>V66*(Assumptions!$B$8-(1-Assumptions!$B$8)*Assumptions!$B$9)</f>
        <v/>
      </c>
      <c r="W79" s="54">
        <f>W66*(Assumptions!$B$8-(1-Assumptions!$B$8)*Assumptions!$B$9)</f>
        <v/>
      </c>
      <c r="X79" s="54">
        <f>X66*(Assumptions!$B$8-(1-Assumptions!$B$8)*Assumptions!$B$9)</f>
        <v/>
      </c>
      <c r="Y79" s="54">
        <f>Y66*(Assumptions!$B$8-(1-Assumptions!$B$8)*Assumptions!$B$9)</f>
        <v/>
      </c>
      <c r="Z79" s="54">
        <f>Z66*(Assumptions!$B$8-(1-Assumptions!$B$8)*Assumptions!$B$9)</f>
        <v/>
      </c>
      <c r="AA79" s="54">
        <f>AA66*(Assumptions!$B$8-(1-Assumptions!$B$8)*Assumptions!$B$9)</f>
        <v/>
      </c>
      <c r="AB79" s="54">
        <f>AB66*(Assumptions!$B$8-(1-Assumptions!$B$8)*Assumptions!$B$9)</f>
        <v/>
      </c>
      <c r="AC79" s="54">
        <f>AC66*(Assumptions!$B$8-(1-Assumptions!$B$8)*Assumptions!$B$9)</f>
        <v/>
      </c>
      <c r="AD79" s="54">
        <f>AD66*(Assumptions!$B$8-(1-Assumptions!$B$8)*Assumptions!$B$9)</f>
        <v/>
      </c>
      <c r="AE79" s="54">
        <f>AE66*(Assumptions!$B$8-(1-Assumptions!$B$8)*Assumptions!$B$9)</f>
        <v/>
      </c>
    </row>
    <row r="80">
      <c r="A80" s="6" t="inlineStr">
        <is>
          <t xml:space="preserve">  Stream 2 - Card interchange</t>
        </is>
      </c>
      <c r="B80" s="23" t="inlineStr">
        <is>
          <t>USD</t>
        </is>
      </c>
      <c r="C80" s="54">
        <f>C77*IF(Assumptions!$B$163=1,MIN(Assumptions!$B$14,1%),Assumptions!$B$14)*(1-Assumptions!$B$130)</f>
        <v/>
      </c>
      <c r="D80" s="54">
        <f>D77*IF(Assumptions!$B$163=1,MIN(Assumptions!$B$14,1%),Assumptions!$B$14)*(1-Assumptions!$B$130)</f>
        <v/>
      </c>
      <c r="E80" s="54">
        <f>E77*IF(Assumptions!$B$163=1,MIN(Assumptions!$B$14,1%),Assumptions!$B$14)*(1-Assumptions!$B$130)</f>
        <v/>
      </c>
      <c r="F80" s="54">
        <f>F77*IF(Assumptions!$B$163=1,MIN(Assumptions!$B$14,1%),Assumptions!$B$14)*(1-Assumptions!$B$130)</f>
        <v/>
      </c>
      <c r="G80" s="54">
        <f>G77*IF(Assumptions!$B$163=1,MIN(Assumptions!$B$14,1%),Assumptions!$B$14)*(1-Assumptions!$B$130)</f>
        <v/>
      </c>
      <c r="H80" s="54">
        <f>H77*IF(Assumptions!$B$163=1,MIN(Assumptions!$B$14,1%),Assumptions!$B$14)*(1-Assumptions!$B$130)</f>
        <v/>
      </c>
      <c r="I80" s="54">
        <f>I77*IF(Assumptions!$B$163=1,MIN(Assumptions!$B$14,1%),Assumptions!$B$14)*(1-Assumptions!$B$130)</f>
        <v/>
      </c>
      <c r="J80" s="54">
        <f>J77*IF(Assumptions!$B$163=1,MIN(Assumptions!$B$14,1%),Assumptions!$B$14)*(1-Assumptions!$B$130)</f>
        <v/>
      </c>
      <c r="K80" s="54">
        <f>K77*IF(Assumptions!$B$163=1,MIN(Assumptions!$B$14,1%),Assumptions!$B$14)*(1-Assumptions!$B$130)</f>
        <v/>
      </c>
      <c r="L80" s="54">
        <f>L77*IF(Assumptions!$B$163=1,MIN(Assumptions!$B$14,1%),Assumptions!$B$14)*(1-Assumptions!$B$130)</f>
        <v/>
      </c>
      <c r="M80" s="54">
        <f>M77*IF(Assumptions!$B$163=1,MIN(Assumptions!$B$14,1%),Assumptions!$B$14)*(1-Assumptions!$B$130)</f>
        <v/>
      </c>
      <c r="N80" s="54">
        <f>N77*IF(Assumptions!$B$163=1,MIN(Assumptions!$B$14,1%),Assumptions!$B$14)*(1-Assumptions!$B$130)</f>
        <v/>
      </c>
      <c r="O80" s="54">
        <f>O77*IF(Assumptions!$B$163=1,MIN(Assumptions!$B$14,1%),Assumptions!$B$14)*(1-Assumptions!$B$130)</f>
        <v/>
      </c>
      <c r="P80" s="54">
        <f>P77*IF(Assumptions!$B$163=1,MIN(Assumptions!$B$14,1%),Assumptions!$B$14)*(1-Assumptions!$B$130)</f>
        <v/>
      </c>
      <c r="Q80" s="54">
        <f>Q77*IF(Assumptions!$B$163=1,MIN(Assumptions!$B$14,1%),Assumptions!$B$14)*(1-Assumptions!$B$130)</f>
        <v/>
      </c>
      <c r="R80" s="54">
        <f>R77*IF(Assumptions!$B$163=1,MIN(Assumptions!$B$14,1%),Assumptions!$B$14)*(1-Assumptions!$B$130)</f>
        <v/>
      </c>
      <c r="S80" s="54">
        <f>S77*IF(Assumptions!$B$163=1,MIN(Assumptions!$B$14,1%),Assumptions!$B$14)*(1-Assumptions!$B$130)</f>
        <v/>
      </c>
      <c r="T80" s="54">
        <f>T77*IF(Assumptions!$B$163=1,MIN(Assumptions!$B$14,1%),Assumptions!$B$14)*(1-Assumptions!$B$130)</f>
        <v/>
      </c>
      <c r="U80" s="54">
        <f>U77*IF(Assumptions!$B$163=1,MIN(Assumptions!$B$14,1%),Assumptions!$B$14)*(1-Assumptions!$B$130)</f>
        <v/>
      </c>
      <c r="V80" s="54">
        <f>V77*IF(Assumptions!$B$163=1,MIN(Assumptions!$B$14,1%),Assumptions!$B$14)*(1-Assumptions!$B$130)</f>
        <v/>
      </c>
      <c r="W80" s="54">
        <f>W77*IF(Assumptions!$B$163=1,MIN(Assumptions!$B$14,1%),Assumptions!$B$14)*(1-Assumptions!$B$130)</f>
        <v/>
      </c>
      <c r="X80" s="54">
        <f>X77*IF(Assumptions!$B$163=1,MIN(Assumptions!$B$14,1%),Assumptions!$B$14)*(1-Assumptions!$B$130)</f>
        <v/>
      </c>
      <c r="Y80" s="54">
        <f>Y77*IF(Assumptions!$B$163=1,MIN(Assumptions!$B$14,1%),Assumptions!$B$14)*(1-Assumptions!$B$130)</f>
        <v/>
      </c>
      <c r="Z80" s="54">
        <f>Z77*IF(Assumptions!$B$163=1,MIN(Assumptions!$B$14,1%),Assumptions!$B$14)*(1-Assumptions!$B$130)</f>
        <v/>
      </c>
      <c r="AA80" s="54">
        <f>AA77*IF(Assumptions!$B$163=1,MIN(Assumptions!$B$14,1%),Assumptions!$B$14)*(1-Assumptions!$B$130)</f>
        <v/>
      </c>
      <c r="AB80" s="54">
        <f>AB77*IF(Assumptions!$B$163=1,MIN(Assumptions!$B$14,1%),Assumptions!$B$14)*(1-Assumptions!$B$130)</f>
        <v/>
      </c>
      <c r="AC80" s="54">
        <f>AC77*IF(Assumptions!$B$163=1,MIN(Assumptions!$B$14,1%),Assumptions!$B$14)*(1-Assumptions!$B$130)</f>
        <v/>
      </c>
      <c r="AD80" s="54">
        <f>AD77*IF(Assumptions!$B$163=1,MIN(Assumptions!$B$14,1%),Assumptions!$B$14)*(1-Assumptions!$B$130)</f>
        <v/>
      </c>
      <c r="AE80" s="54">
        <f>AE77*IF(Assumptions!$B$163=1,MIN(Assumptions!$B$14,1%),Assumptions!$B$14)*(1-Assumptions!$B$130)</f>
        <v/>
      </c>
    </row>
    <row r="81">
      <c r="A81" s="6" t="inlineStr">
        <is>
          <t xml:space="preserve">  Stream 3 - Family plan and Digital Will</t>
        </is>
      </c>
      <c r="B81" s="23" t="inlineStr">
        <is>
          <t>USD</t>
        </is>
      </c>
      <c r="C81" s="54">
        <f>IF(C2&gt;=Assumptions!$B$48,C61*Assumptions!$B$148*Assumptions!$B$26/12*C7,0)</f>
        <v/>
      </c>
      <c r="D81" s="54">
        <f>IF(D2&gt;=Assumptions!$B$48,D61*Assumptions!$B$148*Assumptions!$B$26/12*D7,0)</f>
        <v/>
      </c>
      <c r="E81" s="54">
        <f>IF(E2&gt;=Assumptions!$B$48,E61*Assumptions!$B$148*Assumptions!$B$26/12*E7,0)</f>
        <v/>
      </c>
      <c r="F81" s="54">
        <f>IF(F2&gt;=Assumptions!$B$48,F61*Assumptions!$B$148*Assumptions!$B$26/12*F7,0)</f>
        <v/>
      </c>
      <c r="G81" s="54">
        <f>IF(G2&gt;=Assumptions!$B$48,G61*Assumptions!$B$148*Assumptions!$B$26/12*G7,0)</f>
        <v/>
      </c>
      <c r="H81" s="54">
        <f>IF(H2&gt;=Assumptions!$B$48,H61*Assumptions!$B$148*Assumptions!$B$26/12*H7,0)</f>
        <v/>
      </c>
      <c r="I81" s="54">
        <f>IF(I2&gt;=Assumptions!$B$48,I61*Assumptions!$B$148*Assumptions!$B$26/12*I7,0)</f>
        <v/>
      </c>
      <c r="J81" s="54">
        <f>IF(J2&gt;=Assumptions!$B$48,J61*Assumptions!$B$148*Assumptions!$B$26/12*J7,0)</f>
        <v/>
      </c>
      <c r="K81" s="54">
        <f>IF(K2&gt;=Assumptions!$B$48,K61*Assumptions!$B$148*Assumptions!$B$26/12*K7,0)</f>
        <v/>
      </c>
      <c r="L81" s="54">
        <f>IF(L2&gt;=Assumptions!$B$48,L61*Assumptions!$B$148*Assumptions!$B$26/12*L7,0)</f>
        <v/>
      </c>
      <c r="M81" s="54">
        <f>IF(M2&gt;=Assumptions!$B$48,M61*Assumptions!$B$148*Assumptions!$B$26/12*M7,0)</f>
        <v/>
      </c>
      <c r="N81" s="54">
        <f>IF(N2&gt;=Assumptions!$B$48,N61*Assumptions!$B$148*Assumptions!$B$26/12*N7,0)</f>
        <v/>
      </c>
      <c r="O81" s="54">
        <f>IF(O2&gt;=Assumptions!$B$48,O61*Assumptions!$B$148*Assumptions!$B$26/12*O7,0)</f>
        <v/>
      </c>
      <c r="P81" s="54">
        <f>IF(P2&gt;=Assumptions!$B$48,P61*Assumptions!$B$148*Assumptions!$B$26/12*P7,0)</f>
        <v/>
      </c>
      <c r="Q81" s="54">
        <f>IF(Q2&gt;=Assumptions!$B$48,Q61*Assumptions!$B$148*Assumptions!$B$26/12*Q7,0)</f>
        <v/>
      </c>
      <c r="R81" s="54">
        <f>IF(R2&gt;=Assumptions!$B$48,R61*Assumptions!$B$148*Assumptions!$B$26/12*R7,0)</f>
        <v/>
      </c>
      <c r="S81" s="54">
        <f>IF(S2&gt;=Assumptions!$B$48,S61*Assumptions!$B$148*Assumptions!$B$26/12*S7,0)</f>
        <v/>
      </c>
      <c r="T81" s="54">
        <f>IF(T2&gt;=Assumptions!$B$48,T61*Assumptions!$B$148*Assumptions!$B$26/12*T7,0)</f>
        <v/>
      </c>
      <c r="U81" s="54">
        <f>IF(U2&gt;=Assumptions!$B$48,U61*Assumptions!$B$148*Assumptions!$B$26/12*U7,0)</f>
        <v/>
      </c>
      <c r="V81" s="54">
        <f>IF(V2&gt;=Assumptions!$B$48,V61*Assumptions!$B$148*Assumptions!$B$26/12*V7,0)</f>
        <v/>
      </c>
      <c r="W81" s="54">
        <f>IF(W2&gt;=Assumptions!$B$48,W61*Assumptions!$B$148*Assumptions!$B$26/12*W7,0)</f>
        <v/>
      </c>
      <c r="X81" s="54">
        <f>IF(X2&gt;=Assumptions!$B$48,X61*Assumptions!$B$148*Assumptions!$B$26/12*X7,0)</f>
        <v/>
      </c>
      <c r="Y81" s="54">
        <f>IF(Y2&gt;=Assumptions!$B$48,Y61*Assumptions!$B$148*Assumptions!$B$26/12*Y7,0)</f>
        <v/>
      </c>
      <c r="Z81" s="54">
        <f>IF(Z2&gt;=Assumptions!$B$48,Z61*Assumptions!$B$148*Assumptions!$B$26/12*Z7,0)</f>
        <v/>
      </c>
      <c r="AA81" s="54">
        <f>IF(AA2&gt;=Assumptions!$B$48,AA61*Assumptions!$B$148*Assumptions!$B$26/12*AA7,0)</f>
        <v/>
      </c>
      <c r="AB81" s="54">
        <f>IF(AB2&gt;=Assumptions!$B$48,AB61*Assumptions!$B$148*Assumptions!$B$26/12*AB7,0)</f>
        <v/>
      </c>
      <c r="AC81" s="54">
        <f>IF(AC2&gt;=Assumptions!$B$48,AC61*Assumptions!$B$148*Assumptions!$B$26/12*AC7,0)</f>
        <v/>
      </c>
      <c r="AD81" s="54">
        <f>IF(AD2&gt;=Assumptions!$B$48,AD61*Assumptions!$B$148*Assumptions!$B$26/12*AD7,0)</f>
        <v/>
      </c>
      <c r="AE81" s="54">
        <f>IF(AE2&gt;=Assumptions!$B$48,AE61*Assumptions!$B$148*Assumptions!$B$26/12*AE7,0)</f>
        <v/>
      </c>
    </row>
    <row r="82">
      <c r="A82" s="6" t="inlineStr">
        <is>
          <t xml:space="preserve">  Stream 4 - Cardholder fees (FX, ATM, events)</t>
        </is>
      </c>
      <c r="B82" s="23" t="inlineStr">
        <is>
          <t>USD</t>
        </is>
      </c>
      <c r="C82" s="54">
        <f>IF(C2&gt;=Assumptions!$B$50,C77*C17*Assumptions!$B$18+C73*(Assumptions!$B$136*MAX(0,Assumptions!$B$140-Assumptions!$B$19)+Assumptions!$B$137*MAX(0,Assumptions!$B$141-Assumptions!$B$19)+Assumptions!$B$138*MAX(0,Assumptions!$B$142-Assumptions!$B$19)+Assumptions!$B$139*MAX(0,Assumptions!$B$143-Assumptions!$B$19))*Assumptions!$B$20/Assumptions!$B$7*C7+C73*(Assumptions!$B$134*Assumptions!$B$21+Assumptions!$B$135*Assumptions!$B$22)/12/Assumptions!$B$7*C7,0)</f>
        <v/>
      </c>
      <c r="D82" s="54">
        <f>IF(D2&gt;=Assumptions!$B$50,D77*D17*Assumptions!$B$18+D73*(Assumptions!$B$136*MAX(0,Assumptions!$B$140-Assumptions!$B$19)+Assumptions!$B$137*MAX(0,Assumptions!$B$141-Assumptions!$B$19)+Assumptions!$B$138*MAX(0,Assumptions!$B$142-Assumptions!$B$19)+Assumptions!$B$139*MAX(0,Assumptions!$B$143-Assumptions!$B$19))*Assumptions!$B$20/Assumptions!$B$7*D7+D73*(Assumptions!$B$134*Assumptions!$B$21+Assumptions!$B$135*Assumptions!$B$22)/12/Assumptions!$B$7*D7,0)</f>
        <v/>
      </c>
      <c r="E82" s="54">
        <f>IF(E2&gt;=Assumptions!$B$50,E77*E17*Assumptions!$B$18+E73*(Assumptions!$B$136*MAX(0,Assumptions!$B$140-Assumptions!$B$19)+Assumptions!$B$137*MAX(0,Assumptions!$B$141-Assumptions!$B$19)+Assumptions!$B$138*MAX(0,Assumptions!$B$142-Assumptions!$B$19)+Assumptions!$B$139*MAX(0,Assumptions!$B$143-Assumptions!$B$19))*Assumptions!$B$20/Assumptions!$B$7*E7+E73*(Assumptions!$B$134*Assumptions!$B$21+Assumptions!$B$135*Assumptions!$B$22)/12/Assumptions!$B$7*E7,0)</f>
        <v/>
      </c>
      <c r="F82" s="54">
        <f>IF(F2&gt;=Assumptions!$B$50,F77*F17*Assumptions!$B$18+F73*(Assumptions!$B$136*MAX(0,Assumptions!$B$140-Assumptions!$B$19)+Assumptions!$B$137*MAX(0,Assumptions!$B$141-Assumptions!$B$19)+Assumptions!$B$138*MAX(0,Assumptions!$B$142-Assumptions!$B$19)+Assumptions!$B$139*MAX(0,Assumptions!$B$143-Assumptions!$B$19))*Assumptions!$B$20/Assumptions!$B$7*F7+F73*(Assumptions!$B$134*Assumptions!$B$21+Assumptions!$B$135*Assumptions!$B$22)/12/Assumptions!$B$7*F7,0)</f>
        <v/>
      </c>
      <c r="G82" s="54">
        <f>IF(G2&gt;=Assumptions!$B$50,G77*G17*Assumptions!$B$18+G73*(Assumptions!$B$136*MAX(0,Assumptions!$B$140-Assumptions!$B$19)+Assumptions!$B$137*MAX(0,Assumptions!$B$141-Assumptions!$B$19)+Assumptions!$B$138*MAX(0,Assumptions!$B$142-Assumptions!$B$19)+Assumptions!$B$139*MAX(0,Assumptions!$B$143-Assumptions!$B$19))*Assumptions!$B$20/Assumptions!$B$7*G7+G73*(Assumptions!$B$134*Assumptions!$B$21+Assumptions!$B$135*Assumptions!$B$22)/12/Assumptions!$B$7*G7,0)</f>
        <v/>
      </c>
      <c r="H82" s="54">
        <f>IF(H2&gt;=Assumptions!$B$50,H77*H17*Assumptions!$B$18+H73*(Assumptions!$B$136*MAX(0,Assumptions!$B$140-Assumptions!$B$19)+Assumptions!$B$137*MAX(0,Assumptions!$B$141-Assumptions!$B$19)+Assumptions!$B$138*MAX(0,Assumptions!$B$142-Assumptions!$B$19)+Assumptions!$B$139*MAX(0,Assumptions!$B$143-Assumptions!$B$19))*Assumptions!$B$20/Assumptions!$B$7*H7+H73*(Assumptions!$B$134*Assumptions!$B$21+Assumptions!$B$135*Assumptions!$B$22)/12/Assumptions!$B$7*H7,0)</f>
        <v/>
      </c>
      <c r="I82" s="54">
        <f>IF(I2&gt;=Assumptions!$B$50,I77*I17*Assumptions!$B$18+I73*(Assumptions!$B$136*MAX(0,Assumptions!$B$140-Assumptions!$B$19)+Assumptions!$B$137*MAX(0,Assumptions!$B$141-Assumptions!$B$19)+Assumptions!$B$138*MAX(0,Assumptions!$B$142-Assumptions!$B$19)+Assumptions!$B$139*MAX(0,Assumptions!$B$143-Assumptions!$B$19))*Assumptions!$B$20/Assumptions!$B$7*I7+I73*(Assumptions!$B$134*Assumptions!$B$21+Assumptions!$B$135*Assumptions!$B$22)/12/Assumptions!$B$7*I7,0)</f>
        <v/>
      </c>
      <c r="J82" s="54">
        <f>IF(J2&gt;=Assumptions!$B$50,J77*J17*Assumptions!$B$18+J73*(Assumptions!$B$136*MAX(0,Assumptions!$B$140-Assumptions!$B$19)+Assumptions!$B$137*MAX(0,Assumptions!$B$141-Assumptions!$B$19)+Assumptions!$B$138*MAX(0,Assumptions!$B$142-Assumptions!$B$19)+Assumptions!$B$139*MAX(0,Assumptions!$B$143-Assumptions!$B$19))*Assumptions!$B$20/Assumptions!$B$7*J7+J73*(Assumptions!$B$134*Assumptions!$B$21+Assumptions!$B$135*Assumptions!$B$22)/12/Assumptions!$B$7*J7,0)</f>
        <v/>
      </c>
      <c r="K82" s="54">
        <f>IF(K2&gt;=Assumptions!$B$50,K77*K17*Assumptions!$B$18+K73*(Assumptions!$B$136*MAX(0,Assumptions!$B$140-Assumptions!$B$19)+Assumptions!$B$137*MAX(0,Assumptions!$B$141-Assumptions!$B$19)+Assumptions!$B$138*MAX(0,Assumptions!$B$142-Assumptions!$B$19)+Assumptions!$B$139*MAX(0,Assumptions!$B$143-Assumptions!$B$19))*Assumptions!$B$20/Assumptions!$B$7*K7+K73*(Assumptions!$B$134*Assumptions!$B$21+Assumptions!$B$135*Assumptions!$B$22)/12/Assumptions!$B$7*K7,0)</f>
        <v/>
      </c>
      <c r="L82" s="54">
        <f>IF(L2&gt;=Assumptions!$B$50,L77*L17*Assumptions!$B$18+L73*(Assumptions!$B$136*MAX(0,Assumptions!$B$140-Assumptions!$B$19)+Assumptions!$B$137*MAX(0,Assumptions!$B$141-Assumptions!$B$19)+Assumptions!$B$138*MAX(0,Assumptions!$B$142-Assumptions!$B$19)+Assumptions!$B$139*MAX(0,Assumptions!$B$143-Assumptions!$B$19))*Assumptions!$B$20/Assumptions!$B$7*L7+L73*(Assumptions!$B$134*Assumptions!$B$21+Assumptions!$B$135*Assumptions!$B$22)/12/Assumptions!$B$7*L7,0)</f>
        <v/>
      </c>
      <c r="M82" s="54">
        <f>IF(M2&gt;=Assumptions!$B$50,M77*M17*Assumptions!$B$18+M73*(Assumptions!$B$136*MAX(0,Assumptions!$B$140-Assumptions!$B$19)+Assumptions!$B$137*MAX(0,Assumptions!$B$141-Assumptions!$B$19)+Assumptions!$B$138*MAX(0,Assumptions!$B$142-Assumptions!$B$19)+Assumptions!$B$139*MAX(0,Assumptions!$B$143-Assumptions!$B$19))*Assumptions!$B$20/Assumptions!$B$7*M7+M73*(Assumptions!$B$134*Assumptions!$B$21+Assumptions!$B$135*Assumptions!$B$22)/12/Assumptions!$B$7*M7,0)</f>
        <v/>
      </c>
      <c r="N82" s="54">
        <f>IF(N2&gt;=Assumptions!$B$50,N77*N17*Assumptions!$B$18+N73*(Assumptions!$B$136*MAX(0,Assumptions!$B$140-Assumptions!$B$19)+Assumptions!$B$137*MAX(0,Assumptions!$B$141-Assumptions!$B$19)+Assumptions!$B$138*MAX(0,Assumptions!$B$142-Assumptions!$B$19)+Assumptions!$B$139*MAX(0,Assumptions!$B$143-Assumptions!$B$19))*Assumptions!$B$20/Assumptions!$B$7*N7+N73*(Assumptions!$B$134*Assumptions!$B$21+Assumptions!$B$135*Assumptions!$B$22)/12/Assumptions!$B$7*N7,0)</f>
        <v/>
      </c>
      <c r="O82" s="54">
        <f>IF(O2&gt;=Assumptions!$B$50,O77*O17*Assumptions!$B$18+O73*(Assumptions!$B$136*MAX(0,Assumptions!$B$140-Assumptions!$B$19)+Assumptions!$B$137*MAX(0,Assumptions!$B$141-Assumptions!$B$19)+Assumptions!$B$138*MAX(0,Assumptions!$B$142-Assumptions!$B$19)+Assumptions!$B$139*MAX(0,Assumptions!$B$143-Assumptions!$B$19))*Assumptions!$B$20/Assumptions!$B$7*O7+O73*(Assumptions!$B$134*Assumptions!$B$21+Assumptions!$B$135*Assumptions!$B$22)/12/Assumptions!$B$7*O7,0)</f>
        <v/>
      </c>
      <c r="P82" s="54">
        <f>IF(P2&gt;=Assumptions!$B$50,P77*P17*Assumptions!$B$18+P73*(Assumptions!$B$136*MAX(0,Assumptions!$B$140-Assumptions!$B$19)+Assumptions!$B$137*MAX(0,Assumptions!$B$141-Assumptions!$B$19)+Assumptions!$B$138*MAX(0,Assumptions!$B$142-Assumptions!$B$19)+Assumptions!$B$139*MAX(0,Assumptions!$B$143-Assumptions!$B$19))*Assumptions!$B$20/Assumptions!$B$7*P7+P73*(Assumptions!$B$134*Assumptions!$B$21+Assumptions!$B$135*Assumptions!$B$22)/12/Assumptions!$B$7*P7,0)</f>
        <v/>
      </c>
      <c r="Q82" s="54">
        <f>IF(Q2&gt;=Assumptions!$B$50,Q77*Q17*Assumptions!$B$18+Q73*(Assumptions!$B$136*MAX(0,Assumptions!$B$140-Assumptions!$B$19)+Assumptions!$B$137*MAX(0,Assumptions!$B$141-Assumptions!$B$19)+Assumptions!$B$138*MAX(0,Assumptions!$B$142-Assumptions!$B$19)+Assumptions!$B$139*MAX(0,Assumptions!$B$143-Assumptions!$B$19))*Assumptions!$B$20/Assumptions!$B$7*Q7+Q73*(Assumptions!$B$134*Assumptions!$B$21+Assumptions!$B$135*Assumptions!$B$22)/12/Assumptions!$B$7*Q7,0)</f>
        <v/>
      </c>
      <c r="R82" s="54">
        <f>IF(R2&gt;=Assumptions!$B$50,R77*R17*Assumptions!$B$18+R73*(Assumptions!$B$136*MAX(0,Assumptions!$B$140-Assumptions!$B$19)+Assumptions!$B$137*MAX(0,Assumptions!$B$141-Assumptions!$B$19)+Assumptions!$B$138*MAX(0,Assumptions!$B$142-Assumptions!$B$19)+Assumptions!$B$139*MAX(0,Assumptions!$B$143-Assumptions!$B$19))*Assumptions!$B$20/Assumptions!$B$7*R7+R73*(Assumptions!$B$134*Assumptions!$B$21+Assumptions!$B$135*Assumptions!$B$22)/12/Assumptions!$B$7*R7,0)</f>
        <v/>
      </c>
      <c r="S82" s="54">
        <f>IF(S2&gt;=Assumptions!$B$50,S77*S17*Assumptions!$B$18+S73*(Assumptions!$B$136*MAX(0,Assumptions!$B$140-Assumptions!$B$19)+Assumptions!$B$137*MAX(0,Assumptions!$B$141-Assumptions!$B$19)+Assumptions!$B$138*MAX(0,Assumptions!$B$142-Assumptions!$B$19)+Assumptions!$B$139*MAX(0,Assumptions!$B$143-Assumptions!$B$19))*Assumptions!$B$20/Assumptions!$B$7*S7+S73*(Assumptions!$B$134*Assumptions!$B$21+Assumptions!$B$135*Assumptions!$B$22)/12/Assumptions!$B$7*S7,0)</f>
        <v/>
      </c>
      <c r="T82" s="54">
        <f>IF(T2&gt;=Assumptions!$B$50,T77*T17*Assumptions!$B$18+T73*(Assumptions!$B$136*MAX(0,Assumptions!$B$140-Assumptions!$B$19)+Assumptions!$B$137*MAX(0,Assumptions!$B$141-Assumptions!$B$19)+Assumptions!$B$138*MAX(0,Assumptions!$B$142-Assumptions!$B$19)+Assumptions!$B$139*MAX(0,Assumptions!$B$143-Assumptions!$B$19))*Assumptions!$B$20/Assumptions!$B$7*T7+T73*(Assumptions!$B$134*Assumptions!$B$21+Assumptions!$B$135*Assumptions!$B$22)/12/Assumptions!$B$7*T7,0)</f>
        <v/>
      </c>
      <c r="U82" s="54">
        <f>IF(U2&gt;=Assumptions!$B$50,U77*U17*Assumptions!$B$18+U73*(Assumptions!$B$136*MAX(0,Assumptions!$B$140-Assumptions!$B$19)+Assumptions!$B$137*MAX(0,Assumptions!$B$141-Assumptions!$B$19)+Assumptions!$B$138*MAX(0,Assumptions!$B$142-Assumptions!$B$19)+Assumptions!$B$139*MAX(0,Assumptions!$B$143-Assumptions!$B$19))*Assumptions!$B$20/Assumptions!$B$7*U7+U73*(Assumptions!$B$134*Assumptions!$B$21+Assumptions!$B$135*Assumptions!$B$22)/12/Assumptions!$B$7*U7,0)</f>
        <v/>
      </c>
      <c r="V82" s="54">
        <f>IF(V2&gt;=Assumptions!$B$50,V77*V17*Assumptions!$B$18+V73*(Assumptions!$B$136*MAX(0,Assumptions!$B$140-Assumptions!$B$19)+Assumptions!$B$137*MAX(0,Assumptions!$B$141-Assumptions!$B$19)+Assumptions!$B$138*MAX(0,Assumptions!$B$142-Assumptions!$B$19)+Assumptions!$B$139*MAX(0,Assumptions!$B$143-Assumptions!$B$19))*Assumptions!$B$20/Assumptions!$B$7*V7+V73*(Assumptions!$B$134*Assumptions!$B$21+Assumptions!$B$135*Assumptions!$B$22)/12/Assumptions!$B$7*V7,0)</f>
        <v/>
      </c>
      <c r="W82" s="54">
        <f>IF(W2&gt;=Assumptions!$B$50,W77*W17*Assumptions!$B$18+W73*(Assumptions!$B$136*MAX(0,Assumptions!$B$140-Assumptions!$B$19)+Assumptions!$B$137*MAX(0,Assumptions!$B$141-Assumptions!$B$19)+Assumptions!$B$138*MAX(0,Assumptions!$B$142-Assumptions!$B$19)+Assumptions!$B$139*MAX(0,Assumptions!$B$143-Assumptions!$B$19))*Assumptions!$B$20/Assumptions!$B$7*W7+W73*(Assumptions!$B$134*Assumptions!$B$21+Assumptions!$B$135*Assumptions!$B$22)/12/Assumptions!$B$7*W7,0)</f>
        <v/>
      </c>
      <c r="X82" s="54">
        <f>IF(X2&gt;=Assumptions!$B$50,X77*X17*Assumptions!$B$18+X73*(Assumptions!$B$136*MAX(0,Assumptions!$B$140-Assumptions!$B$19)+Assumptions!$B$137*MAX(0,Assumptions!$B$141-Assumptions!$B$19)+Assumptions!$B$138*MAX(0,Assumptions!$B$142-Assumptions!$B$19)+Assumptions!$B$139*MAX(0,Assumptions!$B$143-Assumptions!$B$19))*Assumptions!$B$20/Assumptions!$B$7*X7+X73*(Assumptions!$B$134*Assumptions!$B$21+Assumptions!$B$135*Assumptions!$B$22)/12/Assumptions!$B$7*X7,0)</f>
        <v/>
      </c>
      <c r="Y82" s="54">
        <f>IF(Y2&gt;=Assumptions!$B$50,Y77*Y17*Assumptions!$B$18+Y73*(Assumptions!$B$136*MAX(0,Assumptions!$B$140-Assumptions!$B$19)+Assumptions!$B$137*MAX(0,Assumptions!$B$141-Assumptions!$B$19)+Assumptions!$B$138*MAX(0,Assumptions!$B$142-Assumptions!$B$19)+Assumptions!$B$139*MAX(0,Assumptions!$B$143-Assumptions!$B$19))*Assumptions!$B$20/Assumptions!$B$7*Y7+Y73*(Assumptions!$B$134*Assumptions!$B$21+Assumptions!$B$135*Assumptions!$B$22)/12/Assumptions!$B$7*Y7,0)</f>
        <v/>
      </c>
      <c r="Z82" s="54">
        <f>IF(Z2&gt;=Assumptions!$B$50,Z77*Z17*Assumptions!$B$18+Z73*(Assumptions!$B$136*MAX(0,Assumptions!$B$140-Assumptions!$B$19)+Assumptions!$B$137*MAX(0,Assumptions!$B$141-Assumptions!$B$19)+Assumptions!$B$138*MAX(0,Assumptions!$B$142-Assumptions!$B$19)+Assumptions!$B$139*MAX(0,Assumptions!$B$143-Assumptions!$B$19))*Assumptions!$B$20/Assumptions!$B$7*Z7+Z73*(Assumptions!$B$134*Assumptions!$B$21+Assumptions!$B$135*Assumptions!$B$22)/12/Assumptions!$B$7*Z7,0)</f>
        <v/>
      </c>
      <c r="AA82" s="54">
        <f>IF(AA2&gt;=Assumptions!$B$50,AA77*AA17*Assumptions!$B$18+AA73*(Assumptions!$B$136*MAX(0,Assumptions!$B$140-Assumptions!$B$19)+Assumptions!$B$137*MAX(0,Assumptions!$B$141-Assumptions!$B$19)+Assumptions!$B$138*MAX(0,Assumptions!$B$142-Assumptions!$B$19)+Assumptions!$B$139*MAX(0,Assumptions!$B$143-Assumptions!$B$19))*Assumptions!$B$20/Assumptions!$B$7*AA7+AA73*(Assumptions!$B$134*Assumptions!$B$21+Assumptions!$B$135*Assumptions!$B$22)/12/Assumptions!$B$7*AA7,0)</f>
        <v/>
      </c>
      <c r="AB82" s="54">
        <f>IF(AB2&gt;=Assumptions!$B$50,AB77*AB17*Assumptions!$B$18+AB73*(Assumptions!$B$136*MAX(0,Assumptions!$B$140-Assumptions!$B$19)+Assumptions!$B$137*MAX(0,Assumptions!$B$141-Assumptions!$B$19)+Assumptions!$B$138*MAX(0,Assumptions!$B$142-Assumptions!$B$19)+Assumptions!$B$139*MAX(0,Assumptions!$B$143-Assumptions!$B$19))*Assumptions!$B$20/Assumptions!$B$7*AB7+AB73*(Assumptions!$B$134*Assumptions!$B$21+Assumptions!$B$135*Assumptions!$B$22)/12/Assumptions!$B$7*AB7,0)</f>
        <v/>
      </c>
      <c r="AC82" s="54">
        <f>IF(AC2&gt;=Assumptions!$B$50,AC77*AC17*Assumptions!$B$18+AC73*(Assumptions!$B$136*MAX(0,Assumptions!$B$140-Assumptions!$B$19)+Assumptions!$B$137*MAX(0,Assumptions!$B$141-Assumptions!$B$19)+Assumptions!$B$138*MAX(0,Assumptions!$B$142-Assumptions!$B$19)+Assumptions!$B$139*MAX(0,Assumptions!$B$143-Assumptions!$B$19))*Assumptions!$B$20/Assumptions!$B$7*AC7+AC73*(Assumptions!$B$134*Assumptions!$B$21+Assumptions!$B$135*Assumptions!$B$22)/12/Assumptions!$B$7*AC7,0)</f>
        <v/>
      </c>
      <c r="AD82" s="54">
        <f>IF(AD2&gt;=Assumptions!$B$50,AD77*AD17*Assumptions!$B$18+AD73*(Assumptions!$B$136*MAX(0,Assumptions!$B$140-Assumptions!$B$19)+Assumptions!$B$137*MAX(0,Assumptions!$B$141-Assumptions!$B$19)+Assumptions!$B$138*MAX(0,Assumptions!$B$142-Assumptions!$B$19)+Assumptions!$B$139*MAX(0,Assumptions!$B$143-Assumptions!$B$19))*Assumptions!$B$20/Assumptions!$B$7*AD7+AD73*(Assumptions!$B$134*Assumptions!$B$21+Assumptions!$B$135*Assumptions!$B$22)/12/Assumptions!$B$7*AD7,0)</f>
        <v/>
      </c>
      <c r="AE82" s="54">
        <f>IF(AE2&gt;=Assumptions!$B$50,AE77*AE17*Assumptions!$B$18+AE73*(Assumptions!$B$136*MAX(0,Assumptions!$B$140-Assumptions!$B$19)+Assumptions!$B$137*MAX(0,Assumptions!$B$141-Assumptions!$B$19)+Assumptions!$B$138*MAX(0,Assumptions!$B$142-Assumptions!$B$19)+Assumptions!$B$139*MAX(0,Assumptions!$B$143-Assumptions!$B$19))*Assumptions!$B$20/Assumptions!$B$7*AE7+AE73*(Assumptions!$B$134*Assumptions!$B$21+Assumptions!$B$135*Assumptions!$B$22)/12/Assumptions!$B$7*AE7,0)</f>
        <v/>
      </c>
    </row>
    <row r="83">
      <c r="A83" s="6" t="inlineStr">
        <is>
          <t xml:space="preserve">  Average drawn credit balance</t>
        </is>
      </c>
      <c r="B83" s="23" t="inlineStr">
        <is>
          <t>USD</t>
        </is>
      </c>
      <c r="C83" s="54">
        <f>IF(C2&gt;=Assumptions!$B$51,C72*Assumptions!$B$144*(1-Assumptions!$B$163)*IF(C64=0,0,C70/C64)*Assumptions!$B$32*Assumptions!$B$145*Assumptions!$B$146,0)</f>
        <v/>
      </c>
      <c r="D83" s="54">
        <f>IF(D2&gt;=Assumptions!$B$51,D72*Assumptions!$B$144*(1-Assumptions!$B$163)*IF(D64=0,0,D70/D64)*Assumptions!$B$32*Assumptions!$B$145*Assumptions!$B$146,0)</f>
        <v/>
      </c>
      <c r="E83" s="54">
        <f>IF(E2&gt;=Assumptions!$B$51,E72*Assumptions!$B$144*(1-Assumptions!$B$163)*IF(E64=0,0,E70/E64)*Assumptions!$B$32*Assumptions!$B$145*Assumptions!$B$146,0)</f>
        <v/>
      </c>
      <c r="F83" s="54">
        <f>IF(F2&gt;=Assumptions!$B$51,F72*Assumptions!$B$144*(1-Assumptions!$B$163)*IF(F64=0,0,F70/F64)*Assumptions!$B$32*Assumptions!$B$145*Assumptions!$B$146,0)</f>
        <v/>
      </c>
      <c r="G83" s="54">
        <f>IF(G2&gt;=Assumptions!$B$51,G72*Assumptions!$B$144*(1-Assumptions!$B$163)*IF(G64=0,0,G70/G64)*Assumptions!$B$32*Assumptions!$B$145*Assumptions!$B$146,0)</f>
        <v/>
      </c>
      <c r="H83" s="54">
        <f>IF(H2&gt;=Assumptions!$B$51,H72*Assumptions!$B$144*(1-Assumptions!$B$163)*IF(H64=0,0,H70/H64)*Assumptions!$B$32*Assumptions!$B$145*Assumptions!$B$146,0)</f>
        <v/>
      </c>
      <c r="I83" s="54">
        <f>IF(I2&gt;=Assumptions!$B$51,I72*Assumptions!$B$144*(1-Assumptions!$B$163)*IF(I64=0,0,I70/I64)*Assumptions!$B$32*Assumptions!$B$145*Assumptions!$B$146,0)</f>
        <v/>
      </c>
      <c r="J83" s="54">
        <f>IF(J2&gt;=Assumptions!$B$51,J72*Assumptions!$B$144*(1-Assumptions!$B$163)*IF(J64=0,0,J70/J64)*Assumptions!$B$32*Assumptions!$B$145*Assumptions!$B$146,0)</f>
        <v/>
      </c>
      <c r="K83" s="54">
        <f>IF(K2&gt;=Assumptions!$B$51,K72*Assumptions!$B$144*(1-Assumptions!$B$163)*IF(K64=0,0,K70/K64)*Assumptions!$B$32*Assumptions!$B$145*Assumptions!$B$146,0)</f>
        <v/>
      </c>
      <c r="L83" s="54">
        <f>IF(L2&gt;=Assumptions!$B$51,L72*Assumptions!$B$144*(1-Assumptions!$B$163)*IF(L64=0,0,L70/L64)*Assumptions!$B$32*Assumptions!$B$145*Assumptions!$B$146,0)</f>
        <v/>
      </c>
      <c r="M83" s="54">
        <f>IF(M2&gt;=Assumptions!$B$51,M72*Assumptions!$B$144*(1-Assumptions!$B$163)*IF(M64=0,0,M70/M64)*Assumptions!$B$32*Assumptions!$B$145*Assumptions!$B$146,0)</f>
        <v/>
      </c>
      <c r="N83" s="54">
        <f>IF(N2&gt;=Assumptions!$B$51,N72*Assumptions!$B$144*(1-Assumptions!$B$163)*IF(N64=0,0,N70/N64)*Assumptions!$B$32*Assumptions!$B$145*Assumptions!$B$146,0)</f>
        <v/>
      </c>
      <c r="O83" s="54">
        <f>IF(O2&gt;=Assumptions!$B$51,O72*Assumptions!$B$144*(1-Assumptions!$B$163)*IF(O64=0,0,O70/O64)*Assumptions!$B$32*Assumptions!$B$145*Assumptions!$B$146,0)</f>
        <v/>
      </c>
      <c r="P83" s="54">
        <f>IF(P2&gt;=Assumptions!$B$51,P72*Assumptions!$B$144*(1-Assumptions!$B$163)*IF(P64=0,0,P70/P64)*Assumptions!$B$32*Assumptions!$B$145*Assumptions!$B$146,0)</f>
        <v/>
      </c>
      <c r="Q83" s="54">
        <f>IF(Q2&gt;=Assumptions!$B$51,Q72*Assumptions!$B$144*(1-Assumptions!$B$163)*IF(Q64=0,0,Q70/Q64)*Assumptions!$B$32*Assumptions!$B$145*Assumptions!$B$146,0)</f>
        <v/>
      </c>
      <c r="R83" s="54">
        <f>IF(R2&gt;=Assumptions!$B$51,R72*Assumptions!$B$144*(1-Assumptions!$B$163)*IF(R64=0,0,R70/R64)*Assumptions!$B$32*Assumptions!$B$145*Assumptions!$B$146,0)</f>
        <v/>
      </c>
      <c r="S83" s="54">
        <f>IF(S2&gt;=Assumptions!$B$51,S72*Assumptions!$B$144*(1-Assumptions!$B$163)*IF(S64=0,0,S70/S64)*Assumptions!$B$32*Assumptions!$B$145*Assumptions!$B$146,0)</f>
        <v/>
      </c>
      <c r="T83" s="54">
        <f>IF(T2&gt;=Assumptions!$B$51,T72*Assumptions!$B$144*(1-Assumptions!$B$163)*IF(T64=0,0,T70/T64)*Assumptions!$B$32*Assumptions!$B$145*Assumptions!$B$146,0)</f>
        <v/>
      </c>
      <c r="U83" s="54">
        <f>IF(U2&gt;=Assumptions!$B$51,U72*Assumptions!$B$144*(1-Assumptions!$B$163)*IF(U64=0,0,U70/U64)*Assumptions!$B$32*Assumptions!$B$145*Assumptions!$B$146,0)</f>
        <v/>
      </c>
      <c r="V83" s="54">
        <f>IF(V2&gt;=Assumptions!$B$51,V72*Assumptions!$B$144*(1-Assumptions!$B$163)*IF(V64=0,0,V70/V64)*Assumptions!$B$32*Assumptions!$B$145*Assumptions!$B$146,0)</f>
        <v/>
      </c>
      <c r="W83" s="54">
        <f>IF(W2&gt;=Assumptions!$B$51,W72*Assumptions!$B$144*(1-Assumptions!$B$163)*IF(W64=0,0,W70/W64)*Assumptions!$B$32*Assumptions!$B$145*Assumptions!$B$146,0)</f>
        <v/>
      </c>
      <c r="X83" s="54">
        <f>IF(X2&gt;=Assumptions!$B$51,X72*Assumptions!$B$144*(1-Assumptions!$B$163)*IF(X64=0,0,X70/X64)*Assumptions!$B$32*Assumptions!$B$145*Assumptions!$B$146,0)</f>
        <v/>
      </c>
      <c r="Y83" s="54">
        <f>IF(Y2&gt;=Assumptions!$B$51,Y72*Assumptions!$B$144*(1-Assumptions!$B$163)*IF(Y64=0,0,Y70/Y64)*Assumptions!$B$32*Assumptions!$B$145*Assumptions!$B$146,0)</f>
        <v/>
      </c>
      <c r="Z83" s="54">
        <f>IF(Z2&gt;=Assumptions!$B$51,Z72*Assumptions!$B$144*(1-Assumptions!$B$163)*IF(Z64=0,0,Z70/Z64)*Assumptions!$B$32*Assumptions!$B$145*Assumptions!$B$146,0)</f>
        <v/>
      </c>
      <c r="AA83" s="54">
        <f>IF(AA2&gt;=Assumptions!$B$51,AA72*Assumptions!$B$144*(1-Assumptions!$B$163)*IF(AA64=0,0,AA70/AA64)*Assumptions!$B$32*Assumptions!$B$145*Assumptions!$B$146,0)</f>
        <v/>
      </c>
      <c r="AB83" s="54">
        <f>IF(AB2&gt;=Assumptions!$B$51,AB72*Assumptions!$B$144*(1-Assumptions!$B$163)*IF(AB64=0,0,AB70/AB64)*Assumptions!$B$32*Assumptions!$B$145*Assumptions!$B$146,0)</f>
        <v/>
      </c>
      <c r="AC83" s="54">
        <f>IF(AC2&gt;=Assumptions!$B$51,AC72*Assumptions!$B$144*(1-Assumptions!$B$163)*IF(AC64=0,0,AC70/AC64)*Assumptions!$B$32*Assumptions!$B$145*Assumptions!$B$146,0)</f>
        <v/>
      </c>
      <c r="AD83" s="54">
        <f>IF(AD2&gt;=Assumptions!$B$51,AD72*Assumptions!$B$144*(1-Assumptions!$B$163)*IF(AD64=0,0,AD70/AD64)*Assumptions!$B$32*Assumptions!$B$145*Assumptions!$B$146,0)</f>
        <v/>
      </c>
      <c r="AE83" s="54">
        <f>IF(AE2&gt;=Assumptions!$B$51,AE72*Assumptions!$B$144*(1-Assumptions!$B$163)*IF(AE64=0,0,AE70/AE64)*Assumptions!$B$32*Assumptions!$B$145*Assumptions!$B$146,0)</f>
        <v/>
      </c>
    </row>
    <row r="84">
      <c r="A84" s="6" t="inlineStr">
        <is>
          <t xml:space="preserve">  Stream 5 - Lending revenue share</t>
        </is>
      </c>
      <c r="B84" s="23" t="inlineStr">
        <is>
          <t>USD</t>
        </is>
      </c>
      <c r="C84" s="54">
        <f>(C83*Assumptions!$B$30*Assumptions!$B$31+C83/Assumptions!$B$146*Assumptions!$B$147*Assumptions!$B$28*Assumptions!$B$29)*C7/12</f>
        <v/>
      </c>
      <c r="D84" s="54">
        <f>(D83*Assumptions!$B$30*Assumptions!$B$31+D83/Assumptions!$B$146*Assumptions!$B$147*Assumptions!$B$28*Assumptions!$B$29)*D7/12</f>
        <v/>
      </c>
      <c r="E84" s="54">
        <f>(E83*Assumptions!$B$30*Assumptions!$B$31+E83/Assumptions!$B$146*Assumptions!$B$147*Assumptions!$B$28*Assumptions!$B$29)*E7/12</f>
        <v/>
      </c>
      <c r="F84" s="54">
        <f>(F83*Assumptions!$B$30*Assumptions!$B$31+F83/Assumptions!$B$146*Assumptions!$B$147*Assumptions!$B$28*Assumptions!$B$29)*F7/12</f>
        <v/>
      </c>
      <c r="G84" s="54">
        <f>(G83*Assumptions!$B$30*Assumptions!$B$31+G83/Assumptions!$B$146*Assumptions!$B$147*Assumptions!$B$28*Assumptions!$B$29)*G7/12</f>
        <v/>
      </c>
      <c r="H84" s="54">
        <f>(H83*Assumptions!$B$30*Assumptions!$B$31+H83/Assumptions!$B$146*Assumptions!$B$147*Assumptions!$B$28*Assumptions!$B$29)*H7/12</f>
        <v/>
      </c>
      <c r="I84" s="54">
        <f>(I83*Assumptions!$B$30*Assumptions!$B$31+I83/Assumptions!$B$146*Assumptions!$B$147*Assumptions!$B$28*Assumptions!$B$29)*I7/12</f>
        <v/>
      </c>
      <c r="J84" s="54">
        <f>(J83*Assumptions!$B$30*Assumptions!$B$31+J83/Assumptions!$B$146*Assumptions!$B$147*Assumptions!$B$28*Assumptions!$B$29)*J7/12</f>
        <v/>
      </c>
      <c r="K84" s="54">
        <f>(K83*Assumptions!$B$30*Assumptions!$B$31+K83/Assumptions!$B$146*Assumptions!$B$147*Assumptions!$B$28*Assumptions!$B$29)*K7/12</f>
        <v/>
      </c>
      <c r="L84" s="54">
        <f>(L83*Assumptions!$B$30*Assumptions!$B$31+L83/Assumptions!$B$146*Assumptions!$B$147*Assumptions!$B$28*Assumptions!$B$29)*L7/12</f>
        <v/>
      </c>
      <c r="M84" s="54">
        <f>(M83*Assumptions!$B$30*Assumptions!$B$31+M83/Assumptions!$B$146*Assumptions!$B$147*Assumptions!$B$28*Assumptions!$B$29)*M7/12</f>
        <v/>
      </c>
      <c r="N84" s="54">
        <f>(N83*Assumptions!$B$30*Assumptions!$B$31+N83/Assumptions!$B$146*Assumptions!$B$147*Assumptions!$B$28*Assumptions!$B$29)*N7/12</f>
        <v/>
      </c>
      <c r="O84" s="54">
        <f>(O83*Assumptions!$B$30*Assumptions!$B$31+O83/Assumptions!$B$146*Assumptions!$B$147*Assumptions!$B$28*Assumptions!$B$29)*O7/12</f>
        <v/>
      </c>
      <c r="P84" s="54">
        <f>(P83*Assumptions!$B$30*Assumptions!$B$31+P83/Assumptions!$B$146*Assumptions!$B$147*Assumptions!$B$28*Assumptions!$B$29)*P7/12</f>
        <v/>
      </c>
      <c r="Q84" s="54">
        <f>(Q83*Assumptions!$B$30*Assumptions!$B$31+Q83/Assumptions!$B$146*Assumptions!$B$147*Assumptions!$B$28*Assumptions!$B$29)*Q7/12</f>
        <v/>
      </c>
      <c r="R84" s="54">
        <f>(R83*Assumptions!$B$30*Assumptions!$B$31+R83/Assumptions!$B$146*Assumptions!$B$147*Assumptions!$B$28*Assumptions!$B$29)*R7/12</f>
        <v/>
      </c>
      <c r="S84" s="54">
        <f>(S83*Assumptions!$B$30*Assumptions!$B$31+S83/Assumptions!$B$146*Assumptions!$B$147*Assumptions!$B$28*Assumptions!$B$29)*S7/12</f>
        <v/>
      </c>
      <c r="T84" s="54">
        <f>(T83*Assumptions!$B$30*Assumptions!$B$31+T83/Assumptions!$B$146*Assumptions!$B$147*Assumptions!$B$28*Assumptions!$B$29)*T7/12</f>
        <v/>
      </c>
      <c r="U84" s="54">
        <f>(U83*Assumptions!$B$30*Assumptions!$B$31+U83/Assumptions!$B$146*Assumptions!$B$147*Assumptions!$B$28*Assumptions!$B$29)*U7/12</f>
        <v/>
      </c>
      <c r="V84" s="54">
        <f>(V83*Assumptions!$B$30*Assumptions!$B$31+V83/Assumptions!$B$146*Assumptions!$B$147*Assumptions!$B$28*Assumptions!$B$29)*V7/12</f>
        <v/>
      </c>
      <c r="W84" s="54">
        <f>(W83*Assumptions!$B$30*Assumptions!$B$31+W83/Assumptions!$B$146*Assumptions!$B$147*Assumptions!$B$28*Assumptions!$B$29)*W7/12</f>
        <v/>
      </c>
      <c r="X84" s="54">
        <f>(X83*Assumptions!$B$30*Assumptions!$B$31+X83/Assumptions!$B$146*Assumptions!$B$147*Assumptions!$B$28*Assumptions!$B$29)*X7/12</f>
        <v/>
      </c>
      <c r="Y84" s="54">
        <f>(Y83*Assumptions!$B$30*Assumptions!$B$31+Y83/Assumptions!$B$146*Assumptions!$B$147*Assumptions!$B$28*Assumptions!$B$29)*Y7/12</f>
        <v/>
      </c>
      <c r="Z84" s="54">
        <f>(Z83*Assumptions!$B$30*Assumptions!$B$31+Z83/Assumptions!$B$146*Assumptions!$B$147*Assumptions!$B$28*Assumptions!$B$29)*Z7/12</f>
        <v/>
      </c>
      <c r="AA84" s="54">
        <f>(AA83*Assumptions!$B$30*Assumptions!$B$31+AA83/Assumptions!$B$146*Assumptions!$B$147*Assumptions!$B$28*Assumptions!$B$29)*AA7/12</f>
        <v/>
      </c>
      <c r="AB84" s="54">
        <f>(AB83*Assumptions!$B$30*Assumptions!$B$31+AB83/Assumptions!$B$146*Assumptions!$B$147*Assumptions!$B$28*Assumptions!$B$29)*AB7/12</f>
        <v/>
      </c>
      <c r="AC84" s="54">
        <f>(AC83*Assumptions!$B$30*Assumptions!$B$31+AC83/Assumptions!$B$146*Assumptions!$B$147*Assumptions!$B$28*Assumptions!$B$29)*AC7/12</f>
        <v/>
      </c>
      <c r="AD84" s="54">
        <f>(AD83*Assumptions!$B$30*Assumptions!$B$31+AD83/Assumptions!$B$146*Assumptions!$B$147*Assumptions!$B$28*Assumptions!$B$29)*AD7/12</f>
        <v/>
      </c>
      <c r="AE84" s="54">
        <f>(AE83*Assumptions!$B$30*Assumptions!$B$31+AE83/Assumptions!$B$146*Assumptions!$B$147*Assumptions!$B$28*Assumptions!$B$29)*AE7/12</f>
        <v/>
      </c>
    </row>
    <row r="85">
      <c r="A85" s="6" t="inlineStr">
        <is>
          <t xml:space="preserve">  Redemption events (memo - drives cost, not revenue)</t>
        </is>
      </c>
      <c r="B85" s="23" t="inlineStr">
        <is>
          <t>events</t>
        </is>
      </c>
      <c r="C85" s="44">
        <f>IF(C2&gt;=Assumptions!$B$47,(C61+C63*Assumptions!$B$125)*Assumptions!$B$124*C7/12,0)</f>
        <v/>
      </c>
      <c r="D85" s="44">
        <f>IF(D2&gt;=Assumptions!$B$47,(D61+D63*Assumptions!$B$125)*Assumptions!$B$124*D7/12,0)</f>
        <v/>
      </c>
      <c r="E85" s="44">
        <f>IF(E2&gt;=Assumptions!$B$47,(E61+E63*Assumptions!$B$125)*Assumptions!$B$124*E7/12,0)</f>
        <v/>
      </c>
      <c r="F85" s="44">
        <f>IF(F2&gt;=Assumptions!$B$47,(F61+F63*Assumptions!$B$125)*Assumptions!$B$124*F7/12,0)</f>
        <v/>
      </c>
      <c r="G85" s="44">
        <f>IF(G2&gt;=Assumptions!$B$47,(G61+G63*Assumptions!$B$125)*Assumptions!$B$124*G7/12,0)</f>
        <v/>
      </c>
      <c r="H85" s="44">
        <f>IF(H2&gt;=Assumptions!$B$47,(H61+H63*Assumptions!$B$125)*Assumptions!$B$124*H7/12,0)</f>
        <v/>
      </c>
      <c r="I85" s="44">
        <f>IF(I2&gt;=Assumptions!$B$47,(I61+I63*Assumptions!$B$125)*Assumptions!$B$124*I7/12,0)</f>
        <v/>
      </c>
      <c r="J85" s="44">
        <f>IF(J2&gt;=Assumptions!$B$47,(J61+J63*Assumptions!$B$125)*Assumptions!$B$124*J7/12,0)</f>
        <v/>
      </c>
      <c r="K85" s="44">
        <f>IF(K2&gt;=Assumptions!$B$47,(K61+K63*Assumptions!$B$125)*Assumptions!$B$124*K7/12,0)</f>
        <v/>
      </c>
      <c r="L85" s="44">
        <f>IF(L2&gt;=Assumptions!$B$47,(L61+L63*Assumptions!$B$125)*Assumptions!$B$124*L7/12,0)</f>
        <v/>
      </c>
      <c r="M85" s="44">
        <f>IF(M2&gt;=Assumptions!$B$47,(M61+M63*Assumptions!$B$125)*Assumptions!$B$124*M7/12,0)</f>
        <v/>
      </c>
      <c r="N85" s="44">
        <f>IF(N2&gt;=Assumptions!$B$47,(N61+N63*Assumptions!$B$125)*Assumptions!$B$124*N7/12,0)</f>
        <v/>
      </c>
      <c r="O85" s="44">
        <f>IF(O2&gt;=Assumptions!$B$47,(O61+O63*Assumptions!$B$125)*Assumptions!$B$124*O7/12,0)</f>
        <v/>
      </c>
      <c r="P85" s="44">
        <f>IF(P2&gt;=Assumptions!$B$47,(P61+P63*Assumptions!$B$125)*Assumptions!$B$124*P7/12,0)</f>
        <v/>
      </c>
      <c r="Q85" s="44">
        <f>IF(Q2&gt;=Assumptions!$B$47,(Q61+Q63*Assumptions!$B$125)*Assumptions!$B$124*Q7/12,0)</f>
        <v/>
      </c>
      <c r="R85" s="44">
        <f>IF(R2&gt;=Assumptions!$B$47,(R61+R63*Assumptions!$B$125)*Assumptions!$B$124*R7/12,0)</f>
        <v/>
      </c>
      <c r="S85" s="44">
        <f>IF(S2&gt;=Assumptions!$B$47,(S61+S63*Assumptions!$B$125)*Assumptions!$B$124*S7/12,0)</f>
        <v/>
      </c>
      <c r="T85" s="44">
        <f>IF(T2&gt;=Assumptions!$B$47,(T61+T63*Assumptions!$B$125)*Assumptions!$B$124*T7/12,0)</f>
        <v/>
      </c>
      <c r="U85" s="44">
        <f>IF(U2&gt;=Assumptions!$B$47,(U61+U63*Assumptions!$B$125)*Assumptions!$B$124*U7/12,0)</f>
        <v/>
      </c>
      <c r="V85" s="44">
        <f>IF(V2&gt;=Assumptions!$B$47,(V61+V63*Assumptions!$B$125)*Assumptions!$B$124*V7/12,0)</f>
        <v/>
      </c>
      <c r="W85" s="44">
        <f>IF(W2&gt;=Assumptions!$B$47,(W61+W63*Assumptions!$B$125)*Assumptions!$B$124*W7/12,0)</f>
        <v/>
      </c>
      <c r="X85" s="44">
        <f>IF(X2&gt;=Assumptions!$B$47,(X61+X63*Assumptions!$B$125)*Assumptions!$B$124*X7/12,0)</f>
        <v/>
      </c>
      <c r="Y85" s="44">
        <f>IF(Y2&gt;=Assumptions!$B$47,(Y61+Y63*Assumptions!$B$125)*Assumptions!$B$124*Y7/12,0)</f>
        <v/>
      </c>
      <c r="Z85" s="44">
        <f>IF(Z2&gt;=Assumptions!$B$47,(Z61+Z63*Assumptions!$B$125)*Assumptions!$B$124*Z7/12,0)</f>
        <v/>
      </c>
      <c r="AA85" s="44">
        <f>IF(AA2&gt;=Assumptions!$B$47,(AA61+AA63*Assumptions!$B$125)*Assumptions!$B$124*AA7/12,0)</f>
        <v/>
      </c>
      <c r="AB85" s="44">
        <f>IF(AB2&gt;=Assumptions!$B$47,(AB61+AB63*Assumptions!$B$125)*Assumptions!$B$124*AB7/12,0)</f>
        <v/>
      </c>
      <c r="AC85" s="44">
        <f>IF(AC2&gt;=Assumptions!$B$47,(AC61+AC63*Assumptions!$B$125)*Assumptions!$B$124*AC7/12,0)</f>
        <v/>
      </c>
      <c r="AD85" s="44">
        <f>IF(AD2&gt;=Assumptions!$B$47,(AD61+AD63*Assumptions!$B$125)*Assumptions!$B$124*AD7/12,0)</f>
        <v/>
      </c>
      <c r="AE85" s="44">
        <f>IF(AE2&gt;=Assumptions!$B$47,(AE61+AE63*Assumptions!$B$125)*Assumptions!$B$124*AE7/12,0)</f>
        <v/>
      </c>
    </row>
    <row r="86">
      <c r="A86" s="3" t="inlineStr">
        <is>
          <t xml:space="preserve">  SUBTOTAL - Oman and Bahrain</t>
        </is>
      </c>
      <c r="B86" s="23" t="inlineStr">
        <is>
          <t>USD</t>
        </is>
      </c>
      <c r="C86" s="56">
        <f>C78+C79+C80+C81+C82+C84</f>
        <v/>
      </c>
      <c r="D86" s="56">
        <f>D78+D79+D80+D81+D82+D84</f>
        <v/>
      </c>
      <c r="E86" s="56">
        <f>E78+E79+E80+E81+E82+E84</f>
        <v/>
      </c>
      <c r="F86" s="56">
        <f>F78+F79+F80+F81+F82+F84</f>
        <v/>
      </c>
      <c r="G86" s="56">
        <f>G78+G79+G80+G81+G82+G84</f>
        <v/>
      </c>
      <c r="H86" s="56">
        <f>H78+H79+H80+H81+H82+H84</f>
        <v/>
      </c>
      <c r="I86" s="56">
        <f>I78+I79+I80+I81+I82+I84</f>
        <v/>
      </c>
      <c r="J86" s="56">
        <f>J78+J79+J80+J81+J82+J84</f>
        <v/>
      </c>
      <c r="K86" s="56">
        <f>K78+K79+K80+K81+K82+K84</f>
        <v/>
      </c>
      <c r="L86" s="56">
        <f>L78+L79+L80+L81+L82+L84</f>
        <v/>
      </c>
      <c r="M86" s="56">
        <f>M78+M79+M80+M81+M82+M84</f>
        <v/>
      </c>
      <c r="N86" s="56">
        <f>N78+N79+N80+N81+N82+N84</f>
        <v/>
      </c>
      <c r="O86" s="56">
        <f>O78+O79+O80+O81+O82+O84</f>
        <v/>
      </c>
      <c r="P86" s="56">
        <f>P78+P79+P80+P81+P82+P84</f>
        <v/>
      </c>
      <c r="Q86" s="56">
        <f>Q78+Q79+Q80+Q81+Q82+Q84</f>
        <v/>
      </c>
      <c r="R86" s="56">
        <f>R78+R79+R80+R81+R82+R84</f>
        <v/>
      </c>
      <c r="S86" s="56">
        <f>S78+S79+S80+S81+S82+S84</f>
        <v/>
      </c>
      <c r="T86" s="56">
        <f>T78+T79+T80+T81+T82+T84</f>
        <v/>
      </c>
      <c r="U86" s="56">
        <f>U78+U79+U80+U81+U82+U84</f>
        <v/>
      </c>
      <c r="V86" s="56">
        <f>V78+V79+V80+V81+V82+V84</f>
        <v/>
      </c>
      <c r="W86" s="56">
        <f>W78+W79+W80+W81+W82+W84</f>
        <v/>
      </c>
      <c r="X86" s="56">
        <f>X78+X79+X80+X81+X82+X84</f>
        <v/>
      </c>
      <c r="Y86" s="56">
        <f>Y78+Y79+Y80+Y81+Y82+Y84</f>
        <v/>
      </c>
      <c r="Z86" s="56">
        <f>Z78+Z79+Z80+Z81+Z82+Z84</f>
        <v/>
      </c>
      <c r="AA86" s="56">
        <f>AA78+AA79+AA80+AA81+AA82+AA84</f>
        <v/>
      </c>
      <c r="AB86" s="56">
        <f>AB78+AB79+AB80+AB81+AB82+AB84</f>
        <v/>
      </c>
      <c r="AC86" s="56">
        <f>AC78+AC79+AC80+AC81+AC82+AC84</f>
        <v/>
      </c>
      <c r="AD86" s="56">
        <f>AD78+AD79+AD80+AD81+AD82+AD84</f>
        <v/>
      </c>
      <c r="AE86" s="56">
        <f>AE78+AE79+AE80+AE81+AE82+AE84</f>
        <v/>
      </c>
    </row>
    <row r="88">
      <c r="A88" s="45" t="inlineStr">
        <is>
          <t>REGION: INDIA</t>
        </is>
      </c>
      <c r="B88" s="46" t="n"/>
      <c r="C88" s="46" t="n"/>
      <c r="D88" s="46" t="n"/>
      <c r="E88" s="46" t="n"/>
      <c r="F88" s="46" t="n"/>
      <c r="G88" s="46" t="n"/>
      <c r="H88" s="46" t="n"/>
      <c r="I88" s="46" t="n"/>
      <c r="J88" s="46" t="n"/>
      <c r="K88" s="46" t="n"/>
      <c r="L88" s="46" t="n"/>
      <c r="M88" s="46" t="n"/>
      <c r="N88" s="46" t="n"/>
      <c r="O88" s="46" t="n"/>
      <c r="P88" s="46" t="n"/>
      <c r="Q88" s="46" t="n"/>
      <c r="R88" s="46" t="n"/>
      <c r="S88" s="46" t="n"/>
      <c r="T88" s="46" t="n"/>
      <c r="U88" s="46" t="n"/>
      <c r="V88" s="46" t="n"/>
      <c r="W88" s="46" t="n"/>
      <c r="X88" s="46" t="n"/>
      <c r="Y88" s="46" t="n"/>
      <c r="Z88" s="46" t="n"/>
      <c r="AA88" s="46" t="n"/>
      <c r="AB88" s="46" t="n"/>
      <c r="AC88" s="46" t="n"/>
      <c r="AD88" s="46" t="n"/>
      <c r="AE88" s="46" t="n"/>
    </row>
    <row r="89">
      <c r="A89" s="6" t="inlineStr">
        <is>
          <t xml:space="preserve">  Raw demand</t>
        </is>
      </c>
      <c r="B89" s="23" t="inlineStr">
        <is>
          <t>accounts</t>
        </is>
      </c>
      <c r="C89" s="53">
        <f>C23*Assumptions!$B$162*IF(C2&gt;=Assumptions!$B$55,1,0)/C24+C20*Assumptions!$B$109</f>
        <v/>
      </c>
      <c r="D89" s="53">
        <f>D23*Assumptions!$B$162*IF(D2&gt;=Assumptions!$B$55,1,0)/D24+D20*Assumptions!$B$109</f>
        <v/>
      </c>
      <c r="E89" s="53">
        <f>E23*Assumptions!$B$162*IF(E2&gt;=Assumptions!$B$55,1,0)/E24+E20*Assumptions!$B$109</f>
        <v/>
      </c>
      <c r="F89" s="53">
        <f>F23*Assumptions!$B$162*IF(F2&gt;=Assumptions!$B$55,1,0)/F24+F20*Assumptions!$B$109</f>
        <v/>
      </c>
      <c r="G89" s="53">
        <f>G23*Assumptions!$B$162*IF(G2&gt;=Assumptions!$B$55,1,0)/G24+G20*Assumptions!$B$109</f>
        <v/>
      </c>
      <c r="H89" s="53">
        <f>H23*Assumptions!$B$162*IF(H2&gt;=Assumptions!$B$55,1,0)/H24+H20*Assumptions!$B$109</f>
        <v/>
      </c>
      <c r="I89" s="53">
        <f>I23*Assumptions!$B$162*IF(I2&gt;=Assumptions!$B$55,1,0)/I24+I20*Assumptions!$B$109</f>
        <v/>
      </c>
      <c r="J89" s="53">
        <f>J23*Assumptions!$B$162*IF(J2&gt;=Assumptions!$B$55,1,0)/J24+J20*Assumptions!$B$109</f>
        <v/>
      </c>
      <c r="K89" s="53">
        <f>K23*Assumptions!$B$162*IF(K2&gt;=Assumptions!$B$55,1,0)/K24+K20*Assumptions!$B$109</f>
        <v/>
      </c>
      <c r="L89" s="53">
        <f>L23*Assumptions!$B$162*IF(L2&gt;=Assumptions!$B$55,1,0)/L24+L20*Assumptions!$B$109</f>
        <v/>
      </c>
      <c r="M89" s="53">
        <f>M23*Assumptions!$B$162*IF(M2&gt;=Assumptions!$B$55,1,0)/M24+M20*Assumptions!$B$109</f>
        <v/>
      </c>
      <c r="N89" s="53">
        <f>N23*Assumptions!$B$162*IF(N2&gt;=Assumptions!$B$55,1,0)/N24+N20*Assumptions!$B$109</f>
        <v/>
      </c>
      <c r="O89" s="53">
        <f>O23*Assumptions!$B$162*IF(O2&gt;=Assumptions!$B$55,1,0)/O24+O20*Assumptions!$B$109</f>
        <v/>
      </c>
      <c r="P89" s="53">
        <f>P23*Assumptions!$B$162*IF(P2&gt;=Assumptions!$B$55,1,0)/P24+P20*Assumptions!$B$109</f>
        <v/>
      </c>
      <c r="Q89" s="53">
        <f>Q23*Assumptions!$B$162*IF(Q2&gt;=Assumptions!$B$55,1,0)/Q24+Q20*Assumptions!$B$109</f>
        <v/>
      </c>
      <c r="R89" s="53">
        <f>R23*Assumptions!$B$162*IF(R2&gt;=Assumptions!$B$55,1,0)/R24+R20*Assumptions!$B$109</f>
        <v/>
      </c>
      <c r="S89" s="53">
        <f>S23*Assumptions!$B$162*IF(S2&gt;=Assumptions!$B$55,1,0)/S24+S20*Assumptions!$B$109</f>
        <v/>
      </c>
      <c r="T89" s="53">
        <f>T23*Assumptions!$B$162*IF(T2&gt;=Assumptions!$B$55,1,0)/T24+T20*Assumptions!$B$109</f>
        <v/>
      </c>
      <c r="U89" s="53">
        <f>U23*Assumptions!$B$162*IF(U2&gt;=Assumptions!$B$55,1,0)/U24+U20*Assumptions!$B$109</f>
        <v/>
      </c>
      <c r="V89" s="53">
        <f>V23*Assumptions!$B$162*IF(V2&gt;=Assumptions!$B$55,1,0)/V24+V20*Assumptions!$B$109</f>
        <v/>
      </c>
      <c r="W89" s="53">
        <f>W23*Assumptions!$B$162*IF(W2&gt;=Assumptions!$B$55,1,0)/W24+W20*Assumptions!$B$109</f>
        <v/>
      </c>
      <c r="X89" s="53">
        <f>X23*Assumptions!$B$162*IF(X2&gt;=Assumptions!$B$55,1,0)/X24+X20*Assumptions!$B$109</f>
        <v/>
      </c>
      <c r="Y89" s="53">
        <f>Y23*Assumptions!$B$162*IF(Y2&gt;=Assumptions!$B$55,1,0)/Y24+Y20*Assumptions!$B$109</f>
        <v/>
      </c>
      <c r="Z89" s="53">
        <f>Z23*Assumptions!$B$162*IF(Z2&gt;=Assumptions!$B$55,1,0)/Z24+Z20*Assumptions!$B$109</f>
        <v/>
      </c>
      <c r="AA89" s="53">
        <f>AA23*Assumptions!$B$162*IF(AA2&gt;=Assumptions!$B$55,1,0)/AA24+AA20*Assumptions!$B$109</f>
        <v/>
      </c>
      <c r="AB89" s="53">
        <f>AB23*Assumptions!$B$162*IF(AB2&gt;=Assumptions!$B$55,1,0)/AB24+AB20*Assumptions!$B$109</f>
        <v/>
      </c>
      <c r="AC89" s="53">
        <f>AC23*Assumptions!$B$162*IF(AC2&gt;=Assumptions!$B$55,1,0)/AC24+AC20*Assumptions!$B$109</f>
        <v/>
      </c>
      <c r="AD89" s="53">
        <f>AD23*Assumptions!$B$162*IF(AD2&gt;=Assumptions!$B$55,1,0)/AD24+AD20*Assumptions!$B$109</f>
        <v/>
      </c>
      <c r="AE89" s="53">
        <f>AE23*Assumptions!$B$162*IF(AE2&gt;=Assumptions!$B$55,1,0)/AE24+AE20*Assumptions!$B$109</f>
        <v/>
      </c>
    </row>
    <row r="90">
      <c r="A90" s="6" t="inlineStr">
        <is>
          <t xml:space="preserve">  Saturation (this region's own headroom)</t>
        </is>
      </c>
      <c r="B90" s="23" t="inlineStr">
        <is>
          <t>x</t>
        </is>
      </c>
      <c r="C90" s="50" t="n">
        <v>1</v>
      </c>
      <c r="D90" s="50">
        <f>MAX(0,1-C95/Assumptions!$B$84)</f>
        <v/>
      </c>
      <c r="E90" s="50">
        <f>MAX(0,1-D95/Assumptions!$B$84)</f>
        <v/>
      </c>
      <c r="F90" s="50">
        <f>MAX(0,1-E95/Assumptions!$B$84)</f>
        <v/>
      </c>
      <c r="G90" s="50">
        <f>MAX(0,1-F95/Assumptions!$B$84)</f>
        <v/>
      </c>
      <c r="H90" s="50">
        <f>MAX(0,1-G95/Assumptions!$B$84)</f>
        <v/>
      </c>
      <c r="I90" s="50">
        <f>MAX(0,1-H95/Assumptions!$B$84)</f>
        <v/>
      </c>
      <c r="J90" s="50">
        <f>MAX(0,1-I95/Assumptions!$B$84)</f>
        <v/>
      </c>
      <c r="K90" s="50">
        <f>MAX(0,1-J95/Assumptions!$B$84)</f>
        <v/>
      </c>
      <c r="L90" s="50">
        <f>MAX(0,1-K95/Assumptions!$B$84)</f>
        <v/>
      </c>
      <c r="M90" s="50">
        <f>MAX(0,1-L95/Assumptions!$B$84)</f>
        <v/>
      </c>
      <c r="N90" s="50">
        <f>MAX(0,1-M95/Assumptions!$B$84)</f>
        <v/>
      </c>
      <c r="O90" s="50">
        <f>MAX(0,1-N95/Assumptions!$B$84)</f>
        <v/>
      </c>
      <c r="P90" s="50">
        <f>MAX(0,1-O95/Assumptions!$B$84)</f>
        <v/>
      </c>
      <c r="Q90" s="50">
        <f>MAX(0,1-P95/Assumptions!$B$84)</f>
        <v/>
      </c>
      <c r="R90" s="50">
        <f>MAX(0,1-Q95/Assumptions!$B$84)</f>
        <v/>
      </c>
      <c r="S90" s="50">
        <f>MAX(0,1-R95/Assumptions!$B$84)</f>
        <v/>
      </c>
      <c r="T90" s="50">
        <f>MAX(0,1-S95/Assumptions!$B$84)</f>
        <v/>
      </c>
      <c r="U90" s="50">
        <f>MAX(0,1-T95/Assumptions!$B$84)</f>
        <v/>
      </c>
      <c r="V90" s="50">
        <f>MAX(0,1-U95/Assumptions!$B$84)</f>
        <v/>
      </c>
      <c r="W90" s="50">
        <f>MAX(0,1-V95/Assumptions!$B$84)</f>
        <v/>
      </c>
      <c r="X90" s="50">
        <f>MAX(0,1-W95/Assumptions!$B$84)</f>
        <v/>
      </c>
      <c r="Y90" s="50">
        <f>MAX(0,1-X95/Assumptions!$B$84)</f>
        <v/>
      </c>
      <c r="Z90" s="50">
        <f>MAX(0,1-Y95/Assumptions!$B$84)</f>
        <v/>
      </c>
      <c r="AA90" s="50">
        <f>MAX(0,1-Z95/Assumptions!$B$84)</f>
        <v/>
      </c>
      <c r="AB90" s="50">
        <f>MAX(0,1-AA95/Assumptions!$B$84)</f>
        <v/>
      </c>
      <c r="AC90" s="50">
        <f>MAX(0,1-AB95/Assumptions!$B$84)</f>
        <v/>
      </c>
      <c r="AD90" s="50">
        <f>MAX(0,1-AC95/Assumptions!$B$84)</f>
        <v/>
      </c>
      <c r="AE90" s="50">
        <f>MAX(0,1-AD95/Assumptions!$B$84)</f>
        <v/>
      </c>
    </row>
    <row r="91">
      <c r="A91" s="6" t="inlineStr">
        <is>
          <t xml:space="preserve">  New customers</t>
        </is>
      </c>
      <c r="B91" s="23" t="inlineStr">
        <is>
          <t>accounts</t>
        </is>
      </c>
      <c r="C91" s="53">
        <f>C89*C90*C15</f>
        <v/>
      </c>
      <c r="D91" s="53">
        <f>D89*D90*D15</f>
        <v/>
      </c>
      <c r="E91" s="53">
        <f>E89*E90*E15</f>
        <v/>
      </c>
      <c r="F91" s="53">
        <f>F89*F90*F15</f>
        <v/>
      </c>
      <c r="G91" s="53">
        <f>G89*G90*G15</f>
        <v/>
      </c>
      <c r="H91" s="53">
        <f>H89*H90*H15</f>
        <v/>
      </c>
      <c r="I91" s="53">
        <f>I89*I90*I15</f>
        <v/>
      </c>
      <c r="J91" s="53">
        <f>J89*J90*J15</f>
        <v/>
      </c>
      <c r="K91" s="53">
        <f>K89*K90*K15</f>
        <v/>
      </c>
      <c r="L91" s="53">
        <f>L89*L90*L15</f>
        <v/>
      </c>
      <c r="M91" s="53">
        <f>M89*M90*M15</f>
        <v/>
      </c>
      <c r="N91" s="53">
        <f>N89*N90*N15</f>
        <v/>
      </c>
      <c r="O91" s="53">
        <f>O89*O90*O15</f>
        <v/>
      </c>
      <c r="P91" s="53">
        <f>P89*P90*P15</f>
        <v/>
      </c>
      <c r="Q91" s="53">
        <f>Q89*Q90*Q15</f>
        <v/>
      </c>
      <c r="R91" s="53">
        <f>R89*R90*R15</f>
        <v/>
      </c>
      <c r="S91" s="53">
        <f>S89*S90*S15</f>
        <v/>
      </c>
      <c r="T91" s="53">
        <f>T89*T90*T15</f>
        <v/>
      </c>
      <c r="U91" s="53">
        <f>U89*U90*U15</f>
        <v/>
      </c>
      <c r="V91" s="53">
        <f>V89*V90*V15</f>
        <v/>
      </c>
      <c r="W91" s="53">
        <f>W89*W90*W15</f>
        <v/>
      </c>
      <c r="X91" s="53">
        <f>X89*X90*X15</f>
        <v/>
      </c>
      <c r="Y91" s="53">
        <f>Y89*Y90*Y15</f>
        <v/>
      </c>
      <c r="Z91" s="53">
        <f>Z89*Z90*Z15</f>
        <v/>
      </c>
      <c r="AA91" s="53">
        <f>AA89*AA90*AA15</f>
        <v/>
      </c>
      <c r="AB91" s="53">
        <f>AB89*AB90*AB15</f>
        <v/>
      </c>
      <c r="AC91" s="53">
        <f>AC89*AC90*AC15</f>
        <v/>
      </c>
      <c r="AD91" s="53">
        <f>AD89*AD90*AD15</f>
        <v/>
      </c>
      <c r="AE91" s="53">
        <f>AE89*AE90*AE15</f>
        <v/>
      </c>
    </row>
    <row r="92">
      <c r="A92" s="6" t="inlineStr">
        <is>
          <t xml:space="preserve">  Paying customers</t>
        </is>
      </c>
      <c r="B92" s="23" t="inlineStr">
        <is>
          <t>accounts</t>
        </is>
      </c>
      <c r="C92" s="28">
        <f>C91*(1-Assumptions!$B$114)^(C7/2)</f>
        <v/>
      </c>
      <c r="D92" s="28">
        <f>C92*(1-Assumptions!$B$114)^D7+D91*(1-Assumptions!$B$114)^(D7/2)</f>
        <v/>
      </c>
      <c r="E92" s="28">
        <f>D92*(1-Assumptions!$B$114)^E7+E91*(1-Assumptions!$B$114)^(E7/2)</f>
        <v/>
      </c>
      <c r="F92" s="28">
        <f>E92*(1-Assumptions!$B$114)^F7+F91*(1-Assumptions!$B$114)^(F7/2)</f>
        <v/>
      </c>
      <c r="G92" s="28">
        <f>F92*(1-Assumptions!$B$114)^G7+G91*(1-Assumptions!$B$114)^(G7/2)</f>
        <v/>
      </c>
      <c r="H92" s="28">
        <f>G92*(1-Assumptions!$B$114)^H7+H91*(1-Assumptions!$B$114)^(H7/2)</f>
        <v/>
      </c>
      <c r="I92" s="28">
        <f>H92*(1-Assumptions!$B$114)^I7+I91*(1-Assumptions!$B$114)^(I7/2)</f>
        <v/>
      </c>
      <c r="J92" s="28">
        <f>I92*(1-Assumptions!$B$114)^J7+J91*(1-Assumptions!$B$114)^(J7/2)</f>
        <v/>
      </c>
      <c r="K92" s="28">
        <f>J92*(1-Assumptions!$B$114)^K7+K91*(1-Assumptions!$B$114)^(K7/2)</f>
        <v/>
      </c>
      <c r="L92" s="28">
        <f>K92*(1-Assumptions!$B$114)^L7+L91*(1-Assumptions!$B$114)^(L7/2)</f>
        <v/>
      </c>
      <c r="M92" s="28">
        <f>L92*(1-Assumptions!$B$114)^M7+M91*(1-Assumptions!$B$114)^(M7/2)</f>
        <v/>
      </c>
      <c r="N92" s="28">
        <f>M92*(1-Assumptions!$B$114)^N7+N91*(1-Assumptions!$B$114)^(N7/2)</f>
        <v/>
      </c>
      <c r="O92" s="28">
        <f>N92*(1-Assumptions!$B$114)^O7+O91*(1-Assumptions!$B$114)^(O7/2)</f>
        <v/>
      </c>
      <c r="P92" s="28">
        <f>O92*(1-Assumptions!$B$114)^P7+P91*(1-Assumptions!$B$114)^(P7/2)</f>
        <v/>
      </c>
      <c r="Q92" s="28">
        <f>P92*(1-Assumptions!$B$114)^Q7+Q91*(1-Assumptions!$B$114)^(Q7/2)</f>
        <v/>
      </c>
      <c r="R92" s="28">
        <f>Q92*(1-Assumptions!$B$114)^R7+R91*(1-Assumptions!$B$114)^(R7/2)</f>
        <v/>
      </c>
      <c r="S92" s="28">
        <f>R92*(1-Assumptions!$B$114)^S7+S91*(1-Assumptions!$B$114)^(S7/2)</f>
        <v/>
      </c>
      <c r="T92" s="28">
        <f>S92*(1-Assumptions!$B$114)^T7+T91*(1-Assumptions!$B$114)^(T7/2)</f>
        <v/>
      </c>
      <c r="U92" s="28">
        <f>T92*(1-Assumptions!$B$114)^U7+U91*(1-Assumptions!$B$114)^(U7/2)</f>
        <v/>
      </c>
      <c r="V92" s="28">
        <f>U92*(1-Assumptions!$B$114)^V7+V91*(1-Assumptions!$B$114)^(V7/2)</f>
        <v/>
      </c>
      <c r="W92" s="28">
        <f>V92*(1-Assumptions!$B$114)^W7+W91*(1-Assumptions!$B$114)^(W7/2)</f>
        <v/>
      </c>
      <c r="X92" s="28">
        <f>W92*(1-Assumptions!$B$114)^X7+X91*(1-Assumptions!$B$114)^(X7/2)</f>
        <v/>
      </c>
      <c r="Y92" s="28">
        <f>X92*(1-Assumptions!$B$114)^Y7+Y91*(1-Assumptions!$B$114)^(Y7/2)</f>
        <v/>
      </c>
      <c r="Z92" s="28">
        <f>Y92*(1-Assumptions!$B$114)^Z7+Z91*(1-Assumptions!$B$114)^(Z7/2)</f>
        <v/>
      </c>
      <c r="AA92" s="28">
        <f>Z92*(1-Assumptions!$B$114)^AA7+AA91*(1-Assumptions!$B$114)^(AA7/2)</f>
        <v/>
      </c>
      <c r="AB92" s="28">
        <f>AA92*(1-Assumptions!$B$114)^AB7+AB91*(1-Assumptions!$B$114)^(AB7/2)</f>
        <v/>
      </c>
      <c r="AC92" s="28">
        <f>AB92*(1-Assumptions!$B$114)^AC7+AC91*(1-Assumptions!$B$114)^(AC7/2)</f>
        <v/>
      </c>
      <c r="AD92" s="28">
        <f>AC92*(1-Assumptions!$B$114)^AD7+AD91*(1-Assumptions!$B$114)^(AD7/2)</f>
        <v/>
      </c>
      <c r="AE92" s="28">
        <f>AD92*(1-Assumptions!$B$114)^AE7+AE91*(1-Assumptions!$B$114)^(AE7/2)</f>
        <v/>
      </c>
    </row>
    <row r="93">
      <c r="A93" s="6" t="inlineStr">
        <is>
          <t xml:space="preserve">  Churned this period</t>
        </is>
      </c>
      <c r="B93" s="23" t="inlineStr">
        <is>
          <t>accounts</t>
        </is>
      </c>
      <c r="C93" s="53">
        <f>C91-C92</f>
        <v/>
      </c>
      <c r="D93" s="53">
        <f>C92+D91-D92</f>
        <v/>
      </c>
      <c r="E93" s="53">
        <f>D92+E91-E92</f>
        <v/>
      </c>
      <c r="F93" s="53">
        <f>E92+F91-F92</f>
        <v/>
      </c>
      <c r="G93" s="53">
        <f>F92+G91-G92</f>
        <v/>
      </c>
      <c r="H93" s="53">
        <f>G92+H91-H92</f>
        <v/>
      </c>
      <c r="I93" s="53">
        <f>H92+I91-I92</f>
        <v/>
      </c>
      <c r="J93" s="53">
        <f>I92+J91-J92</f>
        <v/>
      </c>
      <c r="K93" s="53">
        <f>J92+K91-K92</f>
        <v/>
      </c>
      <c r="L93" s="53">
        <f>K92+L91-L92</f>
        <v/>
      </c>
      <c r="M93" s="53">
        <f>L92+M91-M92</f>
        <v/>
      </c>
      <c r="N93" s="53">
        <f>M92+N91-N92</f>
        <v/>
      </c>
      <c r="O93" s="53">
        <f>N92+O91-O92</f>
        <v/>
      </c>
      <c r="P93" s="53">
        <f>O92+P91-P92</f>
        <v/>
      </c>
      <c r="Q93" s="53">
        <f>P92+Q91-Q92</f>
        <v/>
      </c>
      <c r="R93" s="53">
        <f>Q92+R91-R92</f>
        <v/>
      </c>
      <c r="S93" s="53">
        <f>R92+S91-S92</f>
        <v/>
      </c>
      <c r="T93" s="53">
        <f>S92+T91-T92</f>
        <v/>
      </c>
      <c r="U93" s="53">
        <f>T92+U91-U92</f>
        <v/>
      </c>
      <c r="V93" s="53">
        <f>U92+V91-V92</f>
        <v/>
      </c>
      <c r="W93" s="53">
        <f>V92+W91-W92</f>
        <v/>
      </c>
      <c r="X93" s="53">
        <f>W92+X91-X92</f>
        <v/>
      </c>
      <c r="Y93" s="53">
        <f>X92+Y91-Y92</f>
        <v/>
      </c>
      <c r="Z93" s="53">
        <f>Y92+Z91-Z92</f>
        <v/>
      </c>
      <c r="AA93" s="53">
        <f>Z92+AA91-AA92</f>
        <v/>
      </c>
      <c r="AB93" s="53">
        <f>AA92+AB91-AB92</f>
        <v/>
      </c>
      <c r="AC93" s="53">
        <f>AB92+AC91-AC92</f>
        <v/>
      </c>
      <c r="AD93" s="53">
        <f>AC92+AD91-AD92</f>
        <v/>
      </c>
      <c r="AE93" s="53">
        <f>AD92+AE91-AE92</f>
        <v/>
      </c>
    </row>
    <row r="94">
      <c r="A94" s="6" t="inlineStr">
        <is>
          <t xml:space="preserve">  Holders (stopped paying, still hold gold)</t>
        </is>
      </c>
      <c r="B94" s="23" t="inlineStr">
        <is>
          <t>accounts</t>
        </is>
      </c>
      <c r="C94" s="44">
        <f>C93</f>
        <v/>
      </c>
      <c r="D94" s="44">
        <f>C94+D93</f>
        <v/>
      </c>
      <c r="E94" s="44">
        <f>D94+E93</f>
        <v/>
      </c>
      <c r="F94" s="44">
        <f>E94+F93</f>
        <v/>
      </c>
      <c r="G94" s="44">
        <f>F94+G93</f>
        <v/>
      </c>
      <c r="H94" s="44">
        <f>G94+H93</f>
        <v/>
      </c>
      <c r="I94" s="44">
        <f>H94+I93</f>
        <v/>
      </c>
      <c r="J94" s="44">
        <f>I94+J93</f>
        <v/>
      </c>
      <c r="K94" s="44">
        <f>J94+K93</f>
        <v/>
      </c>
      <c r="L94" s="44">
        <f>K94+L93</f>
        <v/>
      </c>
      <c r="M94" s="44">
        <f>L94+M93</f>
        <v/>
      </c>
      <c r="N94" s="44">
        <f>M94+N93</f>
        <v/>
      </c>
      <c r="O94" s="44">
        <f>N94+O93</f>
        <v/>
      </c>
      <c r="P94" s="44">
        <f>O94+P93</f>
        <v/>
      </c>
      <c r="Q94" s="44">
        <f>P94+Q93</f>
        <v/>
      </c>
      <c r="R94" s="44">
        <f>Q94+R93</f>
        <v/>
      </c>
      <c r="S94" s="44">
        <f>R94+S93</f>
        <v/>
      </c>
      <c r="T94" s="44">
        <f>S94+T93</f>
        <v/>
      </c>
      <c r="U94" s="44">
        <f>T94+U93</f>
        <v/>
      </c>
      <c r="V94" s="44">
        <f>U94+V93</f>
        <v/>
      </c>
      <c r="W94" s="44">
        <f>V94+W93</f>
        <v/>
      </c>
      <c r="X94" s="44">
        <f>W94+X93</f>
        <v/>
      </c>
      <c r="Y94" s="44">
        <f>X94+Y93</f>
        <v/>
      </c>
      <c r="Z94" s="44">
        <f>Y94+Z93</f>
        <v/>
      </c>
      <c r="AA94" s="44">
        <f>Z94+AA93</f>
        <v/>
      </c>
      <c r="AB94" s="44">
        <f>AA94+AB93</f>
        <v/>
      </c>
      <c r="AC94" s="44">
        <f>AB94+AC93</f>
        <v/>
      </c>
      <c r="AD94" s="44">
        <f>AC94+AD93</f>
        <v/>
      </c>
      <c r="AE94" s="44">
        <f>AD94+AE93</f>
        <v/>
      </c>
    </row>
    <row r="95">
      <c r="A95" s="6" t="inlineStr">
        <is>
          <t xml:space="preserve">  Cumulative ever acquired</t>
        </is>
      </c>
      <c r="B95" s="23" t="inlineStr">
        <is>
          <t>accounts</t>
        </is>
      </c>
      <c r="C95" s="44">
        <f>C91</f>
        <v/>
      </c>
      <c r="D95" s="44">
        <f>C95+D91</f>
        <v/>
      </c>
      <c r="E95" s="44">
        <f>D95+E91</f>
        <v/>
      </c>
      <c r="F95" s="44">
        <f>E95+F91</f>
        <v/>
      </c>
      <c r="G95" s="44">
        <f>F95+G91</f>
        <v/>
      </c>
      <c r="H95" s="44">
        <f>G95+H91</f>
        <v/>
      </c>
      <c r="I95" s="44">
        <f>H95+I91</f>
        <v/>
      </c>
      <c r="J95" s="44">
        <f>I95+J91</f>
        <v/>
      </c>
      <c r="K95" s="44">
        <f>J95+K91</f>
        <v/>
      </c>
      <c r="L95" s="44">
        <f>K95+L91</f>
        <v/>
      </c>
      <c r="M95" s="44">
        <f>L95+M91</f>
        <v/>
      </c>
      <c r="N95" s="44">
        <f>M95+N91</f>
        <v/>
      </c>
      <c r="O95" s="44">
        <f>N95+O91</f>
        <v/>
      </c>
      <c r="P95" s="44">
        <f>O95+P91</f>
        <v/>
      </c>
      <c r="Q95" s="44">
        <f>P95+Q91</f>
        <v/>
      </c>
      <c r="R95" s="44">
        <f>Q95+R91</f>
        <v/>
      </c>
      <c r="S95" s="44">
        <f>R95+S91</f>
        <v/>
      </c>
      <c r="T95" s="44">
        <f>S95+T91</f>
        <v/>
      </c>
      <c r="U95" s="44">
        <f>T95+U91</f>
        <v/>
      </c>
      <c r="V95" s="44">
        <f>U95+V91</f>
        <v/>
      </c>
      <c r="W95" s="44">
        <f>V95+W91</f>
        <v/>
      </c>
      <c r="X95" s="44">
        <f>W95+X91</f>
        <v/>
      </c>
      <c r="Y95" s="44">
        <f>X95+Y91</f>
        <v/>
      </c>
      <c r="Z95" s="44">
        <f>Y95+Z91</f>
        <v/>
      </c>
      <c r="AA95" s="44">
        <f>Z95+AA91</f>
        <v/>
      </c>
      <c r="AB95" s="44">
        <f>AA95+AB91</f>
        <v/>
      </c>
      <c r="AC95" s="44">
        <f>AB95+AC91</f>
        <v/>
      </c>
      <c r="AD95" s="44">
        <f>AC95+AD91</f>
        <v/>
      </c>
      <c r="AE95" s="44">
        <f>AD95+AE91</f>
        <v/>
      </c>
    </row>
    <row r="96">
      <c r="A96" s="6" t="inlineStr">
        <is>
          <t xml:space="preserve">  SIP contributions</t>
        </is>
      </c>
      <c r="B96" s="23" t="inlineStr">
        <is>
          <t>USD</t>
        </is>
      </c>
      <c r="C96" s="54">
        <f>IF(C2&gt;=Assumptions!$B$45,C92*Assumptions!$B$159*C7,0)</f>
        <v/>
      </c>
      <c r="D96" s="54">
        <f>IF(D2&gt;=Assumptions!$B$45,D92*Assumptions!$B$159*D7,0)</f>
        <v/>
      </c>
      <c r="E96" s="54">
        <f>IF(E2&gt;=Assumptions!$B$45,E92*Assumptions!$B$159*E7,0)</f>
        <v/>
      </c>
      <c r="F96" s="54">
        <f>IF(F2&gt;=Assumptions!$B$45,F92*Assumptions!$B$159*F7,0)</f>
        <v/>
      </c>
      <c r="G96" s="54">
        <f>IF(G2&gt;=Assumptions!$B$45,G92*Assumptions!$B$159*G7,0)</f>
        <v/>
      </c>
      <c r="H96" s="54">
        <f>IF(H2&gt;=Assumptions!$B$45,H92*Assumptions!$B$159*H7,0)</f>
        <v/>
      </c>
      <c r="I96" s="54">
        <f>IF(I2&gt;=Assumptions!$B$45,I92*Assumptions!$B$159*I7,0)</f>
        <v/>
      </c>
      <c r="J96" s="54">
        <f>IF(J2&gt;=Assumptions!$B$45,J92*Assumptions!$B$159*J7,0)</f>
        <v/>
      </c>
      <c r="K96" s="54">
        <f>IF(K2&gt;=Assumptions!$B$45,K92*Assumptions!$B$159*K7,0)</f>
        <v/>
      </c>
      <c r="L96" s="54">
        <f>IF(L2&gt;=Assumptions!$B$45,L92*Assumptions!$B$159*L7,0)</f>
        <v/>
      </c>
      <c r="M96" s="54">
        <f>IF(M2&gt;=Assumptions!$B$45,M92*Assumptions!$B$159*M7,0)</f>
        <v/>
      </c>
      <c r="N96" s="54">
        <f>IF(N2&gt;=Assumptions!$B$45,N92*Assumptions!$B$159*N7,0)</f>
        <v/>
      </c>
      <c r="O96" s="54">
        <f>IF(O2&gt;=Assumptions!$B$45,O92*Assumptions!$B$159*O7,0)</f>
        <v/>
      </c>
      <c r="P96" s="54">
        <f>IF(P2&gt;=Assumptions!$B$45,P92*Assumptions!$B$159*P7,0)</f>
        <v/>
      </c>
      <c r="Q96" s="54">
        <f>IF(Q2&gt;=Assumptions!$B$45,Q92*Assumptions!$B$159*Q7,0)</f>
        <v/>
      </c>
      <c r="R96" s="54">
        <f>IF(R2&gt;=Assumptions!$B$45,R92*Assumptions!$B$159*R7,0)</f>
        <v/>
      </c>
      <c r="S96" s="54">
        <f>IF(S2&gt;=Assumptions!$B$45,S92*Assumptions!$B$159*S7,0)</f>
        <v/>
      </c>
      <c r="T96" s="54">
        <f>IF(T2&gt;=Assumptions!$B$45,T92*Assumptions!$B$159*T7,0)</f>
        <v/>
      </c>
      <c r="U96" s="54">
        <f>IF(U2&gt;=Assumptions!$B$45,U92*Assumptions!$B$159*U7,0)</f>
        <v/>
      </c>
      <c r="V96" s="54">
        <f>IF(V2&gt;=Assumptions!$B$45,V92*Assumptions!$B$159*V7,0)</f>
        <v/>
      </c>
      <c r="W96" s="54">
        <f>IF(W2&gt;=Assumptions!$B$45,W92*Assumptions!$B$159*W7,0)</f>
        <v/>
      </c>
      <c r="X96" s="54">
        <f>IF(X2&gt;=Assumptions!$B$45,X92*Assumptions!$B$159*X7,0)</f>
        <v/>
      </c>
      <c r="Y96" s="54">
        <f>IF(Y2&gt;=Assumptions!$B$45,Y92*Assumptions!$B$159*Y7,0)</f>
        <v/>
      </c>
      <c r="Z96" s="54">
        <f>IF(Z2&gt;=Assumptions!$B$45,Z92*Assumptions!$B$159*Z7,0)</f>
        <v/>
      </c>
      <c r="AA96" s="54">
        <f>IF(AA2&gt;=Assumptions!$B$45,AA92*Assumptions!$B$159*AA7,0)</f>
        <v/>
      </c>
      <c r="AB96" s="54">
        <f>IF(AB2&gt;=Assumptions!$B$45,AB92*Assumptions!$B$159*AB7,0)</f>
        <v/>
      </c>
      <c r="AC96" s="54">
        <f>IF(AC2&gt;=Assumptions!$B$45,AC92*Assumptions!$B$159*AC7,0)</f>
        <v/>
      </c>
      <c r="AD96" s="54">
        <f>IF(AD2&gt;=Assumptions!$B$45,AD92*Assumptions!$B$159*AD7,0)</f>
        <v/>
      </c>
      <c r="AE96" s="54">
        <f>IF(AE2&gt;=Assumptions!$B$45,AE92*Assumptions!$B$159*AE7,0)</f>
        <v/>
      </c>
    </row>
    <row r="97">
      <c r="A97" s="6" t="inlineStr">
        <is>
          <t xml:space="preserve">  Spot purchase volume</t>
        </is>
      </c>
      <c r="B97" s="23" t="inlineStr">
        <is>
          <t>USD</t>
        </is>
      </c>
      <c r="C97" s="54">
        <f>IF(C2&gt;=Assumptions!$B$46,C92*Assumptions!$B$35*Assumptions!$B$126*Assumptions!$B$128*Assumptions!$B$127/12*C7,0)</f>
        <v/>
      </c>
      <c r="D97" s="54">
        <f>IF(D2&gt;=Assumptions!$B$46,D92*Assumptions!$B$35*Assumptions!$B$126*Assumptions!$B$128*Assumptions!$B$127/12*D7,0)</f>
        <v/>
      </c>
      <c r="E97" s="54">
        <f>IF(E2&gt;=Assumptions!$B$46,E92*Assumptions!$B$35*Assumptions!$B$126*Assumptions!$B$128*Assumptions!$B$127/12*E7,0)</f>
        <v/>
      </c>
      <c r="F97" s="54">
        <f>IF(F2&gt;=Assumptions!$B$46,F92*Assumptions!$B$35*Assumptions!$B$126*Assumptions!$B$128*Assumptions!$B$127/12*F7,0)</f>
        <v/>
      </c>
      <c r="G97" s="54">
        <f>IF(G2&gt;=Assumptions!$B$46,G92*Assumptions!$B$35*Assumptions!$B$126*Assumptions!$B$128*Assumptions!$B$127/12*G7,0)</f>
        <v/>
      </c>
      <c r="H97" s="54">
        <f>IF(H2&gt;=Assumptions!$B$46,H92*Assumptions!$B$35*Assumptions!$B$126*Assumptions!$B$128*Assumptions!$B$127/12*H7,0)</f>
        <v/>
      </c>
      <c r="I97" s="54">
        <f>IF(I2&gt;=Assumptions!$B$46,I92*Assumptions!$B$35*Assumptions!$B$126*Assumptions!$B$128*Assumptions!$B$127/12*I7,0)</f>
        <v/>
      </c>
      <c r="J97" s="54">
        <f>IF(J2&gt;=Assumptions!$B$46,J92*Assumptions!$B$35*Assumptions!$B$126*Assumptions!$B$128*Assumptions!$B$127/12*J7,0)</f>
        <v/>
      </c>
      <c r="K97" s="54">
        <f>IF(K2&gt;=Assumptions!$B$46,K92*Assumptions!$B$35*Assumptions!$B$126*Assumptions!$B$128*Assumptions!$B$127/12*K7,0)</f>
        <v/>
      </c>
      <c r="L97" s="54">
        <f>IF(L2&gt;=Assumptions!$B$46,L92*Assumptions!$B$35*Assumptions!$B$126*Assumptions!$B$128*Assumptions!$B$127/12*L7,0)</f>
        <v/>
      </c>
      <c r="M97" s="54">
        <f>IF(M2&gt;=Assumptions!$B$46,M92*Assumptions!$B$35*Assumptions!$B$126*Assumptions!$B$128*Assumptions!$B$127/12*M7,0)</f>
        <v/>
      </c>
      <c r="N97" s="54">
        <f>IF(N2&gt;=Assumptions!$B$46,N92*Assumptions!$B$35*Assumptions!$B$126*Assumptions!$B$128*Assumptions!$B$127/12*N7,0)</f>
        <v/>
      </c>
      <c r="O97" s="54">
        <f>IF(O2&gt;=Assumptions!$B$46,O92*Assumptions!$B$35*Assumptions!$B$126*Assumptions!$B$128*Assumptions!$B$127/12*O7,0)</f>
        <v/>
      </c>
      <c r="P97" s="54">
        <f>IF(P2&gt;=Assumptions!$B$46,P92*Assumptions!$B$35*Assumptions!$B$126*Assumptions!$B$128*Assumptions!$B$127/12*P7,0)</f>
        <v/>
      </c>
      <c r="Q97" s="54">
        <f>IF(Q2&gt;=Assumptions!$B$46,Q92*Assumptions!$B$35*Assumptions!$B$126*Assumptions!$B$128*Assumptions!$B$127/12*Q7,0)</f>
        <v/>
      </c>
      <c r="R97" s="54">
        <f>IF(R2&gt;=Assumptions!$B$46,R92*Assumptions!$B$35*Assumptions!$B$126*Assumptions!$B$128*Assumptions!$B$127/12*R7,0)</f>
        <v/>
      </c>
      <c r="S97" s="54">
        <f>IF(S2&gt;=Assumptions!$B$46,S92*Assumptions!$B$35*Assumptions!$B$126*Assumptions!$B$128*Assumptions!$B$127/12*S7,0)</f>
        <v/>
      </c>
      <c r="T97" s="54">
        <f>IF(T2&gt;=Assumptions!$B$46,T92*Assumptions!$B$35*Assumptions!$B$126*Assumptions!$B$128*Assumptions!$B$127/12*T7,0)</f>
        <v/>
      </c>
      <c r="U97" s="54">
        <f>IF(U2&gt;=Assumptions!$B$46,U92*Assumptions!$B$35*Assumptions!$B$126*Assumptions!$B$128*Assumptions!$B$127/12*U7,0)</f>
        <v/>
      </c>
      <c r="V97" s="54">
        <f>IF(V2&gt;=Assumptions!$B$46,V92*Assumptions!$B$35*Assumptions!$B$126*Assumptions!$B$128*Assumptions!$B$127/12*V7,0)</f>
        <v/>
      </c>
      <c r="W97" s="54">
        <f>IF(W2&gt;=Assumptions!$B$46,W92*Assumptions!$B$35*Assumptions!$B$126*Assumptions!$B$128*Assumptions!$B$127/12*W7,0)</f>
        <v/>
      </c>
      <c r="X97" s="54">
        <f>IF(X2&gt;=Assumptions!$B$46,X92*Assumptions!$B$35*Assumptions!$B$126*Assumptions!$B$128*Assumptions!$B$127/12*X7,0)</f>
        <v/>
      </c>
      <c r="Y97" s="54">
        <f>IF(Y2&gt;=Assumptions!$B$46,Y92*Assumptions!$B$35*Assumptions!$B$126*Assumptions!$B$128*Assumptions!$B$127/12*Y7,0)</f>
        <v/>
      </c>
      <c r="Z97" s="54">
        <f>IF(Z2&gt;=Assumptions!$B$46,Z92*Assumptions!$B$35*Assumptions!$B$126*Assumptions!$B$128*Assumptions!$B$127/12*Z7,0)</f>
        <v/>
      </c>
      <c r="AA97" s="54">
        <f>IF(AA2&gt;=Assumptions!$B$46,AA92*Assumptions!$B$35*Assumptions!$B$126*Assumptions!$B$128*Assumptions!$B$127/12*AA7,0)</f>
        <v/>
      </c>
      <c r="AB97" s="54">
        <f>IF(AB2&gt;=Assumptions!$B$46,AB92*Assumptions!$B$35*Assumptions!$B$126*Assumptions!$B$128*Assumptions!$B$127/12*AB7,0)</f>
        <v/>
      </c>
      <c r="AC97" s="54">
        <f>IF(AC2&gt;=Assumptions!$B$46,AC92*Assumptions!$B$35*Assumptions!$B$126*Assumptions!$B$128*Assumptions!$B$127/12*AC7,0)</f>
        <v/>
      </c>
      <c r="AD97" s="54">
        <f>IF(AD2&gt;=Assumptions!$B$46,AD92*Assumptions!$B$35*Assumptions!$B$126*Assumptions!$B$128*Assumptions!$B$127/12*AD7,0)</f>
        <v/>
      </c>
      <c r="AE97" s="54">
        <f>IF(AE2&gt;=Assumptions!$B$46,AE92*Assumptions!$B$35*Assumptions!$B$126*Assumptions!$B$128*Assumptions!$B$127/12*AE7,0)</f>
        <v/>
      </c>
    </row>
    <row r="98">
      <c r="A98" s="6" t="inlineStr">
        <is>
          <t xml:space="preserve">  Grams purchased</t>
        </is>
      </c>
      <c r="B98" s="23" t="inlineStr">
        <is>
          <t>grams</t>
        </is>
      </c>
      <c r="C98" s="53">
        <f>(C96+C97)*(1-Assumptions!$B$8)/Assumptions!$B$6/(1+Assumptions!$B$9)</f>
        <v/>
      </c>
      <c r="D98" s="53">
        <f>(D96+D97)*(1-Assumptions!$B$8)/Assumptions!$B$6/(1+Assumptions!$B$9)</f>
        <v/>
      </c>
      <c r="E98" s="53">
        <f>(E96+E97)*(1-Assumptions!$B$8)/Assumptions!$B$6/(1+Assumptions!$B$9)</f>
        <v/>
      </c>
      <c r="F98" s="53">
        <f>(F96+F97)*(1-Assumptions!$B$8)/Assumptions!$B$6/(1+Assumptions!$B$9)</f>
        <v/>
      </c>
      <c r="G98" s="53">
        <f>(G96+G97)*(1-Assumptions!$B$8)/Assumptions!$B$6/(1+Assumptions!$B$9)</f>
        <v/>
      </c>
      <c r="H98" s="53">
        <f>(H96+H97)*(1-Assumptions!$B$8)/Assumptions!$B$6/(1+Assumptions!$B$9)</f>
        <v/>
      </c>
      <c r="I98" s="53">
        <f>(I96+I97)*(1-Assumptions!$B$8)/Assumptions!$B$6/(1+Assumptions!$B$9)</f>
        <v/>
      </c>
      <c r="J98" s="53">
        <f>(J96+J97)*(1-Assumptions!$B$8)/Assumptions!$B$6/(1+Assumptions!$B$9)</f>
        <v/>
      </c>
      <c r="K98" s="53">
        <f>(K96+K97)*(1-Assumptions!$B$8)/Assumptions!$B$6/(1+Assumptions!$B$9)</f>
        <v/>
      </c>
      <c r="L98" s="53">
        <f>(L96+L97)*(1-Assumptions!$B$8)/Assumptions!$B$6/(1+Assumptions!$B$9)</f>
        <v/>
      </c>
      <c r="M98" s="53">
        <f>(M96+M97)*(1-Assumptions!$B$8)/Assumptions!$B$6/(1+Assumptions!$B$9)</f>
        <v/>
      </c>
      <c r="N98" s="53">
        <f>(N96+N97)*(1-Assumptions!$B$8)/Assumptions!$B$6/(1+Assumptions!$B$9)</f>
        <v/>
      </c>
      <c r="O98" s="53">
        <f>(O96+O97)*(1-Assumptions!$B$8)/Assumptions!$B$6/(1+Assumptions!$B$9)</f>
        <v/>
      </c>
      <c r="P98" s="53">
        <f>(P96+P97)*(1-Assumptions!$B$8)/Assumptions!$B$6/(1+Assumptions!$B$9)</f>
        <v/>
      </c>
      <c r="Q98" s="53">
        <f>(Q96+Q97)*(1-Assumptions!$B$8)/Assumptions!$B$6/(1+Assumptions!$B$9)</f>
        <v/>
      </c>
      <c r="R98" s="53">
        <f>(R96+R97)*(1-Assumptions!$B$8)/Assumptions!$B$6/(1+Assumptions!$B$9)</f>
        <v/>
      </c>
      <c r="S98" s="53">
        <f>(S96+S97)*(1-Assumptions!$B$8)/Assumptions!$B$6/(1+Assumptions!$B$9)</f>
        <v/>
      </c>
      <c r="T98" s="53">
        <f>(T96+T97)*(1-Assumptions!$B$8)/Assumptions!$B$6/(1+Assumptions!$B$9)</f>
        <v/>
      </c>
      <c r="U98" s="53">
        <f>(U96+U97)*(1-Assumptions!$B$8)/Assumptions!$B$6/(1+Assumptions!$B$9)</f>
        <v/>
      </c>
      <c r="V98" s="53">
        <f>(V96+V97)*(1-Assumptions!$B$8)/Assumptions!$B$6/(1+Assumptions!$B$9)</f>
        <v/>
      </c>
      <c r="W98" s="53">
        <f>(W96+W97)*(1-Assumptions!$B$8)/Assumptions!$B$6/(1+Assumptions!$B$9)</f>
        <v/>
      </c>
      <c r="X98" s="53">
        <f>(X96+X97)*(1-Assumptions!$B$8)/Assumptions!$B$6/(1+Assumptions!$B$9)</f>
        <v/>
      </c>
      <c r="Y98" s="53">
        <f>(Y96+Y97)*(1-Assumptions!$B$8)/Assumptions!$B$6/(1+Assumptions!$B$9)</f>
        <v/>
      </c>
      <c r="Z98" s="53">
        <f>(Z96+Z97)*(1-Assumptions!$B$8)/Assumptions!$B$6/(1+Assumptions!$B$9)</f>
        <v/>
      </c>
      <c r="AA98" s="53">
        <f>(AA96+AA97)*(1-Assumptions!$B$8)/Assumptions!$B$6/(1+Assumptions!$B$9)</f>
        <v/>
      </c>
      <c r="AB98" s="53">
        <f>(AB96+AB97)*(1-Assumptions!$B$8)/Assumptions!$B$6/(1+Assumptions!$B$9)</f>
        <v/>
      </c>
      <c r="AC98" s="53">
        <f>(AC96+AC97)*(1-Assumptions!$B$8)/Assumptions!$B$6/(1+Assumptions!$B$9)</f>
        <v/>
      </c>
      <c r="AD98" s="53">
        <f>(AD96+AD97)*(1-Assumptions!$B$8)/Assumptions!$B$6/(1+Assumptions!$B$9)</f>
        <v/>
      </c>
      <c r="AE98" s="53">
        <f>(AE96+AE97)*(1-Assumptions!$B$8)/Assumptions!$B$6/(1+Assumptions!$B$9)</f>
        <v/>
      </c>
    </row>
    <row r="99">
      <c r="A99" s="6" t="inlineStr">
        <is>
          <t xml:space="preserve">  AUM decay rate (holder-weighted)</t>
        </is>
      </c>
      <c r="B99" s="23" t="inlineStr">
        <is>
          <t>%/period</t>
        </is>
      </c>
      <c r="C99" s="55">
        <f>(Assumptions!$B$123+Assumptions!$B$124*IF(C92+C94=0,1,(C92+C94*Assumptions!$B$125)/(C92+C94)))*C7/12</f>
        <v/>
      </c>
      <c r="D99" s="55">
        <f>(Assumptions!$B$123+Assumptions!$B$124*IF(D92+D94=0,1,(D92+D94*Assumptions!$B$125)/(D92+D94)))*D7/12</f>
        <v/>
      </c>
      <c r="E99" s="55">
        <f>(Assumptions!$B$123+Assumptions!$B$124*IF(E92+E94=0,1,(E92+E94*Assumptions!$B$125)/(E92+E94)))*E7/12</f>
        <v/>
      </c>
      <c r="F99" s="55">
        <f>(Assumptions!$B$123+Assumptions!$B$124*IF(F92+F94=0,1,(F92+F94*Assumptions!$B$125)/(F92+F94)))*F7/12</f>
        <v/>
      </c>
      <c r="G99" s="55">
        <f>(Assumptions!$B$123+Assumptions!$B$124*IF(G92+G94=0,1,(G92+G94*Assumptions!$B$125)/(G92+G94)))*G7/12</f>
        <v/>
      </c>
      <c r="H99" s="55">
        <f>(Assumptions!$B$123+Assumptions!$B$124*IF(H92+H94=0,1,(H92+H94*Assumptions!$B$125)/(H92+H94)))*H7/12</f>
        <v/>
      </c>
      <c r="I99" s="55">
        <f>(Assumptions!$B$123+Assumptions!$B$124*IF(I92+I94=0,1,(I92+I94*Assumptions!$B$125)/(I92+I94)))*I7/12</f>
        <v/>
      </c>
      <c r="J99" s="55">
        <f>(Assumptions!$B$123+Assumptions!$B$124*IF(J92+J94=0,1,(J92+J94*Assumptions!$B$125)/(J92+J94)))*J7/12</f>
        <v/>
      </c>
      <c r="K99" s="55">
        <f>(Assumptions!$B$123+Assumptions!$B$124*IF(K92+K94=0,1,(K92+K94*Assumptions!$B$125)/(K92+K94)))*K7/12</f>
        <v/>
      </c>
      <c r="L99" s="55">
        <f>(Assumptions!$B$123+Assumptions!$B$124*IF(L92+L94=0,1,(L92+L94*Assumptions!$B$125)/(L92+L94)))*L7/12</f>
        <v/>
      </c>
      <c r="M99" s="55">
        <f>(Assumptions!$B$123+Assumptions!$B$124*IF(M92+M94=0,1,(M92+M94*Assumptions!$B$125)/(M92+M94)))*M7/12</f>
        <v/>
      </c>
      <c r="N99" s="55">
        <f>(Assumptions!$B$123+Assumptions!$B$124*IF(N92+N94=0,1,(N92+N94*Assumptions!$B$125)/(N92+N94)))*N7/12</f>
        <v/>
      </c>
      <c r="O99" s="55">
        <f>(Assumptions!$B$123+Assumptions!$B$124*IF(O92+O94=0,1,(O92+O94*Assumptions!$B$125)/(O92+O94)))*O7/12</f>
        <v/>
      </c>
      <c r="P99" s="55">
        <f>(Assumptions!$B$123+Assumptions!$B$124*IF(P92+P94=0,1,(P92+P94*Assumptions!$B$125)/(P92+P94)))*P7/12</f>
        <v/>
      </c>
      <c r="Q99" s="55">
        <f>(Assumptions!$B$123+Assumptions!$B$124*IF(Q92+Q94=0,1,(Q92+Q94*Assumptions!$B$125)/(Q92+Q94)))*Q7/12</f>
        <v/>
      </c>
      <c r="R99" s="55">
        <f>(Assumptions!$B$123+Assumptions!$B$124*IF(R92+R94=0,1,(R92+R94*Assumptions!$B$125)/(R92+R94)))*R7/12</f>
        <v/>
      </c>
      <c r="S99" s="55">
        <f>(Assumptions!$B$123+Assumptions!$B$124*IF(S92+S94=0,1,(S92+S94*Assumptions!$B$125)/(S92+S94)))*S7/12</f>
        <v/>
      </c>
      <c r="T99" s="55">
        <f>(Assumptions!$B$123+Assumptions!$B$124*IF(T92+T94=0,1,(T92+T94*Assumptions!$B$125)/(T92+T94)))*T7/12</f>
        <v/>
      </c>
      <c r="U99" s="55">
        <f>(Assumptions!$B$123+Assumptions!$B$124*IF(U92+U94=0,1,(U92+U94*Assumptions!$B$125)/(U92+U94)))*U7/12</f>
        <v/>
      </c>
      <c r="V99" s="55">
        <f>(Assumptions!$B$123+Assumptions!$B$124*IF(V92+V94=0,1,(V92+V94*Assumptions!$B$125)/(V92+V94)))*V7/12</f>
        <v/>
      </c>
      <c r="W99" s="55">
        <f>(Assumptions!$B$123+Assumptions!$B$124*IF(W92+W94=0,1,(W92+W94*Assumptions!$B$125)/(W92+W94)))*W7/12</f>
        <v/>
      </c>
      <c r="X99" s="55">
        <f>(Assumptions!$B$123+Assumptions!$B$124*IF(X92+X94=0,1,(X92+X94*Assumptions!$B$125)/(X92+X94)))*X7/12</f>
        <v/>
      </c>
      <c r="Y99" s="55">
        <f>(Assumptions!$B$123+Assumptions!$B$124*IF(Y92+Y94=0,1,(Y92+Y94*Assumptions!$B$125)/(Y92+Y94)))*Y7/12</f>
        <v/>
      </c>
      <c r="Z99" s="55">
        <f>(Assumptions!$B$123+Assumptions!$B$124*IF(Z92+Z94=0,1,(Z92+Z94*Assumptions!$B$125)/(Z92+Z94)))*Z7/12</f>
        <v/>
      </c>
      <c r="AA99" s="55">
        <f>(Assumptions!$B$123+Assumptions!$B$124*IF(AA92+AA94=0,1,(AA92+AA94*Assumptions!$B$125)/(AA92+AA94)))*AA7/12</f>
        <v/>
      </c>
      <c r="AB99" s="55">
        <f>(Assumptions!$B$123+Assumptions!$B$124*IF(AB92+AB94=0,1,(AB92+AB94*Assumptions!$B$125)/(AB92+AB94)))*AB7/12</f>
        <v/>
      </c>
      <c r="AC99" s="55">
        <f>(Assumptions!$B$123+Assumptions!$B$124*IF(AC92+AC94=0,1,(AC92+AC94*Assumptions!$B$125)/(AC92+AC94)))*AC7/12</f>
        <v/>
      </c>
      <c r="AD99" s="55">
        <f>(Assumptions!$B$123+Assumptions!$B$124*IF(AD92+AD94=0,1,(AD92+AD94*Assumptions!$B$125)/(AD92+AD94)))*AD7/12</f>
        <v/>
      </c>
      <c r="AE99" s="55">
        <f>(Assumptions!$B$123+Assumptions!$B$124*IF(AE92+AE94=0,1,(AE92+AE94*Assumptions!$B$125)/(AE92+AE94)))*AE7/12</f>
        <v/>
      </c>
    </row>
    <row r="100">
      <c r="A100" s="6" t="inlineStr">
        <is>
          <t xml:space="preserve">  Grams held</t>
        </is>
      </c>
      <c r="B100" s="23" t="inlineStr">
        <is>
          <t>grams</t>
        </is>
      </c>
      <c r="C100" s="44">
        <f>C98</f>
        <v/>
      </c>
      <c r="D100" s="44">
        <f>C100*(1-D99)+D98</f>
        <v/>
      </c>
      <c r="E100" s="44">
        <f>D100*(1-E99)+E98</f>
        <v/>
      </c>
      <c r="F100" s="44">
        <f>E100*(1-F99)+F98</f>
        <v/>
      </c>
      <c r="G100" s="44">
        <f>F100*(1-G99)+G98</f>
        <v/>
      </c>
      <c r="H100" s="44">
        <f>G100*(1-H99)+H98</f>
        <v/>
      </c>
      <c r="I100" s="44">
        <f>H100*(1-I99)+I98</f>
        <v/>
      </c>
      <c r="J100" s="44">
        <f>I100*(1-J99)+J98</f>
        <v/>
      </c>
      <c r="K100" s="44">
        <f>J100*(1-K99)+K98</f>
        <v/>
      </c>
      <c r="L100" s="44">
        <f>K100*(1-L99)+L98</f>
        <v/>
      </c>
      <c r="M100" s="44">
        <f>L100*(1-M99)+M98</f>
        <v/>
      </c>
      <c r="N100" s="44">
        <f>M100*(1-N99)+N98</f>
        <v/>
      </c>
      <c r="O100" s="44">
        <f>N100*(1-O99)+O98</f>
        <v/>
      </c>
      <c r="P100" s="44">
        <f>O100*(1-P99)+P98</f>
        <v/>
      </c>
      <c r="Q100" s="44">
        <f>P100*(1-Q99)+Q98</f>
        <v/>
      </c>
      <c r="R100" s="44">
        <f>Q100*(1-R99)+R98</f>
        <v/>
      </c>
      <c r="S100" s="44">
        <f>R100*(1-S99)+S98</f>
        <v/>
      </c>
      <c r="T100" s="44">
        <f>S100*(1-T99)+T98</f>
        <v/>
      </c>
      <c r="U100" s="44">
        <f>T100*(1-U99)+U98</f>
        <v/>
      </c>
      <c r="V100" s="44">
        <f>U100*(1-V99)+V98</f>
        <v/>
      </c>
      <c r="W100" s="44">
        <f>V100*(1-W99)+W98</f>
        <v/>
      </c>
      <c r="X100" s="44">
        <f>W100*(1-X99)+X98</f>
        <v/>
      </c>
      <c r="Y100" s="44">
        <f>X100*(1-Y99)+Y98</f>
        <v/>
      </c>
      <c r="Z100" s="44">
        <f>Y100*(1-Z99)+Z98</f>
        <v/>
      </c>
      <c r="AA100" s="44">
        <f>Z100*(1-AA99)+AA98</f>
        <v/>
      </c>
      <c r="AB100" s="44">
        <f>AA100*(1-AB99)+AB98</f>
        <v/>
      </c>
      <c r="AC100" s="44">
        <f>AB100*(1-AC99)+AC98</f>
        <v/>
      </c>
      <c r="AD100" s="44">
        <f>AC100*(1-AD99)+AD98</f>
        <v/>
      </c>
      <c r="AE100" s="44">
        <f>AD100*(1-AE99)+AE98</f>
        <v/>
      </c>
    </row>
    <row r="101">
      <c r="A101" s="6" t="inlineStr">
        <is>
          <t xml:space="preserve">  AUM</t>
        </is>
      </c>
      <c r="B101" s="23" t="inlineStr">
        <is>
          <t>USD</t>
        </is>
      </c>
      <c r="C101" s="56">
        <f>C100*Assumptions!$B$6</f>
        <v/>
      </c>
      <c r="D101" s="56">
        <f>D100*Assumptions!$B$6</f>
        <v/>
      </c>
      <c r="E101" s="56">
        <f>E100*Assumptions!$B$6</f>
        <v/>
      </c>
      <c r="F101" s="56">
        <f>F100*Assumptions!$B$6</f>
        <v/>
      </c>
      <c r="G101" s="56">
        <f>G100*Assumptions!$B$6</f>
        <v/>
      </c>
      <c r="H101" s="56">
        <f>H100*Assumptions!$B$6</f>
        <v/>
      </c>
      <c r="I101" s="56">
        <f>I100*Assumptions!$B$6</f>
        <v/>
      </c>
      <c r="J101" s="56">
        <f>J100*Assumptions!$B$6</f>
        <v/>
      </c>
      <c r="K101" s="56">
        <f>K100*Assumptions!$B$6</f>
        <v/>
      </c>
      <c r="L101" s="56">
        <f>L100*Assumptions!$B$6</f>
        <v/>
      </c>
      <c r="M101" s="56">
        <f>M100*Assumptions!$B$6</f>
        <v/>
      </c>
      <c r="N101" s="56">
        <f>N100*Assumptions!$B$6</f>
        <v/>
      </c>
      <c r="O101" s="56">
        <f>O100*Assumptions!$B$6</f>
        <v/>
      </c>
      <c r="P101" s="56">
        <f>P100*Assumptions!$B$6</f>
        <v/>
      </c>
      <c r="Q101" s="56">
        <f>Q100*Assumptions!$B$6</f>
        <v/>
      </c>
      <c r="R101" s="56">
        <f>R100*Assumptions!$B$6</f>
        <v/>
      </c>
      <c r="S101" s="56">
        <f>S100*Assumptions!$B$6</f>
        <v/>
      </c>
      <c r="T101" s="56">
        <f>T100*Assumptions!$B$6</f>
        <v/>
      </c>
      <c r="U101" s="56">
        <f>U100*Assumptions!$B$6</f>
        <v/>
      </c>
      <c r="V101" s="56">
        <f>V100*Assumptions!$B$6</f>
        <v/>
      </c>
      <c r="W101" s="56">
        <f>W100*Assumptions!$B$6</f>
        <v/>
      </c>
      <c r="X101" s="56">
        <f>X100*Assumptions!$B$6</f>
        <v/>
      </c>
      <c r="Y101" s="56">
        <f>Y100*Assumptions!$B$6</f>
        <v/>
      </c>
      <c r="Z101" s="56">
        <f>Z100*Assumptions!$B$6</f>
        <v/>
      </c>
      <c r="AA101" s="56">
        <f>AA100*Assumptions!$B$6</f>
        <v/>
      </c>
      <c r="AB101" s="56">
        <f>AB100*Assumptions!$B$6</f>
        <v/>
      </c>
      <c r="AC101" s="56">
        <f>AC100*Assumptions!$B$6</f>
        <v/>
      </c>
      <c r="AD101" s="56">
        <f>AD100*Assumptions!$B$6</f>
        <v/>
      </c>
      <c r="AE101" s="56">
        <f>AE100*Assumptions!$B$6</f>
        <v/>
      </c>
    </row>
    <row r="102">
      <c r="A102" s="6" t="inlineStr">
        <is>
          <t xml:space="preserve">  Card-eligible base</t>
        </is>
      </c>
      <c r="B102" s="23" t="inlineStr">
        <is>
          <t>accounts</t>
        </is>
      </c>
      <c r="C102" s="53">
        <f>C92+C94*Assumptions!$B$164</f>
        <v/>
      </c>
      <c r="D102" s="53">
        <f>D92+D94*Assumptions!$B$164</f>
        <v/>
      </c>
      <c r="E102" s="53">
        <f>E92+E94*Assumptions!$B$164</f>
        <v/>
      </c>
      <c r="F102" s="53">
        <f>F92+F94*Assumptions!$B$164</f>
        <v/>
      </c>
      <c r="G102" s="53">
        <f>G92+G94*Assumptions!$B$164</f>
        <v/>
      </c>
      <c r="H102" s="53">
        <f>H92+H94*Assumptions!$B$164</f>
        <v/>
      </c>
      <c r="I102" s="53">
        <f>I92+I94*Assumptions!$B$164</f>
        <v/>
      </c>
      <c r="J102" s="53">
        <f>J92+J94*Assumptions!$B$164</f>
        <v/>
      </c>
      <c r="K102" s="53">
        <f>K92+K94*Assumptions!$B$164</f>
        <v/>
      </c>
      <c r="L102" s="53">
        <f>L92+L94*Assumptions!$B$164</f>
        <v/>
      </c>
      <c r="M102" s="53">
        <f>M92+M94*Assumptions!$B$164</f>
        <v/>
      </c>
      <c r="N102" s="53">
        <f>N92+N94*Assumptions!$B$164</f>
        <v/>
      </c>
      <c r="O102" s="53">
        <f>O92+O94*Assumptions!$B$164</f>
        <v/>
      </c>
      <c r="P102" s="53">
        <f>P92+P94*Assumptions!$B$164</f>
        <v/>
      </c>
      <c r="Q102" s="53">
        <f>Q92+Q94*Assumptions!$B$164</f>
        <v/>
      </c>
      <c r="R102" s="53">
        <f>R92+R94*Assumptions!$B$164</f>
        <v/>
      </c>
      <c r="S102" s="53">
        <f>S92+S94*Assumptions!$B$164</f>
        <v/>
      </c>
      <c r="T102" s="53">
        <f>T92+T94*Assumptions!$B$164</f>
        <v/>
      </c>
      <c r="U102" s="53">
        <f>U92+U94*Assumptions!$B$164</f>
        <v/>
      </c>
      <c r="V102" s="53">
        <f>V92+V94*Assumptions!$B$164</f>
        <v/>
      </c>
      <c r="W102" s="53">
        <f>W92+W94*Assumptions!$B$164</f>
        <v/>
      </c>
      <c r="X102" s="53">
        <f>X92+X94*Assumptions!$B$164</f>
        <v/>
      </c>
      <c r="Y102" s="53">
        <f>Y92+Y94*Assumptions!$B$164</f>
        <v/>
      </c>
      <c r="Z102" s="53">
        <f>Z92+Z94*Assumptions!$B$164</f>
        <v/>
      </c>
      <c r="AA102" s="53">
        <f>AA92+AA94*Assumptions!$B$164</f>
        <v/>
      </c>
      <c r="AB102" s="53">
        <f>AB92+AB94*Assumptions!$B$164</f>
        <v/>
      </c>
      <c r="AC102" s="53">
        <f>AC92+AC94*Assumptions!$B$164</f>
        <v/>
      </c>
      <c r="AD102" s="53">
        <f>AD92+AD94*Assumptions!$B$164</f>
        <v/>
      </c>
      <c r="AE102" s="53">
        <f>AE92+AE94*Assumptions!$B$164</f>
        <v/>
      </c>
    </row>
    <row r="103">
      <c r="A103" s="6" t="inlineStr">
        <is>
          <t xml:space="preserve">  Cleared the six-payment gate</t>
        </is>
      </c>
      <c r="B103" s="23" t="inlineStr">
        <is>
          <t>accounts</t>
        </is>
      </c>
      <c r="C103" s="44">
        <f>IF(C7&gt;1,C102*Assumptions!$B$121,IF(C2&gt;Assumptions!$B$122,INDEX($C$102:$AE$102,1,C2-Assumptions!$B$122)*Assumptions!$B$121,0))</f>
        <v/>
      </c>
      <c r="D103" s="44">
        <f>IF(D7&gt;1,D102*Assumptions!$B$121,IF(D2&gt;Assumptions!$B$122,INDEX($C$102:$AE$102,1,D2-Assumptions!$B$122)*Assumptions!$B$121,0))</f>
        <v/>
      </c>
      <c r="E103" s="44">
        <f>IF(E7&gt;1,E102*Assumptions!$B$121,IF(E2&gt;Assumptions!$B$122,INDEX($C$102:$AE$102,1,E2-Assumptions!$B$122)*Assumptions!$B$121,0))</f>
        <v/>
      </c>
      <c r="F103" s="44">
        <f>IF(F7&gt;1,F102*Assumptions!$B$121,IF(F2&gt;Assumptions!$B$122,INDEX($C$102:$AE$102,1,F2-Assumptions!$B$122)*Assumptions!$B$121,0))</f>
        <v/>
      </c>
      <c r="G103" s="44">
        <f>IF(G7&gt;1,G102*Assumptions!$B$121,IF(G2&gt;Assumptions!$B$122,INDEX($C$102:$AE$102,1,G2-Assumptions!$B$122)*Assumptions!$B$121,0))</f>
        <v/>
      </c>
      <c r="H103" s="44">
        <f>IF(H7&gt;1,H102*Assumptions!$B$121,IF(H2&gt;Assumptions!$B$122,INDEX($C$102:$AE$102,1,H2-Assumptions!$B$122)*Assumptions!$B$121,0))</f>
        <v/>
      </c>
      <c r="I103" s="44">
        <f>IF(I7&gt;1,I102*Assumptions!$B$121,IF(I2&gt;Assumptions!$B$122,INDEX($C$102:$AE$102,1,I2-Assumptions!$B$122)*Assumptions!$B$121,0))</f>
        <v/>
      </c>
      <c r="J103" s="44">
        <f>IF(J7&gt;1,J102*Assumptions!$B$121,IF(J2&gt;Assumptions!$B$122,INDEX($C$102:$AE$102,1,J2-Assumptions!$B$122)*Assumptions!$B$121,0))</f>
        <v/>
      </c>
      <c r="K103" s="44">
        <f>IF(K7&gt;1,K102*Assumptions!$B$121,IF(K2&gt;Assumptions!$B$122,INDEX($C$102:$AE$102,1,K2-Assumptions!$B$122)*Assumptions!$B$121,0))</f>
        <v/>
      </c>
      <c r="L103" s="44">
        <f>IF(L7&gt;1,L102*Assumptions!$B$121,IF(L2&gt;Assumptions!$B$122,INDEX($C$102:$AE$102,1,L2-Assumptions!$B$122)*Assumptions!$B$121,0))</f>
        <v/>
      </c>
      <c r="M103" s="44">
        <f>IF(M7&gt;1,M102*Assumptions!$B$121,IF(M2&gt;Assumptions!$B$122,INDEX($C$102:$AE$102,1,M2-Assumptions!$B$122)*Assumptions!$B$121,0))</f>
        <v/>
      </c>
      <c r="N103" s="44">
        <f>IF(N7&gt;1,N102*Assumptions!$B$121,IF(N2&gt;Assumptions!$B$122,INDEX($C$102:$AE$102,1,N2-Assumptions!$B$122)*Assumptions!$B$121,0))</f>
        <v/>
      </c>
      <c r="O103" s="44">
        <f>IF(O7&gt;1,O102*Assumptions!$B$121,IF(O2&gt;Assumptions!$B$122,INDEX($C$102:$AE$102,1,O2-Assumptions!$B$122)*Assumptions!$B$121,0))</f>
        <v/>
      </c>
      <c r="P103" s="44">
        <f>IF(P7&gt;1,P102*Assumptions!$B$121,IF(P2&gt;Assumptions!$B$122,INDEX($C$102:$AE$102,1,P2-Assumptions!$B$122)*Assumptions!$B$121,0))</f>
        <v/>
      </c>
      <c r="Q103" s="44">
        <f>IF(Q7&gt;1,Q102*Assumptions!$B$121,IF(Q2&gt;Assumptions!$B$122,INDEX($C$102:$AE$102,1,Q2-Assumptions!$B$122)*Assumptions!$B$121,0))</f>
        <v/>
      </c>
      <c r="R103" s="44">
        <f>IF(R7&gt;1,R102*Assumptions!$B$121,IF(R2&gt;Assumptions!$B$122,INDEX($C$102:$AE$102,1,R2-Assumptions!$B$122)*Assumptions!$B$121,0))</f>
        <v/>
      </c>
      <c r="S103" s="44">
        <f>IF(S7&gt;1,S102*Assumptions!$B$121,IF(S2&gt;Assumptions!$B$122,INDEX($C$102:$AE$102,1,S2-Assumptions!$B$122)*Assumptions!$B$121,0))</f>
        <v/>
      </c>
      <c r="T103" s="44">
        <f>IF(T7&gt;1,T102*Assumptions!$B$121,IF(T2&gt;Assumptions!$B$122,INDEX($C$102:$AE$102,1,T2-Assumptions!$B$122)*Assumptions!$B$121,0))</f>
        <v/>
      </c>
      <c r="U103" s="44">
        <f>IF(U7&gt;1,U102*Assumptions!$B$121,IF(U2&gt;Assumptions!$B$122,INDEX($C$102:$AE$102,1,U2-Assumptions!$B$122)*Assumptions!$B$121,0))</f>
        <v/>
      </c>
      <c r="V103" s="44">
        <f>IF(V7&gt;1,V102*Assumptions!$B$121,IF(V2&gt;Assumptions!$B$122,INDEX($C$102:$AE$102,1,V2-Assumptions!$B$122)*Assumptions!$B$121,0))</f>
        <v/>
      </c>
      <c r="W103" s="44">
        <f>IF(W7&gt;1,W102*Assumptions!$B$121,IF(W2&gt;Assumptions!$B$122,INDEX($C$102:$AE$102,1,W2-Assumptions!$B$122)*Assumptions!$B$121,0))</f>
        <v/>
      </c>
      <c r="X103" s="44">
        <f>IF(X7&gt;1,X102*Assumptions!$B$121,IF(X2&gt;Assumptions!$B$122,INDEX($C$102:$AE$102,1,X2-Assumptions!$B$122)*Assumptions!$B$121,0))</f>
        <v/>
      </c>
      <c r="Y103" s="44">
        <f>IF(Y7&gt;1,Y102*Assumptions!$B$121,IF(Y2&gt;Assumptions!$B$122,INDEX($C$102:$AE$102,1,Y2-Assumptions!$B$122)*Assumptions!$B$121,0))</f>
        <v/>
      </c>
      <c r="Z103" s="44">
        <f>IF(Z7&gt;1,Z102*Assumptions!$B$121,IF(Z2&gt;Assumptions!$B$122,INDEX($C$102:$AE$102,1,Z2-Assumptions!$B$122)*Assumptions!$B$121,0))</f>
        <v/>
      </c>
      <c r="AA103" s="44">
        <f>IF(AA7&gt;1,AA102*Assumptions!$B$121,IF(AA2&gt;Assumptions!$B$122,INDEX($C$102:$AE$102,1,AA2-Assumptions!$B$122)*Assumptions!$B$121,0))</f>
        <v/>
      </c>
      <c r="AB103" s="44">
        <f>IF(AB7&gt;1,AB102*Assumptions!$B$121,IF(AB2&gt;Assumptions!$B$122,INDEX($C$102:$AE$102,1,AB2-Assumptions!$B$122)*Assumptions!$B$121,0))</f>
        <v/>
      </c>
      <c r="AC103" s="44">
        <f>IF(AC7&gt;1,AC102*Assumptions!$B$121,IF(AC2&gt;Assumptions!$B$122,INDEX($C$102:$AE$102,1,AC2-Assumptions!$B$122)*Assumptions!$B$121,0))</f>
        <v/>
      </c>
      <c r="AD103" s="44">
        <f>IF(AD7&gt;1,AD102*Assumptions!$B$121,IF(AD2&gt;Assumptions!$B$122,INDEX($C$102:$AE$102,1,AD2-Assumptions!$B$122)*Assumptions!$B$121,0))</f>
        <v/>
      </c>
      <c r="AE103" s="44">
        <f>IF(AE7&gt;1,AE102*Assumptions!$B$121,IF(AE2&gt;Assumptions!$B$122,INDEX($C$102:$AE$102,1,AE2-Assumptions!$B$122)*Assumptions!$B$121,0))</f>
        <v/>
      </c>
    </row>
    <row r="104">
      <c r="A104" s="6" t="inlineStr">
        <is>
          <t xml:space="preserve">  Active cards</t>
        </is>
      </c>
      <c r="B104" s="23" t="inlineStr">
        <is>
          <t>cards</t>
        </is>
      </c>
      <c r="C104" s="28">
        <f>IF(C2&gt;=Assumptions!$B$49,C103*Assumptions!$B$132,0)</f>
        <v/>
      </c>
      <c r="D104" s="28">
        <f>IF(D2&gt;=Assumptions!$B$49,D103*Assumptions!$B$132,0)</f>
        <v/>
      </c>
      <c r="E104" s="28">
        <f>IF(E2&gt;=Assumptions!$B$49,E103*Assumptions!$B$132,0)</f>
        <v/>
      </c>
      <c r="F104" s="28">
        <f>IF(F2&gt;=Assumptions!$B$49,F103*Assumptions!$B$132,0)</f>
        <v/>
      </c>
      <c r="G104" s="28">
        <f>IF(G2&gt;=Assumptions!$B$49,G103*Assumptions!$B$132,0)</f>
        <v/>
      </c>
      <c r="H104" s="28">
        <f>IF(H2&gt;=Assumptions!$B$49,H103*Assumptions!$B$132,0)</f>
        <v/>
      </c>
      <c r="I104" s="28">
        <f>IF(I2&gt;=Assumptions!$B$49,I103*Assumptions!$B$132,0)</f>
        <v/>
      </c>
      <c r="J104" s="28">
        <f>IF(J2&gt;=Assumptions!$B$49,J103*Assumptions!$B$132,0)</f>
        <v/>
      </c>
      <c r="K104" s="28">
        <f>IF(K2&gt;=Assumptions!$B$49,K103*Assumptions!$B$132,0)</f>
        <v/>
      </c>
      <c r="L104" s="28">
        <f>IF(L2&gt;=Assumptions!$B$49,L103*Assumptions!$B$132,0)</f>
        <v/>
      </c>
      <c r="M104" s="28">
        <f>IF(M2&gt;=Assumptions!$B$49,M103*Assumptions!$B$132,0)</f>
        <v/>
      </c>
      <c r="N104" s="28">
        <f>IF(N2&gt;=Assumptions!$B$49,N103*Assumptions!$B$132,0)</f>
        <v/>
      </c>
      <c r="O104" s="28">
        <f>IF(O2&gt;=Assumptions!$B$49,O103*Assumptions!$B$132,0)</f>
        <v/>
      </c>
      <c r="P104" s="28">
        <f>IF(P2&gt;=Assumptions!$B$49,P103*Assumptions!$B$132,0)</f>
        <v/>
      </c>
      <c r="Q104" s="28">
        <f>IF(Q2&gt;=Assumptions!$B$49,Q103*Assumptions!$B$132,0)</f>
        <v/>
      </c>
      <c r="R104" s="28">
        <f>IF(R2&gt;=Assumptions!$B$49,R103*Assumptions!$B$132,0)</f>
        <v/>
      </c>
      <c r="S104" s="28">
        <f>IF(S2&gt;=Assumptions!$B$49,S103*Assumptions!$B$132,0)</f>
        <v/>
      </c>
      <c r="T104" s="28">
        <f>IF(T2&gt;=Assumptions!$B$49,T103*Assumptions!$B$132,0)</f>
        <v/>
      </c>
      <c r="U104" s="28">
        <f>IF(U2&gt;=Assumptions!$B$49,U103*Assumptions!$B$132,0)</f>
        <v/>
      </c>
      <c r="V104" s="28">
        <f>IF(V2&gt;=Assumptions!$B$49,V103*Assumptions!$B$132,0)</f>
        <v/>
      </c>
      <c r="W104" s="28">
        <f>IF(W2&gt;=Assumptions!$B$49,W103*Assumptions!$B$132,0)</f>
        <v/>
      </c>
      <c r="X104" s="28">
        <f>IF(X2&gt;=Assumptions!$B$49,X103*Assumptions!$B$132,0)</f>
        <v/>
      </c>
      <c r="Y104" s="28">
        <f>IF(Y2&gt;=Assumptions!$B$49,Y103*Assumptions!$B$132,0)</f>
        <v/>
      </c>
      <c r="Z104" s="28">
        <f>IF(Z2&gt;=Assumptions!$B$49,Z103*Assumptions!$B$132,0)</f>
        <v/>
      </c>
      <c r="AA104" s="28">
        <f>IF(AA2&gt;=Assumptions!$B$49,AA103*Assumptions!$B$132,0)</f>
        <v/>
      </c>
      <c r="AB104" s="28">
        <f>IF(AB2&gt;=Assumptions!$B$49,AB103*Assumptions!$B$132,0)</f>
        <v/>
      </c>
      <c r="AC104" s="28">
        <f>IF(AC2&gt;=Assumptions!$B$49,AC103*Assumptions!$B$132,0)</f>
        <v/>
      </c>
      <c r="AD104" s="28">
        <f>IF(AD2&gt;=Assumptions!$B$49,AD103*Assumptions!$B$132,0)</f>
        <v/>
      </c>
      <c r="AE104" s="28">
        <f>IF(AE2&gt;=Assumptions!$B$49,AE103*Assumptions!$B$132,0)</f>
        <v/>
      </c>
    </row>
    <row r="105">
      <c r="A105" s="6" t="inlineStr">
        <is>
          <t xml:space="preserve">  Credit limit per customer (gold x LTV)</t>
        </is>
      </c>
      <c r="B105" s="23" t="inlineStr">
        <is>
          <t>USD</t>
        </is>
      </c>
      <c r="C105" s="54">
        <f>IF(C92=0,0,C101/C92*Assumptions!$B$32)</f>
        <v/>
      </c>
      <c r="D105" s="54">
        <f>IF(D92=0,0,D101/D92*Assumptions!$B$32)</f>
        <v/>
      </c>
      <c r="E105" s="54">
        <f>IF(E92=0,0,E101/E92*Assumptions!$B$32)</f>
        <v/>
      </c>
      <c r="F105" s="54">
        <f>IF(F92=0,0,F101/F92*Assumptions!$B$32)</f>
        <v/>
      </c>
      <c r="G105" s="54">
        <f>IF(G92=0,0,G101/G92*Assumptions!$B$32)</f>
        <v/>
      </c>
      <c r="H105" s="54">
        <f>IF(H92=0,0,H101/H92*Assumptions!$B$32)</f>
        <v/>
      </c>
      <c r="I105" s="54">
        <f>IF(I92=0,0,I101/I92*Assumptions!$B$32)</f>
        <v/>
      </c>
      <c r="J105" s="54">
        <f>IF(J92=0,0,J101/J92*Assumptions!$B$32)</f>
        <v/>
      </c>
      <c r="K105" s="54">
        <f>IF(K92=0,0,K101/K92*Assumptions!$B$32)</f>
        <v/>
      </c>
      <c r="L105" s="54">
        <f>IF(L92=0,0,L101/L92*Assumptions!$B$32)</f>
        <v/>
      </c>
      <c r="M105" s="54">
        <f>IF(M92=0,0,M101/M92*Assumptions!$B$32)</f>
        <v/>
      </c>
      <c r="N105" s="54">
        <f>IF(N92=0,0,N101/N92*Assumptions!$B$32)</f>
        <v/>
      </c>
      <c r="O105" s="54">
        <f>IF(O92=0,0,O101/O92*Assumptions!$B$32)</f>
        <v/>
      </c>
      <c r="P105" s="54">
        <f>IF(P92=0,0,P101/P92*Assumptions!$B$32)</f>
        <v/>
      </c>
      <c r="Q105" s="54">
        <f>IF(Q92=0,0,Q101/Q92*Assumptions!$B$32)</f>
        <v/>
      </c>
      <c r="R105" s="54">
        <f>IF(R92=0,0,R101/R92*Assumptions!$B$32)</f>
        <v/>
      </c>
      <c r="S105" s="54">
        <f>IF(S92=0,0,S101/S92*Assumptions!$B$32)</f>
        <v/>
      </c>
      <c r="T105" s="54">
        <f>IF(T92=0,0,T101/T92*Assumptions!$B$32)</f>
        <v/>
      </c>
      <c r="U105" s="54">
        <f>IF(U92=0,0,U101/U92*Assumptions!$B$32)</f>
        <v/>
      </c>
      <c r="V105" s="54">
        <f>IF(V92=0,0,V101/V92*Assumptions!$B$32)</f>
        <v/>
      </c>
      <c r="W105" s="54">
        <f>IF(W92=0,0,W101/W92*Assumptions!$B$32)</f>
        <v/>
      </c>
      <c r="X105" s="54">
        <f>IF(X92=0,0,X101/X92*Assumptions!$B$32)</f>
        <v/>
      </c>
      <c r="Y105" s="54">
        <f>IF(Y92=0,0,Y101/Y92*Assumptions!$B$32)</f>
        <v/>
      </c>
      <c r="Z105" s="54">
        <f>IF(Z92=0,0,Z101/Z92*Assumptions!$B$32)</f>
        <v/>
      </c>
      <c r="AA105" s="54">
        <f>IF(AA92=0,0,AA101/AA92*Assumptions!$B$32)</f>
        <v/>
      </c>
      <c r="AB105" s="54">
        <f>IF(AB92=0,0,AB101/AB92*Assumptions!$B$32)</f>
        <v/>
      </c>
      <c r="AC105" s="54">
        <f>IF(AC92=0,0,AC101/AC92*Assumptions!$B$32)</f>
        <v/>
      </c>
      <c r="AD105" s="54">
        <f>IF(AD92=0,0,AD101/AD92*Assumptions!$B$32)</f>
        <v/>
      </c>
      <c r="AE105" s="54">
        <f>IF(AE92=0,0,AE101/AE92*Assumptions!$B$32)</f>
        <v/>
      </c>
    </row>
    <row r="106">
      <c r="A106" s="6" t="inlineStr">
        <is>
          <t xml:space="preserve">  Card spend per card per month</t>
        </is>
      </c>
      <c r="B106" s="23" t="inlineStr">
        <is>
          <t>USD</t>
        </is>
      </c>
      <c r="C106" s="54">
        <f>IF(Assumptions!$B$163=1,Assumptions!$B$159*Assumptions!$B$131*C16,MIN(Assumptions!$B$159*Assumptions!$B$131*C16,C105))</f>
        <v/>
      </c>
      <c r="D106" s="54">
        <f>IF(Assumptions!$B$163=1,Assumptions!$B$159*Assumptions!$B$131*D16,MIN(Assumptions!$B$159*Assumptions!$B$131*D16,D105))</f>
        <v/>
      </c>
      <c r="E106" s="54">
        <f>IF(Assumptions!$B$163=1,Assumptions!$B$159*Assumptions!$B$131*E16,MIN(Assumptions!$B$159*Assumptions!$B$131*E16,E105))</f>
        <v/>
      </c>
      <c r="F106" s="54">
        <f>IF(Assumptions!$B$163=1,Assumptions!$B$159*Assumptions!$B$131*F16,MIN(Assumptions!$B$159*Assumptions!$B$131*F16,F105))</f>
        <v/>
      </c>
      <c r="G106" s="54">
        <f>IF(Assumptions!$B$163=1,Assumptions!$B$159*Assumptions!$B$131*G16,MIN(Assumptions!$B$159*Assumptions!$B$131*G16,G105))</f>
        <v/>
      </c>
      <c r="H106" s="54">
        <f>IF(Assumptions!$B$163=1,Assumptions!$B$159*Assumptions!$B$131*H16,MIN(Assumptions!$B$159*Assumptions!$B$131*H16,H105))</f>
        <v/>
      </c>
      <c r="I106" s="54">
        <f>IF(Assumptions!$B$163=1,Assumptions!$B$159*Assumptions!$B$131*I16,MIN(Assumptions!$B$159*Assumptions!$B$131*I16,I105))</f>
        <v/>
      </c>
      <c r="J106" s="54">
        <f>IF(Assumptions!$B$163=1,Assumptions!$B$159*Assumptions!$B$131*J16,MIN(Assumptions!$B$159*Assumptions!$B$131*J16,J105))</f>
        <v/>
      </c>
      <c r="K106" s="54">
        <f>IF(Assumptions!$B$163=1,Assumptions!$B$159*Assumptions!$B$131*K16,MIN(Assumptions!$B$159*Assumptions!$B$131*K16,K105))</f>
        <v/>
      </c>
      <c r="L106" s="54">
        <f>IF(Assumptions!$B$163=1,Assumptions!$B$159*Assumptions!$B$131*L16,MIN(Assumptions!$B$159*Assumptions!$B$131*L16,L105))</f>
        <v/>
      </c>
      <c r="M106" s="54">
        <f>IF(Assumptions!$B$163=1,Assumptions!$B$159*Assumptions!$B$131*M16,MIN(Assumptions!$B$159*Assumptions!$B$131*M16,M105))</f>
        <v/>
      </c>
      <c r="N106" s="54">
        <f>IF(Assumptions!$B$163=1,Assumptions!$B$159*Assumptions!$B$131*N16,MIN(Assumptions!$B$159*Assumptions!$B$131*N16,N105))</f>
        <v/>
      </c>
      <c r="O106" s="54">
        <f>IF(Assumptions!$B$163=1,Assumptions!$B$159*Assumptions!$B$131*O16,MIN(Assumptions!$B$159*Assumptions!$B$131*O16,O105))</f>
        <v/>
      </c>
      <c r="P106" s="54">
        <f>IF(Assumptions!$B$163=1,Assumptions!$B$159*Assumptions!$B$131*P16,MIN(Assumptions!$B$159*Assumptions!$B$131*P16,P105))</f>
        <v/>
      </c>
      <c r="Q106" s="54">
        <f>IF(Assumptions!$B$163=1,Assumptions!$B$159*Assumptions!$B$131*Q16,MIN(Assumptions!$B$159*Assumptions!$B$131*Q16,Q105))</f>
        <v/>
      </c>
      <c r="R106" s="54">
        <f>IF(Assumptions!$B$163=1,Assumptions!$B$159*Assumptions!$B$131*R16,MIN(Assumptions!$B$159*Assumptions!$B$131*R16,R105))</f>
        <v/>
      </c>
      <c r="S106" s="54">
        <f>IF(Assumptions!$B$163=1,Assumptions!$B$159*Assumptions!$B$131*S16,MIN(Assumptions!$B$159*Assumptions!$B$131*S16,S105))</f>
        <v/>
      </c>
      <c r="T106" s="54">
        <f>IF(Assumptions!$B$163=1,Assumptions!$B$159*Assumptions!$B$131*T16,MIN(Assumptions!$B$159*Assumptions!$B$131*T16,T105))</f>
        <v/>
      </c>
      <c r="U106" s="54">
        <f>IF(Assumptions!$B$163=1,Assumptions!$B$159*Assumptions!$B$131*U16,MIN(Assumptions!$B$159*Assumptions!$B$131*U16,U105))</f>
        <v/>
      </c>
      <c r="V106" s="54">
        <f>IF(Assumptions!$B$163=1,Assumptions!$B$159*Assumptions!$B$131*V16,MIN(Assumptions!$B$159*Assumptions!$B$131*V16,V105))</f>
        <v/>
      </c>
      <c r="W106" s="54">
        <f>IF(Assumptions!$B$163=1,Assumptions!$B$159*Assumptions!$B$131*W16,MIN(Assumptions!$B$159*Assumptions!$B$131*W16,W105))</f>
        <v/>
      </c>
      <c r="X106" s="54">
        <f>IF(Assumptions!$B$163=1,Assumptions!$B$159*Assumptions!$B$131*X16,MIN(Assumptions!$B$159*Assumptions!$B$131*X16,X105))</f>
        <v/>
      </c>
      <c r="Y106" s="54">
        <f>IF(Assumptions!$B$163=1,Assumptions!$B$159*Assumptions!$B$131*Y16,MIN(Assumptions!$B$159*Assumptions!$B$131*Y16,Y105))</f>
        <v/>
      </c>
      <c r="Z106" s="54">
        <f>IF(Assumptions!$B$163=1,Assumptions!$B$159*Assumptions!$B$131*Z16,MIN(Assumptions!$B$159*Assumptions!$B$131*Z16,Z105))</f>
        <v/>
      </c>
      <c r="AA106" s="54">
        <f>IF(Assumptions!$B$163=1,Assumptions!$B$159*Assumptions!$B$131*AA16,MIN(Assumptions!$B$159*Assumptions!$B$131*AA16,AA105))</f>
        <v/>
      </c>
      <c r="AB106" s="54">
        <f>IF(Assumptions!$B$163=1,Assumptions!$B$159*Assumptions!$B$131*AB16,MIN(Assumptions!$B$159*Assumptions!$B$131*AB16,AB105))</f>
        <v/>
      </c>
      <c r="AC106" s="54">
        <f>IF(Assumptions!$B$163=1,Assumptions!$B$159*Assumptions!$B$131*AC16,MIN(Assumptions!$B$159*Assumptions!$B$131*AC16,AC105))</f>
        <v/>
      </c>
      <c r="AD106" s="54">
        <f>IF(Assumptions!$B$163=1,Assumptions!$B$159*Assumptions!$B$131*AD16,MIN(Assumptions!$B$159*Assumptions!$B$131*AD16,AD105))</f>
        <v/>
      </c>
      <c r="AE106" s="54">
        <f>IF(Assumptions!$B$163=1,Assumptions!$B$159*Assumptions!$B$131*AE16,MIN(Assumptions!$B$159*Assumptions!$B$131*AE16,AE105))</f>
        <v/>
      </c>
    </row>
    <row r="107">
      <c r="A107" s="6" t="inlineStr">
        <is>
          <t xml:space="preserve">  Card spend</t>
        </is>
      </c>
      <c r="B107" s="23" t="inlineStr">
        <is>
          <t>AED</t>
        </is>
      </c>
      <c r="C107" s="44">
        <f>C104*C106*Assumptions!$B$7*C7</f>
        <v/>
      </c>
      <c r="D107" s="44">
        <f>D104*D106*Assumptions!$B$7*D7</f>
        <v/>
      </c>
      <c r="E107" s="44">
        <f>E104*E106*Assumptions!$B$7*E7</f>
        <v/>
      </c>
      <c r="F107" s="44">
        <f>F104*F106*Assumptions!$B$7*F7</f>
        <v/>
      </c>
      <c r="G107" s="44">
        <f>G104*G106*Assumptions!$B$7*G7</f>
        <v/>
      </c>
      <c r="H107" s="44">
        <f>H104*H106*Assumptions!$B$7*H7</f>
        <v/>
      </c>
      <c r="I107" s="44">
        <f>I104*I106*Assumptions!$B$7*I7</f>
        <v/>
      </c>
      <c r="J107" s="44">
        <f>J104*J106*Assumptions!$B$7*J7</f>
        <v/>
      </c>
      <c r="K107" s="44">
        <f>K104*K106*Assumptions!$B$7*K7</f>
        <v/>
      </c>
      <c r="L107" s="44">
        <f>L104*L106*Assumptions!$B$7*L7</f>
        <v/>
      </c>
      <c r="M107" s="44">
        <f>M104*M106*Assumptions!$B$7*M7</f>
        <v/>
      </c>
      <c r="N107" s="44">
        <f>N104*N106*Assumptions!$B$7*N7</f>
        <v/>
      </c>
      <c r="O107" s="44">
        <f>O104*O106*Assumptions!$B$7*O7</f>
        <v/>
      </c>
      <c r="P107" s="44">
        <f>P104*P106*Assumptions!$B$7*P7</f>
        <v/>
      </c>
      <c r="Q107" s="44">
        <f>Q104*Q106*Assumptions!$B$7*Q7</f>
        <v/>
      </c>
      <c r="R107" s="44">
        <f>R104*R106*Assumptions!$B$7*R7</f>
        <v/>
      </c>
      <c r="S107" s="44">
        <f>S104*S106*Assumptions!$B$7*S7</f>
        <v/>
      </c>
      <c r="T107" s="44">
        <f>T104*T106*Assumptions!$B$7*T7</f>
        <v/>
      </c>
      <c r="U107" s="44">
        <f>U104*U106*Assumptions!$B$7*U7</f>
        <v/>
      </c>
      <c r="V107" s="44">
        <f>V104*V106*Assumptions!$B$7*V7</f>
        <v/>
      </c>
      <c r="W107" s="44">
        <f>W104*W106*Assumptions!$B$7*W7</f>
        <v/>
      </c>
      <c r="X107" s="44">
        <f>X104*X106*Assumptions!$B$7*X7</f>
        <v/>
      </c>
      <c r="Y107" s="44">
        <f>Y104*Y106*Assumptions!$B$7*Y7</f>
        <v/>
      </c>
      <c r="Z107" s="44">
        <f>Z104*Z106*Assumptions!$B$7*Z7</f>
        <v/>
      </c>
      <c r="AA107" s="44">
        <f>AA104*AA106*Assumptions!$B$7*AA7</f>
        <v/>
      </c>
      <c r="AB107" s="44">
        <f>AB104*AB106*Assumptions!$B$7*AB7</f>
        <v/>
      </c>
      <c r="AC107" s="44">
        <f>AC104*AC106*Assumptions!$B$7*AC7</f>
        <v/>
      </c>
      <c r="AD107" s="44">
        <f>AD104*AD106*Assumptions!$B$7*AD7</f>
        <v/>
      </c>
      <c r="AE107" s="44">
        <f>AE104*AE106*Assumptions!$B$7*AE7</f>
        <v/>
      </c>
    </row>
    <row r="108">
      <c r="A108" s="6" t="inlineStr">
        <is>
          <t xml:space="preserve">  Card spend</t>
        </is>
      </c>
      <c r="B108" s="23" t="inlineStr">
        <is>
          <t>USD</t>
        </is>
      </c>
      <c r="C108" s="54">
        <f>C107/Assumptions!$B$7</f>
        <v/>
      </c>
      <c r="D108" s="54">
        <f>D107/Assumptions!$B$7</f>
        <v/>
      </c>
      <c r="E108" s="54">
        <f>E107/Assumptions!$B$7</f>
        <v/>
      </c>
      <c r="F108" s="54">
        <f>F107/Assumptions!$B$7</f>
        <v/>
      </c>
      <c r="G108" s="54">
        <f>G107/Assumptions!$B$7</f>
        <v/>
      </c>
      <c r="H108" s="54">
        <f>H107/Assumptions!$B$7</f>
        <v/>
      </c>
      <c r="I108" s="54">
        <f>I107/Assumptions!$B$7</f>
        <v/>
      </c>
      <c r="J108" s="54">
        <f>J107/Assumptions!$B$7</f>
        <v/>
      </c>
      <c r="K108" s="54">
        <f>K107/Assumptions!$B$7</f>
        <v/>
      </c>
      <c r="L108" s="54">
        <f>L107/Assumptions!$B$7</f>
        <v/>
      </c>
      <c r="M108" s="54">
        <f>M107/Assumptions!$B$7</f>
        <v/>
      </c>
      <c r="N108" s="54">
        <f>N107/Assumptions!$B$7</f>
        <v/>
      </c>
      <c r="O108" s="54">
        <f>O107/Assumptions!$B$7</f>
        <v/>
      </c>
      <c r="P108" s="54">
        <f>P107/Assumptions!$B$7</f>
        <v/>
      </c>
      <c r="Q108" s="54">
        <f>Q107/Assumptions!$B$7</f>
        <v/>
      </c>
      <c r="R108" s="54">
        <f>R107/Assumptions!$B$7</f>
        <v/>
      </c>
      <c r="S108" s="54">
        <f>S107/Assumptions!$B$7</f>
        <v/>
      </c>
      <c r="T108" s="54">
        <f>T107/Assumptions!$B$7</f>
        <v/>
      </c>
      <c r="U108" s="54">
        <f>U107/Assumptions!$B$7</f>
        <v/>
      </c>
      <c r="V108" s="54">
        <f>V107/Assumptions!$B$7</f>
        <v/>
      </c>
      <c r="W108" s="54">
        <f>W107/Assumptions!$B$7</f>
        <v/>
      </c>
      <c r="X108" s="54">
        <f>X107/Assumptions!$B$7</f>
        <v/>
      </c>
      <c r="Y108" s="54">
        <f>Y107/Assumptions!$B$7</f>
        <v/>
      </c>
      <c r="Z108" s="54">
        <f>Z107/Assumptions!$B$7</f>
        <v/>
      </c>
      <c r="AA108" s="54">
        <f>AA107/Assumptions!$B$7</f>
        <v/>
      </c>
      <c r="AB108" s="54">
        <f>AB107/Assumptions!$B$7</f>
        <v/>
      </c>
      <c r="AC108" s="54">
        <f>AC107/Assumptions!$B$7</f>
        <v/>
      </c>
      <c r="AD108" s="54">
        <f>AD107/Assumptions!$B$7</f>
        <v/>
      </c>
      <c r="AE108" s="54">
        <f>AE107/Assumptions!$B$7</f>
        <v/>
      </c>
    </row>
    <row r="109">
      <c r="A109" s="6" t="inlineStr">
        <is>
          <t xml:space="preserve">  Stream 1a - Entry fee margin, SIP</t>
        </is>
      </c>
      <c r="B109" s="23" t="inlineStr">
        <is>
          <t>USD</t>
        </is>
      </c>
      <c r="C109" s="54">
        <f>C96*(Assumptions!$B$8-(1-Assumptions!$B$8)*Assumptions!$B$9)</f>
        <v/>
      </c>
      <c r="D109" s="54">
        <f>D96*(Assumptions!$B$8-(1-Assumptions!$B$8)*Assumptions!$B$9)</f>
        <v/>
      </c>
      <c r="E109" s="54">
        <f>E96*(Assumptions!$B$8-(1-Assumptions!$B$8)*Assumptions!$B$9)</f>
        <v/>
      </c>
      <c r="F109" s="54">
        <f>F96*(Assumptions!$B$8-(1-Assumptions!$B$8)*Assumptions!$B$9)</f>
        <v/>
      </c>
      <c r="G109" s="54">
        <f>G96*(Assumptions!$B$8-(1-Assumptions!$B$8)*Assumptions!$B$9)</f>
        <v/>
      </c>
      <c r="H109" s="54">
        <f>H96*(Assumptions!$B$8-(1-Assumptions!$B$8)*Assumptions!$B$9)</f>
        <v/>
      </c>
      <c r="I109" s="54">
        <f>I96*(Assumptions!$B$8-(1-Assumptions!$B$8)*Assumptions!$B$9)</f>
        <v/>
      </c>
      <c r="J109" s="54">
        <f>J96*(Assumptions!$B$8-(1-Assumptions!$B$8)*Assumptions!$B$9)</f>
        <v/>
      </c>
      <c r="K109" s="54">
        <f>K96*(Assumptions!$B$8-(1-Assumptions!$B$8)*Assumptions!$B$9)</f>
        <v/>
      </c>
      <c r="L109" s="54">
        <f>L96*(Assumptions!$B$8-(1-Assumptions!$B$8)*Assumptions!$B$9)</f>
        <v/>
      </c>
      <c r="M109" s="54">
        <f>M96*(Assumptions!$B$8-(1-Assumptions!$B$8)*Assumptions!$B$9)</f>
        <v/>
      </c>
      <c r="N109" s="54">
        <f>N96*(Assumptions!$B$8-(1-Assumptions!$B$8)*Assumptions!$B$9)</f>
        <v/>
      </c>
      <c r="O109" s="54">
        <f>O96*(Assumptions!$B$8-(1-Assumptions!$B$8)*Assumptions!$B$9)</f>
        <v/>
      </c>
      <c r="P109" s="54">
        <f>P96*(Assumptions!$B$8-(1-Assumptions!$B$8)*Assumptions!$B$9)</f>
        <v/>
      </c>
      <c r="Q109" s="54">
        <f>Q96*(Assumptions!$B$8-(1-Assumptions!$B$8)*Assumptions!$B$9)</f>
        <v/>
      </c>
      <c r="R109" s="54">
        <f>R96*(Assumptions!$B$8-(1-Assumptions!$B$8)*Assumptions!$B$9)</f>
        <v/>
      </c>
      <c r="S109" s="54">
        <f>S96*(Assumptions!$B$8-(1-Assumptions!$B$8)*Assumptions!$B$9)</f>
        <v/>
      </c>
      <c r="T109" s="54">
        <f>T96*(Assumptions!$B$8-(1-Assumptions!$B$8)*Assumptions!$B$9)</f>
        <v/>
      </c>
      <c r="U109" s="54">
        <f>U96*(Assumptions!$B$8-(1-Assumptions!$B$8)*Assumptions!$B$9)</f>
        <v/>
      </c>
      <c r="V109" s="54">
        <f>V96*(Assumptions!$B$8-(1-Assumptions!$B$8)*Assumptions!$B$9)</f>
        <v/>
      </c>
      <c r="W109" s="54">
        <f>W96*(Assumptions!$B$8-(1-Assumptions!$B$8)*Assumptions!$B$9)</f>
        <v/>
      </c>
      <c r="X109" s="54">
        <f>X96*(Assumptions!$B$8-(1-Assumptions!$B$8)*Assumptions!$B$9)</f>
        <v/>
      </c>
      <c r="Y109" s="54">
        <f>Y96*(Assumptions!$B$8-(1-Assumptions!$B$8)*Assumptions!$B$9)</f>
        <v/>
      </c>
      <c r="Z109" s="54">
        <f>Z96*(Assumptions!$B$8-(1-Assumptions!$B$8)*Assumptions!$B$9)</f>
        <v/>
      </c>
      <c r="AA109" s="54">
        <f>AA96*(Assumptions!$B$8-(1-Assumptions!$B$8)*Assumptions!$B$9)</f>
        <v/>
      </c>
      <c r="AB109" s="54">
        <f>AB96*(Assumptions!$B$8-(1-Assumptions!$B$8)*Assumptions!$B$9)</f>
        <v/>
      </c>
      <c r="AC109" s="54">
        <f>AC96*(Assumptions!$B$8-(1-Assumptions!$B$8)*Assumptions!$B$9)</f>
        <v/>
      </c>
      <c r="AD109" s="54">
        <f>AD96*(Assumptions!$B$8-(1-Assumptions!$B$8)*Assumptions!$B$9)</f>
        <v/>
      </c>
      <c r="AE109" s="54">
        <f>AE96*(Assumptions!$B$8-(1-Assumptions!$B$8)*Assumptions!$B$9)</f>
        <v/>
      </c>
    </row>
    <row r="110">
      <c r="A110" s="6" t="inlineStr">
        <is>
          <t xml:space="preserve">  Stream 1b - Entry fee margin, SPOT</t>
        </is>
      </c>
      <c r="B110" s="23" t="inlineStr">
        <is>
          <t>USD</t>
        </is>
      </c>
      <c r="C110" s="54">
        <f>C97*(Assumptions!$B$8-(1-Assumptions!$B$8)*Assumptions!$B$9)</f>
        <v/>
      </c>
      <c r="D110" s="54">
        <f>D97*(Assumptions!$B$8-(1-Assumptions!$B$8)*Assumptions!$B$9)</f>
        <v/>
      </c>
      <c r="E110" s="54">
        <f>E97*(Assumptions!$B$8-(1-Assumptions!$B$8)*Assumptions!$B$9)</f>
        <v/>
      </c>
      <c r="F110" s="54">
        <f>F97*(Assumptions!$B$8-(1-Assumptions!$B$8)*Assumptions!$B$9)</f>
        <v/>
      </c>
      <c r="G110" s="54">
        <f>G97*(Assumptions!$B$8-(1-Assumptions!$B$8)*Assumptions!$B$9)</f>
        <v/>
      </c>
      <c r="H110" s="54">
        <f>H97*(Assumptions!$B$8-(1-Assumptions!$B$8)*Assumptions!$B$9)</f>
        <v/>
      </c>
      <c r="I110" s="54">
        <f>I97*(Assumptions!$B$8-(1-Assumptions!$B$8)*Assumptions!$B$9)</f>
        <v/>
      </c>
      <c r="J110" s="54">
        <f>J97*(Assumptions!$B$8-(1-Assumptions!$B$8)*Assumptions!$B$9)</f>
        <v/>
      </c>
      <c r="K110" s="54">
        <f>K97*(Assumptions!$B$8-(1-Assumptions!$B$8)*Assumptions!$B$9)</f>
        <v/>
      </c>
      <c r="L110" s="54">
        <f>L97*(Assumptions!$B$8-(1-Assumptions!$B$8)*Assumptions!$B$9)</f>
        <v/>
      </c>
      <c r="M110" s="54">
        <f>M97*(Assumptions!$B$8-(1-Assumptions!$B$8)*Assumptions!$B$9)</f>
        <v/>
      </c>
      <c r="N110" s="54">
        <f>N97*(Assumptions!$B$8-(1-Assumptions!$B$8)*Assumptions!$B$9)</f>
        <v/>
      </c>
      <c r="O110" s="54">
        <f>O97*(Assumptions!$B$8-(1-Assumptions!$B$8)*Assumptions!$B$9)</f>
        <v/>
      </c>
      <c r="P110" s="54">
        <f>P97*(Assumptions!$B$8-(1-Assumptions!$B$8)*Assumptions!$B$9)</f>
        <v/>
      </c>
      <c r="Q110" s="54">
        <f>Q97*(Assumptions!$B$8-(1-Assumptions!$B$8)*Assumptions!$B$9)</f>
        <v/>
      </c>
      <c r="R110" s="54">
        <f>R97*(Assumptions!$B$8-(1-Assumptions!$B$8)*Assumptions!$B$9)</f>
        <v/>
      </c>
      <c r="S110" s="54">
        <f>S97*(Assumptions!$B$8-(1-Assumptions!$B$8)*Assumptions!$B$9)</f>
        <v/>
      </c>
      <c r="T110" s="54">
        <f>T97*(Assumptions!$B$8-(1-Assumptions!$B$8)*Assumptions!$B$9)</f>
        <v/>
      </c>
      <c r="U110" s="54">
        <f>U97*(Assumptions!$B$8-(1-Assumptions!$B$8)*Assumptions!$B$9)</f>
        <v/>
      </c>
      <c r="V110" s="54">
        <f>V97*(Assumptions!$B$8-(1-Assumptions!$B$8)*Assumptions!$B$9)</f>
        <v/>
      </c>
      <c r="W110" s="54">
        <f>W97*(Assumptions!$B$8-(1-Assumptions!$B$8)*Assumptions!$B$9)</f>
        <v/>
      </c>
      <c r="X110" s="54">
        <f>X97*(Assumptions!$B$8-(1-Assumptions!$B$8)*Assumptions!$B$9)</f>
        <v/>
      </c>
      <c r="Y110" s="54">
        <f>Y97*(Assumptions!$B$8-(1-Assumptions!$B$8)*Assumptions!$B$9)</f>
        <v/>
      </c>
      <c r="Z110" s="54">
        <f>Z97*(Assumptions!$B$8-(1-Assumptions!$B$8)*Assumptions!$B$9)</f>
        <v/>
      </c>
      <c r="AA110" s="54">
        <f>AA97*(Assumptions!$B$8-(1-Assumptions!$B$8)*Assumptions!$B$9)</f>
        <v/>
      </c>
      <c r="AB110" s="54">
        <f>AB97*(Assumptions!$B$8-(1-Assumptions!$B$8)*Assumptions!$B$9)</f>
        <v/>
      </c>
      <c r="AC110" s="54">
        <f>AC97*(Assumptions!$B$8-(1-Assumptions!$B$8)*Assumptions!$B$9)</f>
        <v/>
      </c>
      <c r="AD110" s="54">
        <f>AD97*(Assumptions!$B$8-(1-Assumptions!$B$8)*Assumptions!$B$9)</f>
        <v/>
      </c>
      <c r="AE110" s="54">
        <f>AE97*(Assumptions!$B$8-(1-Assumptions!$B$8)*Assumptions!$B$9)</f>
        <v/>
      </c>
    </row>
    <row r="111">
      <c r="A111" s="6" t="inlineStr">
        <is>
          <t xml:space="preserve">  Stream 2 - Card interchange</t>
        </is>
      </c>
      <c r="B111" s="23" t="inlineStr">
        <is>
          <t>USD</t>
        </is>
      </c>
      <c r="C111" s="54">
        <f>C108*IF(Assumptions!$B$163=1,MIN(Assumptions!$B$14,1%),Assumptions!$B$14)*(1-Assumptions!$B$130)</f>
        <v/>
      </c>
      <c r="D111" s="54">
        <f>D108*IF(Assumptions!$B$163=1,MIN(Assumptions!$B$14,1%),Assumptions!$B$14)*(1-Assumptions!$B$130)</f>
        <v/>
      </c>
      <c r="E111" s="54">
        <f>E108*IF(Assumptions!$B$163=1,MIN(Assumptions!$B$14,1%),Assumptions!$B$14)*(1-Assumptions!$B$130)</f>
        <v/>
      </c>
      <c r="F111" s="54">
        <f>F108*IF(Assumptions!$B$163=1,MIN(Assumptions!$B$14,1%),Assumptions!$B$14)*(1-Assumptions!$B$130)</f>
        <v/>
      </c>
      <c r="G111" s="54">
        <f>G108*IF(Assumptions!$B$163=1,MIN(Assumptions!$B$14,1%),Assumptions!$B$14)*(1-Assumptions!$B$130)</f>
        <v/>
      </c>
      <c r="H111" s="54">
        <f>H108*IF(Assumptions!$B$163=1,MIN(Assumptions!$B$14,1%),Assumptions!$B$14)*(1-Assumptions!$B$130)</f>
        <v/>
      </c>
      <c r="I111" s="54">
        <f>I108*IF(Assumptions!$B$163=1,MIN(Assumptions!$B$14,1%),Assumptions!$B$14)*(1-Assumptions!$B$130)</f>
        <v/>
      </c>
      <c r="J111" s="54">
        <f>J108*IF(Assumptions!$B$163=1,MIN(Assumptions!$B$14,1%),Assumptions!$B$14)*(1-Assumptions!$B$130)</f>
        <v/>
      </c>
      <c r="K111" s="54">
        <f>K108*IF(Assumptions!$B$163=1,MIN(Assumptions!$B$14,1%),Assumptions!$B$14)*(1-Assumptions!$B$130)</f>
        <v/>
      </c>
      <c r="L111" s="54">
        <f>L108*IF(Assumptions!$B$163=1,MIN(Assumptions!$B$14,1%),Assumptions!$B$14)*(1-Assumptions!$B$130)</f>
        <v/>
      </c>
      <c r="M111" s="54">
        <f>M108*IF(Assumptions!$B$163=1,MIN(Assumptions!$B$14,1%),Assumptions!$B$14)*(1-Assumptions!$B$130)</f>
        <v/>
      </c>
      <c r="N111" s="54">
        <f>N108*IF(Assumptions!$B$163=1,MIN(Assumptions!$B$14,1%),Assumptions!$B$14)*(1-Assumptions!$B$130)</f>
        <v/>
      </c>
      <c r="O111" s="54">
        <f>O108*IF(Assumptions!$B$163=1,MIN(Assumptions!$B$14,1%),Assumptions!$B$14)*(1-Assumptions!$B$130)</f>
        <v/>
      </c>
      <c r="P111" s="54">
        <f>P108*IF(Assumptions!$B$163=1,MIN(Assumptions!$B$14,1%),Assumptions!$B$14)*(1-Assumptions!$B$130)</f>
        <v/>
      </c>
      <c r="Q111" s="54">
        <f>Q108*IF(Assumptions!$B$163=1,MIN(Assumptions!$B$14,1%),Assumptions!$B$14)*(1-Assumptions!$B$130)</f>
        <v/>
      </c>
      <c r="R111" s="54">
        <f>R108*IF(Assumptions!$B$163=1,MIN(Assumptions!$B$14,1%),Assumptions!$B$14)*(1-Assumptions!$B$130)</f>
        <v/>
      </c>
      <c r="S111" s="54">
        <f>S108*IF(Assumptions!$B$163=1,MIN(Assumptions!$B$14,1%),Assumptions!$B$14)*(1-Assumptions!$B$130)</f>
        <v/>
      </c>
      <c r="T111" s="54">
        <f>T108*IF(Assumptions!$B$163=1,MIN(Assumptions!$B$14,1%),Assumptions!$B$14)*(1-Assumptions!$B$130)</f>
        <v/>
      </c>
      <c r="U111" s="54">
        <f>U108*IF(Assumptions!$B$163=1,MIN(Assumptions!$B$14,1%),Assumptions!$B$14)*(1-Assumptions!$B$130)</f>
        <v/>
      </c>
      <c r="V111" s="54">
        <f>V108*IF(Assumptions!$B$163=1,MIN(Assumptions!$B$14,1%),Assumptions!$B$14)*(1-Assumptions!$B$130)</f>
        <v/>
      </c>
      <c r="W111" s="54">
        <f>W108*IF(Assumptions!$B$163=1,MIN(Assumptions!$B$14,1%),Assumptions!$B$14)*(1-Assumptions!$B$130)</f>
        <v/>
      </c>
      <c r="X111" s="54">
        <f>X108*IF(Assumptions!$B$163=1,MIN(Assumptions!$B$14,1%),Assumptions!$B$14)*(1-Assumptions!$B$130)</f>
        <v/>
      </c>
      <c r="Y111" s="54">
        <f>Y108*IF(Assumptions!$B$163=1,MIN(Assumptions!$B$14,1%),Assumptions!$B$14)*(1-Assumptions!$B$130)</f>
        <v/>
      </c>
      <c r="Z111" s="54">
        <f>Z108*IF(Assumptions!$B$163=1,MIN(Assumptions!$B$14,1%),Assumptions!$B$14)*(1-Assumptions!$B$130)</f>
        <v/>
      </c>
      <c r="AA111" s="54">
        <f>AA108*IF(Assumptions!$B$163=1,MIN(Assumptions!$B$14,1%),Assumptions!$B$14)*(1-Assumptions!$B$130)</f>
        <v/>
      </c>
      <c r="AB111" s="54">
        <f>AB108*IF(Assumptions!$B$163=1,MIN(Assumptions!$B$14,1%),Assumptions!$B$14)*(1-Assumptions!$B$130)</f>
        <v/>
      </c>
      <c r="AC111" s="54">
        <f>AC108*IF(Assumptions!$B$163=1,MIN(Assumptions!$B$14,1%),Assumptions!$B$14)*(1-Assumptions!$B$130)</f>
        <v/>
      </c>
      <c r="AD111" s="54">
        <f>AD108*IF(Assumptions!$B$163=1,MIN(Assumptions!$B$14,1%),Assumptions!$B$14)*(1-Assumptions!$B$130)</f>
        <v/>
      </c>
      <c r="AE111" s="54">
        <f>AE108*IF(Assumptions!$B$163=1,MIN(Assumptions!$B$14,1%),Assumptions!$B$14)*(1-Assumptions!$B$130)</f>
        <v/>
      </c>
    </row>
    <row r="112">
      <c r="A112" s="6" t="inlineStr">
        <is>
          <t xml:space="preserve">  Stream 3 - Family plan and Digital Will</t>
        </is>
      </c>
      <c r="B112" s="23" t="inlineStr">
        <is>
          <t>USD</t>
        </is>
      </c>
      <c r="C112" s="54">
        <f>IF(C2&gt;=Assumptions!$B$48,C92*Assumptions!$B$148*Assumptions!$B$26/12*C7,0)</f>
        <v/>
      </c>
      <c r="D112" s="54">
        <f>IF(D2&gt;=Assumptions!$B$48,D92*Assumptions!$B$148*Assumptions!$B$26/12*D7,0)</f>
        <v/>
      </c>
      <c r="E112" s="54">
        <f>IF(E2&gt;=Assumptions!$B$48,E92*Assumptions!$B$148*Assumptions!$B$26/12*E7,0)</f>
        <v/>
      </c>
      <c r="F112" s="54">
        <f>IF(F2&gt;=Assumptions!$B$48,F92*Assumptions!$B$148*Assumptions!$B$26/12*F7,0)</f>
        <v/>
      </c>
      <c r="G112" s="54">
        <f>IF(G2&gt;=Assumptions!$B$48,G92*Assumptions!$B$148*Assumptions!$B$26/12*G7,0)</f>
        <v/>
      </c>
      <c r="H112" s="54">
        <f>IF(H2&gt;=Assumptions!$B$48,H92*Assumptions!$B$148*Assumptions!$B$26/12*H7,0)</f>
        <v/>
      </c>
      <c r="I112" s="54">
        <f>IF(I2&gt;=Assumptions!$B$48,I92*Assumptions!$B$148*Assumptions!$B$26/12*I7,0)</f>
        <v/>
      </c>
      <c r="J112" s="54">
        <f>IF(J2&gt;=Assumptions!$B$48,J92*Assumptions!$B$148*Assumptions!$B$26/12*J7,0)</f>
        <v/>
      </c>
      <c r="K112" s="54">
        <f>IF(K2&gt;=Assumptions!$B$48,K92*Assumptions!$B$148*Assumptions!$B$26/12*K7,0)</f>
        <v/>
      </c>
      <c r="L112" s="54">
        <f>IF(L2&gt;=Assumptions!$B$48,L92*Assumptions!$B$148*Assumptions!$B$26/12*L7,0)</f>
        <v/>
      </c>
      <c r="M112" s="54">
        <f>IF(M2&gt;=Assumptions!$B$48,M92*Assumptions!$B$148*Assumptions!$B$26/12*M7,0)</f>
        <v/>
      </c>
      <c r="N112" s="54">
        <f>IF(N2&gt;=Assumptions!$B$48,N92*Assumptions!$B$148*Assumptions!$B$26/12*N7,0)</f>
        <v/>
      </c>
      <c r="O112" s="54">
        <f>IF(O2&gt;=Assumptions!$B$48,O92*Assumptions!$B$148*Assumptions!$B$26/12*O7,0)</f>
        <v/>
      </c>
      <c r="P112" s="54">
        <f>IF(P2&gt;=Assumptions!$B$48,P92*Assumptions!$B$148*Assumptions!$B$26/12*P7,0)</f>
        <v/>
      </c>
      <c r="Q112" s="54">
        <f>IF(Q2&gt;=Assumptions!$B$48,Q92*Assumptions!$B$148*Assumptions!$B$26/12*Q7,0)</f>
        <v/>
      </c>
      <c r="R112" s="54">
        <f>IF(R2&gt;=Assumptions!$B$48,R92*Assumptions!$B$148*Assumptions!$B$26/12*R7,0)</f>
        <v/>
      </c>
      <c r="S112" s="54">
        <f>IF(S2&gt;=Assumptions!$B$48,S92*Assumptions!$B$148*Assumptions!$B$26/12*S7,0)</f>
        <v/>
      </c>
      <c r="T112" s="54">
        <f>IF(T2&gt;=Assumptions!$B$48,T92*Assumptions!$B$148*Assumptions!$B$26/12*T7,0)</f>
        <v/>
      </c>
      <c r="U112" s="54">
        <f>IF(U2&gt;=Assumptions!$B$48,U92*Assumptions!$B$148*Assumptions!$B$26/12*U7,0)</f>
        <v/>
      </c>
      <c r="V112" s="54">
        <f>IF(V2&gt;=Assumptions!$B$48,V92*Assumptions!$B$148*Assumptions!$B$26/12*V7,0)</f>
        <v/>
      </c>
      <c r="W112" s="54">
        <f>IF(W2&gt;=Assumptions!$B$48,W92*Assumptions!$B$148*Assumptions!$B$26/12*W7,0)</f>
        <v/>
      </c>
      <c r="X112" s="54">
        <f>IF(X2&gt;=Assumptions!$B$48,X92*Assumptions!$B$148*Assumptions!$B$26/12*X7,0)</f>
        <v/>
      </c>
      <c r="Y112" s="54">
        <f>IF(Y2&gt;=Assumptions!$B$48,Y92*Assumptions!$B$148*Assumptions!$B$26/12*Y7,0)</f>
        <v/>
      </c>
      <c r="Z112" s="54">
        <f>IF(Z2&gt;=Assumptions!$B$48,Z92*Assumptions!$B$148*Assumptions!$B$26/12*Z7,0)</f>
        <v/>
      </c>
      <c r="AA112" s="54">
        <f>IF(AA2&gt;=Assumptions!$B$48,AA92*Assumptions!$B$148*Assumptions!$B$26/12*AA7,0)</f>
        <v/>
      </c>
      <c r="AB112" s="54">
        <f>IF(AB2&gt;=Assumptions!$B$48,AB92*Assumptions!$B$148*Assumptions!$B$26/12*AB7,0)</f>
        <v/>
      </c>
      <c r="AC112" s="54">
        <f>IF(AC2&gt;=Assumptions!$B$48,AC92*Assumptions!$B$148*Assumptions!$B$26/12*AC7,0)</f>
        <v/>
      </c>
      <c r="AD112" s="54">
        <f>IF(AD2&gt;=Assumptions!$B$48,AD92*Assumptions!$B$148*Assumptions!$B$26/12*AD7,0)</f>
        <v/>
      </c>
      <c r="AE112" s="54">
        <f>IF(AE2&gt;=Assumptions!$B$48,AE92*Assumptions!$B$148*Assumptions!$B$26/12*AE7,0)</f>
        <v/>
      </c>
    </row>
    <row r="113">
      <c r="A113" s="6" t="inlineStr">
        <is>
          <t xml:space="preserve">  Stream 4 - Cardholder fees (FX, ATM, events)</t>
        </is>
      </c>
      <c r="B113" s="23" t="inlineStr">
        <is>
          <t>USD</t>
        </is>
      </c>
      <c r="C113" s="54">
        <f>IF(C2&gt;=Assumptions!$B$50,C108*C17*Assumptions!$B$18+C104*(Assumptions!$B$136*MAX(0,Assumptions!$B$140-Assumptions!$B$19)+Assumptions!$B$137*MAX(0,Assumptions!$B$141-Assumptions!$B$19)+Assumptions!$B$138*MAX(0,Assumptions!$B$142-Assumptions!$B$19)+Assumptions!$B$139*MAX(0,Assumptions!$B$143-Assumptions!$B$19))*Assumptions!$B$20/Assumptions!$B$7*C7+C104*(Assumptions!$B$134*Assumptions!$B$21+Assumptions!$B$135*Assumptions!$B$22)/12/Assumptions!$B$7*C7,0)</f>
        <v/>
      </c>
      <c r="D113" s="54">
        <f>IF(D2&gt;=Assumptions!$B$50,D108*D17*Assumptions!$B$18+D104*(Assumptions!$B$136*MAX(0,Assumptions!$B$140-Assumptions!$B$19)+Assumptions!$B$137*MAX(0,Assumptions!$B$141-Assumptions!$B$19)+Assumptions!$B$138*MAX(0,Assumptions!$B$142-Assumptions!$B$19)+Assumptions!$B$139*MAX(0,Assumptions!$B$143-Assumptions!$B$19))*Assumptions!$B$20/Assumptions!$B$7*D7+D104*(Assumptions!$B$134*Assumptions!$B$21+Assumptions!$B$135*Assumptions!$B$22)/12/Assumptions!$B$7*D7,0)</f>
        <v/>
      </c>
      <c r="E113" s="54">
        <f>IF(E2&gt;=Assumptions!$B$50,E108*E17*Assumptions!$B$18+E104*(Assumptions!$B$136*MAX(0,Assumptions!$B$140-Assumptions!$B$19)+Assumptions!$B$137*MAX(0,Assumptions!$B$141-Assumptions!$B$19)+Assumptions!$B$138*MAX(0,Assumptions!$B$142-Assumptions!$B$19)+Assumptions!$B$139*MAX(0,Assumptions!$B$143-Assumptions!$B$19))*Assumptions!$B$20/Assumptions!$B$7*E7+E104*(Assumptions!$B$134*Assumptions!$B$21+Assumptions!$B$135*Assumptions!$B$22)/12/Assumptions!$B$7*E7,0)</f>
        <v/>
      </c>
      <c r="F113" s="54">
        <f>IF(F2&gt;=Assumptions!$B$50,F108*F17*Assumptions!$B$18+F104*(Assumptions!$B$136*MAX(0,Assumptions!$B$140-Assumptions!$B$19)+Assumptions!$B$137*MAX(0,Assumptions!$B$141-Assumptions!$B$19)+Assumptions!$B$138*MAX(0,Assumptions!$B$142-Assumptions!$B$19)+Assumptions!$B$139*MAX(0,Assumptions!$B$143-Assumptions!$B$19))*Assumptions!$B$20/Assumptions!$B$7*F7+F104*(Assumptions!$B$134*Assumptions!$B$21+Assumptions!$B$135*Assumptions!$B$22)/12/Assumptions!$B$7*F7,0)</f>
        <v/>
      </c>
      <c r="G113" s="54">
        <f>IF(G2&gt;=Assumptions!$B$50,G108*G17*Assumptions!$B$18+G104*(Assumptions!$B$136*MAX(0,Assumptions!$B$140-Assumptions!$B$19)+Assumptions!$B$137*MAX(0,Assumptions!$B$141-Assumptions!$B$19)+Assumptions!$B$138*MAX(0,Assumptions!$B$142-Assumptions!$B$19)+Assumptions!$B$139*MAX(0,Assumptions!$B$143-Assumptions!$B$19))*Assumptions!$B$20/Assumptions!$B$7*G7+G104*(Assumptions!$B$134*Assumptions!$B$21+Assumptions!$B$135*Assumptions!$B$22)/12/Assumptions!$B$7*G7,0)</f>
        <v/>
      </c>
      <c r="H113" s="54">
        <f>IF(H2&gt;=Assumptions!$B$50,H108*H17*Assumptions!$B$18+H104*(Assumptions!$B$136*MAX(0,Assumptions!$B$140-Assumptions!$B$19)+Assumptions!$B$137*MAX(0,Assumptions!$B$141-Assumptions!$B$19)+Assumptions!$B$138*MAX(0,Assumptions!$B$142-Assumptions!$B$19)+Assumptions!$B$139*MAX(0,Assumptions!$B$143-Assumptions!$B$19))*Assumptions!$B$20/Assumptions!$B$7*H7+H104*(Assumptions!$B$134*Assumptions!$B$21+Assumptions!$B$135*Assumptions!$B$22)/12/Assumptions!$B$7*H7,0)</f>
        <v/>
      </c>
      <c r="I113" s="54">
        <f>IF(I2&gt;=Assumptions!$B$50,I108*I17*Assumptions!$B$18+I104*(Assumptions!$B$136*MAX(0,Assumptions!$B$140-Assumptions!$B$19)+Assumptions!$B$137*MAX(0,Assumptions!$B$141-Assumptions!$B$19)+Assumptions!$B$138*MAX(0,Assumptions!$B$142-Assumptions!$B$19)+Assumptions!$B$139*MAX(0,Assumptions!$B$143-Assumptions!$B$19))*Assumptions!$B$20/Assumptions!$B$7*I7+I104*(Assumptions!$B$134*Assumptions!$B$21+Assumptions!$B$135*Assumptions!$B$22)/12/Assumptions!$B$7*I7,0)</f>
        <v/>
      </c>
      <c r="J113" s="54">
        <f>IF(J2&gt;=Assumptions!$B$50,J108*J17*Assumptions!$B$18+J104*(Assumptions!$B$136*MAX(0,Assumptions!$B$140-Assumptions!$B$19)+Assumptions!$B$137*MAX(0,Assumptions!$B$141-Assumptions!$B$19)+Assumptions!$B$138*MAX(0,Assumptions!$B$142-Assumptions!$B$19)+Assumptions!$B$139*MAX(0,Assumptions!$B$143-Assumptions!$B$19))*Assumptions!$B$20/Assumptions!$B$7*J7+J104*(Assumptions!$B$134*Assumptions!$B$21+Assumptions!$B$135*Assumptions!$B$22)/12/Assumptions!$B$7*J7,0)</f>
        <v/>
      </c>
      <c r="K113" s="54">
        <f>IF(K2&gt;=Assumptions!$B$50,K108*K17*Assumptions!$B$18+K104*(Assumptions!$B$136*MAX(0,Assumptions!$B$140-Assumptions!$B$19)+Assumptions!$B$137*MAX(0,Assumptions!$B$141-Assumptions!$B$19)+Assumptions!$B$138*MAX(0,Assumptions!$B$142-Assumptions!$B$19)+Assumptions!$B$139*MAX(0,Assumptions!$B$143-Assumptions!$B$19))*Assumptions!$B$20/Assumptions!$B$7*K7+K104*(Assumptions!$B$134*Assumptions!$B$21+Assumptions!$B$135*Assumptions!$B$22)/12/Assumptions!$B$7*K7,0)</f>
        <v/>
      </c>
      <c r="L113" s="54">
        <f>IF(L2&gt;=Assumptions!$B$50,L108*L17*Assumptions!$B$18+L104*(Assumptions!$B$136*MAX(0,Assumptions!$B$140-Assumptions!$B$19)+Assumptions!$B$137*MAX(0,Assumptions!$B$141-Assumptions!$B$19)+Assumptions!$B$138*MAX(0,Assumptions!$B$142-Assumptions!$B$19)+Assumptions!$B$139*MAX(0,Assumptions!$B$143-Assumptions!$B$19))*Assumptions!$B$20/Assumptions!$B$7*L7+L104*(Assumptions!$B$134*Assumptions!$B$21+Assumptions!$B$135*Assumptions!$B$22)/12/Assumptions!$B$7*L7,0)</f>
        <v/>
      </c>
      <c r="M113" s="54">
        <f>IF(M2&gt;=Assumptions!$B$50,M108*M17*Assumptions!$B$18+M104*(Assumptions!$B$136*MAX(0,Assumptions!$B$140-Assumptions!$B$19)+Assumptions!$B$137*MAX(0,Assumptions!$B$141-Assumptions!$B$19)+Assumptions!$B$138*MAX(0,Assumptions!$B$142-Assumptions!$B$19)+Assumptions!$B$139*MAX(0,Assumptions!$B$143-Assumptions!$B$19))*Assumptions!$B$20/Assumptions!$B$7*M7+M104*(Assumptions!$B$134*Assumptions!$B$21+Assumptions!$B$135*Assumptions!$B$22)/12/Assumptions!$B$7*M7,0)</f>
        <v/>
      </c>
      <c r="N113" s="54">
        <f>IF(N2&gt;=Assumptions!$B$50,N108*N17*Assumptions!$B$18+N104*(Assumptions!$B$136*MAX(0,Assumptions!$B$140-Assumptions!$B$19)+Assumptions!$B$137*MAX(0,Assumptions!$B$141-Assumptions!$B$19)+Assumptions!$B$138*MAX(0,Assumptions!$B$142-Assumptions!$B$19)+Assumptions!$B$139*MAX(0,Assumptions!$B$143-Assumptions!$B$19))*Assumptions!$B$20/Assumptions!$B$7*N7+N104*(Assumptions!$B$134*Assumptions!$B$21+Assumptions!$B$135*Assumptions!$B$22)/12/Assumptions!$B$7*N7,0)</f>
        <v/>
      </c>
      <c r="O113" s="54">
        <f>IF(O2&gt;=Assumptions!$B$50,O108*O17*Assumptions!$B$18+O104*(Assumptions!$B$136*MAX(0,Assumptions!$B$140-Assumptions!$B$19)+Assumptions!$B$137*MAX(0,Assumptions!$B$141-Assumptions!$B$19)+Assumptions!$B$138*MAX(0,Assumptions!$B$142-Assumptions!$B$19)+Assumptions!$B$139*MAX(0,Assumptions!$B$143-Assumptions!$B$19))*Assumptions!$B$20/Assumptions!$B$7*O7+O104*(Assumptions!$B$134*Assumptions!$B$21+Assumptions!$B$135*Assumptions!$B$22)/12/Assumptions!$B$7*O7,0)</f>
        <v/>
      </c>
      <c r="P113" s="54">
        <f>IF(P2&gt;=Assumptions!$B$50,P108*P17*Assumptions!$B$18+P104*(Assumptions!$B$136*MAX(0,Assumptions!$B$140-Assumptions!$B$19)+Assumptions!$B$137*MAX(0,Assumptions!$B$141-Assumptions!$B$19)+Assumptions!$B$138*MAX(0,Assumptions!$B$142-Assumptions!$B$19)+Assumptions!$B$139*MAX(0,Assumptions!$B$143-Assumptions!$B$19))*Assumptions!$B$20/Assumptions!$B$7*P7+P104*(Assumptions!$B$134*Assumptions!$B$21+Assumptions!$B$135*Assumptions!$B$22)/12/Assumptions!$B$7*P7,0)</f>
        <v/>
      </c>
      <c r="Q113" s="54">
        <f>IF(Q2&gt;=Assumptions!$B$50,Q108*Q17*Assumptions!$B$18+Q104*(Assumptions!$B$136*MAX(0,Assumptions!$B$140-Assumptions!$B$19)+Assumptions!$B$137*MAX(0,Assumptions!$B$141-Assumptions!$B$19)+Assumptions!$B$138*MAX(0,Assumptions!$B$142-Assumptions!$B$19)+Assumptions!$B$139*MAX(0,Assumptions!$B$143-Assumptions!$B$19))*Assumptions!$B$20/Assumptions!$B$7*Q7+Q104*(Assumptions!$B$134*Assumptions!$B$21+Assumptions!$B$135*Assumptions!$B$22)/12/Assumptions!$B$7*Q7,0)</f>
        <v/>
      </c>
      <c r="R113" s="54">
        <f>IF(R2&gt;=Assumptions!$B$50,R108*R17*Assumptions!$B$18+R104*(Assumptions!$B$136*MAX(0,Assumptions!$B$140-Assumptions!$B$19)+Assumptions!$B$137*MAX(0,Assumptions!$B$141-Assumptions!$B$19)+Assumptions!$B$138*MAX(0,Assumptions!$B$142-Assumptions!$B$19)+Assumptions!$B$139*MAX(0,Assumptions!$B$143-Assumptions!$B$19))*Assumptions!$B$20/Assumptions!$B$7*R7+R104*(Assumptions!$B$134*Assumptions!$B$21+Assumptions!$B$135*Assumptions!$B$22)/12/Assumptions!$B$7*R7,0)</f>
        <v/>
      </c>
      <c r="S113" s="54">
        <f>IF(S2&gt;=Assumptions!$B$50,S108*S17*Assumptions!$B$18+S104*(Assumptions!$B$136*MAX(0,Assumptions!$B$140-Assumptions!$B$19)+Assumptions!$B$137*MAX(0,Assumptions!$B$141-Assumptions!$B$19)+Assumptions!$B$138*MAX(0,Assumptions!$B$142-Assumptions!$B$19)+Assumptions!$B$139*MAX(0,Assumptions!$B$143-Assumptions!$B$19))*Assumptions!$B$20/Assumptions!$B$7*S7+S104*(Assumptions!$B$134*Assumptions!$B$21+Assumptions!$B$135*Assumptions!$B$22)/12/Assumptions!$B$7*S7,0)</f>
        <v/>
      </c>
      <c r="T113" s="54">
        <f>IF(T2&gt;=Assumptions!$B$50,T108*T17*Assumptions!$B$18+T104*(Assumptions!$B$136*MAX(0,Assumptions!$B$140-Assumptions!$B$19)+Assumptions!$B$137*MAX(0,Assumptions!$B$141-Assumptions!$B$19)+Assumptions!$B$138*MAX(0,Assumptions!$B$142-Assumptions!$B$19)+Assumptions!$B$139*MAX(0,Assumptions!$B$143-Assumptions!$B$19))*Assumptions!$B$20/Assumptions!$B$7*T7+T104*(Assumptions!$B$134*Assumptions!$B$21+Assumptions!$B$135*Assumptions!$B$22)/12/Assumptions!$B$7*T7,0)</f>
        <v/>
      </c>
      <c r="U113" s="54">
        <f>IF(U2&gt;=Assumptions!$B$50,U108*U17*Assumptions!$B$18+U104*(Assumptions!$B$136*MAX(0,Assumptions!$B$140-Assumptions!$B$19)+Assumptions!$B$137*MAX(0,Assumptions!$B$141-Assumptions!$B$19)+Assumptions!$B$138*MAX(0,Assumptions!$B$142-Assumptions!$B$19)+Assumptions!$B$139*MAX(0,Assumptions!$B$143-Assumptions!$B$19))*Assumptions!$B$20/Assumptions!$B$7*U7+U104*(Assumptions!$B$134*Assumptions!$B$21+Assumptions!$B$135*Assumptions!$B$22)/12/Assumptions!$B$7*U7,0)</f>
        <v/>
      </c>
      <c r="V113" s="54">
        <f>IF(V2&gt;=Assumptions!$B$50,V108*V17*Assumptions!$B$18+V104*(Assumptions!$B$136*MAX(0,Assumptions!$B$140-Assumptions!$B$19)+Assumptions!$B$137*MAX(0,Assumptions!$B$141-Assumptions!$B$19)+Assumptions!$B$138*MAX(0,Assumptions!$B$142-Assumptions!$B$19)+Assumptions!$B$139*MAX(0,Assumptions!$B$143-Assumptions!$B$19))*Assumptions!$B$20/Assumptions!$B$7*V7+V104*(Assumptions!$B$134*Assumptions!$B$21+Assumptions!$B$135*Assumptions!$B$22)/12/Assumptions!$B$7*V7,0)</f>
        <v/>
      </c>
      <c r="W113" s="54">
        <f>IF(W2&gt;=Assumptions!$B$50,W108*W17*Assumptions!$B$18+W104*(Assumptions!$B$136*MAX(0,Assumptions!$B$140-Assumptions!$B$19)+Assumptions!$B$137*MAX(0,Assumptions!$B$141-Assumptions!$B$19)+Assumptions!$B$138*MAX(0,Assumptions!$B$142-Assumptions!$B$19)+Assumptions!$B$139*MAX(0,Assumptions!$B$143-Assumptions!$B$19))*Assumptions!$B$20/Assumptions!$B$7*W7+W104*(Assumptions!$B$134*Assumptions!$B$21+Assumptions!$B$135*Assumptions!$B$22)/12/Assumptions!$B$7*W7,0)</f>
        <v/>
      </c>
      <c r="X113" s="54">
        <f>IF(X2&gt;=Assumptions!$B$50,X108*X17*Assumptions!$B$18+X104*(Assumptions!$B$136*MAX(0,Assumptions!$B$140-Assumptions!$B$19)+Assumptions!$B$137*MAX(0,Assumptions!$B$141-Assumptions!$B$19)+Assumptions!$B$138*MAX(0,Assumptions!$B$142-Assumptions!$B$19)+Assumptions!$B$139*MAX(0,Assumptions!$B$143-Assumptions!$B$19))*Assumptions!$B$20/Assumptions!$B$7*X7+X104*(Assumptions!$B$134*Assumptions!$B$21+Assumptions!$B$135*Assumptions!$B$22)/12/Assumptions!$B$7*X7,0)</f>
        <v/>
      </c>
      <c r="Y113" s="54">
        <f>IF(Y2&gt;=Assumptions!$B$50,Y108*Y17*Assumptions!$B$18+Y104*(Assumptions!$B$136*MAX(0,Assumptions!$B$140-Assumptions!$B$19)+Assumptions!$B$137*MAX(0,Assumptions!$B$141-Assumptions!$B$19)+Assumptions!$B$138*MAX(0,Assumptions!$B$142-Assumptions!$B$19)+Assumptions!$B$139*MAX(0,Assumptions!$B$143-Assumptions!$B$19))*Assumptions!$B$20/Assumptions!$B$7*Y7+Y104*(Assumptions!$B$134*Assumptions!$B$21+Assumptions!$B$135*Assumptions!$B$22)/12/Assumptions!$B$7*Y7,0)</f>
        <v/>
      </c>
      <c r="Z113" s="54">
        <f>IF(Z2&gt;=Assumptions!$B$50,Z108*Z17*Assumptions!$B$18+Z104*(Assumptions!$B$136*MAX(0,Assumptions!$B$140-Assumptions!$B$19)+Assumptions!$B$137*MAX(0,Assumptions!$B$141-Assumptions!$B$19)+Assumptions!$B$138*MAX(0,Assumptions!$B$142-Assumptions!$B$19)+Assumptions!$B$139*MAX(0,Assumptions!$B$143-Assumptions!$B$19))*Assumptions!$B$20/Assumptions!$B$7*Z7+Z104*(Assumptions!$B$134*Assumptions!$B$21+Assumptions!$B$135*Assumptions!$B$22)/12/Assumptions!$B$7*Z7,0)</f>
        <v/>
      </c>
      <c r="AA113" s="54">
        <f>IF(AA2&gt;=Assumptions!$B$50,AA108*AA17*Assumptions!$B$18+AA104*(Assumptions!$B$136*MAX(0,Assumptions!$B$140-Assumptions!$B$19)+Assumptions!$B$137*MAX(0,Assumptions!$B$141-Assumptions!$B$19)+Assumptions!$B$138*MAX(0,Assumptions!$B$142-Assumptions!$B$19)+Assumptions!$B$139*MAX(0,Assumptions!$B$143-Assumptions!$B$19))*Assumptions!$B$20/Assumptions!$B$7*AA7+AA104*(Assumptions!$B$134*Assumptions!$B$21+Assumptions!$B$135*Assumptions!$B$22)/12/Assumptions!$B$7*AA7,0)</f>
        <v/>
      </c>
      <c r="AB113" s="54">
        <f>IF(AB2&gt;=Assumptions!$B$50,AB108*AB17*Assumptions!$B$18+AB104*(Assumptions!$B$136*MAX(0,Assumptions!$B$140-Assumptions!$B$19)+Assumptions!$B$137*MAX(0,Assumptions!$B$141-Assumptions!$B$19)+Assumptions!$B$138*MAX(0,Assumptions!$B$142-Assumptions!$B$19)+Assumptions!$B$139*MAX(0,Assumptions!$B$143-Assumptions!$B$19))*Assumptions!$B$20/Assumptions!$B$7*AB7+AB104*(Assumptions!$B$134*Assumptions!$B$21+Assumptions!$B$135*Assumptions!$B$22)/12/Assumptions!$B$7*AB7,0)</f>
        <v/>
      </c>
      <c r="AC113" s="54">
        <f>IF(AC2&gt;=Assumptions!$B$50,AC108*AC17*Assumptions!$B$18+AC104*(Assumptions!$B$136*MAX(0,Assumptions!$B$140-Assumptions!$B$19)+Assumptions!$B$137*MAX(0,Assumptions!$B$141-Assumptions!$B$19)+Assumptions!$B$138*MAX(0,Assumptions!$B$142-Assumptions!$B$19)+Assumptions!$B$139*MAX(0,Assumptions!$B$143-Assumptions!$B$19))*Assumptions!$B$20/Assumptions!$B$7*AC7+AC104*(Assumptions!$B$134*Assumptions!$B$21+Assumptions!$B$135*Assumptions!$B$22)/12/Assumptions!$B$7*AC7,0)</f>
        <v/>
      </c>
      <c r="AD113" s="54">
        <f>IF(AD2&gt;=Assumptions!$B$50,AD108*AD17*Assumptions!$B$18+AD104*(Assumptions!$B$136*MAX(0,Assumptions!$B$140-Assumptions!$B$19)+Assumptions!$B$137*MAX(0,Assumptions!$B$141-Assumptions!$B$19)+Assumptions!$B$138*MAX(0,Assumptions!$B$142-Assumptions!$B$19)+Assumptions!$B$139*MAX(0,Assumptions!$B$143-Assumptions!$B$19))*Assumptions!$B$20/Assumptions!$B$7*AD7+AD104*(Assumptions!$B$134*Assumptions!$B$21+Assumptions!$B$135*Assumptions!$B$22)/12/Assumptions!$B$7*AD7,0)</f>
        <v/>
      </c>
      <c r="AE113" s="54">
        <f>IF(AE2&gt;=Assumptions!$B$50,AE108*AE17*Assumptions!$B$18+AE104*(Assumptions!$B$136*MAX(0,Assumptions!$B$140-Assumptions!$B$19)+Assumptions!$B$137*MAX(0,Assumptions!$B$141-Assumptions!$B$19)+Assumptions!$B$138*MAX(0,Assumptions!$B$142-Assumptions!$B$19)+Assumptions!$B$139*MAX(0,Assumptions!$B$143-Assumptions!$B$19))*Assumptions!$B$20/Assumptions!$B$7*AE7+AE104*(Assumptions!$B$134*Assumptions!$B$21+Assumptions!$B$135*Assumptions!$B$22)/12/Assumptions!$B$7*AE7,0)</f>
        <v/>
      </c>
    </row>
    <row r="114">
      <c r="A114" s="6" t="inlineStr">
        <is>
          <t xml:space="preserve">  Average drawn credit balance</t>
        </is>
      </c>
      <c r="B114" s="23" t="inlineStr">
        <is>
          <t>USD</t>
        </is>
      </c>
      <c r="C114" s="54">
        <f>IF(C2&gt;=Assumptions!$B$51,C103*Assumptions!$B$144*(1-Assumptions!$B$163)*IF(C95=0,0,C101/C95)*Assumptions!$B$32*Assumptions!$B$145*Assumptions!$B$146,0)</f>
        <v/>
      </c>
      <c r="D114" s="54">
        <f>IF(D2&gt;=Assumptions!$B$51,D103*Assumptions!$B$144*(1-Assumptions!$B$163)*IF(D95=0,0,D101/D95)*Assumptions!$B$32*Assumptions!$B$145*Assumptions!$B$146,0)</f>
        <v/>
      </c>
      <c r="E114" s="54">
        <f>IF(E2&gt;=Assumptions!$B$51,E103*Assumptions!$B$144*(1-Assumptions!$B$163)*IF(E95=0,0,E101/E95)*Assumptions!$B$32*Assumptions!$B$145*Assumptions!$B$146,0)</f>
        <v/>
      </c>
      <c r="F114" s="54">
        <f>IF(F2&gt;=Assumptions!$B$51,F103*Assumptions!$B$144*(1-Assumptions!$B$163)*IF(F95=0,0,F101/F95)*Assumptions!$B$32*Assumptions!$B$145*Assumptions!$B$146,0)</f>
        <v/>
      </c>
      <c r="G114" s="54">
        <f>IF(G2&gt;=Assumptions!$B$51,G103*Assumptions!$B$144*(1-Assumptions!$B$163)*IF(G95=0,0,G101/G95)*Assumptions!$B$32*Assumptions!$B$145*Assumptions!$B$146,0)</f>
        <v/>
      </c>
      <c r="H114" s="54">
        <f>IF(H2&gt;=Assumptions!$B$51,H103*Assumptions!$B$144*(1-Assumptions!$B$163)*IF(H95=0,0,H101/H95)*Assumptions!$B$32*Assumptions!$B$145*Assumptions!$B$146,0)</f>
        <v/>
      </c>
      <c r="I114" s="54">
        <f>IF(I2&gt;=Assumptions!$B$51,I103*Assumptions!$B$144*(1-Assumptions!$B$163)*IF(I95=0,0,I101/I95)*Assumptions!$B$32*Assumptions!$B$145*Assumptions!$B$146,0)</f>
        <v/>
      </c>
      <c r="J114" s="54">
        <f>IF(J2&gt;=Assumptions!$B$51,J103*Assumptions!$B$144*(1-Assumptions!$B$163)*IF(J95=0,0,J101/J95)*Assumptions!$B$32*Assumptions!$B$145*Assumptions!$B$146,0)</f>
        <v/>
      </c>
      <c r="K114" s="54">
        <f>IF(K2&gt;=Assumptions!$B$51,K103*Assumptions!$B$144*(1-Assumptions!$B$163)*IF(K95=0,0,K101/K95)*Assumptions!$B$32*Assumptions!$B$145*Assumptions!$B$146,0)</f>
        <v/>
      </c>
      <c r="L114" s="54">
        <f>IF(L2&gt;=Assumptions!$B$51,L103*Assumptions!$B$144*(1-Assumptions!$B$163)*IF(L95=0,0,L101/L95)*Assumptions!$B$32*Assumptions!$B$145*Assumptions!$B$146,0)</f>
        <v/>
      </c>
      <c r="M114" s="54">
        <f>IF(M2&gt;=Assumptions!$B$51,M103*Assumptions!$B$144*(1-Assumptions!$B$163)*IF(M95=0,0,M101/M95)*Assumptions!$B$32*Assumptions!$B$145*Assumptions!$B$146,0)</f>
        <v/>
      </c>
      <c r="N114" s="54">
        <f>IF(N2&gt;=Assumptions!$B$51,N103*Assumptions!$B$144*(1-Assumptions!$B$163)*IF(N95=0,0,N101/N95)*Assumptions!$B$32*Assumptions!$B$145*Assumptions!$B$146,0)</f>
        <v/>
      </c>
      <c r="O114" s="54">
        <f>IF(O2&gt;=Assumptions!$B$51,O103*Assumptions!$B$144*(1-Assumptions!$B$163)*IF(O95=0,0,O101/O95)*Assumptions!$B$32*Assumptions!$B$145*Assumptions!$B$146,0)</f>
        <v/>
      </c>
      <c r="P114" s="54">
        <f>IF(P2&gt;=Assumptions!$B$51,P103*Assumptions!$B$144*(1-Assumptions!$B$163)*IF(P95=0,0,P101/P95)*Assumptions!$B$32*Assumptions!$B$145*Assumptions!$B$146,0)</f>
        <v/>
      </c>
      <c r="Q114" s="54">
        <f>IF(Q2&gt;=Assumptions!$B$51,Q103*Assumptions!$B$144*(1-Assumptions!$B$163)*IF(Q95=0,0,Q101/Q95)*Assumptions!$B$32*Assumptions!$B$145*Assumptions!$B$146,0)</f>
        <v/>
      </c>
      <c r="R114" s="54">
        <f>IF(R2&gt;=Assumptions!$B$51,R103*Assumptions!$B$144*(1-Assumptions!$B$163)*IF(R95=0,0,R101/R95)*Assumptions!$B$32*Assumptions!$B$145*Assumptions!$B$146,0)</f>
        <v/>
      </c>
      <c r="S114" s="54">
        <f>IF(S2&gt;=Assumptions!$B$51,S103*Assumptions!$B$144*(1-Assumptions!$B$163)*IF(S95=0,0,S101/S95)*Assumptions!$B$32*Assumptions!$B$145*Assumptions!$B$146,0)</f>
        <v/>
      </c>
      <c r="T114" s="54">
        <f>IF(T2&gt;=Assumptions!$B$51,T103*Assumptions!$B$144*(1-Assumptions!$B$163)*IF(T95=0,0,T101/T95)*Assumptions!$B$32*Assumptions!$B$145*Assumptions!$B$146,0)</f>
        <v/>
      </c>
      <c r="U114" s="54">
        <f>IF(U2&gt;=Assumptions!$B$51,U103*Assumptions!$B$144*(1-Assumptions!$B$163)*IF(U95=0,0,U101/U95)*Assumptions!$B$32*Assumptions!$B$145*Assumptions!$B$146,0)</f>
        <v/>
      </c>
      <c r="V114" s="54">
        <f>IF(V2&gt;=Assumptions!$B$51,V103*Assumptions!$B$144*(1-Assumptions!$B$163)*IF(V95=0,0,V101/V95)*Assumptions!$B$32*Assumptions!$B$145*Assumptions!$B$146,0)</f>
        <v/>
      </c>
      <c r="W114" s="54">
        <f>IF(W2&gt;=Assumptions!$B$51,W103*Assumptions!$B$144*(1-Assumptions!$B$163)*IF(W95=0,0,W101/W95)*Assumptions!$B$32*Assumptions!$B$145*Assumptions!$B$146,0)</f>
        <v/>
      </c>
      <c r="X114" s="54">
        <f>IF(X2&gt;=Assumptions!$B$51,X103*Assumptions!$B$144*(1-Assumptions!$B$163)*IF(X95=0,0,X101/X95)*Assumptions!$B$32*Assumptions!$B$145*Assumptions!$B$146,0)</f>
        <v/>
      </c>
      <c r="Y114" s="54">
        <f>IF(Y2&gt;=Assumptions!$B$51,Y103*Assumptions!$B$144*(1-Assumptions!$B$163)*IF(Y95=0,0,Y101/Y95)*Assumptions!$B$32*Assumptions!$B$145*Assumptions!$B$146,0)</f>
        <v/>
      </c>
      <c r="Z114" s="54">
        <f>IF(Z2&gt;=Assumptions!$B$51,Z103*Assumptions!$B$144*(1-Assumptions!$B$163)*IF(Z95=0,0,Z101/Z95)*Assumptions!$B$32*Assumptions!$B$145*Assumptions!$B$146,0)</f>
        <v/>
      </c>
      <c r="AA114" s="54">
        <f>IF(AA2&gt;=Assumptions!$B$51,AA103*Assumptions!$B$144*(1-Assumptions!$B$163)*IF(AA95=0,0,AA101/AA95)*Assumptions!$B$32*Assumptions!$B$145*Assumptions!$B$146,0)</f>
        <v/>
      </c>
      <c r="AB114" s="54">
        <f>IF(AB2&gt;=Assumptions!$B$51,AB103*Assumptions!$B$144*(1-Assumptions!$B$163)*IF(AB95=0,0,AB101/AB95)*Assumptions!$B$32*Assumptions!$B$145*Assumptions!$B$146,0)</f>
        <v/>
      </c>
      <c r="AC114" s="54">
        <f>IF(AC2&gt;=Assumptions!$B$51,AC103*Assumptions!$B$144*(1-Assumptions!$B$163)*IF(AC95=0,0,AC101/AC95)*Assumptions!$B$32*Assumptions!$B$145*Assumptions!$B$146,0)</f>
        <v/>
      </c>
      <c r="AD114" s="54">
        <f>IF(AD2&gt;=Assumptions!$B$51,AD103*Assumptions!$B$144*(1-Assumptions!$B$163)*IF(AD95=0,0,AD101/AD95)*Assumptions!$B$32*Assumptions!$B$145*Assumptions!$B$146,0)</f>
        <v/>
      </c>
      <c r="AE114" s="54">
        <f>IF(AE2&gt;=Assumptions!$B$51,AE103*Assumptions!$B$144*(1-Assumptions!$B$163)*IF(AE95=0,0,AE101/AE95)*Assumptions!$B$32*Assumptions!$B$145*Assumptions!$B$146,0)</f>
        <v/>
      </c>
    </row>
    <row r="115">
      <c r="A115" s="6" t="inlineStr">
        <is>
          <t xml:space="preserve">  Stream 5 - Lending revenue share</t>
        </is>
      </c>
      <c r="B115" s="23" t="inlineStr">
        <is>
          <t>USD</t>
        </is>
      </c>
      <c r="C115" s="54">
        <f>(C114*Assumptions!$B$30*Assumptions!$B$31+C114/Assumptions!$B$146*Assumptions!$B$147*Assumptions!$B$28*Assumptions!$B$29)*C7/12</f>
        <v/>
      </c>
      <c r="D115" s="54">
        <f>(D114*Assumptions!$B$30*Assumptions!$B$31+D114/Assumptions!$B$146*Assumptions!$B$147*Assumptions!$B$28*Assumptions!$B$29)*D7/12</f>
        <v/>
      </c>
      <c r="E115" s="54">
        <f>(E114*Assumptions!$B$30*Assumptions!$B$31+E114/Assumptions!$B$146*Assumptions!$B$147*Assumptions!$B$28*Assumptions!$B$29)*E7/12</f>
        <v/>
      </c>
      <c r="F115" s="54">
        <f>(F114*Assumptions!$B$30*Assumptions!$B$31+F114/Assumptions!$B$146*Assumptions!$B$147*Assumptions!$B$28*Assumptions!$B$29)*F7/12</f>
        <v/>
      </c>
      <c r="G115" s="54">
        <f>(G114*Assumptions!$B$30*Assumptions!$B$31+G114/Assumptions!$B$146*Assumptions!$B$147*Assumptions!$B$28*Assumptions!$B$29)*G7/12</f>
        <v/>
      </c>
      <c r="H115" s="54">
        <f>(H114*Assumptions!$B$30*Assumptions!$B$31+H114/Assumptions!$B$146*Assumptions!$B$147*Assumptions!$B$28*Assumptions!$B$29)*H7/12</f>
        <v/>
      </c>
      <c r="I115" s="54">
        <f>(I114*Assumptions!$B$30*Assumptions!$B$31+I114/Assumptions!$B$146*Assumptions!$B$147*Assumptions!$B$28*Assumptions!$B$29)*I7/12</f>
        <v/>
      </c>
      <c r="J115" s="54">
        <f>(J114*Assumptions!$B$30*Assumptions!$B$31+J114/Assumptions!$B$146*Assumptions!$B$147*Assumptions!$B$28*Assumptions!$B$29)*J7/12</f>
        <v/>
      </c>
      <c r="K115" s="54">
        <f>(K114*Assumptions!$B$30*Assumptions!$B$31+K114/Assumptions!$B$146*Assumptions!$B$147*Assumptions!$B$28*Assumptions!$B$29)*K7/12</f>
        <v/>
      </c>
      <c r="L115" s="54">
        <f>(L114*Assumptions!$B$30*Assumptions!$B$31+L114/Assumptions!$B$146*Assumptions!$B$147*Assumptions!$B$28*Assumptions!$B$29)*L7/12</f>
        <v/>
      </c>
      <c r="M115" s="54">
        <f>(M114*Assumptions!$B$30*Assumptions!$B$31+M114/Assumptions!$B$146*Assumptions!$B$147*Assumptions!$B$28*Assumptions!$B$29)*M7/12</f>
        <v/>
      </c>
      <c r="N115" s="54">
        <f>(N114*Assumptions!$B$30*Assumptions!$B$31+N114/Assumptions!$B$146*Assumptions!$B$147*Assumptions!$B$28*Assumptions!$B$29)*N7/12</f>
        <v/>
      </c>
      <c r="O115" s="54">
        <f>(O114*Assumptions!$B$30*Assumptions!$B$31+O114/Assumptions!$B$146*Assumptions!$B$147*Assumptions!$B$28*Assumptions!$B$29)*O7/12</f>
        <v/>
      </c>
      <c r="P115" s="54">
        <f>(P114*Assumptions!$B$30*Assumptions!$B$31+P114/Assumptions!$B$146*Assumptions!$B$147*Assumptions!$B$28*Assumptions!$B$29)*P7/12</f>
        <v/>
      </c>
      <c r="Q115" s="54">
        <f>(Q114*Assumptions!$B$30*Assumptions!$B$31+Q114/Assumptions!$B$146*Assumptions!$B$147*Assumptions!$B$28*Assumptions!$B$29)*Q7/12</f>
        <v/>
      </c>
      <c r="R115" s="54">
        <f>(R114*Assumptions!$B$30*Assumptions!$B$31+R114/Assumptions!$B$146*Assumptions!$B$147*Assumptions!$B$28*Assumptions!$B$29)*R7/12</f>
        <v/>
      </c>
      <c r="S115" s="54">
        <f>(S114*Assumptions!$B$30*Assumptions!$B$31+S114/Assumptions!$B$146*Assumptions!$B$147*Assumptions!$B$28*Assumptions!$B$29)*S7/12</f>
        <v/>
      </c>
      <c r="T115" s="54">
        <f>(T114*Assumptions!$B$30*Assumptions!$B$31+T114/Assumptions!$B$146*Assumptions!$B$147*Assumptions!$B$28*Assumptions!$B$29)*T7/12</f>
        <v/>
      </c>
      <c r="U115" s="54">
        <f>(U114*Assumptions!$B$30*Assumptions!$B$31+U114/Assumptions!$B$146*Assumptions!$B$147*Assumptions!$B$28*Assumptions!$B$29)*U7/12</f>
        <v/>
      </c>
      <c r="V115" s="54">
        <f>(V114*Assumptions!$B$30*Assumptions!$B$31+V114/Assumptions!$B$146*Assumptions!$B$147*Assumptions!$B$28*Assumptions!$B$29)*V7/12</f>
        <v/>
      </c>
      <c r="W115" s="54">
        <f>(W114*Assumptions!$B$30*Assumptions!$B$31+W114/Assumptions!$B$146*Assumptions!$B$147*Assumptions!$B$28*Assumptions!$B$29)*W7/12</f>
        <v/>
      </c>
      <c r="X115" s="54">
        <f>(X114*Assumptions!$B$30*Assumptions!$B$31+X114/Assumptions!$B$146*Assumptions!$B$147*Assumptions!$B$28*Assumptions!$B$29)*X7/12</f>
        <v/>
      </c>
      <c r="Y115" s="54">
        <f>(Y114*Assumptions!$B$30*Assumptions!$B$31+Y114/Assumptions!$B$146*Assumptions!$B$147*Assumptions!$B$28*Assumptions!$B$29)*Y7/12</f>
        <v/>
      </c>
      <c r="Z115" s="54">
        <f>(Z114*Assumptions!$B$30*Assumptions!$B$31+Z114/Assumptions!$B$146*Assumptions!$B$147*Assumptions!$B$28*Assumptions!$B$29)*Z7/12</f>
        <v/>
      </c>
      <c r="AA115" s="54">
        <f>(AA114*Assumptions!$B$30*Assumptions!$B$31+AA114/Assumptions!$B$146*Assumptions!$B$147*Assumptions!$B$28*Assumptions!$B$29)*AA7/12</f>
        <v/>
      </c>
      <c r="AB115" s="54">
        <f>(AB114*Assumptions!$B$30*Assumptions!$B$31+AB114/Assumptions!$B$146*Assumptions!$B$147*Assumptions!$B$28*Assumptions!$B$29)*AB7/12</f>
        <v/>
      </c>
      <c r="AC115" s="54">
        <f>(AC114*Assumptions!$B$30*Assumptions!$B$31+AC114/Assumptions!$B$146*Assumptions!$B$147*Assumptions!$B$28*Assumptions!$B$29)*AC7/12</f>
        <v/>
      </c>
      <c r="AD115" s="54">
        <f>(AD114*Assumptions!$B$30*Assumptions!$B$31+AD114/Assumptions!$B$146*Assumptions!$B$147*Assumptions!$B$28*Assumptions!$B$29)*AD7/12</f>
        <v/>
      </c>
      <c r="AE115" s="54">
        <f>(AE114*Assumptions!$B$30*Assumptions!$B$31+AE114/Assumptions!$B$146*Assumptions!$B$147*Assumptions!$B$28*Assumptions!$B$29)*AE7/12</f>
        <v/>
      </c>
    </row>
    <row r="116">
      <c r="A116" s="6" t="inlineStr">
        <is>
          <t xml:space="preserve">  Redemption events (memo - drives cost, not revenue)</t>
        </is>
      </c>
      <c r="B116" s="23" t="inlineStr">
        <is>
          <t>events</t>
        </is>
      </c>
      <c r="C116" s="44">
        <f>IF(C2&gt;=Assumptions!$B$47,(C92+C94*Assumptions!$B$125)*Assumptions!$B$124*C7/12,0)</f>
        <v/>
      </c>
      <c r="D116" s="44">
        <f>IF(D2&gt;=Assumptions!$B$47,(D92+D94*Assumptions!$B$125)*Assumptions!$B$124*D7/12,0)</f>
        <v/>
      </c>
      <c r="E116" s="44">
        <f>IF(E2&gt;=Assumptions!$B$47,(E92+E94*Assumptions!$B$125)*Assumptions!$B$124*E7/12,0)</f>
        <v/>
      </c>
      <c r="F116" s="44">
        <f>IF(F2&gt;=Assumptions!$B$47,(F92+F94*Assumptions!$B$125)*Assumptions!$B$124*F7/12,0)</f>
        <v/>
      </c>
      <c r="G116" s="44">
        <f>IF(G2&gt;=Assumptions!$B$47,(G92+G94*Assumptions!$B$125)*Assumptions!$B$124*G7/12,0)</f>
        <v/>
      </c>
      <c r="H116" s="44">
        <f>IF(H2&gt;=Assumptions!$B$47,(H92+H94*Assumptions!$B$125)*Assumptions!$B$124*H7/12,0)</f>
        <v/>
      </c>
      <c r="I116" s="44">
        <f>IF(I2&gt;=Assumptions!$B$47,(I92+I94*Assumptions!$B$125)*Assumptions!$B$124*I7/12,0)</f>
        <v/>
      </c>
      <c r="J116" s="44">
        <f>IF(J2&gt;=Assumptions!$B$47,(J92+J94*Assumptions!$B$125)*Assumptions!$B$124*J7/12,0)</f>
        <v/>
      </c>
      <c r="K116" s="44">
        <f>IF(K2&gt;=Assumptions!$B$47,(K92+K94*Assumptions!$B$125)*Assumptions!$B$124*K7/12,0)</f>
        <v/>
      </c>
      <c r="L116" s="44">
        <f>IF(L2&gt;=Assumptions!$B$47,(L92+L94*Assumptions!$B$125)*Assumptions!$B$124*L7/12,0)</f>
        <v/>
      </c>
      <c r="M116" s="44">
        <f>IF(M2&gt;=Assumptions!$B$47,(M92+M94*Assumptions!$B$125)*Assumptions!$B$124*M7/12,0)</f>
        <v/>
      </c>
      <c r="N116" s="44">
        <f>IF(N2&gt;=Assumptions!$B$47,(N92+N94*Assumptions!$B$125)*Assumptions!$B$124*N7/12,0)</f>
        <v/>
      </c>
      <c r="O116" s="44">
        <f>IF(O2&gt;=Assumptions!$B$47,(O92+O94*Assumptions!$B$125)*Assumptions!$B$124*O7/12,0)</f>
        <v/>
      </c>
      <c r="P116" s="44">
        <f>IF(P2&gt;=Assumptions!$B$47,(P92+P94*Assumptions!$B$125)*Assumptions!$B$124*P7/12,0)</f>
        <v/>
      </c>
      <c r="Q116" s="44">
        <f>IF(Q2&gt;=Assumptions!$B$47,(Q92+Q94*Assumptions!$B$125)*Assumptions!$B$124*Q7/12,0)</f>
        <v/>
      </c>
      <c r="R116" s="44">
        <f>IF(R2&gt;=Assumptions!$B$47,(R92+R94*Assumptions!$B$125)*Assumptions!$B$124*R7/12,0)</f>
        <v/>
      </c>
      <c r="S116" s="44">
        <f>IF(S2&gt;=Assumptions!$B$47,(S92+S94*Assumptions!$B$125)*Assumptions!$B$124*S7/12,0)</f>
        <v/>
      </c>
      <c r="T116" s="44">
        <f>IF(T2&gt;=Assumptions!$B$47,(T92+T94*Assumptions!$B$125)*Assumptions!$B$124*T7/12,0)</f>
        <v/>
      </c>
      <c r="U116" s="44">
        <f>IF(U2&gt;=Assumptions!$B$47,(U92+U94*Assumptions!$B$125)*Assumptions!$B$124*U7/12,0)</f>
        <v/>
      </c>
      <c r="V116" s="44">
        <f>IF(V2&gt;=Assumptions!$B$47,(V92+V94*Assumptions!$B$125)*Assumptions!$B$124*V7/12,0)</f>
        <v/>
      </c>
      <c r="W116" s="44">
        <f>IF(W2&gt;=Assumptions!$B$47,(W92+W94*Assumptions!$B$125)*Assumptions!$B$124*W7/12,0)</f>
        <v/>
      </c>
      <c r="X116" s="44">
        <f>IF(X2&gt;=Assumptions!$B$47,(X92+X94*Assumptions!$B$125)*Assumptions!$B$124*X7/12,0)</f>
        <v/>
      </c>
      <c r="Y116" s="44">
        <f>IF(Y2&gt;=Assumptions!$B$47,(Y92+Y94*Assumptions!$B$125)*Assumptions!$B$124*Y7/12,0)</f>
        <v/>
      </c>
      <c r="Z116" s="44">
        <f>IF(Z2&gt;=Assumptions!$B$47,(Z92+Z94*Assumptions!$B$125)*Assumptions!$B$124*Z7/12,0)</f>
        <v/>
      </c>
      <c r="AA116" s="44">
        <f>IF(AA2&gt;=Assumptions!$B$47,(AA92+AA94*Assumptions!$B$125)*Assumptions!$B$124*AA7/12,0)</f>
        <v/>
      </c>
      <c r="AB116" s="44">
        <f>IF(AB2&gt;=Assumptions!$B$47,(AB92+AB94*Assumptions!$B$125)*Assumptions!$B$124*AB7/12,0)</f>
        <v/>
      </c>
      <c r="AC116" s="44">
        <f>IF(AC2&gt;=Assumptions!$B$47,(AC92+AC94*Assumptions!$B$125)*Assumptions!$B$124*AC7/12,0)</f>
        <v/>
      </c>
      <c r="AD116" s="44">
        <f>IF(AD2&gt;=Assumptions!$B$47,(AD92+AD94*Assumptions!$B$125)*Assumptions!$B$124*AD7/12,0)</f>
        <v/>
      </c>
      <c r="AE116" s="44">
        <f>IF(AE2&gt;=Assumptions!$B$47,(AE92+AE94*Assumptions!$B$125)*Assumptions!$B$124*AE7/12,0)</f>
        <v/>
      </c>
    </row>
    <row r="117">
      <c r="A117" s="3" t="inlineStr">
        <is>
          <t xml:space="preserve">  SUBTOTAL - India</t>
        </is>
      </c>
      <c r="B117" s="23" t="inlineStr">
        <is>
          <t>USD</t>
        </is>
      </c>
      <c r="C117" s="56">
        <f>C109+C110+C111+C112+C113+C115</f>
        <v/>
      </c>
      <c r="D117" s="56">
        <f>D109+D110+D111+D112+D113+D115</f>
        <v/>
      </c>
      <c r="E117" s="56">
        <f>E109+E110+E111+E112+E113+E115</f>
        <v/>
      </c>
      <c r="F117" s="56">
        <f>F109+F110+F111+F112+F113+F115</f>
        <v/>
      </c>
      <c r="G117" s="56">
        <f>G109+G110+G111+G112+G113+G115</f>
        <v/>
      </c>
      <c r="H117" s="56">
        <f>H109+H110+H111+H112+H113+H115</f>
        <v/>
      </c>
      <c r="I117" s="56">
        <f>I109+I110+I111+I112+I113+I115</f>
        <v/>
      </c>
      <c r="J117" s="56">
        <f>J109+J110+J111+J112+J113+J115</f>
        <v/>
      </c>
      <c r="K117" s="56">
        <f>K109+K110+K111+K112+K113+K115</f>
        <v/>
      </c>
      <c r="L117" s="56">
        <f>L109+L110+L111+L112+L113+L115</f>
        <v/>
      </c>
      <c r="M117" s="56">
        <f>M109+M110+M111+M112+M113+M115</f>
        <v/>
      </c>
      <c r="N117" s="56">
        <f>N109+N110+N111+N112+N113+N115</f>
        <v/>
      </c>
      <c r="O117" s="56">
        <f>O109+O110+O111+O112+O113+O115</f>
        <v/>
      </c>
      <c r="P117" s="56">
        <f>P109+P110+P111+P112+P113+P115</f>
        <v/>
      </c>
      <c r="Q117" s="56">
        <f>Q109+Q110+Q111+Q112+Q113+Q115</f>
        <v/>
      </c>
      <c r="R117" s="56">
        <f>R109+R110+R111+R112+R113+R115</f>
        <v/>
      </c>
      <c r="S117" s="56">
        <f>S109+S110+S111+S112+S113+S115</f>
        <v/>
      </c>
      <c r="T117" s="56">
        <f>T109+T110+T111+T112+T113+T115</f>
        <v/>
      </c>
      <c r="U117" s="56">
        <f>U109+U110+U111+U112+U113+U115</f>
        <v/>
      </c>
      <c r="V117" s="56">
        <f>V109+V110+V111+V112+V113+V115</f>
        <v/>
      </c>
      <c r="W117" s="56">
        <f>W109+W110+W111+W112+W113+W115</f>
        <v/>
      </c>
      <c r="X117" s="56">
        <f>X109+X110+X111+X112+X113+X115</f>
        <v/>
      </c>
      <c r="Y117" s="56">
        <f>Y109+Y110+Y111+Y112+Y113+Y115</f>
        <v/>
      </c>
      <c r="Z117" s="56">
        <f>Z109+Z110+Z111+Z112+Z113+Z115</f>
        <v/>
      </c>
      <c r="AA117" s="56">
        <f>AA109+AA110+AA111+AA112+AA113+AA115</f>
        <v/>
      </c>
      <c r="AB117" s="56">
        <f>AB109+AB110+AB111+AB112+AB113+AB115</f>
        <v/>
      </c>
      <c r="AC117" s="56">
        <f>AC109+AC110+AC111+AC112+AC113+AC115</f>
        <v/>
      </c>
      <c r="AD117" s="56">
        <f>AD109+AD110+AD111+AD112+AD113+AD115</f>
        <v/>
      </c>
      <c r="AE117" s="56">
        <f>AE109+AE110+AE111+AE112+AE113+AE115</f>
        <v/>
      </c>
    </row>
    <row r="119">
      <c r="A119" s="45" t="inlineStr">
        <is>
          <t>NON-REGIONAL</t>
        </is>
      </c>
      <c r="B119" s="46" t="n"/>
      <c r="C119" s="46" t="n"/>
      <c r="D119" s="46" t="n"/>
      <c r="E119" s="46" t="n"/>
      <c r="F119" s="46" t="n"/>
      <c r="G119" s="46" t="n"/>
      <c r="H119" s="46" t="n"/>
      <c r="I119" s="46" t="n"/>
      <c r="J119" s="46" t="n"/>
      <c r="K119" s="46" t="n"/>
      <c r="L119" s="46" t="n"/>
      <c r="M119" s="46" t="n"/>
      <c r="N119" s="46" t="n"/>
      <c r="O119" s="46" t="n"/>
      <c r="P119" s="46" t="n"/>
      <c r="Q119" s="46" t="n"/>
      <c r="R119" s="46" t="n"/>
      <c r="S119" s="46" t="n"/>
      <c r="T119" s="46" t="n"/>
      <c r="U119" s="46" t="n"/>
      <c r="V119" s="46" t="n"/>
      <c r="W119" s="46" t="n"/>
      <c r="X119" s="46" t="n"/>
      <c r="Y119" s="46" t="n"/>
      <c r="Z119" s="46" t="n"/>
      <c r="AA119" s="46" t="n"/>
      <c r="AB119" s="46" t="n"/>
      <c r="AC119" s="46" t="n"/>
      <c r="AD119" s="46" t="n"/>
      <c r="AE119" s="46" t="n"/>
    </row>
    <row r="120">
      <c r="A120" s="6" t="inlineStr">
        <is>
          <t xml:space="preserve">  Partner AUM</t>
        </is>
      </c>
      <c r="B120" s="23" t="inlineStr">
        <is>
          <t>USD</t>
        </is>
      </c>
      <c r="C120" s="57">
        <f>IF(C2&gt;=Assumptions!$B$52,INDEX(Assumptions!$B$149:$B$155,C5)*Assumptions!$B$156,0)</f>
        <v/>
      </c>
      <c r="D120" s="57">
        <f>IF(D2&gt;=Assumptions!$B$52,INDEX(Assumptions!$B$149:$B$155,D5)*Assumptions!$B$156,0)</f>
        <v/>
      </c>
      <c r="E120" s="57">
        <f>IF(E2&gt;=Assumptions!$B$52,INDEX(Assumptions!$B$149:$B$155,E5)*Assumptions!$B$156,0)</f>
        <v/>
      </c>
      <c r="F120" s="57">
        <f>IF(F2&gt;=Assumptions!$B$52,INDEX(Assumptions!$B$149:$B$155,F5)*Assumptions!$B$156,0)</f>
        <v/>
      </c>
      <c r="G120" s="57">
        <f>IF(G2&gt;=Assumptions!$B$52,INDEX(Assumptions!$B$149:$B$155,G5)*Assumptions!$B$156,0)</f>
        <v/>
      </c>
      <c r="H120" s="57">
        <f>IF(H2&gt;=Assumptions!$B$52,INDEX(Assumptions!$B$149:$B$155,H5)*Assumptions!$B$156,0)</f>
        <v/>
      </c>
      <c r="I120" s="57">
        <f>IF(I2&gt;=Assumptions!$B$52,INDEX(Assumptions!$B$149:$B$155,I5)*Assumptions!$B$156,0)</f>
        <v/>
      </c>
      <c r="J120" s="57">
        <f>IF(J2&gt;=Assumptions!$B$52,INDEX(Assumptions!$B$149:$B$155,J5)*Assumptions!$B$156,0)</f>
        <v/>
      </c>
      <c r="K120" s="57">
        <f>IF(K2&gt;=Assumptions!$B$52,INDEX(Assumptions!$B$149:$B$155,K5)*Assumptions!$B$156,0)</f>
        <v/>
      </c>
      <c r="L120" s="57">
        <f>IF(L2&gt;=Assumptions!$B$52,INDEX(Assumptions!$B$149:$B$155,L5)*Assumptions!$B$156,0)</f>
        <v/>
      </c>
      <c r="M120" s="57">
        <f>IF(M2&gt;=Assumptions!$B$52,INDEX(Assumptions!$B$149:$B$155,M5)*Assumptions!$B$156,0)</f>
        <v/>
      </c>
      <c r="N120" s="57">
        <f>IF(N2&gt;=Assumptions!$B$52,INDEX(Assumptions!$B$149:$B$155,N5)*Assumptions!$B$156,0)</f>
        <v/>
      </c>
      <c r="O120" s="57">
        <f>IF(O2&gt;=Assumptions!$B$52,INDEX(Assumptions!$B$149:$B$155,O5)*Assumptions!$B$156,0)</f>
        <v/>
      </c>
      <c r="P120" s="57">
        <f>IF(P2&gt;=Assumptions!$B$52,INDEX(Assumptions!$B$149:$B$155,P5)*Assumptions!$B$156,0)</f>
        <v/>
      </c>
      <c r="Q120" s="57">
        <f>IF(Q2&gt;=Assumptions!$B$52,INDEX(Assumptions!$B$149:$B$155,Q5)*Assumptions!$B$156,0)</f>
        <v/>
      </c>
      <c r="R120" s="57">
        <f>IF(R2&gt;=Assumptions!$B$52,INDEX(Assumptions!$B$149:$B$155,R5)*Assumptions!$B$156,0)</f>
        <v/>
      </c>
      <c r="S120" s="57">
        <f>IF(S2&gt;=Assumptions!$B$52,INDEX(Assumptions!$B$149:$B$155,S5)*Assumptions!$B$156,0)</f>
        <v/>
      </c>
      <c r="T120" s="57">
        <f>IF(T2&gt;=Assumptions!$B$52,INDEX(Assumptions!$B$149:$B$155,T5)*Assumptions!$B$156,0)</f>
        <v/>
      </c>
      <c r="U120" s="57">
        <f>IF(U2&gt;=Assumptions!$B$52,INDEX(Assumptions!$B$149:$B$155,U5)*Assumptions!$B$156,0)</f>
        <v/>
      </c>
      <c r="V120" s="57">
        <f>IF(V2&gt;=Assumptions!$B$52,INDEX(Assumptions!$B$149:$B$155,V5)*Assumptions!$B$156,0)</f>
        <v/>
      </c>
      <c r="W120" s="57">
        <f>IF(W2&gt;=Assumptions!$B$52,INDEX(Assumptions!$B$149:$B$155,W5)*Assumptions!$B$156,0)</f>
        <v/>
      </c>
      <c r="X120" s="57">
        <f>IF(X2&gt;=Assumptions!$B$52,INDEX(Assumptions!$B$149:$B$155,X5)*Assumptions!$B$156,0)</f>
        <v/>
      </c>
      <c r="Y120" s="57">
        <f>IF(Y2&gt;=Assumptions!$B$52,INDEX(Assumptions!$B$149:$B$155,Y5)*Assumptions!$B$156,0)</f>
        <v/>
      </c>
      <c r="Z120" s="57">
        <f>IF(Z2&gt;=Assumptions!$B$52,INDEX(Assumptions!$B$149:$B$155,Z5)*Assumptions!$B$156,0)</f>
        <v/>
      </c>
      <c r="AA120" s="57">
        <f>IF(AA2&gt;=Assumptions!$B$52,INDEX(Assumptions!$B$149:$B$155,AA5)*Assumptions!$B$156,0)</f>
        <v/>
      </c>
      <c r="AB120" s="57">
        <f>IF(AB2&gt;=Assumptions!$B$52,INDEX(Assumptions!$B$149:$B$155,AB5)*Assumptions!$B$156,0)</f>
        <v/>
      </c>
      <c r="AC120" s="57">
        <f>IF(AC2&gt;=Assumptions!$B$52,INDEX(Assumptions!$B$149:$B$155,AC5)*Assumptions!$B$156,0)</f>
        <v/>
      </c>
      <c r="AD120" s="57">
        <f>IF(AD2&gt;=Assumptions!$B$52,INDEX(Assumptions!$B$149:$B$155,AD5)*Assumptions!$B$156,0)</f>
        <v/>
      </c>
      <c r="AE120" s="57">
        <f>IF(AE2&gt;=Assumptions!$B$52,INDEX(Assumptions!$B$149:$B$155,AE5)*Assumptions!$B$156,0)</f>
        <v/>
      </c>
    </row>
    <row r="121">
      <c r="A121" s="6" t="inlineStr">
        <is>
          <t>Stream 6 - B2B platform fee</t>
        </is>
      </c>
      <c r="B121" s="23" t="inlineStr">
        <is>
          <t>USD</t>
        </is>
      </c>
      <c r="C121" s="56">
        <f>C120*Assumptions!$B$27*C7/12</f>
        <v/>
      </c>
      <c r="D121" s="56">
        <f>D120*Assumptions!$B$27*D7/12</f>
        <v/>
      </c>
      <c r="E121" s="56">
        <f>E120*Assumptions!$B$27*E7/12</f>
        <v/>
      </c>
      <c r="F121" s="56">
        <f>F120*Assumptions!$B$27*F7/12</f>
        <v/>
      </c>
      <c r="G121" s="56">
        <f>G120*Assumptions!$B$27*G7/12</f>
        <v/>
      </c>
      <c r="H121" s="56">
        <f>H120*Assumptions!$B$27*H7/12</f>
        <v/>
      </c>
      <c r="I121" s="56">
        <f>I120*Assumptions!$B$27*I7/12</f>
        <v/>
      </c>
      <c r="J121" s="56">
        <f>J120*Assumptions!$B$27*J7/12</f>
        <v/>
      </c>
      <c r="K121" s="56">
        <f>K120*Assumptions!$B$27*K7/12</f>
        <v/>
      </c>
      <c r="L121" s="56">
        <f>L120*Assumptions!$B$27*L7/12</f>
        <v/>
      </c>
      <c r="M121" s="56">
        <f>M120*Assumptions!$B$27*M7/12</f>
        <v/>
      </c>
      <c r="N121" s="56">
        <f>N120*Assumptions!$B$27*N7/12</f>
        <v/>
      </c>
      <c r="O121" s="56">
        <f>O120*Assumptions!$B$27*O7/12</f>
        <v/>
      </c>
      <c r="P121" s="56">
        <f>P120*Assumptions!$B$27*P7/12</f>
        <v/>
      </c>
      <c r="Q121" s="56">
        <f>Q120*Assumptions!$B$27*Q7/12</f>
        <v/>
      </c>
      <c r="R121" s="56">
        <f>R120*Assumptions!$B$27*R7/12</f>
        <v/>
      </c>
      <c r="S121" s="56">
        <f>S120*Assumptions!$B$27*S7/12</f>
        <v/>
      </c>
      <c r="T121" s="56">
        <f>T120*Assumptions!$B$27*T7/12</f>
        <v/>
      </c>
      <c r="U121" s="56">
        <f>U120*Assumptions!$B$27*U7/12</f>
        <v/>
      </c>
      <c r="V121" s="56">
        <f>V120*Assumptions!$B$27*V7/12</f>
        <v/>
      </c>
      <c r="W121" s="56">
        <f>W120*Assumptions!$B$27*W7/12</f>
        <v/>
      </c>
      <c r="X121" s="56">
        <f>X120*Assumptions!$B$27*X7/12</f>
        <v/>
      </c>
      <c r="Y121" s="56">
        <f>Y120*Assumptions!$B$27*Y7/12</f>
        <v/>
      </c>
      <c r="Z121" s="56">
        <f>Z120*Assumptions!$B$27*Z7/12</f>
        <v/>
      </c>
      <c r="AA121" s="56">
        <f>AA120*Assumptions!$B$27*AA7/12</f>
        <v/>
      </c>
      <c r="AB121" s="56">
        <f>AB120*Assumptions!$B$27*AB7/12</f>
        <v/>
      </c>
      <c r="AC121" s="56">
        <f>AC120*Assumptions!$B$27*AC7/12</f>
        <v/>
      </c>
      <c r="AD121" s="56">
        <f>AD120*Assumptions!$B$27*AD7/12</f>
        <v/>
      </c>
      <c r="AE121" s="56">
        <f>AE120*Assumptions!$B$27*AE7/12</f>
        <v/>
      </c>
    </row>
    <row r="122">
      <c r="A122" s="9" t="inlineStr">
        <is>
          <t>Stream 6 is NOT regional: partners are institutions with their own customer books, not retail customers of a region. It is reported separately rather than allocated, because any allocation would be invented.</t>
        </is>
      </c>
    </row>
    <row r="124">
      <c r="A124" s="45" t="inlineStr">
        <is>
          <t>WHOLE-BOOK TOTALS</t>
        </is>
      </c>
      <c r="B124" s="46" t="n"/>
      <c r="C124" s="46" t="n"/>
      <c r="D124" s="46" t="n"/>
      <c r="E124" s="46" t="n"/>
      <c r="F124" s="46" t="n"/>
      <c r="G124" s="46" t="n"/>
      <c r="H124" s="46" t="n"/>
      <c r="I124" s="46" t="n"/>
      <c r="J124" s="46" t="n"/>
      <c r="K124" s="46" t="n"/>
      <c r="L124" s="46" t="n"/>
      <c r="M124" s="46" t="n"/>
      <c r="N124" s="46" t="n"/>
      <c r="O124" s="46" t="n"/>
      <c r="P124" s="46" t="n"/>
      <c r="Q124" s="46" t="n"/>
      <c r="R124" s="46" t="n"/>
      <c r="S124" s="46" t="n"/>
      <c r="T124" s="46" t="n"/>
      <c r="U124" s="46" t="n"/>
      <c r="V124" s="46" t="n"/>
      <c r="W124" s="46" t="n"/>
      <c r="X124" s="46" t="n"/>
      <c r="Y124" s="46" t="n"/>
      <c r="Z124" s="46" t="n"/>
      <c r="AA124" s="46" t="n"/>
      <c r="AB124" s="46" t="n"/>
      <c r="AC124" s="46" t="n"/>
      <c r="AD124" s="46" t="n"/>
      <c r="AE124" s="46" t="n"/>
    </row>
    <row r="125">
      <c r="A125" s="3" t="inlineStr">
        <is>
          <t>PAYING CUSTOMERS</t>
        </is>
      </c>
      <c r="B125" s="23" t="inlineStr">
        <is>
          <t>-</t>
        </is>
      </c>
      <c r="C125" s="44">
        <f>C30+C61+C92</f>
        <v/>
      </c>
      <c r="D125" s="44">
        <f>D30+D61+D92</f>
        <v/>
      </c>
      <c r="E125" s="44">
        <f>E30+E61+E92</f>
        <v/>
      </c>
      <c r="F125" s="44">
        <f>F30+F61+F92</f>
        <v/>
      </c>
      <c r="G125" s="44">
        <f>G30+G61+G92</f>
        <v/>
      </c>
      <c r="H125" s="44">
        <f>H30+H61+H92</f>
        <v/>
      </c>
      <c r="I125" s="44">
        <f>I30+I61+I92</f>
        <v/>
      </c>
      <c r="J125" s="44">
        <f>J30+J61+J92</f>
        <v/>
      </c>
      <c r="K125" s="44">
        <f>K30+K61+K92</f>
        <v/>
      </c>
      <c r="L125" s="44">
        <f>L30+L61+L92</f>
        <v/>
      </c>
      <c r="M125" s="44">
        <f>M30+M61+M92</f>
        <v/>
      </c>
      <c r="N125" s="44">
        <f>N30+N61+N92</f>
        <v/>
      </c>
      <c r="O125" s="44">
        <f>O30+O61+O92</f>
        <v/>
      </c>
      <c r="P125" s="44">
        <f>P30+P61+P92</f>
        <v/>
      </c>
      <c r="Q125" s="44">
        <f>Q30+Q61+Q92</f>
        <v/>
      </c>
      <c r="R125" s="44">
        <f>R30+R61+R92</f>
        <v/>
      </c>
      <c r="S125" s="44">
        <f>S30+S61+S92</f>
        <v/>
      </c>
      <c r="T125" s="44">
        <f>T30+T61+T92</f>
        <v/>
      </c>
      <c r="U125" s="44">
        <f>U30+U61+U92</f>
        <v/>
      </c>
      <c r="V125" s="44">
        <f>V30+V61+V92</f>
        <v/>
      </c>
      <c r="W125" s="44">
        <f>W30+W61+W92</f>
        <v/>
      </c>
      <c r="X125" s="44">
        <f>X30+X61+X92</f>
        <v/>
      </c>
      <c r="Y125" s="44">
        <f>Y30+Y61+Y92</f>
        <v/>
      </c>
      <c r="Z125" s="44">
        <f>Z30+Z61+Z92</f>
        <v/>
      </c>
      <c r="AA125" s="44">
        <f>AA30+AA61+AA92</f>
        <v/>
      </c>
      <c r="AB125" s="44">
        <f>AB30+AB61+AB92</f>
        <v/>
      </c>
      <c r="AC125" s="44">
        <f>AC30+AC61+AC92</f>
        <v/>
      </c>
      <c r="AD125" s="44">
        <f>AD30+AD61+AD92</f>
        <v/>
      </c>
      <c r="AE125" s="44">
        <f>AE30+AE61+AE92</f>
        <v/>
      </c>
    </row>
    <row r="126">
      <c r="A126" s="3" t="inlineStr">
        <is>
          <t>HOLDERS (stopped paying, still hold gold)</t>
        </is>
      </c>
      <c r="B126" s="23" t="inlineStr">
        <is>
          <t>-</t>
        </is>
      </c>
      <c r="C126" s="44">
        <f>C32+C63+C94</f>
        <v/>
      </c>
      <c r="D126" s="44">
        <f>D32+D63+D94</f>
        <v/>
      </c>
      <c r="E126" s="44">
        <f>E32+E63+E94</f>
        <v/>
      </c>
      <c r="F126" s="44">
        <f>F32+F63+F94</f>
        <v/>
      </c>
      <c r="G126" s="44">
        <f>G32+G63+G94</f>
        <v/>
      </c>
      <c r="H126" s="44">
        <f>H32+H63+H94</f>
        <v/>
      </c>
      <c r="I126" s="44">
        <f>I32+I63+I94</f>
        <v/>
      </c>
      <c r="J126" s="44">
        <f>J32+J63+J94</f>
        <v/>
      </c>
      <c r="K126" s="44">
        <f>K32+K63+K94</f>
        <v/>
      </c>
      <c r="L126" s="44">
        <f>L32+L63+L94</f>
        <v/>
      </c>
      <c r="M126" s="44">
        <f>M32+M63+M94</f>
        <v/>
      </c>
      <c r="N126" s="44">
        <f>N32+N63+N94</f>
        <v/>
      </c>
      <c r="O126" s="44">
        <f>O32+O63+O94</f>
        <v/>
      </c>
      <c r="P126" s="44">
        <f>P32+P63+P94</f>
        <v/>
      </c>
      <c r="Q126" s="44">
        <f>Q32+Q63+Q94</f>
        <v/>
      </c>
      <c r="R126" s="44">
        <f>R32+R63+R94</f>
        <v/>
      </c>
      <c r="S126" s="44">
        <f>S32+S63+S94</f>
        <v/>
      </c>
      <c r="T126" s="44">
        <f>T32+T63+T94</f>
        <v/>
      </c>
      <c r="U126" s="44">
        <f>U32+U63+U94</f>
        <v/>
      </c>
      <c r="V126" s="44">
        <f>V32+V63+V94</f>
        <v/>
      </c>
      <c r="W126" s="44">
        <f>W32+W63+W94</f>
        <v/>
      </c>
      <c r="X126" s="44">
        <f>X32+X63+X94</f>
        <v/>
      </c>
      <c r="Y126" s="44">
        <f>Y32+Y63+Y94</f>
        <v/>
      </c>
      <c r="Z126" s="44">
        <f>Z32+Z63+Z94</f>
        <v/>
      </c>
      <c r="AA126" s="44">
        <f>AA32+AA63+AA94</f>
        <v/>
      </c>
      <c r="AB126" s="44">
        <f>AB32+AB63+AB94</f>
        <v/>
      </c>
      <c r="AC126" s="44">
        <f>AC32+AC63+AC94</f>
        <v/>
      </c>
      <c r="AD126" s="44">
        <f>AD32+AD63+AD94</f>
        <v/>
      </c>
      <c r="AE126" s="44">
        <f>AE32+AE63+AE94</f>
        <v/>
      </c>
    </row>
    <row r="127">
      <c r="A127" s="6" t="inlineStr">
        <is>
          <t>Cumulative ever acquired</t>
        </is>
      </c>
      <c r="B127" s="23" t="inlineStr">
        <is>
          <t>-</t>
        </is>
      </c>
      <c r="C127" s="44">
        <f>C33+C64+C95</f>
        <v/>
      </c>
      <c r="D127" s="44">
        <f>D33+D64+D95</f>
        <v/>
      </c>
      <c r="E127" s="44">
        <f>E33+E64+E95</f>
        <v/>
      </c>
      <c r="F127" s="44">
        <f>F33+F64+F95</f>
        <v/>
      </c>
      <c r="G127" s="44">
        <f>G33+G64+G95</f>
        <v/>
      </c>
      <c r="H127" s="44">
        <f>H33+H64+H95</f>
        <v/>
      </c>
      <c r="I127" s="44">
        <f>I33+I64+I95</f>
        <v/>
      </c>
      <c r="J127" s="44">
        <f>J33+J64+J95</f>
        <v/>
      </c>
      <c r="K127" s="44">
        <f>K33+K64+K95</f>
        <v/>
      </c>
      <c r="L127" s="44">
        <f>L33+L64+L95</f>
        <v/>
      </c>
      <c r="M127" s="44">
        <f>M33+M64+M95</f>
        <v/>
      </c>
      <c r="N127" s="44">
        <f>N33+N64+N95</f>
        <v/>
      </c>
      <c r="O127" s="44">
        <f>O33+O64+O95</f>
        <v/>
      </c>
      <c r="P127" s="44">
        <f>P33+P64+P95</f>
        <v/>
      </c>
      <c r="Q127" s="44">
        <f>Q33+Q64+Q95</f>
        <v/>
      </c>
      <c r="R127" s="44">
        <f>R33+R64+R95</f>
        <v/>
      </c>
      <c r="S127" s="44">
        <f>S33+S64+S95</f>
        <v/>
      </c>
      <c r="T127" s="44">
        <f>T33+T64+T95</f>
        <v/>
      </c>
      <c r="U127" s="44">
        <f>U33+U64+U95</f>
        <v/>
      </c>
      <c r="V127" s="44">
        <f>V33+V64+V95</f>
        <v/>
      </c>
      <c r="W127" s="44">
        <f>W33+W64+W95</f>
        <v/>
      </c>
      <c r="X127" s="44">
        <f>X33+X64+X95</f>
        <v/>
      </c>
      <c r="Y127" s="44">
        <f>Y33+Y64+Y95</f>
        <v/>
      </c>
      <c r="Z127" s="44">
        <f>Z33+Z64+Z95</f>
        <v/>
      </c>
      <c r="AA127" s="44">
        <f>AA33+AA64+AA95</f>
        <v/>
      </c>
      <c r="AB127" s="44">
        <f>AB33+AB64+AB95</f>
        <v/>
      </c>
      <c r="AC127" s="44">
        <f>AC33+AC64+AC95</f>
        <v/>
      </c>
      <c r="AD127" s="44">
        <f>AD33+AD64+AD95</f>
        <v/>
      </c>
      <c r="AE127" s="44">
        <f>AE33+AE64+AE95</f>
        <v/>
      </c>
    </row>
    <row r="128">
      <c r="A128" s="3" t="inlineStr">
        <is>
          <t>NEW CUSTOMERS</t>
        </is>
      </c>
      <c r="B128" s="23" t="inlineStr">
        <is>
          <t>-</t>
        </is>
      </c>
      <c r="C128" s="44">
        <f>C29+C60+C91</f>
        <v/>
      </c>
      <c r="D128" s="44">
        <f>D29+D60+D91</f>
        <v/>
      </c>
      <c r="E128" s="44">
        <f>E29+E60+E91</f>
        <v/>
      </c>
      <c r="F128" s="44">
        <f>F29+F60+F91</f>
        <v/>
      </c>
      <c r="G128" s="44">
        <f>G29+G60+G91</f>
        <v/>
      </c>
      <c r="H128" s="44">
        <f>H29+H60+H91</f>
        <v/>
      </c>
      <c r="I128" s="44">
        <f>I29+I60+I91</f>
        <v/>
      </c>
      <c r="J128" s="44">
        <f>J29+J60+J91</f>
        <v/>
      </c>
      <c r="K128" s="44">
        <f>K29+K60+K91</f>
        <v/>
      </c>
      <c r="L128" s="44">
        <f>L29+L60+L91</f>
        <v/>
      </c>
      <c r="M128" s="44">
        <f>M29+M60+M91</f>
        <v/>
      </c>
      <c r="N128" s="44">
        <f>N29+N60+N91</f>
        <v/>
      </c>
      <c r="O128" s="44">
        <f>O29+O60+O91</f>
        <v/>
      </c>
      <c r="P128" s="44">
        <f>P29+P60+P91</f>
        <v/>
      </c>
      <c r="Q128" s="44">
        <f>Q29+Q60+Q91</f>
        <v/>
      </c>
      <c r="R128" s="44">
        <f>R29+R60+R91</f>
        <v/>
      </c>
      <c r="S128" s="44">
        <f>S29+S60+S91</f>
        <v/>
      </c>
      <c r="T128" s="44">
        <f>T29+T60+T91</f>
        <v/>
      </c>
      <c r="U128" s="44">
        <f>U29+U60+U91</f>
        <v/>
      </c>
      <c r="V128" s="44">
        <f>V29+V60+V91</f>
        <v/>
      </c>
      <c r="W128" s="44">
        <f>W29+W60+W91</f>
        <v/>
      </c>
      <c r="X128" s="44">
        <f>X29+X60+X91</f>
        <v/>
      </c>
      <c r="Y128" s="44">
        <f>Y29+Y60+Y91</f>
        <v/>
      </c>
      <c r="Z128" s="44">
        <f>Z29+Z60+Z91</f>
        <v/>
      </c>
      <c r="AA128" s="44">
        <f>AA29+AA60+AA91</f>
        <v/>
      </c>
      <c r="AB128" s="44">
        <f>AB29+AB60+AB91</f>
        <v/>
      </c>
      <c r="AC128" s="44">
        <f>AC29+AC60+AC91</f>
        <v/>
      </c>
      <c r="AD128" s="44">
        <f>AD29+AD60+AD91</f>
        <v/>
      </c>
      <c r="AE128" s="44">
        <f>AE29+AE60+AE91</f>
        <v/>
      </c>
    </row>
    <row r="129">
      <c r="A129" s="3" t="inlineStr">
        <is>
          <t>ACTIVE CARDS</t>
        </is>
      </c>
      <c r="B129" s="23" t="inlineStr">
        <is>
          <t>-</t>
        </is>
      </c>
      <c r="C129" s="44">
        <f>C42+C73+C104</f>
        <v/>
      </c>
      <c r="D129" s="44">
        <f>D42+D73+D104</f>
        <v/>
      </c>
      <c r="E129" s="44">
        <f>E42+E73+E104</f>
        <v/>
      </c>
      <c r="F129" s="44">
        <f>F42+F73+F104</f>
        <v/>
      </c>
      <c r="G129" s="44">
        <f>G42+G73+G104</f>
        <v/>
      </c>
      <c r="H129" s="44">
        <f>H42+H73+H104</f>
        <v/>
      </c>
      <c r="I129" s="44">
        <f>I42+I73+I104</f>
        <v/>
      </c>
      <c r="J129" s="44">
        <f>J42+J73+J104</f>
        <v/>
      </c>
      <c r="K129" s="44">
        <f>K42+K73+K104</f>
        <v/>
      </c>
      <c r="L129" s="44">
        <f>L42+L73+L104</f>
        <v/>
      </c>
      <c r="M129" s="44">
        <f>M42+M73+M104</f>
        <v/>
      </c>
      <c r="N129" s="44">
        <f>N42+N73+N104</f>
        <v/>
      </c>
      <c r="O129" s="44">
        <f>O42+O73+O104</f>
        <v/>
      </c>
      <c r="P129" s="44">
        <f>P42+P73+P104</f>
        <v/>
      </c>
      <c r="Q129" s="44">
        <f>Q42+Q73+Q104</f>
        <v/>
      </c>
      <c r="R129" s="44">
        <f>R42+R73+R104</f>
        <v/>
      </c>
      <c r="S129" s="44">
        <f>S42+S73+S104</f>
        <v/>
      </c>
      <c r="T129" s="44">
        <f>T42+T73+T104</f>
        <v/>
      </c>
      <c r="U129" s="44">
        <f>U42+U73+U104</f>
        <v/>
      </c>
      <c r="V129" s="44">
        <f>V42+V73+V104</f>
        <v/>
      </c>
      <c r="W129" s="44">
        <f>W42+W73+W104</f>
        <v/>
      </c>
      <c r="X129" s="44">
        <f>X42+X73+X104</f>
        <v/>
      </c>
      <c r="Y129" s="44">
        <f>Y42+Y73+Y104</f>
        <v/>
      </c>
      <c r="Z129" s="44">
        <f>Z42+Z73+Z104</f>
        <v/>
      </c>
      <c r="AA129" s="44">
        <f>AA42+AA73+AA104</f>
        <v/>
      </c>
      <c r="AB129" s="44">
        <f>AB42+AB73+AB104</f>
        <v/>
      </c>
      <c r="AC129" s="44">
        <f>AC42+AC73+AC104</f>
        <v/>
      </c>
      <c r="AD129" s="44">
        <f>AD42+AD73+AD104</f>
        <v/>
      </c>
      <c r="AE129" s="44">
        <f>AE42+AE73+AE104</f>
        <v/>
      </c>
    </row>
    <row r="130">
      <c r="A130" s="6" t="inlineStr">
        <is>
          <t>GRAMS HELD</t>
        </is>
      </c>
      <c r="B130" s="23" t="inlineStr">
        <is>
          <t>-</t>
        </is>
      </c>
      <c r="C130" s="44">
        <f>C38+C69+C100</f>
        <v/>
      </c>
      <c r="D130" s="44">
        <f>D38+D69+D100</f>
        <v/>
      </c>
      <c r="E130" s="44">
        <f>E38+E69+E100</f>
        <v/>
      </c>
      <c r="F130" s="44">
        <f>F38+F69+F100</f>
        <v/>
      </c>
      <c r="G130" s="44">
        <f>G38+G69+G100</f>
        <v/>
      </c>
      <c r="H130" s="44">
        <f>H38+H69+H100</f>
        <v/>
      </c>
      <c r="I130" s="44">
        <f>I38+I69+I100</f>
        <v/>
      </c>
      <c r="J130" s="44">
        <f>J38+J69+J100</f>
        <v/>
      </c>
      <c r="K130" s="44">
        <f>K38+K69+K100</f>
        <v/>
      </c>
      <c r="L130" s="44">
        <f>L38+L69+L100</f>
        <v/>
      </c>
      <c r="M130" s="44">
        <f>M38+M69+M100</f>
        <v/>
      </c>
      <c r="N130" s="44">
        <f>N38+N69+N100</f>
        <v/>
      </c>
      <c r="O130" s="44">
        <f>O38+O69+O100</f>
        <v/>
      </c>
      <c r="P130" s="44">
        <f>P38+P69+P100</f>
        <v/>
      </c>
      <c r="Q130" s="44">
        <f>Q38+Q69+Q100</f>
        <v/>
      </c>
      <c r="R130" s="44">
        <f>R38+R69+R100</f>
        <v/>
      </c>
      <c r="S130" s="44">
        <f>S38+S69+S100</f>
        <v/>
      </c>
      <c r="T130" s="44">
        <f>T38+T69+T100</f>
        <v/>
      </c>
      <c r="U130" s="44">
        <f>U38+U69+U100</f>
        <v/>
      </c>
      <c r="V130" s="44">
        <f>V38+V69+V100</f>
        <v/>
      </c>
      <c r="W130" s="44">
        <f>W38+W69+W100</f>
        <v/>
      </c>
      <c r="X130" s="44">
        <f>X38+X69+X100</f>
        <v/>
      </c>
      <c r="Y130" s="44">
        <f>Y38+Y69+Y100</f>
        <v/>
      </c>
      <c r="Z130" s="44">
        <f>Z38+Z69+Z100</f>
        <v/>
      </c>
      <c r="AA130" s="44">
        <f>AA38+AA69+AA100</f>
        <v/>
      </c>
      <c r="AB130" s="44">
        <f>AB38+AB69+AB100</f>
        <v/>
      </c>
      <c r="AC130" s="44">
        <f>AC38+AC69+AC100</f>
        <v/>
      </c>
      <c r="AD130" s="44">
        <f>AD38+AD69+AD100</f>
        <v/>
      </c>
      <c r="AE130" s="44">
        <f>AE38+AE69+AE100</f>
        <v/>
      </c>
    </row>
    <row r="131">
      <c r="A131" s="3" t="inlineStr">
        <is>
          <t>AUM</t>
        </is>
      </c>
      <c r="B131" s="23" t="inlineStr">
        <is>
          <t>-</t>
        </is>
      </c>
      <c r="C131" s="54">
        <f>C39+C70+C101</f>
        <v/>
      </c>
      <c r="D131" s="54">
        <f>D39+D70+D101</f>
        <v/>
      </c>
      <c r="E131" s="54">
        <f>E39+E70+E101</f>
        <v/>
      </c>
      <c r="F131" s="54">
        <f>F39+F70+F101</f>
        <v/>
      </c>
      <c r="G131" s="54">
        <f>G39+G70+G101</f>
        <v/>
      </c>
      <c r="H131" s="54">
        <f>H39+H70+H101</f>
        <v/>
      </c>
      <c r="I131" s="54">
        <f>I39+I70+I101</f>
        <v/>
      </c>
      <c r="J131" s="54">
        <f>J39+J70+J101</f>
        <v/>
      </c>
      <c r="K131" s="54">
        <f>K39+K70+K101</f>
        <v/>
      </c>
      <c r="L131" s="54">
        <f>L39+L70+L101</f>
        <v/>
      </c>
      <c r="M131" s="54">
        <f>M39+M70+M101</f>
        <v/>
      </c>
      <c r="N131" s="54">
        <f>N39+N70+N101</f>
        <v/>
      </c>
      <c r="O131" s="54">
        <f>O39+O70+O101</f>
        <v/>
      </c>
      <c r="P131" s="54">
        <f>P39+P70+P101</f>
        <v/>
      </c>
      <c r="Q131" s="54">
        <f>Q39+Q70+Q101</f>
        <v/>
      </c>
      <c r="R131" s="54">
        <f>R39+R70+R101</f>
        <v/>
      </c>
      <c r="S131" s="54">
        <f>S39+S70+S101</f>
        <v/>
      </c>
      <c r="T131" s="54">
        <f>T39+T70+T101</f>
        <v/>
      </c>
      <c r="U131" s="54">
        <f>U39+U70+U101</f>
        <v/>
      </c>
      <c r="V131" s="54">
        <f>V39+V70+V101</f>
        <v/>
      </c>
      <c r="W131" s="54">
        <f>W39+W70+W101</f>
        <v/>
      </c>
      <c r="X131" s="54">
        <f>X39+X70+X101</f>
        <v/>
      </c>
      <c r="Y131" s="54">
        <f>Y39+Y70+Y101</f>
        <v/>
      </c>
      <c r="Z131" s="54">
        <f>Z39+Z70+Z101</f>
        <v/>
      </c>
      <c r="AA131" s="54">
        <f>AA39+AA70+AA101</f>
        <v/>
      </c>
      <c r="AB131" s="54">
        <f>AB39+AB70+AB101</f>
        <v/>
      </c>
      <c r="AC131" s="54">
        <f>AC39+AC70+AC101</f>
        <v/>
      </c>
      <c r="AD131" s="54">
        <f>AD39+AD70+AD101</f>
        <v/>
      </c>
      <c r="AE131" s="54">
        <f>AE39+AE70+AE101</f>
        <v/>
      </c>
    </row>
    <row r="132">
      <c r="A132" s="6" t="inlineStr">
        <is>
          <t>Cleared the six-payment gate</t>
        </is>
      </c>
      <c r="B132" s="23" t="inlineStr">
        <is>
          <t>-</t>
        </is>
      </c>
      <c r="C132" s="44">
        <f>C41+C72+C103</f>
        <v/>
      </c>
      <c r="D132" s="44">
        <f>D41+D72+D103</f>
        <v/>
      </c>
      <c r="E132" s="44">
        <f>E41+E72+E103</f>
        <v/>
      </c>
      <c r="F132" s="44">
        <f>F41+F72+F103</f>
        <v/>
      </c>
      <c r="G132" s="44">
        <f>G41+G72+G103</f>
        <v/>
      </c>
      <c r="H132" s="44">
        <f>H41+H72+H103</f>
        <v/>
      </c>
      <c r="I132" s="44">
        <f>I41+I72+I103</f>
        <v/>
      </c>
      <c r="J132" s="44">
        <f>J41+J72+J103</f>
        <v/>
      </c>
      <c r="K132" s="44">
        <f>K41+K72+K103</f>
        <v/>
      </c>
      <c r="L132" s="44">
        <f>L41+L72+L103</f>
        <v/>
      </c>
      <c r="M132" s="44">
        <f>M41+M72+M103</f>
        <v/>
      </c>
      <c r="N132" s="44">
        <f>N41+N72+N103</f>
        <v/>
      </c>
      <c r="O132" s="44">
        <f>O41+O72+O103</f>
        <v/>
      </c>
      <c r="P132" s="44">
        <f>P41+P72+P103</f>
        <v/>
      </c>
      <c r="Q132" s="44">
        <f>Q41+Q72+Q103</f>
        <v/>
      </c>
      <c r="R132" s="44">
        <f>R41+R72+R103</f>
        <v/>
      </c>
      <c r="S132" s="44">
        <f>S41+S72+S103</f>
        <v/>
      </c>
      <c r="T132" s="44">
        <f>T41+T72+T103</f>
        <v/>
      </c>
      <c r="U132" s="44">
        <f>U41+U72+U103</f>
        <v/>
      </c>
      <c r="V132" s="44">
        <f>V41+V72+V103</f>
        <v/>
      </c>
      <c r="W132" s="44">
        <f>W41+W72+W103</f>
        <v/>
      </c>
      <c r="X132" s="44">
        <f>X41+X72+X103</f>
        <v/>
      </c>
      <c r="Y132" s="44">
        <f>Y41+Y72+Y103</f>
        <v/>
      </c>
      <c r="Z132" s="44">
        <f>Z41+Z72+Z103</f>
        <v/>
      </c>
      <c r="AA132" s="44">
        <f>AA41+AA72+AA103</f>
        <v/>
      </c>
      <c r="AB132" s="44">
        <f>AB41+AB72+AB103</f>
        <v/>
      </c>
      <c r="AC132" s="44">
        <f>AC41+AC72+AC103</f>
        <v/>
      </c>
      <c r="AD132" s="44">
        <f>AD41+AD72+AD103</f>
        <v/>
      </c>
      <c r="AE132" s="44">
        <f>AE41+AE72+AE103</f>
        <v/>
      </c>
    </row>
    <row r="133">
      <c r="A133" s="6" t="inlineStr">
        <is>
          <t>SIP contributions</t>
        </is>
      </c>
      <c r="B133" s="23" t="inlineStr">
        <is>
          <t>-</t>
        </is>
      </c>
      <c r="C133" s="54">
        <f>C34+C65+C96</f>
        <v/>
      </c>
      <c r="D133" s="54">
        <f>D34+D65+D96</f>
        <v/>
      </c>
      <c r="E133" s="54">
        <f>E34+E65+E96</f>
        <v/>
      </c>
      <c r="F133" s="54">
        <f>F34+F65+F96</f>
        <v/>
      </c>
      <c r="G133" s="54">
        <f>G34+G65+G96</f>
        <v/>
      </c>
      <c r="H133" s="54">
        <f>H34+H65+H96</f>
        <v/>
      </c>
      <c r="I133" s="54">
        <f>I34+I65+I96</f>
        <v/>
      </c>
      <c r="J133" s="54">
        <f>J34+J65+J96</f>
        <v/>
      </c>
      <c r="K133" s="54">
        <f>K34+K65+K96</f>
        <v/>
      </c>
      <c r="L133" s="54">
        <f>L34+L65+L96</f>
        <v/>
      </c>
      <c r="M133" s="54">
        <f>M34+M65+M96</f>
        <v/>
      </c>
      <c r="N133" s="54">
        <f>N34+N65+N96</f>
        <v/>
      </c>
      <c r="O133" s="54">
        <f>O34+O65+O96</f>
        <v/>
      </c>
      <c r="P133" s="54">
        <f>P34+P65+P96</f>
        <v/>
      </c>
      <c r="Q133" s="54">
        <f>Q34+Q65+Q96</f>
        <v/>
      </c>
      <c r="R133" s="54">
        <f>R34+R65+R96</f>
        <v/>
      </c>
      <c r="S133" s="54">
        <f>S34+S65+S96</f>
        <v/>
      </c>
      <c r="T133" s="54">
        <f>T34+T65+T96</f>
        <v/>
      </c>
      <c r="U133" s="54">
        <f>U34+U65+U96</f>
        <v/>
      </c>
      <c r="V133" s="54">
        <f>V34+V65+V96</f>
        <v/>
      </c>
      <c r="W133" s="54">
        <f>W34+W65+W96</f>
        <v/>
      </c>
      <c r="X133" s="54">
        <f>X34+X65+X96</f>
        <v/>
      </c>
      <c r="Y133" s="54">
        <f>Y34+Y65+Y96</f>
        <v/>
      </c>
      <c r="Z133" s="54">
        <f>Z34+Z65+Z96</f>
        <v/>
      </c>
      <c r="AA133" s="54">
        <f>AA34+AA65+AA96</f>
        <v/>
      </c>
      <c r="AB133" s="54">
        <f>AB34+AB65+AB96</f>
        <v/>
      </c>
      <c r="AC133" s="54">
        <f>AC34+AC65+AC96</f>
        <v/>
      </c>
      <c r="AD133" s="54">
        <f>AD34+AD65+AD96</f>
        <v/>
      </c>
      <c r="AE133" s="54">
        <f>AE34+AE65+AE96</f>
        <v/>
      </c>
    </row>
    <row r="134">
      <c r="A134" s="6" t="inlineStr">
        <is>
          <t>Spot purchase volume</t>
        </is>
      </c>
      <c r="B134" s="23" t="inlineStr">
        <is>
          <t>-</t>
        </is>
      </c>
      <c r="C134" s="54">
        <f>C35+C66+C97</f>
        <v/>
      </c>
      <c r="D134" s="54">
        <f>D35+D66+D97</f>
        <v/>
      </c>
      <c r="E134" s="54">
        <f>E35+E66+E97</f>
        <v/>
      </c>
      <c r="F134" s="54">
        <f>F35+F66+F97</f>
        <v/>
      </c>
      <c r="G134" s="54">
        <f>G35+G66+G97</f>
        <v/>
      </c>
      <c r="H134" s="54">
        <f>H35+H66+H97</f>
        <v/>
      </c>
      <c r="I134" s="54">
        <f>I35+I66+I97</f>
        <v/>
      </c>
      <c r="J134" s="54">
        <f>J35+J66+J97</f>
        <v/>
      </c>
      <c r="K134" s="54">
        <f>K35+K66+K97</f>
        <v/>
      </c>
      <c r="L134" s="54">
        <f>L35+L66+L97</f>
        <v/>
      </c>
      <c r="M134" s="54">
        <f>M35+M66+M97</f>
        <v/>
      </c>
      <c r="N134" s="54">
        <f>N35+N66+N97</f>
        <v/>
      </c>
      <c r="O134" s="54">
        <f>O35+O66+O97</f>
        <v/>
      </c>
      <c r="P134" s="54">
        <f>P35+P66+P97</f>
        <v/>
      </c>
      <c r="Q134" s="54">
        <f>Q35+Q66+Q97</f>
        <v/>
      </c>
      <c r="R134" s="54">
        <f>R35+R66+R97</f>
        <v/>
      </c>
      <c r="S134" s="54">
        <f>S35+S66+S97</f>
        <v/>
      </c>
      <c r="T134" s="54">
        <f>T35+T66+T97</f>
        <v/>
      </c>
      <c r="U134" s="54">
        <f>U35+U66+U97</f>
        <v/>
      </c>
      <c r="V134" s="54">
        <f>V35+V66+V97</f>
        <v/>
      </c>
      <c r="W134" s="54">
        <f>W35+W66+W97</f>
        <v/>
      </c>
      <c r="X134" s="54">
        <f>X35+X66+X97</f>
        <v/>
      </c>
      <c r="Y134" s="54">
        <f>Y35+Y66+Y97</f>
        <v/>
      </c>
      <c r="Z134" s="54">
        <f>Z35+Z66+Z97</f>
        <v/>
      </c>
      <c r="AA134" s="54">
        <f>AA35+AA66+AA97</f>
        <v/>
      </c>
      <c r="AB134" s="54">
        <f>AB35+AB66+AB97</f>
        <v/>
      </c>
      <c r="AC134" s="54">
        <f>AC35+AC66+AC97</f>
        <v/>
      </c>
      <c r="AD134" s="54">
        <f>AD35+AD66+AD97</f>
        <v/>
      </c>
      <c r="AE134" s="54">
        <f>AE35+AE66+AE97</f>
        <v/>
      </c>
    </row>
    <row r="135">
      <c r="A135" s="6" t="inlineStr">
        <is>
          <t>Card spend</t>
        </is>
      </c>
      <c r="B135" s="23" t="inlineStr">
        <is>
          <t>-</t>
        </is>
      </c>
      <c r="C135" s="54">
        <f>C46+C77+C108</f>
        <v/>
      </c>
      <c r="D135" s="54">
        <f>D46+D77+D108</f>
        <v/>
      </c>
      <c r="E135" s="54">
        <f>E46+E77+E108</f>
        <v/>
      </c>
      <c r="F135" s="54">
        <f>F46+F77+F108</f>
        <v/>
      </c>
      <c r="G135" s="54">
        <f>G46+G77+G108</f>
        <v/>
      </c>
      <c r="H135" s="54">
        <f>H46+H77+H108</f>
        <v/>
      </c>
      <c r="I135" s="54">
        <f>I46+I77+I108</f>
        <v/>
      </c>
      <c r="J135" s="54">
        <f>J46+J77+J108</f>
        <v/>
      </c>
      <c r="K135" s="54">
        <f>K46+K77+K108</f>
        <v/>
      </c>
      <c r="L135" s="54">
        <f>L46+L77+L108</f>
        <v/>
      </c>
      <c r="M135" s="54">
        <f>M46+M77+M108</f>
        <v/>
      </c>
      <c r="N135" s="54">
        <f>N46+N77+N108</f>
        <v/>
      </c>
      <c r="O135" s="54">
        <f>O46+O77+O108</f>
        <v/>
      </c>
      <c r="P135" s="54">
        <f>P46+P77+P108</f>
        <v/>
      </c>
      <c r="Q135" s="54">
        <f>Q46+Q77+Q108</f>
        <v/>
      </c>
      <c r="R135" s="54">
        <f>R46+R77+R108</f>
        <v/>
      </c>
      <c r="S135" s="54">
        <f>S46+S77+S108</f>
        <v/>
      </c>
      <c r="T135" s="54">
        <f>T46+T77+T108</f>
        <v/>
      </c>
      <c r="U135" s="54">
        <f>U46+U77+U108</f>
        <v/>
      </c>
      <c r="V135" s="54">
        <f>V46+V77+V108</f>
        <v/>
      </c>
      <c r="W135" s="54">
        <f>W46+W77+W108</f>
        <v/>
      </c>
      <c r="X135" s="54">
        <f>X46+X77+X108</f>
        <v/>
      </c>
      <c r="Y135" s="54">
        <f>Y46+Y77+Y108</f>
        <v/>
      </c>
      <c r="Z135" s="54">
        <f>Z46+Z77+Z108</f>
        <v/>
      </c>
      <c r="AA135" s="54">
        <f>AA46+AA77+AA108</f>
        <v/>
      </c>
      <c r="AB135" s="54">
        <f>AB46+AB77+AB108</f>
        <v/>
      </c>
      <c r="AC135" s="54">
        <f>AC46+AC77+AC108</f>
        <v/>
      </c>
      <c r="AD135" s="54">
        <f>AD46+AD77+AD108</f>
        <v/>
      </c>
      <c r="AE135" s="54">
        <f>AE46+AE77+AE108</f>
        <v/>
      </c>
    </row>
    <row r="136">
      <c r="A136" s="6" t="inlineStr">
        <is>
          <t>CHECK: paying + holders = cumulative ever acquired</t>
        </is>
      </c>
      <c r="B136" s="23" t="inlineStr">
        <is>
          <t>delta</t>
        </is>
      </c>
      <c r="C136" s="58">
        <f>C125+C126-C127</f>
        <v/>
      </c>
      <c r="D136" s="58">
        <f>D125+D126-D127</f>
        <v/>
      </c>
      <c r="E136" s="58">
        <f>E125+E126-E127</f>
        <v/>
      </c>
      <c r="F136" s="58">
        <f>F125+F126-F127</f>
        <v/>
      </c>
      <c r="G136" s="58">
        <f>G125+G126-G127</f>
        <v/>
      </c>
      <c r="H136" s="58">
        <f>H125+H126-H127</f>
        <v/>
      </c>
      <c r="I136" s="58">
        <f>I125+I126-I127</f>
        <v/>
      </c>
      <c r="J136" s="58">
        <f>J125+J126-J127</f>
        <v/>
      </c>
      <c r="K136" s="58">
        <f>K125+K126-K127</f>
        <v/>
      </c>
      <c r="L136" s="58">
        <f>L125+L126-L127</f>
        <v/>
      </c>
      <c r="M136" s="58">
        <f>M125+M126-M127</f>
        <v/>
      </c>
      <c r="N136" s="58">
        <f>N125+N126-N127</f>
        <v/>
      </c>
      <c r="O136" s="58">
        <f>O125+O126-O127</f>
        <v/>
      </c>
      <c r="P136" s="58">
        <f>P125+P126-P127</f>
        <v/>
      </c>
      <c r="Q136" s="58">
        <f>Q125+Q126-Q127</f>
        <v/>
      </c>
      <c r="R136" s="58">
        <f>R125+R126-R127</f>
        <v/>
      </c>
      <c r="S136" s="58">
        <f>S125+S126-S127</f>
        <v/>
      </c>
      <c r="T136" s="58">
        <f>T125+T126-T127</f>
        <v/>
      </c>
      <c r="U136" s="58">
        <f>U125+U126-U127</f>
        <v/>
      </c>
      <c r="V136" s="58">
        <f>V125+V126-V127</f>
        <v/>
      </c>
      <c r="W136" s="58">
        <f>W125+W126-W127</f>
        <v/>
      </c>
      <c r="X136" s="58">
        <f>X125+X126-X127</f>
        <v/>
      </c>
      <c r="Y136" s="58">
        <f>Y125+Y126-Y127</f>
        <v/>
      </c>
      <c r="Z136" s="58">
        <f>Z125+Z126-Z127</f>
        <v/>
      </c>
      <c r="AA136" s="58">
        <f>AA125+AA126-AA127</f>
        <v/>
      </c>
      <c r="AB136" s="58">
        <f>AB125+AB126-AB127</f>
        <v/>
      </c>
      <c r="AC136" s="58">
        <f>AC125+AC126-AC127</f>
        <v/>
      </c>
      <c r="AD136" s="58">
        <f>AD125+AD126-AD127</f>
        <v/>
      </c>
      <c r="AE136" s="58">
        <f>AE125+AE126-AE127</f>
        <v/>
      </c>
    </row>
    <row r="137">
      <c r="A137" s="6" t="inlineStr">
        <is>
          <t xml:space="preserve">  AUM per paying customer (memo)</t>
        </is>
      </c>
      <c r="B137" s="23" t="inlineStr">
        <is>
          <t>USD</t>
        </is>
      </c>
      <c r="C137" s="54">
        <f>IF(C125=0,0,C131/C125)</f>
        <v/>
      </c>
      <c r="D137" s="54">
        <f>IF(D125=0,0,D131/D125)</f>
        <v/>
      </c>
      <c r="E137" s="54">
        <f>IF(E125=0,0,E131/E125)</f>
        <v/>
      </c>
      <c r="F137" s="54">
        <f>IF(F125=0,0,F131/F125)</f>
        <v/>
      </c>
      <c r="G137" s="54">
        <f>IF(G125=0,0,G131/G125)</f>
        <v/>
      </c>
      <c r="H137" s="54">
        <f>IF(H125=0,0,H131/H125)</f>
        <v/>
      </c>
      <c r="I137" s="54">
        <f>IF(I125=0,0,I131/I125)</f>
        <v/>
      </c>
      <c r="J137" s="54">
        <f>IF(J125=0,0,J131/J125)</f>
        <v/>
      </c>
      <c r="K137" s="54">
        <f>IF(K125=0,0,K131/K125)</f>
        <v/>
      </c>
      <c r="L137" s="54">
        <f>IF(L125=0,0,L131/L125)</f>
        <v/>
      </c>
      <c r="M137" s="54">
        <f>IF(M125=0,0,M131/M125)</f>
        <v/>
      </c>
      <c r="N137" s="54">
        <f>IF(N125=0,0,N131/N125)</f>
        <v/>
      </c>
      <c r="O137" s="54">
        <f>IF(O125=0,0,O131/O125)</f>
        <v/>
      </c>
      <c r="P137" s="54">
        <f>IF(P125=0,0,P131/P125)</f>
        <v/>
      </c>
      <c r="Q137" s="54">
        <f>IF(Q125=0,0,Q131/Q125)</f>
        <v/>
      </c>
      <c r="R137" s="54">
        <f>IF(R125=0,0,R131/R125)</f>
        <v/>
      </c>
      <c r="S137" s="54">
        <f>IF(S125=0,0,S131/S125)</f>
        <v/>
      </c>
      <c r="T137" s="54">
        <f>IF(T125=0,0,T131/T125)</f>
        <v/>
      </c>
      <c r="U137" s="54">
        <f>IF(U125=0,0,U131/U125)</f>
        <v/>
      </c>
      <c r="V137" s="54">
        <f>IF(V125=0,0,V131/V125)</f>
        <v/>
      </c>
      <c r="W137" s="54">
        <f>IF(W125=0,0,W131/W125)</f>
        <v/>
      </c>
      <c r="X137" s="54">
        <f>IF(X125=0,0,X131/X125)</f>
        <v/>
      </c>
      <c r="Y137" s="54">
        <f>IF(Y125=0,0,Y131/Y125)</f>
        <v/>
      </c>
      <c r="Z137" s="54">
        <f>IF(Z125=0,0,Z131/Z125)</f>
        <v/>
      </c>
      <c r="AA137" s="54">
        <f>IF(AA125=0,0,AA131/AA125)</f>
        <v/>
      </c>
      <c r="AB137" s="54">
        <f>IF(AB125=0,0,AB131/AB125)</f>
        <v/>
      </c>
      <c r="AC137" s="54">
        <f>IF(AC125=0,0,AC131/AC125)</f>
        <v/>
      </c>
      <c r="AD137" s="54">
        <f>IF(AD125=0,0,AD131/AD125)</f>
        <v/>
      </c>
      <c r="AE137" s="54">
        <f>IF(AE125=0,0,AE131/AE125)</f>
        <v/>
      </c>
    </row>
    <row r="138">
      <c r="A138" s="6" t="inlineStr">
        <is>
          <t xml:space="preserve">  Total credit capacity across cardholders (memo)</t>
        </is>
      </c>
      <c r="B138" s="23" t="inlineStr">
        <is>
          <t>USD</t>
        </is>
      </c>
      <c r="C138" s="54">
        <f>C42*C43+C73*C74+C104*C105</f>
        <v/>
      </c>
      <c r="D138" s="54">
        <f>D42*D43+D73*D74+D104*D105</f>
        <v/>
      </c>
      <c r="E138" s="54">
        <f>E42*E43+E73*E74+E104*E105</f>
        <v/>
      </c>
      <c r="F138" s="54">
        <f>F42*F43+F73*F74+F104*F105</f>
        <v/>
      </c>
      <c r="G138" s="54">
        <f>G42*G43+G73*G74+G104*G105</f>
        <v/>
      </c>
      <c r="H138" s="54">
        <f>H42*H43+H73*H74+H104*H105</f>
        <v/>
      </c>
      <c r="I138" s="54">
        <f>I42*I43+I73*I74+I104*I105</f>
        <v/>
      </c>
      <c r="J138" s="54">
        <f>J42*J43+J73*J74+J104*J105</f>
        <v/>
      </c>
      <c r="K138" s="54">
        <f>K42*K43+K73*K74+K104*K105</f>
        <v/>
      </c>
      <c r="L138" s="54">
        <f>L42*L43+L73*L74+L104*L105</f>
        <v/>
      </c>
      <c r="M138" s="54">
        <f>M42*M43+M73*M74+M104*M105</f>
        <v/>
      </c>
      <c r="N138" s="54">
        <f>N42*N43+N73*N74+N104*N105</f>
        <v/>
      </c>
      <c r="O138" s="54">
        <f>O42*O43+O73*O74+O104*O105</f>
        <v/>
      </c>
      <c r="P138" s="54">
        <f>P42*P43+P73*P74+P104*P105</f>
        <v/>
      </c>
      <c r="Q138" s="54">
        <f>Q42*Q43+Q73*Q74+Q104*Q105</f>
        <v/>
      </c>
      <c r="R138" s="54">
        <f>R42*R43+R73*R74+R104*R105</f>
        <v/>
      </c>
      <c r="S138" s="54">
        <f>S42*S43+S73*S74+S104*S105</f>
        <v/>
      </c>
      <c r="T138" s="54">
        <f>T42*T43+T73*T74+T104*T105</f>
        <v/>
      </c>
      <c r="U138" s="54">
        <f>U42*U43+U73*U74+U104*U105</f>
        <v/>
      </c>
      <c r="V138" s="54">
        <f>V42*V43+V73*V74+V104*V105</f>
        <v/>
      </c>
      <c r="W138" s="54">
        <f>W42*W43+W73*W74+W104*W105</f>
        <v/>
      </c>
      <c r="X138" s="54">
        <f>X42*X43+X73*X74+X104*X105</f>
        <v/>
      </c>
      <c r="Y138" s="54">
        <f>Y42*Y43+Y73*Y74+Y104*Y105</f>
        <v/>
      </c>
      <c r="Z138" s="54">
        <f>Z42*Z43+Z73*Z74+Z104*Z105</f>
        <v/>
      </c>
      <c r="AA138" s="54">
        <f>AA42*AA43+AA73*AA74+AA104*AA105</f>
        <v/>
      </c>
      <c r="AB138" s="54">
        <f>AB42*AB43+AB73*AB74+AB104*AB105</f>
        <v/>
      </c>
      <c r="AC138" s="54">
        <f>AC42*AC43+AC73*AC74+AC104*AC105</f>
        <v/>
      </c>
      <c r="AD138" s="54">
        <f>AD42*AD43+AD73*AD74+AD104*AD105</f>
        <v/>
      </c>
      <c r="AE138" s="54">
        <f>AE42*AE43+AE73*AE74+AE104*AE105</f>
        <v/>
      </c>
    </row>
    <row r="139">
      <c r="A139" s="6" t="inlineStr">
        <is>
          <t xml:space="preserve">  CHECK: card spend vs credit capacity (must be &lt;= 1.00)</t>
        </is>
      </c>
      <c r="B139" s="23" t="inlineStr">
        <is>
          <t>x</t>
        </is>
      </c>
      <c r="C139" s="59">
        <f>IF(C138=0,0,((C46+C77+C108)/C7)/C138)</f>
        <v/>
      </c>
      <c r="D139" s="59">
        <f>IF(D138=0,0,((D46+D77+D108)/D7)/D138)</f>
        <v/>
      </c>
      <c r="E139" s="59">
        <f>IF(E138=0,0,((E46+E77+E108)/E7)/E138)</f>
        <v/>
      </c>
      <c r="F139" s="59">
        <f>IF(F138=0,0,((F46+F77+F108)/F7)/F138)</f>
        <v/>
      </c>
      <c r="G139" s="59">
        <f>IF(G138=0,0,((G46+G77+G108)/G7)/G138)</f>
        <v/>
      </c>
      <c r="H139" s="59">
        <f>IF(H138=0,0,((H46+H77+H108)/H7)/H138)</f>
        <v/>
      </c>
      <c r="I139" s="59">
        <f>IF(I138=0,0,((I46+I77+I108)/I7)/I138)</f>
        <v/>
      </c>
      <c r="J139" s="59">
        <f>IF(J138=0,0,((J46+J77+J108)/J7)/J138)</f>
        <v/>
      </c>
      <c r="K139" s="59">
        <f>IF(K138=0,0,((K46+K77+K108)/K7)/K138)</f>
        <v/>
      </c>
      <c r="L139" s="59">
        <f>IF(L138=0,0,((L46+L77+L108)/L7)/L138)</f>
        <v/>
      </c>
      <c r="M139" s="59">
        <f>IF(M138=0,0,((M46+M77+M108)/M7)/M138)</f>
        <v/>
      </c>
      <c r="N139" s="59">
        <f>IF(N138=0,0,((N46+N77+N108)/N7)/N138)</f>
        <v/>
      </c>
      <c r="O139" s="59">
        <f>IF(O138=0,0,((O46+O77+O108)/O7)/O138)</f>
        <v/>
      </c>
      <c r="P139" s="59">
        <f>IF(P138=0,0,((P46+P77+P108)/P7)/P138)</f>
        <v/>
      </c>
      <c r="Q139" s="59">
        <f>IF(Q138=0,0,((Q46+Q77+Q108)/Q7)/Q138)</f>
        <v/>
      </c>
      <c r="R139" s="59">
        <f>IF(R138=0,0,((R46+R77+R108)/R7)/R138)</f>
        <v/>
      </c>
      <c r="S139" s="59">
        <f>IF(S138=0,0,((S46+S77+S108)/S7)/S138)</f>
        <v/>
      </c>
      <c r="T139" s="59">
        <f>IF(T138=0,0,((T46+T77+T108)/T7)/T138)</f>
        <v/>
      </c>
      <c r="U139" s="59">
        <f>IF(U138=0,0,((U46+U77+U108)/U7)/U138)</f>
        <v/>
      </c>
      <c r="V139" s="59">
        <f>IF(V138=0,0,((V46+V77+V108)/V7)/V138)</f>
        <v/>
      </c>
      <c r="W139" s="59">
        <f>IF(W138=0,0,((W46+W77+W108)/W7)/W138)</f>
        <v/>
      </c>
      <c r="X139" s="59">
        <f>IF(X138=0,0,((X46+X77+X108)/X7)/X138)</f>
        <v/>
      </c>
      <c r="Y139" s="59">
        <f>IF(Y138=0,0,((Y46+Y77+Y108)/Y7)/Y138)</f>
        <v/>
      </c>
      <c r="Z139" s="59">
        <f>IF(Z138=0,0,((Z46+Z77+Z108)/Z7)/Z138)</f>
        <v/>
      </c>
      <c r="AA139" s="59">
        <f>IF(AA138=0,0,((AA46+AA77+AA108)/AA7)/AA138)</f>
        <v/>
      </c>
      <c r="AB139" s="59">
        <f>IF(AB138=0,0,((AB46+AB77+AB108)/AB7)/AB138)</f>
        <v/>
      </c>
      <c r="AC139" s="59">
        <f>IF(AC138=0,0,((AC46+AC77+AC108)/AC7)/AC138)</f>
        <v/>
      </c>
      <c r="AD139" s="59">
        <f>IF(AD138=0,0,((AD46+AD77+AD108)/AD7)/AD138)</f>
        <v/>
      </c>
      <c r="AE139" s="59">
        <f>IF(AE138=0,0,((AE46+AE77+AE108)/AE7)/AE138)</f>
        <v/>
      </c>
    </row>
    <row r="141">
      <c r="A141" s="6" t="inlineStr">
        <is>
          <t>Stream 1a - Entry fee margin, SIP</t>
        </is>
      </c>
      <c r="B141" s="23" t="inlineStr">
        <is>
          <t>USD</t>
        </is>
      </c>
      <c r="C141" s="54">
        <f>C47+C78+C109</f>
        <v/>
      </c>
      <c r="D141" s="54">
        <f>D47+D78+D109</f>
        <v/>
      </c>
      <c r="E141" s="54">
        <f>E47+E78+E109</f>
        <v/>
      </c>
      <c r="F141" s="54">
        <f>F47+F78+F109</f>
        <v/>
      </c>
      <c r="G141" s="54">
        <f>G47+G78+G109</f>
        <v/>
      </c>
      <c r="H141" s="54">
        <f>H47+H78+H109</f>
        <v/>
      </c>
      <c r="I141" s="54">
        <f>I47+I78+I109</f>
        <v/>
      </c>
      <c r="J141" s="54">
        <f>J47+J78+J109</f>
        <v/>
      </c>
      <c r="K141" s="54">
        <f>K47+K78+K109</f>
        <v/>
      </c>
      <c r="L141" s="54">
        <f>L47+L78+L109</f>
        <v/>
      </c>
      <c r="M141" s="54">
        <f>M47+M78+M109</f>
        <v/>
      </c>
      <c r="N141" s="54">
        <f>N47+N78+N109</f>
        <v/>
      </c>
      <c r="O141" s="54">
        <f>O47+O78+O109</f>
        <v/>
      </c>
      <c r="P141" s="54">
        <f>P47+P78+P109</f>
        <v/>
      </c>
      <c r="Q141" s="54">
        <f>Q47+Q78+Q109</f>
        <v/>
      </c>
      <c r="R141" s="54">
        <f>R47+R78+R109</f>
        <v/>
      </c>
      <c r="S141" s="54">
        <f>S47+S78+S109</f>
        <v/>
      </c>
      <c r="T141" s="54">
        <f>T47+T78+T109</f>
        <v/>
      </c>
      <c r="U141" s="54">
        <f>U47+U78+U109</f>
        <v/>
      </c>
      <c r="V141" s="54">
        <f>V47+V78+V109</f>
        <v/>
      </c>
      <c r="W141" s="54">
        <f>W47+W78+W109</f>
        <v/>
      </c>
      <c r="X141" s="54">
        <f>X47+X78+X109</f>
        <v/>
      </c>
      <c r="Y141" s="54">
        <f>Y47+Y78+Y109</f>
        <v/>
      </c>
      <c r="Z141" s="54">
        <f>Z47+Z78+Z109</f>
        <v/>
      </c>
      <c r="AA141" s="54">
        <f>AA47+AA78+AA109</f>
        <v/>
      </c>
      <c r="AB141" s="54">
        <f>AB47+AB78+AB109</f>
        <v/>
      </c>
      <c r="AC141" s="54">
        <f>AC47+AC78+AC109</f>
        <v/>
      </c>
      <c r="AD141" s="54">
        <f>AD47+AD78+AD109</f>
        <v/>
      </c>
      <c r="AE141" s="54">
        <f>AE47+AE78+AE109</f>
        <v/>
      </c>
    </row>
    <row r="142">
      <c r="A142" s="6" t="inlineStr">
        <is>
          <t>Stream 1b - Entry fee margin, SPOT</t>
        </is>
      </c>
      <c r="B142" s="23" t="inlineStr">
        <is>
          <t>USD</t>
        </is>
      </c>
      <c r="C142" s="54">
        <f>C48+C79+C110</f>
        <v/>
      </c>
      <c r="D142" s="54">
        <f>D48+D79+D110</f>
        <v/>
      </c>
      <c r="E142" s="54">
        <f>E48+E79+E110</f>
        <v/>
      </c>
      <c r="F142" s="54">
        <f>F48+F79+F110</f>
        <v/>
      </c>
      <c r="G142" s="54">
        <f>G48+G79+G110</f>
        <v/>
      </c>
      <c r="H142" s="54">
        <f>H48+H79+H110</f>
        <v/>
      </c>
      <c r="I142" s="54">
        <f>I48+I79+I110</f>
        <v/>
      </c>
      <c r="J142" s="54">
        <f>J48+J79+J110</f>
        <v/>
      </c>
      <c r="K142" s="54">
        <f>K48+K79+K110</f>
        <v/>
      </c>
      <c r="L142" s="54">
        <f>L48+L79+L110</f>
        <v/>
      </c>
      <c r="M142" s="54">
        <f>M48+M79+M110</f>
        <v/>
      </c>
      <c r="N142" s="54">
        <f>N48+N79+N110</f>
        <v/>
      </c>
      <c r="O142" s="54">
        <f>O48+O79+O110</f>
        <v/>
      </c>
      <c r="P142" s="54">
        <f>P48+P79+P110</f>
        <v/>
      </c>
      <c r="Q142" s="54">
        <f>Q48+Q79+Q110</f>
        <v/>
      </c>
      <c r="R142" s="54">
        <f>R48+R79+R110</f>
        <v/>
      </c>
      <c r="S142" s="54">
        <f>S48+S79+S110</f>
        <v/>
      </c>
      <c r="T142" s="54">
        <f>T48+T79+T110</f>
        <v/>
      </c>
      <c r="U142" s="54">
        <f>U48+U79+U110</f>
        <v/>
      </c>
      <c r="V142" s="54">
        <f>V48+V79+V110</f>
        <v/>
      </c>
      <c r="W142" s="54">
        <f>W48+W79+W110</f>
        <v/>
      </c>
      <c r="X142" s="54">
        <f>X48+X79+X110</f>
        <v/>
      </c>
      <c r="Y142" s="54">
        <f>Y48+Y79+Y110</f>
        <v/>
      </c>
      <c r="Z142" s="54">
        <f>Z48+Z79+Z110</f>
        <v/>
      </c>
      <c r="AA142" s="54">
        <f>AA48+AA79+AA110</f>
        <v/>
      </c>
      <c r="AB142" s="54">
        <f>AB48+AB79+AB110</f>
        <v/>
      </c>
      <c r="AC142" s="54">
        <f>AC48+AC79+AC110</f>
        <v/>
      </c>
      <c r="AD142" s="54">
        <f>AD48+AD79+AD110</f>
        <v/>
      </c>
      <c r="AE142" s="54">
        <f>AE48+AE79+AE110</f>
        <v/>
      </c>
    </row>
    <row r="143">
      <c r="A143" s="6" t="inlineStr">
        <is>
          <t>Stream 2 - Card interchange</t>
        </is>
      </c>
      <c r="B143" s="23" t="inlineStr">
        <is>
          <t>USD</t>
        </is>
      </c>
      <c r="C143" s="54">
        <f>C49+C80+C111</f>
        <v/>
      </c>
      <c r="D143" s="54">
        <f>D49+D80+D111</f>
        <v/>
      </c>
      <c r="E143" s="54">
        <f>E49+E80+E111</f>
        <v/>
      </c>
      <c r="F143" s="54">
        <f>F49+F80+F111</f>
        <v/>
      </c>
      <c r="G143" s="54">
        <f>G49+G80+G111</f>
        <v/>
      </c>
      <c r="H143" s="54">
        <f>H49+H80+H111</f>
        <v/>
      </c>
      <c r="I143" s="54">
        <f>I49+I80+I111</f>
        <v/>
      </c>
      <c r="J143" s="54">
        <f>J49+J80+J111</f>
        <v/>
      </c>
      <c r="K143" s="54">
        <f>K49+K80+K111</f>
        <v/>
      </c>
      <c r="L143" s="54">
        <f>L49+L80+L111</f>
        <v/>
      </c>
      <c r="M143" s="54">
        <f>M49+M80+M111</f>
        <v/>
      </c>
      <c r="N143" s="54">
        <f>N49+N80+N111</f>
        <v/>
      </c>
      <c r="O143" s="54">
        <f>O49+O80+O111</f>
        <v/>
      </c>
      <c r="P143" s="54">
        <f>P49+P80+P111</f>
        <v/>
      </c>
      <c r="Q143" s="54">
        <f>Q49+Q80+Q111</f>
        <v/>
      </c>
      <c r="R143" s="54">
        <f>R49+R80+R111</f>
        <v/>
      </c>
      <c r="S143" s="54">
        <f>S49+S80+S111</f>
        <v/>
      </c>
      <c r="T143" s="54">
        <f>T49+T80+T111</f>
        <v/>
      </c>
      <c r="U143" s="54">
        <f>U49+U80+U111</f>
        <v/>
      </c>
      <c r="V143" s="54">
        <f>V49+V80+V111</f>
        <v/>
      </c>
      <c r="W143" s="54">
        <f>W49+W80+W111</f>
        <v/>
      </c>
      <c r="X143" s="54">
        <f>X49+X80+X111</f>
        <v/>
      </c>
      <c r="Y143" s="54">
        <f>Y49+Y80+Y111</f>
        <v/>
      </c>
      <c r="Z143" s="54">
        <f>Z49+Z80+Z111</f>
        <v/>
      </c>
      <c r="AA143" s="54">
        <f>AA49+AA80+AA111</f>
        <v/>
      </c>
      <c r="AB143" s="54">
        <f>AB49+AB80+AB111</f>
        <v/>
      </c>
      <c r="AC143" s="54">
        <f>AC49+AC80+AC111</f>
        <v/>
      </c>
      <c r="AD143" s="54">
        <f>AD49+AD80+AD111</f>
        <v/>
      </c>
      <c r="AE143" s="54">
        <f>AE49+AE80+AE111</f>
        <v/>
      </c>
    </row>
    <row r="144">
      <c r="A144" s="6" t="inlineStr">
        <is>
          <t>Stream 3 - Family plan and Digital Will</t>
        </is>
      </c>
      <c r="B144" s="23" t="inlineStr">
        <is>
          <t>USD</t>
        </is>
      </c>
      <c r="C144" s="54">
        <f>C50+C81+C112</f>
        <v/>
      </c>
      <c r="D144" s="54">
        <f>D50+D81+D112</f>
        <v/>
      </c>
      <c r="E144" s="54">
        <f>E50+E81+E112</f>
        <v/>
      </c>
      <c r="F144" s="54">
        <f>F50+F81+F112</f>
        <v/>
      </c>
      <c r="G144" s="54">
        <f>G50+G81+G112</f>
        <v/>
      </c>
      <c r="H144" s="54">
        <f>H50+H81+H112</f>
        <v/>
      </c>
      <c r="I144" s="54">
        <f>I50+I81+I112</f>
        <v/>
      </c>
      <c r="J144" s="54">
        <f>J50+J81+J112</f>
        <v/>
      </c>
      <c r="K144" s="54">
        <f>K50+K81+K112</f>
        <v/>
      </c>
      <c r="L144" s="54">
        <f>L50+L81+L112</f>
        <v/>
      </c>
      <c r="M144" s="54">
        <f>M50+M81+M112</f>
        <v/>
      </c>
      <c r="N144" s="54">
        <f>N50+N81+N112</f>
        <v/>
      </c>
      <c r="O144" s="54">
        <f>O50+O81+O112</f>
        <v/>
      </c>
      <c r="P144" s="54">
        <f>P50+P81+P112</f>
        <v/>
      </c>
      <c r="Q144" s="54">
        <f>Q50+Q81+Q112</f>
        <v/>
      </c>
      <c r="R144" s="54">
        <f>R50+R81+R112</f>
        <v/>
      </c>
      <c r="S144" s="54">
        <f>S50+S81+S112</f>
        <v/>
      </c>
      <c r="T144" s="54">
        <f>T50+T81+T112</f>
        <v/>
      </c>
      <c r="U144" s="54">
        <f>U50+U81+U112</f>
        <v/>
      </c>
      <c r="V144" s="54">
        <f>V50+V81+V112</f>
        <v/>
      </c>
      <c r="W144" s="54">
        <f>W50+W81+W112</f>
        <v/>
      </c>
      <c r="X144" s="54">
        <f>X50+X81+X112</f>
        <v/>
      </c>
      <c r="Y144" s="54">
        <f>Y50+Y81+Y112</f>
        <v/>
      </c>
      <c r="Z144" s="54">
        <f>Z50+Z81+Z112</f>
        <v/>
      </c>
      <c r="AA144" s="54">
        <f>AA50+AA81+AA112</f>
        <v/>
      </c>
      <c r="AB144" s="54">
        <f>AB50+AB81+AB112</f>
        <v/>
      </c>
      <c r="AC144" s="54">
        <f>AC50+AC81+AC112</f>
        <v/>
      </c>
      <c r="AD144" s="54">
        <f>AD50+AD81+AD112</f>
        <v/>
      </c>
      <c r="AE144" s="54">
        <f>AE50+AE81+AE112</f>
        <v/>
      </c>
    </row>
    <row r="145">
      <c r="A145" s="6" t="inlineStr">
        <is>
          <t>Stream 4 - Cardholder fees</t>
        </is>
      </c>
      <c r="B145" s="23" t="inlineStr">
        <is>
          <t>USD</t>
        </is>
      </c>
      <c r="C145" s="54">
        <f>C51+C82+C113</f>
        <v/>
      </c>
      <c r="D145" s="54">
        <f>D51+D82+D113</f>
        <v/>
      </c>
      <c r="E145" s="54">
        <f>E51+E82+E113</f>
        <v/>
      </c>
      <c r="F145" s="54">
        <f>F51+F82+F113</f>
        <v/>
      </c>
      <c r="G145" s="54">
        <f>G51+G82+G113</f>
        <v/>
      </c>
      <c r="H145" s="54">
        <f>H51+H82+H113</f>
        <v/>
      </c>
      <c r="I145" s="54">
        <f>I51+I82+I113</f>
        <v/>
      </c>
      <c r="J145" s="54">
        <f>J51+J82+J113</f>
        <v/>
      </c>
      <c r="K145" s="54">
        <f>K51+K82+K113</f>
        <v/>
      </c>
      <c r="L145" s="54">
        <f>L51+L82+L113</f>
        <v/>
      </c>
      <c r="M145" s="54">
        <f>M51+M82+M113</f>
        <v/>
      </c>
      <c r="N145" s="54">
        <f>N51+N82+N113</f>
        <v/>
      </c>
      <c r="O145" s="54">
        <f>O51+O82+O113</f>
        <v/>
      </c>
      <c r="P145" s="54">
        <f>P51+P82+P113</f>
        <v/>
      </c>
      <c r="Q145" s="54">
        <f>Q51+Q82+Q113</f>
        <v/>
      </c>
      <c r="R145" s="54">
        <f>R51+R82+R113</f>
        <v/>
      </c>
      <c r="S145" s="54">
        <f>S51+S82+S113</f>
        <v/>
      </c>
      <c r="T145" s="54">
        <f>T51+T82+T113</f>
        <v/>
      </c>
      <c r="U145" s="54">
        <f>U51+U82+U113</f>
        <v/>
      </c>
      <c r="V145" s="54">
        <f>V51+V82+V113</f>
        <v/>
      </c>
      <c r="W145" s="54">
        <f>W51+W82+W113</f>
        <v/>
      </c>
      <c r="X145" s="54">
        <f>X51+X82+X113</f>
        <v/>
      </c>
      <c r="Y145" s="54">
        <f>Y51+Y82+Y113</f>
        <v/>
      </c>
      <c r="Z145" s="54">
        <f>Z51+Z82+Z113</f>
        <v/>
      </c>
      <c r="AA145" s="54">
        <f>AA51+AA82+AA113</f>
        <v/>
      </c>
      <c r="AB145" s="54">
        <f>AB51+AB82+AB113</f>
        <v/>
      </c>
      <c r="AC145" s="54">
        <f>AC51+AC82+AC113</f>
        <v/>
      </c>
      <c r="AD145" s="54">
        <f>AD51+AD82+AD113</f>
        <v/>
      </c>
      <c r="AE145" s="54">
        <f>AE51+AE82+AE113</f>
        <v/>
      </c>
    </row>
    <row r="146">
      <c r="A146" s="6" t="inlineStr">
        <is>
          <t>Stream 5 - Lending revenue share</t>
        </is>
      </c>
      <c r="B146" s="23" t="inlineStr">
        <is>
          <t>USD</t>
        </is>
      </c>
      <c r="C146" s="54">
        <f>C53+C84+C115</f>
        <v/>
      </c>
      <c r="D146" s="54">
        <f>D53+D84+D115</f>
        <v/>
      </c>
      <c r="E146" s="54">
        <f>E53+E84+E115</f>
        <v/>
      </c>
      <c r="F146" s="54">
        <f>F53+F84+F115</f>
        <v/>
      </c>
      <c r="G146" s="54">
        <f>G53+G84+G115</f>
        <v/>
      </c>
      <c r="H146" s="54">
        <f>H53+H84+H115</f>
        <v/>
      </c>
      <c r="I146" s="54">
        <f>I53+I84+I115</f>
        <v/>
      </c>
      <c r="J146" s="54">
        <f>J53+J84+J115</f>
        <v/>
      </c>
      <c r="K146" s="54">
        <f>K53+K84+K115</f>
        <v/>
      </c>
      <c r="L146" s="54">
        <f>L53+L84+L115</f>
        <v/>
      </c>
      <c r="M146" s="54">
        <f>M53+M84+M115</f>
        <v/>
      </c>
      <c r="N146" s="54">
        <f>N53+N84+N115</f>
        <v/>
      </c>
      <c r="O146" s="54">
        <f>O53+O84+O115</f>
        <v/>
      </c>
      <c r="P146" s="54">
        <f>P53+P84+P115</f>
        <v/>
      </c>
      <c r="Q146" s="54">
        <f>Q53+Q84+Q115</f>
        <v/>
      </c>
      <c r="R146" s="54">
        <f>R53+R84+R115</f>
        <v/>
      </c>
      <c r="S146" s="54">
        <f>S53+S84+S115</f>
        <v/>
      </c>
      <c r="T146" s="54">
        <f>T53+T84+T115</f>
        <v/>
      </c>
      <c r="U146" s="54">
        <f>U53+U84+U115</f>
        <v/>
      </c>
      <c r="V146" s="54">
        <f>V53+V84+V115</f>
        <v/>
      </c>
      <c r="W146" s="54">
        <f>W53+W84+W115</f>
        <v/>
      </c>
      <c r="X146" s="54">
        <f>X53+X84+X115</f>
        <v/>
      </c>
      <c r="Y146" s="54">
        <f>Y53+Y84+Y115</f>
        <v/>
      </c>
      <c r="Z146" s="54">
        <f>Z53+Z84+Z115</f>
        <v/>
      </c>
      <c r="AA146" s="54">
        <f>AA53+AA84+AA115</f>
        <v/>
      </c>
      <c r="AB146" s="54">
        <f>AB53+AB84+AB115</f>
        <v/>
      </c>
      <c r="AC146" s="54">
        <f>AC53+AC84+AC115</f>
        <v/>
      </c>
      <c r="AD146" s="54">
        <f>AD53+AD84+AD115</f>
        <v/>
      </c>
      <c r="AE146" s="54">
        <f>AE53+AE84+AE115</f>
        <v/>
      </c>
    </row>
    <row r="147">
      <c r="A147" s="6" t="inlineStr">
        <is>
          <t>Redemption events (memo - drives cost, not revenue)</t>
        </is>
      </c>
      <c r="B147" s="23" t="inlineStr">
        <is>
          <t>events</t>
        </is>
      </c>
      <c r="C147" s="44">
        <f>C54+C85+C116</f>
        <v/>
      </c>
      <c r="D147" s="44">
        <f>D54+D85+D116</f>
        <v/>
      </c>
      <c r="E147" s="44">
        <f>E54+E85+E116</f>
        <v/>
      </c>
      <c r="F147" s="44">
        <f>F54+F85+F116</f>
        <v/>
      </c>
      <c r="G147" s="44">
        <f>G54+G85+G116</f>
        <v/>
      </c>
      <c r="H147" s="44">
        <f>H54+H85+H116</f>
        <v/>
      </c>
      <c r="I147" s="44">
        <f>I54+I85+I116</f>
        <v/>
      </c>
      <c r="J147" s="44">
        <f>J54+J85+J116</f>
        <v/>
      </c>
      <c r="K147" s="44">
        <f>K54+K85+K116</f>
        <v/>
      </c>
      <c r="L147" s="44">
        <f>L54+L85+L116</f>
        <v/>
      </c>
      <c r="M147" s="44">
        <f>M54+M85+M116</f>
        <v/>
      </c>
      <c r="N147" s="44">
        <f>N54+N85+N116</f>
        <v/>
      </c>
      <c r="O147" s="44">
        <f>O54+O85+O116</f>
        <v/>
      </c>
      <c r="P147" s="44">
        <f>P54+P85+P116</f>
        <v/>
      </c>
      <c r="Q147" s="44">
        <f>Q54+Q85+Q116</f>
        <v/>
      </c>
      <c r="R147" s="44">
        <f>R54+R85+R116</f>
        <v/>
      </c>
      <c r="S147" s="44">
        <f>S54+S85+S116</f>
        <v/>
      </c>
      <c r="T147" s="44">
        <f>T54+T85+T116</f>
        <v/>
      </c>
      <c r="U147" s="44">
        <f>U54+U85+U116</f>
        <v/>
      </c>
      <c r="V147" s="44">
        <f>V54+V85+V116</f>
        <v/>
      </c>
      <c r="W147" s="44">
        <f>W54+W85+W116</f>
        <v/>
      </c>
      <c r="X147" s="44">
        <f>X54+X85+X116</f>
        <v/>
      </c>
      <c r="Y147" s="44">
        <f>Y54+Y85+Y116</f>
        <v/>
      </c>
      <c r="Z147" s="44">
        <f>Z54+Z85+Z116</f>
        <v/>
      </c>
      <c r="AA147" s="44">
        <f>AA54+AA85+AA116</f>
        <v/>
      </c>
      <c r="AB147" s="44">
        <f>AB54+AB85+AB116</f>
        <v/>
      </c>
      <c r="AC147" s="44">
        <f>AC54+AC85+AC116</f>
        <v/>
      </c>
      <c r="AD147" s="44">
        <f>AD54+AD85+AD116</f>
        <v/>
      </c>
      <c r="AE147" s="44">
        <f>AE54+AE85+AE116</f>
        <v/>
      </c>
    </row>
    <row r="148">
      <c r="A148" s="3" t="inlineStr">
        <is>
          <t>TOTAL NET REVENUE</t>
        </is>
      </c>
      <c r="B148" s="23" t="inlineStr">
        <is>
          <t>USD</t>
        </is>
      </c>
      <c r="C148" s="56">
        <f>C55+C86+C117+C121</f>
        <v/>
      </c>
      <c r="D148" s="56">
        <f>D55+D86+D117+D121</f>
        <v/>
      </c>
      <c r="E148" s="56">
        <f>E55+E86+E117+E121</f>
        <v/>
      </c>
      <c r="F148" s="56">
        <f>F55+F86+F117+F121</f>
        <v/>
      </c>
      <c r="G148" s="56">
        <f>G55+G86+G117+G121</f>
        <v/>
      </c>
      <c r="H148" s="56">
        <f>H55+H86+H117+H121</f>
        <v/>
      </c>
      <c r="I148" s="56">
        <f>I55+I86+I117+I121</f>
        <v/>
      </c>
      <c r="J148" s="56">
        <f>J55+J86+J117+J121</f>
        <v/>
      </c>
      <c r="K148" s="56">
        <f>K55+K86+K117+K121</f>
        <v/>
      </c>
      <c r="L148" s="56">
        <f>L55+L86+L117+L121</f>
        <v/>
      </c>
      <c r="M148" s="56">
        <f>M55+M86+M117+M121</f>
        <v/>
      </c>
      <c r="N148" s="56">
        <f>N55+N86+N117+N121</f>
        <v/>
      </c>
      <c r="O148" s="56">
        <f>O55+O86+O117+O121</f>
        <v/>
      </c>
      <c r="P148" s="56">
        <f>P55+P86+P117+P121</f>
        <v/>
      </c>
      <c r="Q148" s="56">
        <f>Q55+Q86+Q117+Q121</f>
        <v/>
      </c>
      <c r="R148" s="56">
        <f>R55+R86+R117+R121</f>
        <v/>
      </c>
      <c r="S148" s="56">
        <f>S55+S86+S117+S121</f>
        <v/>
      </c>
      <c r="T148" s="56">
        <f>T55+T86+T117+T121</f>
        <v/>
      </c>
      <c r="U148" s="56">
        <f>U55+U86+U117+U121</f>
        <v/>
      </c>
      <c r="V148" s="56">
        <f>V55+V86+V117+V121</f>
        <v/>
      </c>
      <c r="W148" s="56">
        <f>W55+W86+W117+W121</f>
        <v/>
      </c>
      <c r="X148" s="56">
        <f>X55+X86+X117+X121</f>
        <v/>
      </c>
      <c r="Y148" s="56">
        <f>Y55+Y86+Y117+Y121</f>
        <v/>
      </c>
      <c r="Z148" s="56">
        <f>Z55+Z86+Z117+Z121</f>
        <v/>
      </c>
      <c r="AA148" s="56">
        <f>AA55+AA86+AA117+AA121</f>
        <v/>
      </c>
      <c r="AB148" s="56">
        <f>AB55+AB86+AB117+AB121</f>
        <v/>
      </c>
      <c r="AC148" s="56">
        <f>AC55+AC86+AC117+AC121</f>
        <v/>
      </c>
      <c r="AD148" s="56">
        <f>AD55+AD86+AD117+AD121</f>
        <v/>
      </c>
      <c r="AE148" s="56">
        <f>AE55+AE86+AE117+AE121</f>
        <v/>
      </c>
    </row>
    <row r="149">
      <c r="A149" s="6" t="inlineStr">
        <is>
          <t>Net revenue per paying customer (annualised)</t>
        </is>
      </c>
      <c r="B149" s="23" t="inlineStr">
        <is>
          <t>USD</t>
        </is>
      </c>
      <c r="C149" s="54">
        <f>IF(C125=0,0,C148/C125/C7*12)</f>
        <v/>
      </c>
      <c r="D149" s="54">
        <f>IF(D125=0,0,D148/D125/D7*12)</f>
        <v/>
      </c>
      <c r="E149" s="54">
        <f>IF(E125=0,0,E148/E125/E7*12)</f>
        <v/>
      </c>
      <c r="F149" s="54">
        <f>IF(F125=0,0,F148/F125/F7*12)</f>
        <v/>
      </c>
      <c r="G149" s="54">
        <f>IF(G125=0,0,G148/G125/G7*12)</f>
        <v/>
      </c>
      <c r="H149" s="54">
        <f>IF(H125=0,0,H148/H125/H7*12)</f>
        <v/>
      </c>
      <c r="I149" s="54">
        <f>IF(I125=0,0,I148/I125/I7*12)</f>
        <v/>
      </c>
      <c r="J149" s="54">
        <f>IF(J125=0,0,J148/J125/J7*12)</f>
        <v/>
      </c>
      <c r="K149" s="54">
        <f>IF(K125=0,0,K148/K125/K7*12)</f>
        <v/>
      </c>
      <c r="L149" s="54">
        <f>IF(L125=0,0,L148/L125/L7*12)</f>
        <v/>
      </c>
      <c r="M149" s="54">
        <f>IF(M125=0,0,M148/M125/M7*12)</f>
        <v/>
      </c>
      <c r="N149" s="54">
        <f>IF(N125=0,0,N148/N125/N7*12)</f>
        <v/>
      </c>
      <c r="O149" s="54">
        <f>IF(O125=0,0,O148/O125/O7*12)</f>
        <v/>
      </c>
      <c r="P149" s="54">
        <f>IF(P125=0,0,P148/P125/P7*12)</f>
        <v/>
      </c>
      <c r="Q149" s="54">
        <f>IF(Q125=0,0,Q148/Q125/Q7*12)</f>
        <v/>
      </c>
      <c r="R149" s="54">
        <f>IF(R125=0,0,R148/R125/R7*12)</f>
        <v/>
      </c>
      <c r="S149" s="54">
        <f>IF(S125=0,0,S148/S125/S7*12)</f>
        <v/>
      </c>
      <c r="T149" s="54">
        <f>IF(T125=0,0,T148/T125/T7*12)</f>
        <v/>
      </c>
      <c r="U149" s="54">
        <f>IF(U125=0,0,U148/U125/U7*12)</f>
        <v/>
      </c>
      <c r="V149" s="54">
        <f>IF(V125=0,0,V148/V125/V7*12)</f>
        <v/>
      </c>
      <c r="W149" s="54">
        <f>IF(W125=0,0,W148/W125/W7*12)</f>
        <v/>
      </c>
      <c r="X149" s="54">
        <f>IF(X125=0,0,X148/X125/X7*12)</f>
        <v/>
      </c>
      <c r="Y149" s="54">
        <f>IF(Y125=0,0,Y148/Y125/Y7*12)</f>
        <v/>
      </c>
      <c r="Z149" s="54">
        <f>IF(Z125=0,0,Z148/Z125/Z7*12)</f>
        <v/>
      </c>
      <c r="AA149" s="54">
        <f>IF(AA125=0,0,AA148/AA125/AA7*12)</f>
        <v/>
      </c>
      <c r="AB149" s="54">
        <f>IF(AB125=0,0,AB148/AB125/AB7*12)</f>
        <v/>
      </c>
      <c r="AC149" s="54">
        <f>IF(AC125=0,0,AC148/AC125/AC7*12)</f>
        <v/>
      </c>
      <c r="AD149" s="54">
        <f>IF(AD125=0,0,AD148/AD125/AD7*12)</f>
        <v/>
      </c>
      <c r="AE149" s="54">
        <f>IF(AE125=0,0,AE148/AE125/AE7*12)</f>
        <v/>
      </c>
    </row>
    <row r="150">
      <c r="A150" s="6" t="inlineStr">
        <is>
          <t>CHECK: regional subtotals + B2B = sum of streams</t>
        </is>
      </c>
      <c r="B150" s="23" t="inlineStr">
        <is>
          <t>delta</t>
        </is>
      </c>
      <c r="C150" s="58">
        <f>C148-(C141+C142+C143+C144+C145+C146+C121)</f>
        <v/>
      </c>
      <c r="D150" s="58">
        <f>D148-(D141+D142+D143+D144+D145+D146+D121)</f>
        <v/>
      </c>
      <c r="E150" s="58">
        <f>E148-(E141+E142+E143+E144+E145+E146+E121)</f>
        <v/>
      </c>
      <c r="F150" s="58">
        <f>F148-(F141+F142+F143+F144+F145+F146+F121)</f>
        <v/>
      </c>
      <c r="G150" s="58">
        <f>G148-(G141+G142+G143+G144+G145+G146+G121)</f>
        <v/>
      </c>
      <c r="H150" s="58">
        <f>H148-(H141+H142+H143+H144+H145+H146+H121)</f>
        <v/>
      </c>
      <c r="I150" s="58">
        <f>I148-(I141+I142+I143+I144+I145+I146+I121)</f>
        <v/>
      </c>
      <c r="J150" s="58">
        <f>J148-(J141+J142+J143+J144+J145+J146+J121)</f>
        <v/>
      </c>
      <c r="K150" s="58">
        <f>K148-(K141+K142+K143+K144+K145+K146+K121)</f>
        <v/>
      </c>
      <c r="L150" s="58">
        <f>L148-(L141+L142+L143+L144+L145+L146+L121)</f>
        <v/>
      </c>
      <c r="M150" s="58">
        <f>M148-(M141+M142+M143+M144+M145+M146+M121)</f>
        <v/>
      </c>
      <c r="N150" s="58">
        <f>N148-(N141+N142+N143+N144+N145+N146+N121)</f>
        <v/>
      </c>
      <c r="O150" s="58">
        <f>O148-(O141+O142+O143+O144+O145+O146+O121)</f>
        <v/>
      </c>
      <c r="P150" s="58">
        <f>P148-(P141+P142+P143+P144+P145+P146+P121)</f>
        <v/>
      </c>
      <c r="Q150" s="58">
        <f>Q148-(Q141+Q142+Q143+Q144+Q145+Q146+Q121)</f>
        <v/>
      </c>
      <c r="R150" s="58">
        <f>R148-(R141+R142+R143+R144+R145+R146+R121)</f>
        <v/>
      </c>
      <c r="S150" s="58">
        <f>S148-(S141+S142+S143+S144+S145+S146+S121)</f>
        <v/>
      </c>
      <c r="T150" s="58">
        <f>T148-(T141+T142+T143+T144+T145+T146+T121)</f>
        <v/>
      </c>
      <c r="U150" s="58">
        <f>U148-(U141+U142+U143+U144+U145+U146+U121)</f>
        <v/>
      </c>
      <c r="V150" s="58">
        <f>V148-(V141+V142+V143+V144+V145+V146+V121)</f>
        <v/>
      </c>
      <c r="W150" s="58">
        <f>W148-(W141+W142+W143+W144+W145+W146+W121)</f>
        <v/>
      </c>
      <c r="X150" s="58">
        <f>X148-(X141+X142+X143+X144+X145+X146+X121)</f>
        <v/>
      </c>
      <c r="Y150" s="58">
        <f>Y148-(Y141+Y142+Y143+Y144+Y145+Y146+Y121)</f>
        <v/>
      </c>
      <c r="Z150" s="58">
        <f>Z148-(Z141+Z142+Z143+Z144+Z145+Z146+Z121)</f>
        <v/>
      </c>
      <c r="AA150" s="58">
        <f>AA148-(AA141+AA142+AA143+AA144+AA145+AA146+AA121)</f>
        <v/>
      </c>
      <c r="AB150" s="58">
        <f>AB148-(AB141+AB142+AB143+AB144+AB145+AB146+AB121)</f>
        <v/>
      </c>
      <c r="AC150" s="58">
        <f>AC148-(AC141+AC142+AC143+AC144+AC145+AC146+AC121)</f>
        <v/>
      </c>
      <c r="AD150" s="58">
        <f>AD148-(AD141+AD142+AD143+AD144+AD145+AD146+AD121)</f>
        <v/>
      </c>
      <c r="AE150" s="58">
        <f>AE148-(AE141+AE142+AE143+AE144+AE145+AE146+AE121)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0" t="inlineStr">
        <is>
          <t>Y1</t>
        </is>
      </c>
      <c r="E4" s="60" t="inlineStr">
        <is>
          <t>Y2</t>
        </is>
      </c>
      <c r="F4" s="60" t="inlineStr">
        <is>
          <t>Y3</t>
        </is>
      </c>
      <c r="G4" s="60" t="inlineStr">
        <is>
          <t>Y4</t>
        </is>
      </c>
      <c r="H4" s="60" t="inlineStr">
        <is>
          <t>Y5</t>
        </is>
      </c>
      <c r="I4" s="60" t="inlineStr">
        <is>
          <t>Y6</t>
        </is>
      </c>
      <c r="J4" s="60"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5">
        <f>SUM(Model!C55:N55)</f>
        <v/>
      </c>
      <c r="E7" s="35">
        <f>SUM(Model!O55:Z55)</f>
        <v/>
      </c>
      <c r="F7" s="35">
        <f>Model!AA55</f>
        <v/>
      </c>
      <c r="G7" s="35">
        <f>Model!AB55</f>
        <v/>
      </c>
      <c r="H7" s="35">
        <f>Model!AC55</f>
        <v/>
      </c>
      <c r="I7" s="35">
        <f>Model!AD55</f>
        <v/>
      </c>
      <c r="J7" s="35">
        <f>Model!AE55</f>
        <v/>
      </c>
    </row>
    <row r="8">
      <c r="A8" s="6" t="inlineStr">
        <is>
          <t xml:space="preserve">  Oman and Bahrain</t>
        </is>
      </c>
      <c r="D8" s="35">
        <f>SUM(Model!C86:N86)</f>
        <v/>
      </c>
      <c r="E8" s="35">
        <f>SUM(Model!O86:Z86)</f>
        <v/>
      </c>
      <c r="F8" s="35">
        <f>Model!AA86</f>
        <v/>
      </c>
      <c r="G8" s="35">
        <f>Model!AB86</f>
        <v/>
      </c>
      <c r="H8" s="35">
        <f>Model!AC86</f>
        <v/>
      </c>
      <c r="I8" s="35">
        <f>Model!AD86</f>
        <v/>
      </c>
      <c r="J8" s="35">
        <f>Model!AE86</f>
        <v/>
      </c>
    </row>
    <row r="9">
      <c r="A9" s="6" t="inlineStr">
        <is>
          <t xml:space="preserve">  India</t>
        </is>
      </c>
      <c r="D9" s="35">
        <f>SUM(Model!C117:N117)</f>
        <v/>
      </c>
      <c r="E9" s="35">
        <f>SUM(Model!O117:Z117)</f>
        <v/>
      </c>
      <c r="F9" s="35">
        <f>Model!AA117</f>
        <v/>
      </c>
      <c r="G9" s="35">
        <f>Model!AB117</f>
        <v/>
      </c>
      <c r="H9" s="35">
        <f>Model!AC117</f>
        <v/>
      </c>
      <c r="I9" s="35">
        <f>Model!AD117</f>
        <v/>
      </c>
      <c r="J9" s="35">
        <f>Model!AE117</f>
        <v/>
      </c>
    </row>
    <row r="10">
      <c r="A10" s="6" t="inlineStr">
        <is>
          <t xml:space="preserve">  Non-regional: B2B platform fee</t>
        </is>
      </c>
      <c r="D10" s="35">
        <f>SUM(Model!C121:N121)</f>
        <v/>
      </c>
      <c r="E10" s="35">
        <f>SUM(Model!O121:Z121)</f>
        <v/>
      </c>
      <c r="F10" s="35">
        <f>Model!AA121</f>
        <v/>
      </c>
      <c r="G10" s="35">
        <f>Model!AB121</f>
        <v/>
      </c>
      <c r="H10" s="35">
        <f>Model!AC121</f>
        <v/>
      </c>
      <c r="I10" s="35">
        <f>Model!AD121</f>
        <v/>
      </c>
      <c r="J10" s="35">
        <f>Model!AE121</f>
        <v/>
      </c>
    </row>
    <row r="11">
      <c r="A11" s="3" t="inlineStr">
        <is>
          <t>TOTAL REVENUE</t>
        </is>
      </c>
      <c r="D11" s="61">
        <f>SUM(Model!C148:N148)</f>
        <v/>
      </c>
      <c r="E11" s="61">
        <f>SUM(Model!O148:Z148)</f>
        <v/>
      </c>
      <c r="F11" s="61">
        <f>Model!AA148</f>
        <v/>
      </c>
      <c r="G11" s="61">
        <f>Model!AB148</f>
        <v/>
      </c>
      <c r="H11" s="61">
        <f>Model!AC148</f>
        <v/>
      </c>
      <c r="I11" s="61">
        <f>Model!AD148</f>
        <v/>
      </c>
      <c r="J11" s="61">
        <f>Model!AE148</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margin - SIP</t>
        </is>
      </c>
      <c r="D14" s="35">
        <f>SUM(Model!C141:N141)</f>
        <v/>
      </c>
      <c r="E14" s="35">
        <f>SUM(Model!O141:Z141)</f>
        <v/>
      </c>
      <c r="F14" s="35">
        <f>Model!AA141</f>
        <v/>
      </c>
      <c r="G14" s="35">
        <f>Model!AB141</f>
        <v/>
      </c>
      <c r="H14" s="35">
        <f>Model!AC141</f>
        <v/>
      </c>
      <c r="I14" s="35">
        <f>Model!AD141</f>
        <v/>
      </c>
      <c r="J14" s="35">
        <f>Model!AE141</f>
        <v/>
      </c>
    </row>
    <row r="15">
      <c r="A15" s="6" t="inlineStr">
        <is>
          <t>Stream 1b: Entry fee margin - SPOT</t>
        </is>
      </c>
      <c r="D15" s="35">
        <f>SUM(Model!C142:N142)</f>
        <v/>
      </c>
      <c r="E15" s="35">
        <f>SUM(Model!O142:Z142)</f>
        <v/>
      </c>
      <c r="F15" s="35">
        <f>Model!AA142</f>
        <v/>
      </c>
      <c r="G15" s="35">
        <f>Model!AB142</f>
        <v/>
      </c>
      <c r="H15" s="35">
        <f>Model!AC142</f>
        <v/>
      </c>
      <c r="I15" s="35">
        <f>Model!AD142</f>
        <v/>
      </c>
      <c r="J15" s="35">
        <f>Model!AE142</f>
        <v/>
      </c>
    </row>
    <row r="16">
      <c r="A16" s="6" t="inlineStr">
        <is>
          <t>Stream 2: Card interchange</t>
        </is>
      </c>
      <c r="D16" s="35">
        <f>SUM(Model!C143:N143)</f>
        <v/>
      </c>
      <c r="E16" s="35">
        <f>SUM(Model!O143:Z143)</f>
        <v/>
      </c>
      <c r="F16" s="35">
        <f>Model!AA143</f>
        <v/>
      </c>
      <c r="G16" s="35">
        <f>Model!AB143</f>
        <v/>
      </c>
      <c r="H16" s="35">
        <f>Model!AC143</f>
        <v/>
      </c>
      <c r="I16" s="35">
        <f>Model!AD143</f>
        <v/>
      </c>
      <c r="J16" s="35">
        <f>Model!AE143</f>
        <v/>
      </c>
    </row>
    <row r="17">
      <c r="A17" s="6" t="inlineStr">
        <is>
          <t>Stream 3: Family plan and Digital Will</t>
        </is>
      </c>
      <c r="D17" s="35">
        <f>SUM(Model!C144:N144)</f>
        <v/>
      </c>
      <c r="E17" s="35">
        <f>SUM(Model!O144:Z144)</f>
        <v/>
      </c>
      <c r="F17" s="35">
        <f>Model!AA144</f>
        <v/>
      </c>
      <c r="G17" s="35">
        <f>Model!AB144</f>
        <v/>
      </c>
      <c r="H17" s="35">
        <f>Model!AC144</f>
        <v/>
      </c>
      <c r="I17" s="35">
        <f>Model!AD144</f>
        <v/>
      </c>
      <c r="J17" s="35">
        <f>Model!AE144</f>
        <v/>
      </c>
    </row>
    <row r="18">
      <c r="A18" s="6" t="inlineStr">
        <is>
          <t>Stream 4: Cardholder fees</t>
        </is>
      </c>
      <c r="D18" s="35">
        <f>SUM(Model!C145:N145)</f>
        <v/>
      </c>
      <c r="E18" s="35">
        <f>SUM(Model!O145:Z145)</f>
        <v/>
      </c>
      <c r="F18" s="35">
        <f>Model!AA145</f>
        <v/>
      </c>
      <c r="G18" s="35">
        <f>Model!AB145</f>
        <v/>
      </c>
      <c r="H18" s="35">
        <f>Model!AC145</f>
        <v/>
      </c>
      <c r="I18" s="35">
        <f>Model!AD145</f>
        <v/>
      </c>
      <c r="J18" s="35">
        <f>Model!AE145</f>
        <v/>
      </c>
    </row>
    <row r="19">
      <c r="A19" s="6" t="inlineStr">
        <is>
          <t>Stream 5: Lending revenue share</t>
        </is>
      </c>
      <c r="D19" s="35">
        <f>SUM(Model!C146:N146)</f>
        <v/>
      </c>
      <c r="E19" s="35">
        <f>SUM(Model!O146:Z146)</f>
        <v/>
      </c>
      <c r="F19" s="35">
        <f>Model!AA146</f>
        <v/>
      </c>
      <c r="G19" s="35">
        <f>Model!AB146</f>
        <v/>
      </c>
      <c r="H19" s="35">
        <f>Model!AC146</f>
        <v/>
      </c>
      <c r="I19" s="35">
        <f>Model!AD146</f>
        <v/>
      </c>
      <c r="J19" s="35">
        <f>Model!AE146</f>
        <v/>
      </c>
    </row>
    <row r="20">
      <c r="A20" s="6" t="inlineStr">
        <is>
          <t>Stream 6: B2B platform fee</t>
        </is>
      </c>
      <c r="D20" s="35">
        <f>SUM(Model!C121:N121)</f>
        <v/>
      </c>
      <c r="E20" s="35">
        <f>SUM(Model!O121:Z121)</f>
        <v/>
      </c>
      <c r="F20" s="35">
        <f>Model!AA121</f>
        <v/>
      </c>
      <c r="G20" s="35">
        <f>Model!AB121</f>
        <v/>
      </c>
      <c r="H20" s="35">
        <f>Model!AC121</f>
        <v/>
      </c>
      <c r="I20" s="35">
        <f>Model!AD121</f>
        <v/>
      </c>
      <c r="J20" s="35">
        <f>Model!AE121</f>
        <v/>
      </c>
    </row>
    <row r="21">
      <c r="A21" s="3" t="inlineStr">
        <is>
          <t>Total by stream (reconciles to the regional total above)</t>
        </is>
      </c>
      <c r="D21" s="61">
        <f>SUM(Model!C148:N148)</f>
        <v/>
      </c>
      <c r="E21" s="61">
        <f>SUM(Model!O148:Z148)</f>
        <v/>
      </c>
      <c r="F21" s="61">
        <f>Model!AA148</f>
        <v/>
      </c>
      <c r="G21" s="61">
        <f>Model!AB148</f>
        <v/>
      </c>
      <c r="H21" s="61">
        <f>Model!AC148</f>
        <v/>
      </c>
      <c r="I21" s="61">
        <f>Model!AD148</f>
        <v/>
      </c>
      <c r="J21" s="61">
        <f>Model!AE148</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2">
        <f>IF(D$11=0,0,D14/D$11)</f>
        <v/>
      </c>
      <c r="E24" s="62">
        <f>IF(E$11=0,0,E14/E$11)</f>
        <v/>
      </c>
      <c r="F24" s="62">
        <f>IF(F$11=0,0,F14/F$11)</f>
        <v/>
      </c>
      <c r="G24" s="62">
        <f>IF(G$11=0,0,G14/G$11)</f>
        <v/>
      </c>
      <c r="H24" s="62">
        <f>IF(H$11=0,0,H14/H$11)</f>
        <v/>
      </c>
      <c r="I24" s="62">
        <f>IF(I$11=0,0,I14/I$11)</f>
        <v/>
      </c>
      <c r="J24" s="62">
        <f>IF(J$11=0,0,J14/J$11)</f>
        <v/>
      </c>
    </row>
    <row r="25">
      <c r="A25" t="inlineStr">
        <is>
          <t>Stream 1b: Spot entry fee - share</t>
        </is>
      </c>
      <c r="D25" s="62">
        <f>IF(D$11=0,0,D15/D$11)</f>
        <v/>
      </c>
      <c r="E25" s="62">
        <f>IF(E$11=0,0,E15/E$11)</f>
        <v/>
      </c>
      <c r="F25" s="62">
        <f>IF(F$11=0,0,F15/F$11)</f>
        <v/>
      </c>
      <c r="G25" s="62">
        <f>IF(G$11=0,0,G15/G$11)</f>
        <v/>
      </c>
      <c r="H25" s="62">
        <f>IF(H$11=0,0,H15/H$11)</f>
        <v/>
      </c>
      <c r="I25" s="62">
        <f>IF(I$11=0,0,I15/I$11)</f>
        <v/>
      </c>
      <c r="J25" s="62">
        <f>IF(J$11=0,0,J15/J$11)</f>
        <v/>
      </c>
    </row>
    <row r="26">
      <c r="A26" t="inlineStr">
        <is>
          <t>Stream 2: Card interchange - share</t>
        </is>
      </c>
      <c r="D26" s="62">
        <f>IF(D$11=0,0,D16/D$11)</f>
        <v/>
      </c>
      <c r="E26" s="62">
        <f>IF(E$11=0,0,E16/E$11)</f>
        <v/>
      </c>
      <c r="F26" s="62">
        <f>IF(F$11=0,0,F16/F$11)</f>
        <v/>
      </c>
      <c r="G26" s="62">
        <f>IF(G$11=0,0,G16/G$11)</f>
        <v/>
      </c>
      <c r="H26" s="62">
        <f>IF(H$11=0,0,H16/H$11)</f>
        <v/>
      </c>
      <c r="I26" s="62">
        <f>IF(I$11=0,0,I16/I$11)</f>
        <v/>
      </c>
      <c r="J26" s="62">
        <f>IF(J$11=0,0,J16/J$11)</f>
        <v/>
      </c>
    </row>
    <row r="27">
      <c r="A27" t="inlineStr">
        <is>
          <t>Stream 3: Family and Will - share</t>
        </is>
      </c>
      <c r="D27" s="62">
        <f>IF(D$11=0,0,D17/D$11)</f>
        <v/>
      </c>
      <c r="E27" s="62">
        <f>IF(E$11=0,0,E17/E$11)</f>
        <v/>
      </c>
      <c r="F27" s="62">
        <f>IF(F$11=0,0,F17/F$11)</f>
        <v/>
      </c>
      <c r="G27" s="62">
        <f>IF(G$11=0,0,G17/G$11)</f>
        <v/>
      </c>
      <c r="H27" s="62">
        <f>IF(H$11=0,0,H17/H$11)</f>
        <v/>
      </c>
      <c r="I27" s="62">
        <f>IF(I$11=0,0,I17/I$11)</f>
        <v/>
      </c>
      <c r="J27" s="62">
        <f>IF(J$11=0,0,J17/J$11)</f>
        <v/>
      </c>
    </row>
    <row r="28">
      <c r="A28" t="inlineStr">
        <is>
          <t>Stream 4: Cardholder fees - share</t>
        </is>
      </c>
      <c r="D28" s="62">
        <f>IF(D$11=0,0,D18/D$11)</f>
        <v/>
      </c>
      <c r="E28" s="62">
        <f>IF(E$11=0,0,E18/E$11)</f>
        <v/>
      </c>
      <c r="F28" s="62">
        <f>IF(F$11=0,0,F18/F$11)</f>
        <v/>
      </c>
      <c r="G28" s="62">
        <f>IF(G$11=0,0,G18/G$11)</f>
        <v/>
      </c>
      <c r="H28" s="62">
        <f>IF(H$11=0,0,H18/H$11)</f>
        <v/>
      </c>
      <c r="I28" s="62">
        <f>IF(I$11=0,0,I18/I$11)</f>
        <v/>
      </c>
      <c r="J28" s="62">
        <f>IF(J$11=0,0,J18/J$11)</f>
        <v/>
      </c>
    </row>
    <row r="29">
      <c r="A29" t="inlineStr">
        <is>
          <t>Stream 5: Lending - share</t>
        </is>
      </c>
      <c r="D29" s="62">
        <f>IF(D$11=0,0,D19/D$11)</f>
        <v/>
      </c>
      <c r="E29" s="62">
        <f>IF(E$11=0,0,E19/E$11)</f>
        <v/>
      </c>
      <c r="F29" s="62">
        <f>IF(F$11=0,0,F19/F$11)</f>
        <v/>
      </c>
      <c r="G29" s="62">
        <f>IF(G$11=0,0,G19/G$11)</f>
        <v/>
      </c>
      <c r="H29" s="62">
        <f>IF(H$11=0,0,H19/H$11)</f>
        <v/>
      </c>
      <c r="I29" s="62">
        <f>IF(I$11=0,0,I19/I$11)</f>
        <v/>
      </c>
      <c r="J29" s="62">
        <f>IF(J$11=0,0,J19/J$11)</f>
        <v/>
      </c>
    </row>
    <row r="30">
      <c r="A30" t="inlineStr">
        <is>
          <t>Stream 6: B2B platform - share</t>
        </is>
      </c>
      <c r="D30" s="62">
        <f>IF(D$11=0,0,D20/D$11)</f>
        <v/>
      </c>
      <c r="E30" s="62">
        <f>IF(E$11=0,0,E20/E$11)</f>
        <v/>
      </c>
      <c r="F30" s="62">
        <f>IF(F$11=0,0,F20/F$11)</f>
        <v/>
      </c>
      <c r="G30" s="62">
        <f>IF(G$11=0,0,G20/G$11)</f>
        <v/>
      </c>
      <c r="H30" s="62">
        <f>IF(H$11=0,0,H20/H$11)</f>
        <v/>
      </c>
      <c r="I30" s="62">
        <f>IF(I$11=0,0,I20/I$11)</f>
        <v/>
      </c>
      <c r="J30" s="62">
        <f>IF(J$11=0,0,J20/J$11)</f>
        <v/>
      </c>
    </row>
    <row r="31">
      <c r="A31" s="3" t="inlineStr">
        <is>
          <t>CHECK: mix sums to 100%</t>
        </is>
      </c>
      <c r="D31" s="38">
        <f>SUM(D24:D30)</f>
        <v/>
      </c>
      <c r="E31" s="38">
        <f>SUM(E24:E30)</f>
        <v/>
      </c>
      <c r="F31" s="38">
        <f>SUM(F24:F30)</f>
        <v/>
      </c>
      <c r="G31" s="38">
        <f>SUM(G24:G30)</f>
        <v/>
      </c>
      <c r="H31" s="38">
        <f>SUM(H24:H30)</f>
        <v/>
      </c>
      <c r="I31" s="38">
        <f>SUM(I24:I30)</f>
        <v/>
      </c>
      <c r="J31" s="38">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6">
        <f>SUM(Model!C128:N128)</f>
        <v/>
      </c>
      <c r="E34" s="36">
        <f>SUM(Model!O128:Z128)</f>
        <v/>
      </c>
      <c r="F34" s="36">
        <f>Model!AA128</f>
        <v/>
      </c>
      <c r="G34" s="36">
        <f>Model!AB128</f>
        <v/>
      </c>
      <c r="H34" s="36">
        <f>Model!AC128</f>
        <v/>
      </c>
      <c r="I34" s="36">
        <f>Model!AD128</f>
        <v/>
      </c>
      <c r="J34" s="36">
        <f>Model!AE128</f>
        <v/>
      </c>
    </row>
    <row r="35">
      <c r="A35" s="3" t="inlineStr">
        <is>
          <t>Paying customers</t>
        </is>
      </c>
      <c r="D35" s="63">
        <f>Model!N125</f>
        <v/>
      </c>
      <c r="E35" s="63">
        <f>Model!Z125</f>
        <v/>
      </c>
      <c r="F35" s="63">
        <f>Model!AA125</f>
        <v/>
      </c>
      <c r="G35" s="63">
        <f>Model!AB125</f>
        <v/>
      </c>
      <c r="H35" s="63">
        <f>Model!AC125</f>
        <v/>
      </c>
      <c r="I35" s="63">
        <f>Model!AD125</f>
        <v/>
      </c>
      <c r="J35" s="63">
        <f>Model!AE125</f>
        <v/>
      </c>
    </row>
    <row r="36">
      <c r="A36" s="6" t="inlineStr">
        <is>
          <t>Holders (stopped paying, still hold gold)</t>
        </is>
      </c>
      <c r="D36" s="36">
        <f>Model!N126</f>
        <v/>
      </c>
      <c r="E36" s="36">
        <f>Model!Z126</f>
        <v/>
      </c>
      <c r="F36" s="36">
        <f>Model!AA126</f>
        <v/>
      </c>
      <c r="G36" s="36">
        <f>Model!AB126</f>
        <v/>
      </c>
      <c r="H36" s="36">
        <f>Model!AC126</f>
        <v/>
      </c>
      <c r="I36" s="36">
        <f>Model!AD126</f>
        <v/>
      </c>
      <c r="J36" s="36">
        <f>Model!AE126</f>
        <v/>
      </c>
    </row>
    <row r="37">
      <c r="A37" s="6" t="inlineStr">
        <is>
          <t>Cumulative ever acquired</t>
        </is>
      </c>
      <c r="D37" s="36">
        <f>Model!N127</f>
        <v/>
      </c>
      <c r="E37" s="36">
        <f>Model!Z127</f>
        <v/>
      </c>
      <c r="F37" s="36">
        <f>Model!AA127</f>
        <v/>
      </c>
      <c r="G37" s="36">
        <f>Model!AB127</f>
        <v/>
      </c>
      <c r="H37" s="36">
        <f>Model!AC127</f>
        <v/>
      </c>
      <c r="I37" s="36">
        <f>Model!AD127</f>
        <v/>
      </c>
      <c r="J37" s="36">
        <f>Model!AE127</f>
        <v/>
      </c>
    </row>
    <row r="38">
      <c r="A38" s="6" t="inlineStr">
        <is>
          <t>Active cards</t>
        </is>
      </c>
      <c r="D38" s="36">
        <f>Model!N129</f>
        <v/>
      </c>
      <c r="E38" s="36">
        <f>Model!Z129</f>
        <v/>
      </c>
      <c r="F38" s="36">
        <f>Model!AA129</f>
        <v/>
      </c>
      <c r="G38" s="36">
        <f>Model!AB129</f>
        <v/>
      </c>
      <c r="H38" s="36">
        <f>Model!AC129</f>
        <v/>
      </c>
      <c r="I38" s="36">
        <f>Model!AD129</f>
        <v/>
      </c>
      <c r="J38" s="36">
        <f>Model!AE129</f>
        <v/>
      </c>
    </row>
    <row r="39">
      <c r="A39" s="6" t="inlineStr">
        <is>
          <t>Grams held</t>
        </is>
      </c>
      <c r="D39" s="36">
        <f>Model!N130</f>
        <v/>
      </c>
      <c r="E39" s="36">
        <f>Model!Z130</f>
        <v/>
      </c>
      <c r="F39" s="36">
        <f>Model!AA130</f>
        <v/>
      </c>
      <c r="G39" s="36">
        <f>Model!AB130</f>
        <v/>
      </c>
      <c r="H39" s="36">
        <f>Model!AC130</f>
        <v/>
      </c>
      <c r="I39" s="36">
        <f>Model!AD130</f>
        <v/>
      </c>
      <c r="J39" s="36">
        <f>Model!AE130</f>
        <v/>
      </c>
    </row>
    <row r="40">
      <c r="A40" s="3" t="inlineStr">
        <is>
          <t>AUM</t>
        </is>
      </c>
      <c r="D40" s="61">
        <f>Model!N131</f>
        <v/>
      </c>
      <c r="E40" s="61">
        <f>Model!Z131</f>
        <v/>
      </c>
      <c r="F40" s="61">
        <f>Model!AA131</f>
        <v/>
      </c>
      <c r="G40" s="61">
        <f>Model!AB131</f>
        <v/>
      </c>
      <c r="H40" s="61">
        <f>Model!AC131</f>
        <v/>
      </c>
      <c r="I40" s="61">
        <f>Model!AD131</f>
        <v/>
      </c>
      <c r="J40" s="61">
        <f>Model!AE131</f>
        <v/>
      </c>
    </row>
    <row r="41">
      <c r="A41" s="6" t="inlineStr">
        <is>
          <t>Net revenue per paying customer (annualised)</t>
        </is>
      </c>
      <c r="D41" s="35">
        <f>Model!N149</f>
        <v/>
      </c>
      <c r="E41" s="35">
        <f>Model!Z149</f>
        <v/>
      </c>
      <c r="F41" s="35">
        <f>Model!AA149</f>
        <v/>
      </c>
      <c r="G41" s="35">
        <f>Model!AB149</f>
        <v/>
      </c>
      <c r="H41" s="35">
        <f>Model!AC149</f>
        <v/>
      </c>
      <c r="I41" s="35">
        <f>Model!AD149</f>
        <v/>
      </c>
      <c r="J41" s="35">
        <f>Model!AE149</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2026-08-20T18:03:50Z</dcterms:created>
  <dcterms:modified xmlns:dcterms="http://purl.org/dc/terms/" xmlns:xsi="http://www.w3.org/2001/XMLSchema-instance" xsi:type="dcterms:W3CDTF">2026-08-20T18:03:50Z</dcterms:modified>
</cp:coreProperties>
</file>