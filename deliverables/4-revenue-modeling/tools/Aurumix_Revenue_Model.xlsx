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Assumptions" sheetId="2" state="visible" r:id="rId2"/>
    <sheet xmlns:r="http://schemas.openxmlformats.org/officeDocument/2006/relationships" name="Scenario Parameters" sheetId="3" state="visible" r:id="rId3"/>
    <sheet xmlns:r="http://schemas.openxmlformats.org/officeDocument/2006/relationships" name="Model" sheetId="4" state="visible" r:id="rId4"/>
    <sheet xmlns:r="http://schemas.openxmlformats.org/officeDocument/2006/relationships" name="Summary" sheetId="5" state="visible" r:id="rId5"/>
  </sheets>
  <definedNames>
    <definedName name="act_gulf">Assumptions!$B$57</definedName>
    <definedName name="act_india">Assumptions!$B$58</definedName>
    <definedName name="act_referral">Assumptions!$B$56</definedName>
    <definedName name="act_s0">Assumptions!$B$50</definedName>
    <definedName name="act_s1a">Assumptions!$B$48</definedName>
    <definedName name="act_s1b">Assumptions!$B$49</definedName>
    <definedName name="act_s2">Assumptions!$B$52</definedName>
    <definedName name="act_s3">Assumptions!$B$51</definedName>
    <definedName name="act_s4">Assumptions!$B$53</definedName>
    <definedName name="act_s5">Assumptions!$B$54</definedName>
    <definedName name="act_s6">Assumptions!$B$55</definedName>
    <definedName name="aed_usd">Assumptions!$B$7</definedName>
    <definedName name="agent_productivity">'Scenario Parameters'!$B$16</definedName>
    <definedName name="agents_y1">Assumptions!$B$94</definedName>
    <definedName name="agents_y2">Assumptions!$B$95</definedName>
    <definedName name="agents_y3">Assumptions!$B$96</definedName>
    <definedName name="agents_y4">Assumptions!$B$97</definedName>
    <definedName name="agents_y5">Assumptions!$B$98</definedName>
    <definedName name="agents_y6">Assumptions!$B$99</definedName>
    <definedName name="agents_y7">Assumptions!$B$100</definedName>
    <definedName name="agentshare_gulf">Assumptions!$B$116</definedName>
    <definedName name="agentshare_india">Assumptions!$B$117</definedName>
    <definedName name="agentshare_uae">Assumptions!$B$115</definedName>
    <definedName name="atm_a1500">'Scenario Parameters'!$B$51</definedName>
    <definedName name="atm_a3000">'Scenario Parameters'!$B$52</definedName>
    <definedName name="atm_a3000p">'Scenario Parameters'!$B$53</definedName>
    <definedName name="atm_a500">'Scenario Parameters'!$B$50</definedName>
    <definedName name="atm_allowance">Assumptions!$B$18</definedName>
    <definedName name="atm_fee">Assumptions!$B$19</definedName>
    <definedName name="atmm_a1500">'Scenario Parameters'!$B$55</definedName>
    <definedName name="atmm_a3000">'Scenario Parameters'!$B$56</definedName>
    <definedName name="atmm_a3000p">'Scenario Parameters'!$B$57</definedName>
    <definedName name="atmm_a500">'Scenario Parameters'!$B$54</definedName>
    <definedName name="aum_per_partner">'Scenario Parameters'!$B$78</definedName>
    <definedName name="aum_per_partner_user">'Scenario Parameters'!$B$77</definedName>
    <definedName name="b2b_fee">Assumptions!$B$27</definedName>
    <definedName name="bar_grams">Assumptions!$B$10</definedName>
    <definedName name="benef_count">'Scenario Parameters'!$B$66</definedName>
    <definedName name="benef_fee">Assumptions!$B$26</definedName>
    <definedName name="cac_gulf">'Scenario Parameters'!$B$18</definedName>
    <definedName name="cac_india">'Scenario Parameters'!$B$19</definedName>
    <definedName name="cac_uae">'Scenario Parameters'!$B$17</definedName>
    <definedName name="card_activation">'Scenario Parameters'!$B$45</definedName>
    <definedName name="card_txns_per_draw">'Scenario Parameters'!$B$46</definedName>
    <definedName name="ceil_gulf">Assumptions!$B$86</definedName>
    <definedName name="ceil_india">Assumptions!$B$87</definedName>
    <definedName name="ceil_total">Assumptions!$B$88</definedName>
    <definedName name="ceil_uae">Assumptions!$B$85</definedName>
    <definedName name="decline_uplift">Assumptions!$B$16</definedName>
    <definedName name="draw_events">'Scenario Parameters'!$B$63</definedName>
    <definedName name="drawn_share">'Scenario Parameters'!$B$61</definedName>
    <definedName name="entry_fee">Assumptions!$B$8</definedName>
    <definedName name="ever_qualify">'Scenario Parameters'!$B$30</definedName>
    <definedName name="fab_premium">Assumptions!$B$9</definedName>
    <definedName name="facility_turnover">'Scenario Parameters'!$B$62</definedName>
    <definedName name="family_attach">'Scenario Parameters'!$B$64</definedName>
    <definedName name="family_churn">'Scenario Parameters'!$B$65</definedName>
    <definedName name="family_churn_m">'Scenario Parameters'!$B$67</definedName>
    <definedName name="family_price">Assumptions!$B$25</definedName>
    <definedName name="foreign_spend_share">'Scenario Parameters'!$B$47</definedName>
    <definedName name="fx_margin">Assumptions!$B$17</definedName>
    <definedName name="gate_run">Assumptions!$B$43</definedName>
    <definedName name="gold_cagr">'Scenario Parameters'!$B$10</definedName>
    <definedName name="gold_price">Assumptions!$B$6</definedName>
    <definedName name="ic_gold">Assumptions!$B$14</definedName>
    <definedName name="issuance_events">'Scenario Parameters'!$B$48</definedName>
    <definedName name="issuance_fee">Assumptions!$B$20</definedName>
    <definedName name="lapsed_redemption_mult">'Scenario Parameters'!$B$37</definedName>
    <definedName name="ltv_gold">Assumptions!$B$32</definedName>
    <definedName name="mktg_y1">Assumptions!$B$101</definedName>
    <definedName name="mktg_y2">Assumptions!$B$102</definedName>
    <definedName name="mktg_y3">Assumptions!$B$103</definedName>
    <definedName name="mktg_y4">Assumptions!$B$104</definedName>
    <definedName name="mktg_y5">Assumptions!$B$105</definedName>
    <definedName name="mktg_y6">Assumptions!$B$106</definedName>
    <definedName name="mktg_y7">Assumptions!$B$107</definedName>
    <definedName name="mktshare_gulf">'Scenario Parameters'!$B$21</definedName>
    <definedName name="mktshare_india">'Scenario Parameters'!$B$22</definedName>
    <definedName name="mktshare_uae">'Scenario Parameters'!$B$20</definedName>
    <definedName name="monthly_churn">'Scenario Parameters'!$B$15</definedName>
    <definedName name="months_to_qualify">'Scenario Parameters'!$B$31</definedName>
    <definedName name="organic_share">'Scenario Parameters'!$B$25</definedName>
    <definedName name="origination_gross">Assumptions!$B$28</definedName>
    <definedName name="origination_share">Assumptions!$B$29</definedName>
    <definedName name="partner_adoption">'Scenario Parameters'!$B$76</definedName>
    <definedName name="partner_users">'Scenario Parameters'!$B$75</definedName>
    <definedName name="partners_y1">'Scenario Parameters'!$B$68</definedName>
    <definedName name="partners_y2">'Scenario Parameters'!$B$69</definedName>
    <definedName name="partners_y3">'Scenario Parameters'!$B$70</definedName>
    <definedName name="partners_y4">'Scenario Parameters'!$B$71</definedName>
    <definedName name="partners_y5">'Scenario Parameters'!$B$72</definedName>
    <definedName name="partners_y6">'Scenario Parameters'!$B$73</definedName>
    <definedName name="partners_y7">'Scenario Parameters'!$B$74</definedName>
    <definedName name="persistency_m13">'Scenario Parameters'!$B$14</definedName>
    <definedName name="pm_share">'Scenario Parameters'!$B$44</definedName>
    <definedName name="ramp_y1">Assumptions!$B$108</definedName>
    <definedName name="ramp_y2">Assumptions!$B$109</definedName>
    <definedName name="ramp_y3">Assumptions!$B$110</definedName>
    <definedName name="ramp_y4">Assumptions!$B$111</definedName>
    <definedName name="ramp_y5">Assumptions!$B$112</definedName>
    <definedName name="ramp_y6">Assumptions!$B$113</definedName>
    <definedName name="ramp_y7">Assumptions!$B$114</definedName>
    <definedName name="redemption_cost">Assumptions!$B$44</definedName>
    <definedName name="redemption_rate">'Scenario Parameters'!$B$36</definedName>
    <definedName name="referral_conversion">'Scenario Parameters'!$B$24</definedName>
    <definedName name="referral_rate">'Scenario Parameters'!$B$23</definedName>
    <definedName name="replacement_events">'Scenario Parameters'!$B$49</definedName>
    <definedName name="replacement_fee">Assumptions!$B$21</definedName>
    <definedName name="scenario_index">'Scenario Parameters'!$C$6</definedName>
    <definedName name="seas_sum_acq">Model!$C$14</definedName>
    <definedName name="seas_sum_spend">Model!$D$14</definedName>
    <definedName name="seasonality_amplitude">'Scenario Parameters'!$B$26</definedName>
    <definedName name="self_custody_leakage">'Scenario Parameters'!$B$35</definedName>
    <definedName name="servicing_gross">Assumptions!$B$30</definedName>
    <definedName name="servicing_share">Assumptions!$B$31</definedName>
    <definedName name="sip_floor">Assumptions!$B$42</definedName>
    <definedName name="spot_attach_mult">'Scenario Parameters'!$B$38</definedName>
    <definedName name="spot_frequency">'Scenario Parameters'!$B$40</definedName>
    <definedName name="spot_ticket_mult">'Scenario Parameters'!$B$39</definedName>
    <definedName name="spotattach_gulf">Assumptions!$B$37</definedName>
    <definedName name="spotattach_india">Assumptions!$B$38</definedName>
    <definedName name="spotattach_uae">Assumptions!$B$36</definedName>
    <definedName name="spotticket_gulf">Assumptions!$B$34</definedName>
    <definedName name="spotticket_india">Assumptions!$B$35</definedName>
    <definedName name="spotticket_uae">Assumptions!$B$33</definedName>
    <definedName name="sw_lapsed_keeps_card">'Scenario Parameters'!$B$89</definedName>
    <definedName name="sw_prepaid_vs_credit">'Scenario Parameters'!$B$88</definedName>
    <definedName name="ticket_gulf">'Scenario Parameters'!$B$83</definedName>
    <definedName name="ticket_india">'Scenario Parameters'!$B$84</definedName>
    <definedName name="ticket_uae">'Scenario Parameters'!$B$82</definedName>
    <definedName name="txn_fee">Assumptions!$B$15</definedName>
    <definedName name="xchk_uae_obs">Assumptions!$B$90</definedName>
  </definedNames>
  <calcPr calcId="124519" fullCalcOnLoad="1"/>
</workbook>
</file>

<file path=xl/styles.xml><?xml version="1.0" encoding="utf-8"?>
<styleSheet xmlns="http://schemas.openxmlformats.org/spreadsheetml/2006/main">
  <numFmts count="8">
    <numFmt numFmtId="164" formatCode="mmmm yyyy"/>
    <numFmt numFmtId="165" formatCode="#,##0.00;(#,##0.00);&quot;-&quot;"/>
    <numFmt numFmtId="166" formatCode="#,##0;(#,##0);&quot;-&quot;"/>
    <numFmt numFmtId="167" formatCode="$#,##0.00;($#,##0.00);&quot;-&quot;"/>
    <numFmt numFmtId="168" formatCode="0.0%"/>
    <numFmt numFmtId="169" formatCode="$#,##0;($#,##0);&quot;-&quot;"/>
    <numFmt numFmtId="170" formatCode="0.00&quot;x&quot;"/>
    <numFmt numFmtId="171" formatCode="#,##0.000"/>
  </numFmts>
  <fonts count="16">
    <font>
      <name val="Calibri"/>
      <family val="2"/>
      <color theme="1"/>
      <sz val="11"/>
      <scheme val="minor"/>
    </font>
    <font>
      <b val="1"/>
      <color rgb="00B8956E"/>
      <sz val="24"/>
    </font>
    <font>
      <color rgb="001A1714"/>
      <sz val="16"/>
    </font>
    <font>
      <b val="1"/>
      <color rgb="00000000"/>
    </font>
    <font>
      <color rgb="000000FF"/>
    </font>
    <font>
      <color rgb="00000000"/>
    </font>
    <font>
      <color rgb="00009B73"/>
    </font>
    <font>
      <b val="1"/>
      <color rgb="00C00000"/>
    </font>
    <font>
      <i val="1"/>
      <color rgb="0096734A"/>
      <sz val="9"/>
    </font>
    <font>
      <b val="1"/>
      <color rgb="00B8956E"/>
      <sz val="18"/>
    </font>
    <font>
      <b val="1"/>
      <color rgb="001A1714"/>
      <sz val="14"/>
    </font>
    <font>
      <b val="1"/>
      <color rgb="00FFFFFF"/>
      <sz val="11"/>
    </font>
    <font>
      <b val="1"/>
      <color rgb="001A1714"/>
      <sz val="10"/>
    </font>
    <font>
      <color rgb="0096734A"/>
      <sz val="9"/>
    </font>
    <font>
      <b val="1"/>
      <color rgb="000000FF"/>
    </font>
    <font>
      <b val="1"/>
      <color rgb="001A1714"/>
      <sz val="11"/>
    </font>
  </fonts>
  <fills count="5">
    <fill>
      <patternFill/>
    </fill>
    <fill>
      <patternFill patternType="gray125"/>
    </fill>
    <fill>
      <patternFill patternType="solid">
        <fgColor rgb="001A1714"/>
      </patternFill>
    </fill>
    <fill>
      <patternFill patternType="solid">
        <fgColor rgb="00D4CFC8"/>
      </patternFill>
    </fill>
    <fill>
      <patternFill patternType="solid">
        <fgColor rgb="00E8E4DF"/>
      </patternFill>
    </fill>
  </fills>
  <borders count="3">
    <border>
      <left/>
      <right/>
      <top/>
      <bottom/>
      <diagonal/>
    </border>
    <border>
      <left style="thin">
        <color rgb="00D4CFC8"/>
      </left>
      <right style="thin">
        <color rgb="00D4CFC8"/>
      </right>
      <top style="thin">
        <color rgb="00D4CFC8"/>
      </top>
      <bottom style="thin">
        <color rgb="00D4CFC8"/>
      </bottom>
    </border>
    <border>
      <top style="thin">
        <color rgb="00B8956E"/>
      </top>
      <bottom style="double">
        <color rgb="00B8956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2" borderId="0" pivotButton="0" quotePrefix="0" xfId="0"/>
    <xf numFmtId="0" fontId="0" fillId="2" borderId="0" pivotButton="0" quotePrefix="0" xfId="0"/>
    <xf numFmtId="0" fontId="12" fillId="3" borderId="1" pivotButton="0" quotePrefix="0" xfId="0"/>
    <xf numFmtId="165" fontId="4" fillId="0" borderId="0" pivotButton="0" quotePrefix="0" xfId="0"/>
    <xf numFmtId="10" fontId="4" fillId="0" borderId="0" pivotButton="0" quotePrefix="0" xfId="0"/>
    <xf numFmtId="166" fontId="4" fillId="0" borderId="0" pivotButton="0" quotePrefix="0" xfId="0"/>
    <xf numFmtId="167" fontId="4" fillId="0" borderId="0" pivotButton="0" quotePrefix="0" xfId="0"/>
    <xf numFmtId="168" fontId="4" fillId="0" borderId="0" pivotButton="0" quotePrefix="0" xfId="0"/>
    <xf numFmtId="169" fontId="4" fillId="0" borderId="0" pivotButton="0" quotePrefix="0" xfId="0"/>
    <xf numFmtId="0" fontId="12" fillId="3" borderId="0" applyAlignment="1" pivotButton="0" quotePrefix="0" xfId="0">
      <alignment horizontal="center"/>
    </xf>
    <xf numFmtId="165" fontId="4" fillId="0" borderId="0" applyAlignment="1" pivotButton="0" quotePrefix="0" xfId="0">
      <alignment horizontal="center"/>
    </xf>
    <xf numFmtId="0" fontId="13" fillId="0" borderId="0" pivotButton="0" quotePrefix="0" xfId="0"/>
    <xf numFmtId="0" fontId="12" fillId="3" borderId="0" pivotButton="0" quotePrefix="0" xfId="0"/>
    <xf numFmtId="0" fontId="12" fillId="3" borderId="0" applyAlignment="1" pivotButton="0" quotePrefix="0" xfId="0">
      <alignment horizontal="center" wrapText="1"/>
    </xf>
    <xf numFmtId="166" fontId="4" fillId="0" borderId="0" applyAlignment="1" pivotButton="0" quotePrefix="0" xfId="0">
      <alignment horizontal="center"/>
    </xf>
    <xf numFmtId="168" fontId="4" fillId="0" borderId="0" applyAlignment="1" pivotButton="0" quotePrefix="0" xfId="0">
      <alignment horizontal="center"/>
    </xf>
    <xf numFmtId="166" fontId="3" fillId="0" borderId="0" applyAlignment="1" pivotButton="0" quotePrefix="0" xfId="0">
      <alignment horizontal="center"/>
    </xf>
    <xf numFmtId="10" fontId="4" fillId="0" borderId="0" applyAlignment="1" pivotButton="0" quotePrefix="0" xfId="0">
      <alignment horizontal="center"/>
    </xf>
    <xf numFmtId="0" fontId="13" fillId="0" borderId="0" applyAlignment="1" pivotButton="0" quotePrefix="0" xfId="0">
      <alignment horizontal="center"/>
    </xf>
    <xf numFmtId="166" fontId="3" fillId="0" borderId="0" pivotButton="0" quotePrefix="0" xfId="0"/>
    <xf numFmtId="170" fontId="3" fillId="0" borderId="0" pivotButton="0" quotePrefix="0" xfId="0"/>
    <xf numFmtId="10" fontId="6" fillId="0" borderId="0" pivotButton="0" quotePrefix="0" xfId="0"/>
    <xf numFmtId="168" fontId="6" fillId="0" borderId="0" pivotButton="0" quotePrefix="0" xfId="0"/>
    <xf numFmtId="165" fontId="6" fillId="0" borderId="0" pivotButton="0" quotePrefix="0" xfId="0"/>
    <xf numFmtId="169" fontId="6" fillId="0" borderId="0" pivotButton="0" quotePrefix="0" xfId="0"/>
    <xf numFmtId="166" fontId="6" fillId="0" borderId="0" pivotButton="0" quotePrefix="0" xfId="0"/>
    <xf numFmtId="0" fontId="14" fillId="0" borderId="0" pivotButton="0" quotePrefix="0" xfId="0"/>
    <xf numFmtId="10" fontId="3" fillId="0" borderId="0" pivotButton="0" quotePrefix="0" xfId="0"/>
    <xf numFmtId="168" fontId="3" fillId="0" borderId="0" pivotButton="0" quotePrefix="0" xfId="0"/>
    <xf numFmtId="165" fontId="3" fillId="0" borderId="0" pivotButton="0" quotePrefix="0" xfId="0"/>
    <xf numFmtId="169" fontId="3"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0" fontId="15" fillId="4" borderId="0" pivotButton="0" quotePrefix="0" xfId="0"/>
    <xf numFmtId="0" fontId="0" fillId="4" borderId="0" pivotButton="0" quotePrefix="0" xfId="0"/>
    <xf numFmtId="171" fontId="6" fillId="0" borderId="0" applyAlignment="1" pivotButton="0" quotePrefix="0" xfId="0">
      <alignment horizontal="center"/>
    </xf>
    <xf numFmtId="168" fontId="6" fillId="0" borderId="0" applyAlignment="1" pivotButton="0" quotePrefix="0" xfId="0">
      <alignment horizontal="center"/>
    </xf>
    <xf numFmtId="171" fontId="3" fillId="0" borderId="0" pivotButton="0" quotePrefix="0" xfId="0"/>
    <xf numFmtId="171" fontId="5" fillId="0" borderId="0" applyAlignment="1" pivotButton="0" quotePrefix="0" xfId="0">
      <alignment horizontal="center"/>
    </xf>
    <xf numFmtId="168" fontId="5" fillId="0" borderId="0" applyAlignment="1" pivotButton="0" quotePrefix="0" xfId="0">
      <alignment horizontal="center"/>
    </xf>
    <xf numFmtId="165" fontId="6" fillId="0" borderId="0" applyAlignment="1" pivotButton="0" quotePrefix="0" xfId="0">
      <alignment horizontal="center"/>
    </xf>
    <xf numFmtId="165" fontId="5" fillId="0" borderId="0" applyAlignment="1" pivotButton="0" quotePrefix="0" xfId="0">
      <alignment horizontal="center"/>
    </xf>
    <xf numFmtId="169" fontId="5" fillId="0" borderId="0" applyAlignment="1" pivotButton="0" quotePrefix="0" xfId="0">
      <alignment horizontal="center"/>
    </xf>
    <xf numFmtId="10" fontId="5" fillId="0" borderId="0" applyAlignment="1" pivotButton="0" quotePrefix="0" xfId="0">
      <alignment horizontal="center"/>
    </xf>
    <xf numFmtId="169" fontId="3" fillId="0" borderId="0" applyAlignment="1" pivotButton="0" quotePrefix="0" xfId="0">
      <alignment horizontal="center"/>
    </xf>
    <xf numFmtId="169" fontId="6" fillId="0" borderId="0" applyAlignment="1" pivotButton="0" quotePrefix="0" xfId="0">
      <alignment horizontal="center"/>
    </xf>
    <xf numFmtId="171" fontId="3" fillId="0" borderId="0" applyAlignment="1" pivotButton="0" quotePrefix="0" xfId="0">
      <alignment horizontal="center"/>
    </xf>
    <xf numFmtId="170" fontId="3" fillId="0" borderId="0" applyAlignment="1" pivotButton="0" quotePrefix="0" xfId="0">
      <alignment horizontal="center"/>
    </xf>
    <xf numFmtId="0" fontId="12" fillId="3" borderId="1" applyAlignment="1" pivotButton="0" quotePrefix="0" xfId="0">
      <alignment horizontal="center"/>
    </xf>
    <xf numFmtId="169" fontId="6" fillId="0" borderId="2" pivotButton="0" quotePrefix="0" xfId="0"/>
    <xf numFmtId="168" fontId="5" fillId="0" borderId="0" pivotButton="0" quotePrefix="0" xfId="0"/>
    <xf numFmtId="166" fontId="6"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5"/>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2">
      <c r="B2" s="1" t="inlineStr">
        <is>
          <t>Aurumix Revenue Model</t>
        </is>
      </c>
    </row>
    <row r="3">
      <c r="B3" s="2" t="inlineStr">
        <is>
          <t>Hybrid Monthly + Annual View  |  7-Year Projection</t>
        </is>
      </c>
    </row>
    <row r="5">
      <c r="B5" s="3" t="inlineStr">
        <is>
          <t>Date</t>
        </is>
      </c>
      <c r="C5" s="4">
        <f>TODAY()</f>
        <v/>
      </c>
    </row>
    <row r="6">
      <c r="B6" s="3" t="inlineStr">
        <is>
          <t>Scope</t>
        </is>
      </c>
      <c r="C6" t="inlineStr">
        <is>
          <t>REVENUE ONLY. Six revenue streams, reported net of cost of revenue. Operating costs, tax, cash and funding are added in a later build.</t>
        </is>
      </c>
    </row>
    <row r="7">
      <c r="B7" s="3" t="inlineStr">
        <is>
          <t>Periods</t>
        </is>
      </c>
      <c r="C7" t="inlineStr">
        <is>
          <t>24 monthly (M1-M24) + 5 annual (Y3-Y7) = 29 total.  M1 = January 2027</t>
        </is>
      </c>
    </row>
    <row r="8">
      <c r="B8" s="3" t="inlineStr">
        <is>
          <t>Engine</t>
        </is>
      </c>
      <c r="C8" t="inlineStr">
        <is>
          <t>Rolling customer balance: opening + new - churned = closing, by region. Customers who stop paying keep their gold and move to a HOLDERS balance.</t>
        </is>
      </c>
    </row>
    <row r="9">
      <c r="B9" s="3" t="inlineStr">
        <is>
          <t>Metal</t>
        </is>
      </c>
      <c r="C9" t="inlineStr">
        <is>
          <t>100 g bars throughout. One entry fee, one fabrication premium.</t>
        </is>
      </c>
    </row>
    <row r="10">
      <c r="B10" s="3" t="inlineStr">
        <is>
          <t>Prepared by</t>
        </is>
      </c>
      <c r="C10" t="inlineStr">
        <is>
          <t>Tokenomics.net: Custom Data Room Engagement</t>
        </is>
      </c>
    </row>
    <row r="12">
      <c r="B12" s="3" t="inlineStr">
        <is>
          <t>COLOR LEGEND</t>
        </is>
      </c>
    </row>
    <row r="13">
      <c r="B13" s="5" t="inlineStr">
        <is>
          <t>BLUE text</t>
        </is>
      </c>
      <c r="C13" t="inlineStr">
        <is>
          <t>Hardcoded inputs (Assumptions &amp; Scenario Parameters)</t>
        </is>
      </c>
    </row>
    <row r="14">
      <c r="B14" s="6" t="inlineStr">
        <is>
          <t>BLACK text</t>
        </is>
      </c>
      <c r="C14" t="inlineStr">
        <is>
          <t>In-sheet formulas</t>
        </is>
      </c>
    </row>
    <row r="15">
      <c r="B15" s="7" t="inlineStr">
        <is>
          <t>GREEN text</t>
        </is>
      </c>
      <c r="C15" t="inlineStr">
        <is>
          <t>Cross-sheet references</t>
        </is>
      </c>
    </row>
    <row r="17">
      <c r="B17" s="3" t="inlineStr">
        <is>
          <t>SHEETS</t>
        </is>
      </c>
    </row>
    <row r="18">
      <c r="B18" t="inlineStr">
        <is>
          <t>Cover: This page</t>
        </is>
      </c>
    </row>
    <row r="19">
      <c r="B19" t="inlineStr">
        <is>
          <t>Assumptions: Fixed inputs, activation calendar, seasonality, market ceilings</t>
        </is>
      </c>
    </row>
    <row r="20">
      <c r="B20" t="inlineStr">
        <is>
          <t>Scenario Parameters: Base / Aggressive / Conservative, plus structural switches</t>
        </is>
      </c>
    </row>
    <row r="21">
      <c r="B21" t="inlineStr">
        <is>
          <t>Model: Customer engine, AUM and the six revenue streams (29 periods)</t>
        </is>
      </c>
    </row>
    <row r="22">
      <c r="B22" t="inlineStr">
        <is>
          <t>Summary: Annual revenue by stream (Y1-Y7), revenue mix, key metrics</t>
        </is>
      </c>
    </row>
    <row r="24">
      <c r="B24" s="8" t="inlineStr">
        <is>
          <t>SIMPLIFIED BUILD - cohort and archetype detail moves to the Phase 5 simulation.</t>
        </is>
      </c>
    </row>
    <row r="25">
      <c r="B25" s="9" t="inlineStr">
        <is>
          <t>Kept as inputs rather than engines: card eligibility (% who qualify, months to qualify), the holders balance, and the fabrication premium inside stream 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54" customWidth="1" min="1" max="1"/>
    <col width="16" customWidth="1" min="2" max="2"/>
    <col width="24" customWidth="1" min="3" max="3"/>
    <col width="120" customWidth="1" min="4" max="4"/>
    <col width="15" customWidth="1" min="6" max="6"/>
    <col width="15" customWidth="1" min="7" max="7"/>
    <col width="15" customWidth="1" min="8" max="8"/>
    <col width="15"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s>
  <sheetData>
    <row r="1">
      <c r="A1" s="10">
        <f>Cover!$B$2</f>
        <v/>
      </c>
    </row>
    <row r="2">
      <c r="A2" s="11" t="inlineStr">
        <is>
          <t>Inputs and Assumptions</t>
        </is>
      </c>
    </row>
    <row r="4" ht="18" customHeight="1">
      <c r="A4" s="12" t="inlineStr">
        <is>
          <t>PRICING AND METAL</t>
        </is>
      </c>
      <c r="B4" s="13" t="n"/>
      <c r="C4" s="13" t="n"/>
      <c r="D4" s="13" t="n"/>
    </row>
    <row r="5">
      <c r="A5" s="14" t="inlineStr">
        <is>
          <t>Parameter</t>
        </is>
      </c>
      <c r="B5" s="14" t="inlineStr">
        <is>
          <t>Value</t>
        </is>
      </c>
      <c r="C5" s="14" t="inlineStr">
        <is>
          <t>Unit</t>
        </is>
      </c>
      <c r="D5" s="14" t="inlineStr">
        <is>
          <t>Source</t>
        </is>
      </c>
    </row>
    <row r="6">
      <c r="A6" t="inlineStr">
        <is>
          <t>Gold price at M1</t>
        </is>
      </c>
      <c r="B6" s="15" t="n">
        <v>141.46</v>
      </c>
      <c r="C6" t="inlineStr">
        <is>
          <t>USD/g</t>
        </is>
      </c>
      <c r="D6" t="inlineStr">
        <is>
          <t>USD 4,400/oz verified 2026-08-17. THE STARTING PRICE - it no longer holds for the whole horizon; see the appreciation rate below and the live 'Gold price (this period)' row on the Model. CITED.</t>
        </is>
      </c>
    </row>
    <row r="7">
      <c r="A7" t="inlineStr">
        <is>
          <t>AED/USD peg</t>
        </is>
      </c>
      <c r="B7" s="15" t="n">
        <v>3.6725</v>
      </c>
      <c r="C7" t="inlineStr">
        <is>
          <t>AED/USD</t>
        </is>
      </c>
      <c r="D7" t="inlineStr">
        <is>
          <t>CBUAE peg. CITED.</t>
        </is>
      </c>
    </row>
    <row r="8">
      <c r="A8" t="inlineStr">
        <is>
          <t>Entry fee charged</t>
        </is>
      </c>
      <c r="B8" s="16" t="n">
        <v>0.05</v>
      </c>
      <c r="C8" t="inlineStr">
        <is>
          <t>% of contribution</t>
        </is>
      </c>
      <c r="D8" t="inlineStr">
        <is>
          <t>Decision 9, client-stated. A SINGLE RATE throughout. CLIENT INPUT.</t>
        </is>
      </c>
    </row>
    <row r="9">
      <c r="A9" t="inlineStr">
        <is>
          <t>Fabrication premium paid</t>
        </is>
      </c>
      <c r="B9" s="16" t="n">
        <v>0.015</v>
      </c>
      <c r="C9" t="inlineStr">
        <is>
          <t>% over spot</t>
        </is>
      </c>
      <c r="D9" t="inlineStr">
        <is>
          <t>100 g bars. OBSERVED (D28): goldtrade.ae 19 Aug 2026 measured 100 g at +1.71% (PAMP 1.75, Valcambi 1.67), less the published 25 bp bulk gradient. THE ENTRY FEE IS A MARGIN, NOT A FEE - this is netted off stream 1, because it is cost OF REVENUE. Reporting stream 1 gross would read ~43% high.</t>
        </is>
      </c>
    </row>
    <row r="10">
      <c r="A10" t="inlineStr">
        <is>
          <t>Bar denomination</t>
        </is>
      </c>
      <c r="B10" s="17" t="n">
        <v>100</v>
      </c>
      <c r="C10" t="inlineStr">
        <is>
          <t>grams</t>
        </is>
      </c>
      <c r="D10" t="inlineStr">
        <is>
          <t>100 g throughout, by agreement. OBSERVED.</t>
        </is>
      </c>
    </row>
    <row r="12" ht="18" customHeight="1">
      <c r="A12" s="12" t="inlineStr">
        <is>
          <t>CARD ECONOMICS</t>
        </is>
      </c>
      <c r="B12" s="13" t="n"/>
      <c r="C12" s="13" t="n"/>
      <c r="D12" s="13" t="n"/>
    </row>
    <row r="13">
      <c r="A13" s="14" t="inlineStr">
        <is>
          <t>Parameter</t>
        </is>
      </c>
      <c r="B13" s="14" t="inlineStr">
        <is>
          <t>Value</t>
        </is>
      </c>
      <c r="C13" s="14" t="inlineStr">
        <is>
          <t>Unit</t>
        </is>
      </c>
      <c r="D13" s="14" t="inlineStr">
        <is>
          <t>Source</t>
        </is>
      </c>
    </row>
    <row r="14">
      <c r="A14" t="inlineStr">
        <is>
          <t>Interchange - Gold</t>
        </is>
      </c>
      <c r="B14" s="16" t="n">
        <v>0.018</v>
      </c>
      <c r="C14" t="inlineStr">
        <is>
          <t>% of spend</t>
        </is>
      </c>
      <c r="D14" t="inlineStr">
        <is>
          <t>Visa UAE IRF schedule, 18 Oct 2025. CITED, PRIMARY. The live model reads the FLAT GOLD RATE: replacing the full 1.80/2.05/2.10 ladder with it moves stream 2 by only ~2% of gross profit at Y7, because Sovereign is 1.2% of tiered accounts.</t>
        </is>
      </c>
    </row>
    <row r="15">
      <c r="A15" t="inlineStr">
        <is>
          <t>Per-transaction processor fee</t>
        </is>
      </c>
      <c r="B15" s="18" t="n">
        <v>0.1</v>
      </c>
      <c r="C15" t="inlineStr">
        <is>
          <t>USD/authorised txn</t>
        </is>
      </c>
      <c r="D15" t="inlineStr">
        <is>
          <t>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is>
      </c>
    </row>
    <row r="16">
      <c r="A16" t="inlineStr">
        <is>
          <t>Decline uplift on authorised txns</t>
        </is>
      </c>
      <c r="B16" s="19" t="n">
        <v>0.06</v>
      </c>
      <c r="C16" t="inlineStr">
        <is>
          <t>% uplift</t>
        </is>
      </c>
      <c r="D16" t="inlineStr">
        <is>
          <t>The processor fee is charged per AUTHORISATION, not per settled transaction, so declined attempts are billable to Aurumix and chargeable to nobody. ASSUMPTION.</t>
        </is>
      </c>
    </row>
    <row r="17">
      <c r="A17" t="inlineStr">
        <is>
          <t>FX margin on foreign spend</t>
        </is>
      </c>
      <c r="B17" s="16" t="n">
        <v>0.02</v>
      </c>
      <c r="C17" t="inlineStr">
        <is>
          <t>% of foreign spend</t>
        </is>
      </c>
      <c r="D17" t="inlineStr">
        <is>
          <t>Market rate ~2%, converged across four comparables. CITED.</t>
        </is>
      </c>
    </row>
    <row r="18">
      <c r="A18" t="inlineStr">
        <is>
          <t>Free ATM allowance (Gold)</t>
        </is>
      </c>
      <c r="B18" s="17" t="n">
        <v>1000</v>
      </c>
      <c r="C18" t="inlineStr">
        <is>
          <t>AED/month</t>
        </is>
      </c>
      <c r="D18" t="inlineStr">
        <is>
          <t>Monthly and NOT rolling. Set deliberately ABOVE the median draw - that is the finding. CITED.</t>
        </is>
      </c>
    </row>
    <row r="19">
      <c r="A19" t="inlineStr">
        <is>
          <t>ATM fee over the allowance</t>
        </is>
      </c>
      <c r="B19" s="16" t="n">
        <v>0.02</v>
      </c>
      <c r="C19" t="inlineStr">
        <is>
          <t>% of the excess</t>
        </is>
      </c>
      <c r="D19" t="inlineStr">
        <is>
          <t>Sector converged. CITED.</t>
        </is>
      </c>
    </row>
    <row r="20">
      <c r="A20" t="inlineStr">
        <is>
          <t>Card issuance fee</t>
        </is>
      </c>
      <c r="B20" s="17" t="n">
        <v>75</v>
      </c>
      <c r="C20" t="inlineStr">
        <is>
          <t>AED one-off</t>
        </is>
      </c>
      <c r="D20" t="inlineStr">
        <is>
          <t>Charged at base level, waived at upper tiers. CITED structure, ASSUMPTION rate.</t>
        </is>
      </c>
    </row>
    <row r="21">
      <c r="A21" t="inlineStr">
        <is>
          <t>Card replacement fee</t>
        </is>
      </c>
      <c r="B21" s="17" t="n">
        <v>100</v>
      </c>
      <c r="C21" t="inlineStr">
        <is>
          <t>AED per event</t>
        </is>
      </c>
      <c r="D21" t="inlineStr">
        <is>
          <t>Market-normal UAE replacement is AED 75-150. ASSUMPTION.</t>
        </is>
      </c>
    </row>
    <row r="23" ht="18" customHeight="1">
      <c r="A23" s="12" t="inlineStr">
        <is>
          <t>OTHER STREAM PRICING</t>
        </is>
      </c>
      <c r="B23" s="13" t="n"/>
      <c r="C23" s="13" t="n"/>
      <c r="D23" s="13" t="n"/>
    </row>
    <row r="24">
      <c r="A24" s="14" t="inlineStr">
        <is>
          <t>Parameter</t>
        </is>
      </c>
      <c r="B24" s="14" t="inlineStr">
        <is>
          <t>Value</t>
        </is>
      </c>
      <c r="C24" s="14" t="inlineStr">
        <is>
          <t>Unit</t>
        </is>
      </c>
      <c r="D24" s="14" t="inlineStr">
        <is>
          <t>Source</t>
        </is>
      </c>
    </row>
    <row r="25">
      <c r="A25" t="inlineStr">
        <is>
          <t>Family plan / Digital Will price</t>
        </is>
      </c>
      <c r="B25" s="20" t="n">
        <v>50</v>
      </c>
      <c r="C25" t="inlineStr">
        <is>
          <t>USD/yr</t>
        </is>
      </c>
      <c r="D25" t="inlineStr">
        <is>
          <t>RE-PRICED 2026-08-21 from USD 120/yr. THE OLD PRICE WAS ABOVE TRUST &amp; WILL'S PREMIUM US MEMBERSHIP (USD 49/yr) AND WAS 33% OF EVERYTHING THE CUSTOMER SAVES IN A YEAR - a USD 30/month saver puts away USD 360, and we were charging 120 of it. THE INDUSTRY MODEL IS A ONE-OFF FEE PLUS A SMALL ANNUAL UPDATE LAYER, and it is the annual layer this row represents: Trust &amp; Will USD 199 one-off + USD 49/yr; Farewill GBP 100 + GBP 10/yr; Epilogue C$139 with NO subscription at all; other platforms renew updates at ~C$4.50/yr. Formal UAE will registration is a different product entirely and one-off - DIFC AED 10,000 single / 15,000 mirror, Abu Dhabi Civil Court AED 950 as the cheapest formal route. Indian online wills run INR 500-4,000 basic. Family add-ons on finance apps are usually BUNDLED FREE; where charged it is USD 5-15/month for a WHOLE HOUSEHOLD (Monarch 99.99/yr, Zeta 59.99/yr, Greenlight 5.99/mo). SET AT USD 50/yr, client instruction 2026-08-21. That is essentially TRUST &amp; WILL'S USD 49/yr MEMBERSHIP - a defensible anchor in that it matches the best-known product in the category, but ⚠ NOTE WHOSE PRODUCT IT IS: Trust &amp; Will sells to US customers who paid 199-599 up front for an estate plan, not to a migrant worker saving USD 30 a month. At 50 the plan is 14% OF EVERYTHING THE CUSTOMER SAVES IN A YEAR, against 10% at 36 and 33% at the original 120. It is no longer absurd, but it is priced at a developed-market benchmark for an emerging-market customer, and that is the line an adviser would push on. ⚠ A ONE-OFF SETUP FEE IS NOT MODELLED - if the client wants the full industry structure, that is a second row, not a bigger number here. CITED comparators, ASSUMPTION on the point in the range.</t>
        </is>
      </c>
    </row>
    <row r="26">
      <c r="A26" t="inlineStr">
        <is>
          <t>Additional beneficiary fee</t>
        </is>
      </c>
      <c r="B26" s="20" t="n">
        <v>6</v>
      </c>
      <c r="C26" t="inlineStr">
        <is>
          <t>USD/yr each</t>
        </is>
      </c>
      <c r="D26" t="inlineStr">
        <is>
          <t>ADDED 2026-08-21, client instruction. Charged per named beneficiary BEYOND THE FIRST, which the plan includes - the standard shape for this kind of add-on, and the reason the formula carries a MAX(0, n-1) rather than charging every beneficiary. ⚠ NO COMPARABLE EXISTS: will services price PER WILL, not per beneficiary. DIFC charges more for a MIRROR will (two people) and more again for guardianship, but nobody publishes a per-beneficiary tariff. So this is priced on COST RECOVERY, which is the defensible basis available: every named beneficiary needs identity capture and AML screening, and Sumsub screening already sits in this model at ~USD 1.85 per check in the redemption cost memo. USD 6/yr covers that with margin without becoming a second subscription. DELIBERATELY SMALL. At 1.5 chargeable beneficiaries it adds USD 9/yr to a USD 50 plan - an 18% uplift on a stream worth ~3.5% of revenue, so it cannot move the model and should not be tuned to try. ASSUMPTION on a cost-recovery basis.</t>
        </is>
      </c>
    </row>
    <row r="27">
      <c r="A27" t="inlineStr">
        <is>
          <t>B2B platform fee</t>
        </is>
      </c>
      <c r="B27" s="16" t="n">
        <v>0.00625</v>
      </c>
      <c r="C27" t="inlineStr">
        <is>
          <t>% of partner AUM/yr</t>
        </is>
      </c>
      <c r="D27" t="inlineStr">
        <is>
          <t>Placeholder in the 0.5-0.75% band, coupled to the partner set. ASSUMPTION.</t>
        </is>
      </c>
    </row>
    <row r="28">
      <c r="A28" t="inlineStr">
        <is>
          <t>Credit origination fee - gross</t>
        </is>
      </c>
      <c r="B28" s="16" t="n">
        <v>0.01</v>
      </c>
      <c r="C28" t="inlineStr">
        <is>
          <t>% of draw</t>
        </is>
      </c>
      <c r="D28" t="inlineStr">
        <is>
          <t>Finance House UAE gold loan Key Facts Statement carries a 1% processing fee - the one gross rate with a real UAE anchor. CITED.</t>
        </is>
      </c>
    </row>
    <row r="29">
      <c r="A29" t="inlineStr">
        <is>
          <t>Credit origination - Aurumix share</t>
        </is>
      </c>
      <c r="B29" s="19" t="n">
        <v>0.5</v>
      </c>
      <c r="C29" t="inlineStr">
        <is>
          <t>% of gross</t>
        </is>
      </c>
      <c r="D29" t="inlineStr">
        <is>
          <t>ASSUMPTION.</t>
        </is>
      </c>
    </row>
    <row r="30">
      <c r="A30" t="inlineStr">
        <is>
          <t>Credit servicing fee - gross</t>
        </is>
      </c>
      <c r="B30" s="16" t="n">
        <v>0.005</v>
      </c>
      <c r="C30" t="inlineStr">
        <is>
          <t>%/yr of drawn</t>
        </is>
      </c>
      <c r="D30" t="inlineStr">
        <is>
          <t>ASSUMPTION.</t>
        </is>
      </c>
    </row>
    <row r="31">
      <c r="A31" t="inlineStr">
        <is>
          <t>Credit servicing - Aurumix share</t>
        </is>
      </c>
      <c r="B31" s="19" t="n">
        <v>0.7</v>
      </c>
      <c r="C31" t="inlineStr">
        <is>
          <t>% of gross</t>
        </is>
      </c>
      <c r="D31" t="inlineStr">
        <is>
          <t>The highest of the heads: servicing is where Aurumix does the actual work. ASSUMPTION.</t>
        </is>
      </c>
    </row>
    <row r="32">
      <c r="A32" t="inlineStr">
        <is>
          <t>LTV against collateral</t>
        </is>
      </c>
      <c r="B32" s="19" t="n">
        <v>0.5</v>
      </c>
      <c r="C32" t="inlineStr">
        <is>
          <t>% of collateral</t>
        </is>
      </c>
      <c r="D32" t="inlineStr">
        <is>
          <t>_draft_ics-scoring.md sec 6.2, settled 2026-08-13. CITED.</t>
        </is>
      </c>
    </row>
    <row r="33">
      <c r="A33" t="inlineStr">
        <is>
          <t>Spot ticket - UAE</t>
        </is>
      </c>
      <c r="B33" s="20" t="n">
        <v>190</v>
      </c>
      <c r="C33" t="inlineStr">
        <is>
          <t>USD/purchase</t>
        </is>
      </c>
      <c r="D33" t="inlineStr">
        <is>
          <t>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is>
      </c>
    </row>
    <row r="34">
      <c r="A34" t="inlineStr">
        <is>
          <t>Spot ticket - Oman and Bahrain</t>
        </is>
      </c>
      <c r="B34" s="20" t="n">
        <v>145</v>
      </c>
      <c r="C34" t="inlineStr">
        <is>
          <t>USD/purchase</t>
        </is>
      </c>
      <c r="D34" t="inlineStr">
        <is>
          <t>⚠ INFERRED - THE WEAKEST OF THE THREE. No GCC platform outside the UAE publishes an average ticket; this is a CONFIRMED NEGATIVE, not a gap in the search. Taken as the UAE figure scaled by the regional income gap (SIP 26.00/33.60 = 0.77x). Do not present this as sourced.</t>
        </is>
      </c>
    </row>
    <row r="35">
      <c r="A35" t="inlineStr">
        <is>
          <t>Spot ticket - India</t>
        </is>
      </c>
      <c r="B35" s="20" t="n">
        <v>40</v>
      </c>
      <c r="C35" t="inlineStr">
        <is>
          <t>USD/purchase</t>
        </is>
      </c>
      <c r="D35" t="inlineStr">
        <is>
          <t>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 WEAKER THAN THE UAE FIGURE: right country and right behaviour, but Aurumix's Indian customer is poorer than Augmont's average buyer, so 40 may be generous.</t>
        </is>
      </c>
    </row>
    <row r="36">
      <c r="A36" t="inlineStr">
        <is>
          <t>Spot attach rate - UAE</t>
        </is>
      </c>
      <c r="B36" s="19" t="n">
        <v>0.12</v>
      </c>
      <c r="C36" t="inlineStr">
        <is>
          <t>% of customers/yr</t>
        </is>
      </c>
      <c r="D36"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7">
      <c r="A37" t="inlineStr">
        <is>
          <t>Spot attach rate - Oman and Bahrain</t>
        </is>
      </c>
      <c r="B37" s="19" t="n">
        <v>0.1</v>
      </c>
      <c r="C37" t="inlineStr">
        <is>
          <t>% of customers/yr</t>
        </is>
      </c>
      <c r="D37"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8">
      <c r="A38" t="inlineStr">
        <is>
          <t>Spot attach rate - India</t>
        </is>
      </c>
      <c r="B38" s="19" t="n">
        <v>0.35</v>
      </c>
      <c r="C38" t="inlineStr">
        <is>
          <t>% of customers/yr</t>
        </is>
      </c>
      <c r="D38"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40" ht="18" customHeight="1">
      <c r="A40" s="12" t="inlineStr">
        <is>
          <t>SIP RULES</t>
        </is>
      </c>
      <c r="B40" s="13" t="n"/>
      <c r="C40" s="13" t="n"/>
      <c r="D40" s="13" t="n"/>
    </row>
    <row r="41">
      <c r="A41" s="14" t="inlineStr">
        <is>
          <t>Parameter</t>
        </is>
      </c>
      <c r="B41" s="14" t="inlineStr">
        <is>
          <t>Value</t>
        </is>
      </c>
      <c r="C41" s="14" t="inlineStr">
        <is>
          <t>Unit</t>
        </is>
      </c>
      <c r="D41" s="14" t="inlineStr">
        <is>
          <t>Source</t>
        </is>
      </c>
    </row>
    <row r="42">
      <c r="A42" t="inlineStr">
        <is>
          <t>SIP hard floor</t>
        </is>
      </c>
      <c r="B42" s="18" t="n">
        <v>20</v>
      </c>
      <c r="C42" t="inlineStr">
        <is>
          <t>USD/month</t>
        </is>
      </c>
      <c r="D42" t="inlineStr">
        <is>
          <t>Rejected outright below; never partially credited. CITED.</t>
        </is>
      </c>
    </row>
    <row r="43">
      <c r="A43" t="inlineStr">
        <is>
          <t>Confirmed SIP gate</t>
        </is>
      </c>
      <c r="B43" s="17" t="n">
        <v>6</v>
      </c>
      <c r="C43" t="inlineStr">
        <is>
          <t>consecutive payments</t>
        </is>
      </c>
      <c r="D43" t="inlineStr">
        <is>
          <t>Client's own figure. The gate is why eligibility is NOT universal - see the two eligibility parameters on the Scenario sheet. CLIENT INPUT.</t>
        </is>
      </c>
    </row>
    <row r="44">
      <c r="A44" t="inlineStr">
        <is>
          <t>Cost per redemption event (memo - for the cost build)</t>
        </is>
      </c>
      <c r="B44" s="18" t="n">
        <v>3.2</v>
      </c>
      <c r="C44" t="inlineStr">
        <is>
          <t>USD</t>
        </is>
      </c>
      <c r="D44" t="inlineStr">
        <is>
          <t>RE-CUT 2026-08-20 from 4.20: the outbound bank transfer fee (USD 1.00-2.50) is REMOVED - that is the customer's cost to bear, not Aurumix's. What remains is Sumsub AML re-screening at 1.85 plus operational handling at ~1.35, both of which Aurumix genuinely pays. ⚠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is>
      </c>
    </row>
    <row r="46" ht="18" customHeight="1">
      <c r="A46" s="12" t="inlineStr">
        <is>
          <t>ACTIVATION CALENDAR - the single source of every activation period</t>
        </is>
      </c>
      <c r="B46" s="13" t="n"/>
      <c r="C46" s="13" t="n"/>
      <c r="D46" s="13" t="n"/>
    </row>
    <row r="47">
      <c r="A47" s="14" t="inlineStr">
        <is>
          <t>Parameter</t>
        </is>
      </c>
      <c r="B47" s="14" t="inlineStr">
        <is>
          <t>Value</t>
        </is>
      </c>
      <c r="C47" s="14" t="inlineStr">
        <is>
          <t>Unit</t>
        </is>
      </c>
      <c r="D47" s="14" t="inlineStr">
        <is>
          <t>Source</t>
        </is>
      </c>
    </row>
    <row r="48">
      <c r="A48" t="inlineStr">
        <is>
          <t>Stream 1a - Entry fee, SIP</t>
        </is>
      </c>
      <c r="B48" s="17" t="n">
        <v>1</v>
      </c>
      <c r="C48" t="inlineStr">
        <is>
          <t>period # (from)</t>
        </is>
      </c>
      <c r="D48" t="inlineStr">
        <is>
          <t>M1. The core product - live at launch.</t>
        </is>
      </c>
    </row>
    <row r="49">
      <c r="A49" t="inlineStr">
        <is>
          <t>Stream 1b - Entry fee, SPOT</t>
        </is>
      </c>
      <c r="B49" s="17" t="n">
        <v>1</v>
      </c>
      <c r="C49" t="inlineStr">
        <is>
          <t>period # (from)</t>
        </is>
      </c>
      <c r="D49" t="inlineStr">
        <is>
          <t>M1. A sub-stream of 1: the same fee on the same gold through a different rail, so it needs no additional build.</t>
        </is>
      </c>
    </row>
    <row r="50">
      <c r="A50" t="inlineStr">
        <is>
          <t>Stream 0 - Redemption cost</t>
        </is>
      </c>
      <c r="B50" s="17" t="n">
        <v>1</v>
      </c>
      <c r="C50" t="inlineStr">
        <is>
          <t>period # (from)</t>
        </is>
      </c>
      <c r="D50" t="inlineStr">
        <is>
          <t>M1. A mandatory cost from day one. VARA Annex 2 III.E.4 forbids charging any fee on redemption, so there is no offsetting revenue and there can never be an exit fee.</t>
        </is>
      </c>
    </row>
    <row r="51">
      <c r="A51" t="inlineStr">
        <is>
          <t>Stream 3 - Family plan and Digital Will</t>
        </is>
      </c>
      <c r="B51" s="17" t="n">
        <v>7</v>
      </c>
      <c r="C51" t="inlineStr">
        <is>
          <t>period # (from)</t>
        </is>
      </c>
      <c r="D51" t="inlineStr">
        <is>
          <t>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is>
      </c>
    </row>
    <row r="52">
      <c r="A52" t="inlineStr">
        <is>
          <t>Stream 2 - Card interchange</t>
        </is>
      </c>
      <c r="B52" s="17" t="n">
        <v>13</v>
      </c>
      <c r="C52" t="inlineStr">
        <is>
          <t>period # (from)</t>
        </is>
      </c>
      <c r="D52" t="inlineStr">
        <is>
          <t>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is>
      </c>
    </row>
    <row r="53">
      <c r="A53" t="inlineStr">
        <is>
          <t>Stream 4 - Cardholder fees</t>
        </is>
      </c>
      <c r="B53" s="17" t="n">
        <v>13</v>
      </c>
      <c r="C53" t="inlineStr">
        <is>
          <t>period # (from)</t>
        </is>
      </c>
      <c r="D53" t="inlineStr">
        <is>
          <t>M13, necessarily with stream 2 - FX, ATM and issuance fees cannot exist before the card does.</t>
        </is>
      </c>
    </row>
    <row r="54">
      <c r="A54" t="inlineStr">
        <is>
          <t>Stream 5 - Lending revenue share</t>
        </is>
      </c>
      <c r="B54" s="17" t="n">
        <v>13</v>
      </c>
      <c r="C54" t="inlineStr">
        <is>
          <t>period # (from)</t>
        </is>
      </c>
      <c r="D54" t="inlineStr">
        <is>
          <t>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is>
      </c>
    </row>
    <row r="55">
      <c r="A55" t="inlineStr">
        <is>
          <t>Stream 6 - B2B platform fee</t>
        </is>
      </c>
      <c r="B55" s="17" t="n">
        <v>13</v>
      </c>
      <c r="C55" t="inlineStr">
        <is>
          <t>period # (from)</t>
        </is>
      </c>
      <c r="D55" t="inlineStr">
        <is>
          <t>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is>
      </c>
    </row>
    <row r="56">
      <c r="A56" t="inlineStr">
        <is>
          <t>Referral channel begins</t>
        </is>
      </c>
      <c r="B56" s="17" t="n">
        <v>13</v>
      </c>
      <c r="C56" t="inlineStr">
        <is>
          <t>period # (from)</t>
        </is>
      </c>
      <c r="D56" t="inlineStr">
        <is>
          <t>M13, and this one is STRUCTURAL rather than commercial: a referrer must clear their own six-payment gate before they can refer, and the referee must then clear theirs. Two six-month gates IN SERIES. Year 1 pays nothing and the channel does not reach steady state until roughly M25.</t>
        </is>
      </c>
    </row>
    <row r="57">
      <c r="A57" t="inlineStr">
        <is>
          <t>Region opens - Oman and Bahrain</t>
        </is>
      </c>
      <c r="B57" s="17" t="n">
        <v>13</v>
      </c>
      <c r="C57" t="inlineStr">
        <is>
          <t>period # (from)</t>
        </is>
      </c>
      <c r="D57" t="inlineStr">
        <is>
          <t>M13 (client decision 2026-08-20). THE ONLY STAGED REGION, and the reason is regulatory: it requires local authorisation in a second and third jurisdiction. These customers are also NOT UAE-resident, so the VAT and reporting treatment differs.</t>
        </is>
      </c>
    </row>
    <row r="58">
      <c r="A58" t="inlineStr">
        <is>
          <t>Region opens - India</t>
        </is>
      </c>
      <c r="B58" s="17" t="n">
        <v>1</v>
      </c>
      <c r="C58" t="inlineStr">
        <is>
          <t>period # (from)</t>
        </is>
      </c>
      <c r="D58" t="inlineStr">
        <is>
          <t>M1 (client decision 2026-08-20, moved earlier from M13). The India payment route is ASSUMED SOLVED in this model. ⚠ That is a live assumption, not a settled fact - if the route is not solved, this region does not open at all and roughly a quarter of terminal revenue goes with it.</t>
        </is>
      </c>
    </row>
    <row r="60" ht="18" customHeight="1">
      <c r="A60" s="12" t="inlineStr">
        <is>
          <t>SEASONALITY VECTORS (raw - the Model normalises to exactly 12.000)</t>
        </is>
      </c>
      <c r="B60" s="13" t="n"/>
      <c r="C60" s="13" t="n"/>
      <c r="D60" s="13" t="n"/>
    </row>
    <row r="61">
      <c r="A61" t="inlineStr">
        <is>
          <t>Vector</t>
        </is>
      </c>
      <c r="F61" s="21" t="inlineStr">
        <is>
          <t>Jan</t>
        </is>
      </c>
      <c r="G61" s="21" t="inlineStr">
        <is>
          <t>Feb</t>
        </is>
      </c>
      <c r="H61" s="21" t="inlineStr">
        <is>
          <t>Mar</t>
        </is>
      </c>
      <c r="I61" s="21" t="inlineStr">
        <is>
          <t>Apr</t>
        </is>
      </c>
      <c r="J61" s="21" t="inlineStr">
        <is>
          <t>May</t>
        </is>
      </c>
      <c r="K61" s="21" t="inlineStr">
        <is>
          <t>Jun</t>
        </is>
      </c>
      <c r="L61" s="21" t="inlineStr">
        <is>
          <t>Jul</t>
        </is>
      </c>
      <c r="M61" s="21" t="inlineStr">
        <is>
          <t>Aug</t>
        </is>
      </c>
      <c r="N61" s="21" t="inlineStr">
        <is>
          <t>Sep</t>
        </is>
      </c>
      <c r="O61" s="21" t="inlineStr">
        <is>
          <t>Oct</t>
        </is>
      </c>
      <c r="P61" s="21" t="inlineStr">
        <is>
          <t>Nov</t>
        </is>
      </c>
      <c r="Q61" s="21" t="inlineStr">
        <is>
          <t>Dec</t>
        </is>
      </c>
    </row>
    <row r="62">
      <c r="A62" t="inlineStr">
        <is>
          <t>Acquisition seasonality</t>
        </is>
      </c>
      <c r="D62" t="inlineStr">
        <is>
          <t>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is>
      </c>
      <c r="F62" s="22" t="n">
        <v>1.01</v>
      </c>
      <c r="G62" s="22" t="n">
        <v>0.96</v>
      </c>
      <c r="H62" s="22" t="n">
        <v>0.92</v>
      </c>
      <c r="I62" s="22" t="n">
        <v>1.15</v>
      </c>
      <c r="J62" s="22" t="n">
        <v>1.04</v>
      </c>
      <c r="K62" s="22" t="n">
        <v>0.88</v>
      </c>
      <c r="L62" s="22" t="n">
        <v>0.85</v>
      </c>
      <c r="M62" s="22" t="n">
        <v>0.85</v>
      </c>
      <c r="N62" s="22" t="n">
        <v>0.93</v>
      </c>
      <c r="O62" s="22" t="n">
        <v>1.25</v>
      </c>
      <c r="P62" s="22" t="n">
        <v>1.15</v>
      </c>
      <c r="Q62" s="22" t="n">
        <v>1.01</v>
      </c>
    </row>
    <row r="63">
      <c r="A63" t="inlineStr">
        <is>
          <t>Card spend seasonality</t>
        </is>
      </c>
      <c r="D63" t="inlineStr">
        <is>
          <t>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is>
      </c>
      <c r="F63" s="22" t="n">
        <v>1.1</v>
      </c>
      <c r="G63" s="22" t="n">
        <v>1</v>
      </c>
      <c r="H63" s="22" t="n">
        <v>0.98</v>
      </c>
      <c r="I63" s="22" t="n">
        <v>0.98</v>
      </c>
      <c r="J63" s="22" t="n">
        <v>1</v>
      </c>
      <c r="K63" s="22" t="n">
        <v>0.95</v>
      </c>
      <c r="L63" s="22" t="n">
        <v>0.88</v>
      </c>
      <c r="M63" s="22" t="n">
        <v>0.9</v>
      </c>
      <c r="N63" s="22" t="n">
        <v>1</v>
      </c>
      <c r="O63" s="22" t="n">
        <v>1.02</v>
      </c>
      <c r="P63" s="22" t="n">
        <v>1.05</v>
      </c>
      <c r="Q63" s="22" t="n">
        <v>1.14</v>
      </c>
    </row>
    <row r="64">
      <c r="A64" t="inlineStr">
        <is>
          <t>Foreign-spend share vector</t>
        </is>
      </c>
      <c r="D64" t="inlineStr">
        <is>
          <t>The one seasonality vector the brief itself tabulates. Raw mean 39.75, rescaled on the Model to the foreign-spend-share parameter. THE SUMMER TRAVEL SEASON IS THE LARGEST STREAM-4 MONTH on the weakest total-spend base.</t>
        </is>
      </c>
      <c r="F64" s="22" t="n">
        <v>30</v>
      </c>
      <c r="G64" s="22" t="n">
        <v>30</v>
      </c>
      <c r="H64" s="22" t="n">
        <v>30</v>
      </c>
      <c r="I64" s="22" t="n">
        <v>32</v>
      </c>
      <c r="J64" s="22" t="n">
        <v>34</v>
      </c>
      <c r="K64" s="22" t="n">
        <v>55</v>
      </c>
      <c r="L64" s="22" t="n">
        <v>60</v>
      </c>
      <c r="M64" s="22" t="n">
        <v>56</v>
      </c>
      <c r="N64" s="22" t="n">
        <v>36</v>
      </c>
      <c r="O64" s="22" t="n">
        <v>42</v>
      </c>
      <c r="P64" s="22" t="n">
        <v>40</v>
      </c>
      <c r="Q64" s="22" t="n">
        <v>32</v>
      </c>
    </row>
    <row r="66" ht="18" customHeight="1">
      <c r="A66" s="12" t="inlineStr">
        <is>
          <t>REGION KEY - who each region is</t>
        </is>
      </c>
      <c r="B66" s="13" t="n"/>
      <c r="C66" s="13" t="n"/>
      <c r="D66" s="13" t="n"/>
    </row>
    <row r="67">
      <c r="A67" s="14" t="inlineStr">
        <is>
          <t>Parameter</t>
        </is>
      </c>
      <c r="B67" s="14" t="inlineStr">
        <is>
          <t>Value</t>
        </is>
      </c>
      <c r="C67" s="14" t="inlineStr">
        <is>
          <t>Unit</t>
        </is>
      </c>
      <c r="D67" s="14" t="inlineStr">
        <is>
          <t>Source</t>
        </is>
      </c>
    </row>
    <row r="68">
      <c r="A68" s="3" t="inlineStr">
        <is>
          <t>UAE</t>
        </is>
      </c>
      <c r="B68" s="23" t="inlineStr">
        <is>
          <t>opens M1</t>
        </is>
      </c>
      <c r="D68" t="inlineStr">
        <is>
          <t>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is>
      </c>
    </row>
    <row r="69">
      <c r="A69" s="3" t="inlineStr">
        <is>
          <t>Oman and Bahrain</t>
        </is>
      </c>
      <c r="B69" s="23" t="inlineStr">
        <is>
          <t>opens M13</t>
        </is>
      </c>
      <c r="D69" t="inlineStr">
        <is>
          <t>Expatriate workers in Oman and Bahrain. ~600,000 addressable. NOT UAE-resident, so VAT and reporting treatment differ. Requires local authorisation in a second and third jurisdiction, which is why it is the only staged region.</t>
        </is>
      </c>
    </row>
    <row r="70">
      <c r="A70" s="3" t="inlineStr">
        <is>
          <t>India</t>
        </is>
      </c>
      <c r="B70" s="23" t="inlineStr">
        <is>
          <t>opens M1</t>
        </is>
      </c>
      <c r="D70" t="inlineStr">
        <is>
          <t>India-resident retail investors. ~12.5m addressable, sized BEHAVIOURALLY from gold ETF folios intersected with active digital-gold holders rather than demographically. The payment route is ASSUMED SOLVED in this model - if it is not, this region does not open at all.</t>
        </is>
      </c>
    </row>
    <row r="72" ht="18" customHeight="1">
      <c r="A72" s="12" t="inlineStr">
        <is>
          <t>MARKET SIZING - how each region's reachable SIP account ceiling is derived</t>
        </is>
      </c>
      <c r="B72" s="13" t="n"/>
      <c r="C72" s="13" t="n"/>
      <c r="D72" s="13" t="n"/>
    </row>
    <row r="73">
      <c r="A73" s="24" t="inlineStr">
        <is>
          <t>Funnel step</t>
        </is>
      </c>
      <c r="F73" s="25" t="inlineStr">
        <is>
          <t>UAE - Indian</t>
        </is>
      </c>
      <c r="G73" s="25" t="inlineStr">
        <is>
          <t>UAE - other South Asian</t>
        </is>
      </c>
      <c r="H73" s="25" t="inlineStr">
        <is>
          <t>Oman and Bahrain</t>
        </is>
      </c>
      <c r="I73" s="25" t="inlineStr">
        <is>
          <t>India</t>
        </is>
      </c>
    </row>
    <row r="74">
      <c r="A74" t="inlineStr">
        <is>
          <t>Source population</t>
        </is>
      </c>
      <c r="D74" t="inlineStr">
        <is>
          <t>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 HELD STATIC over the horizon, which is conservative: the UAE Indian community grew ~12% in the single year to Dec 2024.</t>
        </is>
      </c>
      <c r="F74" s="26" t="n">
        <v>4360000</v>
      </c>
      <c r="G74" s="26" t="n">
        <v>3460000</v>
      </c>
      <c r="H74" s="26" t="n">
        <v>2630000</v>
      </c>
      <c r="I74" s="26" t="n">
        <v>12500000</v>
      </c>
    </row>
    <row r="75">
      <c r="A75" t="inlineStr">
        <is>
          <t xml:space="preserve">  x Economically active</t>
        </is>
      </c>
      <c r="D75" t="inlineStr">
        <is>
          <t>Oman and Bahrain is 100% because the source counts EXPAT WORKERS, who are working-age and economically active by definition - applying a labour-force filter would double-count.</t>
        </is>
      </c>
      <c r="F75" s="27" t="n">
        <v>0.8</v>
      </c>
      <c r="G75" s="27" t="n">
        <v>0.8</v>
      </c>
      <c r="H75" s="27" t="n">
        <v>1</v>
      </c>
      <c r="I75" s="27" t="n">
        <v>1</v>
      </c>
    </row>
    <row r="76">
      <c r="A76" t="inlineStr">
        <is>
          <t xml:space="preserve">  x Payment capable (IBAN able to carry a direct debit)</t>
        </is>
      </c>
      <c r="D76" t="inlineStr">
        <is>
          <t>A SIP needs a standing mandate, not just an account. This is the filter that replaced an unsourced gold-savings propensity filter, which was flagged as the weakest link in the entire sizing and had no published source. This one has a stated mechanism behind it.</t>
        </is>
      </c>
      <c r="F76" s="27" t="n">
        <v>0.57</v>
      </c>
      <c r="G76" s="27" t="n">
        <v>0.57</v>
      </c>
      <c r="H76" s="27" t="n">
        <v>0.57</v>
      </c>
      <c r="I76" s="27" t="n">
        <v>1</v>
      </c>
    </row>
    <row r="77">
      <c r="A77" t="inlineStr">
        <is>
          <t xml:space="preserve">  x Money capable (USD 20/month after remittances)</t>
        </is>
      </c>
      <c r="D77" t="inlineStr">
        <is>
          <t>Discretionary capacity for a RECURRING USD 240/year commitment, tested after remittance obligations rather than before them.</t>
        </is>
      </c>
      <c r="F77" s="27" t="n">
        <v>0.4</v>
      </c>
      <c r="G77" s="27" t="n">
        <v>0.4</v>
      </c>
      <c r="H77" s="27" t="n">
        <v>0.4</v>
      </c>
      <c r="I77" s="27" t="n">
        <v>1</v>
      </c>
    </row>
    <row r="78">
      <c r="A78" t="inlineStr">
        <is>
          <t xml:space="preserve">  = Addressable base</t>
        </is>
      </c>
      <c r="D78" t="inlineStr">
        <is>
          <t>Population x the three filters. The UAE-Indian column reproduces the brief's worked figure of ~640,000.</t>
        </is>
      </c>
      <c r="F78" s="28">
        <f>F74*F75*F76*F77</f>
        <v/>
      </c>
      <c r="G78" s="28">
        <f>G74*G75*G76*G77</f>
        <v/>
      </c>
      <c r="H78" s="28">
        <f>H74*H75*H76*H77</f>
        <v/>
      </c>
      <c r="I78" s="28">
        <f>I74*I75*I76*I77</f>
        <v/>
      </c>
    </row>
    <row r="79">
      <c r="A79" t="inlineStr">
        <is>
          <t xml:space="preserve">  x Penetration ceiling</t>
        </is>
      </c>
      <c r="D79" t="inlineStr">
        <is>
          <t>The share of the addressable base the product could ever reach. 'base x ceiling' is the INVARIANT - changing one without the other silently re-scales the whole model.</t>
        </is>
      </c>
      <c r="F79" s="29" t="n">
        <v>0.1</v>
      </c>
      <c r="G79" s="29" t="n">
        <v>0.1</v>
      </c>
      <c r="H79" s="29" t="n">
        <v>0.06</v>
      </c>
      <c r="I79" s="29" t="n">
        <v>0.01</v>
      </c>
    </row>
    <row r="80">
      <c r="A80" t="inlineStr">
        <is>
          <t xml:space="preserve">  = REACHABLE SIP ACCOUNTS</t>
        </is>
      </c>
      <c r="D80" t="inlineStr">
        <is>
          <t>This is what the acquisition engine saturates against.</t>
        </is>
      </c>
      <c r="F80" s="28">
        <f>F78*F79</f>
        <v/>
      </c>
      <c r="G80" s="28">
        <f>G78*G79</f>
        <v/>
      </c>
      <c r="H80" s="28">
        <f>H78*H79</f>
        <v/>
      </c>
      <c r="I80" s="28">
        <f>I78*I79</f>
        <v/>
      </c>
    </row>
    <row r="81">
      <c r="A81" t="inlineStr">
        <is>
          <t xml:space="preserve">  Feeds model region</t>
        </is>
      </c>
      <c r="F81" s="30" t="inlineStr">
        <is>
          <t>UAE</t>
        </is>
      </c>
      <c r="G81" s="30" t="inlineStr">
        <is>
          <t>UAE</t>
        </is>
      </c>
      <c r="H81" s="30" t="inlineStr">
        <is>
          <t>Oman and Bahrain</t>
        </is>
      </c>
      <c r="I81" s="30" t="inlineStr">
        <is>
          <t>India</t>
        </is>
      </c>
    </row>
    <row r="83" ht="18" customHeight="1">
      <c r="A83" s="12" t="inlineStr">
        <is>
          <t>MARKET CEILINGS AND ACQUISITION DRIVERS</t>
        </is>
      </c>
      <c r="B83" s="13" t="n"/>
      <c r="C83" s="13" t="n"/>
      <c r="D83" s="13" t="n"/>
    </row>
    <row r="84">
      <c r="A84" s="14" t="inlineStr">
        <is>
          <t>Parameter</t>
        </is>
      </c>
      <c r="B84" s="14" t="inlineStr">
        <is>
          <t>Value</t>
        </is>
      </c>
      <c r="C84" s="14" t="inlineStr">
        <is>
          <t>Unit</t>
        </is>
      </c>
      <c r="D84" s="14" t="inlineStr">
        <is>
          <t>Source</t>
        </is>
      </c>
    </row>
    <row r="85">
      <c r="A85" t="inlineStr">
        <is>
          <t>Reachable SIP ceiling - UAE</t>
        </is>
      </c>
      <c r="B85" s="31">
        <f>F80+G80</f>
        <v/>
      </c>
      <c r="C85" t="inlineStr">
        <is>
          <t>accounts</t>
        </is>
      </c>
      <c r="D85" t="inlineStr">
        <is>
          <t>DERIVED from the market sizing funnel above - the sum of its source populations (UAE - Indian, UAE - other South Asian), not a typed number. Change any filter and this follows.</t>
        </is>
      </c>
    </row>
    <row r="86">
      <c r="A86" t="inlineStr">
        <is>
          <t>Reachable SIP ceiling - Oman and Bahrain</t>
        </is>
      </c>
      <c r="B86" s="31">
        <f>H80</f>
        <v/>
      </c>
      <c r="C86" t="inlineStr">
        <is>
          <t>accounts</t>
        </is>
      </c>
      <c r="D86" t="inlineStr">
        <is>
          <t>DERIVED from the market sizing funnel above - the sum of its source populations (Oman and Bahrain), not a typed number. Change any filter and this follows.</t>
        </is>
      </c>
    </row>
    <row r="87">
      <c r="A87" t="inlineStr">
        <is>
          <t>Reachable SIP ceiling - India</t>
        </is>
      </c>
      <c r="B87" s="31">
        <f>I80</f>
        <v/>
      </c>
      <c r="C87" t="inlineStr">
        <is>
          <t>accounts</t>
        </is>
      </c>
      <c r="D87" t="inlineStr">
        <is>
          <t>DERIVED from the market sizing funnel above - the sum of its source populations (India), not a typed number. Change any filter and this follows.</t>
        </is>
      </c>
    </row>
    <row r="88">
      <c r="A88" s="3" t="inlineStr">
        <is>
          <t>Total reachable SIP accounts</t>
        </is>
      </c>
      <c r="B88" s="31">
        <f>$B$85+$B$86+$B$87</f>
        <v/>
      </c>
      <c r="C88" t="inlineStr">
        <is>
          <t>accounts</t>
        </is>
      </c>
      <c r="D88" t="inlineStr">
        <is>
          <t>~181,150, against the brief's 165,750. ⚠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is>
      </c>
    </row>
    <row r="89">
      <c r="A89" s="3" t="inlineStr">
        <is>
          <t>CROSS-CHECK vs observed market evidence (memo - feeds nothing)</t>
        </is>
      </c>
    </row>
    <row r="90">
      <c r="A90" t="inlineStr">
        <is>
          <t xml:space="preserve">  O Gold active users, UAE (observed)</t>
        </is>
      </c>
      <c r="B90" s="17" t="n">
        <v>75000</v>
      </c>
      <c r="C90" t="inlineStr">
        <is>
          <t>users</t>
        </is>
      </c>
      <c r="D90" t="inlineStr">
        <is>
          <t>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is>
      </c>
    </row>
    <row r="91">
      <c r="A91" t="inlineStr">
        <is>
          <t xml:space="preserve">  Our UAE ceiling as a multiple of observed active users</t>
        </is>
      </c>
      <c r="B91" s="32">
        <f>$B$85/$B$90</f>
        <v/>
      </c>
      <c r="C91" t="inlineStr">
        <is>
          <t>x observed</t>
        </is>
      </c>
      <c r="D91" t="inlineStr">
        <is>
          <t>⚠ 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is>
      </c>
    </row>
    <row r="92">
      <c r="A92" t="inlineStr">
        <is>
          <t xml:space="preserve">  Oman &amp; Bahrain / India (no comparable figure)</t>
        </is>
      </c>
      <c r="B92" s="23" t="inlineStr">
        <is>
          <t>n/a</t>
        </is>
      </c>
      <c r="C92" t="inlineStr">
        <is>
          <t>-</t>
        </is>
      </c>
      <c r="D92" t="inlineStr">
        <is>
          <t>CONFIRMED NEGATIVE, recorded so it is not re-searched. No GCC platform outside the UAE publishes a user count. India publishes only REGISTERED counts (Jar 35m, Augmont 42m) which cannot be deduplicated or converted to active users, so no comparable cross-check can be built. ⚠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is>
      </c>
    </row>
    <row r="94">
      <c r="A94" t="inlineStr">
        <is>
          <t>Active agents - Y1</t>
        </is>
      </c>
      <c r="B94" s="17" t="n">
        <v>8</v>
      </c>
      <c r="C94" t="inlineStr">
        <is>
          <t>agents</t>
        </is>
      </c>
      <c r="D94"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95">
      <c r="A95" t="inlineStr">
        <is>
          <t>Active agents - Y2</t>
        </is>
      </c>
      <c r="B95" s="17" t="n">
        <v>23</v>
      </c>
      <c r="C95" t="inlineStr">
        <is>
          <t>agents</t>
        </is>
      </c>
      <c r="D95"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96">
      <c r="A96" t="inlineStr">
        <is>
          <t>Active agents - Y3</t>
        </is>
      </c>
      <c r="B96" s="17" t="n">
        <v>60</v>
      </c>
      <c r="C96" t="inlineStr">
        <is>
          <t>agents</t>
        </is>
      </c>
      <c r="D96"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97">
      <c r="A97" t="inlineStr">
        <is>
          <t>Active agents - Y4</t>
        </is>
      </c>
      <c r="B97" s="17" t="n">
        <v>90</v>
      </c>
      <c r="C97" t="inlineStr">
        <is>
          <t>agents</t>
        </is>
      </c>
      <c r="D97"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98">
      <c r="A98" t="inlineStr">
        <is>
          <t>Active agents - Y5</t>
        </is>
      </c>
      <c r="B98" s="17" t="n">
        <v>135</v>
      </c>
      <c r="C98" t="inlineStr">
        <is>
          <t>agents</t>
        </is>
      </c>
      <c r="D98"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99">
      <c r="A99" t="inlineStr">
        <is>
          <t>Active agents - Y6</t>
        </is>
      </c>
      <c r="B99" s="17" t="n">
        <v>159</v>
      </c>
      <c r="C99" t="inlineStr">
        <is>
          <t>agents</t>
        </is>
      </c>
      <c r="D99"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100">
      <c r="A100" t="inlineStr">
        <is>
          <t>Active agents - Y7</t>
        </is>
      </c>
      <c r="B100" s="17" t="n">
        <v>186</v>
      </c>
      <c r="C100" t="inlineStr">
        <is>
          <t>agents</t>
        </is>
      </c>
      <c r="D100"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101">
      <c r="A101" t="inlineStr">
        <is>
          <t>Marketing spend - Y1</t>
        </is>
      </c>
      <c r="B101" s="20" t="n">
        <v>90000</v>
      </c>
      <c r="C101" t="inlineStr">
        <is>
          <t>USD/yr</t>
        </is>
      </c>
      <c r="D101"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2">
      <c r="A102" t="inlineStr">
        <is>
          <t>Marketing spend - Y2</t>
        </is>
      </c>
      <c r="B102" s="20" t="n">
        <v>270000</v>
      </c>
      <c r="C102" t="inlineStr">
        <is>
          <t>USD/yr</t>
        </is>
      </c>
      <c r="D102"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3">
      <c r="A103" t="inlineStr">
        <is>
          <t>Marketing spend - Y3</t>
        </is>
      </c>
      <c r="B103" s="20" t="n">
        <v>375000</v>
      </c>
      <c r="C103" t="inlineStr">
        <is>
          <t>USD/yr</t>
        </is>
      </c>
      <c r="D103"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4">
      <c r="A104" t="inlineStr">
        <is>
          <t>Marketing spend - Y4</t>
        </is>
      </c>
      <c r="B104" s="20" t="n">
        <v>600000</v>
      </c>
      <c r="C104" t="inlineStr">
        <is>
          <t>USD/yr</t>
        </is>
      </c>
      <c r="D104"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5">
      <c r="A105" t="inlineStr">
        <is>
          <t>Marketing spend - Y5</t>
        </is>
      </c>
      <c r="B105" s="20" t="n">
        <v>900000</v>
      </c>
      <c r="C105" t="inlineStr">
        <is>
          <t>USD/yr</t>
        </is>
      </c>
      <c r="D105"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6">
      <c r="A106" t="inlineStr">
        <is>
          <t>Marketing spend - Y6</t>
        </is>
      </c>
      <c r="B106" s="20" t="n">
        <v>1275000</v>
      </c>
      <c r="C106" t="inlineStr">
        <is>
          <t>USD/yr</t>
        </is>
      </c>
      <c r="D106"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7">
      <c r="A107" t="inlineStr">
        <is>
          <t>Marketing spend - Y7</t>
        </is>
      </c>
      <c r="B107" s="20" t="n">
        <v>1650000</v>
      </c>
      <c r="C107" t="inlineStr">
        <is>
          <t>USD/yr</t>
        </is>
      </c>
      <c r="D107"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8">
      <c r="A108" t="inlineStr">
        <is>
          <t>Agent blended ramp - Y1</t>
        </is>
      </c>
      <c r="B108" s="15" t="n">
        <v>0.6</v>
      </c>
      <c r="C108" t="inlineStr">
        <is>
          <t>x productivity</t>
        </is>
      </c>
      <c r="D108" t="inlineStr">
        <is>
          <t>Six months to full productivity, which happens to match the six-payment gate.</t>
        </is>
      </c>
    </row>
    <row r="109">
      <c r="A109" t="inlineStr">
        <is>
          <t>Agent blended ramp - Y2</t>
        </is>
      </c>
      <c r="B109" s="15" t="n">
        <v>0.85</v>
      </c>
      <c r="C109" t="inlineStr">
        <is>
          <t>x productivity</t>
        </is>
      </c>
      <c r="D109" t="inlineStr">
        <is>
          <t>Six months to full productivity, which happens to match the six-payment gate.</t>
        </is>
      </c>
    </row>
    <row r="110">
      <c r="A110" t="inlineStr">
        <is>
          <t>Agent blended ramp - Y3</t>
        </is>
      </c>
      <c r="B110" s="15" t="n">
        <v>1</v>
      </c>
      <c r="C110" t="inlineStr">
        <is>
          <t>x productivity</t>
        </is>
      </c>
      <c r="D110" t="inlineStr">
        <is>
          <t>Six months to full productivity, which happens to match the six-payment gate.</t>
        </is>
      </c>
    </row>
    <row r="111">
      <c r="A111" t="inlineStr">
        <is>
          <t>Agent blended ramp - Y4</t>
        </is>
      </c>
      <c r="B111" s="15" t="n">
        <v>1</v>
      </c>
      <c r="C111" t="inlineStr">
        <is>
          <t>x productivity</t>
        </is>
      </c>
      <c r="D111" t="inlineStr">
        <is>
          <t>Six months to full productivity, which happens to match the six-payment gate.</t>
        </is>
      </c>
    </row>
    <row r="112">
      <c r="A112" t="inlineStr">
        <is>
          <t>Agent blended ramp - Y5</t>
        </is>
      </c>
      <c r="B112" s="15" t="n">
        <v>1</v>
      </c>
      <c r="C112" t="inlineStr">
        <is>
          <t>x productivity</t>
        </is>
      </c>
      <c r="D112" t="inlineStr">
        <is>
          <t>Six months to full productivity, which happens to match the six-payment gate.</t>
        </is>
      </c>
    </row>
    <row r="113">
      <c r="A113" t="inlineStr">
        <is>
          <t>Agent blended ramp - Y6</t>
        </is>
      </c>
      <c r="B113" s="15" t="n">
        <v>1</v>
      </c>
      <c r="C113" t="inlineStr">
        <is>
          <t>x productivity</t>
        </is>
      </c>
      <c r="D113" t="inlineStr">
        <is>
          <t>Six months to full productivity, which happens to match the six-payment gate.</t>
        </is>
      </c>
    </row>
    <row r="114">
      <c r="A114" t="inlineStr">
        <is>
          <t>Agent blended ramp - Y7</t>
        </is>
      </c>
      <c r="B114" s="15" t="n">
        <v>1</v>
      </c>
      <c r="C114" t="inlineStr">
        <is>
          <t>x productivity</t>
        </is>
      </c>
      <c r="D114" t="inlineStr">
        <is>
          <t>Six months to full productivity, which happens to match the six-payment gate.</t>
        </is>
      </c>
    </row>
    <row r="115">
      <c r="A115" t="inlineStr">
        <is>
          <t>Share of salesforce deployed - UAE</t>
        </is>
      </c>
      <c r="B115" s="19" t="n">
        <v>0.45</v>
      </c>
      <c r="C115" t="inlineStr">
        <is>
          <t>% of salesforce</t>
        </is>
      </c>
      <c r="D115"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6">
      <c r="A116" t="inlineStr">
        <is>
          <t>Share of salesforce deployed - Oman and Bahrain</t>
        </is>
      </c>
      <c r="B116" s="19" t="n">
        <v>0.1</v>
      </c>
      <c r="C116" t="inlineStr">
        <is>
          <t>% of salesforce</t>
        </is>
      </c>
      <c r="D116"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7">
      <c r="A117" t="inlineStr">
        <is>
          <t>Share of salesforce deployed - India</t>
        </is>
      </c>
      <c r="B117" s="19" t="n">
        <v>0.45</v>
      </c>
      <c r="C117" t="inlineStr">
        <is>
          <t>% of salesforce</t>
        </is>
      </c>
      <c r="D117"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9" ht="18" customHeight="1">
      <c r="A119" s="12" t="inlineStr">
        <is>
          <t>SCENARIO-LINKED INPUTS (live values - move with the scenario switch)</t>
        </is>
      </c>
      <c r="B119" s="13" t="n"/>
      <c r="C119" s="13" t="n"/>
      <c r="D119" s="13" t="n"/>
    </row>
    <row r="120">
      <c r="A120" s="14" t="inlineStr">
        <is>
          <t>Parameter</t>
        </is>
      </c>
      <c r="B120" s="14" t="inlineStr">
        <is>
          <t>Value</t>
        </is>
      </c>
      <c r="C120" s="14" t="inlineStr">
        <is>
          <t>Unit</t>
        </is>
      </c>
      <c r="D120" s="14" t="inlineStr">
        <is>
          <t>Source</t>
        </is>
      </c>
    </row>
    <row r="121">
      <c r="A121" t="inlineStr">
        <is>
          <t>Gold price appreciation</t>
        </is>
      </c>
      <c r="B121" s="33">
        <f>'Scenario Parameters'!$B$10</f>
        <v/>
      </c>
      <c r="C121" t="inlineStr">
        <is>
          <t>%/yr</t>
        </is>
      </c>
      <c r="D121"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22">
      <c r="A122" t="inlineStr">
        <is>
          <t>Persistency - customers still paying after 12 months</t>
        </is>
      </c>
      <c r="B122" s="34">
        <f>'Scenario Parameters'!$B$14</f>
        <v/>
      </c>
      <c r="C122" t="inlineStr">
        <is>
          <t>%</t>
        </is>
      </c>
      <c r="D122"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23">
      <c r="A123" t="inlineStr">
        <is>
          <t>Monthly churn rate (derived)</t>
        </is>
      </c>
      <c r="B123" s="33">
        <f>'Scenario Parameters'!$B$15</f>
        <v/>
      </c>
      <c r="C123" t="inlineStr">
        <is>
          <t>%/month</t>
        </is>
      </c>
      <c r="D123" t="inlineStr">
        <is>
          <t>DERIVED, not typed: the monthly rate that reproduces the persistency above over twelve months. Change persistency and this follows. Base 55% implies ~4.9%/month.</t>
        </is>
      </c>
    </row>
    <row r="124">
      <c r="A124" t="inlineStr">
        <is>
          <t>Agent productivity</t>
        </is>
      </c>
      <c r="B124" s="35">
        <f>'Scenario Parameters'!$B$16</f>
        <v/>
      </c>
      <c r="C124" t="inlineStr">
        <is>
          <t>accounts/agent/month</t>
        </is>
      </c>
      <c r="D124" t="inlineStr">
        <is>
          <t>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is>
      </c>
    </row>
    <row r="125">
      <c r="A125" t="inlineStr">
        <is>
          <t>Marketing CAC - UAE</t>
        </is>
      </c>
      <c r="B125" s="36">
        <f>'Scenario Parameters'!$B$17</f>
        <v/>
      </c>
      <c r="C125" t="inlineStr">
        <is>
          <t>USD per customer</t>
        </is>
      </c>
      <c r="D125"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26">
      <c r="A126" t="inlineStr">
        <is>
          <t>Marketing CAC - Oman and Bahrain</t>
        </is>
      </c>
      <c r="B126" s="36">
        <f>'Scenario Parameters'!$B$18</f>
        <v/>
      </c>
      <c r="C126" t="inlineStr">
        <is>
          <t>USD per customer</t>
        </is>
      </c>
      <c r="D126"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27">
      <c r="A127" t="inlineStr">
        <is>
          <t>Marketing CAC - India</t>
        </is>
      </c>
      <c r="B127" s="36">
        <f>'Scenario Parameters'!$B$19</f>
        <v/>
      </c>
      <c r="C127" t="inlineStr">
        <is>
          <t>USD per customer</t>
        </is>
      </c>
      <c r="D127"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28">
      <c r="A128" t="inlineStr">
        <is>
          <t>Marketing spend share - UAE</t>
        </is>
      </c>
      <c r="B128" s="34">
        <f>'Scenario Parameters'!$B$20</f>
        <v/>
      </c>
      <c r="C128" t="inlineStr">
        <is>
          <t>% of budget</t>
        </is>
      </c>
      <c r="D128" t="inlineStr">
        <is>
          <t>How the marketing budget is split across markets. Defaults to each region's share of the addressable ceiling, so spend follows the opportunity. Does not vary by scenario - it is a management decision, not an uncertainty. Must sum to 100%.</t>
        </is>
      </c>
    </row>
    <row r="129">
      <c r="A129" t="inlineStr">
        <is>
          <t>Marketing spend share - Oman and Bahrain</t>
        </is>
      </c>
      <c r="B129" s="34">
        <f>'Scenario Parameters'!$B$21</f>
        <v/>
      </c>
      <c r="C129" t="inlineStr">
        <is>
          <t>% of budget</t>
        </is>
      </c>
      <c r="D129" t="inlineStr">
        <is>
          <t>How the marketing budget is split across markets. Defaults to each region's share of the addressable ceiling, so spend follows the opportunity. Does not vary by scenario - it is a management decision, not an uncertainty. Must sum to 100%.</t>
        </is>
      </c>
    </row>
    <row r="130">
      <c r="A130" t="inlineStr">
        <is>
          <t>Marketing spend share - India</t>
        </is>
      </c>
      <c r="B130" s="34">
        <f>'Scenario Parameters'!$B$22</f>
        <v/>
      </c>
      <c r="C130" t="inlineStr">
        <is>
          <t>% of budget</t>
        </is>
      </c>
      <c r="D130" t="inlineStr">
        <is>
          <t>How the marketing budget is split across markets. Defaults to each region's share of the addressable ceiling, so spend follows the opportunity. Does not vary by scenario - it is a management decision, not an uncertainty. Must sum to 100%.</t>
        </is>
      </c>
    </row>
    <row r="131">
      <c r="A131" t="inlineStr">
        <is>
          <t>Referral rate</t>
        </is>
      </c>
      <c r="B131" s="35">
        <f>'Scenario Parameters'!$B$23</f>
        <v/>
      </c>
      <c r="C131" t="inlineStr">
        <is>
          <t>referrals/customer/yr</t>
        </is>
      </c>
      <c r="D131" t="inlineStr">
        <is>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 IT IS STILL AN ASSUMPTION WITH NO EXTERNAL ANCHOR, and it compounds: referrals feed the paying base, which feeds more referrals. That loop is the reason this parameter is more load-bearing than its size suggests. ASSUMPTION.</t>
        </is>
      </c>
    </row>
    <row r="132">
      <c r="A132" t="inlineStr">
        <is>
          <t>Referral conversion</t>
        </is>
      </c>
      <c r="B132" s="34">
        <f>'Scenario Parameters'!$B$24</f>
        <v/>
      </c>
      <c r="C132" t="inlineStr">
        <is>
          <t>%</t>
        </is>
      </c>
      <c r="D132" t="inlineStr">
        <is>
          <t>The M7 survival of the referred cohort, uplifted ~1.1x. DERIVED.</t>
        </is>
      </c>
    </row>
    <row r="133">
      <c r="A133" t="inlineStr">
        <is>
          <t>Organic share of direct</t>
        </is>
      </c>
      <c r="B133" s="34">
        <f>'Scenario Parameters'!$B$25</f>
        <v/>
      </c>
      <c r="C133" t="inlineStr">
        <is>
          <t>% of direct</t>
        </is>
      </c>
      <c r="D133" t="inlineStr">
        <is>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 NO EXTERNAL ANCHOR AT EITHER LEVEL, and it is arithmetically identical to a 12% CAC reduction - so raising this AND cutting CAC in the same pass is close to taking the same benefit twice. ASSUMPTION.</t>
        </is>
      </c>
    </row>
    <row r="134">
      <c r="A134" t="inlineStr">
        <is>
          <t>Seasonality amplitude</t>
        </is>
      </c>
      <c r="B134" s="35">
        <f>'Scenario Parameters'!$B$26</f>
        <v/>
      </c>
      <c r="C134" t="inlineStr">
        <is>
          <t>x deviation from 1.0</t>
        </is>
      </c>
      <c r="D134" t="inlineStr">
        <is>
          <t>Festival TIMING is sourced; how hard a Dubai savings signup responds to Dhanteras is the open question. Applied to the deviation from 1.0, then renormalised, so the vectors stay at exactly 12.000.</t>
        </is>
      </c>
    </row>
    <row r="135">
      <c r="A135" t="inlineStr">
        <is>
          <t>Customers who EVER clear the six-payment gate</t>
        </is>
      </c>
      <c r="B135" s="34">
        <f>'Scenario Parameters'!$B$30</f>
        <v/>
      </c>
      <c r="C135" t="inlineStr">
        <is>
          <t>% of customers</t>
        </is>
      </c>
      <c r="D135"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136">
      <c r="A136" t="inlineStr">
        <is>
          <t>Average months to clear the gate</t>
        </is>
      </c>
      <c r="B136" s="37">
        <f>'Scenario Parameters'!$B$31</f>
        <v/>
      </c>
      <c r="C136" t="inlineStr">
        <is>
          <t>months</t>
        </is>
      </c>
      <c r="D136"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137">
      <c r="A137" t="inlineStr">
        <is>
          <t>Gold moved out of Aurumix's control</t>
        </is>
      </c>
      <c r="B137" s="34">
        <f>'Scenario Parameters'!$B$35</f>
        <v/>
      </c>
      <c r="C137" t="inlineStr">
        <is>
          <t>% of AUM/yr</t>
        </is>
      </c>
      <c r="D137" t="inlineStr">
        <is>
          <t>HALVED 2026-08-21 from 0.12, client instruction. ⚠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is>
      </c>
    </row>
    <row r="138">
      <c r="A138" t="inlineStr">
        <is>
          <t>Redemption rate</t>
        </is>
      </c>
      <c r="B138" s="34">
        <f>'Scenario Parameters'!$B$36</f>
        <v/>
      </c>
      <c r="C138" t="inlineStr">
        <is>
          <t>% of AUM/yr</t>
        </is>
      </c>
      <c r="D138" t="inlineStr">
        <is>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is>
      </c>
    </row>
    <row r="139">
      <c r="A139" t="inlineStr">
        <is>
          <t>Holder redemption multiplier</t>
        </is>
      </c>
      <c r="B139" s="35">
        <f>'Scenario Parameters'!$B$37</f>
        <v/>
      </c>
      <c r="C139" t="inlineStr">
        <is>
          <t>x the paying rate</t>
        </is>
      </c>
      <c r="D139" t="inlineStr">
        <is>
          <t>LOWERED 2026-08-21 from 2.2, client instruction. ⚠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is>
      </c>
    </row>
    <row r="140">
      <c r="A140" t="inlineStr">
        <is>
          <t>Spot attach scenario multiplier</t>
        </is>
      </c>
      <c r="B140" s="35">
        <f>'Scenario Parameters'!$B$38</f>
        <v/>
      </c>
      <c r="C140" t="inlineStr">
        <is>
          <t>x the regional attach</t>
        </is>
      </c>
      <c r="D140"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141">
      <c r="A141" t="inlineStr">
        <is>
          <t>Spot ticket scenario multiplier</t>
        </is>
      </c>
      <c r="B141" s="35">
        <f>'Scenario Parameters'!$B$39</f>
        <v/>
      </c>
      <c r="C141" t="inlineStr">
        <is>
          <t>x the observed ticket</t>
        </is>
      </c>
      <c r="D141"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142">
      <c r="A142" t="inlineStr">
        <is>
          <t>Spot frequency</t>
        </is>
      </c>
      <c r="B142" s="35">
        <f>'Scenario Parameters'!$B$40</f>
        <v/>
      </c>
      <c r="C142" t="inlineStr">
        <is>
          <t>events/attacher/yr</t>
        </is>
      </c>
      <c r="D142" t="inlineStr">
        <is>
          <t>⚠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143">
      <c r="A143" t="inlineStr">
        <is>
          <t>Programme manager share of interchange</t>
        </is>
      </c>
      <c r="B143" s="34">
        <f>'Scenario Parameters'!$B$44</f>
        <v/>
      </c>
      <c r="C143" t="inlineStr">
        <is>
          <t>%</t>
        </is>
      </c>
      <c r="D143" t="inlineStr">
        <is>
          <t>SIZES THE LARGEST STREAM. No UAE/MENA figure is published. FLOOR IS 36% - take that into the sponsor conversation as the walk-away. TRIANGULATED.</t>
        </is>
      </c>
    </row>
    <row r="144">
      <c r="A144" t="inlineStr">
        <is>
          <t>Facility take-up - customers who take AND use the card</t>
        </is>
      </c>
      <c r="B144" s="34">
        <f>'Scenario Parameters'!$B$45</f>
        <v/>
      </c>
      <c r="C144" t="inlineStr">
        <is>
          <t>% of gate-cleared</t>
        </is>
      </c>
      <c r="D144"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is>
      </c>
    </row>
    <row r="145">
      <c r="A145" t="inlineStr">
        <is>
          <t>Transactions per drawdown event</t>
        </is>
      </c>
      <c r="B145" s="37">
        <f>'Scenario Parameters'!$B$46</f>
        <v/>
      </c>
      <c r="C145" t="inlineStr">
        <is>
          <t>transactions/draw</t>
        </is>
      </c>
      <c r="D145"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146">
      <c r="A146" t="inlineStr">
        <is>
          <t>Foreign spend share (mean)</t>
        </is>
      </c>
      <c r="B146" s="34">
        <f>'Scenario Parameters'!$B$47</f>
        <v/>
      </c>
      <c r="C146" t="inlineStr">
        <is>
          <t>% of card spend</t>
        </is>
      </c>
      <c r="D146" t="inlineStr">
        <is>
          <t>Applied through the seasonal vector, not as a constant. ASSUMPTION.</t>
        </is>
      </c>
    </row>
    <row r="147">
      <c r="A147" t="inlineStr">
        <is>
          <t>Card issuance events</t>
        </is>
      </c>
      <c r="B147" s="35">
        <f>'Scenario Parameters'!$B$48</f>
        <v/>
      </c>
      <c r="C147" t="inlineStr">
        <is>
          <t>events/card/yr</t>
        </is>
      </c>
      <c r="D147" t="inlineStr">
        <is>
          <t>1.00 at activation plus reissues - a tier upgrade forces a physical reissue. ASSUMPTION.</t>
        </is>
      </c>
    </row>
    <row r="148">
      <c r="A148" t="inlineStr">
        <is>
          <t>Card replacement events</t>
        </is>
      </c>
      <c r="B148" s="35">
        <f>'Scenario Parameters'!$B$49</f>
        <v/>
      </c>
      <c r="C148" t="inlineStr">
        <is>
          <t>events/card/yr</t>
        </is>
      </c>
      <c r="D148" t="inlineStr">
        <is>
          <t>Industry-normal loss/theft/damage is 8-15% annually. ASSUMPTION.</t>
        </is>
      </c>
    </row>
    <row r="149">
      <c r="A149" t="inlineStr">
        <is>
          <t>ATM AED 0-500 - share of cardholders</t>
        </is>
      </c>
      <c r="B149" s="34">
        <f>'Scenario Parameters'!$B$50</f>
        <v/>
      </c>
      <c r="C149" t="inlineStr">
        <is>
          <t>%</t>
        </is>
      </c>
      <c r="D14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0">
      <c r="A150" t="inlineStr">
        <is>
          <t>ATM AED 500-1,500 - share of cardholders</t>
        </is>
      </c>
      <c r="B150" s="34">
        <f>'Scenario Parameters'!$B$51</f>
        <v/>
      </c>
      <c r="C150" t="inlineStr">
        <is>
          <t>%</t>
        </is>
      </c>
      <c r="D150"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1">
      <c r="A151" t="inlineStr">
        <is>
          <t>ATM AED 1,500-3,000 - share of cardholders</t>
        </is>
      </c>
      <c r="B151" s="34">
        <f>'Scenario Parameters'!$B$52</f>
        <v/>
      </c>
      <c r="C151" t="inlineStr">
        <is>
          <t>%</t>
        </is>
      </c>
      <c r="D151"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2">
      <c r="A152" t="inlineStr">
        <is>
          <t>ATM AED 3,000+ - share of cardholders</t>
        </is>
      </c>
      <c r="B152" s="34">
        <f>'Scenario Parameters'!$B$53</f>
        <v/>
      </c>
      <c r="C152" t="inlineStr">
        <is>
          <t>%</t>
        </is>
      </c>
      <c r="D152"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3">
      <c r="A153" t="inlineStr">
        <is>
          <t>ATM AED 0-500 - midpoint draw</t>
        </is>
      </c>
      <c r="B153" s="37">
        <f>'Scenario Parameters'!$B$54</f>
        <v/>
      </c>
      <c r="C153" t="inlineStr">
        <is>
          <t>AED/month</t>
        </is>
      </c>
      <c r="D153" t="inlineStr">
        <is>
          <t>Raising the allowance at the top tier waives revenue from only the top ~3% of cardholders.</t>
        </is>
      </c>
    </row>
    <row r="154">
      <c r="A154" t="inlineStr">
        <is>
          <t>ATM AED 500-1,500 - midpoint draw</t>
        </is>
      </c>
      <c r="B154" s="37">
        <f>'Scenario Parameters'!$B$55</f>
        <v/>
      </c>
      <c r="C154" t="inlineStr">
        <is>
          <t>AED/month</t>
        </is>
      </c>
      <c r="D154" t="inlineStr">
        <is>
          <t>Raising the allowance at the top tier waives revenue from only the top ~3% of cardholders.</t>
        </is>
      </c>
    </row>
    <row r="155">
      <c r="A155" t="inlineStr">
        <is>
          <t>ATM AED 1,500-3,000 - midpoint draw</t>
        </is>
      </c>
      <c r="B155" s="37">
        <f>'Scenario Parameters'!$B$56</f>
        <v/>
      </c>
      <c r="C155" t="inlineStr">
        <is>
          <t>AED/month</t>
        </is>
      </c>
      <c r="D155" t="inlineStr">
        <is>
          <t>Raising the allowance at the top tier waives revenue from only the top ~3% of cardholders.</t>
        </is>
      </c>
    </row>
    <row r="156">
      <c r="A156" t="inlineStr">
        <is>
          <t>ATM AED 3,000+ - midpoint draw</t>
        </is>
      </c>
      <c r="B156" s="37">
        <f>'Scenario Parameters'!$B$57</f>
        <v/>
      </c>
      <c r="C156" t="inlineStr">
        <is>
          <t>AED/month</t>
        </is>
      </c>
      <c r="D156" t="inlineStr">
        <is>
          <t>Raising the allowance at the top tier waives revenue from only the top ~3% of cardholders.</t>
        </is>
      </c>
    </row>
    <row r="157">
      <c r="A157" t="inlineStr">
        <is>
          <t>Drawn as % of permitted limit</t>
        </is>
      </c>
      <c r="B157" s="34">
        <f>'Scenario Parameters'!$B$61</f>
        <v/>
      </c>
      <c r="C157" t="inlineStr">
        <is>
          <t>%</t>
        </is>
      </c>
      <c r="D157" t="inlineStr">
        <is>
          <t>Revolving facilities draw 40-55% of permitted. This now drives CARD SPEND as well as the loan balance, because the card is the drawdown mechanism. TRIANGULATED.</t>
        </is>
      </c>
    </row>
    <row r="158">
      <c r="A158" t="inlineStr">
        <is>
          <t>Facility turnover, peak -&gt; average</t>
        </is>
      </c>
      <c r="B158" s="35">
        <f>'Scenario Parameters'!$B$62</f>
        <v/>
      </c>
      <c r="C158" t="inlineStr">
        <is>
          <t>x peak drawn</t>
        </is>
      </c>
      <c r="D158" t="inlineStr">
        <is>
          <t>AN ARITHMETIC CORRECTION, not a sensitivity, derived from Manappuram's 71-day realised tenor. It cuts the lending stream by 1.88x. DERIVED.</t>
        </is>
      </c>
    </row>
    <row r="159">
      <c r="A159" t="inlineStr">
        <is>
          <t>Draw events per borrower per year</t>
        </is>
      </c>
      <c r="B159" s="35">
        <f>'Scenario Parameters'!$B$63</f>
        <v/>
      </c>
      <c r="C159" t="inlineStr">
        <is>
          <t>events/yr</t>
        </is>
      </c>
      <c r="D159" t="inlineStr">
        <is>
          <t>MOVES WITH facility turnover - do not flex independently. DERIVED.</t>
        </is>
      </c>
    </row>
    <row r="160">
      <c r="A160" t="inlineStr">
        <is>
          <t>Family plan attach rate</t>
        </is>
      </c>
      <c r="B160" s="34">
        <f>'Scenario Parameters'!$B$64</f>
        <v/>
      </c>
      <c r="C160" t="inlineStr">
        <is>
          <t>% of NEW customers</t>
        </is>
      </c>
      <c r="D160" t="inlineStr">
        <is>
          <t>SET AT 0.15 on 2026-08-21, client instruction - the same day it came DOWN from 0.20 to 0.08, so it has landed close to where it started. What has genuinely changed is not the number but the STRUCTURE. ⚠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is at the top of the normal range for an OPTIONAL PAID extra on a savings product, which is low single digits to low teens. ⚠ IT IS NOT EQUIVALENT TO THE OLD 20% AND SHOULD NOT BE READ AS A PARTIAL REVERSAL: 20% was a permanent share of the whole book that could never decay, while 15% applies once, on joining, to a balance that then churns at ~7.1% a month. The standing share of paying customers holding a plan settles near 10.5%, not 15%. NOTHING IS STATED ANYWHERE IN THE CORPUS and no attach benchmark exists for this kind of add-on. ASSUMPTION.</t>
        </is>
      </c>
    </row>
    <row r="161">
      <c r="A161" t="inlineStr">
        <is>
          <t>Family plan cancellation rate (incremental)</t>
        </is>
      </c>
      <c r="B161" s="34">
        <f>'Scenario Parameters'!$B$65</f>
        <v/>
      </c>
      <c r="C161" t="inlineStr">
        <is>
          <t>%/yr</t>
        </is>
      </c>
      <c r="D161" t="inlineStr">
        <is>
          <t>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is>
      </c>
    </row>
    <row r="162">
      <c r="A162" t="inlineStr">
        <is>
          <t>Beneficiaries named per plan</t>
        </is>
      </c>
      <c r="B162" s="35">
        <f>'Scenario Parameters'!$B$66</f>
        <v/>
      </c>
      <c r="C162" t="inlineStr">
        <is>
          <t>beneficiaries</t>
        </is>
      </c>
      <c r="D162" t="inlineStr">
        <is>
          <t>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 NOT THE SAME AS HOUSEHOLD SIZE - a beneficiary is a named, identity-verified person on a legal instrument, and people name fewer than they support. ASSUMPTION anchored on demographics.</t>
        </is>
      </c>
    </row>
    <row r="163">
      <c r="A163" t="inlineStr">
        <is>
          <t>Family plan monthly churn, combined (derived)</t>
        </is>
      </c>
      <c r="B163" s="33">
        <f>'Scenario Parameters'!$B$67</f>
        <v/>
      </c>
      <c r="C163" t="inlineStr">
        <is>
          <t>%/month</t>
        </is>
      </c>
      <c r="D163" t="inlineStr">
        <is>
          <t>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is>
      </c>
    </row>
    <row r="164">
      <c r="A164" t="inlineStr">
        <is>
          <t>B2B partners - Y1</t>
        </is>
      </c>
      <c r="B164" s="37">
        <f>'Scenario Parameters'!$B$68</f>
        <v/>
      </c>
      <c r="C164" t="inlineStr">
        <is>
          <t>partners</t>
        </is>
      </c>
      <c r="D164"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5">
      <c r="A165" t="inlineStr">
        <is>
          <t>B2B partners - Y2</t>
        </is>
      </c>
      <c r="B165" s="37">
        <f>'Scenario Parameters'!$B$69</f>
        <v/>
      </c>
      <c r="C165" t="inlineStr">
        <is>
          <t>partners</t>
        </is>
      </c>
      <c r="D165"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6">
      <c r="A166" t="inlineStr">
        <is>
          <t>B2B partners - Y3</t>
        </is>
      </c>
      <c r="B166" s="37">
        <f>'Scenario Parameters'!$B$70</f>
        <v/>
      </c>
      <c r="C166" t="inlineStr">
        <is>
          <t>partners</t>
        </is>
      </c>
      <c r="D166"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7">
      <c r="A167" t="inlineStr">
        <is>
          <t>B2B partners - Y4</t>
        </is>
      </c>
      <c r="B167" s="37">
        <f>'Scenario Parameters'!$B$71</f>
        <v/>
      </c>
      <c r="C167" t="inlineStr">
        <is>
          <t>partners</t>
        </is>
      </c>
      <c r="D167"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8">
      <c r="A168" t="inlineStr">
        <is>
          <t>B2B partners - Y5</t>
        </is>
      </c>
      <c r="B168" s="37">
        <f>'Scenario Parameters'!$B$72</f>
        <v/>
      </c>
      <c r="C168" t="inlineStr">
        <is>
          <t>partners</t>
        </is>
      </c>
      <c r="D168"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9">
      <c r="A169" t="inlineStr">
        <is>
          <t>B2B partners - Y6</t>
        </is>
      </c>
      <c r="B169" s="37">
        <f>'Scenario Parameters'!$B$73</f>
        <v/>
      </c>
      <c r="C169" t="inlineStr">
        <is>
          <t>partners</t>
        </is>
      </c>
      <c r="D16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70">
      <c r="A170" t="inlineStr">
        <is>
          <t>B2B partners - Y7</t>
        </is>
      </c>
      <c r="B170" s="37">
        <f>'Scenario Parameters'!$B$74</f>
        <v/>
      </c>
      <c r="C170" t="inlineStr">
        <is>
          <t>partners</t>
        </is>
      </c>
      <c r="D170"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71">
      <c r="A171" t="inlineStr">
        <is>
          <t>Average partner user base</t>
        </is>
      </c>
      <c r="B171" s="37">
        <f>'Scenario Parameters'!$B$75</f>
        <v/>
      </c>
      <c r="C171" t="inlineStr">
        <is>
          <t>active users</t>
        </is>
      </c>
      <c r="D171" t="inlineStr">
        <is>
          <t>THE MIX, NOT THE BIGGEST. A realistic six-partner Gulf book is roughly one Botim-scale (1.7m ACTIVE fintech users, of 8.2-8.5m app users), two at e&amp; money scale (~1.5m subscribers), and three small wallets at a few hundred thousand - which averages near 900k. ⚠ USE ACTIVE USERS, NOT REGISTERED: Botim's own numbers separate 8.5m app users, 3m KYC'd and 1.7m active fintech users, and adopting the headline would overstate this by 5x. CITED for the two largest, ASSUMPTION for the tail.</t>
        </is>
      </c>
    </row>
    <row r="172">
      <c r="A172" t="inlineStr">
        <is>
          <t>Partner users adopting gold (mature)</t>
        </is>
      </c>
      <c r="B172" s="34">
        <f>'Scenario Parameters'!$B$76</f>
        <v/>
      </c>
      <c r="C172" t="inlineStr">
        <is>
          <t>% of partner users</t>
        </is>
      </c>
      <c r="D172" t="inlineStr">
        <is>
          <t>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 THE 4.4% IS THE ONLY OBSERVED GOLD-ADOPTION RATE FOR A GULF WALLET THAT EXISTS. TRIANGULATED.</t>
        </is>
      </c>
    </row>
    <row r="173">
      <c r="A173" t="inlineStr">
        <is>
          <t>AUM per adopting partner user</t>
        </is>
      </c>
      <c r="B173" s="36">
        <f>'Scenario Parameters'!$B$77</f>
        <v/>
      </c>
      <c r="C173" t="inlineStr">
        <is>
          <t>USD</t>
        </is>
      </c>
      <c r="D173" t="inlineStr">
        <is>
          <t>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is>
      </c>
    </row>
    <row r="174">
      <c r="A174" t="inlineStr">
        <is>
          <t>AUM per partner (derived)</t>
        </is>
      </c>
      <c r="B174" s="36">
        <f>'Scenario Parameters'!$B$78</f>
        <v/>
      </c>
      <c r="C174" t="inlineStr">
        <is>
          <t>USD</t>
        </is>
      </c>
      <c r="D174" t="inlineStr">
        <is>
          <t>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is>
      </c>
    </row>
    <row r="175">
      <c r="A175" t="inlineStr">
        <is>
          <t>Average monthly ticket - UAE</t>
        </is>
      </c>
      <c r="B175" s="36">
        <f>'Scenario Parameters'!$B$82</f>
        <v/>
      </c>
      <c r="C175" t="inlineStr">
        <is>
          <t>USD/month</t>
        </is>
      </c>
      <c r="D175"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6">
      <c r="A176" t="inlineStr">
        <is>
          <t>Average monthly ticket - Oman and Bahrain</t>
        </is>
      </c>
      <c r="B176" s="36">
        <f>'Scenario Parameters'!$B$83</f>
        <v/>
      </c>
      <c r="C176" t="inlineStr">
        <is>
          <t>USD/month</t>
        </is>
      </c>
      <c r="D176"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7">
      <c r="A177" t="inlineStr">
        <is>
          <t>Average monthly ticket - India</t>
        </is>
      </c>
      <c r="B177" s="36">
        <f>'Scenario Parameters'!$B$84</f>
        <v/>
      </c>
      <c r="C177" t="inlineStr">
        <is>
          <t>USD/month</t>
        </is>
      </c>
      <c r="D177"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8">
      <c r="A178" t="inlineStr">
        <is>
          <t>Prepaid instead of credit</t>
        </is>
      </c>
      <c r="B178" s="37">
        <f>'Scenario Parameters'!$B$88</f>
        <v/>
      </c>
      <c r="C178" t="inlineStr">
        <is>
          <t>1/0 switch</t>
        </is>
      </c>
      <c r="D178" t="inlineStr">
        <is>
          <t>ON (Prepaid) caps interchange at 1.00% and removes the credit stream entirely. 'NOT A PRODUCT CHOICE, IT IS THE BUSINESS MODEL.' Worth ~USD 2.3m of Y10 revenue on the ten-year run.</t>
        </is>
      </c>
    </row>
    <row r="179">
      <c r="A179" t="inlineStr">
        <is>
          <t>Holders keep the card</t>
        </is>
      </c>
      <c r="B179" s="37">
        <f>'Scenario Parameters'!$B$89</f>
        <v/>
      </c>
      <c r="C179" t="inlineStr">
        <is>
          <t>1/0 switch</t>
        </is>
      </c>
      <c r="D179" t="inlineStr">
        <is>
          <t>NOBODY HAS DECIDED THIS. It determines whether the card streams - the majority of revenue - decay with churn or are immune to it. Worth a 42% swing in terminal revenue. Default ON because nothing in the design revokes the card; report both.</t>
        </is>
      </c>
    </row>
    <row r="180">
      <c r="A180" s="9" t="inlineStr">
        <is>
          <t>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9"/>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50" customWidth="1" min="1" max="1"/>
    <col width="15" customWidth="1" min="2" max="2"/>
    <col width="14" customWidth="1" min="3" max="3"/>
    <col width="14" customWidth="1" min="4" max="4"/>
    <col width="14" customWidth="1" min="5" max="5"/>
    <col width="24" customWidth="1" min="6" max="6"/>
    <col width="118" customWidth="1" min="7" max="7"/>
  </cols>
  <sheetData>
    <row r="1">
      <c r="A1" s="10">
        <f>Cover!$B$2</f>
        <v/>
      </c>
    </row>
    <row r="2">
      <c r="A2" s="11" t="inlineStr">
        <is>
          <t>Scenario Parameters</t>
        </is>
      </c>
    </row>
    <row r="4" ht="18" customHeight="1">
      <c r="A4" s="12" t="inlineStr">
        <is>
          <t>SCENARIO SELECTOR</t>
        </is>
      </c>
      <c r="B4" s="13" t="n"/>
      <c r="C4" s="13" t="n"/>
      <c r="D4" s="13" t="n"/>
      <c r="E4" s="13" t="n"/>
    </row>
    <row r="6">
      <c r="A6" s="3" t="inlineStr">
        <is>
          <t>Select Scenario:</t>
        </is>
      </c>
      <c r="B6" s="38" t="inlineStr">
        <is>
          <t>Base</t>
        </is>
      </c>
      <c r="C6">
        <f>IF($B$6="Base",1,IF($B$6="Aggressive",2,3))</f>
        <v/>
      </c>
      <c r="D6" s="23" t="inlineStr">
        <is>
          <t>&lt;- index</t>
        </is>
      </c>
      <c r="G6" s="9" t="inlineStr">
        <is>
          <t>One switch, three columns. Every parameter below resolves through it.</t>
        </is>
      </c>
    </row>
    <row r="8" ht="18" customHeight="1">
      <c r="A8" s="12" t="inlineStr">
        <is>
          <t>GROUP A0: THE METAL</t>
        </is>
      </c>
      <c r="B8" s="13" t="n"/>
      <c r="C8" s="13" t="n"/>
      <c r="D8" s="13" t="n"/>
      <c r="E8" s="13" t="n"/>
    </row>
    <row r="9">
      <c r="A9" s="14" t="inlineStr">
        <is>
          <t>Parameter</t>
        </is>
      </c>
      <c r="B9" s="14" t="inlineStr">
        <is>
          <t>Active Value</t>
        </is>
      </c>
      <c r="C9" s="14" t="inlineStr">
        <is>
          <t>Base</t>
        </is>
      </c>
      <c r="D9" s="14" t="inlineStr">
        <is>
          <t>Aggressive</t>
        </is>
      </c>
      <c r="E9" s="14" t="inlineStr">
        <is>
          <t>Conservative</t>
        </is>
      </c>
      <c r="F9" s="14" t="inlineStr">
        <is>
          <t>Unit</t>
        </is>
      </c>
    </row>
    <row r="10">
      <c r="A10" t="inlineStr">
        <is>
          <t>Gold price appreciation</t>
        </is>
      </c>
      <c r="B10" s="39">
        <f>CHOOSE($C$6,C10,D10,E10)</f>
        <v/>
      </c>
      <c r="C10" s="16" t="n">
        <v>0.081</v>
      </c>
      <c r="D10" s="16" t="n">
        <v>0.12</v>
      </c>
      <c r="E10" s="16" t="n">
        <v>0</v>
      </c>
      <c r="F10" s="23" t="inlineStr">
        <is>
          <t>%/yr</t>
        </is>
      </c>
      <c r="G10" s="9"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2" ht="18" customHeight="1">
      <c r="A12" s="12" t="inlineStr">
        <is>
          <t>GROUP A: CUSTOMERS AND CHURN</t>
        </is>
      </c>
      <c r="B12" s="13" t="n"/>
      <c r="C12" s="13" t="n"/>
      <c r="D12" s="13" t="n"/>
      <c r="E12" s="13" t="n"/>
    </row>
    <row r="13">
      <c r="A13" s="14" t="inlineStr">
        <is>
          <t>Parameter</t>
        </is>
      </c>
      <c r="B13" s="14" t="inlineStr">
        <is>
          <t>Active Value</t>
        </is>
      </c>
      <c r="C13" s="14" t="inlineStr">
        <is>
          <t>Base</t>
        </is>
      </c>
      <c r="D13" s="14" t="inlineStr">
        <is>
          <t>Aggressive</t>
        </is>
      </c>
      <c r="E13" s="14" t="inlineStr">
        <is>
          <t>Conservative</t>
        </is>
      </c>
      <c r="F13" s="14" t="inlineStr">
        <is>
          <t>Unit</t>
        </is>
      </c>
    </row>
    <row r="14">
      <c r="A14" t="inlineStr">
        <is>
          <t>Persistency - customers still paying after 12 months</t>
        </is>
      </c>
      <c r="B14" s="40">
        <f>CHOOSE($C$6,C14,D14,E14)</f>
        <v/>
      </c>
      <c r="C14" s="19" t="n">
        <v>0.55</v>
      </c>
      <c r="D14" s="19" t="n">
        <v>0.65</v>
      </c>
      <c r="E14" s="19" t="n">
        <v>0.45</v>
      </c>
      <c r="F14" s="23" t="inlineStr">
        <is>
          <t>%</t>
        </is>
      </c>
      <c r="G14" s="9"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5">
      <c r="A15" t="inlineStr">
        <is>
          <t>Monthly churn rate (derived)</t>
        </is>
      </c>
      <c r="B15" s="39">
        <f>1-'Scenario Parameters'!$B$14^(1/12)</f>
        <v/>
      </c>
      <c r="F15" s="23" t="inlineStr">
        <is>
          <t>%/month</t>
        </is>
      </c>
      <c r="G15" s="9" t="inlineStr">
        <is>
          <t>DERIVED, not typed: the monthly rate that reproduces the persistency above over twelve months. Change persistency and this follows. Base 55% implies ~4.9%/month.</t>
        </is>
      </c>
    </row>
    <row r="16">
      <c r="A16" t="inlineStr">
        <is>
          <t>Agent productivity</t>
        </is>
      </c>
      <c r="B16" s="41">
        <f>CHOOSE($C$6,C16,D16,E16)</f>
        <v/>
      </c>
      <c r="C16" s="15" t="n">
        <v>6</v>
      </c>
      <c r="D16" s="15" t="n">
        <v>8</v>
      </c>
      <c r="E16" s="15" t="n">
        <v>3</v>
      </c>
      <c r="F16" s="23" t="inlineStr">
        <is>
          <t>accounts/agent/month</t>
        </is>
      </c>
      <c r="G16" s="9" t="inlineStr">
        <is>
          <t>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is>
      </c>
    </row>
    <row r="17">
      <c r="A17" t="inlineStr">
        <is>
          <t>Marketing CAC - UAE</t>
        </is>
      </c>
      <c r="B17" s="42">
        <f>CHOOSE($C$6,C17,D17,E17)</f>
        <v/>
      </c>
      <c r="C17" s="20" t="n">
        <v>85</v>
      </c>
      <c r="D17" s="20" t="n">
        <v>55</v>
      </c>
      <c r="E17" s="20" t="n">
        <v>140</v>
      </c>
      <c r="F17" s="23" t="inlineStr">
        <is>
          <t>USD per customer</t>
        </is>
      </c>
      <c r="G17"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8">
      <c r="A18" t="inlineStr">
        <is>
          <t>Marketing CAC - Oman and Bahrain</t>
        </is>
      </c>
      <c r="B18" s="42">
        <f>CHOOSE($C$6,C18,D18,E18)</f>
        <v/>
      </c>
      <c r="C18" s="20" t="n">
        <v>75</v>
      </c>
      <c r="D18" s="20" t="n">
        <v>50</v>
      </c>
      <c r="E18" s="20" t="n">
        <v>125</v>
      </c>
      <c r="F18" s="23" t="inlineStr">
        <is>
          <t>USD per customer</t>
        </is>
      </c>
      <c r="G18"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9">
      <c r="A19" t="inlineStr">
        <is>
          <t>Marketing CAC - India</t>
        </is>
      </c>
      <c r="B19" s="42">
        <f>CHOOSE($C$6,C19,D19,E19)</f>
        <v/>
      </c>
      <c r="C19" s="20" t="n">
        <v>15</v>
      </c>
      <c r="D19" s="20" t="n">
        <v>9</v>
      </c>
      <c r="E19" s="20" t="n">
        <v>26</v>
      </c>
      <c r="F19" s="23" t="inlineStr">
        <is>
          <t>USD per customer</t>
        </is>
      </c>
      <c r="G19"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20">
      <c r="A20" t="inlineStr">
        <is>
          <t>Marketing spend share - UAE</t>
        </is>
      </c>
      <c r="B20" s="40">
        <f>CHOOSE($C$6,C20,D20,E20)</f>
        <v/>
      </c>
      <c r="C20" s="19" t="n">
        <v>0.58</v>
      </c>
      <c r="D20" s="19" t="n">
        <v>0.58</v>
      </c>
      <c r="E20" s="19" t="n">
        <v>0.58</v>
      </c>
      <c r="F20" s="23" t="inlineStr">
        <is>
          <t>% of budget</t>
        </is>
      </c>
      <c r="G20" s="9" t="inlineStr">
        <is>
          <t>How the marketing budget is split across markets. Defaults to each region's share of the addressable ceiling, so spend follows the opportunity. Does not vary by scenario - it is a management decision, not an uncertainty. Must sum to 100%.</t>
        </is>
      </c>
    </row>
    <row r="21">
      <c r="A21" t="inlineStr">
        <is>
          <t>Marketing spend share - Oman and Bahrain</t>
        </is>
      </c>
      <c r="B21" s="40">
        <f>CHOOSE($C$6,C21,D21,E21)</f>
        <v/>
      </c>
      <c r="C21" s="19" t="n">
        <v>0.16</v>
      </c>
      <c r="D21" s="19" t="n">
        <v>0.16</v>
      </c>
      <c r="E21" s="19" t="n">
        <v>0.16</v>
      </c>
      <c r="F21" s="23" t="inlineStr">
        <is>
          <t>% of budget</t>
        </is>
      </c>
      <c r="G21" s="9" t="inlineStr">
        <is>
          <t>How the marketing budget is split across markets. Defaults to each region's share of the addressable ceiling, so spend follows the opportunity. Does not vary by scenario - it is a management decision, not an uncertainty. Must sum to 100%.</t>
        </is>
      </c>
    </row>
    <row r="22">
      <c r="A22" t="inlineStr">
        <is>
          <t>Marketing spend share - India</t>
        </is>
      </c>
      <c r="B22" s="40">
        <f>CHOOSE($C$6,C22,D22,E22)</f>
        <v/>
      </c>
      <c r="C22" s="19" t="n">
        <v>0.26</v>
      </c>
      <c r="D22" s="19" t="n">
        <v>0.26</v>
      </c>
      <c r="E22" s="19" t="n">
        <v>0.26</v>
      </c>
      <c r="F22" s="23" t="inlineStr">
        <is>
          <t>% of budget</t>
        </is>
      </c>
      <c r="G22" s="9" t="inlineStr">
        <is>
          <t>How the marketing budget is split across markets. Defaults to each region's share of the addressable ceiling, so spend follows the opportunity. Does not vary by scenario - it is a management decision, not an uncertainty. Must sum to 100%.</t>
        </is>
      </c>
    </row>
    <row r="23">
      <c r="A23" t="inlineStr">
        <is>
          <t>Referral rate</t>
        </is>
      </c>
      <c r="B23" s="41">
        <f>CHOOSE($C$6,C23,D23,E23)</f>
        <v/>
      </c>
      <c r="C23" s="15" t="n">
        <v>0.6</v>
      </c>
      <c r="D23" s="15" t="n">
        <v>1.1</v>
      </c>
      <c r="E23" s="15" t="n">
        <v>0.25</v>
      </c>
      <c r="F23" s="23" t="inlineStr">
        <is>
          <t>referrals/customer/yr</t>
        </is>
      </c>
      <c r="G23" s="9" t="inlineStr">
        <is>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 IT IS STILL AN ASSUMPTION WITH NO EXTERNAL ANCHOR, and it compounds: referrals feed the paying base, which feeds more referrals. That loop is the reason this parameter is more load-bearing than its size suggests. ASSUMPTION.</t>
        </is>
      </c>
    </row>
    <row r="24">
      <c r="A24" t="inlineStr">
        <is>
          <t>Referral conversion</t>
        </is>
      </c>
      <c r="B24" s="40">
        <f>CHOOSE($C$6,C24,D24,E24)</f>
        <v/>
      </c>
      <c r="C24" s="19" t="n">
        <v>0.62</v>
      </c>
      <c r="D24" s="19" t="n">
        <v>0.72</v>
      </c>
      <c r="E24" s="19" t="n">
        <v>0.48</v>
      </c>
      <c r="F24" s="23" t="inlineStr">
        <is>
          <t>%</t>
        </is>
      </c>
      <c r="G24" s="9" t="inlineStr">
        <is>
          <t>The M7 survival of the referred cohort, uplifted ~1.1x. DERIVED.</t>
        </is>
      </c>
    </row>
    <row r="25">
      <c r="A25" t="inlineStr">
        <is>
          <t>Organic share of direct</t>
        </is>
      </c>
      <c r="B25" s="40">
        <f>CHOOSE($C$6,C25,D25,E25)</f>
        <v/>
      </c>
      <c r="C25" s="19" t="n">
        <v>0.25</v>
      </c>
      <c r="D25" s="19" t="n">
        <v>0.4</v>
      </c>
      <c r="E25" s="19" t="n">
        <v>0.1</v>
      </c>
      <c r="F25" s="23" t="inlineStr">
        <is>
          <t>% of direct</t>
        </is>
      </c>
      <c r="G25" s="9" t="inlineStr">
        <is>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 NO EXTERNAL ANCHOR AT EITHER LEVEL, and it is arithmetically identical to a 12% CAC reduction - so raising this AND cutting CAC in the same pass is close to taking the same benefit twice. ASSUMPTION.</t>
        </is>
      </c>
    </row>
    <row r="26">
      <c r="A26" t="inlineStr">
        <is>
          <t>Seasonality amplitude</t>
        </is>
      </c>
      <c r="B26" s="41">
        <f>CHOOSE($C$6,C26,D26,E26)</f>
        <v/>
      </c>
      <c r="C26" s="15" t="n">
        <v>1</v>
      </c>
      <c r="D26" s="15" t="n">
        <v>1.4</v>
      </c>
      <c r="E26" s="15" t="n">
        <v>0.6</v>
      </c>
      <c r="F26" s="23" t="inlineStr">
        <is>
          <t>x deviation from 1.0</t>
        </is>
      </c>
      <c r="G26" s="9" t="inlineStr">
        <is>
          <t>Festival TIMING is sourced; how hard a Dubai savings signup responds to Dhanteras is the open question. Applied to the deviation from 1.0, then renormalised, so the vectors stay at exactly 12.000.</t>
        </is>
      </c>
    </row>
    <row r="28" ht="18" customHeight="1">
      <c r="A28" s="12" t="inlineStr">
        <is>
          <t>GROUP B: CARD ELIGIBILITY - the two cells that replace the archetype engine</t>
        </is>
      </c>
      <c r="B28" s="13" t="n"/>
      <c r="C28" s="13" t="n"/>
      <c r="D28" s="13" t="n"/>
      <c r="E28" s="13" t="n"/>
    </row>
    <row r="29">
      <c r="A29" s="14" t="inlineStr">
        <is>
          <t>Parameter</t>
        </is>
      </c>
      <c r="B29" s="14" t="inlineStr">
        <is>
          <t>Active Value</t>
        </is>
      </c>
      <c r="C29" s="14" t="inlineStr">
        <is>
          <t>Base</t>
        </is>
      </c>
      <c r="D29" s="14" t="inlineStr">
        <is>
          <t>Aggressive</t>
        </is>
      </c>
      <c r="E29" s="14" t="inlineStr">
        <is>
          <t>Conservative</t>
        </is>
      </c>
      <c r="F29" s="14" t="inlineStr">
        <is>
          <t>Unit</t>
        </is>
      </c>
    </row>
    <row r="30">
      <c r="A30" t="inlineStr">
        <is>
          <t>Customers who EVER clear the six-payment gate</t>
        </is>
      </c>
      <c r="B30" s="40">
        <f>CHOOSE($C$6,C30,D30,E30)</f>
        <v/>
      </c>
      <c r="C30" s="19" t="n">
        <v>0.55</v>
      </c>
      <c r="D30" s="19" t="n">
        <v>0.65</v>
      </c>
      <c r="E30" s="19" t="n">
        <v>0.45</v>
      </c>
      <c r="F30" s="23" t="inlineStr">
        <is>
          <t>% of customers</t>
        </is>
      </c>
      <c r="G30" s="9"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31">
      <c r="A31" t="inlineStr">
        <is>
          <t>Average months to clear the gate</t>
        </is>
      </c>
      <c r="B31" s="31">
        <f>CHOOSE($C$6,C31,D31,E31)</f>
        <v/>
      </c>
      <c r="C31" s="17" t="n">
        <v>8</v>
      </c>
      <c r="D31" s="17" t="n">
        <v>6</v>
      </c>
      <c r="E31" s="17" t="n">
        <v>11</v>
      </c>
      <c r="F31" s="23" t="inlineStr">
        <is>
          <t>months</t>
        </is>
      </c>
      <c r="G31" s="9"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33" ht="18" customHeight="1">
      <c r="A33" s="12" t="inlineStr">
        <is>
          <t>GROUP C: AUM, LEAKAGE AND SPOT</t>
        </is>
      </c>
      <c r="B33" s="13" t="n"/>
      <c r="C33" s="13" t="n"/>
      <c r="D33" s="13" t="n"/>
      <c r="E33" s="13" t="n"/>
    </row>
    <row r="34">
      <c r="A34" s="14" t="inlineStr">
        <is>
          <t>Parameter</t>
        </is>
      </c>
      <c r="B34" s="14" t="inlineStr">
        <is>
          <t>Active Value</t>
        </is>
      </c>
      <c r="C34" s="14" t="inlineStr">
        <is>
          <t>Base</t>
        </is>
      </c>
      <c r="D34" s="14" t="inlineStr">
        <is>
          <t>Aggressive</t>
        </is>
      </c>
      <c r="E34" s="14" t="inlineStr">
        <is>
          <t>Conservative</t>
        </is>
      </c>
      <c r="F34" s="14" t="inlineStr">
        <is>
          <t>Unit</t>
        </is>
      </c>
    </row>
    <row r="35">
      <c r="A35" t="inlineStr">
        <is>
          <t>Gold moved out of Aurumix's control</t>
        </is>
      </c>
      <c r="B35" s="40">
        <f>CHOOSE($C$6,C35,D35,E35)</f>
        <v/>
      </c>
      <c r="C35" s="19" t="n">
        <v>0.06</v>
      </c>
      <c r="D35" s="19" t="n">
        <v>0.03</v>
      </c>
      <c r="E35" s="19" t="n">
        <v>0.18</v>
      </c>
      <c r="F35" s="23" t="inlineStr">
        <is>
          <t>% of AUM/yr</t>
        </is>
      </c>
      <c r="G35" s="9" t="inlineStr">
        <is>
          <t>HALVED 2026-08-21 from 0.12, client instruction. ⚠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is>
      </c>
    </row>
    <row r="36">
      <c r="A36" t="inlineStr">
        <is>
          <t>Redemption rate</t>
        </is>
      </c>
      <c r="B36" s="40">
        <f>CHOOSE($C$6,C36,D36,E36)</f>
        <v/>
      </c>
      <c r="C36" s="19" t="n">
        <v>0.06</v>
      </c>
      <c r="D36" s="19" t="n">
        <v>0.035</v>
      </c>
      <c r="E36" s="19" t="n">
        <v>0.12</v>
      </c>
      <c r="F36" s="23" t="inlineStr">
        <is>
          <t>% of AUM/yr</t>
        </is>
      </c>
      <c r="G36" s="9" t="inlineStr">
        <is>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is>
      </c>
    </row>
    <row r="37">
      <c r="A37" t="inlineStr">
        <is>
          <t>Holder redemption multiplier</t>
        </is>
      </c>
      <c r="B37" s="41">
        <f>CHOOSE($C$6,C37,D37,E37)</f>
        <v/>
      </c>
      <c r="C37" s="15" t="n">
        <v>1.6</v>
      </c>
      <c r="D37" s="15" t="n">
        <v>1.3</v>
      </c>
      <c r="E37" s="15" t="n">
        <v>2.8</v>
      </c>
      <c r="F37" s="23" t="inlineStr">
        <is>
          <t>x the paying rate</t>
        </is>
      </c>
      <c r="G37" s="9" t="inlineStr">
        <is>
          <t>LOWERED 2026-08-21 from 2.2, client instruction. ⚠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is>
      </c>
    </row>
    <row r="38">
      <c r="A38" t="inlineStr">
        <is>
          <t>Spot attach scenario multiplier</t>
        </is>
      </c>
      <c r="B38" s="41">
        <f>CHOOSE($C$6,C38,D38,E38)</f>
        <v/>
      </c>
      <c r="C38" s="15" t="n">
        <v>1</v>
      </c>
      <c r="D38" s="15" t="n">
        <v>1.7</v>
      </c>
      <c r="E38" s="15" t="n">
        <v>0.5</v>
      </c>
      <c r="F38" s="23" t="inlineStr">
        <is>
          <t>x the regional attach</t>
        </is>
      </c>
      <c r="G38" s="9"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39">
      <c r="A39" t="inlineStr">
        <is>
          <t>Spot ticket scenario multiplier</t>
        </is>
      </c>
      <c r="B39" s="41">
        <f>CHOOSE($C$6,C39,D39,E39)</f>
        <v/>
      </c>
      <c r="C39" s="15" t="n">
        <v>1</v>
      </c>
      <c r="D39" s="15" t="n">
        <v>1.35</v>
      </c>
      <c r="E39" s="15" t="n">
        <v>0.7</v>
      </c>
      <c r="F39" s="23" t="inlineStr">
        <is>
          <t>x the observed ticket</t>
        </is>
      </c>
      <c r="G39" s="9"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40">
      <c r="A40" t="inlineStr">
        <is>
          <t>Spot frequency</t>
        </is>
      </c>
      <c r="B40" s="41">
        <f>CHOOSE($C$6,C40,D40,E40)</f>
        <v/>
      </c>
      <c r="C40" s="15" t="n">
        <v>1.7</v>
      </c>
      <c r="D40" s="15" t="n">
        <v>2.4</v>
      </c>
      <c r="E40" s="15" t="n">
        <v>1.2</v>
      </c>
      <c r="F40" s="23" t="inlineStr">
        <is>
          <t>events/attacher/yr</t>
        </is>
      </c>
      <c r="G40" s="9" t="inlineStr">
        <is>
          <t>⚠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42" ht="18" customHeight="1">
      <c r="A42" s="12" t="inlineStr">
        <is>
          <t>GROUP D: CARD</t>
        </is>
      </c>
      <c r="B42" s="13" t="n"/>
      <c r="C42" s="13" t="n"/>
      <c r="D42" s="13" t="n"/>
      <c r="E42" s="13" t="n"/>
    </row>
    <row r="43">
      <c r="A43" s="14" t="inlineStr">
        <is>
          <t>Parameter</t>
        </is>
      </c>
      <c r="B43" s="14" t="inlineStr">
        <is>
          <t>Active Value</t>
        </is>
      </c>
      <c r="C43" s="14" t="inlineStr">
        <is>
          <t>Base</t>
        </is>
      </c>
      <c r="D43" s="14" t="inlineStr">
        <is>
          <t>Aggressive</t>
        </is>
      </c>
      <c r="E43" s="14" t="inlineStr">
        <is>
          <t>Conservative</t>
        </is>
      </c>
      <c r="F43" s="14" t="inlineStr">
        <is>
          <t>Unit</t>
        </is>
      </c>
    </row>
    <row r="44">
      <c r="A44" t="inlineStr">
        <is>
          <t>Programme manager share of interchange</t>
        </is>
      </c>
      <c r="B44" s="40">
        <f>CHOOSE($C$6,C44,D44,E44)</f>
        <v/>
      </c>
      <c r="C44" s="19" t="n">
        <v>0.72</v>
      </c>
      <c r="D44" s="19" t="n">
        <v>0.85</v>
      </c>
      <c r="E44" s="19" t="n">
        <v>0.55</v>
      </c>
      <c r="F44" s="23" t="inlineStr">
        <is>
          <t>%</t>
        </is>
      </c>
      <c r="G44" s="9" t="inlineStr">
        <is>
          <t>SIZES THE LARGEST STREAM. No UAE/MENA figure is published. FLOOR IS 36% - take that into the sponsor conversation as the walk-away. TRIANGULATED.</t>
        </is>
      </c>
    </row>
    <row r="45">
      <c r="A45" t="inlineStr">
        <is>
          <t>Facility take-up - customers who take AND use the card</t>
        </is>
      </c>
      <c r="B45" s="40">
        <f>CHOOSE($C$6,C45,D45,E45)</f>
        <v/>
      </c>
      <c r="C45" s="19" t="n">
        <v>0.18</v>
      </c>
      <c r="D45" s="19" t="n">
        <v>0.3</v>
      </c>
      <c r="E45" s="19" t="n">
        <v>0.08</v>
      </c>
      <c r="F45" s="23" t="inlineStr">
        <is>
          <t>% of gate-cleared</t>
        </is>
      </c>
      <c r="G45" s="9"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is>
      </c>
    </row>
    <row r="46">
      <c r="A46" t="inlineStr">
        <is>
          <t>Transactions per drawdown event</t>
        </is>
      </c>
      <c r="B46" s="31">
        <f>CHOOSE($C$6,C46,D46,E46)</f>
        <v/>
      </c>
      <c r="C46" s="17" t="n">
        <v>4</v>
      </c>
      <c r="D46" s="17" t="n">
        <v>6</v>
      </c>
      <c r="E46" s="17" t="n">
        <v>2</v>
      </c>
      <c r="F46" s="23" t="inlineStr">
        <is>
          <t>transactions/draw</t>
        </is>
      </c>
      <c r="G46" s="9"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47">
      <c r="A47" t="inlineStr">
        <is>
          <t>Foreign spend share (mean)</t>
        </is>
      </c>
      <c r="B47" s="40">
        <f>CHOOSE($C$6,C47,D47,E47)</f>
        <v/>
      </c>
      <c r="C47" s="19" t="n">
        <v>0.34</v>
      </c>
      <c r="D47" s="19" t="n">
        <v>0.45</v>
      </c>
      <c r="E47" s="19" t="n">
        <v>0.24</v>
      </c>
      <c r="F47" s="23" t="inlineStr">
        <is>
          <t>% of card spend</t>
        </is>
      </c>
      <c r="G47" s="9" t="inlineStr">
        <is>
          <t>Applied through the seasonal vector, not as a constant. ASSUMPTION.</t>
        </is>
      </c>
    </row>
    <row r="48">
      <c r="A48" t="inlineStr">
        <is>
          <t>Card issuance events</t>
        </is>
      </c>
      <c r="B48" s="41">
        <f>CHOOSE($C$6,C48,D48,E48)</f>
        <v/>
      </c>
      <c r="C48" s="15" t="n">
        <v>1.06</v>
      </c>
      <c r="D48" s="15" t="n">
        <v>1.04</v>
      </c>
      <c r="E48" s="15" t="n">
        <v>1.1</v>
      </c>
      <c r="F48" s="23" t="inlineStr">
        <is>
          <t>events/card/yr</t>
        </is>
      </c>
      <c r="G48" s="9" t="inlineStr">
        <is>
          <t>1.00 at activation plus reissues - a tier upgrade forces a physical reissue. ASSUMPTION.</t>
        </is>
      </c>
    </row>
    <row r="49">
      <c r="A49" t="inlineStr">
        <is>
          <t>Card replacement events</t>
        </is>
      </c>
      <c r="B49" s="41">
        <f>CHOOSE($C$6,C49,D49,E49)</f>
        <v/>
      </c>
      <c r="C49" s="15" t="n">
        <v>0.11</v>
      </c>
      <c r="D49" s="15" t="n">
        <v>0.07000000000000001</v>
      </c>
      <c r="E49" s="15" t="n">
        <v>0.18</v>
      </c>
      <c r="F49" s="23" t="inlineStr">
        <is>
          <t>events/card/yr</t>
        </is>
      </c>
      <c r="G49" s="9" t="inlineStr">
        <is>
          <t>Industry-normal loss/theft/damage is 8-15% annually. ASSUMPTION.</t>
        </is>
      </c>
    </row>
    <row r="50">
      <c r="A50" t="inlineStr">
        <is>
          <t>ATM AED 0-500 - share of cardholders</t>
        </is>
      </c>
      <c r="B50" s="40">
        <f>CHOOSE($C$6,C50,D50,E50)</f>
        <v/>
      </c>
      <c r="C50" s="19" t="n">
        <v>0.6</v>
      </c>
      <c r="D50" s="19" t="n">
        <v>0.42</v>
      </c>
      <c r="E50" s="19" t="n">
        <v>0.74</v>
      </c>
      <c r="F50" s="23" t="inlineStr">
        <is>
          <t>%</t>
        </is>
      </c>
      <c r="G50"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1">
      <c r="A51" t="inlineStr">
        <is>
          <t>ATM AED 500-1,500 - share of cardholders</t>
        </is>
      </c>
      <c r="B51" s="40">
        <f>CHOOSE($C$6,C51,D51,E51)</f>
        <v/>
      </c>
      <c r="C51" s="19" t="n">
        <v>0.25</v>
      </c>
      <c r="D51" s="19" t="n">
        <v>0.3</v>
      </c>
      <c r="E51" s="19" t="n">
        <v>0.18</v>
      </c>
      <c r="F51" s="23" t="inlineStr">
        <is>
          <t>%</t>
        </is>
      </c>
      <c r="G51"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2">
      <c r="A52" t="inlineStr">
        <is>
          <t>ATM AED 1,500-3,000 - share of cardholders</t>
        </is>
      </c>
      <c r="B52" s="40">
        <f>CHOOSE($C$6,C52,D52,E52)</f>
        <v/>
      </c>
      <c r="C52" s="19" t="n">
        <v>0.12</v>
      </c>
      <c r="D52" s="19" t="n">
        <v>0.2</v>
      </c>
      <c r="E52" s="19" t="n">
        <v>0.06</v>
      </c>
      <c r="F52" s="23" t="inlineStr">
        <is>
          <t>%</t>
        </is>
      </c>
      <c r="G52"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3">
      <c r="A53" t="inlineStr">
        <is>
          <t>ATM AED 3,000+ - share of cardholders</t>
        </is>
      </c>
      <c r="B53" s="40">
        <f>CHOOSE($C$6,C53,D53,E53)</f>
        <v/>
      </c>
      <c r="C53" s="19" t="n">
        <v>0.03</v>
      </c>
      <c r="D53" s="19" t="n">
        <v>0.08</v>
      </c>
      <c r="E53" s="19" t="n">
        <v>0.02</v>
      </c>
      <c r="F53" s="23" t="inlineStr">
        <is>
          <t>%</t>
        </is>
      </c>
      <c r="G53"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4">
      <c r="A54" t="inlineStr">
        <is>
          <t>ATM AED 0-500 - midpoint draw</t>
        </is>
      </c>
      <c r="B54" s="31">
        <f>CHOOSE($C$6,C54,D54,E54)</f>
        <v/>
      </c>
      <c r="C54" s="17" t="n">
        <v>250</v>
      </c>
      <c r="D54" s="17" t="n">
        <v>300</v>
      </c>
      <c r="E54" s="17" t="n">
        <v>200</v>
      </c>
      <c r="F54" s="23" t="inlineStr">
        <is>
          <t>AED/month</t>
        </is>
      </c>
      <c r="G54" s="9" t="inlineStr">
        <is>
          <t>Raising the allowance at the top tier waives revenue from only the top ~3% of cardholders.</t>
        </is>
      </c>
    </row>
    <row r="55">
      <c r="A55" t="inlineStr">
        <is>
          <t>ATM AED 500-1,500 - midpoint draw</t>
        </is>
      </c>
      <c r="B55" s="31">
        <f>CHOOSE($C$6,C55,D55,E55)</f>
        <v/>
      </c>
      <c r="C55" s="17" t="n">
        <v>1000</v>
      </c>
      <c r="D55" s="17" t="n">
        <v>1100</v>
      </c>
      <c r="E55" s="17" t="n">
        <v>900</v>
      </c>
      <c r="F55" s="23" t="inlineStr">
        <is>
          <t>AED/month</t>
        </is>
      </c>
      <c r="G55" s="9" t="inlineStr">
        <is>
          <t>Raising the allowance at the top tier waives revenue from only the top ~3% of cardholders.</t>
        </is>
      </c>
    </row>
    <row r="56">
      <c r="A56" t="inlineStr">
        <is>
          <t>ATM AED 1,500-3,000 - midpoint draw</t>
        </is>
      </c>
      <c r="B56" s="31">
        <f>CHOOSE($C$6,C56,D56,E56)</f>
        <v/>
      </c>
      <c r="C56" s="17" t="n">
        <v>2250</v>
      </c>
      <c r="D56" s="17" t="n">
        <v>2400</v>
      </c>
      <c r="E56" s="17" t="n">
        <v>2100</v>
      </c>
      <c r="F56" s="23" t="inlineStr">
        <is>
          <t>AED/month</t>
        </is>
      </c>
      <c r="G56" s="9" t="inlineStr">
        <is>
          <t>Raising the allowance at the top tier waives revenue from only the top ~3% of cardholders.</t>
        </is>
      </c>
    </row>
    <row r="57">
      <c r="A57" t="inlineStr">
        <is>
          <t>ATM AED 3,000+ - midpoint draw</t>
        </is>
      </c>
      <c r="B57" s="31">
        <f>CHOOSE($C$6,C57,D57,E57)</f>
        <v/>
      </c>
      <c r="C57" s="17" t="n">
        <v>4000</v>
      </c>
      <c r="D57" s="17" t="n">
        <v>4500</v>
      </c>
      <c r="E57" s="17" t="n">
        <v>3600</v>
      </c>
      <c r="F57" s="23" t="inlineStr">
        <is>
          <t>AED/month</t>
        </is>
      </c>
      <c r="G57" s="9" t="inlineStr">
        <is>
          <t>Raising the allowance at the top tier waives revenue from only the top ~3% of cardholders.</t>
        </is>
      </c>
    </row>
    <row r="59" ht="18" customHeight="1">
      <c r="A59" s="12" t="inlineStr">
        <is>
          <t>GROUP E: CREDIT, B2B AND FAMILY</t>
        </is>
      </c>
      <c r="B59" s="13" t="n"/>
      <c r="C59" s="13" t="n"/>
      <c r="D59" s="13" t="n"/>
      <c r="E59" s="13" t="n"/>
    </row>
    <row r="60">
      <c r="A60" s="14" t="inlineStr">
        <is>
          <t>Parameter</t>
        </is>
      </c>
      <c r="B60" s="14" t="inlineStr">
        <is>
          <t>Active Value</t>
        </is>
      </c>
      <c r="C60" s="14" t="inlineStr">
        <is>
          <t>Base</t>
        </is>
      </c>
      <c r="D60" s="14" t="inlineStr">
        <is>
          <t>Aggressive</t>
        </is>
      </c>
      <c r="E60" s="14" t="inlineStr">
        <is>
          <t>Conservative</t>
        </is>
      </c>
      <c r="F60" s="14" t="inlineStr">
        <is>
          <t>Unit</t>
        </is>
      </c>
    </row>
    <row r="61">
      <c r="A61" t="inlineStr">
        <is>
          <t>Drawn as % of permitted limit</t>
        </is>
      </c>
      <c r="B61" s="40">
        <f>CHOOSE($C$6,C61,D61,E61)</f>
        <v/>
      </c>
      <c r="C61" s="19" t="n">
        <v>0.5</v>
      </c>
      <c r="D61" s="19" t="n">
        <v>0.7</v>
      </c>
      <c r="E61" s="19" t="n">
        <v>0.3</v>
      </c>
      <c r="F61" s="23" t="inlineStr">
        <is>
          <t>%</t>
        </is>
      </c>
      <c r="G61" s="9" t="inlineStr">
        <is>
          <t>Revolving facilities draw 40-55% of permitted. This now drives CARD SPEND as well as the loan balance, because the card is the drawdown mechanism. TRIANGULATED.</t>
        </is>
      </c>
    </row>
    <row r="62">
      <c r="A62" t="inlineStr">
        <is>
          <t>Facility turnover, peak -&gt; average</t>
        </is>
      </c>
      <c r="B62" s="41">
        <f>CHOOSE($C$6,C62,D62,E62)</f>
        <v/>
      </c>
      <c r="C62" s="15" t="n">
        <v>0.42</v>
      </c>
      <c r="D62" s="15" t="n">
        <v>0.55</v>
      </c>
      <c r="E62" s="15" t="n">
        <v>0.3</v>
      </c>
      <c r="F62" s="23" t="inlineStr">
        <is>
          <t>x peak drawn</t>
        </is>
      </c>
      <c r="G62" s="9" t="inlineStr">
        <is>
          <t>AN ARITHMETIC CORRECTION, not a sensitivity, derived from Manappuram's 71-day realised tenor. It cuts the lending stream by 1.88x. DERIVED.</t>
        </is>
      </c>
    </row>
    <row r="63">
      <c r="A63" t="inlineStr">
        <is>
          <t>Draw events per borrower per year</t>
        </is>
      </c>
      <c r="B63" s="41">
        <f>CHOOSE($C$6,C63,D63,E63)</f>
        <v/>
      </c>
      <c r="C63" s="15" t="n">
        <v>2.1</v>
      </c>
      <c r="D63" s="15" t="n">
        <v>3.2</v>
      </c>
      <c r="E63" s="15" t="n">
        <v>1.3</v>
      </c>
      <c r="F63" s="23" t="inlineStr">
        <is>
          <t>events/yr</t>
        </is>
      </c>
      <c r="G63" s="9" t="inlineStr">
        <is>
          <t>MOVES WITH facility turnover - do not flex independently. DERIVED.</t>
        </is>
      </c>
    </row>
    <row r="64">
      <c r="A64" t="inlineStr">
        <is>
          <t>Family plan attach rate</t>
        </is>
      </c>
      <c r="B64" s="40">
        <f>CHOOSE($C$6,C64,D64,E64)</f>
        <v/>
      </c>
      <c r="C64" s="19" t="n">
        <v>0.15</v>
      </c>
      <c r="D64" s="19" t="n">
        <v>0.25</v>
      </c>
      <c r="E64" s="19" t="n">
        <v>0.08</v>
      </c>
      <c r="F64" s="23" t="inlineStr">
        <is>
          <t>% of NEW customers</t>
        </is>
      </c>
      <c r="G64" s="9" t="inlineStr">
        <is>
          <t>SET AT 0.15 on 2026-08-21, client instruction - the same day it came DOWN from 0.20 to 0.08, so it has landed close to where it started. What has genuinely changed is not the number but the STRUCTURE. ⚠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is at the top of the normal range for an OPTIONAL PAID extra on a savings product, which is low single digits to low teens. ⚠ IT IS NOT EQUIVALENT TO THE OLD 20% AND SHOULD NOT BE READ AS A PARTIAL REVERSAL: 20% was a permanent share of the whole book that could never decay, while 15% applies once, on joining, to a balance that then churns at ~7.1% a month. The standing share of paying customers holding a plan settles near 10.5%, not 15%. NOTHING IS STATED ANYWHERE IN THE CORPUS and no attach benchmark exists for this kind of add-on. ASSUMPTION.</t>
        </is>
      </c>
    </row>
    <row r="65">
      <c r="A65" t="inlineStr">
        <is>
          <t>Family plan cancellation rate (incremental)</t>
        </is>
      </c>
      <c r="B65" s="40">
        <f>CHOOSE($C$6,C65,D65,E65)</f>
        <v/>
      </c>
      <c r="C65" s="19" t="n">
        <v>0.25</v>
      </c>
      <c r="D65" s="19" t="n">
        <v>0.15</v>
      </c>
      <c r="E65" s="19" t="n">
        <v>0.4</v>
      </c>
      <c r="F65" s="23" t="inlineStr">
        <is>
          <t>%/yr</t>
        </is>
      </c>
      <c r="G65" s="9" t="inlineStr">
        <is>
          <t>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is>
      </c>
    </row>
    <row r="66">
      <c r="A66" t="inlineStr">
        <is>
          <t>Beneficiaries named per plan</t>
        </is>
      </c>
      <c r="B66" s="41">
        <f>CHOOSE($C$6,C66,D66,E66)</f>
        <v/>
      </c>
      <c r="C66" s="15" t="n">
        <v>2.5</v>
      </c>
      <c r="D66" s="15" t="n">
        <v>3.5</v>
      </c>
      <c r="E66" s="15" t="n">
        <v>1.6</v>
      </c>
      <c r="F66" s="23" t="inlineStr">
        <is>
          <t>beneficiaries</t>
        </is>
      </c>
      <c r="G66" s="9" t="inlineStr">
        <is>
          <t>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 NOT THE SAME AS HOUSEHOLD SIZE - a beneficiary is a named, identity-verified person on a legal instrument, and people name fewer than they support. ASSUMPTION anchored on demographics.</t>
        </is>
      </c>
    </row>
    <row r="67">
      <c r="A67" t="inlineStr">
        <is>
          <t>Family plan monthly churn, combined (derived)</t>
        </is>
      </c>
      <c r="B67" s="39">
        <f>1-(1-'Scenario Parameters'!$B$15)*(1-'Scenario Parameters'!$B$65)^(1/12)</f>
        <v/>
      </c>
      <c r="F67" s="23" t="inlineStr">
        <is>
          <t>%/month</t>
        </is>
      </c>
      <c r="G67" s="9" t="inlineStr">
        <is>
          <t>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is>
      </c>
    </row>
    <row r="68">
      <c r="A68" t="inlineStr">
        <is>
          <t>B2B partners - Y1</t>
        </is>
      </c>
      <c r="B68" s="31">
        <f>CHOOSE($C$6,C68,D68,E68)</f>
        <v/>
      </c>
      <c r="C68" s="17" t="n">
        <v>0</v>
      </c>
      <c r="D68" s="17" t="n">
        <v>0</v>
      </c>
      <c r="E68" s="17" t="n">
        <v>0</v>
      </c>
      <c r="F68" s="23" t="inlineStr">
        <is>
          <t>partners</t>
        </is>
      </c>
      <c r="G68"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69">
      <c r="A69" t="inlineStr">
        <is>
          <t>B2B partners - Y2</t>
        </is>
      </c>
      <c r="B69" s="31">
        <f>CHOOSE($C$6,C69,D69,E69)</f>
        <v/>
      </c>
      <c r="C69" s="17" t="n">
        <v>1</v>
      </c>
      <c r="D69" s="17" t="n">
        <v>2</v>
      </c>
      <c r="E69" s="17" t="n">
        <v>1</v>
      </c>
      <c r="F69" s="23" t="inlineStr">
        <is>
          <t>partners</t>
        </is>
      </c>
      <c r="G69"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0">
      <c r="A70" t="inlineStr">
        <is>
          <t>B2B partners - Y3</t>
        </is>
      </c>
      <c r="B70" s="31">
        <f>CHOOSE($C$6,C70,D70,E70)</f>
        <v/>
      </c>
      <c r="C70" s="17" t="n">
        <v>3</v>
      </c>
      <c r="D70" s="17" t="n">
        <v>5</v>
      </c>
      <c r="E70" s="17" t="n">
        <v>1</v>
      </c>
      <c r="F70" s="23" t="inlineStr">
        <is>
          <t>partners</t>
        </is>
      </c>
      <c r="G70"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1">
      <c r="A71" t="inlineStr">
        <is>
          <t>B2B partners - Y4</t>
        </is>
      </c>
      <c r="B71" s="31">
        <f>CHOOSE($C$6,C71,D71,E71)</f>
        <v/>
      </c>
      <c r="C71" s="17" t="n">
        <v>5</v>
      </c>
      <c r="D71" s="17" t="n">
        <v>8</v>
      </c>
      <c r="E71" s="17" t="n">
        <v>2</v>
      </c>
      <c r="F71" s="23" t="inlineStr">
        <is>
          <t>partners</t>
        </is>
      </c>
      <c r="G71"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2">
      <c r="A72" t="inlineStr">
        <is>
          <t>B2B partners - Y5</t>
        </is>
      </c>
      <c r="B72" s="31">
        <f>CHOOSE($C$6,C72,D72,E72)</f>
        <v/>
      </c>
      <c r="C72" s="17" t="n">
        <v>7</v>
      </c>
      <c r="D72" s="17" t="n">
        <v>11</v>
      </c>
      <c r="E72" s="17" t="n">
        <v>3</v>
      </c>
      <c r="F72" s="23" t="inlineStr">
        <is>
          <t>partners</t>
        </is>
      </c>
      <c r="G72"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3">
      <c r="A73" t="inlineStr">
        <is>
          <t>B2B partners - Y6</t>
        </is>
      </c>
      <c r="B73" s="31">
        <f>CHOOSE($C$6,C73,D73,E73)</f>
        <v/>
      </c>
      <c r="C73" s="17" t="n">
        <v>9</v>
      </c>
      <c r="D73" s="17" t="n">
        <v>14</v>
      </c>
      <c r="E73" s="17" t="n">
        <v>4</v>
      </c>
      <c r="F73" s="23" t="inlineStr">
        <is>
          <t>partners</t>
        </is>
      </c>
      <c r="G73"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4">
      <c r="A74" t="inlineStr">
        <is>
          <t>B2B partners - Y7</t>
        </is>
      </c>
      <c r="B74" s="31">
        <f>CHOOSE($C$6,C74,D74,E74)</f>
        <v/>
      </c>
      <c r="C74" s="17" t="n">
        <v>11</v>
      </c>
      <c r="D74" s="17" t="n">
        <v>17</v>
      </c>
      <c r="E74" s="17" t="n">
        <v>5</v>
      </c>
      <c r="F74" s="23" t="inlineStr">
        <is>
          <t>partners</t>
        </is>
      </c>
      <c r="G74"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5">
      <c r="A75" t="inlineStr">
        <is>
          <t>Average partner user base</t>
        </is>
      </c>
      <c r="B75" s="31">
        <f>CHOOSE($C$6,C75,D75,E75)</f>
        <v/>
      </c>
      <c r="C75" s="17" t="n">
        <v>900000</v>
      </c>
      <c r="D75" s="17" t="n">
        <v>1400000</v>
      </c>
      <c r="E75" s="17" t="n">
        <v>500000</v>
      </c>
      <c r="F75" s="23" t="inlineStr">
        <is>
          <t>active users</t>
        </is>
      </c>
      <c r="G75" s="9" t="inlineStr">
        <is>
          <t>THE MIX, NOT THE BIGGEST. A realistic six-partner Gulf book is roughly one Botim-scale (1.7m ACTIVE fintech users, of 8.2-8.5m app users), two at e&amp; money scale (~1.5m subscribers), and three small wallets at a few hundred thousand - which averages near 900k. ⚠ USE ACTIVE USERS, NOT REGISTERED: Botim's own numbers separate 8.5m app users, 3m KYC'd and 1.7m active fintech users, and adopting the headline would overstate this by 5x. CITED for the two largest, ASSUMPTION for the tail.</t>
        </is>
      </c>
    </row>
    <row r="76">
      <c r="A76" t="inlineStr">
        <is>
          <t>Partner users adopting gold (mature)</t>
        </is>
      </c>
      <c r="B76" s="40">
        <f>CHOOSE($C$6,C76,D76,E76)</f>
        <v/>
      </c>
      <c r="C76" s="19" t="n">
        <v>0.06</v>
      </c>
      <c r="D76" s="19" t="n">
        <v>0.1</v>
      </c>
      <c r="E76" s="19" t="n">
        <v>0.03</v>
      </c>
      <c r="F76" s="23" t="inlineStr">
        <is>
          <t>% of partner users</t>
        </is>
      </c>
      <c r="G76" s="9" t="inlineStr">
        <is>
          <t>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 THE 4.4% IS THE ONLY OBSERVED GOLD-ADOPTION RATE FOR A GULF WALLET THAT EXISTS. TRIANGULATED.</t>
        </is>
      </c>
    </row>
    <row r="77">
      <c r="A77" t="inlineStr">
        <is>
          <t>AUM per adopting partner user</t>
        </is>
      </c>
      <c r="B77" s="42">
        <f>CHOOSE($C$6,C77,D77,E77)</f>
        <v/>
      </c>
      <c r="C77" s="20" t="n">
        <v>350</v>
      </c>
      <c r="D77" s="20" t="n">
        <v>500</v>
      </c>
      <c r="E77" s="20" t="n">
        <v>220</v>
      </c>
      <c r="F77" s="23" t="inlineStr">
        <is>
          <t>USD</t>
        </is>
      </c>
      <c r="G77" s="9" t="inlineStr">
        <is>
          <t>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is>
      </c>
    </row>
    <row r="78">
      <c r="A78" t="inlineStr">
        <is>
          <t>AUM per partner (derived)</t>
        </is>
      </c>
      <c r="B78" s="42">
        <f>'Scenario Parameters'!$B$75*'Scenario Parameters'!$B$76*'Scenario Parameters'!$B$77</f>
        <v/>
      </c>
      <c r="F78" s="23" t="inlineStr">
        <is>
          <t>USD</t>
        </is>
      </c>
      <c r="G78" s="9" t="inlineStr">
        <is>
          <t>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is>
      </c>
    </row>
    <row r="80" ht="18" customHeight="1">
      <c r="A80" s="12" t="inlineStr">
        <is>
          <t>GROUP F: REGIONS</t>
        </is>
      </c>
      <c r="B80" s="13" t="n"/>
      <c r="C80" s="13" t="n"/>
      <c r="D80" s="13" t="n"/>
      <c r="E80" s="13" t="n"/>
    </row>
    <row r="81">
      <c r="A81" s="14" t="inlineStr">
        <is>
          <t>Parameter</t>
        </is>
      </c>
      <c r="B81" s="14" t="inlineStr">
        <is>
          <t>Active Value</t>
        </is>
      </c>
      <c r="C81" s="14" t="inlineStr">
        <is>
          <t>Base</t>
        </is>
      </c>
      <c r="D81" s="14" t="inlineStr">
        <is>
          <t>Aggressive</t>
        </is>
      </c>
      <c r="E81" s="14" t="inlineStr">
        <is>
          <t>Conservative</t>
        </is>
      </c>
      <c r="F81" s="14" t="inlineStr">
        <is>
          <t>Unit</t>
        </is>
      </c>
    </row>
    <row r="82">
      <c r="A82" t="inlineStr">
        <is>
          <t>Average monthly ticket - UAE</t>
        </is>
      </c>
      <c r="B82" s="42">
        <f>CHOOSE($C$6,C82,D82,E82)</f>
        <v/>
      </c>
      <c r="C82" s="20" t="n">
        <v>33.6</v>
      </c>
      <c r="D82" s="20" t="n">
        <v>41</v>
      </c>
      <c r="E82" s="20" t="n">
        <v>26.5</v>
      </c>
      <c r="F82" s="23" t="inlineStr">
        <is>
          <t>USD/month</t>
        </is>
      </c>
      <c r="G82"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3">
      <c r="A83" t="inlineStr">
        <is>
          <t>Average monthly ticket - Oman and Bahrain</t>
        </is>
      </c>
      <c r="B83" s="42">
        <f>CHOOSE($C$6,C83,D83,E83)</f>
        <v/>
      </c>
      <c r="C83" s="20" t="n">
        <v>26</v>
      </c>
      <c r="D83" s="20" t="n">
        <v>32</v>
      </c>
      <c r="E83" s="20" t="n">
        <v>21</v>
      </c>
      <c r="F83" s="23" t="inlineStr">
        <is>
          <t>USD/month</t>
        </is>
      </c>
      <c r="G83"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4">
      <c r="A84" t="inlineStr">
        <is>
          <t>Average monthly ticket - India</t>
        </is>
      </c>
      <c r="B84" s="42">
        <f>CHOOSE($C$6,C84,D84,E84)</f>
        <v/>
      </c>
      <c r="C84" s="20" t="n">
        <v>30</v>
      </c>
      <c r="D84" s="20" t="n">
        <v>36</v>
      </c>
      <c r="E84" s="20" t="n">
        <v>24</v>
      </c>
      <c r="F84" s="23" t="inlineStr">
        <is>
          <t>USD/month</t>
        </is>
      </c>
      <c r="G84"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6" ht="18" customHeight="1">
      <c r="A86" s="12" t="inlineStr">
        <is>
          <t>STRUCTURAL SWITCHES - the two that move revenue</t>
        </is>
      </c>
      <c r="B86" s="13" t="n"/>
      <c r="C86" s="13" t="n"/>
      <c r="D86" s="13" t="n"/>
      <c r="E86" s="13" t="n"/>
    </row>
    <row r="87">
      <c r="A87" s="14" t="inlineStr">
        <is>
          <t>Switch</t>
        </is>
      </c>
      <c r="B87" s="14" t="inlineStr">
        <is>
          <t>Active (1/0)</t>
        </is>
      </c>
      <c r="C87" s="14" t="inlineStr">
        <is>
          <t>State</t>
        </is>
      </c>
      <c r="D87" s="14" t="inlineStr">
        <is>
          <t>ON value</t>
        </is>
      </c>
    </row>
    <row r="88">
      <c r="A88" t="inlineStr">
        <is>
          <t>Prepaid instead of credit</t>
        </is>
      </c>
      <c r="B88" s="31">
        <f>IF($C$88="Prepaid",1,0)</f>
        <v/>
      </c>
      <c r="C88" s="38" t="inlineStr">
        <is>
          <t>Credit</t>
        </is>
      </c>
      <c r="D88" s="23" t="inlineStr">
        <is>
          <t>Prepaid</t>
        </is>
      </c>
      <c r="G88" s="9" t="inlineStr">
        <is>
          <t>ON (Prepaid) caps interchange at 1.00% and removes the credit stream entirely. 'NOT A PRODUCT CHOICE, IT IS THE BUSINESS MODEL.' Worth ~USD 2.3m of Y10 revenue on the ten-year run.</t>
        </is>
      </c>
    </row>
    <row r="89">
      <c r="A89" t="inlineStr">
        <is>
          <t>Holders keep the card</t>
        </is>
      </c>
      <c r="B89" s="31">
        <f>IF($C$89="ON",1,0)</f>
        <v/>
      </c>
      <c r="C89" s="38" t="inlineStr">
        <is>
          <t>ON</t>
        </is>
      </c>
      <c r="D89" s="23" t="inlineStr">
        <is>
          <t>ON</t>
        </is>
      </c>
      <c r="G89" s="9" t="inlineStr">
        <is>
          <t>NOBODY HAS DECIDED THIS. It determines whether the card streams - the majority of revenue - decay with churn or are immune to it. Worth a 42% swing in terminal revenue. Default ON because nothing in the design revokes the card; report both.</t>
        </is>
      </c>
    </row>
  </sheetData>
  <dataValidations count="3">
    <dataValidation sqref="B6" showDropDown="0" showInputMessage="0" showErrorMessage="0" allowBlank="0" type="list">
      <formula1>"Base,Aggressive,Conservative"</formula1>
    </dataValidation>
    <dataValidation sqref="C88" showDropDown="0" showInputMessage="0" showErrorMessage="0" allowBlank="0" type="list">
      <formula1>"Credit,Prepaid"</formula1>
    </dataValidation>
    <dataValidation sqref="C89" showDropDown="0" showInputMessage="0" showErrorMessage="0" allowBlank="0" type="list">
      <formula1>"ON,OFF"</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182"/>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52"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s>
  <sheetData>
    <row r="1">
      <c r="A1" s="10">
        <f>Cover!$B$2</f>
        <v/>
      </c>
    </row>
    <row r="2">
      <c r="A2" s="3" t="inlineStr">
        <is>
          <t>Period #</t>
        </is>
      </c>
      <c r="B2" s="23" t="inlineStr">
        <is>
          <t>1..29</t>
        </is>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 r="A3" s="3" t="inlineStr">
        <is>
          <t>Period</t>
        </is>
      </c>
      <c r="B3" s="23" t="inlineStr">
        <is>
          <t>-</t>
        </is>
      </c>
      <c r="C3" s="43" t="inlineStr">
        <is>
          <t>M1</t>
        </is>
      </c>
      <c r="D3" s="43" t="inlineStr">
        <is>
          <t>M2</t>
        </is>
      </c>
      <c r="E3" s="43" t="inlineStr">
        <is>
          <t>M3</t>
        </is>
      </c>
      <c r="F3" s="43" t="inlineStr">
        <is>
          <t>M4</t>
        </is>
      </c>
      <c r="G3" s="43" t="inlineStr">
        <is>
          <t>M5</t>
        </is>
      </c>
      <c r="H3" s="43" t="inlineStr">
        <is>
          <t>M6</t>
        </is>
      </c>
      <c r="I3" s="43" t="inlineStr">
        <is>
          <t>M7</t>
        </is>
      </c>
      <c r="J3" s="43" t="inlineStr">
        <is>
          <t>M8</t>
        </is>
      </c>
      <c r="K3" s="43" t="inlineStr">
        <is>
          <t>M9</t>
        </is>
      </c>
      <c r="L3" s="43" t="inlineStr">
        <is>
          <t>M10</t>
        </is>
      </c>
      <c r="M3" s="43" t="inlineStr">
        <is>
          <t>M11</t>
        </is>
      </c>
      <c r="N3" s="43" t="inlineStr">
        <is>
          <t>M12</t>
        </is>
      </c>
      <c r="O3" s="43" t="inlineStr">
        <is>
          <t>M13</t>
        </is>
      </c>
      <c r="P3" s="43" t="inlineStr">
        <is>
          <t>M14</t>
        </is>
      </c>
      <c r="Q3" s="43" t="inlineStr">
        <is>
          <t>M15</t>
        </is>
      </c>
      <c r="R3" s="43" t="inlineStr">
        <is>
          <t>M16</t>
        </is>
      </c>
      <c r="S3" s="43" t="inlineStr">
        <is>
          <t>M17</t>
        </is>
      </c>
      <c r="T3" s="43" t="inlineStr">
        <is>
          <t>M18</t>
        </is>
      </c>
      <c r="U3" s="43" t="inlineStr">
        <is>
          <t>M19</t>
        </is>
      </c>
      <c r="V3" s="43" t="inlineStr">
        <is>
          <t>M20</t>
        </is>
      </c>
      <c r="W3" s="43" t="inlineStr">
        <is>
          <t>M21</t>
        </is>
      </c>
      <c r="X3" s="43" t="inlineStr">
        <is>
          <t>M22</t>
        </is>
      </c>
      <c r="Y3" s="43" t="inlineStr">
        <is>
          <t>M23</t>
        </is>
      </c>
      <c r="Z3" s="43" t="inlineStr">
        <is>
          <t>M24</t>
        </is>
      </c>
      <c r="AA3" s="43" t="inlineStr">
        <is>
          <t>Y3</t>
        </is>
      </c>
      <c r="AB3" s="43" t="inlineStr">
        <is>
          <t>Y4</t>
        </is>
      </c>
      <c r="AC3" s="43" t="inlineStr">
        <is>
          <t>Y5</t>
        </is>
      </c>
      <c r="AD3" s="43" t="inlineStr">
        <is>
          <t>Y6</t>
        </is>
      </c>
      <c r="AE3" s="43" t="inlineStr">
        <is>
          <t>Y7</t>
        </is>
      </c>
    </row>
    <row r="4">
      <c r="A4" s="6" t="inlineStr">
        <is>
          <t>Period type</t>
        </is>
      </c>
      <c r="B4" s="23" t="inlineStr">
        <is>
          <t>-</t>
        </is>
      </c>
      <c r="C4" s="44" t="inlineStr">
        <is>
          <t>Monthly</t>
        </is>
      </c>
      <c r="D4" s="44" t="inlineStr">
        <is>
          <t>Monthly</t>
        </is>
      </c>
      <c r="E4" s="44" t="inlineStr">
        <is>
          <t>Monthly</t>
        </is>
      </c>
      <c r="F4" s="44" t="inlineStr">
        <is>
          <t>Monthly</t>
        </is>
      </c>
      <c r="G4" s="44" t="inlineStr">
        <is>
          <t>Monthly</t>
        </is>
      </c>
      <c r="H4" s="44" t="inlineStr">
        <is>
          <t>Monthly</t>
        </is>
      </c>
      <c r="I4" s="44" t="inlineStr">
        <is>
          <t>Monthly</t>
        </is>
      </c>
      <c r="J4" s="44" t="inlineStr">
        <is>
          <t>Monthly</t>
        </is>
      </c>
      <c r="K4" s="44" t="inlineStr">
        <is>
          <t>Monthly</t>
        </is>
      </c>
      <c r="L4" s="44" t="inlineStr">
        <is>
          <t>Monthly</t>
        </is>
      </c>
      <c r="M4" s="44" t="inlineStr">
        <is>
          <t>Monthly</t>
        </is>
      </c>
      <c r="N4" s="44" t="inlineStr">
        <is>
          <t>Monthly</t>
        </is>
      </c>
      <c r="O4" s="44" t="inlineStr">
        <is>
          <t>Monthly</t>
        </is>
      </c>
      <c r="P4" s="44" t="inlineStr">
        <is>
          <t>Monthly</t>
        </is>
      </c>
      <c r="Q4" s="44" t="inlineStr">
        <is>
          <t>Monthly</t>
        </is>
      </c>
      <c r="R4" s="44" t="inlineStr">
        <is>
          <t>Monthly</t>
        </is>
      </c>
      <c r="S4" s="44" t="inlineStr">
        <is>
          <t>Monthly</t>
        </is>
      </c>
      <c r="T4" s="44" t="inlineStr">
        <is>
          <t>Monthly</t>
        </is>
      </c>
      <c r="U4" s="44" t="inlineStr">
        <is>
          <t>Monthly</t>
        </is>
      </c>
      <c r="V4" s="44" t="inlineStr">
        <is>
          <t>Monthly</t>
        </is>
      </c>
      <c r="W4" s="44" t="inlineStr">
        <is>
          <t>Monthly</t>
        </is>
      </c>
      <c r="X4" s="44" t="inlineStr">
        <is>
          <t>Monthly</t>
        </is>
      </c>
      <c r="Y4" s="44" t="inlineStr">
        <is>
          <t>Monthly</t>
        </is>
      </c>
      <c r="Z4" s="44" t="inlineStr">
        <is>
          <t>Monthly</t>
        </is>
      </c>
      <c r="AA4" s="44" t="inlineStr">
        <is>
          <t>Annual</t>
        </is>
      </c>
      <c r="AB4" s="44" t="inlineStr">
        <is>
          <t>Annual</t>
        </is>
      </c>
      <c r="AC4" s="44" t="inlineStr">
        <is>
          <t>Annual</t>
        </is>
      </c>
      <c r="AD4" s="44" t="inlineStr">
        <is>
          <t>Annual</t>
        </is>
      </c>
      <c r="AE4" s="44" t="inlineStr">
        <is>
          <t>Annual</t>
        </is>
      </c>
    </row>
    <row r="5">
      <c r="A5" s="6" t="inlineStr">
        <is>
          <t>Model year</t>
        </is>
      </c>
      <c r="B5" s="23" t="inlineStr">
        <is>
          <t>1..7</t>
        </is>
      </c>
      <c r="C5" s="45" t="n">
        <v>1</v>
      </c>
      <c r="D5" s="45" t="n">
        <v>1</v>
      </c>
      <c r="E5" s="45" t="n">
        <v>1</v>
      </c>
      <c r="F5" s="45" t="n">
        <v>1</v>
      </c>
      <c r="G5" s="45" t="n">
        <v>1</v>
      </c>
      <c r="H5" s="45" t="n">
        <v>1</v>
      </c>
      <c r="I5" s="45" t="n">
        <v>1</v>
      </c>
      <c r="J5" s="45" t="n">
        <v>1</v>
      </c>
      <c r="K5" s="45" t="n">
        <v>1</v>
      </c>
      <c r="L5" s="45" t="n">
        <v>1</v>
      </c>
      <c r="M5" s="45" t="n">
        <v>1</v>
      </c>
      <c r="N5" s="45" t="n">
        <v>1</v>
      </c>
      <c r="O5" s="45" t="n">
        <v>2</v>
      </c>
      <c r="P5" s="45" t="n">
        <v>2</v>
      </c>
      <c r="Q5" s="45" t="n">
        <v>2</v>
      </c>
      <c r="R5" s="45" t="n">
        <v>2</v>
      </c>
      <c r="S5" s="45" t="n">
        <v>2</v>
      </c>
      <c r="T5" s="45" t="n">
        <v>2</v>
      </c>
      <c r="U5" s="45" t="n">
        <v>2</v>
      </c>
      <c r="V5" s="45" t="n">
        <v>2</v>
      </c>
      <c r="W5" s="45" t="n">
        <v>2</v>
      </c>
      <c r="X5" s="45" t="n">
        <v>2</v>
      </c>
      <c r="Y5" s="45" t="n">
        <v>2</v>
      </c>
      <c r="Z5" s="45" t="n">
        <v>2</v>
      </c>
      <c r="AA5" s="45" t="n">
        <v>3</v>
      </c>
      <c r="AB5" s="45" t="n">
        <v>4</v>
      </c>
      <c r="AC5" s="45" t="n">
        <v>5</v>
      </c>
      <c r="AD5" s="45" t="n">
        <v>6</v>
      </c>
      <c r="AE5" s="45" t="n">
        <v>7</v>
      </c>
    </row>
    <row r="6">
      <c r="A6" s="6" t="inlineStr">
        <is>
          <t>Calendar month</t>
        </is>
      </c>
      <c r="B6" s="23" t="inlineStr">
        <is>
          <t>0 = annual</t>
        </is>
      </c>
      <c r="C6" s="45" t="n">
        <v>1</v>
      </c>
      <c r="D6" s="45" t="n">
        <v>2</v>
      </c>
      <c r="E6" s="45" t="n">
        <v>3</v>
      </c>
      <c r="F6" s="45" t="n">
        <v>4</v>
      </c>
      <c r="G6" s="45" t="n">
        <v>5</v>
      </c>
      <c r="H6" s="45" t="n">
        <v>6</v>
      </c>
      <c r="I6" s="45" t="n">
        <v>7</v>
      </c>
      <c r="J6" s="45" t="n">
        <v>8</v>
      </c>
      <c r="K6" s="45" t="n">
        <v>9</v>
      </c>
      <c r="L6" s="45" t="n">
        <v>10</v>
      </c>
      <c r="M6" s="45" t="n">
        <v>11</v>
      </c>
      <c r="N6" s="45" t="n">
        <v>12</v>
      </c>
      <c r="O6" s="45" t="n">
        <v>1</v>
      </c>
      <c r="P6" s="45" t="n">
        <v>2</v>
      </c>
      <c r="Q6" s="45" t="n">
        <v>3</v>
      </c>
      <c r="R6" s="45" t="n">
        <v>4</v>
      </c>
      <c r="S6" s="45" t="n">
        <v>5</v>
      </c>
      <c r="T6" s="45" t="n">
        <v>6</v>
      </c>
      <c r="U6" s="45" t="n">
        <v>7</v>
      </c>
      <c r="V6" s="45" t="n">
        <v>8</v>
      </c>
      <c r="W6" s="45" t="n">
        <v>9</v>
      </c>
      <c r="X6" s="45" t="n">
        <v>10</v>
      </c>
      <c r="Y6" s="45" t="n">
        <v>11</v>
      </c>
      <c r="Z6" s="45" t="n">
        <v>12</v>
      </c>
      <c r="AA6" s="45" t="n">
        <v>0</v>
      </c>
      <c r="AB6" s="45" t="n">
        <v>0</v>
      </c>
      <c r="AC6" s="45" t="n">
        <v>0</v>
      </c>
      <c r="AD6" s="45" t="n">
        <v>0</v>
      </c>
      <c r="AE6" s="45" t="n">
        <v>0</v>
      </c>
    </row>
    <row r="7">
      <c r="A7" s="6" t="inlineStr">
        <is>
          <t>Months in period</t>
        </is>
      </c>
      <c r="B7" s="23" t="inlineStr">
        <is>
          <t>months</t>
        </is>
      </c>
      <c r="C7" s="45" t="n">
        <v>1</v>
      </c>
      <c r="D7" s="45" t="n">
        <v>1</v>
      </c>
      <c r="E7" s="45" t="n">
        <v>1</v>
      </c>
      <c r="F7" s="45" t="n">
        <v>1</v>
      </c>
      <c r="G7" s="45" t="n">
        <v>1</v>
      </c>
      <c r="H7" s="45" t="n">
        <v>1</v>
      </c>
      <c r="I7" s="45" t="n">
        <v>1</v>
      </c>
      <c r="J7" s="45" t="n">
        <v>1</v>
      </c>
      <c r="K7" s="45" t="n">
        <v>1</v>
      </c>
      <c r="L7" s="45" t="n">
        <v>1</v>
      </c>
      <c r="M7" s="45" t="n">
        <v>1</v>
      </c>
      <c r="N7" s="45" t="n">
        <v>1</v>
      </c>
      <c r="O7" s="45" t="n">
        <v>1</v>
      </c>
      <c r="P7" s="45" t="n">
        <v>1</v>
      </c>
      <c r="Q7" s="45" t="n">
        <v>1</v>
      </c>
      <c r="R7" s="45" t="n">
        <v>1</v>
      </c>
      <c r="S7" s="45" t="n">
        <v>1</v>
      </c>
      <c r="T7" s="45" t="n">
        <v>1</v>
      </c>
      <c r="U7" s="45" t="n">
        <v>1</v>
      </c>
      <c r="V7" s="45" t="n">
        <v>1</v>
      </c>
      <c r="W7" s="45" t="n">
        <v>1</v>
      </c>
      <c r="X7" s="45" t="n">
        <v>1</v>
      </c>
      <c r="Y7" s="45" t="n">
        <v>1</v>
      </c>
      <c r="Z7" s="45" t="n">
        <v>1</v>
      </c>
      <c r="AA7" s="45" t="n">
        <v>12</v>
      </c>
      <c r="AB7" s="45" t="n">
        <v>12</v>
      </c>
      <c r="AC7" s="45" t="n">
        <v>12</v>
      </c>
      <c r="AD7" s="45" t="n">
        <v>12</v>
      </c>
      <c r="AE7" s="45" t="n">
        <v>12</v>
      </c>
    </row>
    <row r="8">
      <c r="A8" s="6" t="inlineStr">
        <is>
          <t>Financial-year end</t>
        </is>
      </c>
      <c r="B8" s="23" t="inlineStr">
        <is>
          <t>1/0</t>
        </is>
      </c>
      <c r="C8" s="45" t="n">
        <v>0</v>
      </c>
      <c r="D8" s="45" t="n">
        <v>0</v>
      </c>
      <c r="E8" s="45" t="n">
        <v>0</v>
      </c>
      <c r="F8" s="45" t="n">
        <v>0</v>
      </c>
      <c r="G8" s="45" t="n">
        <v>0</v>
      </c>
      <c r="H8" s="45" t="n">
        <v>0</v>
      </c>
      <c r="I8" s="45" t="n">
        <v>0</v>
      </c>
      <c r="J8" s="45" t="n">
        <v>0</v>
      </c>
      <c r="K8" s="45" t="n">
        <v>0</v>
      </c>
      <c r="L8" s="45" t="n">
        <v>0</v>
      </c>
      <c r="M8" s="45" t="n">
        <v>0</v>
      </c>
      <c r="N8" s="45" t="n">
        <v>1</v>
      </c>
      <c r="O8" s="45" t="n">
        <v>0</v>
      </c>
      <c r="P8" s="45" t="n">
        <v>0</v>
      </c>
      <c r="Q8" s="45" t="n">
        <v>0</v>
      </c>
      <c r="R8" s="45" t="n">
        <v>0</v>
      </c>
      <c r="S8" s="45" t="n">
        <v>0</v>
      </c>
      <c r="T8" s="45" t="n">
        <v>0</v>
      </c>
      <c r="U8" s="45" t="n">
        <v>0</v>
      </c>
      <c r="V8" s="45" t="n">
        <v>0</v>
      </c>
      <c r="W8" s="45" t="n">
        <v>0</v>
      </c>
      <c r="X8" s="45" t="n">
        <v>0</v>
      </c>
      <c r="Y8" s="45" t="n">
        <v>0</v>
      </c>
      <c r="Z8" s="45" t="n">
        <v>1</v>
      </c>
      <c r="AA8" s="45" t="n">
        <v>1</v>
      </c>
      <c r="AB8" s="45" t="n">
        <v>1</v>
      </c>
      <c r="AC8" s="45" t="n">
        <v>1</v>
      </c>
      <c r="AD8" s="45" t="n">
        <v>1</v>
      </c>
      <c r="AE8" s="45" t="n">
        <v>1</v>
      </c>
    </row>
    <row r="10">
      <c r="A10" s="46" t="inlineStr">
        <is>
          <t>SEASONALITY - normalised to EXACTLY 12.000 by construction</t>
        </is>
      </c>
      <c r="B10" s="47" t="n"/>
      <c r="C10" s="47" t="n"/>
      <c r="D10" s="47" t="n"/>
      <c r="E10" s="47" t="n"/>
      <c r="F10" s="47" t="n"/>
      <c r="G10" s="47" t="n"/>
      <c r="H10" s="47" t="n"/>
      <c r="I10" s="47" t="n"/>
      <c r="J10" s="47" t="n"/>
      <c r="K10" s="47" t="n"/>
      <c r="L10" s="47" t="n"/>
      <c r="M10" s="47" t="n"/>
      <c r="N10" s="47" t="n"/>
      <c r="O10" s="47" t="n"/>
      <c r="P10" s="47" t="n"/>
      <c r="Q10" s="47" t="n"/>
      <c r="R10" s="47" t="n"/>
      <c r="S10" s="47" t="n"/>
      <c r="T10" s="47" t="n"/>
      <c r="U10" s="47" t="n"/>
      <c r="V10" s="47" t="n"/>
      <c r="W10" s="47" t="n"/>
      <c r="X10" s="47" t="n"/>
      <c r="Y10" s="47" t="n"/>
      <c r="Z10" s="47" t="n"/>
      <c r="AA10" s="47" t="n"/>
      <c r="AB10" s="47" t="n"/>
      <c r="AC10" s="47" t="n"/>
      <c r="AD10" s="47" t="n"/>
      <c r="AE10" s="47" t="n"/>
    </row>
    <row r="11">
      <c r="A11" t="inlineStr">
        <is>
          <t>Acquisition seasonality - normalised</t>
        </is>
      </c>
      <c r="B11" s="23" t="inlineStr">
        <is>
          <t>Jan..Dec</t>
        </is>
      </c>
      <c r="C11" s="48">
        <f>(1+(Assumptions!$F$62-1)*Assumptions!$B$134)*12/SUMPRODUCT(1+(Assumptions!$F$62:$Q$62-1)*Assumptions!$B$134)</f>
        <v/>
      </c>
      <c r="D11" s="48">
        <f>(1+(Assumptions!$G$62-1)*Assumptions!$B$134)*12/SUMPRODUCT(1+(Assumptions!$F$62:$Q$62-1)*Assumptions!$B$134)</f>
        <v/>
      </c>
      <c r="E11" s="48">
        <f>(1+(Assumptions!$H$62-1)*Assumptions!$B$134)*12/SUMPRODUCT(1+(Assumptions!$F$62:$Q$62-1)*Assumptions!$B$134)</f>
        <v/>
      </c>
      <c r="F11" s="48">
        <f>(1+(Assumptions!$I$62-1)*Assumptions!$B$134)*12/SUMPRODUCT(1+(Assumptions!$F$62:$Q$62-1)*Assumptions!$B$134)</f>
        <v/>
      </c>
      <c r="G11" s="48">
        <f>(1+(Assumptions!$J$62-1)*Assumptions!$B$134)*12/SUMPRODUCT(1+(Assumptions!$F$62:$Q$62-1)*Assumptions!$B$134)</f>
        <v/>
      </c>
      <c r="H11" s="48">
        <f>(1+(Assumptions!$K$62-1)*Assumptions!$B$134)*12/SUMPRODUCT(1+(Assumptions!$F$62:$Q$62-1)*Assumptions!$B$134)</f>
        <v/>
      </c>
      <c r="I11" s="48">
        <f>(1+(Assumptions!$L$62-1)*Assumptions!$B$134)*12/SUMPRODUCT(1+(Assumptions!$F$62:$Q$62-1)*Assumptions!$B$134)</f>
        <v/>
      </c>
      <c r="J11" s="48">
        <f>(1+(Assumptions!$M$62-1)*Assumptions!$B$134)*12/SUMPRODUCT(1+(Assumptions!$F$62:$Q$62-1)*Assumptions!$B$134)</f>
        <v/>
      </c>
      <c r="K11" s="48">
        <f>(1+(Assumptions!$N$62-1)*Assumptions!$B$134)*12/SUMPRODUCT(1+(Assumptions!$F$62:$Q$62-1)*Assumptions!$B$134)</f>
        <v/>
      </c>
      <c r="L11" s="48">
        <f>(1+(Assumptions!$O$62-1)*Assumptions!$B$134)*12/SUMPRODUCT(1+(Assumptions!$F$62:$Q$62-1)*Assumptions!$B$134)</f>
        <v/>
      </c>
      <c r="M11" s="48">
        <f>(1+(Assumptions!$P$62-1)*Assumptions!$B$134)*12/SUMPRODUCT(1+(Assumptions!$F$62:$Q$62-1)*Assumptions!$B$134)</f>
        <v/>
      </c>
      <c r="N11" s="48">
        <f>(1+(Assumptions!$Q$62-1)*Assumptions!$B$134)*12/SUMPRODUCT(1+(Assumptions!$F$62:$Q$62-1)*Assumptions!$B$134)</f>
        <v/>
      </c>
    </row>
    <row r="12">
      <c r="A12" t="inlineStr">
        <is>
          <t>Card spend seasonality - normalised</t>
        </is>
      </c>
      <c r="B12" s="23" t="inlineStr">
        <is>
          <t>Jan..Dec</t>
        </is>
      </c>
      <c r="C12" s="48">
        <f>(1+(Assumptions!$F$63-1)*Assumptions!$B$134)*12/SUMPRODUCT(1+(Assumptions!$F$63:$Q$63-1)*Assumptions!$B$134)</f>
        <v/>
      </c>
      <c r="D12" s="48">
        <f>(1+(Assumptions!$G$63-1)*Assumptions!$B$134)*12/SUMPRODUCT(1+(Assumptions!$F$63:$Q$63-1)*Assumptions!$B$134)</f>
        <v/>
      </c>
      <c r="E12" s="48">
        <f>(1+(Assumptions!$H$63-1)*Assumptions!$B$134)*12/SUMPRODUCT(1+(Assumptions!$F$63:$Q$63-1)*Assumptions!$B$134)</f>
        <v/>
      </c>
      <c r="F12" s="48">
        <f>(1+(Assumptions!$I$63-1)*Assumptions!$B$134)*12/SUMPRODUCT(1+(Assumptions!$F$63:$Q$63-1)*Assumptions!$B$134)</f>
        <v/>
      </c>
      <c r="G12" s="48">
        <f>(1+(Assumptions!$J$63-1)*Assumptions!$B$134)*12/SUMPRODUCT(1+(Assumptions!$F$63:$Q$63-1)*Assumptions!$B$134)</f>
        <v/>
      </c>
      <c r="H12" s="48">
        <f>(1+(Assumptions!$K$63-1)*Assumptions!$B$134)*12/SUMPRODUCT(1+(Assumptions!$F$63:$Q$63-1)*Assumptions!$B$134)</f>
        <v/>
      </c>
      <c r="I12" s="48">
        <f>(1+(Assumptions!$L$63-1)*Assumptions!$B$134)*12/SUMPRODUCT(1+(Assumptions!$F$63:$Q$63-1)*Assumptions!$B$134)</f>
        <v/>
      </c>
      <c r="J12" s="48">
        <f>(1+(Assumptions!$M$63-1)*Assumptions!$B$134)*12/SUMPRODUCT(1+(Assumptions!$F$63:$Q$63-1)*Assumptions!$B$134)</f>
        <v/>
      </c>
      <c r="K12" s="48">
        <f>(1+(Assumptions!$N$63-1)*Assumptions!$B$134)*12/SUMPRODUCT(1+(Assumptions!$F$63:$Q$63-1)*Assumptions!$B$134)</f>
        <v/>
      </c>
      <c r="L12" s="48">
        <f>(1+(Assumptions!$O$63-1)*Assumptions!$B$134)*12/SUMPRODUCT(1+(Assumptions!$F$63:$Q$63-1)*Assumptions!$B$134)</f>
        <v/>
      </c>
      <c r="M12" s="48">
        <f>(1+(Assumptions!$P$63-1)*Assumptions!$B$134)*12/SUMPRODUCT(1+(Assumptions!$F$63:$Q$63-1)*Assumptions!$B$134)</f>
        <v/>
      </c>
      <c r="N12" s="48">
        <f>(1+(Assumptions!$Q$63-1)*Assumptions!$B$134)*12/SUMPRODUCT(1+(Assumptions!$F$63:$Q$63-1)*Assumptions!$B$134)</f>
        <v/>
      </c>
    </row>
    <row r="13">
      <c r="A13" t="inlineStr">
        <is>
          <t>Foreign-spend share - rescaled to the mean</t>
        </is>
      </c>
      <c r="B13" s="23" t="inlineStr">
        <is>
          <t>Jan..Dec</t>
        </is>
      </c>
      <c r="C13" s="49">
        <f>Assumptions!$F$64/AVERAGE(Assumptions!$F$64:$Q$64)*Assumptions!$B$146</f>
        <v/>
      </c>
      <c r="D13" s="49">
        <f>Assumptions!$G$64/AVERAGE(Assumptions!$F$64:$Q$64)*Assumptions!$B$146</f>
        <v/>
      </c>
      <c r="E13" s="49">
        <f>Assumptions!$H$64/AVERAGE(Assumptions!$F$64:$Q$64)*Assumptions!$B$146</f>
        <v/>
      </c>
      <c r="F13" s="49">
        <f>Assumptions!$I$64/AVERAGE(Assumptions!$F$64:$Q$64)*Assumptions!$B$146</f>
        <v/>
      </c>
      <c r="G13" s="49">
        <f>Assumptions!$J$64/AVERAGE(Assumptions!$F$64:$Q$64)*Assumptions!$B$146</f>
        <v/>
      </c>
      <c r="H13" s="49">
        <f>Assumptions!$K$64/AVERAGE(Assumptions!$F$64:$Q$64)*Assumptions!$B$146</f>
        <v/>
      </c>
      <c r="I13" s="49">
        <f>Assumptions!$L$64/AVERAGE(Assumptions!$F$64:$Q$64)*Assumptions!$B$146</f>
        <v/>
      </c>
      <c r="J13" s="49">
        <f>Assumptions!$M$64/AVERAGE(Assumptions!$F$64:$Q$64)*Assumptions!$B$146</f>
        <v/>
      </c>
      <c r="K13" s="49">
        <f>Assumptions!$N$64/AVERAGE(Assumptions!$F$64:$Q$64)*Assumptions!$B$146</f>
        <v/>
      </c>
      <c r="L13" s="49">
        <f>Assumptions!$O$64/AVERAGE(Assumptions!$F$64:$Q$64)*Assumptions!$B$146</f>
        <v/>
      </c>
      <c r="M13" s="49">
        <f>Assumptions!$P$64/AVERAGE(Assumptions!$F$64:$Q$64)*Assumptions!$B$146</f>
        <v/>
      </c>
      <c r="N13" s="49">
        <f>Assumptions!$Q$64/AVERAGE(Assumptions!$F$64:$Q$64)*Assumptions!$B$146</f>
        <v/>
      </c>
    </row>
    <row r="14">
      <c r="A14" s="3" t="inlineStr">
        <is>
          <t>Seasonality sum check (must be exactly 12.000)</t>
        </is>
      </c>
      <c r="B14" s="23" t="inlineStr">
        <is>
          <t>acq | spend</t>
        </is>
      </c>
      <c r="C14" s="50">
        <f>SUM($C$11:$N$11)</f>
        <v/>
      </c>
      <c r="D14" s="50">
        <f>SUM($C$12:$N$12)</f>
        <v/>
      </c>
    </row>
    <row r="15">
      <c r="A15" s="6" t="inlineStr">
        <is>
          <t>Acquisition seasonality applied</t>
        </is>
      </c>
      <c r="B15" s="23" t="inlineStr">
        <is>
          <t>multiplier</t>
        </is>
      </c>
      <c r="C15" s="51">
        <f>IF(C7=1,INDEX($C$11:$N$11,1,C6),1)</f>
        <v/>
      </c>
      <c r="D15" s="51">
        <f>IF(D7=1,INDEX($C$11:$N$11,1,D6),1)</f>
        <v/>
      </c>
      <c r="E15" s="51">
        <f>IF(E7=1,INDEX($C$11:$N$11,1,E6),1)</f>
        <v/>
      </c>
      <c r="F15" s="51">
        <f>IF(F7=1,INDEX($C$11:$N$11,1,F6),1)</f>
        <v/>
      </c>
      <c r="G15" s="51">
        <f>IF(G7=1,INDEX($C$11:$N$11,1,G6),1)</f>
        <v/>
      </c>
      <c r="H15" s="51">
        <f>IF(H7=1,INDEX($C$11:$N$11,1,H6),1)</f>
        <v/>
      </c>
      <c r="I15" s="51">
        <f>IF(I7=1,INDEX($C$11:$N$11,1,I6),1)</f>
        <v/>
      </c>
      <c r="J15" s="51">
        <f>IF(J7=1,INDEX($C$11:$N$11,1,J6),1)</f>
        <v/>
      </c>
      <c r="K15" s="51">
        <f>IF(K7=1,INDEX($C$11:$N$11,1,K6),1)</f>
        <v/>
      </c>
      <c r="L15" s="51">
        <f>IF(L7=1,INDEX($C$11:$N$11,1,L6),1)</f>
        <v/>
      </c>
      <c r="M15" s="51">
        <f>IF(M7=1,INDEX($C$11:$N$11,1,M6),1)</f>
        <v/>
      </c>
      <c r="N15" s="51">
        <f>IF(N7=1,INDEX($C$11:$N$11,1,N6),1)</f>
        <v/>
      </c>
      <c r="O15" s="51">
        <f>IF(O7=1,INDEX($C$11:$N$11,1,O6),1)</f>
        <v/>
      </c>
      <c r="P15" s="51">
        <f>IF(P7=1,INDEX($C$11:$N$11,1,P6),1)</f>
        <v/>
      </c>
      <c r="Q15" s="51">
        <f>IF(Q7=1,INDEX($C$11:$N$11,1,Q6),1)</f>
        <v/>
      </c>
      <c r="R15" s="51">
        <f>IF(R7=1,INDEX($C$11:$N$11,1,R6),1)</f>
        <v/>
      </c>
      <c r="S15" s="51">
        <f>IF(S7=1,INDEX($C$11:$N$11,1,S6),1)</f>
        <v/>
      </c>
      <c r="T15" s="51">
        <f>IF(T7=1,INDEX($C$11:$N$11,1,T6),1)</f>
        <v/>
      </c>
      <c r="U15" s="51">
        <f>IF(U7=1,INDEX($C$11:$N$11,1,U6),1)</f>
        <v/>
      </c>
      <c r="V15" s="51">
        <f>IF(V7=1,INDEX($C$11:$N$11,1,V6),1)</f>
        <v/>
      </c>
      <c r="W15" s="51">
        <f>IF(W7=1,INDEX($C$11:$N$11,1,W6),1)</f>
        <v/>
      </c>
      <c r="X15" s="51">
        <f>IF(X7=1,INDEX($C$11:$N$11,1,X6),1)</f>
        <v/>
      </c>
      <c r="Y15" s="51">
        <f>IF(Y7=1,INDEX($C$11:$N$11,1,Y6),1)</f>
        <v/>
      </c>
      <c r="Z15" s="51">
        <f>IF(Z7=1,INDEX($C$11:$N$11,1,Z6),1)</f>
        <v/>
      </c>
      <c r="AA15" s="51">
        <f>IF(AA7=1,INDEX($C$11:$N$11,1,AA6),1)</f>
        <v/>
      </c>
      <c r="AB15" s="51">
        <f>IF(AB7=1,INDEX($C$11:$N$11,1,AB6),1)</f>
        <v/>
      </c>
      <c r="AC15" s="51">
        <f>IF(AC7=1,INDEX($C$11:$N$11,1,AC6),1)</f>
        <v/>
      </c>
      <c r="AD15" s="51">
        <f>IF(AD7=1,INDEX($C$11:$N$11,1,AD6),1)</f>
        <v/>
      </c>
      <c r="AE15" s="51">
        <f>IF(AE7=1,INDEX($C$11:$N$11,1,AE6),1)</f>
        <v/>
      </c>
    </row>
    <row r="16">
      <c r="A16" s="6" t="inlineStr">
        <is>
          <t>Card spend seasonality applied</t>
        </is>
      </c>
      <c r="B16" s="23" t="inlineStr">
        <is>
          <t>multiplier</t>
        </is>
      </c>
      <c r="C16" s="51">
        <f>IF(C7=1,INDEX($C$12:$N$12,1,C6),1)</f>
        <v/>
      </c>
      <c r="D16" s="51">
        <f>IF(D7=1,INDEX($C$12:$N$12,1,D6),1)</f>
        <v/>
      </c>
      <c r="E16" s="51">
        <f>IF(E7=1,INDEX($C$12:$N$12,1,E6),1)</f>
        <v/>
      </c>
      <c r="F16" s="51">
        <f>IF(F7=1,INDEX($C$12:$N$12,1,F6),1)</f>
        <v/>
      </c>
      <c r="G16" s="51">
        <f>IF(G7=1,INDEX($C$12:$N$12,1,G6),1)</f>
        <v/>
      </c>
      <c r="H16" s="51">
        <f>IF(H7=1,INDEX($C$12:$N$12,1,H6),1)</f>
        <v/>
      </c>
      <c r="I16" s="51">
        <f>IF(I7=1,INDEX($C$12:$N$12,1,I6),1)</f>
        <v/>
      </c>
      <c r="J16" s="51">
        <f>IF(J7=1,INDEX($C$12:$N$12,1,J6),1)</f>
        <v/>
      </c>
      <c r="K16" s="51">
        <f>IF(K7=1,INDEX($C$12:$N$12,1,K6),1)</f>
        <v/>
      </c>
      <c r="L16" s="51">
        <f>IF(L7=1,INDEX($C$12:$N$12,1,L6),1)</f>
        <v/>
      </c>
      <c r="M16" s="51">
        <f>IF(M7=1,INDEX($C$12:$N$12,1,M6),1)</f>
        <v/>
      </c>
      <c r="N16" s="51">
        <f>IF(N7=1,INDEX($C$12:$N$12,1,N6),1)</f>
        <v/>
      </c>
      <c r="O16" s="51">
        <f>IF(O7=1,INDEX($C$12:$N$12,1,O6),1)</f>
        <v/>
      </c>
      <c r="P16" s="51">
        <f>IF(P7=1,INDEX($C$12:$N$12,1,P6),1)</f>
        <v/>
      </c>
      <c r="Q16" s="51">
        <f>IF(Q7=1,INDEX($C$12:$N$12,1,Q6),1)</f>
        <v/>
      </c>
      <c r="R16" s="51">
        <f>IF(R7=1,INDEX($C$12:$N$12,1,R6),1)</f>
        <v/>
      </c>
      <c r="S16" s="51">
        <f>IF(S7=1,INDEX($C$12:$N$12,1,S6),1)</f>
        <v/>
      </c>
      <c r="T16" s="51">
        <f>IF(T7=1,INDEX($C$12:$N$12,1,T6),1)</f>
        <v/>
      </c>
      <c r="U16" s="51">
        <f>IF(U7=1,INDEX($C$12:$N$12,1,U6),1)</f>
        <v/>
      </c>
      <c r="V16" s="51">
        <f>IF(V7=1,INDEX($C$12:$N$12,1,V6),1)</f>
        <v/>
      </c>
      <c r="W16" s="51">
        <f>IF(W7=1,INDEX($C$12:$N$12,1,W6),1)</f>
        <v/>
      </c>
      <c r="X16" s="51">
        <f>IF(X7=1,INDEX($C$12:$N$12,1,X6),1)</f>
        <v/>
      </c>
      <c r="Y16" s="51">
        <f>IF(Y7=1,INDEX($C$12:$N$12,1,Y6),1)</f>
        <v/>
      </c>
      <c r="Z16" s="51">
        <f>IF(Z7=1,INDEX($C$12:$N$12,1,Z6),1)</f>
        <v/>
      </c>
      <c r="AA16" s="51">
        <f>IF(AA7=1,INDEX($C$12:$N$12,1,AA6),1)</f>
        <v/>
      </c>
      <c r="AB16" s="51">
        <f>IF(AB7=1,INDEX($C$12:$N$12,1,AB6),1)</f>
        <v/>
      </c>
      <c r="AC16" s="51">
        <f>IF(AC7=1,INDEX($C$12:$N$12,1,AC6),1)</f>
        <v/>
      </c>
      <c r="AD16" s="51">
        <f>IF(AD7=1,INDEX($C$12:$N$12,1,AD6),1)</f>
        <v/>
      </c>
      <c r="AE16" s="51">
        <f>IF(AE7=1,INDEX($C$12:$N$12,1,AE6),1)</f>
        <v/>
      </c>
    </row>
    <row r="17">
      <c r="A17" s="6" t="inlineStr">
        <is>
          <t>Foreign-spend share applied</t>
        </is>
      </c>
      <c r="B17" s="23" t="inlineStr">
        <is>
          <t>%</t>
        </is>
      </c>
      <c r="C17" s="52">
        <f>IF(C7=1,INDEX($C$13:$N$13,1,C6),AVERAGE($C$13:$N$13))</f>
        <v/>
      </c>
      <c r="D17" s="52">
        <f>IF(D7=1,INDEX($C$13:$N$13,1,D6),AVERAGE($C$13:$N$13))</f>
        <v/>
      </c>
      <c r="E17" s="52">
        <f>IF(E7=1,INDEX($C$13:$N$13,1,E6),AVERAGE($C$13:$N$13))</f>
        <v/>
      </c>
      <c r="F17" s="52">
        <f>IF(F7=1,INDEX($C$13:$N$13,1,F6),AVERAGE($C$13:$N$13))</f>
        <v/>
      </c>
      <c r="G17" s="52">
        <f>IF(G7=1,INDEX($C$13:$N$13,1,G6),AVERAGE($C$13:$N$13))</f>
        <v/>
      </c>
      <c r="H17" s="52">
        <f>IF(H7=1,INDEX($C$13:$N$13,1,H6),AVERAGE($C$13:$N$13))</f>
        <v/>
      </c>
      <c r="I17" s="52">
        <f>IF(I7=1,INDEX($C$13:$N$13,1,I6),AVERAGE($C$13:$N$13))</f>
        <v/>
      </c>
      <c r="J17" s="52">
        <f>IF(J7=1,INDEX($C$13:$N$13,1,J6),AVERAGE($C$13:$N$13))</f>
        <v/>
      </c>
      <c r="K17" s="52">
        <f>IF(K7=1,INDEX($C$13:$N$13,1,K6),AVERAGE($C$13:$N$13))</f>
        <v/>
      </c>
      <c r="L17" s="52">
        <f>IF(L7=1,INDEX($C$13:$N$13,1,L6),AVERAGE($C$13:$N$13))</f>
        <v/>
      </c>
      <c r="M17" s="52">
        <f>IF(M7=1,INDEX($C$13:$N$13,1,M6),AVERAGE($C$13:$N$13))</f>
        <v/>
      </c>
      <c r="N17" s="52">
        <f>IF(N7=1,INDEX($C$13:$N$13,1,N6),AVERAGE($C$13:$N$13))</f>
        <v/>
      </c>
      <c r="O17" s="52">
        <f>IF(O7=1,INDEX($C$13:$N$13,1,O6),AVERAGE($C$13:$N$13))</f>
        <v/>
      </c>
      <c r="P17" s="52">
        <f>IF(P7=1,INDEX($C$13:$N$13,1,P6),AVERAGE($C$13:$N$13))</f>
        <v/>
      </c>
      <c r="Q17" s="52">
        <f>IF(Q7=1,INDEX($C$13:$N$13,1,Q6),AVERAGE($C$13:$N$13))</f>
        <v/>
      </c>
      <c r="R17" s="52">
        <f>IF(R7=1,INDEX($C$13:$N$13,1,R6),AVERAGE($C$13:$N$13))</f>
        <v/>
      </c>
      <c r="S17" s="52">
        <f>IF(S7=1,INDEX($C$13:$N$13,1,S6),AVERAGE($C$13:$N$13))</f>
        <v/>
      </c>
      <c r="T17" s="52">
        <f>IF(T7=1,INDEX($C$13:$N$13,1,T6),AVERAGE($C$13:$N$13))</f>
        <v/>
      </c>
      <c r="U17" s="52">
        <f>IF(U7=1,INDEX($C$13:$N$13,1,U6),AVERAGE($C$13:$N$13))</f>
        <v/>
      </c>
      <c r="V17" s="52">
        <f>IF(V7=1,INDEX($C$13:$N$13,1,V6),AVERAGE($C$13:$N$13))</f>
        <v/>
      </c>
      <c r="W17" s="52">
        <f>IF(W7=1,INDEX($C$13:$N$13,1,W6),AVERAGE($C$13:$N$13))</f>
        <v/>
      </c>
      <c r="X17" s="52">
        <f>IF(X7=1,INDEX($C$13:$N$13,1,X6),AVERAGE($C$13:$N$13))</f>
        <v/>
      </c>
      <c r="Y17" s="52">
        <f>IF(Y7=1,INDEX($C$13:$N$13,1,Y6),AVERAGE($C$13:$N$13))</f>
        <v/>
      </c>
      <c r="Z17" s="52">
        <f>IF(Z7=1,INDEX($C$13:$N$13,1,Z6),AVERAGE($C$13:$N$13))</f>
        <v/>
      </c>
      <c r="AA17" s="52">
        <f>IF(AA7=1,INDEX($C$13:$N$13,1,AA6),AVERAGE($C$13:$N$13))</f>
        <v/>
      </c>
      <c r="AB17" s="52">
        <f>IF(AB7=1,INDEX($C$13:$N$13,1,AB6),AVERAGE($C$13:$N$13))</f>
        <v/>
      </c>
      <c r="AC17" s="52">
        <f>IF(AC7=1,INDEX($C$13:$N$13,1,AC6),AVERAGE($C$13:$N$13))</f>
        <v/>
      </c>
      <c r="AD17" s="52">
        <f>IF(AD7=1,INDEX($C$13:$N$13,1,AD6),AVERAGE($C$13:$N$13))</f>
        <v/>
      </c>
      <c r="AE17" s="52">
        <f>IF(AE7=1,INDEX($C$13:$N$13,1,AE6),AVERAGE($C$13:$N$13))</f>
        <v/>
      </c>
    </row>
    <row r="19">
      <c r="A19" s="46" t="inlineStr">
        <is>
          <t>ACQUISITION - all channels, then split across regions</t>
        </is>
      </c>
      <c r="B19" s="47" t="n"/>
      <c r="C19" s="47" t="n"/>
      <c r="D19" s="47" t="n"/>
      <c r="E19" s="47" t="n"/>
      <c r="F19" s="47" t="n"/>
      <c r="G19" s="47" t="n"/>
      <c r="H19" s="47" t="n"/>
      <c r="I19" s="47" t="n"/>
      <c r="J19" s="47" t="n"/>
      <c r="K19" s="47" t="n"/>
      <c r="L19" s="47" t="n"/>
      <c r="M19" s="47" t="n"/>
      <c r="N19" s="47" t="n"/>
      <c r="O19" s="47" t="n"/>
      <c r="P19" s="47" t="n"/>
      <c r="Q19" s="47" t="n"/>
      <c r="R19" s="47" t="n"/>
      <c r="S19" s="47" t="n"/>
      <c r="T19" s="47" t="n"/>
      <c r="U19" s="47" t="n"/>
      <c r="V19" s="47" t="n"/>
      <c r="W19" s="47" t="n"/>
      <c r="X19" s="47" t="n"/>
      <c r="Y19" s="47" t="n"/>
      <c r="Z19" s="47" t="n"/>
      <c r="AA19" s="47" t="n"/>
      <c r="AB19" s="47" t="n"/>
      <c r="AC19" s="47" t="n"/>
      <c r="AD19" s="47" t="n"/>
      <c r="AE19" s="47" t="n"/>
    </row>
    <row r="20">
      <c r="A20" t="inlineStr">
        <is>
          <t>Agent-driven new customers (routed by region below)</t>
        </is>
      </c>
      <c r="B20" s="23" t="inlineStr">
        <is>
          <t>accounts</t>
        </is>
      </c>
      <c r="C20" s="53">
        <f>INDEX(Assumptions!$B$94:$B$100,C5)*Assumptions!$B$124*INDEX(Assumptions!$B$108:$B$114,C5)*C7</f>
        <v/>
      </c>
      <c r="D20" s="53">
        <f>INDEX(Assumptions!$B$94:$B$100,D5)*Assumptions!$B$124*INDEX(Assumptions!$B$108:$B$114,D5)*D7</f>
        <v/>
      </c>
      <c r="E20" s="53">
        <f>INDEX(Assumptions!$B$94:$B$100,E5)*Assumptions!$B$124*INDEX(Assumptions!$B$108:$B$114,E5)*E7</f>
        <v/>
      </c>
      <c r="F20" s="53">
        <f>INDEX(Assumptions!$B$94:$B$100,F5)*Assumptions!$B$124*INDEX(Assumptions!$B$108:$B$114,F5)*F7</f>
        <v/>
      </c>
      <c r="G20" s="53">
        <f>INDEX(Assumptions!$B$94:$B$100,G5)*Assumptions!$B$124*INDEX(Assumptions!$B$108:$B$114,G5)*G7</f>
        <v/>
      </c>
      <c r="H20" s="53">
        <f>INDEX(Assumptions!$B$94:$B$100,H5)*Assumptions!$B$124*INDEX(Assumptions!$B$108:$B$114,H5)*H7</f>
        <v/>
      </c>
      <c r="I20" s="53">
        <f>INDEX(Assumptions!$B$94:$B$100,I5)*Assumptions!$B$124*INDEX(Assumptions!$B$108:$B$114,I5)*I7</f>
        <v/>
      </c>
      <c r="J20" s="53">
        <f>INDEX(Assumptions!$B$94:$B$100,J5)*Assumptions!$B$124*INDEX(Assumptions!$B$108:$B$114,J5)*J7</f>
        <v/>
      </c>
      <c r="K20" s="53">
        <f>INDEX(Assumptions!$B$94:$B$100,K5)*Assumptions!$B$124*INDEX(Assumptions!$B$108:$B$114,K5)*K7</f>
        <v/>
      </c>
      <c r="L20" s="53">
        <f>INDEX(Assumptions!$B$94:$B$100,L5)*Assumptions!$B$124*INDEX(Assumptions!$B$108:$B$114,L5)*L7</f>
        <v/>
      </c>
      <c r="M20" s="53">
        <f>INDEX(Assumptions!$B$94:$B$100,M5)*Assumptions!$B$124*INDEX(Assumptions!$B$108:$B$114,M5)*M7</f>
        <v/>
      </c>
      <c r="N20" s="53">
        <f>INDEX(Assumptions!$B$94:$B$100,N5)*Assumptions!$B$124*INDEX(Assumptions!$B$108:$B$114,N5)*N7</f>
        <v/>
      </c>
      <c r="O20" s="53">
        <f>INDEX(Assumptions!$B$94:$B$100,O5)*Assumptions!$B$124*INDEX(Assumptions!$B$108:$B$114,O5)*O7</f>
        <v/>
      </c>
      <c r="P20" s="53">
        <f>INDEX(Assumptions!$B$94:$B$100,P5)*Assumptions!$B$124*INDEX(Assumptions!$B$108:$B$114,P5)*P7</f>
        <v/>
      </c>
      <c r="Q20" s="53">
        <f>INDEX(Assumptions!$B$94:$B$100,Q5)*Assumptions!$B$124*INDEX(Assumptions!$B$108:$B$114,Q5)*Q7</f>
        <v/>
      </c>
      <c r="R20" s="53">
        <f>INDEX(Assumptions!$B$94:$B$100,R5)*Assumptions!$B$124*INDEX(Assumptions!$B$108:$B$114,R5)*R7</f>
        <v/>
      </c>
      <c r="S20" s="53">
        <f>INDEX(Assumptions!$B$94:$B$100,S5)*Assumptions!$B$124*INDEX(Assumptions!$B$108:$B$114,S5)*S7</f>
        <v/>
      </c>
      <c r="T20" s="53">
        <f>INDEX(Assumptions!$B$94:$B$100,T5)*Assumptions!$B$124*INDEX(Assumptions!$B$108:$B$114,T5)*T7</f>
        <v/>
      </c>
      <c r="U20" s="53">
        <f>INDEX(Assumptions!$B$94:$B$100,U5)*Assumptions!$B$124*INDEX(Assumptions!$B$108:$B$114,U5)*U7</f>
        <v/>
      </c>
      <c r="V20" s="53">
        <f>INDEX(Assumptions!$B$94:$B$100,V5)*Assumptions!$B$124*INDEX(Assumptions!$B$108:$B$114,V5)*V7</f>
        <v/>
      </c>
      <c r="W20" s="53">
        <f>INDEX(Assumptions!$B$94:$B$100,W5)*Assumptions!$B$124*INDEX(Assumptions!$B$108:$B$114,W5)*W7</f>
        <v/>
      </c>
      <c r="X20" s="53">
        <f>INDEX(Assumptions!$B$94:$B$100,X5)*Assumptions!$B$124*INDEX(Assumptions!$B$108:$B$114,X5)*X7</f>
        <v/>
      </c>
      <c r="Y20" s="53">
        <f>INDEX(Assumptions!$B$94:$B$100,Y5)*Assumptions!$B$124*INDEX(Assumptions!$B$108:$B$114,Y5)*Y7</f>
        <v/>
      </c>
      <c r="Z20" s="53">
        <f>INDEX(Assumptions!$B$94:$B$100,Z5)*Assumptions!$B$124*INDEX(Assumptions!$B$108:$B$114,Z5)*Z7</f>
        <v/>
      </c>
      <c r="AA20" s="53">
        <f>INDEX(Assumptions!$B$94:$B$100,AA5)*Assumptions!$B$124*INDEX(Assumptions!$B$108:$B$114,AA5)*AA7</f>
        <v/>
      </c>
      <c r="AB20" s="53">
        <f>INDEX(Assumptions!$B$94:$B$100,AB5)*Assumptions!$B$124*INDEX(Assumptions!$B$108:$B$114,AB5)*AB7</f>
        <v/>
      </c>
      <c r="AC20" s="53">
        <f>INDEX(Assumptions!$B$94:$B$100,AC5)*Assumptions!$B$124*INDEX(Assumptions!$B$108:$B$114,AC5)*AC7</f>
        <v/>
      </c>
      <c r="AD20" s="53">
        <f>INDEX(Assumptions!$B$94:$B$100,AD5)*Assumptions!$B$124*INDEX(Assumptions!$B$108:$B$114,AD5)*AD7</f>
        <v/>
      </c>
      <c r="AE20" s="53">
        <f>INDEX(Assumptions!$B$94:$B$100,AE5)*Assumptions!$B$124*INDEX(Assumptions!$B$108:$B$114,AE5)*AE7</f>
        <v/>
      </c>
    </row>
    <row r="21">
      <c r="A21" s="6" t="inlineStr">
        <is>
          <t>Gold price (this period)</t>
        </is>
      </c>
      <c r="B21" s="23" t="inlineStr">
        <is>
          <t>USD/g</t>
        </is>
      </c>
      <c r="C21" s="53">
        <f>Assumptions!$B$6*(1+Assumptions!$B$121)^(C5-1)</f>
        <v/>
      </c>
      <c r="D21" s="53">
        <f>Assumptions!$B$6*(1+Assumptions!$B$121)^(D5-1)</f>
        <v/>
      </c>
      <c r="E21" s="53">
        <f>Assumptions!$B$6*(1+Assumptions!$B$121)^(E5-1)</f>
        <v/>
      </c>
      <c r="F21" s="53">
        <f>Assumptions!$B$6*(1+Assumptions!$B$121)^(F5-1)</f>
        <v/>
      </c>
      <c r="G21" s="53">
        <f>Assumptions!$B$6*(1+Assumptions!$B$121)^(G5-1)</f>
        <v/>
      </c>
      <c r="H21" s="53">
        <f>Assumptions!$B$6*(1+Assumptions!$B$121)^(H5-1)</f>
        <v/>
      </c>
      <c r="I21" s="53">
        <f>Assumptions!$B$6*(1+Assumptions!$B$121)^(I5-1)</f>
        <v/>
      </c>
      <c r="J21" s="53">
        <f>Assumptions!$B$6*(1+Assumptions!$B$121)^(J5-1)</f>
        <v/>
      </c>
      <c r="K21" s="53">
        <f>Assumptions!$B$6*(1+Assumptions!$B$121)^(K5-1)</f>
        <v/>
      </c>
      <c r="L21" s="53">
        <f>Assumptions!$B$6*(1+Assumptions!$B$121)^(L5-1)</f>
        <v/>
      </c>
      <c r="M21" s="53">
        <f>Assumptions!$B$6*(1+Assumptions!$B$121)^(M5-1)</f>
        <v/>
      </c>
      <c r="N21" s="53">
        <f>Assumptions!$B$6*(1+Assumptions!$B$121)^(N5-1)</f>
        <v/>
      </c>
      <c r="O21" s="53">
        <f>Assumptions!$B$6*(1+Assumptions!$B$121)^(O5-1)</f>
        <v/>
      </c>
      <c r="P21" s="53">
        <f>Assumptions!$B$6*(1+Assumptions!$B$121)^(P5-1)</f>
        <v/>
      </c>
      <c r="Q21" s="53">
        <f>Assumptions!$B$6*(1+Assumptions!$B$121)^(Q5-1)</f>
        <v/>
      </c>
      <c r="R21" s="53">
        <f>Assumptions!$B$6*(1+Assumptions!$B$121)^(R5-1)</f>
        <v/>
      </c>
      <c r="S21" s="53">
        <f>Assumptions!$B$6*(1+Assumptions!$B$121)^(S5-1)</f>
        <v/>
      </c>
      <c r="T21" s="53">
        <f>Assumptions!$B$6*(1+Assumptions!$B$121)^(T5-1)</f>
        <v/>
      </c>
      <c r="U21" s="53">
        <f>Assumptions!$B$6*(1+Assumptions!$B$121)^(U5-1)</f>
        <v/>
      </c>
      <c r="V21" s="53">
        <f>Assumptions!$B$6*(1+Assumptions!$B$121)^(V5-1)</f>
        <v/>
      </c>
      <c r="W21" s="53">
        <f>Assumptions!$B$6*(1+Assumptions!$B$121)^(W5-1)</f>
        <v/>
      </c>
      <c r="X21" s="53">
        <f>Assumptions!$B$6*(1+Assumptions!$B$121)^(X5-1)</f>
        <v/>
      </c>
      <c r="Y21" s="53">
        <f>Assumptions!$B$6*(1+Assumptions!$B$121)^(Y5-1)</f>
        <v/>
      </c>
      <c r="Z21" s="53">
        <f>Assumptions!$B$6*(1+Assumptions!$B$121)^(Z5-1)</f>
        <v/>
      </c>
      <c r="AA21" s="53">
        <f>Assumptions!$B$6*(1+Assumptions!$B$121)^(AA5-1)</f>
        <v/>
      </c>
      <c r="AB21" s="53">
        <f>Assumptions!$B$6*(1+Assumptions!$B$121)^(AB5-1)</f>
        <v/>
      </c>
      <c r="AC21" s="53">
        <f>Assumptions!$B$6*(1+Assumptions!$B$121)^(AC5-1)</f>
        <v/>
      </c>
      <c r="AD21" s="53">
        <f>Assumptions!$B$6*(1+Assumptions!$B$121)^(AD5-1)</f>
        <v/>
      </c>
      <c r="AE21" s="53">
        <f>Assumptions!$B$6*(1+Assumptions!$B$121)^(AE5-1)</f>
        <v/>
      </c>
    </row>
    <row r="22">
      <c r="A22" s="9" t="inlineStr">
        <is>
          <t>⚠ 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is>
      </c>
    </row>
    <row r="23">
      <c r="A23" s="6" t="inlineStr">
        <is>
          <t>Open-region salesforce share (renormalisation base)</t>
        </is>
      </c>
      <c r="B23" s="23" t="inlineStr">
        <is>
          <t>x</t>
        </is>
      </c>
      <c r="C23" s="48">
        <f>Assumptions!$B$115*1+Assumptions!$B$116*IF(C2&gt;=Assumptions!$B$57,1,0)+Assumptions!$B$117*IF(C2&gt;=Assumptions!$B$58,1,0)</f>
        <v/>
      </c>
      <c r="D23" s="48">
        <f>Assumptions!$B$115*1+Assumptions!$B$116*IF(D2&gt;=Assumptions!$B$57,1,0)+Assumptions!$B$117*IF(D2&gt;=Assumptions!$B$58,1,0)</f>
        <v/>
      </c>
      <c r="E23" s="48">
        <f>Assumptions!$B$115*1+Assumptions!$B$116*IF(E2&gt;=Assumptions!$B$57,1,0)+Assumptions!$B$117*IF(E2&gt;=Assumptions!$B$58,1,0)</f>
        <v/>
      </c>
      <c r="F23" s="48">
        <f>Assumptions!$B$115*1+Assumptions!$B$116*IF(F2&gt;=Assumptions!$B$57,1,0)+Assumptions!$B$117*IF(F2&gt;=Assumptions!$B$58,1,0)</f>
        <v/>
      </c>
      <c r="G23" s="48">
        <f>Assumptions!$B$115*1+Assumptions!$B$116*IF(G2&gt;=Assumptions!$B$57,1,0)+Assumptions!$B$117*IF(G2&gt;=Assumptions!$B$58,1,0)</f>
        <v/>
      </c>
      <c r="H23" s="48">
        <f>Assumptions!$B$115*1+Assumptions!$B$116*IF(H2&gt;=Assumptions!$B$57,1,0)+Assumptions!$B$117*IF(H2&gt;=Assumptions!$B$58,1,0)</f>
        <v/>
      </c>
      <c r="I23" s="48">
        <f>Assumptions!$B$115*1+Assumptions!$B$116*IF(I2&gt;=Assumptions!$B$57,1,0)+Assumptions!$B$117*IF(I2&gt;=Assumptions!$B$58,1,0)</f>
        <v/>
      </c>
      <c r="J23" s="48">
        <f>Assumptions!$B$115*1+Assumptions!$B$116*IF(J2&gt;=Assumptions!$B$57,1,0)+Assumptions!$B$117*IF(J2&gt;=Assumptions!$B$58,1,0)</f>
        <v/>
      </c>
      <c r="K23" s="48">
        <f>Assumptions!$B$115*1+Assumptions!$B$116*IF(K2&gt;=Assumptions!$B$57,1,0)+Assumptions!$B$117*IF(K2&gt;=Assumptions!$B$58,1,0)</f>
        <v/>
      </c>
      <c r="L23" s="48">
        <f>Assumptions!$B$115*1+Assumptions!$B$116*IF(L2&gt;=Assumptions!$B$57,1,0)+Assumptions!$B$117*IF(L2&gt;=Assumptions!$B$58,1,0)</f>
        <v/>
      </c>
      <c r="M23" s="48">
        <f>Assumptions!$B$115*1+Assumptions!$B$116*IF(M2&gt;=Assumptions!$B$57,1,0)+Assumptions!$B$117*IF(M2&gt;=Assumptions!$B$58,1,0)</f>
        <v/>
      </c>
      <c r="N23" s="48">
        <f>Assumptions!$B$115*1+Assumptions!$B$116*IF(N2&gt;=Assumptions!$B$57,1,0)+Assumptions!$B$117*IF(N2&gt;=Assumptions!$B$58,1,0)</f>
        <v/>
      </c>
      <c r="O23" s="48">
        <f>Assumptions!$B$115*1+Assumptions!$B$116*IF(O2&gt;=Assumptions!$B$57,1,0)+Assumptions!$B$117*IF(O2&gt;=Assumptions!$B$58,1,0)</f>
        <v/>
      </c>
      <c r="P23" s="48">
        <f>Assumptions!$B$115*1+Assumptions!$B$116*IF(P2&gt;=Assumptions!$B$57,1,0)+Assumptions!$B$117*IF(P2&gt;=Assumptions!$B$58,1,0)</f>
        <v/>
      </c>
      <c r="Q23" s="48">
        <f>Assumptions!$B$115*1+Assumptions!$B$116*IF(Q2&gt;=Assumptions!$B$57,1,0)+Assumptions!$B$117*IF(Q2&gt;=Assumptions!$B$58,1,0)</f>
        <v/>
      </c>
      <c r="R23" s="48">
        <f>Assumptions!$B$115*1+Assumptions!$B$116*IF(R2&gt;=Assumptions!$B$57,1,0)+Assumptions!$B$117*IF(R2&gt;=Assumptions!$B$58,1,0)</f>
        <v/>
      </c>
      <c r="S23" s="48">
        <f>Assumptions!$B$115*1+Assumptions!$B$116*IF(S2&gt;=Assumptions!$B$57,1,0)+Assumptions!$B$117*IF(S2&gt;=Assumptions!$B$58,1,0)</f>
        <v/>
      </c>
      <c r="T23" s="48">
        <f>Assumptions!$B$115*1+Assumptions!$B$116*IF(T2&gt;=Assumptions!$B$57,1,0)+Assumptions!$B$117*IF(T2&gt;=Assumptions!$B$58,1,0)</f>
        <v/>
      </c>
      <c r="U23" s="48">
        <f>Assumptions!$B$115*1+Assumptions!$B$116*IF(U2&gt;=Assumptions!$B$57,1,0)+Assumptions!$B$117*IF(U2&gt;=Assumptions!$B$58,1,0)</f>
        <v/>
      </c>
      <c r="V23" s="48">
        <f>Assumptions!$B$115*1+Assumptions!$B$116*IF(V2&gt;=Assumptions!$B$57,1,0)+Assumptions!$B$117*IF(V2&gt;=Assumptions!$B$58,1,0)</f>
        <v/>
      </c>
      <c r="W23" s="48">
        <f>Assumptions!$B$115*1+Assumptions!$B$116*IF(W2&gt;=Assumptions!$B$57,1,0)+Assumptions!$B$117*IF(W2&gt;=Assumptions!$B$58,1,0)</f>
        <v/>
      </c>
      <c r="X23" s="48">
        <f>Assumptions!$B$115*1+Assumptions!$B$116*IF(X2&gt;=Assumptions!$B$57,1,0)+Assumptions!$B$117*IF(X2&gt;=Assumptions!$B$58,1,0)</f>
        <v/>
      </c>
      <c r="Y23" s="48">
        <f>Assumptions!$B$115*1+Assumptions!$B$116*IF(Y2&gt;=Assumptions!$B$57,1,0)+Assumptions!$B$117*IF(Y2&gt;=Assumptions!$B$58,1,0)</f>
        <v/>
      </c>
      <c r="Z23" s="48">
        <f>Assumptions!$B$115*1+Assumptions!$B$116*IF(Z2&gt;=Assumptions!$B$57,1,0)+Assumptions!$B$117*IF(Z2&gt;=Assumptions!$B$58,1,0)</f>
        <v/>
      </c>
      <c r="AA23" s="48">
        <f>Assumptions!$B$115*1+Assumptions!$B$116*IF(AA2&gt;=Assumptions!$B$57,1,0)+Assumptions!$B$117*IF(AA2&gt;=Assumptions!$B$58,1,0)</f>
        <v/>
      </c>
      <c r="AB23" s="48">
        <f>Assumptions!$B$115*1+Assumptions!$B$116*IF(AB2&gt;=Assumptions!$B$57,1,0)+Assumptions!$B$117*IF(AB2&gt;=Assumptions!$B$58,1,0)</f>
        <v/>
      </c>
      <c r="AC23" s="48">
        <f>Assumptions!$B$115*1+Assumptions!$B$116*IF(AC2&gt;=Assumptions!$B$57,1,0)+Assumptions!$B$117*IF(AC2&gt;=Assumptions!$B$58,1,0)</f>
        <v/>
      </c>
      <c r="AD23" s="48">
        <f>Assumptions!$B$115*1+Assumptions!$B$116*IF(AD2&gt;=Assumptions!$B$57,1,0)+Assumptions!$B$117*IF(AD2&gt;=Assumptions!$B$58,1,0)</f>
        <v/>
      </c>
      <c r="AE23" s="48">
        <f>Assumptions!$B$115*1+Assumptions!$B$116*IF(AE2&gt;=Assumptions!$B$57,1,0)+Assumptions!$B$117*IF(AE2&gt;=Assumptions!$B$58,1,0)</f>
        <v/>
      </c>
    </row>
    <row r="25">
      <c r="A25" s="46" t="inlineStr">
        <is>
          <t>REGION: UAE</t>
        </is>
      </c>
      <c r="B25" s="47" t="n"/>
      <c r="C25" s="47" t="n"/>
      <c r="D25" s="47" t="n"/>
      <c r="E25" s="47" t="n"/>
      <c r="F25" s="47" t="n"/>
      <c r="G25" s="47" t="n"/>
      <c r="H25" s="47" t="n"/>
      <c r="I25" s="47" t="n"/>
      <c r="J25" s="47" t="n"/>
      <c r="K25" s="47" t="n"/>
      <c r="L25" s="47" t="n"/>
      <c r="M25" s="47" t="n"/>
      <c r="N25" s="47" t="n"/>
      <c r="O25" s="47" t="n"/>
      <c r="P25" s="47" t="n"/>
      <c r="Q25" s="47" t="n"/>
      <c r="R25" s="47" t="n"/>
      <c r="S25" s="47" t="n"/>
      <c r="T25" s="47" t="n"/>
      <c r="U25" s="47" t="n"/>
      <c r="V25" s="47" t="n"/>
      <c r="W25" s="47" t="n"/>
      <c r="X25" s="47" t="n"/>
      <c r="Y25" s="47" t="n"/>
      <c r="Z25" s="47" t="n"/>
      <c r="AA25" s="47" t="n"/>
      <c r="AB25" s="47" t="n"/>
      <c r="AC25" s="47" t="n"/>
      <c r="AD25" s="47" t="n"/>
      <c r="AE25" s="47" t="n"/>
    </row>
    <row r="26">
      <c r="A26" s="6" t="inlineStr">
        <is>
          <t xml:space="preserve">  Direct-driven (this market's budget at its own CAC)</t>
        </is>
      </c>
      <c r="B26" s="23" t="inlineStr">
        <is>
          <t>accounts</t>
        </is>
      </c>
      <c r="C26" s="53">
        <f>INDEX(Assumptions!$B$101:$B$107,C5)*Assumptions!$B$128/12*C7/Assumptions!$B$125*(1+Assumptions!$B$133)*1</f>
        <v/>
      </c>
      <c r="D26" s="53">
        <f>INDEX(Assumptions!$B$101:$B$107,D5)*Assumptions!$B$128/12*D7/Assumptions!$B$125*(1+Assumptions!$B$133)*1</f>
        <v/>
      </c>
      <c r="E26" s="53">
        <f>INDEX(Assumptions!$B$101:$B$107,E5)*Assumptions!$B$128/12*E7/Assumptions!$B$125*(1+Assumptions!$B$133)*1</f>
        <v/>
      </c>
      <c r="F26" s="53">
        <f>INDEX(Assumptions!$B$101:$B$107,F5)*Assumptions!$B$128/12*F7/Assumptions!$B$125*(1+Assumptions!$B$133)*1</f>
        <v/>
      </c>
      <c r="G26" s="53">
        <f>INDEX(Assumptions!$B$101:$B$107,G5)*Assumptions!$B$128/12*G7/Assumptions!$B$125*(1+Assumptions!$B$133)*1</f>
        <v/>
      </c>
      <c r="H26" s="53">
        <f>INDEX(Assumptions!$B$101:$B$107,H5)*Assumptions!$B$128/12*H7/Assumptions!$B$125*(1+Assumptions!$B$133)*1</f>
        <v/>
      </c>
      <c r="I26" s="53">
        <f>INDEX(Assumptions!$B$101:$B$107,I5)*Assumptions!$B$128/12*I7/Assumptions!$B$125*(1+Assumptions!$B$133)*1</f>
        <v/>
      </c>
      <c r="J26" s="53">
        <f>INDEX(Assumptions!$B$101:$B$107,J5)*Assumptions!$B$128/12*J7/Assumptions!$B$125*(1+Assumptions!$B$133)*1</f>
        <v/>
      </c>
      <c r="K26" s="53">
        <f>INDEX(Assumptions!$B$101:$B$107,K5)*Assumptions!$B$128/12*K7/Assumptions!$B$125*(1+Assumptions!$B$133)*1</f>
        <v/>
      </c>
      <c r="L26" s="53">
        <f>INDEX(Assumptions!$B$101:$B$107,L5)*Assumptions!$B$128/12*L7/Assumptions!$B$125*(1+Assumptions!$B$133)*1</f>
        <v/>
      </c>
      <c r="M26" s="53">
        <f>INDEX(Assumptions!$B$101:$B$107,M5)*Assumptions!$B$128/12*M7/Assumptions!$B$125*(1+Assumptions!$B$133)*1</f>
        <v/>
      </c>
      <c r="N26" s="53">
        <f>INDEX(Assumptions!$B$101:$B$107,N5)*Assumptions!$B$128/12*N7/Assumptions!$B$125*(1+Assumptions!$B$133)*1</f>
        <v/>
      </c>
      <c r="O26" s="53">
        <f>INDEX(Assumptions!$B$101:$B$107,O5)*Assumptions!$B$128/12*O7/Assumptions!$B$125*(1+Assumptions!$B$133)*1</f>
        <v/>
      </c>
      <c r="P26" s="53">
        <f>INDEX(Assumptions!$B$101:$B$107,P5)*Assumptions!$B$128/12*P7/Assumptions!$B$125*(1+Assumptions!$B$133)*1</f>
        <v/>
      </c>
      <c r="Q26" s="53">
        <f>INDEX(Assumptions!$B$101:$B$107,Q5)*Assumptions!$B$128/12*Q7/Assumptions!$B$125*(1+Assumptions!$B$133)*1</f>
        <v/>
      </c>
      <c r="R26" s="53">
        <f>INDEX(Assumptions!$B$101:$B$107,R5)*Assumptions!$B$128/12*R7/Assumptions!$B$125*(1+Assumptions!$B$133)*1</f>
        <v/>
      </c>
      <c r="S26" s="53">
        <f>INDEX(Assumptions!$B$101:$B$107,S5)*Assumptions!$B$128/12*S7/Assumptions!$B$125*(1+Assumptions!$B$133)*1</f>
        <v/>
      </c>
      <c r="T26" s="53">
        <f>INDEX(Assumptions!$B$101:$B$107,T5)*Assumptions!$B$128/12*T7/Assumptions!$B$125*(1+Assumptions!$B$133)*1</f>
        <v/>
      </c>
      <c r="U26" s="53">
        <f>INDEX(Assumptions!$B$101:$B$107,U5)*Assumptions!$B$128/12*U7/Assumptions!$B$125*(1+Assumptions!$B$133)*1</f>
        <v/>
      </c>
      <c r="V26" s="53">
        <f>INDEX(Assumptions!$B$101:$B$107,V5)*Assumptions!$B$128/12*V7/Assumptions!$B$125*(1+Assumptions!$B$133)*1</f>
        <v/>
      </c>
      <c r="W26" s="53">
        <f>INDEX(Assumptions!$B$101:$B$107,W5)*Assumptions!$B$128/12*W7/Assumptions!$B$125*(1+Assumptions!$B$133)*1</f>
        <v/>
      </c>
      <c r="X26" s="53">
        <f>INDEX(Assumptions!$B$101:$B$107,X5)*Assumptions!$B$128/12*X7/Assumptions!$B$125*(1+Assumptions!$B$133)*1</f>
        <v/>
      </c>
      <c r="Y26" s="53">
        <f>INDEX(Assumptions!$B$101:$B$107,Y5)*Assumptions!$B$128/12*Y7/Assumptions!$B$125*(1+Assumptions!$B$133)*1</f>
        <v/>
      </c>
      <c r="Z26" s="53">
        <f>INDEX(Assumptions!$B$101:$B$107,Z5)*Assumptions!$B$128/12*Z7/Assumptions!$B$125*(1+Assumptions!$B$133)*1</f>
        <v/>
      </c>
      <c r="AA26" s="53">
        <f>INDEX(Assumptions!$B$101:$B$107,AA5)*Assumptions!$B$128/12*AA7/Assumptions!$B$125*(1+Assumptions!$B$133)*1</f>
        <v/>
      </c>
      <c r="AB26" s="53">
        <f>INDEX(Assumptions!$B$101:$B$107,AB5)*Assumptions!$B$128/12*AB7/Assumptions!$B$125*(1+Assumptions!$B$133)*1</f>
        <v/>
      </c>
      <c r="AC26" s="53">
        <f>INDEX(Assumptions!$B$101:$B$107,AC5)*Assumptions!$B$128/12*AC7/Assumptions!$B$125*(1+Assumptions!$B$133)*1</f>
        <v/>
      </c>
      <c r="AD26" s="53">
        <f>INDEX(Assumptions!$B$101:$B$107,AD5)*Assumptions!$B$128/12*AD7/Assumptions!$B$125*(1+Assumptions!$B$133)*1</f>
        <v/>
      </c>
      <c r="AE26" s="53">
        <f>INDEX(Assumptions!$B$101:$B$107,AE5)*Assumptions!$B$128/12*AE7/Assumptions!$B$125*(1+Assumptions!$B$133)*1</f>
        <v/>
      </c>
    </row>
    <row r="27">
      <c r="A27" s="6" t="inlineStr">
        <is>
          <t xml:space="preserve">  Referral-driven (from this market's own base)</t>
        </is>
      </c>
      <c r="B27" s="23" t="inlineStr">
        <is>
          <t>accounts</t>
        </is>
      </c>
      <c r="C27" s="54" t="n">
        <v>0</v>
      </c>
      <c r="D27" s="54">
        <f>IF(D2&gt;=Assumptions!$B$56,C31*Assumptions!$B$131/12*Assumptions!$B$132*D7,0)</f>
        <v/>
      </c>
      <c r="E27" s="54">
        <f>IF(E2&gt;=Assumptions!$B$56,D31*Assumptions!$B$131/12*Assumptions!$B$132*E7,0)</f>
        <v/>
      </c>
      <c r="F27" s="54">
        <f>IF(F2&gt;=Assumptions!$B$56,E31*Assumptions!$B$131/12*Assumptions!$B$132*F7,0)</f>
        <v/>
      </c>
      <c r="G27" s="54">
        <f>IF(G2&gt;=Assumptions!$B$56,F31*Assumptions!$B$131/12*Assumptions!$B$132*G7,0)</f>
        <v/>
      </c>
      <c r="H27" s="54">
        <f>IF(H2&gt;=Assumptions!$B$56,G31*Assumptions!$B$131/12*Assumptions!$B$132*H7,0)</f>
        <v/>
      </c>
      <c r="I27" s="54">
        <f>IF(I2&gt;=Assumptions!$B$56,H31*Assumptions!$B$131/12*Assumptions!$B$132*I7,0)</f>
        <v/>
      </c>
      <c r="J27" s="54">
        <f>IF(J2&gt;=Assumptions!$B$56,I31*Assumptions!$B$131/12*Assumptions!$B$132*J7,0)</f>
        <v/>
      </c>
      <c r="K27" s="54">
        <f>IF(K2&gt;=Assumptions!$B$56,J31*Assumptions!$B$131/12*Assumptions!$B$132*K7,0)</f>
        <v/>
      </c>
      <c r="L27" s="54">
        <f>IF(L2&gt;=Assumptions!$B$56,K31*Assumptions!$B$131/12*Assumptions!$B$132*L7,0)</f>
        <v/>
      </c>
      <c r="M27" s="54">
        <f>IF(M2&gt;=Assumptions!$B$56,L31*Assumptions!$B$131/12*Assumptions!$B$132*M7,0)</f>
        <v/>
      </c>
      <c r="N27" s="54">
        <f>IF(N2&gt;=Assumptions!$B$56,M31*Assumptions!$B$131/12*Assumptions!$B$132*N7,0)</f>
        <v/>
      </c>
      <c r="O27" s="54">
        <f>IF(O2&gt;=Assumptions!$B$56,N31*Assumptions!$B$131/12*Assumptions!$B$132*O7,0)</f>
        <v/>
      </c>
      <c r="P27" s="54">
        <f>IF(P2&gt;=Assumptions!$B$56,O31*Assumptions!$B$131/12*Assumptions!$B$132*P7,0)</f>
        <v/>
      </c>
      <c r="Q27" s="54">
        <f>IF(Q2&gt;=Assumptions!$B$56,P31*Assumptions!$B$131/12*Assumptions!$B$132*Q7,0)</f>
        <v/>
      </c>
      <c r="R27" s="54">
        <f>IF(R2&gt;=Assumptions!$B$56,Q31*Assumptions!$B$131/12*Assumptions!$B$132*R7,0)</f>
        <v/>
      </c>
      <c r="S27" s="54">
        <f>IF(S2&gt;=Assumptions!$B$56,R31*Assumptions!$B$131/12*Assumptions!$B$132*S7,0)</f>
        <v/>
      </c>
      <c r="T27" s="54">
        <f>IF(T2&gt;=Assumptions!$B$56,S31*Assumptions!$B$131/12*Assumptions!$B$132*T7,0)</f>
        <v/>
      </c>
      <c r="U27" s="54">
        <f>IF(U2&gt;=Assumptions!$B$56,T31*Assumptions!$B$131/12*Assumptions!$B$132*U7,0)</f>
        <v/>
      </c>
      <c r="V27" s="54">
        <f>IF(V2&gt;=Assumptions!$B$56,U31*Assumptions!$B$131/12*Assumptions!$B$132*V7,0)</f>
        <v/>
      </c>
      <c r="W27" s="54">
        <f>IF(W2&gt;=Assumptions!$B$56,V31*Assumptions!$B$131/12*Assumptions!$B$132*W7,0)</f>
        <v/>
      </c>
      <c r="X27" s="54">
        <f>IF(X2&gt;=Assumptions!$B$56,W31*Assumptions!$B$131/12*Assumptions!$B$132*X7,0)</f>
        <v/>
      </c>
      <c r="Y27" s="54">
        <f>IF(Y2&gt;=Assumptions!$B$56,X31*Assumptions!$B$131/12*Assumptions!$B$132*Y7,0)</f>
        <v/>
      </c>
      <c r="Z27" s="54">
        <f>IF(Z2&gt;=Assumptions!$B$56,Y31*Assumptions!$B$131/12*Assumptions!$B$132*Z7,0)</f>
        <v/>
      </c>
      <c r="AA27" s="54">
        <f>IF(AA2&gt;=Assumptions!$B$56,Z31*Assumptions!$B$131/12*Assumptions!$B$132*AA7,0)</f>
        <v/>
      </c>
      <c r="AB27" s="54">
        <f>IF(AB2&gt;=Assumptions!$B$56,AA31*Assumptions!$B$131/12*Assumptions!$B$132*AB7,0)</f>
        <v/>
      </c>
      <c r="AC27" s="54">
        <f>IF(AC2&gt;=Assumptions!$B$56,AB31*Assumptions!$B$131/12*Assumptions!$B$132*AC7,0)</f>
        <v/>
      </c>
      <c r="AD27" s="54">
        <f>IF(AD2&gt;=Assumptions!$B$56,AC31*Assumptions!$B$131/12*Assumptions!$B$132*AD7,0)</f>
        <v/>
      </c>
      <c r="AE27" s="54">
        <f>IF(AE2&gt;=Assumptions!$B$56,AD31*Assumptions!$B$131/12*Assumptions!$B$132*AE7,0)</f>
        <v/>
      </c>
    </row>
    <row r="28">
      <c r="A28" s="6" t="inlineStr">
        <is>
          <t xml:space="preserve">  Raw demand</t>
        </is>
      </c>
      <c r="B28" s="23" t="inlineStr">
        <is>
          <t>accounts</t>
        </is>
      </c>
      <c r="C28" s="54">
        <f>C26+C27+IF(C23=0,0,C20*Assumptions!$B$115/C23*1)</f>
        <v/>
      </c>
      <c r="D28" s="54">
        <f>D26+D27+IF(D23=0,0,D20*Assumptions!$B$115/D23*1)</f>
        <v/>
      </c>
      <c r="E28" s="54">
        <f>E26+E27+IF(E23=0,0,E20*Assumptions!$B$115/E23*1)</f>
        <v/>
      </c>
      <c r="F28" s="54">
        <f>F26+F27+IF(F23=0,0,F20*Assumptions!$B$115/F23*1)</f>
        <v/>
      </c>
      <c r="G28" s="54">
        <f>G26+G27+IF(G23=0,0,G20*Assumptions!$B$115/G23*1)</f>
        <v/>
      </c>
      <c r="H28" s="54">
        <f>H26+H27+IF(H23=0,0,H20*Assumptions!$B$115/H23*1)</f>
        <v/>
      </c>
      <c r="I28" s="54">
        <f>I26+I27+IF(I23=0,0,I20*Assumptions!$B$115/I23*1)</f>
        <v/>
      </c>
      <c r="J28" s="54">
        <f>J26+J27+IF(J23=0,0,J20*Assumptions!$B$115/J23*1)</f>
        <v/>
      </c>
      <c r="K28" s="54">
        <f>K26+K27+IF(K23=0,0,K20*Assumptions!$B$115/K23*1)</f>
        <v/>
      </c>
      <c r="L28" s="54">
        <f>L26+L27+IF(L23=0,0,L20*Assumptions!$B$115/L23*1)</f>
        <v/>
      </c>
      <c r="M28" s="54">
        <f>M26+M27+IF(M23=0,0,M20*Assumptions!$B$115/M23*1)</f>
        <v/>
      </c>
      <c r="N28" s="54">
        <f>N26+N27+IF(N23=0,0,N20*Assumptions!$B$115/N23*1)</f>
        <v/>
      </c>
      <c r="O28" s="54">
        <f>O26+O27+IF(O23=0,0,O20*Assumptions!$B$115/O23*1)</f>
        <v/>
      </c>
      <c r="P28" s="54">
        <f>P26+P27+IF(P23=0,0,P20*Assumptions!$B$115/P23*1)</f>
        <v/>
      </c>
      <c r="Q28" s="54">
        <f>Q26+Q27+IF(Q23=0,0,Q20*Assumptions!$B$115/Q23*1)</f>
        <v/>
      </c>
      <c r="R28" s="54">
        <f>R26+R27+IF(R23=0,0,R20*Assumptions!$B$115/R23*1)</f>
        <v/>
      </c>
      <c r="S28" s="54">
        <f>S26+S27+IF(S23=0,0,S20*Assumptions!$B$115/S23*1)</f>
        <v/>
      </c>
      <c r="T28" s="54">
        <f>T26+T27+IF(T23=0,0,T20*Assumptions!$B$115/T23*1)</f>
        <v/>
      </c>
      <c r="U28" s="54">
        <f>U26+U27+IF(U23=0,0,U20*Assumptions!$B$115/U23*1)</f>
        <v/>
      </c>
      <c r="V28" s="54">
        <f>V26+V27+IF(V23=0,0,V20*Assumptions!$B$115/V23*1)</f>
        <v/>
      </c>
      <c r="W28" s="54">
        <f>W26+W27+IF(W23=0,0,W20*Assumptions!$B$115/W23*1)</f>
        <v/>
      </c>
      <c r="X28" s="54">
        <f>X26+X27+IF(X23=0,0,X20*Assumptions!$B$115/X23*1)</f>
        <v/>
      </c>
      <c r="Y28" s="54">
        <f>Y26+Y27+IF(Y23=0,0,Y20*Assumptions!$B$115/Y23*1)</f>
        <v/>
      </c>
      <c r="Z28" s="54">
        <f>Z26+Z27+IF(Z23=0,0,Z20*Assumptions!$B$115/Z23*1)</f>
        <v/>
      </c>
      <c r="AA28" s="54">
        <f>AA26+AA27+IF(AA23=0,0,AA20*Assumptions!$B$115/AA23*1)</f>
        <v/>
      </c>
      <c r="AB28" s="54">
        <f>AB26+AB27+IF(AB23=0,0,AB20*Assumptions!$B$115/AB23*1)</f>
        <v/>
      </c>
      <c r="AC28" s="54">
        <f>AC26+AC27+IF(AC23=0,0,AC20*Assumptions!$B$115/AC23*1)</f>
        <v/>
      </c>
      <c r="AD28" s="54">
        <f>AD26+AD27+IF(AD23=0,0,AD20*Assumptions!$B$115/AD23*1)</f>
        <v/>
      </c>
      <c r="AE28" s="54">
        <f>AE26+AE27+IF(AE23=0,0,AE20*Assumptions!$B$115/AE23*1)</f>
        <v/>
      </c>
    </row>
    <row r="29">
      <c r="A29" s="6" t="inlineStr">
        <is>
          <t xml:space="preserve">  Saturation (this region's own headroom)</t>
        </is>
      </c>
      <c r="B29" s="23" t="inlineStr">
        <is>
          <t>x</t>
        </is>
      </c>
      <c r="C29" s="51" t="n">
        <v>1</v>
      </c>
      <c r="D29" s="51">
        <f>MAX(0,1-C34/Assumptions!$B$85)</f>
        <v/>
      </c>
      <c r="E29" s="51">
        <f>MAX(0,1-D34/Assumptions!$B$85)</f>
        <v/>
      </c>
      <c r="F29" s="51">
        <f>MAX(0,1-E34/Assumptions!$B$85)</f>
        <v/>
      </c>
      <c r="G29" s="51">
        <f>MAX(0,1-F34/Assumptions!$B$85)</f>
        <v/>
      </c>
      <c r="H29" s="51">
        <f>MAX(0,1-G34/Assumptions!$B$85)</f>
        <v/>
      </c>
      <c r="I29" s="51">
        <f>MAX(0,1-H34/Assumptions!$B$85)</f>
        <v/>
      </c>
      <c r="J29" s="51">
        <f>MAX(0,1-I34/Assumptions!$B$85)</f>
        <v/>
      </c>
      <c r="K29" s="51">
        <f>MAX(0,1-J34/Assumptions!$B$85)</f>
        <v/>
      </c>
      <c r="L29" s="51">
        <f>MAX(0,1-K34/Assumptions!$B$85)</f>
        <v/>
      </c>
      <c r="M29" s="51">
        <f>MAX(0,1-L34/Assumptions!$B$85)</f>
        <v/>
      </c>
      <c r="N29" s="51">
        <f>MAX(0,1-M34/Assumptions!$B$85)</f>
        <v/>
      </c>
      <c r="O29" s="51">
        <f>MAX(0,1-N34/Assumptions!$B$85)</f>
        <v/>
      </c>
      <c r="P29" s="51">
        <f>MAX(0,1-O34/Assumptions!$B$85)</f>
        <v/>
      </c>
      <c r="Q29" s="51">
        <f>MAX(0,1-P34/Assumptions!$B$85)</f>
        <v/>
      </c>
      <c r="R29" s="51">
        <f>MAX(0,1-Q34/Assumptions!$B$85)</f>
        <v/>
      </c>
      <c r="S29" s="51">
        <f>MAX(0,1-R34/Assumptions!$B$85)</f>
        <v/>
      </c>
      <c r="T29" s="51">
        <f>MAX(0,1-S34/Assumptions!$B$85)</f>
        <v/>
      </c>
      <c r="U29" s="51">
        <f>MAX(0,1-T34/Assumptions!$B$85)</f>
        <v/>
      </c>
      <c r="V29" s="51">
        <f>MAX(0,1-U34/Assumptions!$B$85)</f>
        <v/>
      </c>
      <c r="W29" s="51">
        <f>MAX(0,1-V34/Assumptions!$B$85)</f>
        <v/>
      </c>
      <c r="X29" s="51">
        <f>MAX(0,1-W34/Assumptions!$B$85)</f>
        <v/>
      </c>
      <c r="Y29" s="51">
        <f>MAX(0,1-X34/Assumptions!$B$85)</f>
        <v/>
      </c>
      <c r="Z29" s="51">
        <f>MAX(0,1-Y34/Assumptions!$B$85)</f>
        <v/>
      </c>
      <c r="AA29" s="51">
        <f>MAX(0,1-Z34/Assumptions!$B$85)</f>
        <v/>
      </c>
      <c r="AB29" s="51">
        <f>MAX(0,1-AA34/Assumptions!$B$85)</f>
        <v/>
      </c>
      <c r="AC29" s="51">
        <f>MAX(0,1-AB34/Assumptions!$B$85)</f>
        <v/>
      </c>
      <c r="AD29" s="51">
        <f>MAX(0,1-AC34/Assumptions!$B$85)</f>
        <v/>
      </c>
      <c r="AE29" s="51">
        <f>MAX(0,1-AD34/Assumptions!$B$85)</f>
        <v/>
      </c>
    </row>
    <row r="30">
      <c r="A30" s="6" t="inlineStr">
        <is>
          <t xml:space="preserve">  New customers</t>
        </is>
      </c>
      <c r="B30" s="23" t="inlineStr">
        <is>
          <t>accounts</t>
        </is>
      </c>
      <c r="C30" s="54">
        <f>C28*C29*C15</f>
        <v/>
      </c>
      <c r="D30" s="54">
        <f>D28*D29*D15</f>
        <v/>
      </c>
      <c r="E30" s="54">
        <f>E28*E29*E15</f>
        <v/>
      </c>
      <c r="F30" s="54">
        <f>F28*F29*F15</f>
        <v/>
      </c>
      <c r="G30" s="54">
        <f>G28*G29*G15</f>
        <v/>
      </c>
      <c r="H30" s="54">
        <f>H28*H29*H15</f>
        <v/>
      </c>
      <c r="I30" s="54">
        <f>I28*I29*I15</f>
        <v/>
      </c>
      <c r="J30" s="54">
        <f>J28*J29*J15</f>
        <v/>
      </c>
      <c r="K30" s="54">
        <f>K28*K29*K15</f>
        <v/>
      </c>
      <c r="L30" s="54">
        <f>L28*L29*L15</f>
        <v/>
      </c>
      <c r="M30" s="54">
        <f>M28*M29*M15</f>
        <v/>
      </c>
      <c r="N30" s="54">
        <f>N28*N29*N15</f>
        <v/>
      </c>
      <c r="O30" s="54">
        <f>O28*O29*O15</f>
        <v/>
      </c>
      <c r="P30" s="54">
        <f>P28*P29*P15</f>
        <v/>
      </c>
      <c r="Q30" s="54">
        <f>Q28*Q29*Q15</f>
        <v/>
      </c>
      <c r="R30" s="54">
        <f>R28*R29*R15</f>
        <v/>
      </c>
      <c r="S30" s="54">
        <f>S28*S29*S15</f>
        <v/>
      </c>
      <c r="T30" s="54">
        <f>T28*T29*T15</f>
        <v/>
      </c>
      <c r="U30" s="54">
        <f>U28*U29*U15</f>
        <v/>
      </c>
      <c r="V30" s="54">
        <f>V28*V29*V15</f>
        <v/>
      </c>
      <c r="W30" s="54">
        <f>W28*W29*W15</f>
        <v/>
      </c>
      <c r="X30" s="54">
        <f>X28*X29*X15</f>
        <v/>
      </c>
      <c r="Y30" s="54">
        <f>Y28*Y29*Y15</f>
        <v/>
      </c>
      <c r="Z30" s="54">
        <f>Z28*Z29*Z15</f>
        <v/>
      </c>
      <c r="AA30" s="54">
        <f>AA28*AA29*AA15</f>
        <v/>
      </c>
      <c r="AB30" s="54">
        <f>AB28*AB29*AB15</f>
        <v/>
      </c>
      <c r="AC30" s="54">
        <f>AC28*AC29*AC15</f>
        <v/>
      </c>
      <c r="AD30" s="54">
        <f>AD28*AD29*AD15</f>
        <v/>
      </c>
      <c r="AE30" s="54">
        <f>AE28*AE29*AE15</f>
        <v/>
      </c>
    </row>
    <row r="31">
      <c r="A31" s="6" t="inlineStr">
        <is>
          <t xml:space="preserve">  Paying customers</t>
        </is>
      </c>
      <c r="B31" s="23" t="inlineStr">
        <is>
          <t>accounts</t>
        </is>
      </c>
      <c r="C31" s="28">
        <f>C30*(1-Assumptions!$B$123)^(C7/2)</f>
        <v/>
      </c>
      <c r="D31" s="28">
        <f>C31*(1-Assumptions!$B$123)^D7+D30*(1-Assumptions!$B$123)^(D7/2)</f>
        <v/>
      </c>
      <c r="E31" s="28">
        <f>D31*(1-Assumptions!$B$123)^E7+E30*(1-Assumptions!$B$123)^(E7/2)</f>
        <v/>
      </c>
      <c r="F31" s="28">
        <f>E31*(1-Assumptions!$B$123)^F7+F30*(1-Assumptions!$B$123)^(F7/2)</f>
        <v/>
      </c>
      <c r="G31" s="28">
        <f>F31*(1-Assumptions!$B$123)^G7+G30*(1-Assumptions!$B$123)^(G7/2)</f>
        <v/>
      </c>
      <c r="H31" s="28">
        <f>G31*(1-Assumptions!$B$123)^H7+H30*(1-Assumptions!$B$123)^(H7/2)</f>
        <v/>
      </c>
      <c r="I31" s="28">
        <f>H31*(1-Assumptions!$B$123)^I7+I30*(1-Assumptions!$B$123)^(I7/2)</f>
        <v/>
      </c>
      <c r="J31" s="28">
        <f>I31*(1-Assumptions!$B$123)^J7+J30*(1-Assumptions!$B$123)^(J7/2)</f>
        <v/>
      </c>
      <c r="K31" s="28">
        <f>J31*(1-Assumptions!$B$123)^K7+K30*(1-Assumptions!$B$123)^(K7/2)</f>
        <v/>
      </c>
      <c r="L31" s="28">
        <f>K31*(1-Assumptions!$B$123)^L7+L30*(1-Assumptions!$B$123)^(L7/2)</f>
        <v/>
      </c>
      <c r="M31" s="28">
        <f>L31*(1-Assumptions!$B$123)^M7+M30*(1-Assumptions!$B$123)^(M7/2)</f>
        <v/>
      </c>
      <c r="N31" s="28">
        <f>M31*(1-Assumptions!$B$123)^N7+N30*(1-Assumptions!$B$123)^(N7/2)</f>
        <v/>
      </c>
      <c r="O31" s="28">
        <f>N31*(1-Assumptions!$B$123)^O7+O30*(1-Assumptions!$B$123)^(O7/2)</f>
        <v/>
      </c>
      <c r="P31" s="28">
        <f>O31*(1-Assumptions!$B$123)^P7+P30*(1-Assumptions!$B$123)^(P7/2)</f>
        <v/>
      </c>
      <c r="Q31" s="28">
        <f>P31*(1-Assumptions!$B$123)^Q7+Q30*(1-Assumptions!$B$123)^(Q7/2)</f>
        <v/>
      </c>
      <c r="R31" s="28">
        <f>Q31*(1-Assumptions!$B$123)^R7+R30*(1-Assumptions!$B$123)^(R7/2)</f>
        <v/>
      </c>
      <c r="S31" s="28">
        <f>R31*(1-Assumptions!$B$123)^S7+S30*(1-Assumptions!$B$123)^(S7/2)</f>
        <v/>
      </c>
      <c r="T31" s="28">
        <f>S31*(1-Assumptions!$B$123)^T7+T30*(1-Assumptions!$B$123)^(T7/2)</f>
        <v/>
      </c>
      <c r="U31" s="28">
        <f>T31*(1-Assumptions!$B$123)^U7+U30*(1-Assumptions!$B$123)^(U7/2)</f>
        <v/>
      </c>
      <c r="V31" s="28">
        <f>U31*(1-Assumptions!$B$123)^V7+V30*(1-Assumptions!$B$123)^(V7/2)</f>
        <v/>
      </c>
      <c r="W31" s="28">
        <f>V31*(1-Assumptions!$B$123)^W7+W30*(1-Assumptions!$B$123)^(W7/2)</f>
        <v/>
      </c>
      <c r="X31" s="28">
        <f>W31*(1-Assumptions!$B$123)^X7+X30*(1-Assumptions!$B$123)^(X7/2)</f>
        <v/>
      </c>
      <c r="Y31" s="28">
        <f>X31*(1-Assumptions!$B$123)^Y7+Y30*(1-Assumptions!$B$123)^(Y7/2)</f>
        <v/>
      </c>
      <c r="Z31" s="28">
        <f>Y31*(1-Assumptions!$B$123)^Z7+Z30*(1-Assumptions!$B$123)^(Z7/2)</f>
        <v/>
      </c>
      <c r="AA31" s="28">
        <f>Z31*(1-Assumptions!$B$123)^AA7+AA30*(1-Assumptions!$B$123)^(AA7/2)</f>
        <v/>
      </c>
      <c r="AB31" s="28">
        <f>AA31*(1-Assumptions!$B$123)^AB7+AB30*(1-Assumptions!$B$123)^(AB7/2)</f>
        <v/>
      </c>
      <c r="AC31" s="28">
        <f>AB31*(1-Assumptions!$B$123)^AC7+AC30*(1-Assumptions!$B$123)^(AC7/2)</f>
        <v/>
      </c>
      <c r="AD31" s="28">
        <f>AC31*(1-Assumptions!$B$123)^AD7+AD30*(1-Assumptions!$B$123)^(AD7/2)</f>
        <v/>
      </c>
      <c r="AE31" s="28">
        <f>AD31*(1-Assumptions!$B$123)^AE7+AE30*(1-Assumptions!$B$123)^(AE7/2)</f>
        <v/>
      </c>
    </row>
    <row r="32">
      <c r="A32" s="6" t="inlineStr">
        <is>
          <t xml:space="preserve">  Churned this period</t>
        </is>
      </c>
      <c r="B32" s="23" t="inlineStr">
        <is>
          <t>accounts</t>
        </is>
      </c>
      <c r="C32" s="54">
        <f>C30-C31</f>
        <v/>
      </c>
      <c r="D32" s="54">
        <f>C31+D30-D31</f>
        <v/>
      </c>
      <c r="E32" s="54">
        <f>D31+E30-E31</f>
        <v/>
      </c>
      <c r="F32" s="54">
        <f>E31+F30-F31</f>
        <v/>
      </c>
      <c r="G32" s="54">
        <f>F31+G30-G31</f>
        <v/>
      </c>
      <c r="H32" s="54">
        <f>G31+H30-H31</f>
        <v/>
      </c>
      <c r="I32" s="54">
        <f>H31+I30-I31</f>
        <v/>
      </c>
      <c r="J32" s="54">
        <f>I31+J30-J31</f>
        <v/>
      </c>
      <c r="K32" s="54">
        <f>J31+K30-K31</f>
        <v/>
      </c>
      <c r="L32" s="54">
        <f>K31+L30-L31</f>
        <v/>
      </c>
      <c r="M32" s="54">
        <f>L31+M30-M31</f>
        <v/>
      </c>
      <c r="N32" s="54">
        <f>M31+N30-N31</f>
        <v/>
      </c>
      <c r="O32" s="54">
        <f>N31+O30-O31</f>
        <v/>
      </c>
      <c r="P32" s="54">
        <f>O31+P30-P31</f>
        <v/>
      </c>
      <c r="Q32" s="54">
        <f>P31+Q30-Q31</f>
        <v/>
      </c>
      <c r="R32" s="54">
        <f>Q31+R30-R31</f>
        <v/>
      </c>
      <c r="S32" s="54">
        <f>R31+S30-S31</f>
        <v/>
      </c>
      <c r="T32" s="54">
        <f>S31+T30-T31</f>
        <v/>
      </c>
      <c r="U32" s="54">
        <f>T31+U30-U31</f>
        <v/>
      </c>
      <c r="V32" s="54">
        <f>U31+V30-V31</f>
        <v/>
      </c>
      <c r="W32" s="54">
        <f>V31+W30-W31</f>
        <v/>
      </c>
      <c r="X32" s="54">
        <f>W31+X30-X31</f>
        <v/>
      </c>
      <c r="Y32" s="54">
        <f>X31+Y30-Y31</f>
        <v/>
      </c>
      <c r="Z32" s="54">
        <f>Y31+Z30-Z31</f>
        <v/>
      </c>
      <c r="AA32" s="54">
        <f>Z31+AA30-AA31</f>
        <v/>
      </c>
      <c r="AB32" s="54">
        <f>AA31+AB30-AB31</f>
        <v/>
      </c>
      <c r="AC32" s="54">
        <f>AB31+AC30-AC31</f>
        <v/>
      </c>
      <c r="AD32" s="54">
        <f>AC31+AD30-AD31</f>
        <v/>
      </c>
      <c r="AE32" s="54">
        <f>AD31+AE30-AE31</f>
        <v/>
      </c>
    </row>
    <row r="33">
      <c r="A33" s="6" t="inlineStr">
        <is>
          <t xml:space="preserve">  Holders (stopped paying, still hold gold)</t>
        </is>
      </c>
      <c r="B33" s="23" t="inlineStr">
        <is>
          <t>accounts</t>
        </is>
      </c>
      <c r="C33" s="45">
        <f>C32</f>
        <v/>
      </c>
      <c r="D33" s="45">
        <f>C33+D32</f>
        <v/>
      </c>
      <c r="E33" s="45">
        <f>D33+E32</f>
        <v/>
      </c>
      <c r="F33" s="45">
        <f>E33+F32</f>
        <v/>
      </c>
      <c r="G33" s="45">
        <f>F33+G32</f>
        <v/>
      </c>
      <c r="H33" s="45">
        <f>G33+H32</f>
        <v/>
      </c>
      <c r="I33" s="45">
        <f>H33+I32</f>
        <v/>
      </c>
      <c r="J33" s="45">
        <f>I33+J32</f>
        <v/>
      </c>
      <c r="K33" s="45">
        <f>J33+K32</f>
        <v/>
      </c>
      <c r="L33" s="45">
        <f>K33+L32</f>
        <v/>
      </c>
      <c r="M33" s="45">
        <f>L33+M32</f>
        <v/>
      </c>
      <c r="N33" s="45">
        <f>M33+N32</f>
        <v/>
      </c>
      <c r="O33" s="45">
        <f>N33+O32</f>
        <v/>
      </c>
      <c r="P33" s="45">
        <f>O33+P32</f>
        <v/>
      </c>
      <c r="Q33" s="45">
        <f>P33+Q32</f>
        <v/>
      </c>
      <c r="R33" s="45">
        <f>Q33+R32</f>
        <v/>
      </c>
      <c r="S33" s="45">
        <f>R33+S32</f>
        <v/>
      </c>
      <c r="T33" s="45">
        <f>S33+T32</f>
        <v/>
      </c>
      <c r="U33" s="45">
        <f>T33+U32</f>
        <v/>
      </c>
      <c r="V33" s="45">
        <f>U33+V32</f>
        <v/>
      </c>
      <c r="W33" s="45">
        <f>V33+W32</f>
        <v/>
      </c>
      <c r="X33" s="45">
        <f>W33+X32</f>
        <v/>
      </c>
      <c r="Y33" s="45">
        <f>X33+Y32</f>
        <v/>
      </c>
      <c r="Z33" s="45">
        <f>Y33+Z32</f>
        <v/>
      </c>
      <c r="AA33" s="45">
        <f>Z33+AA32</f>
        <v/>
      </c>
      <c r="AB33" s="45">
        <f>AA33+AB32</f>
        <v/>
      </c>
      <c r="AC33" s="45">
        <f>AB33+AC32</f>
        <v/>
      </c>
      <c r="AD33" s="45">
        <f>AC33+AD32</f>
        <v/>
      </c>
      <c r="AE33" s="45">
        <f>AD33+AE32</f>
        <v/>
      </c>
    </row>
    <row r="34">
      <c r="A34" s="6" t="inlineStr">
        <is>
          <t xml:space="preserve">  Cumulative ever acquired</t>
        </is>
      </c>
      <c r="B34" s="23" t="inlineStr">
        <is>
          <t>accounts</t>
        </is>
      </c>
      <c r="C34" s="45">
        <f>C30</f>
        <v/>
      </c>
      <c r="D34" s="45">
        <f>C34+D30</f>
        <v/>
      </c>
      <c r="E34" s="45">
        <f>D34+E30</f>
        <v/>
      </c>
      <c r="F34" s="45">
        <f>E34+F30</f>
        <v/>
      </c>
      <c r="G34" s="45">
        <f>F34+G30</f>
        <v/>
      </c>
      <c r="H34" s="45">
        <f>G34+H30</f>
        <v/>
      </c>
      <c r="I34" s="45">
        <f>H34+I30</f>
        <v/>
      </c>
      <c r="J34" s="45">
        <f>I34+J30</f>
        <v/>
      </c>
      <c r="K34" s="45">
        <f>J34+K30</f>
        <v/>
      </c>
      <c r="L34" s="45">
        <f>K34+L30</f>
        <v/>
      </c>
      <c r="M34" s="45">
        <f>L34+M30</f>
        <v/>
      </c>
      <c r="N34" s="45">
        <f>M34+N30</f>
        <v/>
      </c>
      <c r="O34" s="45">
        <f>N34+O30</f>
        <v/>
      </c>
      <c r="P34" s="45">
        <f>O34+P30</f>
        <v/>
      </c>
      <c r="Q34" s="45">
        <f>P34+Q30</f>
        <v/>
      </c>
      <c r="R34" s="45">
        <f>Q34+R30</f>
        <v/>
      </c>
      <c r="S34" s="45">
        <f>R34+S30</f>
        <v/>
      </c>
      <c r="T34" s="45">
        <f>S34+T30</f>
        <v/>
      </c>
      <c r="U34" s="45">
        <f>T34+U30</f>
        <v/>
      </c>
      <c r="V34" s="45">
        <f>U34+V30</f>
        <v/>
      </c>
      <c r="W34" s="45">
        <f>V34+W30</f>
        <v/>
      </c>
      <c r="X34" s="45">
        <f>W34+X30</f>
        <v/>
      </c>
      <c r="Y34" s="45">
        <f>X34+Y30</f>
        <v/>
      </c>
      <c r="Z34" s="45">
        <f>Y34+Z30</f>
        <v/>
      </c>
      <c r="AA34" s="45">
        <f>Z34+AA30</f>
        <v/>
      </c>
      <c r="AB34" s="45">
        <f>AA34+AB30</f>
        <v/>
      </c>
      <c r="AC34" s="45">
        <f>AB34+AC30</f>
        <v/>
      </c>
      <c r="AD34" s="45">
        <f>AC34+AD30</f>
        <v/>
      </c>
      <c r="AE34" s="45">
        <f>AD34+AE30</f>
        <v/>
      </c>
    </row>
    <row r="35">
      <c r="A35" s="6" t="inlineStr">
        <is>
          <t xml:space="preserve">  SIP contributions</t>
        </is>
      </c>
      <c r="B35" s="23" t="inlineStr">
        <is>
          <t>USD</t>
        </is>
      </c>
      <c r="C35" s="55">
        <f>IF(C2&gt;=Assumptions!$B$48,C31*Assumptions!$B$175*C7,0)</f>
        <v/>
      </c>
      <c r="D35" s="55">
        <f>IF(D2&gt;=Assumptions!$B$48,D31*Assumptions!$B$175*D7,0)</f>
        <v/>
      </c>
      <c r="E35" s="55">
        <f>IF(E2&gt;=Assumptions!$B$48,E31*Assumptions!$B$175*E7,0)</f>
        <v/>
      </c>
      <c r="F35" s="55">
        <f>IF(F2&gt;=Assumptions!$B$48,F31*Assumptions!$B$175*F7,0)</f>
        <v/>
      </c>
      <c r="G35" s="55">
        <f>IF(G2&gt;=Assumptions!$B$48,G31*Assumptions!$B$175*G7,0)</f>
        <v/>
      </c>
      <c r="H35" s="55">
        <f>IF(H2&gt;=Assumptions!$B$48,H31*Assumptions!$B$175*H7,0)</f>
        <v/>
      </c>
      <c r="I35" s="55">
        <f>IF(I2&gt;=Assumptions!$B$48,I31*Assumptions!$B$175*I7,0)</f>
        <v/>
      </c>
      <c r="J35" s="55">
        <f>IF(J2&gt;=Assumptions!$B$48,J31*Assumptions!$B$175*J7,0)</f>
        <v/>
      </c>
      <c r="K35" s="55">
        <f>IF(K2&gt;=Assumptions!$B$48,K31*Assumptions!$B$175*K7,0)</f>
        <v/>
      </c>
      <c r="L35" s="55">
        <f>IF(L2&gt;=Assumptions!$B$48,L31*Assumptions!$B$175*L7,0)</f>
        <v/>
      </c>
      <c r="M35" s="55">
        <f>IF(M2&gt;=Assumptions!$B$48,M31*Assumptions!$B$175*M7,0)</f>
        <v/>
      </c>
      <c r="N35" s="55">
        <f>IF(N2&gt;=Assumptions!$B$48,N31*Assumptions!$B$175*N7,0)</f>
        <v/>
      </c>
      <c r="O35" s="55">
        <f>IF(O2&gt;=Assumptions!$B$48,O31*Assumptions!$B$175*O7,0)</f>
        <v/>
      </c>
      <c r="P35" s="55">
        <f>IF(P2&gt;=Assumptions!$B$48,P31*Assumptions!$B$175*P7,0)</f>
        <v/>
      </c>
      <c r="Q35" s="55">
        <f>IF(Q2&gt;=Assumptions!$B$48,Q31*Assumptions!$B$175*Q7,0)</f>
        <v/>
      </c>
      <c r="R35" s="55">
        <f>IF(R2&gt;=Assumptions!$B$48,R31*Assumptions!$B$175*R7,0)</f>
        <v/>
      </c>
      <c r="S35" s="55">
        <f>IF(S2&gt;=Assumptions!$B$48,S31*Assumptions!$B$175*S7,0)</f>
        <v/>
      </c>
      <c r="T35" s="55">
        <f>IF(T2&gt;=Assumptions!$B$48,T31*Assumptions!$B$175*T7,0)</f>
        <v/>
      </c>
      <c r="U35" s="55">
        <f>IF(U2&gt;=Assumptions!$B$48,U31*Assumptions!$B$175*U7,0)</f>
        <v/>
      </c>
      <c r="V35" s="55">
        <f>IF(V2&gt;=Assumptions!$B$48,V31*Assumptions!$B$175*V7,0)</f>
        <v/>
      </c>
      <c r="W35" s="55">
        <f>IF(W2&gt;=Assumptions!$B$48,W31*Assumptions!$B$175*W7,0)</f>
        <v/>
      </c>
      <c r="X35" s="55">
        <f>IF(X2&gt;=Assumptions!$B$48,X31*Assumptions!$B$175*X7,0)</f>
        <v/>
      </c>
      <c r="Y35" s="55">
        <f>IF(Y2&gt;=Assumptions!$B$48,Y31*Assumptions!$B$175*Y7,0)</f>
        <v/>
      </c>
      <c r="Z35" s="55">
        <f>IF(Z2&gt;=Assumptions!$B$48,Z31*Assumptions!$B$175*Z7,0)</f>
        <v/>
      </c>
      <c r="AA35" s="55">
        <f>IF(AA2&gt;=Assumptions!$B$48,AA31*Assumptions!$B$175*AA7,0)</f>
        <v/>
      </c>
      <c r="AB35" s="55">
        <f>IF(AB2&gt;=Assumptions!$B$48,AB31*Assumptions!$B$175*AB7,0)</f>
        <v/>
      </c>
      <c r="AC35" s="55">
        <f>IF(AC2&gt;=Assumptions!$B$48,AC31*Assumptions!$B$175*AC7,0)</f>
        <v/>
      </c>
      <c r="AD35" s="55">
        <f>IF(AD2&gt;=Assumptions!$B$48,AD31*Assumptions!$B$175*AD7,0)</f>
        <v/>
      </c>
      <c r="AE35" s="55">
        <f>IF(AE2&gt;=Assumptions!$B$48,AE31*Assumptions!$B$175*AE7,0)</f>
        <v/>
      </c>
    </row>
    <row r="36">
      <c r="A36" s="6" t="inlineStr">
        <is>
          <t xml:space="preserve">  Spot purchase volume</t>
        </is>
      </c>
      <c r="B36" s="23" t="inlineStr">
        <is>
          <t>USD</t>
        </is>
      </c>
      <c r="C36" s="55">
        <f>IF(C2&gt;=Assumptions!$B$49,C31*Assumptions!$B$36*Assumptions!$B$140*Assumptions!$B$142*Assumptions!$B$33*Assumptions!$B$141/12*C7,0)</f>
        <v/>
      </c>
      <c r="D36" s="55">
        <f>IF(D2&gt;=Assumptions!$B$49,D31*Assumptions!$B$36*Assumptions!$B$140*Assumptions!$B$142*Assumptions!$B$33*Assumptions!$B$141/12*D7,0)</f>
        <v/>
      </c>
      <c r="E36" s="55">
        <f>IF(E2&gt;=Assumptions!$B$49,E31*Assumptions!$B$36*Assumptions!$B$140*Assumptions!$B$142*Assumptions!$B$33*Assumptions!$B$141/12*E7,0)</f>
        <v/>
      </c>
      <c r="F36" s="55">
        <f>IF(F2&gt;=Assumptions!$B$49,F31*Assumptions!$B$36*Assumptions!$B$140*Assumptions!$B$142*Assumptions!$B$33*Assumptions!$B$141/12*F7,0)</f>
        <v/>
      </c>
      <c r="G36" s="55">
        <f>IF(G2&gt;=Assumptions!$B$49,G31*Assumptions!$B$36*Assumptions!$B$140*Assumptions!$B$142*Assumptions!$B$33*Assumptions!$B$141/12*G7,0)</f>
        <v/>
      </c>
      <c r="H36" s="55">
        <f>IF(H2&gt;=Assumptions!$B$49,H31*Assumptions!$B$36*Assumptions!$B$140*Assumptions!$B$142*Assumptions!$B$33*Assumptions!$B$141/12*H7,0)</f>
        <v/>
      </c>
      <c r="I36" s="55">
        <f>IF(I2&gt;=Assumptions!$B$49,I31*Assumptions!$B$36*Assumptions!$B$140*Assumptions!$B$142*Assumptions!$B$33*Assumptions!$B$141/12*I7,0)</f>
        <v/>
      </c>
      <c r="J36" s="55">
        <f>IF(J2&gt;=Assumptions!$B$49,J31*Assumptions!$B$36*Assumptions!$B$140*Assumptions!$B$142*Assumptions!$B$33*Assumptions!$B$141/12*J7,0)</f>
        <v/>
      </c>
      <c r="K36" s="55">
        <f>IF(K2&gt;=Assumptions!$B$49,K31*Assumptions!$B$36*Assumptions!$B$140*Assumptions!$B$142*Assumptions!$B$33*Assumptions!$B$141/12*K7,0)</f>
        <v/>
      </c>
      <c r="L36" s="55">
        <f>IF(L2&gt;=Assumptions!$B$49,L31*Assumptions!$B$36*Assumptions!$B$140*Assumptions!$B$142*Assumptions!$B$33*Assumptions!$B$141/12*L7,0)</f>
        <v/>
      </c>
      <c r="M36" s="55">
        <f>IF(M2&gt;=Assumptions!$B$49,M31*Assumptions!$B$36*Assumptions!$B$140*Assumptions!$B$142*Assumptions!$B$33*Assumptions!$B$141/12*M7,0)</f>
        <v/>
      </c>
      <c r="N36" s="55">
        <f>IF(N2&gt;=Assumptions!$B$49,N31*Assumptions!$B$36*Assumptions!$B$140*Assumptions!$B$142*Assumptions!$B$33*Assumptions!$B$141/12*N7,0)</f>
        <v/>
      </c>
      <c r="O36" s="55">
        <f>IF(O2&gt;=Assumptions!$B$49,O31*Assumptions!$B$36*Assumptions!$B$140*Assumptions!$B$142*Assumptions!$B$33*Assumptions!$B$141/12*O7,0)</f>
        <v/>
      </c>
      <c r="P36" s="55">
        <f>IF(P2&gt;=Assumptions!$B$49,P31*Assumptions!$B$36*Assumptions!$B$140*Assumptions!$B$142*Assumptions!$B$33*Assumptions!$B$141/12*P7,0)</f>
        <v/>
      </c>
      <c r="Q36" s="55">
        <f>IF(Q2&gt;=Assumptions!$B$49,Q31*Assumptions!$B$36*Assumptions!$B$140*Assumptions!$B$142*Assumptions!$B$33*Assumptions!$B$141/12*Q7,0)</f>
        <v/>
      </c>
      <c r="R36" s="55">
        <f>IF(R2&gt;=Assumptions!$B$49,R31*Assumptions!$B$36*Assumptions!$B$140*Assumptions!$B$142*Assumptions!$B$33*Assumptions!$B$141/12*R7,0)</f>
        <v/>
      </c>
      <c r="S36" s="55">
        <f>IF(S2&gt;=Assumptions!$B$49,S31*Assumptions!$B$36*Assumptions!$B$140*Assumptions!$B$142*Assumptions!$B$33*Assumptions!$B$141/12*S7,0)</f>
        <v/>
      </c>
      <c r="T36" s="55">
        <f>IF(T2&gt;=Assumptions!$B$49,T31*Assumptions!$B$36*Assumptions!$B$140*Assumptions!$B$142*Assumptions!$B$33*Assumptions!$B$141/12*T7,0)</f>
        <v/>
      </c>
      <c r="U36" s="55">
        <f>IF(U2&gt;=Assumptions!$B$49,U31*Assumptions!$B$36*Assumptions!$B$140*Assumptions!$B$142*Assumptions!$B$33*Assumptions!$B$141/12*U7,0)</f>
        <v/>
      </c>
      <c r="V36" s="55">
        <f>IF(V2&gt;=Assumptions!$B$49,V31*Assumptions!$B$36*Assumptions!$B$140*Assumptions!$B$142*Assumptions!$B$33*Assumptions!$B$141/12*V7,0)</f>
        <v/>
      </c>
      <c r="W36" s="55">
        <f>IF(W2&gt;=Assumptions!$B$49,W31*Assumptions!$B$36*Assumptions!$B$140*Assumptions!$B$142*Assumptions!$B$33*Assumptions!$B$141/12*W7,0)</f>
        <v/>
      </c>
      <c r="X36" s="55">
        <f>IF(X2&gt;=Assumptions!$B$49,X31*Assumptions!$B$36*Assumptions!$B$140*Assumptions!$B$142*Assumptions!$B$33*Assumptions!$B$141/12*X7,0)</f>
        <v/>
      </c>
      <c r="Y36" s="55">
        <f>IF(Y2&gt;=Assumptions!$B$49,Y31*Assumptions!$B$36*Assumptions!$B$140*Assumptions!$B$142*Assumptions!$B$33*Assumptions!$B$141/12*Y7,0)</f>
        <v/>
      </c>
      <c r="Z36" s="55">
        <f>IF(Z2&gt;=Assumptions!$B$49,Z31*Assumptions!$B$36*Assumptions!$B$140*Assumptions!$B$142*Assumptions!$B$33*Assumptions!$B$141/12*Z7,0)</f>
        <v/>
      </c>
      <c r="AA36" s="55">
        <f>IF(AA2&gt;=Assumptions!$B$49,AA31*Assumptions!$B$36*Assumptions!$B$140*Assumptions!$B$142*Assumptions!$B$33*Assumptions!$B$141/12*AA7,0)</f>
        <v/>
      </c>
      <c r="AB36" s="55">
        <f>IF(AB2&gt;=Assumptions!$B$49,AB31*Assumptions!$B$36*Assumptions!$B$140*Assumptions!$B$142*Assumptions!$B$33*Assumptions!$B$141/12*AB7,0)</f>
        <v/>
      </c>
      <c r="AC36" s="55">
        <f>IF(AC2&gt;=Assumptions!$B$49,AC31*Assumptions!$B$36*Assumptions!$B$140*Assumptions!$B$142*Assumptions!$B$33*Assumptions!$B$141/12*AC7,0)</f>
        <v/>
      </c>
      <c r="AD36" s="55">
        <f>IF(AD2&gt;=Assumptions!$B$49,AD31*Assumptions!$B$36*Assumptions!$B$140*Assumptions!$B$142*Assumptions!$B$33*Assumptions!$B$141/12*AD7,0)</f>
        <v/>
      </c>
      <c r="AE36" s="55">
        <f>IF(AE2&gt;=Assumptions!$B$49,AE31*Assumptions!$B$36*Assumptions!$B$140*Assumptions!$B$142*Assumptions!$B$33*Assumptions!$B$141/12*AE7,0)</f>
        <v/>
      </c>
    </row>
    <row r="37">
      <c r="A37" s="6" t="inlineStr">
        <is>
          <t xml:space="preserve">  Grams purchased</t>
        </is>
      </c>
      <c r="B37" s="23" t="inlineStr">
        <is>
          <t>grams</t>
        </is>
      </c>
      <c r="C37" s="54">
        <f>(C35+C36)*(1-Assumptions!$B$8)/C21/(1+Assumptions!$B$9)</f>
        <v/>
      </c>
      <c r="D37" s="54">
        <f>(D35+D36)*(1-Assumptions!$B$8)/D21/(1+Assumptions!$B$9)</f>
        <v/>
      </c>
      <c r="E37" s="54">
        <f>(E35+E36)*(1-Assumptions!$B$8)/E21/(1+Assumptions!$B$9)</f>
        <v/>
      </c>
      <c r="F37" s="54">
        <f>(F35+F36)*(1-Assumptions!$B$8)/F21/(1+Assumptions!$B$9)</f>
        <v/>
      </c>
      <c r="G37" s="54">
        <f>(G35+G36)*(1-Assumptions!$B$8)/G21/(1+Assumptions!$B$9)</f>
        <v/>
      </c>
      <c r="H37" s="54">
        <f>(H35+H36)*(1-Assumptions!$B$8)/H21/(1+Assumptions!$B$9)</f>
        <v/>
      </c>
      <c r="I37" s="54">
        <f>(I35+I36)*(1-Assumptions!$B$8)/I21/(1+Assumptions!$B$9)</f>
        <v/>
      </c>
      <c r="J37" s="54">
        <f>(J35+J36)*(1-Assumptions!$B$8)/J21/(1+Assumptions!$B$9)</f>
        <v/>
      </c>
      <c r="K37" s="54">
        <f>(K35+K36)*(1-Assumptions!$B$8)/K21/(1+Assumptions!$B$9)</f>
        <v/>
      </c>
      <c r="L37" s="54">
        <f>(L35+L36)*(1-Assumptions!$B$8)/L21/(1+Assumptions!$B$9)</f>
        <v/>
      </c>
      <c r="M37" s="54">
        <f>(M35+M36)*(1-Assumptions!$B$8)/M21/(1+Assumptions!$B$9)</f>
        <v/>
      </c>
      <c r="N37" s="54">
        <f>(N35+N36)*(1-Assumptions!$B$8)/N21/(1+Assumptions!$B$9)</f>
        <v/>
      </c>
      <c r="O37" s="54">
        <f>(O35+O36)*(1-Assumptions!$B$8)/O21/(1+Assumptions!$B$9)</f>
        <v/>
      </c>
      <c r="P37" s="54">
        <f>(P35+P36)*(1-Assumptions!$B$8)/P21/(1+Assumptions!$B$9)</f>
        <v/>
      </c>
      <c r="Q37" s="54">
        <f>(Q35+Q36)*(1-Assumptions!$B$8)/Q21/(1+Assumptions!$B$9)</f>
        <v/>
      </c>
      <c r="R37" s="54">
        <f>(R35+R36)*(1-Assumptions!$B$8)/R21/(1+Assumptions!$B$9)</f>
        <v/>
      </c>
      <c r="S37" s="54">
        <f>(S35+S36)*(1-Assumptions!$B$8)/S21/(1+Assumptions!$B$9)</f>
        <v/>
      </c>
      <c r="T37" s="54">
        <f>(T35+T36)*(1-Assumptions!$B$8)/T21/(1+Assumptions!$B$9)</f>
        <v/>
      </c>
      <c r="U37" s="54">
        <f>(U35+U36)*(1-Assumptions!$B$8)/U21/(1+Assumptions!$B$9)</f>
        <v/>
      </c>
      <c r="V37" s="54">
        <f>(V35+V36)*(1-Assumptions!$B$8)/V21/(1+Assumptions!$B$9)</f>
        <v/>
      </c>
      <c r="W37" s="54">
        <f>(W35+W36)*(1-Assumptions!$B$8)/W21/(1+Assumptions!$B$9)</f>
        <v/>
      </c>
      <c r="X37" s="54">
        <f>(X35+X36)*(1-Assumptions!$B$8)/X21/(1+Assumptions!$B$9)</f>
        <v/>
      </c>
      <c r="Y37" s="54">
        <f>(Y35+Y36)*(1-Assumptions!$B$8)/Y21/(1+Assumptions!$B$9)</f>
        <v/>
      </c>
      <c r="Z37" s="54">
        <f>(Z35+Z36)*(1-Assumptions!$B$8)/Z21/(1+Assumptions!$B$9)</f>
        <v/>
      </c>
      <c r="AA37" s="54">
        <f>(AA35+AA36)*(1-Assumptions!$B$8)/AA21/(1+Assumptions!$B$9)</f>
        <v/>
      </c>
      <c r="AB37" s="54">
        <f>(AB35+AB36)*(1-Assumptions!$B$8)/AB21/(1+Assumptions!$B$9)</f>
        <v/>
      </c>
      <c r="AC37" s="54">
        <f>(AC35+AC36)*(1-Assumptions!$B$8)/AC21/(1+Assumptions!$B$9)</f>
        <v/>
      </c>
      <c r="AD37" s="54">
        <f>(AD35+AD36)*(1-Assumptions!$B$8)/AD21/(1+Assumptions!$B$9)</f>
        <v/>
      </c>
      <c r="AE37" s="54">
        <f>(AE35+AE36)*(1-Assumptions!$B$8)/AE21/(1+Assumptions!$B$9)</f>
        <v/>
      </c>
    </row>
    <row r="38">
      <c r="A38" s="6" t="inlineStr">
        <is>
          <t xml:space="preserve">  Collateral-eligible AUM decay rate (holder-weighted)</t>
        </is>
      </c>
      <c r="B38" s="23" t="inlineStr">
        <is>
          <t>%/period</t>
        </is>
      </c>
      <c r="C38" s="56">
        <f>(Assumptions!$B$137+Assumptions!$B$138*IF(C31+C33=0,1,(C31+C33*Assumptions!$B$139)/(C31+C33)))*C7/12</f>
        <v/>
      </c>
      <c r="D38" s="56">
        <f>(Assumptions!$B$137+Assumptions!$B$138*IF(D31+D33=0,1,(D31+D33*Assumptions!$B$139)/(D31+D33)))*D7/12</f>
        <v/>
      </c>
      <c r="E38" s="56">
        <f>(Assumptions!$B$137+Assumptions!$B$138*IF(E31+E33=0,1,(E31+E33*Assumptions!$B$139)/(E31+E33)))*E7/12</f>
        <v/>
      </c>
      <c r="F38" s="56">
        <f>(Assumptions!$B$137+Assumptions!$B$138*IF(F31+F33=0,1,(F31+F33*Assumptions!$B$139)/(F31+F33)))*F7/12</f>
        <v/>
      </c>
      <c r="G38" s="56">
        <f>(Assumptions!$B$137+Assumptions!$B$138*IF(G31+G33=0,1,(G31+G33*Assumptions!$B$139)/(G31+G33)))*G7/12</f>
        <v/>
      </c>
      <c r="H38" s="56">
        <f>(Assumptions!$B$137+Assumptions!$B$138*IF(H31+H33=0,1,(H31+H33*Assumptions!$B$139)/(H31+H33)))*H7/12</f>
        <v/>
      </c>
      <c r="I38" s="56">
        <f>(Assumptions!$B$137+Assumptions!$B$138*IF(I31+I33=0,1,(I31+I33*Assumptions!$B$139)/(I31+I33)))*I7/12</f>
        <v/>
      </c>
      <c r="J38" s="56">
        <f>(Assumptions!$B$137+Assumptions!$B$138*IF(J31+J33=0,1,(J31+J33*Assumptions!$B$139)/(J31+J33)))*J7/12</f>
        <v/>
      </c>
      <c r="K38" s="56">
        <f>(Assumptions!$B$137+Assumptions!$B$138*IF(K31+K33=0,1,(K31+K33*Assumptions!$B$139)/(K31+K33)))*K7/12</f>
        <v/>
      </c>
      <c r="L38" s="56">
        <f>(Assumptions!$B$137+Assumptions!$B$138*IF(L31+L33=0,1,(L31+L33*Assumptions!$B$139)/(L31+L33)))*L7/12</f>
        <v/>
      </c>
      <c r="M38" s="56">
        <f>(Assumptions!$B$137+Assumptions!$B$138*IF(M31+M33=0,1,(M31+M33*Assumptions!$B$139)/(M31+M33)))*M7/12</f>
        <v/>
      </c>
      <c r="N38" s="56">
        <f>(Assumptions!$B$137+Assumptions!$B$138*IF(N31+N33=0,1,(N31+N33*Assumptions!$B$139)/(N31+N33)))*N7/12</f>
        <v/>
      </c>
      <c r="O38" s="56">
        <f>(Assumptions!$B$137+Assumptions!$B$138*IF(O31+O33=0,1,(O31+O33*Assumptions!$B$139)/(O31+O33)))*O7/12</f>
        <v/>
      </c>
      <c r="P38" s="56">
        <f>(Assumptions!$B$137+Assumptions!$B$138*IF(P31+P33=0,1,(P31+P33*Assumptions!$B$139)/(P31+P33)))*P7/12</f>
        <v/>
      </c>
      <c r="Q38" s="56">
        <f>(Assumptions!$B$137+Assumptions!$B$138*IF(Q31+Q33=0,1,(Q31+Q33*Assumptions!$B$139)/(Q31+Q33)))*Q7/12</f>
        <v/>
      </c>
      <c r="R38" s="56">
        <f>(Assumptions!$B$137+Assumptions!$B$138*IF(R31+R33=0,1,(R31+R33*Assumptions!$B$139)/(R31+R33)))*R7/12</f>
        <v/>
      </c>
      <c r="S38" s="56">
        <f>(Assumptions!$B$137+Assumptions!$B$138*IF(S31+S33=0,1,(S31+S33*Assumptions!$B$139)/(S31+S33)))*S7/12</f>
        <v/>
      </c>
      <c r="T38" s="56">
        <f>(Assumptions!$B$137+Assumptions!$B$138*IF(T31+T33=0,1,(T31+T33*Assumptions!$B$139)/(T31+T33)))*T7/12</f>
        <v/>
      </c>
      <c r="U38" s="56">
        <f>(Assumptions!$B$137+Assumptions!$B$138*IF(U31+U33=0,1,(U31+U33*Assumptions!$B$139)/(U31+U33)))*U7/12</f>
        <v/>
      </c>
      <c r="V38" s="56">
        <f>(Assumptions!$B$137+Assumptions!$B$138*IF(V31+V33=0,1,(V31+V33*Assumptions!$B$139)/(V31+V33)))*V7/12</f>
        <v/>
      </c>
      <c r="W38" s="56">
        <f>(Assumptions!$B$137+Assumptions!$B$138*IF(W31+W33=0,1,(W31+W33*Assumptions!$B$139)/(W31+W33)))*W7/12</f>
        <v/>
      </c>
      <c r="X38" s="56">
        <f>(Assumptions!$B$137+Assumptions!$B$138*IF(X31+X33=0,1,(X31+X33*Assumptions!$B$139)/(X31+X33)))*X7/12</f>
        <v/>
      </c>
      <c r="Y38" s="56">
        <f>(Assumptions!$B$137+Assumptions!$B$138*IF(Y31+Y33=0,1,(Y31+Y33*Assumptions!$B$139)/(Y31+Y33)))*Y7/12</f>
        <v/>
      </c>
      <c r="Z38" s="56">
        <f>(Assumptions!$B$137+Assumptions!$B$138*IF(Z31+Z33=0,1,(Z31+Z33*Assumptions!$B$139)/(Z31+Z33)))*Z7/12</f>
        <v/>
      </c>
      <c r="AA38" s="56">
        <f>(Assumptions!$B$137+Assumptions!$B$138*IF(AA31+AA33=0,1,(AA31+AA33*Assumptions!$B$139)/(AA31+AA33)))*AA7/12</f>
        <v/>
      </c>
      <c r="AB38" s="56">
        <f>(Assumptions!$B$137+Assumptions!$B$138*IF(AB31+AB33=0,1,(AB31+AB33*Assumptions!$B$139)/(AB31+AB33)))*AB7/12</f>
        <v/>
      </c>
      <c r="AC38" s="56">
        <f>(Assumptions!$B$137+Assumptions!$B$138*IF(AC31+AC33=0,1,(AC31+AC33*Assumptions!$B$139)/(AC31+AC33)))*AC7/12</f>
        <v/>
      </c>
      <c r="AD38" s="56">
        <f>(Assumptions!$B$137+Assumptions!$B$138*IF(AD31+AD33=0,1,(AD31+AD33*Assumptions!$B$139)/(AD31+AD33)))*AD7/12</f>
        <v/>
      </c>
      <c r="AE38" s="56">
        <f>(Assumptions!$B$137+Assumptions!$B$138*IF(AE31+AE33=0,1,(AE31+AE33*Assumptions!$B$139)/(AE31+AE33)))*AE7/12</f>
        <v/>
      </c>
    </row>
    <row r="39">
      <c r="A39" s="6" t="inlineStr">
        <is>
          <t xml:space="preserve">  Redemption-only decay rate (metal actually leaving)</t>
        </is>
      </c>
      <c r="B39" s="23" t="inlineStr">
        <is>
          <t>%/period</t>
        </is>
      </c>
      <c r="C39" s="56">
        <f>Assumptions!$B$138*IF(C31+C33=0,1,(C31+C33*Assumptions!$B$139)/(C31+C33))*C7/12</f>
        <v/>
      </c>
      <c r="D39" s="56">
        <f>Assumptions!$B$138*IF(D31+D33=0,1,(D31+D33*Assumptions!$B$139)/(D31+D33))*D7/12</f>
        <v/>
      </c>
      <c r="E39" s="56">
        <f>Assumptions!$B$138*IF(E31+E33=0,1,(E31+E33*Assumptions!$B$139)/(E31+E33))*E7/12</f>
        <v/>
      </c>
      <c r="F39" s="56">
        <f>Assumptions!$B$138*IF(F31+F33=0,1,(F31+F33*Assumptions!$B$139)/(F31+F33))*F7/12</f>
        <v/>
      </c>
      <c r="G39" s="56">
        <f>Assumptions!$B$138*IF(G31+G33=0,1,(G31+G33*Assumptions!$B$139)/(G31+G33))*G7/12</f>
        <v/>
      </c>
      <c r="H39" s="56">
        <f>Assumptions!$B$138*IF(H31+H33=0,1,(H31+H33*Assumptions!$B$139)/(H31+H33))*H7/12</f>
        <v/>
      </c>
      <c r="I39" s="56">
        <f>Assumptions!$B$138*IF(I31+I33=0,1,(I31+I33*Assumptions!$B$139)/(I31+I33))*I7/12</f>
        <v/>
      </c>
      <c r="J39" s="56">
        <f>Assumptions!$B$138*IF(J31+J33=0,1,(J31+J33*Assumptions!$B$139)/(J31+J33))*J7/12</f>
        <v/>
      </c>
      <c r="K39" s="56">
        <f>Assumptions!$B$138*IF(K31+K33=0,1,(K31+K33*Assumptions!$B$139)/(K31+K33))*K7/12</f>
        <v/>
      </c>
      <c r="L39" s="56">
        <f>Assumptions!$B$138*IF(L31+L33=0,1,(L31+L33*Assumptions!$B$139)/(L31+L33))*L7/12</f>
        <v/>
      </c>
      <c r="M39" s="56">
        <f>Assumptions!$B$138*IF(M31+M33=0,1,(M31+M33*Assumptions!$B$139)/(M31+M33))*M7/12</f>
        <v/>
      </c>
      <c r="N39" s="56">
        <f>Assumptions!$B$138*IF(N31+N33=0,1,(N31+N33*Assumptions!$B$139)/(N31+N33))*N7/12</f>
        <v/>
      </c>
      <c r="O39" s="56">
        <f>Assumptions!$B$138*IF(O31+O33=0,1,(O31+O33*Assumptions!$B$139)/(O31+O33))*O7/12</f>
        <v/>
      </c>
      <c r="P39" s="56">
        <f>Assumptions!$B$138*IF(P31+P33=0,1,(P31+P33*Assumptions!$B$139)/(P31+P33))*P7/12</f>
        <v/>
      </c>
      <c r="Q39" s="56">
        <f>Assumptions!$B$138*IF(Q31+Q33=0,1,(Q31+Q33*Assumptions!$B$139)/(Q31+Q33))*Q7/12</f>
        <v/>
      </c>
      <c r="R39" s="56">
        <f>Assumptions!$B$138*IF(R31+R33=0,1,(R31+R33*Assumptions!$B$139)/(R31+R33))*R7/12</f>
        <v/>
      </c>
      <c r="S39" s="56">
        <f>Assumptions!$B$138*IF(S31+S33=0,1,(S31+S33*Assumptions!$B$139)/(S31+S33))*S7/12</f>
        <v/>
      </c>
      <c r="T39" s="56">
        <f>Assumptions!$B$138*IF(T31+T33=0,1,(T31+T33*Assumptions!$B$139)/(T31+T33))*T7/12</f>
        <v/>
      </c>
      <c r="U39" s="56">
        <f>Assumptions!$B$138*IF(U31+U33=0,1,(U31+U33*Assumptions!$B$139)/(U31+U33))*U7/12</f>
        <v/>
      </c>
      <c r="V39" s="56">
        <f>Assumptions!$B$138*IF(V31+V33=0,1,(V31+V33*Assumptions!$B$139)/(V31+V33))*V7/12</f>
        <v/>
      </c>
      <c r="W39" s="56">
        <f>Assumptions!$B$138*IF(W31+W33=0,1,(W31+W33*Assumptions!$B$139)/(W31+W33))*W7/12</f>
        <v/>
      </c>
      <c r="X39" s="56">
        <f>Assumptions!$B$138*IF(X31+X33=0,1,(X31+X33*Assumptions!$B$139)/(X31+X33))*X7/12</f>
        <v/>
      </c>
      <c r="Y39" s="56">
        <f>Assumptions!$B$138*IF(Y31+Y33=0,1,(Y31+Y33*Assumptions!$B$139)/(Y31+Y33))*Y7/12</f>
        <v/>
      </c>
      <c r="Z39" s="56">
        <f>Assumptions!$B$138*IF(Z31+Z33=0,1,(Z31+Z33*Assumptions!$B$139)/(Z31+Z33))*Z7/12</f>
        <v/>
      </c>
      <c r="AA39" s="56">
        <f>Assumptions!$B$138*IF(AA31+AA33=0,1,(AA31+AA33*Assumptions!$B$139)/(AA31+AA33))*AA7/12</f>
        <v/>
      </c>
      <c r="AB39" s="56">
        <f>Assumptions!$B$138*IF(AB31+AB33=0,1,(AB31+AB33*Assumptions!$B$139)/(AB31+AB33))*AB7/12</f>
        <v/>
      </c>
      <c r="AC39" s="56">
        <f>Assumptions!$B$138*IF(AC31+AC33=0,1,(AC31+AC33*Assumptions!$B$139)/(AC31+AC33))*AC7/12</f>
        <v/>
      </c>
      <c r="AD39" s="56">
        <f>Assumptions!$B$138*IF(AD31+AD33=0,1,(AD31+AD33*Assumptions!$B$139)/(AD31+AD33))*AD7/12</f>
        <v/>
      </c>
      <c r="AE39" s="56">
        <f>Assumptions!$B$138*IF(AE31+AE33=0,1,(AE31+AE33*Assumptions!$B$139)/(AE31+AE33))*AE7/12</f>
        <v/>
      </c>
    </row>
    <row r="40">
      <c r="A40" s="6" t="inlineStr">
        <is>
          <t xml:space="preserve">  Grams held (collateral-eligible)</t>
        </is>
      </c>
      <c r="B40" s="23" t="inlineStr">
        <is>
          <t>grams</t>
        </is>
      </c>
      <c r="C40" s="45">
        <f>C37</f>
        <v/>
      </c>
      <c r="D40" s="45">
        <f>C40*(1-D38)+D37</f>
        <v/>
      </c>
      <c r="E40" s="45">
        <f>D40*(1-E38)+E37</f>
        <v/>
      </c>
      <c r="F40" s="45">
        <f>E40*(1-F38)+F37</f>
        <v/>
      </c>
      <c r="G40" s="45">
        <f>F40*(1-G38)+G37</f>
        <v/>
      </c>
      <c r="H40" s="45">
        <f>G40*(1-H38)+H37</f>
        <v/>
      </c>
      <c r="I40" s="45">
        <f>H40*(1-I38)+I37</f>
        <v/>
      </c>
      <c r="J40" s="45">
        <f>I40*(1-J38)+J37</f>
        <v/>
      </c>
      <c r="K40" s="45">
        <f>J40*(1-K38)+K37</f>
        <v/>
      </c>
      <c r="L40" s="45">
        <f>K40*(1-L38)+L37</f>
        <v/>
      </c>
      <c r="M40" s="45">
        <f>L40*(1-M38)+M37</f>
        <v/>
      </c>
      <c r="N40" s="45">
        <f>M40*(1-N38)+N37</f>
        <v/>
      </c>
      <c r="O40" s="45">
        <f>N40*(1-O38)+O37</f>
        <v/>
      </c>
      <c r="P40" s="45">
        <f>O40*(1-P38)+P37</f>
        <v/>
      </c>
      <c r="Q40" s="45">
        <f>P40*(1-Q38)+Q37</f>
        <v/>
      </c>
      <c r="R40" s="45">
        <f>Q40*(1-R38)+R37</f>
        <v/>
      </c>
      <c r="S40" s="45">
        <f>R40*(1-S38)+S37</f>
        <v/>
      </c>
      <c r="T40" s="45">
        <f>S40*(1-T38)+T37</f>
        <v/>
      </c>
      <c r="U40" s="45">
        <f>T40*(1-U38)+U37</f>
        <v/>
      </c>
      <c r="V40" s="45">
        <f>U40*(1-V38)+V37</f>
        <v/>
      </c>
      <c r="W40" s="45">
        <f>V40*(1-W38)+W37</f>
        <v/>
      </c>
      <c r="X40" s="45">
        <f>W40*(1-X38)+X37</f>
        <v/>
      </c>
      <c r="Y40" s="45">
        <f>X40*(1-Y38)+Y37</f>
        <v/>
      </c>
      <c r="Z40" s="45">
        <f>Y40*(1-Z38)+Z37</f>
        <v/>
      </c>
      <c r="AA40" s="45">
        <f>Z40*(1-AA38)+AA37</f>
        <v/>
      </c>
      <c r="AB40" s="45">
        <f>AA40*(1-AB38)+AB37</f>
        <v/>
      </c>
      <c r="AC40" s="45">
        <f>AB40*(1-AC38)+AC37</f>
        <v/>
      </c>
      <c r="AD40" s="45">
        <f>AC40*(1-AD38)+AD37</f>
        <v/>
      </c>
      <c r="AE40" s="45">
        <f>AD40*(1-AE38)+AE37</f>
        <v/>
      </c>
    </row>
    <row r="41">
      <c r="A41" s="6" t="inlineStr">
        <is>
          <t xml:space="preserve">  Grams under custody (vaulted, incl. self-custodied)</t>
        </is>
      </c>
      <c r="B41" s="23" t="inlineStr">
        <is>
          <t>grams</t>
        </is>
      </c>
      <c r="C41" s="45">
        <f>C37</f>
        <v/>
      </c>
      <c r="D41" s="45">
        <f>C41*(1-D39)+D37</f>
        <v/>
      </c>
      <c r="E41" s="45">
        <f>D41*(1-E39)+E37</f>
        <v/>
      </c>
      <c r="F41" s="45">
        <f>E41*(1-F39)+F37</f>
        <v/>
      </c>
      <c r="G41" s="45">
        <f>F41*(1-G39)+G37</f>
        <v/>
      </c>
      <c r="H41" s="45">
        <f>G41*(1-H39)+H37</f>
        <v/>
      </c>
      <c r="I41" s="45">
        <f>H41*(1-I39)+I37</f>
        <v/>
      </c>
      <c r="J41" s="45">
        <f>I41*(1-J39)+J37</f>
        <v/>
      </c>
      <c r="K41" s="45">
        <f>J41*(1-K39)+K37</f>
        <v/>
      </c>
      <c r="L41" s="45">
        <f>K41*(1-L39)+L37</f>
        <v/>
      </c>
      <c r="M41" s="45">
        <f>L41*(1-M39)+M37</f>
        <v/>
      </c>
      <c r="N41" s="45">
        <f>M41*(1-N39)+N37</f>
        <v/>
      </c>
      <c r="O41" s="45">
        <f>N41*(1-O39)+O37</f>
        <v/>
      </c>
      <c r="P41" s="45">
        <f>O41*(1-P39)+P37</f>
        <v/>
      </c>
      <c r="Q41" s="45">
        <f>P41*(1-Q39)+Q37</f>
        <v/>
      </c>
      <c r="R41" s="45">
        <f>Q41*(1-R39)+R37</f>
        <v/>
      </c>
      <c r="S41" s="45">
        <f>R41*(1-S39)+S37</f>
        <v/>
      </c>
      <c r="T41" s="45">
        <f>S41*(1-T39)+T37</f>
        <v/>
      </c>
      <c r="U41" s="45">
        <f>T41*(1-U39)+U37</f>
        <v/>
      </c>
      <c r="V41" s="45">
        <f>U41*(1-V39)+V37</f>
        <v/>
      </c>
      <c r="W41" s="45">
        <f>V41*(1-W39)+W37</f>
        <v/>
      </c>
      <c r="X41" s="45">
        <f>W41*(1-X39)+X37</f>
        <v/>
      </c>
      <c r="Y41" s="45">
        <f>X41*(1-Y39)+Y37</f>
        <v/>
      </c>
      <c r="Z41" s="45">
        <f>Y41*(1-Z39)+Z37</f>
        <v/>
      </c>
      <c r="AA41" s="45">
        <f>Z41*(1-AA39)+AA37</f>
        <v/>
      </c>
      <c r="AB41" s="45">
        <f>AA41*(1-AB39)+AB37</f>
        <v/>
      </c>
      <c r="AC41" s="45">
        <f>AB41*(1-AC39)+AC37</f>
        <v/>
      </c>
      <c r="AD41" s="45">
        <f>AC41*(1-AD39)+AD37</f>
        <v/>
      </c>
      <c r="AE41" s="45">
        <f>AD41*(1-AE39)+AE37</f>
        <v/>
      </c>
    </row>
    <row r="42">
      <c r="A42" s="6" t="inlineStr">
        <is>
          <t xml:space="preserve">  AUM</t>
        </is>
      </c>
      <c r="B42" s="23" t="inlineStr">
        <is>
          <t>USD</t>
        </is>
      </c>
      <c r="C42" s="57">
        <f>C40*C21</f>
        <v/>
      </c>
      <c r="D42" s="57">
        <f>D40*D21</f>
        <v/>
      </c>
      <c r="E42" s="57">
        <f>E40*E21</f>
        <v/>
      </c>
      <c r="F42" s="57">
        <f>F40*F21</f>
        <v/>
      </c>
      <c r="G42" s="57">
        <f>G40*G21</f>
        <v/>
      </c>
      <c r="H42" s="57">
        <f>H40*H21</f>
        <v/>
      </c>
      <c r="I42" s="57">
        <f>I40*I21</f>
        <v/>
      </c>
      <c r="J42" s="57">
        <f>J40*J21</f>
        <v/>
      </c>
      <c r="K42" s="57">
        <f>K40*K21</f>
        <v/>
      </c>
      <c r="L42" s="57">
        <f>L40*L21</f>
        <v/>
      </c>
      <c r="M42" s="57">
        <f>M40*M21</f>
        <v/>
      </c>
      <c r="N42" s="57">
        <f>N40*N21</f>
        <v/>
      </c>
      <c r="O42" s="57">
        <f>O40*O21</f>
        <v/>
      </c>
      <c r="P42" s="57">
        <f>P40*P21</f>
        <v/>
      </c>
      <c r="Q42" s="57">
        <f>Q40*Q21</f>
        <v/>
      </c>
      <c r="R42" s="57">
        <f>R40*R21</f>
        <v/>
      </c>
      <c r="S42" s="57">
        <f>S40*S21</f>
        <v/>
      </c>
      <c r="T42" s="57">
        <f>T40*T21</f>
        <v/>
      </c>
      <c r="U42" s="57">
        <f>U40*U21</f>
        <v/>
      </c>
      <c r="V42" s="57">
        <f>V40*V21</f>
        <v/>
      </c>
      <c r="W42" s="57">
        <f>W40*W21</f>
        <v/>
      </c>
      <c r="X42" s="57">
        <f>X40*X21</f>
        <v/>
      </c>
      <c r="Y42" s="57">
        <f>Y40*Y21</f>
        <v/>
      </c>
      <c r="Z42" s="57">
        <f>Z40*Z21</f>
        <v/>
      </c>
      <c r="AA42" s="57">
        <f>AA40*AA21</f>
        <v/>
      </c>
      <c r="AB42" s="57">
        <f>AB40*AB21</f>
        <v/>
      </c>
      <c r="AC42" s="57">
        <f>AC40*AC21</f>
        <v/>
      </c>
      <c r="AD42" s="57">
        <f>AD40*AD21</f>
        <v/>
      </c>
      <c r="AE42" s="57">
        <f>AE40*AE21</f>
        <v/>
      </c>
    </row>
    <row r="43">
      <c r="A43" s="6" t="inlineStr">
        <is>
          <t xml:space="preserve">  Card-eligible base</t>
        </is>
      </c>
      <c r="B43" s="23" t="inlineStr">
        <is>
          <t>accounts</t>
        </is>
      </c>
      <c r="C43" s="54">
        <f>C31+C33*Assumptions!$B$179</f>
        <v/>
      </c>
      <c r="D43" s="54">
        <f>D31+D33*Assumptions!$B$179</f>
        <v/>
      </c>
      <c r="E43" s="54">
        <f>E31+E33*Assumptions!$B$179</f>
        <v/>
      </c>
      <c r="F43" s="54">
        <f>F31+F33*Assumptions!$B$179</f>
        <v/>
      </c>
      <c r="G43" s="54">
        <f>G31+G33*Assumptions!$B$179</f>
        <v/>
      </c>
      <c r="H43" s="54">
        <f>H31+H33*Assumptions!$B$179</f>
        <v/>
      </c>
      <c r="I43" s="54">
        <f>I31+I33*Assumptions!$B$179</f>
        <v/>
      </c>
      <c r="J43" s="54">
        <f>J31+J33*Assumptions!$B$179</f>
        <v/>
      </c>
      <c r="K43" s="54">
        <f>K31+K33*Assumptions!$B$179</f>
        <v/>
      </c>
      <c r="L43" s="54">
        <f>L31+L33*Assumptions!$B$179</f>
        <v/>
      </c>
      <c r="M43" s="54">
        <f>M31+M33*Assumptions!$B$179</f>
        <v/>
      </c>
      <c r="N43" s="54">
        <f>N31+N33*Assumptions!$B$179</f>
        <v/>
      </c>
      <c r="O43" s="54">
        <f>O31+O33*Assumptions!$B$179</f>
        <v/>
      </c>
      <c r="P43" s="54">
        <f>P31+P33*Assumptions!$B$179</f>
        <v/>
      </c>
      <c r="Q43" s="54">
        <f>Q31+Q33*Assumptions!$B$179</f>
        <v/>
      </c>
      <c r="R43" s="54">
        <f>R31+R33*Assumptions!$B$179</f>
        <v/>
      </c>
      <c r="S43" s="54">
        <f>S31+S33*Assumptions!$B$179</f>
        <v/>
      </c>
      <c r="T43" s="54">
        <f>T31+T33*Assumptions!$B$179</f>
        <v/>
      </c>
      <c r="U43" s="54">
        <f>U31+U33*Assumptions!$B$179</f>
        <v/>
      </c>
      <c r="V43" s="54">
        <f>V31+V33*Assumptions!$B$179</f>
        <v/>
      </c>
      <c r="W43" s="54">
        <f>W31+W33*Assumptions!$B$179</f>
        <v/>
      </c>
      <c r="X43" s="54">
        <f>X31+X33*Assumptions!$B$179</f>
        <v/>
      </c>
      <c r="Y43" s="54">
        <f>Y31+Y33*Assumptions!$B$179</f>
        <v/>
      </c>
      <c r="Z43" s="54">
        <f>Z31+Z33*Assumptions!$B$179</f>
        <v/>
      </c>
      <c r="AA43" s="54">
        <f>AA31+AA33*Assumptions!$B$179</f>
        <v/>
      </c>
      <c r="AB43" s="54">
        <f>AB31+AB33*Assumptions!$B$179</f>
        <v/>
      </c>
      <c r="AC43" s="54">
        <f>AC31+AC33*Assumptions!$B$179</f>
        <v/>
      </c>
      <c r="AD43" s="54">
        <f>AD31+AD33*Assumptions!$B$179</f>
        <v/>
      </c>
      <c r="AE43" s="54">
        <f>AE31+AE33*Assumptions!$B$179</f>
        <v/>
      </c>
    </row>
    <row r="44">
      <c r="A44" s="6" t="inlineStr">
        <is>
          <t xml:space="preserve">  Cleared the six-payment gate</t>
        </is>
      </c>
      <c r="B44" s="23" t="inlineStr">
        <is>
          <t>accounts</t>
        </is>
      </c>
      <c r="C44" s="45">
        <f>IF(C7&gt;1,C43*Assumptions!$B$135,IF(C2&gt;Assumptions!$B$136,INDEX($C$43:$AE$43,1,C2-Assumptions!$B$136)*Assumptions!$B$135,0))</f>
        <v/>
      </c>
      <c r="D44" s="45">
        <f>IF(D7&gt;1,D43*Assumptions!$B$135,IF(D2&gt;Assumptions!$B$136,INDEX($C$43:$AE$43,1,D2-Assumptions!$B$136)*Assumptions!$B$135,0))</f>
        <v/>
      </c>
      <c r="E44" s="45">
        <f>IF(E7&gt;1,E43*Assumptions!$B$135,IF(E2&gt;Assumptions!$B$136,INDEX($C$43:$AE$43,1,E2-Assumptions!$B$136)*Assumptions!$B$135,0))</f>
        <v/>
      </c>
      <c r="F44" s="45">
        <f>IF(F7&gt;1,F43*Assumptions!$B$135,IF(F2&gt;Assumptions!$B$136,INDEX($C$43:$AE$43,1,F2-Assumptions!$B$136)*Assumptions!$B$135,0))</f>
        <v/>
      </c>
      <c r="G44" s="45">
        <f>IF(G7&gt;1,G43*Assumptions!$B$135,IF(G2&gt;Assumptions!$B$136,INDEX($C$43:$AE$43,1,G2-Assumptions!$B$136)*Assumptions!$B$135,0))</f>
        <v/>
      </c>
      <c r="H44" s="45">
        <f>IF(H7&gt;1,H43*Assumptions!$B$135,IF(H2&gt;Assumptions!$B$136,INDEX($C$43:$AE$43,1,H2-Assumptions!$B$136)*Assumptions!$B$135,0))</f>
        <v/>
      </c>
      <c r="I44" s="45">
        <f>IF(I7&gt;1,I43*Assumptions!$B$135,IF(I2&gt;Assumptions!$B$136,INDEX($C$43:$AE$43,1,I2-Assumptions!$B$136)*Assumptions!$B$135,0))</f>
        <v/>
      </c>
      <c r="J44" s="45">
        <f>IF(J7&gt;1,J43*Assumptions!$B$135,IF(J2&gt;Assumptions!$B$136,INDEX($C$43:$AE$43,1,J2-Assumptions!$B$136)*Assumptions!$B$135,0))</f>
        <v/>
      </c>
      <c r="K44" s="45">
        <f>IF(K7&gt;1,K43*Assumptions!$B$135,IF(K2&gt;Assumptions!$B$136,INDEX($C$43:$AE$43,1,K2-Assumptions!$B$136)*Assumptions!$B$135,0))</f>
        <v/>
      </c>
      <c r="L44" s="45">
        <f>IF(L7&gt;1,L43*Assumptions!$B$135,IF(L2&gt;Assumptions!$B$136,INDEX($C$43:$AE$43,1,L2-Assumptions!$B$136)*Assumptions!$B$135,0))</f>
        <v/>
      </c>
      <c r="M44" s="45">
        <f>IF(M7&gt;1,M43*Assumptions!$B$135,IF(M2&gt;Assumptions!$B$136,INDEX($C$43:$AE$43,1,M2-Assumptions!$B$136)*Assumptions!$B$135,0))</f>
        <v/>
      </c>
      <c r="N44" s="45">
        <f>IF(N7&gt;1,N43*Assumptions!$B$135,IF(N2&gt;Assumptions!$B$136,INDEX($C$43:$AE$43,1,N2-Assumptions!$B$136)*Assumptions!$B$135,0))</f>
        <v/>
      </c>
      <c r="O44" s="45">
        <f>IF(O7&gt;1,O43*Assumptions!$B$135,IF(O2&gt;Assumptions!$B$136,INDEX($C$43:$AE$43,1,O2-Assumptions!$B$136)*Assumptions!$B$135,0))</f>
        <v/>
      </c>
      <c r="P44" s="45">
        <f>IF(P7&gt;1,P43*Assumptions!$B$135,IF(P2&gt;Assumptions!$B$136,INDEX($C$43:$AE$43,1,P2-Assumptions!$B$136)*Assumptions!$B$135,0))</f>
        <v/>
      </c>
      <c r="Q44" s="45">
        <f>IF(Q7&gt;1,Q43*Assumptions!$B$135,IF(Q2&gt;Assumptions!$B$136,INDEX($C$43:$AE$43,1,Q2-Assumptions!$B$136)*Assumptions!$B$135,0))</f>
        <v/>
      </c>
      <c r="R44" s="45">
        <f>IF(R7&gt;1,R43*Assumptions!$B$135,IF(R2&gt;Assumptions!$B$136,INDEX($C$43:$AE$43,1,R2-Assumptions!$B$136)*Assumptions!$B$135,0))</f>
        <v/>
      </c>
      <c r="S44" s="45">
        <f>IF(S7&gt;1,S43*Assumptions!$B$135,IF(S2&gt;Assumptions!$B$136,INDEX($C$43:$AE$43,1,S2-Assumptions!$B$136)*Assumptions!$B$135,0))</f>
        <v/>
      </c>
      <c r="T44" s="45">
        <f>IF(T7&gt;1,T43*Assumptions!$B$135,IF(T2&gt;Assumptions!$B$136,INDEX($C$43:$AE$43,1,T2-Assumptions!$B$136)*Assumptions!$B$135,0))</f>
        <v/>
      </c>
      <c r="U44" s="45">
        <f>IF(U7&gt;1,U43*Assumptions!$B$135,IF(U2&gt;Assumptions!$B$136,INDEX($C$43:$AE$43,1,U2-Assumptions!$B$136)*Assumptions!$B$135,0))</f>
        <v/>
      </c>
      <c r="V44" s="45">
        <f>IF(V7&gt;1,V43*Assumptions!$B$135,IF(V2&gt;Assumptions!$B$136,INDEX($C$43:$AE$43,1,V2-Assumptions!$B$136)*Assumptions!$B$135,0))</f>
        <v/>
      </c>
      <c r="W44" s="45">
        <f>IF(W7&gt;1,W43*Assumptions!$B$135,IF(W2&gt;Assumptions!$B$136,INDEX($C$43:$AE$43,1,W2-Assumptions!$B$136)*Assumptions!$B$135,0))</f>
        <v/>
      </c>
      <c r="X44" s="45">
        <f>IF(X7&gt;1,X43*Assumptions!$B$135,IF(X2&gt;Assumptions!$B$136,INDEX($C$43:$AE$43,1,X2-Assumptions!$B$136)*Assumptions!$B$135,0))</f>
        <v/>
      </c>
      <c r="Y44" s="45">
        <f>IF(Y7&gt;1,Y43*Assumptions!$B$135,IF(Y2&gt;Assumptions!$B$136,INDEX($C$43:$AE$43,1,Y2-Assumptions!$B$136)*Assumptions!$B$135,0))</f>
        <v/>
      </c>
      <c r="Z44" s="45">
        <f>IF(Z7&gt;1,Z43*Assumptions!$B$135,IF(Z2&gt;Assumptions!$B$136,INDEX($C$43:$AE$43,1,Z2-Assumptions!$B$136)*Assumptions!$B$135,0))</f>
        <v/>
      </c>
      <c r="AA44" s="45">
        <f>IF(AA7&gt;1,AA43*Assumptions!$B$135,IF(AA2&gt;Assumptions!$B$136,INDEX($C$43:$AE$43,1,AA2-Assumptions!$B$136)*Assumptions!$B$135,0))</f>
        <v/>
      </c>
      <c r="AB44" s="45">
        <f>IF(AB7&gt;1,AB43*Assumptions!$B$135,IF(AB2&gt;Assumptions!$B$136,INDEX($C$43:$AE$43,1,AB2-Assumptions!$B$136)*Assumptions!$B$135,0))</f>
        <v/>
      </c>
      <c r="AC44" s="45">
        <f>IF(AC7&gt;1,AC43*Assumptions!$B$135,IF(AC2&gt;Assumptions!$B$136,INDEX($C$43:$AE$43,1,AC2-Assumptions!$B$136)*Assumptions!$B$135,0))</f>
        <v/>
      </c>
      <c r="AD44" s="45">
        <f>IF(AD7&gt;1,AD43*Assumptions!$B$135,IF(AD2&gt;Assumptions!$B$136,INDEX($C$43:$AE$43,1,AD2-Assumptions!$B$136)*Assumptions!$B$135,0))</f>
        <v/>
      </c>
      <c r="AE44" s="45">
        <f>IF(AE7&gt;1,AE43*Assumptions!$B$135,IF(AE2&gt;Assumptions!$B$136,INDEX($C$43:$AE$43,1,AE2-Assumptions!$B$136)*Assumptions!$B$135,0))</f>
        <v/>
      </c>
    </row>
    <row r="45">
      <c r="A45" s="6" t="inlineStr">
        <is>
          <t xml:space="preserve">  Active cards</t>
        </is>
      </c>
      <c r="B45" s="23" t="inlineStr">
        <is>
          <t>cards</t>
        </is>
      </c>
      <c r="C45" s="28">
        <f>IF(C2&gt;=Assumptions!$B$52,C44*Assumptions!$B$144,0)</f>
        <v/>
      </c>
      <c r="D45" s="28">
        <f>IF(D2&gt;=Assumptions!$B$52,D44*Assumptions!$B$144,0)</f>
        <v/>
      </c>
      <c r="E45" s="28">
        <f>IF(E2&gt;=Assumptions!$B$52,E44*Assumptions!$B$144,0)</f>
        <v/>
      </c>
      <c r="F45" s="28">
        <f>IF(F2&gt;=Assumptions!$B$52,F44*Assumptions!$B$144,0)</f>
        <v/>
      </c>
      <c r="G45" s="28">
        <f>IF(G2&gt;=Assumptions!$B$52,G44*Assumptions!$B$144,0)</f>
        <v/>
      </c>
      <c r="H45" s="28">
        <f>IF(H2&gt;=Assumptions!$B$52,H44*Assumptions!$B$144,0)</f>
        <v/>
      </c>
      <c r="I45" s="28">
        <f>IF(I2&gt;=Assumptions!$B$52,I44*Assumptions!$B$144,0)</f>
        <v/>
      </c>
      <c r="J45" s="28">
        <f>IF(J2&gt;=Assumptions!$B$52,J44*Assumptions!$B$144,0)</f>
        <v/>
      </c>
      <c r="K45" s="28">
        <f>IF(K2&gt;=Assumptions!$B$52,K44*Assumptions!$B$144,0)</f>
        <v/>
      </c>
      <c r="L45" s="28">
        <f>IF(L2&gt;=Assumptions!$B$52,L44*Assumptions!$B$144,0)</f>
        <v/>
      </c>
      <c r="M45" s="28">
        <f>IF(M2&gt;=Assumptions!$B$52,M44*Assumptions!$B$144,0)</f>
        <v/>
      </c>
      <c r="N45" s="28">
        <f>IF(N2&gt;=Assumptions!$B$52,N44*Assumptions!$B$144,0)</f>
        <v/>
      </c>
      <c r="O45" s="28">
        <f>IF(O2&gt;=Assumptions!$B$52,O44*Assumptions!$B$144,0)</f>
        <v/>
      </c>
      <c r="P45" s="28">
        <f>IF(P2&gt;=Assumptions!$B$52,P44*Assumptions!$B$144,0)</f>
        <v/>
      </c>
      <c r="Q45" s="28">
        <f>IF(Q2&gt;=Assumptions!$B$52,Q44*Assumptions!$B$144,0)</f>
        <v/>
      </c>
      <c r="R45" s="28">
        <f>IF(R2&gt;=Assumptions!$B$52,R44*Assumptions!$B$144,0)</f>
        <v/>
      </c>
      <c r="S45" s="28">
        <f>IF(S2&gt;=Assumptions!$B$52,S44*Assumptions!$B$144,0)</f>
        <v/>
      </c>
      <c r="T45" s="28">
        <f>IF(T2&gt;=Assumptions!$B$52,T44*Assumptions!$B$144,0)</f>
        <v/>
      </c>
      <c r="U45" s="28">
        <f>IF(U2&gt;=Assumptions!$B$52,U44*Assumptions!$B$144,0)</f>
        <v/>
      </c>
      <c r="V45" s="28">
        <f>IF(V2&gt;=Assumptions!$B$52,V44*Assumptions!$B$144,0)</f>
        <v/>
      </c>
      <c r="W45" s="28">
        <f>IF(W2&gt;=Assumptions!$B$52,W44*Assumptions!$B$144,0)</f>
        <v/>
      </c>
      <c r="X45" s="28">
        <f>IF(X2&gt;=Assumptions!$B$52,X44*Assumptions!$B$144,0)</f>
        <v/>
      </c>
      <c r="Y45" s="28">
        <f>IF(Y2&gt;=Assumptions!$B$52,Y44*Assumptions!$B$144,0)</f>
        <v/>
      </c>
      <c r="Z45" s="28">
        <f>IF(Z2&gt;=Assumptions!$B$52,Z44*Assumptions!$B$144,0)</f>
        <v/>
      </c>
      <c r="AA45" s="28">
        <f>IF(AA2&gt;=Assumptions!$B$52,AA44*Assumptions!$B$144,0)</f>
        <v/>
      </c>
      <c r="AB45" s="28">
        <f>IF(AB2&gt;=Assumptions!$B$52,AB44*Assumptions!$B$144,0)</f>
        <v/>
      </c>
      <c r="AC45" s="28">
        <f>IF(AC2&gt;=Assumptions!$B$52,AC44*Assumptions!$B$144,0)</f>
        <v/>
      </c>
      <c r="AD45" s="28">
        <f>IF(AD2&gt;=Assumptions!$B$52,AD44*Assumptions!$B$144,0)</f>
        <v/>
      </c>
      <c r="AE45" s="28">
        <f>IF(AE2&gt;=Assumptions!$B$52,AE44*Assumptions!$B$144,0)</f>
        <v/>
      </c>
    </row>
    <row r="46">
      <c r="A46" s="6" t="inlineStr">
        <is>
          <t xml:space="preserve">  Credit limit per customer (gold x LTV)</t>
        </is>
      </c>
      <c r="B46" s="23" t="inlineStr">
        <is>
          <t>USD</t>
        </is>
      </c>
      <c r="C46" s="55">
        <f>IF(C31=0,0,C42/C31*Assumptions!$B$32)</f>
        <v/>
      </c>
      <c r="D46" s="55">
        <f>IF(D31=0,0,D42/D31*Assumptions!$B$32)</f>
        <v/>
      </c>
      <c r="E46" s="55">
        <f>IF(E31=0,0,E42/E31*Assumptions!$B$32)</f>
        <v/>
      </c>
      <c r="F46" s="55">
        <f>IF(F31=0,0,F42/F31*Assumptions!$B$32)</f>
        <v/>
      </c>
      <c r="G46" s="55">
        <f>IF(G31=0,0,G42/G31*Assumptions!$B$32)</f>
        <v/>
      </c>
      <c r="H46" s="55">
        <f>IF(H31=0,0,H42/H31*Assumptions!$B$32)</f>
        <v/>
      </c>
      <c r="I46" s="55">
        <f>IF(I31=0,0,I42/I31*Assumptions!$B$32)</f>
        <v/>
      </c>
      <c r="J46" s="55">
        <f>IF(J31=0,0,J42/J31*Assumptions!$B$32)</f>
        <v/>
      </c>
      <c r="K46" s="55">
        <f>IF(K31=0,0,K42/K31*Assumptions!$B$32)</f>
        <v/>
      </c>
      <c r="L46" s="55">
        <f>IF(L31=0,0,L42/L31*Assumptions!$B$32)</f>
        <v/>
      </c>
      <c r="M46" s="55">
        <f>IF(M31=0,0,M42/M31*Assumptions!$B$32)</f>
        <v/>
      </c>
      <c r="N46" s="55">
        <f>IF(N31=0,0,N42/N31*Assumptions!$B$32)</f>
        <v/>
      </c>
      <c r="O46" s="55">
        <f>IF(O31=0,0,O42/O31*Assumptions!$B$32)</f>
        <v/>
      </c>
      <c r="P46" s="55">
        <f>IF(P31=0,0,P42/P31*Assumptions!$B$32)</f>
        <v/>
      </c>
      <c r="Q46" s="55">
        <f>IF(Q31=0,0,Q42/Q31*Assumptions!$B$32)</f>
        <v/>
      </c>
      <c r="R46" s="55">
        <f>IF(R31=0,0,R42/R31*Assumptions!$B$32)</f>
        <v/>
      </c>
      <c r="S46" s="55">
        <f>IF(S31=0,0,S42/S31*Assumptions!$B$32)</f>
        <v/>
      </c>
      <c r="T46" s="55">
        <f>IF(T31=0,0,T42/T31*Assumptions!$B$32)</f>
        <v/>
      </c>
      <c r="U46" s="55">
        <f>IF(U31=0,0,U42/U31*Assumptions!$B$32)</f>
        <v/>
      </c>
      <c r="V46" s="55">
        <f>IF(V31=0,0,V42/V31*Assumptions!$B$32)</f>
        <v/>
      </c>
      <c r="W46" s="55">
        <f>IF(W31=0,0,W42/W31*Assumptions!$B$32)</f>
        <v/>
      </c>
      <c r="X46" s="55">
        <f>IF(X31=0,0,X42/X31*Assumptions!$B$32)</f>
        <v/>
      </c>
      <c r="Y46" s="55">
        <f>IF(Y31=0,0,Y42/Y31*Assumptions!$B$32)</f>
        <v/>
      </c>
      <c r="Z46" s="55">
        <f>IF(Z31=0,0,Z42/Z31*Assumptions!$B$32)</f>
        <v/>
      </c>
      <c r="AA46" s="55">
        <f>IF(AA31=0,0,AA42/AA31*Assumptions!$B$32)</f>
        <v/>
      </c>
      <c r="AB46" s="55">
        <f>IF(AB31=0,0,AB42/AB31*Assumptions!$B$32)</f>
        <v/>
      </c>
      <c r="AC46" s="55">
        <f>IF(AC31=0,0,AC42/AC31*Assumptions!$B$32)</f>
        <v/>
      </c>
      <c r="AD46" s="55">
        <f>IF(AD31=0,0,AD42/AD31*Assumptions!$B$32)</f>
        <v/>
      </c>
      <c r="AE46" s="55">
        <f>IF(AE31=0,0,AE42/AE31*Assumptions!$B$32)</f>
        <v/>
      </c>
    </row>
    <row r="47">
      <c r="A47" s="6" t="inlineStr">
        <is>
          <t xml:space="preserve">  Annual drawdown per card (limit x drawn x draws)</t>
        </is>
      </c>
      <c r="B47" s="23" t="inlineStr">
        <is>
          <t>USD/yr</t>
        </is>
      </c>
      <c r="C47" s="55">
        <f>C46*Assumptions!$B$157*Assumptions!$B$159</f>
        <v/>
      </c>
      <c r="D47" s="55">
        <f>D46*Assumptions!$B$157*Assumptions!$B$159</f>
        <v/>
      </c>
      <c r="E47" s="55">
        <f>E46*Assumptions!$B$157*Assumptions!$B$159</f>
        <v/>
      </c>
      <c r="F47" s="55">
        <f>F46*Assumptions!$B$157*Assumptions!$B$159</f>
        <v/>
      </c>
      <c r="G47" s="55">
        <f>G46*Assumptions!$B$157*Assumptions!$B$159</f>
        <v/>
      </c>
      <c r="H47" s="55">
        <f>H46*Assumptions!$B$157*Assumptions!$B$159</f>
        <v/>
      </c>
      <c r="I47" s="55">
        <f>I46*Assumptions!$B$157*Assumptions!$B$159</f>
        <v/>
      </c>
      <c r="J47" s="55">
        <f>J46*Assumptions!$B$157*Assumptions!$B$159</f>
        <v/>
      </c>
      <c r="K47" s="55">
        <f>K46*Assumptions!$B$157*Assumptions!$B$159</f>
        <v/>
      </c>
      <c r="L47" s="55">
        <f>L46*Assumptions!$B$157*Assumptions!$B$159</f>
        <v/>
      </c>
      <c r="M47" s="55">
        <f>M46*Assumptions!$B$157*Assumptions!$B$159</f>
        <v/>
      </c>
      <c r="N47" s="55">
        <f>N46*Assumptions!$B$157*Assumptions!$B$159</f>
        <v/>
      </c>
      <c r="O47" s="55">
        <f>O46*Assumptions!$B$157*Assumptions!$B$159</f>
        <v/>
      </c>
      <c r="P47" s="55">
        <f>P46*Assumptions!$B$157*Assumptions!$B$159</f>
        <v/>
      </c>
      <c r="Q47" s="55">
        <f>Q46*Assumptions!$B$157*Assumptions!$B$159</f>
        <v/>
      </c>
      <c r="R47" s="55">
        <f>R46*Assumptions!$B$157*Assumptions!$B$159</f>
        <v/>
      </c>
      <c r="S47" s="55">
        <f>S46*Assumptions!$B$157*Assumptions!$B$159</f>
        <v/>
      </c>
      <c r="T47" s="55">
        <f>T46*Assumptions!$B$157*Assumptions!$B$159</f>
        <v/>
      </c>
      <c r="U47" s="55">
        <f>U46*Assumptions!$B$157*Assumptions!$B$159</f>
        <v/>
      </c>
      <c r="V47" s="55">
        <f>V46*Assumptions!$B$157*Assumptions!$B$159</f>
        <v/>
      </c>
      <c r="W47" s="55">
        <f>W46*Assumptions!$B$157*Assumptions!$B$159</f>
        <v/>
      </c>
      <c r="X47" s="55">
        <f>X46*Assumptions!$B$157*Assumptions!$B$159</f>
        <v/>
      </c>
      <c r="Y47" s="55">
        <f>Y46*Assumptions!$B$157*Assumptions!$B$159</f>
        <v/>
      </c>
      <c r="Z47" s="55">
        <f>Z46*Assumptions!$B$157*Assumptions!$B$159</f>
        <v/>
      </c>
      <c r="AA47" s="55">
        <f>AA46*Assumptions!$B$157*Assumptions!$B$159</f>
        <v/>
      </c>
      <c r="AB47" s="55">
        <f>AB46*Assumptions!$B$157*Assumptions!$B$159</f>
        <v/>
      </c>
      <c r="AC47" s="55">
        <f>AC46*Assumptions!$B$157*Assumptions!$B$159</f>
        <v/>
      </c>
      <c r="AD47" s="55">
        <f>AD46*Assumptions!$B$157*Assumptions!$B$159</f>
        <v/>
      </c>
      <c r="AE47" s="55">
        <f>AE46*Assumptions!$B$157*Assumptions!$B$159</f>
        <v/>
      </c>
    </row>
    <row r="48">
      <c r="A48" s="6" t="inlineStr">
        <is>
          <t xml:space="preserve">  Card spend per card per month</t>
        </is>
      </c>
      <c r="B48" s="23" t="inlineStr">
        <is>
          <t>USD</t>
        </is>
      </c>
      <c r="C48" s="55">
        <f>C47/12*C16</f>
        <v/>
      </c>
      <c r="D48" s="55">
        <f>D47/12*D16</f>
        <v/>
      </c>
      <c r="E48" s="55">
        <f>E47/12*E16</f>
        <v/>
      </c>
      <c r="F48" s="55">
        <f>F47/12*F16</f>
        <v/>
      </c>
      <c r="G48" s="55">
        <f>G47/12*G16</f>
        <v/>
      </c>
      <c r="H48" s="55">
        <f>H47/12*H16</f>
        <v/>
      </c>
      <c r="I48" s="55">
        <f>I47/12*I16</f>
        <v/>
      </c>
      <c r="J48" s="55">
        <f>J47/12*J16</f>
        <v/>
      </c>
      <c r="K48" s="55">
        <f>K47/12*K16</f>
        <v/>
      </c>
      <c r="L48" s="55">
        <f>L47/12*L16</f>
        <v/>
      </c>
      <c r="M48" s="55">
        <f>M47/12*M16</f>
        <v/>
      </c>
      <c r="N48" s="55">
        <f>N47/12*N16</f>
        <v/>
      </c>
      <c r="O48" s="55">
        <f>O47/12*O16</f>
        <v/>
      </c>
      <c r="P48" s="55">
        <f>P47/12*P16</f>
        <v/>
      </c>
      <c r="Q48" s="55">
        <f>Q47/12*Q16</f>
        <v/>
      </c>
      <c r="R48" s="55">
        <f>R47/12*R16</f>
        <v/>
      </c>
      <c r="S48" s="55">
        <f>S47/12*S16</f>
        <v/>
      </c>
      <c r="T48" s="55">
        <f>T47/12*T16</f>
        <v/>
      </c>
      <c r="U48" s="55">
        <f>U47/12*U16</f>
        <v/>
      </c>
      <c r="V48" s="55">
        <f>V47/12*V16</f>
        <v/>
      </c>
      <c r="W48" s="55">
        <f>W47/12*W16</f>
        <v/>
      </c>
      <c r="X48" s="55">
        <f>X47/12*X16</f>
        <v/>
      </c>
      <c r="Y48" s="55">
        <f>Y47/12*Y16</f>
        <v/>
      </c>
      <c r="Z48" s="55">
        <f>Z47/12*Z16</f>
        <v/>
      </c>
      <c r="AA48" s="55">
        <f>AA47/12*AA16</f>
        <v/>
      </c>
      <c r="AB48" s="55">
        <f>AB47/12*AB16</f>
        <v/>
      </c>
      <c r="AC48" s="55">
        <f>AC47/12*AC16</f>
        <v/>
      </c>
      <c r="AD48" s="55">
        <f>AD47/12*AD16</f>
        <v/>
      </c>
      <c r="AE48" s="55">
        <f>AE47/12*AE16</f>
        <v/>
      </c>
    </row>
    <row r="49">
      <c r="A49" s="6" t="inlineStr">
        <is>
          <t xml:space="preserve">  Card spend</t>
        </is>
      </c>
      <c r="B49" s="23" t="inlineStr">
        <is>
          <t>AED</t>
        </is>
      </c>
      <c r="C49" s="45">
        <f>C45*C48*Assumptions!$B$7*C7</f>
        <v/>
      </c>
      <c r="D49" s="45">
        <f>D45*D48*Assumptions!$B$7*D7</f>
        <v/>
      </c>
      <c r="E49" s="45">
        <f>E45*E48*Assumptions!$B$7*E7</f>
        <v/>
      </c>
      <c r="F49" s="45">
        <f>F45*F48*Assumptions!$B$7*F7</f>
        <v/>
      </c>
      <c r="G49" s="45">
        <f>G45*G48*Assumptions!$B$7*G7</f>
        <v/>
      </c>
      <c r="H49" s="45">
        <f>H45*H48*Assumptions!$B$7*H7</f>
        <v/>
      </c>
      <c r="I49" s="45">
        <f>I45*I48*Assumptions!$B$7*I7</f>
        <v/>
      </c>
      <c r="J49" s="45">
        <f>J45*J48*Assumptions!$B$7*J7</f>
        <v/>
      </c>
      <c r="K49" s="45">
        <f>K45*K48*Assumptions!$B$7*K7</f>
        <v/>
      </c>
      <c r="L49" s="45">
        <f>L45*L48*Assumptions!$B$7*L7</f>
        <v/>
      </c>
      <c r="M49" s="45">
        <f>M45*M48*Assumptions!$B$7*M7</f>
        <v/>
      </c>
      <c r="N49" s="45">
        <f>N45*N48*Assumptions!$B$7*N7</f>
        <v/>
      </c>
      <c r="O49" s="45">
        <f>O45*O48*Assumptions!$B$7*O7</f>
        <v/>
      </c>
      <c r="P49" s="45">
        <f>P45*P48*Assumptions!$B$7*P7</f>
        <v/>
      </c>
      <c r="Q49" s="45">
        <f>Q45*Q48*Assumptions!$B$7*Q7</f>
        <v/>
      </c>
      <c r="R49" s="45">
        <f>R45*R48*Assumptions!$B$7*R7</f>
        <v/>
      </c>
      <c r="S49" s="45">
        <f>S45*S48*Assumptions!$B$7*S7</f>
        <v/>
      </c>
      <c r="T49" s="45">
        <f>T45*T48*Assumptions!$B$7*T7</f>
        <v/>
      </c>
      <c r="U49" s="45">
        <f>U45*U48*Assumptions!$B$7*U7</f>
        <v/>
      </c>
      <c r="V49" s="45">
        <f>V45*V48*Assumptions!$B$7*V7</f>
        <v/>
      </c>
      <c r="W49" s="45">
        <f>W45*W48*Assumptions!$B$7*W7</f>
        <v/>
      </c>
      <c r="X49" s="45">
        <f>X45*X48*Assumptions!$B$7*X7</f>
        <v/>
      </c>
      <c r="Y49" s="45">
        <f>Y45*Y48*Assumptions!$B$7*Y7</f>
        <v/>
      </c>
      <c r="Z49" s="45">
        <f>Z45*Z48*Assumptions!$B$7*Z7</f>
        <v/>
      </c>
      <c r="AA49" s="45">
        <f>AA45*AA48*Assumptions!$B$7*AA7</f>
        <v/>
      </c>
      <c r="AB49" s="45">
        <f>AB45*AB48*Assumptions!$B$7*AB7</f>
        <v/>
      </c>
      <c r="AC49" s="45">
        <f>AC45*AC48*Assumptions!$B$7*AC7</f>
        <v/>
      </c>
      <c r="AD49" s="45">
        <f>AD45*AD48*Assumptions!$B$7*AD7</f>
        <v/>
      </c>
      <c r="AE49" s="45">
        <f>AE45*AE48*Assumptions!$B$7*AE7</f>
        <v/>
      </c>
    </row>
    <row r="50">
      <c r="A50" s="6" t="inlineStr">
        <is>
          <t xml:space="preserve">  Card spend</t>
        </is>
      </c>
      <c r="B50" s="23" t="inlineStr">
        <is>
          <t>USD</t>
        </is>
      </c>
      <c r="C50" s="55">
        <f>C49/Assumptions!$B$7</f>
        <v/>
      </c>
      <c r="D50" s="55">
        <f>D49/Assumptions!$B$7</f>
        <v/>
      </c>
      <c r="E50" s="55">
        <f>E49/Assumptions!$B$7</f>
        <v/>
      </c>
      <c r="F50" s="55">
        <f>F49/Assumptions!$B$7</f>
        <v/>
      </c>
      <c r="G50" s="55">
        <f>G49/Assumptions!$B$7</f>
        <v/>
      </c>
      <c r="H50" s="55">
        <f>H49/Assumptions!$B$7</f>
        <v/>
      </c>
      <c r="I50" s="55">
        <f>I49/Assumptions!$B$7</f>
        <v/>
      </c>
      <c r="J50" s="55">
        <f>J49/Assumptions!$B$7</f>
        <v/>
      </c>
      <c r="K50" s="55">
        <f>K49/Assumptions!$B$7</f>
        <v/>
      </c>
      <c r="L50" s="55">
        <f>L49/Assumptions!$B$7</f>
        <v/>
      </c>
      <c r="M50" s="55">
        <f>M49/Assumptions!$B$7</f>
        <v/>
      </c>
      <c r="N50" s="55">
        <f>N49/Assumptions!$B$7</f>
        <v/>
      </c>
      <c r="O50" s="55">
        <f>O49/Assumptions!$B$7</f>
        <v/>
      </c>
      <c r="P50" s="55">
        <f>P49/Assumptions!$B$7</f>
        <v/>
      </c>
      <c r="Q50" s="55">
        <f>Q49/Assumptions!$B$7</f>
        <v/>
      </c>
      <c r="R50" s="55">
        <f>R49/Assumptions!$B$7</f>
        <v/>
      </c>
      <c r="S50" s="55">
        <f>S49/Assumptions!$B$7</f>
        <v/>
      </c>
      <c r="T50" s="55">
        <f>T49/Assumptions!$B$7</f>
        <v/>
      </c>
      <c r="U50" s="55">
        <f>U49/Assumptions!$B$7</f>
        <v/>
      </c>
      <c r="V50" s="55">
        <f>V49/Assumptions!$B$7</f>
        <v/>
      </c>
      <c r="W50" s="55">
        <f>W49/Assumptions!$B$7</f>
        <v/>
      </c>
      <c r="X50" s="55">
        <f>X49/Assumptions!$B$7</f>
        <v/>
      </c>
      <c r="Y50" s="55">
        <f>Y49/Assumptions!$B$7</f>
        <v/>
      </c>
      <c r="Z50" s="55">
        <f>Z49/Assumptions!$B$7</f>
        <v/>
      </c>
      <c r="AA50" s="55">
        <f>AA49/Assumptions!$B$7</f>
        <v/>
      </c>
      <c r="AB50" s="55">
        <f>AB49/Assumptions!$B$7</f>
        <v/>
      </c>
      <c r="AC50" s="55">
        <f>AC49/Assumptions!$B$7</f>
        <v/>
      </c>
      <c r="AD50" s="55">
        <f>AD49/Assumptions!$B$7</f>
        <v/>
      </c>
      <c r="AE50" s="55">
        <f>AE49/Assumptions!$B$7</f>
        <v/>
      </c>
    </row>
    <row r="51">
      <c r="A51" s="6" t="inlineStr">
        <is>
          <t xml:space="preserve">  Average transaction size (derived)</t>
        </is>
      </c>
      <c r="B51" s="23" t="inlineStr">
        <is>
          <t>AED</t>
        </is>
      </c>
      <c r="C51" s="45">
        <f>IF(Assumptions!$B$145=0,0,C46*Assumptions!$B$157*Assumptions!$B$7/Assumptions!$B$145)</f>
        <v/>
      </c>
      <c r="D51" s="45">
        <f>IF(Assumptions!$B$145=0,0,D46*Assumptions!$B$157*Assumptions!$B$7/Assumptions!$B$145)</f>
        <v/>
      </c>
      <c r="E51" s="45">
        <f>IF(Assumptions!$B$145=0,0,E46*Assumptions!$B$157*Assumptions!$B$7/Assumptions!$B$145)</f>
        <v/>
      </c>
      <c r="F51" s="45">
        <f>IF(Assumptions!$B$145=0,0,F46*Assumptions!$B$157*Assumptions!$B$7/Assumptions!$B$145)</f>
        <v/>
      </c>
      <c r="G51" s="45">
        <f>IF(Assumptions!$B$145=0,0,G46*Assumptions!$B$157*Assumptions!$B$7/Assumptions!$B$145)</f>
        <v/>
      </c>
      <c r="H51" s="45">
        <f>IF(Assumptions!$B$145=0,0,H46*Assumptions!$B$157*Assumptions!$B$7/Assumptions!$B$145)</f>
        <v/>
      </c>
      <c r="I51" s="45">
        <f>IF(Assumptions!$B$145=0,0,I46*Assumptions!$B$157*Assumptions!$B$7/Assumptions!$B$145)</f>
        <v/>
      </c>
      <c r="J51" s="45">
        <f>IF(Assumptions!$B$145=0,0,J46*Assumptions!$B$157*Assumptions!$B$7/Assumptions!$B$145)</f>
        <v/>
      </c>
      <c r="K51" s="45">
        <f>IF(Assumptions!$B$145=0,0,K46*Assumptions!$B$157*Assumptions!$B$7/Assumptions!$B$145)</f>
        <v/>
      </c>
      <c r="L51" s="45">
        <f>IF(Assumptions!$B$145=0,0,L46*Assumptions!$B$157*Assumptions!$B$7/Assumptions!$B$145)</f>
        <v/>
      </c>
      <c r="M51" s="45">
        <f>IF(Assumptions!$B$145=0,0,M46*Assumptions!$B$157*Assumptions!$B$7/Assumptions!$B$145)</f>
        <v/>
      </c>
      <c r="N51" s="45">
        <f>IF(Assumptions!$B$145=0,0,N46*Assumptions!$B$157*Assumptions!$B$7/Assumptions!$B$145)</f>
        <v/>
      </c>
      <c r="O51" s="45">
        <f>IF(Assumptions!$B$145=0,0,O46*Assumptions!$B$157*Assumptions!$B$7/Assumptions!$B$145)</f>
        <v/>
      </c>
      <c r="P51" s="45">
        <f>IF(Assumptions!$B$145=0,0,P46*Assumptions!$B$157*Assumptions!$B$7/Assumptions!$B$145)</f>
        <v/>
      </c>
      <c r="Q51" s="45">
        <f>IF(Assumptions!$B$145=0,0,Q46*Assumptions!$B$157*Assumptions!$B$7/Assumptions!$B$145)</f>
        <v/>
      </c>
      <c r="R51" s="45">
        <f>IF(Assumptions!$B$145=0,0,R46*Assumptions!$B$157*Assumptions!$B$7/Assumptions!$B$145)</f>
        <v/>
      </c>
      <c r="S51" s="45">
        <f>IF(Assumptions!$B$145=0,0,S46*Assumptions!$B$157*Assumptions!$B$7/Assumptions!$B$145)</f>
        <v/>
      </c>
      <c r="T51" s="45">
        <f>IF(Assumptions!$B$145=0,0,T46*Assumptions!$B$157*Assumptions!$B$7/Assumptions!$B$145)</f>
        <v/>
      </c>
      <c r="U51" s="45">
        <f>IF(Assumptions!$B$145=0,0,U46*Assumptions!$B$157*Assumptions!$B$7/Assumptions!$B$145)</f>
        <v/>
      </c>
      <c r="V51" s="45">
        <f>IF(Assumptions!$B$145=0,0,V46*Assumptions!$B$157*Assumptions!$B$7/Assumptions!$B$145)</f>
        <v/>
      </c>
      <c r="W51" s="45">
        <f>IF(Assumptions!$B$145=0,0,W46*Assumptions!$B$157*Assumptions!$B$7/Assumptions!$B$145)</f>
        <v/>
      </c>
      <c r="X51" s="45">
        <f>IF(Assumptions!$B$145=0,0,X46*Assumptions!$B$157*Assumptions!$B$7/Assumptions!$B$145)</f>
        <v/>
      </c>
      <c r="Y51" s="45">
        <f>IF(Assumptions!$B$145=0,0,Y46*Assumptions!$B$157*Assumptions!$B$7/Assumptions!$B$145)</f>
        <v/>
      </c>
      <c r="Z51" s="45">
        <f>IF(Assumptions!$B$145=0,0,Z46*Assumptions!$B$157*Assumptions!$B$7/Assumptions!$B$145)</f>
        <v/>
      </c>
      <c r="AA51" s="45">
        <f>IF(Assumptions!$B$145=0,0,AA46*Assumptions!$B$157*Assumptions!$B$7/Assumptions!$B$145)</f>
        <v/>
      </c>
      <c r="AB51" s="45">
        <f>IF(Assumptions!$B$145=0,0,AB46*Assumptions!$B$157*Assumptions!$B$7/Assumptions!$B$145)</f>
        <v/>
      </c>
      <c r="AC51" s="45">
        <f>IF(Assumptions!$B$145=0,0,AC46*Assumptions!$B$157*Assumptions!$B$7/Assumptions!$B$145)</f>
        <v/>
      </c>
      <c r="AD51" s="45">
        <f>IF(Assumptions!$B$145=0,0,AD46*Assumptions!$B$157*Assumptions!$B$7/Assumptions!$B$145)</f>
        <v/>
      </c>
      <c r="AE51" s="45">
        <f>IF(Assumptions!$B$145=0,0,AE46*Assumptions!$B$157*Assumptions!$B$7/Assumptions!$B$145)</f>
        <v/>
      </c>
    </row>
    <row r="52">
      <c r="A52" s="6" t="inlineStr">
        <is>
          <t xml:space="preserve">  Card authorisations (memo - drives cost, not revenue)</t>
        </is>
      </c>
      <c r="B52" s="23" t="inlineStr">
        <is>
          <t>auths</t>
        </is>
      </c>
      <c r="C52" s="45">
        <f>C45*Assumptions!$B$159*Assumptions!$B$145*C7/12*(1+Assumptions!$B$16)</f>
        <v/>
      </c>
      <c r="D52" s="45">
        <f>D45*Assumptions!$B$159*Assumptions!$B$145*D7/12*(1+Assumptions!$B$16)</f>
        <v/>
      </c>
      <c r="E52" s="45">
        <f>E45*Assumptions!$B$159*Assumptions!$B$145*E7/12*(1+Assumptions!$B$16)</f>
        <v/>
      </c>
      <c r="F52" s="45">
        <f>F45*Assumptions!$B$159*Assumptions!$B$145*F7/12*(1+Assumptions!$B$16)</f>
        <v/>
      </c>
      <c r="G52" s="45">
        <f>G45*Assumptions!$B$159*Assumptions!$B$145*G7/12*(1+Assumptions!$B$16)</f>
        <v/>
      </c>
      <c r="H52" s="45">
        <f>H45*Assumptions!$B$159*Assumptions!$B$145*H7/12*(1+Assumptions!$B$16)</f>
        <v/>
      </c>
      <c r="I52" s="45">
        <f>I45*Assumptions!$B$159*Assumptions!$B$145*I7/12*(1+Assumptions!$B$16)</f>
        <v/>
      </c>
      <c r="J52" s="45">
        <f>J45*Assumptions!$B$159*Assumptions!$B$145*J7/12*(1+Assumptions!$B$16)</f>
        <v/>
      </c>
      <c r="K52" s="45">
        <f>K45*Assumptions!$B$159*Assumptions!$B$145*K7/12*(1+Assumptions!$B$16)</f>
        <v/>
      </c>
      <c r="L52" s="45">
        <f>L45*Assumptions!$B$159*Assumptions!$B$145*L7/12*(1+Assumptions!$B$16)</f>
        <v/>
      </c>
      <c r="M52" s="45">
        <f>M45*Assumptions!$B$159*Assumptions!$B$145*M7/12*(1+Assumptions!$B$16)</f>
        <v/>
      </c>
      <c r="N52" s="45">
        <f>N45*Assumptions!$B$159*Assumptions!$B$145*N7/12*(1+Assumptions!$B$16)</f>
        <v/>
      </c>
      <c r="O52" s="45">
        <f>O45*Assumptions!$B$159*Assumptions!$B$145*O7/12*(1+Assumptions!$B$16)</f>
        <v/>
      </c>
      <c r="P52" s="45">
        <f>P45*Assumptions!$B$159*Assumptions!$B$145*P7/12*(1+Assumptions!$B$16)</f>
        <v/>
      </c>
      <c r="Q52" s="45">
        <f>Q45*Assumptions!$B$159*Assumptions!$B$145*Q7/12*(1+Assumptions!$B$16)</f>
        <v/>
      </c>
      <c r="R52" s="45">
        <f>R45*Assumptions!$B$159*Assumptions!$B$145*R7/12*(1+Assumptions!$B$16)</f>
        <v/>
      </c>
      <c r="S52" s="45">
        <f>S45*Assumptions!$B$159*Assumptions!$B$145*S7/12*(1+Assumptions!$B$16)</f>
        <v/>
      </c>
      <c r="T52" s="45">
        <f>T45*Assumptions!$B$159*Assumptions!$B$145*T7/12*(1+Assumptions!$B$16)</f>
        <v/>
      </c>
      <c r="U52" s="45">
        <f>U45*Assumptions!$B$159*Assumptions!$B$145*U7/12*(1+Assumptions!$B$16)</f>
        <v/>
      </c>
      <c r="V52" s="45">
        <f>V45*Assumptions!$B$159*Assumptions!$B$145*V7/12*(1+Assumptions!$B$16)</f>
        <v/>
      </c>
      <c r="W52" s="45">
        <f>W45*Assumptions!$B$159*Assumptions!$B$145*W7/12*(1+Assumptions!$B$16)</f>
        <v/>
      </c>
      <c r="X52" s="45">
        <f>X45*Assumptions!$B$159*Assumptions!$B$145*X7/12*(1+Assumptions!$B$16)</f>
        <v/>
      </c>
      <c r="Y52" s="45">
        <f>Y45*Assumptions!$B$159*Assumptions!$B$145*Y7/12*(1+Assumptions!$B$16)</f>
        <v/>
      </c>
      <c r="Z52" s="45">
        <f>Z45*Assumptions!$B$159*Assumptions!$B$145*Z7/12*(1+Assumptions!$B$16)</f>
        <v/>
      </c>
      <c r="AA52" s="45">
        <f>AA45*Assumptions!$B$159*Assumptions!$B$145*AA7/12*(1+Assumptions!$B$16)</f>
        <v/>
      </c>
      <c r="AB52" s="45">
        <f>AB45*Assumptions!$B$159*Assumptions!$B$145*AB7/12*(1+Assumptions!$B$16)</f>
        <v/>
      </c>
      <c r="AC52" s="45">
        <f>AC45*Assumptions!$B$159*Assumptions!$B$145*AC7/12*(1+Assumptions!$B$16)</f>
        <v/>
      </c>
      <c r="AD52" s="45">
        <f>AD45*Assumptions!$B$159*Assumptions!$B$145*AD7/12*(1+Assumptions!$B$16)</f>
        <v/>
      </c>
      <c r="AE52" s="45">
        <f>AE45*Assumptions!$B$159*Assumptions!$B$145*AE7/12*(1+Assumptions!$B$16)</f>
        <v/>
      </c>
    </row>
    <row r="53">
      <c r="A53" s="6" t="inlineStr">
        <is>
          <t xml:space="preserve">  Stream 1a - Entry fee, SIP</t>
        </is>
      </c>
      <c r="B53" s="23" t="inlineStr">
        <is>
          <t>USD</t>
        </is>
      </c>
      <c r="C53" s="55">
        <f>C35*Assumptions!$B$8</f>
        <v/>
      </c>
      <c r="D53" s="55">
        <f>D35*Assumptions!$B$8</f>
        <v/>
      </c>
      <c r="E53" s="55">
        <f>E35*Assumptions!$B$8</f>
        <v/>
      </c>
      <c r="F53" s="55">
        <f>F35*Assumptions!$B$8</f>
        <v/>
      </c>
      <c r="G53" s="55">
        <f>G35*Assumptions!$B$8</f>
        <v/>
      </c>
      <c r="H53" s="55">
        <f>H35*Assumptions!$B$8</f>
        <v/>
      </c>
      <c r="I53" s="55">
        <f>I35*Assumptions!$B$8</f>
        <v/>
      </c>
      <c r="J53" s="55">
        <f>J35*Assumptions!$B$8</f>
        <v/>
      </c>
      <c r="K53" s="55">
        <f>K35*Assumptions!$B$8</f>
        <v/>
      </c>
      <c r="L53" s="55">
        <f>L35*Assumptions!$B$8</f>
        <v/>
      </c>
      <c r="M53" s="55">
        <f>M35*Assumptions!$B$8</f>
        <v/>
      </c>
      <c r="N53" s="55">
        <f>N35*Assumptions!$B$8</f>
        <v/>
      </c>
      <c r="O53" s="55">
        <f>O35*Assumptions!$B$8</f>
        <v/>
      </c>
      <c r="P53" s="55">
        <f>P35*Assumptions!$B$8</f>
        <v/>
      </c>
      <c r="Q53" s="55">
        <f>Q35*Assumptions!$B$8</f>
        <v/>
      </c>
      <c r="R53" s="55">
        <f>R35*Assumptions!$B$8</f>
        <v/>
      </c>
      <c r="S53" s="55">
        <f>S35*Assumptions!$B$8</f>
        <v/>
      </c>
      <c r="T53" s="55">
        <f>T35*Assumptions!$B$8</f>
        <v/>
      </c>
      <c r="U53" s="55">
        <f>U35*Assumptions!$B$8</f>
        <v/>
      </c>
      <c r="V53" s="55">
        <f>V35*Assumptions!$B$8</f>
        <v/>
      </c>
      <c r="W53" s="55">
        <f>W35*Assumptions!$B$8</f>
        <v/>
      </c>
      <c r="X53" s="55">
        <f>X35*Assumptions!$B$8</f>
        <v/>
      </c>
      <c r="Y53" s="55">
        <f>Y35*Assumptions!$B$8</f>
        <v/>
      </c>
      <c r="Z53" s="55">
        <f>Z35*Assumptions!$B$8</f>
        <v/>
      </c>
      <c r="AA53" s="55">
        <f>AA35*Assumptions!$B$8</f>
        <v/>
      </c>
      <c r="AB53" s="55">
        <f>AB35*Assumptions!$B$8</f>
        <v/>
      </c>
      <c r="AC53" s="55">
        <f>AC35*Assumptions!$B$8</f>
        <v/>
      </c>
      <c r="AD53" s="55">
        <f>AD35*Assumptions!$B$8</f>
        <v/>
      </c>
      <c r="AE53" s="55">
        <f>AE35*Assumptions!$B$8</f>
        <v/>
      </c>
    </row>
    <row r="54">
      <c r="A54" s="6" t="inlineStr">
        <is>
          <t xml:space="preserve">  Stream 1b - Entry fee, SPOT</t>
        </is>
      </c>
      <c r="B54" s="23" t="inlineStr">
        <is>
          <t>USD</t>
        </is>
      </c>
      <c r="C54" s="55">
        <f>C36*Assumptions!$B$8</f>
        <v/>
      </c>
      <c r="D54" s="55">
        <f>D36*Assumptions!$B$8</f>
        <v/>
      </c>
      <c r="E54" s="55">
        <f>E36*Assumptions!$B$8</f>
        <v/>
      </c>
      <c r="F54" s="55">
        <f>F36*Assumptions!$B$8</f>
        <v/>
      </c>
      <c r="G54" s="55">
        <f>G36*Assumptions!$B$8</f>
        <v/>
      </c>
      <c r="H54" s="55">
        <f>H36*Assumptions!$B$8</f>
        <v/>
      </c>
      <c r="I54" s="55">
        <f>I36*Assumptions!$B$8</f>
        <v/>
      </c>
      <c r="J54" s="55">
        <f>J36*Assumptions!$B$8</f>
        <v/>
      </c>
      <c r="K54" s="55">
        <f>K36*Assumptions!$B$8</f>
        <v/>
      </c>
      <c r="L54" s="55">
        <f>L36*Assumptions!$B$8</f>
        <v/>
      </c>
      <c r="M54" s="55">
        <f>M36*Assumptions!$B$8</f>
        <v/>
      </c>
      <c r="N54" s="55">
        <f>N36*Assumptions!$B$8</f>
        <v/>
      </c>
      <c r="O54" s="55">
        <f>O36*Assumptions!$B$8</f>
        <v/>
      </c>
      <c r="P54" s="55">
        <f>P36*Assumptions!$B$8</f>
        <v/>
      </c>
      <c r="Q54" s="55">
        <f>Q36*Assumptions!$B$8</f>
        <v/>
      </c>
      <c r="R54" s="55">
        <f>R36*Assumptions!$B$8</f>
        <v/>
      </c>
      <c r="S54" s="55">
        <f>S36*Assumptions!$B$8</f>
        <v/>
      </c>
      <c r="T54" s="55">
        <f>T36*Assumptions!$B$8</f>
        <v/>
      </c>
      <c r="U54" s="55">
        <f>U36*Assumptions!$B$8</f>
        <v/>
      </c>
      <c r="V54" s="55">
        <f>V36*Assumptions!$B$8</f>
        <v/>
      </c>
      <c r="W54" s="55">
        <f>W36*Assumptions!$B$8</f>
        <v/>
      </c>
      <c r="X54" s="55">
        <f>X36*Assumptions!$B$8</f>
        <v/>
      </c>
      <c r="Y54" s="55">
        <f>Y36*Assumptions!$B$8</f>
        <v/>
      </c>
      <c r="Z54" s="55">
        <f>Z36*Assumptions!$B$8</f>
        <v/>
      </c>
      <c r="AA54" s="55">
        <f>AA36*Assumptions!$B$8</f>
        <v/>
      </c>
      <c r="AB54" s="55">
        <f>AB36*Assumptions!$B$8</f>
        <v/>
      </c>
      <c r="AC54" s="55">
        <f>AC36*Assumptions!$B$8</f>
        <v/>
      </c>
      <c r="AD54" s="55">
        <f>AD36*Assumptions!$B$8</f>
        <v/>
      </c>
      <c r="AE54" s="55">
        <f>AE36*Assumptions!$B$8</f>
        <v/>
      </c>
    </row>
    <row r="55">
      <c r="A55" s="6" t="inlineStr">
        <is>
          <t xml:space="preserve">  Stream 2 - Card interchange</t>
        </is>
      </c>
      <c r="B55" s="23" t="inlineStr">
        <is>
          <t>USD</t>
        </is>
      </c>
      <c r="C55" s="55">
        <f>C50*IF(Assumptions!$B$178=1,MIN(Assumptions!$B$14,1%),Assumptions!$B$14)*(1-Assumptions!$B$143)</f>
        <v/>
      </c>
      <c r="D55" s="55">
        <f>D50*IF(Assumptions!$B$178=1,MIN(Assumptions!$B$14,1%),Assumptions!$B$14)*(1-Assumptions!$B$143)</f>
        <v/>
      </c>
      <c r="E55" s="55">
        <f>E50*IF(Assumptions!$B$178=1,MIN(Assumptions!$B$14,1%),Assumptions!$B$14)*(1-Assumptions!$B$143)</f>
        <v/>
      </c>
      <c r="F55" s="55">
        <f>F50*IF(Assumptions!$B$178=1,MIN(Assumptions!$B$14,1%),Assumptions!$B$14)*(1-Assumptions!$B$143)</f>
        <v/>
      </c>
      <c r="G55" s="55">
        <f>G50*IF(Assumptions!$B$178=1,MIN(Assumptions!$B$14,1%),Assumptions!$B$14)*(1-Assumptions!$B$143)</f>
        <v/>
      </c>
      <c r="H55" s="55">
        <f>H50*IF(Assumptions!$B$178=1,MIN(Assumptions!$B$14,1%),Assumptions!$B$14)*(1-Assumptions!$B$143)</f>
        <v/>
      </c>
      <c r="I55" s="55">
        <f>I50*IF(Assumptions!$B$178=1,MIN(Assumptions!$B$14,1%),Assumptions!$B$14)*(1-Assumptions!$B$143)</f>
        <v/>
      </c>
      <c r="J55" s="55">
        <f>J50*IF(Assumptions!$B$178=1,MIN(Assumptions!$B$14,1%),Assumptions!$B$14)*(1-Assumptions!$B$143)</f>
        <v/>
      </c>
      <c r="K55" s="55">
        <f>K50*IF(Assumptions!$B$178=1,MIN(Assumptions!$B$14,1%),Assumptions!$B$14)*(1-Assumptions!$B$143)</f>
        <v/>
      </c>
      <c r="L55" s="55">
        <f>L50*IF(Assumptions!$B$178=1,MIN(Assumptions!$B$14,1%),Assumptions!$B$14)*(1-Assumptions!$B$143)</f>
        <v/>
      </c>
      <c r="M55" s="55">
        <f>M50*IF(Assumptions!$B$178=1,MIN(Assumptions!$B$14,1%),Assumptions!$B$14)*(1-Assumptions!$B$143)</f>
        <v/>
      </c>
      <c r="N55" s="55">
        <f>N50*IF(Assumptions!$B$178=1,MIN(Assumptions!$B$14,1%),Assumptions!$B$14)*(1-Assumptions!$B$143)</f>
        <v/>
      </c>
      <c r="O55" s="55">
        <f>O50*IF(Assumptions!$B$178=1,MIN(Assumptions!$B$14,1%),Assumptions!$B$14)*(1-Assumptions!$B$143)</f>
        <v/>
      </c>
      <c r="P55" s="55">
        <f>P50*IF(Assumptions!$B$178=1,MIN(Assumptions!$B$14,1%),Assumptions!$B$14)*(1-Assumptions!$B$143)</f>
        <v/>
      </c>
      <c r="Q55" s="55">
        <f>Q50*IF(Assumptions!$B$178=1,MIN(Assumptions!$B$14,1%),Assumptions!$B$14)*(1-Assumptions!$B$143)</f>
        <v/>
      </c>
      <c r="R55" s="55">
        <f>R50*IF(Assumptions!$B$178=1,MIN(Assumptions!$B$14,1%),Assumptions!$B$14)*(1-Assumptions!$B$143)</f>
        <v/>
      </c>
      <c r="S55" s="55">
        <f>S50*IF(Assumptions!$B$178=1,MIN(Assumptions!$B$14,1%),Assumptions!$B$14)*(1-Assumptions!$B$143)</f>
        <v/>
      </c>
      <c r="T55" s="55">
        <f>T50*IF(Assumptions!$B$178=1,MIN(Assumptions!$B$14,1%),Assumptions!$B$14)*(1-Assumptions!$B$143)</f>
        <v/>
      </c>
      <c r="U55" s="55">
        <f>U50*IF(Assumptions!$B$178=1,MIN(Assumptions!$B$14,1%),Assumptions!$B$14)*(1-Assumptions!$B$143)</f>
        <v/>
      </c>
      <c r="V55" s="55">
        <f>V50*IF(Assumptions!$B$178=1,MIN(Assumptions!$B$14,1%),Assumptions!$B$14)*(1-Assumptions!$B$143)</f>
        <v/>
      </c>
      <c r="W55" s="55">
        <f>W50*IF(Assumptions!$B$178=1,MIN(Assumptions!$B$14,1%),Assumptions!$B$14)*(1-Assumptions!$B$143)</f>
        <v/>
      </c>
      <c r="X55" s="55">
        <f>X50*IF(Assumptions!$B$178=1,MIN(Assumptions!$B$14,1%),Assumptions!$B$14)*(1-Assumptions!$B$143)</f>
        <v/>
      </c>
      <c r="Y55" s="55">
        <f>Y50*IF(Assumptions!$B$178=1,MIN(Assumptions!$B$14,1%),Assumptions!$B$14)*(1-Assumptions!$B$143)</f>
        <v/>
      </c>
      <c r="Z55" s="55">
        <f>Z50*IF(Assumptions!$B$178=1,MIN(Assumptions!$B$14,1%),Assumptions!$B$14)*(1-Assumptions!$B$143)</f>
        <v/>
      </c>
      <c r="AA55" s="55">
        <f>AA50*IF(Assumptions!$B$178=1,MIN(Assumptions!$B$14,1%),Assumptions!$B$14)*(1-Assumptions!$B$143)</f>
        <v/>
      </c>
      <c r="AB55" s="55">
        <f>AB50*IF(Assumptions!$B$178=1,MIN(Assumptions!$B$14,1%),Assumptions!$B$14)*(1-Assumptions!$B$143)</f>
        <v/>
      </c>
      <c r="AC55" s="55">
        <f>AC50*IF(Assumptions!$B$178=1,MIN(Assumptions!$B$14,1%),Assumptions!$B$14)*(1-Assumptions!$B$143)</f>
        <v/>
      </c>
      <c r="AD55" s="55">
        <f>AD50*IF(Assumptions!$B$178=1,MIN(Assumptions!$B$14,1%),Assumptions!$B$14)*(1-Assumptions!$B$143)</f>
        <v/>
      </c>
      <c r="AE55" s="55">
        <f>AE50*IF(Assumptions!$B$178=1,MIN(Assumptions!$B$14,1%),Assumptions!$B$14)*(1-Assumptions!$B$143)</f>
        <v/>
      </c>
    </row>
    <row r="56">
      <c r="A56" s="6" t="inlineStr">
        <is>
          <t xml:space="preserve">  Family plan subscribers</t>
        </is>
      </c>
      <c r="B56" s="23" t="inlineStr">
        <is>
          <t>subscribers</t>
        </is>
      </c>
      <c r="C56" s="54">
        <f>IF(C2&gt;=Assumptions!$B$51,C30*Assumptions!$B$160*(1-Assumptions!$B$163)^(C7/2),0)</f>
        <v/>
      </c>
      <c r="D56" s="54">
        <f>IF(D2&gt;=Assumptions!$B$51,C56*(1-Assumptions!$B$163)^D7+D30*Assumptions!$B$160*(1-Assumptions!$B$163)^(D7/2),0)</f>
        <v/>
      </c>
      <c r="E56" s="54">
        <f>IF(E2&gt;=Assumptions!$B$51,D56*(1-Assumptions!$B$163)^E7+E30*Assumptions!$B$160*(1-Assumptions!$B$163)^(E7/2),0)</f>
        <v/>
      </c>
      <c r="F56" s="54">
        <f>IF(F2&gt;=Assumptions!$B$51,E56*(1-Assumptions!$B$163)^F7+F30*Assumptions!$B$160*(1-Assumptions!$B$163)^(F7/2),0)</f>
        <v/>
      </c>
      <c r="G56" s="54">
        <f>IF(G2&gt;=Assumptions!$B$51,F56*(1-Assumptions!$B$163)^G7+G30*Assumptions!$B$160*(1-Assumptions!$B$163)^(G7/2),0)</f>
        <v/>
      </c>
      <c r="H56" s="54">
        <f>IF(H2&gt;=Assumptions!$B$51,G56*(1-Assumptions!$B$163)^H7+H30*Assumptions!$B$160*(1-Assumptions!$B$163)^(H7/2),0)</f>
        <v/>
      </c>
      <c r="I56" s="54">
        <f>IF(I2&gt;=Assumptions!$B$51,H56*(1-Assumptions!$B$163)^I7+I30*Assumptions!$B$160*(1-Assumptions!$B$163)^(I7/2),0)</f>
        <v/>
      </c>
      <c r="J56" s="54">
        <f>IF(J2&gt;=Assumptions!$B$51,I56*(1-Assumptions!$B$163)^J7+J30*Assumptions!$B$160*(1-Assumptions!$B$163)^(J7/2),0)</f>
        <v/>
      </c>
      <c r="K56" s="54">
        <f>IF(K2&gt;=Assumptions!$B$51,J56*(1-Assumptions!$B$163)^K7+K30*Assumptions!$B$160*(1-Assumptions!$B$163)^(K7/2),0)</f>
        <v/>
      </c>
      <c r="L56" s="54">
        <f>IF(L2&gt;=Assumptions!$B$51,K56*(1-Assumptions!$B$163)^L7+L30*Assumptions!$B$160*(1-Assumptions!$B$163)^(L7/2),0)</f>
        <v/>
      </c>
      <c r="M56" s="54">
        <f>IF(M2&gt;=Assumptions!$B$51,L56*(1-Assumptions!$B$163)^M7+M30*Assumptions!$B$160*(1-Assumptions!$B$163)^(M7/2),0)</f>
        <v/>
      </c>
      <c r="N56" s="54">
        <f>IF(N2&gt;=Assumptions!$B$51,M56*(1-Assumptions!$B$163)^N7+N30*Assumptions!$B$160*(1-Assumptions!$B$163)^(N7/2),0)</f>
        <v/>
      </c>
      <c r="O56" s="54">
        <f>IF(O2&gt;=Assumptions!$B$51,N56*(1-Assumptions!$B$163)^O7+O30*Assumptions!$B$160*(1-Assumptions!$B$163)^(O7/2),0)</f>
        <v/>
      </c>
      <c r="P56" s="54">
        <f>IF(P2&gt;=Assumptions!$B$51,O56*(1-Assumptions!$B$163)^P7+P30*Assumptions!$B$160*(1-Assumptions!$B$163)^(P7/2),0)</f>
        <v/>
      </c>
      <c r="Q56" s="54">
        <f>IF(Q2&gt;=Assumptions!$B$51,P56*(1-Assumptions!$B$163)^Q7+Q30*Assumptions!$B$160*(1-Assumptions!$B$163)^(Q7/2),0)</f>
        <v/>
      </c>
      <c r="R56" s="54">
        <f>IF(R2&gt;=Assumptions!$B$51,Q56*(1-Assumptions!$B$163)^R7+R30*Assumptions!$B$160*(1-Assumptions!$B$163)^(R7/2),0)</f>
        <v/>
      </c>
      <c r="S56" s="54">
        <f>IF(S2&gt;=Assumptions!$B$51,R56*(1-Assumptions!$B$163)^S7+S30*Assumptions!$B$160*(1-Assumptions!$B$163)^(S7/2),0)</f>
        <v/>
      </c>
      <c r="T56" s="54">
        <f>IF(T2&gt;=Assumptions!$B$51,S56*(1-Assumptions!$B$163)^T7+T30*Assumptions!$B$160*(1-Assumptions!$B$163)^(T7/2),0)</f>
        <v/>
      </c>
      <c r="U56" s="54">
        <f>IF(U2&gt;=Assumptions!$B$51,T56*(1-Assumptions!$B$163)^U7+U30*Assumptions!$B$160*(1-Assumptions!$B$163)^(U7/2),0)</f>
        <v/>
      </c>
      <c r="V56" s="54">
        <f>IF(V2&gt;=Assumptions!$B$51,U56*(1-Assumptions!$B$163)^V7+V30*Assumptions!$B$160*(1-Assumptions!$B$163)^(V7/2),0)</f>
        <v/>
      </c>
      <c r="W56" s="54">
        <f>IF(W2&gt;=Assumptions!$B$51,V56*(1-Assumptions!$B$163)^W7+W30*Assumptions!$B$160*(1-Assumptions!$B$163)^(W7/2),0)</f>
        <v/>
      </c>
      <c r="X56" s="54">
        <f>IF(X2&gt;=Assumptions!$B$51,W56*(1-Assumptions!$B$163)^X7+X30*Assumptions!$B$160*(1-Assumptions!$B$163)^(X7/2),0)</f>
        <v/>
      </c>
      <c r="Y56" s="54">
        <f>IF(Y2&gt;=Assumptions!$B$51,X56*(1-Assumptions!$B$163)^Y7+Y30*Assumptions!$B$160*(1-Assumptions!$B$163)^(Y7/2),0)</f>
        <v/>
      </c>
      <c r="Z56" s="54">
        <f>IF(Z2&gt;=Assumptions!$B$51,Y56*(1-Assumptions!$B$163)^Z7+Z30*Assumptions!$B$160*(1-Assumptions!$B$163)^(Z7/2),0)</f>
        <v/>
      </c>
      <c r="AA56" s="54">
        <f>IF(AA2&gt;=Assumptions!$B$51,Z56*(1-Assumptions!$B$163)^AA7+AA30*Assumptions!$B$160*(1-Assumptions!$B$163)^(AA7/2),0)</f>
        <v/>
      </c>
      <c r="AB56" s="54">
        <f>IF(AB2&gt;=Assumptions!$B$51,AA56*(1-Assumptions!$B$163)^AB7+AB30*Assumptions!$B$160*(1-Assumptions!$B$163)^(AB7/2),0)</f>
        <v/>
      </c>
      <c r="AC56" s="54">
        <f>IF(AC2&gt;=Assumptions!$B$51,AB56*(1-Assumptions!$B$163)^AC7+AC30*Assumptions!$B$160*(1-Assumptions!$B$163)^(AC7/2),0)</f>
        <v/>
      </c>
      <c r="AD56" s="54">
        <f>IF(AD2&gt;=Assumptions!$B$51,AC56*(1-Assumptions!$B$163)^AD7+AD30*Assumptions!$B$160*(1-Assumptions!$B$163)^(AD7/2),0)</f>
        <v/>
      </c>
      <c r="AE56" s="54">
        <f>IF(AE2&gt;=Assumptions!$B$51,AD56*(1-Assumptions!$B$163)^AE7+AE30*Assumptions!$B$160*(1-Assumptions!$B$163)^(AE7/2),0)</f>
        <v/>
      </c>
    </row>
    <row r="57">
      <c r="A57" s="6" t="inlineStr">
        <is>
          <t xml:space="preserve">  Stream 3 - Family plan and Digital Will</t>
        </is>
      </c>
      <c r="B57" s="23" t="inlineStr">
        <is>
          <t>USD</t>
        </is>
      </c>
      <c r="C57" s="55">
        <f>C56*(Assumptions!$B$25+MAX(0,Assumptions!$B$162-1)*Assumptions!$B$26)/12*C7</f>
        <v/>
      </c>
      <c r="D57" s="55">
        <f>D56*(Assumptions!$B$25+MAX(0,Assumptions!$B$162-1)*Assumptions!$B$26)/12*D7</f>
        <v/>
      </c>
      <c r="E57" s="55">
        <f>E56*(Assumptions!$B$25+MAX(0,Assumptions!$B$162-1)*Assumptions!$B$26)/12*E7</f>
        <v/>
      </c>
      <c r="F57" s="55">
        <f>F56*(Assumptions!$B$25+MAX(0,Assumptions!$B$162-1)*Assumptions!$B$26)/12*F7</f>
        <v/>
      </c>
      <c r="G57" s="55">
        <f>G56*(Assumptions!$B$25+MAX(0,Assumptions!$B$162-1)*Assumptions!$B$26)/12*G7</f>
        <v/>
      </c>
      <c r="H57" s="55">
        <f>H56*(Assumptions!$B$25+MAX(0,Assumptions!$B$162-1)*Assumptions!$B$26)/12*H7</f>
        <v/>
      </c>
      <c r="I57" s="55">
        <f>I56*(Assumptions!$B$25+MAX(0,Assumptions!$B$162-1)*Assumptions!$B$26)/12*I7</f>
        <v/>
      </c>
      <c r="J57" s="55">
        <f>J56*(Assumptions!$B$25+MAX(0,Assumptions!$B$162-1)*Assumptions!$B$26)/12*J7</f>
        <v/>
      </c>
      <c r="K57" s="55">
        <f>K56*(Assumptions!$B$25+MAX(0,Assumptions!$B$162-1)*Assumptions!$B$26)/12*K7</f>
        <v/>
      </c>
      <c r="L57" s="55">
        <f>L56*(Assumptions!$B$25+MAX(0,Assumptions!$B$162-1)*Assumptions!$B$26)/12*L7</f>
        <v/>
      </c>
      <c r="M57" s="55">
        <f>M56*(Assumptions!$B$25+MAX(0,Assumptions!$B$162-1)*Assumptions!$B$26)/12*M7</f>
        <v/>
      </c>
      <c r="N57" s="55">
        <f>N56*(Assumptions!$B$25+MAX(0,Assumptions!$B$162-1)*Assumptions!$B$26)/12*N7</f>
        <v/>
      </c>
      <c r="O57" s="55">
        <f>O56*(Assumptions!$B$25+MAX(0,Assumptions!$B$162-1)*Assumptions!$B$26)/12*O7</f>
        <v/>
      </c>
      <c r="P57" s="55">
        <f>P56*(Assumptions!$B$25+MAX(0,Assumptions!$B$162-1)*Assumptions!$B$26)/12*P7</f>
        <v/>
      </c>
      <c r="Q57" s="55">
        <f>Q56*(Assumptions!$B$25+MAX(0,Assumptions!$B$162-1)*Assumptions!$B$26)/12*Q7</f>
        <v/>
      </c>
      <c r="R57" s="55">
        <f>R56*(Assumptions!$B$25+MAX(0,Assumptions!$B$162-1)*Assumptions!$B$26)/12*R7</f>
        <v/>
      </c>
      <c r="S57" s="55">
        <f>S56*(Assumptions!$B$25+MAX(0,Assumptions!$B$162-1)*Assumptions!$B$26)/12*S7</f>
        <v/>
      </c>
      <c r="T57" s="55">
        <f>T56*(Assumptions!$B$25+MAX(0,Assumptions!$B$162-1)*Assumptions!$B$26)/12*T7</f>
        <v/>
      </c>
      <c r="U57" s="55">
        <f>U56*(Assumptions!$B$25+MAX(0,Assumptions!$B$162-1)*Assumptions!$B$26)/12*U7</f>
        <v/>
      </c>
      <c r="V57" s="55">
        <f>V56*(Assumptions!$B$25+MAX(0,Assumptions!$B$162-1)*Assumptions!$B$26)/12*V7</f>
        <v/>
      </c>
      <c r="W57" s="55">
        <f>W56*(Assumptions!$B$25+MAX(0,Assumptions!$B$162-1)*Assumptions!$B$26)/12*W7</f>
        <v/>
      </c>
      <c r="X57" s="55">
        <f>X56*(Assumptions!$B$25+MAX(0,Assumptions!$B$162-1)*Assumptions!$B$26)/12*X7</f>
        <v/>
      </c>
      <c r="Y57" s="55">
        <f>Y56*(Assumptions!$B$25+MAX(0,Assumptions!$B$162-1)*Assumptions!$B$26)/12*Y7</f>
        <v/>
      </c>
      <c r="Z57" s="55">
        <f>Z56*(Assumptions!$B$25+MAX(0,Assumptions!$B$162-1)*Assumptions!$B$26)/12*Z7</f>
        <v/>
      </c>
      <c r="AA57" s="55">
        <f>AA56*(Assumptions!$B$25+MAX(0,Assumptions!$B$162-1)*Assumptions!$B$26)/12*AA7</f>
        <v/>
      </c>
      <c r="AB57" s="55">
        <f>AB56*(Assumptions!$B$25+MAX(0,Assumptions!$B$162-1)*Assumptions!$B$26)/12*AB7</f>
        <v/>
      </c>
      <c r="AC57" s="55">
        <f>AC56*(Assumptions!$B$25+MAX(0,Assumptions!$B$162-1)*Assumptions!$B$26)/12*AC7</f>
        <v/>
      </c>
      <c r="AD57" s="55">
        <f>AD56*(Assumptions!$B$25+MAX(0,Assumptions!$B$162-1)*Assumptions!$B$26)/12*AD7</f>
        <v/>
      </c>
      <c r="AE57" s="55">
        <f>AE56*(Assumptions!$B$25+MAX(0,Assumptions!$B$162-1)*Assumptions!$B$26)/12*AE7</f>
        <v/>
      </c>
    </row>
    <row r="58">
      <c r="A58" s="6" t="inlineStr">
        <is>
          <t xml:space="preserve">  Stream 4 - Cardholder fees (FX, ATM, events)</t>
        </is>
      </c>
      <c r="B58" s="23" t="inlineStr">
        <is>
          <t>USD</t>
        </is>
      </c>
      <c r="C58" s="55">
        <f>IF(C2&gt;=Assumptions!$B$53,C50*C17*Assumptions!$B$17+C45*(Assumptions!$B$149*MAX(0,Assumptions!$B$153-Assumptions!$B$18)+Assumptions!$B$150*MAX(0,Assumptions!$B$154-Assumptions!$B$18)+Assumptions!$B$151*MAX(0,Assumptions!$B$155-Assumptions!$B$18)+Assumptions!$B$152*MAX(0,Assumptions!$B$156-Assumptions!$B$18))*Assumptions!$B$19/Assumptions!$B$7*C7+C45*(Assumptions!$B$147*Assumptions!$B$20+Assumptions!$B$148*Assumptions!$B$21)/12/Assumptions!$B$7*C7,0)</f>
        <v/>
      </c>
      <c r="D58" s="55">
        <f>IF(D2&gt;=Assumptions!$B$53,D50*D17*Assumptions!$B$17+D45*(Assumptions!$B$149*MAX(0,Assumptions!$B$153-Assumptions!$B$18)+Assumptions!$B$150*MAX(0,Assumptions!$B$154-Assumptions!$B$18)+Assumptions!$B$151*MAX(0,Assumptions!$B$155-Assumptions!$B$18)+Assumptions!$B$152*MAX(0,Assumptions!$B$156-Assumptions!$B$18))*Assumptions!$B$19/Assumptions!$B$7*D7+D45*(Assumptions!$B$147*Assumptions!$B$20+Assumptions!$B$148*Assumptions!$B$21)/12/Assumptions!$B$7*D7,0)</f>
        <v/>
      </c>
      <c r="E58" s="55">
        <f>IF(E2&gt;=Assumptions!$B$53,E50*E17*Assumptions!$B$17+E45*(Assumptions!$B$149*MAX(0,Assumptions!$B$153-Assumptions!$B$18)+Assumptions!$B$150*MAX(0,Assumptions!$B$154-Assumptions!$B$18)+Assumptions!$B$151*MAX(0,Assumptions!$B$155-Assumptions!$B$18)+Assumptions!$B$152*MAX(0,Assumptions!$B$156-Assumptions!$B$18))*Assumptions!$B$19/Assumptions!$B$7*E7+E45*(Assumptions!$B$147*Assumptions!$B$20+Assumptions!$B$148*Assumptions!$B$21)/12/Assumptions!$B$7*E7,0)</f>
        <v/>
      </c>
      <c r="F58" s="55">
        <f>IF(F2&gt;=Assumptions!$B$53,F50*F17*Assumptions!$B$17+F45*(Assumptions!$B$149*MAX(0,Assumptions!$B$153-Assumptions!$B$18)+Assumptions!$B$150*MAX(0,Assumptions!$B$154-Assumptions!$B$18)+Assumptions!$B$151*MAX(0,Assumptions!$B$155-Assumptions!$B$18)+Assumptions!$B$152*MAX(0,Assumptions!$B$156-Assumptions!$B$18))*Assumptions!$B$19/Assumptions!$B$7*F7+F45*(Assumptions!$B$147*Assumptions!$B$20+Assumptions!$B$148*Assumptions!$B$21)/12/Assumptions!$B$7*F7,0)</f>
        <v/>
      </c>
      <c r="G58" s="55">
        <f>IF(G2&gt;=Assumptions!$B$53,G50*G17*Assumptions!$B$17+G45*(Assumptions!$B$149*MAX(0,Assumptions!$B$153-Assumptions!$B$18)+Assumptions!$B$150*MAX(0,Assumptions!$B$154-Assumptions!$B$18)+Assumptions!$B$151*MAX(0,Assumptions!$B$155-Assumptions!$B$18)+Assumptions!$B$152*MAX(0,Assumptions!$B$156-Assumptions!$B$18))*Assumptions!$B$19/Assumptions!$B$7*G7+G45*(Assumptions!$B$147*Assumptions!$B$20+Assumptions!$B$148*Assumptions!$B$21)/12/Assumptions!$B$7*G7,0)</f>
        <v/>
      </c>
      <c r="H58" s="55">
        <f>IF(H2&gt;=Assumptions!$B$53,H50*H17*Assumptions!$B$17+H45*(Assumptions!$B$149*MAX(0,Assumptions!$B$153-Assumptions!$B$18)+Assumptions!$B$150*MAX(0,Assumptions!$B$154-Assumptions!$B$18)+Assumptions!$B$151*MAX(0,Assumptions!$B$155-Assumptions!$B$18)+Assumptions!$B$152*MAX(0,Assumptions!$B$156-Assumptions!$B$18))*Assumptions!$B$19/Assumptions!$B$7*H7+H45*(Assumptions!$B$147*Assumptions!$B$20+Assumptions!$B$148*Assumptions!$B$21)/12/Assumptions!$B$7*H7,0)</f>
        <v/>
      </c>
      <c r="I58" s="55">
        <f>IF(I2&gt;=Assumptions!$B$53,I50*I17*Assumptions!$B$17+I45*(Assumptions!$B$149*MAX(0,Assumptions!$B$153-Assumptions!$B$18)+Assumptions!$B$150*MAX(0,Assumptions!$B$154-Assumptions!$B$18)+Assumptions!$B$151*MAX(0,Assumptions!$B$155-Assumptions!$B$18)+Assumptions!$B$152*MAX(0,Assumptions!$B$156-Assumptions!$B$18))*Assumptions!$B$19/Assumptions!$B$7*I7+I45*(Assumptions!$B$147*Assumptions!$B$20+Assumptions!$B$148*Assumptions!$B$21)/12/Assumptions!$B$7*I7,0)</f>
        <v/>
      </c>
      <c r="J58" s="55">
        <f>IF(J2&gt;=Assumptions!$B$53,J50*J17*Assumptions!$B$17+J45*(Assumptions!$B$149*MAX(0,Assumptions!$B$153-Assumptions!$B$18)+Assumptions!$B$150*MAX(0,Assumptions!$B$154-Assumptions!$B$18)+Assumptions!$B$151*MAX(0,Assumptions!$B$155-Assumptions!$B$18)+Assumptions!$B$152*MAX(0,Assumptions!$B$156-Assumptions!$B$18))*Assumptions!$B$19/Assumptions!$B$7*J7+J45*(Assumptions!$B$147*Assumptions!$B$20+Assumptions!$B$148*Assumptions!$B$21)/12/Assumptions!$B$7*J7,0)</f>
        <v/>
      </c>
      <c r="K58" s="55">
        <f>IF(K2&gt;=Assumptions!$B$53,K50*K17*Assumptions!$B$17+K45*(Assumptions!$B$149*MAX(0,Assumptions!$B$153-Assumptions!$B$18)+Assumptions!$B$150*MAX(0,Assumptions!$B$154-Assumptions!$B$18)+Assumptions!$B$151*MAX(0,Assumptions!$B$155-Assumptions!$B$18)+Assumptions!$B$152*MAX(0,Assumptions!$B$156-Assumptions!$B$18))*Assumptions!$B$19/Assumptions!$B$7*K7+K45*(Assumptions!$B$147*Assumptions!$B$20+Assumptions!$B$148*Assumptions!$B$21)/12/Assumptions!$B$7*K7,0)</f>
        <v/>
      </c>
      <c r="L58" s="55">
        <f>IF(L2&gt;=Assumptions!$B$53,L50*L17*Assumptions!$B$17+L45*(Assumptions!$B$149*MAX(0,Assumptions!$B$153-Assumptions!$B$18)+Assumptions!$B$150*MAX(0,Assumptions!$B$154-Assumptions!$B$18)+Assumptions!$B$151*MAX(0,Assumptions!$B$155-Assumptions!$B$18)+Assumptions!$B$152*MAX(0,Assumptions!$B$156-Assumptions!$B$18))*Assumptions!$B$19/Assumptions!$B$7*L7+L45*(Assumptions!$B$147*Assumptions!$B$20+Assumptions!$B$148*Assumptions!$B$21)/12/Assumptions!$B$7*L7,0)</f>
        <v/>
      </c>
      <c r="M58" s="55">
        <f>IF(M2&gt;=Assumptions!$B$53,M50*M17*Assumptions!$B$17+M45*(Assumptions!$B$149*MAX(0,Assumptions!$B$153-Assumptions!$B$18)+Assumptions!$B$150*MAX(0,Assumptions!$B$154-Assumptions!$B$18)+Assumptions!$B$151*MAX(0,Assumptions!$B$155-Assumptions!$B$18)+Assumptions!$B$152*MAX(0,Assumptions!$B$156-Assumptions!$B$18))*Assumptions!$B$19/Assumptions!$B$7*M7+M45*(Assumptions!$B$147*Assumptions!$B$20+Assumptions!$B$148*Assumptions!$B$21)/12/Assumptions!$B$7*M7,0)</f>
        <v/>
      </c>
      <c r="N58" s="55">
        <f>IF(N2&gt;=Assumptions!$B$53,N50*N17*Assumptions!$B$17+N45*(Assumptions!$B$149*MAX(0,Assumptions!$B$153-Assumptions!$B$18)+Assumptions!$B$150*MAX(0,Assumptions!$B$154-Assumptions!$B$18)+Assumptions!$B$151*MAX(0,Assumptions!$B$155-Assumptions!$B$18)+Assumptions!$B$152*MAX(0,Assumptions!$B$156-Assumptions!$B$18))*Assumptions!$B$19/Assumptions!$B$7*N7+N45*(Assumptions!$B$147*Assumptions!$B$20+Assumptions!$B$148*Assumptions!$B$21)/12/Assumptions!$B$7*N7,0)</f>
        <v/>
      </c>
      <c r="O58" s="55">
        <f>IF(O2&gt;=Assumptions!$B$53,O50*O17*Assumptions!$B$17+O45*(Assumptions!$B$149*MAX(0,Assumptions!$B$153-Assumptions!$B$18)+Assumptions!$B$150*MAX(0,Assumptions!$B$154-Assumptions!$B$18)+Assumptions!$B$151*MAX(0,Assumptions!$B$155-Assumptions!$B$18)+Assumptions!$B$152*MAX(0,Assumptions!$B$156-Assumptions!$B$18))*Assumptions!$B$19/Assumptions!$B$7*O7+O45*(Assumptions!$B$147*Assumptions!$B$20+Assumptions!$B$148*Assumptions!$B$21)/12/Assumptions!$B$7*O7,0)</f>
        <v/>
      </c>
      <c r="P58" s="55">
        <f>IF(P2&gt;=Assumptions!$B$53,P50*P17*Assumptions!$B$17+P45*(Assumptions!$B$149*MAX(0,Assumptions!$B$153-Assumptions!$B$18)+Assumptions!$B$150*MAX(0,Assumptions!$B$154-Assumptions!$B$18)+Assumptions!$B$151*MAX(0,Assumptions!$B$155-Assumptions!$B$18)+Assumptions!$B$152*MAX(0,Assumptions!$B$156-Assumptions!$B$18))*Assumptions!$B$19/Assumptions!$B$7*P7+P45*(Assumptions!$B$147*Assumptions!$B$20+Assumptions!$B$148*Assumptions!$B$21)/12/Assumptions!$B$7*P7,0)</f>
        <v/>
      </c>
      <c r="Q58" s="55">
        <f>IF(Q2&gt;=Assumptions!$B$53,Q50*Q17*Assumptions!$B$17+Q45*(Assumptions!$B$149*MAX(0,Assumptions!$B$153-Assumptions!$B$18)+Assumptions!$B$150*MAX(0,Assumptions!$B$154-Assumptions!$B$18)+Assumptions!$B$151*MAX(0,Assumptions!$B$155-Assumptions!$B$18)+Assumptions!$B$152*MAX(0,Assumptions!$B$156-Assumptions!$B$18))*Assumptions!$B$19/Assumptions!$B$7*Q7+Q45*(Assumptions!$B$147*Assumptions!$B$20+Assumptions!$B$148*Assumptions!$B$21)/12/Assumptions!$B$7*Q7,0)</f>
        <v/>
      </c>
      <c r="R58" s="55">
        <f>IF(R2&gt;=Assumptions!$B$53,R50*R17*Assumptions!$B$17+R45*(Assumptions!$B$149*MAX(0,Assumptions!$B$153-Assumptions!$B$18)+Assumptions!$B$150*MAX(0,Assumptions!$B$154-Assumptions!$B$18)+Assumptions!$B$151*MAX(0,Assumptions!$B$155-Assumptions!$B$18)+Assumptions!$B$152*MAX(0,Assumptions!$B$156-Assumptions!$B$18))*Assumptions!$B$19/Assumptions!$B$7*R7+R45*(Assumptions!$B$147*Assumptions!$B$20+Assumptions!$B$148*Assumptions!$B$21)/12/Assumptions!$B$7*R7,0)</f>
        <v/>
      </c>
      <c r="S58" s="55">
        <f>IF(S2&gt;=Assumptions!$B$53,S50*S17*Assumptions!$B$17+S45*(Assumptions!$B$149*MAX(0,Assumptions!$B$153-Assumptions!$B$18)+Assumptions!$B$150*MAX(0,Assumptions!$B$154-Assumptions!$B$18)+Assumptions!$B$151*MAX(0,Assumptions!$B$155-Assumptions!$B$18)+Assumptions!$B$152*MAX(0,Assumptions!$B$156-Assumptions!$B$18))*Assumptions!$B$19/Assumptions!$B$7*S7+S45*(Assumptions!$B$147*Assumptions!$B$20+Assumptions!$B$148*Assumptions!$B$21)/12/Assumptions!$B$7*S7,0)</f>
        <v/>
      </c>
      <c r="T58" s="55">
        <f>IF(T2&gt;=Assumptions!$B$53,T50*T17*Assumptions!$B$17+T45*(Assumptions!$B$149*MAX(0,Assumptions!$B$153-Assumptions!$B$18)+Assumptions!$B$150*MAX(0,Assumptions!$B$154-Assumptions!$B$18)+Assumptions!$B$151*MAX(0,Assumptions!$B$155-Assumptions!$B$18)+Assumptions!$B$152*MAX(0,Assumptions!$B$156-Assumptions!$B$18))*Assumptions!$B$19/Assumptions!$B$7*T7+T45*(Assumptions!$B$147*Assumptions!$B$20+Assumptions!$B$148*Assumptions!$B$21)/12/Assumptions!$B$7*T7,0)</f>
        <v/>
      </c>
      <c r="U58" s="55">
        <f>IF(U2&gt;=Assumptions!$B$53,U50*U17*Assumptions!$B$17+U45*(Assumptions!$B$149*MAX(0,Assumptions!$B$153-Assumptions!$B$18)+Assumptions!$B$150*MAX(0,Assumptions!$B$154-Assumptions!$B$18)+Assumptions!$B$151*MAX(0,Assumptions!$B$155-Assumptions!$B$18)+Assumptions!$B$152*MAX(0,Assumptions!$B$156-Assumptions!$B$18))*Assumptions!$B$19/Assumptions!$B$7*U7+U45*(Assumptions!$B$147*Assumptions!$B$20+Assumptions!$B$148*Assumptions!$B$21)/12/Assumptions!$B$7*U7,0)</f>
        <v/>
      </c>
      <c r="V58" s="55">
        <f>IF(V2&gt;=Assumptions!$B$53,V50*V17*Assumptions!$B$17+V45*(Assumptions!$B$149*MAX(0,Assumptions!$B$153-Assumptions!$B$18)+Assumptions!$B$150*MAX(0,Assumptions!$B$154-Assumptions!$B$18)+Assumptions!$B$151*MAX(0,Assumptions!$B$155-Assumptions!$B$18)+Assumptions!$B$152*MAX(0,Assumptions!$B$156-Assumptions!$B$18))*Assumptions!$B$19/Assumptions!$B$7*V7+V45*(Assumptions!$B$147*Assumptions!$B$20+Assumptions!$B$148*Assumptions!$B$21)/12/Assumptions!$B$7*V7,0)</f>
        <v/>
      </c>
      <c r="W58" s="55">
        <f>IF(W2&gt;=Assumptions!$B$53,W50*W17*Assumptions!$B$17+W45*(Assumptions!$B$149*MAX(0,Assumptions!$B$153-Assumptions!$B$18)+Assumptions!$B$150*MAX(0,Assumptions!$B$154-Assumptions!$B$18)+Assumptions!$B$151*MAX(0,Assumptions!$B$155-Assumptions!$B$18)+Assumptions!$B$152*MAX(0,Assumptions!$B$156-Assumptions!$B$18))*Assumptions!$B$19/Assumptions!$B$7*W7+W45*(Assumptions!$B$147*Assumptions!$B$20+Assumptions!$B$148*Assumptions!$B$21)/12/Assumptions!$B$7*W7,0)</f>
        <v/>
      </c>
      <c r="X58" s="55">
        <f>IF(X2&gt;=Assumptions!$B$53,X50*X17*Assumptions!$B$17+X45*(Assumptions!$B$149*MAX(0,Assumptions!$B$153-Assumptions!$B$18)+Assumptions!$B$150*MAX(0,Assumptions!$B$154-Assumptions!$B$18)+Assumptions!$B$151*MAX(0,Assumptions!$B$155-Assumptions!$B$18)+Assumptions!$B$152*MAX(0,Assumptions!$B$156-Assumptions!$B$18))*Assumptions!$B$19/Assumptions!$B$7*X7+X45*(Assumptions!$B$147*Assumptions!$B$20+Assumptions!$B$148*Assumptions!$B$21)/12/Assumptions!$B$7*X7,0)</f>
        <v/>
      </c>
      <c r="Y58" s="55">
        <f>IF(Y2&gt;=Assumptions!$B$53,Y50*Y17*Assumptions!$B$17+Y45*(Assumptions!$B$149*MAX(0,Assumptions!$B$153-Assumptions!$B$18)+Assumptions!$B$150*MAX(0,Assumptions!$B$154-Assumptions!$B$18)+Assumptions!$B$151*MAX(0,Assumptions!$B$155-Assumptions!$B$18)+Assumptions!$B$152*MAX(0,Assumptions!$B$156-Assumptions!$B$18))*Assumptions!$B$19/Assumptions!$B$7*Y7+Y45*(Assumptions!$B$147*Assumptions!$B$20+Assumptions!$B$148*Assumptions!$B$21)/12/Assumptions!$B$7*Y7,0)</f>
        <v/>
      </c>
      <c r="Z58" s="55">
        <f>IF(Z2&gt;=Assumptions!$B$53,Z50*Z17*Assumptions!$B$17+Z45*(Assumptions!$B$149*MAX(0,Assumptions!$B$153-Assumptions!$B$18)+Assumptions!$B$150*MAX(0,Assumptions!$B$154-Assumptions!$B$18)+Assumptions!$B$151*MAX(0,Assumptions!$B$155-Assumptions!$B$18)+Assumptions!$B$152*MAX(0,Assumptions!$B$156-Assumptions!$B$18))*Assumptions!$B$19/Assumptions!$B$7*Z7+Z45*(Assumptions!$B$147*Assumptions!$B$20+Assumptions!$B$148*Assumptions!$B$21)/12/Assumptions!$B$7*Z7,0)</f>
        <v/>
      </c>
      <c r="AA58" s="55">
        <f>IF(AA2&gt;=Assumptions!$B$53,AA50*AA17*Assumptions!$B$17+AA45*(Assumptions!$B$149*MAX(0,Assumptions!$B$153-Assumptions!$B$18)+Assumptions!$B$150*MAX(0,Assumptions!$B$154-Assumptions!$B$18)+Assumptions!$B$151*MAX(0,Assumptions!$B$155-Assumptions!$B$18)+Assumptions!$B$152*MAX(0,Assumptions!$B$156-Assumptions!$B$18))*Assumptions!$B$19/Assumptions!$B$7*AA7+AA45*(Assumptions!$B$147*Assumptions!$B$20+Assumptions!$B$148*Assumptions!$B$21)/12/Assumptions!$B$7*AA7,0)</f>
        <v/>
      </c>
      <c r="AB58" s="55">
        <f>IF(AB2&gt;=Assumptions!$B$53,AB50*AB17*Assumptions!$B$17+AB45*(Assumptions!$B$149*MAX(0,Assumptions!$B$153-Assumptions!$B$18)+Assumptions!$B$150*MAX(0,Assumptions!$B$154-Assumptions!$B$18)+Assumptions!$B$151*MAX(0,Assumptions!$B$155-Assumptions!$B$18)+Assumptions!$B$152*MAX(0,Assumptions!$B$156-Assumptions!$B$18))*Assumptions!$B$19/Assumptions!$B$7*AB7+AB45*(Assumptions!$B$147*Assumptions!$B$20+Assumptions!$B$148*Assumptions!$B$21)/12/Assumptions!$B$7*AB7,0)</f>
        <v/>
      </c>
      <c r="AC58" s="55">
        <f>IF(AC2&gt;=Assumptions!$B$53,AC50*AC17*Assumptions!$B$17+AC45*(Assumptions!$B$149*MAX(0,Assumptions!$B$153-Assumptions!$B$18)+Assumptions!$B$150*MAX(0,Assumptions!$B$154-Assumptions!$B$18)+Assumptions!$B$151*MAX(0,Assumptions!$B$155-Assumptions!$B$18)+Assumptions!$B$152*MAX(0,Assumptions!$B$156-Assumptions!$B$18))*Assumptions!$B$19/Assumptions!$B$7*AC7+AC45*(Assumptions!$B$147*Assumptions!$B$20+Assumptions!$B$148*Assumptions!$B$21)/12/Assumptions!$B$7*AC7,0)</f>
        <v/>
      </c>
      <c r="AD58" s="55">
        <f>IF(AD2&gt;=Assumptions!$B$53,AD50*AD17*Assumptions!$B$17+AD45*(Assumptions!$B$149*MAX(0,Assumptions!$B$153-Assumptions!$B$18)+Assumptions!$B$150*MAX(0,Assumptions!$B$154-Assumptions!$B$18)+Assumptions!$B$151*MAX(0,Assumptions!$B$155-Assumptions!$B$18)+Assumptions!$B$152*MAX(0,Assumptions!$B$156-Assumptions!$B$18))*Assumptions!$B$19/Assumptions!$B$7*AD7+AD45*(Assumptions!$B$147*Assumptions!$B$20+Assumptions!$B$148*Assumptions!$B$21)/12/Assumptions!$B$7*AD7,0)</f>
        <v/>
      </c>
      <c r="AE58" s="55">
        <f>IF(AE2&gt;=Assumptions!$B$53,AE50*AE17*Assumptions!$B$17+AE45*(Assumptions!$B$149*MAX(0,Assumptions!$B$153-Assumptions!$B$18)+Assumptions!$B$150*MAX(0,Assumptions!$B$154-Assumptions!$B$18)+Assumptions!$B$151*MAX(0,Assumptions!$B$155-Assumptions!$B$18)+Assumptions!$B$152*MAX(0,Assumptions!$B$156-Assumptions!$B$18))*Assumptions!$B$19/Assumptions!$B$7*AE7+AE45*(Assumptions!$B$147*Assumptions!$B$20+Assumptions!$B$148*Assumptions!$B$21)/12/Assumptions!$B$7*AE7,0)</f>
        <v/>
      </c>
    </row>
    <row r="59">
      <c r="A59" s="6" t="inlineStr">
        <is>
          <t xml:space="preserve">  Average drawn balance outstanding</t>
        </is>
      </c>
      <c r="B59" s="23" t="inlineStr">
        <is>
          <t>USD</t>
        </is>
      </c>
      <c r="C59" s="55">
        <f>IF(C2&gt;=Assumptions!$B$54,C45*C46*(1-Assumptions!$B$178)*Assumptions!$B$157*Assumptions!$B$158,0)</f>
        <v/>
      </c>
      <c r="D59" s="55">
        <f>IF(D2&gt;=Assumptions!$B$54,D45*D46*(1-Assumptions!$B$178)*Assumptions!$B$157*Assumptions!$B$158,0)</f>
        <v/>
      </c>
      <c r="E59" s="55">
        <f>IF(E2&gt;=Assumptions!$B$54,E45*E46*(1-Assumptions!$B$178)*Assumptions!$B$157*Assumptions!$B$158,0)</f>
        <v/>
      </c>
      <c r="F59" s="55">
        <f>IF(F2&gt;=Assumptions!$B$54,F45*F46*(1-Assumptions!$B$178)*Assumptions!$B$157*Assumptions!$B$158,0)</f>
        <v/>
      </c>
      <c r="G59" s="55">
        <f>IF(G2&gt;=Assumptions!$B$54,G45*G46*(1-Assumptions!$B$178)*Assumptions!$B$157*Assumptions!$B$158,0)</f>
        <v/>
      </c>
      <c r="H59" s="55">
        <f>IF(H2&gt;=Assumptions!$B$54,H45*H46*(1-Assumptions!$B$178)*Assumptions!$B$157*Assumptions!$B$158,0)</f>
        <v/>
      </c>
      <c r="I59" s="55">
        <f>IF(I2&gt;=Assumptions!$B$54,I45*I46*(1-Assumptions!$B$178)*Assumptions!$B$157*Assumptions!$B$158,0)</f>
        <v/>
      </c>
      <c r="J59" s="55">
        <f>IF(J2&gt;=Assumptions!$B$54,J45*J46*(1-Assumptions!$B$178)*Assumptions!$B$157*Assumptions!$B$158,0)</f>
        <v/>
      </c>
      <c r="K59" s="55">
        <f>IF(K2&gt;=Assumptions!$B$54,K45*K46*(1-Assumptions!$B$178)*Assumptions!$B$157*Assumptions!$B$158,0)</f>
        <v/>
      </c>
      <c r="L59" s="55">
        <f>IF(L2&gt;=Assumptions!$B$54,L45*L46*(1-Assumptions!$B$178)*Assumptions!$B$157*Assumptions!$B$158,0)</f>
        <v/>
      </c>
      <c r="M59" s="55">
        <f>IF(M2&gt;=Assumptions!$B$54,M45*M46*(1-Assumptions!$B$178)*Assumptions!$B$157*Assumptions!$B$158,0)</f>
        <v/>
      </c>
      <c r="N59" s="55">
        <f>IF(N2&gt;=Assumptions!$B$54,N45*N46*(1-Assumptions!$B$178)*Assumptions!$B$157*Assumptions!$B$158,0)</f>
        <v/>
      </c>
      <c r="O59" s="55">
        <f>IF(O2&gt;=Assumptions!$B$54,O45*O46*(1-Assumptions!$B$178)*Assumptions!$B$157*Assumptions!$B$158,0)</f>
        <v/>
      </c>
      <c r="P59" s="55">
        <f>IF(P2&gt;=Assumptions!$B$54,P45*P46*(1-Assumptions!$B$178)*Assumptions!$B$157*Assumptions!$B$158,0)</f>
        <v/>
      </c>
      <c r="Q59" s="55">
        <f>IF(Q2&gt;=Assumptions!$B$54,Q45*Q46*(1-Assumptions!$B$178)*Assumptions!$B$157*Assumptions!$B$158,0)</f>
        <v/>
      </c>
      <c r="R59" s="55">
        <f>IF(R2&gt;=Assumptions!$B$54,R45*R46*(1-Assumptions!$B$178)*Assumptions!$B$157*Assumptions!$B$158,0)</f>
        <v/>
      </c>
      <c r="S59" s="55">
        <f>IF(S2&gt;=Assumptions!$B$54,S45*S46*(1-Assumptions!$B$178)*Assumptions!$B$157*Assumptions!$B$158,0)</f>
        <v/>
      </c>
      <c r="T59" s="55">
        <f>IF(T2&gt;=Assumptions!$B$54,T45*T46*(1-Assumptions!$B$178)*Assumptions!$B$157*Assumptions!$B$158,0)</f>
        <v/>
      </c>
      <c r="U59" s="55">
        <f>IF(U2&gt;=Assumptions!$B$54,U45*U46*(1-Assumptions!$B$178)*Assumptions!$B$157*Assumptions!$B$158,0)</f>
        <v/>
      </c>
      <c r="V59" s="55">
        <f>IF(V2&gt;=Assumptions!$B$54,V45*V46*(1-Assumptions!$B$178)*Assumptions!$B$157*Assumptions!$B$158,0)</f>
        <v/>
      </c>
      <c r="W59" s="55">
        <f>IF(W2&gt;=Assumptions!$B$54,W45*W46*(1-Assumptions!$B$178)*Assumptions!$B$157*Assumptions!$B$158,0)</f>
        <v/>
      </c>
      <c r="X59" s="55">
        <f>IF(X2&gt;=Assumptions!$B$54,X45*X46*(1-Assumptions!$B$178)*Assumptions!$B$157*Assumptions!$B$158,0)</f>
        <v/>
      </c>
      <c r="Y59" s="55">
        <f>IF(Y2&gt;=Assumptions!$B$54,Y45*Y46*(1-Assumptions!$B$178)*Assumptions!$B$157*Assumptions!$B$158,0)</f>
        <v/>
      </c>
      <c r="Z59" s="55">
        <f>IF(Z2&gt;=Assumptions!$B$54,Z45*Z46*(1-Assumptions!$B$178)*Assumptions!$B$157*Assumptions!$B$158,0)</f>
        <v/>
      </c>
      <c r="AA59" s="55">
        <f>IF(AA2&gt;=Assumptions!$B$54,AA45*AA46*(1-Assumptions!$B$178)*Assumptions!$B$157*Assumptions!$B$158,0)</f>
        <v/>
      </c>
      <c r="AB59" s="55">
        <f>IF(AB2&gt;=Assumptions!$B$54,AB45*AB46*(1-Assumptions!$B$178)*Assumptions!$B$157*Assumptions!$B$158,0)</f>
        <v/>
      </c>
      <c r="AC59" s="55">
        <f>IF(AC2&gt;=Assumptions!$B$54,AC45*AC46*(1-Assumptions!$B$178)*Assumptions!$B$157*Assumptions!$B$158,0)</f>
        <v/>
      </c>
      <c r="AD59" s="55">
        <f>IF(AD2&gt;=Assumptions!$B$54,AD45*AD46*(1-Assumptions!$B$178)*Assumptions!$B$157*Assumptions!$B$158,0)</f>
        <v/>
      </c>
      <c r="AE59" s="55">
        <f>IF(AE2&gt;=Assumptions!$B$54,AE45*AE46*(1-Assumptions!$B$178)*Assumptions!$B$157*Assumptions!$B$158,0)</f>
        <v/>
      </c>
    </row>
    <row r="60">
      <c r="A60" s="6" t="inlineStr">
        <is>
          <t xml:space="preserve">  Stream 5 - Lending revenue share</t>
        </is>
      </c>
      <c r="B60" s="23" t="inlineStr">
        <is>
          <t>USD</t>
        </is>
      </c>
      <c r="C60" s="55">
        <f>IF(C2&gt;=Assumptions!$B$54,(C59*Assumptions!$B$30*Assumptions!$B$31+C45*C47*(1-Assumptions!$B$178)*Assumptions!$B$28*Assumptions!$B$29)*C7/12,0)</f>
        <v/>
      </c>
      <c r="D60" s="55">
        <f>IF(D2&gt;=Assumptions!$B$54,(D59*Assumptions!$B$30*Assumptions!$B$31+D45*D47*(1-Assumptions!$B$178)*Assumptions!$B$28*Assumptions!$B$29)*D7/12,0)</f>
        <v/>
      </c>
      <c r="E60" s="55">
        <f>IF(E2&gt;=Assumptions!$B$54,(E59*Assumptions!$B$30*Assumptions!$B$31+E45*E47*(1-Assumptions!$B$178)*Assumptions!$B$28*Assumptions!$B$29)*E7/12,0)</f>
        <v/>
      </c>
      <c r="F60" s="55">
        <f>IF(F2&gt;=Assumptions!$B$54,(F59*Assumptions!$B$30*Assumptions!$B$31+F45*F47*(1-Assumptions!$B$178)*Assumptions!$B$28*Assumptions!$B$29)*F7/12,0)</f>
        <v/>
      </c>
      <c r="G60" s="55">
        <f>IF(G2&gt;=Assumptions!$B$54,(G59*Assumptions!$B$30*Assumptions!$B$31+G45*G47*(1-Assumptions!$B$178)*Assumptions!$B$28*Assumptions!$B$29)*G7/12,0)</f>
        <v/>
      </c>
      <c r="H60" s="55">
        <f>IF(H2&gt;=Assumptions!$B$54,(H59*Assumptions!$B$30*Assumptions!$B$31+H45*H47*(1-Assumptions!$B$178)*Assumptions!$B$28*Assumptions!$B$29)*H7/12,0)</f>
        <v/>
      </c>
      <c r="I60" s="55">
        <f>IF(I2&gt;=Assumptions!$B$54,(I59*Assumptions!$B$30*Assumptions!$B$31+I45*I47*(1-Assumptions!$B$178)*Assumptions!$B$28*Assumptions!$B$29)*I7/12,0)</f>
        <v/>
      </c>
      <c r="J60" s="55">
        <f>IF(J2&gt;=Assumptions!$B$54,(J59*Assumptions!$B$30*Assumptions!$B$31+J45*J47*(1-Assumptions!$B$178)*Assumptions!$B$28*Assumptions!$B$29)*J7/12,0)</f>
        <v/>
      </c>
      <c r="K60" s="55">
        <f>IF(K2&gt;=Assumptions!$B$54,(K59*Assumptions!$B$30*Assumptions!$B$31+K45*K47*(1-Assumptions!$B$178)*Assumptions!$B$28*Assumptions!$B$29)*K7/12,0)</f>
        <v/>
      </c>
      <c r="L60" s="55">
        <f>IF(L2&gt;=Assumptions!$B$54,(L59*Assumptions!$B$30*Assumptions!$B$31+L45*L47*(1-Assumptions!$B$178)*Assumptions!$B$28*Assumptions!$B$29)*L7/12,0)</f>
        <v/>
      </c>
      <c r="M60" s="55">
        <f>IF(M2&gt;=Assumptions!$B$54,(M59*Assumptions!$B$30*Assumptions!$B$31+M45*M47*(1-Assumptions!$B$178)*Assumptions!$B$28*Assumptions!$B$29)*M7/12,0)</f>
        <v/>
      </c>
      <c r="N60" s="55">
        <f>IF(N2&gt;=Assumptions!$B$54,(N59*Assumptions!$B$30*Assumptions!$B$31+N45*N47*(1-Assumptions!$B$178)*Assumptions!$B$28*Assumptions!$B$29)*N7/12,0)</f>
        <v/>
      </c>
      <c r="O60" s="55">
        <f>IF(O2&gt;=Assumptions!$B$54,(O59*Assumptions!$B$30*Assumptions!$B$31+O45*O47*(1-Assumptions!$B$178)*Assumptions!$B$28*Assumptions!$B$29)*O7/12,0)</f>
        <v/>
      </c>
      <c r="P60" s="55">
        <f>IF(P2&gt;=Assumptions!$B$54,(P59*Assumptions!$B$30*Assumptions!$B$31+P45*P47*(1-Assumptions!$B$178)*Assumptions!$B$28*Assumptions!$B$29)*P7/12,0)</f>
        <v/>
      </c>
      <c r="Q60" s="55">
        <f>IF(Q2&gt;=Assumptions!$B$54,(Q59*Assumptions!$B$30*Assumptions!$B$31+Q45*Q47*(1-Assumptions!$B$178)*Assumptions!$B$28*Assumptions!$B$29)*Q7/12,0)</f>
        <v/>
      </c>
      <c r="R60" s="55">
        <f>IF(R2&gt;=Assumptions!$B$54,(R59*Assumptions!$B$30*Assumptions!$B$31+R45*R47*(1-Assumptions!$B$178)*Assumptions!$B$28*Assumptions!$B$29)*R7/12,0)</f>
        <v/>
      </c>
      <c r="S60" s="55">
        <f>IF(S2&gt;=Assumptions!$B$54,(S59*Assumptions!$B$30*Assumptions!$B$31+S45*S47*(1-Assumptions!$B$178)*Assumptions!$B$28*Assumptions!$B$29)*S7/12,0)</f>
        <v/>
      </c>
      <c r="T60" s="55">
        <f>IF(T2&gt;=Assumptions!$B$54,(T59*Assumptions!$B$30*Assumptions!$B$31+T45*T47*(1-Assumptions!$B$178)*Assumptions!$B$28*Assumptions!$B$29)*T7/12,0)</f>
        <v/>
      </c>
      <c r="U60" s="55">
        <f>IF(U2&gt;=Assumptions!$B$54,(U59*Assumptions!$B$30*Assumptions!$B$31+U45*U47*(1-Assumptions!$B$178)*Assumptions!$B$28*Assumptions!$B$29)*U7/12,0)</f>
        <v/>
      </c>
      <c r="V60" s="55">
        <f>IF(V2&gt;=Assumptions!$B$54,(V59*Assumptions!$B$30*Assumptions!$B$31+V45*V47*(1-Assumptions!$B$178)*Assumptions!$B$28*Assumptions!$B$29)*V7/12,0)</f>
        <v/>
      </c>
      <c r="W60" s="55">
        <f>IF(W2&gt;=Assumptions!$B$54,(W59*Assumptions!$B$30*Assumptions!$B$31+W45*W47*(1-Assumptions!$B$178)*Assumptions!$B$28*Assumptions!$B$29)*W7/12,0)</f>
        <v/>
      </c>
      <c r="X60" s="55">
        <f>IF(X2&gt;=Assumptions!$B$54,(X59*Assumptions!$B$30*Assumptions!$B$31+X45*X47*(1-Assumptions!$B$178)*Assumptions!$B$28*Assumptions!$B$29)*X7/12,0)</f>
        <v/>
      </c>
      <c r="Y60" s="55">
        <f>IF(Y2&gt;=Assumptions!$B$54,(Y59*Assumptions!$B$30*Assumptions!$B$31+Y45*Y47*(1-Assumptions!$B$178)*Assumptions!$B$28*Assumptions!$B$29)*Y7/12,0)</f>
        <v/>
      </c>
      <c r="Z60" s="55">
        <f>IF(Z2&gt;=Assumptions!$B$54,(Z59*Assumptions!$B$30*Assumptions!$B$31+Z45*Z47*(1-Assumptions!$B$178)*Assumptions!$B$28*Assumptions!$B$29)*Z7/12,0)</f>
        <v/>
      </c>
      <c r="AA60" s="55">
        <f>IF(AA2&gt;=Assumptions!$B$54,(AA59*Assumptions!$B$30*Assumptions!$B$31+AA45*AA47*(1-Assumptions!$B$178)*Assumptions!$B$28*Assumptions!$B$29)*AA7/12,0)</f>
        <v/>
      </c>
      <c r="AB60" s="55">
        <f>IF(AB2&gt;=Assumptions!$B$54,(AB59*Assumptions!$B$30*Assumptions!$B$31+AB45*AB47*(1-Assumptions!$B$178)*Assumptions!$B$28*Assumptions!$B$29)*AB7/12,0)</f>
        <v/>
      </c>
      <c r="AC60" s="55">
        <f>IF(AC2&gt;=Assumptions!$B$54,(AC59*Assumptions!$B$30*Assumptions!$B$31+AC45*AC47*(1-Assumptions!$B$178)*Assumptions!$B$28*Assumptions!$B$29)*AC7/12,0)</f>
        <v/>
      </c>
      <c r="AD60" s="55">
        <f>IF(AD2&gt;=Assumptions!$B$54,(AD59*Assumptions!$B$30*Assumptions!$B$31+AD45*AD47*(1-Assumptions!$B$178)*Assumptions!$B$28*Assumptions!$B$29)*AD7/12,0)</f>
        <v/>
      </c>
      <c r="AE60" s="55">
        <f>IF(AE2&gt;=Assumptions!$B$54,(AE59*Assumptions!$B$30*Assumptions!$B$31+AE45*AE47*(1-Assumptions!$B$178)*Assumptions!$B$28*Assumptions!$B$29)*AE7/12,0)</f>
        <v/>
      </c>
    </row>
    <row r="61">
      <c r="A61" s="6" t="inlineStr">
        <is>
          <t xml:space="preserve">  Redemption events (memo - drives cost, not revenue)</t>
        </is>
      </c>
      <c r="B61" s="23" t="inlineStr">
        <is>
          <t>events</t>
        </is>
      </c>
      <c r="C61" s="45">
        <f>IF(C2&gt;=Assumptions!$B$50,(C31+C33*Assumptions!$B$139)*Assumptions!$B$138*C7/12,0)</f>
        <v/>
      </c>
      <c r="D61" s="45">
        <f>IF(D2&gt;=Assumptions!$B$50,(D31+D33*Assumptions!$B$139)*Assumptions!$B$138*D7/12,0)</f>
        <v/>
      </c>
      <c r="E61" s="45">
        <f>IF(E2&gt;=Assumptions!$B$50,(E31+E33*Assumptions!$B$139)*Assumptions!$B$138*E7/12,0)</f>
        <v/>
      </c>
      <c r="F61" s="45">
        <f>IF(F2&gt;=Assumptions!$B$50,(F31+F33*Assumptions!$B$139)*Assumptions!$B$138*F7/12,0)</f>
        <v/>
      </c>
      <c r="G61" s="45">
        <f>IF(G2&gt;=Assumptions!$B$50,(G31+G33*Assumptions!$B$139)*Assumptions!$B$138*G7/12,0)</f>
        <v/>
      </c>
      <c r="H61" s="45">
        <f>IF(H2&gt;=Assumptions!$B$50,(H31+H33*Assumptions!$B$139)*Assumptions!$B$138*H7/12,0)</f>
        <v/>
      </c>
      <c r="I61" s="45">
        <f>IF(I2&gt;=Assumptions!$B$50,(I31+I33*Assumptions!$B$139)*Assumptions!$B$138*I7/12,0)</f>
        <v/>
      </c>
      <c r="J61" s="45">
        <f>IF(J2&gt;=Assumptions!$B$50,(J31+J33*Assumptions!$B$139)*Assumptions!$B$138*J7/12,0)</f>
        <v/>
      </c>
      <c r="K61" s="45">
        <f>IF(K2&gt;=Assumptions!$B$50,(K31+K33*Assumptions!$B$139)*Assumptions!$B$138*K7/12,0)</f>
        <v/>
      </c>
      <c r="L61" s="45">
        <f>IF(L2&gt;=Assumptions!$B$50,(L31+L33*Assumptions!$B$139)*Assumptions!$B$138*L7/12,0)</f>
        <v/>
      </c>
      <c r="M61" s="45">
        <f>IF(M2&gt;=Assumptions!$B$50,(M31+M33*Assumptions!$B$139)*Assumptions!$B$138*M7/12,0)</f>
        <v/>
      </c>
      <c r="N61" s="45">
        <f>IF(N2&gt;=Assumptions!$B$50,(N31+N33*Assumptions!$B$139)*Assumptions!$B$138*N7/12,0)</f>
        <v/>
      </c>
      <c r="O61" s="45">
        <f>IF(O2&gt;=Assumptions!$B$50,(O31+O33*Assumptions!$B$139)*Assumptions!$B$138*O7/12,0)</f>
        <v/>
      </c>
      <c r="P61" s="45">
        <f>IF(P2&gt;=Assumptions!$B$50,(P31+P33*Assumptions!$B$139)*Assumptions!$B$138*P7/12,0)</f>
        <v/>
      </c>
      <c r="Q61" s="45">
        <f>IF(Q2&gt;=Assumptions!$B$50,(Q31+Q33*Assumptions!$B$139)*Assumptions!$B$138*Q7/12,0)</f>
        <v/>
      </c>
      <c r="R61" s="45">
        <f>IF(R2&gt;=Assumptions!$B$50,(R31+R33*Assumptions!$B$139)*Assumptions!$B$138*R7/12,0)</f>
        <v/>
      </c>
      <c r="S61" s="45">
        <f>IF(S2&gt;=Assumptions!$B$50,(S31+S33*Assumptions!$B$139)*Assumptions!$B$138*S7/12,0)</f>
        <v/>
      </c>
      <c r="T61" s="45">
        <f>IF(T2&gt;=Assumptions!$B$50,(T31+T33*Assumptions!$B$139)*Assumptions!$B$138*T7/12,0)</f>
        <v/>
      </c>
      <c r="U61" s="45">
        <f>IF(U2&gt;=Assumptions!$B$50,(U31+U33*Assumptions!$B$139)*Assumptions!$B$138*U7/12,0)</f>
        <v/>
      </c>
      <c r="V61" s="45">
        <f>IF(V2&gt;=Assumptions!$B$50,(V31+V33*Assumptions!$B$139)*Assumptions!$B$138*V7/12,0)</f>
        <v/>
      </c>
      <c r="W61" s="45">
        <f>IF(W2&gt;=Assumptions!$B$50,(W31+W33*Assumptions!$B$139)*Assumptions!$B$138*W7/12,0)</f>
        <v/>
      </c>
      <c r="X61" s="45">
        <f>IF(X2&gt;=Assumptions!$B$50,(X31+X33*Assumptions!$B$139)*Assumptions!$B$138*X7/12,0)</f>
        <v/>
      </c>
      <c r="Y61" s="45">
        <f>IF(Y2&gt;=Assumptions!$B$50,(Y31+Y33*Assumptions!$B$139)*Assumptions!$B$138*Y7/12,0)</f>
        <v/>
      </c>
      <c r="Z61" s="45">
        <f>IF(Z2&gt;=Assumptions!$B$50,(Z31+Z33*Assumptions!$B$139)*Assumptions!$B$138*Z7/12,0)</f>
        <v/>
      </c>
      <c r="AA61" s="45">
        <f>IF(AA2&gt;=Assumptions!$B$50,(AA31+AA33*Assumptions!$B$139)*Assumptions!$B$138*AA7/12,0)</f>
        <v/>
      </c>
      <c r="AB61" s="45">
        <f>IF(AB2&gt;=Assumptions!$B$50,(AB31+AB33*Assumptions!$B$139)*Assumptions!$B$138*AB7/12,0)</f>
        <v/>
      </c>
      <c r="AC61" s="45">
        <f>IF(AC2&gt;=Assumptions!$B$50,(AC31+AC33*Assumptions!$B$139)*Assumptions!$B$138*AC7/12,0)</f>
        <v/>
      </c>
      <c r="AD61" s="45">
        <f>IF(AD2&gt;=Assumptions!$B$50,(AD31+AD33*Assumptions!$B$139)*Assumptions!$B$138*AD7/12,0)</f>
        <v/>
      </c>
      <c r="AE61" s="45">
        <f>IF(AE2&gt;=Assumptions!$B$50,(AE31+AE33*Assumptions!$B$139)*Assumptions!$B$138*AE7/12,0)</f>
        <v/>
      </c>
    </row>
    <row r="62">
      <c r="A62" s="3" t="inlineStr">
        <is>
          <t xml:space="preserve">  SUBTOTAL - UAE</t>
        </is>
      </c>
      <c r="B62" s="23" t="inlineStr">
        <is>
          <t>USD</t>
        </is>
      </c>
      <c r="C62" s="57">
        <f>C53+C54+C55+C57+C58+C60</f>
        <v/>
      </c>
      <c r="D62" s="57">
        <f>D53+D54+D55+D57+D58+D60</f>
        <v/>
      </c>
      <c r="E62" s="57">
        <f>E53+E54+E55+E57+E58+E60</f>
        <v/>
      </c>
      <c r="F62" s="57">
        <f>F53+F54+F55+F57+F58+F60</f>
        <v/>
      </c>
      <c r="G62" s="57">
        <f>G53+G54+G55+G57+G58+G60</f>
        <v/>
      </c>
      <c r="H62" s="57">
        <f>H53+H54+H55+H57+H58+H60</f>
        <v/>
      </c>
      <c r="I62" s="57">
        <f>I53+I54+I55+I57+I58+I60</f>
        <v/>
      </c>
      <c r="J62" s="57">
        <f>J53+J54+J55+J57+J58+J60</f>
        <v/>
      </c>
      <c r="K62" s="57">
        <f>K53+K54+K55+K57+K58+K60</f>
        <v/>
      </c>
      <c r="L62" s="57">
        <f>L53+L54+L55+L57+L58+L60</f>
        <v/>
      </c>
      <c r="M62" s="57">
        <f>M53+M54+M55+M57+M58+M60</f>
        <v/>
      </c>
      <c r="N62" s="57">
        <f>N53+N54+N55+N57+N58+N60</f>
        <v/>
      </c>
      <c r="O62" s="57">
        <f>O53+O54+O55+O57+O58+O60</f>
        <v/>
      </c>
      <c r="P62" s="57">
        <f>P53+P54+P55+P57+P58+P60</f>
        <v/>
      </c>
      <c r="Q62" s="57">
        <f>Q53+Q54+Q55+Q57+Q58+Q60</f>
        <v/>
      </c>
      <c r="R62" s="57">
        <f>R53+R54+R55+R57+R58+R60</f>
        <v/>
      </c>
      <c r="S62" s="57">
        <f>S53+S54+S55+S57+S58+S60</f>
        <v/>
      </c>
      <c r="T62" s="57">
        <f>T53+T54+T55+T57+T58+T60</f>
        <v/>
      </c>
      <c r="U62" s="57">
        <f>U53+U54+U55+U57+U58+U60</f>
        <v/>
      </c>
      <c r="V62" s="57">
        <f>V53+V54+V55+V57+V58+V60</f>
        <v/>
      </c>
      <c r="W62" s="57">
        <f>W53+W54+W55+W57+W58+W60</f>
        <v/>
      </c>
      <c r="X62" s="57">
        <f>X53+X54+X55+X57+X58+X60</f>
        <v/>
      </c>
      <c r="Y62" s="57">
        <f>Y53+Y54+Y55+Y57+Y58+Y60</f>
        <v/>
      </c>
      <c r="Z62" s="57">
        <f>Z53+Z54+Z55+Z57+Z58+Z60</f>
        <v/>
      </c>
      <c r="AA62" s="57">
        <f>AA53+AA54+AA55+AA57+AA58+AA60</f>
        <v/>
      </c>
      <c r="AB62" s="57">
        <f>AB53+AB54+AB55+AB57+AB58+AB60</f>
        <v/>
      </c>
      <c r="AC62" s="57">
        <f>AC53+AC54+AC55+AC57+AC58+AC60</f>
        <v/>
      </c>
      <c r="AD62" s="57">
        <f>AD53+AD54+AD55+AD57+AD58+AD60</f>
        <v/>
      </c>
      <c r="AE62" s="57">
        <f>AE53+AE54+AE55+AE57+AE58+AE60</f>
        <v/>
      </c>
    </row>
    <row r="64">
      <c r="A64" s="46" t="inlineStr">
        <is>
          <t>REGION: OMAN AND BAHRAIN</t>
        </is>
      </c>
      <c r="B64" s="47" t="n"/>
      <c r="C64" s="47" t="n"/>
      <c r="D64" s="47" t="n"/>
      <c r="E64" s="47" t="n"/>
      <c r="F64" s="47" t="n"/>
      <c r="G64" s="47" t="n"/>
      <c r="H64" s="47" t="n"/>
      <c r="I64" s="47" t="n"/>
      <c r="J64" s="47" t="n"/>
      <c r="K64" s="47" t="n"/>
      <c r="L64" s="47" t="n"/>
      <c r="M64" s="47" t="n"/>
      <c r="N64" s="47" t="n"/>
      <c r="O64" s="47" t="n"/>
      <c r="P64" s="47" t="n"/>
      <c r="Q64" s="47" t="n"/>
      <c r="R64" s="47" t="n"/>
      <c r="S64" s="47" t="n"/>
      <c r="T64" s="47" t="n"/>
      <c r="U64" s="47" t="n"/>
      <c r="V64" s="47" t="n"/>
      <c r="W64" s="47" t="n"/>
      <c r="X64" s="47" t="n"/>
      <c r="Y64" s="47" t="n"/>
      <c r="Z64" s="47" t="n"/>
      <c r="AA64" s="47" t="n"/>
      <c r="AB64" s="47" t="n"/>
      <c r="AC64" s="47" t="n"/>
      <c r="AD64" s="47" t="n"/>
      <c r="AE64" s="47" t="n"/>
    </row>
    <row r="65">
      <c r="A65" s="6" t="inlineStr">
        <is>
          <t xml:space="preserve">  Direct-driven (this market's budget at its own CAC)</t>
        </is>
      </c>
      <c r="B65" s="23" t="inlineStr">
        <is>
          <t>accounts</t>
        </is>
      </c>
      <c r="C65" s="53">
        <f>INDEX(Assumptions!$B$101:$B$107,C5)*Assumptions!$B$129/12*C7/Assumptions!$B$126*(1+Assumptions!$B$133)*IF(C2&gt;=Assumptions!$B$57,1,0)</f>
        <v/>
      </c>
      <c r="D65" s="53">
        <f>INDEX(Assumptions!$B$101:$B$107,D5)*Assumptions!$B$129/12*D7/Assumptions!$B$126*(1+Assumptions!$B$133)*IF(D2&gt;=Assumptions!$B$57,1,0)</f>
        <v/>
      </c>
      <c r="E65" s="53">
        <f>INDEX(Assumptions!$B$101:$B$107,E5)*Assumptions!$B$129/12*E7/Assumptions!$B$126*(1+Assumptions!$B$133)*IF(E2&gt;=Assumptions!$B$57,1,0)</f>
        <v/>
      </c>
      <c r="F65" s="53">
        <f>INDEX(Assumptions!$B$101:$B$107,F5)*Assumptions!$B$129/12*F7/Assumptions!$B$126*(1+Assumptions!$B$133)*IF(F2&gt;=Assumptions!$B$57,1,0)</f>
        <v/>
      </c>
      <c r="G65" s="53">
        <f>INDEX(Assumptions!$B$101:$B$107,G5)*Assumptions!$B$129/12*G7/Assumptions!$B$126*(1+Assumptions!$B$133)*IF(G2&gt;=Assumptions!$B$57,1,0)</f>
        <v/>
      </c>
      <c r="H65" s="53">
        <f>INDEX(Assumptions!$B$101:$B$107,H5)*Assumptions!$B$129/12*H7/Assumptions!$B$126*(1+Assumptions!$B$133)*IF(H2&gt;=Assumptions!$B$57,1,0)</f>
        <v/>
      </c>
      <c r="I65" s="53">
        <f>INDEX(Assumptions!$B$101:$B$107,I5)*Assumptions!$B$129/12*I7/Assumptions!$B$126*(1+Assumptions!$B$133)*IF(I2&gt;=Assumptions!$B$57,1,0)</f>
        <v/>
      </c>
      <c r="J65" s="53">
        <f>INDEX(Assumptions!$B$101:$B$107,J5)*Assumptions!$B$129/12*J7/Assumptions!$B$126*(1+Assumptions!$B$133)*IF(J2&gt;=Assumptions!$B$57,1,0)</f>
        <v/>
      </c>
      <c r="K65" s="53">
        <f>INDEX(Assumptions!$B$101:$B$107,K5)*Assumptions!$B$129/12*K7/Assumptions!$B$126*(1+Assumptions!$B$133)*IF(K2&gt;=Assumptions!$B$57,1,0)</f>
        <v/>
      </c>
      <c r="L65" s="53">
        <f>INDEX(Assumptions!$B$101:$B$107,L5)*Assumptions!$B$129/12*L7/Assumptions!$B$126*(1+Assumptions!$B$133)*IF(L2&gt;=Assumptions!$B$57,1,0)</f>
        <v/>
      </c>
      <c r="M65" s="53">
        <f>INDEX(Assumptions!$B$101:$B$107,M5)*Assumptions!$B$129/12*M7/Assumptions!$B$126*(1+Assumptions!$B$133)*IF(M2&gt;=Assumptions!$B$57,1,0)</f>
        <v/>
      </c>
      <c r="N65" s="53">
        <f>INDEX(Assumptions!$B$101:$B$107,N5)*Assumptions!$B$129/12*N7/Assumptions!$B$126*(1+Assumptions!$B$133)*IF(N2&gt;=Assumptions!$B$57,1,0)</f>
        <v/>
      </c>
      <c r="O65" s="53">
        <f>INDEX(Assumptions!$B$101:$B$107,O5)*Assumptions!$B$129/12*O7/Assumptions!$B$126*(1+Assumptions!$B$133)*IF(O2&gt;=Assumptions!$B$57,1,0)</f>
        <v/>
      </c>
      <c r="P65" s="53">
        <f>INDEX(Assumptions!$B$101:$B$107,P5)*Assumptions!$B$129/12*P7/Assumptions!$B$126*(1+Assumptions!$B$133)*IF(P2&gt;=Assumptions!$B$57,1,0)</f>
        <v/>
      </c>
      <c r="Q65" s="53">
        <f>INDEX(Assumptions!$B$101:$B$107,Q5)*Assumptions!$B$129/12*Q7/Assumptions!$B$126*(1+Assumptions!$B$133)*IF(Q2&gt;=Assumptions!$B$57,1,0)</f>
        <v/>
      </c>
      <c r="R65" s="53">
        <f>INDEX(Assumptions!$B$101:$B$107,R5)*Assumptions!$B$129/12*R7/Assumptions!$B$126*(1+Assumptions!$B$133)*IF(R2&gt;=Assumptions!$B$57,1,0)</f>
        <v/>
      </c>
      <c r="S65" s="53">
        <f>INDEX(Assumptions!$B$101:$B$107,S5)*Assumptions!$B$129/12*S7/Assumptions!$B$126*(1+Assumptions!$B$133)*IF(S2&gt;=Assumptions!$B$57,1,0)</f>
        <v/>
      </c>
      <c r="T65" s="53">
        <f>INDEX(Assumptions!$B$101:$B$107,T5)*Assumptions!$B$129/12*T7/Assumptions!$B$126*(1+Assumptions!$B$133)*IF(T2&gt;=Assumptions!$B$57,1,0)</f>
        <v/>
      </c>
      <c r="U65" s="53">
        <f>INDEX(Assumptions!$B$101:$B$107,U5)*Assumptions!$B$129/12*U7/Assumptions!$B$126*(1+Assumptions!$B$133)*IF(U2&gt;=Assumptions!$B$57,1,0)</f>
        <v/>
      </c>
      <c r="V65" s="53">
        <f>INDEX(Assumptions!$B$101:$B$107,V5)*Assumptions!$B$129/12*V7/Assumptions!$B$126*(1+Assumptions!$B$133)*IF(V2&gt;=Assumptions!$B$57,1,0)</f>
        <v/>
      </c>
      <c r="W65" s="53">
        <f>INDEX(Assumptions!$B$101:$B$107,W5)*Assumptions!$B$129/12*W7/Assumptions!$B$126*(1+Assumptions!$B$133)*IF(W2&gt;=Assumptions!$B$57,1,0)</f>
        <v/>
      </c>
      <c r="X65" s="53">
        <f>INDEX(Assumptions!$B$101:$B$107,X5)*Assumptions!$B$129/12*X7/Assumptions!$B$126*(1+Assumptions!$B$133)*IF(X2&gt;=Assumptions!$B$57,1,0)</f>
        <v/>
      </c>
      <c r="Y65" s="53">
        <f>INDEX(Assumptions!$B$101:$B$107,Y5)*Assumptions!$B$129/12*Y7/Assumptions!$B$126*(1+Assumptions!$B$133)*IF(Y2&gt;=Assumptions!$B$57,1,0)</f>
        <v/>
      </c>
      <c r="Z65" s="53">
        <f>INDEX(Assumptions!$B$101:$B$107,Z5)*Assumptions!$B$129/12*Z7/Assumptions!$B$126*(1+Assumptions!$B$133)*IF(Z2&gt;=Assumptions!$B$57,1,0)</f>
        <v/>
      </c>
      <c r="AA65" s="53">
        <f>INDEX(Assumptions!$B$101:$B$107,AA5)*Assumptions!$B$129/12*AA7/Assumptions!$B$126*(1+Assumptions!$B$133)*IF(AA2&gt;=Assumptions!$B$57,1,0)</f>
        <v/>
      </c>
      <c r="AB65" s="53">
        <f>INDEX(Assumptions!$B$101:$B$107,AB5)*Assumptions!$B$129/12*AB7/Assumptions!$B$126*(1+Assumptions!$B$133)*IF(AB2&gt;=Assumptions!$B$57,1,0)</f>
        <v/>
      </c>
      <c r="AC65" s="53">
        <f>INDEX(Assumptions!$B$101:$B$107,AC5)*Assumptions!$B$129/12*AC7/Assumptions!$B$126*(1+Assumptions!$B$133)*IF(AC2&gt;=Assumptions!$B$57,1,0)</f>
        <v/>
      </c>
      <c r="AD65" s="53">
        <f>INDEX(Assumptions!$B$101:$B$107,AD5)*Assumptions!$B$129/12*AD7/Assumptions!$B$126*(1+Assumptions!$B$133)*IF(AD2&gt;=Assumptions!$B$57,1,0)</f>
        <v/>
      </c>
      <c r="AE65" s="53">
        <f>INDEX(Assumptions!$B$101:$B$107,AE5)*Assumptions!$B$129/12*AE7/Assumptions!$B$126*(1+Assumptions!$B$133)*IF(AE2&gt;=Assumptions!$B$57,1,0)</f>
        <v/>
      </c>
    </row>
    <row r="66">
      <c r="A66" s="6" t="inlineStr">
        <is>
          <t xml:space="preserve">  Referral-driven (from this market's own base)</t>
        </is>
      </c>
      <c r="B66" s="23" t="inlineStr">
        <is>
          <t>accounts</t>
        </is>
      </c>
      <c r="C66" s="54" t="n">
        <v>0</v>
      </c>
      <c r="D66" s="54">
        <f>IF(D2&gt;=Assumptions!$B$56,C70*Assumptions!$B$131/12*Assumptions!$B$132*D7,0)</f>
        <v/>
      </c>
      <c r="E66" s="54">
        <f>IF(E2&gt;=Assumptions!$B$56,D70*Assumptions!$B$131/12*Assumptions!$B$132*E7,0)</f>
        <v/>
      </c>
      <c r="F66" s="54">
        <f>IF(F2&gt;=Assumptions!$B$56,E70*Assumptions!$B$131/12*Assumptions!$B$132*F7,0)</f>
        <v/>
      </c>
      <c r="G66" s="54">
        <f>IF(G2&gt;=Assumptions!$B$56,F70*Assumptions!$B$131/12*Assumptions!$B$132*G7,0)</f>
        <v/>
      </c>
      <c r="H66" s="54">
        <f>IF(H2&gt;=Assumptions!$B$56,G70*Assumptions!$B$131/12*Assumptions!$B$132*H7,0)</f>
        <v/>
      </c>
      <c r="I66" s="54">
        <f>IF(I2&gt;=Assumptions!$B$56,H70*Assumptions!$B$131/12*Assumptions!$B$132*I7,0)</f>
        <v/>
      </c>
      <c r="J66" s="54">
        <f>IF(J2&gt;=Assumptions!$B$56,I70*Assumptions!$B$131/12*Assumptions!$B$132*J7,0)</f>
        <v/>
      </c>
      <c r="K66" s="54">
        <f>IF(K2&gt;=Assumptions!$B$56,J70*Assumptions!$B$131/12*Assumptions!$B$132*K7,0)</f>
        <v/>
      </c>
      <c r="L66" s="54">
        <f>IF(L2&gt;=Assumptions!$B$56,K70*Assumptions!$B$131/12*Assumptions!$B$132*L7,0)</f>
        <v/>
      </c>
      <c r="M66" s="54">
        <f>IF(M2&gt;=Assumptions!$B$56,L70*Assumptions!$B$131/12*Assumptions!$B$132*M7,0)</f>
        <v/>
      </c>
      <c r="N66" s="54">
        <f>IF(N2&gt;=Assumptions!$B$56,M70*Assumptions!$B$131/12*Assumptions!$B$132*N7,0)</f>
        <v/>
      </c>
      <c r="O66" s="54">
        <f>IF(O2&gt;=Assumptions!$B$56,N70*Assumptions!$B$131/12*Assumptions!$B$132*O7,0)</f>
        <v/>
      </c>
      <c r="P66" s="54">
        <f>IF(P2&gt;=Assumptions!$B$56,O70*Assumptions!$B$131/12*Assumptions!$B$132*P7,0)</f>
        <v/>
      </c>
      <c r="Q66" s="54">
        <f>IF(Q2&gt;=Assumptions!$B$56,P70*Assumptions!$B$131/12*Assumptions!$B$132*Q7,0)</f>
        <v/>
      </c>
      <c r="R66" s="54">
        <f>IF(R2&gt;=Assumptions!$B$56,Q70*Assumptions!$B$131/12*Assumptions!$B$132*R7,0)</f>
        <v/>
      </c>
      <c r="S66" s="54">
        <f>IF(S2&gt;=Assumptions!$B$56,R70*Assumptions!$B$131/12*Assumptions!$B$132*S7,0)</f>
        <v/>
      </c>
      <c r="T66" s="54">
        <f>IF(T2&gt;=Assumptions!$B$56,S70*Assumptions!$B$131/12*Assumptions!$B$132*T7,0)</f>
        <v/>
      </c>
      <c r="U66" s="54">
        <f>IF(U2&gt;=Assumptions!$B$56,T70*Assumptions!$B$131/12*Assumptions!$B$132*U7,0)</f>
        <v/>
      </c>
      <c r="V66" s="54">
        <f>IF(V2&gt;=Assumptions!$B$56,U70*Assumptions!$B$131/12*Assumptions!$B$132*V7,0)</f>
        <v/>
      </c>
      <c r="W66" s="54">
        <f>IF(W2&gt;=Assumptions!$B$56,V70*Assumptions!$B$131/12*Assumptions!$B$132*W7,0)</f>
        <v/>
      </c>
      <c r="X66" s="54">
        <f>IF(X2&gt;=Assumptions!$B$56,W70*Assumptions!$B$131/12*Assumptions!$B$132*X7,0)</f>
        <v/>
      </c>
      <c r="Y66" s="54">
        <f>IF(Y2&gt;=Assumptions!$B$56,X70*Assumptions!$B$131/12*Assumptions!$B$132*Y7,0)</f>
        <v/>
      </c>
      <c r="Z66" s="54">
        <f>IF(Z2&gt;=Assumptions!$B$56,Y70*Assumptions!$B$131/12*Assumptions!$B$132*Z7,0)</f>
        <v/>
      </c>
      <c r="AA66" s="54">
        <f>IF(AA2&gt;=Assumptions!$B$56,Z70*Assumptions!$B$131/12*Assumptions!$B$132*AA7,0)</f>
        <v/>
      </c>
      <c r="AB66" s="54">
        <f>IF(AB2&gt;=Assumptions!$B$56,AA70*Assumptions!$B$131/12*Assumptions!$B$132*AB7,0)</f>
        <v/>
      </c>
      <c r="AC66" s="54">
        <f>IF(AC2&gt;=Assumptions!$B$56,AB70*Assumptions!$B$131/12*Assumptions!$B$132*AC7,0)</f>
        <v/>
      </c>
      <c r="AD66" s="54">
        <f>IF(AD2&gt;=Assumptions!$B$56,AC70*Assumptions!$B$131/12*Assumptions!$B$132*AD7,0)</f>
        <v/>
      </c>
      <c r="AE66" s="54">
        <f>IF(AE2&gt;=Assumptions!$B$56,AD70*Assumptions!$B$131/12*Assumptions!$B$132*AE7,0)</f>
        <v/>
      </c>
    </row>
    <row r="67">
      <c r="A67" s="6" t="inlineStr">
        <is>
          <t xml:space="preserve">  Raw demand</t>
        </is>
      </c>
      <c r="B67" s="23" t="inlineStr">
        <is>
          <t>accounts</t>
        </is>
      </c>
      <c r="C67" s="54">
        <f>C65+C66+IF(C23=0,0,C20*Assumptions!$B$116/C23*IF(C2&gt;=Assumptions!$B$57,1,0))</f>
        <v/>
      </c>
      <c r="D67" s="54">
        <f>D65+D66+IF(D23=0,0,D20*Assumptions!$B$116/D23*IF(D2&gt;=Assumptions!$B$57,1,0))</f>
        <v/>
      </c>
      <c r="E67" s="54">
        <f>E65+E66+IF(E23=0,0,E20*Assumptions!$B$116/E23*IF(E2&gt;=Assumptions!$B$57,1,0))</f>
        <v/>
      </c>
      <c r="F67" s="54">
        <f>F65+F66+IF(F23=0,0,F20*Assumptions!$B$116/F23*IF(F2&gt;=Assumptions!$B$57,1,0))</f>
        <v/>
      </c>
      <c r="G67" s="54">
        <f>G65+G66+IF(G23=0,0,G20*Assumptions!$B$116/G23*IF(G2&gt;=Assumptions!$B$57,1,0))</f>
        <v/>
      </c>
      <c r="H67" s="54">
        <f>H65+H66+IF(H23=0,0,H20*Assumptions!$B$116/H23*IF(H2&gt;=Assumptions!$B$57,1,0))</f>
        <v/>
      </c>
      <c r="I67" s="54">
        <f>I65+I66+IF(I23=0,0,I20*Assumptions!$B$116/I23*IF(I2&gt;=Assumptions!$B$57,1,0))</f>
        <v/>
      </c>
      <c r="J67" s="54">
        <f>J65+J66+IF(J23=0,0,J20*Assumptions!$B$116/J23*IF(J2&gt;=Assumptions!$B$57,1,0))</f>
        <v/>
      </c>
      <c r="K67" s="54">
        <f>K65+K66+IF(K23=0,0,K20*Assumptions!$B$116/K23*IF(K2&gt;=Assumptions!$B$57,1,0))</f>
        <v/>
      </c>
      <c r="L67" s="54">
        <f>L65+L66+IF(L23=0,0,L20*Assumptions!$B$116/L23*IF(L2&gt;=Assumptions!$B$57,1,0))</f>
        <v/>
      </c>
      <c r="M67" s="54">
        <f>M65+M66+IF(M23=0,0,M20*Assumptions!$B$116/M23*IF(M2&gt;=Assumptions!$B$57,1,0))</f>
        <v/>
      </c>
      <c r="N67" s="54">
        <f>N65+N66+IF(N23=0,0,N20*Assumptions!$B$116/N23*IF(N2&gt;=Assumptions!$B$57,1,0))</f>
        <v/>
      </c>
      <c r="O67" s="54">
        <f>O65+O66+IF(O23=0,0,O20*Assumptions!$B$116/O23*IF(O2&gt;=Assumptions!$B$57,1,0))</f>
        <v/>
      </c>
      <c r="P67" s="54">
        <f>P65+P66+IF(P23=0,0,P20*Assumptions!$B$116/P23*IF(P2&gt;=Assumptions!$B$57,1,0))</f>
        <v/>
      </c>
      <c r="Q67" s="54">
        <f>Q65+Q66+IF(Q23=0,0,Q20*Assumptions!$B$116/Q23*IF(Q2&gt;=Assumptions!$B$57,1,0))</f>
        <v/>
      </c>
      <c r="R67" s="54">
        <f>R65+R66+IF(R23=0,0,R20*Assumptions!$B$116/R23*IF(R2&gt;=Assumptions!$B$57,1,0))</f>
        <v/>
      </c>
      <c r="S67" s="54">
        <f>S65+S66+IF(S23=0,0,S20*Assumptions!$B$116/S23*IF(S2&gt;=Assumptions!$B$57,1,0))</f>
        <v/>
      </c>
      <c r="T67" s="54">
        <f>T65+T66+IF(T23=0,0,T20*Assumptions!$B$116/T23*IF(T2&gt;=Assumptions!$B$57,1,0))</f>
        <v/>
      </c>
      <c r="U67" s="54">
        <f>U65+U66+IF(U23=0,0,U20*Assumptions!$B$116/U23*IF(U2&gt;=Assumptions!$B$57,1,0))</f>
        <v/>
      </c>
      <c r="V67" s="54">
        <f>V65+V66+IF(V23=0,0,V20*Assumptions!$B$116/V23*IF(V2&gt;=Assumptions!$B$57,1,0))</f>
        <v/>
      </c>
      <c r="W67" s="54">
        <f>W65+W66+IF(W23=0,0,W20*Assumptions!$B$116/W23*IF(W2&gt;=Assumptions!$B$57,1,0))</f>
        <v/>
      </c>
      <c r="X67" s="54">
        <f>X65+X66+IF(X23=0,0,X20*Assumptions!$B$116/X23*IF(X2&gt;=Assumptions!$B$57,1,0))</f>
        <v/>
      </c>
      <c r="Y67" s="54">
        <f>Y65+Y66+IF(Y23=0,0,Y20*Assumptions!$B$116/Y23*IF(Y2&gt;=Assumptions!$B$57,1,0))</f>
        <v/>
      </c>
      <c r="Z67" s="54">
        <f>Z65+Z66+IF(Z23=0,0,Z20*Assumptions!$B$116/Z23*IF(Z2&gt;=Assumptions!$B$57,1,0))</f>
        <v/>
      </c>
      <c r="AA67" s="54">
        <f>AA65+AA66+IF(AA23=0,0,AA20*Assumptions!$B$116/AA23*IF(AA2&gt;=Assumptions!$B$57,1,0))</f>
        <v/>
      </c>
      <c r="AB67" s="54">
        <f>AB65+AB66+IF(AB23=0,0,AB20*Assumptions!$B$116/AB23*IF(AB2&gt;=Assumptions!$B$57,1,0))</f>
        <v/>
      </c>
      <c r="AC67" s="54">
        <f>AC65+AC66+IF(AC23=0,0,AC20*Assumptions!$B$116/AC23*IF(AC2&gt;=Assumptions!$B$57,1,0))</f>
        <v/>
      </c>
      <c r="AD67" s="54">
        <f>AD65+AD66+IF(AD23=0,0,AD20*Assumptions!$B$116/AD23*IF(AD2&gt;=Assumptions!$B$57,1,0))</f>
        <v/>
      </c>
      <c r="AE67" s="54">
        <f>AE65+AE66+IF(AE23=0,0,AE20*Assumptions!$B$116/AE23*IF(AE2&gt;=Assumptions!$B$57,1,0))</f>
        <v/>
      </c>
    </row>
    <row r="68">
      <c r="A68" s="6" t="inlineStr">
        <is>
          <t xml:space="preserve">  Saturation (this region's own headroom)</t>
        </is>
      </c>
      <c r="B68" s="23" t="inlineStr">
        <is>
          <t>x</t>
        </is>
      </c>
      <c r="C68" s="51" t="n">
        <v>1</v>
      </c>
      <c r="D68" s="51">
        <f>MAX(0,1-C73/Assumptions!$B$86)</f>
        <v/>
      </c>
      <c r="E68" s="51">
        <f>MAX(0,1-D73/Assumptions!$B$86)</f>
        <v/>
      </c>
      <c r="F68" s="51">
        <f>MAX(0,1-E73/Assumptions!$B$86)</f>
        <v/>
      </c>
      <c r="G68" s="51">
        <f>MAX(0,1-F73/Assumptions!$B$86)</f>
        <v/>
      </c>
      <c r="H68" s="51">
        <f>MAX(0,1-G73/Assumptions!$B$86)</f>
        <v/>
      </c>
      <c r="I68" s="51">
        <f>MAX(0,1-H73/Assumptions!$B$86)</f>
        <v/>
      </c>
      <c r="J68" s="51">
        <f>MAX(0,1-I73/Assumptions!$B$86)</f>
        <v/>
      </c>
      <c r="K68" s="51">
        <f>MAX(0,1-J73/Assumptions!$B$86)</f>
        <v/>
      </c>
      <c r="L68" s="51">
        <f>MAX(0,1-K73/Assumptions!$B$86)</f>
        <v/>
      </c>
      <c r="M68" s="51">
        <f>MAX(0,1-L73/Assumptions!$B$86)</f>
        <v/>
      </c>
      <c r="N68" s="51">
        <f>MAX(0,1-M73/Assumptions!$B$86)</f>
        <v/>
      </c>
      <c r="O68" s="51">
        <f>MAX(0,1-N73/Assumptions!$B$86)</f>
        <v/>
      </c>
      <c r="P68" s="51">
        <f>MAX(0,1-O73/Assumptions!$B$86)</f>
        <v/>
      </c>
      <c r="Q68" s="51">
        <f>MAX(0,1-P73/Assumptions!$B$86)</f>
        <v/>
      </c>
      <c r="R68" s="51">
        <f>MAX(0,1-Q73/Assumptions!$B$86)</f>
        <v/>
      </c>
      <c r="S68" s="51">
        <f>MAX(0,1-R73/Assumptions!$B$86)</f>
        <v/>
      </c>
      <c r="T68" s="51">
        <f>MAX(0,1-S73/Assumptions!$B$86)</f>
        <v/>
      </c>
      <c r="U68" s="51">
        <f>MAX(0,1-T73/Assumptions!$B$86)</f>
        <v/>
      </c>
      <c r="V68" s="51">
        <f>MAX(0,1-U73/Assumptions!$B$86)</f>
        <v/>
      </c>
      <c r="W68" s="51">
        <f>MAX(0,1-V73/Assumptions!$B$86)</f>
        <v/>
      </c>
      <c r="X68" s="51">
        <f>MAX(0,1-W73/Assumptions!$B$86)</f>
        <v/>
      </c>
      <c r="Y68" s="51">
        <f>MAX(0,1-X73/Assumptions!$B$86)</f>
        <v/>
      </c>
      <c r="Z68" s="51">
        <f>MAX(0,1-Y73/Assumptions!$B$86)</f>
        <v/>
      </c>
      <c r="AA68" s="51">
        <f>MAX(0,1-Z73/Assumptions!$B$86)</f>
        <v/>
      </c>
      <c r="AB68" s="51">
        <f>MAX(0,1-AA73/Assumptions!$B$86)</f>
        <v/>
      </c>
      <c r="AC68" s="51">
        <f>MAX(0,1-AB73/Assumptions!$B$86)</f>
        <v/>
      </c>
      <c r="AD68" s="51">
        <f>MAX(0,1-AC73/Assumptions!$B$86)</f>
        <v/>
      </c>
      <c r="AE68" s="51">
        <f>MAX(0,1-AD73/Assumptions!$B$86)</f>
        <v/>
      </c>
    </row>
    <row r="69">
      <c r="A69" s="6" t="inlineStr">
        <is>
          <t xml:space="preserve">  New customers</t>
        </is>
      </c>
      <c r="B69" s="23" t="inlineStr">
        <is>
          <t>accounts</t>
        </is>
      </c>
      <c r="C69" s="54">
        <f>C67*C68*C15</f>
        <v/>
      </c>
      <c r="D69" s="54">
        <f>D67*D68*D15</f>
        <v/>
      </c>
      <c r="E69" s="54">
        <f>E67*E68*E15</f>
        <v/>
      </c>
      <c r="F69" s="54">
        <f>F67*F68*F15</f>
        <v/>
      </c>
      <c r="G69" s="54">
        <f>G67*G68*G15</f>
        <v/>
      </c>
      <c r="H69" s="54">
        <f>H67*H68*H15</f>
        <v/>
      </c>
      <c r="I69" s="54">
        <f>I67*I68*I15</f>
        <v/>
      </c>
      <c r="J69" s="54">
        <f>J67*J68*J15</f>
        <v/>
      </c>
      <c r="K69" s="54">
        <f>K67*K68*K15</f>
        <v/>
      </c>
      <c r="L69" s="54">
        <f>L67*L68*L15</f>
        <v/>
      </c>
      <c r="M69" s="54">
        <f>M67*M68*M15</f>
        <v/>
      </c>
      <c r="N69" s="54">
        <f>N67*N68*N15</f>
        <v/>
      </c>
      <c r="O69" s="54">
        <f>O67*O68*O15</f>
        <v/>
      </c>
      <c r="P69" s="54">
        <f>P67*P68*P15</f>
        <v/>
      </c>
      <c r="Q69" s="54">
        <f>Q67*Q68*Q15</f>
        <v/>
      </c>
      <c r="R69" s="54">
        <f>R67*R68*R15</f>
        <v/>
      </c>
      <c r="S69" s="54">
        <f>S67*S68*S15</f>
        <v/>
      </c>
      <c r="T69" s="54">
        <f>T67*T68*T15</f>
        <v/>
      </c>
      <c r="U69" s="54">
        <f>U67*U68*U15</f>
        <v/>
      </c>
      <c r="V69" s="54">
        <f>V67*V68*V15</f>
        <v/>
      </c>
      <c r="W69" s="54">
        <f>W67*W68*W15</f>
        <v/>
      </c>
      <c r="X69" s="54">
        <f>X67*X68*X15</f>
        <v/>
      </c>
      <c r="Y69" s="54">
        <f>Y67*Y68*Y15</f>
        <v/>
      </c>
      <c r="Z69" s="54">
        <f>Z67*Z68*Z15</f>
        <v/>
      </c>
      <c r="AA69" s="54">
        <f>AA67*AA68*AA15</f>
        <v/>
      </c>
      <c r="AB69" s="54">
        <f>AB67*AB68*AB15</f>
        <v/>
      </c>
      <c r="AC69" s="54">
        <f>AC67*AC68*AC15</f>
        <v/>
      </c>
      <c r="AD69" s="54">
        <f>AD67*AD68*AD15</f>
        <v/>
      </c>
      <c r="AE69" s="54">
        <f>AE67*AE68*AE15</f>
        <v/>
      </c>
    </row>
    <row r="70">
      <c r="A70" s="6" t="inlineStr">
        <is>
          <t xml:space="preserve">  Paying customers</t>
        </is>
      </c>
      <c r="B70" s="23" t="inlineStr">
        <is>
          <t>accounts</t>
        </is>
      </c>
      <c r="C70" s="28">
        <f>C69*(1-Assumptions!$B$123)^(C7/2)</f>
        <v/>
      </c>
      <c r="D70" s="28">
        <f>C70*(1-Assumptions!$B$123)^D7+D69*(1-Assumptions!$B$123)^(D7/2)</f>
        <v/>
      </c>
      <c r="E70" s="28">
        <f>D70*(1-Assumptions!$B$123)^E7+E69*(1-Assumptions!$B$123)^(E7/2)</f>
        <v/>
      </c>
      <c r="F70" s="28">
        <f>E70*(1-Assumptions!$B$123)^F7+F69*(1-Assumptions!$B$123)^(F7/2)</f>
        <v/>
      </c>
      <c r="G70" s="28">
        <f>F70*(1-Assumptions!$B$123)^G7+G69*(1-Assumptions!$B$123)^(G7/2)</f>
        <v/>
      </c>
      <c r="H70" s="28">
        <f>G70*(1-Assumptions!$B$123)^H7+H69*(1-Assumptions!$B$123)^(H7/2)</f>
        <v/>
      </c>
      <c r="I70" s="28">
        <f>H70*(1-Assumptions!$B$123)^I7+I69*(1-Assumptions!$B$123)^(I7/2)</f>
        <v/>
      </c>
      <c r="J70" s="28">
        <f>I70*(1-Assumptions!$B$123)^J7+J69*(1-Assumptions!$B$123)^(J7/2)</f>
        <v/>
      </c>
      <c r="K70" s="28">
        <f>J70*(1-Assumptions!$B$123)^K7+K69*(1-Assumptions!$B$123)^(K7/2)</f>
        <v/>
      </c>
      <c r="L70" s="28">
        <f>K70*(1-Assumptions!$B$123)^L7+L69*(1-Assumptions!$B$123)^(L7/2)</f>
        <v/>
      </c>
      <c r="M70" s="28">
        <f>L70*(1-Assumptions!$B$123)^M7+M69*(1-Assumptions!$B$123)^(M7/2)</f>
        <v/>
      </c>
      <c r="N70" s="28">
        <f>M70*(1-Assumptions!$B$123)^N7+N69*(1-Assumptions!$B$123)^(N7/2)</f>
        <v/>
      </c>
      <c r="O70" s="28">
        <f>N70*(1-Assumptions!$B$123)^O7+O69*(1-Assumptions!$B$123)^(O7/2)</f>
        <v/>
      </c>
      <c r="P70" s="28">
        <f>O70*(1-Assumptions!$B$123)^P7+P69*(1-Assumptions!$B$123)^(P7/2)</f>
        <v/>
      </c>
      <c r="Q70" s="28">
        <f>P70*(1-Assumptions!$B$123)^Q7+Q69*(1-Assumptions!$B$123)^(Q7/2)</f>
        <v/>
      </c>
      <c r="R70" s="28">
        <f>Q70*(1-Assumptions!$B$123)^R7+R69*(1-Assumptions!$B$123)^(R7/2)</f>
        <v/>
      </c>
      <c r="S70" s="28">
        <f>R70*(1-Assumptions!$B$123)^S7+S69*(1-Assumptions!$B$123)^(S7/2)</f>
        <v/>
      </c>
      <c r="T70" s="28">
        <f>S70*(1-Assumptions!$B$123)^T7+T69*(1-Assumptions!$B$123)^(T7/2)</f>
        <v/>
      </c>
      <c r="U70" s="28">
        <f>T70*(1-Assumptions!$B$123)^U7+U69*(1-Assumptions!$B$123)^(U7/2)</f>
        <v/>
      </c>
      <c r="V70" s="28">
        <f>U70*(1-Assumptions!$B$123)^V7+V69*(1-Assumptions!$B$123)^(V7/2)</f>
        <v/>
      </c>
      <c r="W70" s="28">
        <f>V70*(1-Assumptions!$B$123)^W7+W69*(1-Assumptions!$B$123)^(W7/2)</f>
        <v/>
      </c>
      <c r="X70" s="28">
        <f>W70*(1-Assumptions!$B$123)^X7+X69*(1-Assumptions!$B$123)^(X7/2)</f>
        <v/>
      </c>
      <c r="Y70" s="28">
        <f>X70*(1-Assumptions!$B$123)^Y7+Y69*(1-Assumptions!$B$123)^(Y7/2)</f>
        <v/>
      </c>
      <c r="Z70" s="28">
        <f>Y70*(1-Assumptions!$B$123)^Z7+Z69*(1-Assumptions!$B$123)^(Z7/2)</f>
        <v/>
      </c>
      <c r="AA70" s="28">
        <f>Z70*(1-Assumptions!$B$123)^AA7+AA69*(1-Assumptions!$B$123)^(AA7/2)</f>
        <v/>
      </c>
      <c r="AB70" s="28">
        <f>AA70*(1-Assumptions!$B$123)^AB7+AB69*(1-Assumptions!$B$123)^(AB7/2)</f>
        <v/>
      </c>
      <c r="AC70" s="28">
        <f>AB70*(1-Assumptions!$B$123)^AC7+AC69*(1-Assumptions!$B$123)^(AC7/2)</f>
        <v/>
      </c>
      <c r="AD70" s="28">
        <f>AC70*(1-Assumptions!$B$123)^AD7+AD69*(1-Assumptions!$B$123)^(AD7/2)</f>
        <v/>
      </c>
      <c r="AE70" s="28">
        <f>AD70*(1-Assumptions!$B$123)^AE7+AE69*(1-Assumptions!$B$123)^(AE7/2)</f>
        <v/>
      </c>
    </row>
    <row r="71">
      <c r="A71" s="6" t="inlineStr">
        <is>
          <t xml:space="preserve">  Churned this period</t>
        </is>
      </c>
      <c r="B71" s="23" t="inlineStr">
        <is>
          <t>accounts</t>
        </is>
      </c>
      <c r="C71" s="54">
        <f>C69-C70</f>
        <v/>
      </c>
      <c r="D71" s="54">
        <f>C70+D69-D70</f>
        <v/>
      </c>
      <c r="E71" s="54">
        <f>D70+E69-E70</f>
        <v/>
      </c>
      <c r="F71" s="54">
        <f>E70+F69-F70</f>
        <v/>
      </c>
      <c r="G71" s="54">
        <f>F70+G69-G70</f>
        <v/>
      </c>
      <c r="H71" s="54">
        <f>G70+H69-H70</f>
        <v/>
      </c>
      <c r="I71" s="54">
        <f>H70+I69-I70</f>
        <v/>
      </c>
      <c r="J71" s="54">
        <f>I70+J69-J70</f>
        <v/>
      </c>
      <c r="K71" s="54">
        <f>J70+K69-K70</f>
        <v/>
      </c>
      <c r="L71" s="54">
        <f>K70+L69-L70</f>
        <v/>
      </c>
      <c r="M71" s="54">
        <f>L70+M69-M70</f>
        <v/>
      </c>
      <c r="N71" s="54">
        <f>M70+N69-N70</f>
        <v/>
      </c>
      <c r="O71" s="54">
        <f>N70+O69-O70</f>
        <v/>
      </c>
      <c r="P71" s="54">
        <f>O70+P69-P70</f>
        <v/>
      </c>
      <c r="Q71" s="54">
        <f>P70+Q69-Q70</f>
        <v/>
      </c>
      <c r="R71" s="54">
        <f>Q70+R69-R70</f>
        <v/>
      </c>
      <c r="S71" s="54">
        <f>R70+S69-S70</f>
        <v/>
      </c>
      <c r="T71" s="54">
        <f>S70+T69-T70</f>
        <v/>
      </c>
      <c r="U71" s="54">
        <f>T70+U69-U70</f>
        <v/>
      </c>
      <c r="V71" s="54">
        <f>U70+V69-V70</f>
        <v/>
      </c>
      <c r="W71" s="54">
        <f>V70+W69-W70</f>
        <v/>
      </c>
      <c r="X71" s="54">
        <f>W70+X69-X70</f>
        <v/>
      </c>
      <c r="Y71" s="54">
        <f>X70+Y69-Y70</f>
        <v/>
      </c>
      <c r="Z71" s="54">
        <f>Y70+Z69-Z70</f>
        <v/>
      </c>
      <c r="AA71" s="54">
        <f>Z70+AA69-AA70</f>
        <v/>
      </c>
      <c r="AB71" s="54">
        <f>AA70+AB69-AB70</f>
        <v/>
      </c>
      <c r="AC71" s="54">
        <f>AB70+AC69-AC70</f>
        <v/>
      </c>
      <c r="AD71" s="54">
        <f>AC70+AD69-AD70</f>
        <v/>
      </c>
      <c r="AE71" s="54">
        <f>AD70+AE69-AE70</f>
        <v/>
      </c>
    </row>
    <row r="72">
      <c r="A72" s="6" t="inlineStr">
        <is>
          <t xml:space="preserve">  Holders (stopped paying, still hold gold)</t>
        </is>
      </c>
      <c r="B72" s="23" t="inlineStr">
        <is>
          <t>accounts</t>
        </is>
      </c>
      <c r="C72" s="45">
        <f>C71</f>
        <v/>
      </c>
      <c r="D72" s="45">
        <f>C72+D71</f>
        <v/>
      </c>
      <c r="E72" s="45">
        <f>D72+E71</f>
        <v/>
      </c>
      <c r="F72" s="45">
        <f>E72+F71</f>
        <v/>
      </c>
      <c r="G72" s="45">
        <f>F72+G71</f>
        <v/>
      </c>
      <c r="H72" s="45">
        <f>G72+H71</f>
        <v/>
      </c>
      <c r="I72" s="45">
        <f>H72+I71</f>
        <v/>
      </c>
      <c r="J72" s="45">
        <f>I72+J71</f>
        <v/>
      </c>
      <c r="K72" s="45">
        <f>J72+K71</f>
        <v/>
      </c>
      <c r="L72" s="45">
        <f>K72+L71</f>
        <v/>
      </c>
      <c r="M72" s="45">
        <f>L72+M71</f>
        <v/>
      </c>
      <c r="N72" s="45">
        <f>M72+N71</f>
        <v/>
      </c>
      <c r="O72" s="45">
        <f>N72+O71</f>
        <v/>
      </c>
      <c r="P72" s="45">
        <f>O72+P71</f>
        <v/>
      </c>
      <c r="Q72" s="45">
        <f>P72+Q71</f>
        <v/>
      </c>
      <c r="R72" s="45">
        <f>Q72+R71</f>
        <v/>
      </c>
      <c r="S72" s="45">
        <f>R72+S71</f>
        <v/>
      </c>
      <c r="T72" s="45">
        <f>S72+T71</f>
        <v/>
      </c>
      <c r="U72" s="45">
        <f>T72+U71</f>
        <v/>
      </c>
      <c r="V72" s="45">
        <f>U72+V71</f>
        <v/>
      </c>
      <c r="W72" s="45">
        <f>V72+W71</f>
        <v/>
      </c>
      <c r="X72" s="45">
        <f>W72+X71</f>
        <v/>
      </c>
      <c r="Y72" s="45">
        <f>X72+Y71</f>
        <v/>
      </c>
      <c r="Z72" s="45">
        <f>Y72+Z71</f>
        <v/>
      </c>
      <c r="AA72" s="45">
        <f>Z72+AA71</f>
        <v/>
      </c>
      <c r="AB72" s="45">
        <f>AA72+AB71</f>
        <v/>
      </c>
      <c r="AC72" s="45">
        <f>AB72+AC71</f>
        <v/>
      </c>
      <c r="AD72" s="45">
        <f>AC72+AD71</f>
        <v/>
      </c>
      <c r="AE72" s="45">
        <f>AD72+AE71</f>
        <v/>
      </c>
    </row>
    <row r="73">
      <c r="A73" s="6" t="inlineStr">
        <is>
          <t xml:space="preserve">  Cumulative ever acquired</t>
        </is>
      </c>
      <c r="B73" s="23" t="inlineStr">
        <is>
          <t>accounts</t>
        </is>
      </c>
      <c r="C73" s="45">
        <f>C69</f>
        <v/>
      </c>
      <c r="D73" s="45">
        <f>C73+D69</f>
        <v/>
      </c>
      <c r="E73" s="45">
        <f>D73+E69</f>
        <v/>
      </c>
      <c r="F73" s="45">
        <f>E73+F69</f>
        <v/>
      </c>
      <c r="G73" s="45">
        <f>F73+G69</f>
        <v/>
      </c>
      <c r="H73" s="45">
        <f>G73+H69</f>
        <v/>
      </c>
      <c r="I73" s="45">
        <f>H73+I69</f>
        <v/>
      </c>
      <c r="J73" s="45">
        <f>I73+J69</f>
        <v/>
      </c>
      <c r="K73" s="45">
        <f>J73+K69</f>
        <v/>
      </c>
      <c r="L73" s="45">
        <f>K73+L69</f>
        <v/>
      </c>
      <c r="M73" s="45">
        <f>L73+M69</f>
        <v/>
      </c>
      <c r="N73" s="45">
        <f>M73+N69</f>
        <v/>
      </c>
      <c r="O73" s="45">
        <f>N73+O69</f>
        <v/>
      </c>
      <c r="P73" s="45">
        <f>O73+P69</f>
        <v/>
      </c>
      <c r="Q73" s="45">
        <f>P73+Q69</f>
        <v/>
      </c>
      <c r="R73" s="45">
        <f>Q73+R69</f>
        <v/>
      </c>
      <c r="S73" s="45">
        <f>R73+S69</f>
        <v/>
      </c>
      <c r="T73" s="45">
        <f>S73+T69</f>
        <v/>
      </c>
      <c r="U73" s="45">
        <f>T73+U69</f>
        <v/>
      </c>
      <c r="V73" s="45">
        <f>U73+V69</f>
        <v/>
      </c>
      <c r="W73" s="45">
        <f>V73+W69</f>
        <v/>
      </c>
      <c r="X73" s="45">
        <f>W73+X69</f>
        <v/>
      </c>
      <c r="Y73" s="45">
        <f>X73+Y69</f>
        <v/>
      </c>
      <c r="Z73" s="45">
        <f>Y73+Z69</f>
        <v/>
      </c>
      <c r="AA73" s="45">
        <f>Z73+AA69</f>
        <v/>
      </c>
      <c r="AB73" s="45">
        <f>AA73+AB69</f>
        <v/>
      </c>
      <c r="AC73" s="45">
        <f>AB73+AC69</f>
        <v/>
      </c>
      <c r="AD73" s="45">
        <f>AC73+AD69</f>
        <v/>
      </c>
      <c r="AE73" s="45">
        <f>AD73+AE69</f>
        <v/>
      </c>
    </row>
    <row r="74">
      <c r="A74" s="6" t="inlineStr">
        <is>
          <t xml:space="preserve">  SIP contributions</t>
        </is>
      </c>
      <c r="B74" s="23" t="inlineStr">
        <is>
          <t>USD</t>
        </is>
      </c>
      <c r="C74" s="55">
        <f>IF(C2&gt;=Assumptions!$B$48,C70*Assumptions!$B$176*C7,0)</f>
        <v/>
      </c>
      <c r="D74" s="55">
        <f>IF(D2&gt;=Assumptions!$B$48,D70*Assumptions!$B$176*D7,0)</f>
        <v/>
      </c>
      <c r="E74" s="55">
        <f>IF(E2&gt;=Assumptions!$B$48,E70*Assumptions!$B$176*E7,0)</f>
        <v/>
      </c>
      <c r="F74" s="55">
        <f>IF(F2&gt;=Assumptions!$B$48,F70*Assumptions!$B$176*F7,0)</f>
        <v/>
      </c>
      <c r="G74" s="55">
        <f>IF(G2&gt;=Assumptions!$B$48,G70*Assumptions!$B$176*G7,0)</f>
        <v/>
      </c>
      <c r="H74" s="55">
        <f>IF(H2&gt;=Assumptions!$B$48,H70*Assumptions!$B$176*H7,0)</f>
        <v/>
      </c>
      <c r="I74" s="55">
        <f>IF(I2&gt;=Assumptions!$B$48,I70*Assumptions!$B$176*I7,0)</f>
        <v/>
      </c>
      <c r="J74" s="55">
        <f>IF(J2&gt;=Assumptions!$B$48,J70*Assumptions!$B$176*J7,0)</f>
        <v/>
      </c>
      <c r="K74" s="55">
        <f>IF(K2&gt;=Assumptions!$B$48,K70*Assumptions!$B$176*K7,0)</f>
        <v/>
      </c>
      <c r="L74" s="55">
        <f>IF(L2&gt;=Assumptions!$B$48,L70*Assumptions!$B$176*L7,0)</f>
        <v/>
      </c>
      <c r="M74" s="55">
        <f>IF(M2&gt;=Assumptions!$B$48,M70*Assumptions!$B$176*M7,0)</f>
        <v/>
      </c>
      <c r="N74" s="55">
        <f>IF(N2&gt;=Assumptions!$B$48,N70*Assumptions!$B$176*N7,0)</f>
        <v/>
      </c>
      <c r="O74" s="55">
        <f>IF(O2&gt;=Assumptions!$B$48,O70*Assumptions!$B$176*O7,0)</f>
        <v/>
      </c>
      <c r="P74" s="55">
        <f>IF(P2&gt;=Assumptions!$B$48,P70*Assumptions!$B$176*P7,0)</f>
        <v/>
      </c>
      <c r="Q74" s="55">
        <f>IF(Q2&gt;=Assumptions!$B$48,Q70*Assumptions!$B$176*Q7,0)</f>
        <v/>
      </c>
      <c r="R74" s="55">
        <f>IF(R2&gt;=Assumptions!$B$48,R70*Assumptions!$B$176*R7,0)</f>
        <v/>
      </c>
      <c r="S74" s="55">
        <f>IF(S2&gt;=Assumptions!$B$48,S70*Assumptions!$B$176*S7,0)</f>
        <v/>
      </c>
      <c r="T74" s="55">
        <f>IF(T2&gt;=Assumptions!$B$48,T70*Assumptions!$B$176*T7,0)</f>
        <v/>
      </c>
      <c r="U74" s="55">
        <f>IF(U2&gt;=Assumptions!$B$48,U70*Assumptions!$B$176*U7,0)</f>
        <v/>
      </c>
      <c r="V74" s="55">
        <f>IF(V2&gt;=Assumptions!$B$48,V70*Assumptions!$B$176*V7,0)</f>
        <v/>
      </c>
      <c r="W74" s="55">
        <f>IF(W2&gt;=Assumptions!$B$48,W70*Assumptions!$B$176*W7,0)</f>
        <v/>
      </c>
      <c r="X74" s="55">
        <f>IF(X2&gt;=Assumptions!$B$48,X70*Assumptions!$B$176*X7,0)</f>
        <v/>
      </c>
      <c r="Y74" s="55">
        <f>IF(Y2&gt;=Assumptions!$B$48,Y70*Assumptions!$B$176*Y7,0)</f>
        <v/>
      </c>
      <c r="Z74" s="55">
        <f>IF(Z2&gt;=Assumptions!$B$48,Z70*Assumptions!$B$176*Z7,0)</f>
        <v/>
      </c>
      <c r="AA74" s="55">
        <f>IF(AA2&gt;=Assumptions!$B$48,AA70*Assumptions!$B$176*AA7,0)</f>
        <v/>
      </c>
      <c r="AB74" s="55">
        <f>IF(AB2&gt;=Assumptions!$B$48,AB70*Assumptions!$B$176*AB7,0)</f>
        <v/>
      </c>
      <c r="AC74" s="55">
        <f>IF(AC2&gt;=Assumptions!$B$48,AC70*Assumptions!$B$176*AC7,0)</f>
        <v/>
      </c>
      <c r="AD74" s="55">
        <f>IF(AD2&gt;=Assumptions!$B$48,AD70*Assumptions!$B$176*AD7,0)</f>
        <v/>
      </c>
      <c r="AE74" s="55">
        <f>IF(AE2&gt;=Assumptions!$B$48,AE70*Assumptions!$B$176*AE7,0)</f>
        <v/>
      </c>
    </row>
    <row r="75">
      <c r="A75" s="6" t="inlineStr">
        <is>
          <t xml:space="preserve">  Spot purchase volume</t>
        </is>
      </c>
      <c r="B75" s="23" t="inlineStr">
        <is>
          <t>USD</t>
        </is>
      </c>
      <c r="C75" s="55">
        <f>IF(C2&gt;=Assumptions!$B$49,C70*Assumptions!$B$37*Assumptions!$B$140*Assumptions!$B$142*Assumptions!$B$34*Assumptions!$B$141/12*C7,0)</f>
        <v/>
      </c>
      <c r="D75" s="55">
        <f>IF(D2&gt;=Assumptions!$B$49,D70*Assumptions!$B$37*Assumptions!$B$140*Assumptions!$B$142*Assumptions!$B$34*Assumptions!$B$141/12*D7,0)</f>
        <v/>
      </c>
      <c r="E75" s="55">
        <f>IF(E2&gt;=Assumptions!$B$49,E70*Assumptions!$B$37*Assumptions!$B$140*Assumptions!$B$142*Assumptions!$B$34*Assumptions!$B$141/12*E7,0)</f>
        <v/>
      </c>
      <c r="F75" s="55">
        <f>IF(F2&gt;=Assumptions!$B$49,F70*Assumptions!$B$37*Assumptions!$B$140*Assumptions!$B$142*Assumptions!$B$34*Assumptions!$B$141/12*F7,0)</f>
        <v/>
      </c>
      <c r="G75" s="55">
        <f>IF(G2&gt;=Assumptions!$B$49,G70*Assumptions!$B$37*Assumptions!$B$140*Assumptions!$B$142*Assumptions!$B$34*Assumptions!$B$141/12*G7,0)</f>
        <v/>
      </c>
      <c r="H75" s="55">
        <f>IF(H2&gt;=Assumptions!$B$49,H70*Assumptions!$B$37*Assumptions!$B$140*Assumptions!$B$142*Assumptions!$B$34*Assumptions!$B$141/12*H7,0)</f>
        <v/>
      </c>
      <c r="I75" s="55">
        <f>IF(I2&gt;=Assumptions!$B$49,I70*Assumptions!$B$37*Assumptions!$B$140*Assumptions!$B$142*Assumptions!$B$34*Assumptions!$B$141/12*I7,0)</f>
        <v/>
      </c>
      <c r="J75" s="55">
        <f>IF(J2&gt;=Assumptions!$B$49,J70*Assumptions!$B$37*Assumptions!$B$140*Assumptions!$B$142*Assumptions!$B$34*Assumptions!$B$141/12*J7,0)</f>
        <v/>
      </c>
      <c r="K75" s="55">
        <f>IF(K2&gt;=Assumptions!$B$49,K70*Assumptions!$B$37*Assumptions!$B$140*Assumptions!$B$142*Assumptions!$B$34*Assumptions!$B$141/12*K7,0)</f>
        <v/>
      </c>
      <c r="L75" s="55">
        <f>IF(L2&gt;=Assumptions!$B$49,L70*Assumptions!$B$37*Assumptions!$B$140*Assumptions!$B$142*Assumptions!$B$34*Assumptions!$B$141/12*L7,0)</f>
        <v/>
      </c>
      <c r="M75" s="55">
        <f>IF(M2&gt;=Assumptions!$B$49,M70*Assumptions!$B$37*Assumptions!$B$140*Assumptions!$B$142*Assumptions!$B$34*Assumptions!$B$141/12*M7,0)</f>
        <v/>
      </c>
      <c r="N75" s="55">
        <f>IF(N2&gt;=Assumptions!$B$49,N70*Assumptions!$B$37*Assumptions!$B$140*Assumptions!$B$142*Assumptions!$B$34*Assumptions!$B$141/12*N7,0)</f>
        <v/>
      </c>
      <c r="O75" s="55">
        <f>IF(O2&gt;=Assumptions!$B$49,O70*Assumptions!$B$37*Assumptions!$B$140*Assumptions!$B$142*Assumptions!$B$34*Assumptions!$B$141/12*O7,0)</f>
        <v/>
      </c>
      <c r="P75" s="55">
        <f>IF(P2&gt;=Assumptions!$B$49,P70*Assumptions!$B$37*Assumptions!$B$140*Assumptions!$B$142*Assumptions!$B$34*Assumptions!$B$141/12*P7,0)</f>
        <v/>
      </c>
      <c r="Q75" s="55">
        <f>IF(Q2&gt;=Assumptions!$B$49,Q70*Assumptions!$B$37*Assumptions!$B$140*Assumptions!$B$142*Assumptions!$B$34*Assumptions!$B$141/12*Q7,0)</f>
        <v/>
      </c>
      <c r="R75" s="55">
        <f>IF(R2&gt;=Assumptions!$B$49,R70*Assumptions!$B$37*Assumptions!$B$140*Assumptions!$B$142*Assumptions!$B$34*Assumptions!$B$141/12*R7,0)</f>
        <v/>
      </c>
      <c r="S75" s="55">
        <f>IF(S2&gt;=Assumptions!$B$49,S70*Assumptions!$B$37*Assumptions!$B$140*Assumptions!$B$142*Assumptions!$B$34*Assumptions!$B$141/12*S7,0)</f>
        <v/>
      </c>
      <c r="T75" s="55">
        <f>IF(T2&gt;=Assumptions!$B$49,T70*Assumptions!$B$37*Assumptions!$B$140*Assumptions!$B$142*Assumptions!$B$34*Assumptions!$B$141/12*T7,0)</f>
        <v/>
      </c>
      <c r="U75" s="55">
        <f>IF(U2&gt;=Assumptions!$B$49,U70*Assumptions!$B$37*Assumptions!$B$140*Assumptions!$B$142*Assumptions!$B$34*Assumptions!$B$141/12*U7,0)</f>
        <v/>
      </c>
      <c r="V75" s="55">
        <f>IF(V2&gt;=Assumptions!$B$49,V70*Assumptions!$B$37*Assumptions!$B$140*Assumptions!$B$142*Assumptions!$B$34*Assumptions!$B$141/12*V7,0)</f>
        <v/>
      </c>
      <c r="W75" s="55">
        <f>IF(W2&gt;=Assumptions!$B$49,W70*Assumptions!$B$37*Assumptions!$B$140*Assumptions!$B$142*Assumptions!$B$34*Assumptions!$B$141/12*W7,0)</f>
        <v/>
      </c>
      <c r="X75" s="55">
        <f>IF(X2&gt;=Assumptions!$B$49,X70*Assumptions!$B$37*Assumptions!$B$140*Assumptions!$B$142*Assumptions!$B$34*Assumptions!$B$141/12*X7,0)</f>
        <v/>
      </c>
      <c r="Y75" s="55">
        <f>IF(Y2&gt;=Assumptions!$B$49,Y70*Assumptions!$B$37*Assumptions!$B$140*Assumptions!$B$142*Assumptions!$B$34*Assumptions!$B$141/12*Y7,0)</f>
        <v/>
      </c>
      <c r="Z75" s="55">
        <f>IF(Z2&gt;=Assumptions!$B$49,Z70*Assumptions!$B$37*Assumptions!$B$140*Assumptions!$B$142*Assumptions!$B$34*Assumptions!$B$141/12*Z7,0)</f>
        <v/>
      </c>
      <c r="AA75" s="55">
        <f>IF(AA2&gt;=Assumptions!$B$49,AA70*Assumptions!$B$37*Assumptions!$B$140*Assumptions!$B$142*Assumptions!$B$34*Assumptions!$B$141/12*AA7,0)</f>
        <v/>
      </c>
      <c r="AB75" s="55">
        <f>IF(AB2&gt;=Assumptions!$B$49,AB70*Assumptions!$B$37*Assumptions!$B$140*Assumptions!$B$142*Assumptions!$B$34*Assumptions!$B$141/12*AB7,0)</f>
        <v/>
      </c>
      <c r="AC75" s="55">
        <f>IF(AC2&gt;=Assumptions!$B$49,AC70*Assumptions!$B$37*Assumptions!$B$140*Assumptions!$B$142*Assumptions!$B$34*Assumptions!$B$141/12*AC7,0)</f>
        <v/>
      </c>
      <c r="AD75" s="55">
        <f>IF(AD2&gt;=Assumptions!$B$49,AD70*Assumptions!$B$37*Assumptions!$B$140*Assumptions!$B$142*Assumptions!$B$34*Assumptions!$B$141/12*AD7,0)</f>
        <v/>
      </c>
      <c r="AE75" s="55">
        <f>IF(AE2&gt;=Assumptions!$B$49,AE70*Assumptions!$B$37*Assumptions!$B$140*Assumptions!$B$142*Assumptions!$B$34*Assumptions!$B$141/12*AE7,0)</f>
        <v/>
      </c>
    </row>
    <row r="76">
      <c r="A76" s="6" t="inlineStr">
        <is>
          <t xml:space="preserve">  Grams purchased</t>
        </is>
      </c>
      <c r="B76" s="23" t="inlineStr">
        <is>
          <t>grams</t>
        </is>
      </c>
      <c r="C76" s="54">
        <f>(C74+C75)*(1-Assumptions!$B$8)/C21/(1+Assumptions!$B$9)</f>
        <v/>
      </c>
      <c r="D76" s="54">
        <f>(D74+D75)*(1-Assumptions!$B$8)/D21/(1+Assumptions!$B$9)</f>
        <v/>
      </c>
      <c r="E76" s="54">
        <f>(E74+E75)*(1-Assumptions!$B$8)/E21/(1+Assumptions!$B$9)</f>
        <v/>
      </c>
      <c r="F76" s="54">
        <f>(F74+F75)*(1-Assumptions!$B$8)/F21/(1+Assumptions!$B$9)</f>
        <v/>
      </c>
      <c r="G76" s="54">
        <f>(G74+G75)*(1-Assumptions!$B$8)/G21/(1+Assumptions!$B$9)</f>
        <v/>
      </c>
      <c r="H76" s="54">
        <f>(H74+H75)*(1-Assumptions!$B$8)/H21/(1+Assumptions!$B$9)</f>
        <v/>
      </c>
      <c r="I76" s="54">
        <f>(I74+I75)*(1-Assumptions!$B$8)/I21/(1+Assumptions!$B$9)</f>
        <v/>
      </c>
      <c r="J76" s="54">
        <f>(J74+J75)*(1-Assumptions!$B$8)/J21/(1+Assumptions!$B$9)</f>
        <v/>
      </c>
      <c r="K76" s="54">
        <f>(K74+K75)*(1-Assumptions!$B$8)/K21/(1+Assumptions!$B$9)</f>
        <v/>
      </c>
      <c r="L76" s="54">
        <f>(L74+L75)*(1-Assumptions!$B$8)/L21/(1+Assumptions!$B$9)</f>
        <v/>
      </c>
      <c r="M76" s="54">
        <f>(M74+M75)*(1-Assumptions!$B$8)/M21/(1+Assumptions!$B$9)</f>
        <v/>
      </c>
      <c r="N76" s="54">
        <f>(N74+N75)*(1-Assumptions!$B$8)/N21/(1+Assumptions!$B$9)</f>
        <v/>
      </c>
      <c r="O76" s="54">
        <f>(O74+O75)*(1-Assumptions!$B$8)/O21/(1+Assumptions!$B$9)</f>
        <v/>
      </c>
      <c r="P76" s="54">
        <f>(P74+P75)*(1-Assumptions!$B$8)/P21/(1+Assumptions!$B$9)</f>
        <v/>
      </c>
      <c r="Q76" s="54">
        <f>(Q74+Q75)*(1-Assumptions!$B$8)/Q21/(1+Assumptions!$B$9)</f>
        <v/>
      </c>
      <c r="R76" s="54">
        <f>(R74+R75)*(1-Assumptions!$B$8)/R21/(1+Assumptions!$B$9)</f>
        <v/>
      </c>
      <c r="S76" s="54">
        <f>(S74+S75)*(1-Assumptions!$B$8)/S21/(1+Assumptions!$B$9)</f>
        <v/>
      </c>
      <c r="T76" s="54">
        <f>(T74+T75)*(1-Assumptions!$B$8)/T21/(1+Assumptions!$B$9)</f>
        <v/>
      </c>
      <c r="U76" s="54">
        <f>(U74+U75)*(1-Assumptions!$B$8)/U21/(1+Assumptions!$B$9)</f>
        <v/>
      </c>
      <c r="V76" s="54">
        <f>(V74+V75)*(1-Assumptions!$B$8)/V21/(1+Assumptions!$B$9)</f>
        <v/>
      </c>
      <c r="W76" s="54">
        <f>(W74+W75)*(1-Assumptions!$B$8)/W21/(1+Assumptions!$B$9)</f>
        <v/>
      </c>
      <c r="X76" s="54">
        <f>(X74+X75)*(1-Assumptions!$B$8)/X21/(1+Assumptions!$B$9)</f>
        <v/>
      </c>
      <c r="Y76" s="54">
        <f>(Y74+Y75)*(1-Assumptions!$B$8)/Y21/(1+Assumptions!$B$9)</f>
        <v/>
      </c>
      <c r="Z76" s="54">
        <f>(Z74+Z75)*(1-Assumptions!$B$8)/Z21/(1+Assumptions!$B$9)</f>
        <v/>
      </c>
      <c r="AA76" s="54">
        <f>(AA74+AA75)*(1-Assumptions!$B$8)/AA21/(1+Assumptions!$B$9)</f>
        <v/>
      </c>
      <c r="AB76" s="54">
        <f>(AB74+AB75)*(1-Assumptions!$B$8)/AB21/(1+Assumptions!$B$9)</f>
        <v/>
      </c>
      <c r="AC76" s="54">
        <f>(AC74+AC75)*(1-Assumptions!$B$8)/AC21/(1+Assumptions!$B$9)</f>
        <v/>
      </c>
      <c r="AD76" s="54">
        <f>(AD74+AD75)*(1-Assumptions!$B$8)/AD21/(1+Assumptions!$B$9)</f>
        <v/>
      </c>
      <c r="AE76" s="54">
        <f>(AE74+AE75)*(1-Assumptions!$B$8)/AE21/(1+Assumptions!$B$9)</f>
        <v/>
      </c>
    </row>
    <row r="77">
      <c r="A77" s="6" t="inlineStr">
        <is>
          <t xml:space="preserve">  Collateral-eligible AUM decay rate (holder-weighted)</t>
        </is>
      </c>
      <c r="B77" s="23" t="inlineStr">
        <is>
          <t>%/period</t>
        </is>
      </c>
      <c r="C77" s="56">
        <f>(Assumptions!$B$137+Assumptions!$B$138*IF(C70+C72=0,1,(C70+C72*Assumptions!$B$139)/(C70+C72)))*C7/12</f>
        <v/>
      </c>
      <c r="D77" s="56">
        <f>(Assumptions!$B$137+Assumptions!$B$138*IF(D70+D72=0,1,(D70+D72*Assumptions!$B$139)/(D70+D72)))*D7/12</f>
        <v/>
      </c>
      <c r="E77" s="56">
        <f>(Assumptions!$B$137+Assumptions!$B$138*IF(E70+E72=0,1,(E70+E72*Assumptions!$B$139)/(E70+E72)))*E7/12</f>
        <v/>
      </c>
      <c r="F77" s="56">
        <f>(Assumptions!$B$137+Assumptions!$B$138*IF(F70+F72=0,1,(F70+F72*Assumptions!$B$139)/(F70+F72)))*F7/12</f>
        <v/>
      </c>
      <c r="G77" s="56">
        <f>(Assumptions!$B$137+Assumptions!$B$138*IF(G70+G72=0,1,(G70+G72*Assumptions!$B$139)/(G70+G72)))*G7/12</f>
        <v/>
      </c>
      <c r="H77" s="56">
        <f>(Assumptions!$B$137+Assumptions!$B$138*IF(H70+H72=0,1,(H70+H72*Assumptions!$B$139)/(H70+H72)))*H7/12</f>
        <v/>
      </c>
      <c r="I77" s="56">
        <f>(Assumptions!$B$137+Assumptions!$B$138*IF(I70+I72=0,1,(I70+I72*Assumptions!$B$139)/(I70+I72)))*I7/12</f>
        <v/>
      </c>
      <c r="J77" s="56">
        <f>(Assumptions!$B$137+Assumptions!$B$138*IF(J70+J72=0,1,(J70+J72*Assumptions!$B$139)/(J70+J72)))*J7/12</f>
        <v/>
      </c>
      <c r="K77" s="56">
        <f>(Assumptions!$B$137+Assumptions!$B$138*IF(K70+K72=0,1,(K70+K72*Assumptions!$B$139)/(K70+K72)))*K7/12</f>
        <v/>
      </c>
      <c r="L77" s="56">
        <f>(Assumptions!$B$137+Assumptions!$B$138*IF(L70+L72=0,1,(L70+L72*Assumptions!$B$139)/(L70+L72)))*L7/12</f>
        <v/>
      </c>
      <c r="M77" s="56">
        <f>(Assumptions!$B$137+Assumptions!$B$138*IF(M70+M72=0,1,(M70+M72*Assumptions!$B$139)/(M70+M72)))*M7/12</f>
        <v/>
      </c>
      <c r="N77" s="56">
        <f>(Assumptions!$B$137+Assumptions!$B$138*IF(N70+N72=0,1,(N70+N72*Assumptions!$B$139)/(N70+N72)))*N7/12</f>
        <v/>
      </c>
      <c r="O77" s="56">
        <f>(Assumptions!$B$137+Assumptions!$B$138*IF(O70+O72=0,1,(O70+O72*Assumptions!$B$139)/(O70+O72)))*O7/12</f>
        <v/>
      </c>
      <c r="P77" s="56">
        <f>(Assumptions!$B$137+Assumptions!$B$138*IF(P70+P72=0,1,(P70+P72*Assumptions!$B$139)/(P70+P72)))*P7/12</f>
        <v/>
      </c>
      <c r="Q77" s="56">
        <f>(Assumptions!$B$137+Assumptions!$B$138*IF(Q70+Q72=0,1,(Q70+Q72*Assumptions!$B$139)/(Q70+Q72)))*Q7/12</f>
        <v/>
      </c>
      <c r="R77" s="56">
        <f>(Assumptions!$B$137+Assumptions!$B$138*IF(R70+R72=0,1,(R70+R72*Assumptions!$B$139)/(R70+R72)))*R7/12</f>
        <v/>
      </c>
      <c r="S77" s="56">
        <f>(Assumptions!$B$137+Assumptions!$B$138*IF(S70+S72=0,1,(S70+S72*Assumptions!$B$139)/(S70+S72)))*S7/12</f>
        <v/>
      </c>
      <c r="T77" s="56">
        <f>(Assumptions!$B$137+Assumptions!$B$138*IF(T70+T72=0,1,(T70+T72*Assumptions!$B$139)/(T70+T72)))*T7/12</f>
        <v/>
      </c>
      <c r="U77" s="56">
        <f>(Assumptions!$B$137+Assumptions!$B$138*IF(U70+U72=0,1,(U70+U72*Assumptions!$B$139)/(U70+U72)))*U7/12</f>
        <v/>
      </c>
      <c r="V77" s="56">
        <f>(Assumptions!$B$137+Assumptions!$B$138*IF(V70+V72=0,1,(V70+V72*Assumptions!$B$139)/(V70+V72)))*V7/12</f>
        <v/>
      </c>
      <c r="W77" s="56">
        <f>(Assumptions!$B$137+Assumptions!$B$138*IF(W70+W72=0,1,(W70+W72*Assumptions!$B$139)/(W70+W72)))*W7/12</f>
        <v/>
      </c>
      <c r="X77" s="56">
        <f>(Assumptions!$B$137+Assumptions!$B$138*IF(X70+X72=0,1,(X70+X72*Assumptions!$B$139)/(X70+X72)))*X7/12</f>
        <v/>
      </c>
      <c r="Y77" s="56">
        <f>(Assumptions!$B$137+Assumptions!$B$138*IF(Y70+Y72=0,1,(Y70+Y72*Assumptions!$B$139)/(Y70+Y72)))*Y7/12</f>
        <v/>
      </c>
      <c r="Z77" s="56">
        <f>(Assumptions!$B$137+Assumptions!$B$138*IF(Z70+Z72=0,1,(Z70+Z72*Assumptions!$B$139)/(Z70+Z72)))*Z7/12</f>
        <v/>
      </c>
      <c r="AA77" s="56">
        <f>(Assumptions!$B$137+Assumptions!$B$138*IF(AA70+AA72=0,1,(AA70+AA72*Assumptions!$B$139)/(AA70+AA72)))*AA7/12</f>
        <v/>
      </c>
      <c r="AB77" s="56">
        <f>(Assumptions!$B$137+Assumptions!$B$138*IF(AB70+AB72=0,1,(AB70+AB72*Assumptions!$B$139)/(AB70+AB72)))*AB7/12</f>
        <v/>
      </c>
      <c r="AC77" s="56">
        <f>(Assumptions!$B$137+Assumptions!$B$138*IF(AC70+AC72=0,1,(AC70+AC72*Assumptions!$B$139)/(AC70+AC72)))*AC7/12</f>
        <v/>
      </c>
      <c r="AD77" s="56">
        <f>(Assumptions!$B$137+Assumptions!$B$138*IF(AD70+AD72=0,1,(AD70+AD72*Assumptions!$B$139)/(AD70+AD72)))*AD7/12</f>
        <v/>
      </c>
      <c r="AE77" s="56">
        <f>(Assumptions!$B$137+Assumptions!$B$138*IF(AE70+AE72=0,1,(AE70+AE72*Assumptions!$B$139)/(AE70+AE72)))*AE7/12</f>
        <v/>
      </c>
    </row>
    <row r="78">
      <c r="A78" s="6" t="inlineStr">
        <is>
          <t xml:space="preserve">  Redemption-only decay rate (metal actually leaving)</t>
        </is>
      </c>
      <c r="B78" s="23" t="inlineStr">
        <is>
          <t>%/period</t>
        </is>
      </c>
      <c r="C78" s="56">
        <f>Assumptions!$B$138*IF(C70+C72=0,1,(C70+C72*Assumptions!$B$139)/(C70+C72))*C7/12</f>
        <v/>
      </c>
      <c r="D78" s="56">
        <f>Assumptions!$B$138*IF(D70+D72=0,1,(D70+D72*Assumptions!$B$139)/(D70+D72))*D7/12</f>
        <v/>
      </c>
      <c r="E78" s="56">
        <f>Assumptions!$B$138*IF(E70+E72=0,1,(E70+E72*Assumptions!$B$139)/(E70+E72))*E7/12</f>
        <v/>
      </c>
      <c r="F78" s="56">
        <f>Assumptions!$B$138*IF(F70+F72=0,1,(F70+F72*Assumptions!$B$139)/(F70+F72))*F7/12</f>
        <v/>
      </c>
      <c r="G78" s="56">
        <f>Assumptions!$B$138*IF(G70+G72=0,1,(G70+G72*Assumptions!$B$139)/(G70+G72))*G7/12</f>
        <v/>
      </c>
      <c r="H78" s="56">
        <f>Assumptions!$B$138*IF(H70+H72=0,1,(H70+H72*Assumptions!$B$139)/(H70+H72))*H7/12</f>
        <v/>
      </c>
      <c r="I78" s="56">
        <f>Assumptions!$B$138*IF(I70+I72=0,1,(I70+I72*Assumptions!$B$139)/(I70+I72))*I7/12</f>
        <v/>
      </c>
      <c r="J78" s="56">
        <f>Assumptions!$B$138*IF(J70+J72=0,1,(J70+J72*Assumptions!$B$139)/(J70+J72))*J7/12</f>
        <v/>
      </c>
      <c r="K78" s="56">
        <f>Assumptions!$B$138*IF(K70+K72=0,1,(K70+K72*Assumptions!$B$139)/(K70+K72))*K7/12</f>
        <v/>
      </c>
      <c r="L78" s="56">
        <f>Assumptions!$B$138*IF(L70+L72=0,1,(L70+L72*Assumptions!$B$139)/(L70+L72))*L7/12</f>
        <v/>
      </c>
      <c r="M78" s="56">
        <f>Assumptions!$B$138*IF(M70+M72=0,1,(M70+M72*Assumptions!$B$139)/(M70+M72))*M7/12</f>
        <v/>
      </c>
      <c r="N78" s="56">
        <f>Assumptions!$B$138*IF(N70+N72=0,1,(N70+N72*Assumptions!$B$139)/(N70+N72))*N7/12</f>
        <v/>
      </c>
      <c r="O78" s="56">
        <f>Assumptions!$B$138*IF(O70+O72=0,1,(O70+O72*Assumptions!$B$139)/(O70+O72))*O7/12</f>
        <v/>
      </c>
      <c r="P78" s="56">
        <f>Assumptions!$B$138*IF(P70+P72=0,1,(P70+P72*Assumptions!$B$139)/(P70+P72))*P7/12</f>
        <v/>
      </c>
      <c r="Q78" s="56">
        <f>Assumptions!$B$138*IF(Q70+Q72=0,1,(Q70+Q72*Assumptions!$B$139)/(Q70+Q72))*Q7/12</f>
        <v/>
      </c>
      <c r="R78" s="56">
        <f>Assumptions!$B$138*IF(R70+R72=0,1,(R70+R72*Assumptions!$B$139)/(R70+R72))*R7/12</f>
        <v/>
      </c>
      <c r="S78" s="56">
        <f>Assumptions!$B$138*IF(S70+S72=0,1,(S70+S72*Assumptions!$B$139)/(S70+S72))*S7/12</f>
        <v/>
      </c>
      <c r="T78" s="56">
        <f>Assumptions!$B$138*IF(T70+T72=0,1,(T70+T72*Assumptions!$B$139)/(T70+T72))*T7/12</f>
        <v/>
      </c>
      <c r="U78" s="56">
        <f>Assumptions!$B$138*IF(U70+U72=0,1,(U70+U72*Assumptions!$B$139)/(U70+U72))*U7/12</f>
        <v/>
      </c>
      <c r="V78" s="56">
        <f>Assumptions!$B$138*IF(V70+V72=0,1,(V70+V72*Assumptions!$B$139)/(V70+V72))*V7/12</f>
        <v/>
      </c>
      <c r="W78" s="56">
        <f>Assumptions!$B$138*IF(W70+W72=0,1,(W70+W72*Assumptions!$B$139)/(W70+W72))*W7/12</f>
        <v/>
      </c>
      <c r="X78" s="56">
        <f>Assumptions!$B$138*IF(X70+X72=0,1,(X70+X72*Assumptions!$B$139)/(X70+X72))*X7/12</f>
        <v/>
      </c>
      <c r="Y78" s="56">
        <f>Assumptions!$B$138*IF(Y70+Y72=0,1,(Y70+Y72*Assumptions!$B$139)/(Y70+Y72))*Y7/12</f>
        <v/>
      </c>
      <c r="Z78" s="56">
        <f>Assumptions!$B$138*IF(Z70+Z72=0,1,(Z70+Z72*Assumptions!$B$139)/(Z70+Z72))*Z7/12</f>
        <v/>
      </c>
      <c r="AA78" s="56">
        <f>Assumptions!$B$138*IF(AA70+AA72=0,1,(AA70+AA72*Assumptions!$B$139)/(AA70+AA72))*AA7/12</f>
        <v/>
      </c>
      <c r="AB78" s="56">
        <f>Assumptions!$B$138*IF(AB70+AB72=0,1,(AB70+AB72*Assumptions!$B$139)/(AB70+AB72))*AB7/12</f>
        <v/>
      </c>
      <c r="AC78" s="56">
        <f>Assumptions!$B$138*IF(AC70+AC72=0,1,(AC70+AC72*Assumptions!$B$139)/(AC70+AC72))*AC7/12</f>
        <v/>
      </c>
      <c r="AD78" s="56">
        <f>Assumptions!$B$138*IF(AD70+AD72=0,1,(AD70+AD72*Assumptions!$B$139)/(AD70+AD72))*AD7/12</f>
        <v/>
      </c>
      <c r="AE78" s="56">
        <f>Assumptions!$B$138*IF(AE70+AE72=0,1,(AE70+AE72*Assumptions!$B$139)/(AE70+AE72))*AE7/12</f>
        <v/>
      </c>
    </row>
    <row r="79">
      <c r="A79" s="6" t="inlineStr">
        <is>
          <t xml:space="preserve">  Grams held (collateral-eligible)</t>
        </is>
      </c>
      <c r="B79" s="23" t="inlineStr">
        <is>
          <t>grams</t>
        </is>
      </c>
      <c r="C79" s="45">
        <f>C76</f>
        <v/>
      </c>
      <c r="D79" s="45">
        <f>C79*(1-D77)+D76</f>
        <v/>
      </c>
      <c r="E79" s="45">
        <f>D79*(1-E77)+E76</f>
        <v/>
      </c>
      <c r="F79" s="45">
        <f>E79*(1-F77)+F76</f>
        <v/>
      </c>
      <c r="G79" s="45">
        <f>F79*(1-G77)+G76</f>
        <v/>
      </c>
      <c r="H79" s="45">
        <f>G79*(1-H77)+H76</f>
        <v/>
      </c>
      <c r="I79" s="45">
        <f>H79*(1-I77)+I76</f>
        <v/>
      </c>
      <c r="J79" s="45">
        <f>I79*(1-J77)+J76</f>
        <v/>
      </c>
      <c r="K79" s="45">
        <f>J79*(1-K77)+K76</f>
        <v/>
      </c>
      <c r="L79" s="45">
        <f>K79*(1-L77)+L76</f>
        <v/>
      </c>
      <c r="M79" s="45">
        <f>L79*(1-M77)+M76</f>
        <v/>
      </c>
      <c r="N79" s="45">
        <f>M79*(1-N77)+N76</f>
        <v/>
      </c>
      <c r="O79" s="45">
        <f>N79*(1-O77)+O76</f>
        <v/>
      </c>
      <c r="P79" s="45">
        <f>O79*(1-P77)+P76</f>
        <v/>
      </c>
      <c r="Q79" s="45">
        <f>P79*(1-Q77)+Q76</f>
        <v/>
      </c>
      <c r="R79" s="45">
        <f>Q79*(1-R77)+R76</f>
        <v/>
      </c>
      <c r="S79" s="45">
        <f>R79*(1-S77)+S76</f>
        <v/>
      </c>
      <c r="T79" s="45">
        <f>S79*(1-T77)+T76</f>
        <v/>
      </c>
      <c r="U79" s="45">
        <f>T79*(1-U77)+U76</f>
        <v/>
      </c>
      <c r="V79" s="45">
        <f>U79*(1-V77)+V76</f>
        <v/>
      </c>
      <c r="W79" s="45">
        <f>V79*(1-W77)+W76</f>
        <v/>
      </c>
      <c r="X79" s="45">
        <f>W79*(1-X77)+X76</f>
        <v/>
      </c>
      <c r="Y79" s="45">
        <f>X79*(1-Y77)+Y76</f>
        <v/>
      </c>
      <c r="Z79" s="45">
        <f>Y79*(1-Z77)+Z76</f>
        <v/>
      </c>
      <c r="AA79" s="45">
        <f>Z79*(1-AA77)+AA76</f>
        <v/>
      </c>
      <c r="AB79" s="45">
        <f>AA79*(1-AB77)+AB76</f>
        <v/>
      </c>
      <c r="AC79" s="45">
        <f>AB79*(1-AC77)+AC76</f>
        <v/>
      </c>
      <c r="AD79" s="45">
        <f>AC79*(1-AD77)+AD76</f>
        <v/>
      </c>
      <c r="AE79" s="45">
        <f>AD79*(1-AE77)+AE76</f>
        <v/>
      </c>
    </row>
    <row r="80">
      <c r="A80" s="6" t="inlineStr">
        <is>
          <t xml:space="preserve">  Grams under custody (vaulted, incl. self-custodied)</t>
        </is>
      </c>
      <c r="B80" s="23" t="inlineStr">
        <is>
          <t>grams</t>
        </is>
      </c>
      <c r="C80" s="45">
        <f>C76</f>
        <v/>
      </c>
      <c r="D80" s="45">
        <f>C80*(1-D78)+D76</f>
        <v/>
      </c>
      <c r="E80" s="45">
        <f>D80*(1-E78)+E76</f>
        <v/>
      </c>
      <c r="F80" s="45">
        <f>E80*(1-F78)+F76</f>
        <v/>
      </c>
      <c r="G80" s="45">
        <f>F80*(1-G78)+G76</f>
        <v/>
      </c>
      <c r="H80" s="45">
        <f>G80*(1-H78)+H76</f>
        <v/>
      </c>
      <c r="I80" s="45">
        <f>H80*(1-I78)+I76</f>
        <v/>
      </c>
      <c r="J80" s="45">
        <f>I80*(1-J78)+J76</f>
        <v/>
      </c>
      <c r="K80" s="45">
        <f>J80*(1-K78)+K76</f>
        <v/>
      </c>
      <c r="L80" s="45">
        <f>K80*(1-L78)+L76</f>
        <v/>
      </c>
      <c r="M80" s="45">
        <f>L80*(1-M78)+M76</f>
        <v/>
      </c>
      <c r="N80" s="45">
        <f>M80*(1-N78)+N76</f>
        <v/>
      </c>
      <c r="O80" s="45">
        <f>N80*(1-O78)+O76</f>
        <v/>
      </c>
      <c r="P80" s="45">
        <f>O80*(1-P78)+P76</f>
        <v/>
      </c>
      <c r="Q80" s="45">
        <f>P80*(1-Q78)+Q76</f>
        <v/>
      </c>
      <c r="R80" s="45">
        <f>Q80*(1-R78)+R76</f>
        <v/>
      </c>
      <c r="S80" s="45">
        <f>R80*(1-S78)+S76</f>
        <v/>
      </c>
      <c r="T80" s="45">
        <f>S80*(1-T78)+T76</f>
        <v/>
      </c>
      <c r="U80" s="45">
        <f>T80*(1-U78)+U76</f>
        <v/>
      </c>
      <c r="V80" s="45">
        <f>U80*(1-V78)+V76</f>
        <v/>
      </c>
      <c r="W80" s="45">
        <f>V80*(1-W78)+W76</f>
        <v/>
      </c>
      <c r="X80" s="45">
        <f>W80*(1-X78)+X76</f>
        <v/>
      </c>
      <c r="Y80" s="45">
        <f>X80*(1-Y78)+Y76</f>
        <v/>
      </c>
      <c r="Z80" s="45">
        <f>Y80*(1-Z78)+Z76</f>
        <v/>
      </c>
      <c r="AA80" s="45">
        <f>Z80*(1-AA78)+AA76</f>
        <v/>
      </c>
      <c r="AB80" s="45">
        <f>AA80*(1-AB78)+AB76</f>
        <v/>
      </c>
      <c r="AC80" s="45">
        <f>AB80*(1-AC78)+AC76</f>
        <v/>
      </c>
      <c r="AD80" s="45">
        <f>AC80*(1-AD78)+AD76</f>
        <v/>
      </c>
      <c r="AE80" s="45">
        <f>AD80*(1-AE78)+AE76</f>
        <v/>
      </c>
    </row>
    <row r="81">
      <c r="A81" s="6" t="inlineStr">
        <is>
          <t xml:space="preserve">  AUM</t>
        </is>
      </c>
      <c r="B81" s="23" t="inlineStr">
        <is>
          <t>USD</t>
        </is>
      </c>
      <c r="C81" s="57">
        <f>C79*C21</f>
        <v/>
      </c>
      <c r="D81" s="57">
        <f>D79*D21</f>
        <v/>
      </c>
      <c r="E81" s="57">
        <f>E79*E21</f>
        <v/>
      </c>
      <c r="F81" s="57">
        <f>F79*F21</f>
        <v/>
      </c>
      <c r="G81" s="57">
        <f>G79*G21</f>
        <v/>
      </c>
      <c r="H81" s="57">
        <f>H79*H21</f>
        <v/>
      </c>
      <c r="I81" s="57">
        <f>I79*I21</f>
        <v/>
      </c>
      <c r="J81" s="57">
        <f>J79*J21</f>
        <v/>
      </c>
      <c r="K81" s="57">
        <f>K79*K21</f>
        <v/>
      </c>
      <c r="L81" s="57">
        <f>L79*L21</f>
        <v/>
      </c>
      <c r="M81" s="57">
        <f>M79*M21</f>
        <v/>
      </c>
      <c r="N81" s="57">
        <f>N79*N21</f>
        <v/>
      </c>
      <c r="O81" s="57">
        <f>O79*O21</f>
        <v/>
      </c>
      <c r="P81" s="57">
        <f>P79*P21</f>
        <v/>
      </c>
      <c r="Q81" s="57">
        <f>Q79*Q21</f>
        <v/>
      </c>
      <c r="R81" s="57">
        <f>R79*R21</f>
        <v/>
      </c>
      <c r="S81" s="57">
        <f>S79*S21</f>
        <v/>
      </c>
      <c r="T81" s="57">
        <f>T79*T21</f>
        <v/>
      </c>
      <c r="U81" s="57">
        <f>U79*U21</f>
        <v/>
      </c>
      <c r="V81" s="57">
        <f>V79*V21</f>
        <v/>
      </c>
      <c r="W81" s="57">
        <f>W79*W21</f>
        <v/>
      </c>
      <c r="X81" s="57">
        <f>X79*X21</f>
        <v/>
      </c>
      <c r="Y81" s="57">
        <f>Y79*Y21</f>
        <v/>
      </c>
      <c r="Z81" s="57">
        <f>Z79*Z21</f>
        <v/>
      </c>
      <c r="AA81" s="57">
        <f>AA79*AA21</f>
        <v/>
      </c>
      <c r="AB81" s="57">
        <f>AB79*AB21</f>
        <v/>
      </c>
      <c r="AC81" s="57">
        <f>AC79*AC21</f>
        <v/>
      </c>
      <c r="AD81" s="57">
        <f>AD79*AD21</f>
        <v/>
      </c>
      <c r="AE81" s="57">
        <f>AE79*AE21</f>
        <v/>
      </c>
    </row>
    <row r="82">
      <c r="A82" s="6" t="inlineStr">
        <is>
          <t xml:space="preserve">  Card-eligible base</t>
        </is>
      </c>
      <c r="B82" s="23" t="inlineStr">
        <is>
          <t>accounts</t>
        </is>
      </c>
      <c r="C82" s="54">
        <f>C70+C72*Assumptions!$B$179</f>
        <v/>
      </c>
      <c r="D82" s="54">
        <f>D70+D72*Assumptions!$B$179</f>
        <v/>
      </c>
      <c r="E82" s="54">
        <f>E70+E72*Assumptions!$B$179</f>
        <v/>
      </c>
      <c r="F82" s="54">
        <f>F70+F72*Assumptions!$B$179</f>
        <v/>
      </c>
      <c r="G82" s="54">
        <f>G70+G72*Assumptions!$B$179</f>
        <v/>
      </c>
      <c r="H82" s="54">
        <f>H70+H72*Assumptions!$B$179</f>
        <v/>
      </c>
      <c r="I82" s="54">
        <f>I70+I72*Assumptions!$B$179</f>
        <v/>
      </c>
      <c r="J82" s="54">
        <f>J70+J72*Assumptions!$B$179</f>
        <v/>
      </c>
      <c r="K82" s="54">
        <f>K70+K72*Assumptions!$B$179</f>
        <v/>
      </c>
      <c r="L82" s="54">
        <f>L70+L72*Assumptions!$B$179</f>
        <v/>
      </c>
      <c r="M82" s="54">
        <f>M70+M72*Assumptions!$B$179</f>
        <v/>
      </c>
      <c r="N82" s="54">
        <f>N70+N72*Assumptions!$B$179</f>
        <v/>
      </c>
      <c r="O82" s="54">
        <f>O70+O72*Assumptions!$B$179</f>
        <v/>
      </c>
      <c r="P82" s="54">
        <f>P70+P72*Assumptions!$B$179</f>
        <v/>
      </c>
      <c r="Q82" s="54">
        <f>Q70+Q72*Assumptions!$B$179</f>
        <v/>
      </c>
      <c r="R82" s="54">
        <f>R70+R72*Assumptions!$B$179</f>
        <v/>
      </c>
      <c r="S82" s="54">
        <f>S70+S72*Assumptions!$B$179</f>
        <v/>
      </c>
      <c r="T82" s="54">
        <f>T70+T72*Assumptions!$B$179</f>
        <v/>
      </c>
      <c r="U82" s="54">
        <f>U70+U72*Assumptions!$B$179</f>
        <v/>
      </c>
      <c r="V82" s="54">
        <f>V70+V72*Assumptions!$B$179</f>
        <v/>
      </c>
      <c r="W82" s="54">
        <f>W70+W72*Assumptions!$B$179</f>
        <v/>
      </c>
      <c r="X82" s="54">
        <f>X70+X72*Assumptions!$B$179</f>
        <v/>
      </c>
      <c r="Y82" s="54">
        <f>Y70+Y72*Assumptions!$B$179</f>
        <v/>
      </c>
      <c r="Z82" s="54">
        <f>Z70+Z72*Assumptions!$B$179</f>
        <v/>
      </c>
      <c r="AA82" s="54">
        <f>AA70+AA72*Assumptions!$B$179</f>
        <v/>
      </c>
      <c r="AB82" s="54">
        <f>AB70+AB72*Assumptions!$B$179</f>
        <v/>
      </c>
      <c r="AC82" s="54">
        <f>AC70+AC72*Assumptions!$B$179</f>
        <v/>
      </c>
      <c r="AD82" s="54">
        <f>AD70+AD72*Assumptions!$B$179</f>
        <v/>
      </c>
      <c r="AE82" s="54">
        <f>AE70+AE72*Assumptions!$B$179</f>
        <v/>
      </c>
    </row>
    <row r="83">
      <c r="A83" s="6" t="inlineStr">
        <is>
          <t xml:space="preserve">  Cleared the six-payment gate</t>
        </is>
      </c>
      <c r="B83" s="23" t="inlineStr">
        <is>
          <t>accounts</t>
        </is>
      </c>
      <c r="C83" s="45">
        <f>IF(C7&gt;1,C82*Assumptions!$B$135,IF(C2&gt;Assumptions!$B$136,INDEX($C$82:$AE$82,1,C2-Assumptions!$B$136)*Assumptions!$B$135,0))</f>
        <v/>
      </c>
      <c r="D83" s="45">
        <f>IF(D7&gt;1,D82*Assumptions!$B$135,IF(D2&gt;Assumptions!$B$136,INDEX($C$82:$AE$82,1,D2-Assumptions!$B$136)*Assumptions!$B$135,0))</f>
        <v/>
      </c>
      <c r="E83" s="45">
        <f>IF(E7&gt;1,E82*Assumptions!$B$135,IF(E2&gt;Assumptions!$B$136,INDEX($C$82:$AE$82,1,E2-Assumptions!$B$136)*Assumptions!$B$135,0))</f>
        <v/>
      </c>
      <c r="F83" s="45">
        <f>IF(F7&gt;1,F82*Assumptions!$B$135,IF(F2&gt;Assumptions!$B$136,INDEX($C$82:$AE$82,1,F2-Assumptions!$B$136)*Assumptions!$B$135,0))</f>
        <v/>
      </c>
      <c r="G83" s="45">
        <f>IF(G7&gt;1,G82*Assumptions!$B$135,IF(G2&gt;Assumptions!$B$136,INDEX($C$82:$AE$82,1,G2-Assumptions!$B$136)*Assumptions!$B$135,0))</f>
        <v/>
      </c>
      <c r="H83" s="45">
        <f>IF(H7&gt;1,H82*Assumptions!$B$135,IF(H2&gt;Assumptions!$B$136,INDEX($C$82:$AE$82,1,H2-Assumptions!$B$136)*Assumptions!$B$135,0))</f>
        <v/>
      </c>
      <c r="I83" s="45">
        <f>IF(I7&gt;1,I82*Assumptions!$B$135,IF(I2&gt;Assumptions!$B$136,INDEX($C$82:$AE$82,1,I2-Assumptions!$B$136)*Assumptions!$B$135,0))</f>
        <v/>
      </c>
      <c r="J83" s="45">
        <f>IF(J7&gt;1,J82*Assumptions!$B$135,IF(J2&gt;Assumptions!$B$136,INDEX($C$82:$AE$82,1,J2-Assumptions!$B$136)*Assumptions!$B$135,0))</f>
        <v/>
      </c>
      <c r="K83" s="45">
        <f>IF(K7&gt;1,K82*Assumptions!$B$135,IF(K2&gt;Assumptions!$B$136,INDEX($C$82:$AE$82,1,K2-Assumptions!$B$136)*Assumptions!$B$135,0))</f>
        <v/>
      </c>
      <c r="L83" s="45">
        <f>IF(L7&gt;1,L82*Assumptions!$B$135,IF(L2&gt;Assumptions!$B$136,INDEX($C$82:$AE$82,1,L2-Assumptions!$B$136)*Assumptions!$B$135,0))</f>
        <v/>
      </c>
      <c r="M83" s="45">
        <f>IF(M7&gt;1,M82*Assumptions!$B$135,IF(M2&gt;Assumptions!$B$136,INDEX($C$82:$AE$82,1,M2-Assumptions!$B$136)*Assumptions!$B$135,0))</f>
        <v/>
      </c>
      <c r="N83" s="45">
        <f>IF(N7&gt;1,N82*Assumptions!$B$135,IF(N2&gt;Assumptions!$B$136,INDEX($C$82:$AE$82,1,N2-Assumptions!$B$136)*Assumptions!$B$135,0))</f>
        <v/>
      </c>
      <c r="O83" s="45">
        <f>IF(O7&gt;1,O82*Assumptions!$B$135,IF(O2&gt;Assumptions!$B$136,INDEX($C$82:$AE$82,1,O2-Assumptions!$B$136)*Assumptions!$B$135,0))</f>
        <v/>
      </c>
      <c r="P83" s="45">
        <f>IF(P7&gt;1,P82*Assumptions!$B$135,IF(P2&gt;Assumptions!$B$136,INDEX($C$82:$AE$82,1,P2-Assumptions!$B$136)*Assumptions!$B$135,0))</f>
        <v/>
      </c>
      <c r="Q83" s="45">
        <f>IF(Q7&gt;1,Q82*Assumptions!$B$135,IF(Q2&gt;Assumptions!$B$136,INDEX($C$82:$AE$82,1,Q2-Assumptions!$B$136)*Assumptions!$B$135,0))</f>
        <v/>
      </c>
      <c r="R83" s="45">
        <f>IF(R7&gt;1,R82*Assumptions!$B$135,IF(R2&gt;Assumptions!$B$136,INDEX($C$82:$AE$82,1,R2-Assumptions!$B$136)*Assumptions!$B$135,0))</f>
        <v/>
      </c>
      <c r="S83" s="45">
        <f>IF(S7&gt;1,S82*Assumptions!$B$135,IF(S2&gt;Assumptions!$B$136,INDEX($C$82:$AE$82,1,S2-Assumptions!$B$136)*Assumptions!$B$135,0))</f>
        <v/>
      </c>
      <c r="T83" s="45">
        <f>IF(T7&gt;1,T82*Assumptions!$B$135,IF(T2&gt;Assumptions!$B$136,INDEX($C$82:$AE$82,1,T2-Assumptions!$B$136)*Assumptions!$B$135,0))</f>
        <v/>
      </c>
      <c r="U83" s="45">
        <f>IF(U7&gt;1,U82*Assumptions!$B$135,IF(U2&gt;Assumptions!$B$136,INDEX($C$82:$AE$82,1,U2-Assumptions!$B$136)*Assumptions!$B$135,0))</f>
        <v/>
      </c>
      <c r="V83" s="45">
        <f>IF(V7&gt;1,V82*Assumptions!$B$135,IF(V2&gt;Assumptions!$B$136,INDEX($C$82:$AE$82,1,V2-Assumptions!$B$136)*Assumptions!$B$135,0))</f>
        <v/>
      </c>
      <c r="W83" s="45">
        <f>IF(W7&gt;1,W82*Assumptions!$B$135,IF(W2&gt;Assumptions!$B$136,INDEX($C$82:$AE$82,1,W2-Assumptions!$B$136)*Assumptions!$B$135,0))</f>
        <v/>
      </c>
      <c r="X83" s="45">
        <f>IF(X7&gt;1,X82*Assumptions!$B$135,IF(X2&gt;Assumptions!$B$136,INDEX($C$82:$AE$82,1,X2-Assumptions!$B$136)*Assumptions!$B$135,0))</f>
        <v/>
      </c>
      <c r="Y83" s="45">
        <f>IF(Y7&gt;1,Y82*Assumptions!$B$135,IF(Y2&gt;Assumptions!$B$136,INDEX($C$82:$AE$82,1,Y2-Assumptions!$B$136)*Assumptions!$B$135,0))</f>
        <v/>
      </c>
      <c r="Z83" s="45">
        <f>IF(Z7&gt;1,Z82*Assumptions!$B$135,IF(Z2&gt;Assumptions!$B$136,INDEX($C$82:$AE$82,1,Z2-Assumptions!$B$136)*Assumptions!$B$135,0))</f>
        <v/>
      </c>
      <c r="AA83" s="45">
        <f>IF(AA7&gt;1,AA82*Assumptions!$B$135,IF(AA2&gt;Assumptions!$B$136,INDEX($C$82:$AE$82,1,AA2-Assumptions!$B$136)*Assumptions!$B$135,0))</f>
        <v/>
      </c>
      <c r="AB83" s="45">
        <f>IF(AB7&gt;1,AB82*Assumptions!$B$135,IF(AB2&gt;Assumptions!$B$136,INDEX($C$82:$AE$82,1,AB2-Assumptions!$B$136)*Assumptions!$B$135,0))</f>
        <v/>
      </c>
      <c r="AC83" s="45">
        <f>IF(AC7&gt;1,AC82*Assumptions!$B$135,IF(AC2&gt;Assumptions!$B$136,INDEX($C$82:$AE$82,1,AC2-Assumptions!$B$136)*Assumptions!$B$135,0))</f>
        <v/>
      </c>
      <c r="AD83" s="45">
        <f>IF(AD7&gt;1,AD82*Assumptions!$B$135,IF(AD2&gt;Assumptions!$B$136,INDEX($C$82:$AE$82,1,AD2-Assumptions!$B$136)*Assumptions!$B$135,0))</f>
        <v/>
      </c>
      <c r="AE83" s="45">
        <f>IF(AE7&gt;1,AE82*Assumptions!$B$135,IF(AE2&gt;Assumptions!$B$136,INDEX($C$82:$AE$82,1,AE2-Assumptions!$B$136)*Assumptions!$B$135,0))</f>
        <v/>
      </c>
    </row>
    <row r="84">
      <c r="A84" s="6" t="inlineStr">
        <is>
          <t xml:space="preserve">  Active cards</t>
        </is>
      </c>
      <c r="B84" s="23" t="inlineStr">
        <is>
          <t>cards</t>
        </is>
      </c>
      <c r="C84" s="28">
        <f>IF(C2&gt;=Assumptions!$B$52,C83*Assumptions!$B$144,0)</f>
        <v/>
      </c>
      <c r="D84" s="28">
        <f>IF(D2&gt;=Assumptions!$B$52,D83*Assumptions!$B$144,0)</f>
        <v/>
      </c>
      <c r="E84" s="28">
        <f>IF(E2&gt;=Assumptions!$B$52,E83*Assumptions!$B$144,0)</f>
        <v/>
      </c>
      <c r="F84" s="28">
        <f>IF(F2&gt;=Assumptions!$B$52,F83*Assumptions!$B$144,0)</f>
        <v/>
      </c>
      <c r="G84" s="28">
        <f>IF(G2&gt;=Assumptions!$B$52,G83*Assumptions!$B$144,0)</f>
        <v/>
      </c>
      <c r="H84" s="28">
        <f>IF(H2&gt;=Assumptions!$B$52,H83*Assumptions!$B$144,0)</f>
        <v/>
      </c>
      <c r="I84" s="28">
        <f>IF(I2&gt;=Assumptions!$B$52,I83*Assumptions!$B$144,0)</f>
        <v/>
      </c>
      <c r="J84" s="28">
        <f>IF(J2&gt;=Assumptions!$B$52,J83*Assumptions!$B$144,0)</f>
        <v/>
      </c>
      <c r="K84" s="28">
        <f>IF(K2&gt;=Assumptions!$B$52,K83*Assumptions!$B$144,0)</f>
        <v/>
      </c>
      <c r="L84" s="28">
        <f>IF(L2&gt;=Assumptions!$B$52,L83*Assumptions!$B$144,0)</f>
        <v/>
      </c>
      <c r="M84" s="28">
        <f>IF(M2&gt;=Assumptions!$B$52,M83*Assumptions!$B$144,0)</f>
        <v/>
      </c>
      <c r="N84" s="28">
        <f>IF(N2&gt;=Assumptions!$B$52,N83*Assumptions!$B$144,0)</f>
        <v/>
      </c>
      <c r="O84" s="28">
        <f>IF(O2&gt;=Assumptions!$B$52,O83*Assumptions!$B$144,0)</f>
        <v/>
      </c>
      <c r="P84" s="28">
        <f>IF(P2&gt;=Assumptions!$B$52,P83*Assumptions!$B$144,0)</f>
        <v/>
      </c>
      <c r="Q84" s="28">
        <f>IF(Q2&gt;=Assumptions!$B$52,Q83*Assumptions!$B$144,0)</f>
        <v/>
      </c>
      <c r="R84" s="28">
        <f>IF(R2&gt;=Assumptions!$B$52,R83*Assumptions!$B$144,0)</f>
        <v/>
      </c>
      <c r="S84" s="28">
        <f>IF(S2&gt;=Assumptions!$B$52,S83*Assumptions!$B$144,0)</f>
        <v/>
      </c>
      <c r="T84" s="28">
        <f>IF(T2&gt;=Assumptions!$B$52,T83*Assumptions!$B$144,0)</f>
        <v/>
      </c>
      <c r="U84" s="28">
        <f>IF(U2&gt;=Assumptions!$B$52,U83*Assumptions!$B$144,0)</f>
        <v/>
      </c>
      <c r="V84" s="28">
        <f>IF(V2&gt;=Assumptions!$B$52,V83*Assumptions!$B$144,0)</f>
        <v/>
      </c>
      <c r="W84" s="28">
        <f>IF(W2&gt;=Assumptions!$B$52,W83*Assumptions!$B$144,0)</f>
        <v/>
      </c>
      <c r="X84" s="28">
        <f>IF(X2&gt;=Assumptions!$B$52,X83*Assumptions!$B$144,0)</f>
        <v/>
      </c>
      <c r="Y84" s="28">
        <f>IF(Y2&gt;=Assumptions!$B$52,Y83*Assumptions!$B$144,0)</f>
        <v/>
      </c>
      <c r="Z84" s="28">
        <f>IF(Z2&gt;=Assumptions!$B$52,Z83*Assumptions!$B$144,0)</f>
        <v/>
      </c>
      <c r="AA84" s="28">
        <f>IF(AA2&gt;=Assumptions!$B$52,AA83*Assumptions!$B$144,0)</f>
        <v/>
      </c>
      <c r="AB84" s="28">
        <f>IF(AB2&gt;=Assumptions!$B$52,AB83*Assumptions!$B$144,0)</f>
        <v/>
      </c>
      <c r="AC84" s="28">
        <f>IF(AC2&gt;=Assumptions!$B$52,AC83*Assumptions!$B$144,0)</f>
        <v/>
      </c>
      <c r="AD84" s="28">
        <f>IF(AD2&gt;=Assumptions!$B$52,AD83*Assumptions!$B$144,0)</f>
        <v/>
      </c>
      <c r="AE84" s="28">
        <f>IF(AE2&gt;=Assumptions!$B$52,AE83*Assumptions!$B$144,0)</f>
        <v/>
      </c>
    </row>
    <row r="85">
      <c r="A85" s="6" t="inlineStr">
        <is>
          <t xml:space="preserve">  Credit limit per customer (gold x LTV)</t>
        </is>
      </c>
      <c r="B85" s="23" t="inlineStr">
        <is>
          <t>USD</t>
        </is>
      </c>
      <c r="C85" s="55">
        <f>IF(C70=0,0,C81/C70*Assumptions!$B$32)</f>
        <v/>
      </c>
      <c r="D85" s="55">
        <f>IF(D70=0,0,D81/D70*Assumptions!$B$32)</f>
        <v/>
      </c>
      <c r="E85" s="55">
        <f>IF(E70=0,0,E81/E70*Assumptions!$B$32)</f>
        <v/>
      </c>
      <c r="F85" s="55">
        <f>IF(F70=0,0,F81/F70*Assumptions!$B$32)</f>
        <v/>
      </c>
      <c r="G85" s="55">
        <f>IF(G70=0,0,G81/G70*Assumptions!$B$32)</f>
        <v/>
      </c>
      <c r="H85" s="55">
        <f>IF(H70=0,0,H81/H70*Assumptions!$B$32)</f>
        <v/>
      </c>
      <c r="I85" s="55">
        <f>IF(I70=0,0,I81/I70*Assumptions!$B$32)</f>
        <v/>
      </c>
      <c r="J85" s="55">
        <f>IF(J70=0,0,J81/J70*Assumptions!$B$32)</f>
        <v/>
      </c>
      <c r="K85" s="55">
        <f>IF(K70=0,0,K81/K70*Assumptions!$B$32)</f>
        <v/>
      </c>
      <c r="L85" s="55">
        <f>IF(L70=0,0,L81/L70*Assumptions!$B$32)</f>
        <v/>
      </c>
      <c r="M85" s="55">
        <f>IF(M70=0,0,M81/M70*Assumptions!$B$32)</f>
        <v/>
      </c>
      <c r="N85" s="55">
        <f>IF(N70=0,0,N81/N70*Assumptions!$B$32)</f>
        <v/>
      </c>
      <c r="O85" s="55">
        <f>IF(O70=0,0,O81/O70*Assumptions!$B$32)</f>
        <v/>
      </c>
      <c r="P85" s="55">
        <f>IF(P70=0,0,P81/P70*Assumptions!$B$32)</f>
        <v/>
      </c>
      <c r="Q85" s="55">
        <f>IF(Q70=0,0,Q81/Q70*Assumptions!$B$32)</f>
        <v/>
      </c>
      <c r="R85" s="55">
        <f>IF(R70=0,0,R81/R70*Assumptions!$B$32)</f>
        <v/>
      </c>
      <c r="S85" s="55">
        <f>IF(S70=0,0,S81/S70*Assumptions!$B$32)</f>
        <v/>
      </c>
      <c r="T85" s="55">
        <f>IF(T70=0,0,T81/T70*Assumptions!$B$32)</f>
        <v/>
      </c>
      <c r="U85" s="55">
        <f>IF(U70=0,0,U81/U70*Assumptions!$B$32)</f>
        <v/>
      </c>
      <c r="V85" s="55">
        <f>IF(V70=0,0,V81/V70*Assumptions!$B$32)</f>
        <v/>
      </c>
      <c r="W85" s="55">
        <f>IF(W70=0,0,W81/W70*Assumptions!$B$32)</f>
        <v/>
      </c>
      <c r="X85" s="55">
        <f>IF(X70=0,0,X81/X70*Assumptions!$B$32)</f>
        <v/>
      </c>
      <c r="Y85" s="55">
        <f>IF(Y70=0,0,Y81/Y70*Assumptions!$B$32)</f>
        <v/>
      </c>
      <c r="Z85" s="55">
        <f>IF(Z70=0,0,Z81/Z70*Assumptions!$B$32)</f>
        <v/>
      </c>
      <c r="AA85" s="55">
        <f>IF(AA70=0,0,AA81/AA70*Assumptions!$B$32)</f>
        <v/>
      </c>
      <c r="AB85" s="55">
        <f>IF(AB70=0,0,AB81/AB70*Assumptions!$B$32)</f>
        <v/>
      </c>
      <c r="AC85" s="55">
        <f>IF(AC70=0,0,AC81/AC70*Assumptions!$B$32)</f>
        <v/>
      </c>
      <c r="AD85" s="55">
        <f>IF(AD70=0,0,AD81/AD70*Assumptions!$B$32)</f>
        <v/>
      </c>
      <c r="AE85" s="55">
        <f>IF(AE70=0,0,AE81/AE70*Assumptions!$B$32)</f>
        <v/>
      </c>
    </row>
    <row r="86">
      <c r="A86" s="6" t="inlineStr">
        <is>
          <t xml:space="preserve">  Annual drawdown per card (limit x drawn x draws)</t>
        </is>
      </c>
      <c r="B86" s="23" t="inlineStr">
        <is>
          <t>USD/yr</t>
        </is>
      </c>
      <c r="C86" s="55">
        <f>C85*Assumptions!$B$157*Assumptions!$B$159</f>
        <v/>
      </c>
      <c r="D86" s="55">
        <f>D85*Assumptions!$B$157*Assumptions!$B$159</f>
        <v/>
      </c>
      <c r="E86" s="55">
        <f>E85*Assumptions!$B$157*Assumptions!$B$159</f>
        <v/>
      </c>
      <c r="F86" s="55">
        <f>F85*Assumptions!$B$157*Assumptions!$B$159</f>
        <v/>
      </c>
      <c r="G86" s="55">
        <f>G85*Assumptions!$B$157*Assumptions!$B$159</f>
        <v/>
      </c>
      <c r="H86" s="55">
        <f>H85*Assumptions!$B$157*Assumptions!$B$159</f>
        <v/>
      </c>
      <c r="I86" s="55">
        <f>I85*Assumptions!$B$157*Assumptions!$B$159</f>
        <v/>
      </c>
      <c r="J86" s="55">
        <f>J85*Assumptions!$B$157*Assumptions!$B$159</f>
        <v/>
      </c>
      <c r="K86" s="55">
        <f>K85*Assumptions!$B$157*Assumptions!$B$159</f>
        <v/>
      </c>
      <c r="L86" s="55">
        <f>L85*Assumptions!$B$157*Assumptions!$B$159</f>
        <v/>
      </c>
      <c r="M86" s="55">
        <f>M85*Assumptions!$B$157*Assumptions!$B$159</f>
        <v/>
      </c>
      <c r="N86" s="55">
        <f>N85*Assumptions!$B$157*Assumptions!$B$159</f>
        <v/>
      </c>
      <c r="O86" s="55">
        <f>O85*Assumptions!$B$157*Assumptions!$B$159</f>
        <v/>
      </c>
      <c r="P86" s="55">
        <f>P85*Assumptions!$B$157*Assumptions!$B$159</f>
        <v/>
      </c>
      <c r="Q86" s="55">
        <f>Q85*Assumptions!$B$157*Assumptions!$B$159</f>
        <v/>
      </c>
      <c r="R86" s="55">
        <f>R85*Assumptions!$B$157*Assumptions!$B$159</f>
        <v/>
      </c>
      <c r="S86" s="55">
        <f>S85*Assumptions!$B$157*Assumptions!$B$159</f>
        <v/>
      </c>
      <c r="T86" s="55">
        <f>T85*Assumptions!$B$157*Assumptions!$B$159</f>
        <v/>
      </c>
      <c r="U86" s="55">
        <f>U85*Assumptions!$B$157*Assumptions!$B$159</f>
        <v/>
      </c>
      <c r="V86" s="55">
        <f>V85*Assumptions!$B$157*Assumptions!$B$159</f>
        <v/>
      </c>
      <c r="W86" s="55">
        <f>W85*Assumptions!$B$157*Assumptions!$B$159</f>
        <v/>
      </c>
      <c r="X86" s="55">
        <f>X85*Assumptions!$B$157*Assumptions!$B$159</f>
        <v/>
      </c>
      <c r="Y86" s="55">
        <f>Y85*Assumptions!$B$157*Assumptions!$B$159</f>
        <v/>
      </c>
      <c r="Z86" s="55">
        <f>Z85*Assumptions!$B$157*Assumptions!$B$159</f>
        <v/>
      </c>
      <c r="AA86" s="55">
        <f>AA85*Assumptions!$B$157*Assumptions!$B$159</f>
        <v/>
      </c>
      <c r="AB86" s="55">
        <f>AB85*Assumptions!$B$157*Assumptions!$B$159</f>
        <v/>
      </c>
      <c r="AC86" s="55">
        <f>AC85*Assumptions!$B$157*Assumptions!$B$159</f>
        <v/>
      </c>
      <c r="AD86" s="55">
        <f>AD85*Assumptions!$B$157*Assumptions!$B$159</f>
        <v/>
      </c>
      <c r="AE86" s="55">
        <f>AE85*Assumptions!$B$157*Assumptions!$B$159</f>
        <v/>
      </c>
    </row>
    <row r="87">
      <c r="A87" s="6" t="inlineStr">
        <is>
          <t xml:space="preserve">  Card spend per card per month</t>
        </is>
      </c>
      <c r="B87" s="23" t="inlineStr">
        <is>
          <t>USD</t>
        </is>
      </c>
      <c r="C87" s="55">
        <f>C86/12*C16</f>
        <v/>
      </c>
      <c r="D87" s="55">
        <f>D86/12*D16</f>
        <v/>
      </c>
      <c r="E87" s="55">
        <f>E86/12*E16</f>
        <v/>
      </c>
      <c r="F87" s="55">
        <f>F86/12*F16</f>
        <v/>
      </c>
      <c r="G87" s="55">
        <f>G86/12*G16</f>
        <v/>
      </c>
      <c r="H87" s="55">
        <f>H86/12*H16</f>
        <v/>
      </c>
      <c r="I87" s="55">
        <f>I86/12*I16</f>
        <v/>
      </c>
      <c r="J87" s="55">
        <f>J86/12*J16</f>
        <v/>
      </c>
      <c r="K87" s="55">
        <f>K86/12*K16</f>
        <v/>
      </c>
      <c r="L87" s="55">
        <f>L86/12*L16</f>
        <v/>
      </c>
      <c r="M87" s="55">
        <f>M86/12*M16</f>
        <v/>
      </c>
      <c r="N87" s="55">
        <f>N86/12*N16</f>
        <v/>
      </c>
      <c r="O87" s="55">
        <f>O86/12*O16</f>
        <v/>
      </c>
      <c r="P87" s="55">
        <f>P86/12*P16</f>
        <v/>
      </c>
      <c r="Q87" s="55">
        <f>Q86/12*Q16</f>
        <v/>
      </c>
      <c r="R87" s="55">
        <f>R86/12*R16</f>
        <v/>
      </c>
      <c r="S87" s="55">
        <f>S86/12*S16</f>
        <v/>
      </c>
      <c r="T87" s="55">
        <f>T86/12*T16</f>
        <v/>
      </c>
      <c r="U87" s="55">
        <f>U86/12*U16</f>
        <v/>
      </c>
      <c r="V87" s="55">
        <f>V86/12*V16</f>
        <v/>
      </c>
      <c r="W87" s="55">
        <f>W86/12*W16</f>
        <v/>
      </c>
      <c r="X87" s="55">
        <f>X86/12*X16</f>
        <v/>
      </c>
      <c r="Y87" s="55">
        <f>Y86/12*Y16</f>
        <v/>
      </c>
      <c r="Z87" s="55">
        <f>Z86/12*Z16</f>
        <v/>
      </c>
      <c r="AA87" s="55">
        <f>AA86/12*AA16</f>
        <v/>
      </c>
      <c r="AB87" s="55">
        <f>AB86/12*AB16</f>
        <v/>
      </c>
      <c r="AC87" s="55">
        <f>AC86/12*AC16</f>
        <v/>
      </c>
      <c r="AD87" s="55">
        <f>AD86/12*AD16</f>
        <v/>
      </c>
      <c r="AE87" s="55">
        <f>AE86/12*AE16</f>
        <v/>
      </c>
    </row>
    <row r="88">
      <c r="A88" s="6" t="inlineStr">
        <is>
          <t xml:space="preserve">  Card spend</t>
        </is>
      </c>
      <c r="B88" s="23" t="inlineStr">
        <is>
          <t>AED</t>
        </is>
      </c>
      <c r="C88" s="45">
        <f>C84*C87*Assumptions!$B$7*C7</f>
        <v/>
      </c>
      <c r="D88" s="45">
        <f>D84*D87*Assumptions!$B$7*D7</f>
        <v/>
      </c>
      <c r="E88" s="45">
        <f>E84*E87*Assumptions!$B$7*E7</f>
        <v/>
      </c>
      <c r="F88" s="45">
        <f>F84*F87*Assumptions!$B$7*F7</f>
        <v/>
      </c>
      <c r="G88" s="45">
        <f>G84*G87*Assumptions!$B$7*G7</f>
        <v/>
      </c>
      <c r="H88" s="45">
        <f>H84*H87*Assumptions!$B$7*H7</f>
        <v/>
      </c>
      <c r="I88" s="45">
        <f>I84*I87*Assumptions!$B$7*I7</f>
        <v/>
      </c>
      <c r="J88" s="45">
        <f>J84*J87*Assumptions!$B$7*J7</f>
        <v/>
      </c>
      <c r="K88" s="45">
        <f>K84*K87*Assumptions!$B$7*K7</f>
        <v/>
      </c>
      <c r="L88" s="45">
        <f>L84*L87*Assumptions!$B$7*L7</f>
        <v/>
      </c>
      <c r="M88" s="45">
        <f>M84*M87*Assumptions!$B$7*M7</f>
        <v/>
      </c>
      <c r="N88" s="45">
        <f>N84*N87*Assumptions!$B$7*N7</f>
        <v/>
      </c>
      <c r="O88" s="45">
        <f>O84*O87*Assumptions!$B$7*O7</f>
        <v/>
      </c>
      <c r="P88" s="45">
        <f>P84*P87*Assumptions!$B$7*P7</f>
        <v/>
      </c>
      <c r="Q88" s="45">
        <f>Q84*Q87*Assumptions!$B$7*Q7</f>
        <v/>
      </c>
      <c r="R88" s="45">
        <f>R84*R87*Assumptions!$B$7*R7</f>
        <v/>
      </c>
      <c r="S88" s="45">
        <f>S84*S87*Assumptions!$B$7*S7</f>
        <v/>
      </c>
      <c r="T88" s="45">
        <f>T84*T87*Assumptions!$B$7*T7</f>
        <v/>
      </c>
      <c r="U88" s="45">
        <f>U84*U87*Assumptions!$B$7*U7</f>
        <v/>
      </c>
      <c r="V88" s="45">
        <f>V84*V87*Assumptions!$B$7*V7</f>
        <v/>
      </c>
      <c r="W88" s="45">
        <f>W84*W87*Assumptions!$B$7*W7</f>
        <v/>
      </c>
      <c r="X88" s="45">
        <f>X84*X87*Assumptions!$B$7*X7</f>
        <v/>
      </c>
      <c r="Y88" s="45">
        <f>Y84*Y87*Assumptions!$B$7*Y7</f>
        <v/>
      </c>
      <c r="Z88" s="45">
        <f>Z84*Z87*Assumptions!$B$7*Z7</f>
        <v/>
      </c>
      <c r="AA88" s="45">
        <f>AA84*AA87*Assumptions!$B$7*AA7</f>
        <v/>
      </c>
      <c r="AB88" s="45">
        <f>AB84*AB87*Assumptions!$B$7*AB7</f>
        <v/>
      </c>
      <c r="AC88" s="45">
        <f>AC84*AC87*Assumptions!$B$7*AC7</f>
        <v/>
      </c>
      <c r="AD88" s="45">
        <f>AD84*AD87*Assumptions!$B$7*AD7</f>
        <v/>
      </c>
      <c r="AE88" s="45">
        <f>AE84*AE87*Assumptions!$B$7*AE7</f>
        <v/>
      </c>
    </row>
    <row r="89">
      <c r="A89" s="6" t="inlineStr">
        <is>
          <t xml:space="preserve">  Card spend</t>
        </is>
      </c>
      <c r="B89" s="23" t="inlineStr">
        <is>
          <t>USD</t>
        </is>
      </c>
      <c r="C89" s="55">
        <f>C88/Assumptions!$B$7</f>
        <v/>
      </c>
      <c r="D89" s="55">
        <f>D88/Assumptions!$B$7</f>
        <v/>
      </c>
      <c r="E89" s="55">
        <f>E88/Assumptions!$B$7</f>
        <v/>
      </c>
      <c r="F89" s="55">
        <f>F88/Assumptions!$B$7</f>
        <v/>
      </c>
      <c r="G89" s="55">
        <f>G88/Assumptions!$B$7</f>
        <v/>
      </c>
      <c r="H89" s="55">
        <f>H88/Assumptions!$B$7</f>
        <v/>
      </c>
      <c r="I89" s="55">
        <f>I88/Assumptions!$B$7</f>
        <v/>
      </c>
      <c r="J89" s="55">
        <f>J88/Assumptions!$B$7</f>
        <v/>
      </c>
      <c r="K89" s="55">
        <f>K88/Assumptions!$B$7</f>
        <v/>
      </c>
      <c r="L89" s="55">
        <f>L88/Assumptions!$B$7</f>
        <v/>
      </c>
      <c r="M89" s="55">
        <f>M88/Assumptions!$B$7</f>
        <v/>
      </c>
      <c r="N89" s="55">
        <f>N88/Assumptions!$B$7</f>
        <v/>
      </c>
      <c r="O89" s="55">
        <f>O88/Assumptions!$B$7</f>
        <v/>
      </c>
      <c r="P89" s="55">
        <f>P88/Assumptions!$B$7</f>
        <v/>
      </c>
      <c r="Q89" s="55">
        <f>Q88/Assumptions!$B$7</f>
        <v/>
      </c>
      <c r="R89" s="55">
        <f>R88/Assumptions!$B$7</f>
        <v/>
      </c>
      <c r="S89" s="55">
        <f>S88/Assumptions!$B$7</f>
        <v/>
      </c>
      <c r="T89" s="55">
        <f>T88/Assumptions!$B$7</f>
        <v/>
      </c>
      <c r="U89" s="55">
        <f>U88/Assumptions!$B$7</f>
        <v/>
      </c>
      <c r="V89" s="55">
        <f>V88/Assumptions!$B$7</f>
        <v/>
      </c>
      <c r="W89" s="55">
        <f>W88/Assumptions!$B$7</f>
        <v/>
      </c>
      <c r="X89" s="55">
        <f>X88/Assumptions!$B$7</f>
        <v/>
      </c>
      <c r="Y89" s="55">
        <f>Y88/Assumptions!$B$7</f>
        <v/>
      </c>
      <c r="Z89" s="55">
        <f>Z88/Assumptions!$B$7</f>
        <v/>
      </c>
      <c r="AA89" s="55">
        <f>AA88/Assumptions!$B$7</f>
        <v/>
      </c>
      <c r="AB89" s="55">
        <f>AB88/Assumptions!$B$7</f>
        <v/>
      </c>
      <c r="AC89" s="55">
        <f>AC88/Assumptions!$B$7</f>
        <v/>
      </c>
      <c r="AD89" s="55">
        <f>AD88/Assumptions!$B$7</f>
        <v/>
      </c>
      <c r="AE89" s="55">
        <f>AE88/Assumptions!$B$7</f>
        <v/>
      </c>
    </row>
    <row r="90">
      <c r="A90" s="6" t="inlineStr">
        <is>
          <t xml:space="preserve">  Average transaction size (derived)</t>
        </is>
      </c>
      <c r="B90" s="23" t="inlineStr">
        <is>
          <t>AED</t>
        </is>
      </c>
      <c r="C90" s="45">
        <f>IF(Assumptions!$B$145=0,0,C85*Assumptions!$B$157*Assumptions!$B$7/Assumptions!$B$145)</f>
        <v/>
      </c>
      <c r="D90" s="45">
        <f>IF(Assumptions!$B$145=0,0,D85*Assumptions!$B$157*Assumptions!$B$7/Assumptions!$B$145)</f>
        <v/>
      </c>
      <c r="E90" s="45">
        <f>IF(Assumptions!$B$145=0,0,E85*Assumptions!$B$157*Assumptions!$B$7/Assumptions!$B$145)</f>
        <v/>
      </c>
      <c r="F90" s="45">
        <f>IF(Assumptions!$B$145=0,0,F85*Assumptions!$B$157*Assumptions!$B$7/Assumptions!$B$145)</f>
        <v/>
      </c>
      <c r="G90" s="45">
        <f>IF(Assumptions!$B$145=0,0,G85*Assumptions!$B$157*Assumptions!$B$7/Assumptions!$B$145)</f>
        <v/>
      </c>
      <c r="H90" s="45">
        <f>IF(Assumptions!$B$145=0,0,H85*Assumptions!$B$157*Assumptions!$B$7/Assumptions!$B$145)</f>
        <v/>
      </c>
      <c r="I90" s="45">
        <f>IF(Assumptions!$B$145=0,0,I85*Assumptions!$B$157*Assumptions!$B$7/Assumptions!$B$145)</f>
        <v/>
      </c>
      <c r="J90" s="45">
        <f>IF(Assumptions!$B$145=0,0,J85*Assumptions!$B$157*Assumptions!$B$7/Assumptions!$B$145)</f>
        <v/>
      </c>
      <c r="K90" s="45">
        <f>IF(Assumptions!$B$145=0,0,K85*Assumptions!$B$157*Assumptions!$B$7/Assumptions!$B$145)</f>
        <v/>
      </c>
      <c r="L90" s="45">
        <f>IF(Assumptions!$B$145=0,0,L85*Assumptions!$B$157*Assumptions!$B$7/Assumptions!$B$145)</f>
        <v/>
      </c>
      <c r="M90" s="45">
        <f>IF(Assumptions!$B$145=0,0,M85*Assumptions!$B$157*Assumptions!$B$7/Assumptions!$B$145)</f>
        <v/>
      </c>
      <c r="N90" s="45">
        <f>IF(Assumptions!$B$145=0,0,N85*Assumptions!$B$157*Assumptions!$B$7/Assumptions!$B$145)</f>
        <v/>
      </c>
      <c r="O90" s="45">
        <f>IF(Assumptions!$B$145=0,0,O85*Assumptions!$B$157*Assumptions!$B$7/Assumptions!$B$145)</f>
        <v/>
      </c>
      <c r="P90" s="45">
        <f>IF(Assumptions!$B$145=0,0,P85*Assumptions!$B$157*Assumptions!$B$7/Assumptions!$B$145)</f>
        <v/>
      </c>
      <c r="Q90" s="45">
        <f>IF(Assumptions!$B$145=0,0,Q85*Assumptions!$B$157*Assumptions!$B$7/Assumptions!$B$145)</f>
        <v/>
      </c>
      <c r="R90" s="45">
        <f>IF(Assumptions!$B$145=0,0,R85*Assumptions!$B$157*Assumptions!$B$7/Assumptions!$B$145)</f>
        <v/>
      </c>
      <c r="S90" s="45">
        <f>IF(Assumptions!$B$145=0,0,S85*Assumptions!$B$157*Assumptions!$B$7/Assumptions!$B$145)</f>
        <v/>
      </c>
      <c r="T90" s="45">
        <f>IF(Assumptions!$B$145=0,0,T85*Assumptions!$B$157*Assumptions!$B$7/Assumptions!$B$145)</f>
        <v/>
      </c>
      <c r="U90" s="45">
        <f>IF(Assumptions!$B$145=0,0,U85*Assumptions!$B$157*Assumptions!$B$7/Assumptions!$B$145)</f>
        <v/>
      </c>
      <c r="V90" s="45">
        <f>IF(Assumptions!$B$145=0,0,V85*Assumptions!$B$157*Assumptions!$B$7/Assumptions!$B$145)</f>
        <v/>
      </c>
      <c r="W90" s="45">
        <f>IF(Assumptions!$B$145=0,0,W85*Assumptions!$B$157*Assumptions!$B$7/Assumptions!$B$145)</f>
        <v/>
      </c>
      <c r="X90" s="45">
        <f>IF(Assumptions!$B$145=0,0,X85*Assumptions!$B$157*Assumptions!$B$7/Assumptions!$B$145)</f>
        <v/>
      </c>
      <c r="Y90" s="45">
        <f>IF(Assumptions!$B$145=0,0,Y85*Assumptions!$B$157*Assumptions!$B$7/Assumptions!$B$145)</f>
        <v/>
      </c>
      <c r="Z90" s="45">
        <f>IF(Assumptions!$B$145=0,0,Z85*Assumptions!$B$157*Assumptions!$B$7/Assumptions!$B$145)</f>
        <v/>
      </c>
      <c r="AA90" s="45">
        <f>IF(Assumptions!$B$145=0,0,AA85*Assumptions!$B$157*Assumptions!$B$7/Assumptions!$B$145)</f>
        <v/>
      </c>
      <c r="AB90" s="45">
        <f>IF(Assumptions!$B$145=0,0,AB85*Assumptions!$B$157*Assumptions!$B$7/Assumptions!$B$145)</f>
        <v/>
      </c>
      <c r="AC90" s="45">
        <f>IF(Assumptions!$B$145=0,0,AC85*Assumptions!$B$157*Assumptions!$B$7/Assumptions!$B$145)</f>
        <v/>
      </c>
      <c r="AD90" s="45">
        <f>IF(Assumptions!$B$145=0,0,AD85*Assumptions!$B$157*Assumptions!$B$7/Assumptions!$B$145)</f>
        <v/>
      </c>
      <c r="AE90" s="45">
        <f>IF(Assumptions!$B$145=0,0,AE85*Assumptions!$B$157*Assumptions!$B$7/Assumptions!$B$145)</f>
        <v/>
      </c>
    </row>
    <row r="91">
      <c r="A91" s="6" t="inlineStr">
        <is>
          <t xml:space="preserve">  Card authorisations (memo - drives cost, not revenue)</t>
        </is>
      </c>
      <c r="B91" s="23" t="inlineStr">
        <is>
          <t>auths</t>
        </is>
      </c>
      <c r="C91" s="45">
        <f>C84*Assumptions!$B$159*Assumptions!$B$145*C7/12*(1+Assumptions!$B$16)</f>
        <v/>
      </c>
      <c r="D91" s="45">
        <f>D84*Assumptions!$B$159*Assumptions!$B$145*D7/12*(1+Assumptions!$B$16)</f>
        <v/>
      </c>
      <c r="E91" s="45">
        <f>E84*Assumptions!$B$159*Assumptions!$B$145*E7/12*(1+Assumptions!$B$16)</f>
        <v/>
      </c>
      <c r="F91" s="45">
        <f>F84*Assumptions!$B$159*Assumptions!$B$145*F7/12*(1+Assumptions!$B$16)</f>
        <v/>
      </c>
      <c r="G91" s="45">
        <f>G84*Assumptions!$B$159*Assumptions!$B$145*G7/12*(1+Assumptions!$B$16)</f>
        <v/>
      </c>
      <c r="H91" s="45">
        <f>H84*Assumptions!$B$159*Assumptions!$B$145*H7/12*(1+Assumptions!$B$16)</f>
        <v/>
      </c>
      <c r="I91" s="45">
        <f>I84*Assumptions!$B$159*Assumptions!$B$145*I7/12*(1+Assumptions!$B$16)</f>
        <v/>
      </c>
      <c r="J91" s="45">
        <f>J84*Assumptions!$B$159*Assumptions!$B$145*J7/12*(1+Assumptions!$B$16)</f>
        <v/>
      </c>
      <c r="K91" s="45">
        <f>K84*Assumptions!$B$159*Assumptions!$B$145*K7/12*(1+Assumptions!$B$16)</f>
        <v/>
      </c>
      <c r="L91" s="45">
        <f>L84*Assumptions!$B$159*Assumptions!$B$145*L7/12*(1+Assumptions!$B$16)</f>
        <v/>
      </c>
      <c r="M91" s="45">
        <f>M84*Assumptions!$B$159*Assumptions!$B$145*M7/12*(1+Assumptions!$B$16)</f>
        <v/>
      </c>
      <c r="N91" s="45">
        <f>N84*Assumptions!$B$159*Assumptions!$B$145*N7/12*(1+Assumptions!$B$16)</f>
        <v/>
      </c>
      <c r="O91" s="45">
        <f>O84*Assumptions!$B$159*Assumptions!$B$145*O7/12*(1+Assumptions!$B$16)</f>
        <v/>
      </c>
      <c r="P91" s="45">
        <f>P84*Assumptions!$B$159*Assumptions!$B$145*P7/12*(1+Assumptions!$B$16)</f>
        <v/>
      </c>
      <c r="Q91" s="45">
        <f>Q84*Assumptions!$B$159*Assumptions!$B$145*Q7/12*(1+Assumptions!$B$16)</f>
        <v/>
      </c>
      <c r="R91" s="45">
        <f>R84*Assumptions!$B$159*Assumptions!$B$145*R7/12*(1+Assumptions!$B$16)</f>
        <v/>
      </c>
      <c r="S91" s="45">
        <f>S84*Assumptions!$B$159*Assumptions!$B$145*S7/12*(1+Assumptions!$B$16)</f>
        <v/>
      </c>
      <c r="T91" s="45">
        <f>T84*Assumptions!$B$159*Assumptions!$B$145*T7/12*(1+Assumptions!$B$16)</f>
        <v/>
      </c>
      <c r="U91" s="45">
        <f>U84*Assumptions!$B$159*Assumptions!$B$145*U7/12*(1+Assumptions!$B$16)</f>
        <v/>
      </c>
      <c r="V91" s="45">
        <f>V84*Assumptions!$B$159*Assumptions!$B$145*V7/12*(1+Assumptions!$B$16)</f>
        <v/>
      </c>
      <c r="W91" s="45">
        <f>W84*Assumptions!$B$159*Assumptions!$B$145*W7/12*(1+Assumptions!$B$16)</f>
        <v/>
      </c>
      <c r="X91" s="45">
        <f>X84*Assumptions!$B$159*Assumptions!$B$145*X7/12*(1+Assumptions!$B$16)</f>
        <v/>
      </c>
      <c r="Y91" s="45">
        <f>Y84*Assumptions!$B$159*Assumptions!$B$145*Y7/12*(1+Assumptions!$B$16)</f>
        <v/>
      </c>
      <c r="Z91" s="45">
        <f>Z84*Assumptions!$B$159*Assumptions!$B$145*Z7/12*(1+Assumptions!$B$16)</f>
        <v/>
      </c>
      <c r="AA91" s="45">
        <f>AA84*Assumptions!$B$159*Assumptions!$B$145*AA7/12*(1+Assumptions!$B$16)</f>
        <v/>
      </c>
      <c r="AB91" s="45">
        <f>AB84*Assumptions!$B$159*Assumptions!$B$145*AB7/12*(1+Assumptions!$B$16)</f>
        <v/>
      </c>
      <c r="AC91" s="45">
        <f>AC84*Assumptions!$B$159*Assumptions!$B$145*AC7/12*(1+Assumptions!$B$16)</f>
        <v/>
      </c>
      <c r="AD91" s="45">
        <f>AD84*Assumptions!$B$159*Assumptions!$B$145*AD7/12*(1+Assumptions!$B$16)</f>
        <v/>
      </c>
      <c r="AE91" s="45">
        <f>AE84*Assumptions!$B$159*Assumptions!$B$145*AE7/12*(1+Assumptions!$B$16)</f>
        <v/>
      </c>
    </row>
    <row r="92">
      <c r="A92" s="6" t="inlineStr">
        <is>
          <t xml:space="preserve">  Stream 1a - Entry fee, SIP</t>
        </is>
      </c>
      <c r="B92" s="23" t="inlineStr">
        <is>
          <t>USD</t>
        </is>
      </c>
      <c r="C92" s="55">
        <f>C74*Assumptions!$B$8</f>
        <v/>
      </c>
      <c r="D92" s="55">
        <f>D74*Assumptions!$B$8</f>
        <v/>
      </c>
      <c r="E92" s="55">
        <f>E74*Assumptions!$B$8</f>
        <v/>
      </c>
      <c r="F92" s="55">
        <f>F74*Assumptions!$B$8</f>
        <v/>
      </c>
      <c r="G92" s="55">
        <f>G74*Assumptions!$B$8</f>
        <v/>
      </c>
      <c r="H92" s="55">
        <f>H74*Assumptions!$B$8</f>
        <v/>
      </c>
      <c r="I92" s="55">
        <f>I74*Assumptions!$B$8</f>
        <v/>
      </c>
      <c r="J92" s="55">
        <f>J74*Assumptions!$B$8</f>
        <v/>
      </c>
      <c r="K92" s="55">
        <f>K74*Assumptions!$B$8</f>
        <v/>
      </c>
      <c r="L92" s="55">
        <f>L74*Assumptions!$B$8</f>
        <v/>
      </c>
      <c r="M92" s="55">
        <f>M74*Assumptions!$B$8</f>
        <v/>
      </c>
      <c r="N92" s="55">
        <f>N74*Assumptions!$B$8</f>
        <v/>
      </c>
      <c r="O92" s="55">
        <f>O74*Assumptions!$B$8</f>
        <v/>
      </c>
      <c r="P92" s="55">
        <f>P74*Assumptions!$B$8</f>
        <v/>
      </c>
      <c r="Q92" s="55">
        <f>Q74*Assumptions!$B$8</f>
        <v/>
      </c>
      <c r="R92" s="55">
        <f>R74*Assumptions!$B$8</f>
        <v/>
      </c>
      <c r="S92" s="55">
        <f>S74*Assumptions!$B$8</f>
        <v/>
      </c>
      <c r="T92" s="55">
        <f>T74*Assumptions!$B$8</f>
        <v/>
      </c>
      <c r="U92" s="55">
        <f>U74*Assumptions!$B$8</f>
        <v/>
      </c>
      <c r="V92" s="55">
        <f>V74*Assumptions!$B$8</f>
        <v/>
      </c>
      <c r="W92" s="55">
        <f>W74*Assumptions!$B$8</f>
        <v/>
      </c>
      <c r="X92" s="55">
        <f>X74*Assumptions!$B$8</f>
        <v/>
      </c>
      <c r="Y92" s="55">
        <f>Y74*Assumptions!$B$8</f>
        <v/>
      </c>
      <c r="Z92" s="55">
        <f>Z74*Assumptions!$B$8</f>
        <v/>
      </c>
      <c r="AA92" s="55">
        <f>AA74*Assumptions!$B$8</f>
        <v/>
      </c>
      <c r="AB92" s="55">
        <f>AB74*Assumptions!$B$8</f>
        <v/>
      </c>
      <c r="AC92" s="55">
        <f>AC74*Assumptions!$B$8</f>
        <v/>
      </c>
      <c r="AD92" s="55">
        <f>AD74*Assumptions!$B$8</f>
        <v/>
      </c>
      <c r="AE92" s="55">
        <f>AE74*Assumptions!$B$8</f>
        <v/>
      </c>
    </row>
    <row r="93">
      <c r="A93" s="6" t="inlineStr">
        <is>
          <t xml:space="preserve">  Stream 1b - Entry fee, SPOT</t>
        </is>
      </c>
      <c r="B93" s="23" t="inlineStr">
        <is>
          <t>USD</t>
        </is>
      </c>
      <c r="C93" s="55">
        <f>C75*Assumptions!$B$8</f>
        <v/>
      </c>
      <c r="D93" s="55">
        <f>D75*Assumptions!$B$8</f>
        <v/>
      </c>
      <c r="E93" s="55">
        <f>E75*Assumptions!$B$8</f>
        <v/>
      </c>
      <c r="F93" s="55">
        <f>F75*Assumptions!$B$8</f>
        <v/>
      </c>
      <c r="G93" s="55">
        <f>G75*Assumptions!$B$8</f>
        <v/>
      </c>
      <c r="H93" s="55">
        <f>H75*Assumptions!$B$8</f>
        <v/>
      </c>
      <c r="I93" s="55">
        <f>I75*Assumptions!$B$8</f>
        <v/>
      </c>
      <c r="J93" s="55">
        <f>J75*Assumptions!$B$8</f>
        <v/>
      </c>
      <c r="K93" s="55">
        <f>K75*Assumptions!$B$8</f>
        <v/>
      </c>
      <c r="L93" s="55">
        <f>L75*Assumptions!$B$8</f>
        <v/>
      </c>
      <c r="M93" s="55">
        <f>M75*Assumptions!$B$8</f>
        <v/>
      </c>
      <c r="N93" s="55">
        <f>N75*Assumptions!$B$8</f>
        <v/>
      </c>
      <c r="O93" s="55">
        <f>O75*Assumptions!$B$8</f>
        <v/>
      </c>
      <c r="P93" s="55">
        <f>P75*Assumptions!$B$8</f>
        <v/>
      </c>
      <c r="Q93" s="55">
        <f>Q75*Assumptions!$B$8</f>
        <v/>
      </c>
      <c r="R93" s="55">
        <f>R75*Assumptions!$B$8</f>
        <v/>
      </c>
      <c r="S93" s="55">
        <f>S75*Assumptions!$B$8</f>
        <v/>
      </c>
      <c r="T93" s="55">
        <f>T75*Assumptions!$B$8</f>
        <v/>
      </c>
      <c r="U93" s="55">
        <f>U75*Assumptions!$B$8</f>
        <v/>
      </c>
      <c r="V93" s="55">
        <f>V75*Assumptions!$B$8</f>
        <v/>
      </c>
      <c r="W93" s="55">
        <f>W75*Assumptions!$B$8</f>
        <v/>
      </c>
      <c r="X93" s="55">
        <f>X75*Assumptions!$B$8</f>
        <v/>
      </c>
      <c r="Y93" s="55">
        <f>Y75*Assumptions!$B$8</f>
        <v/>
      </c>
      <c r="Z93" s="55">
        <f>Z75*Assumptions!$B$8</f>
        <v/>
      </c>
      <c r="AA93" s="55">
        <f>AA75*Assumptions!$B$8</f>
        <v/>
      </c>
      <c r="AB93" s="55">
        <f>AB75*Assumptions!$B$8</f>
        <v/>
      </c>
      <c r="AC93" s="55">
        <f>AC75*Assumptions!$B$8</f>
        <v/>
      </c>
      <c r="AD93" s="55">
        <f>AD75*Assumptions!$B$8</f>
        <v/>
      </c>
      <c r="AE93" s="55">
        <f>AE75*Assumptions!$B$8</f>
        <v/>
      </c>
    </row>
    <row r="94">
      <c r="A94" s="6" t="inlineStr">
        <is>
          <t xml:space="preserve">  Stream 2 - Card interchange</t>
        </is>
      </c>
      <c r="B94" s="23" t="inlineStr">
        <is>
          <t>USD</t>
        </is>
      </c>
      <c r="C94" s="55">
        <f>C89*IF(Assumptions!$B$178=1,MIN(Assumptions!$B$14,1%),Assumptions!$B$14)*(1-Assumptions!$B$143)</f>
        <v/>
      </c>
      <c r="D94" s="55">
        <f>D89*IF(Assumptions!$B$178=1,MIN(Assumptions!$B$14,1%),Assumptions!$B$14)*(1-Assumptions!$B$143)</f>
        <v/>
      </c>
      <c r="E94" s="55">
        <f>E89*IF(Assumptions!$B$178=1,MIN(Assumptions!$B$14,1%),Assumptions!$B$14)*(1-Assumptions!$B$143)</f>
        <v/>
      </c>
      <c r="F94" s="55">
        <f>F89*IF(Assumptions!$B$178=1,MIN(Assumptions!$B$14,1%),Assumptions!$B$14)*(1-Assumptions!$B$143)</f>
        <v/>
      </c>
      <c r="G94" s="55">
        <f>G89*IF(Assumptions!$B$178=1,MIN(Assumptions!$B$14,1%),Assumptions!$B$14)*(1-Assumptions!$B$143)</f>
        <v/>
      </c>
      <c r="H94" s="55">
        <f>H89*IF(Assumptions!$B$178=1,MIN(Assumptions!$B$14,1%),Assumptions!$B$14)*(1-Assumptions!$B$143)</f>
        <v/>
      </c>
      <c r="I94" s="55">
        <f>I89*IF(Assumptions!$B$178=1,MIN(Assumptions!$B$14,1%),Assumptions!$B$14)*(1-Assumptions!$B$143)</f>
        <v/>
      </c>
      <c r="J94" s="55">
        <f>J89*IF(Assumptions!$B$178=1,MIN(Assumptions!$B$14,1%),Assumptions!$B$14)*(1-Assumptions!$B$143)</f>
        <v/>
      </c>
      <c r="K94" s="55">
        <f>K89*IF(Assumptions!$B$178=1,MIN(Assumptions!$B$14,1%),Assumptions!$B$14)*(1-Assumptions!$B$143)</f>
        <v/>
      </c>
      <c r="L94" s="55">
        <f>L89*IF(Assumptions!$B$178=1,MIN(Assumptions!$B$14,1%),Assumptions!$B$14)*(1-Assumptions!$B$143)</f>
        <v/>
      </c>
      <c r="M94" s="55">
        <f>M89*IF(Assumptions!$B$178=1,MIN(Assumptions!$B$14,1%),Assumptions!$B$14)*(1-Assumptions!$B$143)</f>
        <v/>
      </c>
      <c r="N94" s="55">
        <f>N89*IF(Assumptions!$B$178=1,MIN(Assumptions!$B$14,1%),Assumptions!$B$14)*(1-Assumptions!$B$143)</f>
        <v/>
      </c>
      <c r="O94" s="55">
        <f>O89*IF(Assumptions!$B$178=1,MIN(Assumptions!$B$14,1%),Assumptions!$B$14)*(1-Assumptions!$B$143)</f>
        <v/>
      </c>
      <c r="P94" s="55">
        <f>P89*IF(Assumptions!$B$178=1,MIN(Assumptions!$B$14,1%),Assumptions!$B$14)*(1-Assumptions!$B$143)</f>
        <v/>
      </c>
      <c r="Q94" s="55">
        <f>Q89*IF(Assumptions!$B$178=1,MIN(Assumptions!$B$14,1%),Assumptions!$B$14)*(1-Assumptions!$B$143)</f>
        <v/>
      </c>
      <c r="R94" s="55">
        <f>R89*IF(Assumptions!$B$178=1,MIN(Assumptions!$B$14,1%),Assumptions!$B$14)*(1-Assumptions!$B$143)</f>
        <v/>
      </c>
      <c r="S94" s="55">
        <f>S89*IF(Assumptions!$B$178=1,MIN(Assumptions!$B$14,1%),Assumptions!$B$14)*(1-Assumptions!$B$143)</f>
        <v/>
      </c>
      <c r="T94" s="55">
        <f>T89*IF(Assumptions!$B$178=1,MIN(Assumptions!$B$14,1%),Assumptions!$B$14)*(1-Assumptions!$B$143)</f>
        <v/>
      </c>
      <c r="U94" s="55">
        <f>U89*IF(Assumptions!$B$178=1,MIN(Assumptions!$B$14,1%),Assumptions!$B$14)*(1-Assumptions!$B$143)</f>
        <v/>
      </c>
      <c r="V94" s="55">
        <f>V89*IF(Assumptions!$B$178=1,MIN(Assumptions!$B$14,1%),Assumptions!$B$14)*(1-Assumptions!$B$143)</f>
        <v/>
      </c>
      <c r="W94" s="55">
        <f>W89*IF(Assumptions!$B$178=1,MIN(Assumptions!$B$14,1%),Assumptions!$B$14)*(1-Assumptions!$B$143)</f>
        <v/>
      </c>
      <c r="X94" s="55">
        <f>X89*IF(Assumptions!$B$178=1,MIN(Assumptions!$B$14,1%),Assumptions!$B$14)*(1-Assumptions!$B$143)</f>
        <v/>
      </c>
      <c r="Y94" s="55">
        <f>Y89*IF(Assumptions!$B$178=1,MIN(Assumptions!$B$14,1%),Assumptions!$B$14)*(1-Assumptions!$B$143)</f>
        <v/>
      </c>
      <c r="Z94" s="55">
        <f>Z89*IF(Assumptions!$B$178=1,MIN(Assumptions!$B$14,1%),Assumptions!$B$14)*(1-Assumptions!$B$143)</f>
        <v/>
      </c>
      <c r="AA94" s="55">
        <f>AA89*IF(Assumptions!$B$178=1,MIN(Assumptions!$B$14,1%),Assumptions!$B$14)*(1-Assumptions!$B$143)</f>
        <v/>
      </c>
      <c r="AB94" s="55">
        <f>AB89*IF(Assumptions!$B$178=1,MIN(Assumptions!$B$14,1%),Assumptions!$B$14)*(1-Assumptions!$B$143)</f>
        <v/>
      </c>
      <c r="AC94" s="55">
        <f>AC89*IF(Assumptions!$B$178=1,MIN(Assumptions!$B$14,1%),Assumptions!$B$14)*(1-Assumptions!$B$143)</f>
        <v/>
      </c>
      <c r="AD94" s="55">
        <f>AD89*IF(Assumptions!$B$178=1,MIN(Assumptions!$B$14,1%),Assumptions!$B$14)*(1-Assumptions!$B$143)</f>
        <v/>
      </c>
      <c r="AE94" s="55">
        <f>AE89*IF(Assumptions!$B$178=1,MIN(Assumptions!$B$14,1%),Assumptions!$B$14)*(1-Assumptions!$B$143)</f>
        <v/>
      </c>
    </row>
    <row r="95">
      <c r="A95" s="6" t="inlineStr">
        <is>
          <t xml:space="preserve">  Family plan subscribers</t>
        </is>
      </c>
      <c r="B95" s="23" t="inlineStr">
        <is>
          <t>subscribers</t>
        </is>
      </c>
      <c r="C95" s="54">
        <f>IF(C2&gt;=Assumptions!$B$51,C69*Assumptions!$B$160*(1-Assumptions!$B$163)^(C7/2),0)</f>
        <v/>
      </c>
      <c r="D95" s="54">
        <f>IF(D2&gt;=Assumptions!$B$51,C95*(1-Assumptions!$B$163)^D7+D69*Assumptions!$B$160*(1-Assumptions!$B$163)^(D7/2),0)</f>
        <v/>
      </c>
      <c r="E95" s="54">
        <f>IF(E2&gt;=Assumptions!$B$51,D95*(1-Assumptions!$B$163)^E7+E69*Assumptions!$B$160*(1-Assumptions!$B$163)^(E7/2),0)</f>
        <v/>
      </c>
      <c r="F95" s="54">
        <f>IF(F2&gt;=Assumptions!$B$51,E95*(1-Assumptions!$B$163)^F7+F69*Assumptions!$B$160*(1-Assumptions!$B$163)^(F7/2),0)</f>
        <v/>
      </c>
      <c r="G95" s="54">
        <f>IF(G2&gt;=Assumptions!$B$51,F95*(1-Assumptions!$B$163)^G7+G69*Assumptions!$B$160*(1-Assumptions!$B$163)^(G7/2),0)</f>
        <v/>
      </c>
      <c r="H95" s="54">
        <f>IF(H2&gt;=Assumptions!$B$51,G95*(1-Assumptions!$B$163)^H7+H69*Assumptions!$B$160*(1-Assumptions!$B$163)^(H7/2),0)</f>
        <v/>
      </c>
      <c r="I95" s="54">
        <f>IF(I2&gt;=Assumptions!$B$51,H95*(1-Assumptions!$B$163)^I7+I69*Assumptions!$B$160*(1-Assumptions!$B$163)^(I7/2),0)</f>
        <v/>
      </c>
      <c r="J95" s="54">
        <f>IF(J2&gt;=Assumptions!$B$51,I95*(1-Assumptions!$B$163)^J7+J69*Assumptions!$B$160*(1-Assumptions!$B$163)^(J7/2),0)</f>
        <v/>
      </c>
      <c r="K95" s="54">
        <f>IF(K2&gt;=Assumptions!$B$51,J95*(1-Assumptions!$B$163)^K7+K69*Assumptions!$B$160*(1-Assumptions!$B$163)^(K7/2),0)</f>
        <v/>
      </c>
      <c r="L95" s="54">
        <f>IF(L2&gt;=Assumptions!$B$51,K95*(1-Assumptions!$B$163)^L7+L69*Assumptions!$B$160*(1-Assumptions!$B$163)^(L7/2),0)</f>
        <v/>
      </c>
      <c r="M95" s="54">
        <f>IF(M2&gt;=Assumptions!$B$51,L95*(1-Assumptions!$B$163)^M7+M69*Assumptions!$B$160*(1-Assumptions!$B$163)^(M7/2),0)</f>
        <v/>
      </c>
      <c r="N95" s="54">
        <f>IF(N2&gt;=Assumptions!$B$51,M95*(1-Assumptions!$B$163)^N7+N69*Assumptions!$B$160*(1-Assumptions!$B$163)^(N7/2),0)</f>
        <v/>
      </c>
      <c r="O95" s="54">
        <f>IF(O2&gt;=Assumptions!$B$51,N95*(1-Assumptions!$B$163)^O7+O69*Assumptions!$B$160*(1-Assumptions!$B$163)^(O7/2),0)</f>
        <v/>
      </c>
      <c r="P95" s="54">
        <f>IF(P2&gt;=Assumptions!$B$51,O95*(1-Assumptions!$B$163)^P7+P69*Assumptions!$B$160*(1-Assumptions!$B$163)^(P7/2),0)</f>
        <v/>
      </c>
      <c r="Q95" s="54">
        <f>IF(Q2&gt;=Assumptions!$B$51,P95*(1-Assumptions!$B$163)^Q7+Q69*Assumptions!$B$160*(1-Assumptions!$B$163)^(Q7/2),0)</f>
        <v/>
      </c>
      <c r="R95" s="54">
        <f>IF(R2&gt;=Assumptions!$B$51,Q95*(1-Assumptions!$B$163)^R7+R69*Assumptions!$B$160*(1-Assumptions!$B$163)^(R7/2),0)</f>
        <v/>
      </c>
      <c r="S95" s="54">
        <f>IF(S2&gt;=Assumptions!$B$51,R95*(1-Assumptions!$B$163)^S7+S69*Assumptions!$B$160*(1-Assumptions!$B$163)^(S7/2),0)</f>
        <v/>
      </c>
      <c r="T95" s="54">
        <f>IF(T2&gt;=Assumptions!$B$51,S95*(1-Assumptions!$B$163)^T7+T69*Assumptions!$B$160*(1-Assumptions!$B$163)^(T7/2),0)</f>
        <v/>
      </c>
      <c r="U95" s="54">
        <f>IF(U2&gt;=Assumptions!$B$51,T95*(1-Assumptions!$B$163)^U7+U69*Assumptions!$B$160*(1-Assumptions!$B$163)^(U7/2),0)</f>
        <v/>
      </c>
      <c r="V95" s="54">
        <f>IF(V2&gt;=Assumptions!$B$51,U95*(1-Assumptions!$B$163)^V7+V69*Assumptions!$B$160*(1-Assumptions!$B$163)^(V7/2),0)</f>
        <v/>
      </c>
      <c r="W95" s="54">
        <f>IF(W2&gt;=Assumptions!$B$51,V95*(1-Assumptions!$B$163)^W7+W69*Assumptions!$B$160*(1-Assumptions!$B$163)^(W7/2),0)</f>
        <v/>
      </c>
      <c r="X95" s="54">
        <f>IF(X2&gt;=Assumptions!$B$51,W95*(1-Assumptions!$B$163)^X7+X69*Assumptions!$B$160*(1-Assumptions!$B$163)^(X7/2),0)</f>
        <v/>
      </c>
      <c r="Y95" s="54">
        <f>IF(Y2&gt;=Assumptions!$B$51,X95*(1-Assumptions!$B$163)^Y7+Y69*Assumptions!$B$160*(1-Assumptions!$B$163)^(Y7/2),0)</f>
        <v/>
      </c>
      <c r="Z95" s="54">
        <f>IF(Z2&gt;=Assumptions!$B$51,Y95*(1-Assumptions!$B$163)^Z7+Z69*Assumptions!$B$160*(1-Assumptions!$B$163)^(Z7/2),0)</f>
        <v/>
      </c>
      <c r="AA95" s="54">
        <f>IF(AA2&gt;=Assumptions!$B$51,Z95*(1-Assumptions!$B$163)^AA7+AA69*Assumptions!$B$160*(1-Assumptions!$B$163)^(AA7/2),0)</f>
        <v/>
      </c>
      <c r="AB95" s="54">
        <f>IF(AB2&gt;=Assumptions!$B$51,AA95*(1-Assumptions!$B$163)^AB7+AB69*Assumptions!$B$160*(1-Assumptions!$B$163)^(AB7/2),0)</f>
        <v/>
      </c>
      <c r="AC95" s="54">
        <f>IF(AC2&gt;=Assumptions!$B$51,AB95*(1-Assumptions!$B$163)^AC7+AC69*Assumptions!$B$160*(1-Assumptions!$B$163)^(AC7/2),0)</f>
        <v/>
      </c>
      <c r="AD95" s="54">
        <f>IF(AD2&gt;=Assumptions!$B$51,AC95*(1-Assumptions!$B$163)^AD7+AD69*Assumptions!$B$160*(1-Assumptions!$B$163)^(AD7/2),0)</f>
        <v/>
      </c>
      <c r="AE95" s="54">
        <f>IF(AE2&gt;=Assumptions!$B$51,AD95*(1-Assumptions!$B$163)^AE7+AE69*Assumptions!$B$160*(1-Assumptions!$B$163)^(AE7/2),0)</f>
        <v/>
      </c>
    </row>
    <row r="96">
      <c r="A96" s="6" t="inlineStr">
        <is>
          <t xml:space="preserve">  Stream 3 - Family plan and Digital Will</t>
        </is>
      </c>
      <c r="B96" s="23" t="inlineStr">
        <is>
          <t>USD</t>
        </is>
      </c>
      <c r="C96" s="55">
        <f>C95*(Assumptions!$B$25+MAX(0,Assumptions!$B$162-1)*Assumptions!$B$26)/12*C7</f>
        <v/>
      </c>
      <c r="D96" s="55">
        <f>D95*(Assumptions!$B$25+MAX(0,Assumptions!$B$162-1)*Assumptions!$B$26)/12*D7</f>
        <v/>
      </c>
      <c r="E96" s="55">
        <f>E95*(Assumptions!$B$25+MAX(0,Assumptions!$B$162-1)*Assumptions!$B$26)/12*E7</f>
        <v/>
      </c>
      <c r="F96" s="55">
        <f>F95*(Assumptions!$B$25+MAX(0,Assumptions!$B$162-1)*Assumptions!$B$26)/12*F7</f>
        <v/>
      </c>
      <c r="G96" s="55">
        <f>G95*(Assumptions!$B$25+MAX(0,Assumptions!$B$162-1)*Assumptions!$B$26)/12*G7</f>
        <v/>
      </c>
      <c r="H96" s="55">
        <f>H95*(Assumptions!$B$25+MAX(0,Assumptions!$B$162-1)*Assumptions!$B$26)/12*H7</f>
        <v/>
      </c>
      <c r="I96" s="55">
        <f>I95*(Assumptions!$B$25+MAX(0,Assumptions!$B$162-1)*Assumptions!$B$26)/12*I7</f>
        <v/>
      </c>
      <c r="J96" s="55">
        <f>J95*(Assumptions!$B$25+MAX(0,Assumptions!$B$162-1)*Assumptions!$B$26)/12*J7</f>
        <v/>
      </c>
      <c r="K96" s="55">
        <f>K95*(Assumptions!$B$25+MAX(0,Assumptions!$B$162-1)*Assumptions!$B$26)/12*K7</f>
        <v/>
      </c>
      <c r="L96" s="55">
        <f>L95*(Assumptions!$B$25+MAX(0,Assumptions!$B$162-1)*Assumptions!$B$26)/12*L7</f>
        <v/>
      </c>
      <c r="M96" s="55">
        <f>M95*(Assumptions!$B$25+MAX(0,Assumptions!$B$162-1)*Assumptions!$B$26)/12*M7</f>
        <v/>
      </c>
      <c r="N96" s="55">
        <f>N95*(Assumptions!$B$25+MAX(0,Assumptions!$B$162-1)*Assumptions!$B$26)/12*N7</f>
        <v/>
      </c>
      <c r="O96" s="55">
        <f>O95*(Assumptions!$B$25+MAX(0,Assumptions!$B$162-1)*Assumptions!$B$26)/12*O7</f>
        <v/>
      </c>
      <c r="P96" s="55">
        <f>P95*(Assumptions!$B$25+MAX(0,Assumptions!$B$162-1)*Assumptions!$B$26)/12*P7</f>
        <v/>
      </c>
      <c r="Q96" s="55">
        <f>Q95*(Assumptions!$B$25+MAX(0,Assumptions!$B$162-1)*Assumptions!$B$26)/12*Q7</f>
        <v/>
      </c>
      <c r="R96" s="55">
        <f>R95*(Assumptions!$B$25+MAX(0,Assumptions!$B$162-1)*Assumptions!$B$26)/12*R7</f>
        <v/>
      </c>
      <c r="S96" s="55">
        <f>S95*(Assumptions!$B$25+MAX(0,Assumptions!$B$162-1)*Assumptions!$B$26)/12*S7</f>
        <v/>
      </c>
      <c r="T96" s="55">
        <f>T95*(Assumptions!$B$25+MAX(0,Assumptions!$B$162-1)*Assumptions!$B$26)/12*T7</f>
        <v/>
      </c>
      <c r="U96" s="55">
        <f>U95*(Assumptions!$B$25+MAX(0,Assumptions!$B$162-1)*Assumptions!$B$26)/12*U7</f>
        <v/>
      </c>
      <c r="V96" s="55">
        <f>V95*(Assumptions!$B$25+MAX(0,Assumptions!$B$162-1)*Assumptions!$B$26)/12*V7</f>
        <v/>
      </c>
      <c r="W96" s="55">
        <f>W95*(Assumptions!$B$25+MAX(0,Assumptions!$B$162-1)*Assumptions!$B$26)/12*W7</f>
        <v/>
      </c>
      <c r="X96" s="55">
        <f>X95*(Assumptions!$B$25+MAX(0,Assumptions!$B$162-1)*Assumptions!$B$26)/12*X7</f>
        <v/>
      </c>
      <c r="Y96" s="55">
        <f>Y95*(Assumptions!$B$25+MAX(0,Assumptions!$B$162-1)*Assumptions!$B$26)/12*Y7</f>
        <v/>
      </c>
      <c r="Z96" s="55">
        <f>Z95*(Assumptions!$B$25+MAX(0,Assumptions!$B$162-1)*Assumptions!$B$26)/12*Z7</f>
        <v/>
      </c>
      <c r="AA96" s="55">
        <f>AA95*(Assumptions!$B$25+MAX(0,Assumptions!$B$162-1)*Assumptions!$B$26)/12*AA7</f>
        <v/>
      </c>
      <c r="AB96" s="55">
        <f>AB95*(Assumptions!$B$25+MAX(0,Assumptions!$B$162-1)*Assumptions!$B$26)/12*AB7</f>
        <v/>
      </c>
      <c r="AC96" s="55">
        <f>AC95*(Assumptions!$B$25+MAX(0,Assumptions!$B$162-1)*Assumptions!$B$26)/12*AC7</f>
        <v/>
      </c>
      <c r="AD96" s="55">
        <f>AD95*(Assumptions!$B$25+MAX(0,Assumptions!$B$162-1)*Assumptions!$B$26)/12*AD7</f>
        <v/>
      </c>
      <c r="AE96" s="55">
        <f>AE95*(Assumptions!$B$25+MAX(0,Assumptions!$B$162-1)*Assumptions!$B$26)/12*AE7</f>
        <v/>
      </c>
    </row>
    <row r="97">
      <c r="A97" s="6" t="inlineStr">
        <is>
          <t xml:space="preserve">  Stream 4 - Cardholder fees (FX, ATM, events)</t>
        </is>
      </c>
      <c r="B97" s="23" t="inlineStr">
        <is>
          <t>USD</t>
        </is>
      </c>
      <c r="C97" s="55">
        <f>IF(C2&gt;=Assumptions!$B$53,C89*C17*Assumptions!$B$17+C84*(Assumptions!$B$149*MAX(0,Assumptions!$B$153-Assumptions!$B$18)+Assumptions!$B$150*MAX(0,Assumptions!$B$154-Assumptions!$B$18)+Assumptions!$B$151*MAX(0,Assumptions!$B$155-Assumptions!$B$18)+Assumptions!$B$152*MAX(0,Assumptions!$B$156-Assumptions!$B$18))*Assumptions!$B$19/Assumptions!$B$7*C7+C84*(Assumptions!$B$147*Assumptions!$B$20+Assumptions!$B$148*Assumptions!$B$21)/12/Assumptions!$B$7*C7,0)</f>
        <v/>
      </c>
      <c r="D97" s="55">
        <f>IF(D2&gt;=Assumptions!$B$53,D89*D17*Assumptions!$B$17+D84*(Assumptions!$B$149*MAX(0,Assumptions!$B$153-Assumptions!$B$18)+Assumptions!$B$150*MAX(0,Assumptions!$B$154-Assumptions!$B$18)+Assumptions!$B$151*MAX(0,Assumptions!$B$155-Assumptions!$B$18)+Assumptions!$B$152*MAX(0,Assumptions!$B$156-Assumptions!$B$18))*Assumptions!$B$19/Assumptions!$B$7*D7+D84*(Assumptions!$B$147*Assumptions!$B$20+Assumptions!$B$148*Assumptions!$B$21)/12/Assumptions!$B$7*D7,0)</f>
        <v/>
      </c>
      <c r="E97" s="55">
        <f>IF(E2&gt;=Assumptions!$B$53,E89*E17*Assumptions!$B$17+E84*(Assumptions!$B$149*MAX(0,Assumptions!$B$153-Assumptions!$B$18)+Assumptions!$B$150*MAX(0,Assumptions!$B$154-Assumptions!$B$18)+Assumptions!$B$151*MAX(0,Assumptions!$B$155-Assumptions!$B$18)+Assumptions!$B$152*MAX(0,Assumptions!$B$156-Assumptions!$B$18))*Assumptions!$B$19/Assumptions!$B$7*E7+E84*(Assumptions!$B$147*Assumptions!$B$20+Assumptions!$B$148*Assumptions!$B$21)/12/Assumptions!$B$7*E7,0)</f>
        <v/>
      </c>
      <c r="F97" s="55">
        <f>IF(F2&gt;=Assumptions!$B$53,F89*F17*Assumptions!$B$17+F84*(Assumptions!$B$149*MAX(0,Assumptions!$B$153-Assumptions!$B$18)+Assumptions!$B$150*MAX(0,Assumptions!$B$154-Assumptions!$B$18)+Assumptions!$B$151*MAX(0,Assumptions!$B$155-Assumptions!$B$18)+Assumptions!$B$152*MAX(0,Assumptions!$B$156-Assumptions!$B$18))*Assumptions!$B$19/Assumptions!$B$7*F7+F84*(Assumptions!$B$147*Assumptions!$B$20+Assumptions!$B$148*Assumptions!$B$21)/12/Assumptions!$B$7*F7,0)</f>
        <v/>
      </c>
      <c r="G97" s="55">
        <f>IF(G2&gt;=Assumptions!$B$53,G89*G17*Assumptions!$B$17+G84*(Assumptions!$B$149*MAX(0,Assumptions!$B$153-Assumptions!$B$18)+Assumptions!$B$150*MAX(0,Assumptions!$B$154-Assumptions!$B$18)+Assumptions!$B$151*MAX(0,Assumptions!$B$155-Assumptions!$B$18)+Assumptions!$B$152*MAX(0,Assumptions!$B$156-Assumptions!$B$18))*Assumptions!$B$19/Assumptions!$B$7*G7+G84*(Assumptions!$B$147*Assumptions!$B$20+Assumptions!$B$148*Assumptions!$B$21)/12/Assumptions!$B$7*G7,0)</f>
        <v/>
      </c>
      <c r="H97" s="55">
        <f>IF(H2&gt;=Assumptions!$B$53,H89*H17*Assumptions!$B$17+H84*(Assumptions!$B$149*MAX(0,Assumptions!$B$153-Assumptions!$B$18)+Assumptions!$B$150*MAX(0,Assumptions!$B$154-Assumptions!$B$18)+Assumptions!$B$151*MAX(0,Assumptions!$B$155-Assumptions!$B$18)+Assumptions!$B$152*MAX(0,Assumptions!$B$156-Assumptions!$B$18))*Assumptions!$B$19/Assumptions!$B$7*H7+H84*(Assumptions!$B$147*Assumptions!$B$20+Assumptions!$B$148*Assumptions!$B$21)/12/Assumptions!$B$7*H7,0)</f>
        <v/>
      </c>
      <c r="I97" s="55">
        <f>IF(I2&gt;=Assumptions!$B$53,I89*I17*Assumptions!$B$17+I84*(Assumptions!$B$149*MAX(0,Assumptions!$B$153-Assumptions!$B$18)+Assumptions!$B$150*MAX(0,Assumptions!$B$154-Assumptions!$B$18)+Assumptions!$B$151*MAX(0,Assumptions!$B$155-Assumptions!$B$18)+Assumptions!$B$152*MAX(0,Assumptions!$B$156-Assumptions!$B$18))*Assumptions!$B$19/Assumptions!$B$7*I7+I84*(Assumptions!$B$147*Assumptions!$B$20+Assumptions!$B$148*Assumptions!$B$21)/12/Assumptions!$B$7*I7,0)</f>
        <v/>
      </c>
      <c r="J97" s="55">
        <f>IF(J2&gt;=Assumptions!$B$53,J89*J17*Assumptions!$B$17+J84*(Assumptions!$B$149*MAX(0,Assumptions!$B$153-Assumptions!$B$18)+Assumptions!$B$150*MAX(0,Assumptions!$B$154-Assumptions!$B$18)+Assumptions!$B$151*MAX(0,Assumptions!$B$155-Assumptions!$B$18)+Assumptions!$B$152*MAX(0,Assumptions!$B$156-Assumptions!$B$18))*Assumptions!$B$19/Assumptions!$B$7*J7+J84*(Assumptions!$B$147*Assumptions!$B$20+Assumptions!$B$148*Assumptions!$B$21)/12/Assumptions!$B$7*J7,0)</f>
        <v/>
      </c>
      <c r="K97" s="55">
        <f>IF(K2&gt;=Assumptions!$B$53,K89*K17*Assumptions!$B$17+K84*(Assumptions!$B$149*MAX(0,Assumptions!$B$153-Assumptions!$B$18)+Assumptions!$B$150*MAX(0,Assumptions!$B$154-Assumptions!$B$18)+Assumptions!$B$151*MAX(0,Assumptions!$B$155-Assumptions!$B$18)+Assumptions!$B$152*MAX(0,Assumptions!$B$156-Assumptions!$B$18))*Assumptions!$B$19/Assumptions!$B$7*K7+K84*(Assumptions!$B$147*Assumptions!$B$20+Assumptions!$B$148*Assumptions!$B$21)/12/Assumptions!$B$7*K7,0)</f>
        <v/>
      </c>
      <c r="L97" s="55">
        <f>IF(L2&gt;=Assumptions!$B$53,L89*L17*Assumptions!$B$17+L84*(Assumptions!$B$149*MAX(0,Assumptions!$B$153-Assumptions!$B$18)+Assumptions!$B$150*MAX(0,Assumptions!$B$154-Assumptions!$B$18)+Assumptions!$B$151*MAX(0,Assumptions!$B$155-Assumptions!$B$18)+Assumptions!$B$152*MAX(0,Assumptions!$B$156-Assumptions!$B$18))*Assumptions!$B$19/Assumptions!$B$7*L7+L84*(Assumptions!$B$147*Assumptions!$B$20+Assumptions!$B$148*Assumptions!$B$21)/12/Assumptions!$B$7*L7,0)</f>
        <v/>
      </c>
      <c r="M97" s="55">
        <f>IF(M2&gt;=Assumptions!$B$53,M89*M17*Assumptions!$B$17+M84*(Assumptions!$B$149*MAX(0,Assumptions!$B$153-Assumptions!$B$18)+Assumptions!$B$150*MAX(0,Assumptions!$B$154-Assumptions!$B$18)+Assumptions!$B$151*MAX(0,Assumptions!$B$155-Assumptions!$B$18)+Assumptions!$B$152*MAX(0,Assumptions!$B$156-Assumptions!$B$18))*Assumptions!$B$19/Assumptions!$B$7*M7+M84*(Assumptions!$B$147*Assumptions!$B$20+Assumptions!$B$148*Assumptions!$B$21)/12/Assumptions!$B$7*M7,0)</f>
        <v/>
      </c>
      <c r="N97" s="55">
        <f>IF(N2&gt;=Assumptions!$B$53,N89*N17*Assumptions!$B$17+N84*(Assumptions!$B$149*MAX(0,Assumptions!$B$153-Assumptions!$B$18)+Assumptions!$B$150*MAX(0,Assumptions!$B$154-Assumptions!$B$18)+Assumptions!$B$151*MAX(0,Assumptions!$B$155-Assumptions!$B$18)+Assumptions!$B$152*MAX(0,Assumptions!$B$156-Assumptions!$B$18))*Assumptions!$B$19/Assumptions!$B$7*N7+N84*(Assumptions!$B$147*Assumptions!$B$20+Assumptions!$B$148*Assumptions!$B$21)/12/Assumptions!$B$7*N7,0)</f>
        <v/>
      </c>
      <c r="O97" s="55">
        <f>IF(O2&gt;=Assumptions!$B$53,O89*O17*Assumptions!$B$17+O84*(Assumptions!$B$149*MAX(0,Assumptions!$B$153-Assumptions!$B$18)+Assumptions!$B$150*MAX(0,Assumptions!$B$154-Assumptions!$B$18)+Assumptions!$B$151*MAX(0,Assumptions!$B$155-Assumptions!$B$18)+Assumptions!$B$152*MAX(0,Assumptions!$B$156-Assumptions!$B$18))*Assumptions!$B$19/Assumptions!$B$7*O7+O84*(Assumptions!$B$147*Assumptions!$B$20+Assumptions!$B$148*Assumptions!$B$21)/12/Assumptions!$B$7*O7,0)</f>
        <v/>
      </c>
      <c r="P97" s="55">
        <f>IF(P2&gt;=Assumptions!$B$53,P89*P17*Assumptions!$B$17+P84*(Assumptions!$B$149*MAX(0,Assumptions!$B$153-Assumptions!$B$18)+Assumptions!$B$150*MAX(0,Assumptions!$B$154-Assumptions!$B$18)+Assumptions!$B$151*MAX(0,Assumptions!$B$155-Assumptions!$B$18)+Assumptions!$B$152*MAX(0,Assumptions!$B$156-Assumptions!$B$18))*Assumptions!$B$19/Assumptions!$B$7*P7+P84*(Assumptions!$B$147*Assumptions!$B$20+Assumptions!$B$148*Assumptions!$B$21)/12/Assumptions!$B$7*P7,0)</f>
        <v/>
      </c>
      <c r="Q97" s="55">
        <f>IF(Q2&gt;=Assumptions!$B$53,Q89*Q17*Assumptions!$B$17+Q84*(Assumptions!$B$149*MAX(0,Assumptions!$B$153-Assumptions!$B$18)+Assumptions!$B$150*MAX(0,Assumptions!$B$154-Assumptions!$B$18)+Assumptions!$B$151*MAX(0,Assumptions!$B$155-Assumptions!$B$18)+Assumptions!$B$152*MAX(0,Assumptions!$B$156-Assumptions!$B$18))*Assumptions!$B$19/Assumptions!$B$7*Q7+Q84*(Assumptions!$B$147*Assumptions!$B$20+Assumptions!$B$148*Assumptions!$B$21)/12/Assumptions!$B$7*Q7,0)</f>
        <v/>
      </c>
      <c r="R97" s="55">
        <f>IF(R2&gt;=Assumptions!$B$53,R89*R17*Assumptions!$B$17+R84*(Assumptions!$B$149*MAX(0,Assumptions!$B$153-Assumptions!$B$18)+Assumptions!$B$150*MAX(0,Assumptions!$B$154-Assumptions!$B$18)+Assumptions!$B$151*MAX(0,Assumptions!$B$155-Assumptions!$B$18)+Assumptions!$B$152*MAX(0,Assumptions!$B$156-Assumptions!$B$18))*Assumptions!$B$19/Assumptions!$B$7*R7+R84*(Assumptions!$B$147*Assumptions!$B$20+Assumptions!$B$148*Assumptions!$B$21)/12/Assumptions!$B$7*R7,0)</f>
        <v/>
      </c>
      <c r="S97" s="55">
        <f>IF(S2&gt;=Assumptions!$B$53,S89*S17*Assumptions!$B$17+S84*(Assumptions!$B$149*MAX(0,Assumptions!$B$153-Assumptions!$B$18)+Assumptions!$B$150*MAX(0,Assumptions!$B$154-Assumptions!$B$18)+Assumptions!$B$151*MAX(0,Assumptions!$B$155-Assumptions!$B$18)+Assumptions!$B$152*MAX(0,Assumptions!$B$156-Assumptions!$B$18))*Assumptions!$B$19/Assumptions!$B$7*S7+S84*(Assumptions!$B$147*Assumptions!$B$20+Assumptions!$B$148*Assumptions!$B$21)/12/Assumptions!$B$7*S7,0)</f>
        <v/>
      </c>
      <c r="T97" s="55">
        <f>IF(T2&gt;=Assumptions!$B$53,T89*T17*Assumptions!$B$17+T84*(Assumptions!$B$149*MAX(0,Assumptions!$B$153-Assumptions!$B$18)+Assumptions!$B$150*MAX(0,Assumptions!$B$154-Assumptions!$B$18)+Assumptions!$B$151*MAX(0,Assumptions!$B$155-Assumptions!$B$18)+Assumptions!$B$152*MAX(0,Assumptions!$B$156-Assumptions!$B$18))*Assumptions!$B$19/Assumptions!$B$7*T7+T84*(Assumptions!$B$147*Assumptions!$B$20+Assumptions!$B$148*Assumptions!$B$21)/12/Assumptions!$B$7*T7,0)</f>
        <v/>
      </c>
      <c r="U97" s="55">
        <f>IF(U2&gt;=Assumptions!$B$53,U89*U17*Assumptions!$B$17+U84*(Assumptions!$B$149*MAX(0,Assumptions!$B$153-Assumptions!$B$18)+Assumptions!$B$150*MAX(0,Assumptions!$B$154-Assumptions!$B$18)+Assumptions!$B$151*MAX(0,Assumptions!$B$155-Assumptions!$B$18)+Assumptions!$B$152*MAX(0,Assumptions!$B$156-Assumptions!$B$18))*Assumptions!$B$19/Assumptions!$B$7*U7+U84*(Assumptions!$B$147*Assumptions!$B$20+Assumptions!$B$148*Assumptions!$B$21)/12/Assumptions!$B$7*U7,0)</f>
        <v/>
      </c>
      <c r="V97" s="55">
        <f>IF(V2&gt;=Assumptions!$B$53,V89*V17*Assumptions!$B$17+V84*(Assumptions!$B$149*MAX(0,Assumptions!$B$153-Assumptions!$B$18)+Assumptions!$B$150*MAX(0,Assumptions!$B$154-Assumptions!$B$18)+Assumptions!$B$151*MAX(0,Assumptions!$B$155-Assumptions!$B$18)+Assumptions!$B$152*MAX(0,Assumptions!$B$156-Assumptions!$B$18))*Assumptions!$B$19/Assumptions!$B$7*V7+V84*(Assumptions!$B$147*Assumptions!$B$20+Assumptions!$B$148*Assumptions!$B$21)/12/Assumptions!$B$7*V7,0)</f>
        <v/>
      </c>
      <c r="W97" s="55">
        <f>IF(W2&gt;=Assumptions!$B$53,W89*W17*Assumptions!$B$17+W84*(Assumptions!$B$149*MAX(0,Assumptions!$B$153-Assumptions!$B$18)+Assumptions!$B$150*MAX(0,Assumptions!$B$154-Assumptions!$B$18)+Assumptions!$B$151*MAX(0,Assumptions!$B$155-Assumptions!$B$18)+Assumptions!$B$152*MAX(0,Assumptions!$B$156-Assumptions!$B$18))*Assumptions!$B$19/Assumptions!$B$7*W7+W84*(Assumptions!$B$147*Assumptions!$B$20+Assumptions!$B$148*Assumptions!$B$21)/12/Assumptions!$B$7*W7,0)</f>
        <v/>
      </c>
      <c r="X97" s="55">
        <f>IF(X2&gt;=Assumptions!$B$53,X89*X17*Assumptions!$B$17+X84*(Assumptions!$B$149*MAX(0,Assumptions!$B$153-Assumptions!$B$18)+Assumptions!$B$150*MAX(0,Assumptions!$B$154-Assumptions!$B$18)+Assumptions!$B$151*MAX(0,Assumptions!$B$155-Assumptions!$B$18)+Assumptions!$B$152*MAX(0,Assumptions!$B$156-Assumptions!$B$18))*Assumptions!$B$19/Assumptions!$B$7*X7+X84*(Assumptions!$B$147*Assumptions!$B$20+Assumptions!$B$148*Assumptions!$B$21)/12/Assumptions!$B$7*X7,0)</f>
        <v/>
      </c>
      <c r="Y97" s="55">
        <f>IF(Y2&gt;=Assumptions!$B$53,Y89*Y17*Assumptions!$B$17+Y84*(Assumptions!$B$149*MAX(0,Assumptions!$B$153-Assumptions!$B$18)+Assumptions!$B$150*MAX(0,Assumptions!$B$154-Assumptions!$B$18)+Assumptions!$B$151*MAX(0,Assumptions!$B$155-Assumptions!$B$18)+Assumptions!$B$152*MAX(0,Assumptions!$B$156-Assumptions!$B$18))*Assumptions!$B$19/Assumptions!$B$7*Y7+Y84*(Assumptions!$B$147*Assumptions!$B$20+Assumptions!$B$148*Assumptions!$B$21)/12/Assumptions!$B$7*Y7,0)</f>
        <v/>
      </c>
      <c r="Z97" s="55">
        <f>IF(Z2&gt;=Assumptions!$B$53,Z89*Z17*Assumptions!$B$17+Z84*(Assumptions!$B$149*MAX(0,Assumptions!$B$153-Assumptions!$B$18)+Assumptions!$B$150*MAX(0,Assumptions!$B$154-Assumptions!$B$18)+Assumptions!$B$151*MAX(0,Assumptions!$B$155-Assumptions!$B$18)+Assumptions!$B$152*MAX(0,Assumptions!$B$156-Assumptions!$B$18))*Assumptions!$B$19/Assumptions!$B$7*Z7+Z84*(Assumptions!$B$147*Assumptions!$B$20+Assumptions!$B$148*Assumptions!$B$21)/12/Assumptions!$B$7*Z7,0)</f>
        <v/>
      </c>
      <c r="AA97" s="55">
        <f>IF(AA2&gt;=Assumptions!$B$53,AA89*AA17*Assumptions!$B$17+AA84*(Assumptions!$B$149*MAX(0,Assumptions!$B$153-Assumptions!$B$18)+Assumptions!$B$150*MAX(0,Assumptions!$B$154-Assumptions!$B$18)+Assumptions!$B$151*MAX(0,Assumptions!$B$155-Assumptions!$B$18)+Assumptions!$B$152*MAX(0,Assumptions!$B$156-Assumptions!$B$18))*Assumptions!$B$19/Assumptions!$B$7*AA7+AA84*(Assumptions!$B$147*Assumptions!$B$20+Assumptions!$B$148*Assumptions!$B$21)/12/Assumptions!$B$7*AA7,0)</f>
        <v/>
      </c>
      <c r="AB97" s="55">
        <f>IF(AB2&gt;=Assumptions!$B$53,AB89*AB17*Assumptions!$B$17+AB84*(Assumptions!$B$149*MAX(0,Assumptions!$B$153-Assumptions!$B$18)+Assumptions!$B$150*MAX(0,Assumptions!$B$154-Assumptions!$B$18)+Assumptions!$B$151*MAX(0,Assumptions!$B$155-Assumptions!$B$18)+Assumptions!$B$152*MAX(0,Assumptions!$B$156-Assumptions!$B$18))*Assumptions!$B$19/Assumptions!$B$7*AB7+AB84*(Assumptions!$B$147*Assumptions!$B$20+Assumptions!$B$148*Assumptions!$B$21)/12/Assumptions!$B$7*AB7,0)</f>
        <v/>
      </c>
      <c r="AC97" s="55">
        <f>IF(AC2&gt;=Assumptions!$B$53,AC89*AC17*Assumptions!$B$17+AC84*(Assumptions!$B$149*MAX(0,Assumptions!$B$153-Assumptions!$B$18)+Assumptions!$B$150*MAX(0,Assumptions!$B$154-Assumptions!$B$18)+Assumptions!$B$151*MAX(0,Assumptions!$B$155-Assumptions!$B$18)+Assumptions!$B$152*MAX(0,Assumptions!$B$156-Assumptions!$B$18))*Assumptions!$B$19/Assumptions!$B$7*AC7+AC84*(Assumptions!$B$147*Assumptions!$B$20+Assumptions!$B$148*Assumptions!$B$21)/12/Assumptions!$B$7*AC7,0)</f>
        <v/>
      </c>
      <c r="AD97" s="55">
        <f>IF(AD2&gt;=Assumptions!$B$53,AD89*AD17*Assumptions!$B$17+AD84*(Assumptions!$B$149*MAX(0,Assumptions!$B$153-Assumptions!$B$18)+Assumptions!$B$150*MAX(0,Assumptions!$B$154-Assumptions!$B$18)+Assumptions!$B$151*MAX(0,Assumptions!$B$155-Assumptions!$B$18)+Assumptions!$B$152*MAX(0,Assumptions!$B$156-Assumptions!$B$18))*Assumptions!$B$19/Assumptions!$B$7*AD7+AD84*(Assumptions!$B$147*Assumptions!$B$20+Assumptions!$B$148*Assumptions!$B$21)/12/Assumptions!$B$7*AD7,0)</f>
        <v/>
      </c>
      <c r="AE97" s="55">
        <f>IF(AE2&gt;=Assumptions!$B$53,AE89*AE17*Assumptions!$B$17+AE84*(Assumptions!$B$149*MAX(0,Assumptions!$B$153-Assumptions!$B$18)+Assumptions!$B$150*MAX(0,Assumptions!$B$154-Assumptions!$B$18)+Assumptions!$B$151*MAX(0,Assumptions!$B$155-Assumptions!$B$18)+Assumptions!$B$152*MAX(0,Assumptions!$B$156-Assumptions!$B$18))*Assumptions!$B$19/Assumptions!$B$7*AE7+AE84*(Assumptions!$B$147*Assumptions!$B$20+Assumptions!$B$148*Assumptions!$B$21)/12/Assumptions!$B$7*AE7,0)</f>
        <v/>
      </c>
    </row>
    <row r="98">
      <c r="A98" s="6" t="inlineStr">
        <is>
          <t xml:space="preserve">  Average drawn balance outstanding</t>
        </is>
      </c>
      <c r="B98" s="23" t="inlineStr">
        <is>
          <t>USD</t>
        </is>
      </c>
      <c r="C98" s="55">
        <f>IF(C2&gt;=Assumptions!$B$54,C84*C85*(1-Assumptions!$B$178)*Assumptions!$B$157*Assumptions!$B$158,0)</f>
        <v/>
      </c>
      <c r="D98" s="55">
        <f>IF(D2&gt;=Assumptions!$B$54,D84*D85*(1-Assumptions!$B$178)*Assumptions!$B$157*Assumptions!$B$158,0)</f>
        <v/>
      </c>
      <c r="E98" s="55">
        <f>IF(E2&gt;=Assumptions!$B$54,E84*E85*(1-Assumptions!$B$178)*Assumptions!$B$157*Assumptions!$B$158,0)</f>
        <v/>
      </c>
      <c r="F98" s="55">
        <f>IF(F2&gt;=Assumptions!$B$54,F84*F85*(1-Assumptions!$B$178)*Assumptions!$B$157*Assumptions!$B$158,0)</f>
        <v/>
      </c>
      <c r="G98" s="55">
        <f>IF(G2&gt;=Assumptions!$B$54,G84*G85*(1-Assumptions!$B$178)*Assumptions!$B$157*Assumptions!$B$158,0)</f>
        <v/>
      </c>
      <c r="H98" s="55">
        <f>IF(H2&gt;=Assumptions!$B$54,H84*H85*(1-Assumptions!$B$178)*Assumptions!$B$157*Assumptions!$B$158,0)</f>
        <v/>
      </c>
      <c r="I98" s="55">
        <f>IF(I2&gt;=Assumptions!$B$54,I84*I85*(1-Assumptions!$B$178)*Assumptions!$B$157*Assumptions!$B$158,0)</f>
        <v/>
      </c>
      <c r="J98" s="55">
        <f>IF(J2&gt;=Assumptions!$B$54,J84*J85*(1-Assumptions!$B$178)*Assumptions!$B$157*Assumptions!$B$158,0)</f>
        <v/>
      </c>
      <c r="K98" s="55">
        <f>IF(K2&gt;=Assumptions!$B$54,K84*K85*(1-Assumptions!$B$178)*Assumptions!$B$157*Assumptions!$B$158,0)</f>
        <v/>
      </c>
      <c r="L98" s="55">
        <f>IF(L2&gt;=Assumptions!$B$54,L84*L85*(1-Assumptions!$B$178)*Assumptions!$B$157*Assumptions!$B$158,0)</f>
        <v/>
      </c>
      <c r="M98" s="55">
        <f>IF(M2&gt;=Assumptions!$B$54,M84*M85*(1-Assumptions!$B$178)*Assumptions!$B$157*Assumptions!$B$158,0)</f>
        <v/>
      </c>
      <c r="N98" s="55">
        <f>IF(N2&gt;=Assumptions!$B$54,N84*N85*(1-Assumptions!$B$178)*Assumptions!$B$157*Assumptions!$B$158,0)</f>
        <v/>
      </c>
      <c r="O98" s="55">
        <f>IF(O2&gt;=Assumptions!$B$54,O84*O85*(1-Assumptions!$B$178)*Assumptions!$B$157*Assumptions!$B$158,0)</f>
        <v/>
      </c>
      <c r="P98" s="55">
        <f>IF(P2&gt;=Assumptions!$B$54,P84*P85*(1-Assumptions!$B$178)*Assumptions!$B$157*Assumptions!$B$158,0)</f>
        <v/>
      </c>
      <c r="Q98" s="55">
        <f>IF(Q2&gt;=Assumptions!$B$54,Q84*Q85*(1-Assumptions!$B$178)*Assumptions!$B$157*Assumptions!$B$158,0)</f>
        <v/>
      </c>
      <c r="R98" s="55">
        <f>IF(R2&gt;=Assumptions!$B$54,R84*R85*(1-Assumptions!$B$178)*Assumptions!$B$157*Assumptions!$B$158,0)</f>
        <v/>
      </c>
      <c r="S98" s="55">
        <f>IF(S2&gt;=Assumptions!$B$54,S84*S85*(1-Assumptions!$B$178)*Assumptions!$B$157*Assumptions!$B$158,0)</f>
        <v/>
      </c>
      <c r="T98" s="55">
        <f>IF(T2&gt;=Assumptions!$B$54,T84*T85*(1-Assumptions!$B$178)*Assumptions!$B$157*Assumptions!$B$158,0)</f>
        <v/>
      </c>
      <c r="U98" s="55">
        <f>IF(U2&gt;=Assumptions!$B$54,U84*U85*(1-Assumptions!$B$178)*Assumptions!$B$157*Assumptions!$B$158,0)</f>
        <v/>
      </c>
      <c r="V98" s="55">
        <f>IF(V2&gt;=Assumptions!$B$54,V84*V85*(1-Assumptions!$B$178)*Assumptions!$B$157*Assumptions!$B$158,0)</f>
        <v/>
      </c>
      <c r="W98" s="55">
        <f>IF(W2&gt;=Assumptions!$B$54,W84*W85*(1-Assumptions!$B$178)*Assumptions!$B$157*Assumptions!$B$158,0)</f>
        <v/>
      </c>
      <c r="X98" s="55">
        <f>IF(X2&gt;=Assumptions!$B$54,X84*X85*(1-Assumptions!$B$178)*Assumptions!$B$157*Assumptions!$B$158,0)</f>
        <v/>
      </c>
      <c r="Y98" s="55">
        <f>IF(Y2&gt;=Assumptions!$B$54,Y84*Y85*(1-Assumptions!$B$178)*Assumptions!$B$157*Assumptions!$B$158,0)</f>
        <v/>
      </c>
      <c r="Z98" s="55">
        <f>IF(Z2&gt;=Assumptions!$B$54,Z84*Z85*(1-Assumptions!$B$178)*Assumptions!$B$157*Assumptions!$B$158,0)</f>
        <v/>
      </c>
      <c r="AA98" s="55">
        <f>IF(AA2&gt;=Assumptions!$B$54,AA84*AA85*(1-Assumptions!$B$178)*Assumptions!$B$157*Assumptions!$B$158,0)</f>
        <v/>
      </c>
      <c r="AB98" s="55">
        <f>IF(AB2&gt;=Assumptions!$B$54,AB84*AB85*(1-Assumptions!$B$178)*Assumptions!$B$157*Assumptions!$B$158,0)</f>
        <v/>
      </c>
      <c r="AC98" s="55">
        <f>IF(AC2&gt;=Assumptions!$B$54,AC84*AC85*(1-Assumptions!$B$178)*Assumptions!$B$157*Assumptions!$B$158,0)</f>
        <v/>
      </c>
      <c r="AD98" s="55">
        <f>IF(AD2&gt;=Assumptions!$B$54,AD84*AD85*(1-Assumptions!$B$178)*Assumptions!$B$157*Assumptions!$B$158,0)</f>
        <v/>
      </c>
      <c r="AE98" s="55">
        <f>IF(AE2&gt;=Assumptions!$B$54,AE84*AE85*(1-Assumptions!$B$178)*Assumptions!$B$157*Assumptions!$B$158,0)</f>
        <v/>
      </c>
    </row>
    <row r="99">
      <c r="A99" s="6" t="inlineStr">
        <is>
          <t xml:space="preserve">  Stream 5 - Lending revenue share</t>
        </is>
      </c>
      <c r="B99" s="23" t="inlineStr">
        <is>
          <t>USD</t>
        </is>
      </c>
      <c r="C99" s="55">
        <f>IF(C2&gt;=Assumptions!$B$54,(C98*Assumptions!$B$30*Assumptions!$B$31+C84*C86*(1-Assumptions!$B$178)*Assumptions!$B$28*Assumptions!$B$29)*C7/12,0)</f>
        <v/>
      </c>
      <c r="D99" s="55">
        <f>IF(D2&gt;=Assumptions!$B$54,(D98*Assumptions!$B$30*Assumptions!$B$31+D84*D86*(1-Assumptions!$B$178)*Assumptions!$B$28*Assumptions!$B$29)*D7/12,0)</f>
        <v/>
      </c>
      <c r="E99" s="55">
        <f>IF(E2&gt;=Assumptions!$B$54,(E98*Assumptions!$B$30*Assumptions!$B$31+E84*E86*(1-Assumptions!$B$178)*Assumptions!$B$28*Assumptions!$B$29)*E7/12,0)</f>
        <v/>
      </c>
      <c r="F99" s="55">
        <f>IF(F2&gt;=Assumptions!$B$54,(F98*Assumptions!$B$30*Assumptions!$B$31+F84*F86*(1-Assumptions!$B$178)*Assumptions!$B$28*Assumptions!$B$29)*F7/12,0)</f>
        <v/>
      </c>
      <c r="G99" s="55">
        <f>IF(G2&gt;=Assumptions!$B$54,(G98*Assumptions!$B$30*Assumptions!$B$31+G84*G86*(1-Assumptions!$B$178)*Assumptions!$B$28*Assumptions!$B$29)*G7/12,0)</f>
        <v/>
      </c>
      <c r="H99" s="55">
        <f>IF(H2&gt;=Assumptions!$B$54,(H98*Assumptions!$B$30*Assumptions!$B$31+H84*H86*(1-Assumptions!$B$178)*Assumptions!$B$28*Assumptions!$B$29)*H7/12,0)</f>
        <v/>
      </c>
      <c r="I99" s="55">
        <f>IF(I2&gt;=Assumptions!$B$54,(I98*Assumptions!$B$30*Assumptions!$B$31+I84*I86*(1-Assumptions!$B$178)*Assumptions!$B$28*Assumptions!$B$29)*I7/12,0)</f>
        <v/>
      </c>
      <c r="J99" s="55">
        <f>IF(J2&gt;=Assumptions!$B$54,(J98*Assumptions!$B$30*Assumptions!$B$31+J84*J86*(1-Assumptions!$B$178)*Assumptions!$B$28*Assumptions!$B$29)*J7/12,0)</f>
        <v/>
      </c>
      <c r="K99" s="55">
        <f>IF(K2&gt;=Assumptions!$B$54,(K98*Assumptions!$B$30*Assumptions!$B$31+K84*K86*(1-Assumptions!$B$178)*Assumptions!$B$28*Assumptions!$B$29)*K7/12,0)</f>
        <v/>
      </c>
      <c r="L99" s="55">
        <f>IF(L2&gt;=Assumptions!$B$54,(L98*Assumptions!$B$30*Assumptions!$B$31+L84*L86*(1-Assumptions!$B$178)*Assumptions!$B$28*Assumptions!$B$29)*L7/12,0)</f>
        <v/>
      </c>
      <c r="M99" s="55">
        <f>IF(M2&gt;=Assumptions!$B$54,(M98*Assumptions!$B$30*Assumptions!$B$31+M84*M86*(1-Assumptions!$B$178)*Assumptions!$B$28*Assumptions!$B$29)*M7/12,0)</f>
        <v/>
      </c>
      <c r="N99" s="55">
        <f>IF(N2&gt;=Assumptions!$B$54,(N98*Assumptions!$B$30*Assumptions!$B$31+N84*N86*(1-Assumptions!$B$178)*Assumptions!$B$28*Assumptions!$B$29)*N7/12,0)</f>
        <v/>
      </c>
      <c r="O99" s="55">
        <f>IF(O2&gt;=Assumptions!$B$54,(O98*Assumptions!$B$30*Assumptions!$B$31+O84*O86*(1-Assumptions!$B$178)*Assumptions!$B$28*Assumptions!$B$29)*O7/12,0)</f>
        <v/>
      </c>
      <c r="P99" s="55">
        <f>IF(P2&gt;=Assumptions!$B$54,(P98*Assumptions!$B$30*Assumptions!$B$31+P84*P86*(1-Assumptions!$B$178)*Assumptions!$B$28*Assumptions!$B$29)*P7/12,0)</f>
        <v/>
      </c>
      <c r="Q99" s="55">
        <f>IF(Q2&gt;=Assumptions!$B$54,(Q98*Assumptions!$B$30*Assumptions!$B$31+Q84*Q86*(1-Assumptions!$B$178)*Assumptions!$B$28*Assumptions!$B$29)*Q7/12,0)</f>
        <v/>
      </c>
      <c r="R99" s="55">
        <f>IF(R2&gt;=Assumptions!$B$54,(R98*Assumptions!$B$30*Assumptions!$B$31+R84*R86*(1-Assumptions!$B$178)*Assumptions!$B$28*Assumptions!$B$29)*R7/12,0)</f>
        <v/>
      </c>
      <c r="S99" s="55">
        <f>IF(S2&gt;=Assumptions!$B$54,(S98*Assumptions!$B$30*Assumptions!$B$31+S84*S86*(1-Assumptions!$B$178)*Assumptions!$B$28*Assumptions!$B$29)*S7/12,0)</f>
        <v/>
      </c>
      <c r="T99" s="55">
        <f>IF(T2&gt;=Assumptions!$B$54,(T98*Assumptions!$B$30*Assumptions!$B$31+T84*T86*(1-Assumptions!$B$178)*Assumptions!$B$28*Assumptions!$B$29)*T7/12,0)</f>
        <v/>
      </c>
      <c r="U99" s="55">
        <f>IF(U2&gt;=Assumptions!$B$54,(U98*Assumptions!$B$30*Assumptions!$B$31+U84*U86*(1-Assumptions!$B$178)*Assumptions!$B$28*Assumptions!$B$29)*U7/12,0)</f>
        <v/>
      </c>
      <c r="V99" s="55">
        <f>IF(V2&gt;=Assumptions!$B$54,(V98*Assumptions!$B$30*Assumptions!$B$31+V84*V86*(1-Assumptions!$B$178)*Assumptions!$B$28*Assumptions!$B$29)*V7/12,0)</f>
        <v/>
      </c>
      <c r="W99" s="55">
        <f>IF(W2&gt;=Assumptions!$B$54,(W98*Assumptions!$B$30*Assumptions!$B$31+W84*W86*(1-Assumptions!$B$178)*Assumptions!$B$28*Assumptions!$B$29)*W7/12,0)</f>
        <v/>
      </c>
      <c r="X99" s="55">
        <f>IF(X2&gt;=Assumptions!$B$54,(X98*Assumptions!$B$30*Assumptions!$B$31+X84*X86*(1-Assumptions!$B$178)*Assumptions!$B$28*Assumptions!$B$29)*X7/12,0)</f>
        <v/>
      </c>
      <c r="Y99" s="55">
        <f>IF(Y2&gt;=Assumptions!$B$54,(Y98*Assumptions!$B$30*Assumptions!$B$31+Y84*Y86*(1-Assumptions!$B$178)*Assumptions!$B$28*Assumptions!$B$29)*Y7/12,0)</f>
        <v/>
      </c>
      <c r="Z99" s="55">
        <f>IF(Z2&gt;=Assumptions!$B$54,(Z98*Assumptions!$B$30*Assumptions!$B$31+Z84*Z86*(1-Assumptions!$B$178)*Assumptions!$B$28*Assumptions!$B$29)*Z7/12,0)</f>
        <v/>
      </c>
      <c r="AA99" s="55">
        <f>IF(AA2&gt;=Assumptions!$B$54,(AA98*Assumptions!$B$30*Assumptions!$B$31+AA84*AA86*(1-Assumptions!$B$178)*Assumptions!$B$28*Assumptions!$B$29)*AA7/12,0)</f>
        <v/>
      </c>
      <c r="AB99" s="55">
        <f>IF(AB2&gt;=Assumptions!$B$54,(AB98*Assumptions!$B$30*Assumptions!$B$31+AB84*AB86*(1-Assumptions!$B$178)*Assumptions!$B$28*Assumptions!$B$29)*AB7/12,0)</f>
        <v/>
      </c>
      <c r="AC99" s="55">
        <f>IF(AC2&gt;=Assumptions!$B$54,(AC98*Assumptions!$B$30*Assumptions!$B$31+AC84*AC86*(1-Assumptions!$B$178)*Assumptions!$B$28*Assumptions!$B$29)*AC7/12,0)</f>
        <v/>
      </c>
      <c r="AD99" s="55">
        <f>IF(AD2&gt;=Assumptions!$B$54,(AD98*Assumptions!$B$30*Assumptions!$B$31+AD84*AD86*(1-Assumptions!$B$178)*Assumptions!$B$28*Assumptions!$B$29)*AD7/12,0)</f>
        <v/>
      </c>
      <c r="AE99" s="55">
        <f>IF(AE2&gt;=Assumptions!$B$54,(AE98*Assumptions!$B$30*Assumptions!$B$31+AE84*AE86*(1-Assumptions!$B$178)*Assumptions!$B$28*Assumptions!$B$29)*AE7/12,0)</f>
        <v/>
      </c>
    </row>
    <row r="100">
      <c r="A100" s="6" t="inlineStr">
        <is>
          <t xml:space="preserve">  Redemption events (memo - drives cost, not revenue)</t>
        </is>
      </c>
      <c r="B100" s="23" t="inlineStr">
        <is>
          <t>events</t>
        </is>
      </c>
      <c r="C100" s="45">
        <f>IF(C2&gt;=Assumptions!$B$50,(C70+C72*Assumptions!$B$139)*Assumptions!$B$138*C7/12,0)</f>
        <v/>
      </c>
      <c r="D100" s="45">
        <f>IF(D2&gt;=Assumptions!$B$50,(D70+D72*Assumptions!$B$139)*Assumptions!$B$138*D7/12,0)</f>
        <v/>
      </c>
      <c r="E100" s="45">
        <f>IF(E2&gt;=Assumptions!$B$50,(E70+E72*Assumptions!$B$139)*Assumptions!$B$138*E7/12,0)</f>
        <v/>
      </c>
      <c r="F100" s="45">
        <f>IF(F2&gt;=Assumptions!$B$50,(F70+F72*Assumptions!$B$139)*Assumptions!$B$138*F7/12,0)</f>
        <v/>
      </c>
      <c r="G100" s="45">
        <f>IF(G2&gt;=Assumptions!$B$50,(G70+G72*Assumptions!$B$139)*Assumptions!$B$138*G7/12,0)</f>
        <v/>
      </c>
      <c r="H100" s="45">
        <f>IF(H2&gt;=Assumptions!$B$50,(H70+H72*Assumptions!$B$139)*Assumptions!$B$138*H7/12,0)</f>
        <v/>
      </c>
      <c r="I100" s="45">
        <f>IF(I2&gt;=Assumptions!$B$50,(I70+I72*Assumptions!$B$139)*Assumptions!$B$138*I7/12,0)</f>
        <v/>
      </c>
      <c r="J100" s="45">
        <f>IF(J2&gt;=Assumptions!$B$50,(J70+J72*Assumptions!$B$139)*Assumptions!$B$138*J7/12,0)</f>
        <v/>
      </c>
      <c r="K100" s="45">
        <f>IF(K2&gt;=Assumptions!$B$50,(K70+K72*Assumptions!$B$139)*Assumptions!$B$138*K7/12,0)</f>
        <v/>
      </c>
      <c r="L100" s="45">
        <f>IF(L2&gt;=Assumptions!$B$50,(L70+L72*Assumptions!$B$139)*Assumptions!$B$138*L7/12,0)</f>
        <v/>
      </c>
      <c r="M100" s="45">
        <f>IF(M2&gt;=Assumptions!$B$50,(M70+M72*Assumptions!$B$139)*Assumptions!$B$138*M7/12,0)</f>
        <v/>
      </c>
      <c r="N100" s="45">
        <f>IF(N2&gt;=Assumptions!$B$50,(N70+N72*Assumptions!$B$139)*Assumptions!$B$138*N7/12,0)</f>
        <v/>
      </c>
      <c r="O100" s="45">
        <f>IF(O2&gt;=Assumptions!$B$50,(O70+O72*Assumptions!$B$139)*Assumptions!$B$138*O7/12,0)</f>
        <v/>
      </c>
      <c r="P100" s="45">
        <f>IF(P2&gt;=Assumptions!$B$50,(P70+P72*Assumptions!$B$139)*Assumptions!$B$138*P7/12,0)</f>
        <v/>
      </c>
      <c r="Q100" s="45">
        <f>IF(Q2&gt;=Assumptions!$B$50,(Q70+Q72*Assumptions!$B$139)*Assumptions!$B$138*Q7/12,0)</f>
        <v/>
      </c>
      <c r="R100" s="45">
        <f>IF(R2&gt;=Assumptions!$B$50,(R70+R72*Assumptions!$B$139)*Assumptions!$B$138*R7/12,0)</f>
        <v/>
      </c>
      <c r="S100" s="45">
        <f>IF(S2&gt;=Assumptions!$B$50,(S70+S72*Assumptions!$B$139)*Assumptions!$B$138*S7/12,0)</f>
        <v/>
      </c>
      <c r="T100" s="45">
        <f>IF(T2&gt;=Assumptions!$B$50,(T70+T72*Assumptions!$B$139)*Assumptions!$B$138*T7/12,0)</f>
        <v/>
      </c>
      <c r="U100" s="45">
        <f>IF(U2&gt;=Assumptions!$B$50,(U70+U72*Assumptions!$B$139)*Assumptions!$B$138*U7/12,0)</f>
        <v/>
      </c>
      <c r="V100" s="45">
        <f>IF(V2&gt;=Assumptions!$B$50,(V70+V72*Assumptions!$B$139)*Assumptions!$B$138*V7/12,0)</f>
        <v/>
      </c>
      <c r="W100" s="45">
        <f>IF(W2&gt;=Assumptions!$B$50,(W70+W72*Assumptions!$B$139)*Assumptions!$B$138*W7/12,0)</f>
        <v/>
      </c>
      <c r="X100" s="45">
        <f>IF(X2&gt;=Assumptions!$B$50,(X70+X72*Assumptions!$B$139)*Assumptions!$B$138*X7/12,0)</f>
        <v/>
      </c>
      <c r="Y100" s="45">
        <f>IF(Y2&gt;=Assumptions!$B$50,(Y70+Y72*Assumptions!$B$139)*Assumptions!$B$138*Y7/12,0)</f>
        <v/>
      </c>
      <c r="Z100" s="45">
        <f>IF(Z2&gt;=Assumptions!$B$50,(Z70+Z72*Assumptions!$B$139)*Assumptions!$B$138*Z7/12,0)</f>
        <v/>
      </c>
      <c r="AA100" s="45">
        <f>IF(AA2&gt;=Assumptions!$B$50,(AA70+AA72*Assumptions!$B$139)*Assumptions!$B$138*AA7/12,0)</f>
        <v/>
      </c>
      <c r="AB100" s="45">
        <f>IF(AB2&gt;=Assumptions!$B$50,(AB70+AB72*Assumptions!$B$139)*Assumptions!$B$138*AB7/12,0)</f>
        <v/>
      </c>
      <c r="AC100" s="45">
        <f>IF(AC2&gt;=Assumptions!$B$50,(AC70+AC72*Assumptions!$B$139)*Assumptions!$B$138*AC7/12,0)</f>
        <v/>
      </c>
      <c r="AD100" s="45">
        <f>IF(AD2&gt;=Assumptions!$B$50,(AD70+AD72*Assumptions!$B$139)*Assumptions!$B$138*AD7/12,0)</f>
        <v/>
      </c>
      <c r="AE100" s="45">
        <f>IF(AE2&gt;=Assumptions!$B$50,(AE70+AE72*Assumptions!$B$139)*Assumptions!$B$138*AE7/12,0)</f>
        <v/>
      </c>
    </row>
    <row r="101">
      <c r="A101" s="3" t="inlineStr">
        <is>
          <t xml:space="preserve">  SUBTOTAL - Oman and Bahrain</t>
        </is>
      </c>
      <c r="B101" s="23" t="inlineStr">
        <is>
          <t>USD</t>
        </is>
      </c>
      <c r="C101" s="57">
        <f>C92+C93+C94+C96+C97+C99</f>
        <v/>
      </c>
      <c r="D101" s="57">
        <f>D92+D93+D94+D96+D97+D99</f>
        <v/>
      </c>
      <c r="E101" s="57">
        <f>E92+E93+E94+E96+E97+E99</f>
        <v/>
      </c>
      <c r="F101" s="57">
        <f>F92+F93+F94+F96+F97+F99</f>
        <v/>
      </c>
      <c r="G101" s="57">
        <f>G92+G93+G94+G96+G97+G99</f>
        <v/>
      </c>
      <c r="H101" s="57">
        <f>H92+H93+H94+H96+H97+H99</f>
        <v/>
      </c>
      <c r="I101" s="57">
        <f>I92+I93+I94+I96+I97+I99</f>
        <v/>
      </c>
      <c r="J101" s="57">
        <f>J92+J93+J94+J96+J97+J99</f>
        <v/>
      </c>
      <c r="K101" s="57">
        <f>K92+K93+K94+K96+K97+K99</f>
        <v/>
      </c>
      <c r="L101" s="57">
        <f>L92+L93+L94+L96+L97+L99</f>
        <v/>
      </c>
      <c r="M101" s="57">
        <f>M92+M93+M94+M96+M97+M99</f>
        <v/>
      </c>
      <c r="N101" s="57">
        <f>N92+N93+N94+N96+N97+N99</f>
        <v/>
      </c>
      <c r="O101" s="57">
        <f>O92+O93+O94+O96+O97+O99</f>
        <v/>
      </c>
      <c r="P101" s="57">
        <f>P92+P93+P94+P96+P97+P99</f>
        <v/>
      </c>
      <c r="Q101" s="57">
        <f>Q92+Q93+Q94+Q96+Q97+Q99</f>
        <v/>
      </c>
      <c r="R101" s="57">
        <f>R92+R93+R94+R96+R97+R99</f>
        <v/>
      </c>
      <c r="S101" s="57">
        <f>S92+S93+S94+S96+S97+S99</f>
        <v/>
      </c>
      <c r="T101" s="57">
        <f>T92+T93+T94+T96+T97+T99</f>
        <v/>
      </c>
      <c r="U101" s="57">
        <f>U92+U93+U94+U96+U97+U99</f>
        <v/>
      </c>
      <c r="V101" s="57">
        <f>V92+V93+V94+V96+V97+V99</f>
        <v/>
      </c>
      <c r="W101" s="57">
        <f>W92+W93+W94+W96+W97+W99</f>
        <v/>
      </c>
      <c r="X101" s="57">
        <f>X92+X93+X94+X96+X97+X99</f>
        <v/>
      </c>
      <c r="Y101" s="57">
        <f>Y92+Y93+Y94+Y96+Y97+Y99</f>
        <v/>
      </c>
      <c r="Z101" s="57">
        <f>Z92+Z93+Z94+Z96+Z97+Z99</f>
        <v/>
      </c>
      <c r="AA101" s="57">
        <f>AA92+AA93+AA94+AA96+AA97+AA99</f>
        <v/>
      </c>
      <c r="AB101" s="57">
        <f>AB92+AB93+AB94+AB96+AB97+AB99</f>
        <v/>
      </c>
      <c r="AC101" s="57">
        <f>AC92+AC93+AC94+AC96+AC97+AC99</f>
        <v/>
      </c>
      <c r="AD101" s="57">
        <f>AD92+AD93+AD94+AD96+AD97+AD99</f>
        <v/>
      </c>
      <c r="AE101" s="57">
        <f>AE92+AE93+AE94+AE96+AE97+AE99</f>
        <v/>
      </c>
    </row>
    <row r="103">
      <c r="A103" s="46" t="inlineStr">
        <is>
          <t>REGION: INDIA</t>
        </is>
      </c>
      <c r="B103" s="47" t="n"/>
      <c r="C103" s="47" t="n"/>
      <c r="D103" s="47" t="n"/>
      <c r="E103" s="47" t="n"/>
      <c r="F103" s="47" t="n"/>
      <c r="G103" s="47" t="n"/>
      <c r="H103" s="47" t="n"/>
      <c r="I103" s="47" t="n"/>
      <c r="J103" s="47" t="n"/>
      <c r="K103" s="47" t="n"/>
      <c r="L103" s="47" t="n"/>
      <c r="M103" s="47" t="n"/>
      <c r="N103" s="47" t="n"/>
      <c r="O103" s="47" t="n"/>
      <c r="P103" s="47" t="n"/>
      <c r="Q103" s="47" t="n"/>
      <c r="R103" s="47" t="n"/>
      <c r="S103" s="47" t="n"/>
      <c r="T103" s="47" t="n"/>
      <c r="U103" s="47" t="n"/>
      <c r="V103" s="47" t="n"/>
      <c r="W103" s="47" t="n"/>
      <c r="X103" s="47" t="n"/>
      <c r="Y103" s="47" t="n"/>
      <c r="Z103" s="47" t="n"/>
      <c r="AA103" s="47" t="n"/>
      <c r="AB103" s="47" t="n"/>
      <c r="AC103" s="47" t="n"/>
      <c r="AD103" s="47" t="n"/>
      <c r="AE103" s="47" t="n"/>
    </row>
    <row r="104">
      <c r="A104" s="6" t="inlineStr">
        <is>
          <t xml:space="preserve">  Direct-driven (this market's budget at its own CAC)</t>
        </is>
      </c>
      <c r="B104" s="23" t="inlineStr">
        <is>
          <t>accounts</t>
        </is>
      </c>
      <c r="C104" s="53">
        <f>INDEX(Assumptions!$B$101:$B$107,C5)*Assumptions!$B$130/12*C7/Assumptions!$B$127*(1+Assumptions!$B$133)*IF(C2&gt;=Assumptions!$B$58,1,0)</f>
        <v/>
      </c>
      <c r="D104" s="53">
        <f>INDEX(Assumptions!$B$101:$B$107,D5)*Assumptions!$B$130/12*D7/Assumptions!$B$127*(1+Assumptions!$B$133)*IF(D2&gt;=Assumptions!$B$58,1,0)</f>
        <v/>
      </c>
      <c r="E104" s="53">
        <f>INDEX(Assumptions!$B$101:$B$107,E5)*Assumptions!$B$130/12*E7/Assumptions!$B$127*(1+Assumptions!$B$133)*IF(E2&gt;=Assumptions!$B$58,1,0)</f>
        <v/>
      </c>
      <c r="F104" s="53">
        <f>INDEX(Assumptions!$B$101:$B$107,F5)*Assumptions!$B$130/12*F7/Assumptions!$B$127*(1+Assumptions!$B$133)*IF(F2&gt;=Assumptions!$B$58,1,0)</f>
        <v/>
      </c>
      <c r="G104" s="53">
        <f>INDEX(Assumptions!$B$101:$B$107,G5)*Assumptions!$B$130/12*G7/Assumptions!$B$127*(1+Assumptions!$B$133)*IF(G2&gt;=Assumptions!$B$58,1,0)</f>
        <v/>
      </c>
      <c r="H104" s="53">
        <f>INDEX(Assumptions!$B$101:$B$107,H5)*Assumptions!$B$130/12*H7/Assumptions!$B$127*(1+Assumptions!$B$133)*IF(H2&gt;=Assumptions!$B$58,1,0)</f>
        <v/>
      </c>
      <c r="I104" s="53">
        <f>INDEX(Assumptions!$B$101:$B$107,I5)*Assumptions!$B$130/12*I7/Assumptions!$B$127*(1+Assumptions!$B$133)*IF(I2&gt;=Assumptions!$B$58,1,0)</f>
        <v/>
      </c>
      <c r="J104" s="53">
        <f>INDEX(Assumptions!$B$101:$B$107,J5)*Assumptions!$B$130/12*J7/Assumptions!$B$127*(1+Assumptions!$B$133)*IF(J2&gt;=Assumptions!$B$58,1,0)</f>
        <v/>
      </c>
      <c r="K104" s="53">
        <f>INDEX(Assumptions!$B$101:$B$107,K5)*Assumptions!$B$130/12*K7/Assumptions!$B$127*(1+Assumptions!$B$133)*IF(K2&gt;=Assumptions!$B$58,1,0)</f>
        <v/>
      </c>
      <c r="L104" s="53">
        <f>INDEX(Assumptions!$B$101:$B$107,L5)*Assumptions!$B$130/12*L7/Assumptions!$B$127*(1+Assumptions!$B$133)*IF(L2&gt;=Assumptions!$B$58,1,0)</f>
        <v/>
      </c>
      <c r="M104" s="53">
        <f>INDEX(Assumptions!$B$101:$B$107,M5)*Assumptions!$B$130/12*M7/Assumptions!$B$127*(1+Assumptions!$B$133)*IF(M2&gt;=Assumptions!$B$58,1,0)</f>
        <v/>
      </c>
      <c r="N104" s="53">
        <f>INDEX(Assumptions!$B$101:$B$107,N5)*Assumptions!$B$130/12*N7/Assumptions!$B$127*(1+Assumptions!$B$133)*IF(N2&gt;=Assumptions!$B$58,1,0)</f>
        <v/>
      </c>
      <c r="O104" s="53">
        <f>INDEX(Assumptions!$B$101:$B$107,O5)*Assumptions!$B$130/12*O7/Assumptions!$B$127*(1+Assumptions!$B$133)*IF(O2&gt;=Assumptions!$B$58,1,0)</f>
        <v/>
      </c>
      <c r="P104" s="53">
        <f>INDEX(Assumptions!$B$101:$B$107,P5)*Assumptions!$B$130/12*P7/Assumptions!$B$127*(1+Assumptions!$B$133)*IF(P2&gt;=Assumptions!$B$58,1,0)</f>
        <v/>
      </c>
      <c r="Q104" s="53">
        <f>INDEX(Assumptions!$B$101:$B$107,Q5)*Assumptions!$B$130/12*Q7/Assumptions!$B$127*(1+Assumptions!$B$133)*IF(Q2&gt;=Assumptions!$B$58,1,0)</f>
        <v/>
      </c>
      <c r="R104" s="53">
        <f>INDEX(Assumptions!$B$101:$B$107,R5)*Assumptions!$B$130/12*R7/Assumptions!$B$127*(1+Assumptions!$B$133)*IF(R2&gt;=Assumptions!$B$58,1,0)</f>
        <v/>
      </c>
      <c r="S104" s="53">
        <f>INDEX(Assumptions!$B$101:$B$107,S5)*Assumptions!$B$130/12*S7/Assumptions!$B$127*(1+Assumptions!$B$133)*IF(S2&gt;=Assumptions!$B$58,1,0)</f>
        <v/>
      </c>
      <c r="T104" s="53">
        <f>INDEX(Assumptions!$B$101:$B$107,T5)*Assumptions!$B$130/12*T7/Assumptions!$B$127*(1+Assumptions!$B$133)*IF(T2&gt;=Assumptions!$B$58,1,0)</f>
        <v/>
      </c>
      <c r="U104" s="53">
        <f>INDEX(Assumptions!$B$101:$B$107,U5)*Assumptions!$B$130/12*U7/Assumptions!$B$127*(1+Assumptions!$B$133)*IF(U2&gt;=Assumptions!$B$58,1,0)</f>
        <v/>
      </c>
      <c r="V104" s="53">
        <f>INDEX(Assumptions!$B$101:$B$107,V5)*Assumptions!$B$130/12*V7/Assumptions!$B$127*(1+Assumptions!$B$133)*IF(V2&gt;=Assumptions!$B$58,1,0)</f>
        <v/>
      </c>
      <c r="W104" s="53">
        <f>INDEX(Assumptions!$B$101:$B$107,W5)*Assumptions!$B$130/12*W7/Assumptions!$B$127*(1+Assumptions!$B$133)*IF(W2&gt;=Assumptions!$B$58,1,0)</f>
        <v/>
      </c>
      <c r="X104" s="53">
        <f>INDEX(Assumptions!$B$101:$B$107,X5)*Assumptions!$B$130/12*X7/Assumptions!$B$127*(1+Assumptions!$B$133)*IF(X2&gt;=Assumptions!$B$58,1,0)</f>
        <v/>
      </c>
      <c r="Y104" s="53">
        <f>INDEX(Assumptions!$B$101:$B$107,Y5)*Assumptions!$B$130/12*Y7/Assumptions!$B$127*(1+Assumptions!$B$133)*IF(Y2&gt;=Assumptions!$B$58,1,0)</f>
        <v/>
      </c>
      <c r="Z104" s="53">
        <f>INDEX(Assumptions!$B$101:$B$107,Z5)*Assumptions!$B$130/12*Z7/Assumptions!$B$127*(1+Assumptions!$B$133)*IF(Z2&gt;=Assumptions!$B$58,1,0)</f>
        <v/>
      </c>
      <c r="AA104" s="53">
        <f>INDEX(Assumptions!$B$101:$B$107,AA5)*Assumptions!$B$130/12*AA7/Assumptions!$B$127*(1+Assumptions!$B$133)*IF(AA2&gt;=Assumptions!$B$58,1,0)</f>
        <v/>
      </c>
      <c r="AB104" s="53">
        <f>INDEX(Assumptions!$B$101:$B$107,AB5)*Assumptions!$B$130/12*AB7/Assumptions!$B$127*(1+Assumptions!$B$133)*IF(AB2&gt;=Assumptions!$B$58,1,0)</f>
        <v/>
      </c>
      <c r="AC104" s="53">
        <f>INDEX(Assumptions!$B$101:$B$107,AC5)*Assumptions!$B$130/12*AC7/Assumptions!$B$127*(1+Assumptions!$B$133)*IF(AC2&gt;=Assumptions!$B$58,1,0)</f>
        <v/>
      </c>
      <c r="AD104" s="53">
        <f>INDEX(Assumptions!$B$101:$B$107,AD5)*Assumptions!$B$130/12*AD7/Assumptions!$B$127*(1+Assumptions!$B$133)*IF(AD2&gt;=Assumptions!$B$58,1,0)</f>
        <v/>
      </c>
      <c r="AE104" s="53">
        <f>INDEX(Assumptions!$B$101:$B$107,AE5)*Assumptions!$B$130/12*AE7/Assumptions!$B$127*(1+Assumptions!$B$133)*IF(AE2&gt;=Assumptions!$B$58,1,0)</f>
        <v/>
      </c>
    </row>
    <row r="105">
      <c r="A105" s="6" t="inlineStr">
        <is>
          <t xml:space="preserve">  Referral-driven (from this market's own base)</t>
        </is>
      </c>
      <c r="B105" s="23" t="inlineStr">
        <is>
          <t>accounts</t>
        </is>
      </c>
      <c r="C105" s="54" t="n">
        <v>0</v>
      </c>
      <c r="D105" s="54">
        <f>IF(D2&gt;=Assumptions!$B$56,C109*Assumptions!$B$131/12*Assumptions!$B$132*D7,0)</f>
        <v/>
      </c>
      <c r="E105" s="54">
        <f>IF(E2&gt;=Assumptions!$B$56,D109*Assumptions!$B$131/12*Assumptions!$B$132*E7,0)</f>
        <v/>
      </c>
      <c r="F105" s="54">
        <f>IF(F2&gt;=Assumptions!$B$56,E109*Assumptions!$B$131/12*Assumptions!$B$132*F7,0)</f>
        <v/>
      </c>
      <c r="G105" s="54">
        <f>IF(G2&gt;=Assumptions!$B$56,F109*Assumptions!$B$131/12*Assumptions!$B$132*G7,0)</f>
        <v/>
      </c>
      <c r="H105" s="54">
        <f>IF(H2&gt;=Assumptions!$B$56,G109*Assumptions!$B$131/12*Assumptions!$B$132*H7,0)</f>
        <v/>
      </c>
      <c r="I105" s="54">
        <f>IF(I2&gt;=Assumptions!$B$56,H109*Assumptions!$B$131/12*Assumptions!$B$132*I7,0)</f>
        <v/>
      </c>
      <c r="J105" s="54">
        <f>IF(J2&gt;=Assumptions!$B$56,I109*Assumptions!$B$131/12*Assumptions!$B$132*J7,0)</f>
        <v/>
      </c>
      <c r="K105" s="54">
        <f>IF(K2&gt;=Assumptions!$B$56,J109*Assumptions!$B$131/12*Assumptions!$B$132*K7,0)</f>
        <v/>
      </c>
      <c r="L105" s="54">
        <f>IF(L2&gt;=Assumptions!$B$56,K109*Assumptions!$B$131/12*Assumptions!$B$132*L7,0)</f>
        <v/>
      </c>
      <c r="M105" s="54">
        <f>IF(M2&gt;=Assumptions!$B$56,L109*Assumptions!$B$131/12*Assumptions!$B$132*M7,0)</f>
        <v/>
      </c>
      <c r="N105" s="54">
        <f>IF(N2&gt;=Assumptions!$B$56,M109*Assumptions!$B$131/12*Assumptions!$B$132*N7,0)</f>
        <v/>
      </c>
      <c r="O105" s="54">
        <f>IF(O2&gt;=Assumptions!$B$56,N109*Assumptions!$B$131/12*Assumptions!$B$132*O7,0)</f>
        <v/>
      </c>
      <c r="P105" s="54">
        <f>IF(P2&gt;=Assumptions!$B$56,O109*Assumptions!$B$131/12*Assumptions!$B$132*P7,0)</f>
        <v/>
      </c>
      <c r="Q105" s="54">
        <f>IF(Q2&gt;=Assumptions!$B$56,P109*Assumptions!$B$131/12*Assumptions!$B$132*Q7,0)</f>
        <v/>
      </c>
      <c r="R105" s="54">
        <f>IF(R2&gt;=Assumptions!$B$56,Q109*Assumptions!$B$131/12*Assumptions!$B$132*R7,0)</f>
        <v/>
      </c>
      <c r="S105" s="54">
        <f>IF(S2&gt;=Assumptions!$B$56,R109*Assumptions!$B$131/12*Assumptions!$B$132*S7,0)</f>
        <v/>
      </c>
      <c r="T105" s="54">
        <f>IF(T2&gt;=Assumptions!$B$56,S109*Assumptions!$B$131/12*Assumptions!$B$132*T7,0)</f>
        <v/>
      </c>
      <c r="U105" s="54">
        <f>IF(U2&gt;=Assumptions!$B$56,T109*Assumptions!$B$131/12*Assumptions!$B$132*U7,0)</f>
        <v/>
      </c>
      <c r="V105" s="54">
        <f>IF(V2&gt;=Assumptions!$B$56,U109*Assumptions!$B$131/12*Assumptions!$B$132*V7,0)</f>
        <v/>
      </c>
      <c r="W105" s="54">
        <f>IF(W2&gt;=Assumptions!$B$56,V109*Assumptions!$B$131/12*Assumptions!$B$132*W7,0)</f>
        <v/>
      </c>
      <c r="X105" s="54">
        <f>IF(X2&gt;=Assumptions!$B$56,W109*Assumptions!$B$131/12*Assumptions!$B$132*X7,0)</f>
        <v/>
      </c>
      <c r="Y105" s="54">
        <f>IF(Y2&gt;=Assumptions!$B$56,X109*Assumptions!$B$131/12*Assumptions!$B$132*Y7,0)</f>
        <v/>
      </c>
      <c r="Z105" s="54">
        <f>IF(Z2&gt;=Assumptions!$B$56,Y109*Assumptions!$B$131/12*Assumptions!$B$132*Z7,0)</f>
        <v/>
      </c>
      <c r="AA105" s="54">
        <f>IF(AA2&gt;=Assumptions!$B$56,Z109*Assumptions!$B$131/12*Assumptions!$B$132*AA7,0)</f>
        <v/>
      </c>
      <c r="AB105" s="54">
        <f>IF(AB2&gt;=Assumptions!$B$56,AA109*Assumptions!$B$131/12*Assumptions!$B$132*AB7,0)</f>
        <v/>
      </c>
      <c r="AC105" s="54">
        <f>IF(AC2&gt;=Assumptions!$B$56,AB109*Assumptions!$B$131/12*Assumptions!$B$132*AC7,0)</f>
        <v/>
      </c>
      <c r="AD105" s="54">
        <f>IF(AD2&gt;=Assumptions!$B$56,AC109*Assumptions!$B$131/12*Assumptions!$B$132*AD7,0)</f>
        <v/>
      </c>
      <c r="AE105" s="54">
        <f>IF(AE2&gt;=Assumptions!$B$56,AD109*Assumptions!$B$131/12*Assumptions!$B$132*AE7,0)</f>
        <v/>
      </c>
    </row>
    <row r="106">
      <c r="A106" s="6" t="inlineStr">
        <is>
          <t xml:space="preserve">  Raw demand</t>
        </is>
      </c>
      <c r="B106" s="23" t="inlineStr">
        <is>
          <t>accounts</t>
        </is>
      </c>
      <c r="C106" s="54">
        <f>C104+C105+IF(C23=0,0,C20*Assumptions!$B$117/C23*IF(C2&gt;=Assumptions!$B$58,1,0))</f>
        <v/>
      </c>
      <c r="D106" s="54">
        <f>D104+D105+IF(D23=0,0,D20*Assumptions!$B$117/D23*IF(D2&gt;=Assumptions!$B$58,1,0))</f>
        <v/>
      </c>
      <c r="E106" s="54">
        <f>E104+E105+IF(E23=0,0,E20*Assumptions!$B$117/E23*IF(E2&gt;=Assumptions!$B$58,1,0))</f>
        <v/>
      </c>
      <c r="F106" s="54">
        <f>F104+F105+IF(F23=0,0,F20*Assumptions!$B$117/F23*IF(F2&gt;=Assumptions!$B$58,1,0))</f>
        <v/>
      </c>
      <c r="G106" s="54">
        <f>G104+G105+IF(G23=0,0,G20*Assumptions!$B$117/G23*IF(G2&gt;=Assumptions!$B$58,1,0))</f>
        <v/>
      </c>
      <c r="H106" s="54">
        <f>H104+H105+IF(H23=0,0,H20*Assumptions!$B$117/H23*IF(H2&gt;=Assumptions!$B$58,1,0))</f>
        <v/>
      </c>
      <c r="I106" s="54">
        <f>I104+I105+IF(I23=0,0,I20*Assumptions!$B$117/I23*IF(I2&gt;=Assumptions!$B$58,1,0))</f>
        <v/>
      </c>
      <c r="J106" s="54">
        <f>J104+J105+IF(J23=0,0,J20*Assumptions!$B$117/J23*IF(J2&gt;=Assumptions!$B$58,1,0))</f>
        <v/>
      </c>
      <c r="K106" s="54">
        <f>K104+K105+IF(K23=0,0,K20*Assumptions!$B$117/K23*IF(K2&gt;=Assumptions!$B$58,1,0))</f>
        <v/>
      </c>
      <c r="L106" s="54">
        <f>L104+L105+IF(L23=0,0,L20*Assumptions!$B$117/L23*IF(L2&gt;=Assumptions!$B$58,1,0))</f>
        <v/>
      </c>
      <c r="M106" s="54">
        <f>M104+M105+IF(M23=0,0,M20*Assumptions!$B$117/M23*IF(M2&gt;=Assumptions!$B$58,1,0))</f>
        <v/>
      </c>
      <c r="N106" s="54">
        <f>N104+N105+IF(N23=0,0,N20*Assumptions!$B$117/N23*IF(N2&gt;=Assumptions!$B$58,1,0))</f>
        <v/>
      </c>
      <c r="O106" s="54">
        <f>O104+O105+IF(O23=0,0,O20*Assumptions!$B$117/O23*IF(O2&gt;=Assumptions!$B$58,1,0))</f>
        <v/>
      </c>
      <c r="P106" s="54">
        <f>P104+P105+IF(P23=0,0,P20*Assumptions!$B$117/P23*IF(P2&gt;=Assumptions!$B$58,1,0))</f>
        <v/>
      </c>
      <c r="Q106" s="54">
        <f>Q104+Q105+IF(Q23=0,0,Q20*Assumptions!$B$117/Q23*IF(Q2&gt;=Assumptions!$B$58,1,0))</f>
        <v/>
      </c>
      <c r="R106" s="54">
        <f>R104+R105+IF(R23=0,0,R20*Assumptions!$B$117/R23*IF(R2&gt;=Assumptions!$B$58,1,0))</f>
        <v/>
      </c>
      <c r="S106" s="54">
        <f>S104+S105+IF(S23=0,0,S20*Assumptions!$B$117/S23*IF(S2&gt;=Assumptions!$B$58,1,0))</f>
        <v/>
      </c>
      <c r="T106" s="54">
        <f>T104+T105+IF(T23=0,0,T20*Assumptions!$B$117/T23*IF(T2&gt;=Assumptions!$B$58,1,0))</f>
        <v/>
      </c>
      <c r="U106" s="54">
        <f>U104+U105+IF(U23=0,0,U20*Assumptions!$B$117/U23*IF(U2&gt;=Assumptions!$B$58,1,0))</f>
        <v/>
      </c>
      <c r="V106" s="54">
        <f>V104+V105+IF(V23=0,0,V20*Assumptions!$B$117/V23*IF(V2&gt;=Assumptions!$B$58,1,0))</f>
        <v/>
      </c>
      <c r="W106" s="54">
        <f>W104+W105+IF(W23=0,0,W20*Assumptions!$B$117/W23*IF(W2&gt;=Assumptions!$B$58,1,0))</f>
        <v/>
      </c>
      <c r="X106" s="54">
        <f>X104+X105+IF(X23=0,0,X20*Assumptions!$B$117/X23*IF(X2&gt;=Assumptions!$B$58,1,0))</f>
        <v/>
      </c>
      <c r="Y106" s="54">
        <f>Y104+Y105+IF(Y23=0,0,Y20*Assumptions!$B$117/Y23*IF(Y2&gt;=Assumptions!$B$58,1,0))</f>
        <v/>
      </c>
      <c r="Z106" s="54">
        <f>Z104+Z105+IF(Z23=0,0,Z20*Assumptions!$B$117/Z23*IF(Z2&gt;=Assumptions!$B$58,1,0))</f>
        <v/>
      </c>
      <c r="AA106" s="54">
        <f>AA104+AA105+IF(AA23=0,0,AA20*Assumptions!$B$117/AA23*IF(AA2&gt;=Assumptions!$B$58,1,0))</f>
        <v/>
      </c>
      <c r="AB106" s="54">
        <f>AB104+AB105+IF(AB23=0,0,AB20*Assumptions!$B$117/AB23*IF(AB2&gt;=Assumptions!$B$58,1,0))</f>
        <v/>
      </c>
      <c r="AC106" s="54">
        <f>AC104+AC105+IF(AC23=0,0,AC20*Assumptions!$B$117/AC23*IF(AC2&gt;=Assumptions!$B$58,1,0))</f>
        <v/>
      </c>
      <c r="AD106" s="54">
        <f>AD104+AD105+IF(AD23=0,0,AD20*Assumptions!$B$117/AD23*IF(AD2&gt;=Assumptions!$B$58,1,0))</f>
        <v/>
      </c>
      <c r="AE106" s="54">
        <f>AE104+AE105+IF(AE23=0,0,AE20*Assumptions!$B$117/AE23*IF(AE2&gt;=Assumptions!$B$58,1,0))</f>
        <v/>
      </c>
    </row>
    <row r="107">
      <c r="A107" s="6" t="inlineStr">
        <is>
          <t xml:space="preserve">  Saturation (this region's own headroom)</t>
        </is>
      </c>
      <c r="B107" s="23" t="inlineStr">
        <is>
          <t>x</t>
        </is>
      </c>
      <c r="C107" s="51" t="n">
        <v>1</v>
      </c>
      <c r="D107" s="51">
        <f>MAX(0,1-C112/Assumptions!$B$87)</f>
        <v/>
      </c>
      <c r="E107" s="51">
        <f>MAX(0,1-D112/Assumptions!$B$87)</f>
        <v/>
      </c>
      <c r="F107" s="51">
        <f>MAX(0,1-E112/Assumptions!$B$87)</f>
        <v/>
      </c>
      <c r="G107" s="51">
        <f>MAX(0,1-F112/Assumptions!$B$87)</f>
        <v/>
      </c>
      <c r="H107" s="51">
        <f>MAX(0,1-G112/Assumptions!$B$87)</f>
        <v/>
      </c>
      <c r="I107" s="51">
        <f>MAX(0,1-H112/Assumptions!$B$87)</f>
        <v/>
      </c>
      <c r="J107" s="51">
        <f>MAX(0,1-I112/Assumptions!$B$87)</f>
        <v/>
      </c>
      <c r="K107" s="51">
        <f>MAX(0,1-J112/Assumptions!$B$87)</f>
        <v/>
      </c>
      <c r="L107" s="51">
        <f>MAX(0,1-K112/Assumptions!$B$87)</f>
        <v/>
      </c>
      <c r="M107" s="51">
        <f>MAX(0,1-L112/Assumptions!$B$87)</f>
        <v/>
      </c>
      <c r="N107" s="51">
        <f>MAX(0,1-M112/Assumptions!$B$87)</f>
        <v/>
      </c>
      <c r="O107" s="51">
        <f>MAX(0,1-N112/Assumptions!$B$87)</f>
        <v/>
      </c>
      <c r="P107" s="51">
        <f>MAX(0,1-O112/Assumptions!$B$87)</f>
        <v/>
      </c>
      <c r="Q107" s="51">
        <f>MAX(0,1-P112/Assumptions!$B$87)</f>
        <v/>
      </c>
      <c r="R107" s="51">
        <f>MAX(0,1-Q112/Assumptions!$B$87)</f>
        <v/>
      </c>
      <c r="S107" s="51">
        <f>MAX(0,1-R112/Assumptions!$B$87)</f>
        <v/>
      </c>
      <c r="T107" s="51">
        <f>MAX(0,1-S112/Assumptions!$B$87)</f>
        <v/>
      </c>
      <c r="U107" s="51">
        <f>MAX(0,1-T112/Assumptions!$B$87)</f>
        <v/>
      </c>
      <c r="V107" s="51">
        <f>MAX(0,1-U112/Assumptions!$B$87)</f>
        <v/>
      </c>
      <c r="W107" s="51">
        <f>MAX(0,1-V112/Assumptions!$B$87)</f>
        <v/>
      </c>
      <c r="X107" s="51">
        <f>MAX(0,1-W112/Assumptions!$B$87)</f>
        <v/>
      </c>
      <c r="Y107" s="51">
        <f>MAX(0,1-X112/Assumptions!$B$87)</f>
        <v/>
      </c>
      <c r="Z107" s="51">
        <f>MAX(0,1-Y112/Assumptions!$B$87)</f>
        <v/>
      </c>
      <c r="AA107" s="51">
        <f>MAX(0,1-Z112/Assumptions!$B$87)</f>
        <v/>
      </c>
      <c r="AB107" s="51">
        <f>MAX(0,1-AA112/Assumptions!$B$87)</f>
        <v/>
      </c>
      <c r="AC107" s="51">
        <f>MAX(0,1-AB112/Assumptions!$B$87)</f>
        <v/>
      </c>
      <c r="AD107" s="51">
        <f>MAX(0,1-AC112/Assumptions!$B$87)</f>
        <v/>
      </c>
      <c r="AE107" s="51">
        <f>MAX(0,1-AD112/Assumptions!$B$87)</f>
        <v/>
      </c>
    </row>
    <row r="108">
      <c r="A108" s="6" t="inlineStr">
        <is>
          <t xml:space="preserve">  New customers</t>
        </is>
      </c>
      <c r="B108" s="23" t="inlineStr">
        <is>
          <t>accounts</t>
        </is>
      </c>
      <c r="C108" s="54">
        <f>C106*C107*C15</f>
        <v/>
      </c>
      <c r="D108" s="54">
        <f>D106*D107*D15</f>
        <v/>
      </c>
      <c r="E108" s="54">
        <f>E106*E107*E15</f>
        <v/>
      </c>
      <c r="F108" s="54">
        <f>F106*F107*F15</f>
        <v/>
      </c>
      <c r="G108" s="54">
        <f>G106*G107*G15</f>
        <v/>
      </c>
      <c r="H108" s="54">
        <f>H106*H107*H15</f>
        <v/>
      </c>
      <c r="I108" s="54">
        <f>I106*I107*I15</f>
        <v/>
      </c>
      <c r="J108" s="54">
        <f>J106*J107*J15</f>
        <v/>
      </c>
      <c r="K108" s="54">
        <f>K106*K107*K15</f>
        <v/>
      </c>
      <c r="L108" s="54">
        <f>L106*L107*L15</f>
        <v/>
      </c>
      <c r="M108" s="54">
        <f>M106*M107*M15</f>
        <v/>
      </c>
      <c r="N108" s="54">
        <f>N106*N107*N15</f>
        <v/>
      </c>
      <c r="O108" s="54">
        <f>O106*O107*O15</f>
        <v/>
      </c>
      <c r="P108" s="54">
        <f>P106*P107*P15</f>
        <v/>
      </c>
      <c r="Q108" s="54">
        <f>Q106*Q107*Q15</f>
        <v/>
      </c>
      <c r="R108" s="54">
        <f>R106*R107*R15</f>
        <v/>
      </c>
      <c r="S108" s="54">
        <f>S106*S107*S15</f>
        <v/>
      </c>
      <c r="T108" s="54">
        <f>T106*T107*T15</f>
        <v/>
      </c>
      <c r="U108" s="54">
        <f>U106*U107*U15</f>
        <v/>
      </c>
      <c r="V108" s="54">
        <f>V106*V107*V15</f>
        <v/>
      </c>
      <c r="W108" s="54">
        <f>W106*W107*W15</f>
        <v/>
      </c>
      <c r="X108" s="54">
        <f>X106*X107*X15</f>
        <v/>
      </c>
      <c r="Y108" s="54">
        <f>Y106*Y107*Y15</f>
        <v/>
      </c>
      <c r="Z108" s="54">
        <f>Z106*Z107*Z15</f>
        <v/>
      </c>
      <c r="AA108" s="54">
        <f>AA106*AA107*AA15</f>
        <v/>
      </c>
      <c r="AB108" s="54">
        <f>AB106*AB107*AB15</f>
        <v/>
      </c>
      <c r="AC108" s="54">
        <f>AC106*AC107*AC15</f>
        <v/>
      </c>
      <c r="AD108" s="54">
        <f>AD106*AD107*AD15</f>
        <v/>
      </c>
      <c r="AE108" s="54">
        <f>AE106*AE107*AE15</f>
        <v/>
      </c>
    </row>
    <row r="109">
      <c r="A109" s="6" t="inlineStr">
        <is>
          <t xml:space="preserve">  Paying customers</t>
        </is>
      </c>
      <c r="B109" s="23" t="inlineStr">
        <is>
          <t>accounts</t>
        </is>
      </c>
      <c r="C109" s="28">
        <f>C108*(1-Assumptions!$B$123)^(C7/2)</f>
        <v/>
      </c>
      <c r="D109" s="28">
        <f>C109*(1-Assumptions!$B$123)^D7+D108*(1-Assumptions!$B$123)^(D7/2)</f>
        <v/>
      </c>
      <c r="E109" s="28">
        <f>D109*(1-Assumptions!$B$123)^E7+E108*(1-Assumptions!$B$123)^(E7/2)</f>
        <v/>
      </c>
      <c r="F109" s="28">
        <f>E109*(1-Assumptions!$B$123)^F7+F108*(1-Assumptions!$B$123)^(F7/2)</f>
        <v/>
      </c>
      <c r="G109" s="28">
        <f>F109*(1-Assumptions!$B$123)^G7+G108*(1-Assumptions!$B$123)^(G7/2)</f>
        <v/>
      </c>
      <c r="H109" s="28">
        <f>G109*(1-Assumptions!$B$123)^H7+H108*(1-Assumptions!$B$123)^(H7/2)</f>
        <v/>
      </c>
      <c r="I109" s="28">
        <f>H109*(1-Assumptions!$B$123)^I7+I108*(1-Assumptions!$B$123)^(I7/2)</f>
        <v/>
      </c>
      <c r="J109" s="28">
        <f>I109*(1-Assumptions!$B$123)^J7+J108*(1-Assumptions!$B$123)^(J7/2)</f>
        <v/>
      </c>
      <c r="K109" s="28">
        <f>J109*(1-Assumptions!$B$123)^K7+K108*(1-Assumptions!$B$123)^(K7/2)</f>
        <v/>
      </c>
      <c r="L109" s="28">
        <f>K109*(1-Assumptions!$B$123)^L7+L108*(1-Assumptions!$B$123)^(L7/2)</f>
        <v/>
      </c>
      <c r="M109" s="28">
        <f>L109*(1-Assumptions!$B$123)^M7+M108*(1-Assumptions!$B$123)^(M7/2)</f>
        <v/>
      </c>
      <c r="N109" s="28">
        <f>M109*(1-Assumptions!$B$123)^N7+N108*(1-Assumptions!$B$123)^(N7/2)</f>
        <v/>
      </c>
      <c r="O109" s="28">
        <f>N109*(1-Assumptions!$B$123)^O7+O108*(1-Assumptions!$B$123)^(O7/2)</f>
        <v/>
      </c>
      <c r="P109" s="28">
        <f>O109*(1-Assumptions!$B$123)^P7+P108*(1-Assumptions!$B$123)^(P7/2)</f>
        <v/>
      </c>
      <c r="Q109" s="28">
        <f>P109*(1-Assumptions!$B$123)^Q7+Q108*(1-Assumptions!$B$123)^(Q7/2)</f>
        <v/>
      </c>
      <c r="R109" s="28">
        <f>Q109*(1-Assumptions!$B$123)^R7+R108*(1-Assumptions!$B$123)^(R7/2)</f>
        <v/>
      </c>
      <c r="S109" s="28">
        <f>R109*(1-Assumptions!$B$123)^S7+S108*(1-Assumptions!$B$123)^(S7/2)</f>
        <v/>
      </c>
      <c r="T109" s="28">
        <f>S109*(1-Assumptions!$B$123)^T7+T108*(1-Assumptions!$B$123)^(T7/2)</f>
        <v/>
      </c>
      <c r="U109" s="28">
        <f>T109*(1-Assumptions!$B$123)^U7+U108*(1-Assumptions!$B$123)^(U7/2)</f>
        <v/>
      </c>
      <c r="V109" s="28">
        <f>U109*(1-Assumptions!$B$123)^V7+V108*(1-Assumptions!$B$123)^(V7/2)</f>
        <v/>
      </c>
      <c r="W109" s="28">
        <f>V109*(1-Assumptions!$B$123)^W7+W108*(1-Assumptions!$B$123)^(W7/2)</f>
        <v/>
      </c>
      <c r="X109" s="28">
        <f>W109*(1-Assumptions!$B$123)^X7+X108*(1-Assumptions!$B$123)^(X7/2)</f>
        <v/>
      </c>
      <c r="Y109" s="28">
        <f>X109*(1-Assumptions!$B$123)^Y7+Y108*(1-Assumptions!$B$123)^(Y7/2)</f>
        <v/>
      </c>
      <c r="Z109" s="28">
        <f>Y109*(1-Assumptions!$B$123)^Z7+Z108*(1-Assumptions!$B$123)^(Z7/2)</f>
        <v/>
      </c>
      <c r="AA109" s="28">
        <f>Z109*(1-Assumptions!$B$123)^AA7+AA108*(1-Assumptions!$B$123)^(AA7/2)</f>
        <v/>
      </c>
      <c r="AB109" s="28">
        <f>AA109*(1-Assumptions!$B$123)^AB7+AB108*(1-Assumptions!$B$123)^(AB7/2)</f>
        <v/>
      </c>
      <c r="AC109" s="28">
        <f>AB109*(1-Assumptions!$B$123)^AC7+AC108*(1-Assumptions!$B$123)^(AC7/2)</f>
        <v/>
      </c>
      <c r="AD109" s="28">
        <f>AC109*(1-Assumptions!$B$123)^AD7+AD108*(1-Assumptions!$B$123)^(AD7/2)</f>
        <v/>
      </c>
      <c r="AE109" s="28">
        <f>AD109*(1-Assumptions!$B$123)^AE7+AE108*(1-Assumptions!$B$123)^(AE7/2)</f>
        <v/>
      </c>
    </row>
    <row r="110">
      <c r="A110" s="6" t="inlineStr">
        <is>
          <t xml:space="preserve">  Churned this period</t>
        </is>
      </c>
      <c r="B110" s="23" t="inlineStr">
        <is>
          <t>accounts</t>
        </is>
      </c>
      <c r="C110" s="54">
        <f>C108-C109</f>
        <v/>
      </c>
      <c r="D110" s="54">
        <f>C109+D108-D109</f>
        <v/>
      </c>
      <c r="E110" s="54">
        <f>D109+E108-E109</f>
        <v/>
      </c>
      <c r="F110" s="54">
        <f>E109+F108-F109</f>
        <v/>
      </c>
      <c r="G110" s="54">
        <f>F109+G108-G109</f>
        <v/>
      </c>
      <c r="H110" s="54">
        <f>G109+H108-H109</f>
        <v/>
      </c>
      <c r="I110" s="54">
        <f>H109+I108-I109</f>
        <v/>
      </c>
      <c r="J110" s="54">
        <f>I109+J108-J109</f>
        <v/>
      </c>
      <c r="K110" s="54">
        <f>J109+K108-K109</f>
        <v/>
      </c>
      <c r="L110" s="54">
        <f>K109+L108-L109</f>
        <v/>
      </c>
      <c r="M110" s="54">
        <f>L109+M108-M109</f>
        <v/>
      </c>
      <c r="N110" s="54">
        <f>M109+N108-N109</f>
        <v/>
      </c>
      <c r="O110" s="54">
        <f>N109+O108-O109</f>
        <v/>
      </c>
      <c r="P110" s="54">
        <f>O109+P108-P109</f>
        <v/>
      </c>
      <c r="Q110" s="54">
        <f>P109+Q108-Q109</f>
        <v/>
      </c>
      <c r="R110" s="54">
        <f>Q109+R108-R109</f>
        <v/>
      </c>
      <c r="S110" s="54">
        <f>R109+S108-S109</f>
        <v/>
      </c>
      <c r="T110" s="54">
        <f>S109+T108-T109</f>
        <v/>
      </c>
      <c r="U110" s="54">
        <f>T109+U108-U109</f>
        <v/>
      </c>
      <c r="V110" s="54">
        <f>U109+V108-V109</f>
        <v/>
      </c>
      <c r="W110" s="54">
        <f>V109+W108-W109</f>
        <v/>
      </c>
      <c r="X110" s="54">
        <f>W109+X108-X109</f>
        <v/>
      </c>
      <c r="Y110" s="54">
        <f>X109+Y108-Y109</f>
        <v/>
      </c>
      <c r="Z110" s="54">
        <f>Y109+Z108-Z109</f>
        <v/>
      </c>
      <c r="AA110" s="54">
        <f>Z109+AA108-AA109</f>
        <v/>
      </c>
      <c r="AB110" s="54">
        <f>AA109+AB108-AB109</f>
        <v/>
      </c>
      <c r="AC110" s="54">
        <f>AB109+AC108-AC109</f>
        <v/>
      </c>
      <c r="AD110" s="54">
        <f>AC109+AD108-AD109</f>
        <v/>
      </c>
      <c r="AE110" s="54">
        <f>AD109+AE108-AE109</f>
        <v/>
      </c>
    </row>
    <row r="111">
      <c r="A111" s="6" t="inlineStr">
        <is>
          <t xml:space="preserve">  Holders (stopped paying, still hold gold)</t>
        </is>
      </c>
      <c r="B111" s="23" t="inlineStr">
        <is>
          <t>accounts</t>
        </is>
      </c>
      <c r="C111" s="45">
        <f>C110</f>
        <v/>
      </c>
      <c r="D111" s="45">
        <f>C111+D110</f>
        <v/>
      </c>
      <c r="E111" s="45">
        <f>D111+E110</f>
        <v/>
      </c>
      <c r="F111" s="45">
        <f>E111+F110</f>
        <v/>
      </c>
      <c r="G111" s="45">
        <f>F111+G110</f>
        <v/>
      </c>
      <c r="H111" s="45">
        <f>G111+H110</f>
        <v/>
      </c>
      <c r="I111" s="45">
        <f>H111+I110</f>
        <v/>
      </c>
      <c r="J111" s="45">
        <f>I111+J110</f>
        <v/>
      </c>
      <c r="K111" s="45">
        <f>J111+K110</f>
        <v/>
      </c>
      <c r="L111" s="45">
        <f>K111+L110</f>
        <v/>
      </c>
      <c r="M111" s="45">
        <f>L111+M110</f>
        <v/>
      </c>
      <c r="N111" s="45">
        <f>M111+N110</f>
        <v/>
      </c>
      <c r="O111" s="45">
        <f>N111+O110</f>
        <v/>
      </c>
      <c r="P111" s="45">
        <f>O111+P110</f>
        <v/>
      </c>
      <c r="Q111" s="45">
        <f>P111+Q110</f>
        <v/>
      </c>
      <c r="R111" s="45">
        <f>Q111+R110</f>
        <v/>
      </c>
      <c r="S111" s="45">
        <f>R111+S110</f>
        <v/>
      </c>
      <c r="T111" s="45">
        <f>S111+T110</f>
        <v/>
      </c>
      <c r="U111" s="45">
        <f>T111+U110</f>
        <v/>
      </c>
      <c r="V111" s="45">
        <f>U111+V110</f>
        <v/>
      </c>
      <c r="W111" s="45">
        <f>V111+W110</f>
        <v/>
      </c>
      <c r="X111" s="45">
        <f>W111+X110</f>
        <v/>
      </c>
      <c r="Y111" s="45">
        <f>X111+Y110</f>
        <v/>
      </c>
      <c r="Z111" s="45">
        <f>Y111+Z110</f>
        <v/>
      </c>
      <c r="AA111" s="45">
        <f>Z111+AA110</f>
        <v/>
      </c>
      <c r="AB111" s="45">
        <f>AA111+AB110</f>
        <v/>
      </c>
      <c r="AC111" s="45">
        <f>AB111+AC110</f>
        <v/>
      </c>
      <c r="AD111" s="45">
        <f>AC111+AD110</f>
        <v/>
      </c>
      <c r="AE111" s="45">
        <f>AD111+AE110</f>
        <v/>
      </c>
    </row>
    <row r="112">
      <c r="A112" s="6" t="inlineStr">
        <is>
          <t xml:space="preserve">  Cumulative ever acquired</t>
        </is>
      </c>
      <c r="B112" s="23" t="inlineStr">
        <is>
          <t>accounts</t>
        </is>
      </c>
      <c r="C112" s="45">
        <f>C108</f>
        <v/>
      </c>
      <c r="D112" s="45">
        <f>C112+D108</f>
        <v/>
      </c>
      <c r="E112" s="45">
        <f>D112+E108</f>
        <v/>
      </c>
      <c r="F112" s="45">
        <f>E112+F108</f>
        <v/>
      </c>
      <c r="G112" s="45">
        <f>F112+G108</f>
        <v/>
      </c>
      <c r="H112" s="45">
        <f>G112+H108</f>
        <v/>
      </c>
      <c r="I112" s="45">
        <f>H112+I108</f>
        <v/>
      </c>
      <c r="J112" s="45">
        <f>I112+J108</f>
        <v/>
      </c>
      <c r="K112" s="45">
        <f>J112+K108</f>
        <v/>
      </c>
      <c r="L112" s="45">
        <f>K112+L108</f>
        <v/>
      </c>
      <c r="M112" s="45">
        <f>L112+M108</f>
        <v/>
      </c>
      <c r="N112" s="45">
        <f>M112+N108</f>
        <v/>
      </c>
      <c r="O112" s="45">
        <f>N112+O108</f>
        <v/>
      </c>
      <c r="P112" s="45">
        <f>O112+P108</f>
        <v/>
      </c>
      <c r="Q112" s="45">
        <f>P112+Q108</f>
        <v/>
      </c>
      <c r="R112" s="45">
        <f>Q112+R108</f>
        <v/>
      </c>
      <c r="S112" s="45">
        <f>R112+S108</f>
        <v/>
      </c>
      <c r="T112" s="45">
        <f>S112+T108</f>
        <v/>
      </c>
      <c r="U112" s="45">
        <f>T112+U108</f>
        <v/>
      </c>
      <c r="V112" s="45">
        <f>U112+V108</f>
        <v/>
      </c>
      <c r="W112" s="45">
        <f>V112+W108</f>
        <v/>
      </c>
      <c r="X112" s="45">
        <f>W112+X108</f>
        <v/>
      </c>
      <c r="Y112" s="45">
        <f>X112+Y108</f>
        <v/>
      </c>
      <c r="Z112" s="45">
        <f>Y112+Z108</f>
        <v/>
      </c>
      <c r="AA112" s="45">
        <f>Z112+AA108</f>
        <v/>
      </c>
      <c r="AB112" s="45">
        <f>AA112+AB108</f>
        <v/>
      </c>
      <c r="AC112" s="45">
        <f>AB112+AC108</f>
        <v/>
      </c>
      <c r="AD112" s="45">
        <f>AC112+AD108</f>
        <v/>
      </c>
      <c r="AE112" s="45">
        <f>AD112+AE108</f>
        <v/>
      </c>
    </row>
    <row r="113">
      <c r="A113" s="6" t="inlineStr">
        <is>
          <t xml:space="preserve">  SIP contributions</t>
        </is>
      </c>
      <c r="B113" s="23" t="inlineStr">
        <is>
          <t>USD</t>
        </is>
      </c>
      <c r="C113" s="55">
        <f>IF(C2&gt;=Assumptions!$B$48,C109*Assumptions!$B$177*C7,0)</f>
        <v/>
      </c>
      <c r="D113" s="55">
        <f>IF(D2&gt;=Assumptions!$B$48,D109*Assumptions!$B$177*D7,0)</f>
        <v/>
      </c>
      <c r="E113" s="55">
        <f>IF(E2&gt;=Assumptions!$B$48,E109*Assumptions!$B$177*E7,0)</f>
        <v/>
      </c>
      <c r="F113" s="55">
        <f>IF(F2&gt;=Assumptions!$B$48,F109*Assumptions!$B$177*F7,0)</f>
        <v/>
      </c>
      <c r="G113" s="55">
        <f>IF(G2&gt;=Assumptions!$B$48,G109*Assumptions!$B$177*G7,0)</f>
        <v/>
      </c>
      <c r="H113" s="55">
        <f>IF(H2&gt;=Assumptions!$B$48,H109*Assumptions!$B$177*H7,0)</f>
        <v/>
      </c>
      <c r="I113" s="55">
        <f>IF(I2&gt;=Assumptions!$B$48,I109*Assumptions!$B$177*I7,0)</f>
        <v/>
      </c>
      <c r="J113" s="55">
        <f>IF(J2&gt;=Assumptions!$B$48,J109*Assumptions!$B$177*J7,0)</f>
        <v/>
      </c>
      <c r="K113" s="55">
        <f>IF(K2&gt;=Assumptions!$B$48,K109*Assumptions!$B$177*K7,0)</f>
        <v/>
      </c>
      <c r="L113" s="55">
        <f>IF(L2&gt;=Assumptions!$B$48,L109*Assumptions!$B$177*L7,0)</f>
        <v/>
      </c>
      <c r="M113" s="55">
        <f>IF(M2&gt;=Assumptions!$B$48,M109*Assumptions!$B$177*M7,0)</f>
        <v/>
      </c>
      <c r="N113" s="55">
        <f>IF(N2&gt;=Assumptions!$B$48,N109*Assumptions!$B$177*N7,0)</f>
        <v/>
      </c>
      <c r="O113" s="55">
        <f>IF(O2&gt;=Assumptions!$B$48,O109*Assumptions!$B$177*O7,0)</f>
        <v/>
      </c>
      <c r="P113" s="55">
        <f>IF(P2&gt;=Assumptions!$B$48,P109*Assumptions!$B$177*P7,0)</f>
        <v/>
      </c>
      <c r="Q113" s="55">
        <f>IF(Q2&gt;=Assumptions!$B$48,Q109*Assumptions!$B$177*Q7,0)</f>
        <v/>
      </c>
      <c r="R113" s="55">
        <f>IF(R2&gt;=Assumptions!$B$48,R109*Assumptions!$B$177*R7,0)</f>
        <v/>
      </c>
      <c r="S113" s="55">
        <f>IF(S2&gt;=Assumptions!$B$48,S109*Assumptions!$B$177*S7,0)</f>
        <v/>
      </c>
      <c r="T113" s="55">
        <f>IF(T2&gt;=Assumptions!$B$48,T109*Assumptions!$B$177*T7,0)</f>
        <v/>
      </c>
      <c r="U113" s="55">
        <f>IF(U2&gt;=Assumptions!$B$48,U109*Assumptions!$B$177*U7,0)</f>
        <v/>
      </c>
      <c r="V113" s="55">
        <f>IF(V2&gt;=Assumptions!$B$48,V109*Assumptions!$B$177*V7,0)</f>
        <v/>
      </c>
      <c r="W113" s="55">
        <f>IF(W2&gt;=Assumptions!$B$48,W109*Assumptions!$B$177*W7,0)</f>
        <v/>
      </c>
      <c r="X113" s="55">
        <f>IF(X2&gt;=Assumptions!$B$48,X109*Assumptions!$B$177*X7,0)</f>
        <v/>
      </c>
      <c r="Y113" s="55">
        <f>IF(Y2&gt;=Assumptions!$B$48,Y109*Assumptions!$B$177*Y7,0)</f>
        <v/>
      </c>
      <c r="Z113" s="55">
        <f>IF(Z2&gt;=Assumptions!$B$48,Z109*Assumptions!$B$177*Z7,0)</f>
        <v/>
      </c>
      <c r="AA113" s="55">
        <f>IF(AA2&gt;=Assumptions!$B$48,AA109*Assumptions!$B$177*AA7,0)</f>
        <v/>
      </c>
      <c r="AB113" s="55">
        <f>IF(AB2&gt;=Assumptions!$B$48,AB109*Assumptions!$B$177*AB7,0)</f>
        <v/>
      </c>
      <c r="AC113" s="55">
        <f>IF(AC2&gt;=Assumptions!$B$48,AC109*Assumptions!$B$177*AC7,0)</f>
        <v/>
      </c>
      <c r="AD113" s="55">
        <f>IF(AD2&gt;=Assumptions!$B$48,AD109*Assumptions!$B$177*AD7,0)</f>
        <v/>
      </c>
      <c r="AE113" s="55">
        <f>IF(AE2&gt;=Assumptions!$B$48,AE109*Assumptions!$B$177*AE7,0)</f>
        <v/>
      </c>
    </row>
    <row r="114">
      <c r="A114" s="6" t="inlineStr">
        <is>
          <t xml:space="preserve">  Spot purchase volume</t>
        </is>
      </c>
      <c r="B114" s="23" t="inlineStr">
        <is>
          <t>USD</t>
        </is>
      </c>
      <c r="C114" s="55">
        <f>IF(C2&gt;=Assumptions!$B$49,C109*Assumptions!$B$38*Assumptions!$B$140*Assumptions!$B$142*Assumptions!$B$35*Assumptions!$B$141/12*C7,0)</f>
        <v/>
      </c>
      <c r="D114" s="55">
        <f>IF(D2&gt;=Assumptions!$B$49,D109*Assumptions!$B$38*Assumptions!$B$140*Assumptions!$B$142*Assumptions!$B$35*Assumptions!$B$141/12*D7,0)</f>
        <v/>
      </c>
      <c r="E114" s="55">
        <f>IF(E2&gt;=Assumptions!$B$49,E109*Assumptions!$B$38*Assumptions!$B$140*Assumptions!$B$142*Assumptions!$B$35*Assumptions!$B$141/12*E7,0)</f>
        <v/>
      </c>
      <c r="F114" s="55">
        <f>IF(F2&gt;=Assumptions!$B$49,F109*Assumptions!$B$38*Assumptions!$B$140*Assumptions!$B$142*Assumptions!$B$35*Assumptions!$B$141/12*F7,0)</f>
        <v/>
      </c>
      <c r="G114" s="55">
        <f>IF(G2&gt;=Assumptions!$B$49,G109*Assumptions!$B$38*Assumptions!$B$140*Assumptions!$B$142*Assumptions!$B$35*Assumptions!$B$141/12*G7,0)</f>
        <v/>
      </c>
      <c r="H114" s="55">
        <f>IF(H2&gt;=Assumptions!$B$49,H109*Assumptions!$B$38*Assumptions!$B$140*Assumptions!$B$142*Assumptions!$B$35*Assumptions!$B$141/12*H7,0)</f>
        <v/>
      </c>
      <c r="I114" s="55">
        <f>IF(I2&gt;=Assumptions!$B$49,I109*Assumptions!$B$38*Assumptions!$B$140*Assumptions!$B$142*Assumptions!$B$35*Assumptions!$B$141/12*I7,0)</f>
        <v/>
      </c>
      <c r="J114" s="55">
        <f>IF(J2&gt;=Assumptions!$B$49,J109*Assumptions!$B$38*Assumptions!$B$140*Assumptions!$B$142*Assumptions!$B$35*Assumptions!$B$141/12*J7,0)</f>
        <v/>
      </c>
      <c r="K114" s="55">
        <f>IF(K2&gt;=Assumptions!$B$49,K109*Assumptions!$B$38*Assumptions!$B$140*Assumptions!$B$142*Assumptions!$B$35*Assumptions!$B$141/12*K7,0)</f>
        <v/>
      </c>
      <c r="L114" s="55">
        <f>IF(L2&gt;=Assumptions!$B$49,L109*Assumptions!$B$38*Assumptions!$B$140*Assumptions!$B$142*Assumptions!$B$35*Assumptions!$B$141/12*L7,0)</f>
        <v/>
      </c>
      <c r="M114" s="55">
        <f>IF(M2&gt;=Assumptions!$B$49,M109*Assumptions!$B$38*Assumptions!$B$140*Assumptions!$B$142*Assumptions!$B$35*Assumptions!$B$141/12*M7,0)</f>
        <v/>
      </c>
      <c r="N114" s="55">
        <f>IF(N2&gt;=Assumptions!$B$49,N109*Assumptions!$B$38*Assumptions!$B$140*Assumptions!$B$142*Assumptions!$B$35*Assumptions!$B$141/12*N7,0)</f>
        <v/>
      </c>
      <c r="O114" s="55">
        <f>IF(O2&gt;=Assumptions!$B$49,O109*Assumptions!$B$38*Assumptions!$B$140*Assumptions!$B$142*Assumptions!$B$35*Assumptions!$B$141/12*O7,0)</f>
        <v/>
      </c>
      <c r="P114" s="55">
        <f>IF(P2&gt;=Assumptions!$B$49,P109*Assumptions!$B$38*Assumptions!$B$140*Assumptions!$B$142*Assumptions!$B$35*Assumptions!$B$141/12*P7,0)</f>
        <v/>
      </c>
      <c r="Q114" s="55">
        <f>IF(Q2&gt;=Assumptions!$B$49,Q109*Assumptions!$B$38*Assumptions!$B$140*Assumptions!$B$142*Assumptions!$B$35*Assumptions!$B$141/12*Q7,0)</f>
        <v/>
      </c>
      <c r="R114" s="55">
        <f>IF(R2&gt;=Assumptions!$B$49,R109*Assumptions!$B$38*Assumptions!$B$140*Assumptions!$B$142*Assumptions!$B$35*Assumptions!$B$141/12*R7,0)</f>
        <v/>
      </c>
      <c r="S114" s="55">
        <f>IF(S2&gt;=Assumptions!$B$49,S109*Assumptions!$B$38*Assumptions!$B$140*Assumptions!$B$142*Assumptions!$B$35*Assumptions!$B$141/12*S7,0)</f>
        <v/>
      </c>
      <c r="T114" s="55">
        <f>IF(T2&gt;=Assumptions!$B$49,T109*Assumptions!$B$38*Assumptions!$B$140*Assumptions!$B$142*Assumptions!$B$35*Assumptions!$B$141/12*T7,0)</f>
        <v/>
      </c>
      <c r="U114" s="55">
        <f>IF(U2&gt;=Assumptions!$B$49,U109*Assumptions!$B$38*Assumptions!$B$140*Assumptions!$B$142*Assumptions!$B$35*Assumptions!$B$141/12*U7,0)</f>
        <v/>
      </c>
      <c r="V114" s="55">
        <f>IF(V2&gt;=Assumptions!$B$49,V109*Assumptions!$B$38*Assumptions!$B$140*Assumptions!$B$142*Assumptions!$B$35*Assumptions!$B$141/12*V7,0)</f>
        <v/>
      </c>
      <c r="W114" s="55">
        <f>IF(W2&gt;=Assumptions!$B$49,W109*Assumptions!$B$38*Assumptions!$B$140*Assumptions!$B$142*Assumptions!$B$35*Assumptions!$B$141/12*W7,0)</f>
        <v/>
      </c>
      <c r="X114" s="55">
        <f>IF(X2&gt;=Assumptions!$B$49,X109*Assumptions!$B$38*Assumptions!$B$140*Assumptions!$B$142*Assumptions!$B$35*Assumptions!$B$141/12*X7,0)</f>
        <v/>
      </c>
      <c r="Y114" s="55">
        <f>IF(Y2&gt;=Assumptions!$B$49,Y109*Assumptions!$B$38*Assumptions!$B$140*Assumptions!$B$142*Assumptions!$B$35*Assumptions!$B$141/12*Y7,0)</f>
        <v/>
      </c>
      <c r="Z114" s="55">
        <f>IF(Z2&gt;=Assumptions!$B$49,Z109*Assumptions!$B$38*Assumptions!$B$140*Assumptions!$B$142*Assumptions!$B$35*Assumptions!$B$141/12*Z7,0)</f>
        <v/>
      </c>
      <c r="AA114" s="55">
        <f>IF(AA2&gt;=Assumptions!$B$49,AA109*Assumptions!$B$38*Assumptions!$B$140*Assumptions!$B$142*Assumptions!$B$35*Assumptions!$B$141/12*AA7,0)</f>
        <v/>
      </c>
      <c r="AB114" s="55">
        <f>IF(AB2&gt;=Assumptions!$B$49,AB109*Assumptions!$B$38*Assumptions!$B$140*Assumptions!$B$142*Assumptions!$B$35*Assumptions!$B$141/12*AB7,0)</f>
        <v/>
      </c>
      <c r="AC114" s="55">
        <f>IF(AC2&gt;=Assumptions!$B$49,AC109*Assumptions!$B$38*Assumptions!$B$140*Assumptions!$B$142*Assumptions!$B$35*Assumptions!$B$141/12*AC7,0)</f>
        <v/>
      </c>
      <c r="AD114" s="55">
        <f>IF(AD2&gt;=Assumptions!$B$49,AD109*Assumptions!$B$38*Assumptions!$B$140*Assumptions!$B$142*Assumptions!$B$35*Assumptions!$B$141/12*AD7,0)</f>
        <v/>
      </c>
      <c r="AE114" s="55">
        <f>IF(AE2&gt;=Assumptions!$B$49,AE109*Assumptions!$B$38*Assumptions!$B$140*Assumptions!$B$142*Assumptions!$B$35*Assumptions!$B$141/12*AE7,0)</f>
        <v/>
      </c>
    </row>
    <row r="115">
      <c r="A115" s="6" t="inlineStr">
        <is>
          <t xml:space="preserve">  Grams purchased</t>
        </is>
      </c>
      <c r="B115" s="23" t="inlineStr">
        <is>
          <t>grams</t>
        </is>
      </c>
      <c r="C115" s="54">
        <f>(C113+C114)*(1-Assumptions!$B$8)/C21/(1+Assumptions!$B$9)</f>
        <v/>
      </c>
      <c r="D115" s="54">
        <f>(D113+D114)*(1-Assumptions!$B$8)/D21/(1+Assumptions!$B$9)</f>
        <v/>
      </c>
      <c r="E115" s="54">
        <f>(E113+E114)*(1-Assumptions!$B$8)/E21/(1+Assumptions!$B$9)</f>
        <v/>
      </c>
      <c r="F115" s="54">
        <f>(F113+F114)*(1-Assumptions!$B$8)/F21/(1+Assumptions!$B$9)</f>
        <v/>
      </c>
      <c r="G115" s="54">
        <f>(G113+G114)*(1-Assumptions!$B$8)/G21/(1+Assumptions!$B$9)</f>
        <v/>
      </c>
      <c r="H115" s="54">
        <f>(H113+H114)*(1-Assumptions!$B$8)/H21/(1+Assumptions!$B$9)</f>
        <v/>
      </c>
      <c r="I115" s="54">
        <f>(I113+I114)*(1-Assumptions!$B$8)/I21/(1+Assumptions!$B$9)</f>
        <v/>
      </c>
      <c r="J115" s="54">
        <f>(J113+J114)*(1-Assumptions!$B$8)/J21/(1+Assumptions!$B$9)</f>
        <v/>
      </c>
      <c r="K115" s="54">
        <f>(K113+K114)*(1-Assumptions!$B$8)/K21/(1+Assumptions!$B$9)</f>
        <v/>
      </c>
      <c r="L115" s="54">
        <f>(L113+L114)*(1-Assumptions!$B$8)/L21/(1+Assumptions!$B$9)</f>
        <v/>
      </c>
      <c r="M115" s="54">
        <f>(M113+M114)*(1-Assumptions!$B$8)/M21/(1+Assumptions!$B$9)</f>
        <v/>
      </c>
      <c r="N115" s="54">
        <f>(N113+N114)*(1-Assumptions!$B$8)/N21/(1+Assumptions!$B$9)</f>
        <v/>
      </c>
      <c r="O115" s="54">
        <f>(O113+O114)*(1-Assumptions!$B$8)/O21/(1+Assumptions!$B$9)</f>
        <v/>
      </c>
      <c r="P115" s="54">
        <f>(P113+P114)*(1-Assumptions!$B$8)/P21/(1+Assumptions!$B$9)</f>
        <v/>
      </c>
      <c r="Q115" s="54">
        <f>(Q113+Q114)*(1-Assumptions!$B$8)/Q21/(1+Assumptions!$B$9)</f>
        <v/>
      </c>
      <c r="R115" s="54">
        <f>(R113+R114)*(1-Assumptions!$B$8)/R21/(1+Assumptions!$B$9)</f>
        <v/>
      </c>
      <c r="S115" s="54">
        <f>(S113+S114)*(1-Assumptions!$B$8)/S21/(1+Assumptions!$B$9)</f>
        <v/>
      </c>
      <c r="T115" s="54">
        <f>(T113+T114)*(1-Assumptions!$B$8)/T21/(1+Assumptions!$B$9)</f>
        <v/>
      </c>
      <c r="U115" s="54">
        <f>(U113+U114)*(1-Assumptions!$B$8)/U21/(1+Assumptions!$B$9)</f>
        <v/>
      </c>
      <c r="V115" s="54">
        <f>(V113+V114)*(1-Assumptions!$B$8)/V21/(1+Assumptions!$B$9)</f>
        <v/>
      </c>
      <c r="W115" s="54">
        <f>(W113+W114)*(1-Assumptions!$B$8)/W21/(1+Assumptions!$B$9)</f>
        <v/>
      </c>
      <c r="X115" s="54">
        <f>(X113+X114)*(1-Assumptions!$B$8)/X21/(1+Assumptions!$B$9)</f>
        <v/>
      </c>
      <c r="Y115" s="54">
        <f>(Y113+Y114)*(1-Assumptions!$B$8)/Y21/(1+Assumptions!$B$9)</f>
        <v/>
      </c>
      <c r="Z115" s="54">
        <f>(Z113+Z114)*(1-Assumptions!$B$8)/Z21/(1+Assumptions!$B$9)</f>
        <v/>
      </c>
      <c r="AA115" s="54">
        <f>(AA113+AA114)*(1-Assumptions!$B$8)/AA21/(1+Assumptions!$B$9)</f>
        <v/>
      </c>
      <c r="AB115" s="54">
        <f>(AB113+AB114)*(1-Assumptions!$B$8)/AB21/(1+Assumptions!$B$9)</f>
        <v/>
      </c>
      <c r="AC115" s="54">
        <f>(AC113+AC114)*(1-Assumptions!$B$8)/AC21/(1+Assumptions!$B$9)</f>
        <v/>
      </c>
      <c r="AD115" s="54">
        <f>(AD113+AD114)*(1-Assumptions!$B$8)/AD21/(1+Assumptions!$B$9)</f>
        <v/>
      </c>
      <c r="AE115" s="54">
        <f>(AE113+AE114)*(1-Assumptions!$B$8)/AE21/(1+Assumptions!$B$9)</f>
        <v/>
      </c>
    </row>
    <row r="116">
      <c r="A116" s="6" t="inlineStr">
        <is>
          <t xml:space="preserve">  Collateral-eligible AUM decay rate (holder-weighted)</t>
        </is>
      </c>
      <c r="B116" s="23" t="inlineStr">
        <is>
          <t>%/period</t>
        </is>
      </c>
      <c r="C116" s="56">
        <f>(Assumptions!$B$137+Assumptions!$B$138*IF(C109+C111=0,1,(C109+C111*Assumptions!$B$139)/(C109+C111)))*C7/12</f>
        <v/>
      </c>
      <c r="D116" s="56">
        <f>(Assumptions!$B$137+Assumptions!$B$138*IF(D109+D111=0,1,(D109+D111*Assumptions!$B$139)/(D109+D111)))*D7/12</f>
        <v/>
      </c>
      <c r="E116" s="56">
        <f>(Assumptions!$B$137+Assumptions!$B$138*IF(E109+E111=0,1,(E109+E111*Assumptions!$B$139)/(E109+E111)))*E7/12</f>
        <v/>
      </c>
      <c r="F116" s="56">
        <f>(Assumptions!$B$137+Assumptions!$B$138*IF(F109+F111=0,1,(F109+F111*Assumptions!$B$139)/(F109+F111)))*F7/12</f>
        <v/>
      </c>
      <c r="G116" s="56">
        <f>(Assumptions!$B$137+Assumptions!$B$138*IF(G109+G111=0,1,(G109+G111*Assumptions!$B$139)/(G109+G111)))*G7/12</f>
        <v/>
      </c>
      <c r="H116" s="56">
        <f>(Assumptions!$B$137+Assumptions!$B$138*IF(H109+H111=0,1,(H109+H111*Assumptions!$B$139)/(H109+H111)))*H7/12</f>
        <v/>
      </c>
      <c r="I116" s="56">
        <f>(Assumptions!$B$137+Assumptions!$B$138*IF(I109+I111=0,1,(I109+I111*Assumptions!$B$139)/(I109+I111)))*I7/12</f>
        <v/>
      </c>
      <c r="J116" s="56">
        <f>(Assumptions!$B$137+Assumptions!$B$138*IF(J109+J111=0,1,(J109+J111*Assumptions!$B$139)/(J109+J111)))*J7/12</f>
        <v/>
      </c>
      <c r="K116" s="56">
        <f>(Assumptions!$B$137+Assumptions!$B$138*IF(K109+K111=0,1,(K109+K111*Assumptions!$B$139)/(K109+K111)))*K7/12</f>
        <v/>
      </c>
      <c r="L116" s="56">
        <f>(Assumptions!$B$137+Assumptions!$B$138*IF(L109+L111=0,1,(L109+L111*Assumptions!$B$139)/(L109+L111)))*L7/12</f>
        <v/>
      </c>
      <c r="M116" s="56">
        <f>(Assumptions!$B$137+Assumptions!$B$138*IF(M109+M111=0,1,(M109+M111*Assumptions!$B$139)/(M109+M111)))*M7/12</f>
        <v/>
      </c>
      <c r="N116" s="56">
        <f>(Assumptions!$B$137+Assumptions!$B$138*IF(N109+N111=0,1,(N109+N111*Assumptions!$B$139)/(N109+N111)))*N7/12</f>
        <v/>
      </c>
      <c r="O116" s="56">
        <f>(Assumptions!$B$137+Assumptions!$B$138*IF(O109+O111=0,1,(O109+O111*Assumptions!$B$139)/(O109+O111)))*O7/12</f>
        <v/>
      </c>
      <c r="P116" s="56">
        <f>(Assumptions!$B$137+Assumptions!$B$138*IF(P109+P111=0,1,(P109+P111*Assumptions!$B$139)/(P109+P111)))*P7/12</f>
        <v/>
      </c>
      <c r="Q116" s="56">
        <f>(Assumptions!$B$137+Assumptions!$B$138*IF(Q109+Q111=0,1,(Q109+Q111*Assumptions!$B$139)/(Q109+Q111)))*Q7/12</f>
        <v/>
      </c>
      <c r="R116" s="56">
        <f>(Assumptions!$B$137+Assumptions!$B$138*IF(R109+R111=0,1,(R109+R111*Assumptions!$B$139)/(R109+R111)))*R7/12</f>
        <v/>
      </c>
      <c r="S116" s="56">
        <f>(Assumptions!$B$137+Assumptions!$B$138*IF(S109+S111=0,1,(S109+S111*Assumptions!$B$139)/(S109+S111)))*S7/12</f>
        <v/>
      </c>
      <c r="T116" s="56">
        <f>(Assumptions!$B$137+Assumptions!$B$138*IF(T109+T111=0,1,(T109+T111*Assumptions!$B$139)/(T109+T111)))*T7/12</f>
        <v/>
      </c>
      <c r="U116" s="56">
        <f>(Assumptions!$B$137+Assumptions!$B$138*IF(U109+U111=0,1,(U109+U111*Assumptions!$B$139)/(U109+U111)))*U7/12</f>
        <v/>
      </c>
      <c r="V116" s="56">
        <f>(Assumptions!$B$137+Assumptions!$B$138*IF(V109+V111=0,1,(V109+V111*Assumptions!$B$139)/(V109+V111)))*V7/12</f>
        <v/>
      </c>
      <c r="W116" s="56">
        <f>(Assumptions!$B$137+Assumptions!$B$138*IF(W109+W111=0,1,(W109+W111*Assumptions!$B$139)/(W109+W111)))*W7/12</f>
        <v/>
      </c>
      <c r="X116" s="56">
        <f>(Assumptions!$B$137+Assumptions!$B$138*IF(X109+X111=0,1,(X109+X111*Assumptions!$B$139)/(X109+X111)))*X7/12</f>
        <v/>
      </c>
      <c r="Y116" s="56">
        <f>(Assumptions!$B$137+Assumptions!$B$138*IF(Y109+Y111=0,1,(Y109+Y111*Assumptions!$B$139)/(Y109+Y111)))*Y7/12</f>
        <v/>
      </c>
      <c r="Z116" s="56">
        <f>(Assumptions!$B$137+Assumptions!$B$138*IF(Z109+Z111=0,1,(Z109+Z111*Assumptions!$B$139)/(Z109+Z111)))*Z7/12</f>
        <v/>
      </c>
      <c r="AA116" s="56">
        <f>(Assumptions!$B$137+Assumptions!$B$138*IF(AA109+AA111=0,1,(AA109+AA111*Assumptions!$B$139)/(AA109+AA111)))*AA7/12</f>
        <v/>
      </c>
      <c r="AB116" s="56">
        <f>(Assumptions!$B$137+Assumptions!$B$138*IF(AB109+AB111=0,1,(AB109+AB111*Assumptions!$B$139)/(AB109+AB111)))*AB7/12</f>
        <v/>
      </c>
      <c r="AC116" s="56">
        <f>(Assumptions!$B$137+Assumptions!$B$138*IF(AC109+AC111=0,1,(AC109+AC111*Assumptions!$B$139)/(AC109+AC111)))*AC7/12</f>
        <v/>
      </c>
      <c r="AD116" s="56">
        <f>(Assumptions!$B$137+Assumptions!$B$138*IF(AD109+AD111=0,1,(AD109+AD111*Assumptions!$B$139)/(AD109+AD111)))*AD7/12</f>
        <v/>
      </c>
      <c r="AE116" s="56">
        <f>(Assumptions!$B$137+Assumptions!$B$138*IF(AE109+AE111=0,1,(AE109+AE111*Assumptions!$B$139)/(AE109+AE111)))*AE7/12</f>
        <v/>
      </c>
    </row>
    <row r="117">
      <c r="A117" s="6" t="inlineStr">
        <is>
          <t xml:space="preserve">  Redemption-only decay rate (metal actually leaving)</t>
        </is>
      </c>
      <c r="B117" s="23" t="inlineStr">
        <is>
          <t>%/period</t>
        </is>
      </c>
      <c r="C117" s="56">
        <f>Assumptions!$B$138*IF(C109+C111=0,1,(C109+C111*Assumptions!$B$139)/(C109+C111))*C7/12</f>
        <v/>
      </c>
      <c r="D117" s="56">
        <f>Assumptions!$B$138*IF(D109+D111=0,1,(D109+D111*Assumptions!$B$139)/(D109+D111))*D7/12</f>
        <v/>
      </c>
      <c r="E117" s="56">
        <f>Assumptions!$B$138*IF(E109+E111=0,1,(E109+E111*Assumptions!$B$139)/(E109+E111))*E7/12</f>
        <v/>
      </c>
      <c r="F117" s="56">
        <f>Assumptions!$B$138*IF(F109+F111=0,1,(F109+F111*Assumptions!$B$139)/(F109+F111))*F7/12</f>
        <v/>
      </c>
      <c r="G117" s="56">
        <f>Assumptions!$B$138*IF(G109+G111=0,1,(G109+G111*Assumptions!$B$139)/(G109+G111))*G7/12</f>
        <v/>
      </c>
      <c r="H117" s="56">
        <f>Assumptions!$B$138*IF(H109+H111=0,1,(H109+H111*Assumptions!$B$139)/(H109+H111))*H7/12</f>
        <v/>
      </c>
      <c r="I117" s="56">
        <f>Assumptions!$B$138*IF(I109+I111=0,1,(I109+I111*Assumptions!$B$139)/(I109+I111))*I7/12</f>
        <v/>
      </c>
      <c r="J117" s="56">
        <f>Assumptions!$B$138*IF(J109+J111=0,1,(J109+J111*Assumptions!$B$139)/(J109+J111))*J7/12</f>
        <v/>
      </c>
      <c r="K117" s="56">
        <f>Assumptions!$B$138*IF(K109+K111=0,1,(K109+K111*Assumptions!$B$139)/(K109+K111))*K7/12</f>
        <v/>
      </c>
      <c r="L117" s="56">
        <f>Assumptions!$B$138*IF(L109+L111=0,1,(L109+L111*Assumptions!$B$139)/(L109+L111))*L7/12</f>
        <v/>
      </c>
      <c r="M117" s="56">
        <f>Assumptions!$B$138*IF(M109+M111=0,1,(M109+M111*Assumptions!$B$139)/(M109+M111))*M7/12</f>
        <v/>
      </c>
      <c r="N117" s="56">
        <f>Assumptions!$B$138*IF(N109+N111=0,1,(N109+N111*Assumptions!$B$139)/(N109+N111))*N7/12</f>
        <v/>
      </c>
      <c r="O117" s="56">
        <f>Assumptions!$B$138*IF(O109+O111=0,1,(O109+O111*Assumptions!$B$139)/(O109+O111))*O7/12</f>
        <v/>
      </c>
      <c r="P117" s="56">
        <f>Assumptions!$B$138*IF(P109+P111=0,1,(P109+P111*Assumptions!$B$139)/(P109+P111))*P7/12</f>
        <v/>
      </c>
      <c r="Q117" s="56">
        <f>Assumptions!$B$138*IF(Q109+Q111=0,1,(Q109+Q111*Assumptions!$B$139)/(Q109+Q111))*Q7/12</f>
        <v/>
      </c>
      <c r="R117" s="56">
        <f>Assumptions!$B$138*IF(R109+R111=0,1,(R109+R111*Assumptions!$B$139)/(R109+R111))*R7/12</f>
        <v/>
      </c>
      <c r="S117" s="56">
        <f>Assumptions!$B$138*IF(S109+S111=0,1,(S109+S111*Assumptions!$B$139)/(S109+S111))*S7/12</f>
        <v/>
      </c>
      <c r="T117" s="56">
        <f>Assumptions!$B$138*IF(T109+T111=0,1,(T109+T111*Assumptions!$B$139)/(T109+T111))*T7/12</f>
        <v/>
      </c>
      <c r="U117" s="56">
        <f>Assumptions!$B$138*IF(U109+U111=0,1,(U109+U111*Assumptions!$B$139)/(U109+U111))*U7/12</f>
        <v/>
      </c>
      <c r="V117" s="56">
        <f>Assumptions!$B$138*IF(V109+V111=0,1,(V109+V111*Assumptions!$B$139)/(V109+V111))*V7/12</f>
        <v/>
      </c>
      <c r="W117" s="56">
        <f>Assumptions!$B$138*IF(W109+W111=0,1,(W109+W111*Assumptions!$B$139)/(W109+W111))*W7/12</f>
        <v/>
      </c>
      <c r="X117" s="56">
        <f>Assumptions!$B$138*IF(X109+X111=0,1,(X109+X111*Assumptions!$B$139)/(X109+X111))*X7/12</f>
        <v/>
      </c>
      <c r="Y117" s="56">
        <f>Assumptions!$B$138*IF(Y109+Y111=0,1,(Y109+Y111*Assumptions!$B$139)/(Y109+Y111))*Y7/12</f>
        <v/>
      </c>
      <c r="Z117" s="56">
        <f>Assumptions!$B$138*IF(Z109+Z111=0,1,(Z109+Z111*Assumptions!$B$139)/(Z109+Z111))*Z7/12</f>
        <v/>
      </c>
      <c r="AA117" s="56">
        <f>Assumptions!$B$138*IF(AA109+AA111=0,1,(AA109+AA111*Assumptions!$B$139)/(AA109+AA111))*AA7/12</f>
        <v/>
      </c>
      <c r="AB117" s="56">
        <f>Assumptions!$B$138*IF(AB109+AB111=0,1,(AB109+AB111*Assumptions!$B$139)/(AB109+AB111))*AB7/12</f>
        <v/>
      </c>
      <c r="AC117" s="56">
        <f>Assumptions!$B$138*IF(AC109+AC111=0,1,(AC109+AC111*Assumptions!$B$139)/(AC109+AC111))*AC7/12</f>
        <v/>
      </c>
      <c r="AD117" s="56">
        <f>Assumptions!$B$138*IF(AD109+AD111=0,1,(AD109+AD111*Assumptions!$B$139)/(AD109+AD111))*AD7/12</f>
        <v/>
      </c>
      <c r="AE117" s="56">
        <f>Assumptions!$B$138*IF(AE109+AE111=0,1,(AE109+AE111*Assumptions!$B$139)/(AE109+AE111))*AE7/12</f>
        <v/>
      </c>
    </row>
    <row r="118">
      <c r="A118" s="6" t="inlineStr">
        <is>
          <t xml:space="preserve">  Grams held (collateral-eligible)</t>
        </is>
      </c>
      <c r="B118" s="23" t="inlineStr">
        <is>
          <t>grams</t>
        </is>
      </c>
      <c r="C118" s="45">
        <f>C115</f>
        <v/>
      </c>
      <c r="D118" s="45">
        <f>C118*(1-D116)+D115</f>
        <v/>
      </c>
      <c r="E118" s="45">
        <f>D118*(1-E116)+E115</f>
        <v/>
      </c>
      <c r="F118" s="45">
        <f>E118*(1-F116)+F115</f>
        <v/>
      </c>
      <c r="G118" s="45">
        <f>F118*(1-G116)+G115</f>
        <v/>
      </c>
      <c r="H118" s="45">
        <f>G118*(1-H116)+H115</f>
        <v/>
      </c>
      <c r="I118" s="45">
        <f>H118*(1-I116)+I115</f>
        <v/>
      </c>
      <c r="J118" s="45">
        <f>I118*(1-J116)+J115</f>
        <v/>
      </c>
      <c r="K118" s="45">
        <f>J118*(1-K116)+K115</f>
        <v/>
      </c>
      <c r="L118" s="45">
        <f>K118*(1-L116)+L115</f>
        <v/>
      </c>
      <c r="M118" s="45">
        <f>L118*(1-M116)+M115</f>
        <v/>
      </c>
      <c r="N118" s="45">
        <f>M118*(1-N116)+N115</f>
        <v/>
      </c>
      <c r="O118" s="45">
        <f>N118*(1-O116)+O115</f>
        <v/>
      </c>
      <c r="P118" s="45">
        <f>O118*(1-P116)+P115</f>
        <v/>
      </c>
      <c r="Q118" s="45">
        <f>P118*(1-Q116)+Q115</f>
        <v/>
      </c>
      <c r="R118" s="45">
        <f>Q118*(1-R116)+R115</f>
        <v/>
      </c>
      <c r="S118" s="45">
        <f>R118*(1-S116)+S115</f>
        <v/>
      </c>
      <c r="T118" s="45">
        <f>S118*(1-T116)+T115</f>
        <v/>
      </c>
      <c r="U118" s="45">
        <f>T118*(1-U116)+U115</f>
        <v/>
      </c>
      <c r="V118" s="45">
        <f>U118*(1-V116)+V115</f>
        <v/>
      </c>
      <c r="W118" s="45">
        <f>V118*(1-W116)+W115</f>
        <v/>
      </c>
      <c r="X118" s="45">
        <f>W118*(1-X116)+X115</f>
        <v/>
      </c>
      <c r="Y118" s="45">
        <f>X118*(1-Y116)+Y115</f>
        <v/>
      </c>
      <c r="Z118" s="45">
        <f>Y118*(1-Z116)+Z115</f>
        <v/>
      </c>
      <c r="AA118" s="45">
        <f>Z118*(1-AA116)+AA115</f>
        <v/>
      </c>
      <c r="AB118" s="45">
        <f>AA118*(1-AB116)+AB115</f>
        <v/>
      </c>
      <c r="AC118" s="45">
        <f>AB118*(1-AC116)+AC115</f>
        <v/>
      </c>
      <c r="AD118" s="45">
        <f>AC118*(1-AD116)+AD115</f>
        <v/>
      </c>
      <c r="AE118" s="45">
        <f>AD118*(1-AE116)+AE115</f>
        <v/>
      </c>
    </row>
    <row r="119">
      <c r="A119" s="6" t="inlineStr">
        <is>
          <t xml:space="preserve">  Grams under custody (vaulted, incl. self-custodied)</t>
        </is>
      </c>
      <c r="B119" s="23" t="inlineStr">
        <is>
          <t>grams</t>
        </is>
      </c>
      <c r="C119" s="45">
        <f>C115</f>
        <v/>
      </c>
      <c r="D119" s="45">
        <f>C119*(1-D117)+D115</f>
        <v/>
      </c>
      <c r="E119" s="45">
        <f>D119*(1-E117)+E115</f>
        <v/>
      </c>
      <c r="F119" s="45">
        <f>E119*(1-F117)+F115</f>
        <v/>
      </c>
      <c r="G119" s="45">
        <f>F119*(1-G117)+G115</f>
        <v/>
      </c>
      <c r="H119" s="45">
        <f>G119*(1-H117)+H115</f>
        <v/>
      </c>
      <c r="I119" s="45">
        <f>H119*(1-I117)+I115</f>
        <v/>
      </c>
      <c r="J119" s="45">
        <f>I119*(1-J117)+J115</f>
        <v/>
      </c>
      <c r="K119" s="45">
        <f>J119*(1-K117)+K115</f>
        <v/>
      </c>
      <c r="L119" s="45">
        <f>K119*(1-L117)+L115</f>
        <v/>
      </c>
      <c r="M119" s="45">
        <f>L119*(1-M117)+M115</f>
        <v/>
      </c>
      <c r="N119" s="45">
        <f>M119*(1-N117)+N115</f>
        <v/>
      </c>
      <c r="O119" s="45">
        <f>N119*(1-O117)+O115</f>
        <v/>
      </c>
      <c r="P119" s="45">
        <f>O119*(1-P117)+P115</f>
        <v/>
      </c>
      <c r="Q119" s="45">
        <f>P119*(1-Q117)+Q115</f>
        <v/>
      </c>
      <c r="R119" s="45">
        <f>Q119*(1-R117)+R115</f>
        <v/>
      </c>
      <c r="S119" s="45">
        <f>R119*(1-S117)+S115</f>
        <v/>
      </c>
      <c r="T119" s="45">
        <f>S119*(1-T117)+T115</f>
        <v/>
      </c>
      <c r="U119" s="45">
        <f>T119*(1-U117)+U115</f>
        <v/>
      </c>
      <c r="V119" s="45">
        <f>U119*(1-V117)+V115</f>
        <v/>
      </c>
      <c r="W119" s="45">
        <f>V119*(1-W117)+W115</f>
        <v/>
      </c>
      <c r="X119" s="45">
        <f>W119*(1-X117)+X115</f>
        <v/>
      </c>
      <c r="Y119" s="45">
        <f>X119*(1-Y117)+Y115</f>
        <v/>
      </c>
      <c r="Z119" s="45">
        <f>Y119*(1-Z117)+Z115</f>
        <v/>
      </c>
      <c r="AA119" s="45">
        <f>Z119*(1-AA117)+AA115</f>
        <v/>
      </c>
      <c r="AB119" s="45">
        <f>AA119*(1-AB117)+AB115</f>
        <v/>
      </c>
      <c r="AC119" s="45">
        <f>AB119*(1-AC117)+AC115</f>
        <v/>
      </c>
      <c r="AD119" s="45">
        <f>AC119*(1-AD117)+AD115</f>
        <v/>
      </c>
      <c r="AE119" s="45">
        <f>AD119*(1-AE117)+AE115</f>
        <v/>
      </c>
    </row>
    <row r="120">
      <c r="A120" s="6" t="inlineStr">
        <is>
          <t xml:space="preserve">  AUM</t>
        </is>
      </c>
      <c r="B120" s="23" t="inlineStr">
        <is>
          <t>USD</t>
        </is>
      </c>
      <c r="C120" s="57">
        <f>C118*C21</f>
        <v/>
      </c>
      <c r="D120" s="57">
        <f>D118*D21</f>
        <v/>
      </c>
      <c r="E120" s="57">
        <f>E118*E21</f>
        <v/>
      </c>
      <c r="F120" s="57">
        <f>F118*F21</f>
        <v/>
      </c>
      <c r="G120" s="57">
        <f>G118*G21</f>
        <v/>
      </c>
      <c r="H120" s="57">
        <f>H118*H21</f>
        <v/>
      </c>
      <c r="I120" s="57">
        <f>I118*I21</f>
        <v/>
      </c>
      <c r="J120" s="57">
        <f>J118*J21</f>
        <v/>
      </c>
      <c r="K120" s="57">
        <f>K118*K21</f>
        <v/>
      </c>
      <c r="L120" s="57">
        <f>L118*L21</f>
        <v/>
      </c>
      <c r="M120" s="57">
        <f>M118*M21</f>
        <v/>
      </c>
      <c r="N120" s="57">
        <f>N118*N21</f>
        <v/>
      </c>
      <c r="O120" s="57">
        <f>O118*O21</f>
        <v/>
      </c>
      <c r="P120" s="57">
        <f>P118*P21</f>
        <v/>
      </c>
      <c r="Q120" s="57">
        <f>Q118*Q21</f>
        <v/>
      </c>
      <c r="R120" s="57">
        <f>R118*R21</f>
        <v/>
      </c>
      <c r="S120" s="57">
        <f>S118*S21</f>
        <v/>
      </c>
      <c r="T120" s="57">
        <f>T118*T21</f>
        <v/>
      </c>
      <c r="U120" s="57">
        <f>U118*U21</f>
        <v/>
      </c>
      <c r="V120" s="57">
        <f>V118*V21</f>
        <v/>
      </c>
      <c r="W120" s="57">
        <f>W118*W21</f>
        <v/>
      </c>
      <c r="X120" s="57">
        <f>X118*X21</f>
        <v/>
      </c>
      <c r="Y120" s="57">
        <f>Y118*Y21</f>
        <v/>
      </c>
      <c r="Z120" s="57">
        <f>Z118*Z21</f>
        <v/>
      </c>
      <c r="AA120" s="57">
        <f>AA118*AA21</f>
        <v/>
      </c>
      <c r="AB120" s="57">
        <f>AB118*AB21</f>
        <v/>
      </c>
      <c r="AC120" s="57">
        <f>AC118*AC21</f>
        <v/>
      </c>
      <c r="AD120" s="57">
        <f>AD118*AD21</f>
        <v/>
      </c>
      <c r="AE120" s="57">
        <f>AE118*AE21</f>
        <v/>
      </c>
    </row>
    <row r="121">
      <c r="A121" s="6" t="inlineStr">
        <is>
          <t xml:space="preserve">  Card-eligible base</t>
        </is>
      </c>
      <c r="B121" s="23" t="inlineStr">
        <is>
          <t>accounts</t>
        </is>
      </c>
      <c r="C121" s="54">
        <f>C109+C111*Assumptions!$B$179</f>
        <v/>
      </c>
      <c r="D121" s="54">
        <f>D109+D111*Assumptions!$B$179</f>
        <v/>
      </c>
      <c r="E121" s="54">
        <f>E109+E111*Assumptions!$B$179</f>
        <v/>
      </c>
      <c r="F121" s="54">
        <f>F109+F111*Assumptions!$B$179</f>
        <v/>
      </c>
      <c r="G121" s="54">
        <f>G109+G111*Assumptions!$B$179</f>
        <v/>
      </c>
      <c r="H121" s="54">
        <f>H109+H111*Assumptions!$B$179</f>
        <v/>
      </c>
      <c r="I121" s="54">
        <f>I109+I111*Assumptions!$B$179</f>
        <v/>
      </c>
      <c r="J121" s="54">
        <f>J109+J111*Assumptions!$B$179</f>
        <v/>
      </c>
      <c r="K121" s="54">
        <f>K109+K111*Assumptions!$B$179</f>
        <v/>
      </c>
      <c r="L121" s="54">
        <f>L109+L111*Assumptions!$B$179</f>
        <v/>
      </c>
      <c r="M121" s="54">
        <f>M109+M111*Assumptions!$B$179</f>
        <v/>
      </c>
      <c r="N121" s="54">
        <f>N109+N111*Assumptions!$B$179</f>
        <v/>
      </c>
      <c r="O121" s="54">
        <f>O109+O111*Assumptions!$B$179</f>
        <v/>
      </c>
      <c r="P121" s="54">
        <f>P109+P111*Assumptions!$B$179</f>
        <v/>
      </c>
      <c r="Q121" s="54">
        <f>Q109+Q111*Assumptions!$B$179</f>
        <v/>
      </c>
      <c r="R121" s="54">
        <f>R109+R111*Assumptions!$B$179</f>
        <v/>
      </c>
      <c r="S121" s="54">
        <f>S109+S111*Assumptions!$B$179</f>
        <v/>
      </c>
      <c r="T121" s="54">
        <f>T109+T111*Assumptions!$B$179</f>
        <v/>
      </c>
      <c r="U121" s="54">
        <f>U109+U111*Assumptions!$B$179</f>
        <v/>
      </c>
      <c r="V121" s="54">
        <f>V109+V111*Assumptions!$B$179</f>
        <v/>
      </c>
      <c r="W121" s="54">
        <f>W109+W111*Assumptions!$B$179</f>
        <v/>
      </c>
      <c r="X121" s="54">
        <f>X109+X111*Assumptions!$B$179</f>
        <v/>
      </c>
      <c r="Y121" s="54">
        <f>Y109+Y111*Assumptions!$B$179</f>
        <v/>
      </c>
      <c r="Z121" s="54">
        <f>Z109+Z111*Assumptions!$B$179</f>
        <v/>
      </c>
      <c r="AA121" s="54">
        <f>AA109+AA111*Assumptions!$B$179</f>
        <v/>
      </c>
      <c r="AB121" s="54">
        <f>AB109+AB111*Assumptions!$B$179</f>
        <v/>
      </c>
      <c r="AC121" s="54">
        <f>AC109+AC111*Assumptions!$B$179</f>
        <v/>
      </c>
      <c r="AD121" s="54">
        <f>AD109+AD111*Assumptions!$B$179</f>
        <v/>
      </c>
      <c r="AE121" s="54">
        <f>AE109+AE111*Assumptions!$B$179</f>
        <v/>
      </c>
    </row>
    <row r="122">
      <c r="A122" s="6" t="inlineStr">
        <is>
          <t xml:space="preserve">  Cleared the six-payment gate</t>
        </is>
      </c>
      <c r="B122" s="23" t="inlineStr">
        <is>
          <t>accounts</t>
        </is>
      </c>
      <c r="C122" s="45">
        <f>IF(C7&gt;1,C121*Assumptions!$B$135,IF(C2&gt;Assumptions!$B$136,INDEX($C$121:$AE$121,1,C2-Assumptions!$B$136)*Assumptions!$B$135,0))</f>
        <v/>
      </c>
      <c r="D122" s="45">
        <f>IF(D7&gt;1,D121*Assumptions!$B$135,IF(D2&gt;Assumptions!$B$136,INDEX($C$121:$AE$121,1,D2-Assumptions!$B$136)*Assumptions!$B$135,0))</f>
        <v/>
      </c>
      <c r="E122" s="45">
        <f>IF(E7&gt;1,E121*Assumptions!$B$135,IF(E2&gt;Assumptions!$B$136,INDEX($C$121:$AE$121,1,E2-Assumptions!$B$136)*Assumptions!$B$135,0))</f>
        <v/>
      </c>
      <c r="F122" s="45">
        <f>IF(F7&gt;1,F121*Assumptions!$B$135,IF(F2&gt;Assumptions!$B$136,INDEX($C$121:$AE$121,1,F2-Assumptions!$B$136)*Assumptions!$B$135,0))</f>
        <v/>
      </c>
      <c r="G122" s="45">
        <f>IF(G7&gt;1,G121*Assumptions!$B$135,IF(G2&gt;Assumptions!$B$136,INDEX($C$121:$AE$121,1,G2-Assumptions!$B$136)*Assumptions!$B$135,0))</f>
        <v/>
      </c>
      <c r="H122" s="45">
        <f>IF(H7&gt;1,H121*Assumptions!$B$135,IF(H2&gt;Assumptions!$B$136,INDEX($C$121:$AE$121,1,H2-Assumptions!$B$136)*Assumptions!$B$135,0))</f>
        <v/>
      </c>
      <c r="I122" s="45">
        <f>IF(I7&gt;1,I121*Assumptions!$B$135,IF(I2&gt;Assumptions!$B$136,INDEX($C$121:$AE$121,1,I2-Assumptions!$B$136)*Assumptions!$B$135,0))</f>
        <v/>
      </c>
      <c r="J122" s="45">
        <f>IF(J7&gt;1,J121*Assumptions!$B$135,IF(J2&gt;Assumptions!$B$136,INDEX($C$121:$AE$121,1,J2-Assumptions!$B$136)*Assumptions!$B$135,0))</f>
        <v/>
      </c>
      <c r="K122" s="45">
        <f>IF(K7&gt;1,K121*Assumptions!$B$135,IF(K2&gt;Assumptions!$B$136,INDEX($C$121:$AE$121,1,K2-Assumptions!$B$136)*Assumptions!$B$135,0))</f>
        <v/>
      </c>
      <c r="L122" s="45">
        <f>IF(L7&gt;1,L121*Assumptions!$B$135,IF(L2&gt;Assumptions!$B$136,INDEX($C$121:$AE$121,1,L2-Assumptions!$B$136)*Assumptions!$B$135,0))</f>
        <v/>
      </c>
      <c r="M122" s="45">
        <f>IF(M7&gt;1,M121*Assumptions!$B$135,IF(M2&gt;Assumptions!$B$136,INDEX($C$121:$AE$121,1,M2-Assumptions!$B$136)*Assumptions!$B$135,0))</f>
        <v/>
      </c>
      <c r="N122" s="45">
        <f>IF(N7&gt;1,N121*Assumptions!$B$135,IF(N2&gt;Assumptions!$B$136,INDEX($C$121:$AE$121,1,N2-Assumptions!$B$136)*Assumptions!$B$135,0))</f>
        <v/>
      </c>
      <c r="O122" s="45">
        <f>IF(O7&gt;1,O121*Assumptions!$B$135,IF(O2&gt;Assumptions!$B$136,INDEX($C$121:$AE$121,1,O2-Assumptions!$B$136)*Assumptions!$B$135,0))</f>
        <v/>
      </c>
      <c r="P122" s="45">
        <f>IF(P7&gt;1,P121*Assumptions!$B$135,IF(P2&gt;Assumptions!$B$136,INDEX($C$121:$AE$121,1,P2-Assumptions!$B$136)*Assumptions!$B$135,0))</f>
        <v/>
      </c>
      <c r="Q122" s="45">
        <f>IF(Q7&gt;1,Q121*Assumptions!$B$135,IF(Q2&gt;Assumptions!$B$136,INDEX($C$121:$AE$121,1,Q2-Assumptions!$B$136)*Assumptions!$B$135,0))</f>
        <v/>
      </c>
      <c r="R122" s="45">
        <f>IF(R7&gt;1,R121*Assumptions!$B$135,IF(R2&gt;Assumptions!$B$136,INDEX($C$121:$AE$121,1,R2-Assumptions!$B$136)*Assumptions!$B$135,0))</f>
        <v/>
      </c>
      <c r="S122" s="45">
        <f>IF(S7&gt;1,S121*Assumptions!$B$135,IF(S2&gt;Assumptions!$B$136,INDEX($C$121:$AE$121,1,S2-Assumptions!$B$136)*Assumptions!$B$135,0))</f>
        <v/>
      </c>
      <c r="T122" s="45">
        <f>IF(T7&gt;1,T121*Assumptions!$B$135,IF(T2&gt;Assumptions!$B$136,INDEX($C$121:$AE$121,1,T2-Assumptions!$B$136)*Assumptions!$B$135,0))</f>
        <v/>
      </c>
      <c r="U122" s="45">
        <f>IF(U7&gt;1,U121*Assumptions!$B$135,IF(U2&gt;Assumptions!$B$136,INDEX($C$121:$AE$121,1,U2-Assumptions!$B$136)*Assumptions!$B$135,0))</f>
        <v/>
      </c>
      <c r="V122" s="45">
        <f>IF(V7&gt;1,V121*Assumptions!$B$135,IF(V2&gt;Assumptions!$B$136,INDEX($C$121:$AE$121,1,V2-Assumptions!$B$136)*Assumptions!$B$135,0))</f>
        <v/>
      </c>
      <c r="W122" s="45">
        <f>IF(W7&gt;1,W121*Assumptions!$B$135,IF(W2&gt;Assumptions!$B$136,INDEX($C$121:$AE$121,1,W2-Assumptions!$B$136)*Assumptions!$B$135,0))</f>
        <v/>
      </c>
      <c r="X122" s="45">
        <f>IF(X7&gt;1,X121*Assumptions!$B$135,IF(X2&gt;Assumptions!$B$136,INDEX($C$121:$AE$121,1,X2-Assumptions!$B$136)*Assumptions!$B$135,0))</f>
        <v/>
      </c>
      <c r="Y122" s="45">
        <f>IF(Y7&gt;1,Y121*Assumptions!$B$135,IF(Y2&gt;Assumptions!$B$136,INDEX($C$121:$AE$121,1,Y2-Assumptions!$B$136)*Assumptions!$B$135,0))</f>
        <v/>
      </c>
      <c r="Z122" s="45">
        <f>IF(Z7&gt;1,Z121*Assumptions!$B$135,IF(Z2&gt;Assumptions!$B$136,INDEX($C$121:$AE$121,1,Z2-Assumptions!$B$136)*Assumptions!$B$135,0))</f>
        <v/>
      </c>
      <c r="AA122" s="45">
        <f>IF(AA7&gt;1,AA121*Assumptions!$B$135,IF(AA2&gt;Assumptions!$B$136,INDEX($C$121:$AE$121,1,AA2-Assumptions!$B$136)*Assumptions!$B$135,0))</f>
        <v/>
      </c>
      <c r="AB122" s="45">
        <f>IF(AB7&gt;1,AB121*Assumptions!$B$135,IF(AB2&gt;Assumptions!$B$136,INDEX($C$121:$AE$121,1,AB2-Assumptions!$B$136)*Assumptions!$B$135,0))</f>
        <v/>
      </c>
      <c r="AC122" s="45">
        <f>IF(AC7&gt;1,AC121*Assumptions!$B$135,IF(AC2&gt;Assumptions!$B$136,INDEX($C$121:$AE$121,1,AC2-Assumptions!$B$136)*Assumptions!$B$135,0))</f>
        <v/>
      </c>
      <c r="AD122" s="45">
        <f>IF(AD7&gt;1,AD121*Assumptions!$B$135,IF(AD2&gt;Assumptions!$B$136,INDEX($C$121:$AE$121,1,AD2-Assumptions!$B$136)*Assumptions!$B$135,0))</f>
        <v/>
      </c>
      <c r="AE122" s="45">
        <f>IF(AE7&gt;1,AE121*Assumptions!$B$135,IF(AE2&gt;Assumptions!$B$136,INDEX($C$121:$AE$121,1,AE2-Assumptions!$B$136)*Assumptions!$B$135,0))</f>
        <v/>
      </c>
    </row>
    <row r="123">
      <c r="A123" s="6" t="inlineStr">
        <is>
          <t xml:space="preserve">  Active cards</t>
        </is>
      </c>
      <c r="B123" s="23" t="inlineStr">
        <is>
          <t>cards</t>
        </is>
      </c>
      <c r="C123" s="28">
        <f>IF(C2&gt;=Assumptions!$B$52,C122*Assumptions!$B$144,0)</f>
        <v/>
      </c>
      <c r="D123" s="28">
        <f>IF(D2&gt;=Assumptions!$B$52,D122*Assumptions!$B$144,0)</f>
        <v/>
      </c>
      <c r="E123" s="28">
        <f>IF(E2&gt;=Assumptions!$B$52,E122*Assumptions!$B$144,0)</f>
        <v/>
      </c>
      <c r="F123" s="28">
        <f>IF(F2&gt;=Assumptions!$B$52,F122*Assumptions!$B$144,0)</f>
        <v/>
      </c>
      <c r="G123" s="28">
        <f>IF(G2&gt;=Assumptions!$B$52,G122*Assumptions!$B$144,0)</f>
        <v/>
      </c>
      <c r="H123" s="28">
        <f>IF(H2&gt;=Assumptions!$B$52,H122*Assumptions!$B$144,0)</f>
        <v/>
      </c>
      <c r="I123" s="28">
        <f>IF(I2&gt;=Assumptions!$B$52,I122*Assumptions!$B$144,0)</f>
        <v/>
      </c>
      <c r="J123" s="28">
        <f>IF(J2&gt;=Assumptions!$B$52,J122*Assumptions!$B$144,0)</f>
        <v/>
      </c>
      <c r="K123" s="28">
        <f>IF(K2&gt;=Assumptions!$B$52,K122*Assumptions!$B$144,0)</f>
        <v/>
      </c>
      <c r="L123" s="28">
        <f>IF(L2&gt;=Assumptions!$B$52,L122*Assumptions!$B$144,0)</f>
        <v/>
      </c>
      <c r="M123" s="28">
        <f>IF(M2&gt;=Assumptions!$B$52,M122*Assumptions!$B$144,0)</f>
        <v/>
      </c>
      <c r="N123" s="28">
        <f>IF(N2&gt;=Assumptions!$B$52,N122*Assumptions!$B$144,0)</f>
        <v/>
      </c>
      <c r="O123" s="28">
        <f>IF(O2&gt;=Assumptions!$B$52,O122*Assumptions!$B$144,0)</f>
        <v/>
      </c>
      <c r="P123" s="28">
        <f>IF(P2&gt;=Assumptions!$B$52,P122*Assumptions!$B$144,0)</f>
        <v/>
      </c>
      <c r="Q123" s="28">
        <f>IF(Q2&gt;=Assumptions!$B$52,Q122*Assumptions!$B$144,0)</f>
        <v/>
      </c>
      <c r="R123" s="28">
        <f>IF(R2&gt;=Assumptions!$B$52,R122*Assumptions!$B$144,0)</f>
        <v/>
      </c>
      <c r="S123" s="28">
        <f>IF(S2&gt;=Assumptions!$B$52,S122*Assumptions!$B$144,0)</f>
        <v/>
      </c>
      <c r="T123" s="28">
        <f>IF(T2&gt;=Assumptions!$B$52,T122*Assumptions!$B$144,0)</f>
        <v/>
      </c>
      <c r="U123" s="28">
        <f>IF(U2&gt;=Assumptions!$B$52,U122*Assumptions!$B$144,0)</f>
        <v/>
      </c>
      <c r="V123" s="28">
        <f>IF(V2&gt;=Assumptions!$B$52,V122*Assumptions!$B$144,0)</f>
        <v/>
      </c>
      <c r="W123" s="28">
        <f>IF(W2&gt;=Assumptions!$B$52,W122*Assumptions!$B$144,0)</f>
        <v/>
      </c>
      <c r="X123" s="28">
        <f>IF(X2&gt;=Assumptions!$B$52,X122*Assumptions!$B$144,0)</f>
        <v/>
      </c>
      <c r="Y123" s="28">
        <f>IF(Y2&gt;=Assumptions!$B$52,Y122*Assumptions!$B$144,0)</f>
        <v/>
      </c>
      <c r="Z123" s="28">
        <f>IF(Z2&gt;=Assumptions!$B$52,Z122*Assumptions!$B$144,0)</f>
        <v/>
      </c>
      <c r="AA123" s="28">
        <f>IF(AA2&gt;=Assumptions!$B$52,AA122*Assumptions!$B$144,0)</f>
        <v/>
      </c>
      <c r="AB123" s="28">
        <f>IF(AB2&gt;=Assumptions!$B$52,AB122*Assumptions!$B$144,0)</f>
        <v/>
      </c>
      <c r="AC123" s="28">
        <f>IF(AC2&gt;=Assumptions!$B$52,AC122*Assumptions!$B$144,0)</f>
        <v/>
      </c>
      <c r="AD123" s="28">
        <f>IF(AD2&gt;=Assumptions!$B$52,AD122*Assumptions!$B$144,0)</f>
        <v/>
      </c>
      <c r="AE123" s="28">
        <f>IF(AE2&gt;=Assumptions!$B$52,AE122*Assumptions!$B$144,0)</f>
        <v/>
      </c>
    </row>
    <row r="124">
      <c r="A124" s="6" t="inlineStr">
        <is>
          <t xml:space="preserve">  Credit limit per customer (gold x LTV)</t>
        </is>
      </c>
      <c r="B124" s="23" t="inlineStr">
        <is>
          <t>USD</t>
        </is>
      </c>
      <c r="C124" s="55">
        <f>IF(C109=0,0,C120/C109*Assumptions!$B$32)</f>
        <v/>
      </c>
      <c r="D124" s="55">
        <f>IF(D109=0,0,D120/D109*Assumptions!$B$32)</f>
        <v/>
      </c>
      <c r="E124" s="55">
        <f>IF(E109=0,0,E120/E109*Assumptions!$B$32)</f>
        <v/>
      </c>
      <c r="F124" s="55">
        <f>IF(F109=0,0,F120/F109*Assumptions!$B$32)</f>
        <v/>
      </c>
      <c r="G124" s="55">
        <f>IF(G109=0,0,G120/G109*Assumptions!$B$32)</f>
        <v/>
      </c>
      <c r="H124" s="55">
        <f>IF(H109=0,0,H120/H109*Assumptions!$B$32)</f>
        <v/>
      </c>
      <c r="I124" s="55">
        <f>IF(I109=0,0,I120/I109*Assumptions!$B$32)</f>
        <v/>
      </c>
      <c r="J124" s="55">
        <f>IF(J109=0,0,J120/J109*Assumptions!$B$32)</f>
        <v/>
      </c>
      <c r="K124" s="55">
        <f>IF(K109=0,0,K120/K109*Assumptions!$B$32)</f>
        <v/>
      </c>
      <c r="L124" s="55">
        <f>IF(L109=0,0,L120/L109*Assumptions!$B$32)</f>
        <v/>
      </c>
      <c r="M124" s="55">
        <f>IF(M109=0,0,M120/M109*Assumptions!$B$32)</f>
        <v/>
      </c>
      <c r="N124" s="55">
        <f>IF(N109=0,0,N120/N109*Assumptions!$B$32)</f>
        <v/>
      </c>
      <c r="O124" s="55">
        <f>IF(O109=0,0,O120/O109*Assumptions!$B$32)</f>
        <v/>
      </c>
      <c r="P124" s="55">
        <f>IF(P109=0,0,P120/P109*Assumptions!$B$32)</f>
        <v/>
      </c>
      <c r="Q124" s="55">
        <f>IF(Q109=0,0,Q120/Q109*Assumptions!$B$32)</f>
        <v/>
      </c>
      <c r="R124" s="55">
        <f>IF(R109=0,0,R120/R109*Assumptions!$B$32)</f>
        <v/>
      </c>
      <c r="S124" s="55">
        <f>IF(S109=0,0,S120/S109*Assumptions!$B$32)</f>
        <v/>
      </c>
      <c r="T124" s="55">
        <f>IF(T109=0,0,T120/T109*Assumptions!$B$32)</f>
        <v/>
      </c>
      <c r="U124" s="55">
        <f>IF(U109=0,0,U120/U109*Assumptions!$B$32)</f>
        <v/>
      </c>
      <c r="V124" s="55">
        <f>IF(V109=0,0,V120/V109*Assumptions!$B$32)</f>
        <v/>
      </c>
      <c r="W124" s="55">
        <f>IF(W109=0,0,W120/W109*Assumptions!$B$32)</f>
        <v/>
      </c>
      <c r="X124" s="55">
        <f>IF(X109=0,0,X120/X109*Assumptions!$B$32)</f>
        <v/>
      </c>
      <c r="Y124" s="55">
        <f>IF(Y109=0,0,Y120/Y109*Assumptions!$B$32)</f>
        <v/>
      </c>
      <c r="Z124" s="55">
        <f>IF(Z109=0,0,Z120/Z109*Assumptions!$B$32)</f>
        <v/>
      </c>
      <c r="AA124" s="55">
        <f>IF(AA109=0,0,AA120/AA109*Assumptions!$B$32)</f>
        <v/>
      </c>
      <c r="AB124" s="55">
        <f>IF(AB109=0,0,AB120/AB109*Assumptions!$B$32)</f>
        <v/>
      </c>
      <c r="AC124" s="55">
        <f>IF(AC109=0,0,AC120/AC109*Assumptions!$B$32)</f>
        <v/>
      </c>
      <c r="AD124" s="55">
        <f>IF(AD109=0,0,AD120/AD109*Assumptions!$B$32)</f>
        <v/>
      </c>
      <c r="AE124" s="55">
        <f>IF(AE109=0,0,AE120/AE109*Assumptions!$B$32)</f>
        <v/>
      </c>
    </row>
    <row r="125">
      <c r="A125" s="6" t="inlineStr">
        <is>
          <t xml:space="preserve">  Annual drawdown per card (limit x drawn x draws)</t>
        </is>
      </c>
      <c r="B125" s="23" t="inlineStr">
        <is>
          <t>USD/yr</t>
        </is>
      </c>
      <c r="C125" s="55">
        <f>C124*Assumptions!$B$157*Assumptions!$B$159</f>
        <v/>
      </c>
      <c r="D125" s="55">
        <f>D124*Assumptions!$B$157*Assumptions!$B$159</f>
        <v/>
      </c>
      <c r="E125" s="55">
        <f>E124*Assumptions!$B$157*Assumptions!$B$159</f>
        <v/>
      </c>
      <c r="F125" s="55">
        <f>F124*Assumptions!$B$157*Assumptions!$B$159</f>
        <v/>
      </c>
      <c r="G125" s="55">
        <f>G124*Assumptions!$B$157*Assumptions!$B$159</f>
        <v/>
      </c>
      <c r="H125" s="55">
        <f>H124*Assumptions!$B$157*Assumptions!$B$159</f>
        <v/>
      </c>
      <c r="I125" s="55">
        <f>I124*Assumptions!$B$157*Assumptions!$B$159</f>
        <v/>
      </c>
      <c r="J125" s="55">
        <f>J124*Assumptions!$B$157*Assumptions!$B$159</f>
        <v/>
      </c>
      <c r="K125" s="55">
        <f>K124*Assumptions!$B$157*Assumptions!$B$159</f>
        <v/>
      </c>
      <c r="L125" s="55">
        <f>L124*Assumptions!$B$157*Assumptions!$B$159</f>
        <v/>
      </c>
      <c r="M125" s="55">
        <f>M124*Assumptions!$B$157*Assumptions!$B$159</f>
        <v/>
      </c>
      <c r="N125" s="55">
        <f>N124*Assumptions!$B$157*Assumptions!$B$159</f>
        <v/>
      </c>
      <c r="O125" s="55">
        <f>O124*Assumptions!$B$157*Assumptions!$B$159</f>
        <v/>
      </c>
      <c r="P125" s="55">
        <f>P124*Assumptions!$B$157*Assumptions!$B$159</f>
        <v/>
      </c>
      <c r="Q125" s="55">
        <f>Q124*Assumptions!$B$157*Assumptions!$B$159</f>
        <v/>
      </c>
      <c r="R125" s="55">
        <f>R124*Assumptions!$B$157*Assumptions!$B$159</f>
        <v/>
      </c>
      <c r="S125" s="55">
        <f>S124*Assumptions!$B$157*Assumptions!$B$159</f>
        <v/>
      </c>
      <c r="T125" s="55">
        <f>T124*Assumptions!$B$157*Assumptions!$B$159</f>
        <v/>
      </c>
      <c r="U125" s="55">
        <f>U124*Assumptions!$B$157*Assumptions!$B$159</f>
        <v/>
      </c>
      <c r="V125" s="55">
        <f>V124*Assumptions!$B$157*Assumptions!$B$159</f>
        <v/>
      </c>
      <c r="W125" s="55">
        <f>W124*Assumptions!$B$157*Assumptions!$B$159</f>
        <v/>
      </c>
      <c r="X125" s="55">
        <f>X124*Assumptions!$B$157*Assumptions!$B$159</f>
        <v/>
      </c>
      <c r="Y125" s="55">
        <f>Y124*Assumptions!$B$157*Assumptions!$B$159</f>
        <v/>
      </c>
      <c r="Z125" s="55">
        <f>Z124*Assumptions!$B$157*Assumptions!$B$159</f>
        <v/>
      </c>
      <c r="AA125" s="55">
        <f>AA124*Assumptions!$B$157*Assumptions!$B$159</f>
        <v/>
      </c>
      <c r="AB125" s="55">
        <f>AB124*Assumptions!$B$157*Assumptions!$B$159</f>
        <v/>
      </c>
      <c r="AC125" s="55">
        <f>AC124*Assumptions!$B$157*Assumptions!$B$159</f>
        <v/>
      </c>
      <c r="AD125" s="55">
        <f>AD124*Assumptions!$B$157*Assumptions!$B$159</f>
        <v/>
      </c>
      <c r="AE125" s="55">
        <f>AE124*Assumptions!$B$157*Assumptions!$B$159</f>
        <v/>
      </c>
    </row>
    <row r="126">
      <c r="A126" s="6" t="inlineStr">
        <is>
          <t xml:space="preserve">  Card spend per card per month</t>
        </is>
      </c>
      <c r="B126" s="23" t="inlineStr">
        <is>
          <t>USD</t>
        </is>
      </c>
      <c r="C126" s="55">
        <f>C125/12*C16</f>
        <v/>
      </c>
      <c r="D126" s="55">
        <f>D125/12*D16</f>
        <v/>
      </c>
      <c r="E126" s="55">
        <f>E125/12*E16</f>
        <v/>
      </c>
      <c r="F126" s="55">
        <f>F125/12*F16</f>
        <v/>
      </c>
      <c r="G126" s="55">
        <f>G125/12*G16</f>
        <v/>
      </c>
      <c r="H126" s="55">
        <f>H125/12*H16</f>
        <v/>
      </c>
      <c r="I126" s="55">
        <f>I125/12*I16</f>
        <v/>
      </c>
      <c r="J126" s="55">
        <f>J125/12*J16</f>
        <v/>
      </c>
      <c r="K126" s="55">
        <f>K125/12*K16</f>
        <v/>
      </c>
      <c r="L126" s="55">
        <f>L125/12*L16</f>
        <v/>
      </c>
      <c r="M126" s="55">
        <f>M125/12*M16</f>
        <v/>
      </c>
      <c r="N126" s="55">
        <f>N125/12*N16</f>
        <v/>
      </c>
      <c r="O126" s="55">
        <f>O125/12*O16</f>
        <v/>
      </c>
      <c r="P126" s="55">
        <f>P125/12*P16</f>
        <v/>
      </c>
      <c r="Q126" s="55">
        <f>Q125/12*Q16</f>
        <v/>
      </c>
      <c r="R126" s="55">
        <f>R125/12*R16</f>
        <v/>
      </c>
      <c r="S126" s="55">
        <f>S125/12*S16</f>
        <v/>
      </c>
      <c r="T126" s="55">
        <f>T125/12*T16</f>
        <v/>
      </c>
      <c r="U126" s="55">
        <f>U125/12*U16</f>
        <v/>
      </c>
      <c r="V126" s="55">
        <f>V125/12*V16</f>
        <v/>
      </c>
      <c r="W126" s="55">
        <f>W125/12*W16</f>
        <v/>
      </c>
      <c r="X126" s="55">
        <f>X125/12*X16</f>
        <v/>
      </c>
      <c r="Y126" s="55">
        <f>Y125/12*Y16</f>
        <v/>
      </c>
      <c r="Z126" s="55">
        <f>Z125/12*Z16</f>
        <v/>
      </c>
      <c r="AA126" s="55">
        <f>AA125/12*AA16</f>
        <v/>
      </c>
      <c r="AB126" s="55">
        <f>AB125/12*AB16</f>
        <v/>
      </c>
      <c r="AC126" s="55">
        <f>AC125/12*AC16</f>
        <v/>
      </c>
      <c r="AD126" s="55">
        <f>AD125/12*AD16</f>
        <v/>
      </c>
      <c r="AE126" s="55">
        <f>AE125/12*AE16</f>
        <v/>
      </c>
    </row>
    <row r="127">
      <c r="A127" s="6" t="inlineStr">
        <is>
          <t xml:space="preserve">  Card spend</t>
        </is>
      </c>
      <c r="B127" s="23" t="inlineStr">
        <is>
          <t>AED</t>
        </is>
      </c>
      <c r="C127" s="45">
        <f>C123*C126*Assumptions!$B$7*C7</f>
        <v/>
      </c>
      <c r="D127" s="45">
        <f>D123*D126*Assumptions!$B$7*D7</f>
        <v/>
      </c>
      <c r="E127" s="45">
        <f>E123*E126*Assumptions!$B$7*E7</f>
        <v/>
      </c>
      <c r="F127" s="45">
        <f>F123*F126*Assumptions!$B$7*F7</f>
        <v/>
      </c>
      <c r="G127" s="45">
        <f>G123*G126*Assumptions!$B$7*G7</f>
        <v/>
      </c>
      <c r="H127" s="45">
        <f>H123*H126*Assumptions!$B$7*H7</f>
        <v/>
      </c>
      <c r="I127" s="45">
        <f>I123*I126*Assumptions!$B$7*I7</f>
        <v/>
      </c>
      <c r="J127" s="45">
        <f>J123*J126*Assumptions!$B$7*J7</f>
        <v/>
      </c>
      <c r="K127" s="45">
        <f>K123*K126*Assumptions!$B$7*K7</f>
        <v/>
      </c>
      <c r="L127" s="45">
        <f>L123*L126*Assumptions!$B$7*L7</f>
        <v/>
      </c>
      <c r="M127" s="45">
        <f>M123*M126*Assumptions!$B$7*M7</f>
        <v/>
      </c>
      <c r="N127" s="45">
        <f>N123*N126*Assumptions!$B$7*N7</f>
        <v/>
      </c>
      <c r="O127" s="45">
        <f>O123*O126*Assumptions!$B$7*O7</f>
        <v/>
      </c>
      <c r="P127" s="45">
        <f>P123*P126*Assumptions!$B$7*P7</f>
        <v/>
      </c>
      <c r="Q127" s="45">
        <f>Q123*Q126*Assumptions!$B$7*Q7</f>
        <v/>
      </c>
      <c r="R127" s="45">
        <f>R123*R126*Assumptions!$B$7*R7</f>
        <v/>
      </c>
      <c r="S127" s="45">
        <f>S123*S126*Assumptions!$B$7*S7</f>
        <v/>
      </c>
      <c r="T127" s="45">
        <f>T123*T126*Assumptions!$B$7*T7</f>
        <v/>
      </c>
      <c r="U127" s="45">
        <f>U123*U126*Assumptions!$B$7*U7</f>
        <v/>
      </c>
      <c r="V127" s="45">
        <f>V123*V126*Assumptions!$B$7*V7</f>
        <v/>
      </c>
      <c r="W127" s="45">
        <f>W123*W126*Assumptions!$B$7*W7</f>
        <v/>
      </c>
      <c r="X127" s="45">
        <f>X123*X126*Assumptions!$B$7*X7</f>
        <v/>
      </c>
      <c r="Y127" s="45">
        <f>Y123*Y126*Assumptions!$B$7*Y7</f>
        <v/>
      </c>
      <c r="Z127" s="45">
        <f>Z123*Z126*Assumptions!$B$7*Z7</f>
        <v/>
      </c>
      <c r="AA127" s="45">
        <f>AA123*AA126*Assumptions!$B$7*AA7</f>
        <v/>
      </c>
      <c r="AB127" s="45">
        <f>AB123*AB126*Assumptions!$B$7*AB7</f>
        <v/>
      </c>
      <c r="AC127" s="45">
        <f>AC123*AC126*Assumptions!$B$7*AC7</f>
        <v/>
      </c>
      <c r="AD127" s="45">
        <f>AD123*AD126*Assumptions!$B$7*AD7</f>
        <v/>
      </c>
      <c r="AE127" s="45">
        <f>AE123*AE126*Assumptions!$B$7*AE7</f>
        <v/>
      </c>
    </row>
    <row r="128">
      <c r="A128" s="6" t="inlineStr">
        <is>
          <t xml:space="preserve">  Card spend</t>
        </is>
      </c>
      <c r="B128" s="23" t="inlineStr">
        <is>
          <t>USD</t>
        </is>
      </c>
      <c r="C128" s="55">
        <f>C127/Assumptions!$B$7</f>
        <v/>
      </c>
      <c r="D128" s="55">
        <f>D127/Assumptions!$B$7</f>
        <v/>
      </c>
      <c r="E128" s="55">
        <f>E127/Assumptions!$B$7</f>
        <v/>
      </c>
      <c r="F128" s="55">
        <f>F127/Assumptions!$B$7</f>
        <v/>
      </c>
      <c r="G128" s="55">
        <f>G127/Assumptions!$B$7</f>
        <v/>
      </c>
      <c r="H128" s="55">
        <f>H127/Assumptions!$B$7</f>
        <v/>
      </c>
      <c r="I128" s="55">
        <f>I127/Assumptions!$B$7</f>
        <v/>
      </c>
      <c r="J128" s="55">
        <f>J127/Assumptions!$B$7</f>
        <v/>
      </c>
      <c r="K128" s="55">
        <f>K127/Assumptions!$B$7</f>
        <v/>
      </c>
      <c r="L128" s="55">
        <f>L127/Assumptions!$B$7</f>
        <v/>
      </c>
      <c r="M128" s="55">
        <f>M127/Assumptions!$B$7</f>
        <v/>
      </c>
      <c r="N128" s="55">
        <f>N127/Assumptions!$B$7</f>
        <v/>
      </c>
      <c r="O128" s="55">
        <f>O127/Assumptions!$B$7</f>
        <v/>
      </c>
      <c r="P128" s="55">
        <f>P127/Assumptions!$B$7</f>
        <v/>
      </c>
      <c r="Q128" s="55">
        <f>Q127/Assumptions!$B$7</f>
        <v/>
      </c>
      <c r="R128" s="55">
        <f>R127/Assumptions!$B$7</f>
        <v/>
      </c>
      <c r="S128" s="55">
        <f>S127/Assumptions!$B$7</f>
        <v/>
      </c>
      <c r="T128" s="55">
        <f>T127/Assumptions!$B$7</f>
        <v/>
      </c>
      <c r="U128" s="55">
        <f>U127/Assumptions!$B$7</f>
        <v/>
      </c>
      <c r="V128" s="55">
        <f>V127/Assumptions!$B$7</f>
        <v/>
      </c>
      <c r="W128" s="55">
        <f>W127/Assumptions!$B$7</f>
        <v/>
      </c>
      <c r="X128" s="55">
        <f>X127/Assumptions!$B$7</f>
        <v/>
      </c>
      <c r="Y128" s="55">
        <f>Y127/Assumptions!$B$7</f>
        <v/>
      </c>
      <c r="Z128" s="55">
        <f>Z127/Assumptions!$B$7</f>
        <v/>
      </c>
      <c r="AA128" s="55">
        <f>AA127/Assumptions!$B$7</f>
        <v/>
      </c>
      <c r="AB128" s="55">
        <f>AB127/Assumptions!$B$7</f>
        <v/>
      </c>
      <c r="AC128" s="55">
        <f>AC127/Assumptions!$B$7</f>
        <v/>
      </c>
      <c r="AD128" s="55">
        <f>AD127/Assumptions!$B$7</f>
        <v/>
      </c>
      <c r="AE128" s="55">
        <f>AE127/Assumptions!$B$7</f>
        <v/>
      </c>
    </row>
    <row r="129">
      <c r="A129" s="6" t="inlineStr">
        <is>
          <t xml:space="preserve">  Average transaction size (derived)</t>
        </is>
      </c>
      <c r="B129" s="23" t="inlineStr">
        <is>
          <t>AED</t>
        </is>
      </c>
      <c r="C129" s="45">
        <f>IF(Assumptions!$B$145=0,0,C124*Assumptions!$B$157*Assumptions!$B$7/Assumptions!$B$145)</f>
        <v/>
      </c>
      <c r="D129" s="45">
        <f>IF(Assumptions!$B$145=0,0,D124*Assumptions!$B$157*Assumptions!$B$7/Assumptions!$B$145)</f>
        <v/>
      </c>
      <c r="E129" s="45">
        <f>IF(Assumptions!$B$145=0,0,E124*Assumptions!$B$157*Assumptions!$B$7/Assumptions!$B$145)</f>
        <v/>
      </c>
      <c r="F129" s="45">
        <f>IF(Assumptions!$B$145=0,0,F124*Assumptions!$B$157*Assumptions!$B$7/Assumptions!$B$145)</f>
        <v/>
      </c>
      <c r="G129" s="45">
        <f>IF(Assumptions!$B$145=0,0,G124*Assumptions!$B$157*Assumptions!$B$7/Assumptions!$B$145)</f>
        <v/>
      </c>
      <c r="H129" s="45">
        <f>IF(Assumptions!$B$145=0,0,H124*Assumptions!$B$157*Assumptions!$B$7/Assumptions!$B$145)</f>
        <v/>
      </c>
      <c r="I129" s="45">
        <f>IF(Assumptions!$B$145=0,0,I124*Assumptions!$B$157*Assumptions!$B$7/Assumptions!$B$145)</f>
        <v/>
      </c>
      <c r="J129" s="45">
        <f>IF(Assumptions!$B$145=0,0,J124*Assumptions!$B$157*Assumptions!$B$7/Assumptions!$B$145)</f>
        <v/>
      </c>
      <c r="K129" s="45">
        <f>IF(Assumptions!$B$145=0,0,K124*Assumptions!$B$157*Assumptions!$B$7/Assumptions!$B$145)</f>
        <v/>
      </c>
      <c r="L129" s="45">
        <f>IF(Assumptions!$B$145=0,0,L124*Assumptions!$B$157*Assumptions!$B$7/Assumptions!$B$145)</f>
        <v/>
      </c>
      <c r="M129" s="45">
        <f>IF(Assumptions!$B$145=0,0,M124*Assumptions!$B$157*Assumptions!$B$7/Assumptions!$B$145)</f>
        <v/>
      </c>
      <c r="N129" s="45">
        <f>IF(Assumptions!$B$145=0,0,N124*Assumptions!$B$157*Assumptions!$B$7/Assumptions!$B$145)</f>
        <v/>
      </c>
      <c r="O129" s="45">
        <f>IF(Assumptions!$B$145=0,0,O124*Assumptions!$B$157*Assumptions!$B$7/Assumptions!$B$145)</f>
        <v/>
      </c>
      <c r="P129" s="45">
        <f>IF(Assumptions!$B$145=0,0,P124*Assumptions!$B$157*Assumptions!$B$7/Assumptions!$B$145)</f>
        <v/>
      </c>
      <c r="Q129" s="45">
        <f>IF(Assumptions!$B$145=0,0,Q124*Assumptions!$B$157*Assumptions!$B$7/Assumptions!$B$145)</f>
        <v/>
      </c>
      <c r="R129" s="45">
        <f>IF(Assumptions!$B$145=0,0,R124*Assumptions!$B$157*Assumptions!$B$7/Assumptions!$B$145)</f>
        <v/>
      </c>
      <c r="S129" s="45">
        <f>IF(Assumptions!$B$145=0,0,S124*Assumptions!$B$157*Assumptions!$B$7/Assumptions!$B$145)</f>
        <v/>
      </c>
      <c r="T129" s="45">
        <f>IF(Assumptions!$B$145=0,0,T124*Assumptions!$B$157*Assumptions!$B$7/Assumptions!$B$145)</f>
        <v/>
      </c>
      <c r="U129" s="45">
        <f>IF(Assumptions!$B$145=0,0,U124*Assumptions!$B$157*Assumptions!$B$7/Assumptions!$B$145)</f>
        <v/>
      </c>
      <c r="V129" s="45">
        <f>IF(Assumptions!$B$145=0,0,V124*Assumptions!$B$157*Assumptions!$B$7/Assumptions!$B$145)</f>
        <v/>
      </c>
      <c r="W129" s="45">
        <f>IF(Assumptions!$B$145=0,0,W124*Assumptions!$B$157*Assumptions!$B$7/Assumptions!$B$145)</f>
        <v/>
      </c>
      <c r="X129" s="45">
        <f>IF(Assumptions!$B$145=0,0,X124*Assumptions!$B$157*Assumptions!$B$7/Assumptions!$B$145)</f>
        <v/>
      </c>
      <c r="Y129" s="45">
        <f>IF(Assumptions!$B$145=0,0,Y124*Assumptions!$B$157*Assumptions!$B$7/Assumptions!$B$145)</f>
        <v/>
      </c>
      <c r="Z129" s="45">
        <f>IF(Assumptions!$B$145=0,0,Z124*Assumptions!$B$157*Assumptions!$B$7/Assumptions!$B$145)</f>
        <v/>
      </c>
      <c r="AA129" s="45">
        <f>IF(Assumptions!$B$145=0,0,AA124*Assumptions!$B$157*Assumptions!$B$7/Assumptions!$B$145)</f>
        <v/>
      </c>
      <c r="AB129" s="45">
        <f>IF(Assumptions!$B$145=0,0,AB124*Assumptions!$B$157*Assumptions!$B$7/Assumptions!$B$145)</f>
        <v/>
      </c>
      <c r="AC129" s="45">
        <f>IF(Assumptions!$B$145=0,0,AC124*Assumptions!$B$157*Assumptions!$B$7/Assumptions!$B$145)</f>
        <v/>
      </c>
      <c r="AD129" s="45">
        <f>IF(Assumptions!$B$145=0,0,AD124*Assumptions!$B$157*Assumptions!$B$7/Assumptions!$B$145)</f>
        <v/>
      </c>
      <c r="AE129" s="45">
        <f>IF(Assumptions!$B$145=0,0,AE124*Assumptions!$B$157*Assumptions!$B$7/Assumptions!$B$145)</f>
        <v/>
      </c>
    </row>
    <row r="130">
      <c r="A130" s="6" t="inlineStr">
        <is>
          <t xml:space="preserve">  Card authorisations (memo - drives cost, not revenue)</t>
        </is>
      </c>
      <c r="B130" s="23" t="inlineStr">
        <is>
          <t>auths</t>
        </is>
      </c>
      <c r="C130" s="45">
        <f>C123*Assumptions!$B$159*Assumptions!$B$145*C7/12*(1+Assumptions!$B$16)</f>
        <v/>
      </c>
      <c r="D130" s="45">
        <f>D123*Assumptions!$B$159*Assumptions!$B$145*D7/12*(1+Assumptions!$B$16)</f>
        <v/>
      </c>
      <c r="E130" s="45">
        <f>E123*Assumptions!$B$159*Assumptions!$B$145*E7/12*(1+Assumptions!$B$16)</f>
        <v/>
      </c>
      <c r="F130" s="45">
        <f>F123*Assumptions!$B$159*Assumptions!$B$145*F7/12*(1+Assumptions!$B$16)</f>
        <v/>
      </c>
      <c r="G130" s="45">
        <f>G123*Assumptions!$B$159*Assumptions!$B$145*G7/12*(1+Assumptions!$B$16)</f>
        <v/>
      </c>
      <c r="H130" s="45">
        <f>H123*Assumptions!$B$159*Assumptions!$B$145*H7/12*(1+Assumptions!$B$16)</f>
        <v/>
      </c>
      <c r="I130" s="45">
        <f>I123*Assumptions!$B$159*Assumptions!$B$145*I7/12*(1+Assumptions!$B$16)</f>
        <v/>
      </c>
      <c r="J130" s="45">
        <f>J123*Assumptions!$B$159*Assumptions!$B$145*J7/12*(1+Assumptions!$B$16)</f>
        <v/>
      </c>
      <c r="K130" s="45">
        <f>K123*Assumptions!$B$159*Assumptions!$B$145*K7/12*(1+Assumptions!$B$16)</f>
        <v/>
      </c>
      <c r="L130" s="45">
        <f>L123*Assumptions!$B$159*Assumptions!$B$145*L7/12*(1+Assumptions!$B$16)</f>
        <v/>
      </c>
      <c r="M130" s="45">
        <f>M123*Assumptions!$B$159*Assumptions!$B$145*M7/12*(1+Assumptions!$B$16)</f>
        <v/>
      </c>
      <c r="N130" s="45">
        <f>N123*Assumptions!$B$159*Assumptions!$B$145*N7/12*(1+Assumptions!$B$16)</f>
        <v/>
      </c>
      <c r="O130" s="45">
        <f>O123*Assumptions!$B$159*Assumptions!$B$145*O7/12*(1+Assumptions!$B$16)</f>
        <v/>
      </c>
      <c r="P130" s="45">
        <f>P123*Assumptions!$B$159*Assumptions!$B$145*P7/12*(1+Assumptions!$B$16)</f>
        <v/>
      </c>
      <c r="Q130" s="45">
        <f>Q123*Assumptions!$B$159*Assumptions!$B$145*Q7/12*(1+Assumptions!$B$16)</f>
        <v/>
      </c>
      <c r="R130" s="45">
        <f>R123*Assumptions!$B$159*Assumptions!$B$145*R7/12*(1+Assumptions!$B$16)</f>
        <v/>
      </c>
      <c r="S130" s="45">
        <f>S123*Assumptions!$B$159*Assumptions!$B$145*S7/12*(1+Assumptions!$B$16)</f>
        <v/>
      </c>
      <c r="T130" s="45">
        <f>T123*Assumptions!$B$159*Assumptions!$B$145*T7/12*(1+Assumptions!$B$16)</f>
        <v/>
      </c>
      <c r="U130" s="45">
        <f>U123*Assumptions!$B$159*Assumptions!$B$145*U7/12*(1+Assumptions!$B$16)</f>
        <v/>
      </c>
      <c r="V130" s="45">
        <f>V123*Assumptions!$B$159*Assumptions!$B$145*V7/12*(1+Assumptions!$B$16)</f>
        <v/>
      </c>
      <c r="W130" s="45">
        <f>W123*Assumptions!$B$159*Assumptions!$B$145*W7/12*(1+Assumptions!$B$16)</f>
        <v/>
      </c>
      <c r="X130" s="45">
        <f>X123*Assumptions!$B$159*Assumptions!$B$145*X7/12*(1+Assumptions!$B$16)</f>
        <v/>
      </c>
      <c r="Y130" s="45">
        <f>Y123*Assumptions!$B$159*Assumptions!$B$145*Y7/12*(1+Assumptions!$B$16)</f>
        <v/>
      </c>
      <c r="Z130" s="45">
        <f>Z123*Assumptions!$B$159*Assumptions!$B$145*Z7/12*(1+Assumptions!$B$16)</f>
        <v/>
      </c>
      <c r="AA130" s="45">
        <f>AA123*Assumptions!$B$159*Assumptions!$B$145*AA7/12*(1+Assumptions!$B$16)</f>
        <v/>
      </c>
      <c r="AB130" s="45">
        <f>AB123*Assumptions!$B$159*Assumptions!$B$145*AB7/12*(1+Assumptions!$B$16)</f>
        <v/>
      </c>
      <c r="AC130" s="45">
        <f>AC123*Assumptions!$B$159*Assumptions!$B$145*AC7/12*(1+Assumptions!$B$16)</f>
        <v/>
      </c>
      <c r="AD130" s="45">
        <f>AD123*Assumptions!$B$159*Assumptions!$B$145*AD7/12*(1+Assumptions!$B$16)</f>
        <v/>
      </c>
      <c r="AE130" s="45">
        <f>AE123*Assumptions!$B$159*Assumptions!$B$145*AE7/12*(1+Assumptions!$B$16)</f>
        <v/>
      </c>
    </row>
    <row r="131">
      <c r="A131" s="6" t="inlineStr">
        <is>
          <t xml:space="preserve">  Stream 1a - Entry fee, SIP</t>
        </is>
      </c>
      <c r="B131" s="23" t="inlineStr">
        <is>
          <t>USD</t>
        </is>
      </c>
      <c r="C131" s="55">
        <f>C113*Assumptions!$B$8</f>
        <v/>
      </c>
      <c r="D131" s="55">
        <f>D113*Assumptions!$B$8</f>
        <v/>
      </c>
      <c r="E131" s="55">
        <f>E113*Assumptions!$B$8</f>
        <v/>
      </c>
      <c r="F131" s="55">
        <f>F113*Assumptions!$B$8</f>
        <v/>
      </c>
      <c r="G131" s="55">
        <f>G113*Assumptions!$B$8</f>
        <v/>
      </c>
      <c r="H131" s="55">
        <f>H113*Assumptions!$B$8</f>
        <v/>
      </c>
      <c r="I131" s="55">
        <f>I113*Assumptions!$B$8</f>
        <v/>
      </c>
      <c r="J131" s="55">
        <f>J113*Assumptions!$B$8</f>
        <v/>
      </c>
      <c r="K131" s="55">
        <f>K113*Assumptions!$B$8</f>
        <v/>
      </c>
      <c r="L131" s="55">
        <f>L113*Assumptions!$B$8</f>
        <v/>
      </c>
      <c r="M131" s="55">
        <f>M113*Assumptions!$B$8</f>
        <v/>
      </c>
      <c r="N131" s="55">
        <f>N113*Assumptions!$B$8</f>
        <v/>
      </c>
      <c r="O131" s="55">
        <f>O113*Assumptions!$B$8</f>
        <v/>
      </c>
      <c r="P131" s="55">
        <f>P113*Assumptions!$B$8</f>
        <v/>
      </c>
      <c r="Q131" s="55">
        <f>Q113*Assumptions!$B$8</f>
        <v/>
      </c>
      <c r="R131" s="55">
        <f>R113*Assumptions!$B$8</f>
        <v/>
      </c>
      <c r="S131" s="55">
        <f>S113*Assumptions!$B$8</f>
        <v/>
      </c>
      <c r="T131" s="55">
        <f>T113*Assumptions!$B$8</f>
        <v/>
      </c>
      <c r="U131" s="55">
        <f>U113*Assumptions!$B$8</f>
        <v/>
      </c>
      <c r="V131" s="55">
        <f>V113*Assumptions!$B$8</f>
        <v/>
      </c>
      <c r="W131" s="55">
        <f>W113*Assumptions!$B$8</f>
        <v/>
      </c>
      <c r="X131" s="55">
        <f>X113*Assumptions!$B$8</f>
        <v/>
      </c>
      <c r="Y131" s="55">
        <f>Y113*Assumptions!$B$8</f>
        <v/>
      </c>
      <c r="Z131" s="55">
        <f>Z113*Assumptions!$B$8</f>
        <v/>
      </c>
      <c r="AA131" s="55">
        <f>AA113*Assumptions!$B$8</f>
        <v/>
      </c>
      <c r="AB131" s="55">
        <f>AB113*Assumptions!$B$8</f>
        <v/>
      </c>
      <c r="AC131" s="55">
        <f>AC113*Assumptions!$B$8</f>
        <v/>
      </c>
      <c r="AD131" s="55">
        <f>AD113*Assumptions!$B$8</f>
        <v/>
      </c>
      <c r="AE131" s="55">
        <f>AE113*Assumptions!$B$8</f>
        <v/>
      </c>
    </row>
    <row r="132">
      <c r="A132" s="6" t="inlineStr">
        <is>
          <t xml:space="preserve">  Stream 1b - Entry fee, SPOT</t>
        </is>
      </c>
      <c r="B132" s="23" t="inlineStr">
        <is>
          <t>USD</t>
        </is>
      </c>
      <c r="C132" s="55">
        <f>C114*Assumptions!$B$8</f>
        <v/>
      </c>
      <c r="D132" s="55">
        <f>D114*Assumptions!$B$8</f>
        <v/>
      </c>
      <c r="E132" s="55">
        <f>E114*Assumptions!$B$8</f>
        <v/>
      </c>
      <c r="F132" s="55">
        <f>F114*Assumptions!$B$8</f>
        <v/>
      </c>
      <c r="G132" s="55">
        <f>G114*Assumptions!$B$8</f>
        <v/>
      </c>
      <c r="H132" s="55">
        <f>H114*Assumptions!$B$8</f>
        <v/>
      </c>
      <c r="I132" s="55">
        <f>I114*Assumptions!$B$8</f>
        <v/>
      </c>
      <c r="J132" s="55">
        <f>J114*Assumptions!$B$8</f>
        <v/>
      </c>
      <c r="K132" s="55">
        <f>K114*Assumptions!$B$8</f>
        <v/>
      </c>
      <c r="L132" s="55">
        <f>L114*Assumptions!$B$8</f>
        <v/>
      </c>
      <c r="M132" s="55">
        <f>M114*Assumptions!$B$8</f>
        <v/>
      </c>
      <c r="N132" s="55">
        <f>N114*Assumptions!$B$8</f>
        <v/>
      </c>
      <c r="O132" s="55">
        <f>O114*Assumptions!$B$8</f>
        <v/>
      </c>
      <c r="P132" s="55">
        <f>P114*Assumptions!$B$8</f>
        <v/>
      </c>
      <c r="Q132" s="55">
        <f>Q114*Assumptions!$B$8</f>
        <v/>
      </c>
      <c r="R132" s="55">
        <f>R114*Assumptions!$B$8</f>
        <v/>
      </c>
      <c r="S132" s="55">
        <f>S114*Assumptions!$B$8</f>
        <v/>
      </c>
      <c r="T132" s="55">
        <f>T114*Assumptions!$B$8</f>
        <v/>
      </c>
      <c r="U132" s="55">
        <f>U114*Assumptions!$B$8</f>
        <v/>
      </c>
      <c r="V132" s="55">
        <f>V114*Assumptions!$B$8</f>
        <v/>
      </c>
      <c r="W132" s="55">
        <f>W114*Assumptions!$B$8</f>
        <v/>
      </c>
      <c r="X132" s="55">
        <f>X114*Assumptions!$B$8</f>
        <v/>
      </c>
      <c r="Y132" s="55">
        <f>Y114*Assumptions!$B$8</f>
        <v/>
      </c>
      <c r="Z132" s="55">
        <f>Z114*Assumptions!$B$8</f>
        <v/>
      </c>
      <c r="AA132" s="55">
        <f>AA114*Assumptions!$B$8</f>
        <v/>
      </c>
      <c r="AB132" s="55">
        <f>AB114*Assumptions!$B$8</f>
        <v/>
      </c>
      <c r="AC132" s="55">
        <f>AC114*Assumptions!$B$8</f>
        <v/>
      </c>
      <c r="AD132" s="55">
        <f>AD114*Assumptions!$B$8</f>
        <v/>
      </c>
      <c r="AE132" s="55">
        <f>AE114*Assumptions!$B$8</f>
        <v/>
      </c>
    </row>
    <row r="133">
      <c r="A133" s="6" t="inlineStr">
        <is>
          <t xml:space="preserve">  Stream 2 - Card interchange</t>
        </is>
      </c>
      <c r="B133" s="23" t="inlineStr">
        <is>
          <t>USD</t>
        </is>
      </c>
      <c r="C133" s="55">
        <f>C128*IF(Assumptions!$B$178=1,MIN(Assumptions!$B$14,1%),Assumptions!$B$14)*(1-Assumptions!$B$143)</f>
        <v/>
      </c>
      <c r="D133" s="55">
        <f>D128*IF(Assumptions!$B$178=1,MIN(Assumptions!$B$14,1%),Assumptions!$B$14)*(1-Assumptions!$B$143)</f>
        <v/>
      </c>
      <c r="E133" s="55">
        <f>E128*IF(Assumptions!$B$178=1,MIN(Assumptions!$B$14,1%),Assumptions!$B$14)*(1-Assumptions!$B$143)</f>
        <v/>
      </c>
      <c r="F133" s="55">
        <f>F128*IF(Assumptions!$B$178=1,MIN(Assumptions!$B$14,1%),Assumptions!$B$14)*(1-Assumptions!$B$143)</f>
        <v/>
      </c>
      <c r="G133" s="55">
        <f>G128*IF(Assumptions!$B$178=1,MIN(Assumptions!$B$14,1%),Assumptions!$B$14)*(1-Assumptions!$B$143)</f>
        <v/>
      </c>
      <c r="H133" s="55">
        <f>H128*IF(Assumptions!$B$178=1,MIN(Assumptions!$B$14,1%),Assumptions!$B$14)*(1-Assumptions!$B$143)</f>
        <v/>
      </c>
      <c r="I133" s="55">
        <f>I128*IF(Assumptions!$B$178=1,MIN(Assumptions!$B$14,1%),Assumptions!$B$14)*(1-Assumptions!$B$143)</f>
        <v/>
      </c>
      <c r="J133" s="55">
        <f>J128*IF(Assumptions!$B$178=1,MIN(Assumptions!$B$14,1%),Assumptions!$B$14)*(1-Assumptions!$B$143)</f>
        <v/>
      </c>
      <c r="K133" s="55">
        <f>K128*IF(Assumptions!$B$178=1,MIN(Assumptions!$B$14,1%),Assumptions!$B$14)*(1-Assumptions!$B$143)</f>
        <v/>
      </c>
      <c r="L133" s="55">
        <f>L128*IF(Assumptions!$B$178=1,MIN(Assumptions!$B$14,1%),Assumptions!$B$14)*(1-Assumptions!$B$143)</f>
        <v/>
      </c>
      <c r="M133" s="55">
        <f>M128*IF(Assumptions!$B$178=1,MIN(Assumptions!$B$14,1%),Assumptions!$B$14)*(1-Assumptions!$B$143)</f>
        <v/>
      </c>
      <c r="N133" s="55">
        <f>N128*IF(Assumptions!$B$178=1,MIN(Assumptions!$B$14,1%),Assumptions!$B$14)*(1-Assumptions!$B$143)</f>
        <v/>
      </c>
      <c r="O133" s="55">
        <f>O128*IF(Assumptions!$B$178=1,MIN(Assumptions!$B$14,1%),Assumptions!$B$14)*(1-Assumptions!$B$143)</f>
        <v/>
      </c>
      <c r="P133" s="55">
        <f>P128*IF(Assumptions!$B$178=1,MIN(Assumptions!$B$14,1%),Assumptions!$B$14)*(1-Assumptions!$B$143)</f>
        <v/>
      </c>
      <c r="Q133" s="55">
        <f>Q128*IF(Assumptions!$B$178=1,MIN(Assumptions!$B$14,1%),Assumptions!$B$14)*(1-Assumptions!$B$143)</f>
        <v/>
      </c>
      <c r="R133" s="55">
        <f>R128*IF(Assumptions!$B$178=1,MIN(Assumptions!$B$14,1%),Assumptions!$B$14)*(1-Assumptions!$B$143)</f>
        <v/>
      </c>
      <c r="S133" s="55">
        <f>S128*IF(Assumptions!$B$178=1,MIN(Assumptions!$B$14,1%),Assumptions!$B$14)*(1-Assumptions!$B$143)</f>
        <v/>
      </c>
      <c r="T133" s="55">
        <f>T128*IF(Assumptions!$B$178=1,MIN(Assumptions!$B$14,1%),Assumptions!$B$14)*(1-Assumptions!$B$143)</f>
        <v/>
      </c>
      <c r="U133" s="55">
        <f>U128*IF(Assumptions!$B$178=1,MIN(Assumptions!$B$14,1%),Assumptions!$B$14)*(1-Assumptions!$B$143)</f>
        <v/>
      </c>
      <c r="V133" s="55">
        <f>V128*IF(Assumptions!$B$178=1,MIN(Assumptions!$B$14,1%),Assumptions!$B$14)*(1-Assumptions!$B$143)</f>
        <v/>
      </c>
      <c r="W133" s="55">
        <f>W128*IF(Assumptions!$B$178=1,MIN(Assumptions!$B$14,1%),Assumptions!$B$14)*(1-Assumptions!$B$143)</f>
        <v/>
      </c>
      <c r="X133" s="55">
        <f>X128*IF(Assumptions!$B$178=1,MIN(Assumptions!$B$14,1%),Assumptions!$B$14)*(1-Assumptions!$B$143)</f>
        <v/>
      </c>
      <c r="Y133" s="55">
        <f>Y128*IF(Assumptions!$B$178=1,MIN(Assumptions!$B$14,1%),Assumptions!$B$14)*(1-Assumptions!$B$143)</f>
        <v/>
      </c>
      <c r="Z133" s="55">
        <f>Z128*IF(Assumptions!$B$178=1,MIN(Assumptions!$B$14,1%),Assumptions!$B$14)*(1-Assumptions!$B$143)</f>
        <v/>
      </c>
      <c r="AA133" s="55">
        <f>AA128*IF(Assumptions!$B$178=1,MIN(Assumptions!$B$14,1%),Assumptions!$B$14)*(1-Assumptions!$B$143)</f>
        <v/>
      </c>
      <c r="AB133" s="55">
        <f>AB128*IF(Assumptions!$B$178=1,MIN(Assumptions!$B$14,1%),Assumptions!$B$14)*(1-Assumptions!$B$143)</f>
        <v/>
      </c>
      <c r="AC133" s="55">
        <f>AC128*IF(Assumptions!$B$178=1,MIN(Assumptions!$B$14,1%),Assumptions!$B$14)*(1-Assumptions!$B$143)</f>
        <v/>
      </c>
      <c r="AD133" s="55">
        <f>AD128*IF(Assumptions!$B$178=1,MIN(Assumptions!$B$14,1%),Assumptions!$B$14)*(1-Assumptions!$B$143)</f>
        <v/>
      </c>
      <c r="AE133" s="55">
        <f>AE128*IF(Assumptions!$B$178=1,MIN(Assumptions!$B$14,1%),Assumptions!$B$14)*(1-Assumptions!$B$143)</f>
        <v/>
      </c>
    </row>
    <row r="134">
      <c r="A134" s="6" t="inlineStr">
        <is>
          <t xml:space="preserve">  Family plan subscribers</t>
        </is>
      </c>
      <c r="B134" s="23" t="inlineStr">
        <is>
          <t>subscribers</t>
        </is>
      </c>
      <c r="C134" s="54">
        <f>IF(C2&gt;=Assumptions!$B$51,C108*Assumptions!$B$160*(1-Assumptions!$B$163)^(C7/2),0)</f>
        <v/>
      </c>
      <c r="D134" s="54">
        <f>IF(D2&gt;=Assumptions!$B$51,C134*(1-Assumptions!$B$163)^D7+D108*Assumptions!$B$160*(1-Assumptions!$B$163)^(D7/2),0)</f>
        <v/>
      </c>
      <c r="E134" s="54">
        <f>IF(E2&gt;=Assumptions!$B$51,D134*(1-Assumptions!$B$163)^E7+E108*Assumptions!$B$160*(1-Assumptions!$B$163)^(E7/2),0)</f>
        <v/>
      </c>
      <c r="F134" s="54">
        <f>IF(F2&gt;=Assumptions!$B$51,E134*(1-Assumptions!$B$163)^F7+F108*Assumptions!$B$160*(1-Assumptions!$B$163)^(F7/2),0)</f>
        <v/>
      </c>
      <c r="G134" s="54">
        <f>IF(G2&gt;=Assumptions!$B$51,F134*(1-Assumptions!$B$163)^G7+G108*Assumptions!$B$160*(1-Assumptions!$B$163)^(G7/2),0)</f>
        <v/>
      </c>
      <c r="H134" s="54">
        <f>IF(H2&gt;=Assumptions!$B$51,G134*(1-Assumptions!$B$163)^H7+H108*Assumptions!$B$160*(1-Assumptions!$B$163)^(H7/2),0)</f>
        <v/>
      </c>
      <c r="I134" s="54">
        <f>IF(I2&gt;=Assumptions!$B$51,H134*(1-Assumptions!$B$163)^I7+I108*Assumptions!$B$160*(1-Assumptions!$B$163)^(I7/2),0)</f>
        <v/>
      </c>
      <c r="J134" s="54">
        <f>IF(J2&gt;=Assumptions!$B$51,I134*(1-Assumptions!$B$163)^J7+J108*Assumptions!$B$160*(1-Assumptions!$B$163)^(J7/2),0)</f>
        <v/>
      </c>
      <c r="K134" s="54">
        <f>IF(K2&gt;=Assumptions!$B$51,J134*(1-Assumptions!$B$163)^K7+K108*Assumptions!$B$160*(1-Assumptions!$B$163)^(K7/2),0)</f>
        <v/>
      </c>
      <c r="L134" s="54">
        <f>IF(L2&gt;=Assumptions!$B$51,K134*(1-Assumptions!$B$163)^L7+L108*Assumptions!$B$160*(1-Assumptions!$B$163)^(L7/2),0)</f>
        <v/>
      </c>
      <c r="M134" s="54">
        <f>IF(M2&gt;=Assumptions!$B$51,L134*(1-Assumptions!$B$163)^M7+M108*Assumptions!$B$160*(1-Assumptions!$B$163)^(M7/2),0)</f>
        <v/>
      </c>
      <c r="N134" s="54">
        <f>IF(N2&gt;=Assumptions!$B$51,M134*(1-Assumptions!$B$163)^N7+N108*Assumptions!$B$160*(1-Assumptions!$B$163)^(N7/2),0)</f>
        <v/>
      </c>
      <c r="O134" s="54">
        <f>IF(O2&gt;=Assumptions!$B$51,N134*(1-Assumptions!$B$163)^O7+O108*Assumptions!$B$160*(1-Assumptions!$B$163)^(O7/2),0)</f>
        <v/>
      </c>
      <c r="P134" s="54">
        <f>IF(P2&gt;=Assumptions!$B$51,O134*(1-Assumptions!$B$163)^P7+P108*Assumptions!$B$160*(1-Assumptions!$B$163)^(P7/2),0)</f>
        <v/>
      </c>
      <c r="Q134" s="54">
        <f>IF(Q2&gt;=Assumptions!$B$51,P134*(1-Assumptions!$B$163)^Q7+Q108*Assumptions!$B$160*(1-Assumptions!$B$163)^(Q7/2),0)</f>
        <v/>
      </c>
      <c r="R134" s="54">
        <f>IF(R2&gt;=Assumptions!$B$51,Q134*(1-Assumptions!$B$163)^R7+R108*Assumptions!$B$160*(1-Assumptions!$B$163)^(R7/2),0)</f>
        <v/>
      </c>
      <c r="S134" s="54">
        <f>IF(S2&gt;=Assumptions!$B$51,R134*(1-Assumptions!$B$163)^S7+S108*Assumptions!$B$160*(1-Assumptions!$B$163)^(S7/2),0)</f>
        <v/>
      </c>
      <c r="T134" s="54">
        <f>IF(T2&gt;=Assumptions!$B$51,S134*(1-Assumptions!$B$163)^T7+T108*Assumptions!$B$160*(1-Assumptions!$B$163)^(T7/2),0)</f>
        <v/>
      </c>
      <c r="U134" s="54">
        <f>IF(U2&gt;=Assumptions!$B$51,T134*(1-Assumptions!$B$163)^U7+U108*Assumptions!$B$160*(1-Assumptions!$B$163)^(U7/2),0)</f>
        <v/>
      </c>
      <c r="V134" s="54">
        <f>IF(V2&gt;=Assumptions!$B$51,U134*(1-Assumptions!$B$163)^V7+V108*Assumptions!$B$160*(1-Assumptions!$B$163)^(V7/2),0)</f>
        <v/>
      </c>
      <c r="W134" s="54">
        <f>IF(W2&gt;=Assumptions!$B$51,V134*(1-Assumptions!$B$163)^W7+W108*Assumptions!$B$160*(1-Assumptions!$B$163)^(W7/2),0)</f>
        <v/>
      </c>
      <c r="X134" s="54">
        <f>IF(X2&gt;=Assumptions!$B$51,W134*(1-Assumptions!$B$163)^X7+X108*Assumptions!$B$160*(1-Assumptions!$B$163)^(X7/2),0)</f>
        <v/>
      </c>
      <c r="Y134" s="54">
        <f>IF(Y2&gt;=Assumptions!$B$51,X134*(1-Assumptions!$B$163)^Y7+Y108*Assumptions!$B$160*(1-Assumptions!$B$163)^(Y7/2),0)</f>
        <v/>
      </c>
      <c r="Z134" s="54">
        <f>IF(Z2&gt;=Assumptions!$B$51,Y134*(1-Assumptions!$B$163)^Z7+Z108*Assumptions!$B$160*(1-Assumptions!$B$163)^(Z7/2),0)</f>
        <v/>
      </c>
      <c r="AA134" s="54">
        <f>IF(AA2&gt;=Assumptions!$B$51,Z134*(1-Assumptions!$B$163)^AA7+AA108*Assumptions!$B$160*(1-Assumptions!$B$163)^(AA7/2),0)</f>
        <v/>
      </c>
      <c r="AB134" s="54">
        <f>IF(AB2&gt;=Assumptions!$B$51,AA134*(1-Assumptions!$B$163)^AB7+AB108*Assumptions!$B$160*(1-Assumptions!$B$163)^(AB7/2),0)</f>
        <v/>
      </c>
      <c r="AC134" s="54">
        <f>IF(AC2&gt;=Assumptions!$B$51,AB134*(1-Assumptions!$B$163)^AC7+AC108*Assumptions!$B$160*(1-Assumptions!$B$163)^(AC7/2),0)</f>
        <v/>
      </c>
      <c r="AD134" s="54">
        <f>IF(AD2&gt;=Assumptions!$B$51,AC134*(1-Assumptions!$B$163)^AD7+AD108*Assumptions!$B$160*(1-Assumptions!$B$163)^(AD7/2),0)</f>
        <v/>
      </c>
      <c r="AE134" s="54">
        <f>IF(AE2&gt;=Assumptions!$B$51,AD134*(1-Assumptions!$B$163)^AE7+AE108*Assumptions!$B$160*(1-Assumptions!$B$163)^(AE7/2),0)</f>
        <v/>
      </c>
    </row>
    <row r="135">
      <c r="A135" s="6" t="inlineStr">
        <is>
          <t xml:space="preserve">  Stream 3 - Family plan and Digital Will</t>
        </is>
      </c>
      <c r="B135" s="23" t="inlineStr">
        <is>
          <t>USD</t>
        </is>
      </c>
      <c r="C135" s="55">
        <f>C134*(Assumptions!$B$25+MAX(0,Assumptions!$B$162-1)*Assumptions!$B$26)/12*C7</f>
        <v/>
      </c>
      <c r="D135" s="55">
        <f>D134*(Assumptions!$B$25+MAX(0,Assumptions!$B$162-1)*Assumptions!$B$26)/12*D7</f>
        <v/>
      </c>
      <c r="E135" s="55">
        <f>E134*(Assumptions!$B$25+MAX(0,Assumptions!$B$162-1)*Assumptions!$B$26)/12*E7</f>
        <v/>
      </c>
      <c r="F135" s="55">
        <f>F134*(Assumptions!$B$25+MAX(0,Assumptions!$B$162-1)*Assumptions!$B$26)/12*F7</f>
        <v/>
      </c>
      <c r="G135" s="55">
        <f>G134*(Assumptions!$B$25+MAX(0,Assumptions!$B$162-1)*Assumptions!$B$26)/12*G7</f>
        <v/>
      </c>
      <c r="H135" s="55">
        <f>H134*(Assumptions!$B$25+MAX(0,Assumptions!$B$162-1)*Assumptions!$B$26)/12*H7</f>
        <v/>
      </c>
      <c r="I135" s="55">
        <f>I134*(Assumptions!$B$25+MAX(0,Assumptions!$B$162-1)*Assumptions!$B$26)/12*I7</f>
        <v/>
      </c>
      <c r="J135" s="55">
        <f>J134*(Assumptions!$B$25+MAX(0,Assumptions!$B$162-1)*Assumptions!$B$26)/12*J7</f>
        <v/>
      </c>
      <c r="K135" s="55">
        <f>K134*(Assumptions!$B$25+MAX(0,Assumptions!$B$162-1)*Assumptions!$B$26)/12*K7</f>
        <v/>
      </c>
      <c r="L135" s="55">
        <f>L134*(Assumptions!$B$25+MAX(0,Assumptions!$B$162-1)*Assumptions!$B$26)/12*L7</f>
        <v/>
      </c>
      <c r="M135" s="55">
        <f>M134*(Assumptions!$B$25+MAX(0,Assumptions!$B$162-1)*Assumptions!$B$26)/12*M7</f>
        <v/>
      </c>
      <c r="N135" s="55">
        <f>N134*(Assumptions!$B$25+MAX(0,Assumptions!$B$162-1)*Assumptions!$B$26)/12*N7</f>
        <v/>
      </c>
      <c r="O135" s="55">
        <f>O134*(Assumptions!$B$25+MAX(0,Assumptions!$B$162-1)*Assumptions!$B$26)/12*O7</f>
        <v/>
      </c>
      <c r="P135" s="55">
        <f>P134*(Assumptions!$B$25+MAX(0,Assumptions!$B$162-1)*Assumptions!$B$26)/12*P7</f>
        <v/>
      </c>
      <c r="Q135" s="55">
        <f>Q134*(Assumptions!$B$25+MAX(0,Assumptions!$B$162-1)*Assumptions!$B$26)/12*Q7</f>
        <v/>
      </c>
      <c r="R135" s="55">
        <f>R134*(Assumptions!$B$25+MAX(0,Assumptions!$B$162-1)*Assumptions!$B$26)/12*R7</f>
        <v/>
      </c>
      <c r="S135" s="55">
        <f>S134*(Assumptions!$B$25+MAX(0,Assumptions!$B$162-1)*Assumptions!$B$26)/12*S7</f>
        <v/>
      </c>
      <c r="T135" s="55">
        <f>T134*(Assumptions!$B$25+MAX(0,Assumptions!$B$162-1)*Assumptions!$B$26)/12*T7</f>
        <v/>
      </c>
      <c r="U135" s="55">
        <f>U134*(Assumptions!$B$25+MAX(0,Assumptions!$B$162-1)*Assumptions!$B$26)/12*U7</f>
        <v/>
      </c>
      <c r="V135" s="55">
        <f>V134*(Assumptions!$B$25+MAX(0,Assumptions!$B$162-1)*Assumptions!$B$26)/12*V7</f>
        <v/>
      </c>
      <c r="W135" s="55">
        <f>W134*(Assumptions!$B$25+MAX(0,Assumptions!$B$162-1)*Assumptions!$B$26)/12*W7</f>
        <v/>
      </c>
      <c r="X135" s="55">
        <f>X134*(Assumptions!$B$25+MAX(0,Assumptions!$B$162-1)*Assumptions!$B$26)/12*X7</f>
        <v/>
      </c>
      <c r="Y135" s="55">
        <f>Y134*(Assumptions!$B$25+MAX(0,Assumptions!$B$162-1)*Assumptions!$B$26)/12*Y7</f>
        <v/>
      </c>
      <c r="Z135" s="55">
        <f>Z134*(Assumptions!$B$25+MAX(0,Assumptions!$B$162-1)*Assumptions!$B$26)/12*Z7</f>
        <v/>
      </c>
      <c r="AA135" s="55">
        <f>AA134*(Assumptions!$B$25+MAX(0,Assumptions!$B$162-1)*Assumptions!$B$26)/12*AA7</f>
        <v/>
      </c>
      <c r="AB135" s="55">
        <f>AB134*(Assumptions!$B$25+MAX(0,Assumptions!$B$162-1)*Assumptions!$B$26)/12*AB7</f>
        <v/>
      </c>
      <c r="AC135" s="55">
        <f>AC134*(Assumptions!$B$25+MAX(0,Assumptions!$B$162-1)*Assumptions!$B$26)/12*AC7</f>
        <v/>
      </c>
      <c r="AD135" s="55">
        <f>AD134*(Assumptions!$B$25+MAX(0,Assumptions!$B$162-1)*Assumptions!$B$26)/12*AD7</f>
        <v/>
      </c>
      <c r="AE135" s="55">
        <f>AE134*(Assumptions!$B$25+MAX(0,Assumptions!$B$162-1)*Assumptions!$B$26)/12*AE7</f>
        <v/>
      </c>
    </row>
    <row r="136">
      <c r="A136" s="6" t="inlineStr">
        <is>
          <t xml:space="preserve">  Stream 4 - Cardholder fees (FX, ATM, events)</t>
        </is>
      </c>
      <c r="B136" s="23" t="inlineStr">
        <is>
          <t>USD</t>
        </is>
      </c>
      <c r="C136" s="55">
        <f>IF(C2&gt;=Assumptions!$B$53,C128*C17*Assumptions!$B$17+C123*(Assumptions!$B$149*MAX(0,Assumptions!$B$153-Assumptions!$B$18)+Assumptions!$B$150*MAX(0,Assumptions!$B$154-Assumptions!$B$18)+Assumptions!$B$151*MAX(0,Assumptions!$B$155-Assumptions!$B$18)+Assumptions!$B$152*MAX(0,Assumptions!$B$156-Assumptions!$B$18))*Assumptions!$B$19/Assumptions!$B$7*C7+C123*(Assumptions!$B$147*Assumptions!$B$20+Assumptions!$B$148*Assumptions!$B$21)/12/Assumptions!$B$7*C7,0)</f>
        <v/>
      </c>
      <c r="D136" s="55">
        <f>IF(D2&gt;=Assumptions!$B$53,D128*D17*Assumptions!$B$17+D123*(Assumptions!$B$149*MAX(0,Assumptions!$B$153-Assumptions!$B$18)+Assumptions!$B$150*MAX(0,Assumptions!$B$154-Assumptions!$B$18)+Assumptions!$B$151*MAX(0,Assumptions!$B$155-Assumptions!$B$18)+Assumptions!$B$152*MAX(0,Assumptions!$B$156-Assumptions!$B$18))*Assumptions!$B$19/Assumptions!$B$7*D7+D123*(Assumptions!$B$147*Assumptions!$B$20+Assumptions!$B$148*Assumptions!$B$21)/12/Assumptions!$B$7*D7,0)</f>
        <v/>
      </c>
      <c r="E136" s="55">
        <f>IF(E2&gt;=Assumptions!$B$53,E128*E17*Assumptions!$B$17+E123*(Assumptions!$B$149*MAX(0,Assumptions!$B$153-Assumptions!$B$18)+Assumptions!$B$150*MAX(0,Assumptions!$B$154-Assumptions!$B$18)+Assumptions!$B$151*MAX(0,Assumptions!$B$155-Assumptions!$B$18)+Assumptions!$B$152*MAX(0,Assumptions!$B$156-Assumptions!$B$18))*Assumptions!$B$19/Assumptions!$B$7*E7+E123*(Assumptions!$B$147*Assumptions!$B$20+Assumptions!$B$148*Assumptions!$B$21)/12/Assumptions!$B$7*E7,0)</f>
        <v/>
      </c>
      <c r="F136" s="55">
        <f>IF(F2&gt;=Assumptions!$B$53,F128*F17*Assumptions!$B$17+F123*(Assumptions!$B$149*MAX(0,Assumptions!$B$153-Assumptions!$B$18)+Assumptions!$B$150*MAX(0,Assumptions!$B$154-Assumptions!$B$18)+Assumptions!$B$151*MAX(0,Assumptions!$B$155-Assumptions!$B$18)+Assumptions!$B$152*MAX(0,Assumptions!$B$156-Assumptions!$B$18))*Assumptions!$B$19/Assumptions!$B$7*F7+F123*(Assumptions!$B$147*Assumptions!$B$20+Assumptions!$B$148*Assumptions!$B$21)/12/Assumptions!$B$7*F7,0)</f>
        <v/>
      </c>
      <c r="G136" s="55">
        <f>IF(G2&gt;=Assumptions!$B$53,G128*G17*Assumptions!$B$17+G123*(Assumptions!$B$149*MAX(0,Assumptions!$B$153-Assumptions!$B$18)+Assumptions!$B$150*MAX(0,Assumptions!$B$154-Assumptions!$B$18)+Assumptions!$B$151*MAX(0,Assumptions!$B$155-Assumptions!$B$18)+Assumptions!$B$152*MAX(0,Assumptions!$B$156-Assumptions!$B$18))*Assumptions!$B$19/Assumptions!$B$7*G7+G123*(Assumptions!$B$147*Assumptions!$B$20+Assumptions!$B$148*Assumptions!$B$21)/12/Assumptions!$B$7*G7,0)</f>
        <v/>
      </c>
      <c r="H136" s="55">
        <f>IF(H2&gt;=Assumptions!$B$53,H128*H17*Assumptions!$B$17+H123*(Assumptions!$B$149*MAX(0,Assumptions!$B$153-Assumptions!$B$18)+Assumptions!$B$150*MAX(0,Assumptions!$B$154-Assumptions!$B$18)+Assumptions!$B$151*MAX(0,Assumptions!$B$155-Assumptions!$B$18)+Assumptions!$B$152*MAX(0,Assumptions!$B$156-Assumptions!$B$18))*Assumptions!$B$19/Assumptions!$B$7*H7+H123*(Assumptions!$B$147*Assumptions!$B$20+Assumptions!$B$148*Assumptions!$B$21)/12/Assumptions!$B$7*H7,0)</f>
        <v/>
      </c>
      <c r="I136" s="55">
        <f>IF(I2&gt;=Assumptions!$B$53,I128*I17*Assumptions!$B$17+I123*(Assumptions!$B$149*MAX(0,Assumptions!$B$153-Assumptions!$B$18)+Assumptions!$B$150*MAX(0,Assumptions!$B$154-Assumptions!$B$18)+Assumptions!$B$151*MAX(0,Assumptions!$B$155-Assumptions!$B$18)+Assumptions!$B$152*MAX(0,Assumptions!$B$156-Assumptions!$B$18))*Assumptions!$B$19/Assumptions!$B$7*I7+I123*(Assumptions!$B$147*Assumptions!$B$20+Assumptions!$B$148*Assumptions!$B$21)/12/Assumptions!$B$7*I7,0)</f>
        <v/>
      </c>
      <c r="J136" s="55">
        <f>IF(J2&gt;=Assumptions!$B$53,J128*J17*Assumptions!$B$17+J123*(Assumptions!$B$149*MAX(0,Assumptions!$B$153-Assumptions!$B$18)+Assumptions!$B$150*MAX(0,Assumptions!$B$154-Assumptions!$B$18)+Assumptions!$B$151*MAX(0,Assumptions!$B$155-Assumptions!$B$18)+Assumptions!$B$152*MAX(0,Assumptions!$B$156-Assumptions!$B$18))*Assumptions!$B$19/Assumptions!$B$7*J7+J123*(Assumptions!$B$147*Assumptions!$B$20+Assumptions!$B$148*Assumptions!$B$21)/12/Assumptions!$B$7*J7,0)</f>
        <v/>
      </c>
      <c r="K136" s="55">
        <f>IF(K2&gt;=Assumptions!$B$53,K128*K17*Assumptions!$B$17+K123*(Assumptions!$B$149*MAX(0,Assumptions!$B$153-Assumptions!$B$18)+Assumptions!$B$150*MAX(0,Assumptions!$B$154-Assumptions!$B$18)+Assumptions!$B$151*MAX(0,Assumptions!$B$155-Assumptions!$B$18)+Assumptions!$B$152*MAX(0,Assumptions!$B$156-Assumptions!$B$18))*Assumptions!$B$19/Assumptions!$B$7*K7+K123*(Assumptions!$B$147*Assumptions!$B$20+Assumptions!$B$148*Assumptions!$B$21)/12/Assumptions!$B$7*K7,0)</f>
        <v/>
      </c>
      <c r="L136" s="55">
        <f>IF(L2&gt;=Assumptions!$B$53,L128*L17*Assumptions!$B$17+L123*(Assumptions!$B$149*MAX(0,Assumptions!$B$153-Assumptions!$B$18)+Assumptions!$B$150*MAX(0,Assumptions!$B$154-Assumptions!$B$18)+Assumptions!$B$151*MAX(0,Assumptions!$B$155-Assumptions!$B$18)+Assumptions!$B$152*MAX(0,Assumptions!$B$156-Assumptions!$B$18))*Assumptions!$B$19/Assumptions!$B$7*L7+L123*(Assumptions!$B$147*Assumptions!$B$20+Assumptions!$B$148*Assumptions!$B$21)/12/Assumptions!$B$7*L7,0)</f>
        <v/>
      </c>
      <c r="M136" s="55">
        <f>IF(M2&gt;=Assumptions!$B$53,M128*M17*Assumptions!$B$17+M123*(Assumptions!$B$149*MAX(0,Assumptions!$B$153-Assumptions!$B$18)+Assumptions!$B$150*MAX(0,Assumptions!$B$154-Assumptions!$B$18)+Assumptions!$B$151*MAX(0,Assumptions!$B$155-Assumptions!$B$18)+Assumptions!$B$152*MAX(0,Assumptions!$B$156-Assumptions!$B$18))*Assumptions!$B$19/Assumptions!$B$7*M7+M123*(Assumptions!$B$147*Assumptions!$B$20+Assumptions!$B$148*Assumptions!$B$21)/12/Assumptions!$B$7*M7,0)</f>
        <v/>
      </c>
      <c r="N136" s="55">
        <f>IF(N2&gt;=Assumptions!$B$53,N128*N17*Assumptions!$B$17+N123*(Assumptions!$B$149*MAX(0,Assumptions!$B$153-Assumptions!$B$18)+Assumptions!$B$150*MAX(0,Assumptions!$B$154-Assumptions!$B$18)+Assumptions!$B$151*MAX(0,Assumptions!$B$155-Assumptions!$B$18)+Assumptions!$B$152*MAX(0,Assumptions!$B$156-Assumptions!$B$18))*Assumptions!$B$19/Assumptions!$B$7*N7+N123*(Assumptions!$B$147*Assumptions!$B$20+Assumptions!$B$148*Assumptions!$B$21)/12/Assumptions!$B$7*N7,0)</f>
        <v/>
      </c>
      <c r="O136" s="55">
        <f>IF(O2&gt;=Assumptions!$B$53,O128*O17*Assumptions!$B$17+O123*(Assumptions!$B$149*MAX(0,Assumptions!$B$153-Assumptions!$B$18)+Assumptions!$B$150*MAX(0,Assumptions!$B$154-Assumptions!$B$18)+Assumptions!$B$151*MAX(0,Assumptions!$B$155-Assumptions!$B$18)+Assumptions!$B$152*MAX(0,Assumptions!$B$156-Assumptions!$B$18))*Assumptions!$B$19/Assumptions!$B$7*O7+O123*(Assumptions!$B$147*Assumptions!$B$20+Assumptions!$B$148*Assumptions!$B$21)/12/Assumptions!$B$7*O7,0)</f>
        <v/>
      </c>
      <c r="P136" s="55">
        <f>IF(P2&gt;=Assumptions!$B$53,P128*P17*Assumptions!$B$17+P123*(Assumptions!$B$149*MAX(0,Assumptions!$B$153-Assumptions!$B$18)+Assumptions!$B$150*MAX(0,Assumptions!$B$154-Assumptions!$B$18)+Assumptions!$B$151*MAX(0,Assumptions!$B$155-Assumptions!$B$18)+Assumptions!$B$152*MAX(0,Assumptions!$B$156-Assumptions!$B$18))*Assumptions!$B$19/Assumptions!$B$7*P7+P123*(Assumptions!$B$147*Assumptions!$B$20+Assumptions!$B$148*Assumptions!$B$21)/12/Assumptions!$B$7*P7,0)</f>
        <v/>
      </c>
      <c r="Q136" s="55">
        <f>IF(Q2&gt;=Assumptions!$B$53,Q128*Q17*Assumptions!$B$17+Q123*(Assumptions!$B$149*MAX(0,Assumptions!$B$153-Assumptions!$B$18)+Assumptions!$B$150*MAX(0,Assumptions!$B$154-Assumptions!$B$18)+Assumptions!$B$151*MAX(0,Assumptions!$B$155-Assumptions!$B$18)+Assumptions!$B$152*MAX(0,Assumptions!$B$156-Assumptions!$B$18))*Assumptions!$B$19/Assumptions!$B$7*Q7+Q123*(Assumptions!$B$147*Assumptions!$B$20+Assumptions!$B$148*Assumptions!$B$21)/12/Assumptions!$B$7*Q7,0)</f>
        <v/>
      </c>
      <c r="R136" s="55">
        <f>IF(R2&gt;=Assumptions!$B$53,R128*R17*Assumptions!$B$17+R123*(Assumptions!$B$149*MAX(0,Assumptions!$B$153-Assumptions!$B$18)+Assumptions!$B$150*MAX(0,Assumptions!$B$154-Assumptions!$B$18)+Assumptions!$B$151*MAX(0,Assumptions!$B$155-Assumptions!$B$18)+Assumptions!$B$152*MAX(0,Assumptions!$B$156-Assumptions!$B$18))*Assumptions!$B$19/Assumptions!$B$7*R7+R123*(Assumptions!$B$147*Assumptions!$B$20+Assumptions!$B$148*Assumptions!$B$21)/12/Assumptions!$B$7*R7,0)</f>
        <v/>
      </c>
      <c r="S136" s="55">
        <f>IF(S2&gt;=Assumptions!$B$53,S128*S17*Assumptions!$B$17+S123*(Assumptions!$B$149*MAX(0,Assumptions!$B$153-Assumptions!$B$18)+Assumptions!$B$150*MAX(0,Assumptions!$B$154-Assumptions!$B$18)+Assumptions!$B$151*MAX(0,Assumptions!$B$155-Assumptions!$B$18)+Assumptions!$B$152*MAX(0,Assumptions!$B$156-Assumptions!$B$18))*Assumptions!$B$19/Assumptions!$B$7*S7+S123*(Assumptions!$B$147*Assumptions!$B$20+Assumptions!$B$148*Assumptions!$B$21)/12/Assumptions!$B$7*S7,0)</f>
        <v/>
      </c>
      <c r="T136" s="55">
        <f>IF(T2&gt;=Assumptions!$B$53,T128*T17*Assumptions!$B$17+T123*(Assumptions!$B$149*MAX(0,Assumptions!$B$153-Assumptions!$B$18)+Assumptions!$B$150*MAX(0,Assumptions!$B$154-Assumptions!$B$18)+Assumptions!$B$151*MAX(0,Assumptions!$B$155-Assumptions!$B$18)+Assumptions!$B$152*MAX(0,Assumptions!$B$156-Assumptions!$B$18))*Assumptions!$B$19/Assumptions!$B$7*T7+T123*(Assumptions!$B$147*Assumptions!$B$20+Assumptions!$B$148*Assumptions!$B$21)/12/Assumptions!$B$7*T7,0)</f>
        <v/>
      </c>
      <c r="U136" s="55">
        <f>IF(U2&gt;=Assumptions!$B$53,U128*U17*Assumptions!$B$17+U123*(Assumptions!$B$149*MAX(0,Assumptions!$B$153-Assumptions!$B$18)+Assumptions!$B$150*MAX(0,Assumptions!$B$154-Assumptions!$B$18)+Assumptions!$B$151*MAX(0,Assumptions!$B$155-Assumptions!$B$18)+Assumptions!$B$152*MAX(0,Assumptions!$B$156-Assumptions!$B$18))*Assumptions!$B$19/Assumptions!$B$7*U7+U123*(Assumptions!$B$147*Assumptions!$B$20+Assumptions!$B$148*Assumptions!$B$21)/12/Assumptions!$B$7*U7,0)</f>
        <v/>
      </c>
      <c r="V136" s="55">
        <f>IF(V2&gt;=Assumptions!$B$53,V128*V17*Assumptions!$B$17+V123*(Assumptions!$B$149*MAX(0,Assumptions!$B$153-Assumptions!$B$18)+Assumptions!$B$150*MAX(0,Assumptions!$B$154-Assumptions!$B$18)+Assumptions!$B$151*MAX(0,Assumptions!$B$155-Assumptions!$B$18)+Assumptions!$B$152*MAX(0,Assumptions!$B$156-Assumptions!$B$18))*Assumptions!$B$19/Assumptions!$B$7*V7+V123*(Assumptions!$B$147*Assumptions!$B$20+Assumptions!$B$148*Assumptions!$B$21)/12/Assumptions!$B$7*V7,0)</f>
        <v/>
      </c>
      <c r="W136" s="55">
        <f>IF(W2&gt;=Assumptions!$B$53,W128*W17*Assumptions!$B$17+W123*(Assumptions!$B$149*MAX(0,Assumptions!$B$153-Assumptions!$B$18)+Assumptions!$B$150*MAX(0,Assumptions!$B$154-Assumptions!$B$18)+Assumptions!$B$151*MAX(0,Assumptions!$B$155-Assumptions!$B$18)+Assumptions!$B$152*MAX(0,Assumptions!$B$156-Assumptions!$B$18))*Assumptions!$B$19/Assumptions!$B$7*W7+W123*(Assumptions!$B$147*Assumptions!$B$20+Assumptions!$B$148*Assumptions!$B$21)/12/Assumptions!$B$7*W7,0)</f>
        <v/>
      </c>
      <c r="X136" s="55">
        <f>IF(X2&gt;=Assumptions!$B$53,X128*X17*Assumptions!$B$17+X123*(Assumptions!$B$149*MAX(0,Assumptions!$B$153-Assumptions!$B$18)+Assumptions!$B$150*MAX(0,Assumptions!$B$154-Assumptions!$B$18)+Assumptions!$B$151*MAX(0,Assumptions!$B$155-Assumptions!$B$18)+Assumptions!$B$152*MAX(0,Assumptions!$B$156-Assumptions!$B$18))*Assumptions!$B$19/Assumptions!$B$7*X7+X123*(Assumptions!$B$147*Assumptions!$B$20+Assumptions!$B$148*Assumptions!$B$21)/12/Assumptions!$B$7*X7,0)</f>
        <v/>
      </c>
      <c r="Y136" s="55">
        <f>IF(Y2&gt;=Assumptions!$B$53,Y128*Y17*Assumptions!$B$17+Y123*(Assumptions!$B$149*MAX(0,Assumptions!$B$153-Assumptions!$B$18)+Assumptions!$B$150*MAX(0,Assumptions!$B$154-Assumptions!$B$18)+Assumptions!$B$151*MAX(0,Assumptions!$B$155-Assumptions!$B$18)+Assumptions!$B$152*MAX(0,Assumptions!$B$156-Assumptions!$B$18))*Assumptions!$B$19/Assumptions!$B$7*Y7+Y123*(Assumptions!$B$147*Assumptions!$B$20+Assumptions!$B$148*Assumptions!$B$21)/12/Assumptions!$B$7*Y7,0)</f>
        <v/>
      </c>
      <c r="Z136" s="55">
        <f>IF(Z2&gt;=Assumptions!$B$53,Z128*Z17*Assumptions!$B$17+Z123*(Assumptions!$B$149*MAX(0,Assumptions!$B$153-Assumptions!$B$18)+Assumptions!$B$150*MAX(0,Assumptions!$B$154-Assumptions!$B$18)+Assumptions!$B$151*MAX(0,Assumptions!$B$155-Assumptions!$B$18)+Assumptions!$B$152*MAX(0,Assumptions!$B$156-Assumptions!$B$18))*Assumptions!$B$19/Assumptions!$B$7*Z7+Z123*(Assumptions!$B$147*Assumptions!$B$20+Assumptions!$B$148*Assumptions!$B$21)/12/Assumptions!$B$7*Z7,0)</f>
        <v/>
      </c>
      <c r="AA136" s="55">
        <f>IF(AA2&gt;=Assumptions!$B$53,AA128*AA17*Assumptions!$B$17+AA123*(Assumptions!$B$149*MAX(0,Assumptions!$B$153-Assumptions!$B$18)+Assumptions!$B$150*MAX(0,Assumptions!$B$154-Assumptions!$B$18)+Assumptions!$B$151*MAX(0,Assumptions!$B$155-Assumptions!$B$18)+Assumptions!$B$152*MAX(0,Assumptions!$B$156-Assumptions!$B$18))*Assumptions!$B$19/Assumptions!$B$7*AA7+AA123*(Assumptions!$B$147*Assumptions!$B$20+Assumptions!$B$148*Assumptions!$B$21)/12/Assumptions!$B$7*AA7,0)</f>
        <v/>
      </c>
      <c r="AB136" s="55">
        <f>IF(AB2&gt;=Assumptions!$B$53,AB128*AB17*Assumptions!$B$17+AB123*(Assumptions!$B$149*MAX(0,Assumptions!$B$153-Assumptions!$B$18)+Assumptions!$B$150*MAX(0,Assumptions!$B$154-Assumptions!$B$18)+Assumptions!$B$151*MAX(0,Assumptions!$B$155-Assumptions!$B$18)+Assumptions!$B$152*MAX(0,Assumptions!$B$156-Assumptions!$B$18))*Assumptions!$B$19/Assumptions!$B$7*AB7+AB123*(Assumptions!$B$147*Assumptions!$B$20+Assumptions!$B$148*Assumptions!$B$21)/12/Assumptions!$B$7*AB7,0)</f>
        <v/>
      </c>
      <c r="AC136" s="55">
        <f>IF(AC2&gt;=Assumptions!$B$53,AC128*AC17*Assumptions!$B$17+AC123*(Assumptions!$B$149*MAX(0,Assumptions!$B$153-Assumptions!$B$18)+Assumptions!$B$150*MAX(0,Assumptions!$B$154-Assumptions!$B$18)+Assumptions!$B$151*MAX(0,Assumptions!$B$155-Assumptions!$B$18)+Assumptions!$B$152*MAX(0,Assumptions!$B$156-Assumptions!$B$18))*Assumptions!$B$19/Assumptions!$B$7*AC7+AC123*(Assumptions!$B$147*Assumptions!$B$20+Assumptions!$B$148*Assumptions!$B$21)/12/Assumptions!$B$7*AC7,0)</f>
        <v/>
      </c>
      <c r="AD136" s="55">
        <f>IF(AD2&gt;=Assumptions!$B$53,AD128*AD17*Assumptions!$B$17+AD123*(Assumptions!$B$149*MAX(0,Assumptions!$B$153-Assumptions!$B$18)+Assumptions!$B$150*MAX(0,Assumptions!$B$154-Assumptions!$B$18)+Assumptions!$B$151*MAX(0,Assumptions!$B$155-Assumptions!$B$18)+Assumptions!$B$152*MAX(0,Assumptions!$B$156-Assumptions!$B$18))*Assumptions!$B$19/Assumptions!$B$7*AD7+AD123*(Assumptions!$B$147*Assumptions!$B$20+Assumptions!$B$148*Assumptions!$B$21)/12/Assumptions!$B$7*AD7,0)</f>
        <v/>
      </c>
      <c r="AE136" s="55">
        <f>IF(AE2&gt;=Assumptions!$B$53,AE128*AE17*Assumptions!$B$17+AE123*(Assumptions!$B$149*MAX(0,Assumptions!$B$153-Assumptions!$B$18)+Assumptions!$B$150*MAX(0,Assumptions!$B$154-Assumptions!$B$18)+Assumptions!$B$151*MAX(0,Assumptions!$B$155-Assumptions!$B$18)+Assumptions!$B$152*MAX(0,Assumptions!$B$156-Assumptions!$B$18))*Assumptions!$B$19/Assumptions!$B$7*AE7+AE123*(Assumptions!$B$147*Assumptions!$B$20+Assumptions!$B$148*Assumptions!$B$21)/12/Assumptions!$B$7*AE7,0)</f>
        <v/>
      </c>
    </row>
    <row r="137">
      <c r="A137" s="6" t="inlineStr">
        <is>
          <t xml:space="preserve">  Average drawn balance outstanding</t>
        </is>
      </c>
      <c r="B137" s="23" t="inlineStr">
        <is>
          <t>USD</t>
        </is>
      </c>
      <c r="C137" s="55">
        <f>IF(C2&gt;=Assumptions!$B$54,C123*C124*(1-Assumptions!$B$178)*Assumptions!$B$157*Assumptions!$B$158,0)</f>
        <v/>
      </c>
      <c r="D137" s="55">
        <f>IF(D2&gt;=Assumptions!$B$54,D123*D124*(1-Assumptions!$B$178)*Assumptions!$B$157*Assumptions!$B$158,0)</f>
        <v/>
      </c>
      <c r="E137" s="55">
        <f>IF(E2&gt;=Assumptions!$B$54,E123*E124*(1-Assumptions!$B$178)*Assumptions!$B$157*Assumptions!$B$158,0)</f>
        <v/>
      </c>
      <c r="F137" s="55">
        <f>IF(F2&gt;=Assumptions!$B$54,F123*F124*(1-Assumptions!$B$178)*Assumptions!$B$157*Assumptions!$B$158,0)</f>
        <v/>
      </c>
      <c r="G137" s="55">
        <f>IF(G2&gt;=Assumptions!$B$54,G123*G124*(1-Assumptions!$B$178)*Assumptions!$B$157*Assumptions!$B$158,0)</f>
        <v/>
      </c>
      <c r="H137" s="55">
        <f>IF(H2&gt;=Assumptions!$B$54,H123*H124*(1-Assumptions!$B$178)*Assumptions!$B$157*Assumptions!$B$158,0)</f>
        <v/>
      </c>
      <c r="I137" s="55">
        <f>IF(I2&gt;=Assumptions!$B$54,I123*I124*(1-Assumptions!$B$178)*Assumptions!$B$157*Assumptions!$B$158,0)</f>
        <v/>
      </c>
      <c r="J137" s="55">
        <f>IF(J2&gt;=Assumptions!$B$54,J123*J124*(1-Assumptions!$B$178)*Assumptions!$B$157*Assumptions!$B$158,0)</f>
        <v/>
      </c>
      <c r="K137" s="55">
        <f>IF(K2&gt;=Assumptions!$B$54,K123*K124*(1-Assumptions!$B$178)*Assumptions!$B$157*Assumptions!$B$158,0)</f>
        <v/>
      </c>
      <c r="L137" s="55">
        <f>IF(L2&gt;=Assumptions!$B$54,L123*L124*(1-Assumptions!$B$178)*Assumptions!$B$157*Assumptions!$B$158,0)</f>
        <v/>
      </c>
      <c r="M137" s="55">
        <f>IF(M2&gt;=Assumptions!$B$54,M123*M124*(1-Assumptions!$B$178)*Assumptions!$B$157*Assumptions!$B$158,0)</f>
        <v/>
      </c>
      <c r="N137" s="55">
        <f>IF(N2&gt;=Assumptions!$B$54,N123*N124*(1-Assumptions!$B$178)*Assumptions!$B$157*Assumptions!$B$158,0)</f>
        <v/>
      </c>
      <c r="O137" s="55">
        <f>IF(O2&gt;=Assumptions!$B$54,O123*O124*(1-Assumptions!$B$178)*Assumptions!$B$157*Assumptions!$B$158,0)</f>
        <v/>
      </c>
      <c r="P137" s="55">
        <f>IF(P2&gt;=Assumptions!$B$54,P123*P124*(1-Assumptions!$B$178)*Assumptions!$B$157*Assumptions!$B$158,0)</f>
        <v/>
      </c>
      <c r="Q137" s="55">
        <f>IF(Q2&gt;=Assumptions!$B$54,Q123*Q124*(1-Assumptions!$B$178)*Assumptions!$B$157*Assumptions!$B$158,0)</f>
        <v/>
      </c>
      <c r="R137" s="55">
        <f>IF(R2&gt;=Assumptions!$B$54,R123*R124*(1-Assumptions!$B$178)*Assumptions!$B$157*Assumptions!$B$158,0)</f>
        <v/>
      </c>
      <c r="S137" s="55">
        <f>IF(S2&gt;=Assumptions!$B$54,S123*S124*(1-Assumptions!$B$178)*Assumptions!$B$157*Assumptions!$B$158,0)</f>
        <v/>
      </c>
      <c r="T137" s="55">
        <f>IF(T2&gt;=Assumptions!$B$54,T123*T124*(1-Assumptions!$B$178)*Assumptions!$B$157*Assumptions!$B$158,0)</f>
        <v/>
      </c>
      <c r="U137" s="55">
        <f>IF(U2&gt;=Assumptions!$B$54,U123*U124*(1-Assumptions!$B$178)*Assumptions!$B$157*Assumptions!$B$158,0)</f>
        <v/>
      </c>
      <c r="V137" s="55">
        <f>IF(V2&gt;=Assumptions!$B$54,V123*V124*(1-Assumptions!$B$178)*Assumptions!$B$157*Assumptions!$B$158,0)</f>
        <v/>
      </c>
      <c r="W137" s="55">
        <f>IF(W2&gt;=Assumptions!$B$54,W123*W124*(1-Assumptions!$B$178)*Assumptions!$B$157*Assumptions!$B$158,0)</f>
        <v/>
      </c>
      <c r="X137" s="55">
        <f>IF(X2&gt;=Assumptions!$B$54,X123*X124*(1-Assumptions!$B$178)*Assumptions!$B$157*Assumptions!$B$158,0)</f>
        <v/>
      </c>
      <c r="Y137" s="55">
        <f>IF(Y2&gt;=Assumptions!$B$54,Y123*Y124*(1-Assumptions!$B$178)*Assumptions!$B$157*Assumptions!$B$158,0)</f>
        <v/>
      </c>
      <c r="Z137" s="55">
        <f>IF(Z2&gt;=Assumptions!$B$54,Z123*Z124*(1-Assumptions!$B$178)*Assumptions!$B$157*Assumptions!$B$158,0)</f>
        <v/>
      </c>
      <c r="AA137" s="55">
        <f>IF(AA2&gt;=Assumptions!$B$54,AA123*AA124*(1-Assumptions!$B$178)*Assumptions!$B$157*Assumptions!$B$158,0)</f>
        <v/>
      </c>
      <c r="AB137" s="55">
        <f>IF(AB2&gt;=Assumptions!$B$54,AB123*AB124*(1-Assumptions!$B$178)*Assumptions!$B$157*Assumptions!$B$158,0)</f>
        <v/>
      </c>
      <c r="AC137" s="55">
        <f>IF(AC2&gt;=Assumptions!$B$54,AC123*AC124*(1-Assumptions!$B$178)*Assumptions!$B$157*Assumptions!$B$158,0)</f>
        <v/>
      </c>
      <c r="AD137" s="55">
        <f>IF(AD2&gt;=Assumptions!$B$54,AD123*AD124*(1-Assumptions!$B$178)*Assumptions!$B$157*Assumptions!$B$158,0)</f>
        <v/>
      </c>
      <c r="AE137" s="55">
        <f>IF(AE2&gt;=Assumptions!$B$54,AE123*AE124*(1-Assumptions!$B$178)*Assumptions!$B$157*Assumptions!$B$158,0)</f>
        <v/>
      </c>
    </row>
    <row r="138">
      <c r="A138" s="6" t="inlineStr">
        <is>
          <t xml:space="preserve">  Stream 5 - Lending revenue share</t>
        </is>
      </c>
      <c r="B138" s="23" t="inlineStr">
        <is>
          <t>USD</t>
        </is>
      </c>
      <c r="C138" s="55">
        <f>IF(C2&gt;=Assumptions!$B$54,(C137*Assumptions!$B$30*Assumptions!$B$31+C123*C125*(1-Assumptions!$B$178)*Assumptions!$B$28*Assumptions!$B$29)*C7/12,0)</f>
        <v/>
      </c>
      <c r="D138" s="55">
        <f>IF(D2&gt;=Assumptions!$B$54,(D137*Assumptions!$B$30*Assumptions!$B$31+D123*D125*(1-Assumptions!$B$178)*Assumptions!$B$28*Assumptions!$B$29)*D7/12,0)</f>
        <v/>
      </c>
      <c r="E138" s="55">
        <f>IF(E2&gt;=Assumptions!$B$54,(E137*Assumptions!$B$30*Assumptions!$B$31+E123*E125*(1-Assumptions!$B$178)*Assumptions!$B$28*Assumptions!$B$29)*E7/12,0)</f>
        <v/>
      </c>
      <c r="F138" s="55">
        <f>IF(F2&gt;=Assumptions!$B$54,(F137*Assumptions!$B$30*Assumptions!$B$31+F123*F125*(1-Assumptions!$B$178)*Assumptions!$B$28*Assumptions!$B$29)*F7/12,0)</f>
        <v/>
      </c>
      <c r="G138" s="55">
        <f>IF(G2&gt;=Assumptions!$B$54,(G137*Assumptions!$B$30*Assumptions!$B$31+G123*G125*(1-Assumptions!$B$178)*Assumptions!$B$28*Assumptions!$B$29)*G7/12,0)</f>
        <v/>
      </c>
      <c r="H138" s="55">
        <f>IF(H2&gt;=Assumptions!$B$54,(H137*Assumptions!$B$30*Assumptions!$B$31+H123*H125*(1-Assumptions!$B$178)*Assumptions!$B$28*Assumptions!$B$29)*H7/12,0)</f>
        <v/>
      </c>
      <c r="I138" s="55">
        <f>IF(I2&gt;=Assumptions!$B$54,(I137*Assumptions!$B$30*Assumptions!$B$31+I123*I125*(1-Assumptions!$B$178)*Assumptions!$B$28*Assumptions!$B$29)*I7/12,0)</f>
        <v/>
      </c>
      <c r="J138" s="55">
        <f>IF(J2&gt;=Assumptions!$B$54,(J137*Assumptions!$B$30*Assumptions!$B$31+J123*J125*(1-Assumptions!$B$178)*Assumptions!$B$28*Assumptions!$B$29)*J7/12,0)</f>
        <v/>
      </c>
      <c r="K138" s="55">
        <f>IF(K2&gt;=Assumptions!$B$54,(K137*Assumptions!$B$30*Assumptions!$B$31+K123*K125*(1-Assumptions!$B$178)*Assumptions!$B$28*Assumptions!$B$29)*K7/12,0)</f>
        <v/>
      </c>
      <c r="L138" s="55">
        <f>IF(L2&gt;=Assumptions!$B$54,(L137*Assumptions!$B$30*Assumptions!$B$31+L123*L125*(1-Assumptions!$B$178)*Assumptions!$B$28*Assumptions!$B$29)*L7/12,0)</f>
        <v/>
      </c>
      <c r="M138" s="55">
        <f>IF(M2&gt;=Assumptions!$B$54,(M137*Assumptions!$B$30*Assumptions!$B$31+M123*M125*(1-Assumptions!$B$178)*Assumptions!$B$28*Assumptions!$B$29)*M7/12,0)</f>
        <v/>
      </c>
      <c r="N138" s="55">
        <f>IF(N2&gt;=Assumptions!$B$54,(N137*Assumptions!$B$30*Assumptions!$B$31+N123*N125*(1-Assumptions!$B$178)*Assumptions!$B$28*Assumptions!$B$29)*N7/12,0)</f>
        <v/>
      </c>
      <c r="O138" s="55">
        <f>IF(O2&gt;=Assumptions!$B$54,(O137*Assumptions!$B$30*Assumptions!$B$31+O123*O125*(1-Assumptions!$B$178)*Assumptions!$B$28*Assumptions!$B$29)*O7/12,0)</f>
        <v/>
      </c>
      <c r="P138" s="55">
        <f>IF(P2&gt;=Assumptions!$B$54,(P137*Assumptions!$B$30*Assumptions!$B$31+P123*P125*(1-Assumptions!$B$178)*Assumptions!$B$28*Assumptions!$B$29)*P7/12,0)</f>
        <v/>
      </c>
      <c r="Q138" s="55">
        <f>IF(Q2&gt;=Assumptions!$B$54,(Q137*Assumptions!$B$30*Assumptions!$B$31+Q123*Q125*(1-Assumptions!$B$178)*Assumptions!$B$28*Assumptions!$B$29)*Q7/12,0)</f>
        <v/>
      </c>
      <c r="R138" s="55">
        <f>IF(R2&gt;=Assumptions!$B$54,(R137*Assumptions!$B$30*Assumptions!$B$31+R123*R125*(1-Assumptions!$B$178)*Assumptions!$B$28*Assumptions!$B$29)*R7/12,0)</f>
        <v/>
      </c>
      <c r="S138" s="55">
        <f>IF(S2&gt;=Assumptions!$B$54,(S137*Assumptions!$B$30*Assumptions!$B$31+S123*S125*(1-Assumptions!$B$178)*Assumptions!$B$28*Assumptions!$B$29)*S7/12,0)</f>
        <v/>
      </c>
      <c r="T138" s="55">
        <f>IF(T2&gt;=Assumptions!$B$54,(T137*Assumptions!$B$30*Assumptions!$B$31+T123*T125*(1-Assumptions!$B$178)*Assumptions!$B$28*Assumptions!$B$29)*T7/12,0)</f>
        <v/>
      </c>
      <c r="U138" s="55">
        <f>IF(U2&gt;=Assumptions!$B$54,(U137*Assumptions!$B$30*Assumptions!$B$31+U123*U125*(1-Assumptions!$B$178)*Assumptions!$B$28*Assumptions!$B$29)*U7/12,0)</f>
        <v/>
      </c>
      <c r="V138" s="55">
        <f>IF(V2&gt;=Assumptions!$B$54,(V137*Assumptions!$B$30*Assumptions!$B$31+V123*V125*(1-Assumptions!$B$178)*Assumptions!$B$28*Assumptions!$B$29)*V7/12,0)</f>
        <v/>
      </c>
      <c r="W138" s="55">
        <f>IF(W2&gt;=Assumptions!$B$54,(W137*Assumptions!$B$30*Assumptions!$B$31+W123*W125*(1-Assumptions!$B$178)*Assumptions!$B$28*Assumptions!$B$29)*W7/12,0)</f>
        <v/>
      </c>
      <c r="X138" s="55">
        <f>IF(X2&gt;=Assumptions!$B$54,(X137*Assumptions!$B$30*Assumptions!$B$31+X123*X125*(1-Assumptions!$B$178)*Assumptions!$B$28*Assumptions!$B$29)*X7/12,0)</f>
        <v/>
      </c>
      <c r="Y138" s="55">
        <f>IF(Y2&gt;=Assumptions!$B$54,(Y137*Assumptions!$B$30*Assumptions!$B$31+Y123*Y125*(1-Assumptions!$B$178)*Assumptions!$B$28*Assumptions!$B$29)*Y7/12,0)</f>
        <v/>
      </c>
      <c r="Z138" s="55">
        <f>IF(Z2&gt;=Assumptions!$B$54,(Z137*Assumptions!$B$30*Assumptions!$B$31+Z123*Z125*(1-Assumptions!$B$178)*Assumptions!$B$28*Assumptions!$B$29)*Z7/12,0)</f>
        <v/>
      </c>
      <c r="AA138" s="55">
        <f>IF(AA2&gt;=Assumptions!$B$54,(AA137*Assumptions!$B$30*Assumptions!$B$31+AA123*AA125*(1-Assumptions!$B$178)*Assumptions!$B$28*Assumptions!$B$29)*AA7/12,0)</f>
        <v/>
      </c>
      <c r="AB138" s="55">
        <f>IF(AB2&gt;=Assumptions!$B$54,(AB137*Assumptions!$B$30*Assumptions!$B$31+AB123*AB125*(1-Assumptions!$B$178)*Assumptions!$B$28*Assumptions!$B$29)*AB7/12,0)</f>
        <v/>
      </c>
      <c r="AC138" s="55">
        <f>IF(AC2&gt;=Assumptions!$B$54,(AC137*Assumptions!$B$30*Assumptions!$B$31+AC123*AC125*(1-Assumptions!$B$178)*Assumptions!$B$28*Assumptions!$B$29)*AC7/12,0)</f>
        <v/>
      </c>
      <c r="AD138" s="55">
        <f>IF(AD2&gt;=Assumptions!$B$54,(AD137*Assumptions!$B$30*Assumptions!$B$31+AD123*AD125*(1-Assumptions!$B$178)*Assumptions!$B$28*Assumptions!$B$29)*AD7/12,0)</f>
        <v/>
      </c>
      <c r="AE138" s="55">
        <f>IF(AE2&gt;=Assumptions!$B$54,(AE137*Assumptions!$B$30*Assumptions!$B$31+AE123*AE125*(1-Assumptions!$B$178)*Assumptions!$B$28*Assumptions!$B$29)*AE7/12,0)</f>
        <v/>
      </c>
    </row>
    <row r="139">
      <c r="A139" s="6" t="inlineStr">
        <is>
          <t xml:space="preserve">  Redemption events (memo - drives cost, not revenue)</t>
        </is>
      </c>
      <c r="B139" s="23" t="inlineStr">
        <is>
          <t>events</t>
        </is>
      </c>
      <c r="C139" s="45">
        <f>IF(C2&gt;=Assumptions!$B$50,(C109+C111*Assumptions!$B$139)*Assumptions!$B$138*C7/12,0)</f>
        <v/>
      </c>
      <c r="D139" s="45">
        <f>IF(D2&gt;=Assumptions!$B$50,(D109+D111*Assumptions!$B$139)*Assumptions!$B$138*D7/12,0)</f>
        <v/>
      </c>
      <c r="E139" s="45">
        <f>IF(E2&gt;=Assumptions!$B$50,(E109+E111*Assumptions!$B$139)*Assumptions!$B$138*E7/12,0)</f>
        <v/>
      </c>
      <c r="F139" s="45">
        <f>IF(F2&gt;=Assumptions!$B$50,(F109+F111*Assumptions!$B$139)*Assumptions!$B$138*F7/12,0)</f>
        <v/>
      </c>
      <c r="G139" s="45">
        <f>IF(G2&gt;=Assumptions!$B$50,(G109+G111*Assumptions!$B$139)*Assumptions!$B$138*G7/12,0)</f>
        <v/>
      </c>
      <c r="H139" s="45">
        <f>IF(H2&gt;=Assumptions!$B$50,(H109+H111*Assumptions!$B$139)*Assumptions!$B$138*H7/12,0)</f>
        <v/>
      </c>
      <c r="I139" s="45">
        <f>IF(I2&gt;=Assumptions!$B$50,(I109+I111*Assumptions!$B$139)*Assumptions!$B$138*I7/12,0)</f>
        <v/>
      </c>
      <c r="J139" s="45">
        <f>IF(J2&gt;=Assumptions!$B$50,(J109+J111*Assumptions!$B$139)*Assumptions!$B$138*J7/12,0)</f>
        <v/>
      </c>
      <c r="K139" s="45">
        <f>IF(K2&gt;=Assumptions!$B$50,(K109+K111*Assumptions!$B$139)*Assumptions!$B$138*K7/12,0)</f>
        <v/>
      </c>
      <c r="L139" s="45">
        <f>IF(L2&gt;=Assumptions!$B$50,(L109+L111*Assumptions!$B$139)*Assumptions!$B$138*L7/12,0)</f>
        <v/>
      </c>
      <c r="M139" s="45">
        <f>IF(M2&gt;=Assumptions!$B$50,(M109+M111*Assumptions!$B$139)*Assumptions!$B$138*M7/12,0)</f>
        <v/>
      </c>
      <c r="N139" s="45">
        <f>IF(N2&gt;=Assumptions!$B$50,(N109+N111*Assumptions!$B$139)*Assumptions!$B$138*N7/12,0)</f>
        <v/>
      </c>
      <c r="O139" s="45">
        <f>IF(O2&gt;=Assumptions!$B$50,(O109+O111*Assumptions!$B$139)*Assumptions!$B$138*O7/12,0)</f>
        <v/>
      </c>
      <c r="P139" s="45">
        <f>IF(P2&gt;=Assumptions!$B$50,(P109+P111*Assumptions!$B$139)*Assumptions!$B$138*P7/12,0)</f>
        <v/>
      </c>
      <c r="Q139" s="45">
        <f>IF(Q2&gt;=Assumptions!$B$50,(Q109+Q111*Assumptions!$B$139)*Assumptions!$B$138*Q7/12,0)</f>
        <v/>
      </c>
      <c r="R139" s="45">
        <f>IF(R2&gt;=Assumptions!$B$50,(R109+R111*Assumptions!$B$139)*Assumptions!$B$138*R7/12,0)</f>
        <v/>
      </c>
      <c r="S139" s="45">
        <f>IF(S2&gt;=Assumptions!$B$50,(S109+S111*Assumptions!$B$139)*Assumptions!$B$138*S7/12,0)</f>
        <v/>
      </c>
      <c r="T139" s="45">
        <f>IF(T2&gt;=Assumptions!$B$50,(T109+T111*Assumptions!$B$139)*Assumptions!$B$138*T7/12,0)</f>
        <v/>
      </c>
      <c r="U139" s="45">
        <f>IF(U2&gt;=Assumptions!$B$50,(U109+U111*Assumptions!$B$139)*Assumptions!$B$138*U7/12,0)</f>
        <v/>
      </c>
      <c r="V139" s="45">
        <f>IF(V2&gt;=Assumptions!$B$50,(V109+V111*Assumptions!$B$139)*Assumptions!$B$138*V7/12,0)</f>
        <v/>
      </c>
      <c r="W139" s="45">
        <f>IF(W2&gt;=Assumptions!$B$50,(W109+W111*Assumptions!$B$139)*Assumptions!$B$138*W7/12,0)</f>
        <v/>
      </c>
      <c r="X139" s="45">
        <f>IF(X2&gt;=Assumptions!$B$50,(X109+X111*Assumptions!$B$139)*Assumptions!$B$138*X7/12,0)</f>
        <v/>
      </c>
      <c r="Y139" s="45">
        <f>IF(Y2&gt;=Assumptions!$B$50,(Y109+Y111*Assumptions!$B$139)*Assumptions!$B$138*Y7/12,0)</f>
        <v/>
      </c>
      <c r="Z139" s="45">
        <f>IF(Z2&gt;=Assumptions!$B$50,(Z109+Z111*Assumptions!$B$139)*Assumptions!$B$138*Z7/12,0)</f>
        <v/>
      </c>
      <c r="AA139" s="45">
        <f>IF(AA2&gt;=Assumptions!$B$50,(AA109+AA111*Assumptions!$B$139)*Assumptions!$B$138*AA7/12,0)</f>
        <v/>
      </c>
      <c r="AB139" s="45">
        <f>IF(AB2&gt;=Assumptions!$B$50,(AB109+AB111*Assumptions!$B$139)*Assumptions!$B$138*AB7/12,0)</f>
        <v/>
      </c>
      <c r="AC139" s="45">
        <f>IF(AC2&gt;=Assumptions!$B$50,(AC109+AC111*Assumptions!$B$139)*Assumptions!$B$138*AC7/12,0)</f>
        <v/>
      </c>
      <c r="AD139" s="45">
        <f>IF(AD2&gt;=Assumptions!$B$50,(AD109+AD111*Assumptions!$B$139)*Assumptions!$B$138*AD7/12,0)</f>
        <v/>
      </c>
      <c r="AE139" s="45">
        <f>IF(AE2&gt;=Assumptions!$B$50,(AE109+AE111*Assumptions!$B$139)*Assumptions!$B$138*AE7/12,0)</f>
        <v/>
      </c>
    </row>
    <row r="140">
      <c r="A140" s="3" t="inlineStr">
        <is>
          <t xml:space="preserve">  SUBTOTAL - India</t>
        </is>
      </c>
      <c r="B140" s="23" t="inlineStr">
        <is>
          <t>USD</t>
        </is>
      </c>
      <c r="C140" s="57">
        <f>C131+C132+C133+C135+C136+C138</f>
        <v/>
      </c>
      <c r="D140" s="57">
        <f>D131+D132+D133+D135+D136+D138</f>
        <v/>
      </c>
      <c r="E140" s="57">
        <f>E131+E132+E133+E135+E136+E138</f>
        <v/>
      </c>
      <c r="F140" s="57">
        <f>F131+F132+F133+F135+F136+F138</f>
        <v/>
      </c>
      <c r="G140" s="57">
        <f>G131+G132+G133+G135+G136+G138</f>
        <v/>
      </c>
      <c r="H140" s="57">
        <f>H131+H132+H133+H135+H136+H138</f>
        <v/>
      </c>
      <c r="I140" s="57">
        <f>I131+I132+I133+I135+I136+I138</f>
        <v/>
      </c>
      <c r="J140" s="57">
        <f>J131+J132+J133+J135+J136+J138</f>
        <v/>
      </c>
      <c r="K140" s="57">
        <f>K131+K132+K133+K135+K136+K138</f>
        <v/>
      </c>
      <c r="L140" s="57">
        <f>L131+L132+L133+L135+L136+L138</f>
        <v/>
      </c>
      <c r="M140" s="57">
        <f>M131+M132+M133+M135+M136+M138</f>
        <v/>
      </c>
      <c r="N140" s="57">
        <f>N131+N132+N133+N135+N136+N138</f>
        <v/>
      </c>
      <c r="O140" s="57">
        <f>O131+O132+O133+O135+O136+O138</f>
        <v/>
      </c>
      <c r="P140" s="57">
        <f>P131+P132+P133+P135+P136+P138</f>
        <v/>
      </c>
      <c r="Q140" s="57">
        <f>Q131+Q132+Q133+Q135+Q136+Q138</f>
        <v/>
      </c>
      <c r="R140" s="57">
        <f>R131+R132+R133+R135+R136+R138</f>
        <v/>
      </c>
      <c r="S140" s="57">
        <f>S131+S132+S133+S135+S136+S138</f>
        <v/>
      </c>
      <c r="T140" s="57">
        <f>T131+T132+T133+T135+T136+T138</f>
        <v/>
      </c>
      <c r="U140" s="57">
        <f>U131+U132+U133+U135+U136+U138</f>
        <v/>
      </c>
      <c r="V140" s="57">
        <f>V131+V132+V133+V135+V136+V138</f>
        <v/>
      </c>
      <c r="W140" s="57">
        <f>W131+W132+W133+W135+W136+W138</f>
        <v/>
      </c>
      <c r="X140" s="57">
        <f>X131+X132+X133+X135+X136+X138</f>
        <v/>
      </c>
      <c r="Y140" s="57">
        <f>Y131+Y132+Y133+Y135+Y136+Y138</f>
        <v/>
      </c>
      <c r="Z140" s="57">
        <f>Z131+Z132+Z133+Z135+Z136+Z138</f>
        <v/>
      </c>
      <c r="AA140" s="57">
        <f>AA131+AA132+AA133+AA135+AA136+AA138</f>
        <v/>
      </c>
      <c r="AB140" s="57">
        <f>AB131+AB132+AB133+AB135+AB136+AB138</f>
        <v/>
      </c>
      <c r="AC140" s="57">
        <f>AC131+AC132+AC133+AC135+AC136+AC138</f>
        <v/>
      </c>
      <c r="AD140" s="57">
        <f>AD131+AD132+AD133+AD135+AD136+AD138</f>
        <v/>
      </c>
      <c r="AE140" s="57">
        <f>AE131+AE132+AE133+AE135+AE136+AE138</f>
        <v/>
      </c>
    </row>
    <row r="142">
      <c r="A142" s="46" t="inlineStr">
        <is>
          <t>NON-REGIONAL</t>
        </is>
      </c>
      <c r="B142" s="47" t="n"/>
      <c r="C142" s="47" t="n"/>
      <c r="D142" s="47" t="n"/>
      <c r="E142" s="47" t="n"/>
      <c r="F142" s="47" t="n"/>
      <c r="G142" s="47" t="n"/>
      <c r="H142" s="47" t="n"/>
      <c r="I142" s="47" t="n"/>
      <c r="J142" s="47" t="n"/>
      <c r="K142" s="47" t="n"/>
      <c r="L142" s="47" t="n"/>
      <c r="M142" s="47" t="n"/>
      <c r="N142" s="47" t="n"/>
      <c r="O142" s="47" t="n"/>
      <c r="P142" s="47" t="n"/>
      <c r="Q142" s="47" t="n"/>
      <c r="R142" s="47" t="n"/>
      <c r="S142" s="47" t="n"/>
      <c r="T142" s="47" t="n"/>
      <c r="U142" s="47" t="n"/>
      <c r="V142" s="47" t="n"/>
      <c r="W142" s="47" t="n"/>
      <c r="X142" s="47" t="n"/>
      <c r="Y142" s="47" t="n"/>
      <c r="Z142" s="47" t="n"/>
      <c r="AA142" s="47" t="n"/>
      <c r="AB142" s="47" t="n"/>
      <c r="AC142" s="47" t="n"/>
      <c r="AD142" s="47" t="n"/>
      <c r="AE142" s="47" t="n"/>
    </row>
    <row r="143">
      <c r="A143" s="6" t="inlineStr">
        <is>
          <t xml:space="preserve">  Partner AUM</t>
        </is>
      </c>
      <c r="B143" s="23" t="inlineStr">
        <is>
          <t>USD</t>
        </is>
      </c>
      <c r="C143" s="58">
        <f>IF(C2&gt;=Assumptions!$B$55,INDEX(Assumptions!$B$164:$B$170,C5)*Assumptions!$B$174,0)</f>
        <v/>
      </c>
      <c r="D143" s="58">
        <f>IF(D2&gt;=Assumptions!$B$55,INDEX(Assumptions!$B$164:$B$170,D5)*Assumptions!$B$174,0)</f>
        <v/>
      </c>
      <c r="E143" s="58">
        <f>IF(E2&gt;=Assumptions!$B$55,INDEX(Assumptions!$B$164:$B$170,E5)*Assumptions!$B$174,0)</f>
        <v/>
      </c>
      <c r="F143" s="58">
        <f>IF(F2&gt;=Assumptions!$B$55,INDEX(Assumptions!$B$164:$B$170,F5)*Assumptions!$B$174,0)</f>
        <v/>
      </c>
      <c r="G143" s="58">
        <f>IF(G2&gt;=Assumptions!$B$55,INDEX(Assumptions!$B$164:$B$170,G5)*Assumptions!$B$174,0)</f>
        <v/>
      </c>
      <c r="H143" s="58">
        <f>IF(H2&gt;=Assumptions!$B$55,INDEX(Assumptions!$B$164:$B$170,H5)*Assumptions!$B$174,0)</f>
        <v/>
      </c>
      <c r="I143" s="58">
        <f>IF(I2&gt;=Assumptions!$B$55,INDEX(Assumptions!$B$164:$B$170,I5)*Assumptions!$B$174,0)</f>
        <v/>
      </c>
      <c r="J143" s="58">
        <f>IF(J2&gt;=Assumptions!$B$55,INDEX(Assumptions!$B$164:$B$170,J5)*Assumptions!$B$174,0)</f>
        <v/>
      </c>
      <c r="K143" s="58">
        <f>IF(K2&gt;=Assumptions!$B$55,INDEX(Assumptions!$B$164:$B$170,K5)*Assumptions!$B$174,0)</f>
        <v/>
      </c>
      <c r="L143" s="58">
        <f>IF(L2&gt;=Assumptions!$B$55,INDEX(Assumptions!$B$164:$B$170,L5)*Assumptions!$B$174,0)</f>
        <v/>
      </c>
      <c r="M143" s="58">
        <f>IF(M2&gt;=Assumptions!$B$55,INDEX(Assumptions!$B$164:$B$170,M5)*Assumptions!$B$174,0)</f>
        <v/>
      </c>
      <c r="N143" s="58">
        <f>IF(N2&gt;=Assumptions!$B$55,INDEX(Assumptions!$B$164:$B$170,N5)*Assumptions!$B$174,0)</f>
        <v/>
      </c>
      <c r="O143" s="58">
        <f>IF(O2&gt;=Assumptions!$B$55,INDEX(Assumptions!$B$164:$B$170,O5)*Assumptions!$B$174,0)</f>
        <v/>
      </c>
      <c r="P143" s="58">
        <f>IF(P2&gt;=Assumptions!$B$55,INDEX(Assumptions!$B$164:$B$170,P5)*Assumptions!$B$174,0)</f>
        <v/>
      </c>
      <c r="Q143" s="58">
        <f>IF(Q2&gt;=Assumptions!$B$55,INDEX(Assumptions!$B$164:$B$170,Q5)*Assumptions!$B$174,0)</f>
        <v/>
      </c>
      <c r="R143" s="58">
        <f>IF(R2&gt;=Assumptions!$B$55,INDEX(Assumptions!$B$164:$B$170,R5)*Assumptions!$B$174,0)</f>
        <v/>
      </c>
      <c r="S143" s="58">
        <f>IF(S2&gt;=Assumptions!$B$55,INDEX(Assumptions!$B$164:$B$170,S5)*Assumptions!$B$174,0)</f>
        <v/>
      </c>
      <c r="T143" s="58">
        <f>IF(T2&gt;=Assumptions!$B$55,INDEX(Assumptions!$B$164:$B$170,T5)*Assumptions!$B$174,0)</f>
        <v/>
      </c>
      <c r="U143" s="58">
        <f>IF(U2&gt;=Assumptions!$B$55,INDEX(Assumptions!$B$164:$B$170,U5)*Assumptions!$B$174,0)</f>
        <v/>
      </c>
      <c r="V143" s="58">
        <f>IF(V2&gt;=Assumptions!$B$55,INDEX(Assumptions!$B$164:$B$170,V5)*Assumptions!$B$174,0)</f>
        <v/>
      </c>
      <c r="W143" s="58">
        <f>IF(W2&gt;=Assumptions!$B$55,INDEX(Assumptions!$B$164:$B$170,W5)*Assumptions!$B$174,0)</f>
        <v/>
      </c>
      <c r="X143" s="58">
        <f>IF(X2&gt;=Assumptions!$B$55,INDEX(Assumptions!$B$164:$B$170,X5)*Assumptions!$B$174,0)</f>
        <v/>
      </c>
      <c r="Y143" s="58">
        <f>IF(Y2&gt;=Assumptions!$B$55,INDEX(Assumptions!$B$164:$B$170,Y5)*Assumptions!$B$174,0)</f>
        <v/>
      </c>
      <c r="Z143" s="58">
        <f>IF(Z2&gt;=Assumptions!$B$55,INDEX(Assumptions!$B$164:$B$170,Z5)*Assumptions!$B$174,0)</f>
        <v/>
      </c>
      <c r="AA143" s="58">
        <f>IF(AA2&gt;=Assumptions!$B$55,INDEX(Assumptions!$B$164:$B$170,AA5)*Assumptions!$B$174,0)</f>
        <v/>
      </c>
      <c r="AB143" s="58">
        <f>IF(AB2&gt;=Assumptions!$B$55,INDEX(Assumptions!$B$164:$B$170,AB5)*Assumptions!$B$174,0)</f>
        <v/>
      </c>
      <c r="AC143" s="58">
        <f>IF(AC2&gt;=Assumptions!$B$55,INDEX(Assumptions!$B$164:$B$170,AC5)*Assumptions!$B$174,0)</f>
        <v/>
      </c>
      <c r="AD143" s="58">
        <f>IF(AD2&gt;=Assumptions!$B$55,INDEX(Assumptions!$B$164:$B$170,AD5)*Assumptions!$B$174,0)</f>
        <v/>
      </c>
      <c r="AE143" s="58">
        <f>IF(AE2&gt;=Assumptions!$B$55,INDEX(Assumptions!$B$164:$B$170,AE5)*Assumptions!$B$174,0)</f>
        <v/>
      </c>
    </row>
    <row r="144">
      <c r="A144" s="6" t="inlineStr">
        <is>
          <t>Stream 6 - B2B platform fee</t>
        </is>
      </c>
      <c r="B144" s="23" t="inlineStr">
        <is>
          <t>USD</t>
        </is>
      </c>
      <c r="C144" s="57">
        <f>C143*Assumptions!$B$27*C7/12</f>
        <v/>
      </c>
      <c r="D144" s="57">
        <f>D143*Assumptions!$B$27*D7/12</f>
        <v/>
      </c>
      <c r="E144" s="57">
        <f>E143*Assumptions!$B$27*E7/12</f>
        <v/>
      </c>
      <c r="F144" s="57">
        <f>F143*Assumptions!$B$27*F7/12</f>
        <v/>
      </c>
      <c r="G144" s="57">
        <f>G143*Assumptions!$B$27*G7/12</f>
        <v/>
      </c>
      <c r="H144" s="57">
        <f>H143*Assumptions!$B$27*H7/12</f>
        <v/>
      </c>
      <c r="I144" s="57">
        <f>I143*Assumptions!$B$27*I7/12</f>
        <v/>
      </c>
      <c r="J144" s="57">
        <f>J143*Assumptions!$B$27*J7/12</f>
        <v/>
      </c>
      <c r="K144" s="57">
        <f>K143*Assumptions!$B$27*K7/12</f>
        <v/>
      </c>
      <c r="L144" s="57">
        <f>L143*Assumptions!$B$27*L7/12</f>
        <v/>
      </c>
      <c r="M144" s="57">
        <f>M143*Assumptions!$B$27*M7/12</f>
        <v/>
      </c>
      <c r="N144" s="57">
        <f>N143*Assumptions!$B$27*N7/12</f>
        <v/>
      </c>
      <c r="O144" s="57">
        <f>O143*Assumptions!$B$27*O7/12</f>
        <v/>
      </c>
      <c r="P144" s="57">
        <f>P143*Assumptions!$B$27*P7/12</f>
        <v/>
      </c>
      <c r="Q144" s="57">
        <f>Q143*Assumptions!$B$27*Q7/12</f>
        <v/>
      </c>
      <c r="R144" s="57">
        <f>R143*Assumptions!$B$27*R7/12</f>
        <v/>
      </c>
      <c r="S144" s="57">
        <f>S143*Assumptions!$B$27*S7/12</f>
        <v/>
      </c>
      <c r="T144" s="57">
        <f>T143*Assumptions!$B$27*T7/12</f>
        <v/>
      </c>
      <c r="U144" s="57">
        <f>U143*Assumptions!$B$27*U7/12</f>
        <v/>
      </c>
      <c r="V144" s="57">
        <f>V143*Assumptions!$B$27*V7/12</f>
        <v/>
      </c>
      <c r="W144" s="57">
        <f>W143*Assumptions!$B$27*W7/12</f>
        <v/>
      </c>
      <c r="X144" s="57">
        <f>X143*Assumptions!$B$27*X7/12</f>
        <v/>
      </c>
      <c r="Y144" s="57">
        <f>Y143*Assumptions!$B$27*Y7/12</f>
        <v/>
      </c>
      <c r="Z144" s="57">
        <f>Z143*Assumptions!$B$27*Z7/12</f>
        <v/>
      </c>
      <c r="AA144" s="57">
        <f>AA143*Assumptions!$B$27*AA7/12</f>
        <v/>
      </c>
      <c r="AB144" s="57">
        <f>AB143*Assumptions!$B$27*AB7/12</f>
        <v/>
      </c>
      <c r="AC144" s="57">
        <f>AC143*Assumptions!$B$27*AC7/12</f>
        <v/>
      </c>
      <c r="AD144" s="57">
        <f>AD143*Assumptions!$B$27*AD7/12</f>
        <v/>
      </c>
      <c r="AE144" s="57">
        <f>AE143*Assumptions!$B$27*AE7/12</f>
        <v/>
      </c>
    </row>
    <row r="145">
      <c r="A145" s="9" t="inlineStr">
        <is>
          <t>Stream 6 is NOT regional: partners are institutions with their own customer books, not retail customers of a region. It is reported separately rather than allocated, because any allocation would be invented.</t>
        </is>
      </c>
    </row>
    <row r="147">
      <c r="A147" s="46" t="inlineStr">
        <is>
          <t>WHOLE-BOOK TOTALS</t>
        </is>
      </c>
      <c r="B147" s="47" t="n"/>
      <c r="C147" s="47" t="n"/>
      <c r="D147" s="47" t="n"/>
      <c r="E147" s="47" t="n"/>
      <c r="F147" s="47" t="n"/>
      <c r="G147" s="47" t="n"/>
      <c r="H147" s="47" t="n"/>
      <c r="I147" s="47" t="n"/>
      <c r="J147" s="47" t="n"/>
      <c r="K147" s="47" t="n"/>
      <c r="L147" s="47" t="n"/>
      <c r="M147" s="47" t="n"/>
      <c r="N147" s="47" t="n"/>
      <c r="O147" s="47" t="n"/>
      <c r="P147" s="47" t="n"/>
      <c r="Q147" s="47" t="n"/>
      <c r="R147" s="47" t="n"/>
      <c r="S147" s="47" t="n"/>
      <c r="T147" s="47" t="n"/>
      <c r="U147" s="47" t="n"/>
      <c r="V147" s="47" t="n"/>
      <c r="W147" s="47" t="n"/>
      <c r="X147" s="47" t="n"/>
      <c r="Y147" s="47" t="n"/>
      <c r="Z147" s="47" t="n"/>
      <c r="AA147" s="47" t="n"/>
      <c r="AB147" s="47" t="n"/>
      <c r="AC147" s="47" t="n"/>
      <c r="AD147" s="47" t="n"/>
      <c r="AE147" s="47" t="n"/>
    </row>
    <row r="148">
      <c r="A148" s="3" t="inlineStr">
        <is>
          <t>PAYING CUSTOMERS</t>
        </is>
      </c>
      <c r="B148" s="23" t="inlineStr">
        <is>
          <t>-</t>
        </is>
      </c>
      <c r="C148" s="45">
        <f>C31+C70+C109</f>
        <v/>
      </c>
      <c r="D148" s="45">
        <f>D31+D70+D109</f>
        <v/>
      </c>
      <c r="E148" s="45">
        <f>E31+E70+E109</f>
        <v/>
      </c>
      <c r="F148" s="45">
        <f>F31+F70+F109</f>
        <v/>
      </c>
      <c r="G148" s="45">
        <f>G31+G70+G109</f>
        <v/>
      </c>
      <c r="H148" s="45">
        <f>H31+H70+H109</f>
        <v/>
      </c>
      <c r="I148" s="45">
        <f>I31+I70+I109</f>
        <v/>
      </c>
      <c r="J148" s="45">
        <f>J31+J70+J109</f>
        <v/>
      </c>
      <c r="K148" s="45">
        <f>K31+K70+K109</f>
        <v/>
      </c>
      <c r="L148" s="45">
        <f>L31+L70+L109</f>
        <v/>
      </c>
      <c r="M148" s="45">
        <f>M31+M70+M109</f>
        <v/>
      </c>
      <c r="N148" s="45">
        <f>N31+N70+N109</f>
        <v/>
      </c>
      <c r="O148" s="45">
        <f>O31+O70+O109</f>
        <v/>
      </c>
      <c r="P148" s="45">
        <f>P31+P70+P109</f>
        <v/>
      </c>
      <c r="Q148" s="45">
        <f>Q31+Q70+Q109</f>
        <v/>
      </c>
      <c r="R148" s="45">
        <f>R31+R70+R109</f>
        <v/>
      </c>
      <c r="S148" s="45">
        <f>S31+S70+S109</f>
        <v/>
      </c>
      <c r="T148" s="45">
        <f>T31+T70+T109</f>
        <v/>
      </c>
      <c r="U148" s="45">
        <f>U31+U70+U109</f>
        <v/>
      </c>
      <c r="V148" s="45">
        <f>V31+V70+V109</f>
        <v/>
      </c>
      <c r="W148" s="45">
        <f>W31+W70+W109</f>
        <v/>
      </c>
      <c r="X148" s="45">
        <f>X31+X70+X109</f>
        <v/>
      </c>
      <c r="Y148" s="45">
        <f>Y31+Y70+Y109</f>
        <v/>
      </c>
      <c r="Z148" s="45">
        <f>Z31+Z70+Z109</f>
        <v/>
      </c>
      <c r="AA148" s="45">
        <f>AA31+AA70+AA109</f>
        <v/>
      </c>
      <c r="AB148" s="45">
        <f>AB31+AB70+AB109</f>
        <v/>
      </c>
      <c r="AC148" s="45">
        <f>AC31+AC70+AC109</f>
        <v/>
      </c>
      <c r="AD148" s="45">
        <f>AD31+AD70+AD109</f>
        <v/>
      </c>
      <c r="AE148" s="45">
        <f>AE31+AE70+AE109</f>
        <v/>
      </c>
    </row>
    <row r="149">
      <c r="A149" s="3" t="inlineStr">
        <is>
          <t>HOLDERS (stopped paying, still hold gold)</t>
        </is>
      </c>
      <c r="B149" s="23" t="inlineStr">
        <is>
          <t>-</t>
        </is>
      </c>
      <c r="C149" s="45">
        <f>C33+C72+C111</f>
        <v/>
      </c>
      <c r="D149" s="45">
        <f>D33+D72+D111</f>
        <v/>
      </c>
      <c r="E149" s="45">
        <f>E33+E72+E111</f>
        <v/>
      </c>
      <c r="F149" s="45">
        <f>F33+F72+F111</f>
        <v/>
      </c>
      <c r="G149" s="45">
        <f>G33+G72+G111</f>
        <v/>
      </c>
      <c r="H149" s="45">
        <f>H33+H72+H111</f>
        <v/>
      </c>
      <c r="I149" s="45">
        <f>I33+I72+I111</f>
        <v/>
      </c>
      <c r="J149" s="45">
        <f>J33+J72+J111</f>
        <v/>
      </c>
      <c r="K149" s="45">
        <f>K33+K72+K111</f>
        <v/>
      </c>
      <c r="L149" s="45">
        <f>L33+L72+L111</f>
        <v/>
      </c>
      <c r="M149" s="45">
        <f>M33+M72+M111</f>
        <v/>
      </c>
      <c r="N149" s="45">
        <f>N33+N72+N111</f>
        <v/>
      </c>
      <c r="O149" s="45">
        <f>O33+O72+O111</f>
        <v/>
      </c>
      <c r="P149" s="45">
        <f>P33+P72+P111</f>
        <v/>
      </c>
      <c r="Q149" s="45">
        <f>Q33+Q72+Q111</f>
        <v/>
      </c>
      <c r="R149" s="45">
        <f>R33+R72+R111</f>
        <v/>
      </c>
      <c r="S149" s="45">
        <f>S33+S72+S111</f>
        <v/>
      </c>
      <c r="T149" s="45">
        <f>T33+T72+T111</f>
        <v/>
      </c>
      <c r="U149" s="45">
        <f>U33+U72+U111</f>
        <v/>
      </c>
      <c r="V149" s="45">
        <f>V33+V72+V111</f>
        <v/>
      </c>
      <c r="W149" s="45">
        <f>W33+W72+W111</f>
        <v/>
      </c>
      <c r="X149" s="45">
        <f>X33+X72+X111</f>
        <v/>
      </c>
      <c r="Y149" s="45">
        <f>Y33+Y72+Y111</f>
        <v/>
      </c>
      <c r="Z149" s="45">
        <f>Z33+Z72+Z111</f>
        <v/>
      </c>
      <c r="AA149" s="45">
        <f>AA33+AA72+AA111</f>
        <v/>
      </c>
      <c r="AB149" s="45">
        <f>AB33+AB72+AB111</f>
        <v/>
      </c>
      <c r="AC149" s="45">
        <f>AC33+AC72+AC111</f>
        <v/>
      </c>
      <c r="AD149" s="45">
        <f>AD33+AD72+AD111</f>
        <v/>
      </c>
      <c r="AE149" s="45">
        <f>AE33+AE72+AE111</f>
        <v/>
      </c>
    </row>
    <row r="150">
      <c r="A150" s="6" t="inlineStr">
        <is>
          <t>Cumulative ever acquired</t>
        </is>
      </c>
      <c r="B150" s="23" t="inlineStr">
        <is>
          <t>-</t>
        </is>
      </c>
      <c r="C150" s="45">
        <f>C34+C73+C112</f>
        <v/>
      </c>
      <c r="D150" s="45">
        <f>D34+D73+D112</f>
        <v/>
      </c>
      <c r="E150" s="45">
        <f>E34+E73+E112</f>
        <v/>
      </c>
      <c r="F150" s="45">
        <f>F34+F73+F112</f>
        <v/>
      </c>
      <c r="G150" s="45">
        <f>G34+G73+G112</f>
        <v/>
      </c>
      <c r="H150" s="45">
        <f>H34+H73+H112</f>
        <v/>
      </c>
      <c r="I150" s="45">
        <f>I34+I73+I112</f>
        <v/>
      </c>
      <c r="J150" s="45">
        <f>J34+J73+J112</f>
        <v/>
      </c>
      <c r="K150" s="45">
        <f>K34+K73+K112</f>
        <v/>
      </c>
      <c r="L150" s="45">
        <f>L34+L73+L112</f>
        <v/>
      </c>
      <c r="M150" s="45">
        <f>M34+M73+M112</f>
        <v/>
      </c>
      <c r="N150" s="45">
        <f>N34+N73+N112</f>
        <v/>
      </c>
      <c r="O150" s="45">
        <f>O34+O73+O112</f>
        <v/>
      </c>
      <c r="P150" s="45">
        <f>P34+P73+P112</f>
        <v/>
      </c>
      <c r="Q150" s="45">
        <f>Q34+Q73+Q112</f>
        <v/>
      </c>
      <c r="R150" s="45">
        <f>R34+R73+R112</f>
        <v/>
      </c>
      <c r="S150" s="45">
        <f>S34+S73+S112</f>
        <v/>
      </c>
      <c r="T150" s="45">
        <f>T34+T73+T112</f>
        <v/>
      </c>
      <c r="U150" s="45">
        <f>U34+U73+U112</f>
        <v/>
      </c>
      <c r="V150" s="45">
        <f>V34+V73+V112</f>
        <v/>
      </c>
      <c r="W150" s="45">
        <f>W34+W73+W112</f>
        <v/>
      </c>
      <c r="X150" s="45">
        <f>X34+X73+X112</f>
        <v/>
      </c>
      <c r="Y150" s="45">
        <f>Y34+Y73+Y112</f>
        <v/>
      </c>
      <c r="Z150" s="45">
        <f>Z34+Z73+Z112</f>
        <v/>
      </c>
      <c r="AA150" s="45">
        <f>AA34+AA73+AA112</f>
        <v/>
      </c>
      <c r="AB150" s="45">
        <f>AB34+AB73+AB112</f>
        <v/>
      </c>
      <c r="AC150" s="45">
        <f>AC34+AC73+AC112</f>
        <v/>
      </c>
      <c r="AD150" s="45">
        <f>AD34+AD73+AD112</f>
        <v/>
      </c>
      <c r="AE150" s="45">
        <f>AE34+AE73+AE112</f>
        <v/>
      </c>
    </row>
    <row r="151">
      <c r="A151" s="3" t="inlineStr">
        <is>
          <t>NEW CUSTOMERS</t>
        </is>
      </c>
      <c r="B151" s="23" t="inlineStr">
        <is>
          <t>-</t>
        </is>
      </c>
      <c r="C151" s="45">
        <f>C30+C69+C108</f>
        <v/>
      </c>
      <c r="D151" s="45">
        <f>D30+D69+D108</f>
        <v/>
      </c>
      <c r="E151" s="45">
        <f>E30+E69+E108</f>
        <v/>
      </c>
      <c r="F151" s="45">
        <f>F30+F69+F108</f>
        <v/>
      </c>
      <c r="G151" s="45">
        <f>G30+G69+G108</f>
        <v/>
      </c>
      <c r="H151" s="45">
        <f>H30+H69+H108</f>
        <v/>
      </c>
      <c r="I151" s="45">
        <f>I30+I69+I108</f>
        <v/>
      </c>
      <c r="J151" s="45">
        <f>J30+J69+J108</f>
        <v/>
      </c>
      <c r="K151" s="45">
        <f>K30+K69+K108</f>
        <v/>
      </c>
      <c r="L151" s="45">
        <f>L30+L69+L108</f>
        <v/>
      </c>
      <c r="M151" s="45">
        <f>M30+M69+M108</f>
        <v/>
      </c>
      <c r="N151" s="45">
        <f>N30+N69+N108</f>
        <v/>
      </c>
      <c r="O151" s="45">
        <f>O30+O69+O108</f>
        <v/>
      </c>
      <c r="P151" s="45">
        <f>P30+P69+P108</f>
        <v/>
      </c>
      <c r="Q151" s="45">
        <f>Q30+Q69+Q108</f>
        <v/>
      </c>
      <c r="R151" s="45">
        <f>R30+R69+R108</f>
        <v/>
      </c>
      <c r="S151" s="45">
        <f>S30+S69+S108</f>
        <v/>
      </c>
      <c r="T151" s="45">
        <f>T30+T69+T108</f>
        <v/>
      </c>
      <c r="U151" s="45">
        <f>U30+U69+U108</f>
        <v/>
      </c>
      <c r="V151" s="45">
        <f>V30+V69+V108</f>
        <v/>
      </c>
      <c r="W151" s="45">
        <f>W30+W69+W108</f>
        <v/>
      </c>
      <c r="X151" s="45">
        <f>X30+X69+X108</f>
        <v/>
      </c>
      <c r="Y151" s="45">
        <f>Y30+Y69+Y108</f>
        <v/>
      </c>
      <c r="Z151" s="45">
        <f>Z30+Z69+Z108</f>
        <v/>
      </c>
      <c r="AA151" s="45">
        <f>AA30+AA69+AA108</f>
        <v/>
      </c>
      <c r="AB151" s="45">
        <f>AB30+AB69+AB108</f>
        <v/>
      </c>
      <c r="AC151" s="45">
        <f>AC30+AC69+AC108</f>
        <v/>
      </c>
      <c r="AD151" s="45">
        <f>AD30+AD69+AD108</f>
        <v/>
      </c>
      <c r="AE151" s="45">
        <f>AE30+AE69+AE108</f>
        <v/>
      </c>
    </row>
    <row r="152">
      <c r="A152" s="3" t="inlineStr">
        <is>
          <t>ACTIVE CARDS</t>
        </is>
      </c>
      <c r="B152" s="23" t="inlineStr">
        <is>
          <t>-</t>
        </is>
      </c>
      <c r="C152" s="45">
        <f>C45+C84+C123</f>
        <v/>
      </c>
      <c r="D152" s="45">
        <f>D45+D84+D123</f>
        <v/>
      </c>
      <c r="E152" s="45">
        <f>E45+E84+E123</f>
        <v/>
      </c>
      <c r="F152" s="45">
        <f>F45+F84+F123</f>
        <v/>
      </c>
      <c r="G152" s="45">
        <f>G45+G84+G123</f>
        <v/>
      </c>
      <c r="H152" s="45">
        <f>H45+H84+H123</f>
        <v/>
      </c>
      <c r="I152" s="45">
        <f>I45+I84+I123</f>
        <v/>
      </c>
      <c r="J152" s="45">
        <f>J45+J84+J123</f>
        <v/>
      </c>
      <c r="K152" s="45">
        <f>K45+K84+K123</f>
        <v/>
      </c>
      <c r="L152" s="45">
        <f>L45+L84+L123</f>
        <v/>
      </c>
      <c r="M152" s="45">
        <f>M45+M84+M123</f>
        <v/>
      </c>
      <c r="N152" s="45">
        <f>N45+N84+N123</f>
        <v/>
      </c>
      <c r="O152" s="45">
        <f>O45+O84+O123</f>
        <v/>
      </c>
      <c r="P152" s="45">
        <f>P45+P84+P123</f>
        <v/>
      </c>
      <c r="Q152" s="45">
        <f>Q45+Q84+Q123</f>
        <v/>
      </c>
      <c r="R152" s="45">
        <f>R45+R84+R123</f>
        <v/>
      </c>
      <c r="S152" s="45">
        <f>S45+S84+S123</f>
        <v/>
      </c>
      <c r="T152" s="45">
        <f>T45+T84+T123</f>
        <v/>
      </c>
      <c r="U152" s="45">
        <f>U45+U84+U123</f>
        <v/>
      </c>
      <c r="V152" s="45">
        <f>V45+V84+V123</f>
        <v/>
      </c>
      <c r="W152" s="45">
        <f>W45+W84+W123</f>
        <v/>
      </c>
      <c r="X152" s="45">
        <f>X45+X84+X123</f>
        <v/>
      </c>
      <c r="Y152" s="45">
        <f>Y45+Y84+Y123</f>
        <v/>
      </c>
      <c r="Z152" s="45">
        <f>Z45+Z84+Z123</f>
        <v/>
      </c>
      <c r="AA152" s="45">
        <f>AA45+AA84+AA123</f>
        <v/>
      </c>
      <c r="AB152" s="45">
        <f>AB45+AB84+AB123</f>
        <v/>
      </c>
      <c r="AC152" s="45">
        <f>AC45+AC84+AC123</f>
        <v/>
      </c>
      <c r="AD152" s="45">
        <f>AD45+AD84+AD123</f>
        <v/>
      </c>
      <c r="AE152" s="45">
        <f>AE45+AE84+AE123</f>
        <v/>
      </c>
    </row>
    <row r="153">
      <c r="A153" s="6" t="inlineStr">
        <is>
          <t>GRAMS HELD</t>
        </is>
      </c>
      <c r="B153" s="23" t="inlineStr">
        <is>
          <t>-</t>
        </is>
      </c>
      <c r="C153" s="45">
        <f>C40+C79+C118</f>
        <v/>
      </c>
      <c r="D153" s="45">
        <f>D40+D79+D118</f>
        <v/>
      </c>
      <c r="E153" s="45">
        <f>E40+E79+E118</f>
        <v/>
      </c>
      <c r="F153" s="45">
        <f>F40+F79+F118</f>
        <v/>
      </c>
      <c r="G153" s="45">
        <f>G40+G79+G118</f>
        <v/>
      </c>
      <c r="H153" s="45">
        <f>H40+H79+H118</f>
        <v/>
      </c>
      <c r="I153" s="45">
        <f>I40+I79+I118</f>
        <v/>
      </c>
      <c r="J153" s="45">
        <f>J40+J79+J118</f>
        <v/>
      </c>
      <c r="K153" s="45">
        <f>K40+K79+K118</f>
        <v/>
      </c>
      <c r="L153" s="45">
        <f>L40+L79+L118</f>
        <v/>
      </c>
      <c r="M153" s="45">
        <f>M40+M79+M118</f>
        <v/>
      </c>
      <c r="N153" s="45">
        <f>N40+N79+N118</f>
        <v/>
      </c>
      <c r="O153" s="45">
        <f>O40+O79+O118</f>
        <v/>
      </c>
      <c r="P153" s="45">
        <f>P40+P79+P118</f>
        <v/>
      </c>
      <c r="Q153" s="45">
        <f>Q40+Q79+Q118</f>
        <v/>
      </c>
      <c r="R153" s="45">
        <f>R40+R79+R118</f>
        <v/>
      </c>
      <c r="S153" s="45">
        <f>S40+S79+S118</f>
        <v/>
      </c>
      <c r="T153" s="45">
        <f>T40+T79+T118</f>
        <v/>
      </c>
      <c r="U153" s="45">
        <f>U40+U79+U118</f>
        <v/>
      </c>
      <c r="V153" s="45">
        <f>V40+V79+V118</f>
        <v/>
      </c>
      <c r="W153" s="45">
        <f>W40+W79+W118</f>
        <v/>
      </c>
      <c r="X153" s="45">
        <f>X40+X79+X118</f>
        <v/>
      </c>
      <c r="Y153" s="45">
        <f>Y40+Y79+Y118</f>
        <v/>
      </c>
      <c r="Z153" s="45">
        <f>Z40+Z79+Z118</f>
        <v/>
      </c>
      <c r="AA153" s="45">
        <f>AA40+AA79+AA118</f>
        <v/>
      </c>
      <c r="AB153" s="45">
        <f>AB40+AB79+AB118</f>
        <v/>
      </c>
      <c r="AC153" s="45">
        <f>AC40+AC79+AC118</f>
        <v/>
      </c>
      <c r="AD153" s="45">
        <f>AD40+AD79+AD118</f>
        <v/>
      </c>
      <c r="AE153" s="45">
        <f>AE40+AE79+AE118</f>
        <v/>
      </c>
    </row>
    <row r="154">
      <c r="A154" s="3" t="inlineStr">
        <is>
          <t>GRAMS UNDER CUSTODY</t>
        </is>
      </c>
      <c r="B154" s="23" t="inlineStr">
        <is>
          <t>-</t>
        </is>
      </c>
      <c r="C154" s="45">
        <f>C41+C80+C119</f>
        <v/>
      </c>
      <c r="D154" s="45">
        <f>D41+D80+D119</f>
        <v/>
      </c>
      <c r="E154" s="45">
        <f>E41+E80+E119</f>
        <v/>
      </c>
      <c r="F154" s="45">
        <f>F41+F80+F119</f>
        <v/>
      </c>
      <c r="G154" s="45">
        <f>G41+G80+G119</f>
        <v/>
      </c>
      <c r="H154" s="45">
        <f>H41+H80+H119</f>
        <v/>
      </c>
      <c r="I154" s="45">
        <f>I41+I80+I119</f>
        <v/>
      </c>
      <c r="J154" s="45">
        <f>J41+J80+J119</f>
        <v/>
      </c>
      <c r="K154" s="45">
        <f>K41+K80+K119</f>
        <v/>
      </c>
      <c r="L154" s="45">
        <f>L41+L80+L119</f>
        <v/>
      </c>
      <c r="M154" s="45">
        <f>M41+M80+M119</f>
        <v/>
      </c>
      <c r="N154" s="45">
        <f>N41+N80+N119</f>
        <v/>
      </c>
      <c r="O154" s="45">
        <f>O41+O80+O119</f>
        <v/>
      </c>
      <c r="P154" s="45">
        <f>P41+P80+P119</f>
        <v/>
      </c>
      <c r="Q154" s="45">
        <f>Q41+Q80+Q119</f>
        <v/>
      </c>
      <c r="R154" s="45">
        <f>R41+R80+R119</f>
        <v/>
      </c>
      <c r="S154" s="45">
        <f>S41+S80+S119</f>
        <v/>
      </c>
      <c r="T154" s="45">
        <f>T41+T80+T119</f>
        <v/>
      </c>
      <c r="U154" s="45">
        <f>U41+U80+U119</f>
        <v/>
      </c>
      <c r="V154" s="45">
        <f>V41+V80+V119</f>
        <v/>
      </c>
      <c r="W154" s="45">
        <f>W41+W80+W119</f>
        <v/>
      </c>
      <c r="X154" s="45">
        <f>X41+X80+X119</f>
        <v/>
      </c>
      <c r="Y154" s="45">
        <f>Y41+Y80+Y119</f>
        <v/>
      </c>
      <c r="Z154" s="45">
        <f>Z41+Z80+Z119</f>
        <v/>
      </c>
      <c r="AA154" s="45">
        <f>AA41+AA80+AA119</f>
        <v/>
      </c>
      <c r="AB154" s="45">
        <f>AB41+AB80+AB119</f>
        <v/>
      </c>
      <c r="AC154" s="45">
        <f>AC41+AC80+AC119</f>
        <v/>
      </c>
      <c r="AD154" s="45">
        <f>AD41+AD80+AD119</f>
        <v/>
      </c>
      <c r="AE154" s="45">
        <f>AE41+AE80+AE119</f>
        <v/>
      </c>
    </row>
    <row r="155">
      <c r="A155" s="6" t="inlineStr">
        <is>
          <t>Grams purchased</t>
        </is>
      </c>
      <c r="B155" s="23" t="inlineStr">
        <is>
          <t>-</t>
        </is>
      </c>
      <c r="C155" s="54">
        <f>C37+C76+C115</f>
        <v/>
      </c>
      <c r="D155" s="54">
        <f>D37+D76+D115</f>
        <v/>
      </c>
      <c r="E155" s="54">
        <f>E37+E76+E115</f>
        <v/>
      </c>
      <c r="F155" s="54">
        <f>F37+F76+F115</f>
        <v/>
      </c>
      <c r="G155" s="54">
        <f>G37+G76+G115</f>
        <v/>
      </c>
      <c r="H155" s="54">
        <f>H37+H76+H115</f>
        <v/>
      </c>
      <c r="I155" s="54">
        <f>I37+I76+I115</f>
        <v/>
      </c>
      <c r="J155" s="54">
        <f>J37+J76+J115</f>
        <v/>
      </c>
      <c r="K155" s="54">
        <f>K37+K76+K115</f>
        <v/>
      </c>
      <c r="L155" s="54">
        <f>L37+L76+L115</f>
        <v/>
      </c>
      <c r="M155" s="54">
        <f>M37+M76+M115</f>
        <v/>
      </c>
      <c r="N155" s="54">
        <f>N37+N76+N115</f>
        <v/>
      </c>
      <c r="O155" s="54">
        <f>O37+O76+O115</f>
        <v/>
      </c>
      <c r="P155" s="54">
        <f>P37+P76+P115</f>
        <v/>
      </c>
      <c r="Q155" s="54">
        <f>Q37+Q76+Q115</f>
        <v/>
      </c>
      <c r="R155" s="54">
        <f>R37+R76+R115</f>
        <v/>
      </c>
      <c r="S155" s="54">
        <f>S37+S76+S115</f>
        <v/>
      </c>
      <c r="T155" s="54">
        <f>T37+T76+T115</f>
        <v/>
      </c>
      <c r="U155" s="54">
        <f>U37+U76+U115</f>
        <v/>
      </c>
      <c r="V155" s="54">
        <f>V37+V76+V115</f>
        <v/>
      </c>
      <c r="W155" s="54">
        <f>W37+W76+W115</f>
        <v/>
      </c>
      <c r="X155" s="54">
        <f>X37+X76+X115</f>
        <v/>
      </c>
      <c r="Y155" s="54">
        <f>Y37+Y76+Y115</f>
        <v/>
      </c>
      <c r="Z155" s="54">
        <f>Z37+Z76+Z115</f>
        <v/>
      </c>
      <c r="AA155" s="54">
        <f>AA37+AA76+AA115</f>
        <v/>
      </c>
      <c r="AB155" s="54">
        <f>AB37+AB76+AB115</f>
        <v/>
      </c>
      <c r="AC155" s="54">
        <f>AC37+AC76+AC115</f>
        <v/>
      </c>
      <c r="AD155" s="54">
        <f>AD37+AD76+AD115</f>
        <v/>
      </c>
      <c r="AE155" s="54">
        <f>AE37+AE76+AE115</f>
        <v/>
      </c>
    </row>
    <row r="156">
      <c r="A156" s="3" t="inlineStr">
        <is>
          <t>COLLATERAL-ELIGIBLE AUM</t>
        </is>
      </c>
      <c r="B156" s="23" t="inlineStr">
        <is>
          <t>-</t>
        </is>
      </c>
      <c r="C156" s="55">
        <f>C42+C81+C120</f>
        <v/>
      </c>
      <c r="D156" s="55">
        <f>D42+D81+D120</f>
        <v/>
      </c>
      <c r="E156" s="55">
        <f>E42+E81+E120</f>
        <v/>
      </c>
      <c r="F156" s="55">
        <f>F42+F81+F120</f>
        <v/>
      </c>
      <c r="G156" s="55">
        <f>G42+G81+G120</f>
        <v/>
      </c>
      <c r="H156" s="55">
        <f>H42+H81+H120</f>
        <v/>
      </c>
      <c r="I156" s="55">
        <f>I42+I81+I120</f>
        <v/>
      </c>
      <c r="J156" s="55">
        <f>J42+J81+J120</f>
        <v/>
      </c>
      <c r="K156" s="55">
        <f>K42+K81+K120</f>
        <v/>
      </c>
      <c r="L156" s="55">
        <f>L42+L81+L120</f>
        <v/>
      </c>
      <c r="M156" s="55">
        <f>M42+M81+M120</f>
        <v/>
      </c>
      <c r="N156" s="55">
        <f>N42+N81+N120</f>
        <v/>
      </c>
      <c r="O156" s="55">
        <f>O42+O81+O120</f>
        <v/>
      </c>
      <c r="P156" s="55">
        <f>P42+P81+P120</f>
        <v/>
      </c>
      <c r="Q156" s="55">
        <f>Q42+Q81+Q120</f>
        <v/>
      </c>
      <c r="R156" s="55">
        <f>R42+R81+R120</f>
        <v/>
      </c>
      <c r="S156" s="55">
        <f>S42+S81+S120</f>
        <v/>
      </c>
      <c r="T156" s="55">
        <f>T42+T81+T120</f>
        <v/>
      </c>
      <c r="U156" s="55">
        <f>U42+U81+U120</f>
        <v/>
      </c>
      <c r="V156" s="55">
        <f>V42+V81+V120</f>
        <v/>
      </c>
      <c r="W156" s="55">
        <f>W42+W81+W120</f>
        <v/>
      </c>
      <c r="X156" s="55">
        <f>X42+X81+X120</f>
        <v/>
      </c>
      <c r="Y156" s="55">
        <f>Y42+Y81+Y120</f>
        <v/>
      </c>
      <c r="Z156" s="55">
        <f>Z42+Z81+Z120</f>
        <v/>
      </c>
      <c r="AA156" s="55">
        <f>AA42+AA81+AA120</f>
        <v/>
      </c>
      <c r="AB156" s="55">
        <f>AB42+AB81+AB120</f>
        <v/>
      </c>
      <c r="AC156" s="55">
        <f>AC42+AC81+AC120</f>
        <v/>
      </c>
      <c r="AD156" s="55">
        <f>AD42+AD81+AD120</f>
        <v/>
      </c>
      <c r="AE156" s="55">
        <f>AE42+AE81+AE120</f>
        <v/>
      </c>
    </row>
    <row r="157">
      <c r="A157" s="6" t="inlineStr">
        <is>
          <t>Cleared the six-payment gate</t>
        </is>
      </c>
      <c r="B157" s="23" t="inlineStr">
        <is>
          <t>-</t>
        </is>
      </c>
      <c r="C157" s="45">
        <f>C44+C83+C122</f>
        <v/>
      </c>
      <c r="D157" s="45">
        <f>D44+D83+D122</f>
        <v/>
      </c>
      <c r="E157" s="45">
        <f>E44+E83+E122</f>
        <v/>
      </c>
      <c r="F157" s="45">
        <f>F44+F83+F122</f>
        <v/>
      </c>
      <c r="G157" s="45">
        <f>G44+G83+G122</f>
        <v/>
      </c>
      <c r="H157" s="45">
        <f>H44+H83+H122</f>
        <v/>
      </c>
      <c r="I157" s="45">
        <f>I44+I83+I122</f>
        <v/>
      </c>
      <c r="J157" s="45">
        <f>J44+J83+J122</f>
        <v/>
      </c>
      <c r="K157" s="45">
        <f>K44+K83+K122</f>
        <v/>
      </c>
      <c r="L157" s="45">
        <f>L44+L83+L122</f>
        <v/>
      </c>
      <c r="M157" s="45">
        <f>M44+M83+M122</f>
        <v/>
      </c>
      <c r="N157" s="45">
        <f>N44+N83+N122</f>
        <v/>
      </c>
      <c r="O157" s="45">
        <f>O44+O83+O122</f>
        <v/>
      </c>
      <c r="P157" s="45">
        <f>P44+P83+P122</f>
        <v/>
      </c>
      <c r="Q157" s="45">
        <f>Q44+Q83+Q122</f>
        <v/>
      </c>
      <c r="R157" s="45">
        <f>R44+R83+R122</f>
        <v/>
      </c>
      <c r="S157" s="45">
        <f>S44+S83+S122</f>
        <v/>
      </c>
      <c r="T157" s="45">
        <f>T44+T83+T122</f>
        <v/>
      </c>
      <c r="U157" s="45">
        <f>U44+U83+U122</f>
        <v/>
      </c>
      <c r="V157" s="45">
        <f>V44+V83+V122</f>
        <v/>
      </c>
      <c r="W157" s="45">
        <f>W44+W83+W122</f>
        <v/>
      </c>
      <c r="X157" s="45">
        <f>X44+X83+X122</f>
        <v/>
      </c>
      <c r="Y157" s="45">
        <f>Y44+Y83+Y122</f>
        <v/>
      </c>
      <c r="Z157" s="45">
        <f>Z44+Z83+Z122</f>
        <v/>
      </c>
      <c r="AA157" s="45">
        <f>AA44+AA83+AA122</f>
        <v/>
      </c>
      <c r="AB157" s="45">
        <f>AB44+AB83+AB122</f>
        <v/>
      </c>
      <c r="AC157" s="45">
        <f>AC44+AC83+AC122</f>
        <v/>
      </c>
      <c r="AD157" s="45">
        <f>AD44+AD83+AD122</f>
        <v/>
      </c>
      <c r="AE157" s="45">
        <f>AE44+AE83+AE122</f>
        <v/>
      </c>
    </row>
    <row r="158">
      <c r="A158" s="6" t="inlineStr">
        <is>
          <t>SIP contributions</t>
        </is>
      </c>
      <c r="B158" s="23" t="inlineStr">
        <is>
          <t>-</t>
        </is>
      </c>
      <c r="C158" s="55">
        <f>C35+C74+C113</f>
        <v/>
      </c>
      <c r="D158" s="55">
        <f>D35+D74+D113</f>
        <v/>
      </c>
      <c r="E158" s="55">
        <f>E35+E74+E113</f>
        <v/>
      </c>
      <c r="F158" s="55">
        <f>F35+F74+F113</f>
        <v/>
      </c>
      <c r="G158" s="55">
        <f>G35+G74+G113</f>
        <v/>
      </c>
      <c r="H158" s="55">
        <f>H35+H74+H113</f>
        <v/>
      </c>
      <c r="I158" s="55">
        <f>I35+I74+I113</f>
        <v/>
      </c>
      <c r="J158" s="55">
        <f>J35+J74+J113</f>
        <v/>
      </c>
      <c r="K158" s="55">
        <f>K35+K74+K113</f>
        <v/>
      </c>
      <c r="L158" s="55">
        <f>L35+L74+L113</f>
        <v/>
      </c>
      <c r="M158" s="55">
        <f>M35+M74+M113</f>
        <v/>
      </c>
      <c r="N158" s="55">
        <f>N35+N74+N113</f>
        <v/>
      </c>
      <c r="O158" s="55">
        <f>O35+O74+O113</f>
        <v/>
      </c>
      <c r="P158" s="55">
        <f>P35+P74+P113</f>
        <v/>
      </c>
      <c r="Q158" s="55">
        <f>Q35+Q74+Q113</f>
        <v/>
      </c>
      <c r="R158" s="55">
        <f>R35+R74+R113</f>
        <v/>
      </c>
      <c r="S158" s="55">
        <f>S35+S74+S113</f>
        <v/>
      </c>
      <c r="T158" s="55">
        <f>T35+T74+T113</f>
        <v/>
      </c>
      <c r="U158" s="55">
        <f>U35+U74+U113</f>
        <v/>
      </c>
      <c r="V158" s="55">
        <f>V35+V74+V113</f>
        <v/>
      </c>
      <c r="W158" s="55">
        <f>W35+W74+W113</f>
        <v/>
      </c>
      <c r="X158" s="55">
        <f>X35+X74+X113</f>
        <v/>
      </c>
      <c r="Y158" s="55">
        <f>Y35+Y74+Y113</f>
        <v/>
      </c>
      <c r="Z158" s="55">
        <f>Z35+Z74+Z113</f>
        <v/>
      </c>
      <c r="AA158" s="55">
        <f>AA35+AA74+AA113</f>
        <v/>
      </c>
      <c r="AB158" s="55">
        <f>AB35+AB74+AB113</f>
        <v/>
      </c>
      <c r="AC158" s="55">
        <f>AC35+AC74+AC113</f>
        <v/>
      </c>
      <c r="AD158" s="55">
        <f>AD35+AD74+AD113</f>
        <v/>
      </c>
      <c r="AE158" s="55">
        <f>AE35+AE74+AE113</f>
        <v/>
      </c>
    </row>
    <row r="159">
      <c r="A159" s="6" t="inlineStr">
        <is>
          <t>Spot purchase volume</t>
        </is>
      </c>
      <c r="B159" s="23" t="inlineStr">
        <is>
          <t>-</t>
        </is>
      </c>
      <c r="C159" s="55">
        <f>C36+C75+C114</f>
        <v/>
      </c>
      <c r="D159" s="55">
        <f>D36+D75+D114</f>
        <v/>
      </c>
      <c r="E159" s="55">
        <f>E36+E75+E114</f>
        <v/>
      </c>
      <c r="F159" s="55">
        <f>F36+F75+F114</f>
        <v/>
      </c>
      <c r="G159" s="55">
        <f>G36+G75+G114</f>
        <v/>
      </c>
      <c r="H159" s="55">
        <f>H36+H75+H114</f>
        <v/>
      </c>
      <c r="I159" s="55">
        <f>I36+I75+I114</f>
        <v/>
      </c>
      <c r="J159" s="55">
        <f>J36+J75+J114</f>
        <v/>
      </c>
      <c r="K159" s="55">
        <f>K36+K75+K114</f>
        <v/>
      </c>
      <c r="L159" s="55">
        <f>L36+L75+L114</f>
        <v/>
      </c>
      <c r="M159" s="55">
        <f>M36+M75+M114</f>
        <v/>
      </c>
      <c r="N159" s="55">
        <f>N36+N75+N114</f>
        <v/>
      </c>
      <c r="O159" s="55">
        <f>O36+O75+O114</f>
        <v/>
      </c>
      <c r="P159" s="55">
        <f>P36+P75+P114</f>
        <v/>
      </c>
      <c r="Q159" s="55">
        <f>Q36+Q75+Q114</f>
        <v/>
      </c>
      <c r="R159" s="55">
        <f>R36+R75+R114</f>
        <v/>
      </c>
      <c r="S159" s="55">
        <f>S36+S75+S114</f>
        <v/>
      </c>
      <c r="T159" s="55">
        <f>T36+T75+T114</f>
        <v/>
      </c>
      <c r="U159" s="55">
        <f>U36+U75+U114</f>
        <v/>
      </c>
      <c r="V159" s="55">
        <f>V36+V75+V114</f>
        <v/>
      </c>
      <c r="W159" s="55">
        <f>W36+W75+W114</f>
        <v/>
      </c>
      <c r="X159" s="55">
        <f>X36+X75+X114</f>
        <v/>
      </c>
      <c r="Y159" s="55">
        <f>Y36+Y75+Y114</f>
        <v/>
      </c>
      <c r="Z159" s="55">
        <f>Z36+Z75+Z114</f>
        <v/>
      </c>
      <c r="AA159" s="55">
        <f>AA36+AA75+AA114</f>
        <v/>
      </c>
      <c r="AB159" s="55">
        <f>AB36+AB75+AB114</f>
        <v/>
      </c>
      <c r="AC159" s="55">
        <f>AC36+AC75+AC114</f>
        <v/>
      </c>
      <c r="AD159" s="55">
        <f>AD36+AD75+AD114</f>
        <v/>
      </c>
      <c r="AE159" s="55">
        <f>AE36+AE75+AE114</f>
        <v/>
      </c>
    </row>
    <row r="160">
      <c r="A160" s="6" t="inlineStr">
        <is>
          <t>Card spend</t>
        </is>
      </c>
      <c r="B160" s="23" t="inlineStr">
        <is>
          <t>-</t>
        </is>
      </c>
      <c r="C160" s="55">
        <f>C50+C89+C128</f>
        <v/>
      </c>
      <c r="D160" s="55">
        <f>D50+D89+D128</f>
        <v/>
      </c>
      <c r="E160" s="55">
        <f>E50+E89+E128</f>
        <v/>
      </c>
      <c r="F160" s="55">
        <f>F50+F89+F128</f>
        <v/>
      </c>
      <c r="G160" s="55">
        <f>G50+G89+G128</f>
        <v/>
      </c>
      <c r="H160" s="55">
        <f>H50+H89+H128</f>
        <v/>
      </c>
      <c r="I160" s="55">
        <f>I50+I89+I128</f>
        <v/>
      </c>
      <c r="J160" s="55">
        <f>J50+J89+J128</f>
        <v/>
      </c>
      <c r="K160" s="55">
        <f>K50+K89+K128</f>
        <v/>
      </c>
      <c r="L160" s="55">
        <f>L50+L89+L128</f>
        <v/>
      </c>
      <c r="M160" s="55">
        <f>M50+M89+M128</f>
        <v/>
      </c>
      <c r="N160" s="55">
        <f>N50+N89+N128</f>
        <v/>
      </c>
      <c r="O160" s="55">
        <f>O50+O89+O128</f>
        <v/>
      </c>
      <c r="P160" s="55">
        <f>P50+P89+P128</f>
        <v/>
      </c>
      <c r="Q160" s="55">
        <f>Q50+Q89+Q128</f>
        <v/>
      </c>
      <c r="R160" s="55">
        <f>R50+R89+R128</f>
        <v/>
      </c>
      <c r="S160" s="55">
        <f>S50+S89+S128</f>
        <v/>
      </c>
      <c r="T160" s="55">
        <f>T50+T89+T128</f>
        <v/>
      </c>
      <c r="U160" s="55">
        <f>U50+U89+U128</f>
        <v/>
      </c>
      <c r="V160" s="55">
        <f>V50+V89+V128</f>
        <v/>
      </c>
      <c r="W160" s="55">
        <f>W50+W89+W128</f>
        <v/>
      </c>
      <c r="X160" s="55">
        <f>X50+X89+X128</f>
        <v/>
      </c>
      <c r="Y160" s="55">
        <f>Y50+Y89+Y128</f>
        <v/>
      </c>
      <c r="Z160" s="55">
        <f>Z50+Z89+Z128</f>
        <v/>
      </c>
      <c r="AA160" s="55">
        <f>AA50+AA89+AA128</f>
        <v/>
      </c>
      <c r="AB160" s="55">
        <f>AB50+AB89+AB128</f>
        <v/>
      </c>
      <c r="AC160" s="55">
        <f>AC50+AC89+AC128</f>
        <v/>
      </c>
      <c r="AD160" s="55">
        <f>AD50+AD89+AD128</f>
        <v/>
      </c>
      <c r="AE160" s="55">
        <f>AE50+AE89+AE128</f>
        <v/>
      </c>
    </row>
    <row r="161">
      <c r="A161" s="6" t="inlineStr">
        <is>
          <t>GOLD UNDER CUSTODY (comparable headline)</t>
        </is>
      </c>
      <c r="B161" s="23" t="inlineStr">
        <is>
          <t>USD</t>
        </is>
      </c>
      <c r="C161" s="57">
        <f>C154*C21</f>
        <v/>
      </c>
      <c r="D161" s="57">
        <f>D154*D21</f>
        <v/>
      </c>
      <c r="E161" s="57">
        <f>E154*E21</f>
        <v/>
      </c>
      <c r="F161" s="57">
        <f>F154*F21</f>
        <v/>
      </c>
      <c r="G161" s="57">
        <f>G154*G21</f>
        <v/>
      </c>
      <c r="H161" s="57">
        <f>H154*H21</f>
        <v/>
      </c>
      <c r="I161" s="57">
        <f>I154*I21</f>
        <v/>
      </c>
      <c r="J161" s="57">
        <f>J154*J21</f>
        <v/>
      </c>
      <c r="K161" s="57">
        <f>K154*K21</f>
        <v/>
      </c>
      <c r="L161" s="57">
        <f>L154*L21</f>
        <v/>
      </c>
      <c r="M161" s="57">
        <f>M154*M21</f>
        <v/>
      </c>
      <c r="N161" s="57">
        <f>N154*N21</f>
        <v/>
      </c>
      <c r="O161" s="57">
        <f>O154*O21</f>
        <v/>
      </c>
      <c r="P161" s="57">
        <f>P154*P21</f>
        <v/>
      </c>
      <c r="Q161" s="57">
        <f>Q154*Q21</f>
        <v/>
      </c>
      <c r="R161" s="57">
        <f>R154*R21</f>
        <v/>
      </c>
      <c r="S161" s="57">
        <f>S154*S21</f>
        <v/>
      </c>
      <c r="T161" s="57">
        <f>T154*T21</f>
        <v/>
      </c>
      <c r="U161" s="57">
        <f>U154*U21</f>
        <v/>
      </c>
      <c r="V161" s="57">
        <f>V154*V21</f>
        <v/>
      </c>
      <c r="W161" s="57">
        <f>W154*W21</f>
        <v/>
      </c>
      <c r="X161" s="57">
        <f>X154*X21</f>
        <v/>
      </c>
      <c r="Y161" s="57">
        <f>Y154*Y21</f>
        <v/>
      </c>
      <c r="Z161" s="57">
        <f>Z154*Z21</f>
        <v/>
      </c>
      <c r="AA161" s="57">
        <f>AA154*AA21</f>
        <v/>
      </c>
      <c r="AB161" s="57">
        <f>AB154*AB21</f>
        <v/>
      </c>
      <c r="AC161" s="57">
        <f>AC154*AC21</f>
        <v/>
      </c>
      <c r="AD161" s="57">
        <f>AD154*AD21</f>
        <v/>
      </c>
      <c r="AE161" s="57">
        <f>AE154*AE21</f>
        <v/>
      </c>
    </row>
    <row r="162">
      <c r="A162" s="9" t="inlineStr">
        <is>
          <t>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 COMPARE IN GRAMS, NOT DOLLARS: every published USD figure carries the gold price of its own vintage, so a comparison in dollars is really a comparison of gold prices. Comtech Gold, the closest comparable - Dubai, DMCC-licensed, tokenised gold - holds ~141,000 g.</t>
        </is>
      </c>
    </row>
    <row r="163">
      <c r="A163" s="6" t="inlineStr">
        <is>
          <t xml:space="preserve">  Gold under custody at the CONSTANT M1 price (memo)</t>
        </is>
      </c>
      <c r="B163" s="23" t="inlineStr">
        <is>
          <t>USD</t>
        </is>
      </c>
      <c r="C163" s="55">
        <f>C154*Assumptions!$B$6</f>
        <v/>
      </c>
      <c r="D163" s="55">
        <f>D154*Assumptions!$B$6</f>
        <v/>
      </c>
      <c r="E163" s="55">
        <f>E154*Assumptions!$B$6</f>
        <v/>
      </c>
      <c r="F163" s="55">
        <f>F154*Assumptions!$B$6</f>
        <v/>
      </c>
      <c r="G163" s="55">
        <f>G154*Assumptions!$B$6</f>
        <v/>
      </c>
      <c r="H163" s="55">
        <f>H154*Assumptions!$B$6</f>
        <v/>
      </c>
      <c r="I163" s="55">
        <f>I154*Assumptions!$B$6</f>
        <v/>
      </c>
      <c r="J163" s="55">
        <f>J154*Assumptions!$B$6</f>
        <v/>
      </c>
      <c r="K163" s="55">
        <f>K154*Assumptions!$B$6</f>
        <v/>
      </c>
      <c r="L163" s="55">
        <f>L154*Assumptions!$B$6</f>
        <v/>
      </c>
      <c r="M163" s="55">
        <f>M154*Assumptions!$B$6</f>
        <v/>
      </c>
      <c r="N163" s="55">
        <f>N154*Assumptions!$B$6</f>
        <v/>
      </c>
      <c r="O163" s="55">
        <f>O154*Assumptions!$B$6</f>
        <v/>
      </c>
      <c r="P163" s="55">
        <f>P154*Assumptions!$B$6</f>
        <v/>
      </c>
      <c r="Q163" s="55">
        <f>Q154*Assumptions!$B$6</f>
        <v/>
      </c>
      <c r="R163" s="55">
        <f>R154*Assumptions!$B$6</f>
        <v/>
      </c>
      <c r="S163" s="55">
        <f>S154*Assumptions!$B$6</f>
        <v/>
      </c>
      <c r="T163" s="55">
        <f>T154*Assumptions!$B$6</f>
        <v/>
      </c>
      <c r="U163" s="55">
        <f>U154*Assumptions!$B$6</f>
        <v/>
      </c>
      <c r="V163" s="55">
        <f>V154*Assumptions!$B$6</f>
        <v/>
      </c>
      <c r="W163" s="55">
        <f>W154*Assumptions!$B$6</f>
        <v/>
      </c>
      <c r="X163" s="55">
        <f>X154*Assumptions!$B$6</f>
        <v/>
      </c>
      <c r="Y163" s="55">
        <f>Y154*Assumptions!$B$6</f>
        <v/>
      </c>
      <c r="Z163" s="55">
        <f>Z154*Assumptions!$B$6</f>
        <v/>
      </c>
      <c r="AA163" s="55">
        <f>AA154*Assumptions!$B$6</f>
        <v/>
      </c>
      <c r="AB163" s="55">
        <f>AB154*Assumptions!$B$6</f>
        <v/>
      </c>
      <c r="AC163" s="55">
        <f>AC154*Assumptions!$B$6</f>
        <v/>
      </c>
      <c r="AD163" s="55">
        <f>AD154*Assumptions!$B$6</f>
        <v/>
      </c>
      <c r="AE163" s="55">
        <f>AE154*Assumptions!$B$6</f>
        <v/>
      </c>
    </row>
    <row r="164">
      <c r="A164" s="6" t="inlineStr">
        <is>
          <t xml:space="preserve">  of which is the metal moving, not the business</t>
        </is>
      </c>
      <c r="B164" s="23" t="inlineStr">
        <is>
          <t>USD</t>
        </is>
      </c>
      <c r="C164" s="55">
        <f>C161-C163</f>
        <v/>
      </c>
      <c r="D164" s="55">
        <f>D161-D163</f>
        <v/>
      </c>
      <c r="E164" s="55">
        <f>E161-E163</f>
        <v/>
      </c>
      <c r="F164" s="55">
        <f>F161-F163</f>
        <v/>
      </c>
      <c r="G164" s="55">
        <f>G161-G163</f>
        <v/>
      </c>
      <c r="H164" s="55">
        <f>H161-H163</f>
        <v/>
      </c>
      <c r="I164" s="55">
        <f>I161-I163</f>
        <v/>
      </c>
      <c r="J164" s="55">
        <f>J161-J163</f>
        <v/>
      </c>
      <c r="K164" s="55">
        <f>K161-K163</f>
        <v/>
      </c>
      <c r="L164" s="55">
        <f>L161-L163</f>
        <v/>
      </c>
      <c r="M164" s="55">
        <f>M161-M163</f>
        <v/>
      </c>
      <c r="N164" s="55">
        <f>N161-N163</f>
        <v/>
      </c>
      <c r="O164" s="55">
        <f>O161-O163</f>
        <v/>
      </c>
      <c r="P164" s="55">
        <f>P161-P163</f>
        <v/>
      </c>
      <c r="Q164" s="55">
        <f>Q161-Q163</f>
        <v/>
      </c>
      <c r="R164" s="55">
        <f>R161-R163</f>
        <v/>
      </c>
      <c r="S164" s="55">
        <f>S161-S163</f>
        <v/>
      </c>
      <c r="T164" s="55">
        <f>T161-T163</f>
        <v/>
      </c>
      <c r="U164" s="55">
        <f>U161-U163</f>
        <v/>
      </c>
      <c r="V164" s="55">
        <f>V161-V163</f>
        <v/>
      </c>
      <c r="W164" s="55">
        <f>W161-W163</f>
        <v/>
      </c>
      <c r="X164" s="55">
        <f>X161-X163</f>
        <v/>
      </c>
      <c r="Y164" s="55">
        <f>Y161-Y163</f>
        <v/>
      </c>
      <c r="Z164" s="55">
        <f>Z161-Z163</f>
        <v/>
      </c>
      <c r="AA164" s="55">
        <f>AA161-AA163</f>
        <v/>
      </c>
      <c r="AB164" s="55">
        <f>AB161-AB163</f>
        <v/>
      </c>
      <c r="AC164" s="55">
        <f>AC161-AC163</f>
        <v/>
      </c>
      <c r="AD164" s="55">
        <f>AD161-AD163</f>
        <v/>
      </c>
      <c r="AE164" s="55">
        <f>AE161-AE163</f>
        <v/>
      </c>
    </row>
    <row r="165">
      <c r="A165" s="9" t="inlineStr">
        <is>
          <t>THE HONEST SERIES FOR JUDGING EXECUTION is the constant-price row: it strips the gold price out and leaves grams accumulated, which is the part Aurumix controls. The headline above will grow even if the business does not. ⚠ SET GOLD APPRECIATION TO THE CONSERVATIVE SCENARIO (0.0%) TO RECOVER THE ORIGINAL FLAT-PRICE MODEL, under which these two rows are identical by construction.</t>
        </is>
      </c>
    </row>
    <row r="166">
      <c r="A166" s="6" t="inlineStr">
        <is>
          <t>CHECK: paying + holders = cumulative ever acquired</t>
        </is>
      </c>
      <c r="B166" s="23" t="inlineStr">
        <is>
          <t>delta</t>
        </is>
      </c>
      <c r="C166" s="59">
        <f>C148+C149-C150</f>
        <v/>
      </c>
      <c r="D166" s="59">
        <f>D148+D149-D150</f>
        <v/>
      </c>
      <c r="E166" s="59">
        <f>E148+E149-E150</f>
        <v/>
      </c>
      <c r="F166" s="59">
        <f>F148+F149-F150</f>
        <v/>
      </c>
      <c r="G166" s="59">
        <f>G148+G149-G150</f>
        <v/>
      </c>
      <c r="H166" s="59">
        <f>H148+H149-H150</f>
        <v/>
      </c>
      <c r="I166" s="59">
        <f>I148+I149-I150</f>
        <v/>
      </c>
      <c r="J166" s="59">
        <f>J148+J149-J150</f>
        <v/>
      </c>
      <c r="K166" s="59">
        <f>K148+K149-K150</f>
        <v/>
      </c>
      <c r="L166" s="59">
        <f>L148+L149-L150</f>
        <v/>
      </c>
      <c r="M166" s="59">
        <f>M148+M149-M150</f>
        <v/>
      </c>
      <c r="N166" s="59">
        <f>N148+N149-N150</f>
        <v/>
      </c>
      <c r="O166" s="59">
        <f>O148+O149-O150</f>
        <v/>
      </c>
      <c r="P166" s="59">
        <f>P148+P149-P150</f>
        <v/>
      </c>
      <c r="Q166" s="59">
        <f>Q148+Q149-Q150</f>
        <v/>
      </c>
      <c r="R166" s="59">
        <f>R148+R149-R150</f>
        <v/>
      </c>
      <c r="S166" s="59">
        <f>S148+S149-S150</f>
        <v/>
      </c>
      <c r="T166" s="59">
        <f>T148+T149-T150</f>
        <v/>
      </c>
      <c r="U166" s="59">
        <f>U148+U149-U150</f>
        <v/>
      </c>
      <c r="V166" s="59">
        <f>V148+V149-V150</f>
        <v/>
      </c>
      <c r="W166" s="59">
        <f>W148+W149-W150</f>
        <v/>
      </c>
      <c r="X166" s="59">
        <f>X148+X149-X150</f>
        <v/>
      </c>
      <c r="Y166" s="59">
        <f>Y148+Y149-Y150</f>
        <v/>
      </c>
      <c r="Z166" s="59">
        <f>Z148+Z149-Z150</f>
        <v/>
      </c>
      <c r="AA166" s="59">
        <f>AA148+AA149-AA150</f>
        <v/>
      </c>
      <c r="AB166" s="59">
        <f>AB148+AB149-AB150</f>
        <v/>
      </c>
      <c r="AC166" s="59">
        <f>AC148+AC149-AC150</f>
        <v/>
      </c>
      <c r="AD166" s="59">
        <f>AD148+AD149-AD150</f>
        <v/>
      </c>
      <c r="AE166" s="59">
        <f>AE148+AE149-AE150</f>
        <v/>
      </c>
    </row>
    <row r="167">
      <c r="A167" s="6" t="inlineStr">
        <is>
          <t>CHECK: custody &gt;= collateral-eligible (must be &gt;= 0)</t>
        </is>
      </c>
      <c r="B167" s="23" t="inlineStr">
        <is>
          <t>grams</t>
        </is>
      </c>
      <c r="C167" s="59">
        <f>C154-C153</f>
        <v/>
      </c>
      <c r="D167" s="59">
        <f>D154-D153</f>
        <v/>
      </c>
      <c r="E167" s="59">
        <f>E154-E153</f>
        <v/>
      </c>
      <c r="F167" s="59">
        <f>F154-F153</f>
        <v/>
      </c>
      <c r="G167" s="59">
        <f>G154-G153</f>
        <v/>
      </c>
      <c r="H167" s="59">
        <f>H154-H153</f>
        <v/>
      </c>
      <c r="I167" s="59">
        <f>I154-I153</f>
        <v/>
      </c>
      <c r="J167" s="59">
        <f>J154-J153</f>
        <v/>
      </c>
      <c r="K167" s="59">
        <f>K154-K153</f>
        <v/>
      </c>
      <c r="L167" s="59">
        <f>L154-L153</f>
        <v/>
      </c>
      <c r="M167" s="59">
        <f>M154-M153</f>
        <v/>
      </c>
      <c r="N167" s="59">
        <f>N154-N153</f>
        <v/>
      </c>
      <c r="O167" s="59">
        <f>O154-O153</f>
        <v/>
      </c>
      <c r="P167" s="59">
        <f>P154-P153</f>
        <v/>
      </c>
      <c r="Q167" s="59">
        <f>Q154-Q153</f>
        <v/>
      </c>
      <c r="R167" s="59">
        <f>R154-R153</f>
        <v/>
      </c>
      <c r="S167" s="59">
        <f>S154-S153</f>
        <v/>
      </c>
      <c r="T167" s="59">
        <f>T154-T153</f>
        <v/>
      </c>
      <c r="U167" s="59">
        <f>U154-U153</f>
        <v/>
      </c>
      <c r="V167" s="59">
        <f>V154-V153</f>
        <v/>
      </c>
      <c r="W167" s="59">
        <f>W154-W153</f>
        <v/>
      </c>
      <c r="X167" s="59">
        <f>X154-X153</f>
        <v/>
      </c>
      <c r="Y167" s="59">
        <f>Y154-Y153</f>
        <v/>
      </c>
      <c r="Z167" s="59">
        <f>Z154-Z153</f>
        <v/>
      </c>
      <c r="AA167" s="59">
        <f>AA154-AA153</f>
        <v/>
      </c>
      <c r="AB167" s="59">
        <f>AB154-AB153</f>
        <v/>
      </c>
      <c r="AC167" s="59">
        <f>AC154-AC153</f>
        <v/>
      </c>
      <c r="AD167" s="59">
        <f>AD154-AD153</f>
        <v/>
      </c>
      <c r="AE167" s="59">
        <f>AE154-AE153</f>
        <v/>
      </c>
    </row>
    <row r="168">
      <c r="A168" s="6" t="inlineStr">
        <is>
          <t xml:space="preserve">  Collateral-eligible AUM per paying customer (memo)</t>
        </is>
      </c>
      <c r="B168" s="23" t="inlineStr">
        <is>
          <t>USD</t>
        </is>
      </c>
      <c r="C168" s="55">
        <f>IF(C148=0,0,C156/C148)</f>
        <v/>
      </c>
      <c r="D168" s="55">
        <f>IF(D148=0,0,D156/D148)</f>
        <v/>
      </c>
      <c r="E168" s="55">
        <f>IF(E148=0,0,E156/E148)</f>
        <v/>
      </c>
      <c r="F168" s="55">
        <f>IF(F148=0,0,F156/F148)</f>
        <v/>
      </c>
      <c r="G168" s="55">
        <f>IF(G148=0,0,G156/G148)</f>
        <v/>
      </c>
      <c r="H168" s="55">
        <f>IF(H148=0,0,H156/H148)</f>
        <v/>
      </c>
      <c r="I168" s="55">
        <f>IF(I148=0,0,I156/I148)</f>
        <v/>
      </c>
      <c r="J168" s="55">
        <f>IF(J148=0,0,J156/J148)</f>
        <v/>
      </c>
      <c r="K168" s="55">
        <f>IF(K148=0,0,K156/K148)</f>
        <v/>
      </c>
      <c r="L168" s="55">
        <f>IF(L148=0,0,L156/L148)</f>
        <v/>
      </c>
      <c r="M168" s="55">
        <f>IF(M148=0,0,M156/M148)</f>
        <v/>
      </c>
      <c r="N168" s="55">
        <f>IF(N148=0,0,N156/N148)</f>
        <v/>
      </c>
      <c r="O168" s="55">
        <f>IF(O148=0,0,O156/O148)</f>
        <v/>
      </c>
      <c r="P168" s="55">
        <f>IF(P148=0,0,P156/P148)</f>
        <v/>
      </c>
      <c r="Q168" s="55">
        <f>IF(Q148=0,0,Q156/Q148)</f>
        <v/>
      </c>
      <c r="R168" s="55">
        <f>IF(R148=0,0,R156/R148)</f>
        <v/>
      </c>
      <c r="S168" s="55">
        <f>IF(S148=0,0,S156/S148)</f>
        <v/>
      </c>
      <c r="T168" s="55">
        <f>IF(T148=0,0,T156/T148)</f>
        <v/>
      </c>
      <c r="U168" s="55">
        <f>IF(U148=0,0,U156/U148)</f>
        <v/>
      </c>
      <c r="V168" s="55">
        <f>IF(V148=0,0,V156/V148)</f>
        <v/>
      </c>
      <c r="W168" s="55">
        <f>IF(W148=0,0,W156/W148)</f>
        <v/>
      </c>
      <c r="X168" s="55">
        <f>IF(X148=0,0,X156/X148)</f>
        <v/>
      </c>
      <c r="Y168" s="55">
        <f>IF(Y148=0,0,Y156/Y148)</f>
        <v/>
      </c>
      <c r="Z168" s="55">
        <f>IF(Z148=0,0,Z156/Z148)</f>
        <v/>
      </c>
      <c r="AA168" s="55">
        <f>IF(AA148=0,0,AA156/AA148)</f>
        <v/>
      </c>
      <c r="AB168" s="55">
        <f>IF(AB148=0,0,AB156/AB148)</f>
        <v/>
      </c>
      <c r="AC168" s="55">
        <f>IF(AC148=0,0,AC156/AC148)</f>
        <v/>
      </c>
      <c r="AD168" s="55">
        <f>IF(AD148=0,0,AD156/AD148)</f>
        <v/>
      </c>
      <c r="AE168" s="55">
        <f>IF(AE148=0,0,AE156/AE148)</f>
        <v/>
      </c>
    </row>
    <row r="169">
      <c r="A169" s="6" t="inlineStr">
        <is>
          <t xml:space="preserve">  Total credit capacity across cardholders (memo)</t>
        </is>
      </c>
      <c r="B169" s="23" t="inlineStr">
        <is>
          <t>USD</t>
        </is>
      </c>
      <c r="C169" s="55">
        <f>C45*C46+C84*C85+C123*C124</f>
        <v/>
      </c>
      <c r="D169" s="55">
        <f>D45*D46+D84*D85+D123*D124</f>
        <v/>
      </c>
      <c r="E169" s="55">
        <f>E45*E46+E84*E85+E123*E124</f>
        <v/>
      </c>
      <c r="F169" s="55">
        <f>F45*F46+F84*F85+F123*F124</f>
        <v/>
      </c>
      <c r="G169" s="55">
        <f>G45*G46+G84*G85+G123*G124</f>
        <v/>
      </c>
      <c r="H169" s="55">
        <f>H45*H46+H84*H85+H123*H124</f>
        <v/>
      </c>
      <c r="I169" s="55">
        <f>I45*I46+I84*I85+I123*I124</f>
        <v/>
      </c>
      <c r="J169" s="55">
        <f>J45*J46+J84*J85+J123*J124</f>
        <v/>
      </c>
      <c r="K169" s="55">
        <f>K45*K46+K84*K85+K123*K124</f>
        <v/>
      </c>
      <c r="L169" s="55">
        <f>L45*L46+L84*L85+L123*L124</f>
        <v/>
      </c>
      <c r="M169" s="55">
        <f>M45*M46+M84*M85+M123*M124</f>
        <v/>
      </c>
      <c r="N169" s="55">
        <f>N45*N46+N84*N85+N123*N124</f>
        <v/>
      </c>
      <c r="O169" s="55">
        <f>O45*O46+O84*O85+O123*O124</f>
        <v/>
      </c>
      <c r="P169" s="55">
        <f>P45*P46+P84*P85+P123*P124</f>
        <v/>
      </c>
      <c r="Q169" s="55">
        <f>Q45*Q46+Q84*Q85+Q123*Q124</f>
        <v/>
      </c>
      <c r="R169" s="55">
        <f>R45*R46+R84*R85+R123*R124</f>
        <v/>
      </c>
      <c r="S169" s="55">
        <f>S45*S46+S84*S85+S123*S124</f>
        <v/>
      </c>
      <c r="T169" s="55">
        <f>T45*T46+T84*T85+T123*T124</f>
        <v/>
      </c>
      <c r="U169" s="55">
        <f>U45*U46+U84*U85+U123*U124</f>
        <v/>
      </c>
      <c r="V169" s="55">
        <f>V45*V46+V84*V85+V123*V124</f>
        <v/>
      </c>
      <c r="W169" s="55">
        <f>W45*W46+W84*W85+W123*W124</f>
        <v/>
      </c>
      <c r="X169" s="55">
        <f>X45*X46+X84*X85+X123*X124</f>
        <v/>
      </c>
      <c r="Y169" s="55">
        <f>Y45*Y46+Y84*Y85+Y123*Y124</f>
        <v/>
      </c>
      <c r="Z169" s="55">
        <f>Z45*Z46+Z84*Z85+Z123*Z124</f>
        <v/>
      </c>
      <c r="AA169" s="55">
        <f>AA45*AA46+AA84*AA85+AA123*AA124</f>
        <v/>
      </c>
      <c r="AB169" s="55">
        <f>AB45*AB46+AB84*AB85+AB123*AB124</f>
        <v/>
      </c>
      <c r="AC169" s="55">
        <f>AC45*AC46+AC84*AC85+AC123*AC124</f>
        <v/>
      </c>
      <c r="AD169" s="55">
        <f>AD45*AD46+AD84*AD85+AD123*AD124</f>
        <v/>
      </c>
      <c r="AE169" s="55">
        <f>AE45*AE46+AE84*AE85+AE123*AE124</f>
        <v/>
      </c>
    </row>
    <row r="170">
      <c r="A170" s="6" t="inlineStr">
        <is>
          <t xml:space="preserve">  CHECK: card spend vs credit capacity (must be &lt;= 1.00)</t>
        </is>
      </c>
      <c r="B170" s="23" t="inlineStr">
        <is>
          <t>x</t>
        </is>
      </c>
      <c r="C170" s="60">
        <f>IF(C169=0,0,((C50+C89+C128)/C7)/C169)</f>
        <v/>
      </c>
      <c r="D170" s="60">
        <f>IF(D169=0,0,((D50+D89+D128)/D7)/D169)</f>
        <v/>
      </c>
      <c r="E170" s="60">
        <f>IF(E169=0,0,((E50+E89+E128)/E7)/E169)</f>
        <v/>
      </c>
      <c r="F170" s="60">
        <f>IF(F169=0,0,((F50+F89+F128)/F7)/F169)</f>
        <v/>
      </c>
      <c r="G170" s="60">
        <f>IF(G169=0,0,((G50+G89+G128)/G7)/G169)</f>
        <v/>
      </c>
      <c r="H170" s="60">
        <f>IF(H169=0,0,((H50+H89+H128)/H7)/H169)</f>
        <v/>
      </c>
      <c r="I170" s="60">
        <f>IF(I169=0,0,((I50+I89+I128)/I7)/I169)</f>
        <v/>
      </c>
      <c r="J170" s="60">
        <f>IF(J169=0,0,((J50+J89+J128)/J7)/J169)</f>
        <v/>
      </c>
      <c r="K170" s="60">
        <f>IF(K169=0,0,((K50+K89+K128)/K7)/K169)</f>
        <v/>
      </c>
      <c r="L170" s="60">
        <f>IF(L169=0,0,((L50+L89+L128)/L7)/L169)</f>
        <v/>
      </c>
      <c r="M170" s="60">
        <f>IF(M169=0,0,((M50+M89+M128)/M7)/M169)</f>
        <v/>
      </c>
      <c r="N170" s="60">
        <f>IF(N169=0,0,((N50+N89+N128)/N7)/N169)</f>
        <v/>
      </c>
      <c r="O170" s="60">
        <f>IF(O169=0,0,((O50+O89+O128)/O7)/O169)</f>
        <v/>
      </c>
      <c r="P170" s="60">
        <f>IF(P169=0,0,((P50+P89+P128)/P7)/P169)</f>
        <v/>
      </c>
      <c r="Q170" s="60">
        <f>IF(Q169=0,0,((Q50+Q89+Q128)/Q7)/Q169)</f>
        <v/>
      </c>
      <c r="R170" s="60">
        <f>IF(R169=0,0,((R50+R89+R128)/R7)/R169)</f>
        <v/>
      </c>
      <c r="S170" s="60">
        <f>IF(S169=0,0,((S50+S89+S128)/S7)/S169)</f>
        <v/>
      </c>
      <c r="T170" s="60">
        <f>IF(T169=0,0,((T50+T89+T128)/T7)/T169)</f>
        <v/>
      </c>
      <c r="U170" s="60">
        <f>IF(U169=0,0,((U50+U89+U128)/U7)/U169)</f>
        <v/>
      </c>
      <c r="V170" s="60">
        <f>IF(V169=0,0,((V50+V89+V128)/V7)/V169)</f>
        <v/>
      </c>
      <c r="W170" s="60">
        <f>IF(W169=0,0,((W50+W89+W128)/W7)/W169)</f>
        <v/>
      </c>
      <c r="X170" s="60">
        <f>IF(X169=0,0,((X50+X89+X128)/X7)/X169)</f>
        <v/>
      </c>
      <c r="Y170" s="60">
        <f>IF(Y169=0,0,((Y50+Y89+Y128)/Y7)/Y169)</f>
        <v/>
      </c>
      <c r="Z170" s="60">
        <f>IF(Z169=0,0,((Z50+Z89+Z128)/Z7)/Z169)</f>
        <v/>
      </c>
      <c r="AA170" s="60">
        <f>IF(AA169=0,0,((AA50+AA89+AA128)/AA7)/AA169)</f>
        <v/>
      </c>
      <c r="AB170" s="60">
        <f>IF(AB169=0,0,((AB50+AB89+AB128)/AB7)/AB169)</f>
        <v/>
      </c>
      <c r="AC170" s="60">
        <f>IF(AC169=0,0,((AC50+AC89+AC128)/AC7)/AC169)</f>
        <v/>
      </c>
      <c r="AD170" s="60">
        <f>IF(AD169=0,0,((AD50+AD89+AD128)/AD7)/AD169)</f>
        <v/>
      </c>
      <c r="AE170" s="60">
        <f>IF(AE169=0,0,((AE50+AE89+AE128)/AE7)/AE169)</f>
        <v/>
      </c>
    </row>
    <row r="172">
      <c r="A172" s="6" t="inlineStr">
        <is>
          <t>Stream 1a - Entry fee, SIP</t>
        </is>
      </c>
      <c r="B172" s="23" t="inlineStr">
        <is>
          <t>USD</t>
        </is>
      </c>
      <c r="C172" s="55">
        <f>C53+C92+C131</f>
        <v/>
      </c>
      <c r="D172" s="55">
        <f>D53+D92+D131</f>
        <v/>
      </c>
      <c r="E172" s="55">
        <f>E53+E92+E131</f>
        <v/>
      </c>
      <c r="F172" s="55">
        <f>F53+F92+F131</f>
        <v/>
      </c>
      <c r="G172" s="55">
        <f>G53+G92+G131</f>
        <v/>
      </c>
      <c r="H172" s="55">
        <f>H53+H92+H131</f>
        <v/>
      </c>
      <c r="I172" s="55">
        <f>I53+I92+I131</f>
        <v/>
      </c>
      <c r="J172" s="55">
        <f>J53+J92+J131</f>
        <v/>
      </c>
      <c r="K172" s="55">
        <f>K53+K92+K131</f>
        <v/>
      </c>
      <c r="L172" s="55">
        <f>L53+L92+L131</f>
        <v/>
      </c>
      <c r="M172" s="55">
        <f>M53+M92+M131</f>
        <v/>
      </c>
      <c r="N172" s="55">
        <f>N53+N92+N131</f>
        <v/>
      </c>
      <c r="O172" s="55">
        <f>O53+O92+O131</f>
        <v/>
      </c>
      <c r="P172" s="55">
        <f>P53+P92+P131</f>
        <v/>
      </c>
      <c r="Q172" s="55">
        <f>Q53+Q92+Q131</f>
        <v/>
      </c>
      <c r="R172" s="55">
        <f>R53+R92+R131</f>
        <v/>
      </c>
      <c r="S172" s="55">
        <f>S53+S92+S131</f>
        <v/>
      </c>
      <c r="T172" s="55">
        <f>T53+T92+T131</f>
        <v/>
      </c>
      <c r="U172" s="55">
        <f>U53+U92+U131</f>
        <v/>
      </c>
      <c r="V172" s="55">
        <f>V53+V92+V131</f>
        <v/>
      </c>
      <c r="W172" s="55">
        <f>W53+W92+W131</f>
        <v/>
      </c>
      <c r="X172" s="55">
        <f>X53+X92+X131</f>
        <v/>
      </c>
      <c r="Y172" s="55">
        <f>Y53+Y92+Y131</f>
        <v/>
      </c>
      <c r="Z172" s="55">
        <f>Z53+Z92+Z131</f>
        <v/>
      </c>
      <c r="AA172" s="55">
        <f>AA53+AA92+AA131</f>
        <v/>
      </c>
      <c r="AB172" s="55">
        <f>AB53+AB92+AB131</f>
        <v/>
      </c>
      <c r="AC172" s="55">
        <f>AC53+AC92+AC131</f>
        <v/>
      </c>
      <c r="AD172" s="55">
        <f>AD53+AD92+AD131</f>
        <v/>
      </c>
      <c r="AE172" s="55">
        <f>AE53+AE92+AE131</f>
        <v/>
      </c>
    </row>
    <row r="173">
      <c r="A173" s="6" t="inlineStr">
        <is>
          <t>Stream 1b - Entry fee, SPOT</t>
        </is>
      </c>
      <c r="B173" s="23" t="inlineStr">
        <is>
          <t>USD</t>
        </is>
      </c>
      <c r="C173" s="55">
        <f>C54+C93+C132</f>
        <v/>
      </c>
      <c r="D173" s="55">
        <f>D54+D93+D132</f>
        <v/>
      </c>
      <c r="E173" s="55">
        <f>E54+E93+E132</f>
        <v/>
      </c>
      <c r="F173" s="55">
        <f>F54+F93+F132</f>
        <v/>
      </c>
      <c r="G173" s="55">
        <f>G54+G93+G132</f>
        <v/>
      </c>
      <c r="H173" s="55">
        <f>H54+H93+H132</f>
        <v/>
      </c>
      <c r="I173" s="55">
        <f>I54+I93+I132</f>
        <v/>
      </c>
      <c r="J173" s="55">
        <f>J54+J93+J132</f>
        <v/>
      </c>
      <c r="K173" s="55">
        <f>K54+K93+K132</f>
        <v/>
      </c>
      <c r="L173" s="55">
        <f>L54+L93+L132</f>
        <v/>
      </c>
      <c r="M173" s="55">
        <f>M54+M93+M132</f>
        <v/>
      </c>
      <c r="N173" s="55">
        <f>N54+N93+N132</f>
        <v/>
      </c>
      <c r="O173" s="55">
        <f>O54+O93+O132</f>
        <v/>
      </c>
      <c r="P173" s="55">
        <f>P54+P93+P132</f>
        <v/>
      </c>
      <c r="Q173" s="55">
        <f>Q54+Q93+Q132</f>
        <v/>
      </c>
      <c r="R173" s="55">
        <f>R54+R93+R132</f>
        <v/>
      </c>
      <c r="S173" s="55">
        <f>S54+S93+S132</f>
        <v/>
      </c>
      <c r="T173" s="55">
        <f>T54+T93+T132</f>
        <v/>
      </c>
      <c r="U173" s="55">
        <f>U54+U93+U132</f>
        <v/>
      </c>
      <c r="V173" s="55">
        <f>V54+V93+V132</f>
        <v/>
      </c>
      <c r="W173" s="55">
        <f>W54+W93+W132</f>
        <v/>
      </c>
      <c r="X173" s="55">
        <f>X54+X93+X132</f>
        <v/>
      </c>
      <c r="Y173" s="55">
        <f>Y54+Y93+Y132</f>
        <v/>
      </c>
      <c r="Z173" s="55">
        <f>Z54+Z93+Z132</f>
        <v/>
      </c>
      <c r="AA173" s="55">
        <f>AA54+AA93+AA132</f>
        <v/>
      </c>
      <c r="AB173" s="55">
        <f>AB54+AB93+AB132</f>
        <v/>
      </c>
      <c r="AC173" s="55">
        <f>AC54+AC93+AC132</f>
        <v/>
      </c>
      <c r="AD173" s="55">
        <f>AD54+AD93+AD132</f>
        <v/>
      </c>
      <c r="AE173" s="55">
        <f>AE54+AE93+AE132</f>
        <v/>
      </c>
    </row>
    <row r="174">
      <c r="A174" s="6" t="inlineStr">
        <is>
          <t>Stream 2 - Card interchange</t>
        </is>
      </c>
      <c r="B174" s="23" t="inlineStr">
        <is>
          <t>USD</t>
        </is>
      </c>
      <c r="C174" s="55">
        <f>C55+C94+C133</f>
        <v/>
      </c>
      <c r="D174" s="55">
        <f>D55+D94+D133</f>
        <v/>
      </c>
      <c r="E174" s="55">
        <f>E55+E94+E133</f>
        <v/>
      </c>
      <c r="F174" s="55">
        <f>F55+F94+F133</f>
        <v/>
      </c>
      <c r="G174" s="55">
        <f>G55+G94+G133</f>
        <v/>
      </c>
      <c r="H174" s="55">
        <f>H55+H94+H133</f>
        <v/>
      </c>
      <c r="I174" s="55">
        <f>I55+I94+I133</f>
        <v/>
      </c>
      <c r="J174" s="55">
        <f>J55+J94+J133</f>
        <v/>
      </c>
      <c r="K174" s="55">
        <f>K55+K94+K133</f>
        <v/>
      </c>
      <c r="L174" s="55">
        <f>L55+L94+L133</f>
        <v/>
      </c>
      <c r="M174" s="55">
        <f>M55+M94+M133</f>
        <v/>
      </c>
      <c r="N174" s="55">
        <f>N55+N94+N133</f>
        <v/>
      </c>
      <c r="O174" s="55">
        <f>O55+O94+O133</f>
        <v/>
      </c>
      <c r="P174" s="55">
        <f>P55+P94+P133</f>
        <v/>
      </c>
      <c r="Q174" s="55">
        <f>Q55+Q94+Q133</f>
        <v/>
      </c>
      <c r="R174" s="55">
        <f>R55+R94+R133</f>
        <v/>
      </c>
      <c r="S174" s="55">
        <f>S55+S94+S133</f>
        <v/>
      </c>
      <c r="T174" s="55">
        <f>T55+T94+T133</f>
        <v/>
      </c>
      <c r="U174" s="55">
        <f>U55+U94+U133</f>
        <v/>
      </c>
      <c r="V174" s="55">
        <f>V55+V94+V133</f>
        <v/>
      </c>
      <c r="W174" s="55">
        <f>W55+W94+W133</f>
        <v/>
      </c>
      <c r="X174" s="55">
        <f>X55+X94+X133</f>
        <v/>
      </c>
      <c r="Y174" s="55">
        <f>Y55+Y94+Y133</f>
        <v/>
      </c>
      <c r="Z174" s="55">
        <f>Z55+Z94+Z133</f>
        <v/>
      </c>
      <c r="AA174" s="55">
        <f>AA55+AA94+AA133</f>
        <v/>
      </c>
      <c r="AB174" s="55">
        <f>AB55+AB94+AB133</f>
        <v/>
      </c>
      <c r="AC174" s="55">
        <f>AC55+AC94+AC133</f>
        <v/>
      </c>
      <c r="AD174" s="55">
        <f>AD55+AD94+AD133</f>
        <v/>
      </c>
      <c r="AE174" s="55">
        <f>AE55+AE94+AE133</f>
        <v/>
      </c>
    </row>
    <row r="175">
      <c r="A175" s="6" t="inlineStr">
        <is>
          <t>Stream 3 - Family plan and Digital Will</t>
        </is>
      </c>
      <c r="B175" s="23" t="inlineStr">
        <is>
          <t>USD</t>
        </is>
      </c>
      <c r="C175" s="55">
        <f>C57+C96+C135</f>
        <v/>
      </c>
      <c r="D175" s="55">
        <f>D57+D96+D135</f>
        <v/>
      </c>
      <c r="E175" s="55">
        <f>E57+E96+E135</f>
        <v/>
      </c>
      <c r="F175" s="55">
        <f>F57+F96+F135</f>
        <v/>
      </c>
      <c r="G175" s="55">
        <f>G57+G96+G135</f>
        <v/>
      </c>
      <c r="H175" s="55">
        <f>H57+H96+H135</f>
        <v/>
      </c>
      <c r="I175" s="55">
        <f>I57+I96+I135</f>
        <v/>
      </c>
      <c r="J175" s="55">
        <f>J57+J96+J135</f>
        <v/>
      </c>
      <c r="K175" s="55">
        <f>K57+K96+K135</f>
        <v/>
      </c>
      <c r="L175" s="55">
        <f>L57+L96+L135</f>
        <v/>
      </c>
      <c r="M175" s="55">
        <f>M57+M96+M135</f>
        <v/>
      </c>
      <c r="N175" s="55">
        <f>N57+N96+N135</f>
        <v/>
      </c>
      <c r="O175" s="55">
        <f>O57+O96+O135</f>
        <v/>
      </c>
      <c r="P175" s="55">
        <f>P57+P96+P135</f>
        <v/>
      </c>
      <c r="Q175" s="55">
        <f>Q57+Q96+Q135</f>
        <v/>
      </c>
      <c r="R175" s="55">
        <f>R57+R96+R135</f>
        <v/>
      </c>
      <c r="S175" s="55">
        <f>S57+S96+S135</f>
        <v/>
      </c>
      <c r="T175" s="55">
        <f>T57+T96+T135</f>
        <v/>
      </c>
      <c r="U175" s="55">
        <f>U57+U96+U135</f>
        <v/>
      </c>
      <c r="V175" s="55">
        <f>V57+V96+V135</f>
        <v/>
      </c>
      <c r="W175" s="55">
        <f>W57+W96+W135</f>
        <v/>
      </c>
      <c r="X175" s="55">
        <f>X57+X96+X135</f>
        <v/>
      </c>
      <c r="Y175" s="55">
        <f>Y57+Y96+Y135</f>
        <v/>
      </c>
      <c r="Z175" s="55">
        <f>Z57+Z96+Z135</f>
        <v/>
      </c>
      <c r="AA175" s="55">
        <f>AA57+AA96+AA135</f>
        <v/>
      </c>
      <c r="AB175" s="55">
        <f>AB57+AB96+AB135</f>
        <v/>
      </c>
      <c r="AC175" s="55">
        <f>AC57+AC96+AC135</f>
        <v/>
      </c>
      <c r="AD175" s="55">
        <f>AD57+AD96+AD135</f>
        <v/>
      </c>
      <c r="AE175" s="55">
        <f>AE57+AE96+AE135</f>
        <v/>
      </c>
    </row>
    <row r="176">
      <c r="A176" s="6" t="inlineStr">
        <is>
          <t>Stream 4 - Cardholder fees</t>
        </is>
      </c>
      <c r="B176" s="23" t="inlineStr">
        <is>
          <t>USD</t>
        </is>
      </c>
      <c r="C176" s="55">
        <f>C58+C97+C136</f>
        <v/>
      </c>
      <c r="D176" s="55">
        <f>D58+D97+D136</f>
        <v/>
      </c>
      <c r="E176" s="55">
        <f>E58+E97+E136</f>
        <v/>
      </c>
      <c r="F176" s="55">
        <f>F58+F97+F136</f>
        <v/>
      </c>
      <c r="G176" s="55">
        <f>G58+G97+G136</f>
        <v/>
      </c>
      <c r="H176" s="55">
        <f>H58+H97+H136</f>
        <v/>
      </c>
      <c r="I176" s="55">
        <f>I58+I97+I136</f>
        <v/>
      </c>
      <c r="J176" s="55">
        <f>J58+J97+J136</f>
        <v/>
      </c>
      <c r="K176" s="55">
        <f>K58+K97+K136</f>
        <v/>
      </c>
      <c r="L176" s="55">
        <f>L58+L97+L136</f>
        <v/>
      </c>
      <c r="M176" s="55">
        <f>M58+M97+M136</f>
        <v/>
      </c>
      <c r="N176" s="55">
        <f>N58+N97+N136</f>
        <v/>
      </c>
      <c r="O176" s="55">
        <f>O58+O97+O136</f>
        <v/>
      </c>
      <c r="P176" s="55">
        <f>P58+P97+P136</f>
        <v/>
      </c>
      <c r="Q176" s="55">
        <f>Q58+Q97+Q136</f>
        <v/>
      </c>
      <c r="R176" s="55">
        <f>R58+R97+R136</f>
        <v/>
      </c>
      <c r="S176" s="55">
        <f>S58+S97+S136</f>
        <v/>
      </c>
      <c r="T176" s="55">
        <f>T58+T97+T136</f>
        <v/>
      </c>
      <c r="U176" s="55">
        <f>U58+U97+U136</f>
        <v/>
      </c>
      <c r="V176" s="55">
        <f>V58+V97+V136</f>
        <v/>
      </c>
      <c r="W176" s="55">
        <f>W58+W97+W136</f>
        <v/>
      </c>
      <c r="X176" s="55">
        <f>X58+X97+X136</f>
        <v/>
      </c>
      <c r="Y176" s="55">
        <f>Y58+Y97+Y136</f>
        <v/>
      </c>
      <c r="Z176" s="55">
        <f>Z58+Z97+Z136</f>
        <v/>
      </c>
      <c r="AA176" s="55">
        <f>AA58+AA97+AA136</f>
        <v/>
      </c>
      <c r="AB176" s="55">
        <f>AB58+AB97+AB136</f>
        <v/>
      </c>
      <c r="AC176" s="55">
        <f>AC58+AC97+AC136</f>
        <v/>
      </c>
      <c r="AD176" s="55">
        <f>AD58+AD97+AD136</f>
        <v/>
      </c>
      <c r="AE176" s="55">
        <f>AE58+AE97+AE136</f>
        <v/>
      </c>
    </row>
    <row r="177">
      <c r="A177" s="6" t="inlineStr">
        <is>
          <t>Stream 5 - Lending revenue share</t>
        </is>
      </c>
      <c r="B177" s="23" t="inlineStr">
        <is>
          <t>USD</t>
        </is>
      </c>
      <c r="C177" s="55">
        <f>C60+C99+C138</f>
        <v/>
      </c>
      <c r="D177" s="55">
        <f>D60+D99+D138</f>
        <v/>
      </c>
      <c r="E177" s="55">
        <f>E60+E99+E138</f>
        <v/>
      </c>
      <c r="F177" s="55">
        <f>F60+F99+F138</f>
        <v/>
      </c>
      <c r="G177" s="55">
        <f>G60+G99+G138</f>
        <v/>
      </c>
      <c r="H177" s="55">
        <f>H60+H99+H138</f>
        <v/>
      </c>
      <c r="I177" s="55">
        <f>I60+I99+I138</f>
        <v/>
      </c>
      <c r="J177" s="55">
        <f>J60+J99+J138</f>
        <v/>
      </c>
      <c r="K177" s="55">
        <f>K60+K99+K138</f>
        <v/>
      </c>
      <c r="L177" s="55">
        <f>L60+L99+L138</f>
        <v/>
      </c>
      <c r="M177" s="55">
        <f>M60+M99+M138</f>
        <v/>
      </c>
      <c r="N177" s="55">
        <f>N60+N99+N138</f>
        <v/>
      </c>
      <c r="O177" s="55">
        <f>O60+O99+O138</f>
        <v/>
      </c>
      <c r="P177" s="55">
        <f>P60+P99+P138</f>
        <v/>
      </c>
      <c r="Q177" s="55">
        <f>Q60+Q99+Q138</f>
        <v/>
      </c>
      <c r="R177" s="55">
        <f>R60+R99+R138</f>
        <v/>
      </c>
      <c r="S177" s="55">
        <f>S60+S99+S138</f>
        <v/>
      </c>
      <c r="T177" s="55">
        <f>T60+T99+T138</f>
        <v/>
      </c>
      <c r="U177" s="55">
        <f>U60+U99+U138</f>
        <v/>
      </c>
      <c r="V177" s="55">
        <f>V60+V99+V138</f>
        <v/>
      </c>
      <c r="W177" s="55">
        <f>W60+W99+W138</f>
        <v/>
      </c>
      <c r="X177" s="55">
        <f>X60+X99+X138</f>
        <v/>
      </c>
      <c r="Y177" s="55">
        <f>Y60+Y99+Y138</f>
        <v/>
      </c>
      <c r="Z177" s="55">
        <f>Z60+Z99+Z138</f>
        <v/>
      </c>
      <c r="AA177" s="55">
        <f>AA60+AA99+AA138</f>
        <v/>
      </c>
      <c r="AB177" s="55">
        <f>AB60+AB99+AB138</f>
        <v/>
      </c>
      <c r="AC177" s="55">
        <f>AC60+AC99+AC138</f>
        <v/>
      </c>
      <c r="AD177" s="55">
        <f>AD60+AD99+AD138</f>
        <v/>
      </c>
      <c r="AE177" s="55">
        <f>AE60+AE99+AE138</f>
        <v/>
      </c>
    </row>
    <row r="178">
      <c r="A178" s="6" t="inlineStr">
        <is>
          <t>Redemption events (memo - drives cost, not revenue)</t>
        </is>
      </c>
      <c r="B178" s="23" t="inlineStr">
        <is>
          <t>events</t>
        </is>
      </c>
      <c r="C178" s="45">
        <f>C61+C100+C139</f>
        <v/>
      </c>
      <c r="D178" s="45">
        <f>D61+D100+D139</f>
        <v/>
      </c>
      <c r="E178" s="45">
        <f>E61+E100+E139</f>
        <v/>
      </c>
      <c r="F178" s="45">
        <f>F61+F100+F139</f>
        <v/>
      </c>
      <c r="G178" s="45">
        <f>G61+G100+G139</f>
        <v/>
      </c>
      <c r="H178" s="45">
        <f>H61+H100+H139</f>
        <v/>
      </c>
      <c r="I178" s="45">
        <f>I61+I100+I139</f>
        <v/>
      </c>
      <c r="J178" s="45">
        <f>J61+J100+J139</f>
        <v/>
      </c>
      <c r="K178" s="45">
        <f>K61+K100+K139</f>
        <v/>
      </c>
      <c r="L178" s="45">
        <f>L61+L100+L139</f>
        <v/>
      </c>
      <c r="M178" s="45">
        <f>M61+M100+M139</f>
        <v/>
      </c>
      <c r="N178" s="45">
        <f>N61+N100+N139</f>
        <v/>
      </c>
      <c r="O178" s="45">
        <f>O61+O100+O139</f>
        <v/>
      </c>
      <c r="P178" s="45">
        <f>P61+P100+P139</f>
        <v/>
      </c>
      <c r="Q178" s="45">
        <f>Q61+Q100+Q139</f>
        <v/>
      </c>
      <c r="R178" s="45">
        <f>R61+R100+R139</f>
        <v/>
      </c>
      <c r="S178" s="45">
        <f>S61+S100+S139</f>
        <v/>
      </c>
      <c r="T178" s="45">
        <f>T61+T100+T139</f>
        <v/>
      </c>
      <c r="U178" s="45">
        <f>U61+U100+U139</f>
        <v/>
      </c>
      <c r="V178" s="45">
        <f>V61+V100+V139</f>
        <v/>
      </c>
      <c r="W178" s="45">
        <f>W61+W100+W139</f>
        <v/>
      </c>
      <c r="X178" s="45">
        <f>X61+X100+X139</f>
        <v/>
      </c>
      <c r="Y178" s="45">
        <f>Y61+Y100+Y139</f>
        <v/>
      </c>
      <c r="Z178" s="45">
        <f>Z61+Z100+Z139</f>
        <v/>
      </c>
      <c r="AA178" s="45">
        <f>AA61+AA100+AA139</f>
        <v/>
      </c>
      <c r="AB178" s="45">
        <f>AB61+AB100+AB139</f>
        <v/>
      </c>
      <c r="AC178" s="45">
        <f>AC61+AC100+AC139</f>
        <v/>
      </c>
      <c r="AD178" s="45">
        <f>AD61+AD100+AD139</f>
        <v/>
      </c>
      <c r="AE178" s="45">
        <f>AE61+AE100+AE139</f>
        <v/>
      </c>
    </row>
    <row r="179">
      <c r="A179" s="6" t="inlineStr">
        <is>
          <t>Card authorisations (memo - drives cost, not revenue)</t>
        </is>
      </c>
      <c r="B179" s="23" t="inlineStr">
        <is>
          <t>events</t>
        </is>
      </c>
      <c r="C179" s="45">
        <f>C52+C91+C130</f>
        <v/>
      </c>
      <c r="D179" s="45">
        <f>D52+D91+D130</f>
        <v/>
      </c>
      <c r="E179" s="45">
        <f>E52+E91+E130</f>
        <v/>
      </c>
      <c r="F179" s="45">
        <f>F52+F91+F130</f>
        <v/>
      </c>
      <c r="G179" s="45">
        <f>G52+G91+G130</f>
        <v/>
      </c>
      <c r="H179" s="45">
        <f>H52+H91+H130</f>
        <v/>
      </c>
      <c r="I179" s="45">
        <f>I52+I91+I130</f>
        <v/>
      </c>
      <c r="J179" s="45">
        <f>J52+J91+J130</f>
        <v/>
      </c>
      <c r="K179" s="45">
        <f>K52+K91+K130</f>
        <v/>
      </c>
      <c r="L179" s="45">
        <f>L52+L91+L130</f>
        <v/>
      </c>
      <c r="M179" s="45">
        <f>M52+M91+M130</f>
        <v/>
      </c>
      <c r="N179" s="45">
        <f>N52+N91+N130</f>
        <v/>
      </c>
      <c r="O179" s="45">
        <f>O52+O91+O130</f>
        <v/>
      </c>
      <c r="P179" s="45">
        <f>P52+P91+P130</f>
        <v/>
      </c>
      <c r="Q179" s="45">
        <f>Q52+Q91+Q130</f>
        <v/>
      </c>
      <c r="R179" s="45">
        <f>R52+R91+R130</f>
        <v/>
      </c>
      <c r="S179" s="45">
        <f>S52+S91+S130</f>
        <v/>
      </c>
      <c r="T179" s="45">
        <f>T52+T91+T130</f>
        <v/>
      </c>
      <c r="U179" s="45">
        <f>U52+U91+U130</f>
        <v/>
      </c>
      <c r="V179" s="45">
        <f>V52+V91+V130</f>
        <v/>
      </c>
      <c r="W179" s="45">
        <f>W52+W91+W130</f>
        <v/>
      </c>
      <c r="X179" s="45">
        <f>X52+X91+X130</f>
        <v/>
      </c>
      <c r="Y179" s="45">
        <f>Y52+Y91+Y130</f>
        <v/>
      </c>
      <c r="Z179" s="45">
        <f>Z52+Z91+Z130</f>
        <v/>
      </c>
      <c r="AA179" s="45">
        <f>AA52+AA91+AA130</f>
        <v/>
      </c>
      <c r="AB179" s="45">
        <f>AB52+AB91+AB130</f>
        <v/>
      </c>
      <c r="AC179" s="45">
        <f>AC52+AC91+AC130</f>
        <v/>
      </c>
      <c r="AD179" s="45">
        <f>AD52+AD91+AD130</f>
        <v/>
      </c>
      <c r="AE179" s="45">
        <f>AE52+AE91+AE130</f>
        <v/>
      </c>
    </row>
    <row r="180">
      <c r="A180" s="3" t="inlineStr">
        <is>
          <t>TOTAL NET REVENUE</t>
        </is>
      </c>
      <c r="B180" s="23" t="inlineStr">
        <is>
          <t>USD</t>
        </is>
      </c>
      <c r="C180" s="57">
        <f>C62+C101+C140+C144</f>
        <v/>
      </c>
      <c r="D180" s="57">
        <f>D62+D101+D140+D144</f>
        <v/>
      </c>
      <c r="E180" s="57">
        <f>E62+E101+E140+E144</f>
        <v/>
      </c>
      <c r="F180" s="57">
        <f>F62+F101+F140+F144</f>
        <v/>
      </c>
      <c r="G180" s="57">
        <f>G62+G101+G140+G144</f>
        <v/>
      </c>
      <c r="H180" s="57">
        <f>H62+H101+H140+H144</f>
        <v/>
      </c>
      <c r="I180" s="57">
        <f>I62+I101+I140+I144</f>
        <v/>
      </c>
      <c r="J180" s="57">
        <f>J62+J101+J140+J144</f>
        <v/>
      </c>
      <c r="K180" s="57">
        <f>K62+K101+K140+K144</f>
        <v/>
      </c>
      <c r="L180" s="57">
        <f>L62+L101+L140+L144</f>
        <v/>
      </c>
      <c r="M180" s="57">
        <f>M62+M101+M140+M144</f>
        <v/>
      </c>
      <c r="N180" s="57">
        <f>N62+N101+N140+N144</f>
        <v/>
      </c>
      <c r="O180" s="57">
        <f>O62+O101+O140+O144</f>
        <v/>
      </c>
      <c r="P180" s="57">
        <f>P62+P101+P140+P144</f>
        <v/>
      </c>
      <c r="Q180" s="57">
        <f>Q62+Q101+Q140+Q144</f>
        <v/>
      </c>
      <c r="R180" s="57">
        <f>R62+R101+R140+R144</f>
        <v/>
      </c>
      <c r="S180" s="57">
        <f>S62+S101+S140+S144</f>
        <v/>
      </c>
      <c r="T180" s="57">
        <f>T62+T101+T140+T144</f>
        <v/>
      </c>
      <c r="U180" s="57">
        <f>U62+U101+U140+U144</f>
        <v/>
      </c>
      <c r="V180" s="57">
        <f>V62+V101+V140+V144</f>
        <v/>
      </c>
      <c r="W180" s="57">
        <f>W62+W101+W140+W144</f>
        <v/>
      </c>
      <c r="X180" s="57">
        <f>X62+X101+X140+X144</f>
        <v/>
      </c>
      <c r="Y180" s="57">
        <f>Y62+Y101+Y140+Y144</f>
        <v/>
      </c>
      <c r="Z180" s="57">
        <f>Z62+Z101+Z140+Z144</f>
        <v/>
      </c>
      <c r="AA180" s="57">
        <f>AA62+AA101+AA140+AA144</f>
        <v/>
      </c>
      <c r="AB180" s="57">
        <f>AB62+AB101+AB140+AB144</f>
        <v/>
      </c>
      <c r="AC180" s="57">
        <f>AC62+AC101+AC140+AC144</f>
        <v/>
      </c>
      <c r="AD180" s="57">
        <f>AD62+AD101+AD140+AD144</f>
        <v/>
      </c>
      <c r="AE180" s="57">
        <f>AE62+AE101+AE140+AE144</f>
        <v/>
      </c>
    </row>
    <row r="181">
      <c r="A181" s="6" t="inlineStr">
        <is>
          <t>Net revenue per paying customer (annualised)</t>
        </is>
      </c>
      <c r="B181" s="23" t="inlineStr">
        <is>
          <t>USD</t>
        </is>
      </c>
      <c r="C181" s="55">
        <f>IF(C148=0,0,C180/C148/C7*12)</f>
        <v/>
      </c>
      <c r="D181" s="55">
        <f>IF(D148=0,0,D180/D148/D7*12)</f>
        <v/>
      </c>
      <c r="E181" s="55">
        <f>IF(E148=0,0,E180/E148/E7*12)</f>
        <v/>
      </c>
      <c r="F181" s="55">
        <f>IF(F148=0,0,F180/F148/F7*12)</f>
        <v/>
      </c>
      <c r="G181" s="55">
        <f>IF(G148=0,0,G180/G148/G7*12)</f>
        <v/>
      </c>
      <c r="H181" s="55">
        <f>IF(H148=0,0,H180/H148/H7*12)</f>
        <v/>
      </c>
      <c r="I181" s="55">
        <f>IF(I148=0,0,I180/I148/I7*12)</f>
        <v/>
      </c>
      <c r="J181" s="55">
        <f>IF(J148=0,0,J180/J148/J7*12)</f>
        <v/>
      </c>
      <c r="K181" s="55">
        <f>IF(K148=0,0,K180/K148/K7*12)</f>
        <v/>
      </c>
      <c r="L181" s="55">
        <f>IF(L148=0,0,L180/L148/L7*12)</f>
        <v/>
      </c>
      <c r="M181" s="55">
        <f>IF(M148=0,0,M180/M148/M7*12)</f>
        <v/>
      </c>
      <c r="N181" s="55">
        <f>IF(N148=0,0,N180/N148/N7*12)</f>
        <v/>
      </c>
      <c r="O181" s="55">
        <f>IF(O148=0,0,O180/O148/O7*12)</f>
        <v/>
      </c>
      <c r="P181" s="55">
        <f>IF(P148=0,0,P180/P148/P7*12)</f>
        <v/>
      </c>
      <c r="Q181" s="55">
        <f>IF(Q148=0,0,Q180/Q148/Q7*12)</f>
        <v/>
      </c>
      <c r="R181" s="55">
        <f>IF(R148=0,0,R180/R148/R7*12)</f>
        <v/>
      </c>
      <c r="S181" s="55">
        <f>IF(S148=0,0,S180/S148/S7*12)</f>
        <v/>
      </c>
      <c r="T181" s="55">
        <f>IF(T148=0,0,T180/T148/T7*12)</f>
        <v/>
      </c>
      <c r="U181" s="55">
        <f>IF(U148=0,0,U180/U148/U7*12)</f>
        <v/>
      </c>
      <c r="V181" s="55">
        <f>IF(V148=0,0,V180/V148/V7*12)</f>
        <v/>
      </c>
      <c r="W181" s="55">
        <f>IF(W148=0,0,W180/W148/W7*12)</f>
        <v/>
      </c>
      <c r="X181" s="55">
        <f>IF(X148=0,0,X180/X148/X7*12)</f>
        <v/>
      </c>
      <c r="Y181" s="55">
        <f>IF(Y148=0,0,Y180/Y148/Y7*12)</f>
        <v/>
      </c>
      <c r="Z181" s="55">
        <f>IF(Z148=0,0,Z180/Z148/Z7*12)</f>
        <v/>
      </c>
      <c r="AA181" s="55">
        <f>IF(AA148=0,0,AA180/AA148/AA7*12)</f>
        <v/>
      </c>
      <c r="AB181" s="55">
        <f>IF(AB148=0,0,AB180/AB148/AB7*12)</f>
        <v/>
      </c>
      <c r="AC181" s="55">
        <f>IF(AC148=0,0,AC180/AC148/AC7*12)</f>
        <v/>
      </c>
      <c r="AD181" s="55">
        <f>IF(AD148=0,0,AD180/AD148/AD7*12)</f>
        <v/>
      </c>
      <c r="AE181" s="55">
        <f>IF(AE148=0,0,AE180/AE148/AE7*12)</f>
        <v/>
      </c>
    </row>
    <row r="182">
      <c r="A182" s="6" t="inlineStr">
        <is>
          <t>CHECK: regional subtotals + B2B = sum of streams</t>
        </is>
      </c>
      <c r="B182" s="23" t="inlineStr">
        <is>
          <t>delta</t>
        </is>
      </c>
      <c r="C182" s="59">
        <f>C180-(C172+C173+C174+C175+C176+C177+C144)</f>
        <v/>
      </c>
      <c r="D182" s="59">
        <f>D180-(D172+D173+D174+D175+D176+D177+D144)</f>
        <v/>
      </c>
      <c r="E182" s="59">
        <f>E180-(E172+E173+E174+E175+E176+E177+E144)</f>
        <v/>
      </c>
      <c r="F182" s="59">
        <f>F180-(F172+F173+F174+F175+F176+F177+F144)</f>
        <v/>
      </c>
      <c r="G182" s="59">
        <f>G180-(G172+G173+G174+G175+G176+G177+G144)</f>
        <v/>
      </c>
      <c r="H182" s="59">
        <f>H180-(H172+H173+H174+H175+H176+H177+H144)</f>
        <v/>
      </c>
      <c r="I182" s="59">
        <f>I180-(I172+I173+I174+I175+I176+I177+I144)</f>
        <v/>
      </c>
      <c r="J182" s="59">
        <f>J180-(J172+J173+J174+J175+J176+J177+J144)</f>
        <v/>
      </c>
      <c r="K182" s="59">
        <f>K180-(K172+K173+K174+K175+K176+K177+K144)</f>
        <v/>
      </c>
      <c r="L182" s="59">
        <f>L180-(L172+L173+L174+L175+L176+L177+L144)</f>
        <v/>
      </c>
      <c r="M182" s="59">
        <f>M180-(M172+M173+M174+M175+M176+M177+M144)</f>
        <v/>
      </c>
      <c r="N182" s="59">
        <f>N180-(N172+N173+N174+N175+N176+N177+N144)</f>
        <v/>
      </c>
      <c r="O182" s="59">
        <f>O180-(O172+O173+O174+O175+O176+O177+O144)</f>
        <v/>
      </c>
      <c r="P182" s="59">
        <f>P180-(P172+P173+P174+P175+P176+P177+P144)</f>
        <v/>
      </c>
      <c r="Q182" s="59">
        <f>Q180-(Q172+Q173+Q174+Q175+Q176+Q177+Q144)</f>
        <v/>
      </c>
      <c r="R182" s="59">
        <f>R180-(R172+R173+R174+R175+R176+R177+R144)</f>
        <v/>
      </c>
      <c r="S182" s="59">
        <f>S180-(S172+S173+S174+S175+S176+S177+S144)</f>
        <v/>
      </c>
      <c r="T182" s="59">
        <f>T180-(T172+T173+T174+T175+T176+T177+T144)</f>
        <v/>
      </c>
      <c r="U182" s="59">
        <f>U180-(U172+U173+U174+U175+U176+U177+U144)</f>
        <v/>
      </c>
      <c r="V182" s="59">
        <f>V180-(V172+V173+V174+V175+V176+V177+V144)</f>
        <v/>
      </c>
      <c r="W182" s="59">
        <f>W180-(W172+W173+W174+W175+W176+W177+W144)</f>
        <v/>
      </c>
      <c r="X182" s="59">
        <f>X180-(X172+X173+X174+X175+X176+X177+X144)</f>
        <v/>
      </c>
      <c r="Y182" s="59">
        <f>Y180-(Y172+Y173+Y174+Y175+Y176+Y177+Y144)</f>
        <v/>
      </c>
      <c r="Z182" s="59">
        <f>Z180-(Z172+Z173+Z174+Z175+Z176+Z177+Z144)</f>
        <v/>
      </c>
      <c r="AA182" s="59">
        <f>AA180-(AA172+AA173+AA174+AA175+AA176+AA177+AA144)</f>
        <v/>
      </c>
      <c r="AB182" s="59">
        <f>AB180-(AB172+AB173+AB174+AB175+AB176+AB177+AB144)</f>
        <v/>
      </c>
      <c r="AC182" s="59">
        <f>AC180-(AC172+AC173+AC174+AC175+AC176+AC177+AC144)</f>
        <v/>
      </c>
      <c r="AD182" s="59">
        <f>AD180-(AD172+AD173+AD174+AD175+AD176+AD177+AD144)</f>
        <v/>
      </c>
      <c r="AE182" s="59">
        <f>AE180-(AE172+AE173+AE174+AE175+AE176+AE177+AE144)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showGridLines="0" workbookViewId="0">
      <selection activeCell="A1" sqref="A1"/>
    </sheetView>
  </sheetViews>
  <sheetFormatPr baseColWidth="8" defaultRowHeight="15"/>
  <cols>
    <col width="46" customWidth="1" min="1" max="1"/>
    <col width="4" customWidth="1" min="2" max="2"/>
    <col width="16" customWidth="1" min="4" max="4"/>
    <col width="16" customWidth="1" min="5" max="5"/>
    <col width="16" customWidth="1" min="6" max="6"/>
    <col width="16" customWidth="1" min="7" max="7"/>
    <col width="16" customWidth="1" min="8" max="8"/>
    <col width="16" customWidth="1" min="9" max="9"/>
    <col width="16" customWidth="1" min="10" max="10"/>
  </cols>
  <sheetData>
    <row r="1">
      <c r="A1" s="10">
        <f>Cover!$B$2</f>
        <v/>
      </c>
    </row>
    <row r="2">
      <c r="A2" s="11" t="inlineStr">
        <is>
          <t>Summary</t>
        </is>
      </c>
    </row>
    <row r="4">
      <c r="D4" s="61" t="inlineStr">
        <is>
          <t>Y1</t>
        </is>
      </c>
      <c r="E4" s="61" t="inlineStr">
        <is>
          <t>Y2</t>
        </is>
      </c>
      <c r="F4" s="61" t="inlineStr">
        <is>
          <t>Y3</t>
        </is>
      </c>
      <c r="G4" s="61" t="inlineStr">
        <is>
          <t>Y4</t>
        </is>
      </c>
      <c r="H4" s="61" t="inlineStr">
        <is>
          <t>Y5</t>
        </is>
      </c>
      <c r="I4" s="61" t="inlineStr">
        <is>
          <t>Y6</t>
        </is>
      </c>
      <c r="J4" s="61" t="inlineStr">
        <is>
          <t>Y7</t>
        </is>
      </c>
    </row>
    <row r="6" ht="18" customHeight="1">
      <c r="A6" s="12" t="inlineStr">
        <is>
          <t>REVENUE BY REGION</t>
        </is>
      </c>
      <c r="B6" s="13" t="n"/>
      <c r="C6" s="13" t="n"/>
      <c r="D6" s="13" t="n"/>
      <c r="E6" s="13" t="n"/>
      <c r="F6" s="13" t="n"/>
      <c r="G6" s="13" t="n"/>
      <c r="H6" s="13" t="n"/>
      <c r="I6" s="13" t="n"/>
      <c r="J6" s="13" t="n"/>
      <c r="K6" s="13" t="n"/>
    </row>
    <row r="7">
      <c r="A7" s="6" t="inlineStr">
        <is>
          <t xml:space="preserve">  UAE</t>
        </is>
      </c>
      <c r="D7" s="36">
        <f>SUM(Model!C62:N62)</f>
        <v/>
      </c>
      <c r="E7" s="36">
        <f>SUM(Model!O62:Z62)</f>
        <v/>
      </c>
      <c r="F7" s="36">
        <f>Model!AA62</f>
        <v/>
      </c>
      <c r="G7" s="36">
        <f>Model!AB62</f>
        <v/>
      </c>
      <c r="H7" s="36">
        <f>Model!AC62</f>
        <v/>
      </c>
      <c r="I7" s="36">
        <f>Model!AD62</f>
        <v/>
      </c>
      <c r="J7" s="36">
        <f>Model!AE62</f>
        <v/>
      </c>
    </row>
    <row r="8">
      <c r="A8" s="6" t="inlineStr">
        <is>
          <t xml:space="preserve">  Oman and Bahrain</t>
        </is>
      </c>
      <c r="D8" s="36">
        <f>SUM(Model!C101:N101)</f>
        <v/>
      </c>
      <c r="E8" s="36">
        <f>SUM(Model!O101:Z101)</f>
        <v/>
      </c>
      <c r="F8" s="36">
        <f>Model!AA101</f>
        <v/>
      </c>
      <c r="G8" s="36">
        <f>Model!AB101</f>
        <v/>
      </c>
      <c r="H8" s="36">
        <f>Model!AC101</f>
        <v/>
      </c>
      <c r="I8" s="36">
        <f>Model!AD101</f>
        <v/>
      </c>
      <c r="J8" s="36">
        <f>Model!AE101</f>
        <v/>
      </c>
    </row>
    <row r="9">
      <c r="A9" s="6" t="inlineStr">
        <is>
          <t xml:space="preserve">  India</t>
        </is>
      </c>
      <c r="D9" s="36">
        <f>SUM(Model!C140:N140)</f>
        <v/>
      </c>
      <c r="E9" s="36">
        <f>SUM(Model!O140:Z140)</f>
        <v/>
      </c>
      <c r="F9" s="36">
        <f>Model!AA140</f>
        <v/>
      </c>
      <c r="G9" s="36">
        <f>Model!AB140</f>
        <v/>
      </c>
      <c r="H9" s="36">
        <f>Model!AC140</f>
        <v/>
      </c>
      <c r="I9" s="36">
        <f>Model!AD140</f>
        <v/>
      </c>
      <c r="J9" s="36">
        <f>Model!AE140</f>
        <v/>
      </c>
    </row>
    <row r="10">
      <c r="A10" s="6" t="inlineStr">
        <is>
          <t xml:space="preserve">  Non-regional: B2B platform fee</t>
        </is>
      </c>
      <c r="D10" s="36">
        <f>SUM(Model!C144:N144)</f>
        <v/>
      </c>
      <c r="E10" s="36">
        <f>SUM(Model!O144:Z144)</f>
        <v/>
      </c>
      <c r="F10" s="36">
        <f>Model!AA144</f>
        <v/>
      </c>
      <c r="G10" s="36">
        <f>Model!AB144</f>
        <v/>
      </c>
      <c r="H10" s="36">
        <f>Model!AC144</f>
        <v/>
      </c>
      <c r="I10" s="36">
        <f>Model!AD144</f>
        <v/>
      </c>
      <c r="J10" s="36">
        <f>Model!AE144</f>
        <v/>
      </c>
    </row>
    <row r="11">
      <c r="A11" s="3" t="inlineStr">
        <is>
          <t>TOTAL REVENUE</t>
        </is>
      </c>
      <c r="D11" s="62">
        <f>SUM(Model!C180:N180)</f>
        <v/>
      </c>
      <c r="E11" s="62">
        <f>SUM(Model!O180:Z180)</f>
        <v/>
      </c>
      <c r="F11" s="62">
        <f>Model!AA180</f>
        <v/>
      </c>
      <c r="G11" s="62">
        <f>Model!AB180</f>
        <v/>
      </c>
      <c r="H11" s="62">
        <f>Model!AC180</f>
        <v/>
      </c>
      <c r="I11" s="62">
        <f>Model!AD180</f>
        <v/>
      </c>
      <c r="J11" s="62">
        <f>Model!AE180</f>
        <v/>
      </c>
    </row>
    <row r="13" ht="18" customHeight="1">
      <c r="A13" s="12" t="inlineStr">
        <is>
          <t>REVENUE BY STREAM</t>
        </is>
      </c>
      <c r="B13" s="13" t="n"/>
      <c r="C13" s="13" t="n"/>
      <c r="D13" s="13" t="n"/>
      <c r="E13" s="13" t="n"/>
      <c r="F13" s="13" t="n"/>
      <c r="G13" s="13" t="n"/>
      <c r="H13" s="13" t="n"/>
      <c r="I13" s="13" t="n"/>
      <c r="J13" s="13" t="n"/>
      <c r="K13" s="13" t="n"/>
    </row>
    <row r="14">
      <c r="A14" s="6" t="inlineStr">
        <is>
          <t>Stream 1a: Entry fee - SIP</t>
        </is>
      </c>
      <c r="D14" s="36">
        <f>SUM(Model!C172:N172)</f>
        <v/>
      </c>
      <c r="E14" s="36">
        <f>SUM(Model!O172:Z172)</f>
        <v/>
      </c>
      <c r="F14" s="36">
        <f>Model!AA172</f>
        <v/>
      </c>
      <c r="G14" s="36">
        <f>Model!AB172</f>
        <v/>
      </c>
      <c r="H14" s="36">
        <f>Model!AC172</f>
        <v/>
      </c>
      <c r="I14" s="36">
        <f>Model!AD172</f>
        <v/>
      </c>
      <c r="J14" s="36">
        <f>Model!AE172</f>
        <v/>
      </c>
    </row>
    <row r="15">
      <c r="A15" s="6" t="inlineStr">
        <is>
          <t>Stream 1b: Entry fee - SPOT</t>
        </is>
      </c>
      <c r="D15" s="36">
        <f>SUM(Model!C173:N173)</f>
        <v/>
      </c>
      <c r="E15" s="36">
        <f>SUM(Model!O173:Z173)</f>
        <v/>
      </c>
      <c r="F15" s="36">
        <f>Model!AA173</f>
        <v/>
      </c>
      <c r="G15" s="36">
        <f>Model!AB173</f>
        <v/>
      </c>
      <c r="H15" s="36">
        <f>Model!AC173</f>
        <v/>
      </c>
      <c r="I15" s="36">
        <f>Model!AD173</f>
        <v/>
      </c>
      <c r="J15" s="36">
        <f>Model!AE173</f>
        <v/>
      </c>
    </row>
    <row r="16">
      <c r="A16" s="6" t="inlineStr">
        <is>
          <t>Stream 2: Card interchange</t>
        </is>
      </c>
      <c r="D16" s="36">
        <f>SUM(Model!C174:N174)</f>
        <v/>
      </c>
      <c r="E16" s="36">
        <f>SUM(Model!O174:Z174)</f>
        <v/>
      </c>
      <c r="F16" s="36">
        <f>Model!AA174</f>
        <v/>
      </c>
      <c r="G16" s="36">
        <f>Model!AB174</f>
        <v/>
      </c>
      <c r="H16" s="36">
        <f>Model!AC174</f>
        <v/>
      </c>
      <c r="I16" s="36">
        <f>Model!AD174</f>
        <v/>
      </c>
      <c r="J16" s="36">
        <f>Model!AE174</f>
        <v/>
      </c>
    </row>
    <row r="17">
      <c r="A17" s="6" t="inlineStr">
        <is>
          <t>Stream 3: Family plan and Digital Will</t>
        </is>
      </c>
      <c r="D17" s="36">
        <f>SUM(Model!C175:N175)</f>
        <v/>
      </c>
      <c r="E17" s="36">
        <f>SUM(Model!O175:Z175)</f>
        <v/>
      </c>
      <c r="F17" s="36">
        <f>Model!AA175</f>
        <v/>
      </c>
      <c r="G17" s="36">
        <f>Model!AB175</f>
        <v/>
      </c>
      <c r="H17" s="36">
        <f>Model!AC175</f>
        <v/>
      </c>
      <c r="I17" s="36">
        <f>Model!AD175</f>
        <v/>
      </c>
      <c r="J17" s="36">
        <f>Model!AE175</f>
        <v/>
      </c>
    </row>
    <row r="18">
      <c r="A18" s="6" t="inlineStr">
        <is>
          <t>Stream 4: Cardholder fees</t>
        </is>
      </c>
      <c r="D18" s="36">
        <f>SUM(Model!C176:N176)</f>
        <v/>
      </c>
      <c r="E18" s="36">
        <f>SUM(Model!O176:Z176)</f>
        <v/>
      </c>
      <c r="F18" s="36">
        <f>Model!AA176</f>
        <v/>
      </c>
      <c r="G18" s="36">
        <f>Model!AB176</f>
        <v/>
      </c>
      <c r="H18" s="36">
        <f>Model!AC176</f>
        <v/>
      </c>
      <c r="I18" s="36">
        <f>Model!AD176</f>
        <v/>
      </c>
      <c r="J18" s="36">
        <f>Model!AE176</f>
        <v/>
      </c>
    </row>
    <row r="19">
      <c r="A19" s="6" t="inlineStr">
        <is>
          <t>Stream 5: Lending revenue share</t>
        </is>
      </c>
      <c r="D19" s="36">
        <f>SUM(Model!C177:N177)</f>
        <v/>
      </c>
      <c r="E19" s="36">
        <f>SUM(Model!O177:Z177)</f>
        <v/>
      </c>
      <c r="F19" s="36">
        <f>Model!AA177</f>
        <v/>
      </c>
      <c r="G19" s="36">
        <f>Model!AB177</f>
        <v/>
      </c>
      <c r="H19" s="36">
        <f>Model!AC177</f>
        <v/>
      </c>
      <c r="I19" s="36">
        <f>Model!AD177</f>
        <v/>
      </c>
      <c r="J19" s="36">
        <f>Model!AE177</f>
        <v/>
      </c>
    </row>
    <row r="20">
      <c r="A20" s="6" t="inlineStr">
        <is>
          <t>Stream 6: B2B platform fee</t>
        </is>
      </c>
      <c r="D20" s="36">
        <f>SUM(Model!C144:N144)</f>
        <v/>
      </c>
      <c r="E20" s="36">
        <f>SUM(Model!O144:Z144)</f>
        <v/>
      </c>
      <c r="F20" s="36">
        <f>Model!AA144</f>
        <v/>
      </c>
      <c r="G20" s="36">
        <f>Model!AB144</f>
        <v/>
      </c>
      <c r="H20" s="36">
        <f>Model!AC144</f>
        <v/>
      </c>
      <c r="I20" s="36">
        <f>Model!AD144</f>
        <v/>
      </c>
      <c r="J20" s="36">
        <f>Model!AE144</f>
        <v/>
      </c>
    </row>
    <row r="21">
      <c r="A21" s="3" t="inlineStr">
        <is>
          <t>Total by stream (reconciles to the regional total above)</t>
        </is>
      </c>
      <c r="D21" s="62">
        <f>SUM(Model!C180:N180)</f>
        <v/>
      </c>
      <c r="E21" s="62">
        <f>SUM(Model!O180:Z180)</f>
        <v/>
      </c>
      <c r="F21" s="62">
        <f>Model!AA180</f>
        <v/>
      </c>
      <c r="G21" s="62">
        <f>Model!AB180</f>
        <v/>
      </c>
      <c r="H21" s="62">
        <f>Model!AC180</f>
        <v/>
      </c>
      <c r="I21" s="62">
        <f>Model!AD180</f>
        <v/>
      </c>
      <c r="J21" s="62">
        <f>Model!AE180</f>
        <v/>
      </c>
    </row>
    <row r="23" ht="18" customHeight="1">
      <c r="A23" s="12" t="inlineStr">
        <is>
          <t>REVENUE MIX (% of total)</t>
        </is>
      </c>
      <c r="B23" s="13" t="n"/>
      <c r="C23" s="13" t="n"/>
      <c r="D23" s="13" t="n"/>
      <c r="E23" s="13" t="n"/>
      <c r="F23" s="13" t="n"/>
      <c r="G23" s="13" t="n"/>
      <c r="H23" s="13" t="n"/>
      <c r="I23" s="13" t="n"/>
      <c r="J23" s="13" t="n"/>
      <c r="K23" s="13" t="n"/>
    </row>
    <row r="24">
      <c r="A24" t="inlineStr">
        <is>
          <t>Stream 1a: SIP entry fee - share</t>
        </is>
      </c>
      <c r="D24" s="63">
        <f>IF(D$11=0,0,D14/D$11)</f>
        <v/>
      </c>
      <c r="E24" s="63">
        <f>IF(E$11=0,0,E14/E$11)</f>
        <v/>
      </c>
      <c r="F24" s="63">
        <f>IF(F$11=0,0,F14/F$11)</f>
        <v/>
      </c>
      <c r="G24" s="63">
        <f>IF(G$11=0,0,G14/G$11)</f>
        <v/>
      </c>
      <c r="H24" s="63">
        <f>IF(H$11=0,0,H14/H$11)</f>
        <v/>
      </c>
      <c r="I24" s="63">
        <f>IF(I$11=0,0,I14/I$11)</f>
        <v/>
      </c>
      <c r="J24" s="63">
        <f>IF(J$11=0,0,J14/J$11)</f>
        <v/>
      </c>
    </row>
    <row r="25">
      <c r="A25" t="inlineStr">
        <is>
          <t>Stream 1b: Spot entry fee - share</t>
        </is>
      </c>
      <c r="D25" s="63">
        <f>IF(D$11=0,0,D15/D$11)</f>
        <v/>
      </c>
      <c r="E25" s="63">
        <f>IF(E$11=0,0,E15/E$11)</f>
        <v/>
      </c>
      <c r="F25" s="63">
        <f>IF(F$11=0,0,F15/F$11)</f>
        <v/>
      </c>
      <c r="G25" s="63">
        <f>IF(G$11=0,0,G15/G$11)</f>
        <v/>
      </c>
      <c r="H25" s="63">
        <f>IF(H$11=0,0,H15/H$11)</f>
        <v/>
      </c>
      <c r="I25" s="63">
        <f>IF(I$11=0,0,I15/I$11)</f>
        <v/>
      </c>
      <c r="J25" s="63">
        <f>IF(J$11=0,0,J15/J$11)</f>
        <v/>
      </c>
    </row>
    <row r="26">
      <c r="A26" t="inlineStr">
        <is>
          <t>Stream 2: Card interchange - share</t>
        </is>
      </c>
      <c r="D26" s="63">
        <f>IF(D$11=0,0,D16/D$11)</f>
        <v/>
      </c>
      <c r="E26" s="63">
        <f>IF(E$11=0,0,E16/E$11)</f>
        <v/>
      </c>
      <c r="F26" s="63">
        <f>IF(F$11=0,0,F16/F$11)</f>
        <v/>
      </c>
      <c r="G26" s="63">
        <f>IF(G$11=0,0,G16/G$11)</f>
        <v/>
      </c>
      <c r="H26" s="63">
        <f>IF(H$11=0,0,H16/H$11)</f>
        <v/>
      </c>
      <c r="I26" s="63">
        <f>IF(I$11=0,0,I16/I$11)</f>
        <v/>
      </c>
      <c r="J26" s="63">
        <f>IF(J$11=0,0,J16/J$11)</f>
        <v/>
      </c>
    </row>
    <row r="27">
      <c r="A27" t="inlineStr">
        <is>
          <t>Stream 3: Family and Will - share</t>
        </is>
      </c>
      <c r="D27" s="63">
        <f>IF(D$11=0,0,D17/D$11)</f>
        <v/>
      </c>
      <c r="E27" s="63">
        <f>IF(E$11=0,0,E17/E$11)</f>
        <v/>
      </c>
      <c r="F27" s="63">
        <f>IF(F$11=0,0,F17/F$11)</f>
        <v/>
      </c>
      <c r="G27" s="63">
        <f>IF(G$11=0,0,G17/G$11)</f>
        <v/>
      </c>
      <c r="H27" s="63">
        <f>IF(H$11=0,0,H17/H$11)</f>
        <v/>
      </c>
      <c r="I27" s="63">
        <f>IF(I$11=0,0,I17/I$11)</f>
        <v/>
      </c>
      <c r="J27" s="63">
        <f>IF(J$11=0,0,J17/J$11)</f>
        <v/>
      </c>
    </row>
    <row r="28">
      <c r="A28" t="inlineStr">
        <is>
          <t>Stream 4: Cardholder fees - share</t>
        </is>
      </c>
      <c r="D28" s="63">
        <f>IF(D$11=0,0,D18/D$11)</f>
        <v/>
      </c>
      <c r="E28" s="63">
        <f>IF(E$11=0,0,E18/E$11)</f>
        <v/>
      </c>
      <c r="F28" s="63">
        <f>IF(F$11=0,0,F18/F$11)</f>
        <v/>
      </c>
      <c r="G28" s="63">
        <f>IF(G$11=0,0,G18/G$11)</f>
        <v/>
      </c>
      <c r="H28" s="63">
        <f>IF(H$11=0,0,H18/H$11)</f>
        <v/>
      </c>
      <c r="I28" s="63">
        <f>IF(I$11=0,0,I18/I$11)</f>
        <v/>
      </c>
      <c r="J28" s="63">
        <f>IF(J$11=0,0,J18/J$11)</f>
        <v/>
      </c>
    </row>
    <row r="29">
      <c r="A29" t="inlineStr">
        <is>
          <t>Stream 5: Lending - share</t>
        </is>
      </c>
      <c r="D29" s="63">
        <f>IF(D$11=0,0,D19/D$11)</f>
        <v/>
      </c>
      <c r="E29" s="63">
        <f>IF(E$11=0,0,E19/E$11)</f>
        <v/>
      </c>
      <c r="F29" s="63">
        <f>IF(F$11=0,0,F19/F$11)</f>
        <v/>
      </c>
      <c r="G29" s="63">
        <f>IF(G$11=0,0,G19/G$11)</f>
        <v/>
      </c>
      <c r="H29" s="63">
        <f>IF(H$11=0,0,H19/H$11)</f>
        <v/>
      </c>
      <c r="I29" s="63">
        <f>IF(I$11=0,0,I19/I$11)</f>
        <v/>
      </c>
      <c r="J29" s="63">
        <f>IF(J$11=0,0,J19/J$11)</f>
        <v/>
      </c>
    </row>
    <row r="30">
      <c r="A30" t="inlineStr">
        <is>
          <t>Stream 6: B2B platform - share</t>
        </is>
      </c>
      <c r="D30" s="63">
        <f>IF(D$11=0,0,D20/D$11)</f>
        <v/>
      </c>
      <c r="E30" s="63">
        <f>IF(E$11=0,0,E20/E$11)</f>
        <v/>
      </c>
      <c r="F30" s="63">
        <f>IF(F$11=0,0,F20/F$11)</f>
        <v/>
      </c>
      <c r="G30" s="63">
        <f>IF(G$11=0,0,G20/G$11)</f>
        <v/>
      </c>
      <c r="H30" s="63">
        <f>IF(H$11=0,0,H20/H$11)</f>
        <v/>
      </c>
      <c r="I30" s="63">
        <f>IF(I$11=0,0,I20/I$11)</f>
        <v/>
      </c>
      <c r="J30" s="63">
        <f>IF(J$11=0,0,J20/J$11)</f>
        <v/>
      </c>
    </row>
    <row r="31">
      <c r="A31" s="3" t="inlineStr">
        <is>
          <t>CHECK: mix sums to 100%</t>
        </is>
      </c>
      <c r="D31" s="40">
        <f>SUM(D24:D30)</f>
        <v/>
      </c>
      <c r="E31" s="40">
        <f>SUM(E24:E30)</f>
        <v/>
      </c>
      <c r="F31" s="40">
        <f>SUM(F24:F30)</f>
        <v/>
      </c>
      <c r="G31" s="40">
        <f>SUM(G24:G30)</f>
        <v/>
      </c>
      <c r="H31" s="40">
        <f>SUM(H24:H30)</f>
        <v/>
      </c>
      <c r="I31" s="40">
        <f>SUM(I24:I30)</f>
        <v/>
      </c>
      <c r="J31" s="40">
        <f>SUM(J24:J30)</f>
        <v/>
      </c>
    </row>
    <row r="33" ht="18" customHeight="1">
      <c r="A33" s="12" t="inlineStr">
        <is>
          <t>CUSTOMERS AND AUM (year end)</t>
        </is>
      </c>
      <c r="B33" s="13" t="n"/>
      <c r="C33" s="13" t="n"/>
      <c r="D33" s="13" t="n"/>
      <c r="E33" s="13" t="n"/>
      <c r="F33" s="13" t="n"/>
      <c r="G33" s="13" t="n"/>
      <c r="H33" s="13" t="n"/>
      <c r="I33" s="13" t="n"/>
      <c r="J33" s="13" t="n"/>
      <c r="K33" s="13" t="n"/>
    </row>
    <row r="34">
      <c r="A34" s="6" t="inlineStr">
        <is>
          <t>New customers in year</t>
        </is>
      </c>
      <c r="D34" s="37">
        <f>SUM(Model!C151:N151)</f>
        <v/>
      </c>
      <c r="E34" s="37">
        <f>SUM(Model!O151:Z151)</f>
        <v/>
      </c>
      <c r="F34" s="37">
        <f>Model!AA151</f>
        <v/>
      </c>
      <c r="G34" s="37">
        <f>Model!AB151</f>
        <v/>
      </c>
      <c r="H34" s="37">
        <f>Model!AC151</f>
        <v/>
      </c>
      <c r="I34" s="37">
        <f>Model!AD151</f>
        <v/>
      </c>
      <c r="J34" s="37">
        <f>Model!AE151</f>
        <v/>
      </c>
    </row>
    <row r="35">
      <c r="A35" s="3" t="inlineStr">
        <is>
          <t>Paying customers</t>
        </is>
      </c>
      <c r="D35" s="64">
        <f>Model!N148</f>
        <v/>
      </c>
      <c r="E35" s="64">
        <f>Model!Z148</f>
        <v/>
      </c>
      <c r="F35" s="64">
        <f>Model!AA148</f>
        <v/>
      </c>
      <c r="G35" s="64">
        <f>Model!AB148</f>
        <v/>
      </c>
      <c r="H35" s="64">
        <f>Model!AC148</f>
        <v/>
      </c>
      <c r="I35" s="64">
        <f>Model!AD148</f>
        <v/>
      </c>
      <c r="J35" s="64">
        <f>Model!AE148</f>
        <v/>
      </c>
    </row>
    <row r="36">
      <c r="A36" s="6" t="inlineStr">
        <is>
          <t>Holders (stopped paying, still hold gold)</t>
        </is>
      </c>
      <c r="D36" s="37">
        <f>Model!N149</f>
        <v/>
      </c>
      <c r="E36" s="37">
        <f>Model!Z149</f>
        <v/>
      </c>
      <c r="F36" s="37">
        <f>Model!AA149</f>
        <v/>
      </c>
      <c r="G36" s="37">
        <f>Model!AB149</f>
        <v/>
      </c>
      <c r="H36" s="37">
        <f>Model!AC149</f>
        <v/>
      </c>
      <c r="I36" s="37">
        <f>Model!AD149</f>
        <v/>
      </c>
      <c r="J36" s="37">
        <f>Model!AE149</f>
        <v/>
      </c>
    </row>
    <row r="37">
      <c r="A37" s="6" t="inlineStr">
        <is>
          <t>Cumulative ever acquired</t>
        </is>
      </c>
      <c r="D37" s="37">
        <f>Model!N150</f>
        <v/>
      </c>
      <c r="E37" s="37">
        <f>Model!Z150</f>
        <v/>
      </c>
      <c r="F37" s="37">
        <f>Model!AA150</f>
        <v/>
      </c>
      <c r="G37" s="37">
        <f>Model!AB150</f>
        <v/>
      </c>
      <c r="H37" s="37">
        <f>Model!AC150</f>
        <v/>
      </c>
      <c r="I37" s="37">
        <f>Model!AD150</f>
        <v/>
      </c>
      <c r="J37" s="37">
        <f>Model!AE150</f>
        <v/>
      </c>
    </row>
    <row r="38">
      <c r="A38" s="6" t="inlineStr">
        <is>
          <t>Active cards</t>
        </is>
      </c>
      <c r="D38" s="37">
        <f>Model!N152</f>
        <v/>
      </c>
      <c r="E38" s="37">
        <f>Model!Z152</f>
        <v/>
      </c>
      <c r="F38" s="37">
        <f>Model!AA152</f>
        <v/>
      </c>
      <c r="G38" s="37">
        <f>Model!AB152</f>
        <v/>
      </c>
      <c r="H38" s="37">
        <f>Model!AC152</f>
        <v/>
      </c>
      <c r="I38" s="37">
        <f>Model!AD152</f>
        <v/>
      </c>
      <c r="J38" s="37">
        <f>Model!AE152</f>
        <v/>
      </c>
    </row>
    <row r="39">
      <c r="A39" s="6" t="inlineStr">
        <is>
          <t>Grams under custody</t>
        </is>
      </c>
      <c r="D39" s="37">
        <f>Model!N154</f>
        <v/>
      </c>
      <c r="E39" s="37">
        <f>Model!Z154</f>
        <v/>
      </c>
      <c r="F39" s="37">
        <f>Model!AA154</f>
        <v/>
      </c>
      <c r="G39" s="37">
        <f>Model!AB154</f>
        <v/>
      </c>
      <c r="H39" s="37">
        <f>Model!AC154</f>
        <v/>
      </c>
      <c r="I39" s="37">
        <f>Model!AD154</f>
        <v/>
      </c>
      <c r="J39" s="37">
        <f>Model!AE154</f>
        <v/>
      </c>
    </row>
    <row r="40">
      <c r="A40" s="3" t="inlineStr">
        <is>
          <t>Gold under custody (comparable headline)</t>
        </is>
      </c>
      <c r="D40" s="62">
        <f>Model!N161</f>
        <v/>
      </c>
      <c r="E40" s="62">
        <f>Model!Z161</f>
        <v/>
      </c>
      <c r="F40" s="62">
        <f>Model!AA161</f>
        <v/>
      </c>
      <c r="G40" s="62">
        <f>Model!AB161</f>
        <v/>
      </c>
      <c r="H40" s="62">
        <f>Model!AC161</f>
        <v/>
      </c>
      <c r="I40" s="62">
        <f>Model!AD161</f>
        <v/>
      </c>
      <c r="J40" s="62">
        <f>Model!AE161</f>
        <v/>
      </c>
    </row>
    <row r="41">
      <c r="A41" s="6" t="inlineStr">
        <is>
          <t>Grams held (collateral-eligible)</t>
        </is>
      </c>
      <c r="D41" s="37">
        <f>Model!N153</f>
        <v/>
      </c>
      <c r="E41" s="37">
        <f>Model!Z153</f>
        <v/>
      </c>
      <c r="F41" s="37">
        <f>Model!AA153</f>
        <v/>
      </c>
      <c r="G41" s="37">
        <f>Model!AB153</f>
        <v/>
      </c>
      <c r="H41" s="37">
        <f>Model!AC153</f>
        <v/>
      </c>
      <c r="I41" s="37">
        <f>Model!AD153</f>
        <v/>
      </c>
      <c r="J41" s="37">
        <f>Model!AE153</f>
        <v/>
      </c>
    </row>
    <row r="42">
      <c r="A42" s="3" t="inlineStr">
        <is>
          <t>Collateral-eligible AUM</t>
        </is>
      </c>
      <c r="D42" s="62">
        <f>Model!N156</f>
        <v/>
      </c>
      <c r="E42" s="62">
        <f>Model!Z156</f>
        <v/>
      </c>
      <c r="F42" s="62">
        <f>Model!AA156</f>
        <v/>
      </c>
      <c r="G42" s="62">
        <f>Model!AB156</f>
        <v/>
      </c>
      <c r="H42" s="62">
        <f>Model!AC156</f>
        <v/>
      </c>
      <c r="I42" s="62">
        <f>Model!AD156</f>
        <v/>
      </c>
      <c r="J42" s="62">
        <f>Model!AE156</f>
        <v/>
      </c>
    </row>
    <row r="43">
      <c r="A43" s="6" t="inlineStr">
        <is>
          <t>Net revenue per paying customer (annualised)</t>
        </is>
      </c>
      <c r="D43" s="36">
        <f>Model!N181</f>
        <v/>
      </c>
      <c r="E43" s="36">
        <f>Model!Z181</f>
        <v/>
      </c>
      <c r="F43" s="36">
        <f>Model!AA181</f>
        <v/>
      </c>
      <c r="G43" s="36">
        <f>Model!AB181</f>
        <v/>
      </c>
      <c r="H43" s="36">
        <f>Model!AC181</f>
        <v/>
      </c>
      <c r="I43" s="36">
        <f>Model!AD181</f>
        <v/>
      </c>
      <c r="J43" s="36">
        <f>Model!AE181</f>
        <v/>
      </c>
    </row>
    <row r="45">
      <c r="A45" s="9" t="inlineStr">
        <is>
          <t>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2026-08-21T11:16:35Z</dcterms:created>
  <dcterms:modified xmlns:dcterms="http://purl.org/dc/terms/" xmlns:xsi="http://www.w3.org/2001/XMLSchema-instance" xsi:type="dcterms:W3CDTF">2026-08-21T11:16:35Z</dcterms:modified>
</cp:coreProperties>
</file>