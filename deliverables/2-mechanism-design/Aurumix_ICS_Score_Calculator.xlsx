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hiibaedu-my.sharepoint.com/personal/a_rehman_16863_khi_iba_edu_pk/Documents/Desktop/Aurumix/deliverables/2-mechanism-design/"/>
    </mc:Choice>
  </mc:AlternateContent>
  <xr:revisionPtr revIDLastSave="19" documentId="11_8413C6AA944726CF6264C4B54C5DCE3AF7434917" xr6:coauthVersionLast="47" xr6:coauthVersionMax="47" xr10:uidLastSave="{6FD92643-3133-4958-8EEF-6BB240F77262}"/>
  <bookViews>
    <workbookView xWindow="-120" yWindow="-120" windowWidth="29040" windowHeight="15720" xr2:uid="{00000000-000D-0000-FFFF-FFFF00000000}"/>
  </bookViews>
  <sheets>
    <sheet name="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H125" i="1"/>
  <c r="I125" i="1" s="1"/>
  <c r="G125" i="1"/>
  <c r="F125" i="1"/>
  <c r="E125" i="1"/>
  <c r="G124" i="1"/>
  <c r="F124" i="1"/>
  <c r="E124" i="1"/>
  <c r="H124" i="1" s="1"/>
  <c r="I124" i="1" s="1"/>
  <c r="G123" i="1"/>
  <c r="F123" i="1"/>
  <c r="H123" i="1" s="1"/>
  <c r="I123" i="1" s="1"/>
  <c r="E123" i="1"/>
  <c r="H122" i="1"/>
  <c r="I122" i="1" s="1"/>
  <c r="G122" i="1"/>
  <c r="F122" i="1"/>
  <c r="E122" i="1"/>
  <c r="G121" i="1"/>
  <c r="F121" i="1"/>
  <c r="H121" i="1" s="1"/>
  <c r="I121" i="1" s="1"/>
  <c r="E121" i="1"/>
  <c r="G120" i="1"/>
  <c r="F120" i="1"/>
  <c r="H120" i="1" s="1"/>
  <c r="I120" i="1" s="1"/>
  <c r="E120" i="1"/>
  <c r="H118" i="1"/>
  <c r="I118" i="1" s="1"/>
  <c r="G118" i="1"/>
  <c r="F118" i="1"/>
  <c r="E118" i="1"/>
  <c r="H117" i="1"/>
  <c r="I117" i="1" s="1"/>
  <c r="G117" i="1"/>
  <c r="F117" i="1"/>
  <c r="E117" i="1"/>
  <c r="G116" i="1"/>
  <c r="F116" i="1"/>
  <c r="E116" i="1"/>
  <c r="H116" i="1" s="1"/>
  <c r="I116" i="1" s="1"/>
  <c r="H115" i="1"/>
  <c r="I115" i="1" s="1"/>
  <c r="G115" i="1"/>
  <c r="F115" i="1"/>
  <c r="E115" i="1"/>
  <c r="G114" i="1"/>
  <c r="F114" i="1"/>
  <c r="H114" i="1" s="1"/>
  <c r="I114" i="1" s="1"/>
  <c r="E114" i="1"/>
  <c r="G112" i="1"/>
  <c r="F112" i="1"/>
  <c r="E112" i="1"/>
  <c r="H112" i="1" s="1"/>
  <c r="I112" i="1" s="1"/>
  <c r="G111" i="1"/>
  <c r="F111" i="1"/>
  <c r="E111" i="1"/>
  <c r="H111" i="1" s="1"/>
  <c r="I111" i="1" s="1"/>
  <c r="H110" i="1"/>
  <c r="I110" i="1" s="1"/>
  <c r="G110" i="1"/>
  <c r="F110" i="1"/>
  <c r="E110" i="1"/>
  <c r="B102" i="1"/>
  <c r="B96" i="1"/>
  <c r="B95" i="1"/>
  <c r="B98" i="1" s="1"/>
  <c r="B94" i="1"/>
  <c r="B97" i="1" s="1"/>
  <c r="B101" i="1" s="1"/>
  <c r="H75" i="1"/>
  <c r="I75" i="1" s="1"/>
  <c r="G75" i="1"/>
  <c r="F75" i="1"/>
  <c r="H74" i="1"/>
  <c r="G74" i="1"/>
  <c r="F74" i="1"/>
  <c r="I74" i="1" s="1"/>
  <c r="H73" i="1"/>
  <c r="G73" i="1"/>
  <c r="F73" i="1"/>
  <c r="I73" i="1" s="1"/>
  <c r="H72" i="1"/>
  <c r="G72" i="1"/>
  <c r="I72" i="1" s="1"/>
  <c r="F72" i="1"/>
  <c r="H71" i="1"/>
  <c r="G71" i="1"/>
  <c r="F71" i="1"/>
  <c r="I71" i="1" s="1"/>
  <c r="H70" i="1"/>
  <c r="G70" i="1"/>
  <c r="F70" i="1"/>
  <c r="I70" i="1" s="1"/>
  <c r="I69" i="1"/>
  <c r="K69" i="1" s="1"/>
  <c r="H69" i="1"/>
  <c r="G69" i="1"/>
  <c r="F69" i="1"/>
  <c r="H68" i="1"/>
  <c r="G68" i="1"/>
  <c r="F68" i="1"/>
  <c r="I68" i="1" s="1"/>
  <c r="H67" i="1"/>
  <c r="I67" i="1" s="1"/>
  <c r="G67" i="1"/>
  <c r="F67" i="1"/>
  <c r="H66" i="1"/>
  <c r="G66" i="1"/>
  <c r="F66" i="1"/>
  <c r="I66" i="1" s="1"/>
  <c r="H65" i="1"/>
  <c r="G65" i="1"/>
  <c r="F65" i="1"/>
  <c r="I65" i="1" s="1"/>
  <c r="L38" i="1"/>
  <c r="K38" i="1"/>
  <c r="J38" i="1"/>
  <c r="I38" i="1"/>
  <c r="H38" i="1"/>
  <c r="G38" i="1"/>
  <c r="F38" i="1"/>
  <c r="E38" i="1"/>
  <c r="D38" i="1"/>
  <c r="C38" i="1"/>
  <c r="B3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19" i="1"/>
  <c r="M19" i="1"/>
  <c r="L19" i="1"/>
  <c r="K19" i="1"/>
  <c r="J19" i="1"/>
  <c r="I19" i="1"/>
  <c r="H19" i="1"/>
  <c r="G19" i="1"/>
  <c r="F19" i="1"/>
  <c r="E19" i="1"/>
  <c r="D19" i="1"/>
  <c r="B19" i="1"/>
  <c r="K72" i="1" l="1"/>
  <c r="J72" i="1"/>
  <c r="K67" i="1"/>
  <c r="J67" i="1"/>
  <c r="K68" i="1"/>
  <c r="J68" i="1"/>
  <c r="J73" i="1"/>
  <c r="K73" i="1"/>
  <c r="K74" i="1"/>
  <c r="J74" i="1"/>
  <c r="J65" i="1"/>
  <c r="K65" i="1"/>
  <c r="K70" i="1"/>
  <c r="J70" i="1"/>
  <c r="K75" i="1"/>
  <c r="J75" i="1"/>
  <c r="K66" i="1"/>
  <c r="J66" i="1"/>
  <c r="K71" i="1"/>
  <c r="J71" i="1"/>
  <c r="B99" i="1"/>
  <c r="B100" i="1" s="1"/>
  <c r="J69" i="1"/>
</calcChain>
</file>

<file path=xl/sharedStrings.xml><?xml version="1.0" encoding="utf-8"?>
<sst xmlns="http://schemas.openxmlformats.org/spreadsheetml/2006/main" count="195" uniqueCount="181">
  <si>
    <t>AURUMIX  ·  THE INVESTOR CONVICTION SCORE</t>
  </si>
  <si>
    <t>How a saver earns their tier — and how they can lose it.</t>
  </si>
  <si>
    <t>Every number below is live. Change anything blue and the whole model recalculates.</t>
  </si>
  <si>
    <t xml:space="preserve">  THE IDEA   —   we ask three questions, and nothing else</t>
  </si>
  <si>
    <t>The score never looks at how much money you have. It looks at what you did.</t>
  </si>
  <si>
    <t>1.  What did you contribute?</t>
  </si>
  <si>
    <t>RECORD</t>
  </si>
  <si>
    <t>How many months you have ever paid. This is a fact about your history — nothing reduces it, ever.</t>
  </si>
  <si>
    <t>2.  Are you contributing now?</t>
  </si>
  <si>
    <t>STANDING</t>
  </si>
  <si>
    <t>How many of the last 12 months you paid. This is a fact about your present, and it moves both ways.</t>
  </si>
  <si>
    <t>3.  Did you keep your gold?</t>
  </si>
  <si>
    <t>RETENTION</t>
  </si>
  <si>
    <t>How much of your gold you still hold. Saving and then selling is not saving.</t>
  </si>
  <si>
    <t>Your score is the WEAKER of the first two, reduced by the third. A long record cannot cover a bad year, and a perfect year cannot cover a short record.</t>
  </si>
  <si>
    <t xml:space="preserve">  QUESTION 1   —   WHAT DID YOU CONTRIBUTE?      gives you your RECORD, out of 100</t>
  </si>
  <si>
    <t>Your first year of payments takes you to 50.  The next four years take you from 50 to 100.</t>
  </si>
  <si>
    <t>It stops at five years — but the app keeps showing the real count, which rises forever.</t>
  </si>
  <si>
    <t>Months you have paid</t>
  </si>
  <si>
    <t>Your RECORD</t>
  </si>
  <si>
    <t xml:space="preserve">  QUESTION 2   —   ARE YOU CONTRIBUTING NOW?      gives you your STANDING, out of 100</t>
  </si>
  <si>
    <t>Each of the last 12 months you paid is worth 8.3 points.  Twelve out of twelve is 100.</t>
  </si>
  <si>
    <t>A month you missed drops out of view a year later, so an isolated lapse heals itself. A habit of missing does not.</t>
  </si>
  <si>
    <t>Months paid, of the last 12</t>
  </si>
  <si>
    <t>Your STANDING</t>
  </si>
  <si>
    <t xml:space="preserve">  QUESTION 3   —   DID YOU KEEP YOUR GOLD?      gives you your RETENTION, a multiplier</t>
  </si>
  <si>
    <t>Take out up to a THIRD of your gold in a year and nothing happens at all.</t>
  </si>
  <si>
    <t>Past that, every further 7% you sell costs you 10% of your score — down to zero if you empty the account.</t>
  </si>
  <si>
    <t>We measure it as:      1  −  ( gold you hold now  ÷  [ gold you held a year ago  +  gold you have bought since ] )</t>
  </si>
  <si>
    <t>In words: what share of everything you had did you not keep? Three numbers, read straight off the ledger. It cannot be made cheaper by choosing when to sell.</t>
  </si>
  <si>
    <t>Share sold in the last 12 months</t>
  </si>
  <si>
    <t>Your RETENTION</t>
  </si>
  <si>
    <t>Transfers to a family account or under the Digital Will are NOT sales — the gold stays in the product, only the name on it changes.</t>
  </si>
  <si>
    <t xml:space="preserve">  PUTTING THEM TOGETHER</t>
  </si>
  <si>
    <t>YOUR SCORE   =   the LOWER of ( Record , Standing )   ×   Retention</t>
  </si>
  <si>
    <t>•   Why the LOWER of the two?  Because both have to be true. A twenty-year record does not excuse a year of not paying, and a perfect year does not make you a twenty-year saver. Taking the lower number is what makes it AND rather than OR.</t>
  </si>
  <si>
    <t>•   Why does Retention MULTIPLY?  Because keeping your gold is not one good habit among several — it is a condition on all of them. Sell everything and the score is zero, however perfectly you paid.</t>
  </si>
  <si>
    <t>•   One protection: once you have made six payments, your score never falls below 25. You are never sent back to the beginning.</t>
  </si>
  <si>
    <t xml:space="preserve">  THE LADDER</t>
  </si>
  <si>
    <t>Score needed</t>
  </si>
  <si>
    <t>Tier</t>
  </si>
  <si>
    <t>In plain English</t>
  </si>
  <si>
    <t>What it buys</t>
  </si>
  <si>
    <t>No tier</t>
  </si>
  <si>
    <t>Account open, gate not yet passed. No score is calculated.</t>
  </si>
  <si>
    <t>—</t>
  </si>
  <si>
    <t>Silver</t>
  </si>
  <si>
    <t>Six months straight. You are established, permanently.</t>
  </si>
  <si>
    <t>0.4pp off the entry fee · 10% off the will plan</t>
  </si>
  <si>
    <t>Gold</t>
  </si>
  <si>
    <t>One year paid, and paying now.</t>
  </si>
  <si>
    <t>Credit at 50% LTV · card issued · Gold Rewards begin · 0.8pp off</t>
  </si>
  <si>
    <t>Platinum</t>
  </si>
  <si>
    <t>Three years paid, and a strong year behind you.</t>
  </si>
  <si>
    <t>LTV 65% · card level 2 · Rewards 0.45% · 1.2pp off · will 35%</t>
  </si>
  <si>
    <t>Sovereign</t>
  </si>
  <si>
    <t>Five years paid, a perfect year, gold intact.</t>
  </si>
  <si>
    <t>LTV 80% · top card · Rewards 0.75% · 1.5pp off · will 50%</t>
  </si>
  <si>
    <t>The gate comes first: six consecutive payments before any score exists. Everyone enters at Silver, 25.</t>
  </si>
  <si>
    <t>Silver is permanent. Every tier above it is rented by conduct — which is the point.</t>
  </si>
  <si>
    <t>One missed payment and one real withdrawal, across five years. Follow the last two columns.</t>
  </si>
  <si>
    <t>When</t>
  </si>
  <si>
    <t>What happened</t>
  </si>
  <si>
    <t>Months</t>
  </si>
  <si>
    <t>of last 12</t>
  </si>
  <si>
    <t>Sold</t>
  </si>
  <si>
    <t>Record</t>
  </si>
  <si>
    <t>Standing</t>
  </si>
  <si>
    <t>Retention</t>
  </si>
  <si>
    <t>SCORE</t>
  </si>
  <si>
    <t>Month 1</t>
  </si>
  <si>
    <t>Opens an account, first payment clears.</t>
  </si>
  <si>
    <t>Month 6</t>
  </si>
  <si>
    <t>Six payments in. Confirmed — and Silver, permanently.</t>
  </si>
  <si>
    <t>Month 12</t>
  </si>
  <si>
    <t>One clean year. Gold: credit, card and Rewards all switch on.</t>
  </si>
  <si>
    <t>Month 24</t>
  </si>
  <si>
    <t>Still paying. Score climbing, tier unchanged.</t>
  </si>
  <si>
    <t>Month 30</t>
  </si>
  <si>
    <t>Misses a payment — hospital bill. Costs him nothing today.</t>
  </si>
  <si>
    <t>Month 36</t>
  </si>
  <si>
    <t>Three calendar years, but 35 payments. Just short of Platinum.</t>
  </si>
  <si>
    <t>Month 37</t>
  </si>
  <si>
    <t>The 36th payment lands. Platinum.</t>
  </si>
  <si>
    <t>Month 50</t>
  </si>
  <si>
    <t>Sells a quarter of his gold for a family wedding.</t>
  </si>
  <si>
    <t>Month 51</t>
  </si>
  <si>
    <t>Inside the allowance. Nothing happened to his score.</t>
  </si>
  <si>
    <t>Month 60</t>
  </si>
  <si>
    <t>Five calendar years — but that one miss is still owed.</t>
  </si>
  <si>
    <t>Month 61</t>
  </si>
  <si>
    <t>The 60th payment. Sovereign.</t>
  </si>
  <si>
    <t>The two moments worth pausing on:</t>
  </si>
  <si>
    <t>•   Month 30 — he misses one payment and his tier does not move. The score has slack in the middle of a climb, by design.</t>
  </si>
  <si>
    <t>•   Month 50 — he sells a quarter of his gold and nothing happens at all. That is what the one-third allowance is for.</t>
  </si>
  <si>
    <t>•   The whole cost of that one missed payment is that Sovereign arrives in month 61 instead of month 60. One month, and nothing else.</t>
  </si>
  <si>
    <t xml:space="preserve">  TRY IT   —   change the blue cells</t>
  </si>
  <si>
    <t>Enter a customer's position and the model gives you their tier.</t>
  </si>
  <si>
    <t>Input</t>
  </si>
  <si>
    <t>Value</t>
  </si>
  <si>
    <t>What it means</t>
  </si>
  <si>
    <t>Months paid — total, lifetime</t>
  </si>
  <si>
    <t>Every month a payment cleared. Never falls.</t>
  </si>
  <si>
    <t>Months paid — of the last 12</t>
  </si>
  <si>
    <t>Between 0 and 12.</t>
  </si>
  <si>
    <t>Gold held 12 months ago (g)</t>
  </si>
  <si>
    <t>From the token ledger.</t>
  </si>
  <si>
    <t>Gold bought since (g)</t>
  </si>
  <si>
    <t>Contributions plus any spot purchases, plus Gold Rewards credited.</t>
  </si>
  <si>
    <t>Gold held now (g)</t>
  </si>
  <si>
    <t>If this equals the two above added together, nothing was sold.</t>
  </si>
  <si>
    <t>Working</t>
  </si>
  <si>
    <t>Result</t>
  </si>
  <si>
    <t>Where it comes from</t>
  </si>
  <si>
    <t>Share of your gold sold</t>
  </si>
  <si>
    <t>1 − (held now ÷ [held a year ago + bought since]).</t>
  </si>
  <si>
    <t>Question 1. Months paid, on the strip above.</t>
  </si>
  <si>
    <t>Question 2. Months paid of the last 12.</t>
  </si>
  <si>
    <t>Question 3. 1.00 means nothing was lost.</t>
  </si>
  <si>
    <t>The lower of Record and Standing</t>
  </si>
  <si>
    <t>Both have to be true, so we take the weaker.</t>
  </si>
  <si>
    <t>Multiplied by Retention, then the floor of 25 if six payments have been made.</t>
  </si>
  <si>
    <t>TIER</t>
  </si>
  <si>
    <t>The highest tier this score has reached.</t>
  </si>
  <si>
    <t>What is holding them back</t>
  </si>
  <si>
    <t>The app can tell the customer exactly what to fix. This is the retention hook.</t>
  </si>
  <si>
    <t>Six payments made? (drives the floor)</t>
  </si>
  <si>
    <t>Confirmed status is simply the 6th payment. It is permanent.</t>
  </si>
  <si>
    <t xml:space="preserve">  EVERY CASE THAT MATTERS</t>
  </si>
  <si>
    <t>The rows we would expect a sharp reader to test. All of them are live.</t>
  </si>
  <si>
    <t>Case</t>
  </si>
  <si>
    <t>What it shows</t>
  </si>
  <si>
    <t>FAIRNESS</t>
  </si>
  <si>
    <t xml:space="preserve">   USD 20 a month, perfect, five years</t>
  </si>
  <si>
    <t>The smallest saver in the product reaches the top. This is the test the design exists to pass.</t>
  </si>
  <si>
    <t xml:space="preserve">   USD 2,000 a month, perfect, five years</t>
  </si>
  <si>
    <t>Identical, to the day. A hundred times the money buys zero tiers.</t>
  </si>
  <si>
    <t xml:space="preserve">   Six payments scattered, never six in a row</t>
  </si>
  <si>
    <t>Never passes the gate, so no score is ever calculated. Six real payments, no tier.</t>
  </si>
  <si>
    <t>SELLING</t>
  </si>
  <si>
    <t xml:space="preserve">   Sells a quarter of his gold</t>
  </si>
  <si>
    <t>Inside the allowance. Nothing happens.</t>
  </si>
  <si>
    <t xml:space="preserve">   Sells a third</t>
  </si>
  <si>
    <t>Exactly on the line. Still nothing.</t>
  </si>
  <si>
    <t xml:space="preserve">   Sells half</t>
  </si>
  <si>
    <t>One tier. He keeps his gold, his loan and his card.</t>
  </si>
  <si>
    <t xml:space="preserve">   Sells everything</t>
  </si>
  <si>
    <t>Three tiers, to the floor. Recovers in twelve clean months.</t>
  </si>
  <si>
    <t xml:space="preserve">   The cycler — buys and sells every month</t>
  </si>
  <si>
    <t>A flawless payment record held at Silver. He never recovers, because he never stops.</t>
  </si>
  <si>
    <t>MISSING PAYMENTS  (a ten-year saver who stops)</t>
  </si>
  <si>
    <t xml:space="preserve">   one missed month</t>
  </si>
  <si>
    <t>One tier.</t>
  </si>
  <si>
    <t xml:space="preserve">   three missed months</t>
  </si>
  <si>
    <t>Still Platinum. It takes four in a row to lose it.</t>
  </si>
  <si>
    <t xml:space="preserve">   four missed months</t>
  </si>
  <si>
    <t>Platinum lost.</t>
  </si>
  <si>
    <t xml:space="preserve">   seven missed months</t>
  </si>
  <si>
    <t>Gold lost.</t>
  </si>
  <si>
    <t xml:space="preserve">   stopped for a full year</t>
  </si>
  <si>
    <t>Ten years of history does not hold the top tier. Status is rented, not owned.</t>
  </si>
  <si>
    <t xml:space="preserve">   pays every other month, forever</t>
  </si>
  <si>
    <t>Capped at Gold for life. Nothing in the rules stops him — the arithmetic does.</t>
  </si>
  <si>
    <t xml:space="preserve">  THE NUMBERS WE CHOSE   —   everything above is driven by these six cells</t>
  </si>
  <si>
    <t>Setting</t>
  </si>
  <si>
    <t>Why this number</t>
  </si>
  <si>
    <t>Months to reach a Record of 50</t>
  </si>
  <si>
    <t>One year. The first year is the hardest, so it is worth the most.</t>
  </si>
  <si>
    <t>Months to reach a Record of 100</t>
  </si>
  <si>
    <t>Five years. Long enough to be meaningful, short enough to be reachable.</t>
  </si>
  <si>
    <t>Trailing window (months)</t>
  </si>
  <si>
    <t>A year. Long enough to see a habit, short enough to forgive an accident.</t>
  </si>
  <si>
    <t>Free withdrawal allowance</t>
  </si>
  <si>
    <t>A third. Covers a genuine household need without touching the score.</t>
  </si>
  <si>
    <t>Payments that secure Silver</t>
  </si>
  <si>
    <t>Six. Proves the account is real. Permanent once earned.</t>
  </si>
  <si>
    <t>Silver floor score</t>
  </si>
  <si>
    <t>Nobody who has made six payments is ever sent back to the beginning.</t>
  </si>
  <si>
    <t>The one number worth revisiting once we have real data is the withdrawal allowance. Everything else is structural.</t>
  </si>
  <si>
    <t xml:space="preserve"> </t>
  </si>
  <si>
    <t xml:space="preserve">  A WORKED STORY   —   Tony, USD 75 a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</si>
</sst>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b/>
      <sz val="12"/>
      <color rgb="FFBF8F00"/>
      <name val="Calibri"/>
    </font>
    <font>
      <i/>
      <sz val="10"/>
      <color rgb="FF595959"/>
      <name val="Calibri"/>
    </font>
    <font>
      <b/>
      <sz val="13"/>
      <color rgb="FFFFFFFF"/>
      <name val="Calibri"/>
    </font>
    <font>
      <sz val="11"/>
      <color rgb="FF000000"/>
      <name val="Calibri"/>
    </font>
    <font>
      <b/>
      <sz val="11"/>
      <color rgb="FF1F3864"/>
      <name val="Calibri"/>
    </font>
    <font>
      <b/>
      <sz val="11"/>
      <color rgb="FFBF8F00"/>
      <name val="Calibri"/>
    </font>
    <font>
      <sz val="11"/>
      <color rgb="FF000000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1F3864"/>
      <name val="Calibri"/>
    </font>
    <font>
      <i/>
      <sz val="11"/>
      <color rgb="FF1F3864"/>
      <name val="Calibri"/>
    </font>
    <font>
      <b/>
      <sz val="13"/>
      <color rgb="FF1F3864"/>
      <name val="Calibri"/>
    </font>
    <font>
      <b/>
      <sz val="10"/>
      <color rgb="FFFFFFFF"/>
      <name val="Calibri"/>
    </font>
    <font>
      <b/>
      <sz val="12"/>
      <color rgb="FF1F3864"/>
      <name val="Calibri"/>
    </font>
    <font>
      <sz val="11"/>
      <color rgb="FFBF8F00"/>
      <name val="Calibri"/>
    </font>
    <font>
      <b/>
      <sz val="11"/>
      <color rgb="FF0000FF"/>
      <name val="Calibri"/>
    </font>
    <font>
      <b/>
      <sz val="13"/>
      <name val="Calibri"/>
    </font>
    <font>
      <b/>
      <sz val="13"/>
      <color rgb="FFBF8F00"/>
      <name val="Calibri"/>
    </font>
    <font>
      <b/>
      <i/>
      <sz val="11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3" borderId="1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9" fillId="0" borderId="0" xfId="0" applyFont="1"/>
    <xf numFmtId="1" fontId="10" fillId="0" borderId="1" xfId="0" applyNumberFormat="1" applyFont="1" applyBorder="1" applyAlignment="1">
      <alignment horizontal="center" vertical="center"/>
    </xf>
    <xf numFmtId="0" fontId="11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0" fontId="12" fillId="0" borderId="0" xfId="0" applyFont="1"/>
    <xf numFmtId="9" fontId="10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13" fillId="3" borderId="0" xfId="0" applyFont="1" applyFill="1"/>
    <xf numFmtId="0" fontId="0" fillId="3" borderId="0" xfId="0" applyFill="1"/>
    <xf numFmtId="0" fontId="8" fillId="0" borderId="0" xfId="0" applyFont="1" applyAlignment="1">
      <alignment vertical="center" wrapText="1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9" fillId="0" borderId="1" xfId="0" applyFont="1" applyBorder="1"/>
    <xf numFmtId="1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6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1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8" fillId="5" borderId="1" xfId="0" applyFont="1" applyFill="1" applyBorder="1"/>
    <xf numFmtId="0" fontId="1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4" borderId="0" xfId="0" applyFont="1" applyFill="1"/>
    <xf numFmtId="0" fontId="0" fillId="4" borderId="0" xfId="0" applyFill="1"/>
    <xf numFmtId="1" fontId="11" fillId="0" borderId="1" xfId="0" applyNumberFormat="1" applyFont="1" applyBorder="1" applyAlignment="1">
      <alignment horizontal="center" vertical="center"/>
    </xf>
    <xf numFmtId="9" fontId="17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Retention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ICS!$B$37:$L$37</c:f>
              <c:numCache>
                <c:formatCode>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ICS!$B$38:$L$38</c:f>
              <c:numCache>
                <c:formatCode>0.00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0.8571428571428571</c:v>
                </c:pt>
                <c:pt idx="5">
                  <c:v>0.71428571428571419</c:v>
                </c:pt>
                <c:pt idx="6">
                  <c:v>0.5714285714285714</c:v>
                </c:pt>
                <c:pt idx="7">
                  <c:v>0.4285714285714286</c:v>
                </c:pt>
                <c:pt idx="8">
                  <c:v>0.2857142857142857</c:v>
                </c:pt>
                <c:pt idx="9">
                  <c:v>0.14285714285714268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F-4350-9D38-D2602ED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67244095"/>
        <c:axId val="736243279"/>
      </c:barChart>
      <c:catAx>
        <c:axId val="146724409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43279"/>
        <c:crosses val="autoZero"/>
        <c:auto val="1"/>
        <c:lblAlgn val="ctr"/>
        <c:lblOffset val="100"/>
        <c:noMultiLvlLbl val="0"/>
      </c:catAx>
      <c:valAx>
        <c:axId val="73624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2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2324100</xdr:colOff>
      <xdr:row>43</xdr:row>
      <xdr:rowOff>171450</xdr:rowOff>
    </xdr:from>
    <xdr:to>
      <xdr:col>13</xdr:col>
      <xdr:colOff>228600</xdr:colOff>
      <xdr:row>54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F730E-08D9-628D-4C6F-1283C58D6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showGridLines="0" tabSelected="1" workbookViewId="0">
      <pane ySplit="3" topLeftCell="A50" activePane="bottomLeft" state="frozen"/>
      <selection pane="bottomLeft" activeCell="B67" sqref="B67"/>
    </sheetView>
  </sheetViews>
  <sheetFormatPr defaultRowHeight="15" x14ac:dyDescent="0.25"/>
  <cols>
    <col min="1" max="1" width="48" customWidth="1"/>
    <col min="2" max="3" width="13" customWidth="1"/>
    <col min="4" max="8" width="12" customWidth="1"/>
    <col min="9" max="9" width="14" customWidth="1"/>
    <col min="10" max="10" width="62" customWidth="1"/>
    <col min="11" max="11" width="14" customWidth="1"/>
    <col min="12" max="14" width="12" customWidth="1"/>
  </cols>
  <sheetData>
    <row r="1" spans="1:14" ht="26.1" customHeight="1" x14ac:dyDescent="0.35">
      <c r="A1" s="1" t="s">
        <v>0</v>
      </c>
    </row>
    <row r="2" spans="1:14" ht="15.75" x14ac:dyDescent="0.25">
      <c r="A2" s="2" t="s">
        <v>1</v>
      </c>
    </row>
    <row r="3" spans="1:14" x14ac:dyDescent="0.25">
      <c r="A3" s="3" t="s">
        <v>2</v>
      </c>
    </row>
    <row r="5" spans="1:14" ht="24" customHeight="1" x14ac:dyDescent="0.3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x14ac:dyDescent="0.25">
      <c r="A6" s="6" t="s">
        <v>4</v>
      </c>
    </row>
    <row r="8" spans="1:14" x14ac:dyDescent="0.25">
      <c r="A8" s="7" t="s">
        <v>5</v>
      </c>
      <c r="B8" s="8" t="s">
        <v>6</v>
      </c>
      <c r="C8" s="9" t="s">
        <v>7</v>
      </c>
    </row>
    <row r="9" spans="1:14" x14ac:dyDescent="0.25">
      <c r="A9" s="7" t="s">
        <v>8</v>
      </c>
      <c r="B9" s="8" t="s">
        <v>9</v>
      </c>
      <c r="C9" s="9" t="s">
        <v>10</v>
      </c>
    </row>
    <row r="10" spans="1:14" x14ac:dyDescent="0.25">
      <c r="A10" s="7" t="s">
        <v>11</v>
      </c>
      <c r="B10" s="8" t="s">
        <v>12</v>
      </c>
      <c r="C10" s="9" t="s">
        <v>13</v>
      </c>
    </row>
    <row r="12" spans="1:14" x14ac:dyDescent="0.25">
      <c r="A12" s="6" t="s">
        <v>14</v>
      </c>
    </row>
    <row r="14" spans="1:14" ht="24" customHeight="1" x14ac:dyDescent="0.3">
      <c r="A14" s="4" t="s">
        <v>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25">
      <c r="A15" s="6" t="s">
        <v>16</v>
      </c>
    </row>
    <row r="16" spans="1:14" x14ac:dyDescent="0.25">
      <c r="A16" s="3" t="s">
        <v>17</v>
      </c>
    </row>
    <row r="18" spans="1:14" x14ac:dyDescent="0.25">
      <c r="A18" s="10" t="s">
        <v>18</v>
      </c>
      <c r="B18" s="11">
        <v>0</v>
      </c>
      <c r="C18" s="11">
        <v>3</v>
      </c>
      <c r="D18" s="11">
        <v>6</v>
      </c>
      <c r="E18" s="11">
        <v>9</v>
      </c>
      <c r="F18" s="11">
        <v>12</v>
      </c>
      <c r="G18" s="11">
        <v>18</v>
      </c>
      <c r="H18" s="11">
        <v>24</v>
      </c>
      <c r="I18" s="11">
        <v>30</v>
      </c>
      <c r="J18" s="11">
        <v>36</v>
      </c>
      <c r="K18" s="11">
        <v>42</v>
      </c>
      <c r="L18" s="11">
        <v>48</v>
      </c>
      <c r="M18" s="11">
        <v>54</v>
      </c>
      <c r="N18" s="11">
        <v>60</v>
      </c>
    </row>
    <row r="19" spans="1:14" x14ac:dyDescent="0.25">
      <c r="A19" s="12" t="s">
        <v>19</v>
      </c>
      <c r="B19" s="13">
        <f t="shared" ref="B19:N19" si="0">IF(B18&lt;=$B$130,B18*50/$B$130,IF(B18&gt;=$B$131,100,50+(B18-$B$130)*50/($B$131-$B$130)))</f>
        <v>0</v>
      </c>
      <c r="C19" s="13">
        <f>IF(C18&lt;=$B$130,C18*50/$B$130,IF(C18&gt;=$B$131,100,50+(C18-$B$130)*50/($B$131-$B$130)))</f>
        <v>12.5</v>
      </c>
      <c r="D19" s="13">
        <f t="shared" si="0"/>
        <v>25</v>
      </c>
      <c r="E19" s="13">
        <f t="shared" si="0"/>
        <v>37.5</v>
      </c>
      <c r="F19" s="13">
        <f t="shared" si="0"/>
        <v>50</v>
      </c>
      <c r="G19" s="13">
        <f t="shared" si="0"/>
        <v>56.25</v>
      </c>
      <c r="H19" s="13">
        <f t="shared" si="0"/>
        <v>62.5</v>
      </c>
      <c r="I19" s="13">
        <f t="shared" si="0"/>
        <v>68.75</v>
      </c>
      <c r="J19" s="13">
        <f t="shared" si="0"/>
        <v>75</v>
      </c>
      <c r="K19" s="13">
        <f t="shared" si="0"/>
        <v>81.25</v>
      </c>
      <c r="L19" s="13">
        <f t="shared" si="0"/>
        <v>87.5</v>
      </c>
      <c r="M19" s="13">
        <f t="shared" si="0"/>
        <v>93.75</v>
      </c>
      <c r="N19" s="13">
        <f t="shared" si="0"/>
        <v>100</v>
      </c>
    </row>
    <row r="22" spans="1:14" ht="24" customHeight="1" x14ac:dyDescent="0.3">
      <c r="A22" s="4" t="s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6" t="s">
        <v>21</v>
      </c>
    </row>
    <row r="24" spans="1:14" x14ac:dyDescent="0.25">
      <c r="A24" s="3" t="s">
        <v>22</v>
      </c>
    </row>
    <row r="26" spans="1:14" x14ac:dyDescent="0.25">
      <c r="A26" s="10" t="s">
        <v>23</v>
      </c>
      <c r="B26" s="11">
        <v>0</v>
      </c>
      <c r="C26" s="11">
        <v>1</v>
      </c>
      <c r="D26" s="11">
        <v>2</v>
      </c>
      <c r="E26" s="11">
        <v>3</v>
      </c>
      <c r="F26" s="11">
        <v>4</v>
      </c>
      <c r="G26" s="11">
        <v>5</v>
      </c>
      <c r="H26" s="11">
        <v>6</v>
      </c>
      <c r="I26" s="11">
        <v>7</v>
      </c>
      <c r="J26" s="11">
        <v>8</v>
      </c>
      <c r="K26" s="11">
        <v>9</v>
      </c>
      <c r="L26" s="11">
        <v>10</v>
      </c>
      <c r="M26" s="11">
        <v>11</v>
      </c>
      <c r="N26" s="11">
        <v>12</v>
      </c>
    </row>
    <row r="27" spans="1:14" x14ac:dyDescent="0.25">
      <c r="A27" s="12" t="s">
        <v>24</v>
      </c>
      <c r="B27" s="13">
        <f t="shared" ref="B27:N27" si="1">MIN(B26,$B$132)*100/$B$132</f>
        <v>0</v>
      </c>
      <c r="C27" s="13">
        <f t="shared" si="1"/>
        <v>8.3333333333333339</v>
      </c>
      <c r="D27" s="13">
        <f t="shared" si="1"/>
        <v>16.666666666666668</v>
      </c>
      <c r="E27" s="13">
        <f t="shared" si="1"/>
        <v>25</v>
      </c>
      <c r="F27" s="13">
        <f t="shared" si="1"/>
        <v>33.333333333333336</v>
      </c>
      <c r="G27" s="13">
        <f t="shared" si="1"/>
        <v>41.666666666666664</v>
      </c>
      <c r="H27" s="13">
        <f t="shared" si="1"/>
        <v>50</v>
      </c>
      <c r="I27" s="13">
        <f t="shared" si="1"/>
        <v>58.333333333333336</v>
      </c>
      <c r="J27" s="13">
        <f t="shared" si="1"/>
        <v>66.666666666666671</v>
      </c>
      <c r="K27" s="13">
        <f t="shared" si="1"/>
        <v>75</v>
      </c>
      <c r="L27" s="13">
        <f t="shared" si="1"/>
        <v>83.333333333333329</v>
      </c>
      <c r="M27" s="13">
        <f t="shared" si="1"/>
        <v>91.666666666666671</v>
      </c>
      <c r="N27" s="13">
        <f t="shared" si="1"/>
        <v>100</v>
      </c>
    </row>
    <row r="30" spans="1:14" ht="24" customHeight="1" x14ac:dyDescent="0.3">
      <c r="A30" s="4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x14ac:dyDescent="0.25">
      <c r="A31" s="6" t="s">
        <v>26</v>
      </c>
    </row>
    <row r="32" spans="1:14" x14ac:dyDescent="0.25">
      <c r="A32" s="6" t="s">
        <v>27</v>
      </c>
    </row>
    <row r="34" spans="1:14" x14ac:dyDescent="0.25">
      <c r="A34" s="14" t="s">
        <v>28</v>
      </c>
    </row>
    <row r="35" spans="1:14" x14ac:dyDescent="0.25">
      <c r="A35" s="3" t="s">
        <v>29</v>
      </c>
    </row>
    <row r="37" spans="1:14" x14ac:dyDescent="0.25">
      <c r="A37" s="10" t="s">
        <v>30</v>
      </c>
      <c r="B37" s="15">
        <v>0</v>
      </c>
      <c r="C37" s="15">
        <v>0.1</v>
      </c>
      <c r="D37" s="15">
        <v>0.2</v>
      </c>
      <c r="E37" s="15">
        <v>0.3</v>
      </c>
      <c r="F37" s="15">
        <v>0.4</v>
      </c>
      <c r="G37" s="15">
        <v>0.5</v>
      </c>
      <c r="H37" s="15">
        <v>0.6</v>
      </c>
      <c r="I37" s="15">
        <v>0.7</v>
      </c>
      <c r="J37" s="15">
        <v>0.8</v>
      </c>
      <c r="K37" s="15">
        <v>0.9</v>
      </c>
      <c r="L37" s="15">
        <v>1</v>
      </c>
    </row>
    <row r="38" spans="1:14" x14ac:dyDescent="0.25">
      <c r="A38" s="12" t="s">
        <v>31</v>
      </c>
      <c r="B38" s="16">
        <f t="shared" ref="B38:L38" si="2">IF(B37&lt;=$B$133,1,MAX(0,1-(B37-$B$133)/(1-$B$133)))</f>
        <v>1</v>
      </c>
      <c r="C38" s="16">
        <f t="shared" si="2"/>
        <v>1</v>
      </c>
      <c r="D38" s="16">
        <f t="shared" si="2"/>
        <v>1</v>
      </c>
      <c r="E38" s="16">
        <f t="shared" si="2"/>
        <v>1</v>
      </c>
      <c r="F38" s="16">
        <f t="shared" si="2"/>
        <v>0.8571428571428571</v>
      </c>
      <c r="G38" s="16">
        <f t="shared" si="2"/>
        <v>0.71428571428571419</v>
      </c>
      <c r="H38" s="16">
        <f t="shared" si="2"/>
        <v>0.5714285714285714</v>
      </c>
      <c r="I38" s="16">
        <f t="shared" si="2"/>
        <v>0.4285714285714286</v>
      </c>
      <c r="J38" s="16">
        <f t="shared" si="2"/>
        <v>0.2857142857142857</v>
      </c>
      <c r="K38" s="16">
        <f t="shared" si="2"/>
        <v>0.14285714285714268</v>
      </c>
      <c r="L38" s="16">
        <f t="shared" si="2"/>
        <v>0</v>
      </c>
    </row>
    <row r="39" spans="1:14" x14ac:dyDescent="0.25">
      <c r="A39" s="3" t="s">
        <v>32</v>
      </c>
    </row>
    <row r="40" spans="1:14" x14ac:dyDescent="0.25">
      <c r="J40" t="s">
        <v>179</v>
      </c>
    </row>
    <row r="42" spans="1:14" ht="24" customHeight="1" x14ac:dyDescent="0.3">
      <c r="A42" s="4" t="s">
        <v>33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ht="21.95" customHeight="1" x14ac:dyDescent="0.3">
      <c r="A43" s="17" t="s">
        <v>34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5" spans="1:14" ht="30" customHeight="1" x14ac:dyDescent="0.25">
      <c r="A45" s="19" t="s">
        <v>35</v>
      </c>
    </row>
    <row r="46" spans="1:14" ht="30" customHeight="1" x14ac:dyDescent="0.25">
      <c r="A46" s="19" t="s">
        <v>36</v>
      </c>
    </row>
    <row r="47" spans="1:14" ht="30" customHeight="1" x14ac:dyDescent="0.25">
      <c r="A47" s="19" t="s">
        <v>37</v>
      </c>
    </row>
    <row r="50" spans="1:14" ht="24" customHeight="1" x14ac:dyDescent="0.3">
      <c r="A50" s="4" t="s">
        <v>38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x14ac:dyDescent="0.25">
      <c r="A51" s="20" t="s">
        <v>39</v>
      </c>
      <c r="B51" s="21" t="s">
        <v>40</v>
      </c>
      <c r="C51" s="21" t="s">
        <v>41</v>
      </c>
      <c r="D51" s="21" t="s">
        <v>42</v>
      </c>
    </row>
    <row r="52" spans="1:14" ht="15.75" x14ac:dyDescent="0.25">
      <c r="A52" s="22">
        <v>0</v>
      </c>
      <c r="B52" s="23" t="s">
        <v>43</v>
      </c>
      <c r="C52" s="9" t="s">
        <v>44</v>
      </c>
      <c r="D52" s="24" t="s">
        <v>45</v>
      </c>
    </row>
    <row r="53" spans="1:14" ht="15.75" x14ac:dyDescent="0.25">
      <c r="A53" s="22">
        <v>25</v>
      </c>
      <c r="B53" s="23" t="s">
        <v>46</v>
      </c>
      <c r="C53" s="9" t="s">
        <v>47</v>
      </c>
      <c r="D53" s="24" t="s">
        <v>48</v>
      </c>
    </row>
    <row r="54" spans="1:14" ht="15.75" x14ac:dyDescent="0.25">
      <c r="A54" s="22">
        <v>50</v>
      </c>
      <c r="B54" s="23" t="s">
        <v>49</v>
      </c>
      <c r="C54" s="9" t="s">
        <v>50</v>
      </c>
      <c r="D54" s="24" t="s">
        <v>51</v>
      </c>
    </row>
    <row r="55" spans="1:14" ht="15.75" x14ac:dyDescent="0.25">
      <c r="A55" s="22">
        <v>75</v>
      </c>
      <c r="B55" s="23" t="s">
        <v>52</v>
      </c>
      <c r="C55" s="9" t="s">
        <v>53</v>
      </c>
      <c r="D55" s="24" t="s">
        <v>54</v>
      </c>
    </row>
    <row r="56" spans="1:14" ht="15.75" x14ac:dyDescent="0.25">
      <c r="A56" s="22">
        <v>100</v>
      </c>
      <c r="B56" s="23" t="s">
        <v>55</v>
      </c>
      <c r="C56" s="9" t="s">
        <v>56</v>
      </c>
      <c r="D56" s="24" t="s">
        <v>57</v>
      </c>
    </row>
    <row r="57" spans="1:14" x14ac:dyDescent="0.25">
      <c r="A57" s="3" t="s">
        <v>58</v>
      </c>
    </row>
    <row r="58" spans="1:14" x14ac:dyDescent="0.25">
      <c r="A58" s="3" t="s">
        <v>59</v>
      </c>
    </row>
    <row r="61" spans="1:14" ht="24" customHeight="1" x14ac:dyDescent="0.3">
      <c r="A61" s="4" t="s">
        <v>180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x14ac:dyDescent="0.25">
      <c r="A62" s="6" t="s">
        <v>60</v>
      </c>
    </row>
    <row r="64" spans="1:14" x14ac:dyDescent="0.25">
      <c r="A64" s="20" t="s">
        <v>61</v>
      </c>
      <c r="B64" s="21" t="s">
        <v>62</v>
      </c>
      <c r="C64" s="21" t="s">
        <v>63</v>
      </c>
      <c r="D64" s="21" t="s">
        <v>64</v>
      </c>
      <c r="E64" s="21" t="s">
        <v>65</v>
      </c>
      <c r="F64" s="21" t="s">
        <v>66</v>
      </c>
      <c r="G64" s="21" t="s">
        <v>67</v>
      </c>
      <c r="H64" s="21" t="s">
        <v>68</v>
      </c>
      <c r="I64" s="21" t="s">
        <v>69</v>
      </c>
      <c r="J64" s="21"/>
      <c r="K64" s="21" t="s">
        <v>40</v>
      </c>
    </row>
    <row r="65" spans="1:11" x14ac:dyDescent="0.25">
      <c r="A65" s="25" t="s">
        <v>70</v>
      </c>
      <c r="B65" s="9" t="s">
        <v>71</v>
      </c>
      <c r="C65" s="11">
        <v>1</v>
      </c>
      <c r="D65" s="11">
        <v>1</v>
      </c>
      <c r="E65" s="15">
        <v>0</v>
      </c>
      <c r="F65" s="26">
        <f t="shared" ref="F65:F75" si="3">IF(C65&lt;=$B$130,C65*50/$B$130,IF(C65&gt;=$B$131,100,50+(C65-$B$130)*50/($B$131-$B$130)))</f>
        <v>4.166666666666667</v>
      </c>
      <c r="G65" s="26">
        <f t="shared" ref="G65:G75" si="4">MIN(D65,$B$132)*100/$B$132</f>
        <v>8.3333333333333339</v>
      </c>
      <c r="H65" s="27">
        <f t="shared" ref="H65:H75" si="5">IF(E65&lt;=$B$133,1,MAX(0,1-(E65-$B$133)/(1-$B$133)))</f>
        <v>1</v>
      </c>
      <c r="I65" s="28">
        <f t="shared" ref="I65:I75" si="6">IF(C65&gt;=$B$134,MAX($B$135,MIN(F65,G65)*H65),MIN(F65,G65)*H65)</f>
        <v>4.166666666666667</v>
      </c>
      <c r="J65" s="29" t="str">
        <f t="shared" ref="J65:J75" si="7">REPT("|",ROUND(I65/4,0))</f>
        <v>|</v>
      </c>
      <c r="K65" s="30" t="str">
        <f t="shared" ref="K65:K75" si="8">VLOOKUP(I65,$A$52:$B$56,2,TRUE)</f>
        <v>No tier</v>
      </c>
    </row>
    <row r="66" spans="1:11" x14ac:dyDescent="0.25">
      <c r="A66" s="25" t="s">
        <v>72</v>
      </c>
      <c r="B66" s="9" t="s">
        <v>73</v>
      </c>
      <c r="C66" s="11">
        <v>6</v>
      </c>
      <c r="D66" s="11">
        <v>6</v>
      </c>
      <c r="E66" s="15">
        <v>0</v>
      </c>
      <c r="F66" s="26">
        <f t="shared" si="3"/>
        <v>25</v>
      </c>
      <c r="G66" s="26">
        <f t="shared" si="4"/>
        <v>50</v>
      </c>
      <c r="H66" s="27">
        <f t="shared" si="5"/>
        <v>1</v>
      </c>
      <c r="I66" s="28">
        <f t="shared" si="6"/>
        <v>25</v>
      </c>
      <c r="J66" s="29" t="str">
        <f t="shared" si="7"/>
        <v>||||||</v>
      </c>
      <c r="K66" s="30" t="str">
        <f t="shared" si="8"/>
        <v>Silver</v>
      </c>
    </row>
    <row r="67" spans="1:11" x14ac:dyDescent="0.25">
      <c r="A67" s="25" t="s">
        <v>74</v>
      </c>
      <c r="B67" s="9" t="s">
        <v>75</v>
      </c>
      <c r="C67" s="11">
        <v>12</v>
      </c>
      <c r="D67" s="11">
        <v>12</v>
      </c>
      <c r="E67" s="15">
        <v>0</v>
      </c>
      <c r="F67" s="26">
        <f t="shared" si="3"/>
        <v>50</v>
      </c>
      <c r="G67" s="26">
        <f t="shared" si="4"/>
        <v>100</v>
      </c>
      <c r="H67" s="27">
        <f t="shared" si="5"/>
        <v>1</v>
      </c>
      <c r="I67" s="28">
        <f t="shared" si="6"/>
        <v>50</v>
      </c>
      <c r="J67" s="29" t="str">
        <f t="shared" si="7"/>
        <v>|||||||||||||</v>
      </c>
      <c r="K67" s="30" t="str">
        <f t="shared" si="8"/>
        <v>Gold</v>
      </c>
    </row>
    <row r="68" spans="1:11" x14ac:dyDescent="0.25">
      <c r="A68" s="25" t="s">
        <v>76</v>
      </c>
      <c r="B68" s="9" t="s">
        <v>77</v>
      </c>
      <c r="C68" s="11">
        <v>24</v>
      </c>
      <c r="D68" s="11">
        <v>12</v>
      </c>
      <c r="E68" s="15">
        <v>0</v>
      </c>
      <c r="F68" s="26">
        <f t="shared" si="3"/>
        <v>62.5</v>
      </c>
      <c r="G68" s="26">
        <f t="shared" si="4"/>
        <v>100</v>
      </c>
      <c r="H68" s="27">
        <f t="shared" si="5"/>
        <v>1</v>
      </c>
      <c r="I68" s="28">
        <f t="shared" si="6"/>
        <v>62.5</v>
      </c>
      <c r="J68" s="29" t="str">
        <f t="shared" si="7"/>
        <v>||||||||||||||||</v>
      </c>
      <c r="K68" s="30" t="str">
        <f t="shared" si="8"/>
        <v>Gold</v>
      </c>
    </row>
    <row r="69" spans="1:11" x14ac:dyDescent="0.25">
      <c r="A69" s="25" t="s">
        <v>78</v>
      </c>
      <c r="B69" s="9" t="s">
        <v>79</v>
      </c>
      <c r="C69" s="11">
        <v>29</v>
      </c>
      <c r="D69" s="11">
        <v>11</v>
      </c>
      <c r="E69" s="15">
        <v>0</v>
      </c>
      <c r="F69" s="26">
        <f t="shared" si="3"/>
        <v>67.708333333333329</v>
      </c>
      <c r="G69" s="26">
        <f t="shared" si="4"/>
        <v>91.666666666666671</v>
      </c>
      <c r="H69" s="27">
        <f t="shared" si="5"/>
        <v>1</v>
      </c>
      <c r="I69" s="28">
        <f t="shared" si="6"/>
        <v>67.708333333333329</v>
      </c>
      <c r="J69" s="29" t="str">
        <f t="shared" si="7"/>
        <v>|||||||||||||||||</v>
      </c>
      <c r="K69" s="30" t="str">
        <f t="shared" si="8"/>
        <v>Gold</v>
      </c>
    </row>
    <row r="70" spans="1:11" x14ac:dyDescent="0.25">
      <c r="A70" s="25" t="s">
        <v>80</v>
      </c>
      <c r="B70" s="9" t="s">
        <v>81</v>
      </c>
      <c r="C70" s="11">
        <v>35</v>
      </c>
      <c r="D70" s="11">
        <v>12</v>
      </c>
      <c r="E70" s="15">
        <v>0</v>
      </c>
      <c r="F70" s="26">
        <f t="shared" si="3"/>
        <v>73.958333333333329</v>
      </c>
      <c r="G70" s="26">
        <f t="shared" si="4"/>
        <v>100</v>
      </c>
      <c r="H70" s="27">
        <f t="shared" si="5"/>
        <v>1</v>
      </c>
      <c r="I70" s="28">
        <f t="shared" si="6"/>
        <v>73.958333333333329</v>
      </c>
      <c r="J70" s="29" t="str">
        <f t="shared" si="7"/>
        <v>||||||||||||||||||</v>
      </c>
      <c r="K70" s="30" t="str">
        <f t="shared" si="8"/>
        <v>Gold</v>
      </c>
    </row>
    <row r="71" spans="1:11" x14ac:dyDescent="0.25">
      <c r="A71" s="25" t="s">
        <v>82</v>
      </c>
      <c r="B71" s="9" t="s">
        <v>83</v>
      </c>
      <c r="C71" s="11">
        <v>36</v>
      </c>
      <c r="D71" s="11">
        <v>12</v>
      </c>
      <c r="E71" s="15">
        <v>0</v>
      </c>
      <c r="F71" s="26">
        <f t="shared" si="3"/>
        <v>75</v>
      </c>
      <c r="G71" s="26">
        <f t="shared" si="4"/>
        <v>100</v>
      </c>
      <c r="H71" s="27">
        <f t="shared" si="5"/>
        <v>1</v>
      </c>
      <c r="I71" s="28">
        <f t="shared" si="6"/>
        <v>75</v>
      </c>
      <c r="J71" s="29" t="str">
        <f t="shared" si="7"/>
        <v>|||||||||||||||||||</v>
      </c>
      <c r="K71" s="30" t="str">
        <f t="shared" si="8"/>
        <v>Platinum</v>
      </c>
    </row>
    <row r="72" spans="1:11" x14ac:dyDescent="0.25">
      <c r="A72" s="25" t="s">
        <v>84</v>
      </c>
      <c r="B72" s="9" t="s">
        <v>85</v>
      </c>
      <c r="C72" s="11">
        <v>49</v>
      </c>
      <c r="D72" s="11">
        <v>12</v>
      </c>
      <c r="E72" s="15">
        <v>0.25</v>
      </c>
      <c r="F72" s="26">
        <f t="shared" si="3"/>
        <v>88.541666666666657</v>
      </c>
      <c r="G72" s="26">
        <f t="shared" si="4"/>
        <v>100</v>
      </c>
      <c r="H72" s="27">
        <f t="shared" si="5"/>
        <v>1</v>
      </c>
      <c r="I72" s="28">
        <f t="shared" si="6"/>
        <v>88.541666666666657</v>
      </c>
      <c r="J72" s="29" t="str">
        <f t="shared" si="7"/>
        <v>||||||||||||||||||||||</v>
      </c>
      <c r="K72" s="30" t="str">
        <f t="shared" si="8"/>
        <v>Platinum</v>
      </c>
    </row>
    <row r="73" spans="1:11" x14ac:dyDescent="0.25">
      <c r="A73" s="25" t="s">
        <v>86</v>
      </c>
      <c r="B73" s="9" t="s">
        <v>87</v>
      </c>
      <c r="C73" s="11">
        <v>50</v>
      </c>
      <c r="D73" s="11">
        <v>12</v>
      </c>
      <c r="E73" s="15">
        <v>0.25</v>
      </c>
      <c r="F73" s="26">
        <f t="shared" si="3"/>
        <v>89.583333333333343</v>
      </c>
      <c r="G73" s="26">
        <f t="shared" si="4"/>
        <v>100</v>
      </c>
      <c r="H73" s="27">
        <f t="shared" si="5"/>
        <v>1</v>
      </c>
      <c r="I73" s="28">
        <f t="shared" si="6"/>
        <v>89.583333333333343</v>
      </c>
      <c r="J73" s="29" t="str">
        <f t="shared" si="7"/>
        <v>||||||||||||||||||||||</v>
      </c>
      <c r="K73" s="30" t="str">
        <f t="shared" si="8"/>
        <v>Platinum</v>
      </c>
    </row>
    <row r="74" spans="1:11" x14ac:dyDescent="0.25">
      <c r="A74" s="25" t="s">
        <v>88</v>
      </c>
      <c r="B74" s="9" t="s">
        <v>89</v>
      </c>
      <c r="C74" s="11">
        <v>59</v>
      </c>
      <c r="D74" s="11">
        <v>12</v>
      </c>
      <c r="E74" s="15">
        <v>0.25</v>
      </c>
      <c r="F74" s="26">
        <f t="shared" si="3"/>
        <v>98.958333333333343</v>
      </c>
      <c r="G74" s="26">
        <f t="shared" si="4"/>
        <v>100</v>
      </c>
      <c r="H74" s="27">
        <f t="shared" si="5"/>
        <v>1</v>
      </c>
      <c r="I74" s="28">
        <f t="shared" si="6"/>
        <v>98.958333333333343</v>
      </c>
      <c r="J74" s="29" t="str">
        <f t="shared" si="7"/>
        <v>|||||||||||||||||||||||||</v>
      </c>
      <c r="K74" s="30" t="str">
        <f t="shared" si="8"/>
        <v>Platinum</v>
      </c>
    </row>
    <row r="75" spans="1:11" x14ac:dyDescent="0.25">
      <c r="A75" s="25" t="s">
        <v>90</v>
      </c>
      <c r="B75" s="9" t="s">
        <v>91</v>
      </c>
      <c r="C75" s="11">
        <v>60</v>
      </c>
      <c r="D75" s="11">
        <v>12</v>
      </c>
      <c r="E75" s="15">
        <v>0.25</v>
      </c>
      <c r="F75" s="26">
        <f t="shared" si="3"/>
        <v>100</v>
      </c>
      <c r="G75" s="26">
        <f t="shared" si="4"/>
        <v>100</v>
      </c>
      <c r="H75" s="27">
        <f t="shared" si="5"/>
        <v>1</v>
      </c>
      <c r="I75" s="28">
        <f t="shared" si="6"/>
        <v>100</v>
      </c>
      <c r="J75" s="29" t="str">
        <f t="shared" si="7"/>
        <v>|||||||||||||||||||||||||</v>
      </c>
      <c r="K75" s="30" t="str">
        <f t="shared" si="8"/>
        <v>Sovereign</v>
      </c>
    </row>
    <row r="77" spans="1:11" x14ac:dyDescent="0.25">
      <c r="A77" s="12" t="s">
        <v>92</v>
      </c>
    </row>
    <row r="78" spans="1:11" x14ac:dyDescent="0.25">
      <c r="A78" s="31" t="s">
        <v>93</v>
      </c>
    </row>
    <row r="79" spans="1:11" x14ac:dyDescent="0.25">
      <c r="A79" s="31" t="s">
        <v>94</v>
      </c>
    </row>
    <row r="80" spans="1:11" x14ac:dyDescent="0.25">
      <c r="A80" s="31" t="s">
        <v>95</v>
      </c>
    </row>
    <row r="83" spans="1:14" ht="24" customHeight="1" x14ac:dyDescent="0.3">
      <c r="A83" s="4" t="s">
        <v>96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x14ac:dyDescent="0.25">
      <c r="A84" s="6" t="s">
        <v>97</v>
      </c>
    </row>
    <row r="86" spans="1:14" x14ac:dyDescent="0.25">
      <c r="A86" s="20" t="s">
        <v>98</v>
      </c>
      <c r="B86" s="21" t="s">
        <v>99</v>
      </c>
      <c r="C86" s="21" t="s">
        <v>100</v>
      </c>
    </row>
    <row r="87" spans="1:14" x14ac:dyDescent="0.25">
      <c r="A87" s="9" t="s">
        <v>101</v>
      </c>
      <c r="B87" s="32">
        <v>42</v>
      </c>
      <c r="C87" s="24" t="s">
        <v>102</v>
      </c>
    </row>
    <row r="88" spans="1:14" x14ac:dyDescent="0.25">
      <c r="A88" s="9" t="s">
        <v>103</v>
      </c>
      <c r="B88" s="32">
        <v>6</v>
      </c>
      <c r="C88" s="24" t="s">
        <v>104</v>
      </c>
    </row>
    <row r="89" spans="1:14" x14ac:dyDescent="0.25">
      <c r="A89" s="9" t="s">
        <v>105</v>
      </c>
      <c r="B89" s="33">
        <v>30</v>
      </c>
      <c r="C89" s="24" t="s">
        <v>106</v>
      </c>
    </row>
    <row r="90" spans="1:14" x14ac:dyDescent="0.25">
      <c r="A90" s="9" t="s">
        <v>107</v>
      </c>
      <c r="B90" s="33">
        <v>8</v>
      </c>
      <c r="C90" s="24" t="s">
        <v>108</v>
      </c>
    </row>
    <row r="91" spans="1:14" x14ac:dyDescent="0.25">
      <c r="A91" s="9" t="s">
        <v>109</v>
      </c>
      <c r="B91" s="33">
        <v>38</v>
      </c>
      <c r="C91" s="24" t="s">
        <v>110</v>
      </c>
    </row>
    <row r="93" spans="1:14" x14ac:dyDescent="0.25">
      <c r="A93" s="20" t="s">
        <v>111</v>
      </c>
      <c r="B93" s="21" t="s">
        <v>112</v>
      </c>
      <c r="C93" s="21" t="s">
        <v>113</v>
      </c>
    </row>
    <row r="94" spans="1:14" x14ac:dyDescent="0.25">
      <c r="A94" s="9" t="s">
        <v>114</v>
      </c>
      <c r="B94" s="34">
        <f>IF((B89+B90)&lt;=0,0,MAX(0,1-B91/(B89+B90)))</f>
        <v>0</v>
      </c>
      <c r="C94" s="24" t="s">
        <v>115</v>
      </c>
    </row>
    <row r="95" spans="1:14" x14ac:dyDescent="0.25">
      <c r="A95" s="25" t="s">
        <v>6</v>
      </c>
      <c r="B95" s="35">
        <f>IF(B87&lt;=$B$130,B87*50/$B$130,IF(B87&gt;=$B$131,100,50+(B87-$B$130)*50/($B$131-$B$130)))</f>
        <v>81.25</v>
      </c>
      <c r="C95" s="24" t="s">
        <v>116</v>
      </c>
    </row>
    <row r="96" spans="1:14" x14ac:dyDescent="0.25">
      <c r="A96" s="25" t="s">
        <v>9</v>
      </c>
      <c r="B96" s="35">
        <f>MIN(B88,$B$132)*100/$B$132</f>
        <v>50</v>
      </c>
      <c r="C96" s="24" t="s">
        <v>117</v>
      </c>
    </row>
    <row r="97" spans="1:14" x14ac:dyDescent="0.25">
      <c r="A97" s="25" t="s">
        <v>12</v>
      </c>
      <c r="B97" s="36">
        <f>IF(B94&lt;=$B$133,1,MAX(0,1-(B94-$B$133)/(1-$B$133)))</f>
        <v>1</v>
      </c>
      <c r="C97" s="24" t="s">
        <v>118</v>
      </c>
    </row>
    <row r="98" spans="1:14" x14ac:dyDescent="0.25">
      <c r="A98" s="9" t="s">
        <v>119</v>
      </c>
      <c r="B98" s="35">
        <f>MIN(B95,B96)</f>
        <v>50</v>
      </c>
      <c r="C98" s="24" t="s">
        <v>120</v>
      </c>
    </row>
    <row r="99" spans="1:14" x14ac:dyDescent="0.25">
      <c r="A99" s="25" t="s">
        <v>69</v>
      </c>
      <c r="B99" s="35">
        <f>IF(B87&gt;=$B$134,MAX($B$135,B98*B97),B98*B97)</f>
        <v>50</v>
      </c>
      <c r="C99" s="24" t="s">
        <v>121</v>
      </c>
    </row>
    <row r="100" spans="1:14" ht="17.25" x14ac:dyDescent="0.3">
      <c r="A100" s="37" t="s">
        <v>122</v>
      </c>
      <c r="B100" s="38" t="str">
        <f>VLOOKUP(B99,$A$52:$B$56,2,TRUE)</f>
        <v>Gold</v>
      </c>
      <c r="C100" s="24" t="s">
        <v>123</v>
      </c>
    </row>
    <row r="101" spans="1:14" x14ac:dyDescent="0.25">
      <c r="A101" s="9" t="s">
        <v>124</v>
      </c>
      <c r="B101" s="39" t="str">
        <f>IF(B97&lt;1,"Selling",IF(B95&lt;B96,"Time — keep paying","Discipline — recent misses"))</f>
        <v>Discipline — recent misses</v>
      </c>
      <c r="C101" s="24" t="s">
        <v>125</v>
      </c>
    </row>
    <row r="102" spans="1:14" x14ac:dyDescent="0.25">
      <c r="A102" s="9" t="s">
        <v>126</v>
      </c>
      <c r="B102" s="40" t="str">
        <f>IF(B87&gt;=$B$134,"Yes — Silver secured","Not yet")</f>
        <v>Yes — Silver secured</v>
      </c>
      <c r="C102" s="24" t="s">
        <v>127</v>
      </c>
    </row>
    <row r="105" spans="1:14" ht="24" customHeight="1" x14ac:dyDescent="0.3">
      <c r="A105" s="4" t="s">
        <v>128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x14ac:dyDescent="0.25">
      <c r="A106" s="6" t="s">
        <v>129</v>
      </c>
    </row>
    <row r="108" spans="1:14" x14ac:dyDescent="0.25">
      <c r="A108" s="20" t="s">
        <v>130</v>
      </c>
      <c r="B108" s="21" t="s">
        <v>63</v>
      </c>
      <c r="C108" s="21" t="s">
        <v>64</v>
      </c>
      <c r="D108" s="21" t="s">
        <v>65</v>
      </c>
      <c r="E108" s="21" t="s">
        <v>66</v>
      </c>
      <c r="F108" s="21" t="s">
        <v>67</v>
      </c>
      <c r="G108" s="21" t="s">
        <v>68</v>
      </c>
      <c r="H108" s="21" t="s">
        <v>69</v>
      </c>
      <c r="I108" s="21" t="s">
        <v>40</v>
      </c>
      <c r="J108" s="21" t="s">
        <v>131</v>
      </c>
    </row>
    <row r="109" spans="1:14" x14ac:dyDescent="0.25">
      <c r="A109" s="41" t="s">
        <v>132</v>
      </c>
      <c r="B109" s="42"/>
      <c r="C109" s="42"/>
      <c r="D109" s="42"/>
      <c r="E109" s="42"/>
      <c r="F109" s="42"/>
      <c r="G109" s="42"/>
      <c r="H109" s="42"/>
      <c r="I109" s="42"/>
      <c r="J109" s="42"/>
    </row>
    <row r="110" spans="1:14" x14ac:dyDescent="0.25">
      <c r="A110" s="9" t="s">
        <v>133</v>
      </c>
      <c r="B110" s="11">
        <v>60</v>
      </c>
      <c r="C110" s="11">
        <v>12</v>
      </c>
      <c r="D110" s="15">
        <v>0</v>
      </c>
      <c r="E110" s="26">
        <f>IF(B110&lt;=$B$130,B110*50/$B$130,IF(B110&gt;=$B$131,100,50+(B110-$B$130)*50/($B$131-$B$130)))</f>
        <v>100</v>
      </c>
      <c r="F110" s="26">
        <f>MIN(C110,$B$132)*100/$B$132</f>
        <v>100</v>
      </c>
      <c r="G110" s="27">
        <f>IF(D110&lt;=$B$133,1,MAX(0,1-(D110-$B$133)/(1-$B$133)))</f>
        <v>1</v>
      </c>
      <c r="H110" s="43">
        <f>IF(B110&gt;=$B$134,MAX($B$135,MIN(E110,F110)*G110),MIN(E110,F110)*G110)</f>
        <v>100</v>
      </c>
      <c r="I110" s="30" t="str">
        <f>VLOOKUP(H110,$A$52:$B$56,2,TRUE)</f>
        <v>Sovereign</v>
      </c>
      <c r="J110" s="24" t="s">
        <v>134</v>
      </c>
    </row>
    <row r="111" spans="1:14" x14ac:dyDescent="0.25">
      <c r="A111" s="9" t="s">
        <v>135</v>
      </c>
      <c r="B111" s="11">
        <v>60</v>
      </c>
      <c r="C111" s="11">
        <v>12</v>
      </c>
      <c r="D111" s="15">
        <v>0</v>
      </c>
      <c r="E111" s="26">
        <f>IF(B111&lt;=$B$130,B111*50/$B$130,IF(B111&gt;=$B$131,100,50+(B111-$B$130)*50/($B$131-$B$130)))</f>
        <v>100</v>
      </c>
      <c r="F111" s="26">
        <f>MIN(C111,$B$132)*100/$B$132</f>
        <v>100</v>
      </c>
      <c r="G111" s="27">
        <f>IF(D111&lt;=$B$133,1,MAX(0,1-(D111-$B$133)/(1-$B$133)))</f>
        <v>1</v>
      </c>
      <c r="H111" s="43">
        <f>IF(B111&gt;=$B$134,MAX($B$135,MIN(E111,F111)*G111),MIN(E111,F111)*G111)</f>
        <v>100</v>
      </c>
      <c r="I111" s="30" t="str">
        <f>VLOOKUP(H111,$A$52:$B$56,2,TRUE)</f>
        <v>Sovereign</v>
      </c>
      <c r="J111" s="24" t="s">
        <v>136</v>
      </c>
    </row>
    <row r="112" spans="1:14" x14ac:dyDescent="0.25">
      <c r="A112" s="9" t="s">
        <v>137</v>
      </c>
      <c r="B112" s="11">
        <v>0</v>
      </c>
      <c r="C112" s="11">
        <v>0</v>
      </c>
      <c r="D112" s="15">
        <v>0</v>
      </c>
      <c r="E112" s="26">
        <f>IF(B112&lt;=$B$130,B112*50/$B$130,IF(B112&gt;=$B$131,100,50+(B112-$B$130)*50/($B$131-$B$130)))</f>
        <v>0</v>
      </c>
      <c r="F112" s="26">
        <f>MIN(C112,$B$132)*100/$B$132</f>
        <v>0</v>
      </c>
      <c r="G112" s="27">
        <f>IF(D112&lt;=$B$133,1,MAX(0,1-(D112-$B$133)/(1-$B$133)))</f>
        <v>1</v>
      </c>
      <c r="H112" s="43">
        <f>IF(B112&gt;=$B$134,MAX($B$135,MIN(E112,F112)*G112),MIN(E112,F112)*G112)</f>
        <v>0</v>
      </c>
      <c r="I112" s="30" t="str">
        <f>VLOOKUP(H112,$A$52:$B$56,2,TRUE)</f>
        <v>No tier</v>
      </c>
      <c r="J112" s="24" t="s">
        <v>138</v>
      </c>
    </row>
    <row r="113" spans="1:14" x14ac:dyDescent="0.25">
      <c r="A113" s="41" t="s">
        <v>139</v>
      </c>
      <c r="B113" s="42"/>
      <c r="C113" s="42"/>
      <c r="D113" s="42"/>
      <c r="E113" s="42"/>
      <c r="F113" s="42"/>
      <c r="G113" s="42"/>
      <c r="H113" s="42"/>
      <c r="I113" s="42"/>
      <c r="J113" s="42"/>
    </row>
    <row r="114" spans="1:14" x14ac:dyDescent="0.25">
      <c r="A114" s="9" t="s">
        <v>140</v>
      </c>
      <c r="B114" s="11">
        <v>36</v>
      </c>
      <c r="C114" s="11">
        <v>12</v>
      </c>
      <c r="D114" s="15">
        <v>0.25</v>
      </c>
      <c r="E114" s="26">
        <f>IF(B114&lt;=$B$130,B114*50/$B$130,IF(B114&gt;=$B$131,100,50+(B114-$B$130)*50/($B$131-$B$130)))</f>
        <v>75</v>
      </c>
      <c r="F114" s="26">
        <f>MIN(C114,$B$132)*100/$B$132</f>
        <v>100</v>
      </c>
      <c r="G114" s="27">
        <f>IF(D114&lt;=$B$133,1,MAX(0,1-(D114-$B$133)/(1-$B$133)))</f>
        <v>1</v>
      </c>
      <c r="H114" s="43">
        <f>IF(B114&gt;=$B$134,MAX($B$135,MIN(E114,F114)*G114),MIN(E114,F114)*G114)</f>
        <v>75</v>
      </c>
      <c r="I114" s="30" t="str">
        <f>VLOOKUP(H114,$A$52:$B$56,2,TRUE)</f>
        <v>Platinum</v>
      </c>
      <c r="J114" s="24" t="s">
        <v>141</v>
      </c>
    </row>
    <row r="115" spans="1:14" x14ac:dyDescent="0.25">
      <c r="A115" s="9" t="s">
        <v>142</v>
      </c>
      <c r="B115" s="11">
        <v>36</v>
      </c>
      <c r="C115" s="11">
        <v>12</v>
      </c>
      <c r="D115" s="15">
        <v>0.3</v>
      </c>
      <c r="E115" s="26">
        <f>IF(B115&lt;=$B$130,B115*50/$B$130,IF(B115&gt;=$B$131,100,50+(B115-$B$130)*50/($B$131-$B$130)))</f>
        <v>75</v>
      </c>
      <c r="F115" s="26">
        <f>MIN(C115,$B$132)*100/$B$132</f>
        <v>100</v>
      </c>
      <c r="G115" s="27">
        <f>IF(D115&lt;=$B$133,1,MAX(0,1-(D115-$B$133)/(1-$B$133)))</f>
        <v>1</v>
      </c>
      <c r="H115" s="43">
        <f>IF(B115&gt;=$B$134,MAX($B$135,MIN(E115,F115)*G115),MIN(E115,F115)*G115)</f>
        <v>75</v>
      </c>
      <c r="I115" s="30" t="str">
        <f>VLOOKUP(H115,$A$52:$B$56,2,TRUE)</f>
        <v>Platinum</v>
      </c>
      <c r="J115" s="24" t="s">
        <v>143</v>
      </c>
    </row>
    <row r="116" spans="1:14" x14ac:dyDescent="0.25">
      <c r="A116" s="9" t="s">
        <v>144</v>
      </c>
      <c r="B116" s="11">
        <v>36</v>
      </c>
      <c r="C116" s="11">
        <v>12</v>
      </c>
      <c r="D116" s="15">
        <v>0.5</v>
      </c>
      <c r="E116" s="26">
        <f>IF(B116&lt;=$B$130,B116*50/$B$130,IF(B116&gt;=$B$131,100,50+(B116-$B$130)*50/($B$131-$B$130)))</f>
        <v>75</v>
      </c>
      <c r="F116" s="26">
        <f>MIN(C116,$B$132)*100/$B$132</f>
        <v>100</v>
      </c>
      <c r="G116" s="27">
        <f>IF(D116&lt;=$B$133,1,MAX(0,1-(D116-$B$133)/(1-$B$133)))</f>
        <v>0.71428571428571419</v>
      </c>
      <c r="H116" s="43">
        <f>IF(B116&gt;=$B$134,MAX($B$135,MIN(E116,F116)*G116),MIN(E116,F116)*G116)</f>
        <v>53.571428571428562</v>
      </c>
      <c r="I116" s="30" t="str">
        <f>VLOOKUP(H116,$A$52:$B$56,2,TRUE)</f>
        <v>Gold</v>
      </c>
      <c r="J116" s="24" t="s">
        <v>145</v>
      </c>
    </row>
    <row r="117" spans="1:14" x14ac:dyDescent="0.25">
      <c r="A117" s="9" t="s">
        <v>146</v>
      </c>
      <c r="B117" s="11">
        <v>36</v>
      </c>
      <c r="C117" s="11">
        <v>12</v>
      </c>
      <c r="D117" s="15">
        <v>1</v>
      </c>
      <c r="E117" s="26">
        <f>IF(B117&lt;=$B$130,B117*50/$B$130,IF(B117&gt;=$B$131,100,50+(B117-$B$130)*50/($B$131-$B$130)))</f>
        <v>75</v>
      </c>
      <c r="F117" s="26">
        <f>MIN(C117,$B$132)*100/$B$132</f>
        <v>100</v>
      </c>
      <c r="G117" s="27">
        <f>IF(D117&lt;=$B$133,1,MAX(0,1-(D117-$B$133)/(1-$B$133)))</f>
        <v>0</v>
      </c>
      <c r="H117" s="43">
        <f>IF(B117&gt;=$B$134,MAX($B$135,MIN(E117,F117)*G117),MIN(E117,F117)*G117)</f>
        <v>25</v>
      </c>
      <c r="I117" s="30" t="str">
        <f>VLOOKUP(H117,$A$52:$B$56,2,TRUE)</f>
        <v>Silver</v>
      </c>
      <c r="J117" s="24" t="s">
        <v>147</v>
      </c>
    </row>
    <row r="118" spans="1:14" x14ac:dyDescent="0.25">
      <c r="A118" s="9" t="s">
        <v>148</v>
      </c>
      <c r="B118" s="11">
        <v>60</v>
      </c>
      <c r="C118" s="11">
        <v>12</v>
      </c>
      <c r="D118" s="15">
        <v>1</v>
      </c>
      <c r="E118" s="26">
        <f>IF(B118&lt;=$B$130,B118*50/$B$130,IF(B118&gt;=$B$131,100,50+(B118-$B$130)*50/($B$131-$B$130)))</f>
        <v>100</v>
      </c>
      <c r="F118" s="26">
        <f>MIN(C118,$B$132)*100/$B$132</f>
        <v>100</v>
      </c>
      <c r="G118" s="27">
        <f>IF(D118&lt;=$B$133,1,MAX(0,1-(D118-$B$133)/(1-$B$133)))</f>
        <v>0</v>
      </c>
      <c r="H118" s="43">
        <f>IF(B118&gt;=$B$134,MAX($B$135,MIN(E118,F118)*G118),MIN(E118,F118)*G118)</f>
        <v>25</v>
      </c>
      <c r="I118" s="30" t="str">
        <f>VLOOKUP(H118,$A$52:$B$56,2,TRUE)</f>
        <v>Silver</v>
      </c>
      <c r="J118" s="24" t="s">
        <v>149</v>
      </c>
    </row>
    <row r="119" spans="1:14" x14ac:dyDescent="0.25">
      <c r="A119" s="41" t="s">
        <v>150</v>
      </c>
      <c r="B119" s="42"/>
      <c r="C119" s="42"/>
      <c r="D119" s="42"/>
      <c r="E119" s="42"/>
      <c r="F119" s="42"/>
      <c r="G119" s="42"/>
      <c r="H119" s="42"/>
      <c r="I119" s="42"/>
      <c r="J119" s="42"/>
    </row>
    <row r="120" spans="1:14" x14ac:dyDescent="0.25">
      <c r="A120" s="9" t="s">
        <v>151</v>
      </c>
      <c r="B120" s="11">
        <v>120</v>
      </c>
      <c r="C120" s="11">
        <v>11</v>
      </c>
      <c r="D120" s="15">
        <v>0</v>
      </c>
      <c r="E120" s="26">
        <f t="shared" ref="E120:E125" si="9">IF(B120&lt;=$B$130,B120*50/$B$130,IF(B120&gt;=$B$131,100,50+(B120-$B$130)*50/($B$131-$B$130)))</f>
        <v>100</v>
      </c>
      <c r="F120" s="26">
        <f t="shared" ref="F120:F125" si="10">MIN(C120,$B$132)*100/$B$132</f>
        <v>91.666666666666671</v>
      </c>
      <c r="G120" s="27">
        <f t="shared" ref="G120:G125" si="11">IF(D120&lt;=$B$133,1,MAX(0,1-(D120-$B$133)/(1-$B$133)))</f>
        <v>1</v>
      </c>
      <c r="H120" s="43">
        <f t="shared" ref="H120:H125" si="12">IF(B120&gt;=$B$134,MAX($B$135,MIN(E120,F120)*G120),MIN(E120,F120)*G120)</f>
        <v>91.666666666666671</v>
      </c>
      <c r="I120" s="30" t="str">
        <f t="shared" ref="I120:I125" si="13">VLOOKUP(H120,$A$52:$B$56,2,TRUE)</f>
        <v>Platinum</v>
      </c>
      <c r="J120" s="24" t="s">
        <v>152</v>
      </c>
    </row>
    <row r="121" spans="1:14" x14ac:dyDescent="0.25">
      <c r="A121" s="9" t="s">
        <v>153</v>
      </c>
      <c r="B121" s="11">
        <v>120</v>
      </c>
      <c r="C121" s="11">
        <v>9</v>
      </c>
      <c r="D121" s="15">
        <v>0</v>
      </c>
      <c r="E121" s="26">
        <f t="shared" si="9"/>
        <v>100</v>
      </c>
      <c r="F121" s="26">
        <f t="shared" si="10"/>
        <v>75</v>
      </c>
      <c r="G121" s="27">
        <f t="shared" si="11"/>
        <v>1</v>
      </c>
      <c r="H121" s="43">
        <f t="shared" si="12"/>
        <v>75</v>
      </c>
      <c r="I121" s="30" t="str">
        <f t="shared" si="13"/>
        <v>Platinum</v>
      </c>
      <c r="J121" s="24" t="s">
        <v>154</v>
      </c>
    </row>
    <row r="122" spans="1:14" x14ac:dyDescent="0.25">
      <c r="A122" s="9" t="s">
        <v>155</v>
      </c>
      <c r="B122" s="11">
        <v>120</v>
      </c>
      <c r="C122" s="11">
        <v>8</v>
      </c>
      <c r="D122" s="15">
        <v>0</v>
      </c>
      <c r="E122" s="26">
        <f t="shared" si="9"/>
        <v>100</v>
      </c>
      <c r="F122" s="26">
        <f t="shared" si="10"/>
        <v>66.666666666666671</v>
      </c>
      <c r="G122" s="27">
        <f t="shared" si="11"/>
        <v>1</v>
      </c>
      <c r="H122" s="43">
        <f t="shared" si="12"/>
        <v>66.666666666666671</v>
      </c>
      <c r="I122" s="30" t="str">
        <f t="shared" si="13"/>
        <v>Gold</v>
      </c>
      <c r="J122" s="24" t="s">
        <v>156</v>
      </c>
    </row>
    <row r="123" spans="1:14" x14ac:dyDescent="0.25">
      <c r="A123" s="9" t="s">
        <v>157</v>
      </c>
      <c r="B123" s="11">
        <v>120</v>
      </c>
      <c r="C123" s="11">
        <v>5</v>
      </c>
      <c r="D123" s="15">
        <v>0</v>
      </c>
      <c r="E123" s="26">
        <f t="shared" si="9"/>
        <v>100</v>
      </c>
      <c r="F123" s="26">
        <f t="shared" si="10"/>
        <v>41.666666666666664</v>
      </c>
      <c r="G123" s="27">
        <f t="shared" si="11"/>
        <v>1</v>
      </c>
      <c r="H123" s="43">
        <f t="shared" si="12"/>
        <v>41.666666666666664</v>
      </c>
      <c r="I123" s="30" t="str">
        <f t="shared" si="13"/>
        <v>Silver</v>
      </c>
      <c r="J123" s="24" t="s">
        <v>158</v>
      </c>
    </row>
    <row r="124" spans="1:14" x14ac:dyDescent="0.25">
      <c r="A124" s="9" t="s">
        <v>159</v>
      </c>
      <c r="B124" s="11">
        <v>120</v>
      </c>
      <c r="C124" s="11">
        <v>0</v>
      </c>
      <c r="D124" s="15">
        <v>0</v>
      </c>
      <c r="E124" s="26">
        <f t="shared" si="9"/>
        <v>100</v>
      </c>
      <c r="F124" s="26">
        <f t="shared" si="10"/>
        <v>0</v>
      </c>
      <c r="G124" s="27">
        <f t="shared" si="11"/>
        <v>1</v>
      </c>
      <c r="H124" s="43">
        <f t="shared" si="12"/>
        <v>25</v>
      </c>
      <c r="I124" s="30" t="str">
        <f t="shared" si="13"/>
        <v>Silver</v>
      </c>
      <c r="J124" s="24" t="s">
        <v>160</v>
      </c>
    </row>
    <row r="125" spans="1:14" x14ac:dyDescent="0.25">
      <c r="A125" s="9" t="s">
        <v>161</v>
      </c>
      <c r="B125" s="11">
        <v>60</v>
      </c>
      <c r="C125" s="11">
        <v>6</v>
      </c>
      <c r="D125" s="15">
        <v>0</v>
      </c>
      <c r="E125" s="26">
        <f t="shared" si="9"/>
        <v>100</v>
      </c>
      <c r="F125" s="26">
        <f t="shared" si="10"/>
        <v>50</v>
      </c>
      <c r="G125" s="27">
        <f t="shared" si="11"/>
        <v>1</v>
      </c>
      <c r="H125" s="43">
        <f t="shared" si="12"/>
        <v>50</v>
      </c>
      <c r="I125" s="30" t="str">
        <f t="shared" si="13"/>
        <v>Gold</v>
      </c>
      <c r="J125" s="24" t="s">
        <v>162</v>
      </c>
    </row>
    <row r="128" spans="1:14" ht="24" customHeight="1" x14ac:dyDescent="0.3">
      <c r="A128" s="4" t="s">
        <v>163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3" x14ac:dyDescent="0.25">
      <c r="A129" s="20" t="s">
        <v>164</v>
      </c>
      <c r="B129" s="21" t="s">
        <v>99</v>
      </c>
      <c r="C129" s="21" t="s">
        <v>165</v>
      </c>
    </row>
    <row r="130" spans="1:3" x14ac:dyDescent="0.25">
      <c r="A130" s="9" t="s">
        <v>166</v>
      </c>
      <c r="B130" s="32">
        <v>12</v>
      </c>
      <c r="C130" s="24" t="s">
        <v>167</v>
      </c>
    </row>
    <row r="131" spans="1:3" x14ac:dyDescent="0.25">
      <c r="A131" s="9" t="s">
        <v>168</v>
      </c>
      <c r="B131" s="32">
        <v>60</v>
      </c>
      <c r="C131" s="24" t="s">
        <v>169</v>
      </c>
    </row>
    <row r="132" spans="1:3" x14ac:dyDescent="0.25">
      <c r="A132" s="9" t="s">
        <v>170</v>
      </c>
      <c r="B132" s="32">
        <v>12</v>
      </c>
      <c r="C132" s="24" t="s">
        <v>171</v>
      </c>
    </row>
    <row r="133" spans="1:3" x14ac:dyDescent="0.25">
      <c r="A133" s="9" t="s">
        <v>172</v>
      </c>
      <c r="B133" s="44">
        <v>0.3</v>
      </c>
      <c r="C133" s="24" t="s">
        <v>173</v>
      </c>
    </row>
    <row r="134" spans="1:3" x14ac:dyDescent="0.25">
      <c r="A134" s="9" t="s">
        <v>174</v>
      </c>
      <c r="B134" s="32">
        <v>6</v>
      </c>
      <c r="C134" s="24" t="s">
        <v>175</v>
      </c>
    </row>
    <row r="135" spans="1:3" x14ac:dyDescent="0.25">
      <c r="A135" s="9" t="s">
        <v>176</v>
      </c>
      <c r="B135" s="32">
        <v>25</v>
      </c>
      <c r="C135" s="24" t="s">
        <v>177</v>
      </c>
    </row>
    <row r="137" spans="1:3" x14ac:dyDescent="0.25">
      <c r="A137" s="3" t="s">
        <v>178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 REHMAN-16863</cp:lastModifiedBy>
  <dcterms:created xsi:type="dcterms:W3CDTF">2026-08-11T17:52:55Z</dcterms:created>
  <dcterms:modified xsi:type="dcterms:W3CDTF">2026-08-14T13:08:14Z</dcterms:modified>
</cp:coreProperties>
</file>