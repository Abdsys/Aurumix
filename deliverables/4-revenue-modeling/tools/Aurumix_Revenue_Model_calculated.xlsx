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sheetId="1" state="visible" r:id="rId3"/>
    <sheet name="Assumptions" sheetId="2" state="visible" r:id="rId4"/>
    <sheet name="Scenario Parameters" sheetId="3" state="visible" r:id="rId5"/>
    <sheet name="Model" sheetId="4" state="visible" r:id="rId6"/>
    <sheet name="Summary" sheetId="5" state="visible" r:id="rId7"/>
  </sheets>
  <definedNames>
    <definedName function="false" hidden="false" name="act_gulf" vbProcedure="false">Assumptions!$B$53</definedName>
    <definedName function="false" hidden="false" name="act_india" vbProcedure="false">Assumptions!$B$54</definedName>
    <definedName function="false" hidden="false" name="act_referral" vbProcedure="false">Assumptions!$B$52</definedName>
    <definedName function="false" hidden="false" name="act_s0" vbProcedure="false">Assumptions!$B$46</definedName>
    <definedName function="false" hidden="false" name="act_s1a" vbProcedure="false">Assumptions!$B$44</definedName>
    <definedName function="false" hidden="false" name="act_s1b" vbProcedure="false">Assumptions!$B$45</definedName>
    <definedName function="false" hidden="false" name="act_s2" vbProcedure="false">Assumptions!$B$48</definedName>
    <definedName function="false" hidden="false" name="act_s3" vbProcedure="false">Assumptions!$B$47</definedName>
    <definedName function="false" hidden="false" name="act_s4" vbProcedure="false">Assumptions!$B$49</definedName>
    <definedName function="false" hidden="false" name="act_s5" vbProcedure="false">Assumptions!$B$50</definedName>
    <definedName function="false" hidden="false" name="act_s6" vbProcedure="false">Assumptions!$B$51</definedName>
    <definedName function="false" hidden="false" name="aed_usd" vbProcedure="false">Assumptions!$B$7</definedName>
    <definedName function="false" hidden="false" name="agentshare_gulf" vbProcedure="false">Assumptions!$B$107</definedName>
    <definedName function="false" hidden="false" name="agentshare_india" vbProcedure="false">Assumptions!$B$108</definedName>
    <definedName function="false" hidden="false" name="agentshare_uae" vbProcedure="false">Assumptions!$B$106</definedName>
    <definedName function="false" hidden="false" name="agents_y1" vbProcedure="false">Assumptions!$B$85</definedName>
    <definedName function="false" hidden="false" name="agents_y2" vbProcedure="false">Assumptions!$B$86</definedName>
    <definedName function="false" hidden="false" name="agents_y3" vbProcedure="false">Assumptions!$B$87</definedName>
    <definedName function="false" hidden="false" name="agents_y4" vbProcedure="false">Assumptions!$B$88</definedName>
    <definedName function="false" hidden="false" name="agents_y5" vbProcedure="false">Assumptions!$B$89</definedName>
    <definedName function="false" hidden="false" name="agents_y6" vbProcedure="false">Assumptions!$B$90</definedName>
    <definedName function="false" hidden="false" name="agents_y7" vbProcedure="false">Assumptions!$B$91</definedName>
    <definedName function="false" hidden="false" name="agent_productivity" vbProcedure="false">'Scenario Parameters'!$B$12</definedName>
    <definedName function="false" hidden="false" name="atmm_a1500" vbProcedure="false">'Scenario Parameters'!$B$53</definedName>
    <definedName function="false" hidden="false" name="atmm_a3000" vbProcedure="false">'Scenario Parameters'!$B$54</definedName>
    <definedName function="false" hidden="false" name="atmm_a3000p" vbProcedure="false">'Scenario Parameters'!$B$55</definedName>
    <definedName function="false" hidden="false" name="atmm_a500" vbProcedure="false">'Scenario Parameters'!$B$52</definedName>
    <definedName function="false" hidden="false" name="atm_a1500" vbProcedure="false">'Scenario Parameters'!$B$49</definedName>
    <definedName function="false" hidden="false" name="atm_a3000" vbProcedure="false">'Scenario Parameters'!$B$50</definedName>
    <definedName function="false" hidden="false" name="atm_a3000p" vbProcedure="false">'Scenario Parameters'!$B$51</definedName>
    <definedName function="false" hidden="false" name="atm_a500" vbProcedure="false">'Scenario Parameters'!$B$48</definedName>
    <definedName function="false" hidden="false" name="atm_allowance" vbProcedure="false">Assumptions!$B$18</definedName>
    <definedName function="false" hidden="false" name="atm_fee" vbProcedure="false">Assumptions!$B$19</definedName>
    <definedName function="false" hidden="false" name="aum_per_partner" vbProcedure="false">'Scenario Parameters'!$B$70</definedName>
    <definedName function="false" hidden="false" name="b2b_fee" vbProcedure="false">Assumptions!$B$26</definedName>
    <definedName function="false" hidden="false" name="bar_grams" vbProcedure="false">Assumptions!$B$10</definedName>
    <definedName function="false" hidden="false" name="cac_gulf" vbProcedure="false">'Scenario Parameters'!$B$14</definedName>
    <definedName function="false" hidden="false" name="cac_india" vbProcedure="false">'Scenario Parameters'!$B$15</definedName>
    <definedName function="false" hidden="false" name="cac_uae" vbProcedure="false">'Scenario Parameters'!$B$13</definedName>
    <definedName function="false" hidden="false" name="card_activation" vbProcedure="false">'Scenario Parameters'!$B$42</definedName>
    <definedName function="false" hidden="false" name="card_txns_per_draw" vbProcedure="false">'Scenario Parameters'!$B$43</definedName>
    <definedName function="false" hidden="false" name="card_txns_per_month" vbProcedure="false">'Scenario Parameters'!$B$44</definedName>
    <definedName function="false" hidden="false" name="ceil_gulf" vbProcedure="false">Assumptions!$B$82</definedName>
    <definedName function="false" hidden="false" name="ceil_india" vbProcedure="false">Assumptions!$B$83</definedName>
    <definedName function="false" hidden="false" name="ceil_total" vbProcedure="false">Assumptions!$B$84</definedName>
    <definedName function="false" hidden="false" name="ceil_uae" vbProcedure="false">Assumptions!$B$81</definedName>
    <definedName function="false" hidden="false" name="decline_uplift" vbProcedure="false">Assumptions!$B$16</definedName>
    <definedName function="false" hidden="false" name="drawn_share" vbProcedure="false">'Scenario Parameters'!$B$59</definedName>
    <definedName function="false" hidden="false" name="draw_events" vbProcedure="false">'Scenario Parameters'!$B$61</definedName>
    <definedName function="false" hidden="false" name="entry_fee" vbProcedure="false">Assumptions!$B$8</definedName>
    <definedName function="false" hidden="false" name="ever_qualify" vbProcedure="false">'Scenario Parameters'!$B$26</definedName>
    <definedName function="false" hidden="false" name="fab_premium" vbProcedure="false">Assumptions!$B$9</definedName>
    <definedName function="false" hidden="false" name="facility_turnover" vbProcedure="false">'Scenario Parameters'!$B$60</definedName>
    <definedName function="false" hidden="false" name="family_attach" vbProcedure="false">'Scenario Parameters'!$B$62</definedName>
    <definedName function="false" hidden="false" name="family_price" vbProcedure="false">Assumptions!$B$25</definedName>
    <definedName function="false" hidden="false" name="foreign_spend_share" vbProcedure="false">'Scenario Parameters'!$B$45</definedName>
    <definedName function="false" hidden="false" name="fx_margin" vbProcedure="false">Assumptions!$B$17</definedName>
    <definedName function="false" hidden="false" name="gate_run" vbProcedure="false">Assumptions!$B$39</definedName>
    <definedName function="false" hidden="false" name="gold_price" vbProcedure="false">Assumptions!$B$6</definedName>
    <definedName function="false" hidden="false" name="ic_gold" vbProcedure="false">Assumptions!$B$14</definedName>
    <definedName function="false" hidden="false" name="issuance_events" vbProcedure="false">'Scenario Parameters'!$B$46</definedName>
    <definedName function="false" hidden="false" name="issuance_fee" vbProcedure="false">Assumptions!$B$20</definedName>
    <definedName function="false" hidden="false" name="lapsed_redemption_mult" vbProcedure="false">'Scenario Parameters'!$B$33</definedName>
    <definedName function="false" hidden="false" name="ltv_gold" vbProcedure="false">Assumptions!$B$31</definedName>
    <definedName function="false" hidden="false" name="mix_gulf" vbProcedure="false">'Scenario Parameters'!$B$78</definedName>
    <definedName function="false" hidden="false" name="mix_india" vbProcedure="false">'Scenario Parameters'!$B$79</definedName>
    <definedName function="false" hidden="false" name="mix_uae" vbProcedure="false">'Scenario Parameters'!$B$77</definedName>
    <definedName function="false" hidden="false" name="mktg_y1" vbProcedure="false">Assumptions!$B$92</definedName>
    <definedName function="false" hidden="false" name="mktg_y2" vbProcedure="false">Assumptions!$B$93</definedName>
    <definedName function="false" hidden="false" name="mktg_y3" vbProcedure="false">Assumptions!$B$94</definedName>
    <definedName function="false" hidden="false" name="mktg_y4" vbProcedure="false">Assumptions!$B$95</definedName>
    <definedName function="false" hidden="false" name="mktg_y5" vbProcedure="false">Assumptions!$B$96</definedName>
    <definedName function="false" hidden="false" name="mktg_y6" vbProcedure="false">Assumptions!$B$97</definedName>
    <definedName function="false" hidden="false" name="mktg_y7" vbProcedure="false">Assumptions!$B$98</definedName>
    <definedName function="false" hidden="false" name="mktshare_gulf" vbProcedure="false">'Scenario Parameters'!$B$17</definedName>
    <definedName function="false" hidden="false" name="mktshare_india" vbProcedure="false">'Scenario Parameters'!$B$18</definedName>
    <definedName function="false" hidden="false" name="mktshare_uae" vbProcedure="false">'Scenario Parameters'!$B$16</definedName>
    <definedName function="false" hidden="false" name="monthly_churn" vbProcedure="false">'Scenario Parameters'!$B$11</definedName>
    <definedName function="false" hidden="false" name="months_to_qualify" vbProcedure="false">'Scenario Parameters'!$B$27</definedName>
    <definedName function="false" hidden="false" name="organic_share" vbProcedure="false">'Scenario Parameters'!$B$21</definedName>
    <definedName function="false" hidden="false" name="origination_gross" vbProcedure="false">Assumptions!$B$27</definedName>
    <definedName function="false" hidden="false" name="origination_share" vbProcedure="false">Assumptions!$B$28</definedName>
    <definedName function="false" hidden="false" name="partners_y1" vbProcedure="false">'Scenario Parameters'!$B$63</definedName>
    <definedName function="false" hidden="false" name="partners_y2" vbProcedure="false">'Scenario Parameters'!$B$64</definedName>
    <definedName function="false" hidden="false" name="partners_y3" vbProcedure="false">'Scenario Parameters'!$B$65</definedName>
    <definedName function="false" hidden="false" name="partners_y4" vbProcedure="false">'Scenario Parameters'!$B$66</definedName>
    <definedName function="false" hidden="false" name="partners_y5" vbProcedure="false">'Scenario Parameters'!$B$67</definedName>
    <definedName function="false" hidden="false" name="partners_y6" vbProcedure="false">'Scenario Parameters'!$B$68</definedName>
    <definedName function="false" hidden="false" name="partners_y7" vbProcedure="false">'Scenario Parameters'!$B$69</definedName>
    <definedName function="false" hidden="false" name="persistency_m13" vbProcedure="false">'Scenario Parameters'!$B$10</definedName>
    <definedName function="false" hidden="false" name="pm_share" vbProcedure="false">'Scenario Parameters'!$B$41</definedName>
    <definedName function="false" hidden="false" name="ramp_y1" vbProcedure="false">Assumptions!$B$99</definedName>
    <definedName function="false" hidden="false" name="ramp_y2" vbProcedure="false">Assumptions!$B$100</definedName>
    <definedName function="false" hidden="false" name="ramp_y3" vbProcedure="false">Assumptions!$B$101</definedName>
    <definedName function="false" hidden="false" name="ramp_y4" vbProcedure="false">Assumptions!$B$102</definedName>
    <definedName function="false" hidden="false" name="ramp_y5" vbProcedure="false">Assumptions!$B$103</definedName>
    <definedName function="false" hidden="false" name="ramp_y6" vbProcedure="false">Assumptions!$B$104</definedName>
    <definedName function="false" hidden="false" name="ramp_y7" vbProcedure="false">Assumptions!$B$105</definedName>
    <definedName function="false" hidden="false" name="redemption_cost" vbProcedure="false">Assumptions!$B$40</definedName>
    <definedName function="false" hidden="false" name="redemption_rate" vbProcedure="false">'Scenario Parameters'!$B$32</definedName>
    <definedName function="false" hidden="false" name="referral_conversion" vbProcedure="false">'Scenario Parameters'!$B$20</definedName>
    <definedName function="false" hidden="false" name="referral_rate" vbProcedure="false">'Scenario Parameters'!$B$19</definedName>
    <definedName function="false" hidden="false" name="replacement_events" vbProcedure="false">'Scenario Parameters'!$B$47</definedName>
    <definedName function="false" hidden="false" name="replacement_fee" vbProcedure="false">Assumptions!$B$21</definedName>
    <definedName function="false" hidden="false" name="scenario_index" vbProcedure="false">'Scenario Parameters'!$C$6</definedName>
    <definedName function="false" hidden="false" name="seasonality_amplitude" vbProcedure="false">'Scenario Parameters'!$B$22</definedName>
    <definedName function="false" hidden="false" name="seas_sum_acq" vbProcedure="false">Model!$C$14</definedName>
    <definedName function="false" hidden="false" name="seas_sum_spend" vbProcedure="false">Model!$D$14</definedName>
    <definedName function="false" hidden="false" name="self_custody_leakage" vbProcedure="false">'Scenario Parameters'!$B$31</definedName>
    <definedName function="false" hidden="false" name="servicing_gross" vbProcedure="false">Assumptions!$B$29</definedName>
    <definedName function="false" hidden="false" name="servicing_share" vbProcedure="false">Assumptions!$B$30</definedName>
    <definedName function="false" hidden="false" name="sip_floor" vbProcedure="false">Assumptions!$B$38</definedName>
    <definedName function="false" hidden="false" name="spotticket_gulf" vbProcedure="false">Assumptions!$B$33</definedName>
    <definedName function="false" hidden="false" name="spotticket_india" vbProcedure="false">Assumptions!$B$34</definedName>
    <definedName function="false" hidden="false" name="spotticket_uae" vbProcedure="false">Assumptions!$B$32</definedName>
    <definedName function="false" hidden="false" name="spot_attach" vbProcedure="false">'Scenario Parameters'!$B$34</definedName>
    <definedName function="false" hidden="false" name="spot_frequency" vbProcedure="false">'Scenario Parameters'!$B$36</definedName>
    <definedName function="false" hidden="false" name="spot_ticket_mult" vbProcedure="false">'Scenario Parameters'!$B$35</definedName>
    <definedName function="false" hidden="false" name="spot_to_sip" vbProcedure="false">'Scenario Parameters'!$B$37</definedName>
    <definedName function="false" hidden="false" name="sw_lapsed_keeps_card" vbProcedure="false">'Scenario Parameters'!$B$84</definedName>
    <definedName function="false" hidden="false" name="sw_prepaid_vs_credit" vbProcedure="false">'Scenario Parameters'!$B$83</definedName>
    <definedName function="false" hidden="false" name="ticket_gulf" vbProcedure="false">'Scenario Parameters'!$B$75</definedName>
    <definedName function="false" hidden="false" name="ticket_india" vbProcedure="false">'Scenario Parameters'!$B$76</definedName>
    <definedName function="false" hidden="false" name="ticket_uae" vbProcedure="false">'Scenario Parameters'!$B$74</definedName>
    <definedName function="false" hidden="false" name="txn_fee" vbProcedure="false">Assumptions!$B$15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<sst xmlns="http://schemas.openxmlformats.org/spreadsheetml/2006/main" count="1118" uniqueCount="531">
  <si>
    <t xml:space="preserve">Aurumix Revenue Model</t>
  </si>
  <si>
    <t xml:space="preserve">Hybrid Monthly + Annual View  |  7-Year Projection</t>
  </si>
  <si>
    <t xml:space="preserve">Date</t>
  </si>
  <si>
    <t xml:space="preserve">Scope</t>
  </si>
  <si>
    <t xml:space="preserve">REVENUE ONLY. Six revenue streams, reported net of cost of revenue. Operating costs, tax, cash and funding are added in a later build.</t>
  </si>
  <si>
    <t xml:space="preserve">Periods</t>
  </si>
  <si>
    <t xml:space="preserve">24 monthly (M1-M24) + 5 annual (Y3-Y7) = 29 total.  M1 = January 2027</t>
  </si>
  <si>
    <t xml:space="preserve">Engine</t>
  </si>
  <si>
    <t xml:space="preserve">Rolling customer balance: opening + new - churned = closing, by region. Customers who stop paying keep their gold and move to a HOLDERS balance.</t>
  </si>
  <si>
    <t xml:space="preserve">Metal</t>
  </si>
  <si>
    <t xml:space="preserve">100 g bars throughout. One entry fee, one fabrication premium.</t>
  </si>
  <si>
    <t xml:space="preserve">Prepared by</t>
  </si>
  <si>
    <t xml:space="preserve">Tokenomics.net: Custom Data Room Engagement</t>
  </si>
  <si>
    <t xml:space="preserve">COLOR LEGEND</t>
  </si>
  <si>
    <t xml:space="preserve">BLUE text</t>
  </si>
  <si>
    <t xml:space="preserve">Hardcoded inputs (Assumptions &amp; Scenario Parameters)</t>
  </si>
  <si>
    <t xml:space="preserve">BLACK text</t>
  </si>
  <si>
    <t xml:space="preserve">In-sheet formulas</t>
  </si>
  <si>
    <t xml:space="preserve">GREEN text</t>
  </si>
  <si>
    <t xml:space="preserve">Cross-sheet references</t>
  </si>
  <si>
    <t xml:space="preserve">SHEETS</t>
  </si>
  <si>
    <t xml:space="preserve">Cover: This page</t>
  </si>
  <si>
    <t xml:space="preserve">Assumptions: Fixed inputs, activation calendar, seasonality, market ceilings</t>
  </si>
  <si>
    <t xml:space="preserve">Scenario Parameters: Base / Aggressive / Conservative, plus structural switches</t>
  </si>
  <si>
    <t xml:space="preserve">Model: Customer engine, AUM and the six revenue streams (29 periods)</t>
  </si>
  <si>
    <t xml:space="preserve">Summary: Annual revenue by stream (Y1-Y7), revenue mix, key metrics</t>
  </si>
  <si>
    <t xml:space="preserve">SIMPLIFIED BUILD - cohort and archetype detail moves to the Phase 5 simulation.</t>
  </si>
  <si>
    <t xml:space="preserve">Kept as inputs rather than engines: card eligibility (% who qualify, months to qualify), the holders balance, and the fabrication premium inside stream 1.</t>
  </si>
  <si>
    <t xml:space="preserve">Inputs and Assumptions</t>
  </si>
  <si>
    <t xml:space="preserve">PRICING AND METAL</t>
  </si>
  <si>
    <t xml:space="preserve">Parameter</t>
  </si>
  <si>
    <t xml:space="preserve">Value</t>
  </si>
  <si>
    <t xml:space="preserve">Unit</t>
  </si>
  <si>
    <t xml:space="preserve">Source</t>
  </si>
  <si>
    <t xml:space="preserve">Gold price (flat)</t>
  </si>
  <si>
    <t xml:space="preserve">USD/g</t>
  </si>
  <si>
    <t xml:space="preserve">USD 4,400/oz verified 2026-08-17. HELD FLAT BY DESIGN so every revenue change is attributable to the business, not the metal. CITED.</t>
  </si>
  <si>
    <t xml:space="preserve">AED/USD peg</t>
  </si>
  <si>
    <t xml:space="preserve">AED/USD</t>
  </si>
  <si>
    <t xml:space="preserve">CBUAE peg. CITED.</t>
  </si>
  <si>
    <t xml:space="preserve">Entry fee charged</t>
  </si>
  <si>
    <t xml:space="preserve">% of contribution</t>
  </si>
  <si>
    <t xml:space="preserve">Decision 9, client-stated. A SINGLE RATE throughout. CLIENT INPUT.</t>
  </si>
  <si>
    <t xml:space="preserve">Fabrication premium paid</t>
  </si>
  <si>
    <t xml:space="preserve">% over spot</t>
  </si>
  <si>
    <t xml:space="preserve">100 g bars. OBSERVED (D28): goldtrade.ae 19 Aug 2026 measured 100 g at +1.71% (PAMP 1.75, Valcambi 1.67), less the published 25 bp bulk gradient. THE ENTRY FEE IS A MARGIN, NOT A FEE - this is netted off stream 1, because it is cost OF REVENUE. Reporting stream 1 gross would read ~43% high.</t>
  </si>
  <si>
    <t xml:space="preserve">Bar denomination</t>
  </si>
  <si>
    <t xml:space="preserve">grams</t>
  </si>
  <si>
    <t xml:space="preserve">100 g throughout, by agreement. OBSERVED.</t>
  </si>
  <si>
    <t xml:space="preserve">CARD ECONOMICS</t>
  </si>
  <si>
    <t xml:space="preserve">Interchange - Gold</t>
  </si>
  <si>
    <t xml:space="preserve">% of spend</t>
  </si>
  <si>
    <t xml:space="preserve">Visa UAE IRF schedule, 18 Oct 2025. CITED, PRIMARY. The live model reads the FLAT GOLD RATE: replacing the full 1.80/2.05/2.10 ladder with it moves stream 2 by only ~2% of gross profit at Y7, because Sovereign is 1.2% of tiered accounts.</t>
  </si>
  <si>
    <t xml:space="preserve">Per-transaction processor fee</t>
  </si>
  <si>
    <t xml:space="preserve">USD/authorised txn</t>
  </si>
  <si>
    <t xml:space="preserve">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</si>
  <si>
    <t xml:space="preserve">Decline uplift on authorised txns</t>
  </si>
  <si>
    <t xml:space="preserve">% uplift</t>
  </si>
  <si>
    <t xml:space="preserve">The processor fee is charged per AUTHORISATION, not per settled transaction, so declined attempts are billable to Aurumix and chargeable to nobody. ASSUMPTION.</t>
  </si>
  <si>
    <t xml:space="preserve">FX margin on foreign spend</t>
  </si>
  <si>
    <t xml:space="preserve">% of foreign spend</t>
  </si>
  <si>
    <t xml:space="preserve">Market rate ~2%, converged across four comparables. CITED.</t>
  </si>
  <si>
    <t xml:space="preserve">Free ATM allowance (Gold)</t>
  </si>
  <si>
    <t xml:space="preserve">AED/month</t>
  </si>
  <si>
    <t xml:space="preserve">Monthly and NOT rolling. Set deliberately ABOVE the median draw - that is the finding. CITED.</t>
  </si>
  <si>
    <t xml:space="preserve">ATM fee over the allowance</t>
  </si>
  <si>
    <t xml:space="preserve">% of the excess</t>
  </si>
  <si>
    <t xml:space="preserve">Sector converged. CITED.</t>
  </si>
  <si>
    <t xml:space="preserve">Card issuance fee</t>
  </si>
  <si>
    <t xml:space="preserve">AED one-off</t>
  </si>
  <si>
    <t xml:space="preserve">Charged at base level, waived at upper tiers. CITED structure, ASSUMPTION rate.</t>
  </si>
  <si>
    <t xml:space="preserve">Card replacement fee</t>
  </si>
  <si>
    <t xml:space="preserve">AED per event</t>
  </si>
  <si>
    <t xml:space="preserve">Market-normal UAE replacement is AED 75-150. ASSUMPTION.</t>
  </si>
  <si>
    <t xml:space="preserve">OTHER STREAM PRICING</t>
  </si>
  <si>
    <t xml:space="preserve">Family plan / Digital Will price</t>
  </si>
  <si>
    <t xml:space="preserve">USD/yr</t>
  </si>
  <si>
    <t xml:space="preserve">Price is ours; the cost floor is verified. ASSUMPTION.</t>
  </si>
  <si>
    <t xml:space="preserve">B2B platform fee</t>
  </si>
  <si>
    <t xml:space="preserve">% of partner AUM/yr</t>
  </si>
  <si>
    <t xml:space="preserve">Placeholder in the 0.5-0.75% band, coupled to the partner set. ASSUMPTION.</t>
  </si>
  <si>
    <t xml:space="preserve">Credit origination fee - gross</t>
  </si>
  <si>
    <t xml:space="preserve">% of draw</t>
  </si>
  <si>
    <t xml:space="preserve">Finance House UAE gold loan Key Facts Statement carries a 1% processing fee - the one gross rate with a real UAE anchor. CITED.</t>
  </si>
  <si>
    <t xml:space="preserve">Credit origination - Aurumix share</t>
  </si>
  <si>
    <t xml:space="preserve">% of gross</t>
  </si>
  <si>
    <t xml:space="preserve">ASSUMPTION.</t>
  </si>
  <si>
    <t xml:space="preserve">Credit servicing fee - gross</t>
  </si>
  <si>
    <t xml:space="preserve">%/yr of drawn</t>
  </si>
  <si>
    <t xml:space="preserve">Credit servicing - Aurumix share</t>
  </si>
  <si>
    <t xml:space="preserve">The highest of the heads: servicing is where Aurumix does the actual work. ASSUMPTION.</t>
  </si>
  <si>
    <t xml:space="preserve">LTV against collateral</t>
  </si>
  <si>
    <t xml:space="preserve">% of collateral</t>
  </si>
  <si>
    <t xml:space="preserve">_draft_ics-scoring.md sec 6.2, settled 2026-08-13. CITED.</t>
  </si>
  <si>
    <t xml:space="preserve">Spot ticket - UAE</t>
  </si>
  <si>
    <t xml:space="preserve">USD/purchase</t>
  </si>
  <si>
    <t xml:space="preserve">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</si>
  <si>
    <t xml:space="preserve">Spot ticket - Oman and Bahrain</t>
  </si>
  <si>
    <t xml:space="preserve">⚠ INFERRED - THE WEAKEST OF THE THREE. No GCC platform outside the UAE publishes an average ticket; this is a CONFIRMED NEGATIVE, not a gap in the search. Taken as the UAE figure scaled by the regional income gap (SIP 26.00/33.60 = 0.77x). Do not present this as sourced.</t>
  </si>
  <si>
    <t xml:space="preserve">Spot ticket - India</t>
  </si>
  <si>
    <t xml:space="preserve">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 WEAKER THAN THE UAE FIGURE: right country and right behaviour, but Aurumix's Indian customer is poorer than Augmont's average buyer, so 40 may be generous.</t>
  </si>
  <si>
    <t xml:space="preserve">SIP RULES</t>
  </si>
  <si>
    <t xml:space="preserve">SIP hard floor</t>
  </si>
  <si>
    <t xml:space="preserve">USD/month</t>
  </si>
  <si>
    <t xml:space="preserve">Rejected outright below; never partially credited. CITED.</t>
  </si>
  <si>
    <t xml:space="preserve">Confirmed SIP gate</t>
  </si>
  <si>
    <t xml:space="preserve">consecutive payments</t>
  </si>
  <si>
    <t xml:space="preserve">Client's own figure. The gate is why eligibility is NOT universal - see the two eligibility parameters on the Scenario sheet. CLIENT INPUT.</t>
  </si>
  <si>
    <t xml:space="preserve">Cost per redemption event (memo - for the cost build)</t>
  </si>
  <si>
    <t xml:space="preserve">USD</t>
  </si>
  <si>
    <t xml:space="preserve">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</si>
  <si>
    <t xml:space="preserve">ACTIVATION CALENDAR - the single source of every activation period</t>
  </si>
  <si>
    <t xml:space="preserve">Stream 1a - Entry fee, SIP</t>
  </si>
  <si>
    <t xml:space="preserve">period # (from)</t>
  </si>
  <si>
    <t xml:space="preserve">M1. The core product - live at launch.</t>
  </si>
  <si>
    <t xml:space="preserve">Stream 1b - Entry fee, SPOT</t>
  </si>
  <si>
    <t xml:space="preserve">M1. A sub-stream of 1: the same fee on the same gold through a different rail, so it needs no additional build.</t>
  </si>
  <si>
    <t xml:space="preserve">Stream 0 - Redemption cost</t>
  </si>
  <si>
    <t xml:space="preserve">M1. A mandatory cost from day one. VARA Annex 2 III.E.4 forbids charging any fee on redemption, so there is no offsetting revenue and there can never be an exit fee.</t>
  </si>
  <si>
    <t xml:space="preserve">Stream 3 - Family plan and Digital Will</t>
  </si>
  <si>
    <t xml:space="preserve">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</si>
  <si>
    <t xml:space="preserve">Stream 2 - Card interchange</t>
  </si>
  <si>
    <t xml:space="preserve">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</si>
  <si>
    <t xml:space="preserve">Stream 4 - Cardholder fees</t>
  </si>
  <si>
    <t xml:space="preserve">M13, necessarily with stream 2 - FX, ATM and issuance fees cannot exist before the card does.</t>
  </si>
  <si>
    <t xml:space="preserve">Stream 5 - Lending revenue share</t>
  </si>
  <si>
    <t xml:space="preserve">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</si>
  <si>
    <t xml:space="preserve">Stream 6 - B2B platform fee</t>
  </si>
  <si>
    <t xml:space="preserve">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</si>
  <si>
    <t xml:space="preserve">Referral channel begins</t>
  </si>
  <si>
    <t xml:space="preserve">M13, and this one is STRUCTURAL rather than commercial: a referrer must clear their own six-payment gate before they can refer, and the referee must then clear theirs. Two six-month gates IN SERIES. Year 1 pays nothing and the channel does not reach steady state until roughly M25.</t>
  </si>
  <si>
    <t xml:space="preserve">Region opens - Oman and Bahrain</t>
  </si>
  <si>
    <t xml:space="preserve">M13 (client decision 2026-08-20). THE ONLY STAGED REGION, and the reason is regulatory: it requires local authorisation in a second and third jurisdiction. These customers are also NOT UAE-resident, so the VAT and reporting treatment differs.</t>
  </si>
  <si>
    <t xml:space="preserve">Region opens - India</t>
  </si>
  <si>
    <t xml:space="preserve">M1 (client decision 2026-08-20, moved earlier from M13). The India payment route is ASSUMED SOLVED in this model. ⚠ That is a live assumption, not a settled fact - if the route is not solved, this region does not open at all and roughly a quarter of terminal revenue goes with it.</t>
  </si>
  <si>
    <t xml:space="preserve">SEASONALITY VECTORS (raw - the Model normalises to exactly 12.000)</t>
  </si>
  <si>
    <t xml:space="preserve">Vector</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</si>
  <si>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</si>
  <si>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</si>
  <si>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</si>
  <si>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</si>
  <si>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</si>
  <si>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</si>
  <si>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</si>
  <si>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</si>
  <si>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</si>
  <si>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</si>
  <si>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</si>
  <si>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</si>
  <si>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Acquisition seasonality</t>
  </si>
  <si>
    <t xml:space="preserve">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</si>
  <si>
    <t xml:space="preserve">Card spend seasonality</t>
  </si>
  <si>
    <t xml:space="preserve">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</si>
  <si>
    <t xml:space="preserve">Foreign-spend share vector</t>
  </si>
  <si>
    <t xml:space="preserve">The one seasonality vector the brief itself tabulates. Raw mean 39.75, rescaled on the Model to the foreign-spend-share parameter. THE SUMMER TRAVEL SEASON IS THE LARGEST STREAM-4 MONTH on the weakest total-spend base.</t>
  </si>
  <si>
    <t xml:space="preserve">REGION KEY - who each region is</t>
  </si>
  <si>
    <t xml:space="preserve">UAE</t>
  </si>
  <si>
    <t xml:space="preserve">opens M1</t>
  </si>
  <si>
    <t xml:space="preserve">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</si>
  <si>
    <t xml:space="preserve">Oman and Bahrain</t>
  </si>
  <si>
    <t xml:space="preserve">opens M13</t>
  </si>
  <si>
    <t xml:space="preserve">Expatriate workers in Oman and Bahrain. ~600,000 addressable. NOT UAE-resident, so VAT and reporting treatment differ. Requires local authorisation in a second and third jurisdiction, which is why it is the only staged region.</t>
  </si>
  <si>
    <t xml:space="preserve">India</t>
  </si>
  <si>
    <t xml:space="preserve">India-resident retail investors. ~12.5m addressable, sized BEHAVIOURALLY from gold ETF folios intersected with active digital-gold holders rather than demographically. The payment route is ASSUMED SOLVED in this model - if it is not, this region does not open at all.</t>
  </si>
  <si>
    <t xml:space="preserve">MARKET SIZING - how each region's reachable SIP account ceiling is derived</t>
  </si>
  <si>
    <t xml:space="preserve">Funnel step</t>
  </si>
  <si>
    <t xml:space="preserve">UAE - Indian</t>
  </si>
  <si>
    <t xml:space="preserve">UAE - other South Asian</t>
  </si>
  <si>
    <t xml:space="preserve">Source population</t>
  </si>
  <si>
    <t xml:space="preserve">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</si>
  <si>
    <t xml:space="preserve">  x Economically active</t>
  </si>
  <si>
    <t xml:space="preserve">Oman and Bahrain is 100% because the source counts EXPAT WORKERS, who are working-age and economically active by definition - applying a labour-force filter would double-count.</t>
  </si>
  <si>
    <t xml:space="preserve">  x Payment capable (IBAN able to carry a direct debit)</t>
  </si>
  <si>
    <t xml:space="preserve">A SIP needs a standing mandate, not just an account. This is the filter that replaced an unsourced gold-savings propensity filter, which was flagged as the weakest link in the entire sizing and had no published source. This one has a stated mechanism behind it.</t>
  </si>
  <si>
    <t xml:space="preserve">  x Money capable (USD 20/month after remittances)</t>
  </si>
  <si>
    <t xml:space="preserve">Discretionary capacity for a RECURRING USD 240/year commitment, tested after remittance obligations rather than before them.</t>
  </si>
  <si>
    <t xml:space="preserve">  = Addressable base</t>
  </si>
  <si>
    <t xml:space="preserve">Population x the three filters. The UAE-Indian column reproduces the brief's worked figure of ~640,000.</t>
  </si>
  <si>
    <t xml:space="preserve">  x Penetration ceiling</t>
  </si>
  <si>
    <t xml:space="preserve">The share of the addressable base the product could ever reach. 'base x ceiling' is the INVARIANT - changing one without the other silently re-scales the whole model.</t>
  </si>
  <si>
    <t xml:space="preserve">  = REACHABLE SIP ACCOUNTS</t>
  </si>
  <si>
    <t xml:space="preserve">This is what the acquisition engine saturates against.</t>
  </si>
  <si>
    <t xml:space="preserve">  Feeds model region</t>
  </si>
  <si>
    <t xml:space="preserve">MARKET CEILINGS AND ACQUISITION DRIVERS</t>
  </si>
  <si>
    <t xml:space="preserve">Reachable SIP ceiling - UAE</t>
  </si>
  <si>
    <t xml:space="preserve">accounts</t>
  </si>
  <si>
    <t xml:space="preserve">DERIVED from the market sizing funnel above - the sum of its source populations (UAE - Indian, UAE - other South Asian), not a typed number. Change any filter and this follows.</t>
  </si>
  <si>
    <t xml:space="preserve">Reachable SIP ceiling - Oman and Bahrain</t>
  </si>
  <si>
    <t xml:space="preserve">DERIVED from the market sizing funnel above - the sum of its source populations (Oman and Bahrain), not a typed number. Change any filter and this follows.</t>
  </si>
  <si>
    <t xml:space="preserve">Reachable SIP ceiling - India</t>
  </si>
  <si>
    <t xml:space="preserve">DERIVED from the market sizing funnel above - the sum of its source populations (India), not a typed number. Change any filter and this follows.</t>
  </si>
  <si>
    <t xml:space="preserve">Total reachable SIP accounts</t>
  </si>
  <si>
    <t xml:space="preserve">~181,150,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</si>
  <si>
    <t xml:space="preserve">Active agents - Y1</t>
  </si>
  <si>
    <t xml:space="preserve">agents</t>
  </si>
  <si>
    <t xml:space="preserve">A STOCK, not a flow: at 45% attrition, holding 200 active needs ~90 recruits a year. CLIENT INPUT.</t>
  </si>
  <si>
    <t xml:space="preserve">Active agents - Y2</t>
  </si>
  <si>
    <t xml:space="preserve">Active agents - Y3</t>
  </si>
  <si>
    <t xml:space="preserve">Active agents - Y4</t>
  </si>
  <si>
    <t xml:space="preserve">Active agents - Y5</t>
  </si>
  <si>
    <t xml:space="preserve">Active agents - Y6</t>
  </si>
  <si>
    <t xml:space="preserve">Active agents - Y7</t>
  </si>
  <si>
    <t xml:space="preserve">Marketing spend - Y1</t>
  </si>
  <si>
    <t xml:space="preserve">A DECISION VARIABLE and an input to acquisition, not an output of a cost table.</t>
  </si>
  <si>
    <t xml:space="preserve">Marketing spend - Y2</t>
  </si>
  <si>
    <t xml:space="preserve">Marketing spend - Y3</t>
  </si>
  <si>
    <t xml:space="preserve">Marketing spend - Y4</t>
  </si>
  <si>
    <t xml:space="preserve">Marketing spend - Y5</t>
  </si>
  <si>
    <t xml:space="preserve">Marketing spend - Y6</t>
  </si>
  <si>
    <t xml:space="preserve">Marketing spend - Y7</t>
  </si>
  <si>
    <t xml:space="preserve">Agent blended ramp - Y1</t>
  </si>
  <si>
    <t xml:space="preserve">x productivity</t>
  </si>
  <si>
    <t xml:space="preserve">Six months to full productivity, which happens to match the six-payment gate.</t>
  </si>
  <si>
    <t xml:space="preserve">Agent blended ramp - Y2</t>
  </si>
  <si>
    <t xml:space="preserve">Agent blended ramp - Y3</t>
  </si>
  <si>
    <t xml:space="preserve">Agent blended ramp - Y4</t>
  </si>
  <si>
    <t xml:space="preserve">Agent blended ramp - Y5</t>
  </si>
  <si>
    <t xml:space="preserve">Agent blended ramp - Y6</t>
  </si>
  <si>
    <t xml:space="preserve">Agent blended ramp - Y7</t>
  </si>
  <si>
    <t xml:space="preserve">Share of salesforce deployed - UAE</t>
  </si>
  <si>
    <t xml:space="preserve">% of salesforce</t>
  </si>
  <si>
    <t xml:space="preserve">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</si>
  <si>
    <t xml:space="preserve">Share of salesforce deployed - Oman and Bahrain</t>
  </si>
  <si>
    <t xml:space="preserve">Share of salesforce deployed - India</t>
  </si>
  <si>
    <t xml:space="preserve">SCENARIO-LINKED INPUTS (live values - move with the scenario switch)</t>
  </si>
  <si>
    <t xml:space="preserve">Persistency - customers still paying after 12 months</t>
  </si>
  <si>
    <t xml:space="preserve">%</t>
  </si>
  <si>
    <t xml:space="preserve">THE HEADLINE RETENTION NUMBER, and the one a client can argue with. Everything about churn is derived from it. Governs lifetime value, referral economics and agent commission at once. DERIVED from the archetype work: the simulation can refine it, but 55% is what that engine produced.</t>
  </si>
  <si>
    <t xml:space="preserve">Monthly churn rate (derived)</t>
  </si>
  <si>
    <t xml:space="preserve">%/month</t>
  </si>
  <si>
    <t xml:space="preserve">DERIVED, not typed: the monthly rate that reproduces the persistency above over twelve months. Change persistency and this follows. Base 55% implies ~4.9%/month.</t>
  </si>
  <si>
    <t xml:space="preserve">Agent productivity</t>
  </si>
  <si>
    <t xml:space="preserve">accounts/agent/month</t>
  </si>
  <si>
    <t xml:space="preserve">Insurance agency comparator. TRIANGULATED.</t>
  </si>
  <si>
    <t xml:space="preserve">Marketing CAC - UAE</t>
  </si>
  <si>
    <t xml:space="preserve">USD per customer</t>
  </si>
  <si>
    <t xml:space="preserve">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</si>
  <si>
    <t xml:space="preserve">Marketing CAC - Oman and Bahrain</t>
  </si>
  <si>
    <t xml:space="preserve">Marketing CAC - India</t>
  </si>
  <si>
    <t xml:space="preserve">Marketing spend share - UAE</t>
  </si>
  <si>
    <t xml:space="preserve">% of budget</t>
  </si>
  <si>
    <t xml:space="preserve">How the marketing budget is split across markets. Defaults to each region's share of the addressable ceiling, so spend follows the opportunity. Does not vary by scenario - it is a management decision, not an uncertainty. Must sum to 100%.</t>
  </si>
  <si>
    <t xml:space="preserve">Marketing spend share - Oman and Bahrain</t>
  </si>
  <si>
    <t xml:space="preserve">Marketing spend share - India</t>
  </si>
  <si>
    <t xml:space="preserve">Referral rate</t>
  </si>
  <si>
    <t xml:space="preserve">referrals/customer/yr</t>
  </si>
  <si>
    <t xml:space="preserve">Cap removed deliberately, so the distribution is right-skewed. MODEL THE MEAN, NOT THE MEDIAN. ASSUMPTION.</t>
  </si>
  <si>
    <t xml:space="preserve">Referral conversion</t>
  </si>
  <si>
    <t xml:space="preserve">The M7 survival of the referred cohort, uplifted ~1.1x. DERIVED.</t>
  </si>
  <si>
    <t xml:space="preserve">Organic share of direct</t>
  </si>
  <si>
    <t xml:space="preserve">% of direct</t>
  </si>
  <si>
    <t xml:space="preserve">Kept separate so the CAC never applies to it. ASSUMPTION.</t>
  </si>
  <si>
    <t xml:space="preserve">Seasonality amplitude</t>
  </si>
  <si>
    <t xml:space="preserve">x deviation from 1.0</t>
  </si>
  <si>
    <t xml:space="preserve">Festival TIMING is sourced; how hard a Dubai savings signup responds to Dhanteras is the open question. Applied to the deviation from 1.0, then renormalised, so the vectors stay at exactly 12.000.</t>
  </si>
  <si>
    <t xml:space="preserve">Customers who EVER clear the six-payment gate</t>
  </si>
  <si>
    <t xml:space="preserve">% of customers</t>
  </si>
  <si>
    <t xml:space="preserve">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</si>
  <si>
    <t xml:space="preserve">Average months to clear the gate</t>
  </si>
  <si>
    <t xml:space="preserve">months</t>
  </si>
  <si>
    <t xml:space="preserve">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</si>
  <si>
    <t xml:space="preserve">Gold moved out of Aurumix's control</t>
  </si>
  <si>
    <t xml:space="preserve">% of AUM/yr</t>
  </si>
  <si>
    <t xml:space="preserve">RELABELLED 2026-08-21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</si>
  <si>
    <t xml:space="preserve">Redemption rate</t>
  </si>
  <si>
    <t xml:space="preserve">A DIFFERENT EVENT from self-custody and a separate line. PAXG turnover of 5.9% is the only comparator. VARA forbids charging any fee on it. ASSUMPTION.</t>
  </si>
  <si>
    <t xml:space="preserve">Holder redemption multiplier</t>
  </si>
  <si>
    <t xml:space="preserve">x the paying rate</t>
  </si>
  <si>
    <t xml:space="preserve">Customers who stopped paying redeem FASTER - they have no accruing benefit left to protect. Because holders become the majority of the book by Y4, this is the DOMINANT AUM DECAY TERM from roughly Y4. ASSUMPTION.</t>
  </si>
  <si>
    <t xml:space="preserve">Spot attach rate</t>
  </si>
  <si>
    <t xml:space="preserve">% of customers/yr</t>
  </si>
  <si>
    <t xml:space="preserve">Load-bearing because it is MISSING, not because it is large. ASSUMPTION.</t>
  </si>
  <si>
    <t xml:space="preserve">Spot ticket scenario multiplier</t>
  </si>
  <si>
    <t xml:space="preserve">x the observed ticket</t>
  </si>
  <si>
    <t xml:space="preserve">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</si>
  <si>
    <t xml:space="preserve">Spot frequency</t>
  </si>
  <si>
    <t xml:space="preserve">events/attacher/yr</t>
  </si>
  <si>
    <t xml:space="preserve">⚠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</si>
  <si>
    <t xml:space="preserve">Spot-to-SIP conversion</t>
  </si>
  <si>
    <t xml:space="preserve">% of spot buyers/yr</t>
  </si>
  <si>
    <t xml:space="preserve">NO SOURCE EXISTS ANYWHERE - re-confirmed by search 2026-08-20, a CONFIRMED NEGATIVE rather than a gap in the searching. The mechanism design calls this arrow 'the growth funnel' and names spot 'the entry point for new investors'. THE STRATEGY QUESTION IN NUMERICAL FORM, and the one an experiment could answer.</t>
  </si>
  <si>
    <t xml:space="preserve">Programme manager share of interchange</t>
  </si>
  <si>
    <t xml:space="preserve">SIZES THE LARGEST STREAM. No UAE/MENA figure is published. FLOOR IS 36% - take that into the sponsor conversation as the walk-away. TRIANGULATED.</t>
  </si>
  <si>
    <t xml:space="preserve">Facility take-up - customers who take AND use the card</t>
  </si>
  <si>
    <t xml:space="preserve">% of gate-cleared</t>
  </si>
  <si>
    <t xml:space="preserve">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</si>
  <si>
    <t xml:space="preserve">Transactions per drawdown event</t>
  </si>
  <si>
    <t xml:space="preserve">transactions/draw</t>
  </si>
  <si>
    <t xml:space="preserve">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</si>
  <si>
    <t xml:space="preserve">Card transactions per active card per month</t>
  </si>
  <si>
    <t xml:space="preserve">transactions/month</t>
  </si>
  <si>
    <t xml:space="preserve">THE INPUT IS FREQUENCY; AVERAGE TICKET IS DERIVED FROM IT. That inversion is deliberate. Monthly spend is already pinned by income (a multiple of the SIP ticket) and capped by the gold collateral, so specifying a ticket size would over-determine the card and let it drift away from what the customer actually saves - the exact problem an absolute AED 100 ticket created. Fixing frequency instead makes the average ticket fall out as spend / frequency, which means IT SCALES WITH THE SIP CONTRIBUTION AUTOMATICALLY: a customer on a smaller monthly savings amount gets a proportionally smaller basket, in every region, with no extra input. WHY FREQUENCY IS THE BETTER THING TO ANCHOR: it has a published number and ticket size does not. Visa scheme data gives ~175 transactions per card per year for the region, about 14-15/month, and UAE low-income cash dependency fell from 84% to 69% in two years, so card usage is rising. Base is set at 12, slightly BELOW the general anchor, because this is a secondary card earned on a savings product rather than someone's main salary card. ⚠ THE UAE-WIDE AVERAGE TICKET OF ~AED 313 IS DELIBERATELY NOT USED - it spans affluent expats and corporate cards, which is the same population mismatch that put card spend at AED 6,000. NO PUBLISHED TICKET SIZE OR FREQUENCY EXISTS FOR BLUE-COLLAR GCC WORKERS SPECIFICALLY - a confirmed negative, re-checked 2026-08-20. TRIANGULATED on frequency, DERIVED on ticket.</t>
  </si>
  <si>
    <t xml:space="preserve">Foreign spend share (mean)</t>
  </si>
  <si>
    <t xml:space="preserve">% of card spend</t>
  </si>
  <si>
    <t xml:space="preserve">Applied through the seasonal vector, not as a constant. ASSUMPTION.</t>
  </si>
  <si>
    <t xml:space="preserve">Card issuance events</t>
  </si>
  <si>
    <t xml:space="preserve">events/card/yr</t>
  </si>
  <si>
    <t xml:space="preserve">1.00 at activation plus reissues - a tier upgrade forces a physical reissue. ASSUMPTION.</t>
  </si>
  <si>
    <t xml:space="preserve">Card replacement events</t>
  </si>
  <si>
    <t xml:space="preserve">Industry-normal loss/theft/damage is 8-15% annually. ASSUMPTION.</t>
  </si>
  <si>
    <t xml:space="preserve">ATM AED 0-500 - share of cardholders</t>
  </si>
  <si>
    <t xml:space="preserve">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</si>
  <si>
    <t xml:space="preserve">ATM AED 500-1,500 - share of cardholders</t>
  </si>
  <si>
    <t xml:space="preserve">ATM AED 1,500-3,000 - share of cardholders</t>
  </si>
  <si>
    <t xml:space="preserve">ATM AED 3,000+ - share of cardholders</t>
  </si>
  <si>
    <t xml:space="preserve">ATM AED 0-500 - midpoint draw</t>
  </si>
  <si>
    <t xml:space="preserve">Raising the allowance at the top tier waives revenue from only the top ~3% of cardholders.</t>
  </si>
  <si>
    <t xml:space="preserve">ATM AED 500-1,500 - midpoint draw</t>
  </si>
  <si>
    <t xml:space="preserve">ATM AED 1,500-3,000 - midpoint draw</t>
  </si>
  <si>
    <t xml:space="preserve">ATM AED 3,000+ - midpoint draw</t>
  </si>
  <si>
    <t xml:space="preserve">Drawn as % of permitted limit</t>
  </si>
  <si>
    <t xml:space="preserve">Revolving facilities draw 40-55% of permitted. This now drives CARD SPEND as well as the loan balance, because the card is the drawdown mechanism. TRIANGULATED.</t>
  </si>
  <si>
    <t xml:space="preserve">Facility turnover, peak -&gt; average</t>
  </si>
  <si>
    <t xml:space="preserve">x peak drawn</t>
  </si>
  <si>
    <t xml:space="preserve">AN ARITHMETIC CORRECTION, not a sensitivity, derived from Manappuram's 71-day realised tenor. It cuts the lending stream by 1.88x. DERIVED.</t>
  </si>
  <si>
    <t xml:space="preserve">Draw events per borrower per year</t>
  </si>
  <si>
    <t xml:space="preserve">events/yr</t>
  </si>
  <si>
    <t xml:space="preserve">MOVES WITH facility turnover - do not flex independently. DERIVED.</t>
  </si>
  <si>
    <t xml:space="preserve">Family plan attach rate</t>
  </si>
  <si>
    <t xml:space="preserve">NOTHING IS STATED ANYWHERE IN THE CORPUS. Pure assumption. Scales stream 3 linearly.</t>
  </si>
  <si>
    <t xml:space="preserve">B2B partners - Y1</t>
  </si>
  <si>
    <t xml:space="preserve">partners</t>
  </si>
  <si>
    <t xml:space="preserve">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</si>
  <si>
    <t xml:space="preserve">B2B partners - Y2</t>
  </si>
  <si>
    <t xml:space="preserve">B2B partners - Y3</t>
  </si>
  <si>
    <t xml:space="preserve">B2B partners - Y4</t>
  </si>
  <si>
    <t xml:space="preserve">B2B partners - Y5</t>
  </si>
  <si>
    <t xml:space="preserve">B2B partners - Y6</t>
  </si>
  <si>
    <t xml:space="preserve">B2B partners - Y7</t>
  </si>
  <si>
    <t xml:space="preserve">AUM per partner (mature)</t>
  </si>
  <si>
    <t xml:space="preserve">Requires a signed partner. Partner AUM earns NO tier and consumes NO benefits - structurally the highest-margin book. DERIVED.</t>
  </si>
  <si>
    <t xml:space="preserve">Average monthly ticket - UAE</t>
  </si>
  <si>
    <t xml:space="preserve">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</si>
  <si>
    <t xml:space="preserve">Average monthly ticket - Oman and Bahrain</t>
  </si>
  <si>
    <t xml:space="preserve">Average monthly ticket - India</t>
  </si>
  <si>
    <t xml:space="preserve">Share of new customers - UAE</t>
  </si>
  <si>
    <t xml:space="preserve">% of new</t>
  </si>
  <si>
    <t xml:space="preserve">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</si>
  <si>
    <t xml:space="preserve">Share of new customers - Oman and Bahrain</t>
  </si>
  <si>
    <t xml:space="preserve">Share of new customers - India</t>
  </si>
  <si>
    <t xml:space="preserve">Prepaid instead of credit</t>
  </si>
  <si>
    <t xml:space="preserve">1/0 switch</t>
  </si>
  <si>
    <t xml:space="preserve">ON (Prepaid) caps interchange at 1.00% and removes the credit stream entirely. 'NOT A PRODUCT CHOICE, IT IS THE BUSINESS MODEL.' Worth ~USD 2.3m of Y10 revenue on the ten-year run.</t>
  </si>
  <si>
    <t xml:space="preserve">Holders keep the card</t>
  </si>
  <si>
    <t xml:space="preserve">NOBODY HAS DECIDED THIS. It determines whether the card streams - the majority of revenue - decay with churn or are immune to it. Worth a 42% swing in terminal revenue. Default ON because nothing in the design revokes the card; report both.</t>
  </si>
  <si>
    <t xml:space="preserve">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</si>
  <si>
    <t xml:space="preserve">Scenario Parameters</t>
  </si>
  <si>
    <t xml:space="preserve">SCENARIO SELECTOR</t>
  </si>
  <si>
    <t xml:space="preserve">Select Scenario:</t>
  </si>
  <si>
    <t xml:space="preserve">Base</t>
  </si>
  <si>
    <t xml:space="preserve">&lt;- index</t>
  </si>
  <si>
    <t xml:space="preserve">One switch, three columns. Every parameter below resolves through it.</t>
  </si>
  <si>
    <t xml:space="preserve">GROUP A: CUSTOMERS AND CHURN</t>
  </si>
  <si>
    <t xml:space="preserve">Active Value</t>
  </si>
  <si>
    <t xml:space="preserve">Aggressive</t>
  </si>
  <si>
    <t xml:space="preserve">Conservative</t>
  </si>
  <si>
    <t xml:space="preserve">GROUP B: CARD ELIGIBILITY - the two cells that replace the archetype engine</t>
  </si>
  <si>
    <t xml:space="preserve">GROUP C: AUM, LEAKAGE AND SPOT</t>
  </si>
  <si>
    <t xml:space="preserve">GROUP D: CARD</t>
  </si>
  <si>
    <t xml:space="preserve">GROUP E: CREDIT, B2B AND FAMILY</t>
  </si>
  <si>
    <t xml:space="preserve">GROUP F: REGIONS</t>
  </si>
  <si>
    <t xml:space="preserve">STRUCTURAL SWITCHES - the two that move revenue</t>
  </si>
  <si>
    <t xml:space="preserve">Switch</t>
  </si>
  <si>
    <t xml:space="preserve">Active (1/0)</t>
  </si>
  <si>
    <t xml:space="preserve">State</t>
  </si>
  <si>
    <t xml:space="preserve">ON value</t>
  </si>
  <si>
    <t xml:space="preserve">Credit</t>
  </si>
  <si>
    <t xml:space="preserve">Prepaid</t>
  </si>
  <si>
    <t xml:space="preserve">ON</t>
  </si>
  <si>
    <t xml:space="preserve">Period #</t>
  </si>
  <si>
    <t xml:space="preserve">1..29</t>
  </si>
  <si>
    <t xml:space="preserve">Period</t>
  </si>
  <si>
    <t xml:space="preserve">-</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</si>
  <si>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</si>
  <si>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</si>
  <si>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</si>
  <si>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</si>
  <si>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</si>
  <si>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</si>
  <si>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</si>
  <si>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</si>
  <si>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</si>
  <si>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</si>
  <si>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</si>
  <si>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</si>
  <si>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</si>
  <si>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</si>
  <si>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</si>
  <si>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</si>
  <si>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</si>
  <si>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</si>
  <si>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</si>
  <si>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</si>
  <si>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</si>
  <si>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</si>
  <si>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</si>
  <si>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</si>
  <si>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Y3</t>
  </si>
  <si>
    <t xml:space="preserve">Y4</t>
  </si>
  <si>
    <t xml:space="preserve">Y5</t>
  </si>
  <si>
    <t xml:space="preserve">Y6</t>
  </si>
  <si>
    <t xml:space="preserve">Y7</t>
  </si>
  <si>
    <t xml:space="preserve">Period type</t>
  </si>
  <si>
    <t xml:space="preserve">Monthly</t>
  </si>
  <si>
    <t xml:space="preserve">Annual</t>
  </si>
  <si>
    <t xml:space="preserve">Model year</t>
  </si>
  <si>
    <t xml:space="preserve">1..7</t>
  </si>
  <si>
    <t xml:space="preserve">Calendar month</t>
  </si>
  <si>
    <t xml:space="preserve">0 = annual</t>
  </si>
  <si>
    <t xml:space="preserve">Months in period</t>
  </si>
  <si>
    <t xml:space="preserve">Financial-year end</t>
  </si>
  <si>
    <t xml:space="preserve">1/0</t>
  </si>
  <si>
    <t xml:space="preserve">SEASONALITY - normalised to EXACTLY 12.000 by construction</t>
  </si>
  <si>
    <t xml:space="preserve">Acquisition seasonality - normalised</t>
  </si>
  <si>
    <t xml:space="preserve">Jan..Dec</t>
  </si>
  <si>
    <t xml:space="preserve">Card spend seasonality - normalised</t>
  </si>
  <si>
    <t xml:space="preserve">Foreign-spend share - rescaled to the mean</t>
  </si>
  <si>
    <t xml:space="preserve">Seasonality sum check (must be exactly 12.000)</t>
  </si>
  <si>
    <t xml:space="preserve">acq | spend</t>
  </si>
  <si>
    <t xml:space="preserve">Acquisition seasonality applied</t>
  </si>
  <si>
    <t xml:space="preserve">multiplier</t>
  </si>
  <si>
    <t xml:space="preserve">Card spend seasonality applied</t>
  </si>
  <si>
    <t xml:space="preserve">Foreign-spend share applied</t>
  </si>
  <si>
    <t xml:space="preserve">ACQUISITION - all channels, then split across regions</t>
  </si>
  <si>
    <t xml:space="preserve">Agent-driven new customers (routed by region below)</t>
  </si>
  <si>
    <t xml:space="preserve">Open-region salesforce share (renormalisation base)</t>
  </si>
  <si>
    <t xml:space="preserve">x</t>
  </si>
  <si>
    <t xml:space="preserve">REGION: UAE</t>
  </si>
  <si>
    <t xml:space="preserve">  Direct-driven (this market's budget at its own CAC)</t>
  </si>
  <si>
    <t xml:space="preserve">  Referral-driven (from this market's own base)</t>
  </si>
  <si>
    <t xml:space="preserve">  Raw demand</t>
  </si>
  <si>
    <t xml:space="preserve">  Saturation (this region's own headroom)</t>
  </si>
  <si>
    <t xml:space="preserve">  New customers</t>
  </si>
  <si>
    <t xml:space="preserve">  Paying customers</t>
  </si>
  <si>
    <t xml:space="preserve">  Churned this period</t>
  </si>
  <si>
    <t xml:space="preserve">  Holders (stopped paying, still hold gold)</t>
  </si>
  <si>
    <t xml:space="preserve">  Cumulative ever acquired</t>
  </si>
  <si>
    <t xml:space="preserve">  SIP contributions</t>
  </si>
  <si>
    <t xml:space="preserve">  Spot purchase volume</t>
  </si>
  <si>
    <t xml:space="preserve">  Grams purchased</t>
  </si>
  <si>
    <t xml:space="preserve">  Collateral-eligible AUM decay rate (holder-weighted)</t>
  </si>
  <si>
    <t xml:space="preserve">%/period</t>
  </si>
  <si>
    <t xml:space="preserve">  Grams held</t>
  </si>
  <si>
    <t xml:space="preserve">  AUM</t>
  </si>
  <si>
    <t xml:space="preserve">  Card-eligible base</t>
  </si>
  <si>
    <t xml:space="preserve">  Cleared the six-payment gate</t>
  </si>
  <si>
    <t xml:space="preserve">  Active cards</t>
  </si>
  <si>
    <t xml:space="preserve">cards</t>
  </si>
  <si>
    <t xml:space="preserve">  Credit limit per customer (gold x LTV)</t>
  </si>
  <si>
    <t xml:space="preserve">  Annual drawdown per card (limit x drawn x draws)</t>
  </si>
  <si>
    <t xml:space="preserve">  Card spend per card per month</t>
  </si>
  <si>
    <t xml:space="preserve">  Card spend</t>
  </si>
  <si>
    <t xml:space="preserve">AED</t>
  </si>
  <si>
    <t xml:space="preserve">  Average transaction size (derived)</t>
  </si>
  <si>
    <t xml:space="preserve">  Card authorisations (memo - drives cost, not revenue)</t>
  </si>
  <si>
    <t xml:space="preserve">auths</t>
  </si>
  <si>
    <t xml:space="preserve">  Stream 1a - Entry fee, SIP</t>
  </si>
  <si>
    <t xml:space="preserve">  Stream 1b - Entry fee, SPOT</t>
  </si>
  <si>
    <t xml:space="preserve">  Stream 2 - Card interchange</t>
  </si>
  <si>
    <t xml:space="preserve">  Stream 3 - Family plan and Digital Will</t>
  </si>
  <si>
    <t xml:space="preserve">  Stream 4 - Cardholder fees (FX, ATM, events)</t>
  </si>
  <si>
    <t xml:space="preserve">  Average drawn balance outstanding</t>
  </si>
  <si>
    <t xml:space="preserve">  Stream 5 - Lending revenue share</t>
  </si>
  <si>
    <t xml:space="preserve">  Redemption events (memo - drives cost, not revenue)</t>
  </si>
  <si>
    <t xml:space="preserve">events</t>
  </si>
  <si>
    <t xml:space="preserve">  SUBTOTAL - UAE</t>
  </si>
  <si>
    <t xml:space="preserve">REGION: OMAN AND BAHRAIN</t>
  </si>
  <si>
    <t xml:space="preserve">  SUBTOTAL - Oman and Bahrain</t>
  </si>
  <si>
    <t xml:space="preserve">REGION: INDIA</t>
  </si>
  <si>
    <t xml:space="preserve">  SUBTOTAL - India</t>
  </si>
  <si>
    <t xml:space="preserve">NON-REGIONAL</t>
  </si>
  <si>
    <t xml:space="preserve">  Partner AUM</t>
  </si>
  <si>
    <t xml:space="preserve">Stream 6 is NOT regional: partners are institutions with their own customer books, not retail customers of a region. It is reported separately rather than allocated, because any allocation would be invented.</t>
  </si>
  <si>
    <t xml:space="preserve">WHOLE-BOOK TOTALS</t>
  </si>
  <si>
    <t xml:space="preserve">PAYING CUSTOMERS</t>
  </si>
  <si>
    <t xml:space="preserve">HOLDERS (stopped paying, still hold gold)</t>
  </si>
  <si>
    <t xml:space="preserve">Cumulative ever acquired</t>
  </si>
  <si>
    <t xml:space="preserve">NEW CUSTOMERS</t>
  </si>
  <si>
    <t xml:space="preserve">ACTIVE CARDS</t>
  </si>
  <si>
    <t xml:space="preserve">GRAMS HELD</t>
  </si>
  <si>
    <t xml:space="preserve">Grams purchased</t>
  </si>
  <si>
    <t xml:space="preserve">COLLATERAL-ELIGIBLE AUM</t>
  </si>
  <si>
    <t xml:space="preserve">Cleared the six-payment gate</t>
  </si>
  <si>
    <t xml:space="preserve">SIP contributions</t>
  </si>
  <si>
    <t xml:space="preserve">Spot purchase volume</t>
  </si>
  <si>
    <t xml:space="preserve">Card spend</t>
  </si>
  <si>
    <t xml:space="preserve">CHECK: paying + holders = cumulative ever acquired</t>
  </si>
  <si>
    <t xml:space="preserve">delta</t>
  </si>
  <si>
    <t xml:space="preserve">  Collateral-eligible AUM per paying customer (memo)</t>
  </si>
  <si>
    <t xml:space="preserve">  Total credit capacity across cardholders (memo)</t>
  </si>
  <si>
    <t xml:space="preserve">  CHECK: card spend vs credit capacity (must be &lt;= 1.00)</t>
  </si>
  <si>
    <t xml:space="preserve">Redemption events (memo - drives cost, not revenue)</t>
  </si>
  <si>
    <t xml:space="preserve">Card authorisations (memo - drives cost, not revenue)</t>
  </si>
  <si>
    <t xml:space="preserve">TOTAL NET REVENUE</t>
  </si>
  <si>
    <t xml:space="preserve">Net revenue per paying customer (annualised)</t>
  </si>
  <si>
    <t xml:space="preserve">CHECK: regional subtotals + B2B = sum of streams</t>
  </si>
  <si>
    <t xml:space="preserve">Summary</t>
  </si>
  <si>
    <t xml:space="preserve">Y1</t>
  </si>
  <si>
    <t xml:space="preserve">Y2</t>
  </si>
  <si>
    <t xml:space="preserve">REVENUE BY REGION</t>
  </si>
  <si>
    <t xml:space="preserve">  UAE</t>
  </si>
  <si>
    <t xml:space="preserve">  Oman and Bahrain</t>
  </si>
  <si>
    <t xml:space="preserve">  India</t>
  </si>
  <si>
    <t xml:space="preserve">  Non-regional: B2B platform fee</t>
  </si>
  <si>
    <t xml:space="preserve">TOTAL REVENUE</t>
  </si>
  <si>
    <t xml:space="preserve">REVENUE BY STREAM</t>
  </si>
  <si>
    <t xml:space="preserve">Stream 1a: Entry fee - SIP</t>
  </si>
  <si>
    <t xml:space="preserve">Stream 1b: Entry fee - SPOT</t>
  </si>
  <si>
    <t xml:space="preserve">Stream 2: Card interchange</t>
  </si>
  <si>
    <t xml:space="preserve">Stream 3: Family plan and Digital Will</t>
  </si>
  <si>
    <t xml:space="preserve">Stream 4: Cardholder fees</t>
  </si>
  <si>
    <t xml:space="preserve">Stream 5: Lending revenue share</t>
  </si>
  <si>
    <t xml:space="preserve">Stream 6: B2B platform fee</t>
  </si>
  <si>
    <t xml:space="preserve">Total by stream (reconciles to the regional total above)</t>
  </si>
  <si>
    <t xml:space="preserve">REVENUE MIX (% of total)</t>
  </si>
  <si>
    <t xml:space="preserve">Stream 1a: SIP entry fee - share</t>
  </si>
  <si>
    <t xml:space="preserve">Stream 1b: Spot entry fee - share</t>
  </si>
  <si>
    <t xml:space="preserve">Stream 2: Card interchange - share</t>
  </si>
  <si>
    <t xml:space="preserve">Stream 3: Family and Will - share</t>
  </si>
  <si>
    <t xml:space="preserve">Stream 4: Cardholder fees - share</t>
  </si>
  <si>
    <t xml:space="preserve">Stream 5: Lending - share</t>
  </si>
  <si>
    <t xml:space="preserve">Stream 6: B2B platform - share</t>
  </si>
  <si>
    <t xml:space="preserve">CHECK: mix sums to 100%</t>
  </si>
  <si>
    <t xml:space="preserve">CUSTOMERS AND AUM (year end)</t>
  </si>
  <si>
    <t xml:space="preserve">New customers in year</t>
  </si>
  <si>
    <t xml:space="preserve">Paying customers</t>
  </si>
  <si>
    <t xml:space="preserve">Holders (stopped paying, still hold gold)</t>
  </si>
  <si>
    <t xml:space="preserve">Active cards</t>
  </si>
  <si>
    <t xml:space="preserve">Grams held</t>
  </si>
  <si>
    <t xml:space="preserve">Collateral-eligible AUM</t>
  </si>
  <si>
    <t xml:space="preserve">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</si>
</sst>
</file>

<file path=xl/styles.xml><?xml version="1.0" encoding="utf-8"?>
<styleSheet xmlns="http://schemas.openxmlformats.org/spreadsheetml/2006/main">
  <numFmts count="10">
    <numFmt numFmtId="164" formatCode="General"/>
    <numFmt numFmtId="165" formatCode="mmmm\ yyyy"/>
    <numFmt numFmtId="166" formatCode="#,##0.00;\(#,##0.00\);\-"/>
    <numFmt numFmtId="167" formatCode="0.00%"/>
    <numFmt numFmtId="168" formatCode="#,##0;\(#,##0\);\-"/>
    <numFmt numFmtId="169" formatCode="\$#,##0.00;&quot;($&quot;#,##0.00\);\-"/>
    <numFmt numFmtId="170" formatCode="0.0%"/>
    <numFmt numFmtId="171" formatCode="\$#,##0;&quot;($&quot;#,##0\);\-"/>
    <numFmt numFmtId="172" formatCode="#,##0.000"/>
    <numFmt numFmtId="173" formatCode="0.00\x"/>
  </numFmts>
  <fonts count="19">
    <font>
      <sz val="11"/>
      <color theme="1"/>
      <name val="Calibri"/>
      <family val="2"/>
      <charset val="1"/>
    </font>
    <font>
      <sz val="10"/>
      <name val="Arial"/>
      <family val="0"/>
    </font>
    <font>
      <sz val="10"/>
      <name val="Arial"/>
      <family val="0"/>
    </font>
    <font>
      <sz val="10"/>
      <name val="Arial"/>
      <family val="0"/>
    </font>
    <font>
      <b val="true"/>
      <sz val="24"/>
      <color rgb="FFB8956E"/>
      <name val="Cambria"/>
      <family val="0"/>
      <charset val="1"/>
    </font>
    <font>
      <sz val="16"/>
      <color rgb="FF1A1714"/>
      <name val="Cambria"/>
      <family val="0"/>
      <charset val="1"/>
    </font>
    <font>
      <b val="true"/>
      <sz val="11"/>
      <color rgb="FF000000"/>
      <name val="Cambria"/>
      <family val="0"/>
      <charset val="1"/>
    </font>
    <font>
      <sz val="11"/>
      <color rgb="FF0000FF"/>
      <name val="Cambria"/>
      <family val="0"/>
      <charset val="1"/>
    </font>
    <font>
      <sz val="11"/>
      <color rgb="FF000000"/>
      <name val="Cambria"/>
      <family val="0"/>
      <charset val="1"/>
    </font>
    <font>
      <sz val="11"/>
      <color rgb="FF009B73"/>
      <name val="Cambria"/>
      <family val="0"/>
      <charset val="1"/>
    </font>
    <font>
      <b val="true"/>
      <sz val="11"/>
      <color rgb="FFC00000"/>
      <name val="Cambria"/>
      <family val="0"/>
      <charset val="1"/>
    </font>
    <font>
      <i val="true"/>
      <sz val="9"/>
      <color rgb="FF96734A"/>
      <name val="Cambria"/>
      <family val="0"/>
      <charset val="1"/>
    </font>
    <font>
      <b val="true"/>
      <sz val="18"/>
      <color rgb="FFB8956E"/>
      <name val="Cambria"/>
      <family val="0"/>
      <charset val="1"/>
    </font>
    <font>
      <b val="true"/>
      <sz val="14"/>
      <color rgb="FF1A1714"/>
      <name val="Cambria"/>
      <family val="0"/>
      <charset val="1"/>
    </font>
    <font>
      <b val="true"/>
      <sz val="11"/>
      <color rgb="FFFFFFFF"/>
      <name val="Cambria"/>
      <family val="0"/>
      <charset val="1"/>
    </font>
    <font>
      <b val="true"/>
      <sz val="10"/>
      <color rgb="FF1A1714"/>
      <name val="Cambria"/>
      <family val="0"/>
      <charset val="1"/>
    </font>
    <font>
      <sz val="9"/>
      <color rgb="FF96734A"/>
      <name val="Cambria"/>
      <family val="0"/>
      <charset val="1"/>
    </font>
    <font>
      <b val="true"/>
      <sz val="11"/>
      <color rgb="FF0000FF"/>
      <name val="Cambria"/>
      <family val="0"/>
      <charset val="1"/>
    </font>
    <font>
      <b val="true"/>
      <sz val="11"/>
      <color rgb="FF1A1714"/>
      <name val="Cambria"/>
      <family val="0"/>
      <charset val="1"/>
    </font>
  </fonts>
  <fills count="5">
    <fill>
      <patternFill patternType="none"/>
    </fill>
    <fill>
      <patternFill patternType="gray125"/>
    </fill>
    <fill>
      <patternFill patternType="solid">
        <fgColor rgb="FF1A1714"/>
        <bgColor rgb="FF000000"/>
      </patternFill>
    </fill>
    <fill>
      <patternFill patternType="solid">
        <fgColor rgb="FFD4CFC8"/>
        <bgColor rgb="FFCCCCFF"/>
      </patternFill>
    </fill>
    <fill>
      <patternFill patternType="solid">
        <fgColor rgb="FFE8E4DF"/>
        <bgColor rgb="FFD4CFC8"/>
      </patternFill>
    </fill>
  </fills>
  <borders count="3">
    <border diagonalUp="false" diagonalDown="false">
      <left/>
      <right/>
      <top/>
      <bottom/>
      <diagonal/>
    </border>
    <border diagonalUp="false" diagonalDown="false">
      <left style="thin">
        <color rgb="FFD4CFC8"/>
      </left>
      <right style="thin">
        <color rgb="FFD4CFC8"/>
      </right>
      <top style="thin">
        <color rgb="FFD4CFC8"/>
      </top>
      <bottom style="thin">
        <color rgb="FFD4CFC8"/>
      </bottom>
      <diagonal/>
    </border>
    <border diagonalUp="false" diagonalDown="false">
      <left/>
      <right/>
      <top style="thin">
        <color rgb="FFB8956E"/>
      </top>
      <bottom style="double">
        <color rgb="FFB8956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tru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7"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4" fontId="18"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center" vertical="bottom" textRotation="0" wrapText="fals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true" applyProtection="false">
      <alignment horizontal="center" vertical="bottom" textRotation="0" wrapText="false" indent="0" shrinkToFit="false"/>
      <protection locked="true" hidden="false"/>
    </xf>
    <xf numFmtId="170"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center" vertical="bottom" textRotation="0" wrapText="false" indent="0" shrinkToFit="false"/>
      <protection locked="true" hidden="false"/>
    </xf>
    <xf numFmtId="171" fontId="8" fillId="0" borderId="0" xfId="0" applyFont="true" applyBorder="false" applyAlignment="true" applyProtection="false">
      <alignment horizontal="center" vertical="bottom" textRotation="0" wrapText="false" indent="0" shrinkToFit="false"/>
      <protection locked="true" hidden="false"/>
    </xf>
    <xf numFmtId="167" fontId="8" fillId="0" borderId="0" xfId="0" applyFont="true" applyBorder="false" applyAlignment="true" applyProtection="false">
      <alignment horizontal="center"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true" applyProtection="false">
      <alignment horizontal="center"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false" indent="0" shrinkToFit="false"/>
      <protection locked="true" hidden="false"/>
    </xf>
    <xf numFmtId="171" fontId="9" fillId="0" borderId="2"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9B73"/>
      <rgbColor rgb="FFD4CFC8"/>
      <rgbColor rgb="FF96734A"/>
      <rgbColor rgb="FF9999FF"/>
      <rgbColor rgb="FF993366"/>
      <rgbColor rgb="FFE8E4D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B8956E"/>
      <rgbColor rgb="FF003366"/>
      <rgbColor rgb="FF339966"/>
      <rgbColor rgb="FF003300"/>
      <rgbColor rgb="FF1A1714"/>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04"/>
  </cols>
  <sheetData>
    <row r="2" customFormat="false" ht="29.15" hidden="false" customHeight="false" outlineLevel="0" collapsed="false">
      <c r="B2" s="1" t="s">
        <v>0</v>
      </c>
    </row>
    <row r="3" customFormat="false" ht="19.7" hidden="false" customHeight="false" outlineLevel="0" collapsed="false">
      <c r="B3" s="2" t="s">
        <v>1</v>
      </c>
    </row>
    <row r="5" customFormat="false" ht="15" hidden="false" customHeight="false" outlineLevel="0" collapsed="false">
      <c r="B5" s="3" t="s">
        <v>2</v>
      </c>
      <c r="C5" s="4" t="n">
        <f aca="true">TODAY()</f>
        <v>46255</v>
      </c>
    </row>
    <row r="6" customFormat="false" ht="15" hidden="false" customHeight="false" outlineLevel="0" collapsed="false">
      <c r="B6" s="3" t="s">
        <v>3</v>
      </c>
      <c r="C6" s="0" t="s">
        <v>4</v>
      </c>
    </row>
    <row r="7" customFormat="false" ht="15" hidden="false" customHeight="false" outlineLevel="0" collapsed="false">
      <c r="B7" s="3" t="s">
        <v>5</v>
      </c>
      <c r="C7" s="0" t="s">
        <v>6</v>
      </c>
    </row>
    <row r="8" customFormat="false" ht="15" hidden="false" customHeight="false" outlineLevel="0" collapsed="false">
      <c r="B8" s="3" t="s">
        <v>7</v>
      </c>
      <c r="C8" s="0" t="s">
        <v>8</v>
      </c>
    </row>
    <row r="9" customFormat="false" ht="15" hidden="false" customHeight="false" outlineLevel="0" collapsed="false">
      <c r="B9" s="3" t="s">
        <v>9</v>
      </c>
      <c r="C9" s="0" t="s">
        <v>10</v>
      </c>
    </row>
    <row r="10" customFormat="false" ht="15" hidden="false" customHeight="false" outlineLevel="0" collapsed="false">
      <c r="B10" s="3" t="s">
        <v>11</v>
      </c>
      <c r="C10" s="0" t="s">
        <v>12</v>
      </c>
    </row>
    <row r="12" customFormat="false" ht="15" hidden="false" customHeight="false" outlineLevel="0" collapsed="false">
      <c r="B12" s="3" t="s">
        <v>13</v>
      </c>
    </row>
    <row r="13" customFormat="false" ht="15" hidden="false" customHeight="false" outlineLevel="0" collapsed="false">
      <c r="B13" s="5" t="s">
        <v>14</v>
      </c>
      <c r="C13" s="0" t="s">
        <v>15</v>
      </c>
    </row>
    <row r="14" customFormat="false" ht="15" hidden="false" customHeight="false" outlineLevel="0" collapsed="false">
      <c r="B14" s="6" t="s">
        <v>16</v>
      </c>
      <c r="C14" s="0" t="s">
        <v>17</v>
      </c>
    </row>
    <row r="15" customFormat="false" ht="15" hidden="false" customHeight="false" outlineLevel="0" collapsed="false">
      <c r="B15" s="7" t="s">
        <v>18</v>
      </c>
      <c r="C15" s="0" t="s">
        <v>19</v>
      </c>
    </row>
    <row r="17" customFormat="false" ht="15" hidden="false" customHeight="false" outlineLevel="0" collapsed="false">
      <c r="B17" s="3" t="s">
        <v>20</v>
      </c>
    </row>
    <row r="18" customFormat="false" ht="15" hidden="false" customHeight="false" outlineLevel="0" collapsed="false">
      <c r="B18" s="0" t="s">
        <v>21</v>
      </c>
    </row>
    <row r="19" customFormat="false" ht="15" hidden="false" customHeight="false" outlineLevel="0" collapsed="false">
      <c r="B19" s="0" t="s">
        <v>22</v>
      </c>
    </row>
    <row r="20" customFormat="false" ht="15" hidden="false" customHeight="false" outlineLevel="0" collapsed="false">
      <c r="B20" s="0" t="s">
        <v>23</v>
      </c>
    </row>
    <row r="21" customFormat="false" ht="15" hidden="false" customHeight="false" outlineLevel="0" collapsed="false">
      <c r="B21" s="0" t="s">
        <v>24</v>
      </c>
    </row>
    <row r="22" customFormat="false" ht="15" hidden="false" customHeight="false" outlineLevel="0" collapsed="false">
      <c r="B22" s="0" t="s">
        <v>25</v>
      </c>
    </row>
    <row r="24" customFormat="false" ht="15" hidden="false" customHeight="false" outlineLevel="0" collapsed="false">
      <c r="B24" s="8" t="s">
        <v>26</v>
      </c>
    </row>
    <row r="25" customFormat="false" ht="15" hidden="false" customHeight="false" outlineLevel="0" collapsed="false">
      <c r="B25" s="9" t="s">
        <v>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4"/>
    <col collapsed="false" customWidth="true" hidden="false" outlineLevel="0" max="2" min="2" style="0" width="16"/>
    <col collapsed="false" customWidth="true" hidden="false" outlineLevel="0" max="3" min="3" style="0" width="24"/>
    <col collapsed="false" customWidth="true" hidden="false" outlineLevel="0" max="4" min="4" style="0" width="120"/>
    <col collapsed="false" customWidth="true" hidden="false" outlineLevel="0" max="9" min="6" style="0" width="15"/>
    <col collapsed="false" customWidth="true" hidden="false" outlineLevel="0" max="17" min="10" style="0" width="8"/>
  </cols>
  <sheetData>
    <row r="1" customFormat="false" ht="22.05" hidden="false" customHeight="false" outlineLevel="0" collapsed="false">
      <c r="A1" s="10" t="str">
        <f aca="false">Cover!$B$2</f>
        <v>Aurumix Revenue Model</v>
      </c>
    </row>
    <row r="2" customFormat="false" ht="17.35" hidden="false" customHeight="false" outlineLevel="0" collapsed="false">
      <c r="A2" s="11" t="s">
        <v>28</v>
      </c>
    </row>
    <row r="4" customFormat="false" ht="18" hidden="false" customHeight="true" outlineLevel="0" collapsed="false">
      <c r="A4" s="12" t="s">
        <v>29</v>
      </c>
      <c r="B4" s="13"/>
      <c r="C4" s="13"/>
      <c r="D4" s="13"/>
    </row>
    <row r="5" customFormat="false" ht="15" hidden="false" customHeight="false" outlineLevel="0" collapsed="false">
      <c r="A5" s="14" t="s">
        <v>30</v>
      </c>
      <c r="B5" s="14" t="s">
        <v>31</v>
      </c>
      <c r="C5" s="14" t="s">
        <v>32</v>
      </c>
      <c r="D5" s="14" t="s">
        <v>33</v>
      </c>
    </row>
    <row r="6" customFormat="false" ht="15" hidden="false" customHeight="false" outlineLevel="0" collapsed="false">
      <c r="A6" s="0" t="s">
        <v>34</v>
      </c>
      <c r="B6" s="15" t="n">
        <v>141.46</v>
      </c>
      <c r="C6" s="0" t="s">
        <v>35</v>
      </c>
      <c r="D6" s="0" t="s">
        <v>36</v>
      </c>
    </row>
    <row r="7" customFormat="false" ht="15" hidden="false" customHeight="false" outlineLevel="0" collapsed="false">
      <c r="A7" s="0" t="s">
        <v>37</v>
      </c>
      <c r="B7" s="15" t="n">
        <v>3.6725</v>
      </c>
      <c r="C7" s="0" t="s">
        <v>38</v>
      </c>
      <c r="D7" s="0" t="s">
        <v>39</v>
      </c>
    </row>
    <row r="8" customFormat="false" ht="15" hidden="false" customHeight="false" outlineLevel="0" collapsed="false">
      <c r="A8" s="0" t="s">
        <v>40</v>
      </c>
      <c r="B8" s="16" t="n">
        <v>0.05</v>
      </c>
      <c r="C8" s="0" t="s">
        <v>41</v>
      </c>
      <c r="D8" s="0" t="s">
        <v>42</v>
      </c>
    </row>
    <row r="9" customFormat="false" ht="15" hidden="false" customHeight="false" outlineLevel="0" collapsed="false">
      <c r="A9" s="0" t="s">
        <v>43</v>
      </c>
      <c r="B9" s="16" t="n">
        <v>0.015</v>
      </c>
      <c r="C9" s="0" t="s">
        <v>44</v>
      </c>
      <c r="D9" s="0" t="s">
        <v>45</v>
      </c>
    </row>
    <row r="10" customFormat="false" ht="15" hidden="false" customHeight="false" outlineLevel="0" collapsed="false">
      <c r="A10" s="0" t="s">
        <v>46</v>
      </c>
      <c r="B10" s="17" t="n">
        <v>100</v>
      </c>
      <c r="C10" s="0" t="s">
        <v>47</v>
      </c>
      <c r="D10" s="0" t="s">
        <v>48</v>
      </c>
    </row>
    <row r="12" customFormat="false" ht="18" hidden="false" customHeight="true" outlineLevel="0" collapsed="false">
      <c r="A12" s="12" t="s">
        <v>49</v>
      </c>
      <c r="B12" s="13"/>
      <c r="C12" s="13"/>
      <c r="D12" s="13"/>
    </row>
    <row r="13" customFormat="false" ht="15" hidden="false" customHeight="false" outlineLevel="0" collapsed="false">
      <c r="A13" s="14" t="s">
        <v>30</v>
      </c>
      <c r="B13" s="14" t="s">
        <v>31</v>
      </c>
      <c r="C13" s="14" t="s">
        <v>32</v>
      </c>
      <c r="D13" s="14" t="s">
        <v>33</v>
      </c>
    </row>
    <row r="14" customFormat="false" ht="15" hidden="false" customHeight="false" outlineLevel="0" collapsed="false">
      <c r="A14" s="0" t="s">
        <v>50</v>
      </c>
      <c r="B14" s="16" t="n">
        <v>0.018</v>
      </c>
      <c r="C14" s="0" t="s">
        <v>51</v>
      </c>
      <c r="D14" s="0" t="s">
        <v>52</v>
      </c>
    </row>
    <row r="15" customFormat="false" ht="15" hidden="false" customHeight="false" outlineLevel="0" collapsed="false">
      <c r="A15" s="0" t="s">
        <v>53</v>
      </c>
      <c r="B15" s="18" t="n">
        <v>0.1</v>
      </c>
      <c r="C15" s="0" t="s">
        <v>54</v>
      </c>
      <c r="D15" s="0" t="s">
        <v>55</v>
      </c>
    </row>
    <row r="16" customFormat="false" ht="15" hidden="false" customHeight="false" outlineLevel="0" collapsed="false">
      <c r="A16" s="0" t="s">
        <v>56</v>
      </c>
      <c r="B16" s="19" t="n">
        <v>0.06</v>
      </c>
      <c r="C16" s="0" t="s">
        <v>57</v>
      </c>
      <c r="D16" s="0" t="s">
        <v>58</v>
      </c>
    </row>
    <row r="17" customFormat="false" ht="15" hidden="false" customHeight="false" outlineLevel="0" collapsed="false">
      <c r="A17" s="0" t="s">
        <v>59</v>
      </c>
      <c r="B17" s="16" t="n">
        <v>0.02</v>
      </c>
      <c r="C17" s="0" t="s">
        <v>60</v>
      </c>
      <c r="D17" s="0" t="s">
        <v>61</v>
      </c>
    </row>
    <row r="18" customFormat="false" ht="15" hidden="false" customHeight="false" outlineLevel="0" collapsed="false">
      <c r="A18" s="0" t="s">
        <v>62</v>
      </c>
      <c r="B18" s="17" t="n">
        <v>1000</v>
      </c>
      <c r="C18" s="0" t="s">
        <v>63</v>
      </c>
      <c r="D18" s="0" t="s">
        <v>64</v>
      </c>
    </row>
    <row r="19" customFormat="false" ht="15" hidden="false" customHeight="false" outlineLevel="0" collapsed="false">
      <c r="A19" s="0" t="s">
        <v>65</v>
      </c>
      <c r="B19" s="16" t="n">
        <v>0.02</v>
      </c>
      <c r="C19" s="0" t="s">
        <v>66</v>
      </c>
      <c r="D19" s="0" t="s">
        <v>67</v>
      </c>
    </row>
    <row r="20" customFormat="false" ht="15" hidden="false" customHeight="false" outlineLevel="0" collapsed="false">
      <c r="A20" s="0" t="s">
        <v>68</v>
      </c>
      <c r="B20" s="17" t="n">
        <v>75</v>
      </c>
      <c r="C20" s="0" t="s">
        <v>69</v>
      </c>
      <c r="D20" s="0" t="s">
        <v>70</v>
      </c>
    </row>
    <row r="21" customFormat="false" ht="15" hidden="false" customHeight="false" outlineLevel="0" collapsed="false">
      <c r="A21" s="0" t="s">
        <v>71</v>
      </c>
      <c r="B21" s="17" t="n">
        <v>100</v>
      </c>
      <c r="C21" s="0" t="s">
        <v>72</v>
      </c>
      <c r="D21" s="0" t="s">
        <v>73</v>
      </c>
    </row>
    <row r="23" customFormat="false" ht="18" hidden="false" customHeight="true" outlineLevel="0" collapsed="false">
      <c r="A23" s="12" t="s">
        <v>74</v>
      </c>
      <c r="B23" s="13"/>
      <c r="C23" s="13"/>
      <c r="D23" s="13"/>
    </row>
    <row r="24" customFormat="false" ht="15" hidden="false" customHeight="false" outlineLevel="0" collapsed="false">
      <c r="A24" s="14" t="s">
        <v>30</v>
      </c>
      <c r="B24" s="14" t="s">
        <v>31</v>
      </c>
      <c r="C24" s="14" t="s">
        <v>32</v>
      </c>
      <c r="D24" s="14" t="s">
        <v>33</v>
      </c>
    </row>
    <row r="25" customFormat="false" ht="15" hidden="false" customHeight="false" outlineLevel="0" collapsed="false">
      <c r="A25" s="0" t="s">
        <v>75</v>
      </c>
      <c r="B25" s="20" t="n">
        <v>120</v>
      </c>
      <c r="C25" s="0" t="s">
        <v>76</v>
      </c>
      <c r="D25" s="0" t="s">
        <v>77</v>
      </c>
    </row>
    <row r="26" customFormat="false" ht="15" hidden="false" customHeight="false" outlineLevel="0" collapsed="false">
      <c r="A26" s="0" t="s">
        <v>78</v>
      </c>
      <c r="B26" s="16" t="n">
        <v>0.00625</v>
      </c>
      <c r="C26" s="0" t="s">
        <v>79</v>
      </c>
      <c r="D26" s="0" t="s">
        <v>80</v>
      </c>
    </row>
    <row r="27" customFormat="false" ht="15" hidden="false" customHeight="false" outlineLevel="0" collapsed="false">
      <c r="A27" s="0" t="s">
        <v>81</v>
      </c>
      <c r="B27" s="16" t="n">
        <v>0.01</v>
      </c>
      <c r="C27" s="0" t="s">
        <v>82</v>
      </c>
      <c r="D27" s="0" t="s">
        <v>83</v>
      </c>
    </row>
    <row r="28" customFormat="false" ht="15" hidden="false" customHeight="false" outlineLevel="0" collapsed="false">
      <c r="A28" s="0" t="s">
        <v>84</v>
      </c>
      <c r="B28" s="19" t="n">
        <v>0.5</v>
      </c>
      <c r="C28" s="0" t="s">
        <v>85</v>
      </c>
      <c r="D28" s="0" t="s">
        <v>86</v>
      </c>
    </row>
    <row r="29" customFormat="false" ht="15" hidden="false" customHeight="false" outlineLevel="0" collapsed="false">
      <c r="A29" s="0" t="s">
        <v>87</v>
      </c>
      <c r="B29" s="16" t="n">
        <v>0.005</v>
      </c>
      <c r="C29" s="0" t="s">
        <v>88</v>
      </c>
      <c r="D29" s="0" t="s">
        <v>86</v>
      </c>
    </row>
    <row r="30" customFormat="false" ht="15" hidden="false" customHeight="false" outlineLevel="0" collapsed="false">
      <c r="A30" s="0" t="s">
        <v>89</v>
      </c>
      <c r="B30" s="19" t="n">
        <v>0.7</v>
      </c>
      <c r="C30" s="0" t="s">
        <v>85</v>
      </c>
      <c r="D30" s="0" t="s">
        <v>90</v>
      </c>
    </row>
    <row r="31" customFormat="false" ht="15" hidden="false" customHeight="false" outlineLevel="0" collapsed="false">
      <c r="A31" s="0" t="s">
        <v>91</v>
      </c>
      <c r="B31" s="19" t="n">
        <v>0.5</v>
      </c>
      <c r="C31" s="0" t="s">
        <v>92</v>
      </c>
      <c r="D31" s="0" t="s">
        <v>93</v>
      </c>
    </row>
    <row r="32" customFormat="false" ht="15" hidden="false" customHeight="false" outlineLevel="0" collapsed="false">
      <c r="A32" s="0" t="s">
        <v>94</v>
      </c>
      <c r="B32" s="20" t="n">
        <v>190</v>
      </c>
      <c r="C32" s="0" t="s">
        <v>95</v>
      </c>
      <c r="D32" s="0" t="s">
        <v>96</v>
      </c>
    </row>
    <row r="33" customFormat="false" ht="15" hidden="false" customHeight="false" outlineLevel="0" collapsed="false">
      <c r="A33" s="0" t="s">
        <v>97</v>
      </c>
      <c r="B33" s="20" t="n">
        <v>145</v>
      </c>
      <c r="C33" s="0" t="s">
        <v>95</v>
      </c>
      <c r="D33" s="0" t="s">
        <v>98</v>
      </c>
    </row>
    <row r="34" customFormat="false" ht="15" hidden="false" customHeight="false" outlineLevel="0" collapsed="false">
      <c r="A34" s="0" t="s">
        <v>99</v>
      </c>
      <c r="B34" s="20" t="n">
        <v>40</v>
      </c>
      <c r="C34" s="0" t="s">
        <v>95</v>
      </c>
      <c r="D34" s="0" t="s">
        <v>100</v>
      </c>
    </row>
    <row r="36" customFormat="false" ht="18" hidden="false" customHeight="true" outlineLevel="0" collapsed="false">
      <c r="A36" s="12" t="s">
        <v>101</v>
      </c>
      <c r="B36" s="13"/>
      <c r="C36" s="13"/>
      <c r="D36" s="13"/>
    </row>
    <row r="37" customFormat="false" ht="15" hidden="false" customHeight="false" outlineLevel="0" collapsed="false">
      <c r="A37" s="14" t="s">
        <v>30</v>
      </c>
      <c r="B37" s="14" t="s">
        <v>31</v>
      </c>
      <c r="C37" s="14" t="s">
        <v>32</v>
      </c>
      <c r="D37" s="14" t="s">
        <v>33</v>
      </c>
    </row>
    <row r="38" customFormat="false" ht="15" hidden="false" customHeight="false" outlineLevel="0" collapsed="false">
      <c r="A38" s="0" t="s">
        <v>102</v>
      </c>
      <c r="B38" s="18" t="n">
        <v>20</v>
      </c>
      <c r="C38" s="0" t="s">
        <v>103</v>
      </c>
      <c r="D38" s="0" t="s">
        <v>104</v>
      </c>
    </row>
    <row r="39" customFormat="false" ht="15" hidden="false" customHeight="false" outlineLevel="0" collapsed="false">
      <c r="A39" s="0" t="s">
        <v>105</v>
      </c>
      <c r="B39" s="17" t="n">
        <v>6</v>
      </c>
      <c r="C39" s="0" t="s">
        <v>106</v>
      </c>
      <c r="D39" s="0" t="s">
        <v>107</v>
      </c>
    </row>
    <row r="40" customFormat="false" ht="15" hidden="false" customHeight="false" outlineLevel="0" collapsed="false">
      <c r="A40" s="0" t="s">
        <v>108</v>
      </c>
      <c r="B40" s="18" t="n">
        <v>3.2</v>
      </c>
      <c r="C40" s="0" t="s">
        <v>109</v>
      </c>
      <c r="D40" s="0" t="s">
        <v>110</v>
      </c>
    </row>
    <row r="42" customFormat="false" ht="18" hidden="false" customHeight="true" outlineLevel="0" collapsed="false">
      <c r="A42" s="12" t="s">
        <v>111</v>
      </c>
      <c r="B42" s="13"/>
      <c r="C42" s="13"/>
      <c r="D42" s="13"/>
    </row>
    <row r="43" customFormat="false" ht="15" hidden="false" customHeight="false" outlineLevel="0" collapsed="false">
      <c r="A43" s="14" t="s">
        <v>30</v>
      </c>
      <c r="B43" s="14" t="s">
        <v>31</v>
      </c>
      <c r="C43" s="14" t="s">
        <v>32</v>
      </c>
      <c r="D43" s="14" t="s">
        <v>33</v>
      </c>
    </row>
    <row r="44" customFormat="false" ht="15" hidden="false" customHeight="false" outlineLevel="0" collapsed="false">
      <c r="A44" s="0" t="s">
        <v>112</v>
      </c>
      <c r="B44" s="17" t="n">
        <v>1</v>
      </c>
      <c r="C44" s="0" t="s">
        <v>113</v>
      </c>
      <c r="D44" s="0" t="s">
        <v>114</v>
      </c>
    </row>
    <row r="45" customFormat="false" ht="15" hidden="false" customHeight="false" outlineLevel="0" collapsed="false">
      <c r="A45" s="0" t="s">
        <v>115</v>
      </c>
      <c r="B45" s="17" t="n">
        <v>1</v>
      </c>
      <c r="C45" s="0" t="s">
        <v>113</v>
      </c>
      <c r="D45" s="0" t="s">
        <v>116</v>
      </c>
    </row>
    <row r="46" customFormat="false" ht="15" hidden="false" customHeight="false" outlineLevel="0" collapsed="false">
      <c r="A46" s="0" t="s">
        <v>117</v>
      </c>
      <c r="B46" s="17" t="n">
        <v>1</v>
      </c>
      <c r="C46" s="0" t="s">
        <v>113</v>
      </c>
      <c r="D46" s="0" t="s">
        <v>118</v>
      </c>
    </row>
    <row r="47" customFormat="false" ht="15" hidden="false" customHeight="false" outlineLevel="0" collapsed="false">
      <c r="A47" s="0" t="s">
        <v>119</v>
      </c>
      <c r="B47" s="17" t="n">
        <v>7</v>
      </c>
      <c r="C47" s="0" t="s">
        <v>113</v>
      </c>
      <c r="D47" s="0" t="s">
        <v>120</v>
      </c>
    </row>
    <row r="48" customFormat="false" ht="15" hidden="false" customHeight="false" outlineLevel="0" collapsed="false">
      <c r="A48" s="0" t="s">
        <v>121</v>
      </c>
      <c r="B48" s="17" t="n">
        <v>13</v>
      </c>
      <c r="C48" s="0" t="s">
        <v>113</v>
      </c>
      <c r="D48" s="0" t="s">
        <v>122</v>
      </c>
    </row>
    <row r="49" customFormat="false" ht="15" hidden="false" customHeight="false" outlineLevel="0" collapsed="false">
      <c r="A49" s="0" t="s">
        <v>123</v>
      </c>
      <c r="B49" s="17" t="n">
        <v>13</v>
      </c>
      <c r="C49" s="0" t="s">
        <v>113</v>
      </c>
      <c r="D49" s="0" t="s">
        <v>124</v>
      </c>
    </row>
    <row r="50" customFormat="false" ht="15" hidden="false" customHeight="false" outlineLevel="0" collapsed="false">
      <c r="A50" s="0" t="s">
        <v>125</v>
      </c>
      <c r="B50" s="17" t="n">
        <v>13</v>
      </c>
      <c r="C50" s="0" t="s">
        <v>113</v>
      </c>
      <c r="D50" s="0" t="s">
        <v>126</v>
      </c>
    </row>
    <row r="51" customFormat="false" ht="15" hidden="false" customHeight="false" outlineLevel="0" collapsed="false">
      <c r="A51" s="0" t="s">
        <v>127</v>
      </c>
      <c r="B51" s="17" t="n">
        <v>13</v>
      </c>
      <c r="C51" s="0" t="s">
        <v>113</v>
      </c>
      <c r="D51" s="0" t="s">
        <v>128</v>
      </c>
    </row>
    <row r="52" customFormat="false" ht="15" hidden="false" customHeight="false" outlineLevel="0" collapsed="false">
      <c r="A52" s="0" t="s">
        <v>129</v>
      </c>
      <c r="B52" s="17" t="n">
        <v>13</v>
      </c>
      <c r="C52" s="0" t="s">
        <v>113</v>
      </c>
      <c r="D52" s="0" t="s">
        <v>130</v>
      </c>
    </row>
    <row r="53" customFormat="false" ht="15" hidden="false" customHeight="false" outlineLevel="0" collapsed="false">
      <c r="A53" s="0" t="s">
        <v>131</v>
      </c>
      <c r="B53" s="17" t="n">
        <v>13</v>
      </c>
      <c r="C53" s="0" t="s">
        <v>113</v>
      </c>
      <c r="D53" s="0" t="s">
        <v>132</v>
      </c>
    </row>
    <row r="54" customFormat="false" ht="15" hidden="false" customHeight="false" outlineLevel="0" collapsed="false">
      <c r="A54" s="0" t="s">
        <v>133</v>
      </c>
      <c r="B54" s="17" t="n">
        <v>1</v>
      </c>
      <c r="C54" s="0" t="s">
        <v>113</v>
      </c>
      <c r="D54" s="0" t="s">
        <v>134</v>
      </c>
    </row>
    <row r="56" customFormat="false" ht="18" hidden="false" customHeight="true" outlineLevel="0" collapsed="false">
      <c r="A56" s="12" t="s">
        <v>135</v>
      </c>
      <c r="B56" s="13"/>
      <c r="C56" s="13"/>
      <c r="D56" s="13"/>
    </row>
    <row r="57" customFormat="false" ht="15" hidden="false" customHeight="false" outlineLevel="0" collapsed="false">
      <c r="A57" s="0" t="s">
        <v>136</v>
      </c>
      <c r="F57" s="21" t="s">
        <v>137</v>
      </c>
      <c r="G57" s="21" t="s">
        <v>138</v>
      </c>
      <c r="H57" s="21" t="s">
        <v>139</v>
      </c>
      <c r="I57" s="21" t="s">
        <v>140</v>
      </c>
      <c r="J57" s="21" t="s">
        <v>141</v>
      </c>
      <c r="K57" s="21" t="s">
        <v>142</v>
      </c>
      <c r="L57" s="21" t="s">
        <v>143</v>
      </c>
      <c r="M57" s="21" t="s">
        <v>144</v>
      </c>
      <c r="N57" s="21" t="s">
        <v>145</v>
      </c>
      <c r="O57" s="21" t="s">
        <v>146</v>
      </c>
      <c r="P57" s="21" t="s">
        <v>147</v>
      </c>
      <c r="Q57" s="21" t="s">
        <v>148</v>
      </c>
    </row>
    <row r="58" customFormat="false" ht="15" hidden="false" customHeight="false" outlineLevel="0" collapsed="false">
      <c r="A58" s="0" t="s">
        <v>149</v>
      </c>
      <c r="D58" s="0" t="s">
        <v>150</v>
      </c>
      <c r="F58" s="22" t="n">
        <v>1.01</v>
      </c>
      <c r="G58" s="22" t="n">
        <v>0.96</v>
      </c>
      <c r="H58" s="22" t="n">
        <v>0.92</v>
      </c>
      <c r="I58" s="22" t="n">
        <v>1.15</v>
      </c>
      <c r="J58" s="22" t="n">
        <v>1.04</v>
      </c>
      <c r="K58" s="22" t="n">
        <v>0.88</v>
      </c>
      <c r="L58" s="22" t="n">
        <v>0.85</v>
      </c>
      <c r="M58" s="22" t="n">
        <v>0.85</v>
      </c>
      <c r="N58" s="22" t="n">
        <v>0.93</v>
      </c>
      <c r="O58" s="22" t="n">
        <v>1.25</v>
      </c>
      <c r="P58" s="22" t="n">
        <v>1.15</v>
      </c>
      <c r="Q58" s="22" t="n">
        <v>1.01</v>
      </c>
    </row>
    <row r="59" customFormat="false" ht="15" hidden="false" customHeight="false" outlineLevel="0" collapsed="false">
      <c r="A59" s="0" t="s">
        <v>151</v>
      </c>
      <c r="D59" s="0" t="s">
        <v>152</v>
      </c>
      <c r="F59" s="22" t="n">
        <v>1.1</v>
      </c>
      <c r="G59" s="22" t="n">
        <v>1</v>
      </c>
      <c r="H59" s="22" t="n">
        <v>0.98</v>
      </c>
      <c r="I59" s="22" t="n">
        <v>0.98</v>
      </c>
      <c r="J59" s="22" t="n">
        <v>1</v>
      </c>
      <c r="K59" s="22" t="n">
        <v>0.95</v>
      </c>
      <c r="L59" s="22" t="n">
        <v>0.88</v>
      </c>
      <c r="M59" s="22" t="n">
        <v>0.9</v>
      </c>
      <c r="N59" s="22" t="n">
        <v>1</v>
      </c>
      <c r="O59" s="22" t="n">
        <v>1.02</v>
      </c>
      <c r="P59" s="22" t="n">
        <v>1.05</v>
      </c>
      <c r="Q59" s="22" t="n">
        <v>1.14</v>
      </c>
    </row>
    <row r="60" customFormat="false" ht="15" hidden="false" customHeight="false" outlineLevel="0" collapsed="false">
      <c r="A60" s="0" t="s">
        <v>153</v>
      </c>
      <c r="D60" s="0" t="s">
        <v>154</v>
      </c>
      <c r="F60" s="22" t="n">
        <v>30</v>
      </c>
      <c r="G60" s="22" t="n">
        <v>30</v>
      </c>
      <c r="H60" s="22" t="n">
        <v>30</v>
      </c>
      <c r="I60" s="22" t="n">
        <v>32</v>
      </c>
      <c r="J60" s="22" t="n">
        <v>34</v>
      </c>
      <c r="K60" s="22" t="n">
        <v>55</v>
      </c>
      <c r="L60" s="22" t="n">
        <v>60</v>
      </c>
      <c r="M60" s="22" t="n">
        <v>56</v>
      </c>
      <c r="N60" s="22" t="n">
        <v>36</v>
      </c>
      <c r="O60" s="22" t="n">
        <v>42</v>
      </c>
      <c r="P60" s="22" t="n">
        <v>40</v>
      </c>
      <c r="Q60" s="22" t="n">
        <v>32</v>
      </c>
    </row>
    <row r="62" customFormat="false" ht="18" hidden="false" customHeight="true" outlineLevel="0" collapsed="false">
      <c r="A62" s="12" t="s">
        <v>155</v>
      </c>
      <c r="B62" s="13"/>
      <c r="C62" s="13"/>
      <c r="D62" s="13"/>
    </row>
    <row r="63" customFormat="false" ht="15" hidden="false" customHeight="false" outlineLevel="0" collapsed="false">
      <c r="A63" s="14" t="s">
        <v>30</v>
      </c>
      <c r="B63" s="14" t="s">
        <v>31</v>
      </c>
      <c r="C63" s="14" t="s">
        <v>32</v>
      </c>
      <c r="D63" s="14" t="s">
        <v>33</v>
      </c>
    </row>
    <row r="64" customFormat="false" ht="15" hidden="false" customHeight="false" outlineLevel="0" collapsed="false">
      <c r="A64" s="3" t="s">
        <v>156</v>
      </c>
      <c r="B64" s="23" t="s">
        <v>157</v>
      </c>
      <c r="D64" s="0" t="s">
        <v>158</v>
      </c>
    </row>
    <row r="65" customFormat="false" ht="15" hidden="false" customHeight="false" outlineLevel="0" collapsed="false">
      <c r="A65" s="3" t="s">
        <v>159</v>
      </c>
      <c r="B65" s="23" t="s">
        <v>160</v>
      </c>
      <c r="D65" s="0" t="s">
        <v>161</v>
      </c>
    </row>
    <row r="66" customFormat="false" ht="15" hidden="false" customHeight="false" outlineLevel="0" collapsed="false">
      <c r="A66" s="3" t="s">
        <v>162</v>
      </c>
      <c r="B66" s="23" t="s">
        <v>157</v>
      </c>
      <c r="D66" s="0" t="s">
        <v>163</v>
      </c>
    </row>
    <row r="68" customFormat="false" ht="18" hidden="false" customHeight="true" outlineLevel="0" collapsed="false">
      <c r="A68" s="12" t="s">
        <v>164</v>
      </c>
      <c r="B68" s="13"/>
      <c r="C68" s="13"/>
      <c r="D68" s="13"/>
    </row>
    <row r="69" customFormat="false" ht="23.85" hidden="false" customHeight="false" outlineLevel="0" collapsed="false">
      <c r="A69" s="24" t="s">
        <v>165</v>
      </c>
      <c r="F69" s="25" t="s">
        <v>166</v>
      </c>
      <c r="G69" s="25" t="s">
        <v>167</v>
      </c>
      <c r="H69" s="25" t="s">
        <v>159</v>
      </c>
      <c r="I69" s="25" t="s">
        <v>162</v>
      </c>
    </row>
    <row r="70" customFormat="false" ht="15" hidden="false" customHeight="false" outlineLevel="0" collapsed="false">
      <c r="A70" s="0" t="s">
        <v>168</v>
      </c>
      <c r="D70" s="0" t="s">
        <v>169</v>
      </c>
      <c r="F70" s="26" t="n">
        <v>4360000</v>
      </c>
      <c r="G70" s="26" t="n">
        <v>3460000</v>
      </c>
      <c r="H70" s="26" t="n">
        <v>2630000</v>
      </c>
      <c r="I70" s="26" t="n">
        <v>12500000</v>
      </c>
    </row>
    <row r="71" customFormat="false" ht="15" hidden="false" customHeight="false" outlineLevel="0" collapsed="false">
      <c r="A71" s="0" t="s">
        <v>170</v>
      </c>
      <c r="D71" s="0" t="s">
        <v>171</v>
      </c>
      <c r="F71" s="27" t="n">
        <v>0.8</v>
      </c>
      <c r="G71" s="27" t="n">
        <v>0.8</v>
      </c>
      <c r="H71" s="27" t="n">
        <v>1</v>
      </c>
      <c r="I71" s="27" t="n">
        <v>1</v>
      </c>
    </row>
    <row r="72" customFormat="false" ht="15" hidden="false" customHeight="false" outlineLevel="0" collapsed="false">
      <c r="A72" s="0" t="s">
        <v>172</v>
      </c>
      <c r="D72" s="0" t="s">
        <v>173</v>
      </c>
      <c r="F72" s="27" t="n">
        <v>0.57</v>
      </c>
      <c r="G72" s="27" t="n">
        <v>0.57</v>
      </c>
      <c r="H72" s="27" t="n">
        <v>0.57</v>
      </c>
      <c r="I72" s="27" t="n">
        <v>1</v>
      </c>
    </row>
    <row r="73" customFormat="false" ht="15" hidden="false" customHeight="false" outlineLevel="0" collapsed="false">
      <c r="A73" s="0" t="s">
        <v>174</v>
      </c>
      <c r="D73" s="0" t="s">
        <v>175</v>
      </c>
      <c r="F73" s="27" t="n">
        <v>0.4</v>
      </c>
      <c r="G73" s="27" t="n">
        <v>0.4</v>
      </c>
      <c r="H73" s="27" t="n">
        <v>0.4</v>
      </c>
      <c r="I73" s="27" t="n">
        <v>1</v>
      </c>
    </row>
    <row r="74" customFormat="false" ht="15" hidden="false" customHeight="false" outlineLevel="0" collapsed="false">
      <c r="A74" s="0" t="s">
        <v>176</v>
      </c>
      <c r="D74" s="0" t="s">
        <v>177</v>
      </c>
      <c r="F74" s="28" t="n">
        <f aca="false">F70*F71*F72*F73</f>
        <v>795264</v>
      </c>
      <c r="G74" s="28" t="n">
        <f aca="false">G70*G71*G72*G73</f>
        <v>631104</v>
      </c>
      <c r="H74" s="28" t="n">
        <f aca="false">H70*H71*H72*H73</f>
        <v>599640</v>
      </c>
      <c r="I74" s="28" t="n">
        <f aca="false">I70*I71*I72*I73</f>
        <v>12500000</v>
      </c>
    </row>
    <row r="75" customFormat="false" ht="15" hidden="false" customHeight="false" outlineLevel="0" collapsed="false">
      <c r="A75" s="0" t="s">
        <v>178</v>
      </c>
      <c r="D75" s="0" t="s">
        <v>179</v>
      </c>
      <c r="F75" s="29" t="n">
        <v>0.095</v>
      </c>
      <c r="G75" s="29" t="n">
        <v>0.06</v>
      </c>
      <c r="H75" s="29" t="n">
        <v>0.04</v>
      </c>
      <c r="I75" s="29" t="n">
        <v>0.0035</v>
      </c>
    </row>
    <row r="76" customFormat="false" ht="15" hidden="false" customHeight="false" outlineLevel="0" collapsed="false">
      <c r="A76" s="0" t="s">
        <v>180</v>
      </c>
      <c r="D76" s="0" t="s">
        <v>181</v>
      </c>
      <c r="F76" s="28" t="n">
        <f aca="false">F74*F75</f>
        <v>75550.08</v>
      </c>
      <c r="G76" s="28" t="n">
        <f aca="false">G74*G75</f>
        <v>37866.24</v>
      </c>
      <c r="H76" s="28" t="n">
        <f aca="false">H74*H75</f>
        <v>23985.6</v>
      </c>
      <c r="I76" s="28" t="n">
        <f aca="false">I74*I75</f>
        <v>43750</v>
      </c>
    </row>
    <row r="77" customFormat="false" ht="15" hidden="false" customHeight="false" outlineLevel="0" collapsed="false">
      <c r="A77" s="0" t="s">
        <v>182</v>
      </c>
      <c r="F77" s="30" t="s">
        <v>156</v>
      </c>
      <c r="G77" s="30" t="s">
        <v>156</v>
      </c>
      <c r="H77" s="30" t="s">
        <v>159</v>
      </c>
      <c r="I77" s="30" t="s">
        <v>162</v>
      </c>
    </row>
    <row r="79" customFormat="false" ht="18" hidden="false" customHeight="true" outlineLevel="0" collapsed="false">
      <c r="A79" s="12" t="s">
        <v>183</v>
      </c>
      <c r="B79" s="13"/>
      <c r="C79" s="13"/>
      <c r="D79" s="13"/>
    </row>
    <row r="80" customFormat="false" ht="15" hidden="false" customHeight="false" outlineLevel="0" collapsed="false">
      <c r="A80" s="14" t="s">
        <v>30</v>
      </c>
      <c r="B80" s="14" t="s">
        <v>31</v>
      </c>
      <c r="C80" s="14" t="s">
        <v>32</v>
      </c>
      <c r="D80" s="14" t="s">
        <v>33</v>
      </c>
    </row>
    <row r="81" customFormat="false" ht="15" hidden="false" customHeight="false" outlineLevel="0" collapsed="false">
      <c r="A81" s="0" t="s">
        <v>184</v>
      </c>
      <c r="B81" s="31" t="n">
        <f aca="false">F76+G76</f>
        <v>113416.32</v>
      </c>
      <c r="C81" s="0" t="s">
        <v>185</v>
      </c>
      <c r="D81" s="0" t="s">
        <v>186</v>
      </c>
    </row>
    <row r="82" customFormat="false" ht="15" hidden="false" customHeight="false" outlineLevel="0" collapsed="false">
      <c r="A82" s="0" t="s">
        <v>187</v>
      </c>
      <c r="B82" s="31" t="n">
        <f aca="false">H76</f>
        <v>23985.6</v>
      </c>
      <c r="C82" s="0" t="s">
        <v>185</v>
      </c>
      <c r="D82" s="0" t="s">
        <v>188</v>
      </c>
    </row>
    <row r="83" customFormat="false" ht="15" hidden="false" customHeight="false" outlineLevel="0" collapsed="false">
      <c r="A83" s="0" t="s">
        <v>189</v>
      </c>
      <c r="B83" s="31" t="n">
        <f aca="false">I76</f>
        <v>43750</v>
      </c>
      <c r="C83" s="0" t="s">
        <v>185</v>
      </c>
      <c r="D83" s="0" t="s">
        <v>190</v>
      </c>
    </row>
    <row r="84" customFormat="false" ht="15" hidden="false" customHeight="false" outlineLevel="0" collapsed="false">
      <c r="A84" s="3" t="s">
        <v>191</v>
      </c>
      <c r="B84" s="31" t="n">
        <f aca="false">$B$81+$B$82+$B$83</f>
        <v>181151.92</v>
      </c>
      <c r="C84" s="0" t="s">
        <v>185</v>
      </c>
      <c r="D84" s="0" t="s">
        <v>192</v>
      </c>
    </row>
    <row r="85" customFormat="false" ht="15" hidden="false" customHeight="false" outlineLevel="0" collapsed="false">
      <c r="A85" s="0" t="s">
        <v>193</v>
      </c>
      <c r="B85" s="17" t="n">
        <v>5</v>
      </c>
      <c r="C85" s="0" t="s">
        <v>194</v>
      </c>
      <c r="D85" s="0" t="s">
        <v>195</v>
      </c>
    </row>
    <row r="86" customFormat="false" ht="15" hidden="false" customHeight="false" outlineLevel="0" collapsed="false">
      <c r="A86" s="0" t="s">
        <v>196</v>
      </c>
      <c r="B86" s="17" t="n">
        <v>15</v>
      </c>
      <c r="C86" s="0" t="s">
        <v>194</v>
      </c>
      <c r="D86" s="0" t="s">
        <v>195</v>
      </c>
    </row>
    <row r="87" customFormat="false" ht="15" hidden="false" customHeight="false" outlineLevel="0" collapsed="false">
      <c r="A87" s="0" t="s">
        <v>197</v>
      </c>
      <c r="B87" s="17" t="n">
        <v>40</v>
      </c>
      <c r="C87" s="0" t="s">
        <v>194</v>
      </c>
      <c r="D87" s="0" t="s">
        <v>195</v>
      </c>
    </row>
    <row r="88" customFormat="false" ht="15" hidden="false" customHeight="false" outlineLevel="0" collapsed="false">
      <c r="A88" s="0" t="s">
        <v>198</v>
      </c>
      <c r="B88" s="17" t="n">
        <v>60</v>
      </c>
      <c r="C88" s="0" t="s">
        <v>194</v>
      </c>
      <c r="D88" s="0" t="s">
        <v>195</v>
      </c>
    </row>
    <row r="89" customFormat="false" ht="15" hidden="false" customHeight="false" outlineLevel="0" collapsed="false">
      <c r="A89" s="0" t="s">
        <v>199</v>
      </c>
      <c r="B89" s="17" t="n">
        <v>90</v>
      </c>
      <c r="C89" s="0" t="s">
        <v>194</v>
      </c>
      <c r="D89" s="0" t="s">
        <v>195</v>
      </c>
    </row>
    <row r="90" customFormat="false" ht="15" hidden="false" customHeight="false" outlineLevel="0" collapsed="false">
      <c r="A90" s="0" t="s">
        <v>200</v>
      </c>
      <c r="B90" s="17" t="n">
        <v>106</v>
      </c>
      <c r="C90" s="0" t="s">
        <v>194</v>
      </c>
      <c r="D90" s="0" t="s">
        <v>195</v>
      </c>
    </row>
    <row r="91" customFormat="false" ht="15" hidden="false" customHeight="false" outlineLevel="0" collapsed="false">
      <c r="A91" s="0" t="s">
        <v>201</v>
      </c>
      <c r="B91" s="17" t="n">
        <v>124</v>
      </c>
      <c r="C91" s="0" t="s">
        <v>194</v>
      </c>
      <c r="D91" s="0" t="s">
        <v>195</v>
      </c>
    </row>
    <row r="92" customFormat="false" ht="15" hidden="false" customHeight="false" outlineLevel="0" collapsed="false">
      <c r="A92" s="0" t="s">
        <v>202</v>
      </c>
      <c r="B92" s="20" t="n">
        <v>60000</v>
      </c>
      <c r="C92" s="0" t="s">
        <v>76</v>
      </c>
      <c r="D92" s="0" t="s">
        <v>203</v>
      </c>
    </row>
    <row r="93" customFormat="false" ht="15" hidden="false" customHeight="false" outlineLevel="0" collapsed="false">
      <c r="A93" s="0" t="s">
        <v>204</v>
      </c>
      <c r="B93" s="20" t="n">
        <v>180000</v>
      </c>
      <c r="C93" s="0" t="s">
        <v>76</v>
      </c>
      <c r="D93" s="0" t="s">
        <v>203</v>
      </c>
    </row>
    <row r="94" customFormat="false" ht="15" hidden="false" customHeight="false" outlineLevel="0" collapsed="false">
      <c r="A94" s="0" t="s">
        <v>205</v>
      </c>
      <c r="B94" s="20" t="n">
        <v>250000</v>
      </c>
      <c r="C94" s="0" t="s">
        <v>76</v>
      </c>
      <c r="D94" s="0" t="s">
        <v>203</v>
      </c>
    </row>
    <row r="95" customFormat="false" ht="15" hidden="false" customHeight="false" outlineLevel="0" collapsed="false">
      <c r="A95" s="0" t="s">
        <v>206</v>
      </c>
      <c r="B95" s="20" t="n">
        <v>400000</v>
      </c>
      <c r="C95" s="0" t="s">
        <v>76</v>
      </c>
      <c r="D95" s="0" t="s">
        <v>203</v>
      </c>
    </row>
    <row r="96" customFormat="false" ht="15" hidden="false" customHeight="false" outlineLevel="0" collapsed="false">
      <c r="A96" s="0" t="s">
        <v>207</v>
      </c>
      <c r="B96" s="20" t="n">
        <v>600000</v>
      </c>
      <c r="C96" s="0" t="s">
        <v>76</v>
      </c>
      <c r="D96" s="0" t="s">
        <v>203</v>
      </c>
    </row>
    <row r="97" customFormat="false" ht="15" hidden="false" customHeight="false" outlineLevel="0" collapsed="false">
      <c r="A97" s="0" t="s">
        <v>208</v>
      </c>
      <c r="B97" s="20" t="n">
        <v>850000</v>
      </c>
      <c r="C97" s="0" t="s">
        <v>76</v>
      </c>
      <c r="D97" s="0" t="s">
        <v>203</v>
      </c>
    </row>
    <row r="98" customFormat="false" ht="15" hidden="false" customHeight="false" outlineLevel="0" collapsed="false">
      <c r="A98" s="0" t="s">
        <v>209</v>
      </c>
      <c r="B98" s="20" t="n">
        <v>1100000</v>
      </c>
      <c r="C98" s="0" t="s">
        <v>76</v>
      </c>
      <c r="D98" s="0" t="s">
        <v>203</v>
      </c>
    </row>
    <row r="99" customFormat="false" ht="15" hidden="false" customHeight="false" outlineLevel="0" collapsed="false">
      <c r="A99" s="0" t="s">
        <v>210</v>
      </c>
      <c r="B99" s="15" t="n">
        <v>0.6</v>
      </c>
      <c r="C99" s="0" t="s">
        <v>211</v>
      </c>
      <c r="D99" s="0" t="s">
        <v>212</v>
      </c>
    </row>
    <row r="100" customFormat="false" ht="15" hidden="false" customHeight="false" outlineLevel="0" collapsed="false">
      <c r="A100" s="0" t="s">
        <v>213</v>
      </c>
      <c r="B100" s="15" t="n">
        <v>0.85</v>
      </c>
      <c r="C100" s="0" t="s">
        <v>211</v>
      </c>
      <c r="D100" s="0" t="s">
        <v>212</v>
      </c>
    </row>
    <row r="101" customFormat="false" ht="15" hidden="false" customHeight="false" outlineLevel="0" collapsed="false">
      <c r="A101" s="0" t="s">
        <v>214</v>
      </c>
      <c r="B101" s="15" t="n">
        <v>1</v>
      </c>
      <c r="C101" s="0" t="s">
        <v>211</v>
      </c>
      <c r="D101" s="0" t="s">
        <v>212</v>
      </c>
    </row>
    <row r="102" customFormat="false" ht="15" hidden="false" customHeight="false" outlineLevel="0" collapsed="false">
      <c r="A102" s="0" t="s">
        <v>215</v>
      </c>
      <c r="B102" s="15" t="n">
        <v>1</v>
      </c>
      <c r="C102" s="0" t="s">
        <v>211</v>
      </c>
      <c r="D102" s="0" t="s">
        <v>212</v>
      </c>
    </row>
    <row r="103" customFormat="false" ht="15" hidden="false" customHeight="false" outlineLevel="0" collapsed="false">
      <c r="A103" s="0" t="s">
        <v>216</v>
      </c>
      <c r="B103" s="15" t="n">
        <v>1</v>
      </c>
      <c r="C103" s="0" t="s">
        <v>211</v>
      </c>
      <c r="D103" s="0" t="s">
        <v>212</v>
      </c>
    </row>
    <row r="104" customFormat="false" ht="15" hidden="false" customHeight="false" outlineLevel="0" collapsed="false">
      <c r="A104" s="0" t="s">
        <v>217</v>
      </c>
      <c r="B104" s="15" t="n">
        <v>1</v>
      </c>
      <c r="C104" s="0" t="s">
        <v>211</v>
      </c>
      <c r="D104" s="0" t="s">
        <v>212</v>
      </c>
    </row>
    <row r="105" customFormat="false" ht="15" hidden="false" customHeight="false" outlineLevel="0" collapsed="false">
      <c r="A105" s="0" t="s">
        <v>218</v>
      </c>
      <c r="B105" s="15" t="n">
        <v>1</v>
      </c>
      <c r="C105" s="0" t="s">
        <v>211</v>
      </c>
      <c r="D105" s="0" t="s">
        <v>212</v>
      </c>
    </row>
    <row r="106" customFormat="false" ht="15" hidden="false" customHeight="false" outlineLevel="0" collapsed="false">
      <c r="A106" s="0" t="s">
        <v>219</v>
      </c>
      <c r="B106" s="19" t="n">
        <v>0.45</v>
      </c>
      <c r="C106" s="0" t="s">
        <v>220</v>
      </c>
      <c r="D106" s="0" t="s">
        <v>221</v>
      </c>
    </row>
    <row r="107" customFormat="false" ht="15" hidden="false" customHeight="false" outlineLevel="0" collapsed="false">
      <c r="A107" s="0" t="s">
        <v>222</v>
      </c>
      <c r="B107" s="19" t="n">
        <v>0.1</v>
      </c>
      <c r="C107" s="0" t="s">
        <v>220</v>
      </c>
      <c r="D107" s="0" t="s">
        <v>221</v>
      </c>
    </row>
    <row r="108" customFormat="false" ht="15" hidden="false" customHeight="false" outlineLevel="0" collapsed="false">
      <c r="A108" s="0" t="s">
        <v>223</v>
      </c>
      <c r="B108" s="19" t="n">
        <v>0.45</v>
      </c>
      <c r="C108" s="0" t="s">
        <v>220</v>
      </c>
      <c r="D108" s="0" t="s">
        <v>221</v>
      </c>
    </row>
    <row r="110" customFormat="false" ht="18" hidden="false" customHeight="true" outlineLevel="0" collapsed="false">
      <c r="A110" s="12" t="s">
        <v>224</v>
      </c>
      <c r="B110" s="13"/>
      <c r="C110" s="13"/>
      <c r="D110" s="13"/>
    </row>
    <row r="111" customFormat="false" ht="15" hidden="false" customHeight="false" outlineLevel="0" collapsed="false">
      <c r="A111" s="14" t="s">
        <v>30</v>
      </c>
      <c r="B111" s="14" t="s">
        <v>31</v>
      </c>
      <c r="C111" s="14" t="s">
        <v>32</v>
      </c>
      <c r="D111" s="14" t="s">
        <v>33</v>
      </c>
    </row>
    <row r="112" customFormat="false" ht="15" hidden="false" customHeight="false" outlineLevel="0" collapsed="false">
      <c r="A112" s="0" t="s">
        <v>225</v>
      </c>
      <c r="B112" s="32" t="n">
        <f aca="false">'Scenario Parameters'!$B$10</f>
        <v>0.55</v>
      </c>
      <c r="C112" s="0" t="s">
        <v>226</v>
      </c>
      <c r="D112" s="0" t="s">
        <v>227</v>
      </c>
    </row>
    <row r="113" customFormat="false" ht="15" hidden="false" customHeight="false" outlineLevel="0" collapsed="false">
      <c r="A113" s="0" t="s">
        <v>228</v>
      </c>
      <c r="B113" s="33" t="n">
        <f aca="false">'Scenario Parameters'!$B$11</f>
        <v>0.0485991010017477</v>
      </c>
      <c r="C113" s="0" t="s">
        <v>229</v>
      </c>
      <c r="D113" s="0" t="s">
        <v>230</v>
      </c>
    </row>
    <row r="114" customFormat="false" ht="15" hidden="false" customHeight="false" outlineLevel="0" collapsed="false">
      <c r="A114" s="0" t="s">
        <v>231</v>
      </c>
      <c r="B114" s="34" t="n">
        <f aca="false">'Scenario Parameters'!$B$12</f>
        <v>4</v>
      </c>
      <c r="C114" s="0" t="s">
        <v>232</v>
      </c>
      <c r="D114" s="0" t="s">
        <v>233</v>
      </c>
    </row>
    <row r="115" customFormat="false" ht="15" hidden="false" customHeight="false" outlineLevel="0" collapsed="false">
      <c r="A115" s="0" t="s">
        <v>234</v>
      </c>
      <c r="B115" s="35" t="n">
        <f aca="false">'Scenario Parameters'!$B$13</f>
        <v>120</v>
      </c>
      <c r="C115" s="0" t="s">
        <v>235</v>
      </c>
      <c r="D115" s="0" t="s">
        <v>236</v>
      </c>
    </row>
    <row r="116" customFormat="false" ht="15" hidden="false" customHeight="false" outlineLevel="0" collapsed="false">
      <c r="A116" s="0" t="s">
        <v>237</v>
      </c>
      <c r="B116" s="35" t="n">
        <f aca="false">'Scenario Parameters'!$B$14</f>
        <v>100</v>
      </c>
      <c r="C116" s="0" t="s">
        <v>235</v>
      </c>
      <c r="D116" s="0" t="s">
        <v>236</v>
      </c>
    </row>
    <row r="117" customFormat="false" ht="15" hidden="false" customHeight="false" outlineLevel="0" collapsed="false">
      <c r="A117" s="0" t="s">
        <v>238</v>
      </c>
      <c r="B117" s="35" t="n">
        <f aca="false">'Scenario Parameters'!$B$15</f>
        <v>20</v>
      </c>
      <c r="C117" s="0" t="s">
        <v>235</v>
      </c>
      <c r="D117" s="0" t="s">
        <v>236</v>
      </c>
    </row>
    <row r="118" customFormat="false" ht="15" hidden="false" customHeight="false" outlineLevel="0" collapsed="false">
      <c r="A118" s="0" t="s">
        <v>239</v>
      </c>
      <c r="B118" s="32" t="n">
        <f aca="false">'Scenario Parameters'!$B$16</f>
        <v>0.58</v>
      </c>
      <c r="C118" s="0" t="s">
        <v>240</v>
      </c>
      <c r="D118" s="0" t="s">
        <v>241</v>
      </c>
    </row>
    <row r="119" customFormat="false" ht="15" hidden="false" customHeight="false" outlineLevel="0" collapsed="false">
      <c r="A119" s="0" t="s">
        <v>242</v>
      </c>
      <c r="B119" s="32" t="n">
        <f aca="false">'Scenario Parameters'!$B$17</f>
        <v>0.16</v>
      </c>
      <c r="C119" s="0" t="s">
        <v>240</v>
      </c>
      <c r="D119" s="0" t="s">
        <v>241</v>
      </c>
    </row>
    <row r="120" customFormat="false" ht="15" hidden="false" customHeight="false" outlineLevel="0" collapsed="false">
      <c r="A120" s="0" t="s">
        <v>243</v>
      </c>
      <c r="B120" s="32" t="n">
        <f aca="false">'Scenario Parameters'!$B$18</f>
        <v>0.26</v>
      </c>
      <c r="C120" s="0" t="s">
        <v>240</v>
      </c>
      <c r="D120" s="0" t="s">
        <v>241</v>
      </c>
    </row>
    <row r="121" customFormat="false" ht="15" hidden="false" customHeight="false" outlineLevel="0" collapsed="false">
      <c r="A121" s="0" t="s">
        <v>244</v>
      </c>
      <c r="B121" s="34" t="n">
        <f aca="false">'Scenario Parameters'!$B$19</f>
        <v>0.45</v>
      </c>
      <c r="C121" s="0" t="s">
        <v>245</v>
      </c>
      <c r="D121" s="0" t="s">
        <v>246</v>
      </c>
    </row>
    <row r="122" customFormat="false" ht="15" hidden="false" customHeight="false" outlineLevel="0" collapsed="false">
      <c r="A122" s="0" t="s">
        <v>247</v>
      </c>
      <c r="B122" s="32" t="n">
        <f aca="false">'Scenario Parameters'!$B$20</f>
        <v>0.62</v>
      </c>
      <c r="C122" s="0" t="s">
        <v>226</v>
      </c>
      <c r="D122" s="0" t="s">
        <v>248</v>
      </c>
    </row>
    <row r="123" customFormat="false" ht="15" hidden="false" customHeight="false" outlineLevel="0" collapsed="false">
      <c r="A123" s="0" t="s">
        <v>249</v>
      </c>
      <c r="B123" s="32" t="n">
        <f aca="false">'Scenario Parameters'!$B$21</f>
        <v>0.12</v>
      </c>
      <c r="C123" s="0" t="s">
        <v>250</v>
      </c>
      <c r="D123" s="0" t="s">
        <v>251</v>
      </c>
    </row>
    <row r="124" customFormat="false" ht="15" hidden="false" customHeight="false" outlineLevel="0" collapsed="false">
      <c r="A124" s="0" t="s">
        <v>252</v>
      </c>
      <c r="B124" s="34" t="n">
        <f aca="false">'Scenario Parameters'!$B$22</f>
        <v>1</v>
      </c>
      <c r="C124" s="0" t="s">
        <v>253</v>
      </c>
      <c r="D124" s="0" t="s">
        <v>254</v>
      </c>
    </row>
    <row r="125" customFormat="false" ht="15" hidden="false" customHeight="false" outlineLevel="0" collapsed="false">
      <c r="A125" s="0" t="s">
        <v>255</v>
      </c>
      <c r="B125" s="32" t="n">
        <f aca="false">'Scenario Parameters'!$B$26</f>
        <v>0.55</v>
      </c>
      <c r="C125" s="0" t="s">
        <v>256</v>
      </c>
      <c r="D125" s="0" t="s">
        <v>257</v>
      </c>
    </row>
    <row r="126" customFormat="false" ht="15" hidden="false" customHeight="false" outlineLevel="0" collapsed="false">
      <c r="A126" s="0" t="s">
        <v>258</v>
      </c>
      <c r="B126" s="36" t="n">
        <f aca="false">'Scenario Parameters'!$B$27</f>
        <v>8</v>
      </c>
      <c r="C126" s="0" t="s">
        <v>259</v>
      </c>
      <c r="D126" s="0" t="s">
        <v>260</v>
      </c>
    </row>
    <row r="127" customFormat="false" ht="15" hidden="false" customHeight="false" outlineLevel="0" collapsed="false">
      <c r="A127" s="0" t="s">
        <v>261</v>
      </c>
      <c r="B127" s="32" t="n">
        <f aca="false">'Scenario Parameters'!$B$31</f>
        <v>0.12</v>
      </c>
      <c r="C127" s="0" t="s">
        <v>262</v>
      </c>
      <c r="D127" s="0" t="s">
        <v>263</v>
      </c>
    </row>
    <row r="128" customFormat="false" ht="15" hidden="false" customHeight="false" outlineLevel="0" collapsed="false">
      <c r="A128" s="0" t="s">
        <v>264</v>
      </c>
      <c r="B128" s="32" t="n">
        <f aca="false">'Scenario Parameters'!$B$32</f>
        <v>0.08</v>
      </c>
      <c r="C128" s="0" t="s">
        <v>262</v>
      </c>
      <c r="D128" s="0" t="s">
        <v>265</v>
      </c>
    </row>
    <row r="129" customFormat="false" ht="15" hidden="false" customHeight="false" outlineLevel="0" collapsed="false">
      <c r="A129" s="0" t="s">
        <v>266</v>
      </c>
      <c r="B129" s="34" t="n">
        <f aca="false">'Scenario Parameters'!$B$33</f>
        <v>2.2</v>
      </c>
      <c r="C129" s="0" t="s">
        <v>267</v>
      </c>
      <c r="D129" s="0" t="s">
        <v>268</v>
      </c>
    </row>
    <row r="130" customFormat="false" ht="15" hidden="false" customHeight="false" outlineLevel="0" collapsed="false">
      <c r="A130" s="0" t="s">
        <v>269</v>
      </c>
      <c r="B130" s="32" t="n">
        <f aca="false">'Scenario Parameters'!$B$34</f>
        <v>0.14</v>
      </c>
      <c r="C130" s="0" t="s">
        <v>270</v>
      </c>
      <c r="D130" s="0" t="s">
        <v>271</v>
      </c>
    </row>
    <row r="131" customFormat="false" ht="15" hidden="false" customHeight="false" outlineLevel="0" collapsed="false">
      <c r="A131" s="0" t="s">
        <v>272</v>
      </c>
      <c r="B131" s="34" t="n">
        <f aca="false">'Scenario Parameters'!$B$35</f>
        <v>1</v>
      </c>
      <c r="C131" s="0" t="s">
        <v>273</v>
      </c>
      <c r="D131" s="0" t="s">
        <v>274</v>
      </c>
    </row>
    <row r="132" customFormat="false" ht="15" hidden="false" customHeight="false" outlineLevel="0" collapsed="false">
      <c r="A132" s="0" t="s">
        <v>275</v>
      </c>
      <c r="B132" s="34" t="n">
        <f aca="false">'Scenario Parameters'!$B$36</f>
        <v>1.7</v>
      </c>
      <c r="C132" s="0" t="s">
        <v>276</v>
      </c>
      <c r="D132" s="0" t="s">
        <v>277</v>
      </c>
    </row>
    <row r="133" customFormat="false" ht="15" hidden="false" customHeight="false" outlineLevel="0" collapsed="false">
      <c r="A133" s="0" t="s">
        <v>278</v>
      </c>
      <c r="B133" s="32" t="n">
        <f aca="false">'Scenario Parameters'!$B$37</f>
        <v>0.08</v>
      </c>
      <c r="C133" s="0" t="s">
        <v>279</v>
      </c>
      <c r="D133" s="0" t="s">
        <v>280</v>
      </c>
    </row>
    <row r="134" customFormat="false" ht="15" hidden="false" customHeight="false" outlineLevel="0" collapsed="false">
      <c r="A134" s="0" t="s">
        <v>281</v>
      </c>
      <c r="B134" s="32" t="n">
        <f aca="false">'Scenario Parameters'!$B$41</f>
        <v>0.72</v>
      </c>
      <c r="C134" s="0" t="s">
        <v>226</v>
      </c>
      <c r="D134" s="0" t="s">
        <v>282</v>
      </c>
    </row>
    <row r="135" customFormat="false" ht="15" hidden="false" customHeight="false" outlineLevel="0" collapsed="false">
      <c r="A135" s="0" t="s">
        <v>283</v>
      </c>
      <c r="B135" s="32" t="n">
        <f aca="false">'Scenario Parameters'!$B$42</f>
        <v>0.18</v>
      </c>
      <c r="C135" s="0" t="s">
        <v>284</v>
      </c>
      <c r="D135" s="0" t="s">
        <v>285</v>
      </c>
    </row>
    <row r="136" customFormat="false" ht="15" hidden="false" customHeight="false" outlineLevel="0" collapsed="false">
      <c r="A136" s="0" t="s">
        <v>286</v>
      </c>
      <c r="B136" s="36" t="n">
        <f aca="false">'Scenario Parameters'!$B$43</f>
        <v>4</v>
      </c>
      <c r="C136" s="0" t="s">
        <v>287</v>
      </c>
      <c r="D136" s="0" t="s">
        <v>288</v>
      </c>
    </row>
    <row r="137" customFormat="false" ht="15" hidden="false" customHeight="false" outlineLevel="0" collapsed="false">
      <c r="A137" s="0" t="s">
        <v>289</v>
      </c>
      <c r="B137" s="36" t="n">
        <f aca="false">'Scenario Parameters'!$B$44</f>
        <v>12</v>
      </c>
      <c r="C137" s="0" t="s">
        <v>290</v>
      </c>
      <c r="D137" s="0" t="s">
        <v>291</v>
      </c>
    </row>
    <row r="138" customFormat="false" ht="15" hidden="false" customHeight="false" outlineLevel="0" collapsed="false">
      <c r="A138" s="0" t="s">
        <v>292</v>
      </c>
      <c r="B138" s="32" t="n">
        <f aca="false">'Scenario Parameters'!$B$45</f>
        <v>0.34</v>
      </c>
      <c r="C138" s="0" t="s">
        <v>293</v>
      </c>
      <c r="D138" s="0" t="s">
        <v>294</v>
      </c>
    </row>
    <row r="139" customFormat="false" ht="15" hidden="false" customHeight="false" outlineLevel="0" collapsed="false">
      <c r="A139" s="0" t="s">
        <v>295</v>
      </c>
      <c r="B139" s="34" t="n">
        <f aca="false">'Scenario Parameters'!$B$46</f>
        <v>1.06</v>
      </c>
      <c r="C139" s="0" t="s">
        <v>296</v>
      </c>
      <c r="D139" s="0" t="s">
        <v>297</v>
      </c>
    </row>
    <row r="140" customFormat="false" ht="15" hidden="false" customHeight="false" outlineLevel="0" collapsed="false">
      <c r="A140" s="0" t="s">
        <v>298</v>
      </c>
      <c r="B140" s="34" t="n">
        <f aca="false">'Scenario Parameters'!$B$47</f>
        <v>0.11</v>
      </c>
      <c r="C140" s="0" t="s">
        <v>296</v>
      </c>
      <c r="D140" s="0" t="s">
        <v>299</v>
      </c>
    </row>
    <row r="141" customFormat="false" ht="15" hidden="false" customHeight="false" outlineLevel="0" collapsed="false">
      <c r="A141" s="0" t="s">
        <v>300</v>
      </c>
      <c r="B141" s="32" t="n">
        <f aca="false">'Scenario Parameters'!$B$48</f>
        <v>0.6</v>
      </c>
      <c r="C141" s="0" t="s">
        <v>226</v>
      </c>
      <c r="D141" s="0" t="s">
        <v>301</v>
      </c>
    </row>
    <row r="142" customFormat="false" ht="15" hidden="false" customHeight="false" outlineLevel="0" collapsed="false">
      <c r="A142" s="0" t="s">
        <v>302</v>
      </c>
      <c r="B142" s="32" t="n">
        <f aca="false">'Scenario Parameters'!$B$49</f>
        <v>0.25</v>
      </c>
      <c r="C142" s="0" t="s">
        <v>226</v>
      </c>
      <c r="D142" s="0" t="s">
        <v>301</v>
      </c>
    </row>
    <row r="143" customFormat="false" ht="15" hidden="false" customHeight="false" outlineLevel="0" collapsed="false">
      <c r="A143" s="0" t="s">
        <v>303</v>
      </c>
      <c r="B143" s="32" t="n">
        <f aca="false">'Scenario Parameters'!$B$50</f>
        <v>0.12</v>
      </c>
      <c r="C143" s="0" t="s">
        <v>226</v>
      </c>
      <c r="D143" s="0" t="s">
        <v>301</v>
      </c>
    </row>
    <row r="144" customFormat="false" ht="15" hidden="false" customHeight="false" outlineLevel="0" collapsed="false">
      <c r="A144" s="0" t="s">
        <v>304</v>
      </c>
      <c r="B144" s="32" t="n">
        <f aca="false">'Scenario Parameters'!$B$51</f>
        <v>0.03</v>
      </c>
      <c r="C144" s="0" t="s">
        <v>226</v>
      </c>
      <c r="D144" s="0" t="s">
        <v>301</v>
      </c>
    </row>
    <row r="145" customFormat="false" ht="15" hidden="false" customHeight="false" outlineLevel="0" collapsed="false">
      <c r="A145" s="0" t="s">
        <v>305</v>
      </c>
      <c r="B145" s="36" t="n">
        <f aca="false">'Scenario Parameters'!$B$52</f>
        <v>250</v>
      </c>
      <c r="C145" s="0" t="s">
        <v>63</v>
      </c>
      <c r="D145" s="0" t="s">
        <v>306</v>
      </c>
    </row>
    <row r="146" customFormat="false" ht="15" hidden="false" customHeight="false" outlineLevel="0" collapsed="false">
      <c r="A146" s="0" t="s">
        <v>307</v>
      </c>
      <c r="B146" s="36" t="n">
        <f aca="false">'Scenario Parameters'!$B$53</f>
        <v>1000</v>
      </c>
      <c r="C146" s="0" t="s">
        <v>63</v>
      </c>
      <c r="D146" s="0" t="s">
        <v>306</v>
      </c>
    </row>
    <row r="147" customFormat="false" ht="15" hidden="false" customHeight="false" outlineLevel="0" collapsed="false">
      <c r="A147" s="0" t="s">
        <v>308</v>
      </c>
      <c r="B147" s="36" t="n">
        <f aca="false">'Scenario Parameters'!$B$54</f>
        <v>2250</v>
      </c>
      <c r="C147" s="0" t="s">
        <v>63</v>
      </c>
      <c r="D147" s="0" t="s">
        <v>306</v>
      </c>
    </row>
    <row r="148" customFormat="false" ht="15" hidden="false" customHeight="false" outlineLevel="0" collapsed="false">
      <c r="A148" s="0" t="s">
        <v>309</v>
      </c>
      <c r="B148" s="36" t="n">
        <f aca="false">'Scenario Parameters'!$B$55</f>
        <v>4000</v>
      </c>
      <c r="C148" s="0" t="s">
        <v>63</v>
      </c>
      <c r="D148" s="0" t="s">
        <v>306</v>
      </c>
    </row>
    <row r="149" customFormat="false" ht="15" hidden="false" customHeight="false" outlineLevel="0" collapsed="false">
      <c r="A149" s="0" t="s">
        <v>310</v>
      </c>
      <c r="B149" s="32" t="n">
        <f aca="false">'Scenario Parameters'!$B$59</f>
        <v>0.5</v>
      </c>
      <c r="C149" s="0" t="s">
        <v>226</v>
      </c>
      <c r="D149" s="0" t="s">
        <v>311</v>
      </c>
    </row>
    <row r="150" customFormat="false" ht="15" hidden="false" customHeight="false" outlineLevel="0" collapsed="false">
      <c r="A150" s="0" t="s">
        <v>312</v>
      </c>
      <c r="B150" s="34" t="n">
        <f aca="false">'Scenario Parameters'!$B$60</f>
        <v>0.42</v>
      </c>
      <c r="C150" s="0" t="s">
        <v>313</v>
      </c>
      <c r="D150" s="0" t="s">
        <v>314</v>
      </c>
    </row>
    <row r="151" customFormat="false" ht="15" hidden="false" customHeight="false" outlineLevel="0" collapsed="false">
      <c r="A151" s="0" t="s">
        <v>315</v>
      </c>
      <c r="B151" s="34" t="n">
        <f aca="false">'Scenario Parameters'!$B$61</f>
        <v>2.1</v>
      </c>
      <c r="C151" s="0" t="s">
        <v>316</v>
      </c>
      <c r="D151" s="0" t="s">
        <v>317</v>
      </c>
    </row>
    <row r="152" customFormat="false" ht="15" hidden="false" customHeight="false" outlineLevel="0" collapsed="false">
      <c r="A152" s="0" t="s">
        <v>318</v>
      </c>
      <c r="B152" s="32" t="n">
        <f aca="false">'Scenario Parameters'!$B$62</f>
        <v>0.2</v>
      </c>
      <c r="C152" s="0" t="s">
        <v>256</v>
      </c>
      <c r="D152" s="0" t="s">
        <v>319</v>
      </c>
    </row>
    <row r="153" customFormat="false" ht="15" hidden="false" customHeight="false" outlineLevel="0" collapsed="false">
      <c r="A153" s="0" t="s">
        <v>320</v>
      </c>
      <c r="B153" s="36" t="n">
        <f aca="false">'Scenario Parameters'!$B$63</f>
        <v>0</v>
      </c>
      <c r="C153" s="0" t="s">
        <v>321</v>
      </c>
      <c r="D153" s="0" t="s">
        <v>322</v>
      </c>
    </row>
    <row r="154" customFormat="false" ht="15" hidden="false" customHeight="false" outlineLevel="0" collapsed="false">
      <c r="A154" s="0" t="s">
        <v>323</v>
      </c>
      <c r="B154" s="36" t="n">
        <f aca="false">'Scenario Parameters'!$B$64</f>
        <v>1</v>
      </c>
      <c r="C154" s="0" t="s">
        <v>321</v>
      </c>
      <c r="D154" s="0" t="s">
        <v>322</v>
      </c>
    </row>
    <row r="155" customFormat="false" ht="15" hidden="false" customHeight="false" outlineLevel="0" collapsed="false">
      <c r="A155" s="0" t="s">
        <v>324</v>
      </c>
      <c r="B155" s="36" t="n">
        <f aca="false">'Scenario Parameters'!$B$65</f>
        <v>2</v>
      </c>
      <c r="C155" s="0" t="s">
        <v>321</v>
      </c>
      <c r="D155" s="0" t="s">
        <v>322</v>
      </c>
    </row>
    <row r="156" customFormat="false" ht="15" hidden="false" customHeight="false" outlineLevel="0" collapsed="false">
      <c r="A156" s="0" t="s">
        <v>325</v>
      </c>
      <c r="B156" s="36" t="n">
        <f aca="false">'Scenario Parameters'!$B$66</f>
        <v>3</v>
      </c>
      <c r="C156" s="0" t="s">
        <v>321</v>
      </c>
      <c r="D156" s="0" t="s">
        <v>322</v>
      </c>
    </row>
    <row r="157" customFormat="false" ht="15" hidden="false" customHeight="false" outlineLevel="0" collapsed="false">
      <c r="A157" s="0" t="s">
        <v>326</v>
      </c>
      <c r="B157" s="36" t="n">
        <f aca="false">'Scenario Parameters'!$B$67</f>
        <v>4</v>
      </c>
      <c r="C157" s="0" t="s">
        <v>321</v>
      </c>
      <c r="D157" s="0" t="s">
        <v>322</v>
      </c>
    </row>
    <row r="158" customFormat="false" ht="15" hidden="false" customHeight="false" outlineLevel="0" collapsed="false">
      <c r="A158" s="0" t="s">
        <v>327</v>
      </c>
      <c r="B158" s="36" t="n">
        <f aca="false">'Scenario Parameters'!$B$68</f>
        <v>5</v>
      </c>
      <c r="C158" s="0" t="s">
        <v>321</v>
      </c>
      <c r="D158" s="0" t="s">
        <v>322</v>
      </c>
    </row>
    <row r="159" customFormat="false" ht="15" hidden="false" customHeight="false" outlineLevel="0" collapsed="false">
      <c r="A159" s="0" t="s">
        <v>328</v>
      </c>
      <c r="B159" s="36" t="n">
        <f aca="false">'Scenario Parameters'!$B$69</f>
        <v>6</v>
      </c>
      <c r="C159" s="0" t="s">
        <v>321</v>
      </c>
      <c r="D159" s="0" t="s">
        <v>322</v>
      </c>
    </row>
    <row r="160" customFormat="false" ht="15" hidden="false" customHeight="false" outlineLevel="0" collapsed="false">
      <c r="A160" s="0" t="s">
        <v>329</v>
      </c>
      <c r="B160" s="35" t="n">
        <f aca="false">'Scenario Parameters'!$B$70</f>
        <v>32000000</v>
      </c>
      <c r="C160" s="0" t="s">
        <v>109</v>
      </c>
      <c r="D160" s="0" t="s">
        <v>330</v>
      </c>
    </row>
    <row r="161" customFormat="false" ht="15" hidden="false" customHeight="false" outlineLevel="0" collapsed="false">
      <c r="A161" s="0" t="s">
        <v>331</v>
      </c>
      <c r="B161" s="35" t="n">
        <f aca="false">'Scenario Parameters'!$B$74</f>
        <v>33.6</v>
      </c>
      <c r="C161" s="0" t="s">
        <v>103</v>
      </c>
      <c r="D161" s="0" t="s">
        <v>332</v>
      </c>
    </row>
    <row r="162" customFormat="false" ht="15" hidden="false" customHeight="false" outlineLevel="0" collapsed="false">
      <c r="A162" s="0" t="s">
        <v>333</v>
      </c>
      <c r="B162" s="35" t="n">
        <f aca="false">'Scenario Parameters'!$B$75</f>
        <v>26</v>
      </c>
      <c r="C162" s="0" t="s">
        <v>103</v>
      </c>
      <c r="D162" s="0" t="s">
        <v>332</v>
      </c>
    </row>
    <row r="163" customFormat="false" ht="15" hidden="false" customHeight="false" outlineLevel="0" collapsed="false">
      <c r="A163" s="0" t="s">
        <v>334</v>
      </c>
      <c r="B163" s="35" t="n">
        <f aca="false">'Scenario Parameters'!$B$76</f>
        <v>30</v>
      </c>
      <c r="C163" s="0" t="s">
        <v>103</v>
      </c>
      <c r="D163" s="0" t="s">
        <v>332</v>
      </c>
    </row>
    <row r="164" customFormat="false" ht="15" hidden="false" customHeight="false" outlineLevel="0" collapsed="false">
      <c r="A164" s="0" t="s">
        <v>335</v>
      </c>
      <c r="B164" s="32" t="n">
        <f aca="false">'Scenario Parameters'!$B$77</f>
        <v>0.626084007279636</v>
      </c>
      <c r="C164" s="0" t="s">
        <v>336</v>
      </c>
      <c r="D164" s="0" t="s">
        <v>337</v>
      </c>
    </row>
    <row r="165" customFormat="false" ht="15" hidden="false" customHeight="false" outlineLevel="0" collapsed="false">
      <c r="A165" s="0" t="s">
        <v>338</v>
      </c>
      <c r="B165" s="32" t="n">
        <f aca="false">'Scenario Parameters'!$B$78</f>
        <v>0.132405993819994</v>
      </c>
      <c r="C165" s="0" t="s">
        <v>336</v>
      </c>
      <c r="D165" s="0" t="s">
        <v>337</v>
      </c>
    </row>
    <row r="166" customFormat="false" ht="15" hidden="false" customHeight="false" outlineLevel="0" collapsed="false">
      <c r="A166" s="0" t="s">
        <v>339</v>
      </c>
      <c r="B166" s="32" t="n">
        <f aca="false">'Scenario Parameters'!$B$79</f>
        <v>0.24150999890037</v>
      </c>
      <c r="C166" s="0" t="s">
        <v>336</v>
      </c>
      <c r="D166" s="0" t="s">
        <v>337</v>
      </c>
    </row>
    <row r="167" customFormat="false" ht="15" hidden="false" customHeight="false" outlineLevel="0" collapsed="false">
      <c r="A167" s="0" t="s">
        <v>340</v>
      </c>
      <c r="B167" s="36" t="n">
        <f aca="false">'Scenario Parameters'!$B$83</f>
        <v>0</v>
      </c>
      <c r="C167" s="0" t="s">
        <v>341</v>
      </c>
      <c r="D167" s="0" t="s">
        <v>342</v>
      </c>
    </row>
    <row r="168" customFormat="false" ht="15" hidden="false" customHeight="false" outlineLevel="0" collapsed="false">
      <c r="A168" s="0" t="s">
        <v>343</v>
      </c>
      <c r="B168" s="36" t="n">
        <f aca="false">'Scenario Parameters'!$B$84</f>
        <v>1</v>
      </c>
      <c r="C168" s="0" t="s">
        <v>341</v>
      </c>
      <c r="D168" s="0" t="s">
        <v>344</v>
      </c>
    </row>
    <row r="169" customFormat="false" ht="15" hidden="false" customHeight="false" outlineLevel="0" collapsed="false">
      <c r="A169" s="9" t="s">
        <v>345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5" min="3" style="0" width="14"/>
    <col collapsed="false" customWidth="true" hidden="false" outlineLevel="0" max="6" min="6" style="0" width="24"/>
    <col collapsed="false" customWidth="true" hidden="false" outlineLevel="0" max="7" min="7" style="0" width="118"/>
  </cols>
  <sheetData>
    <row r="1" customFormat="false" ht="22.05" hidden="false" customHeight="false" outlineLevel="0" collapsed="false">
      <c r="A1" s="10" t="str">
        <f aca="false">Cover!$B$2</f>
        <v>Aurumix Revenue Model</v>
      </c>
    </row>
    <row r="2" customFormat="false" ht="17.35" hidden="false" customHeight="false" outlineLevel="0" collapsed="false">
      <c r="A2" s="11" t="s">
        <v>346</v>
      </c>
    </row>
    <row r="4" customFormat="false" ht="18" hidden="false" customHeight="true" outlineLevel="0" collapsed="false">
      <c r="A4" s="12" t="s">
        <v>347</v>
      </c>
      <c r="B4" s="13"/>
      <c r="C4" s="13"/>
      <c r="D4" s="13"/>
      <c r="E4" s="13"/>
    </row>
    <row r="6" customFormat="false" ht="15" hidden="false" customHeight="false" outlineLevel="0" collapsed="false">
      <c r="A6" s="3" t="s">
        <v>348</v>
      </c>
      <c r="B6" s="37" t="s">
        <v>349</v>
      </c>
      <c r="C6" s="0" t="n">
        <f aca="false">IF($B$6="Base",1,IF($B$6="Aggressive",2,3))</f>
        <v>1</v>
      </c>
      <c r="D6" s="23" t="s">
        <v>350</v>
      </c>
      <c r="G6" s="9" t="s">
        <v>351</v>
      </c>
    </row>
    <row r="8" customFormat="false" ht="18" hidden="false" customHeight="true" outlineLevel="0" collapsed="false">
      <c r="A8" s="12" t="s">
        <v>352</v>
      </c>
      <c r="B8" s="13"/>
      <c r="C8" s="13"/>
      <c r="D8" s="13"/>
      <c r="E8" s="13"/>
    </row>
    <row r="9" customFormat="false" ht="15" hidden="false" customHeight="false" outlineLevel="0" collapsed="false">
      <c r="A9" s="14" t="s">
        <v>30</v>
      </c>
      <c r="B9" s="14" t="s">
        <v>353</v>
      </c>
      <c r="C9" s="14" t="s">
        <v>349</v>
      </c>
      <c r="D9" s="14" t="s">
        <v>354</v>
      </c>
      <c r="E9" s="14" t="s">
        <v>355</v>
      </c>
      <c r="F9" s="14" t="s">
        <v>32</v>
      </c>
    </row>
    <row r="10" customFormat="false" ht="15" hidden="false" customHeight="false" outlineLevel="0" collapsed="false">
      <c r="A10" s="0" t="s">
        <v>225</v>
      </c>
      <c r="B10" s="38" t="n">
        <f aca="false">CHOOSE($C$6,C10,D10,E10)</f>
        <v>0.55</v>
      </c>
      <c r="C10" s="19" t="n">
        <v>0.55</v>
      </c>
      <c r="D10" s="19" t="n">
        <v>0.65</v>
      </c>
      <c r="E10" s="19" t="n">
        <v>0.45</v>
      </c>
      <c r="F10" s="23" t="s">
        <v>226</v>
      </c>
      <c r="G10" s="9" t="s">
        <v>227</v>
      </c>
    </row>
    <row r="11" customFormat="false" ht="15" hidden="false" customHeight="false" outlineLevel="0" collapsed="false">
      <c r="A11" s="0" t="s">
        <v>228</v>
      </c>
      <c r="B11" s="39" t="n">
        <f aca="false">1-'Scenario Parameters'!$B$10^(1/12)</f>
        <v>0.0485991010017477</v>
      </c>
      <c r="F11" s="23" t="s">
        <v>229</v>
      </c>
      <c r="G11" s="9" t="s">
        <v>230</v>
      </c>
    </row>
    <row r="12" customFormat="false" ht="15" hidden="false" customHeight="false" outlineLevel="0" collapsed="false">
      <c r="A12" s="0" t="s">
        <v>231</v>
      </c>
      <c r="B12" s="40" t="n">
        <f aca="false">CHOOSE($C$6,C12,D12,E12)</f>
        <v>4</v>
      </c>
      <c r="C12" s="15" t="n">
        <v>4</v>
      </c>
      <c r="D12" s="15" t="n">
        <v>6</v>
      </c>
      <c r="E12" s="15" t="n">
        <v>2</v>
      </c>
      <c r="F12" s="23" t="s">
        <v>232</v>
      </c>
      <c r="G12" s="9" t="s">
        <v>233</v>
      </c>
    </row>
    <row r="13" customFormat="false" ht="15" hidden="false" customHeight="false" outlineLevel="0" collapsed="false">
      <c r="A13" s="0" t="s">
        <v>234</v>
      </c>
      <c r="B13" s="41" t="n">
        <f aca="false">CHOOSE($C$6,C13,D13,E13)</f>
        <v>120</v>
      </c>
      <c r="C13" s="20" t="n">
        <v>120</v>
      </c>
      <c r="D13" s="20" t="n">
        <v>80</v>
      </c>
      <c r="E13" s="20" t="n">
        <v>200</v>
      </c>
      <c r="F13" s="23" t="s">
        <v>235</v>
      </c>
      <c r="G13" s="9" t="s">
        <v>236</v>
      </c>
    </row>
    <row r="14" customFormat="false" ht="15" hidden="false" customHeight="false" outlineLevel="0" collapsed="false">
      <c r="A14" s="0" t="s">
        <v>237</v>
      </c>
      <c r="B14" s="41" t="n">
        <f aca="false">CHOOSE($C$6,C14,D14,E14)</f>
        <v>100</v>
      </c>
      <c r="C14" s="20" t="n">
        <v>100</v>
      </c>
      <c r="D14" s="20" t="n">
        <v>70</v>
      </c>
      <c r="E14" s="20" t="n">
        <v>170</v>
      </c>
      <c r="F14" s="23" t="s">
        <v>235</v>
      </c>
      <c r="G14" s="9" t="s">
        <v>236</v>
      </c>
    </row>
    <row r="15" customFormat="false" ht="15" hidden="false" customHeight="false" outlineLevel="0" collapsed="false">
      <c r="A15" s="0" t="s">
        <v>238</v>
      </c>
      <c r="B15" s="41" t="n">
        <f aca="false">CHOOSE($C$6,C15,D15,E15)</f>
        <v>20</v>
      </c>
      <c r="C15" s="20" t="n">
        <v>20</v>
      </c>
      <c r="D15" s="20" t="n">
        <v>12</v>
      </c>
      <c r="E15" s="20" t="n">
        <v>35</v>
      </c>
      <c r="F15" s="23" t="s">
        <v>235</v>
      </c>
      <c r="G15" s="9" t="s">
        <v>236</v>
      </c>
    </row>
    <row r="16" customFormat="false" ht="15" hidden="false" customHeight="false" outlineLevel="0" collapsed="false">
      <c r="A16" s="0" t="s">
        <v>239</v>
      </c>
      <c r="B16" s="38" t="n">
        <f aca="false">CHOOSE($C$6,C16,D16,E16)</f>
        <v>0.58</v>
      </c>
      <c r="C16" s="19" t="n">
        <v>0.58</v>
      </c>
      <c r="D16" s="19" t="n">
        <v>0.58</v>
      </c>
      <c r="E16" s="19" t="n">
        <v>0.58</v>
      </c>
      <c r="F16" s="23" t="s">
        <v>240</v>
      </c>
      <c r="G16" s="9" t="s">
        <v>241</v>
      </c>
    </row>
    <row r="17" customFormat="false" ht="15" hidden="false" customHeight="false" outlineLevel="0" collapsed="false">
      <c r="A17" s="0" t="s">
        <v>242</v>
      </c>
      <c r="B17" s="38" t="n">
        <f aca="false">CHOOSE($C$6,C17,D17,E17)</f>
        <v>0.16</v>
      </c>
      <c r="C17" s="19" t="n">
        <v>0.16</v>
      </c>
      <c r="D17" s="19" t="n">
        <v>0.16</v>
      </c>
      <c r="E17" s="19" t="n">
        <v>0.16</v>
      </c>
      <c r="F17" s="23" t="s">
        <v>240</v>
      </c>
      <c r="G17" s="9" t="s">
        <v>241</v>
      </c>
    </row>
    <row r="18" customFormat="false" ht="15" hidden="false" customHeight="false" outlineLevel="0" collapsed="false">
      <c r="A18" s="0" t="s">
        <v>243</v>
      </c>
      <c r="B18" s="38" t="n">
        <f aca="false">CHOOSE($C$6,C18,D18,E18)</f>
        <v>0.26</v>
      </c>
      <c r="C18" s="19" t="n">
        <v>0.26</v>
      </c>
      <c r="D18" s="19" t="n">
        <v>0.26</v>
      </c>
      <c r="E18" s="19" t="n">
        <v>0.26</v>
      </c>
      <c r="F18" s="23" t="s">
        <v>240</v>
      </c>
      <c r="G18" s="9" t="s">
        <v>241</v>
      </c>
    </row>
    <row r="19" customFormat="false" ht="15" hidden="false" customHeight="false" outlineLevel="0" collapsed="false">
      <c r="A19" s="0" t="s">
        <v>244</v>
      </c>
      <c r="B19" s="40" t="n">
        <f aca="false">CHOOSE($C$6,C19,D19,E19)</f>
        <v>0.45</v>
      </c>
      <c r="C19" s="15" t="n">
        <v>0.45</v>
      </c>
      <c r="D19" s="15" t="n">
        <v>0.9</v>
      </c>
      <c r="E19" s="15" t="n">
        <v>0.18</v>
      </c>
      <c r="F19" s="23" t="s">
        <v>245</v>
      </c>
      <c r="G19" s="9" t="s">
        <v>246</v>
      </c>
    </row>
    <row r="20" customFormat="false" ht="15" hidden="false" customHeight="false" outlineLevel="0" collapsed="false">
      <c r="A20" s="0" t="s">
        <v>247</v>
      </c>
      <c r="B20" s="38" t="n">
        <f aca="false">CHOOSE($C$6,C20,D20,E20)</f>
        <v>0.62</v>
      </c>
      <c r="C20" s="19" t="n">
        <v>0.62</v>
      </c>
      <c r="D20" s="19" t="n">
        <v>0.72</v>
      </c>
      <c r="E20" s="19" t="n">
        <v>0.48</v>
      </c>
      <c r="F20" s="23" t="s">
        <v>226</v>
      </c>
      <c r="G20" s="9" t="s">
        <v>248</v>
      </c>
    </row>
    <row r="21" customFormat="false" ht="15" hidden="false" customHeight="false" outlineLevel="0" collapsed="false">
      <c r="A21" s="0" t="s">
        <v>249</v>
      </c>
      <c r="B21" s="38" t="n">
        <f aca="false">CHOOSE($C$6,C21,D21,E21)</f>
        <v>0.12</v>
      </c>
      <c r="C21" s="19" t="n">
        <v>0.12</v>
      </c>
      <c r="D21" s="19" t="n">
        <v>0.2</v>
      </c>
      <c r="E21" s="19" t="n">
        <v>0.05</v>
      </c>
      <c r="F21" s="23" t="s">
        <v>250</v>
      </c>
      <c r="G21" s="9" t="s">
        <v>251</v>
      </c>
    </row>
    <row r="22" customFormat="false" ht="15" hidden="false" customHeight="false" outlineLevel="0" collapsed="false">
      <c r="A22" s="0" t="s">
        <v>252</v>
      </c>
      <c r="B22" s="40" t="n">
        <f aca="false">CHOOSE($C$6,C22,D22,E22)</f>
        <v>1</v>
      </c>
      <c r="C22" s="15" t="n">
        <v>1</v>
      </c>
      <c r="D22" s="15" t="n">
        <v>1.4</v>
      </c>
      <c r="E22" s="15" t="n">
        <v>0.6</v>
      </c>
      <c r="F22" s="23" t="s">
        <v>253</v>
      </c>
      <c r="G22" s="9" t="s">
        <v>254</v>
      </c>
    </row>
    <row r="24" customFormat="false" ht="18" hidden="false" customHeight="true" outlineLevel="0" collapsed="false">
      <c r="A24" s="12" t="s">
        <v>356</v>
      </c>
      <c r="B24" s="13"/>
      <c r="C24" s="13"/>
      <c r="D24" s="13"/>
      <c r="E24" s="13"/>
    </row>
    <row r="25" customFormat="false" ht="15" hidden="false" customHeight="false" outlineLevel="0" collapsed="false">
      <c r="A25" s="14" t="s">
        <v>30</v>
      </c>
      <c r="B25" s="14" t="s">
        <v>353</v>
      </c>
      <c r="C25" s="14" t="s">
        <v>349</v>
      </c>
      <c r="D25" s="14" t="s">
        <v>354</v>
      </c>
      <c r="E25" s="14" t="s">
        <v>355</v>
      </c>
      <c r="F25" s="14" t="s">
        <v>32</v>
      </c>
    </row>
    <row r="26" customFormat="false" ht="15" hidden="false" customHeight="false" outlineLevel="0" collapsed="false">
      <c r="A26" s="0" t="s">
        <v>255</v>
      </c>
      <c r="B26" s="38" t="n">
        <f aca="false">CHOOSE($C$6,C26,D26,E26)</f>
        <v>0.55</v>
      </c>
      <c r="C26" s="19" t="n">
        <v>0.55</v>
      </c>
      <c r="D26" s="19" t="n">
        <v>0.65</v>
      </c>
      <c r="E26" s="19" t="n">
        <v>0.45</v>
      </c>
      <c r="F26" s="23" t="s">
        <v>256</v>
      </c>
      <c r="G26" s="9" t="s">
        <v>257</v>
      </c>
    </row>
    <row r="27" customFormat="false" ht="15" hidden="false" customHeight="false" outlineLevel="0" collapsed="false">
      <c r="A27" s="0" t="s">
        <v>258</v>
      </c>
      <c r="B27" s="31" t="n">
        <f aca="false">CHOOSE($C$6,C27,D27,E27)</f>
        <v>8</v>
      </c>
      <c r="C27" s="17" t="n">
        <v>8</v>
      </c>
      <c r="D27" s="17" t="n">
        <v>6</v>
      </c>
      <c r="E27" s="17" t="n">
        <v>11</v>
      </c>
      <c r="F27" s="23" t="s">
        <v>259</v>
      </c>
      <c r="G27" s="9" t="s">
        <v>260</v>
      </c>
    </row>
    <row r="29" customFormat="false" ht="18" hidden="false" customHeight="true" outlineLevel="0" collapsed="false">
      <c r="A29" s="12" t="s">
        <v>357</v>
      </c>
      <c r="B29" s="13"/>
      <c r="C29" s="13"/>
      <c r="D29" s="13"/>
      <c r="E29" s="13"/>
    </row>
    <row r="30" customFormat="false" ht="15" hidden="false" customHeight="false" outlineLevel="0" collapsed="false">
      <c r="A30" s="14" t="s">
        <v>30</v>
      </c>
      <c r="B30" s="14" t="s">
        <v>353</v>
      </c>
      <c r="C30" s="14" t="s">
        <v>349</v>
      </c>
      <c r="D30" s="14" t="s">
        <v>354</v>
      </c>
      <c r="E30" s="14" t="s">
        <v>355</v>
      </c>
      <c r="F30" s="14" t="s">
        <v>32</v>
      </c>
    </row>
    <row r="31" customFormat="false" ht="15" hidden="false" customHeight="false" outlineLevel="0" collapsed="false">
      <c r="A31" s="0" t="s">
        <v>261</v>
      </c>
      <c r="B31" s="38" t="n">
        <f aca="false">CHOOSE($C$6,C31,D31,E31)</f>
        <v>0.12</v>
      </c>
      <c r="C31" s="19" t="n">
        <v>0.12</v>
      </c>
      <c r="D31" s="19" t="n">
        <v>0.06</v>
      </c>
      <c r="E31" s="19" t="n">
        <v>0.3</v>
      </c>
      <c r="F31" s="23" t="s">
        <v>262</v>
      </c>
      <c r="G31" s="9" t="s">
        <v>263</v>
      </c>
    </row>
    <row r="32" customFormat="false" ht="15" hidden="false" customHeight="false" outlineLevel="0" collapsed="false">
      <c r="A32" s="0" t="s">
        <v>264</v>
      </c>
      <c r="B32" s="38" t="n">
        <f aca="false">CHOOSE($C$6,C32,D32,E32)</f>
        <v>0.08</v>
      </c>
      <c r="C32" s="19" t="n">
        <v>0.08</v>
      </c>
      <c r="D32" s="19" t="n">
        <v>0.04</v>
      </c>
      <c r="E32" s="19" t="n">
        <v>0.16</v>
      </c>
      <c r="F32" s="23" t="s">
        <v>262</v>
      </c>
      <c r="G32" s="9" t="s">
        <v>265</v>
      </c>
    </row>
    <row r="33" customFormat="false" ht="15" hidden="false" customHeight="false" outlineLevel="0" collapsed="false">
      <c r="A33" s="0" t="s">
        <v>266</v>
      </c>
      <c r="B33" s="40" t="n">
        <f aca="false">CHOOSE($C$6,C33,D33,E33)</f>
        <v>2.2</v>
      </c>
      <c r="C33" s="15" t="n">
        <v>2.2</v>
      </c>
      <c r="D33" s="15" t="n">
        <v>1.6</v>
      </c>
      <c r="E33" s="15" t="n">
        <v>3.5</v>
      </c>
      <c r="F33" s="23" t="s">
        <v>267</v>
      </c>
      <c r="G33" s="9" t="s">
        <v>268</v>
      </c>
    </row>
    <row r="34" customFormat="false" ht="15" hidden="false" customHeight="false" outlineLevel="0" collapsed="false">
      <c r="A34" s="0" t="s">
        <v>269</v>
      </c>
      <c r="B34" s="38" t="n">
        <f aca="false">CHOOSE($C$6,C34,D34,E34)</f>
        <v>0.14</v>
      </c>
      <c r="C34" s="19" t="n">
        <v>0.14</v>
      </c>
      <c r="D34" s="19" t="n">
        <v>0.24</v>
      </c>
      <c r="E34" s="19" t="n">
        <v>0.07</v>
      </c>
      <c r="F34" s="23" t="s">
        <v>270</v>
      </c>
      <c r="G34" s="9" t="s">
        <v>271</v>
      </c>
    </row>
    <row r="35" customFormat="false" ht="15" hidden="false" customHeight="false" outlineLevel="0" collapsed="false">
      <c r="A35" s="0" t="s">
        <v>272</v>
      </c>
      <c r="B35" s="40" t="n">
        <f aca="false">CHOOSE($C$6,C35,D35,E35)</f>
        <v>1</v>
      </c>
      <c r="C35" s="15" t="n">
        <v>1</v>
      </c>
      <c r="D35" s="15" t="n">
        <v>1.35</v>
      </c>
      <c r="E35" s="15" t="n">
        <v>0.7</v>
      </c>
      <c r="F35" s="23" t="s">
        <v>273</v>
      </c>
      <c r="G35" s="9" t="s">
        <v>274</v>
      </c>
    </row>
    <row r="36" customFormat="false" ht="15" hidden="false" customHeight="false" outlineLevel="0" collapsed="false">
      <c r="A36" s="0" t="s">
        <v>275</v>
      </c>
      <c r="B36" s="40" t="n">
        <f aca="false">CHOOSE($C$6,C36,D36,E36)</f>
        <v>1.7</v>
      </c>
      <c r="C36" s="15" t="n">
        <v>1.7</v>
      </c>
      <c r="D36" s="15" t="n">
        <v>2.4</v>
      </c>
      <c r="E36" s="15" t="n">
        <v>1.2</v>
      </c>
      <c r="F36" s="23" t="s">
        <v>276</v>
      </c>
      <c r="G36" s="9" t="s">
        <v>277</v>
      </c>
    </row>
    <row r="37" customFormat="false" ht="15" hidden="false" customHeight="false" outlineLevel="0" collapsed="false">
      <c r="A37" s="0" t="s">
        <v>278</v>
      </c>
      <c r="B37" s="38" t="n">
        <f aca="false">CHOOSE($C$6,C37,D37,E37)</f>
        <v>0.08</v>
      </c>
      <c r="C37" s="19" t="n">
        <v>0.08</v>
      </c>
      <c r="D37" s="19" t="n">
        <v>0.15</v>
      </c>
      <c r="E37" s="19" t="n">
        <v>0.03</v>
      </c>
      <c r="F37" s="23" t="s">
        <v>279</v>
      </c>
      <c r="G37" s="9" t="s">
        <v>280</v>
      </c>
    </row>
    <row r="39" customFormat="false" ht="18" hidden="false" customHeight="true" outlineLevel="0" collapsed="false">
      <c r="A39" s="12" t="s">
        <v>358</v>
      </c>
      <c r="B39" s="13"/>
      <c r="C39" s="13"/>
      <c r="D39" s="13"/>
      <c r="E39" s="13"/>
    </row>
    <row r="40" customFormat="false" ht="15" hidden="false" customHeight="false" outlineLevel="0" collapsed="false">
      <c r="A40" s="14" t="s">
        <v>30</v>
      </c>
      <c r="B40" s="14" t="s">
        <v>353</v>
      </c>
      <c r="C40" s="14" t="s">
        <v>349</v>
      </c>
      <c r="D40" s="14" t="s">
        <v>354</v>
      </c>
      <c r="E40" s="14" t="s">
        <v>355</v>
      </c>
      <c r="F40" s="14" t="s">
        <v>32</v>
      </c>
    </row>
    <row r="41" customFormat="false" ht="15" hidden="false" customHeight="false" outlineLevel="0" collapsed="false">
      <c r="A41" s="0" t="s">
        <v>281</v>
      </c>
      <c r="B41" s="38" t="n">
        <f aca="false">CHOOSE($C$6,C41,D41,E41)</f>
        <v>0.72</v>
      </c>
      <c r="C41" s="19" t="n">
        <v>0.72</v>
      </c>
      <c r="D41" s="19" t="n">
        <v>0.85</v>
      </c>
      <c r="E41" s="19" t="n">
        <v>0.55</v>
      </c>
      <c r="F41" s="23" t="s">
        <v>226</v>
      </c>
      <c r="G41" s="9" t="s">
        <v>282</v>
      </c>
    </row>
    <row r="42" customFormat="false" ht="15" hidden="false" customHeight="false" outlineLevel="0" collapsed="false">
      <c r="A42" s="0" t="s">
        <v>283</v>
      </c>
      <c r="B42" s="38" t="n">
        <f aca="false">CHOOSE($C$6,C42,D42,E42)</f>
        <v>0.18</v>
      </c>
      <c r="C42" s="19" t="n">
        <v>0.18</v>
      </c>
      <c r="D42" s="19" t="n">
        <v>0.3</v>
      </c>
      <c r="E42" s="19" t="n">
        <v>0.08</v>
      </c>
      <c r="F42" s="23" t="s">
        <v>284</v>
      </c>
      <c r="G42" s="9" t="s">
        <v>285</v>
      </c>
    </row>
    <row r="43" customFormat="false" ht="15" hidden="false" customHeight="false" outlineLevel="0" collapsed="false">
      <c r="A43" s="0" t="s">
        <v>286</v>
      </c>
      <c r="B43" s="31" t="n">
        <f aca="false">CHOOSE($C$6,C43,D43,E43)</f>
        <v>4</v>
      </c>
      <c r="C43" s="17" t="n">
        <v>4</v>
      </c>
      <c r="D43" s="17" t="n">
        <v>6</v>
      </c>
      <c r="E43" s="17" t="n">
        <v>2</v>
      </c>
      <c r="F43" s="23" t="s">
        <v>287</v>
      </c>
      <c r="G43" s="9" t="s">
        <v>288</v>
      </c>
    </row>
    <row r="44" customFormat="false" ht="15" hidden="false" customHeight="false" outlineLevel="0" collapsed="false">
      <c r="A44" s="0" t="s">
        <v>289</v>
      </c>
      <c r="B44" s="31" t="n">
        <f aca="false">CHOOSE($C$6,C44,D44,E44)</f>
        <v>12</v>
      </c>
      <c r="C44" s="17" t="n">
        <v>12</v>
      </c>
      <c r="D44" s="17" t="n">
        <v>18</v>
      </c>
      <c r="E44" s="17" t="n">
        <v>8</v>
      </c>
      <c r="F44" s="23" t="s">
        <v>290</v>
      </c>
      <c r="G44" s="9" t="s">
        <v>291</v>
      </c>
    </row>
    <row r="45" customFormat="false" ht="15" hidden="false" customHeight="false" outlineLevel="0" collapsed="false">
      <c r="A45" s="0" t="s">
        <v>292</v>
      </c>
      <c r="B45" s="38" t="n">
        <f aca="false">CHOOSE($C$6,C45,D45,E45)</f>
        <v>0.34</v>
      </c>
      <c r="C45" s="19" t="n">
        <v>0.34</v>
      </c>
      <c r="D45" s="19" t="n">
        <v>0.45</v>
      </c>
      <c r="E45" s="19" t="n">
        <v>0.24</v>
      </c>
      <c r="F45" s="23" t="s">
        <v>293</v>
      </c>
      <c r="G45" s="9" t="s">
        <v>294</v>
      </c>
    </row>
    <row r="46" customFormat="false" ht="15" hidden="false" customHeight="false" outlineLevel="0" collapsed="false">
      <c r="A46" s="0" t="s">
        <v>295</v>
      </c>
      <c r="B46" s="40" t="n">
        <f aca="false">CHOOSE($C$6,C46,D46,E46)</f>
        <v>1.06</v>
      </c>
      <c r="C46" s="15" t="n">
        <v>1.06</v>
      </c>
      <c r="D46" s="15" t="n">
        <v>1.04</v>
      </c>
      <c r="E46" s="15" t="n">
        <v>1.1</v>
      </c>
      <c r="F46" s="23" t="s">
        <v>296</v>
      </c>
      <c r="G46" s="9" t="s">
        <v>297</v>
      </c>
    </row>
    <row r="47" customFormat="false" ht="15" hidden="false" customHeight="false" outlineLevel="0" collapsed="false">
      <c r="A47" s="0" t="s">
        <v>298</v>
      </c>
      <c r="B47" s="40" t="n">
        <f aca="false">CHOOSE($C$6,C47,D47,E47)</f>
        <v>0.11</v>
      </c>
      <c r="C47" s="15" t="n">
        <v>0.11</v>
      </c>
      <c r="D47" s="15" t="n">
        <v>0.07</v>
      </c>
      <c r="E47" s="15" t="n">
        <v>0.18</v>
      </c>
      <c r="F47" s="23" t="s">
        <v>296</v>
      </c>
      <c r="G47" s="9" t="s">
        <v>299</v>
      </c>
    </row>
    <row r="48" customFormat="false" ht="15" hidden="false" customHeight="false" outlineLevel="0" collapsed="false">
      <c r="A48" s="0" t="s">
        <v>300</v>
      </c>
      <c r="B48" s="38" t="n">
        <f aca="false">CHOOSE($C$6,C48,D48,E48)</f>
        <v>0.6</v>
      </c>
      <c r="C48" s="19" t="n">
        <v>0.6</v>
      </c>
      <c r="D48" s="19" t="n">
        <v>0.42</v>
      </c>
      <c r="E48" s="19" t="n">
        <v>0.74</v>
      </c>
      <c r="F48" s="23" t="s">
        <v>226</v>
      </c>
      <c r="G48" s="9" t="s">
        <v>301</v>
      </c>
    </row>
    <row r="49" customFormat="false" ht="15" hidden="false" customHeight="false" outlineLevel="0" collapsed="false">
      <c r="A49" s="0" t="s">
        <v>302</v>
      </c>
      <c r="B49" s="38" t="n">
        <f aca="false">CHOOSE($C$6,C49,D49,E49)</f>
        <v>0.25</v>
      </c>
      <c r="C49" s="19" t="n">
        <v>0.25</v>
      </c>
      <c r="D49" s="19" t="n">
        <v>0.3</v>
      </c>
      <c r="E49" s="19" t="n">
        <v>0.18</v>
      </c>
      <c r="F49" s="23" t="s">
        <v>226</v>
      </c>
      <c r="G49" s="9" t="s">
        <v>301</v>
      </c>
    </row>
    <row r="50" customFormat="false" ht="15" hidden="false" customHeight="false" outlineLevel="0" collapsed="false">
      <c r="A50" s="0" t="s">
        <v>303</v>
      </c>
      <c r="B50" s="38" t="n">
        <f aca="false">CHOOSE($C$6,C50,D50,E50)</f>
        <v>0.12</v>
      </c>
      <c r="C50" s="19" t="n">
        <v>0.12</v>
      </c>
      <c r="D50" s="19" t="n">
        <v>0.2</v>
      </c>
      <c r="E50" s="19" t="n">
        <v>0.06</v>
      </c>
      <c r="F50" s="23" t="s">
        <v>226</v>
      </c>
      <c r="G50" s="9" t="s">
        <v>301</v>
      </c>
    </row>
    <row r="51" customFormat="false" ht="15" hidden="false" customHeight="false" outlineLevel="0" collapsed="false">
      <c r="A51" s="0" t="s">
        <v>304</v>
      </c>
      <c r="B51" s="38" t="n">
        <f aca="false">CHOOSE($C$6,C51,D51,E51)</f>
        <v>0.03</v>
      </c>
      <c r="C51" s="19" t="n">
        <v>0.03</v>
      </c>
      <c r="D51" s="19" t="n">
        <v>0.08</v>
      </c>
      <c r="E51" s="19" t="n">
        <v>0.02</v>
      </c>
      <c r="F51" s="23" t="s">
        <v>226</v>
      </c>
      <c r="G51" s="9" t="s">
        <v>301</v>
      </c>
    </row>
    <row r="52" customFormat="false" ht="15" hidden="false" customHeight="false" outlineLevel="0" collapsed="false">
      <c r="A52" s="0" t="s">
        <v>305</v>
      </c>
      <c r="B52" s="31" t="n">
        <f aca="false">CHOOSE($C$6,C52,D52,E52)</f>
        <v>250</v>
      </c>
      <c r="C52" s="17" t="n">
        <v>250</v>
      </c>
      <c r="D52" s="17" t="n">
        <v>300</v>
      </c>
      <c r="E52" s="17" t="n">
        <v>200</v>
      </c>
      <c r="F52" s="23" t="s">
        <v>63</v>
      </c>
      <c r="G52" s="9" t="s">
        <v>306</v>
      </c>
    </row>
    <row r="53" customFormat="false" ht="15" hidden="false" customHeight="false" outlineLevel="0" collapsed="false">
      <c r="A53" s="0" t="s">
        <v>307</v>
      </c>
      <c r="B53" s="31" t="n">
        <f aca="false">CHOOSE($C$6,C53,D53,E53)</f>
        <v>1000</v>
      </c>
      <c r="C53" s="17" t="n">
        <v>1000</v>
      </c>
      <c r="D53" s="17" t="n">
        <v>1100</v>
      </c>
      <c r="E53" s="17" t="n">
        <v>900</v>
      </c>
      <c r="F53" s="23" t="s">
        <v>63</v>
      </c>
      <c r="G53" s="9" t="s">
        <v>306</v>
      </c>
    </row>
    <row r="54" customFormat="false" ht="15" hidden="false" customHeight="false" outlineLevel="0" collapsed="false">
      <c r="A54" s="0" t="s">
        <v>308</v>
      </c>
      <c r="B54" s="31" t="n">
        <f aca="false">CHOOSE($C$6,C54,D54,E54)</f>
        <v>2250</v>
      </c>
      <c r="C54" s="17" t="n">
        <v>2250</v>
      </c>
      <c r="D54" s="17" t="n">
        <v>2400</v>
      </c>
      <c r="E54" s="17" t="n">
        <v>2100</v>
      </c>
      <c r="F54" s="23" t="s">
        <v>63</v>
      </c>
      <c r="G54" s="9" t="s">
        <v>306</v>
      </c>
    </row>
    <row r="55" customFormat="false" ht="15" hidden="false" customHeight="false" outlineLevel="0" collapsed="false">
      <c r="A55" s="0" t="s">
        <v>309</v>
      </c>
      <c r="B55" s="31" t="n">
        <f aca="false">CHOOSE($C$6,C55,D55,E55)</f>
        <v>4000</v>
      </c>
      <c r="C55" s="17" t="n">
        <v>4000</v>
      </c>
      <c r="D55" s="17" t="n">
        <v>4500</v>
      </c>
      <c r="E55" s="17" t="n">
        <v>3600</v>
      </c>
      <c r="F55" s="23" t="s">
        <v>63</v>
      </c>
      <c r="G55" s="9" t="s">
        <v>306</v>
      </c>
    </row>
    <row r="57" customFormat="false" ht="18" hidden="false" customHeight="true" outlineLevel="0" collapsed="false">
      <c r="A57" s="12" t="s">
        <v>359</v>
      </c>
      <c r="B57" s="13"/>
      <c r="C57" s="13"/>
      <c r="D57" s="13"/>
      <c r="E57" s="13"/>
    </row>
    <row r="58" customFormat="false" ht="15" hidden="false" customHeight="false" outlineLevel="0" collapsed="false">
      <c r="A58" s="14" t="s">
        <v>30</v>
      </c>
      <c r="B58" s="14" t="s">
        <v>353</v>
      </c>
      <c r="C58" s="14" t="s">
        <v>349</v>
      </c>
      <c r="D58" s="14" t="s">
        <v>354</v>
      </c>
      <c r="E58" s="14" t="s">
        <v>355</v>
      </c>
      <c r="F58" s="14" t="s">
        <v>32</v>
      </c>
    </row>
    <row r="59" customFormat="false" ht="15" hidden="false" customHeight="false" outlineLevel="0" collapsed="false">
      <c r="A59" s="0" t="s">
        <v>310</v>
      </c>
      <c r="B59" s="38" t="n">
        <f aca="false">CHOOSE($C$6,C59,D59,E59)</f>
        <v>0.5</v>
      </c>
      <c r="C59" s="19" t="n">
        <v>0.5</v>
      </c>
      <c r="D59" s="19" t="n">
        <v>0.7</v>
      </c>
      <c r="E59" s="19" t="n">
        <v>0.3</v>
      </c>
      <c r="F59" s="23" t="s">
        <v>226</v>
      </c>
      <c r="G59" s="9" t="s">
        <v>311</v>
      </c>
    </row>
    <row r="60" customFormat="false" ht="15" hidden="false" customHeight="false" outlineLevel="0" collapsed="false">
      <c r="A60" s="0" t="s">
        <v>312</v>
      </c>
      <c r="B60" s="40" t="n">
        <f aca="false">CHOOSE($C$6,C60,D60,E60)</f>
        <v>0.42</v>
      </c>
      <c r="C60" s="15" t="n">
        <v>0.42</v>
      </c>
      <c r="D60" s="15" t="n">
        <v>0.55</v>
      </c>
      <c r="E60" s="15" t="n">
        <v>0.3</v>
      </c>
      <c r="F60" s="23" t="s">
        <v>313</v>
      </c>
      <c r="G60" s="9" t="s">
        <v>314</v>
      </c>
    </row>
    <row r="61" customFormat="false" ht="15" hidden="false" customHeight="false" outlineLevel="0" collapsed="false">
      <c r="A61" s="0" t="s">
        <v>315</v>
      </c>
      <c r="B61" s="40" t="n">
        <f aca="false">CHOOSE($C$6,C61,D61,E61)</f>
        <v>2.1</v>
      </c>
      <c r="C61" s="15" t="n">
        <v>2.1</v>
      </c>
      <c r="D61" s="15" t="n">
        <v>3.2</v>
      </c>
      <c r="E61" s="15" t="n">
        <v>1.3</v>
      </c>
      <c r="F61" s="23" t="s">
        <v>316</v>
      </c>
      <c r="G61" s="9" t="s">
        <v>317</v>
      </c>
    </row>
    <row r="62" customFormat="false" ht="15" hidden="false" customHeight="false" outlineLevel="0" collapsed="false">
      <c r="A62" s="0" t="s">
        <v>318</v>
      </c>
      <c r="B62" s="38" t="n">
        <f aca="false">CHOOSE($C$6,C62,D62,E62)</f>
        <v>0.2</v>
      </c>
      <c r="C62" s="19" t="n">
        <v>0.2</v>
      </c>
      <c r="D62" s="19" t="n">
        <v>0.35</v>
      </c>
      <c r="E62" s="19" t="n">
        <v>0.1</v>
      </c>
      <c r="F62" s="23" t="s">
        <v>256</v>
      </c>
      <c r="G62" s="9" t="s">
        <v>319</v>
      </c>
    </row>
    <row r="63" customFormat="false" ht="15" hidden="false" customHeight="false" outlineLevel="0" collapsed="false">
      <c r="A63" s="0" t="s">
        <v>320</v>
      </c>
      <c r="B63" s="31" t="n">
        <f aca="false">CHOOSE($C$6,C63,D63,E63)</f>
        <v>0</v>
      </c>
      <c r="C63" s="17" t="n">
        <v>0</v>
      </c>
      <c r="D63" s="17" t="n">
        <v>0</v>
      </c>
      <c r="E63" s="17" t="n">
        <v>0</v>
      </c>
      <c r="F63" s="23" t="s">
        <v>321</v>
      </c>
      <c r="G63" s="9" t="s">
        <v>322</v>
      </c>
    </row>
    <row r="64" customFormat="false" ht="15" hidden="false" customHeight="false" outlineLevel="0" collapsed="false">
      <c r="A64" s="0" t="s">
        <v>323</v>
      </c>
      <c r="B64" s="31" t="n">
        <f aca="false">CHOOSE($C$6,C64,D64,E64)</f>
        <v>1</v>
      </c>
      <c r="C64" s="17" t="n">
        <v>1</v>
      </c>
      <c r="D64" s="17" t="n">
        <v>1</v>
      </c>
      <c r="E64" s="17" t="n">
        <v>1</v>
      </c>
      <c r="F64" s="23" t="s">
        <v>321</v>
      </c>
      <c r="G64" s="9" t="s">
        <v>322</v>
      </c>
    </row>
    <row r="65" customFormat="false" ht="15" hidden="false" customHeight="false" outlineLevel="0" collapsed="false">
      <c r="A65" s="0" t="s">
        <v>324</v>
      </c>
      <c r="B65" s="31" t="n">
        <f aca="false">CHOOSE($C$6,C65,D65,E65)</f>
        <v>2</v>
      </c>
      <c r="C65" s="17" t="n">
        <v>2</v>
      </c>
      <c r="D65" s="17" t="n">
        <v>3</v>
      </c>
      <c r="E65" s="17" t="n">
        <v>1</v>
      </c>
      <c r="F65" s="23" t="s">
        <v>321</v>
      </c>
      <c r="G65" s="9" t="s">
        <v>322</v>
      </c>
    </row>
    <row r="66" customFormat="false" ht="15" hidden="false" customHeight="false" outlineLevel="0" collapsed="false">
      <c r="A66" s="0" t="s">
        <v>325</v>
      </c>
      <c r="B66" s="31" t="n">
        <f aca="false">CHOOSE($C$6,C66,D66,E66)</f>
        <v>3</v>
      </c>
      <c r="C66" s="17" t="n">
        <v>3</v>
      </c>
      <c r="D66" s="17" t="n">
        <v>5</v>
      </c>
      <c r="E66" s="17" t="n">
        <v>1</v>
      </c>
      <c r="F66" s="23" t="s">
        <v>321</v>
      </c>
      <c r="G66" s="9" t="s">
        <v>322</v>
      </c>
    </row>
    <row r="67" customFormat="false" ht="15" hidden="false" customHeight="false" outlineLevel="0" collapsed="false">
      <c r="A67" s="0" t="s">
        <v>326</v>
      </c>
      <c r="B67" s="31" t="n">
        <f aca="false">CHOOSE($C$6,C67,D67,E67)</f>
        <v>4</v>
      </c>
      <c r="C67" s="17" t="n">
        <v>4</v>
      </c>
      <c r="D67" s="17" t="n">
        <v>7</v>
      </c>
      <c r="E67" s="17" t="n">
        <v>2</v>
      </c>
      <c r="F67" s="23" t="s">
        <v>321</v>
      </c>
      <c r="G67" s="9" t="s">
        <v>322</v>
      </c>
    </row>
    <row r="68" customFormat="false" ht="15" hidden="false" customHeight="false" outlineLevel="0" collapsed="false">
      <c r="A68" s="0" t="s">
        <v>327</v>
      </c>
      <c r="B68" s="31" t="n">
        <f aca="false">CHOOSE($C$6,C68,D68,E68)</f>
        <v>5</v>
      </c>
      <c r="C68" s="17" t="n">
        <v>5</v>
      </c>
      <c r="D68" s="17" t="n">
        <v>9</v>
      </c>
      <c r="E68" s="17" t="n">
        <v>2</v>
      </c>
      <c r="F68" s="23" t="s">
        <v>321</v>
      </c>
      <c r="G68" s="9" t="s">
        <v>322</v>
      </c>
    </row>
    <row r="69" customFormat="false" ht="15" hidden="false" customHeight="false" outlineLevel="0" collapsed="false">
      <c r="A69" s="0" t="s">
        <v>328</v>
      </c>
      <c r="B69" s="31" t="n">
        <f aca="false">CHOOSE($C$6,C69,D69,E69)</f>
        <v>6</v>
      </c>
      <c r="C69" s="17" t="n">
        <v>6</v>
      </c>
      <c r="D69" s="17" t="n">
        <v>11</v>
      </c>
      <c r="E69" s="17" t="n">
        <v>2</v>
      </c>
      <c r="F69" s="23" t="s">
        <v>321</v>
      </c>
      <c r="G69" s="9" t="s">
        <v>322</v>
      </c>
    </row>
    <row r="70" customFormat="false" ht="15" hidden="false" customHeight="false" outlineLevel="0" collapsed="false">
      <c r="A70" s="0" t="s">
        <v>329</v>
      </c>
      <c r="B70" s="41" t="n">
        <f aca="false">CHOOSE($C$6,C70,D70,E70)</f>
        <v>32000000</v>
      </c>
      <c r="C70" s="20" t="n">
        <v>32000000</v>
      </c>
      <c r="D70" s="20" t="n">
        <v>45000000</v>
      </c>
      <c r="E70" s="20" t="n">
        <v>22000000</v>
      </c>
      <c r="F70" s="23" t="s">
        <v>109</v>
      </c>
      <c r="G70" s="9" t="s">
        <v>330</v>
      </c>
    </row>
    <row r="72" customFormat="false" ht="18" hidden="false" customHeight="true" outlineLevel="0" collapsed="false">
      <c r="A72" s="12" t="s">
        <v>360</v>
      </c>
      <c r="B72" s="13"/>
      <c r="C72" s="13"/>
      <c r="D72" s="13"/>
      <c r="E72" s="13"/>
    </row>
    <row r="73" customFormat="false" ht="15" hidden="false" customHeight="false" outlineLevel="0" collapsed="false">
      <c r="A73" s="14" t="s">
        <v>30</v>
      </c>
      <c r="B73" s="14" t="s">
        <v>353</v>
      </c>
      <c r="C73" s="14" t="s">
        <v>349</v>
      </c>
      <c r="D73" s="14" t="s">
        <v>354</v>
      </c>
      <c r="E73" s="14" t="s">
        <v>355</v>
      </c>
      <c r="F73" s="14" t="s">
        <v>32</v>
      </c>
    </row>
    <row r="74" customFormat="false" ht="15" hidden="false" customHeight="false" outlineLevel="0" collapsed="false">
      <c r="A74" s="0" t="s">
        <v>331</v>
      </c>
      <c r="B74" s="41" t="n">
        <f aca="false">CHOOSE($C$6,C74,D74,E74)</f>
        <v>33.6</v>
      </c>
      <c r="C74" s="20" t="n">
        <v>33.6</v>
      </c>
      <c r="D74" s="20" t="n">
        <v>41</v>
      </c>
      <c r="E74" s="20" t="n">
        <v>26.5</v>
      </c>
      <c r="F74" s="23" t="s">
        <v>103</v>
      </c>
      <c r="G74" s="9" t="s">
        <v>332</v>
      </c>
    </row>
    <row r="75" customFormat="false" ht="15" hidden="false" customHeight="false" outlineLevel="0" collapsed="false">
      <c r="A75" s="0" t="s">
        <v>333</v>
      </c>
      <c r="B75" s="41" t="n">
        <f aca="false">CHOOSE($C$6,C75,D75,E75)</f>
        <v>26</v>
      </c>
      <c r="C75" s="20" t="n">
        <v>26</v>
      </c>
      <c r="D75" s="20" t="n">
        <v>32</v>
      </c>
      <c r="E75" s="20" t="n">
        <v>21</v>
      </c>
      <c r="F75" s="23" t="s">
        <v>103</v>
      </c>
      <c r="G75" s="9" t="s">
        <v>332</v>
      </c>
    </row>
    <row r="76" customFormat="false" ht="15" hidden="false" customHeight="false" outlineLevel="0" collapsed="false">
      <c r="A76" s="0" t="s">
        <v>334</v>
      </c>
      <c r="B76" s="41" t="n">
        <f aca="false">CHOOSE($C$6,C76,D76,E76)</f>
        <v>30</v>
      </c>
      <c r="C76" s="20" t="n">
        <v>30</v>
      </c>
      <c r="D76" s="20" t="n">
        <v>36</v>
      </c>
      <c r="E76" s="20" t="n">
        <v>24</v>
      </c>
      <c r="F76" s="23" t="s">
        <v>103</v>
      </c>
      <c r="G76" s="9" t="s">
        <v>332</v>
      </c>
    </row>
    <row r="77" customFormat="false" ht="15" hidden="false" customHeight="false" outlineLevel="0" collapsed="false">
      <c r="A77" s="0" t="s">
        <v>335</v>
      </c>
      <c r="B77" s="38" t="n">
        <f aca="false">Assumptions!$B$81/(Assumptions!$B$81+Assumptions!$B$82+Assumptions!$B$83)</f>
        <v>0.626084007279636</v>
      </c>
      <c r="F77" s="23" t="s">
        <v>336</v>
      </c>
      <c r="G77" s="9" t="s">
        <v>337</v>
      </c>
    </row>
    <row r="78" customFormat="false" ht="15" hidden="false" customHeight="false" outlineLevel="0" collapsed="false">
      <c r="A78" s="0" t="s">
        <v>338</v>
      </c>
      <c r="B78" s="38" t="n">
        <f aca="false">Assumptions!$B$82/(Assumptions!$B$81+Assumptions!$B$82+Assumptions!$B$83)</f>
        <v>0.132405993819994</v>
      </c>
      <c r="F78" s="23" t="s">
        <v>336</v>
      </c>
      <c r="G78" s="9" t="s">
        <v>337</v>
      </c>
    </row>
    <row r="79" customFormat="false" ht="15" hidden="false" customHeight="false" outlineLevel="0" collapsed="false">
      <c r="A79" s="0" t="s">
        <v>339</v>
      </c>
      <c r="B79" s="38" t="n">
        <f aca="false">Assumptions!$B$83/(Assumptions!$B$81+Assumptions!$B$82+Assumptions!$B$83)</f>
        <v>0.24150999890037</v>
      </c>
      <c r="F79" s="23" t="s">
        <v>336</v>
      </c>
      <c r="G79" s="9" t="s">
        <v>337</v>
      </c>
    </row>
    <row r="81" customFormat="false" ht="18" hidden="false" customHeight="true" outlineLevel="0" collapsed="false">
      <c r="A81" s="12" t="s">
        <v>361</v>
      </c>
      <c r="B81" s="13"/>
      <c r="C81" s="13"/>
      <c r="D81" s="13"/>
      <c r="E81" s="13"/>
    </row>
    <row r="82" customFormat="false" ht="15" hidden="false" customHeight="false" outlineLevel="0" collapsed="false">
      <c r="A82" s="14" t="s">
        <v>362</v>
      </c>
      <c r="B82" s="14" t="s">
        <v>363</v>
      </c>
      <c r="C82" s="14" t="s">
        <v>364</v>
      </c>
      <c r="D82" s="14" t="s">
        <v>365</v>
      </c>
    </row>
    <row r="83" customFormat="false" ht="15" hidden="false" customHeight="false" outlineLevel="0" collapsed="false">
      <c r="A83" s="0" t="s">
        <v>340</v>
      </c>
      <c r="B83" s="31" t="n">
        <f aca="false">IF($C$83="Prepaid",1,0)</f>
        <v>0</v>
      </c>
      <c r="C83" s="37" t="s">
        <v>366</v>
      </c>
      <c r="D83" s="23" t="s">
        <v>367</v>
      </c>
      <c r="G83" s="9" t="s">
        <v>342</v>
      </c>
    </row>
    <row r="84" customFormat="false" ht="15" hidden="false" customHeight="false" outlineLevel="0" collapsed="false">
      <c r="A84" s="0" t="s">
        <v>343</v>
      </c>
      <c r="B84" s="31" t="n">
        <f aca="false">IF($C$84="ON",1,0)</f>
        <v>1</v>
      </c>
      <c r="C84" s="37" t="s">
        <v>368</v>
      </c>
      <c r="D84" s="23" t="s">
        <v>368</v>
      </c>
      <c r="G84" s="9" t="s">
        <v>344</v>
      </c>
    </row>
  </sheetData>
  <dataValidations count="3">
    <dataValidation allowBlank="false" errorStyle="stop" operator="between" showDropDown="false" showErrorMessage="false" showInputMessage="false" sqref="B6" type="list">
      <formula1>"Base,Aggressive,Conservative"</formula1>
      <formula2>0</formula2>
    </dataValidation>
    <dataValidation allowBlank="false" errorStyle="stop" operator="between" showDropDown="false" showErrorMessage="false" showInputMessage="false" sqref="C83" type="list">
      <formula1>"Credit,Prepaid"</formula1>
      <formula2>0</formula2>
    </dataValidation>
    <dataValidation allowBlank="false" errorStyle="stop" operator="between" showDropDown="false" showErrorMessage="false" showInputMessage="false" sqref="C84" type="list">
      <formula1>"ON,OFF"</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1" min="3" style="0" width="13"/>
  </cols>
  <sheetData>
    <row r="1" customFormat="false" ht="22.05" hidden="false" customHeight="false" outlineLevel="0" collapsed="false">
      <c r="A1" s="10" t="str">
        <f aca="false">Cover!$B$2</f>
        <v>Aurumix Revenue Model</v>
      </c>
    </row>
    <row r="2" customFormat="false" ht="15" hidden="false" customHeight="false" outlineLevel="0" collapsed="false">
      <c r="A2" s="3" t="s">
        <v>369</v>
      </c>
      <c r="B2" s="23" t="s">
        <v>370</v>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ustomFormat="false" ht="15" hidden="false" customHeight="false" outlineLevel="0" collapsed="false">
      <c r="A3" s="3" t="s">
        <v>371</v>
      </c>
      <c r="B3" s="23" t="s">
        <v>372</v>
      </c>
      <c r="C3" s="42" t="s">
        <v>373</v>
      </c>
      <c r="D3" s="42" t="s">
        <v>374</v>
      </c>
      <c r="E3" s="42" t="s">
        <v>375</v>
      </c>
      <c r="F3" s="42" t="s">
        <v>376</v>
      </c>
      <c r="G3" s="42" t="s">
        <v>377</v>
      </c>
      <c r="H3" s="42" t="s">
        <v>378</v>
      </c>
      <c r="I3" s="42" t="s">
        <v>379</v>
      </c>
      <c r="J3" s="42" t="s">
        <v>380</v>
      </c>
      <c r="K3" s="42" t="s">
        <v>381</v>
      </c>
      <c r="L3" s="42" t="s">
        <v>382</v>
      </c>
      <c r="M3" s="42" t="s">
        <v>383</v>
      </c>
      <c r="N3" s="42" t="s">
        <v>384</v>
      </c>
      <c r="O3" s="42" t="s">
        <v>385</v>
      </c>
      <c r="P3" s="42" t="s">
        <v>386</v>
      </c>
      <c r="Q3" s="42" t="s">
        <v>387</v>
      </c>
      <c r="R3" s="42" t="s">
        <v>388</v>
      </c>
      <c r="S3" s="42" t="s">
        <v>389</v>
      </c>
      <c r="T3" s="42" t="s">
        <v>390</v>
      </c>
      <c r="U3" s="42" t="s">
        <v>391</v>
      </c>
      <c r="V3" s="42" t="s">
        <v>392</v>
      </c>
      <c r="W3" s="42" t="s">
        <v>393</v>
      </c>
      <c r="X3" s="42" t="s">
        <v>394</v>
      </c>
      <c r="Y3" s="42" t="s">
        <v>395</v>
      </c>
      <c r="Z3" s="42" t="s">
        <v>396</v>
      </c>
      <c r="AA3" s="42" t="s">
        <v>397</v>
      </c>
      <c r="AB3" s="42" t="s">
        <v>398</v>
      </c>
      <c r="AC3" s="42" t="s">
        <v>399</v>
      </c>
      <c r="AD3" s="42" t="s">
        <v>400</v>
      </c>
      <c r="AE3" s="42" t="s">
        <v>401</v>
      </c>
    </row>
    <row r="4" customFormat="false" ht="15" hidden="false" customHeight="false" outlineLevel="0" collapsed="false">
      <c r="A4" s="6" t="s">
        <v>402</v>
      </c>
      <c r="B4" s="23" t="s">
        <v>372</v>
      </c>
      <c r="C4" s="43" t="s">
        <v>403</v>
      </c>
      <c r="D4" s="43" t="s">
        <v>403</v>
      </c>
      <c r="E4" s="43" t="s">
        <v>403</v>
      </c>
      <c r="F4" s="43" t="s">
        <v>403</v>
      </c>
      <c r="G4" s="43" t="s">
        <v>403</v>
      </c>
      <c r="H4" s="43" t="s">
        <v>403</v>
      </c>
      <c r="I4" s="43" t="s">
        <v>403</v>
      </c>
      <c r="J4" s="43" t="s">
        <v>403</v>
      </c>
      <c r="K4" s="43" t="s">
        <v>403</v>
      </c>
      <c r="L4" s="43" t="s">
        <v>403</v>
      </c>
      <c r="M4" s="43" t="s">
        <v>403</v>
      </c>
      <c r="N4" s="43" t="s">
        <v>403</v>
      </c>
      <c r="O4" s="43" t="s">
        <v>403</v>
      </c>
      <c r="P4" s="43" t="s">
        <v>403</v>
      </c>
      <c r="Q4" s="43" t="s">
        <v>403</v>
      </c>
      <c r="R4" s="43" t="s">
        <v>403</v>
      </c>
      <c r="S4" s="43" t="s">
        <v>403</v>
      </c>
      <c r="T4" s="43" t="s">
        <v>403</v>
      </c>
      <c r="U4" s="43" t="s">
        <v>403</v>
      </c>
      <c r="V4" s="43" t="s">
        <v>403</v>
      </c>
      <c r="W4" s="43" t="s">
        <v>403</v>
      </c>
      <c r="X4" s="43" t="s">
        <v>403</v>
      </c>
      <c r="Y4" s="43" t="s">
        <v>403</v>
      </c>
      <c r="Z4" s="43" t="s">
        <v>403</v>
      </c>
      <c r="AA4" s="43" t="s">
        <v>404</v>
      </c>
      <c r="AB4" s="43" t="s">
        <v>404</v>
      </c>
      <c r="AC4" s="43" t="s">
        <v>404</v>
      </c>
      <c r="AD4" s="43" t="s">
        <v>404</v>
      </c>
      <c r="AE4" s="43" t="s">
        <v>404</v>
      </c>
    </row>
    <row r="5" customFormat="false" ht="15" hidden="false" customHeight="false" outlineLevel="0" collapsed="false">
      <c r="A5" s="6" t="s">
        <v>405</v>
      </c>
      <c r="B5" s="23" t="s">
        <v>406</v>
      </c>
      <c r="C5" s="44" t="n">
        <v>1</v>
      </c>
      <c r="D5" s="44" t="n">
        <v>1</v>
      </c>
      <c r="E5" s="44" t="n">
        <v>1</v>
      </c>
      <c r="F5" s="44" t="n">
        <v>1</v>
      </c>
      <c r="G5" s="44" t="n">
        <v>1</v>
      </c>
      <c r="H5" s="44" t="n">
        <v>1</v>
      </c>
      <c r="I5" s="44" t="n">
        <v>1</v>
      </c>
      <c r="J5" s="44" t="n">
        <v>1</v>
      </c>
      <c r="K5" s="44" t="n">
        <v>1</v>
      </c>
      <c r="L5" s="44" t="n">
        <v>1</v>
      </c>
      <c r="M5" s="44" t="n">
        <v>1</v>
      </c>
      <c r="N5" s="44" t="n">
        <v>1</v>
      </c>
      <c r="O5" s="44" t="n">
        <v>2</v>
      </c>
      <c r="P5" s="44" t="n">
        <v>2</v>
      </c>
      <c r="Q5" s="44" t="n">
        <v>2</v>
      </c>
      <c r="R5" s="44" t="n">
        <v>2</v>
      </c>
      <c r="S5" s="44" t="n">
        <v>2</v>
      </c>
      <c r="T5" s="44" t="n">
        <v>2</v>
      </c>
      <c r="U5" s="44" t="n">
        <v>2</v>
      </c>
      <c r="V5" s="44" t="n">
        <v>2</v>
      </c>
      <c r="W5" s="44" t="n">
        <v>2</v>
      </c>
      <c r="X5" s="44" t="n">
        <v>2</v>
      </c>
      <c r="Y5" s="44" t="n">
        <v>2</v>
      </c>
      <c r="Z5" s="44" t="n">
        <v>2</v>
      </c>
      <c r="AA5" s="44" t="n">
        <v>3</v>
      </c>
      <c r="AB5" s="44" t="n">
        <v>4</v>
      </c>
      <c r="AC5" s="44" t="n">
        <v>5</v>
      </c>
      <c r="AD5" s="44" t="n">
        <v>6</v>
      </c>
      <c r="AE5" s="44" t="n">
        <v>7</v>
      </c>
    </row>
    <row r="6" customFormat="false" ht="15" hidden="false" customHeight="false" outlineLevel="0" collapsed="false">
      <c r="A6" s="6" t="s">
        <v>407</v>
      </c>
      <c r="B6" s="23" t="s">
        <v>408</v>
      </c>
      <c r="C6" s="44" t="n">
        <v>1</v>
      </c>
      <c r="D6" s="44" t="n">
        <v>2</v>
      </c>
      <c r="E6" s="44" t="n">
        <v>3</v>
      </c>
      <c r="F6" s="44" t="n">
        <v>4</v>
      </c>
      <c r="G6" s="44" t="n">
        <v>5</v>
      </c>
      <c r="H6" s="44" t="n">
        <v>6</v>
      </c>
      <c r="I6" s="44" t="n">
        <v>7</v>
      </c>
      <c r="J6" s="44" t="n">
        <v>8</v>
      </c>
      <c r="K6" s="44" t="n">
        <v>9</v>
      </c>
      <c r="L6" s="44" t="n">
        <v>10</v>
      </c>
      <c r="M6" s="44" t="n">
        <v>11</v>
      </c>
      <c r="N6" s="44" t="n">
        <v>12</v>
      </c>
      <c r="O6" s="44" t="n">
        <v>1</v>
      </c>
      <c r="P6" s="44" t="n">
        <v>2</v>
      </c>
      <c r="Q6" s="44" t="n">
        <v>3</v>
      </c>
      <c r="R6" s="44" t="n">
        <v>4</v>
      </c>
      <c r="S6" s="44" t="n">
        <v>5</v>
      </c>
      <c r="T6" s="44" t="n">
        <v>6</v>
      </c>
      <c r="U6" s="44" t="n">
        <v>7</v>
      </c>
      <c r="V6" s="44" t="n">
        <v>8</v>
      </c>
      <c r="W6" s="44" t="n">
        <v>9</v>
      </c>
      <c r="X6" s="44" t="n">
        <v>10</v>
      </c>
      <c r="Y6" s="44" t="n">
        <v>11</v>
      </c>
      <c r="Z6" s="44" t="n">
        <v>12</v>
      </c>
      <c r="AA6" s="44" t="n">
        <v>0</v>
      </c>
      <c r="AB6" s="44" t="n">
        <v>0</v>
      </c>
      <c r="AC6" s="44" t="n">
        <v>0</v>
      </c>
      <c r="AD6" s="44" t="n">
        <v>0</v>
      </c>
      <c r="AE6" s="44" t="n">
        <v>0</v>
      </c>
    </row>
    <row r="7" customFormat="false" ht="15" hidden="false" customHeight="false" outlineLevel="0" collapsed="false">
      <c r="A7" s="6" t="s">
        <v>409</v>
      </c>
      <c r="B7" s="23" t="s">
        <v>259</v>
      </c>
      <c r="C7" s="44" t="n">
        <v>1</v>
      </c>
      <c r="D7" s="44" t="n">
        <v>1</v>
      </c>
      <c r="E7" s="44" t="n">
        <v>1</v>
      </c>
      <c r="F7" s="44" t="n">
        <v>1</v>
      </c>
      <c r="G7" s="44" t="n">
        <v>1</v>
      </c>
      <c r="H7" s="44" t="n">
        <v>1</v>
      </c>
      <c r="I7" s="44" t="n">
        <v>1</v>
      </c>
      <c r="J7" s="44" t="n">
        <v>1</v>
      </c>
      <c r="K7" s="44" t="n">
        <v>1</v>
      </c>
      <c r="L7" s="44" t="n">
        <v>1</v>
      </c>
      <c r="M7" s="44" t="n">
        <v>1</v>
      </c>
      <c r="N7" s="44" t="n">
        <v>1</v>
      </c>
      <c r="O7" s="44" t="n">
        <v>1</v>
      </c>
      <c r="P7" s="44" t="n">
        <v>1</v>
      </c>
      <c r="Q7" s="44" t="n">
        <v>1</v>
      </c>
      <c r="R7" s="44" t="n">
        <v>1</v>
      </c>
      <c r="S7" s="44" t="n">
        <v>1</v>
      </c>
      <c r="T7" s="44" t="n">
        <v>1</v>
      </c>
      <c r="U7" s="44" t="n">
        <v>1</v>
      </c>
      <c r="V7" s="44" t="n">
        <v>1</v>
      </c>
      <c r="W7" s="44" t="n">
        <v>1</v>
      </c>
      <c r="X7" s="44" t="n">
        <v>1</v>
      </c>
      <c r="Y7" s="44" t="n">
        <v>1</v>
      </c>
      <c r="Z7" s="44" t="n">
        <v>1</v>
      </c>
      <c r="AA7" s="44" t="n">
        <v>12</v>
      </c>
      <c r="AB7" s="44" t="n">
        <v>12</v>
      </c>
      <c r="AC7" s="44" t="n">
        <v>12</v>
      </c>
      <c r="AD7" s="44" t="n">
        <v>12</v>
      </c>
      <c r="AE7" s="44" t="n">
        <v>12</v>
      </c>
    </row>
    <row r="8" customFormat="false" ht="15" hidden="false" customHeight="false" outlineLevel="0" collapsed="false">
      <c r="A8" s="6" t="s">
        <v>410</v>
      </c>
      <c r="B8" s="23" t="s">
        <v>411</v>
      </c>
      <c r="C8" s="44" t="n">
        <v>0</v>
      </c>
      <c r="D8" s="44" t="n">
        <v>0</v>
      </c>
      <c r="E8" s="44" t="n">
        <v>0</v>
      </c>
      <c r="F8" s="44" t="n">
        <v>0</v>
      </c>
      <c r="G8" s="44" t="n">
        <v>0</v>
      </c>
      <c r="H8" s="44" t="n">
        <v>0</v>
      </c>
      <c r="I8" s="44" t="n">
        <v>0</v>
      </c>
      <c r="J8" s="44" t="n">
        <v>0</v>
      </c>
      <c r="K8" s="44" t="n">
        <v>0</v>
      </c>
      <c r="L8" s="44" t="n">
        <v>0</v>
      </c>
      <c r="M8" s="44" t="n">
        <v>0</v>
      </c>
      <c r="N8" s="44" t="n">
        <v>1</v>
      </c>
      <c r="O8" s="44" t="n">
        <v>0</v>
      </c>
      <c r="P8" s="44" t="n">
        <v>0</v>
      </c>
      <c r="Q8" s="44" t="n">
        <v>0</v>
      </c>
      <c r="R8" s="44" t="n">
        <v>0</v>
      </c>
      <c r="S8" s="44" t="n">
        <v>0</v>
      </c>
      <c r="T8" s="44" t="n">
        <v>0</v>
      </c>
      <c r="U8" s="44" t="n">
        <v>0</v>
      </c>
      <c r="V8" s="44" t="n">
        <v>0</v>
      </c>
      <c r="W8" s="44" t="n">
        <v>0</v>
      </c>
      <c r="X8" s="44" t="n">
        <v>0</v>
      </c>
      <c r="Y8" s="44" t="n">
        <v>0</v>
      </c>
      <c r="Z8" s="44" t="n">
        <v>1</v>
      </c>
      <c r="AA8" s="44" t="n">
        <v>1</v>
      </c>
      <c r="AB8" s="44" t="n">
        <v>1</v>
      </c>
      <c r="AC8" s="44" t="n">
        <v>1</v>
      </c>
      <c r="AD8" s="44" t="n">
        <v>1</v>
      </c>
      <c r="AE8" s="44" t="n">
        <v>1</v>
      </c>
    </row>
    <row r="10" customFormat="false" ht="15" hidden="false" customHeight="false" outlineLevel="0" collapsed="false">
      <c r="A10" s="45" t="s">
        <v>412</v>
      </c>
      <c r="B10" s="46"/>
      <c r="C10" s="46"/>
      <c r="D10" s="46"/>
      <c r="E10" s="46"/>
      <c r="F10" s="46"/>
      <c r="G10" s="46"/>
      <c r="H10" s="46"/>
      <c r="I10" s="46"/>
      <c r="J10" s="46"/>
      <c r="K10" s="46"/>
      <c r="L10" s="46"/>
      <c r="M10" s="46"/>
      <c r="N10" s="46"/>
      <c r="O10" s="46"/>
      <c r="P10" s="46"/>
      <c r="Q10" s="46"/>
      <c r="R10" s="46"/>
      <c r="S10" s="46"/>
      <c r="T10" s="46"/>
      <c r="U10" s="46"/>
      <c r="V10" s="46"/>
      <c r="W10" s="46"/>
      <c r="X10" s="46"/>
      <c r="Y10" s="46"/>
      <c r="Z10" s="46"/>
      <c r="AA10" s="46"/>
      <c r="AB10" s="46"/>
      <c r="AC10" s="46"/>
      <c r="AD10" s="46"/>
      <c r="AE10" s="46"/>
    </row>
    <row r="11" customFormat="false" ht="15" hidden="false" customHeight="false" outlineLevel="0" collapsed="false">
      <c r="A11" s="0" t="s">
        <v>413</v>
      </c>
      <c r="B11" s="23" t="s">
        <v>414</v>
      </c>
      <c r="C11" s="47" t="n">
        <f aca="false">(1+(Assumptions!$F$58-1)*Assumptions!$B$124)*12/SUMPRODUCT(1+(Assumptions!$F$58:$Q$58-1)*Assumptions!$B$124)</f>
        <v>1.01</v>
      </c>
      <c r="D11" s="47" t="n">
        <f aca="false">(1+(Assumptions!$G$58-1)*Assumptions!$B$124)*12/SUMPRODUCT(1+(Assumptions!$F$58:$Q$58-1)*Assumptions!$B$124)</f>
        <v>0.96</v>
      </c>
      <c r="E11" s="47" t="n">
        <f aca="false">(1+(Assumptions!$H$58-1)*Assumptions!$B$124)*12/SUMPRODUCT(1+(Assumptions!$F$58:$Q$58-1)*Assumptions!$B$124)</f>
        <v>0.92</v>
      </c>
      <c r="F11" s="47" t="n">
        <f aca="false">(1+(Assumptions!$I$58-1)*Assumptions!$B$124)*12/SUMPRODUCT(1+(Assumptions!$F$58:$Q$58-1)*Assumptions!$B$124)</f>
        <v>1.15</v>
      </c>
      <c r="G11" s="47" t="n">
        <f aca="false">(1+(Assumptions!$J$58-1)*Assumptions!$B$124)*12/SUMPRODUCT(1+(Assumptions!$F$58:$Q$58-1)*Assumptions!$B$124)</f>
        <v>1.04</v>
      </c>
      <c r="H11" s="47" t="n">
        <f aca="false">(1+(Assumptions!$K$58-1)*Assumptions!$B$124)*12/SUMPRODUCT(1+(Assumptions!$F$58:$Q$58-1)*Assumptions!$B$124)</f>
        <v>0.88</v>
      </c>
      <c r="I11" s="47" t="n">
        <f aca="false">(1+(Assumptions!$L$58-1)*Assumptions!$B$124)*12/SUMPRODUCT(1+(Assumptions!$F$58:$Q$58-1)*Assumptions!$B$124)</f>
        <v>0.85</v>
      </c>
      <c r="J11" s="47" t="n">
        <f aca="false">(1+(Assumptions!$M$58-1)*Assumptions!$B$124)*12/SUMPRODUCT(1+(Assumptions!$F$58:$Q$58-1)*Assumptions!$B$124)</f>
        <v>0.85</v>
      </c>
      <c r="K11" s="47" t="n">
        <f aca="false">(1+(Assumptions!$N$58-1)*Assumptions!$B$124)*12/SUMPRODUCT(1+(Assumptions!$F$58:$Q$58-1)*Assumptions!$B$124)</f>
        <v>0.93</v>
      </c>
      <c r="L11" s="47" t="n">
        <f aca="false">(1+(Assumptions!$O$58-1)*Assumptions!$B$124)*12/SUMPRODUCT(1+(Assumptions!$F$58:$Q$58-1)*Assumptions!$B$124)</f>
        <v>1.25</v>
      </c>
      <c r="M11" s="47" t="n">
        <f aca="false">(1+(Assumptions!$P$58-1)*Assumptions!$B$124)*12/SUMPRODUCT(1+(Assumptions!$F$58:$Q$58-1)*Assumptions!$B$124)</f>
        <v>1.15</v>
      </c>
      <c r="N11" s="47" t="n">
        <f aca="false">(1+(Assumptions!$Q$58-1)*Assumptions!$B$124)*12/SUMPRODUCT(1+(Assumptions!$F$58:$Q$58-1)*Assumptions!$B$124)</f>
        <v>1.01</v>
      </c>
    </row>
    <row r="12" customFormat="false" ht="15" hidden="false" customHeight="false" outlineLevel="0" collapsed="false">
      <c r="A12" s="0" t="s">
        <v>415</v>
      </c>
      <c r="B12" s="23" t="s">
        <v>414</v>
      </c>
      <c r="C12" s="47" t="n">
        <f aca="false">(1+(Assumptions!$F$59-1)*Assumptions!$B$124)*12/SUMPRODUCT(1+(Assumptions!$F$59:$Q$59-1)*Assumptions!$B$124)</f>
        <v>1.1</v>
      </c>
      <c r="D12" s="47" t="n">
        <f aca="false">(1+(Assumptions!$G$59-1)*Assumptions!$B$124)*12/SUMPRODUCT(1+(Assumptions!$F$59:$Q$59-1)*Assumptions!$B$124)</f>
        <v>1</v>
      </c>
      <c r="E12" s="47" t="n">
        <f aca="false">(1+(Assumptions!$H$59-1)*Assumptions!$B$124)*12/SUMPRODUCT(1+(Assumptions!$F$59:$Q$59-1)*Assumptions!$B$124)</f>
        <v>0.98</v>
      </c>
      <c r="F12" s="47" t="n">
        <f aca="false">(1+(Assumptions!$I$59-1)*Assumptions!$B$124)*12/SUMPRODUCT(1+(Assumptions!$F$59:$Q$59-1)*Assumptions!$B$124)</f>
        <v>0.98</v>
      </c>
      <c r="G12" s="47" t="n">
        <f aca="false">(1+(Assumptions!$J$59-1)*Assumptions!$B$124)*12/SUMPRODUCT(1+(Assumptions!$F$59:$Q$59-1)*Assumptions!$B$124)</f>
        <v>1</v>
      </c>
      <c r="H12" s="47" t="n">
        <f aca="false">(1+(Assumptions!$K$59-1)*Assumptions!$B$124)*12/SUMPRODUCT(1+(Assumptions!$F$59:$Q$59-1)*Assumptions!$B$124)</f>
        <v>0.95</v>
      </c>
      <c r="I12" s="47" t="n">
        <f aca="false">(1+(Assumptions!$L$59-1)*Assumptions!$B$124)*12/SUMPRODUCT(1+(Assumptions!$F$59:$Q$59-1)*Assumptions!$B$124)</f>
        <v>0.88</v>
      </c>
      <c r="J12" s="47" t="n">
        <f aca="false">(1+(Assumptions!$M$59-1)*Assumptions!$B$124)*12/SUMPRODUCT(1+(Assumptions!$F$59:$Q$59-1)*Assumptions!$B$124)</f>
        <v>0.9</v>
      </c>
      <c r="K12" s="47" t="n">
        <f aca="false">(1+(Assumptions!$N$59-1)*Assumptions!$B$124)*12/SUMPRODUCT(1+(Assumptions!$F$59:$Q$59-1)*Assumptions!$B$124)</f>
        <v>1</v>
      </c>
      <c r="L12" s="47" t="n">
        <f aca="false">(1+(Assumptions!$O$59-1)*Assumptions!$B$124)*12/SUMPRODUCT(1+(Assumptions!$F$59:$Q$59-1)*Assumptions!$B$124)</f>
        <v>1.02</v>
      </c>
      <c r="M12" s="47" t="n">
        <f aca="false">(1+(Assumptions!$P$59-1)*Assumptions!$B$124)*12/SUMPRODUCT(1+(Assumptions!$F$59:$Q$59-1)*Assumptions!$B$124)</f>
        <v>1.05</v>
      </c>
      <c r="N12" s="47" t="n">
        <f aca="false">(1+(Assumptions!$Q$59-1)*Assumptions!$B$124)*12/SUMPRODUCT(1+(Assumptions!$F$59:$Q$59-1)*Assumptions!$B$124)</f>
        <v>1.14</v>
      </c>
    </row>
    <row r="13" customFormat="false" ht="15" hidden="false" customHeight="false" outlineLevel="0" collapsed="false">
      <c r="A13" s="0" t="s">
        <v>416</v>
      </c>
      <c r="B13" s="23" t="s">
        <v>414</v>
      </c>
      <c r="C13" s="48" t="n">
        <f aca="false">Assumptions!$F$60/AVERAGE(Assumptions!$F$60:$Q$60)*Assumptions!$B$138</f>
        <v>0.256603773584906</v>
      </c>
      <c r="D13" s="48" t="n">
        <f aca="false">Assumptions!$G$60/AVERAGE(Assumptions!$F$60:$Q$60)*Assumptions!$B$138</f>
        <v>0.256603773584906</v>
      </c>
      <c r="E13" s="48" t="n">
        <f aca="false">Assumptions!$H$60/AVERAGE(Assumptions!$F$60:$Q$60)*Assumptions!$B$138</f>
        <v>0.256603773584906</v>
      </c>
      <c r="F13" s="48" t="n">
        <f aca="false">Assumptions!$I$60/AVERAGE(Assumptions!$F$60:$Q$60)*Assumptions!$B$138</f>
        <v>0.273710691823899</v>
      </c>
      <c r="G13" s="48" t="n">
        <f aca="false">Assumptions!$J$60/AVERAGE(Assumptions!$F$60:$Q$60)*Assumptions!$B$138</f>
        <v>0.290817610062893</v>
      </c>
      <c r="H13" s="48" t="n">
        <f aca="false">Assumptions!$K$60/AVERAGE(Assumptions!$F$60:$Q$60)*Assumptions!$B$138</f>
        <v>0.470440251572327</v>
      </c>
      <c r="I13" s="48" t="n">
        <f aca="false">Assumptions!$L$60/AVERAGE(Assumptions!$F$60:$Q$60)*Assumptions!$B$138</f>
        <v>0.513207547169811</v>
      </c>
      <c r="J13" s="48" t="n">
        <f aca="false">Assumptions!$M$60/AVERAGE(Assumptions!$F$60:$Q$60)*Assumptions!$B$138</f>
        <v>0.478993710691824</v>
      </c>
      <c r="K13" s="48" t="n">
        <f aca="false">Assumptions!$N$60/AVERAGE(Assumptions!$F$60:$Q$60)*Assumptions!$B$138</f>
        <v>0.307924528301887</v>
      </c>
      <c r="L13" s="48" t="n">
        <f aca="false">Assumptions!$O$60/AVERAGE(Assumptions!$F$60:$Q$60)*Assumptions!$B$138</f>
        <v>0.359245283018868</v>
      </c>
      <c r="M13" s="48" t="n">
        <f aca="false">Assumptions!$P$60/AVERAGE(Assumptions!$F$60:$Q$60)*Assumptions!$B$138</f>
        <v>0.342138364779874</v>
      </c>
      <c r="N13" s="48" t="n">
        <f aca="false">Assumptions!$Q$60/AVERAGE(Assumptions!$F$60:$Q$60)*Assumptions!$B$138</f>
        <v>0.273710691823899</v>
      </c>
    </row>
    <row r="14" customFormat="false" ht="15" hidden="false" customHeight="false" outlineLevel="0" collapsed="false">
      <c r="A14" s="3" t="s">
        <v>417</v>
      </c>
      <c r="B14" s="23" t="s">
        <v>418</v>
      </c>
      <c r="C14" s="49" t="n">
        <f aca="false">SUM($C$11:$N$11)</f>
        <v>12</v>
      </c>
      <c r="D14" s="49" t="n">
        <f aca="false">SUM($C$12:$N$12)</f>
        <v>12</v>
      </c>
    </row>
    <row r="15" customFormat="false" ht="15" hidden="false" customHeight="false" outlineLevel="0" collapsed="false">
      <c r="A15" s="6" t="s">
        <v>419</v>
      </c>
      <c r="B15" s="23" t="s">
        <v>420</v>
      </c>
      <c r="C15" s="50" t="n">
        <f aca="false">IF(C7=1,INDEX($C$11:$N$11,1,C6),1)</f>
        <v>1.01</v>
      </c>
      <c r="D15" s="50" t="n">
        <f aca="false">IF(D7=1,INDEX($C$11:$N$11,1,D6),1)</f>
        <v>0.96</v>
      </c>
      <c r="E15" s="50" t="n">
        <f aca="false">IF(E7=1,INDEX($C$11:$N$11,1,E6),1)</f>
        <v>0.92</v>
      </c>
      <c r="F15" s="50" t="n">
        <f aca="false">IF(F7=1,INDEX($C$11:$N$11,1,F6),1)</f>
        <v>1.15</v>
      </c>
      <c r="G15" s="50" t="n">
        <f aca="false">IF(G7=1,INDEX($C$11:$N$11,1,G6),1)</f>
        <v>1.04</v>
      </c>
      <c r="H15" s="50" t="n">
        <f aca="false">IF(H7=1,INDEX($C$11:$N$11,1,H6),1)</f>
        <v>0.88</v>
      </c>
      <c r="I15" s="50" t="n">
        <f aca="false">IF(I7=1,INDEX($C$11:$N$11,1,I6),1)</f>
        <v>0.85</v>
      </c>
      <c r="J15" s="50" t="n">
        <f aca="false">IF(J7=1,INDEX($C$11:$N$11,1,J6),1)</f>
        <v>0.85</v>
      </c>
      <c r="K15" s="50" t="n">
        <f aca="false">IF(K7=1,INDEX($C$11:$N$11,1,K6),1)</f>
        <v>0.93</v>
      </c>
      <c r="L15" s="50" t="n">
        <f aca="false">IF(L7=1,INDEX($C$11:$N$11,1,L6),1)</f>
        <v>1.25</v>
      </c>
      <c r="M15" s="50" t="n">
        <f aca="false">IF(M7=1,INDEX($C$11:$N$11,1,M6),1)</f>
        <v>1.15</v>
      </c>
      <c r="N15" s="50" t="n">
        <f aca="false">IF(N7=1,INDEX($C$11:$N$11,1,N6),1)</f>
        <v>1.01</v>
      </c>
      <c r="O15" s="50" t="n">
        <f aca="false">IF(O7=1,INDEX($C$11:$N$11,1,O6),1)</f>
        <v>1.01</v>
      </c>
      <c r="P15" s="50" t="n">
        <f aca="false">IF(P7=1,INDEX($C$11:$N$11,1,P6),1)</f>
        <v>0.96</v>
      </c>
      <c r="Q15" s="50" t="n">
        <f aca="false">IF(Q7=1,INDEX($C$11:$N$11,1,Q6),1)</f>
        <v>0.92</v>
      </c>
      <c r="R15" s="50" t="n">
        <f aca="false">IF(R7=1,INDEX($C$11:$N$11,1,R6),1)</f>
        <v>1.15</v>
      </c>
      <c r="S15" s="50" t="n">
        <f aca="false">IF(S7=1,INDEX($C$11:$N$11,1,S6),1)</f>
        <v>1.04</v>
      </c>
      <c r="T15" s="50" t="n">
        <f aca="false">IF(T7=1,INDEX($C$11:$N$11,1,T6),1)</f>
        <v>0.88</v>
      </c>
      <c r="U15" s="50" t="n">
        <f aca="false">IF(U7=1,INDEX($C$11:$N$11,1,U6),1)</f>
        <v>0.85</v>
      </c>
      <c r="V15" s="50" t="n">
        <f aca="false">IF(V7=1,INDEX($C$11:$N$11,1,V6),1)</f>
        <v>0.85</v>
      </c>
      <c r="W15" s="50" t="n">
        <f aca="false">IF(W7=1,INDEX($C$11:$N$11,1,W6),1)</f>
        <v>0.93</v>
      </c>
      <c r="X15" s="50" t="n">
        <f aca="false">IF(X7=1,INDEX($C$11:$N$11,1,X6),1)</f>
        <v>1.25</v>
      </c>
      <c r="Y15" s="50" t="n">
        <f aca="false">IF(Y7=1,INDEX($C$11:$N$11,1,Y6),1)</f>
        <v>1.15</v>
      </c>
      <c r="Z15" s="50" t="n">
        <f aca="false">IF(Z7=1,INDEX($C$11:$N$11,1,Z6),1)</f>
        <v>1.01</v>
      </c>
      <c r="AA15" s="50" t="n">
        <f aca="false">IF(AA7=1,INDEX($C$11:$N$11,1,AA6),1)</f>
        <v>1</v>
      </c>
      <c r="AB15" s="50" t="n">
        <f aca="false">IF(AB7=1,INDEX($C$11:$N$11,1,AB6),1)</f>
        <v>1</v>
      </c>
      <c r="AC15" s="50" t="n">
        <f aca="false">IF(AC7=1,INDEX($C$11:$N$11,1,AC6),1)</f>
        <v>1</v>
      </c>
      <c r="AD15" s="50" t="n">
        <f aca="false">IF(AD7=1,INDEX($C$11:$N$11,1,AD6),1)</f>
        <v>1</v>
      </c>
      <c r="AE15" s="50" t="n">
        <f aca="false">IF(AE7=1,INDEX($C$11:$N$11,1,AE6),1)</f>
        <v>1</v>
      </c>
    </row>
    <row r="16" customFormat="false" ht="15" hidden="false" customHeight="false" outlineLevel="0" collapsed="false">
      <c r="A16" s="6" t="s">
        <v>421</v>
      </c>
      <c r="B16" s="23" t="s">
        <v>420</v>
      </c>
      <c r="C16" s="50" t="n">
        <f aca="false">IF(C7=1,INDEX($C$12:$N$12,1,C6),1)</f>
        <v>1.1</v>
      </c>
      <c r="D16" s="50" t="n">
        <f aca="false">IF(D7=1,INDEX($C$12:$N$12,1,D6),1)</f>
        <v>1</v>
      </c>
      <c r="E16" s="50" t="n">
        <f aca="false">IF(E7=1,INDEX($C$12:$N$12,1,E6),1)</f>
        <v>0.98</v>
      </c>
      <c r="F16" s="50" t="n">
        <f aca="false">IF(F7=1,INDEX($C$12:$N$12,1,F6),1)</f>
        <v>0.98</v>
      </c>
      <c r="G16" s="50" t="n">
        <f aca="false">IF(G7=1,INDEX($C$12:$N$12,1,G6),1)</f>
        <v>1</v>
      </c>
      <c r="H16" s="50" t="n">
        <f aca="false">IF(H7=1,INDEX($C$12:$N$12,1,H6),1)</f>
        <v>0.95</v>
      </c>
      <c r="I16" s="50" t="n">
        <f aca="false">IF(I7=1,INDEX($C$12:$N$12,1,I6),1)</f>
        <v>0.88</v>
      </c>
      <c r="J16" s="50" t="n">
        <f aca="false">IF(J7=1,INDEX($C$12:$N$12,1,J6),1)</f>
        <v>0.9</v>
      </c>
      <c r="K16" s="50" t="n">
        <f aca="false">IF(K7=1,INDEX($C$12:$N$12,1,K6),1)</f>
        <v>1</v>
      </c>
      <c r="L16" s="50" t="n">
        <f aca="false">IF(L7=1,INDEX($C$12:$N$12,1,L6),1)</f>
        <v>1.02</v>
      </c>
      <c r="M16" s="50" t="n">
        <f aca="false">IF(M7=1,INDEX($C$12:$N$12,1,M6),1)</f>
        <v>1.05</v>
      </c>
      <c r="N16" s="50" t="n">
        <f aca="false">IF(N7=1,INDEX($C$12:$N$12,1,N6),1)</f>
        <v>1.14</v>
      </c>
      <c r="O16" s="50" t="n">
        <f aca="false">IF(O7=1,INDEX($C$12:$N$12,1,O6),1)</f>
        <v>1.1</v>
      </c>
      <c r="P16" s="50" t="n">
        <f aca="false">IF(P7=1,INDEX($C$12:$N$12,1,P6),1)</f>
        <v>1</v>
      </c>
      <c r="Q16" s="50" t="n">
        <f aca="false">IF(Q7=1,INDEX($C$12:$N$12,1,Q6),1)</f>
        <v>0.98</v>
      </c>
      <c r="R16" s="50" t="n">
        <f aca="false">IF(R7=1,INDEX($C$12:$N$12,1,R6),1)</f>
        <v>0.98</v>
      </c>
      <c r="S16" s="50" t="n">
        <f aca="false">IF(S7=1,INDEX($C$12:$N$12,1,S6),1)</f>
        <v>1</v>
      </c>
      <c r="T16" s="50" t="n">
        <f aca="false">IF(T7=1,INDEX($C$12:$N$12,1,T6),1)</f>
        <v>0.95</v>
      </c>
      <c r="U16" s="50" t="n">
        <f aca="false">IF(U7=1,INDEX($C$12:$N$12,1,U6),1)</f>
        <v>0.88</v>
      </c>
      <c r="V16" s="50" t="n">
        <f aca="false">IF(V7=1,INDEX($C$12:$N$12,1,V6),1)</f>
        <v>0.9</v>
      </c>
      <c r="W16" s="50" t="n">
        <f aca="false">IF(W7=1,INDEX($C$12:$N$12,1,W6),1)</f>
        <v>1</v>
      </c>
      <c r="X16" s="50" t="n">
        <f aca="false">IF(X7=1,INDEX($C$12:$N$12,1,X6),1)</f>
        <v>1.02</v>
      </c>
      <c r="Y16" s="50" t="n">
        <f aca="false">IF(Y7=1,INDEX($C$12:$N$12,1,Y6),1)</f>
        <v>1.05</v>
      </c>
      <c r="Z16" s="50" t="n">
        <f aca="false">IF(Z7=1,INDEX($C$12:$N$12,1,Z6),1)</f>
        <v>1.14</v>
      </c>
      <c r="AA16" s="50" t="n">
        <f aca="false">IF(AA7=1,INDEX($C$12:$N$12,1,AA6),1)</f>
        <v>1</v>
      </c>
      <c r="AB16" s="50" t="n">
        <f aca="false">IF(AB7=1,INDEX($C$12:$N$12,1,AB6),1)</f>
        <v>1</v>
      </c>
      <c r="AC16" s="50" t="n">
        <f aca="false">IF(AC7=1,INDEX($C$12:$N$12,1,AC6),1)</f>
        <v>1</v>
      </c>
      <c r="AD16" s="50" t="n">
        <f aca="false">IF(AD7=1,INDEX($C$12:$N$12,1,AD6),1)</f>
        <v>1</v>
      </c>
      <c r="AE16" s="50" t="n">
        <f aca="false">IF(AE7=1,INDEX($C$12:$N$12,1,AE6),1)</f>
        <v>1</v>
      </c>
    </row>
    <row r="17" customFormat="false" ht="15" hidden="false" customHeight="false" outlineLevel="0" collapsed="false">
      <c r="A17" s="6" t="s">
        <v>422</v>
      </c>
      <c r="B17" s="23" t="s">
        <v>226</v>
      </c>
      <c r="C17" s="51" t="n">
        <f aca="false">IF(C7=1,INDEX($C$13:$N$13,1,C6),AVERAGE($C$13:$N$13))</f>
        <v>0.256603773584906</v>
      </c>
      <c r="D17" s="51" t="n">
        <f aca="false">IF(D7=1,INDEX($C$13:$N$13,1,D6),AVERAGE($C$13:$N$13))</f>
        <v>0.256603773584906</v>
      </c>
      <c r="E17" s="51" t="n">
        <f aca="false">IF(E7=1,INDEX($C$13:$N$13,1,E6),AVERAGE($C$13:$N$13))</f>
        <v>0.256603773584906</v>
      </c>
      <c r="F17" s="51" t="n">
        <f aca="false">IF(F7=1,INDEX($C$13:$N$13,1,F6),AVERAGE($C$13:$N$13))</f>
        <v>0.273710691823899</v>
      </c>
      <c r="G17" s="51" t="n">
        <f aca="false">IF(G7=1,INDEX($C$13:$N$13,1,G6),AVERAGE($C$13:$N$13))</f>
        <v>0.290817610062893</v>
      </c>
      <c r="H17" s="51" t="n">
        <f aca="false">IF(H7=1,INDEX($C$13:$N$13,1,H6),AVERAGE($C$13:$N$13))</f>
        <v>0.470440251572327</v>
      </c>
      <c r="I17" s="51" t="n">
        <f aca="false">IF(I7=1,INDEX($C$13:$N$13,1,I6),AVERAGE($C$13:$N$13))</f>
        <v>0.513207547169811</v>
      </c>
      <c r="J17" s="51" t="n">
        <f aca="false">IF(J7=1,INDEX($C$13:$N$13,1,J6),AVERAGE($C$13:$N$13))</f>
        <v>0.478993710691824</v>
      </c>
      <c r="K17" s="51" t="n">
        <f aca="false">IF(K7=1,INDEX($C$13:$N$13,1,K6),AVERAGE($C$13:$N$13))</f>
        <v>0.307924528301887</v>
      </c>
      <c r="L17" s="51" t="n">
        <f aca="false">IF(L7=1,INDEX($C$13:$N$13,1,L6),AVERAGE($C$13:$N$13))</f>
        <v>0.359245283018868</v>
      </c>
      <c r="M17" s="51" t="n">
        <f aca="false">IF(M7=1,INDEX($C$13:$N$13,1,M6),AVERAGE($C$13:$N$13))</f>
        <v>0.342138364779874</v>
      </c>
      <c r="N17" s="51" t="n">
        <f aca="false">IF(N7=1,INDEX($C$13:$N$13,1,N6),AVERAGE($C$13:$N$13))</f>
        <v>0.273710691823899</v>
      </c>
      <c r="O17" s="51" t="n">
        <f aca="false">IF(O7=1,INDEX($C$13:$N$13,1,O6),AVERAGE($C$13:$N$13))</f>
        <v>0.256603773584906</v>
      </c>
      <c r="P17" s="51" t="n">
        <f aca="false">IF(P7=1,INDEX($C$13:$N$13,1,P6),AVERAGE($C$13:$N$13))</f>
        <v>0.256603773584906</v>
      </c>
      <c r="Q17" s="51" t="n">
        <f aca="false">IF(Q7=1,INDEX($C$13:$N$13,1,Q6),AVERAGE($C$13:$N$13))</f>
        <v>0.256603773584906</v>
      </c>
      <c r="R17" s="51" t="n">
        <f aca="false">IF(R7=1,INDEX($C$13:$N$13,1,R6),AVERAGE($C$13:$N$13))</f>
        <v>0.273710691823899</v>
      </c>
      <c r="S17" s="51" t="n">
        <f aca="false">IF(S7=1,INDEX($C$13:$N$13,1,S6),AVERAGE($C$13:$N$13))</f>
        <v>0.290817610062893</v>
      </c>
      <c r="T17" s="51" t="n">
        <f aca="false">IF(T7=1,INDEX($C$13:$N$13,1,T6),AVERAGE($C$13:$N$13))</f>
        <v>0.470440251572327</v>
      </c>
      <c r="U17" s="51" t="n">
        <f aca="false">IF(U7=1,INDEX($C$13:$N$13,1,U6),AVERAGE($C$13:$N$13))</f>
        <v>0.513207547169811</v>
      </c>
      <c r="V17" s="51" t="n">
        <f aca="false">IF(V7=1,INDEX($C$13:$N$13,1,V6),AVERAGE($C$13:$N$13))</f>
        <v>0.478993710691824</v>
      </c>
      <c r="W17" s="51" t="n">
        <f aca="false">IF(W7=1,INDEX($C$13:$N$13,1,W6),AVERAGE($C$13:$N$13))</f>
        <v>0.307924528301887</v>
      </c>
      <c r="X17" s="51" t="n">
        <f aca="false">IF(X7=1,INDEX($C$13:$N$13,1,X6),AVERAGE($C$13:$N$13))</f>
        <v>0.359245283018868</v>
      </c>
      <c r="Y17" s="51" t="n">
        <f aca="false">IF(Y7=1,INDEX($C$13:$N$13,1,Y6),AVERAGE($C$13:$N$13))</f>
        <v>0.342138364779874</v>
      </c>
      <c r="Z17" s="51" t="n">
        <f aca="false">IF(Z7=1,INDEX($C$13:$N$13,1,Z6),AVERAGE($C$13:$N$13))</f>
        <v>0.273710691823899</v>
      </c>
      <c r="AA17" s="51" t="n">
        <f aca="false">IF(AA7=1,INDEX($C$13:$N$13,1,AA6),AVERAGE($C$13:$N$13))</f>
        <v>0.34</v>
      </c>
      <c r="AB17" s="51" t="n">
        <f aca="false">IF(AB7=1,INDEX($C$13:$N$13,1,AB6),AVERAGE($C$13:$N$13))</f>
        <v>0.34</v>
      </c>
      <c r="AC17" s="51" t="n">
        <f aca="false">IF(AC7=1,INDEX($C$13:$N$13,1,AC6),AVERAGE($C$13:$N$13))</f>
        <v>0.34</v>
      </c>
      <c r="AD17" s="51" t="n">
        <f aca="false">IF(AD7=1,INDEX($C$13:$N$13,1,AD6),AVERAGE($C$13:$N$13))</f>
        <v>0.34</v>
      </c>
      <c r="AE17" s="51" t="n">
        <f aca="false">IF(AE7=1,INDEX($C$13:$N$13,1,AE6),AVERAGE($C$13:$N$13))</f>
        <v>0.34</v>
      </c>
    </row>
    <row r="19" customFormat="false" ht="15" hidden="false" customHeight="false" outlineLevel="0" collapsed="false">
      <c r="A19" s="45" t="s">
        <v>423</v>
      </c>
      <c r="B19" s="46"/>
      <c r="C19" s="46"/>
      <c r="D19" s="46"/>
      <c r="E19" s="46"/>
      <c r="F19" s="46"/>
      <c r="G19" s="46"/>
      <c r="H19" s="46"/>
      <c r="I19" s="46"/>
      <c r="J19" s="46"/>
      <c r="K19" s="46"/>
      <c r="L19" s="46"/>
      <c r="M19" s="46"/>
      <c r="N19" s="46"/>
      <c r="O19" s="46"/>
      <c r="P19" s="46"/>
      <c r="Q19" s="46"/>
      <c r="R19" s="46"/>
      <c r="S19" s="46"/>
      <c r="T19" s="46"/>
      <c r="U19" s="46"/>
      <c r="V19" s="46"/>
      <c r="W19" s="46"/>
      <c r="X19" s="46"/>
      <c r="Y19" s="46"/>
      <c r="Z19" s="46"/>
      <c r="AA19" s="46"/>
      <c r="AB19" s="46"/>
      <c r="AC19" s="46"/>
      <c r="AD19" s="46"/>
      <c r="AE19" s="46"/>
    </row>
    <row r="20" customFormat="false" ht="15" hidden="false" customHeight="false" outlineLevel="0" collapsed="false">
      <c r="A20" s="0" t="s">
        <v>424</v>
      </c>
      <c r="B20" s="23" t="s">
        <v>185</v>
      </c>
      <c r="C20" s="52" t="n">
        <f aca="false">INDEX(Assumptions!$B$85:$B$91,C5)*Assumptions!$B$114*INDEX(Assumptions!$B$99:$B$105,C5)*C7</f>
        <v>12</v>
      </c>
      <c r="D20" s="52" t="n">
        <f aca="false">INDEX(Assumptions!$B$85:$B$91,D5)*Assumptions!$B$114*INDEX(Assumptions!$B$99:$B$105,D5)*D7</f>
        <v>12</v>
      </c>
      <c r="E20" s="52" t="n">
        <f aca="false">INDEX(Assumptions!$B$85:$B$91,E5)*Assumptions!$B$114*INDEX(Assumptions!$B$99:$B$105,E5)*E7</f>
        <v>12</v>
      </c>
      <c r="F20" s="52" t="n">
        <f aca="false">INDEX(Assumptions!$B$85:$B$91,F5)*Assumptions!$B$114*INDEX(Assumptions!$B$99:$B$105,F5)*F7</f>
        <v>12</v>
      </c>
      <c r="G20" s="52" t="n">
        <f aca="false">INDEX(Assumptions!$B$85:$B$91,G5)*Assumptions!$B$114*INDEX(Assumptions!$B$99:$B$105,G5)*G7</f>
        <v>12</v>
      </c>
      <c r="H20" s="52" t="n">
        <f aca="false">INDEX(Assumptions!$B$85:$B$91,H5)*Assumptions!$B$114*INDEX(Assumptions!$B$99:$B$105,H5)*H7</f>
        <v>12</v>
      </c>
      <c r="I20" s="52" t="n">
        <f aca="false">INDEX(Assumptions!$B$85:$B$91,I5)*Assumptions!$B$114*INDEX(Assumptions!$B$99:$B$105,I5)*I7</f>
        <v>12</v>
      </c>
      <c r="J20" s="52" t="n">
        <f aca="false">INDEX(Assumptions!$B$85:$B$91,J5)*Assumptions!$B$114*INDEX(Assumptions!$B$99:$B$105,J5)*J7</f>
        <v>12</v>
      </c>
      <c r="K20" s="52" t="n">
        <f aca="false">INDEX(Assumptions!$B$85:$B$91,K5)*Assumptions!$B$114*INDEX(Assumptions!$B$99:$B$105,K5)*K7</f>
        <v>12</v>
      </c>
      <c r="L20" s="52" t="n">
        <f aca="false">INDEX(Assumptions!$B$85:$B$91,L5)*Assumptions!$B$114*INDEX(Assumptions!$B$99:$B$105,L5)*L7</f>
        <v>12</v>
      </c>
      <c r="M20" s="52" t="n">
        <f aca="false">INDEX(Assumptions!$B$85:$B$91,M5)*Assumptions!$B$114*INDEX(Assumptions!$B$99:$B$105,M5)*M7</f>
        <v>12</v>
      </c>
      <c r="N20" s="52" t="n">
        <f aca="false">INDEX(Assumptions!$B$85:$B$91,N5)*Assumptions!$B$114*INDEX(Assumptions!$B$99:$B$105,N5)*N7</f>
        <v>12</v>
      </c>
      <c r="O20" s="52" t="n">
        <f aca="false">INDEX(Assumptions!$B$85:$B$91,O5)*Assumptions!$B$114*INDEX(Assumptions!$B$99:$B$105,O5)*O7</f>
        <v>51</v>
      </c>
      <c r="P20" s="52" t="n">
        <f aca="false">INDEX(Assumptions!$B$85:$B$91,P5)*Assumptions!$B$114*INDEX(Assumptions!$B$99:$B$105,P5)*P7</f>
        <v>51</v>
      </c>
      <c r="Q20" s="52" t="n">
        <f aca="false">INDEX(Assumptions!$B$85:$B$91,Q5)*Assumptions!$B$114*INDEX(Assumptions!$B$99:$B$105,Q5)*Q7</f>
        <v>51</v>
      </c>
      <c r="R20" s="52" t="n">
        <f aca="false">INDEX(Assumptions!$B$85:$B$91,R5)*Assumptions!$B$114*INDEX(Assumptions!$B$99:$B$105,R5)*R7</f>
        <v>51</v>
      </c>
      <c r="S20" s="52" t="n">
        <f aca="false">INDEX(Assumptions!$B$85:$B$91,S5)*Assumptions!$B$114*INDEX(Assumptions!$B$99:$B$105,S5)*S7</f>
        <v>51</v>
      </c>
      <c r="T20" s="52" t="n">
        <f aca="false">INDEX(Assumptions!$B$85:$B$91,T5)*Assumptions!$B$114*INDEX(Assumptions!$B$99:$B$105,T5)*T7</f>
        <v>51</v>
      </c>
      <c r="U20" s="52" t="n">
        <f aca="false">INDEX(Assumptions!$B$85:$B$91,U5)*Assumptions!$B$114*INDEX(Assumptions!$B$99:$B$105,U5)*U7</f>
        <v>51</v>
      </c>
      <c r="V20" s="52" t="n">
        <f aca="false">INDEX(Assumptions!$B$85:$B$91,V5)*Assumptions!$B$114*INDEX(Assumptions!$B$99:$B$105,V5)*V7</f>
        <v>51</v>
      </c>
      <c r="W20" s="52" t="n">
        <f aca="false">INDEX(Assumptions!$B$85:$B$91,W5)*Assumptions!$B$114*INDEX(Assumptions!$B$99:$B$105,W5)*W7</f>
        <v>51</v>
      </c>
      <c r="X20" s="52" t="n">
        <f aca="false">INDEX(Assumptions!$B$85:$B$91,X5)*Assumptions!$B$114*INDEX(Assumptions!$B$99:$B$105,X5)*X7</f>
        <v>51</v>
      </c>
      <c r="Y20" s="52" t="n">
        <f aca="false">INDEX(Assumptions!$B$85:$B$91,Y5)*Assumptions!$B$114*INDEX(Assumptions!$B$99:$B$105,Y5)*Y7</f>
        <v>51</v>
      </c>
      <c r="Z20" s="52" t="n">
        <f aca="false">INDEX(Assumptions!$B$85:$B$91,Z5)*Assumptions!$B$114*INDEX(Assumptions!$B$99:$B$105,Z5)*Z7</f>
        <v>51</v>
      </c>
      <c r="AA20" s="52" t="n">
        <f aca="false">INDEX(Assumptions!$B$85:$B$91,AA5)*Assumptions!$B$114*INDEX(Assumptions!$B$99:$B$105,AA5)*AA7</f>
        <v>1920</v>
      </c>
      <c r="AB20" s="52" t="n">
        <f aca="false">INDEX(Assumptions!$B$85:$B$91,AB5)*Assumptions!$B$114*INDEX(Assumptions!$B$99:$B$105,AB5)*AB7</f>
        <v>2880</v>
      </c>
      <c r="AC20" s="52" t="n">
        <f aca="false">INDEX(Assumptions!$B$85:$B$91,AC5)*Assumptions!$B$114*INDEX(Assumptions!$B$99:$B$105,AC5)*AC7</f>
        <v>4320</v>
      </c>
      <c r="AD20" s="52" t="n">
        <f aca="false">INDEX(Assumptions!$B$85:$B$91,AD5)*Assumptions!$B$114*INDEX(Assumptions!$B$99:$B$105,AD5)*AD7</f>
        <v>5088</v>
      </c>
      <c r="AE20" s="52" t="n">
        <f aca="false">INDEX(Assumptions!$B$85:$B$91,AE5)*Assumptions!$B$114*INDEX(Assumptions!$B$99:$B$105,AE5)*AE7</f>
        <v>5952</v>
      </c>
    </row>
    <row r="21" customFormat="false" ht="15" hidden="false" customHeight="false" outlineLevel="0" collapsed="false">
      <c r="A21" s="6" t="s">
        <v>425</v>
      </c>
      <c r="B21" s="23" t="s">
        <v>426</v>
      </c>
      <c r="C21" s="47" t="n">
        <f aca="false">Assumptions!$B$106*1+Assumptions!$B$107*IF(C2&gt;=Assumptions!$B$53,1,0)+Assumptions!$B$108*IF(C2&gt;=Assumptions!$B$54,1,0)</f>
        <v>0.9</v>
      </c>
      <c r="D21" s="47" t="n">
        <f aca="false">Assumptions!$B$106*1+Assumptions!$B$107*IF(D2&gt;=Assumptions!$B$53,1,0)+Assumptions!$B$108*IF(D2&gt;=Assumptions!$B$54,1,0)</f>
        <v>0.9</v>
      </c>
      <c r="E21" s="47" t="n">
        <f aca="false">Assumptions!$B$106*1+Assumptions!$B$107*IF(E2&gt;=Assumptions!$B$53,1,0)+Assumptions!$B$108*IF(E2&gt;=Assumptions!$B$54,1,0)</f>
        <v>0.9</v>
      </c>
      <c r="F21" s="47" t="n">
        <f aca="false">Assumptions!$B$106*1+Assumptions!$B$107*IF(F2&gt;=Assumptions!$B$53,1,0)+Assumptions!$B$108*IF(F2&gt;=Assumptions!$B$54,1,0)</f>
        <v>0.9</v>
      </c>
      <c r="G21" s="47" t="n">
        <f aca="false">Assumptions!$B$106*1+Assumptions!$B$107*IF(G2&gt;=Assumptions!$B$53,1,0)+Assumptions!$B$108*IF(G2&gt;=Assumptions!$B$54,1,0)</f>
        <v>0.9</v>
      </c>
      <c r="H21" s="47" t="n">
        <f aca="false">Assumptions!$B$106*1+Assumptions!$B$107*IF(H2&gt;=Assumptions!$B$53,1,0)+Assumptions!$B$108*IF(H2&gt;=Assumptions!$B$54,1,0)</f>
        <v>0.9</v>
      </c>
      <c r="I21" s="47" t="n">
        <f aca="false">Assumptions!$B$106*1+Assumptions!$B$107*IF(I2&gt;=Assumptions!$B$53,1,0)+Assumptions!$B$108*IF(I2&gt;=Assumptions!$B$54,1,0)</f>
        <v>0.9</v>
      </c>
      <c r="J21" s="47" t="n">
        <f aca="false">Assumptions!$B$106*1+Assumptions!$B$107*IF(J2&gt;=Assumptions!$B$53,1,0)+Assumptions!$B$108*IF(J2&gt;=Assumptions!$B$54,1,0)</f>
        <v>0.9</v>
      </c>
      <c r="K21" s="47" t="n">
        <f aca="false">Assumptions!$B$106*1+Assumptions!$B$107*IF(K2&gt;=Assumptions!$B$53,1,0)+Assumptions!$B$108*IF(K2&gt;=Assumptions!$B$54,1,0)</f>
        <v>0.9</v>
      </c>
      <c r="L21" s="47" t="n">
        <f aca="false">Assumptions!$B$106*1+Assumptions!$B$107*IF(L2&gt;=Assumptions!$B$53,1,0)+Assumptions!$B$108*IF(L2&gt;=Assumptions!$B$54,1,0)</f>
        <v>0.9</v>
      </c>
      <c r="M21" s="47" t="n">
        <f aca="false">Assumptions!$B$106*1+Assumptions!$B$107*IF(M2&gt;=Assumptions!$B$53,1,0)+Assumptions!$B$108*IF(M2&gt;=Assumptions!$B$54,1,0)</f>
        <v>0.9</v>
      </c>
      <c r="N21" s="47" t="n">
        <f aca="false">Assumptions!$B$106*1+Assumptions!$B$107*IF(N2&gt;=Assumptions!$B$53,1,0)+Assumptions!$B$108*IF(N2&gt;=Assumptions!$B$54,1,0)</f>
        <v>0.9</v>
      </c>
      <c r="O21" s="47" t="n">
        <f aca="false">Assumptions!$B$106*1+Assumptions!$B$107*IF(O2&gt;=Assumptions!$B$53,1,0)+Assumptions!$B$108*IF(O2&gt;=Assumptions!$B$54,1,0)</f>
        <v>1</v>
      </c>
      <c r="P21" s="47" t="n">
        <f aca="false">Assumptions!$B$106*1+Assumptions!$B$107*IF(P2&gt;=Assumptions!$B$53,1,0)+Assumptions!$B$108*IF(P2&gt;=Assumptions!$B$54,1,0)</f>
        <v>1</v>
      </c>
      <c r="Q21" s="47" t="n">
        <f aca="false">Assumptions!$B$106*1+Assumptions!$B$107*IF(Q2&gt;=Assumptions!$B$53,1,0)+Assumptions!$B$108*IF(Q2&gt;=Assumptions!$B$54,1,0)</f>
        <v>1</v>
      </c>
      <c r="R21" s="47" t="n">
        <f aca="false">Assumptions!$B$106*1+Assumptions!$B$107*IF(R2&gt;=Assumptions!$B$53,1,0)+Assumptions!$B$108*IF(R2&gt;=Assumptions!$B$54,1,0)</f>
        <v>1</v>
      </c>
      <c r="S21" s="47" t="n">
        <f aca="false">Assumptions!$B$106*1+Assumptions!$B$107*IF(S2&gt;=Assumptions!$B$53,1,0)+Assumptions!$B$108*IF(S2&gt;=Assumptions!$B$54,1,0)</f>
        <v>1</v>
      </c>
      <c r="T21" s="47" t="n">
        <f aca="false">Assumptions!$B$106*1+Assumptions!$B$107*IF(T2&gt;=Assumptions!$B$53,1,0)+Assumptions!$B$108*IF(T2&gt;=Assumptions!$B$54,1,0)</f>
        <v>1</v>
      </c>
      <c r="U21" s="47" t="n">
        <f aca="false">Assumptions!$B$106*1+Assumptions!$B$107*IF(U2&gt;=Assumptions!$B$53,1,0)+Assumptions!$B$108*IF(U2&gt;=Assumptions!$B$54,1,0)</f>
        <v>1</v>
      </c>
      <c r="V21" s="47" t="n">
        <f aca="false">Assumptions!$B$106*1+Assumptions!$B$107*IF(V2&gt;=Assumptions!$B$53,1,0)+Assumptions!$B$108*IF(V2&gt;=Assumptions!$B$54,1,0)</f>
        <v>1</v>
      </c>
      <c r="W21" s="47" t="n">
        <f aca="false">Assumptions!$B$106*1+Assumptions!$B$107*IF(W2&gt;=Assumptions!$B$53,1,0)+Assumptions!$B$108*IF(W2&gt;=Assumptions!$B$54,1,0)</f>
        <v>1</v>
      </c>
      <c r="X21" s="47" t="n">
        <f aca="false">Assumptions!$B$106*1+Assumptions!$B$107*IF(X2&gt;=Assumptions!$B$53,1,0)+Assumptions!$B$108*IF(X2&gt;=Assumptions!$B$54,1,0)</f>
        <v>1</v>
      </c>
      <c r="Y21" s="47" t="n">
        <f aca="false">Assumptions!$B$106*1+Assumptions!$B$107*IF(Y2&gt;=Assumptions!$B$53,1,0)+Assumptions!$B$108*IF(Y2&gt;=Assumptions!$B$54,1,0)</f>
        <v>1</v>
      </c>
      <c r="Z21" s="47" t="n">
        <f aca="false">Assumptions!$B$106*1+Assumptions!$B$107*IF(Z2&gt;=Assumptions!$B$53,1,0)+Assumptions!$B$108*IF(Z2&gt;=Assumptions!$B$54,1,0)</f>
        <v>1</v>
      </c>
      <c r="AA21" s="47" t="n">
        <f aca="false">Assumptions!$B$106*1+Assumptions!$B$107*IF(AA2&gt;=Assumptions!$B$53,1,0)+Assumptions!$B$108*IF(AA2&gt;=Assumptions!$B$54,1,0)</f>
        <v>1</v>
      </c>
      <c r="AB21" s="47" t="n">
        <f aca="false">Assumptions!$B$106*1+Assumptions!$B$107*IF(AB2&gt;=Assumptions!$B$53,1,0)+Assumptions!$B$108*IF(AB2&gt;=Assumptions!$B$54,1,0)</f>
        <v>1</v>
      </c>
      <c r="AC21" s="47" t="n">
        <f aca="false">Assumptions!$B$106*1+Assumptions!$B$107*IF(AC2&gt;=Assumptions!$B$53,1,0)+Assumptions!$B$108*IF(AC2&gt;=Assumptions!$B$54,1,0)</f>
        <v>1</v>
      </c>
      <c r="AD21" s="47" t="n">
        <f aca="false">Assumptions!$B$106*1+Assumptions!$B$107*IF(AD2&gt;=Assumptions!$B$53,1,0)+Assumptions!$B$108*IF(AD2&gt;=Assumptions!$B$54,1,0)</f>
        <v>1</v>
      </c>
      <c r="AE21" s="47" t="n">
        <f aca="false">Assumptions!$B$106*1+Assumptions!$B$107*IF(AE2&gt;=Assumptions!$B$53,1,0)+Assumptions!$B$108*IF(AE2&gt;=Assumptions!$B$54,1,0)</f>
        <v>1</v>
      </c>
    </row>
    <row r="23" customFormat="false" ht="15" hidden="false" customHeight="false" outlineLevel="0" collapsed="false">
      <c r="A23" s="45" t="s">
        <v>427</v>
      </c>
      <c r="B23" s="46"/>
      <c r="C23" s="46"/>
      <c r="D23" s="46"/>
      <c r="E23" s="46"/>
      <c r="F23" s="46"/>
      <c r="G23" s="46"/>
      <c r="H23" s="46"/>
      <c r="I23" s="46"/>
      <c r="J23" s="46"/>
      <c r="K23" s="46"/>
      <c r="L23" s="46"/>
      <c r="M23" s="46"/>
      <c r="N23" s="46"/>
      <c r="O23" s="46"/>
      <c r="P23" s="46"/>
      <c r="Q23" s="46"/>
      <c r="R23" s="46"/>
      <c r="S23" s="46"/>
      <c r="T23" s="46"/>
      <c r="U23" s="46"/>
      <c r="V23" s="46"/>
      <c r="W23" s="46"/>
      <c r="X23" s="46"/>
      <c r="Y23" s="46"/>
      <c r="Z23" s="46"/>
      <c r="AA23" s="46"/>
      <c r="AB23" s="46"/>
      <c r="AC23" s="46"/>
      <c r="AD23" s="46"/>
      <c r="AE23" s="46"/>
    </row>
    <row r="24" customFormat="false" ht="15" hidden="false" customHeight="false" outlineLevel="0" collapsed="false">
      <c r="A24" s="6" t="s">
        <v>428</v>
      </c>
      <c r="B24" s="23" t="s">
        <v>185</v>
      </c>
      <c r="C24" s="52" t="n">
        <f aca="false">INDEX(Assumptions!$B$92:$B$98,C5)*Assumptions!$B$118/12*C7/Assumptions!$B$115*(1+Assumptions!$B$123)*1</f>
        <v>27.0666666666667</v>
      </c>
      <c r="D24" s="52" t="n">
        <f aca="false">INDEX(Assumptions!$B$92:$B$98,D5)*Assumptions!$B$118/12*D7/Assumptions!$B$115*(1+Assumptions!$B$123)*1</f>
        <v>27.0666666666667</v>
      </c>
      <c r="E24" s="52" t="n">
        <f aca="false">INDEX(Assumptions!$B$92:$B$98,E5)*Assumptions!$B$118/12*E7/Assumptions!$B$115*(1+Assumptions!$B$123)*1</f>
        <v>27.0666666666667</v>
      </c>
      <c r="F24" s="52" t="n">
        <f aca="false">INDEX(Assumptions!$B$92:$B$98,F5)*Assumptions!$B$118/12*F7/Assumptions!$B$115*(1+Assumptions!$B$123)*1</f>
        <v>27.0666666666667</v>
      </c>
      <c r="G24" s="52" t="n">
        <f aca="false">INDEX(Assumptions!$B$92:$B$98,G5)*Assumptions!$B$118/12*G7/Assumptions!$B$115*(1+Assumptions!$B$123)*1</f>
        <v>27.0666666666667</v>
      </c>
      <c r="H24" s="52" t="n">
        <f aca="false">INDEX(Assumptions!$B$92:$B$98,H5)*Assumptions!$B$118/12*H7/Assumptions!$B$115*(1+Assumptions!$B$123)*1</f>
        <v>27.0666666666667</v>
      </c>
      <c r="I24" s="52" t="n">
        <f aca="false">INDEX(Assumptions!$B$92:$B$98,I5)*Assumptions!$B$118/12*I7/Assumptions!$B$115*(1+Assumptions!$B$123)*1</f>
        <v>27.0666666666667</v>
      </c>
      <c r="J24" s="52" t="n">
        <f aca="false">INDEX(Assumptions!$B$92:$B$98,J5)*Assumptions!$B$118/12*J7/Assumptions!$B$115*(1+Assumptions!$B$123)*1</f>
        <v>27.0666666666667</v>
      </c>
      <c r="K24" s="52" t="n">
        <f aca="false">INDEX(Assumptions!$B$92:$B$98,K5)*Assumptions!$B$118/12*K7/Assumptions!$B$115*(1+Assumptions!$B$123)*1</f>
        <v>27.0666666666667</v>
      </c>
      <c r="L24" s="52" t="n">
        <f aca="false">INDEX(Assumptions!$B$92:$B$98,L5)*Assumptions!$B$118/12*L7/Assumptions!$B$115*(1+Assumptions!$B$123)*1</f>
        <v>27.0666666666667</v>
      </c>
      <c r="M24" s="52" t="n">
        <f aca="false">INDEX(Assumptions!$B$92:$B$98,M5)*Assumptions!$B$118/12*M7/Assumptions!$B$115*(1+Assumptions!$B$123)*1</f>
        <v>27.0666666666667</v>
      </c>
      <c r="N24" s="52" t="n">
        <f aca="false">INDEX(Assumptions!$B$92:$B$98,N5)*Assumptions!$B$118/12*N7/Assumptions!$B$115*(1+Assumptions!$B$123)*1</f>
        <v>27.0666666666667</v>
      </c>
      <c r="O24" s="52" t="n">
        <f aca="false">INDEX(Assumptions!$B$92:$B$98,O5)*Assumptions!$B$118/12*O7/Assumptions!$B$115*(1+Assumptions!$B$123)*1</f>
        <v>81.2</v>
      </c>
      <c r="P24" s="52" t="n">
        <f aca="false">INDEX(Assumptions!$B$92:$B$98,P5)*Assumptions!$B$118/12*P7/Assumptions!$B$115*(1+Assumptions!$B$123)*1</f>
        <v>81.2</v>
      </c>
      <c r="Q24" s="52" t="n">
        <f aca="false">INDEX(Assumptions!$B$92:$B$98,Q5)*Assumptions!$B$118/12*Q7/Assumptions!$B$115*(1+Assumptions!$B$123)*1</f>
        <v>81.2</v>
      </c>
      <c r="R24" s="52" t="n">
        <f aca="false">INDEX(Assumptions!$B$92:$B$98,R5)*Assumptions!$B$118/12*R7/Assumptions!$B$115*(1+Assumptions!$B$123)*1</f>
        <v>81.2</v>
      </c>
      <c r="S24" s="52" t="n">
        <f aca="false">INDEX(Assumptions!$B$92:$B$98,S5)*Assumptions!$B$118/12*S7/Assumptions!$B$115*(1+Assumptions!$B$123)*1</f>
        <v>81.2</v>
      </c>
      <c r="T24" s="52" t="n">
        <f aca="false">INDEX(Assumptions!$B$92:$B$98,T5)*Assumptions!$B$118/12*T7/Assumptions!$B$115*(1+Assumptions!$B$123)*1</f>
        <v>81.2</v>
      </c>
      <c r="U24" s="52" t="n">
        <f aca="false">INDEX(Assumptions!$B$92:$B$98,U5)*Assumptions!$B$118/12*U7/Assumptions!$B$115*(1+Assumptions!$B$123)*1</f>
        <v>81.2</v>
      </c>
      <c r="V24" s="52" t="n">
        <f aca="false">INDEX(Assumptions!$B$92:$B$98,V5)*Assumptions!$B$118/12*V7/Assumptions!$B$115*(1+Assumptions!$B$123)*1</f>
        <v>81.2</v>
      </c>
      <c r="W24" s="52" t="n">
        <f aca="false">INDEX(Assumptions!$B$92:$B$98,W5)*Assumptions!$B$118/12*W7/Assumptions!$B$115*(1+Assumptions!$B$123)*1</f>
        <v>81.2</v>
      </c>
      <c r="X24" s="52" t="n">
        <f aca="false">INDEX(Assumptions!$B$92:$B$98,X5)*Assumptions!$B$118/12*X7/Assumptions!$B$115*(1+Assumptions!$B$123)*1</f>
        <v>81.2</v>
      </c>
      <c r="Y24" s="52" t="n">
        <f aca="false">INDEX(Assumptions!$B$92:$B$98,Y5)*Assumptions!$B$118/12*Y7/Assumptions!$B$115*(1+Assumptions!$B$123)*1</f>
        <v>81.2</v>
      </c>
      <c r="Z24" s="52" t="n">
        <f aca="false">INDEX(Assumptions!$B$92:$B$98,Z5)*Assumptions!$B$118/12*Z7/Assumptions!$B$115*(1+Assumptions!$B$123)*1</f>
        <v>81.2</v>
      </c>
      <c r="AA24" s="52" t="n">
        <f aca="false">INDEX(Assumptions!$B$92:$B$98,AA5)*Assumptions!$B$118/12*AA7/Assumptions!$B$115*(1+Assumptions!$B$123)*1</f>
        <v>1353.33333333333</v>
      </c>
      <c r="AB24" s="52" t="n">
        <f aca="false">INDEX(Assumptions!$B$92:$B$98,AB5)*Assumptions!$B$118/12*AB7/Assumptions!$B$115*(1+Assumptions!$B$123)*1</f>
        <v>2165.33333333333</v>
      </c>
      <c r="AC24" s="52" t="n">
        <f aca="false">INDEX(Assumptions!$B$92:$B$98,AC5)*Assumptions!$B$118/12*AC7/Assumptions!$B$115*(1+Assumptions!$B$123)*1</f>
        <v>3248</v>
      </c>
      <c r="AD24" s="52" t="n">
        <f aca="false">INDEX(Assumptions!$B$92:$B$98,AD5)*Assumptions!$B$118/12*AD7/Assumptions!$B$115*(1+Assumptions!$B$123)*1</f>
        <v>4601.33333333333</v>
      </c>
      <c r="AE24" s="52" t="n">
        <f aca="false">INDEX(Assumptions!$B$92:$B$98,AE5)*Assumptions!$B$118/12*AE7/Assumptions!$B$115*(1+Assumptions!$B$123)*1</f>
        <v>5954.66666666667</v>
      </c>
    </row>
    <row r="25" customFormat="false" ht="15" hidden="false" customHeight="false" outlineLevel="0" collapsed="false">
      <c r="A25" s="6" t="s">
        <v>429</v>
      </c>
      <c r="B25" s="23" t="s">
        <v>185</v>
      </c>
      <c r="C25" s="53" t="n">
        <v>0</v>
      </c>
      <c r="D25" s="53" t="n">
        <f aca="false">IF(D2&gt;=Assumptions!$B$52,C29*Assumptions!$B$121/12*Assumptions!$B$122*D7,0)</f>
        <v>0</v>
      </c>
      <c r="E25" s="53" t="n">
        <f aca="false">IF(E2&gt;=Assumptions!$B$52,D29*Assumptions!$B$121/12*Assumptions!$B$122*E7,0)</f>
        <v>0</v>
      </c>
      <c r="F25" s="53" t="n">
        <f aca="false">IF(F2&gt;=Assumptions!$B$52,E29*Assumptions!$B$121/12*Assumptions!$B$122*F7,0)</f>
        <v>0</v>
      </c>
      <c r="G25" s="53" t="n">
        <f aca="false">IF(G2&gt;=Assumptions!$B$52,F29*Assumptions!$B$121/12*Assumptions!$B$122*G7,0)</f>
        <v>0</v>
      </c>
      <c r="H25" s="53" t="n">
        <f aca="false">IF(H2&gt;=Assumptions!$B$52,G29*Assumptions!$B$121/12*Assumptions!$B$122*H7,0)</f>
        <v>0</v>
      </c>
      <c r="I25" s="53" t="n">
        <f aca="false">IF(I2&gt;=Assumptions!$B$52,H29*Assumptions!$B$121/12*Assumptions!$B$122*I7,0)</f>
        <v>0</v>
      </c>
      <c r="J25" s="53" t="n">
        <f aca="false">IF(J2&gt;=Assumptions!$B$52,I29*Assumptions!$B$121/12*Assumptions!$B$122*J7,0)</f>
        <v>0</v>
      </c>
      <c r="K25" s="53" t="n">
        <f aca="false">IF(K2&gt;=Assumptions!$B$52,J29*Assumptions!$B$121/12*Assumptions!$B$122*K7,0)</f>
        <v>0</v>
      </c>
      <c r="L25" s="53" t="n">
        <f aca="false">IF(L2&gt;=Assumptions!$B$52,K29*Assumptions!$B$121/12*Assumptions!$B$122*L7,0)</f>
        <v>0</v>
      </c>
      <c r="M25" s="53" t="n">
        <f aca="false">IF(M2&gt;=Assumptions!$B$52,L29*Assumptions!$B$121/12*Assumptions!$B$122*M7,0)</f>
        <v>0</v>
      </c>
      <c r="N25" s="53" t="n">
        <f aca="false">IF(N2&gt;=Assumptions!$B$52,M29*Assumptions!$B$121/12*Assumptions!$B$122*N7,0)</f>
        <v>0</v>
      </c>
      <c r="O25" s="53" t="n">
        <f aca="false">IF(O2&gt;=Assumptions!$B$52,N29*Assumptions!$B$121/12*Assumptions!$B$122*O7,0)</f>
        <v>6.96803325284786</v>
      </c>
      <c r="P25" s="53" t="n">
        <f aca="false">IF(P2&gt;=Assumptions!$B$52,O29*Assumptions!$B$121/12*Assumptions!$B$122*P7,0)</f>
        <v>9.1656369206826</v>
      </c>
      <c r="Q25" s="53" t="n">
        <f aca="false">IF(Q2&gt;=Assumptions!$B$52,P29*Assumptions!$B$121/12*Assumptions!$B$122*Q7,0)</f>
        <v>11.1761264135131</v>
      </c>
      <c r="R25" s="53" t="n">
        <f aca="false">IF(R2&gt;=Assumptions!$B$52,Q29*Assumptions!$B$121/12*Assumptions!$B$122*R7,0)</f>
        <v>13.0260384410312</v>
      </c>
      <c r="S25" s="53" t="n">
        <f aca="false">IF(S2&gt;=Assumptions!$B$52,R29*Assumptions!$B$121/12*Assumptions!$B$122*S7,0)</f>
        <v>15.4294515758652</v>
      </c>
      <c r="T25" s="53" t="n">
        <f aca="false">IF(T2&gt;=Assumptions!$B$52,S29*Assumptions!$B$121/12*Assumptions!$B$122*T7,0)</f>
        <v>17.4786108271667</v>
      </c>
      <c r="U25" s="53" t="n">
        <f aca="false">IF(U2&gt;=Assumptions!$B$52,T29*Assumptions!$B$121/12*Assumptions!$B$122*U7,0)</f>
        <v>19.0355091245906</v>
      </c>
      <c r="V25" s="53" t="n">
        <f aca="false">IF(V2&gt;=Assumptions!$B$52,U29*Assumptions!$B$121/12*Assumptions!$B$122*V7,0)</f>
        <v>20.4622397147055</v>
      </c>
      <c r="W25" s="53" t="n">
        <f aca="false">IF(W2&gt;=Assumptions!$B$52,V29*Assumptions!$B$121/12*Assumptions!$B$122*W7,0)</f>
        <v>21.8446750053401</v>
      </c>
      <c r="X25" s="53" t="n">
        <f aca="false">IF(X2&gt;=Assumptions!$B$52,W29*Assumptions!$B$121/12*Assumptions!$B$122*X7,0)</f>
        <v>23.4100267039616</v>
      </c>
      <c r="Y25" s="53" t="n">
        <f aca="false">IF(Y2&gt;=Assumptions!$B$52,X29*Assumptions!$B$121/12*Assumptions!$B$122*Y7,0)</f>
        <v>25.8433863312142</v>
      </c>
      <c r="Z25" s="53" t="n">
        <f aca="false">IF(Z2&gt;=Assumptions!$B$52,Y29*Assumptions!$B$121/12*Assumptions!$B$122*Z7,0)</f>
        <v>27.9307671810506</v>
      </c>
      <c r="AA25" s="53" t="n">
        <f aca="false">IF(AA2&gt;=Assumptions!$B$52,Z29*Assumptions!$B$121/12*Assumptions!$B$122*AA7,0)</f>
        <v>354.634860613615</v>
      </c>
      <c r="AB25" s="53" t="n">
        <f aca="false">IF(AB2&gt;=Assumptions!$B$52,AA29*Assumptions!$B$121/12*Assumptions!$B$122*AB7,0)</f>
        <v>718.558856547518</v>
      </c>
      <c r="AC25" s="53" t="n">
        <f aca="false">IF(AC2&gt;=Assumptions!$B$52,AB29*Assumptions!$B$121/12*Assumptions!$B$122*AC7,0)</f>
        <v>1226.70731110277</v>
      </c>
      <c r="AD25" s="53" t="n">
        <f aca="false">IF(AD2&gt;=Assumptions!$B$52,AC29*Assumptions!$B$121/12*Assumptions!$B$122*AD7,0)</f>
        <v>1904.49514806998</v>
      </c>
      <c r="AE25" s="53" t="n">
        <f aca="false">IF(AE2&gt;=Assumptions!$B$52,AD29*Assumptions!$B$121/12*Assumptions!$B$122*AE7,0)</f>
        <v>2637.28011002521</v>
      </c>
    </row>
    <row r="26" customFormat="false" ht="15" hidden="false" customHeight="false" outlineLevel="0" collapsed="false">
      <c r="A26" s="6" t="s">
        <v>430</v>
      </c>
      <c r="B26" s="23" t="s">
        <v>185</v>
      </c>
      <c r="C26" s="53" t="n">
        <f aca="false">C24+C25+IF(C21=0,0,C20*Assumptions!$B$106/C21*1)</f>
        <v>33.0666666666667</v>
      </c>
      <c r="D26" s="53" t="n">
        <f aca="false">D24+D25+IF(D21=0,0,D20*Assumptions!$B$106/D21*1)</f>
        <v>33.0666666666667</v>
      </c>
      <c r="E26" s="53" t="n">
        <f aca="false">E24+E25+IF(E21=0,0,E20*Assumptions!$B$106/E21*1)</f>
        <v>33.0666666666667</v>
      </c>
      <c r="F26" s="53" t="n">
        <f aca="false">F24+F25+IF(F21=0,0,F20*Assumptions!$B$106/F21*1)</f>
        <v>33.0666666666667</v>
      </c>
      <c r="G26" s="53" t="n">
        <f aca="false">G24+G25+IF(G21=0,0,G20*Assumptions!$B$106/G21*1)</f>
        <v>33.0666666666667</v>
      </c>
      <c r="H26" s="53" t="n">
        <f aca="false">H24+H25+IF(H21=0,0,H20*Assumptions!$B$106/H21*1)</f>
        <v>33.0666666666667</v>
      </c>
      <c r="I26" s="53" t="n">
        <f aca="false">I24+I25+IF(I21=0,0,I20*Assumptions!$B$106/I21*1)</f>
        <v>33.0666666666667</v>
      </c>
      <c r="J26" s="53" t="n">
        <f aca="false">J24+J25+IF(J21=0,0,J20*Assumptions!$B$106/J21*1)</f>
        <v>33.0666666666667</v>
      </c>
      <c r="K26" s="53" t="n">
        <f aca="false">K24+K25+IF(K21=0,0,K20*Assumptions!$B$106/K21*1)</f>
        <v>33.0666666666667</v>
      </c>
      <c r="L26" s="53" t="n">
        <f aca="false">L24+L25+IF(L21=0,0,L20*Assumptions!$B$106/L21*1)</f>
        <v>33.0666666666667</v>
      </c>
      <c r="M26" s="53" t="n">
        <f aca="false">M24+M25+IF(M21=0,0,M20*Assumptions!$B$106/M21*1)</f>
        <v>33.0666666666667</v>
      </c>
      <c r="N26" s="53" t="n">
        <f aca="false">N24+N25+IF(N21=0,0,N20*Assumptions!$B$106/N21*1)</f>
        <v>33.0666666666667</v>
      </c>
      <c r="O26" s="53" t="n">
        <f aca="false">O24+O25+IF(O21=0,0,O20*Assumptions!$B$106/O21*1)</f>
        <v>111.118033252848</v>
      </c>
      <c r="P26" s="53" t="n">
        <f aca="false">P24+P25+IF(P21=0,0,P20*Assumptions!$B$106/P21*1)</f>
        <v>113.315636920683</v>
      </c>
      <c r="Q26" s="53" t="n">
        <f aca="false">Q24+Q25+IF(Q21=0,0,Q20*Assumptions!$B$106/Q21*1)</f>
        <v>115.326126413513</v>
      </c>
      <c r="R26" s="53" t="n">
        <f aca="false">R24+R25+IF(R21=0,0,R20*Assumptions!$B$106/R21*1)</f>
        <v>117.176038441031</v>
      </c>
      <c r="S26" s="53" t="n">
        <f aca="false">S24+S25+IF(S21=0,0,S20*Assumptions!$B$106/S21*1)</f>
        <v>119.579451575865</v>
      </c>
      <c r="T26" s="53" t="n">
        <f aca="false">T24+T25+IF(T21=0,0,T20*Assumptions!$B$106/T21*1)</f>
        <v>121.628610827167</v>
      </c>
      <c r="U26" s="53" t="n">
        <f aca="false">U24+U25+IF(U21=0,0,U20*Assumptions!$B$106/U21*1)</f>
        <v>123.185509124591</v>
      </c>
      <c r="V26" s="53" t="n">
        <f aca="false">V24+V25+IF(V21=0,0,V20*Assumptions!$B$106/V21*1)</f>
        <v>124.612239714705</v>
      </c>
      <c r="W26" s="53" t="n">
        <f aca="false">W24+W25+IF(W21=0,0,W20*Assumptions!$B$106/W21*1)</f>
        <v>125.99467500534</v>
      </c>
      <c r="X26" s="53" t="n">
        <f aca="false">X24+X25+IF(X21=0,0,X20*Assumptions!$B$106/X21*1)</f>
        <v>127.560026703962</v>
      </c>
      <c r="Y26" s="53" t="n">
        <f aca="false">Y24+Y25+IF(Y21=0,0,Y20*Assumptions!$B$106/Y21*1)</f>
        <v>129.993386331214</v>
      </c>
      <c r="Z26" s="53" t="n">
        <f aca="false">Z24+Z25+IF(Z21=0,0,Z20*Assumptions!$B$106/Z21*1)</f>
        <v>132.080767181051</v>
      </c>
      <c r="AA26" s="53" t="n">
        <f aca="false">AA24+AA25+IF(AA21=0,0,AA20*Assumptions!$B$106/AA21*1)</f>
        <v>2571.96819394695</v>
      </c>
      <c r="AB26" s="53" t="n">
        <f aca="false">AB24+AB25+IF(AB21=0,0,AB20*Assumptions!$B$106/AB21*1)</f>
        <v>4179.89218988085</v>
      </c>
      <c r="AC26" s="53" t="n">
        <f aca="false">AC24+AC25+IF(AC21=0,0,AC20*Assumptions!$B$106/AC21*1)</f>
        <v>6418.70731110277</v>
      </c>
      <c r="AD26" s="53" t="n">
        <f aca="false">AD24+AD25+IF(AD21=0,0,AD20*Assumptions!$B$106/AD21*1)</f>
        <v>8795.42848140332</v>
      </c>
      <c r="AE26" s="53" t="n">
        <f aca="false">AE24+AE25+IF(AE21=0,0,AE20*Assumptions!$B$106/AE21*1)</f>
        <v>11270.3467766919</v>
      </c>
    </row>
    <row r="27" customFormat="false" ht="15" hidden="false" customHeight="false" outlineLevel="0" collapsed="false">
      <c r="A27" s="6" t="s">
        <v>431</v>
      </c>
      <c r="B27" s="23" t="s">
        <v>426</v>
      </c>
      <c r="C27" s="50" t="n">
        <v>1</v>
      </c>
      <c r="D27" s="50" t="n">
        <f aca="false">MAX(0,1-C32/Assumptions!$B$81)</f>
        <v>0.999705533265994</v>
      </c>
      <c r="E27" s="50" t="n">
        <f aca="false">MAX(0,1-D32/Assumptions!$B$81)</f>
        <v>0.999425726511129</v>
      </c>
      <c r="F27" s="50" t="n">
        <f aca="false">MAX(0,1-E32/Assumptions!$B$81)</f>
        <v>0.999157653422811</v>
      </c>
      <c r="G27" s="50" t="n">
        <f aca="false">MAX(0,1-F32/Assumptions!$B$81)</f>
        <v>0.998822651943004</v>
      </c>
      <c r="H27" s="50" t="n">
        <f aca="false">MAX(0,1-G32/Assumptions!$B$81)</f>
        <v>0.9985197956599</v>
      </c>
      <c r="I27" s="50" t="n">
        <f aca="false">MAX(0,1-H32/Assumptions!$B$81)</f>
        <v>0.998263610353465</v>
      </c>
      <c r="J27" s="50" t="n">
        <f aca="false">MAX(0,1-I32/Assumptions!$B$81)</f>
        <v>0.99801622212449</v>
      </c>
      <c r="K27" s="50" t="n">
        <f aca="false">MAX(0,1-J32/Assumptions!$B$81)</f>
        <v>0.997768895202904</v>
      </c>
      <c r="L27" s="50" t="n">
        <f aca="false">MAX(0,1-K32/Assumptions!$B$81)</f>
        <v>0.997498357514278</v>
      </c>
      <c r="M27" s="50" t="n">
        <f aca="false">MAX(0,1-L32/Assumptions!$B$81)</f>
        <v>0.997134830183197</v>
      </c>
      <c r="N27" s="50" t="n">
        <f aca="false">MAX(0,1-M32/Assumptions!$B$81)</f>
        <v>0.996800506923466</v>
      </c>
      <c r="O27" s="50" t="n">
        <f aca="false">MAX(0,1-N32/Assumptions!$B$81)</f>
        <v>0.996506982333737</v>
      </c>
      <c r="P27" s="50" t="n">
        <f aca="false">MAX(0,1-O32/Assumptions!$B$81)</f>
        <v>0.995520905594873</v>
      </c>
      <c r="Q27" s="50" t="n">
        <f aca="false">MAX(0,1-P32/Assumptions!$B$81)</f>
        <v>0.994566053929205</v>
      </c>
      <c r="R27" s="50" t="n">
        <f aca="false">MAX(0,1-Q32/Assumptions!$B$81)</f>
        <v>0.993635645550366</v>
      </c>
      <c r="S27" s="50" t="n">
        <f aca="false">MAX(0,1-R32/Assumptions!$B$81)</f>
        <v>0.992455085011201</v>
      </c>
      <c r="T27" s="50" t="n">
        <f aca="false">MAX(0,1-S32/Assumptions!$B$81)</f>
        <v>0.991366843705448</v>
      </c>
      <c r="U27" s="50" t="n">
        <f aca="false">MAX(0,1-T32/Assumptions!$B$81)</f>
        <v>0.990431271616902</v>
      </c>
      <c r="V27" s="50" t="n">
        <f aca="false">MAX(0,1-U32/Assumptions!$B$81)</f>
        <v>0.989516890305817</v>
      </c>
      <c r="W27" s="50" t="n">
        <f aca="false">MAX(0,1-V32/Assumptions!$B$81)</f>
        <v>0.988592772607888</v>
      </c>
      <c r="X27" s="50" t="n">
        <f aca="false">MAX(0,1-W32/Assumptions!$B$81)</f>
        <v>0.987571416904048</v>
      </c>
      <c r="Y27" s="50" t="n">
        <f aca="false">MAX(0,1-X32/Assumptions!$B$81)</f>
        <v>0.986183007410683</v>
      </c>
      <c r="Z27" s="50" t="n">
        <f aca="false">MAX(0,1-Y32/Assumptions!$B$81)</f>
        <v>0.984883133997607</v>
      </c>
      <c r="AA27" s="50" t="n">
        <f aca="false">MAX(0,1-Z32/Assumptions!$B$81)</f>
        <v>0.983724703172826</v>
      </c>
      <c r="AB27" s="50" t="n">
        <f aca="false">MAX(0,1-AA32/Assumptions!$B$81)</f>
        <v>0.961416549917982</v>
      </c>
      <c r="AC27" s="50" t="n">
        <f aca="false">MAX(0,1-AB32/Assumptions!$B$81)</f>
        <v>0.925984104849897</v>
      </c>
      <c r="AD27" s="50" t="n">
        <f aca="false">MAX(0,1-AC32/Assumptions!$B$81)</f>
        <v>0.87357876368061</v>
      </c>
      <c r="AE27" s="50" t="n">
        <f aca="false">MAX(0,1-AD32/Assumptions!$B$81)</f>
        <v>0.805832785510753</v>
      </c>
    </row>
    <row r="28" customFormat="false" ht="15" hidden="false" customHeight="false" outlineLevel="0" collapsed="false">
      <c r="A28" s="6" t="s">
        <v>432</v>
      </c>
      <c r="B28" s="23" t="s">
        <v>185</v>
      </c>
      <c r="C28" s="53" t="n">
        <f aca="false">C26*C27*C15</f>
        <v>33.3973333333333</v>
      </c>
      <c r="D28" s="53" t="n">
        <f aca="false">D26*D27*D15</f>
        <v>31.7346524479957</v>
      </c>
      <c r="E28" s="53" t="n">
        <f aca="false">E26*E27*E15</f>
        <v>30.4038631681039</v>
      </c>
      <c r="F28" s="53" t="n">
        <f aca="false">F26*F27*F15</f>
        <v>37.9946350341581</v>
      </c>
      <c r="G28" s="53" t="n">
        <f aca="false">G26*G27*G15</f>
        <v>34.348845118552</v>
      </c>
      <c r="H28" s="53" t="n">
        <f aca="false">H26*H27*H15</f>
        <v>29.0555946939756</v>
      </c>
      <c r="I28" s="53" t="n">
        <f aca="false">I26*I27*I15</f>
        <v>28.0578625416681</v>
      </c>
      <c r="J28" s="53" t="n">
        <f aca="false">J26*J27*J15</f>
        <v>28.050909283179</v>
      </c>
      <c r="K28" s="53" t="n">
        <f aca="false">K26*K27*K15</f>
        <v>30.6833890652797</v>
      </c>
      <c r="L28" s="53" t="n">
        <f aca="false">L26*L27*L15</f>
        <v>41.2299321105902</v>
      </c>
      <c r="M28" s="53" t="n">
        <f aca="false">M26*M27*M15</f>
        <v>37.9177138090997</v>
      </c>
      <c r="N28" s="53" t="n">
        <f aca="false">N26*N27*N15</f>
        <v>33.2904787965587</v>
      </c>
      <c r="O28" s="53" t="n">
        <f aca="false">O26*O27*O15</f>
        <v>111.837194959652</v>
      </c>
      <c r="P28" s="53" t="n">
        <f aca="false">P26*P27*P15</f>
        <v>108.295762065924</v>
      </c>
      <c r="Q28" s="53" t="n">
        <f aca="false">Q26*Q27*Q15</f>
        <v>105.523494425066</v>
      </c>
      <c r="R28" s="53" t="n">
        <f aca="false">R26*R27*R15</f>
        <v>133.894831889297</v>
      </c>
      <c r="S28" s="53" t="n">
        <f aca="false">S26*S27*S15</f>
        <v>123.424324170491</v>
      </c>
      <c r="T28" s="53" t="n">
        <f aca="false">T26*T27*T15</f>
        <v>106.109143377606</v>
      </c>
      <c r="U28" s="53" t="n">
        <f aca="false">U26*U27*U15</f>
        <v>103.705763379987</v>
      </c>
      <c r="V28" s="53" t="n">
        <f aca="false">V26*V27*V15</f>
        <v>104.810028546058</v>
      </c>
      <c r="W28" s="53" t="n">
        <f aca="false">W26*W27*W15</f>
        <v>115.838405340544</v>
      </c>
      <c r="X28" s="53" t="n">
        <f aca="false">X26*X27*X15</f>
        <v>157.468295390437</v>
      </c>
      <c r="Y28" s="53" t="n">
        <f aca="false">Y26*Y27*Y15</f>
        <v>147.426858976958</v>
      </c>
      <c r="Z28" s="53" t="n">
        <f aca="false">Z26*Z27*Z15</f>
        <v>131.384961121302</v>
      </c>
      <c r="AA28" s="53" t="n">
        <f aca="false">AA26*AA27*AA15</f>
        <v>2530.10864816041</v>
      </c>
      <c r="AB28" s="53" t="n">
        <f aca="false">AB26*AB27*AB15</f>
        <v>4018.61752822437</v>
      </c>
      <c r="AC28" s="53" t="n">
        <f aca="false">AC26*AC27*AC15</f>
        <v>5943.62094376499</v>
      </c>
      <c r="AD28" s="53" t="n">
        <f aca="false">AD26*AD27*AD15</f>
        <v>7683.49953882553</v>
      </c>
      <c r="AE28" s="53" t="n">
        <f aca="false">AE26*AE27*AE15</f>
        <v>9082.01493673375</v>
      </c>
    </row>
    <row r="29" customFormat="false" ht="15" hidden="false" customHeight="false" outlineLevel="0" collapsed="false">
      <c r="A29" s="6" t="s">
        <v>433</v>
      </c>
      <c r="B29" s="23" t="s">
        <v>185</v>
      </c>
      <c r="C29" s="28" t="n">
        <f aca="false">C28*(1-Assumptions!$B$113)^(C7/2)</f>
        <v>32.5756859856939</v>
      </c>
      <c r="D29" s="28" t="n">
        <f aca="false">C29*(1-Assumptions!$B$113)^D7+D28*(1-Assumptions!$B$113)^(D7/2)</f>
        <v>61.9464476140961</v>
      </c>
      <c r="E29" s="28" t="n">
        <f aca="false">D29*(1-Assumptions!$B$113)^E7+E28*(1-Assumptions!$B$113)^(E7/2)</f>
        <v>88.5917676747719</v>
      </c>
      <c r="F29" s="28" t="n">
        <f aca="false">E29*(1-Assumptions!$B$113)^F7+F28*(1-Assumptions!$B$113)^(F7/2)</f>
        <v>121.346171432711</v>
      </c>
      <c r="G29" s="28" t="n">
        <f aca="false">F29*(1-Assumptions!$B$113)^G7+G28*(1-Assumptions!$B$113)^(G7/2)</f>
        <v>148.952645093748</v>
      </c>
      <c r="H29" s="28" t="n">
        <f aca="false">G29*(1-Assumptions!$B$113)^H7+H28*(1-Assumptions!$B$113)^(H7/2)</f>
        <v>170.054444050603</v>
      </c>
      <c r="I29" s="28" t="n">
        <f aca="false">H29*(1-Assumptions!$B$113)^I7+I28*(1-Assumptions!$B$113)^(I7/2)</f>
        <v>189.157528786557</v>
      </c>
      <c r="J29" s="28" t="n">
        <f aca="false">I29*(1-Assumptions!$B$113)^J7+J28*(1-Assumptions!$B$113)^(J7/2)</f>
        <v>207.32543858484</v>
      </c>
      <c r="K29" s="28" t="n">
        <f aca="false">J29*(1-Assumptions!$B$113)^K7+K28*(1-Assumptions!$B$113)^(K7/2)</f>
        <v>227.178119329352</v>
      </c>
      <c r="L29" s="28" t="n">
        <f aca="false">K29*(1-Assumptions!$B$113)^L7+L28*(1-Assumptions!$B$113)^(L7/2)</f>
        <v>256.353052687468</v>
      </c>
      <c r="M29" s="28" t="n">
        <f aca="false">L29*(1-Assumptions!$B$113)^M7+M28*(1-Assumptions!$B$113)^(M7/2)</f>
        <v>280.879380015984</v>
      </c>
      <c r="N29" s="28" t="n">
        <f aca="false">M29*(1-Assumptions!$B$113)^N7+N28*(1-Assumptions!$B$113)^(N7/2)</f>
        <v>299.700354961198</v>
      </c>
      <c r="O29" s="28" t="n">
        <f aca="false">N29*(1-Assumptions!$B$113)^O7+O28*(1-Assumptions!$B$113)^(O7/2)</f>
        <v>394.220942825058</v>
      </c>
      <c r="P29" s="28" t="n">
        <f aca="false">O29*(1-Assumptions!$B$113)^P7+P28*(1-Assumptions!$B$113)^(P7/2)</f>
        <v>480.693609183359</v>
      </c>
      <c r="Q29" s="28" t="n">
        <f aca="false">P29*(1-Assumptions!$B$113)^Q7+Q28*(1-Assumptions!$B$113)^(Q7/2)</f>
        <v>560.259717893814</v>
      </c>
      <c r="R29" s="28" t="n">
        <f aca="false">Q29*(1-Assumptions!$B$113)^R7+R28*(1-Assumptions!$B$113)^(R7/2)</f>
        <v>663.632325843663</v>
      </c>
      <c r="S29" s="28" t="n">
        <f aca="false">R29*(1-Assumptions!$B$113)^S7+S28*(1-Assumptions!$B$113)^(S7/2)</f>
        <v>751.768207620075</v>
      </c>
      <c r="T29" s="28" t="n">
        <f aca="false">S29*(1-Assumptions!$B$113)^T7+T28*(1-Assumptions!$B$113)^(T7/2)</f>
        <v>818.731575251208</v>
      </c>
      <c r="U29" s="28" t="n">
        <f aca="false">T29*(1-Assumptions!$B$113)^U7+U28*(1-Assumptions!$B$113)^(U7/2)</f>
        <v>880.096331815289</v>
      </c>
      <c r="V29" s="28" t="n">
        <f aca="false">U29*(1-Assumptions!$B$113)^V7+V28*(1-Assumptions!$B$113)^(V7/2)</f>
        <v>939.555914208175</v>
      </c>
      <c r="W29" s="28" t="n">
        <f aca="false">V29*(1-Assumptions!$B$113)^W7+W28*(1-Assumptions!$B$113)^(W7/2)</f>
        <v>1006.8828689876</v>
      </c>
      <c r="X29" s="28" t="n">
        <f aca="false">W29*(1-Assumptions!$B$113)^X7+X28*(1-Assumptions!$B$113)^(X7/2)</f>
        <v>1111.54349811674</v>
      </c>
      <c r="Y29" s="28" t="n">
        <f aca="false">X29*(1-Assumptions!$B$113)^Y7+Y28*(1-Assumptions!$B$113)^(Y7/2)</f>
        <v>1201.32331961508</v>
      </c>
      <c r="Z29" s="28" t="n">
        <f aca="false">Y29*(1-Assumptions!$B$113)^Z7+Z28*(1-Assumptions!$B$113)^(Z7/2)</f>
        <v>1271.09269037138</v>
      </c>
      <c r="AA29" s="28" t="n">
        <f aca="false">Z29*(1-Assumptions!$B$113)^AA7+AA28*(1-Assumptions!$B$113)^(AA7/2)</f>
        <v>2575.47977257175</v>
      </c>
      <c r="AB29" s="28" t="n">
        <f aca="false">AA29*(1-Assumptions!$B$113)^AB7+AB28*(1-Assumptions!$B$113)^(AB7/2)</f>
        <v>4396.80039821783</v>
      </c>
      <c r="AC29" s="28" t="n">
        <f aca="false">AB29*(1-Assumptions!$B$113)^AC7+AC28*(1-Assumptions!$B$113)^(AC7/2)</f>
        <v>6826.1474841218</v>
      </c>
      <c r="AD29" s="28" t="n">
        <f aca="false">AC29*(1-Assumptions!$B$113)^AD7+AD28*(1-Assumptions!$B$113)^(AD7/2)</f>
        <v>9452.61688181081</v>
      </c>
      <c r="AE29" s="28" t="n">
        <f aca="false">AD29*(1-Assumptions!$B$113)^AE7+AE28*(1-Assumptions!$B$113)^(AE7/2)</f>
        <v>11934.3418283544</v>
      </c>
    </row>
    <row r="30" customFormat="false" ht="15" hidden="false" customHeight="false" outlineLevel="0" collapsed="false">
      <c r="A30" s="6" t="s">
        <v>434</v>
      </c>
      <c r="B30" s="23" t="s">
        <v>185</v>
      </c>
      <c r="C30" s="53" t="n">
        <f aca="false">C28-C29</f>
        <v>0.821647347639448</v>
      </c>
      <c r="D30" s="53" t="n">
        <f aca="false">C29+D28-D29</f>
        <v>2.36389081959357</v>
      </c>
      <c r="E30" s="53" t="n">
        <f aca="false">D29+E28-E29</f>
        <v>3.75854310742807</v>
      </c>
      <c r="F30" s="53" t="n">
        <f aca="false">E29+F28-F29</f>
        <v>5.24023127621869</v>
      </c>
      <c r="G30" s="53" t="n">
        <f aca="false">F29+G28-G29</f>
        <v>6.74237145751533</v>
      </c>
      <c r="H30" s="53" t="n">
        <f aca="false">G29+H28-H29</f>
        <v>7.95379573712029</v>
      </c>
      <c r="I30" s="53" t="n">
        <f aca="false">H29+I28-I29</f>
        <v>8.95477780571437</v>
      </c>
      <c r="J30" s="53" t="n">
        <f aca="false">I29+J28-J29</f>
        <v>9.88299948489558</v>
      </c>
      <c r="K30" s="53" t="n">
        <f aca="false">J29+K28-K29</f>
        <v>10.8307083207683</v>
      </c>
      <c r="L30" s="53" t="n">
        <f aca="false">K29+L28-L29</f>
        <v>12.0549987524741</v>
      </c>
      <c r="M30" s="53" t="n">
        <f aca="false">L29+M28-M29</f>
        <v>13.3913864805832</v>
      </c>
      <c r="N30" s="53" t="n">
        <f aca="false">M29+N28-N29</f>
        <v>14.4695038513444</v>
      </c>
      <c r="O30" s="53" t="n">
        <f aca="false">N29+O28-O29</f>
        <v>17.3166070957924</v>
      </c>
      <c r="P30" s="53" t="n">
        <f aca="false">O29+P28-P29</f>
        <v>21.8230957076236</v>
      </c>
      <c r="Q30" s="53" t="n">
        <f aca="false">P29+Q28-Q29</f>
        <v>25.9573857146108</v>
      </c>
      <c r="R30" s="53" t="n">
        <f aca="false">Q29+R28-R29</f>
        <v>30.5222239394474</v>
      </c>
      <c r="S30" s="53" t="n">
        <f aca="false">R29+S28-S29</f>
        <v>35.2884423940793</v>
      </c>
      <c r="T30" s="53" t="n">
        <f aca="false">S29+T28-T29</f>
        <v>39.1457757464726</v>
      </c>
      <c r="U30" s="53" t="n">
        <f aca="false">T29+U28-U29</f>
        <v>42.3410068159061</v>
      </c>
      <c r="V30" s="53" t="n">
        <f aca="false">U29+V28-V29</f>
        <v>45.3504461531719</v>
      </c>
      <c r="W30" s="53" t="n">
        <f aca="false">V29+W28-W29</f>
        <v>48.5114505611214</v>
      </c>
      <c r="X30" s="53" t="n">
        <f aca="false">W29+X28-X29</f>
        <v>52.8076662612957</v>
      </c>
      <c r="Y30" s="53" t="n">
        <f aca="false">X29+Y28-Y29</f>
        <v>57.6470374786161</v>
      </c>
      <c r="Z30" s="53" t="n">
        <f aca="false">Y29+Z28-Z29</f>
        <v>61.6155903650019</v>
      </c>
      <c r="AA30" s="53" t="n">
        <f aca="false">Z29+AA28-AA29</f>
        <v>1225.72156596004</v>
      </c>
      <c r="AB30" s="53" t="n">
        <f aca="false">AA29+AB28-AB29</f>
        <v>2197.29690257829</v>
      </c>
      <c r="AC30" s="53" t="n">
        <f aca="false">AB29+AC28-AC29</f>
        <v>3514.27385786101</v>
      </c>
      <c r="AD30" s="53" t="n">
        <f aca="false">AC29+AD28-AD29</f>
        <v>5057.03014113653</v>
      </c>
      <c r="AE30" s="53" t="n">
        <f aca="false">AD29+AE28-AE29</f>
        <v>6600.28999019011</v>
      </c>
    </row>
    <row r="31" customFormat="false" ht="15" hidden="false" customHeight="false" outlineLevel="0" collapsed="false">
      <c r="A31" s="6" t="s">
        <v>435</v>
      </c>
      <c r="B31" s="23" t="s">
        <v>185</v>
      </c>
      <c r="C31" s="44" t="n">
        <f aca="false">C30</f>
        <v>0.821647347639448</v>
      </c>
      <c r="D31" s="44" t="n">
        <f aca="false">C31+D30</f>
        <v>3.18553816723302</v>
      </c>
      <c r="E31" s="44" t="n">
        <f aca="false">D31+E30</f>
        <v>6.94408127466109</v>
      </c>
      <c r="F31" s="44" t="n">
        <f aca="false">E31+F30</f>
        <v>12.1843125508798</v>
      </c>
      <c r="G31" s="44" t="n">
        <f aca="false">F31+G30</f>
        <v>18.9266840083951</v>
      </c>
      <c r="H31" s="44" t="n">
        <f aca="false">G31+H30</f>
        <v>26.8804797455154</v>
      </c>
      <c r="I31" s="44" t="n">
        <f aca="false">H31+I30</f>
        <v>35.8352575512298</v>
      </c>
      <c r="J31" s="44" t="n">
        <f aca="false">I31+J30</f>
        <v>45.7182570361254</v>
      </c>
      <c r="K31" s="44" t="n">
        <f aca="false">J31+K30</f>
        <v>56.5489653568937</v>
      </c>
      <c r="L31" s="44" t="n">
        <f aca="false">K31+L30</f>
        <v>68.6039641093678</v>
      </c>
      <c r="M31" s="44" t="n">
        <f aca="false">L31+M30</f>
        <v>81.9953505899509</v>
      </c>
      <c r="N31" s="44" t="n">
        <f aca="false">M31+N30</f>
        <v>96.4648544412954</v>
      </c>
      <c r="O31" s="44" t="n">
        <f aca="false">N31+O30</f>
        <v>113.781461537088</v>
      </c>
      <c r="P31" s="44" t="n">
        <f aca="false">O31+P30</f>
        <v>135.604557244711</v>
      </c>
      <c r="Q31" s="44" t="n">
        <f aca="false">P31+Q30</f>
        <v>161.561942959322</v>
      </c>
      <c r="R31" s="44" t="n">
        <f aca="false">Q31+R30</f>
        <v>192.08416689877</v>
      </c>
      <c r="S31" s="44" t="n">
        <f aca="false">R31+S30</f>
        <v>227.372609292849</v>
      </c>
      <c r="T31" s="44" t="n">
        <f aca="false">S31+T30</f>
        <v>266.518385039322</v>
      </c>
      <c r="U31" s="44" t="n">
        <f aca="false">T31+U30</f>
        <v>308.859391855228</v>
      </c>
      <c r="V31" s="44" t="n">
        <f aca="false">U31+V30</f>
        <v>354.2098380084</v>
      </c>
      <c r="W31" s="44" t="n">
        <f aca="false">V31+W30</f>
        <v>402.721288569521</v>
      </c>
      <c r="X31" s="44" t="n">
        <f aca="false">W31+X30</f>
        <v>455.528954830817</v>
      </c>
      <c r="Y31" s="44" t="n">
        <f aca="false">X31+Y30</f>
        <v>513.175992309433</v>
      </c>
      <c r="Z31" s="44" t="n">
        <f aca="false">Y31+Z30</f>
        <v>574.791582674435</v>
      </c>
      <c r="AA31" s="44" t="n">
        <f aca="false">Z31+AA30</f>
        <v>1800.51314863448</v>
      </c>
      <c r="AB31" s="44" t="n">
        <f aca="false">AA31+AB30</f>
        <v>3997.81005121277</v>
      </c>
      <c r="AC31" s="44" t="n">
        <f aca="false">AB31+AC30</f>
        <v>7512.08390907377</v>
      </c>
      <c r="AD31" s="44" t="n">
        <f aca="false">AC31+AD30</f>
        <v>12569.1140502103</v>
      </c>
      <c r="AE31" s="44" t="n">
        <f aca="false">AD31+AE30</f>
        <v>19169.4040404004</v>
      </c>
    </row>
    <row r="32" customFormat="false" ht="15" hidden="false" customHeight="false" outlineLevel="0" collapsed="false">
      <c r="A32" s="6" t="s">
        <v>436</v>
      </c>
      <c r="B32" s="23" t="s">
        <v>185</v>
      </c>
      <c r="C32" s="44" t="n">
        <f aca="false">C28</f>
        <v>33.3973333333333</v>
      </c>
      <c r="D32" s="44" t="n">
        <f aca="false">C32+D28</f>
        <v>65.1319857813291</v>
      </c>
      <c r="E32" s="44" t="n">
        <f aca="false">D32+E28</f>
        <v>95.535848949433</v>
      </c>
      <c r="F32" s="44" t="n">
        <f aca="false">E32+F28</f>
        <v>133.530483983591</v>
      </c>
      <c r="G32" s="44" t="n">
        <f aca="false">F32+G28</f>
        <v>167.879329102143</v>
      </c>
      <c r="H32" s="44" t="n">
        <f aca="false">G32+H28</f>
        <v>196.934923796119</v>
      </c>
      <c r="I32" s="44" t="n">
        <f aca="false">H32+I28</f>
        <v>224.992786337787</v>
      </c>
      <c r="J32" s="44" t="n">
        <f aca="false">I32+J28</f>
        <v>253.043695620966</v>
      </c>
      <c r="K32" s="44" t="n">
        <f aca="false">J32+K28</f>
        <v>283.727084686245</v>
      </c>
      <c r="L32" s="44" t="n">
        <f aca="false">K32+L28</f>
        <v>324.957016796835</v>
      </c>
      <c r="M32" s="44" t="n">
        <f aca="false">L32+M28</f>
        <v>362.874730605935</v>
      </c>
      <c r="N32" s="44" t="n">
        <f aca="false">M32+N28</f>
        <v>396.165209402494</v>
      </c>
      <c r="O32" s="44" t="n">
        <f aca="false">N32+O28</f>
        <v>508.002404362146</v>
      </c>
      <c r="P32" s="44" t="n">
        <f aca="false">O32+P28</f>
        <v>616.29816642807</v>
      </c>
      <c r="Q32" s="44" t="n">
        <f aca="false">P32+Q28</f>
        <v>721.821660853136</v>
      </c>
      <c r="R32" s="44" t="n">
        <f aca="false">Q32+R28</f>
        <v>855.716492742433</v>
      </c>
      <c r="S32" s="44" t="n">
        <f aca="false">R32+S28</f>
        <v>979.140816912923</v>
      </c>
      <c r="T32" s="44" t="n">
        <f aca="false">S32+T28</f>
        <v>1085.24996029053</v>
      </c>
      <c r="U32" s="44" t="n">
        <f aca="false">T32+U28</f>
        <v>1188.95572367052</v>
      </c>
      <c r="V32" s="44" t="n">
        <f aca="false">U32+V28</f>
        <v>1293.76575221657</v>
      </c>
      <c r="W32" s="44" t="n">
        <f aca="false">V32+W28</f>
        <v>1409.60415755712</v>
      </c>
      <c r="X32" s="44" t="n">
        <f aca="false">W32+X28</f>
        <v>1567.07245294755</v>
      </c>
      <c r="Y32" s="44" t="n">
        <f aca="false">X32+Y28</f>
        <v>1714.49931192451</v>
      </c>
      <c r="Z32" s="44" t="n">
        <f aca="false">Y32+Z28</f>
        <v>1845.88427304581</v>
      </c>
      <c r="AA32" s="44" t="n">
        <f aca="false">Z32+AA28</f>
        <v>4375.99292120623</v>
      </c>
      <c r="AB32" s="44" t="n">
        <f aca="false">AA32+AB28</f>
        <v>8394.61044943059</v>
      </c>
      <c r="AC32" s="44" t="n">
        <f aca="false">AB32+AC28</f>
        <v>14338.2313931956</v>
      </c>
      <c r="AD32" s="44" t="n">
        <f aca="false">AC32+AD28</f>
        <v>22021.7309320211</v>
      </c>
      <c r="AE32" s="44" t="n">
        <f aca="false">AD32+AE28</f>
        <v>31103.7458687549</v>
      </c>
    </row>
    <row r="33" customFormat="false" ht="15" hidden="false" customHeight="false" outlineLevel="0" collapsed="false">
      <c r="A33" s="6" t="s">
        <v>437</v>
      </c>
      <c r="B33" s="23" t="s">
        <v>109</v>
      </c>
      <c r="C33" s="54" t="n">
        <f aca="false">IF(C2&gt;=Assumptions!$B$44,C29*Assumptions!$B$161*C7,0)</f>
        <v>1094.54304911931</v>
      </c>
      <c r="D33" s="54" t="n">
        <f aca="false">IF(D2&gt;=Assumptions!$B$44,D29*Assumptions!$B$161*D7,0)</f>
        <v>2081.40063983363</v>
      </c>
      <c r="E33" s="54" t="n">
        <f aca="false">IF(E2&gt;=Assumptions!$B$44,E29*Assumptions!$B$161*E7,0)</f>
        <v>2976.68339387234</v>
      </c>
      <c r="F33" s="54" t="n">
        <f aca="false">IF(F2&gt;=Assumptions!$B$44,F29*Assumptions!$B$161*F7,0)</f>
        <v>4077.2313601391</v>
      </c>
      <c r="G33" s="54" t="n">
        <f aca="false">IF(G2&gt;=Assumptions!$B$44,G29*Assumptions!$B$161*G7,0)</f>
        <v>5004.80887514993</v>
      </c>
      <c r="H33" s="54" t="n">
        <f aca="false">IF(H2&gt;=Assumptions!$B$44,H29*Assumptions!$B$161*H7,0)</f>
        <v>5713.82932010027</v>
      </c>
      <c r="I33" s="54" t="n">
        <f aca="false">IF(I2&gt;=Assumptions!$B$44,I29*Assumptions!$B$161*I7,0)</f>
        <v>6355.69296722831</v>
      </c>
      <c r="J33" s="54" t="n">
        <f aca="false">IF(J2&gt;=Assumptions!$B$44,J29*Assumptions!$B$161*J7,0)</f>
        <v>6966.13473645063</v>
      </c>
      <c r="K33" s="54" t="n">
        <f aca="false">IF(K2&gt;=Assumptions!$B$44,K29*Assumptions!$B$161*K7,0)</f>
        <v>7633.18480946622</v>
      </c>
      <c r="L33" s="54" t="n">
        <f aca="false">IF(L2&gt;=Assumptions!$B$44,L29*Assumptions!$B$161*L7,0)</f>
        <v>8613.46257029891</v>
      </c>
      <c r="M33" s="54" t="n">
        <f aca="false">IF(M2&gt;=Assumptions!$B$44,M29*Assumptions!$B$161*M7,0)</f>
        <v>9437.54716853707</v>
      </c>
      <c r="N33" s="54" t="n">
        <f aca="false">IF(N2&gt;=Assumptions!$B$44,N29*Assumptions!$B$161*N7,0)</f>
        <v>10069.9319266963</v>
      </c>
      <c r="O33" s="54" t="n">
        <f aca="false">IF(O2&gt;=Assumptions!$B$44,O29*Assumptions!$B$161*O7,0)</f>
        <v>13245.8236789219</v>
      </c>
      <c r="P33" s="54" t="n">
        <f aca="false">IF(P2&gt;=Assumptions!$B$44,P29*Assumptions!$B$161*P7,0)</f>
        <v>16151.3052685608</v>
      </c>
      <c r="Q33" s="54" t="n">
        <f aca="false">IF(Q2&gt;=Assumptions!$B$44,Q29*Assumptions!$B$161*Q7,0)</f>
        <v>18824.7265212321</v>
      </c>
      <c r="R33" s="54" t="n">
        <f aca="false">IF(R2&gt;=Assumptions!$B$44,R29*Assumptions!$B$161*R7,0)</f>
        <v>22298.0461483471</v>
      </c>
      <c r="S33" s="54" t="n">
        <f aca="false">IF(S2&gt;=Assumptions!$B$44,S29*Assumptions!$B$161*S7,0)</f>
        <v>25259.4117760345</v>
      </c>
      <c r="T33" s="54" t="n">
        <f aca="false">IF(T2&gt;=Assumptions!$B$44,T29*Assumptions!$B$161*T7,0)</f>
        <v>27509.3809284406</v>
      </c>
      <c r="U33" s="54" t="n">
        <f aca="false">IF(U2&gt;=Assumptions!$B$44,U29*Assumptions!$B$161*U7,0)</f>
        <v>29571.2367489937</v>
      </c>
      <c r="V33" s="54" t="n">
        <f aca="false">IF(V2&gt;=Assumptions!$B$44,V29*Assumptions!$B$161*V7,0)</f>
        <v>31569.0787173947</v>
      </c>
      <c r="W33" s="54" t="n">
        <f aca="false">IF(W2&gt;=Assumptions!$B$44,W29*Assumptions!$B$161*W7,0)</f>
        <v>33831.2643979833</v>
      </c>
      <c r="X33" s="54" t="n">
        <f aca="false">IF(X2&gt;=Assumptions!$B$44,X29*Assumptions!$B$161*X7,0)</f>
        <v>37347.8615367224</v>
      </c>
      <c r="Y33" s="54" t="n">
        <f aca="false">IF(Y2&gt;=Assumptions!$B$44,Y29*Assumptions!$B$161*Y7,0)</f>
        <v>40364.4635390667</v>
      </c>
      <c r="Z33" s="54" t="n">
        <f aca="false">IF(Z2&gt;=Assumptions!$B$44,Z29*Assumptions!$B$161*Z7,0)</f>
        <v>42708.7143964784</v>
      </c>
      <c r="AA33" s="54" t="n">
        <f aca="false">IF(AA2&gt;=Assumptions!$B$44,AA29*Assumptions!$B$161*AA7,0)</f>
        <v>1038433.44430093</v>
      </c>
      <c r="AB33" s="54" t="n">
        <f aca="false">IF(AB2&gt;=Assumptions!$B$44,AB29*Assumptions!$B$161*AB7,0)</f>
        <v>1772789.92056143</v>
      </c>
      <c r="AC33" s="54" t="n">
        <f aca="false">IF(AC2&gt;=Assumptions!$B$44,AC29*Assumptions!$B$161*AC7,0)</f>
        <v>2752302.66559791</v>
      </c>
      <c r="AD33" s="54" t="n">
        <f aca="false">IF(AD2&gt;=Assumptions!$B$44,AD29*Assumptions!$B$161*AD7,0)</f>
        <v>3811295.12674612</v>
      </c>
      <c r="AE33" s="54" t="n">
        <f aca="false">IF(AE2&gt;=Assumptions!$B$44,AE29*Assumptions!$B$161*AE7,0)</f>
        <v>4811926.62519251</v>
      </c>
    </row>
    <row r="34" customFormat="false" ht="15" hidden="false" customHeight="false" outlineLevel="0" collapsed="false">
      <c r="A34" s="6" t="s">
        <v>438</v>
      </c>
      <c r="B34" s="23" t="s">
        <v>109</v>
      </c>
      <c r="C34" s="54" t="n">
        <f aca="false">IF(C2&gt;=Assumptions!$B$45,C29*Assumptions!$B$32*Assumptions!$B$130*Assumptions!$B$132*Assumptions!$B$131/12*C7,0)</f>
        <v>122.75604335609</v>
      </c>
      <c r="D34" s="54" t="n">
        <f aca="false">IF(D2&gt;=Assumptions!$B$45,D29*Assumptions!$B$32*Assumptions!$B$130*Assumptions!$B$132*Assumptions!$B$131/12*D7,0)</f>
        <v>233.434863425785</v>
      </c>
      <c r="E34" s="54" t="n">
        <f aca="false">IF(E2&gt;=Assumptions!$B$45,E29*Assumptions!$B$32*Assumptions!$B$130*Assumptions!$B$132*Assumptions!$B$131/12*E7,0)</f>
        <v>333.843311187765</v>
      </c>
      <c r="F34" s="54" t="n">
        <f aca="false">IF(F2&gt;=Assumptions!$B$45,F29*Assumptions!$B$32*Assumptions!$B$130*Assumptions!$B$132*Assumptions!$B$131/12*F7,0)</f>
        <v>457.272822682267</v>
      </c>
      <c r="G34" s="54" t="n">
        <f aca="false">IF(G2&gt;=Assumptions!$B$45,G29*Assumptions!$B$32*Assumptions!$B$130*Assumptions!$B$132*Assumptions!$B$131/12*G7,0)</f>
        <v>561.30321759494</v>
      </c>
      <c r="H34" s="54" t="n">
        <f aca="false">IF(H2&gt;=Assumptions!$B$45,H29*Assumptions!$B$32*Assumptions!$B$130*Assumptions!$B$132*Assumptions!$B$131/12*H7,0)</f>
        <v>640.821829997356</v>
      </c>
      <c r="I34" s="54" t="n">
        <f aca="false">IF(I2&gt;=Assumptions!$B$45,I29*Assumptions!$B$32*Assumptions!$B$130*Assumptions!$B$132*Assumptions!$B$131/12*I7,0)</f>
        <v>712.808620977342</v>
      </c>
      <c r="J34" s="54" t="n">
        <f aca="false">IF(J2&gt;=Assumptions!$B$45,J29*Assumptions!$B$32*Assumptions!$B$130*Assumptions!$B$132*Assumptions!$B$131/12*J7,0)</f>
        <v>781.271361067206</v>
      </c>
      <c r="K34" s="54" t="n">
        <f aca="false">IF(K2&gt;=Assumptions!$B$45,K29*Assumptions!$B$32*Assumptions!$B$130*Assumptions!$B$132*Assumptions!$B$131/12*K7,0)</f>
        <v>856.082879672773</v>
      </c>
      <c r="L34" s="54" t="n">
        <f aca="false">IF(L2&gt;=Assumptions!$B$45,L29*Assumptions!$B$32*Assumptions!$B$130*Assumptions!$B$132*Assumptions!$B$131/12*L7,0)</f>
        <v>966.023753543941</v>
      </c>
      <c r="M34" s="54" t="n">
        <f aca="false">IF(M2&gt;=Assumptions!$B$45,M29*Assumptions!$B$32*Assumptions!$B$130*Assumptions!$B$132*Assumptions!$B$131/12*M7,0)</f>
        <v>1058.44713036023</v>
      </c>
      <c r="N34" s="54" t="n">
        <f aca="false">IF(N2&gt;=Assumptions!$B$45,N29*Assumptions!$B$32*Assumptions!$B$130*Assumptions!$B$132*Assumptions!$B$131/12*N7,0)</f>
        <v>1129.37083761212</v>
      </c>
      <c r="O34" s="54" t="n">
        <f aca="false">IF(O2&gt;=Assumptions!$B$45,O29*Assumptions!$B$32*Assumptions!$B$130*Assumptions!$B$132*Assumptions!$B$131/12*O7,0)</f>
        <v>1485.55591954576</v>
      </c>
      <c r="P34" s="54" t="n">
        <f aca="false">IF(P2&gt;=Assumptions!$B$45,P29*Assumptions!$B$32*Assumptions!$B$130*Assumptions!$B$132*Assumptions!$B$131/12*P7,0)</f>
        <v>1811.41375060596</v>
      </c>
      <c r="Q34" s="54" t="n">
        <f aca="false">IF(Q2&gt;=Assumptions!$B$45,Q29*Assumptions!$B$32*Assumptions!$B$130*Assumptions!$B$132*Assumptions!$B$131/12*Q7,0)</f>
        <v>2111.24537026319</v>
      </c>
      <c r="R34" s="54" t="n">
        <f aca="false">IF(R2&gt;=Assumptions!$B$45,R29*Assumptions!$B$32*Assumptions!$B$130*Assumptions!$B$132*Assumptions!$B$131/12*R7,0)</f>
        <v>2500.7878145542</v>
      </c>
      <c r="S34" s="54" t="n">
        <f aca="false">IF(S2&gt;=Assumptions!$B$45,S29*Assumptions!$B$32*Assumptions!$B$130*Assumptions!$B$132*Assumptions!$B$131/12*S7,0)</f>
        <v>2832.91319571498</v>
      </c>
      <c r="T34" s="54" t="n">
        <f aca="false">IF(T2&gt;=Assumptions!$B$45,T29*Assumptions!$B$32*Assumptions!$B$130*Assumptions!$B$132*Assumptions!$B$131/12*T7,0)</f>
        <v>3085.25348607164</v>
      </c>
      <c r="U34" s="54" t="n">
        <f aca="false">IF(U2&gt;=Assumptions!$B$45,U29*Assumptions!$B$32*Assumptions!$B$130*Assumptions!$B$132*Assumptions!$B$131/12*U7,0)</f>
        <v>3316.49634372395</v>
      </c>
      <c r="V34" s="54" t="n">
        <f aca="false">IF(V2&gt;=Assumptions!$B$45,V29*Assumptions!$B$32*Assumptions!$B$130*Assumptions!$B$132*Assumptions!$B$131/12*V7,0)</f>
        <v>3540.55987004114</v>
      </c>
      <c r="W34" s="54" t="n">
        <f aca="false">IF(W2&gt;=Assumptions!$B$45,W29*Assumptions!$B$32*Assumptions!$B$130*Assumptions!$B$132*Assumptions!$B$131/12*W7,0)</f>
        <v>3794.27027796826</v>
      </c>
      <c r="X34" s="54" t="n">
        <f aca="false">IF(X2&gt;=Assumptions!$B$45,X29*Assumptions!$B$32*Assumptions!$B$130*Assumptions!$B$132*Assumptions!$B$131/12*X7,0)</f>
        <v>4188.66641540324</v>
      </c>
      <c r="Y34" s="54" t="n">
        <f aca="false">IF(Y2&gt;=Assumptions!$B$45,Y29*Assumptions!$B$32*Assumptions!$B$130*Assumptions!$B$132*Assumptions!$B$131/12*Y7,0)</f>
        <v>4526.98670941616</v>
      </c>
      <c r="Z34" s="54" t="n">
        <f aca="false">IF(Z2&gt;=Assumptions!$B$45,Z29*Assumptions!$B$32*Assumptions!$B$130*Assumptions!$B$132*Assumptions!$B$131/12*Z7,0)</f>
        <v>4789.90095488282</v>
      </c>
      <c r="AA34" s="54" t="n">
        <f aca="false">IF(AA2&gt;=Assumptions!$B$45,AA29*Assumptions!$B$32*Assumptions!$B$130*Assumptions!$B$132*Assumptions!$B$131/12*AA7,0)</f>
        <v>116463.195315694</v>
      </c>
      <c r="AB34" s="54" t="n">
        <f aca="false">IF(AB2&gt;=Assumptions!$B$45,AB29*Assumptions!$B$32*Assumptions!$B$130*Assumptions!$B$132*Assumptions!$B$131/12*AB7,0)</f>
        <v>198823.31400741</v>
      </c>
      <c r="AC34" s="54" t="n">
        <f aca="false">IF(AC2&gt;=Assumptions!$B$45,AC29*Assumptions!$B$32*Assumptions!$B$130*Assumptions!$B$132*Assumptions!$B$131/12*AC7,0)</f>
        <v>308678.389231988</v>
      </c>
      <c r="AD34" s="54" t="n">
        <f aca="false">IF(AD2&gt;=Assumptions!$B$45,AD29*Assumptions!$B$32*Assumptions!$B$130*Assumptions!$B$132*Assumptions!$B$131/12*AD7,0)</f>
        <v>427447.335395485</v>
      </c>
      <c r="AE34" s="54" t="n">
        <f aca="false">IF(AE2&gt;=Assumptions!$B$45,AE29*Assumptions!$B$32*Assumptions!$B$130*Assumptions!$B$132*Assumptions!$B$131/12*AE7,0)</f>
        <v>539670.937478188</v>
      </c>
    </row>
    <row r="35" customFormat="false" ht="15" hidden="false" customHeight="false" outlineLevel="0" collapsed="false">
      <c r="A35" s="6" t="s">
        <v>439</v>
      </c>
      <c r="B35" s="23" t="s">
        <v>47</v>
      </c>
      <c r="C35" s="53" t="n">
        <f aca="false">(C33+C34)*(1-Assumptions!$B$8)/Assumptions!$B$6/(1+Assumptions!$B$9)</f>
        <v>8.0541777052096</v>
      </c>
      <c r="D35" s="53" t="n">
        <f aca="false">(D33+D34)*(1-Assumptions!$B$8)/Assumptions!$B$6/(1+Assumptions!$B$9)</f>
        <v>15.3159536689265</v>
      </c>
      <c r="E35" s="53" t="n">
        <f aca="false">(E33+E34)*(1-Assumptions!$B$8)/Assumptions!$B$6/(1+Assumptions!$B$9)</f>
        <v>21.9038776461873</v>
      </c>
      <c r="F35" s="53" t="n">
        <f aca="false">(F33+F34)*(1-Assumptions!$B$8)/Assumptions!$B$6/(1+Assumptions!$B$9)</f>
        <v>30.0022424391953</v>
      </c>
      <c r="G35" s="53" t="n">
        <f aca="false">(G33+G34)*(1-Assumptions!$B$8)/Assumptions!$B$6/(1+Assumptions!$B$9)</f>
        <v>36.8278069039874</v>
      </c>
      <c r="H35" s="53" t="n">
        <f aca="false">(H33+H34)*(1-Assumptions!$B$8)/Assumptions!$B$6/(1+Assumptions!$B$9)</f>
        <v>42.045122627523</v>
      </c>
      <c r="I35" s="53" t="n">
        <f aca="false">(I33+I34)*(1-Assumptions!$B$8)/Assumptions!$B$6/(1+Assumptions!$B$9)</f>
        <v>46.7682661170758</v>
      </c>
      <c r="J35" s="53" t="n">
        <f aca="false">(J33+J34)*(1-Assumptions!$B$8)/Assumptions!$B$6/(1+Assumptions!$B$9)</f>
        <v>51.2601922153276</v>
      </c>
      <c r="K35" s="53" t="n">
        <f aca="false">(K33+K34)*(1-Assumptions!$B$8)/Assumptions!$B$6/(1+Assumptions!$B$9)</f>
        <v>56.1686696211851</v>
      </c>
      <c r="L35" s="53" t="n">
        <f aca="false">(L33+L34)*(1-Assumptions!$B$8)/Assumptions!$B$6/(1+Assumptions!$B$9)</f>
        <v>63.3820280108476</v>
      </c>
      <c r="M35" s="53" t="n">
        <f aca="false">(M33+M34)*(1-Assumptions!$B$8)/Assumptions!$B$6/(1+Assumptions!$B$9)</f>
        <v>69.4460414853992</v>
      </c>
      <c r="N35" s="53" t="n">
        <f aca="false">(N33+N34)*(1-Assumptions!$B$8)/Assumptions!$B$6/(1+Assumptions!$B$9)</f>
        <v>74.0994347204833</v>
      </c>
      <c r="O35" s="53" t="n">
        <f aca="false">(O33+O34)*(1-Assumptions!$B$8)/Assumptions!$B$6/(1+Assumptions!$B$9)</f>
        <v>97.4691839190338</v>
      </c>
      <c r="P35" s="53" t="n">
        <f aca="false">(P33+P34)*(1-Assumptions!$B$8)/Assumptions!$B$6/(1+Assumptions!$B$9)</f>
        <v>118.849124215576</v>
      </c>
      <c r="Q35" s="53" t="n">
        <f aca="false">(Q33+Q34)*(1-Assumptions!$B$8)/Assumptions!$B$6/(1+Assumptions!$B$9)</f>
        <v>138.521452195023</v>
      </c>
      <c r="R35" s="53" t="n">
        <f aca="false">(R33+R34)*(1-Assumptions!$B$8)/Assumptions!$B$6/(1+Assumptions!$B$9)</f>
        <v>164.079819703989</v>
      </c>
      <c r="S35" s="53" t="n">
        <f aca="false">(S33+S34)*(1-Assumptions!$B$8)/Assumptions!$B$6/(1+Assumptions!$B$9)</f>
        <v>185.870981810117</v>
      </c>
      <c r="T35" s="53" t="n">
        <f aca="false">(T33+T34)*(1-Assumptions!$B$8)/Assumptions!$B$6/(1+Assumptions!$B$9)</f>
        <v>202.42734421112</v>
      </c>
      <c r="U35" s="53" t="n">
        <f aca="false">(U33+U34)*(1-Assumptions!$B$8)/Assumptions!$B$6/(1+Assumptions!$B$9)</f>
        <v>217.599477636678</v>
      </c>
      <c r="V35" s="53" t="n">
        <f aca="false">(V33+V34)*(1-Assumptions!$B$8)/Assumptions!$B$6/(1+Assumptions!$B$9)</f>
        <v>232.300566144229</v>
      </c>
      <c r="W35" s="53" t="n">
        <f aca="false">(W33+W34)*(1-Assumptions!$B$8)/Assumptions!$B$6/(1+Assumptions!$B$9)</f>
        <v>248.94682367453</v>
      </c>
      <c r="X35" s="53" t="n">
        <f aca="false">(X33+X34)*(1-Assumptions!$B$8)/Assumptions!$B$6/(1+Assumptions!$B$9)</f>
        <v>274.823648067893</v>
      </c>
      <c r="Y35" s="53" t="n">
        <f aca="false">(Y33+Y34)*(1-Assumptions!$B$8)/Assumptions!$B$6/(1+Assumptions!$B$9)</f>
        <v>297.021266162787</v>
      </c>
      <c r="Z35" s="53" t="n">
        <f aca="false">(Z33+Z34)*(1-Assumptions!$B$8)/Assumptions!$B$6/(1+Assumptions!$B$9)</f>
        <v>314.271398998015</v>
      </c>
      <c r="AA35" s="53" t="n">
        <f aca="false">(AA33+AA34)*(1-Assumptions!$B$8)/Assumptions!$B$6/(1+Assumptions!$B$9)</f>
        <v>7641.29606611831</v>
      </c>
      <c r="AB35" s="53" t="n">
        <f aca="false">(AB33+AB34)*(1-Assumptions!$B$8)/Assumptions!$B$6/(1+Assumptions!$B$9)</f>
        <v>13045.0465750933</v>
      </c>
      <c r="AC35" s="53" t="n">
        <f aca="false">(AC33+AC34)*(1-Assumptions!$B$8)/Assumptions!$B$6/(1+Assumptions!$B$9)</f>
        <v>20252.7756081261</v>
      </c>
      <c r="AD35" s="53" t="n">
        <f aca="false">(AD33+AD34)*(1-Assumptions!$B$8)/Assumptions!$B$6/(1+Assumptions!$B$9)</f>
        <v>28045.3548743576</v>
      </c>
      <c r="AE35" s="53" t="n">
        <f aca="false">(AE33+AE34)*(1-Assumptions!$B$8)/Assumptions!$B$6/(1+Assumptions!$B$9)</f>
        <v>35408.4859201415</v>
      </c>
    </row>
    <row r="36" customFormat="false" ht="15" hidden="false" customHeight="false" outlineLevel="0" collapsed="false">
      <c r="A36" s="6" t="s">
        <v>440</v>
      </c>
      <c r="B36" s="23" t="s">
        <v>441</v>
      </c>
      <c r="C36" s="55" t="n">
        <f aca="false">(Assumptions!$B$127+Assumptions!$B$128*IF(C29+C31=0,1,(C29+C31*Assumptions!$B$129)/(C29+C31)))*C7/12</f>
        <v>0.0168634841405503</v>
      </c>
      <c r="D36" s="55" t="n">
        <f aca="false">(Assumptions!$B$127+Assumptions!$B$128*IF(D29+D31=0,1,(D29+D31*Assumptions!$B$129)/(D29+D31)))*D7/12</f>
        <v>0.0170579384056157</v>
      </c>
      <c r="E36" s="55" t="n">
        <f aca="false">(Assumptions!$B$127+Assumptions!$B$128*IF(E29+E31=0,1,(E29+E31*Assumptions!$B$129)/(E29+E31)))*E7/12</f>
        <v>0.0172481515313345</v>
      </c>
      <c r="F36" s="55" t="n">
        <f aca="false">(Assumptions!$B$127+Assumptions!$B$128*IF(F29+F31=0,1,(F29+F31*Assumptions!$B$129)/(F29+F31)))*F7/12</f>
        <v>0.0173966460503931</v>
      </c>
      <c r="G36" s="55" t="n">
        <f aca="false">(Assumptions!$B$127+Assumptions!$B$128*IF(G29+G31=0,1,(G29+G31*Assumptions!$B$129)/(G29+G31)))*G7/12</f>
        <v>0.0175685851629875</v>
      </c>
      <c r="H36" s="55" t="n">
        <f aca="false">(Assumptions!$B$127+Assumptions!$B$128*IF(H29+H31=0,1,(H29+H31*Assumptions!$B$129)/(H29+H31)))*H7/12</f>
        <v>0.0177586204644946</v>
      </c>
      <c r="I36" s="55" t="n">
        <f aca="false">(Assumptions!$B$127+Assumptions!$B$128*IF(I29+I31=0,1,(I29+I31*Assumptions!$B$129)/(I29+I31)))*I7/12</f>
        <v>0.0179408500086136</v>
      </c>
      <c r="J36" s="55" t="n">
        <f aca="false">(Assumptions!$B$127+Assumptions!$B$128*IF(J29+J31=0,1,(J29+J31*Assumptions!$B$129)/(J29+J31)))*J7/12</f>
        <v>0.0181120536200601</v>
      </c>
      <c r="K36" s="55" t="n">
        <f aca="false">(Assumptions!$B$127+Assumptions!$B$128*IF(K29+K31=0,1,(K29+K31*Assumptions!$B$129)/(K29+K31)))*K7/12</f>
        <v>0.0182611274963595</v>
      </c>
      <c r="L36" s="55" t="n">
        <f aca="false">(Assumptions!$B$127+Assumptions!$B$128*IF(L29+L31=0,1,(L29+L31*Assumptions!$B$129)/(L29+L31)))*L7/12</f>
        <v>0.0183556030013391</v>
      </c>
      <c r="M36" s="55" t="n">
        <f aca="false">(Assumptions!$B$127+Assumptions!$B$128*IF(M29+M31=0,1,(M29+M31*Assumptions!$B$129)/(M29+M31)))*M7/12</f>
        <v>0.018474350556984</v>
      </c>
      <c r="N36" s="55" t="n">
        <f aca="false">(Assumptions!$B$127+Assumptions!$B$128*IF(N29+N31=0,1,(N29+N31*Assumptions!$B$129)/(N29+N31)))*N7/12</f>
        <v>0.0186146389196928</v>
      </c>
      <c r="O36" s="55" t="n">
        <f aca="false">(Assumptions!$B$127+Assumptions!$B$128*IF(O29+O31=0,1,(O29+O31*Assumptions!$B$129)/(O29+O31)))*O7/12</f>
        <v>0.018458492225917</v>
      </c>
      <c r="P36" s="55" t="n">
        <f aca="false">(Assumptions!$B$127+Assumptions!$B$128*IF(P29+P31=0,1,(P29+P31*Assumptions!$B$129)/(P29+P31)))*P7/12</f>
        <v>0.0184269127894893</v>
      </c>
      <c r="Q36" s="55" t="n">
        <f aca="false">(Assumptions!$B$127+Assumptions!$B$128*IF(Q29+Q31=0,1,(Q29+Q31*Assumptions!$B$129)/(Q29+Q31)))*Q7/12</f>
        <v>0.0184572689909956</v>
      </c>
      <c r="R36" s="55" t="n">
        <f aca="false">(Assumptions!$B$127+Assumptions!$B$128*IF(R29+R31=0,1,(R29+R31*Assumptions!$B$129)/(R29+R31)))*R7/12</f>
        <v>0.018462440556995</v>
      </c>
      <c r="S36" s="55" t="n">
        <f aca="false">(Assumptions!$B$127+Assumptions!$B$128*IF(S29+S31=0,1,(S29+S31*Assumptions!$B$129)/(S29+S31)))*S7/12</f>
        <v>0.0185243983053882</v>
      </c>
      <c r="T36" s="55" t="n">
        <f aca="false">(Assumptions!$B$127+Assumptions!$B$128*IF(T29+T31=0,1,(T29+T31*Assumptions!$B$129)/(T29+T31)))*T7/12</f>
        <v>0.0186313265683761</v>
      </c>
      <c r="U36" s="55" t="n">
        <f aca="false">(Assumptions!$B$127+Assumptions!$B$128*IF(U29+U31=0,1,(U29+U31*Assumptions!$B$129)/(U29+U31)))*U7/12</f>
        <v>0.018744856027002</v>
      </c>
      <c r="V36" s="55" t="n">
        <f aca="false">(Assumptions!$B$127+Assumptions!$B$128*IF(V29+V31=0,1,(V29+V31*Assumptions!$B$129)/(V29+V31)))*V7/12</f>
        <v>0.0188569230552071</v>
      </c>
      <c r="W36" s="55" t="n">
        <f aca="false">(Assumptions!$B$127+Assumptions!$B$128*IF(W29+W31=0,1,(W29+W31*Assumptions!$B$129)/(W29+W31)))*W7/12</f>
        <v>0.0189522518015315</v>
      </c>
      <c r="X36" s="55" t="n">
        <f aca="false">(Assumptions!$B$127+Assumptions!$B$128*IF(X29+X31=0,1,(X29+X31*Assumptions!$B$129)/(X29+X31)))*X7/12</f>
        <v>0.0189921696335474</v>
      </c>
      <c r="Y36" s="55" t="n">
        <f aca="false">(Assumptions!$B$127+Assumptions!$B$128*IF(Y29+Y31=0,1,(Y29+Y31*Assumptions!$B$129)/(Y29+Y31)))*Y7/12</f>
        <v>0.0190611896098501</v>
      </c>
      <c r="Z36" s="55" t="n">
        <f aca="false">(Assumptions!$B$127+Assumptions!$B$128*IF(Z29+Z31=0,1,(Z29+Z31*Assumptions!$B$129)/(Z29+Z31)))*Z7/12</f>
        <v>0.0191577939429222</v>
      </c>
      <c r="AA36" s="55" t="n">
        <f aca="false">(Assumptions!$B$127+Assumptions!$B$128*IF(AA29+AA31=0,1,(AA29+AA31*Assumptions!$B$129)/(AA29+AA31)))*AA7/12</f>
        <v>0.239499438271775</v>
      </c>
      <c r="AB36" s="55" t="n">
        <f aca="false">(Assumptions!$B$127+Assumptions!$B$128*IF(AB29+AB31=0,1,(AB29+AB31*Assumptions!$B$129)/(AB29+AB31)))*AB7/12</f>
        <v>0.245718591378169</v>
      </c>
      <c r="AC36" s="55" t="n">
        <f aca="false">(Assumptions!$B$127+Assumptions!$B$128*IF(AC29+AC31=0,1,(AC29+AC31*Assumptions!$B$129)/(AC29+AC31)))*AC7/12</f>
        <v>0.25029630471812</v>
      </c>
      <c r="AD36" s="55" t="n">
        <f aca="false">(Assumptions!$B$127+Assumptions!$B$128*IF(AD29+AD31=0,1,(AD29+AD31*Assumptions!$B$129)/(AD29+AD31)))*AD7/12</f>
        <v>0.254792920345133</v>
      </c>
      <c r="AE36" s="55" t="n">
        <f aca="false">(Assumptions!$B$127+Assumptions!$B$128*IF(AE29+AE31=0,1,(AE29+AE31*Assumptions!$B$129)/(AE29+AE31)))*AE7/12</f>
        <v>0.259165310687774</v>
      </c>
    </row>
    <row r="37" customFormat="false" ht="15" hidden="false" customHeight="false" outlineLevel="0" collapsed="false">
      <c r="A37" s="6" t="s">
        <v>442</v>
      </c>
      <c r="B37" s="23" t="s">
        <v>47</v>
      </c>
      <c r="C37" s="44" t="n">
        <f aca="false">C35</f>
        <v>8.0541777052096</v>
      </c>
      <c r="D37" s="44" t="n">
        <f aca="false">C37*(1-D36)+D35</f>
        <v>23.2327437069328</v>
      </c>
      <c r="E37" s="44" t="n">
        <f aca="false">D37*(1-E36)+E35</f>
        <v>44.7358994691742</v>
      </c>
      <c r="F37" s="44" t="n">
        <f aca="false">E37*(1-F36)+F35</f>
        <v>73.9598872995583</v>
      </c>
      <c r="G37" s="44" t="n">
        <f aca="false">F37*(1-G36)+G35</f>
        <v>109.488323624878</v>
      </c>
      <c r="H37" s="44" t="n">
        <f aca="false">G37*(1-H36)+H35</f>
        <v>149.589084667853</v>
      </c>
      <c r="I37" s="44" t="n">
        <f aca="false">H37*(1-I36)+I35</f>
        <v>193.673595453978</v>
      </c>
      <c r="J37" s="44" t="n">
        <f aca="false">I37*(1-J36)+J35</f>
        <v>241.425961123653</v>
      </c>
      <c r="K37" s="44" t="n">
        <f aca="false">J37*(1-K36)+K35</f>
        <v>293.185920487828</v>
      </c>
      <c r="L37" s="44" t="n">
        <f aca="false">K37*(1-L36)+L35</f>
        <v>351.186344136619</v>
      </c>
      <c r="M37" s="44" t="n">
        <f aca="false">L37*(1-M36)+M35</f>
        <v>414.144445989612</v>
      </c>
      <c r="N37" s="44" t="n">
        <f aca="false">M37*(1-N36)+N35</f>
        <v>480.534731387403</v>
      </c>
      <c r="O37" s="44" t="n">
        <f aca="false">N37*(1-O36)+O35</f>
        <v>569.133968702839</v>
      </c>
      <c r="P37" s="44" t="n">
        <f aca="false">O37*(1-P36)+P35</f>
        <v>677.495710911592</v>
      </c>
      <c r="Q37" s="44" t="n">
        <f aca="false">P37*(1-Q36)+Q35</f>
        <v>803.512442530074</v>
      </c>
      <c r="R37" s="44" t="n">
        <f aca="false">Q37*(1-R36)+R35</f>
        <v>952.757461527046</v>
      </c>
      <c r="S37" s="44" t="n">
        <f aca="false">R37*(1-S36)+S35</f>
        <v>1120.97918463141</v>
      </c>
      <c r="T37" s="44" t="n">
        <f aca="false">S37*(1-T36)+T35</f>
        <v>1302.52119957731</v>
      </c>
      <c r="U37" s="44" t="n">
        <f aca="false">T37*(1-U36)+U35</f>
        <v>1495.70510485579</v>
      </c>
      <c r="V37" s="44" t="n">
        <f aca="false">U37*(1-V36)+V35</f>
        <v>1699.80127492447</v>
      </c>
      <c r="W37" s="44" t="n">
        <f aca="false">V37*(1-W36)+W35</f>
        <v>1916.53303682407</v>
      </c>
      <c r="X37" s="44" t="n">
        <f aca="false">W37*(1-X36)+X35</f>
        <v>2154.9575643483</v>
      </c>
      <c r="Y37" s="44" t="n">
        <f aca="false">X37*(1-Y36)+Y35</f>
        <v>2410.90277577587</v>
      </c>
      <c r="Z37" s="44" t="n">
        <f aca="false">Y37*(1-Z36)+Z35</f>
        <v>2678.98659617915</v>
      </c>
      <c r="AA37" s="44" t="n">
        <f aca="false">Z37*(1-AA36)+AA35</f>
        <v>9678.66687737493</v>
      </c>
      <c r="AB37" s="44" t="n">
        <f aca="false">AA37*(1-AB36)+AB35</f>
        <v>20345.4850609412</v>
      </c>
      <c r="AC37" s="44" t="n">
        <f aca="false">AB37*(1-AC36)+AC35</f>
        <v>35505.860940616</v>
      </c>
      <c r="AD37" s="44" t="n">
        <f aca="false">AC37*(1-AD36)+AD35</f>
        <v>54504.5738165458</v>
      </c>
      <c r="AE37" s="44" t="n">
        <f aca="false">AD37*(1-AE36)+AE35</f>
        <v>75787.3649296175</v>
      </c>
    </row>
    <row r="38" customFormat="false" ht="15" hidden="false" customHeight="false" outlineLevel="0" collapsed="false">
      <c r="A38" s="6" t="s">
        <v>443</v>
      </c>
      <c r="B38" s="23" t="s">
        <v>109</v>
      </c>
      <c r="C38" s="56" t="n">
        <f aca="false">C37*Assumptions!$B$6</f>
        <v>1139.34397817895</v>
      </c>
      <c r="D38" s="56" t="n">
        <f aca="false">D37*Assumptions!$B$6</f>
        <v>3286.50392478271</v>
      </c>
      <c r="E38" s="56" t="n">
        <f aca="false">E37*Assumptions!$B$6</f>
        <v>6328.34033890939</v>
      </c>
      <c r="F38" s="56" t="n">
        <f aca="false">F37*Assumptions!$B$6</f>
        <v>10462.3656573955</v>
      </c>
      <c r="G38" s="56" t="n">
        <f aca="false">G37*Assumptions!$B$6</f>
        <v>15488.2182599753</v>
      </c>
      <c r="H38" s="56" t="n">
        <f aca="false">H37*Assumptions!$B$6</f>
        <v>21160.8719171146</v>
      </c>
      <c r="I38" s="56" t="n">
        <f aca="false">I37*Assumptions!$B$6</f>
        <v>27397.0668129197</v>
      </c>
      <c r="J38" s="56" t="n">
        <f aca="false">J37*Assumptions!$B$6</f>
        <v>34152.1164605519</v>
      </c>
      <c r="K38" s="56" t="n">
        <f aca="false">K37*Assumptions!$B$6</f>
        <v>41474.0803122081</v>
      </c>
      <c r="L38" s="56" t="n">
        <f aca="false">L37*Assumptions!$B$6</f>
        <v>49678.8202415661</v>
      </c>
      <c r="M38" s="56" t="n">
        <f aca="false">M37*Assumptions!$B$6</f>
        <v>58584.8733296906</v>
      </c>
      <c r="N38" s="56" t="n">
        <f aca="false">N37*Assumptions!$B$6</f>
        <v>67976.443102062</v>
      </c>
      <c r="O38" s="56" t="n">
        <f aca="false">O37*Assumptions!$B$6</f>
        <v>80509.6912127036</v>
      </c>
      <c r="P38" s="56" t="n">
        <f aca="false">P37*Assumptions!$B$6</f>
        <v>95838.5432655539</v>
      </c>
      <c r="Q38" s="56" t="n">
        <f aca="false">Q37*Assumptions!$B$6</f>
        <v>113664.870120304</v>
      </c>
      <c r="R38" s="56" t="n">
        <f aca="false">R37*Assumptions!$B$6</f>
        <v>134777.070507616</v>
      </c>
      <c r="S38" s="56" t="n">
        <f aca="false">S37*Assumptions!$B$6</f>
        <v>158573.715457959</v>
      </c>
      <c r="T38" s="56" t="n">
        <f aca="false">T37*Assumptions!$B$6</f>
        <v>184254.648892206</v>
      </c>
      <c r="U38" s="56" t="n">
        <f aca="false">U37*Assumptions!$B$6</f>
        <v>211582.4441329</v>
      </c>
      <c r="V38" s="56" t="n">
        <f aca="false">V37*Assumptions!$B$6</f>
        <v>240453.888350816</v>
      </c>
      <c r="W38" s="56" t="n">
        <f aca="false">W37*Assumptions!$B$6</f>
        <v>271112.763389133</v>
      </c>
      <c r="X38" s="56" t="n">
        <f aca="false">X37*Assumptions!$B$6</f>
        <v>304840.297052711</v>
      </c>
      <c r="Y38" s="56" t="n">
        <f aca="false">Y37*Assumptions!$B$6</f>
        <v>341046.306661254</v>
      </c>
      <c r="Z38" s="56" t="n">
        <f aca="false">Z37*Assumptions!$B$6</f>
        <v>378969.443895502</v>
      </c>
      <c r="AA38" s="56" t="n">
        <f aca="false">AA37*Assumptions!$B$6</f>
        <v>1369144.21647346</v>
      </c>
      <c r="AB38" s="56" t="n">
        <f aca="false">AB37*Assumptions!$B$6</f>
        <v>2878072.31672074</v>
      </c>
      <c r="AC38" s="56" t="n">
        <f aca="false">AC37*Assumptions!$B$6</f>
        <v>5022659.08865954</v>
      </c>
      <c r="AD38" s="56" t="n">
        <f aca="false">AD37*Assumptions!$B$6</f>
        <v>7710217.01208857</v>
      </c>
      <c r="AE38" s="56" t="n">
        <f aca="false">AE37*Assumptions!$B$6</f>
        <v>10720880.6429437</v>
      </c>
    </row>
    <row r="39" customFormat="false" ht="15" hidden="false" customHeight="false" outlineLevel="0" collapsed="false">
      <c r="A39" s="6" t="s">
        <v>444</v>
      </c>
      <c r="B39" s="23" t="s">
        <v>185</v>
      </c>
      <c r="C39" s="53" t="n">
        <f aca="false">C29+C31*Assumptions!$B$168</f>
        <v>33.3973333333333</v>
      </c>
      <c r="D39" s="53" t="n">
        <f aca="false">D29+D31*Assumptions!$B$168</f>
        <v>65.1319857813291</v>
      </c>
      <c r="E39" s="53" t="n">
        <f aca="false">E29+E31*Assumptions!$B$168</f>
        <v>95.535848949433</v>
      </c>
      <c r="F39" s="53" t="n">
        <f aca="false">F29+F31*Assumptions!$B$168</f>
        <v>133.530483983591</v>
      </c>
      <c r="G39" s="53" t="n">
        <f aca="false">G29+G31*Assumptions!$B$168</f>
        <v>167.879329102143</v>
      </c>
      <c r="H39" s="53" t="n">
        <f aca="false">H29+H31*Assumptions!$B$168</f>
        <v>196.934923796119</v>
      </c>
      <c r="I39" s="53" t="n">
        <f aca="false">I29+I31*Assumptions!$B$168</f>
        <v>224.992786337787</v>
      </c>
      <c r="J39" s="53" t="n">
        <f aca="false">J29+J31*Assumptions!$B$168</f>
        <v>253.043695620966</v>
      </c>
      <c r="K39" s="53" t="n">
        <f aca="false">K29+K31*Assumptions!$B$168</f>
        <v>283.727084686245</v>
      </c>
      <c r="L39" s="53" t="n">
        <f aca="false">L29+L31*Assumptions!$B$168</f>
        <v>324.957016796835</v>
      </c>
      <c r="M39" s="53" t="n">
        <f aca="false">M29+M31*Assumptions!$B$168</f>
        <v>362.874730605935</v>
      </c>
      <c r="N39" s="53" t="n">
        <f aca="false">N29+N31*Assumptions!$B$168</f>
        <v>396.165209402494</v>
      </c>
      <c r="O39" s="53" t="n">
        <f aca="false">O29+O31*Assumptions!$B$168</f>
        <v>508.002404362146</v>
      </c>
      <c r="P39" s="53" t="n">
        <f aca="false">P29+P31*Assumptions!$B$168</f>
        <v>616.29816642807</v>
      </c>
      <c r="Q39" s="53" t="n">
        <f aca="false">Q29+Q31*Assumptions!$B$168</f>
        <v>721.821660853136</v>
      </c>
      <c r="R39" s="53" t="n">
        <f aca="false">R29+R31*Assumptions!$B$168</f>
        <v>855.716492742433</v>
      </c>
      <c r="S39" s="53" t="n">
        <f aca="false">S29+S31*Assumptions!$B$168</f>
        <v>979.140816912924</v>
      </c>
      <c r="T39" s="53" t="n">
        <f aca="false">T29+T31*Assumptions!$B$168</f>
        <v>1085.24996029053</v>
      </c>
      <c r="U39" s="53" t="n">
        <f aca="false">U29+U31*Assumptions!$B$168</f>
        <v>1188.95572367052</v>
      </c>
      <c r="V39" s="53" t="n">
        <f aca="false">V29+V31*Assumptions!$B$168</f>
        <v>1293.76575221657</v>
      </c>
      <c r="W39" s="53" t="n">
        <f aca="false">W29+W31*Assumptions!$B$168</f>
        <v>1409.60415755712</v>
      </c>
      <c r="X39" s="53" t="n">
        <f aca="false">X29+X31*Assumptions!$B$168</f>
        <v>1567.07245294755</v>
      </c>
      <c r="Y39" s="53" t="n">
        <f aca="false">Y29+Y31*Assumptions!$B$168</f>
        <v>1714.49931192451</v>
      </c>
      <c r="Z39" s="53" t="n">
        <f aca="false">Z29+Z31*Assumptions!$B$168</f>
        <v>1845.88427304582</v>
      </c>
      <c r="AA39" s="53" t="n">
        <f aca="false">AA29+AA31*Assumptions!$B$168</f>
        <v>4375.99292120623</v>
      </c>
      <c r="AB39" s="53" t="n">
        <f aca="false">AB29+AB31*Assumptions!$B$168</f>
        <v>8394.61044943059</v>
      </c>
      <c r="AC39" s="53" t="n">
        <f aca="false">AC29+AC31*Assumptions!$B$168</f>
        <v>14338.2313931956</v>
      </c>
      <c r="AD39" s="53" t="n">
        <f aca="false">AD29+AD31*Assumptions!$B$168</f>
        <v>22021.7309320211</v>
      </c>
      <c r="AE39" s="53" t="n">
        <f aca="false">AE29+AE31*Assumptions!$B$168</f>
        <v>31103.7458687549</v>
      </c>
    </row>
    <row r="40" customFormat="false" ht="15" hidden="false" customHeight="false" outlineLevel="0" collapsed="false">
      <c r="A40" s="6" t="s">
        <v>445</v>
      </c>
      <c r="B40" s="23" t="s">
        <v>185</v>
      </c>
      <c r="C40" s="44" t="n">
        <f aca="false">IF(C7&gt;1,C39*Assumptions!$B$125,IF(C2&gt;Assumptions!$B$126,INDEX($C$39:$AE$39,1,C2-Assumptions!$B$126)*Assumptions!$B$125,0))</f>
        <v>0</v>
      </c>
      <c r="D40" s="44" t="n">
        <f aca="false">IF(D7&gt;1,D39*Assumptions!$B$125,IF(D2&gt;Assumptions!$B$126,INDEX($C$39:$AE$39,1,D2-Assumptions!$B$126)*Assumptions!$B$125,0))</f>
        <v>0</v>
      </c>
      <c r="E40" s="44" t="n">
        <f aca="false">IF(E7&gt;1,E39*Assumptions!$B$125,IF(E2&gt;Assumptions!$B$126,INDEX($C$39:$AE$39,1,E2-Assumptions!$B$126)*Assumptions!$B$125,0))</f>
        <v>0</v>
      </c>
      <c r="F40" s="44" t="n">
        <f aca="false">IF(F7&gt;1,F39*Assumptions!$B$125,IF(F2&gt;Assumptions!$B$126,INDEX($C$39:$AE$39,1,F2-Assumptions!$B$126)*Assumptions!$B$125,0))</f>
        <v>0</v>
      </c>
      <c r="G40" s="44" t="n">
        <f aca="false">IF(G7&gt;1,G39*Assumptions!$B$125,IF(G2&gt;Assumptions!$B$126,INDEX($C$39:$AE$39,1,G2-Assumptions!$B$126)*Assumptions!$B$125,0))</f>
        <v>0</v>
      </c>
      <c r="H40" s="44" t="n">
        <f aca="false">IF(H7&gt;1,H39*Assumptions!$B$125,IF(H2&gt;Assumptions!$B$126,INDEX($C$39:$AE$39,1,H2-Assumptions!$B$126)*Assumptions!$B$125,0))</f>
        <v>0</v>
      </c>
      <c r="I40" s="44" t="n">
        <f aca="false">IF(I7&gt;1,I39*Assumptions!$B$125,IF(I2&gt;Assumptions!$B$126,INDEX($C$39:$AE$39,1,I2-Assumptions!$B$126)*Assumptions!$B$125,0))</f>
        <v>0</v>
      </c>
      <c r="J40" s="44" t="n">
        <f aca="false">IF(J7&gt;1,J39*Assumptions!$B$125,IF(J2&gt;Assumptions!$B$126,INDEX($C$39:$AE$39,1,J2-Assumptions!$B$126)*Assumptions!$B$125,0))</f>
        <v>0</v>
      </c>
      <c r="K40" s="44" t="n">
        <f aca="false">IF(K7&gt;1,K39*Assumptions!$B$125,IF(K2&gt;Assumptions!$B$126,INDEX($C$39:$AE$39,1,K2-Assumptions!$B$126)*Assumptions!$B$125,0))</f>
        <v>18.3685333333333</v>
      </c>
      <c r="L40" s="44" t="n">
        <f aca="false">IF(L7&gt;1,L39*Assumptions!$B$125,IF(L2&gt;Assumptions!$B$126,INDEX($C$39:$AE$39,1,L2-Assumptions!$B$126)*Assumptions!$B$125,0))</f>
        <v>35.822592179731</v>
      </c>
      <c r="M40" s="44" t="n">
        <f aca="false">IF(M7&gt;1,M39*Assumptions!$B$125,IF(M2&gt;Assumptions!$B$126,INDEX($C$39:$AE$39,1,M2-Assumptions!$B$126)*Assumptions!$B$125,0))</f>
        <v>52.5447169221881</v>
      </c>
      <c r="N40" s="44" t="n">
        <f aca="false">IF(N7&gt;1,N39*Assumptions!$B$125,IF(N2&gt;Assumptions!$B$126,INDEX($C$39:$AE$39,1,N2-Assumptions!$B$126)*Assumptions!$B$125,0))</f>
        <v>73.4417661909751</v>
      </c>
      <c r="O40" s="44" t="n">
        <f aca="false">IF(O7&gt;1,O39*Assumptions!$B$125,IF(O2&gt;Assumptions!$B$126,INDEX($C$39:$AE$39,1,O2-Assumptions!$B$126)*Assumptions!$B$125,0))</f>
        <v>92.3336310061787</v>
      </c>
      <c r="P40" s="44" t="n">
        <f aca="false">IF(P7&gt;1,P39*Assumptions!$B$125,IF(P2&gt;Assumptions!$B$126,INDEX($C$39:$AE$39,1,P2-Assumptions!$B$126)*Assumptions!$B$125,0))</f>
        <v>108.314208087865</v>
      </c>
      <c r="Q40" s="44" t="n">
        <f aca="false">IF(Q7&gt;1,Q39*Assumptions!$B$125,IF(Q2&gt;Assumptions!$B$126,INDEX($C$39:$AE$39,1,Q2-Assumptions!$B$126)*Assumptions!$B$125,0))</f>
        <v>123.746032485783</v>
      </c>
      <c r="R40" s="44" t="n">
        <f aca="false">IF(R7&gt;1,R39*Assumptions!$B$125,IF(R2&gt;Assumptions!$B$126,INDEX($C$39:$AE$39,1,R2-Assumptions!$B$126)*Assumptions!$B$125,0))</f>
        <v>139.174032591531</v>
      </c>
      <c r="S40" s="44" t="n">
        <f aca="false">IF(S7&gt;1,S39*Assumptions!$B$125,IF(S2&gt;Assumptions!$B$126,INDEX($C$39:$AE$39,1,S2-Assumptions!$B$126)*Assumptions!$B$125,0))</f>
        <v>156.049896577435</v>
      </c>
      <c r="T40" s="44" t="n">
        <f aca="false">IF(T7&gt;1,T39*Assumptions!$B$125,IF(T2&gt;Assumptions!$B$126,INDEX($C$39:$AE$39,1,T2-Assumptions!$B$126)*Assumptions!$B$125,0))</f>
        <v>178.72635923826</v>
      </c>
      <c r="U40" s="44" t="n">
        <f aca="false">IF(U7&gt;1,U39*Assumptions!$B$125,IF(U2&gt;Assumptions!$B$126,INDEX($C$39:$AE$39,1,U2-Assumptions!$B$126)*Assumptions!$B$125,0))</f>
        <v>199.581101833264</v>
      </c>
      <c r="V40" s="44" t="n">
        <f aca="false">IF(V7&gt;1,V39*Assumptions!$B$125,IF(V2&gt;Assumptions!$B$126,INDEX($C$39:$AE$39,1,V2-Assumptions!$B$126)*Assumptions!$B$125,0))</f>
        <v>217.890865171372</v>
      </c>
      <c r="W40" s="44" t="n">
        <f aca="false">IF(W7&gt;1,W39*Assumptions!$B$125,IF(W2&gt;Assumptions!$B$126,INDEX($C$39:$AE$39,1,W2-Assumptions!$B$126)*Assumptions!$B$125,0))</f>
        <v>279.40132239918</v>
      </c>
      <c r="X40" s="44" t="n">
        <f aca="false">IF(X7&gt;1,X39*Assumptions!$B$125,IF(X2&gt;Assumptions!$B$126,INDEX($C$39:$AE$39,1,X2-Assumptions!$B$126)*Assumptions!$B$125,0))</f>
        <v>338.963991535438</v>
      </c>
      <c r="Y40" s="44" t="n">
        <f aca="false">IF(Y7&gt;1,Y39*Assumptions!$B$125,IF(Y2&gt;Assumptions!$B$126,INDEX($C$39:$AE$39,1,Y2-Assumptions!$B$126)*Assumptions!$B$125,0))</f>
        <v>397.001913469225</v>
      </c>
      <c r="Z40" s="44" t="n">
        <f aca="false">IF(Z7&gt;1,Z39*Assumptions!$B$125,IF(Z2&gt;Assumptions!$B$126,INDEX($C$39:$AE$39,1,Z2-Assumptions!$B$126)*Assumptions!$B$125,0))</f>
        <v>470.644071008338</v>
      </c>
      <c r="AA40" s="44" t="n">
        <f aca="false">IF(AA7&gt;1,AA39*Assumptions!$B$125,IF(AA2&gt;Assumptions!$B$126,INDEX($C$39:$AE$39,1,AA2-Assumptions!$B$126)*Assumptions!$B$125,0))</f>
        <v>2406.79610666342</v>
      </c>
      <c r="AB40" s="44" t="n">
        <f aca="false">IF(AB7&gt;1,AB39*Assumptions!$B$125,IF(AB2&gt;Assumptions!$B$126,INDEX($C$39:$AE$39,1,AB2-Assumptions!$B$126)*Assumptions!$B$125,0))</f>
        <v>4617.03574718683</v>
      </c>
      <c r="AC40" s="44" t="n">
        <f aca="false">IF(AC7&gt;1,AC39*Assumptions!$B$125,IF(AC2&gt;Assumptions!$B$126,INDEX($C$39:$AE$39,1,AC2-Assumptions!$B$126)*Assumptions!$B$125,0))</f>
        <v>7886.02726625757</v>
      </c>
      <c r="AD40" s="44" t="n">
        <f aca="false">IF(AD7&gt;1,AD39*Assumptions!$B$125,IF(AD2&gt;Assumptions!$B$126,INDEX($C$39:$AE$39,1,AD2-Assumptions!$B$126)*Assumptions!$B$125,0))</f>
        <v>12111.9520126116</v>
      </c>
      <c r="AE40" s="44" t="n">
        <f aca="false">IF(AE7&gt;1,AE39*Assumptions!$B$125,IF(AE2&gt;Assumptions!$B$126,INDEX($C$39:$AE$39,1,AE2-Assumptions!$B$126)*Assumptions!$B$125,0))</f>
        <v>17107.0602278152</v>
      </c>
    </row>
    <row r="41" customFormat="false" ht="15" hidden="false" customHeight="false" outlineLevel="0" collapsed="false">
      <c r="A41" s="6" t="s">
        <v>446</v>
      </c>
      <c r="B41" s="23" t="s">
        <v>447</v>
      </c>
      <c r="C41" s="28" t="n">
        <f aca="false">IF(C2&gt;=Assumptions!$B$48,C40*Assumptions!$B$135,0)</f>
        <v>0</v>
      </c>
      <c r="D41" s="28" t="n">
        <f aca="false">IF(D2&gt;=Assumptions!$B$48,D40*Assumptions!$B$135,0)</f>
        <v>0</v>
      </c>
      <c r="E41" s="28" t="n">
        <f aca="false">IF(E2&gt;=Assumptions!$B$48,E40*Assumptions!$B$135,0)</f>
        <v>0</v>
      </c>
      <c r="F41" s="28" t="n">
        <f aca="false">IF(F2&gt;=Assumptions!$B$48,F40*Assumptions!$B$135,0)</f>
        <v>0</v>
      </c>
      <c r="G41" s="28" t="n">
        <f aca="false">IF(G2&gt;=Assumptions!$B$48,G40*Assumptions!$B$135,0)</f>
        <v>0</v>
      </c>
      <c r="H41" s="28" t="n">
        <f aca="false">IF(H2&gt;=Assumptions!$B$48,H40*Assumptions!$B$135,0)</f>
        <v>0</v>
      </c>
      <c r="I41" s="28" t="n">
        <f aca="false">IF(I2&gt;=Assumptions!$B$48,I40*Assumptions!$B$135,0)</f>
        <v>0</v>
      </c>
      <c r="J41" s="28" t="n">
        <f aca="false">IF(J2&gt;=Assumptions!$B$48,J40*Assumptions!$B$135,0)</f>
        <v>0</v>
      </c>
      <c r="K41" s="28" t="n">
        <f aca="false">IF(K2&gt;=Assumptions!$B$48,K40*Assumptions!$B$135,0)</f>
        <v>0</v>
      </c>
      <c r="L41" s="28" t="n">
        <f aca="false">IF(L2&gt;=Assumptions!$B$48,L40*Assumptions!$B$135,0)</f>
        <v>0</v>
      </c>
      <c r="M41" s="28" t="n">
        <f aca="false">IF(M2&gt;=Assumptions!$B$48,M40*Assumptions!$B$135,0)</f>
        <v>0</v>
      </c>
      <c r="N41" s="28" t="n">
        <f aca="false">IF(N2&gt;=Assumptions!$B$48,N40*Assumptions!$B$135,0)</f>
        <v>0</v>
      </c>
      <c r="O41" s="28" t="n">
        <f aca="false">IF(O2&gt;=Assumptions!$B$48,O40*Assumptions!$B$135,0)</f>
        <v>16.6200535811122</v>
      </c>
      <c r="P41" s="28" t="n">
        <f aca="false">IF(P2&gt;=Assumptions!$B$48,P40*Assumptions!$B$135,0)</f>
        <v>19.4965574558157</v>
      </c>
      <c r="Q41" s="28" t="n">
        <f aca="false">IF(Q2&gt;=Assumptions!$B$48,Q40*Assumptions!$B$135,0)</f>
        <v>22.2742858474409</v>
      </c>
      <c r="R41" s="28" t="n">
        <f aca="false">IF(R2&gt;=Assumptions!$B$48,R40*Assumptions!$B$135,0)</f>
        <v>25.0513258664756</v>
      </c>
      <c r="S41" s="28" t="n">
        <f aca="false">IF(S2&gt;=Assumptions!$B$48,S40*Assumptions!$B$135,0)</f>
        <v>28.0889813839383</v>
      </c>
      <c r="T41" s="28" t="n">
        <f aca="false">IF(T2&gt;=Assumptions!$B$48,T40*Assumptions!$B$135,0)</f>
        <v>32.1707446628867</v>
      </c>
      <c r="U41" s="28" t="n">
        <f aca="false">IF(U2&gt;=Assumptions!$B$48,U40*Assumptions!$B$135,0)</f>
        <v>35.9245983299876</v>
      </c>
      <c r="V41" s="28" t="n">
        <f aca="false">IF(V2&gt;=Assumptions!$B$48,V40*Assumptions!$B$135,0)</f>
        <v>39.2203557308469</v>
      </c>
      <c r="W41" s="28" t="n">
        <f aca="false">IF(W2&gt;=Assumptions!$B$48,W40*Assumptions!$B$135,0)</f>
        <v>50.2922380318524</v>
      </c>
      <c r="X41" s="28" t="n">
        <f aca="false">IF(X2&gt;=Assumptions!$B$48,X40*Assumptions!$B$135,0)</f>
        <v>61.0135184763789</v>
      </c>
      <c r="Y41" s="28" t="n">
        <f aca="false">IF(Y2&gt;=Assumptions!$B$48,Y40*Assumptions!$B$135,0)</f>
        <v>71.4603444244605</v>
      </c>
      <c r="Z41" s="28" t="n">
        <f aca="false">IF(Z2&gt;=Assumptions!$B$48,Z40*Assumptions!$B$135,0)</f>
        <v>84.7159327815008</v>
      </c>
      <c r="AA41" s="28" t="n">
        <f aca="false">IF(AA2&gt;=Assumptions!$B$48,AA40*Assumptions!$B$135,0)</f>
        <v>433.223299199416</v>
      </c>
      <c r="AB41" s="28" t="n">
        <f aca="false">IF(AB2&gt;=Assumptions!$B$48,AB40*Assumptions!$B$135,0)</f>
        <v>831.066434493629</v>
      </c>
      <c r="AC41" s="28" t="n">
        <f aca="false">IF(AC2&gt;=Assumptions!$B$48,AC40*Assumptions!$B$135,0)</f>
        <v>1419.48490792636</v>
      </c>
      <c r="AD41" s="28" t="n">
        <f aca="false">IF(AD2&gt;=Assumptions!$B$48,AD40*Assumptions!$B$135,0)</f>
        <v>2180.15136227009</v>
      </c>
      <c r="AE41" s="28" t="n">
        <f aca="false">IF(AE2&gt;=Assumptions!$B$48,AE40*Assumptions!$B$135,0)</f>
        <v>3079.27084100673</v>
      </c>
    </row>
    <row r="42" customFormat="false" ht="15" hidden="false" customHeight="false" outlineLevel="0" collapsed="false">
      <c r="A42" s="6" t="s">
        <v>448</v>
      </c>
      <c r="B42" s="23" t="s">
        <v>109</v>
      </c>
      <c r="C42" s="54" t="n">
        <f aca="false">IF(C29=0,0,C38/C29*Assumptions!$B$31)</f>
        <v>17.4876436781609</v>
      </c>
      <c r="D42" s="54" t="n">
        <f aca="false">IF(D29=0,0,D38/D29*Assumptions!$B$31)</f>
        <v>26.5269765367051</v>
      </c>
      <c r="E42" s="54" t="n">
        <f aca="false">IF(E29=0,0,E38/E29*Assumptions!$B$31)</f>
        <v>35.7163001992537</v>
      </c>
      <c r="F42" s="54" t="n">
        <f aca="false">IF(F29=0,0,F38/F29*Assumptions!$B$31)</f>
        <v>43.1095828317793</v>
      </c>
      <c r="G42" s="54" t="n">
        <f aca="false">IF(G29=0,0,G38/G29*Assumptions!$B$31)</f>
        <v>51.9904102751157</v>
      </c>
      <c r="H42" s="54" t="n">
        <f aca="false">IF(H29=0,0,H38/H29*Assumptions!$B$31)</f>
        <v>62.2179327192934</v>
      </c>
      <c r="I42" s="54" t="n">
        <f aca="false">IF(I29=0,0,I38/I29*Assumptions!$B$31)</f>
        <v>72.4186528251651</v>
      </c>
      <c r="J42" s="54" t="n">
        <f aca="false">IF(J29=0,0,J38/J29*Assumptions!$B$31)</f>
        <v>82.363545674055</v>
      </c>
      <c r="K42" s="54" t="n">
        <f aca="false">IF(K29=0,0,K38/K29*Assumptions!$B$31)</f>
        <v>91.2809746701025</v>
      </c>
      <c r="L42" s="54" t="n">
        <f aca="false">IF(L29=0,0,L38/L29*Assumptions!$B$31)</f>
        <v>96.8953162850218</v>
      </c>
      <c r="M42" s="54" t="n">
        <f aca="false">IF(M29=0,0,M38/M29*Assumptions!$B$31)</f>
        <v>104.288312880705</v>
      </c>
      <c r="N42" s="54" t="n">
        <f aca="false">IF(N29=0,0,N38/N29*Assumptions!$B$31)</f>
        <v>113.407344997744</v>
      </c>
      <c r="O42" s="54" t="n">
        <f aca="false">IF(O29=0,0,O38/O29*Assumptions!$B$31)</f>
        <v>102.112397474062</v>
      </c>
      <c r="P42" s="54" t="n">
        <f aca="false">IF(P29=0,0,P38/P29*Assumptions!$B$31)</f>
        <v>99.6877651737166</v>
      </c>
      <c r="Q42" s="54" t="n">
        <f aca="false">IF(Q29=0,0,Q38/Q29*Assumptions!$B$31)</f>
        <v>101.439445394723</v>
      </c>
      <c r="R42" s="54" t="n">
        <f aca="false">IF(R29=0,0,R38/R29*Assumptions!$B$31)</f>
        <v>101.544986025414</v>
      </c>
      <c r="S42" s="54" t="n">
        <f aca="false">IF(S29=0,0,S38/S29*Assumptions!$B$31)</f>
        <v>105.467159857668</v>
      </c>
      <c r="T42" s="54" t="n">
        <f aca="false">IF(T29=0,0,T38/T29*Assumptions!$B$31)</f>
        <v>112.524455182806</v>
      </c>
      <c r="U42" s="54" t="n">
        <f aca="false">IF(U29=0,0,U38/U29*Assumptions!$B$31)</f>
        <v>120.204139299439</v>
      </c>
      <c r="V42" s="54" t="n">
        <f aca="false">IF(V29=0,0,V38/V29*Assumptions!$B$31)</f>
        <v>127.961457489979</v>
      </c>
      <c r="W42" s="54" t="n">
        <f aca="false">IF(W29=0,0,W38/W29*Assumptions!$B$31)</f>
        <v>134.629742812951</v>
      </c>
      <c r="X42" s="54" t="n">
        <f aca="false">IF(X29=0,0,X38/X29*Assumptions!$B$31)</f>
        <v>137.124771801191</v>
      </c>
      <c r="Y42" s="54" t="n">
        <f aca="false">IF(Y29=0,0,Y38/Y29*Assumptions!$B$31)</f>
        <v>141.946094399687</v>
      </c>
      <c r="Z42" s="54" t="n">
        <f aca="false">IF(Z29=0,0,Z38/Z29*Assumptions!$B$31)</f>
        <v>149.072308717619</v>
      </c>
      <c r="AA42" s="54" t="n">
        <f aca="false">IF(AA29=0,0,AA38/AA29*Assumptions!$B$31)</f>
        <v>265.803721515215</v>
      </c>
      <c r="AB42" s="54" t="n">
        <f aca="false">IF(AB29=0,0,AB38/AB29*Assumptions!$B$31)</f>
        <v>327.291673041073</v>
      </c>
      <c r="AC42" s="54" t="n">
        <f aca="false">IF(AC29=0,0,AC38/AC29*Assumptions!$B$31)</f>
        <v>367.898518186332</v>
      </c>
      <c r="AD42" s="54" t="n">
        <f aca="false">IF(AD29=0,0,AD38/AD29*Assumptions!$B$31)</f>
        <v>407.835052900798</v>
      </c>
      <c r="AE42" s="54" t="n">
        <f aca="false">IF(AE29=0,0,AE38/AE29*Assumptions!$B$31)</f>
        <v>449.160950689056</v>
      </c>
    </row>
    <row r="43" customFormat="false" ht="15" hidden="false" customHeight="false" outlineLevel="0" collapsed="false">
      <c r="A43" s="6" t="s">
        <v>449</v>
      </c>
      <c r="B43" s="23" t="s">
        <v>76</v>
      </c>
      <c r="C43" s="54" t="n">
        <f aca="false">C42*Assumptions!$B$149*Assumptions!$B$151</f>
        <v>18.362025862069</v>
      </c>
      <c r="D43" s="54" t="n">
        <f aca="false">D42*Assumptions!$B$149*Assumptions!$B$151</f>
        <v>27.8533253635403</v>
      </c>
      <c r="E43" s="54" t="n">
        <f aca="false">E42*Assumptions!$B$149*Assumptions!$B$151</f>
        <v>37.5021152092164</v>
      </c>
      <c r="F43" s="54" t="n">
        <f aca="false">F42*Assumptions!$B$149*Assumptions!$B$151</f>
        <v>45.2650619733683</v>
      </c>
      <c r="G43" s="54" t="n">
        <f aca="false">G42*Assumptions!$B$149*Assumptions!$B$151</f>
        <v>54.5899307888715</v>
      </c>
      <c r="H43" s="54" t="n">
        <f aca="false">H42*Assumptions!$B$149*Assumptions!$B$151</f>
        <v>65.3288293552581</v>
      </c>
      <c r="I43" s="54" t="n">
        <f aca="false">I42*Assumptions!$B$149*Assumptions!$B$151</f>
        <v>76.0395854664234</v>
      </c>
      <c r="J43" s="54" t="n">
        <f aca="false">J42*Assumptions!$B$149*Assumptions!$B$151</f>
        <v>86.4817229577577</v>
      </c>
      <c r="K43" s="54" t="n">
        <f aca="false">K42*Assumptions!$B$149*Assumptions!$B$151</f>
        <v>95.8450234036076</v>
      </c>
      <c r="L43" s="54" t="n">
        <f aca="false">L42*Assumptions!$B$149*Assumptions!$B$151</f>
        <v>101.740082099273</v>
      </c>
      <c r="M43" s="54" t="n">
        <f aca="false">M42*Assumptions!$B$149*Assumptions!$B$151</f>
        <v>109.50272852474</v>
      </c>
      <c r="N43" s="54" t="n">
        <f aca="false">N42*Assumptions!$B$149*Assumptions!$B$151</f>
        <v>119.077712247631</v>
      </c>
      <c r="O43" s="54" t="n">
        <f aca="false">O42*Assumptions!$B$149*Assumptions!$B$151</f>
        <v>107.218017347765</v>
      </c>
      <c r="P43" s="54" t="n">
        <f aca="false">P42*Assumptions!$B$149*Assumptions!$B$151</f>
        <v>104.672153432402</v>
      </c>
      <c r="Q43" s="54" t="n">
        <f aca="false">Q42*Assumptions!$B$149*Assumptions!$B$151</f>
        <v>106.511417664459</v>
      </c>
      <c r="R43" s="54" t="n">
        <f aca="false">R42*Assumptions!$B$149*Assumptions!$B$151</f>
        <v>106.622235326685</v>
      </c>
      <c r="S43" s="54" t="n">
        <f aca="false">S42*Assumptions!$B$149*Assumptions!$B$151</f>
        <v>110.740517850552</v>
      </c>
      <c r="T43" s="54" t="n">
        <f aca="false">T42*Assumptions!$B$149*Assumptions!$B$151</f>
        <v>118.150677941947</v>
      </c>
      <c r="U43" s="54" t="n">
        <f aca="false">U42*Assumptions!$B$149*Assumptions!$B$151</f>
        <v>126.214346264411</v>
      </c>
      <c r="V43" s="54" t="n">
        <f aca="false">V42*Assumptions!$B$149*Assumptions!$B$151</f>
        <v>134.359530364478</v>
      </c>
      <c r="W43" s="54" t="n">
        <f aca="false">W42*Assumptions!$B$149*Assumptions!$B$151</f>
        <v>141.361229953599</v>
      </c>
      <c r="X43" s="54" t="n">
        <f aca="false">X42*Assumptions!$B$149*Assumptions!$B$151</f>
        <v>143.981010391251</v>
      </c>
      <c r="Y43" s="54" t="n">
        <f aca="false">Y42*Assumptions!$B$149*Assumptions!$B$151</f>
        <v>149.043399119671</v>
      </c>
      <c r="Z43" s="54" t="n">
        <f aca="false">Z42*Assumptions!$B$149*Assumptions!$B$151</f>
        <v>156.5259241535</v>
      </c>
      <c r="AA43" s="54" t="n">
        <f aca="false">AA42*Assumptions!$B$149*Assumptions!$B$151</f>
        <v>279.093907590975</v>
      </c>
      <c r="AB43" s="54" t="n">
        <f aca="false">AB42*Assumptions!$B$149*Assumptions!$B$151</f>
        <v>343.656256693127</v>
      </c>
      <c r="AC43" s="54" t="n">
        <f aca="false">AC42*Assumptions!$B$149*Assumptions!$B$151</f>
        <v>386.293444095649</v>
      </c>
      <c r="AD43" s="54" t="n">
        <f aca="false">AD42*Assumptions!$B$149*Assumptions!$B$151</f>
        <v>428.226805545838</v>
      </c>
      <c r="AE43" s="54" t="n">
        <f aca="false">AE42*Assumptions!$B$149*Assumptions!$B$151</f>
        <v>471.618998223509</v>
      </c>
    </row>
    <row r="44" customFormat="false" ht="15" hidden="false" customHeight="false" outlineLevel="0" collapsed="false">
      <c r="A44" s="6" t="s">
        <v>450</v>
      </c>
      <c r="B44" s="23" t="s">
        <v>109</v>
      </c>
      <c r="C44" s="54" t="n">
        <f aca="false">C43/12*C16</f>
        <v>1.68318570402299</v>
      </c>
      <c r="D44" s="54" t="n">
        <f aca="false">D43/12*D16</f>
        <v>2.32111044696169</v>
      </c>
      <c r="E44" s="54" t="n">
        <f aca="false">E43/12*E16</f>
        <v>3.06267274208601</v>
      </c>
      <c r="F44" s="54" t="n">
        <f aca="false">F43/12*F16</f>
        <v>3.69664672782508</v>
      </c>
      <c r="G44" s="54" t="n">
        <f aca="false">G43/12*G16</f>
        <v>4.54916089907263</v>
      </c>
      <c r="H44" s="54" t="n">
        <f aca="false">H43/12*H16</f>
        <v>5.17186565729127</v>
      </c>
      <c r="I44" s="54" t="n">
        <f aca="false">I43/12*I16</f>
        <v>5.57623626753771</v>
      </c>
      <c r="J44" s="54" t="n">
        <f aca="false">J43/12*J16</f>
        <v>6.48612922183183</v>
      </c>
      <c r="K44" s="54" t="n">
        <f aca="false">K43/12*K16</f>
        <v>7.98708528363397</v>
      </c>
      <c r="L44" s="54" t="n">
        <f aca="false">L43/12*L16</f>
        <v>8.6479069784382</v>
      </c>
      <c r="M44" s="54" t="n">
        <f aca="false">M43/12*M16</f>
        <v>9.58148874591473</v>
      </c>
      <c r="N44" s="54" t="n">
        <f aca="false">N43/12*N16</f>
        <v>11.312382663525</v>
      </c>
      <c r="O44" s="54" t="n">
        <f aca="false">O43/12*O16</f>
        <v>9.82831825687848</v>
      </c>
      <c r="P44" s="54" t="n">
        <f aca="false">P43/12*P16</f>
        <v>8.7226794527002</v>
      </c>
      <c r="Q44" s="54" t="n">
        <f aca="false">Q43/12*Q16</f>
        <v>8.69843244259745</v>
      </c>
      <c r="R44" s="54" t="n">
        <f aca="false">R43/12*R16</f>
        <v>8.70748255167928</v>
      </c>
      <c r="S44" s="54" t="n">
        <f aca="false">S43/12*S16</f>
        <v>9.22837648754599</v>
      </c>
      <c r="T44" s="54" t="n">
        <f aca="false">T43/12*T16</f>
        <v>9.35359533707076</v>
      </c>
      <c r="U44" s="54" t="n">
        <f aca="false">U43/12*U16</f>
        <v>9.25571872605678</v>
      </c>
      <c r="V44" s="54" t="n">
        <f aca="false">V43/12*V16</f>
        <v>10.0769647773359</v>
      </c>
      <c r="W44" s="54" t="n">
        <f aca="false">W43/12*W16</f>
        <v>11.7801024961332</v>
      </c>
      <c r="X44" s="54" t="n">
        <f aca="false">X43/12*X16</f>
        <v>12.2383858832563</v>
      </c>
      <c r="Y44" s="54" t="n">
        <f aca="false">Y43/12*Y16</f>
        <v>13.0412974229712</v>
      </c>
      <c r="Z44" s="54" t="n">
        <f aca="false">Z43/12*Z16</f>
        <v>14.8699627945825</v>
      </c>
      <c r="AA44" s="54" t="n">
        <f aca="false">AA43/12*AA16</f>
        <v>23.2578256325813</v>
      </c>
      <c r="AB44" s="54" t="n">
        <f aca="false">AB43/12*AB16</f>
        <v>28.6380213910939</v>
      </c>
      <c r="AC44" s="54" t="n">
        <f aca="false">AC43/12*AC16</f>
        <v>32.191120341304</v>
      </c>
      <c r="AD44" s="54" t="n">
        <f aca="false">AD43/12*AD16</f>
        <v>35.6855671288198</v>
      </c>
      <c r="AE44" s="54" t="n">
        <f aca="false">AE43/12*AE16</f>
        <v>39.3015831852924</v>
      </c>
    </row>
    <row r="45" customFormat="false" ht="15" hidden="false" customHeight="false" outlineLevel="0" collapsed="false">
      <c r="A45" s="6" t="s">
        <v>451</v>
      </c>
      <c r="B45" s="23" t="s">
        <v>452</v>
      </c>
      <c r="C45" s="44" t="n">
        <f aca="false">C41*C44*Assumptions!$B$7*C7</f>
        <v>0</v>
      </c>
      <c r="D45" s="44" t="n">
        <f aca="false">D41*D44*Assumptions!$B$7*D7</f>
        <v>0</v>
      </c>
      <c r="E45" s="44" t="n">
        <f aca="false">E41*E44*Assumptions!$B$7*E7</f>
        <v>0</v>
      </c>
      <c r="F45" s="44" t="n">
        <f aca="false">F41*F44*Assumptions!$B$7*F7</f>
        <v>0</v>
      </c>
      <c r="G45" s="44" t="n">
        <f aca="false">G41*G44*Assumptions!$B$7*G7</f>
        <v>0</v>
      </c>
      <c r="H45" s="44" t="n">
        <f aca="false">H41*H44*Assumptions!$B$7*H7</f>
        <v>0</v>
      </c>
      <c r="I45" s="44" t="n">
        <f aca="false">I41*I44*Assumptions!$B$7*I7</f>
        <v>0</v>
      </c>
      <c r="J45" s="44" t="n">
        <f aca="false">J41*J44*Assumptions!$B$7*J7</f>
        <v>0</v>
      </c>
      <c r="K45" s="44" t="n">
        <f aca="false">K41*K44*Assumptions!$B$7*K7</f>
        <v>0</v>
      </c>
      <c r="L45" s="44" t="n">
        <f aca="false">L41*L44*Assumptions!$B$7*L7</f>
        <v>0</v>
      </c>
      <c r="M45" s="44" t="n">
        <f aca="false">M41*M44*Assumptions!$B$7*M7</f>
        <v>0</v>
      </c>
      <c r="N45" s="44" t="n">
        <f aca="false">N41*N44*Assumptions!$B$7*N7</f>
        <v>0</v>
      </c>
      <c r="O45" s="44" t="n">
        <f aca="false">O41*O44*Assumptions!$B$7*O7</f>
        <v>599.892504012567</v>
      </c>
      <c r="P45" s="44" t="n">
        <f aca="false">P41*P44*Assumptions!$B$7*P7</f>
        <v>624.55350705671</v>
      </c>
      <c r="Q45" s="44" t="n">
        <f aca="false">Q41*Q44*Assumptions!$B$7*Q7</f>
        <v>711.551908716051</v>
      </c>
      <c r="R45" s="44" t="n">
        <f aca="false">R41*R44*Assumptions!$B$7*R7</f>
        <v>801.097052122276</v>
      </c>
      <c r="S45" s="44" t="n">
        <f aca="false">S41*S44*Assumptions!$B$7*S7</f>
        <v>951.969641219344</v>
      </c>
      <c r="T45" s="44" t="n">
        <f aca="false">T41*T44*Assumptions!$B$7*T7</f>
        <v>1105.09978739493</v>
      </c>
      <c r="U45" s="44" t="n">
        <f aca="false">U41*U44*Assumptions!$B$7*U7</f>
        <v>1221.13554732811</v>
      </c>
      <c r="V45" s="44" t="n">
        <f aca="false">V41*V44*Assumptions!$B$7*V7</f>
        <v>1451.45332110152</v>
      </c>
      <c r="W45" s="44" t="n">
        <f aca="false">W41*W44*Assumptions!$B$7*W7</f>
        <v>2175.76424720174</v>
      </c>
      <c r="X45" s="44" t="n">
        <f aca="false">X41*X44*Assumptions!$B$7*X7</f>
        <v>2742.28139583547</v>
      </c>
      <c r="Y45" s="44" t="n">
        <f aca="false">Y41*Y44*Assumptions!$B$7*Y7</f>
        <v>3422.53351151955</v>
      </c>
      <c r="Z45" s="44" t="n">
        <f aca="false">Z41*Z44*Assumptions!$B$7*Z7</f>
        <v>4626.33186757064</v>
      </c>
      <c r="AA45" s="44" t="n">
        <f aca="false">AA41*AA44*Assumptions!$B$7*AA7</f>
        <v>444041.914157764</v>
      </c>
      <c r="AB45" s="44" t="n">
        <f aca="false">AB41*AB44*Assumptions!$B$7*AB7</f>
        <v>1048870.33333473</v>
      </c>
      <c r="AC45" s="44" t="n">
        <f aca="false">AC41*AC44*Assumptions!$B$7*AC7</f>
        <v>2013770.25438835</v>
      </c>
      <c r="AD45" s="44" t="n">
        <f aca="false">AD41*AD44*Assumptions!$B$7*AD7</f>
        <v>3428643.25837345</v>
      </c>
      <c r="AE45" s="44" t="n">
        <f aca="false">AE41*AE44*Assumptions!$B$7*AE7</f>
        <v>5333361.05608389</v>
      </c>
    </row>
    <row r="46" customFormat="false" ht="15" hidden="false" customHeight="false" outlineLevel="0" collapsed="false">
      <c r="A46" s="6" t="s">
        <v>451</v>
      </c>
      <c r="B46" s="23" t="s">
        <v>109</v>
      </c>
      <c r="C46" s="54" t="n">
        <f aca="false">C45/Assumptions!$B$7</f>
        <v>0</v>
      </c>
      <c r="D46" s="54" t="n">
        <f aca="false">D45/Assumptions!$B$7</f>
        <v>0</v>
      </c>
      <c r="E46" s="54" t="n">
        <f aca="false">E45/Assumptions!$B$7</f>
        <v>0</v>
      </c>
      <c r="F46" s="54" t="n">
        <f aca="false">F45/Assumptions!$B$7</f>
        <v>0</v>
      </c>
      <c r="G46" s="54" t="n">
        <f aca="false">G45/Assumptions!$B$7</f>
        <v>0</v>
      </c>
      <c r="H46" s="54" t="n">
        <f aca="false">H45/Assumptions!$B$7</f>
        <v>0</v>
      </c>
      <c r="I46" s="54" t="n">
        <f aca="false">I45/Assumptions!$B$7</f>
        <v>0</v>
      </c>
      <c r="J46" s="54" t="n">
        <f aca="false">J45/Assumptions!$B$7</f>
        <v>0</v>
      </c>
      <c r="K46" s="54" t="n">
        <f aca="false">K45/Assumptions!$B$7</f>
        <v>0</v>
      </c>
      <c r="L46" s="54" t="n">
        <f aca="false">L45/Assumptions!$B$7</f>
        <v>0</v>
      </c>
      <c r="M46" s="54" t="n">
        <f aca="false">M45/Assumptions!$B$7</f>
        <v>0</v>
      </c>
      <c r="N46" s="54" t="n">
        <f aca="false">N45/Assumptions!$B$7</f>
        <v>0</v>
      </c>
      <c r="O46" s="54" t="n">
        <f aca="false">O45/Assumptions!$B$7</f>
        <v>163.347176041543</v>
      </c>
      <c r="P46" s="54" t="n">
        <f aca="false">P45/Assumptions!$B$7</f>
        <v>170.062221118233</v>
      </c>
      <c r="Q46" s="54" t="n">
        <f aca="false">Q45/Assumptions!$B$7</f>
        <v>193.751370651069</v>
      </c>
      <c r="R46" s="54" t="n">
        <f aca="false">R45/Assumptions!$B$7</f>
        <v>218.133982878768</v>
      </c>
      <c r="S46" s="54" t="n">
        <f aca="false">S45/Assumptions!$B$7</f>
        <v>259.215695362653</v>
      </c>
      <c r="T46" s="54" t="n">
        <f aca="false">T45/Assumptions!$B$7</f>
        <v>300.912127268871</v>
      </c>
      <c r="U46" s="54" t="n">
        <f aca="false">U45/Assumptions!$B$7</f>
        <v>332.507977488934</v>
      </c>
      <c r="V46" s="54" t="n">
        <f aca="false">V45/Assumptions!$B$7</f>
        <v>395.222143254327</v>
      </c>
      <c r="W46" s="54" t="n">
        <f aca="false">W45/Assumptions!$B$7</f>
        <v>592.44771877515</v>
      </c>
      <c r="X46" s="54" t="n">
        <f aca="false">X45/Assumptions!$B$7</f>
        <v>746.706983209113</v>
      </c>
      <c r="Y46" s="54" t="n">
        <f aca="false">Y45/Assumptions!$B$7</f>
        <v>931.935605587351</v>
      </c>
      <c r="Z46" s="54" t="n">
        <f aca="false">Z45/Assumptions!$B$7</f>
        <v>1259.72276856927</v>
      </c>
      <c r="AA46" s="54" t="n">
        <f aca="false">AA45/Assumptions!$B$7</f>
        <v>120909.983433019</v>
      </c>
      <c r="AB46" s="54" t="n">
        <f aca="false">AB45/Assumptions!$B$7</f>
        <v>285601.179941384</v>
      </c>
      <c r="AC46" s="54" t="n">
        <f aca="false">AC45/Assumptions!$B$7</f>
        <v>548337.713924669</v>
      </c>
      <c r="AD46" s="54" t="n">
        <f aca="false">AD45/Assumptions!$B$7</f>
        <v>933599.253471327</v>
      </c>
      <c r="AE46" s="54" t="n">
        <f aca="false">AE45/Assumptions!$B$7</f>
        <v>1452242.62929446</v>
      </c>
    </row>
    <row r="47" customFormat="false" ht="15" hidden="false" customHeight="false" outlineLevel="0" collapsed="false">
      <c r="A47" s="6" t="s">
        <v>453</v>
      </c>
      <c r="B47" s="23" t="s">
        <v>452</v>
      </c>
      <c r="C47" s="44" t="n">
        <f aca="false">IF(Assumptions!$B$136=0,0,C42*Assumptions!$B$149*Assumptions!$B$7/Assumptions!$B$136)</f>
        <v>8.02792142600575</v>
      </c>
      <c r="D47" s="44" t="n">
        <f aca="false">IF(Assumptions!$B$136=0,0,D42*Assumptions!$B$149*Assumptions!$B$7/Assumptions!$B$136)</f>
        <v>12.1775401663812</v>
      </c>
      <c r="E47" s="44" t="n">
        <f aca="false">IF(Assumptions!$B$136=0,0,E42*Assumptions!$B$149*Assumptions!$B$7/Assumptions!$B$136)</f>
        <v>16.3960140602199</v>
      </c>
      <c r="F47" s="44" t="n">
        <f aca="false">IF(Assumptions!$B$136=0,0,F42*Assumptions!$B$149*Assumptions!$B$7/Assumptions!$B$136)</f>
        <v>19.7899928687137</v>
      </c>
      <c r="G47" s="44" t="n">
        <f aca="false">IF(Assumptions!$B$136=0,0,G42*Assumptions!$B$149*Assumptions!$B$7/Assumptions!$B$136)</f>
        <v>23.8668477169203</v>
      </c>
      <c r="H47" s="44" t="n">
        <f aca="false">IF(Assumptions!$B$136=0,0,H42*Assumptions!$B$149*Assumptions!$B$7/Assumptions!$B$136)</f>
        <v>28.5619197389506</v>
      </c>
      <c r="I47" s="44" t="n">
        <f aca="false">IF(Assumptions!$B$136=0,0,I42*Assumptions!$B$149*Assumptions!$B$7/Assumptions!$B$136)</f>
        <v>33.2446878125524</v>
      </c>
      <c r="J47" s="44" t="n">
        <f aca="false">IF(Assumptions!$B$136=0,0,J42*Assumptions!$B$149*Assumptions!$B$7/Assumptions!$B$136)</f>
        <v>37.8100151859959</v>
      </c>
      <c r="K47" s="44" t="n">
        <f aca="false">IF(Assumptions!$B$136=0,0,K42*Assumptions!$B$149*Assumptions!$B$7/Assumptions!$B$136)</f>
        <v>41.9036724344939</v>
      </c>
      <c r="L47" s="44" t="n">
        <f aca="false">IF(Assumptions!$B$136=0,0,L42*Assumptions!$B$149*Assumptions!$B$7/Assumptions!$B$136)</f>
        <v>44.4810061320928</v>
      </c>
      <c r="M47" s="44" t="n">
        <f aca="false">IF(Assumptions!$B$136=0,0,M42*Assumptions!$B$149*Assumptions!$B$7/Assumptions!$B$136)</f>
        <v>47.8748536317984</v>
      </c>
      <c r="N47" s="44" t="n">
        <f aca="false">IF(Assumptions!$B$136=0,0,N42*Assumptions!$B$149*Assumptions!$B$7/Assumptions!$B$136)</f>
        <v>52.0610593130269</v>
      </c>
      <c r="O47" s="44" t="n">
        <f aca="false">IF(Assumptions!$B$136=0,0,O42*Assumptions!$B$149*Assumptions!$B$7/Assumptions!$B$136)</f>
        <v>46.8759724654366</v>
      </c>
      <c r="P47" s="44" t="n">
        <f aca="false">IF(Assumptions!$B$136=0,0,P42*Assumptions!$B$149*Assumptions!$B$7/Assumptions!$B$136)</f>
        <v>45.7629147000593</v>
      </c>
      <c r="Q47" s="44" t="n">
        <f aca="false">IF(Assumptions!$B$136=0,0,Q42*Assumptions!$B$149*Assumptions!$B$7/Assumptions!$B$136)</f>
        <v>46.5670454015148</v>
      </c>
      <c r="R47" s="44" t="n">
        <f aca="false">IF(Assumptions!$B$136=0,0,R42*Assumptions!$B$149*Assumptions!$B$7/Assumptions!$B$136)</f>
        <v>46.6154951472918</v>
      </c>
      <c r="S47" s="44" t="n">
        <f aca="false">IF(Assumptions!$B$136=0,0,S42*Assumptions!$B$149*Assumptions!$B$7/Assumptions!$B$136)</f>
        <v>48.4160180721609</v>
      </c>
      <c r="T47" s="44" t="n">
        <f aca="false">IF(Assumptions!$B$136=0,0,T42*Assumptions!$B$149*Assumptions!$B$7/Assumptions!$B$136)</f>
        <v>51.655757707357</v>
      </c>
      <c r="U47" s="44" t="n">
        <f aca="false">IF(Assumptions!$B$136=0,0,U42*Assumptions!$B$149*Assumptions!$B$7/Assumptions!$B$136)</f>
        <v>55.1812126971486</v>
      </c>
      <c r="V47" s="44" t="n">
        <f aca="false">IF(Assumptions!$B$136=0,0,V42*Assumptions!$B$149*Assumptions!$B$7/Assumptions!$B$136)</f>
        <v>58.7423065789936</v>
      </c>
      <c r="W47" s="44" t="n">
        <f aca="false">IF(Assumptions!$B$136=0,0,W42*Assumptions!$B$149*Assumptions!$B$7/Assumptions!$B$136)</f>
        <v>61.8034663100703</v>
      </c>
      <c r="X47" s="44" t="n">
        <f aca="false">IF(Assumptions!$B$136=0,0,X42*Assumptions!$B$149*Assumptions!$B$7/Assumptions!$B$136)</f>
        <v>62.9488405549843</v>
      </c>
      <c r="Y47" s="44" t="n">
        <f aca="false">IF(Assumptions!$B$136=0,0,Y42*Assumptions!$B$149*Assumptions!$B$7/Assumptions!$B$136)</f>
        <v>65.1621289603561</v>
      </c>
      <c r="Z47" s="44" t="n">
        <f aca="false">IF(Assumptions!$B$136=0,0,Z42*Assumptions!$B$149*Assumptions!$B$7/Assumptions!$B$136)</f>
        <v>68.4335067206819</v>
      </c>
      <c r="AA47" s="44" t="n">
        <f aca="false">IF(Assumptions!$B$136=0,0,AA42*Assumptions!$B$149*Assumptions!$B$7/Assumptions!$B$136)</f>
        <v>122.020520908078</v>
      </c>
      <c r="AB47" s="44" t="n">
        <f aca="false">IF(Assumptions!$B$136=0,0,AB42*Assumptions!$B$149*Assumptions!$B$7/Assumptions!$B$136)</f>
        <v>150.247333655418</v>
      </c>
      <c r="AC47" s="44" t="n">
        <f aca="false">IF(Assumptions!$B$136=0,0,AC42*Assumptions!$B$149*Assumptions!$B$7/Assumptions!$B$136)</f>
        <v>168.888413504913</v>
      </c>
      <c r="AD47" s="44" t="n">
        <f aca="false">IF(Assumptions!$B$136=0,0,AD42*Assumptions!$B$149*Assumptions!$B$7/Assumptions!$B$136)</f>
        <v>187.221778972273</v>
      </c>
      <c r="AE47" s="44" t="n">
        <f aca="false">IF(Assumptions!$B$136=0,0,AE42*Assumptions!$B$149*Assumptions!$B$7/Assumptions!$B$136)</f>
        <v>206.192948925695</v>
      </c>
    </row>
    <row r="48" customFormat="false" ht="15" hidden="false" customHeight="false" outlineLevel="0" collapsed="false">
      <c r="A48" s="6" t="s">
        <v>454</v>
      </c>
      <c r="B48" s="23" t="s">
        <v>455</v>
      </c>
      <c r="C48" s="44" t="n">
        <f aca="false">C41*Assumptions!$B$151*Assumptions!$B$136*C7/12*(1+Assumptions!$B$16)</f>
        <v>0</v>
      </c>
      <c r="D48" s="44" t="n">
        <f aca="false">D41*Assumptions!$B$151*Assumptions!$B$136*D7/12*(1+Assumptions!$B$16)</f>
        <v>0</v>
      </c>
      <c r="E48" s="44" t="n">
        <f aca="false">E41*Assumptions!$B$151*Assumptions!$B$136*E7/12*(1+Assumptions!$B$16)</f>
        <v>0</v>
      </c>
      <c r="F48" s="44" t="n">
        <f aca="false">F41*Assumptions!$B$151*Assumptions!$B$136*F7/12*(1+Assumptions!$B$16)</f>
        <v>0</v>
      </c>
      <c r="G48" s="44" t="n">
        <f aca="false">G41*Assumptions!$B$151*Assumptions!$B$136*G7/12*(1+Assumptions!$B$16)</f>
        <v>0</v>
      </c>
      <c r="H48" s="44" t="n">
        <f aca="false">H41*Assumptions!$B$151*Assumptions!$B$136*H7/12*(1+Assumptions!$B$16)</f>
        <v>0</v>
      </c>
      <c r="I48" s="44" t="n">
        <f aca="false">I41*Assumptions!$B$151*Assumptions!$B$136*I7/12*(1+Assumptions!$B$16)</f>
        <v>0</v>
      </c>
      <c r="J48" s="44" t="n">
        <f aca="false">J41*Assumptions!$B$151*Assumptions!$B$136*J7/12*(1+Assumptions!$B$16)</f>
        <v>0</v>
      </c>
      <c r="K48" s="44" t="n">
        <f aca="false">K41*Assumptions!$B$151*Assumptions!$B$136*K7/12*(1+Assumptions!$B$16)</f>
        <v>0</v>
      </c>
      <c r="L48" s="44" t="n">
        <f aca="false">L41*Assumptions!$B$151*Assumptions!$B$136*L7/12*(1+Assumptions!$B$16)</f>
        <v>0</v>
      </c>
      <c r="M48" s="44" t="n">
        <f aca="false">M41*Assumptions!$B$151*Assumptions!$B$136*M7/12*(1+Assumptions!$B$16)</f>
        <v>0</v>
      </c>
      <c r="N48" s="44" t="n">
        <f aca="false">N41*Assumptions!$B$151*Assumptions!$B$136*N7/12*(1+Assumptions!$B$16)</f>
        <v>0</v>
      </c>
      <c r="O48" s="44" t="n">
        <f aca="false">O41*Assumptions!$B$151*Assumptions!$B$136*O7/12*(1+Assumptions!$B$16)</f>
        <v>12.3320797571852</v>
      </c>
      <c r="P48" s="44" t="n">
        <f aca="false">P41*Assumptions!$B$151*Assumptions!$B$136*P7/12*(1+Assumptions!$B$16)</f>
        <v>14.4664456322153</v>
      </c>
      <c r="Q48" s="44" t="n">
        <f aca="false">Q41*Assumptions!$B$151*Assumptions!$B$136*Q7/12*(1+Assumptions!$B$16)</f>
        <v>16.5275200988011</v>
      </c>
      <c r="R48" s="44" t="n">
        <f aca="false">R41*Assumptions!$B$151*Assumptions!$B$136*R7/12*(1+Assumptions!$B$16)</f>
        <v>18.5880837929249</v>
      </c>
      <c r="S48" s="44" t="n">
        <f aca="false">S41*Assumptions!$B$151*Assumptions!$B$136*S7/12*(1+Assumptions!$B$16)</f>
        <v>20.8420241868822</v>
      </c>
      <c r="T48" s="44" t="n">
        <f aca="false">T41*Assumptions!$B$151*Assumptions!$B$136*T7/12*(1+Assumptions!$B$16)</f>
        <v>23.8706925398619</v>
      </c>
      <c r="U48" s="44" t="n">
        <f aca="false">U41*Assumptions!$B$151*Assumptions!$B$136*U7/12*(1+Assumptions!$B$16)</f>
        <v>26.6560519608508</v>
      </c>
      <c r="V48" s="44" t="n">
        <f aca="false">V41*Assumptions!$B$151*Assumptions!$B$136*V7/12*(1+Assumptions!$B$16)</f>
        <v>29.1015039522884</v>
      </c>
      <c r="W48" s="44" t="n">
        <f aca="false">W41*Assumptions!$B$151*Assumptions!$B$136*W7/12*(1+Assumptions!$B$16)</f>
        <v>37.3168406196345</v>
      </c>
      <c r="X48" s="44" t="n">
        <f aca="false">X41*Assumptions!$B$151*Assumptions!$B$136*X7/12*(1+Assumptions!$B$16)</f>
        <v>45.2720307094732</v>
      </c>
      <c r="Y48" s="44" t="n">
        <f aca="false">Y41*Assumptions!$B$151*Assumptions!$B$136*Y7/12*(1+Assumptions!$B$16)</f>
        <v>53.0235755629497</v>
      </c>
      <c r="Z48" s="44" t="n">
        <f aca="false">Z41*Assumptions!$B$151*Assumptions!$B$136*Z7/12*(1+Assumptions!$B$16)</f>
        <v>62.8592221238736</v>
      </c>
      <c r="AA48" s="44" t="n">
        <f aca="false">AA41*Assumptions!$B$151*Assumptions!$B$136*AA7/12*(1+Assumptions!$B$16)</f>
        <v>3857.4202560716</v>
      </c>
      <c r="AB48" s="44" t="n">
        <f aca="false">AB41*Assumptions!$B$151*Assumptions!$B$136*AB7/12*(1+Assumptions!$B$16)</f>
        <v>7399.81553273127</v>
      </c>
      <c r="AC48" s="44" t="n">
        <f aca="false">AC41*Assumptions!$B$151*Assumptions!$B$136*AC7/12*(1+Assumptions!$B$16)</f>
        <v>12639.0936201763</v>
      </c>
      <c r="AD48" s="44" t="n">
        <f aca="false">AD41*Assumptions!$B$151*Assumptions!$B$136*AD7/12*(1+Assumptions!$B$16)</f>
        <v>19412.0677296529</v>
      </c>
      <c r="AE48" s="44" t="n">
        <f aca="false">AE41*Assumptions!$B$151*Assumptions!$B$136*AE7/12*(1+Assumptions!$B$16)</f>
        <v>27417.8275683239</v>
      </c>
    </row>
    <row r="49" customFormat="false" ht="15" hidden="false" customHeight="false" outlineLevel="0" collapsed="false">
      <c r="A49" s="6" t="s">
        <v>456</v>
      </c>
      <c r="B49" s="23" t="s">
        <v>109</v>
      </c>
      <c r="C49" s="54" t="n">
        <f aca="false">C33*Assumptions!$B$8</f>
        <v>54.7271524559657</v>
      </c>
      <c r="D49" s="54" t="n">
        <f aca="false">D33*Assumptions!$B$8</f>
        <v>104.070031991681</v>
      </c>
      <c r="E49" s="54" t="n">
        <f aca="false">E33*Assumptions!$B$8</f>
        <v>148.834169693617</v>
      </c>
      <c r="F49" s="54" t="n">
        <f aca="false">F33*Assumptions!$B$8</f>
        <v>203.861568006955</v>
      </c>
      <c r="G49" s="54" t="n">
        <f aca="false">G33*Assumptions!$B$8</f>
        <v>250.240443757496</v>
      </c>
      <c r="H49" s="54" t="n">
        <f aca="false">H33*Assumptions!$B$8</f>
        <v>285.691466005013</v>
      </c>
      <c r="I49" s="54" t="n">
        <f aca="false">I33*Assumptions!$B$8</f>
        <v>317.784648361416</v>
      </c>
      <c r="J49" s="54" t="n">
        <f aca="false">J33*Assumptions!$B$8</f>
        <v>348.306736822532</v>
      </c>
      <c r="K49" s="54" t="n">
        <f aca="false">K33*Assumptions!$B$8</f>
        <v>381.659240473311</v>
      </c>
      <c r="L49" s="54" t="n">
        <f aca="false">L33*Assumptions!$B$8</f>
        <v>430.673128514946</v>
      </c>
      <c r="M49" s="54" t="n">
        <f aca="false">M33*Assumptions!$B$8</f>
        <v>471.877358426854</v>
      </c>
      <c r="N49" s="54" t="n">
        <f aca="false">N33*Assumptions!$B$8</f>
        <v>503.496596334813</v>
      </c>
      <c r="O49" s="54" t="n">
        <f aca="false">O33*Assumptions!$B$8</f>
        <v>662.291183946097</v>
      </c>
      <c r="P49" s="54" t="n">
        <f aca="false">P33*Assumptions!$B$8</f>
        <v>807.565263428042</v>
      </c>
      <c r="Q49" s="54" t="n">
        <f aca="false">Q33*Assumptions!$B$8</f>
        <v>941.236326061607</v>
      </c>
      <c r="R49" s="54" t="n">
        <f aca="false">R33*Assumptions!$B$8</f>
        <v>1114.90230741735</v>
      </c>
      <c r="S49" s="54" t="n">
        <f aca="false">S33*Assumptions!$B$8</f>
        <v>1262.97058880173</v>
      </c>
      <c r="T49" s="54" t="n">
        <f aca="false">T33*Assumptions!$B$8</f>
        <v>1375.46904642203</v>
      </c>
      <c r="U49" s="54" t="n">
        <f aca="false">U33*Assumptions!$B$8</f>
        <v>1478.56183744969</v>
      </c>
      <c r="V49" s="54" t="n">
        <f aca="false">V33*Assumptions!$B$8</f>
        <v>1578.45393586973</v>
      </c>
      <c r="W49" s="54" t="n">
        <f aca="false">W33*Assumptions!$B$8</f>
        <v>1691.56321989916</v>
      </c>
      <c r="X49" s="54" t="n">
        <f aca="false">X33*Assumptions!$B$8</f>
        <v>1867.39307683612</v>
      </c>
      <c r="Y49" s="54" t="n">
        <f aca="false">Y33*Assumptions!$B$8</f>
        <v>2018.22317695333</v>
      </c>
      <c r="Z49" s="54" t="n">
        <f aca="false">Z33*Assumptions!$B$8</f>
        <v>2135.43571982392</v>
      </c>
      <c r="AA49" s="54" t="n">
        <f aca="false">AA33*Assumptions!$B$8</f>
        <v>51921.6722150464</v>
      </c>
      <c r="AB49" s="54" t="n">
        <f aca="false">AB33*Assumptions!$B$8</f>
        <v>88639.4960280714</v>
      </c>
      <c r="AC49" s="54" t="n">
        <f aca="false">AC33*Assumptions!$B$8</f>
        <v>137615.133279896</v>
      </c>
      <c r="AD49" s="54" t="n">
        <f aca="false">AD33*Assumptions!$B$8</f>
        <v>190564.756337306</v>
      </c>
      <c r="AE49" s="54" t="n">
        <f aca="false">AE33*Assumptions!$B$8</f>
        <v>240596.331259626</v>
      </c>
    </row>
    <row r="50" customFormat="false" ht="15" hidden="false" customHeight="false" outlineLevel="0" collapsed="false">
      <c r="A50" s="6" t="s">
        <v>457</v>
      </c>
      <c r="B50" s="23" t="s">
        <v>109</v>
      </c>
      <c r="C50" s="54" t="n">
        <f aca="false">C34*Assumptions!$B$8</f>
        <v>6.13780216780449</v>
      </c>
      <c r="D50" s="54" t="n">
        <f aca="false">D34*Assumptions!$B$8</f>
        <v>11.6717431712893</v>
      </c>
      <c r="E50" s="54" t="n">
        <f aca="false">E34*Assumptions!$B$8</f>
        <v>16.6921655593883</v>
      </c>
      <c r="F50" s="54" t="n">
        <f aca="false">F34*Assumptions!$B$8</f>
        <v>22.8636411341134</v>
      </c>
      <c r="G50" s="54" t="n">
        <f aca="false">G34*Assumptions!$B$8</f>
        <v>28.065160879747</v>
      </c>
      <c r="H50" s="54" t="n">
        <f aca="false">H34*Assumptions!$B$8</f>
        <v>32.0410914998678</v>
      </c>
      <c r="I50" s="54" t="n">
        <f aca="false">I34*Assumptions!$B$8</f>
        <v>35.6404310488671</v>
      </c>
      <c r="J50" s="54" t="n">
        <f aca="false">J34*Assumptions!$B$8</f>
        <v>39.0635680533603</v>
      </c>
      <c r="K50" s="54" t="n">
        <f aca="false">K34*Assumptions!$B$8</f>
        <v>42.8041439836387</v>
      </c>
      <c r="L50" s="54" t="n">
        <f aca="false">L34*Assumptions!$B$8</f>
        <v>48.301187677197</v>
      </c>
      <c r="M50" s="54" t="n">
        <f aca="false">M34*Assumptions!$B$8</f>
        <v>52.9223565180117</v>
      </c>
      <c r="N50" s="54" t="n">
        <f aca="false">N34*Assumptions!$B$8</f>
        <v>56.4685418806058</v>
      </c>
      <c r="O50" s="54" t="n">
        <f aca="false">O34*Assumptions!$B$8</f>
        <v>74.277795977288</v>
      </c>
      <c r="P50" s="54" t="n">
        <f aca="false">P34*Assumptions!$B$8</f>
        <v>90.5706875302978</v>
      </c>
      <c r="Q50" s="54" t="n">
        <f aca="false">Q34*Assumptions!$B$8</f>
        <v>105.562268513159</v>
      </c>
      <c r="R50" s="54" t="n">
        <f aca="false">R34*Assumptions!$B$8</f>
        <v>125.03939072771</v>
      </c>
      <c r="S50" s="54" t="n">
        <f aca="false">S34*Assumptions!$B$8</f>
        <v>141.645659785749</v>
      </c>
      <c r="T50" s="54" t="n">
        <f aca="false">T34*Assumptions!$B$8</f>
        <v>154.262674303582</v>
      </c>
      <c r="U50" s="54" t="n">
        <f aca="false">U34*Assumptions!$B$8</f>
        <v>165.824817186197</v>
      </c>
      <c r="V50" s="54" t="n">
        <f aca="false">V34*Assumptions!$B$8</f>
        <v>177.027993502057</v>
      </c>
      <c r="W50" s="54" t="n">
        <f aca="false">W34*Assumptions!$B$8</f>
        <v>189.713513898413</v>
      </c>
      <c r="X50" s="54" t="n">
        <f aca="false">X34*Assumptions!$B$8</f>
        <v>209.433320770162</v>
      </c>
      <c r="Y50" s="54" t="n">
        <f aca="false">Y34*Assumptions!$B$8</f>
        <v>226.349335470808</v>
      </c>
      <c r="Z50" s="54" t="n">
        <f aca="false">Z34*Assumptions!$B$8</f>
        <v>239.495047744141</v>
      </c>
      <c r="AA50" s="54" t="n">
        <f aca="false">AA34*Assumptions!$B$8</f>
        <v>5823.15976578472</v>
      </c>
      <c r="AB50" s="54" t="n">
        <f aca="false">AB34*Assumptions!$B$8</f>
        <v>9941.1657003705</v>
      </c>
      <c r="AC50" s="54" t="n">
        <f aca="false">AC34*Assumptions!$B$8</f>
        <v>15433.9194615994</v>
      </c>
      <c r="AD50" s="54" t="n">
        <f aca="false">AD34*Assumptions!$B$8</f>
        <v>21372.3667697742</v>
      </c>
      <c r="AE50" s="54" t="n">
        <f aca="false">AE34*Assumptions!$B$8</f>
        <v>26983.5468739094</v>
      </c>
    </row>
    <row r="51" customFormat="false" ht="15" hidden="false" customHeight="false" outlineLevel="0" collapsed="false">
      <c r="A51" s="6" t="s">
        <v>458</v>
      </c>
      <c r="B51" s="23" t="s">
        <v>109</v>
      </c>
      <c r="C51" s="54" t="n">
        <f aca="false">C46*IF(Assumptions!$B$167=1,MIN(Assumptions!$B$14,1%),Assumptions!$B$14)*(1-Assumptions!$B$134)</f>
        <v>0</v>
      </c>
      <c r="D51" s="54" t="n">
        <f aca="false">D46*IF(Assumptions!$B$167=1,MIN(Assumptions!$B$14,1%),Assumptions!$B$14)*(1-Assumptions!$B$134)</f>
        <v>0</v>
      </c>
      <c r="E51" s="54" t="n">
        <f aca="false">E46*IF(Assumptions!$B$167=1,MIN(Assumptions!$B$14,1%),Assumptions!$B$14)*(1-Assumptions!$B$134)</f>
        <v>0</v>
      </c>
      <c r="F51" s="54" t="n">
        <f aca="false">F46*IF(Assumptions!$B$167=1,MIN(Assumptions!$B$14,1%),Assumptions!$B$14)*(1-Assumptions!$B$134)</f>
        <v>0</v>
      </c>
      <c r="G51" s="54" t="n">
        <f aca="false">G46*IF(Assumptions!$B$167=1,MIN(Assumptions!$B$14,1%),Assumptions!$B$14)*(1-Assumptions!$B$134)</f>
        <v>0</v>
      </c>
      <c r="H51" s="54" t="n">
        <f aca="false">H46*IF(Assumptions!$B$167=1,MIN(Assumptions!$B$14,1%),Assumptions!$B$14)*(1-Assumptions!$B$134)</f>
        <v>0</v>
      </c>
      <c r="I51" s="54" t="n">
        <f aca="false">I46*IF(Assumptions!$B$167=1,MIN(Assumptions!$B$14,1%),Assumptions!$B$14)*(1-Assumptions!$B$134)</f>
        <v>0</v>
      </c>
      <c r="J51" s="54" t="n">
        <f aca="false">J46*IF(Assumptions!$B$167=1,MIN(Assumptions!$B$14,1%),Assumptions!$B$14)*(1-Assumptions!$B$134)</f>
        <v>0</v>
      </c>
      <c r="K51" s="54" t="n">
        <f aca="false">K46*IF(Assumptions!$B$167=1,MIN(Assumptions!$B$14,1%),Assumptions!$B$14)*(1-Assumptions!$B$134)</f>
        <v>0</v>
      </c>
      <c r="L51" s="54" t="n">
        <f aca="false">L46*IF(Assumptions!$B$167=1,MIN(Assumptions!$B$14,1%),Assumptions!$B$14)*(1-Assumptions!$B$134)</f>
        <v>0</v>
      </c>
      <c r="M51" s="54" t="n">
        <f aca="false">M46*IF(Assumptions!$B$167=1,MIN(Assumptions!$B$14,1%),Assumptions!$B$14)*(1-Assumptions!$B$134)</f>
        <v>0</v>
      </c>
      <c r="N51" s="54" t="n">
        <f aca="false">N46*IF(Assumptions!$B$167=1,MIN(Assumptions!$B$14,1%),Assumptions!$B$14)*(1-Assumptions!$B$134)</f>
        <v>0</v>
      </c>
      <c r="O51" s="54" t="n">
        <f aca="false">O46*IF(Assumptions!$B$167=1,MIN(Assumptions!$B$14,1%),Assumptions!$B$14)*(1-Assumptions!$B$134)</f>
        <v>0.823269767249377</v>
      </c>
      <c r="P51" s="54" t="n">
        <f aca="false">P46*IF(Assumptions!$B$167=1,MIN(Assumptions!$B$14,1%),Assumptions!$B$14)*(1-Assumptions!$B$134)</f>
        <v>0.857113594435893</v>
      </c>
      <c r="Q51" s="54" t="n">
        <f aca="false">Q46*IF(Assumptions!$B$167=1,MIN(Assumptions!$B$14,1%),Assumptions!$B$14)*(1-Assumptions!$B$134)</f>
        <v>0.976506908081388</v>
      </c>
      <c r="R51" s="54" t="n">
        <f aca="false">R46*IF(Assumptions!$B$167=1,MIN(Assumptions!$B$14,1%),Assumptions!$B$14)*(1-Assumptions!$B$134)</f>
        <v>1.09939527370899</v>
      </c>
      <c r="S51" s="54" t="n">
        <f aca="false">S46*IF(Assumptions!$B$167=1,MIN(Assumptions!$B$14,1%),Assumptions!$B$14)*(1-Assumptions!$B$134)</f>
        <v>1.30644710462777</v>
      </c>
      <c r="T51" s="54" t="n">
        <f aca="false">T46*IF(Assumptions!$B$167=1,MIN(Assumptions!$B$14,1%),Assumptions!$B$14)*(1-Assumptions!$B$134)</f>
        <v>1.51659712143511</v>
      </c>
      <c r="U51" s="54" t="n">
        <f aca="false">U46*IF(Assumptions!$B$167=1,MIN(Assumptions!$B$14,1%),Assumptions!$B$14)*(1-Assumptions!$B$134)</f>
        <v>1.67584020654423</v>
      </c>
      <c r="V51" s="54" t="n">
        <f aca="false">V46*IF(Assumptions!$B$167=1,MIN(Assumptions!$B$14,1%),Assumptions!$B$14)*(1-Assumptions!$B$134)</f>
        <v>1.99191960200181</v>
      </c>
      <c r="W51" s="54" t="n">
        <f aca="false">W46*IF(Assumptions!$B$167=1,MIN(Assumptions!$B$14,1%),Assumptions!$B$14)*(1-Assumptions!$B$134)</f>
        <v>2.98593650262676</v>
      </c>
      <c r="X51" s="54" t="n">
        <f aca="false">X46*IF(Assumptions!$B$167=1,MIN(Assumptions!$B$14,1%),Assumptions!$B$14)*(1-Assumptions!$B$134)</f>
        <v>3.76340319537393</v>
      </c>
      <c r="Y51" s="54" t="n">
        <f aca="false">Y46*IF(Assumptions!$B$167=1,MIN(Assumptions!$B$14,1%),Assumptions!$B$14)*(1-Assumptions!$B$134)</f>
        <v>4.69695545216025</v>
      </c>
      <c r="Z51" s="54" t="n">
        <f aca="false">Z46*IF(Assumptions!$B$167=1,MIN(Assumptions!$B$14,1%),Assumptions!$B$14)*(1-Assumptions!$B$134)</f>
        <v>6.34900275358911</v>
      </c>
      <c r="AA51" s="54" t="n">
        <f aca="false">AA46*IF(Assumptions!$B$167=1,MIN(Assumptions!$B$14,1%),Assumptions!$B$14)*(1-Assumptions!$B$134)</f>
        <v>609.386316502417</v>
      </c>
      <c r="AB51" s="54" t="n">
        <f aca="false">AB46*IF(Assumptions!$B$167=1,MIN(Assumptions!$B$14,1%),Assumptions!$B$14)*(1-Assumptions!$B$134)</f>
        <v>1439.42994690458</v>
      </c>
      <c r="AC51" s="54" t="n">
        <f aca="false">AC46*IF(Assumptions!$B$167=1,MIN(Assumptions!$B$14,1%),Assumptions!$B$14)*(1-Assumptions!$B$134)</f>
        <v>2763.62207818033</v>
      </c>
      <c r="AD51" s="54" t="n">
        <f aca="false">AD46*IF(Assumptions!$B$167=1,MIN(Assumptions!$B$14,1%),Assumptions!$B$14)*(1-Assumptions!$B$134)</f>
        <v>4705.34023749549</v>
      </c>
      <c r="AE51" s="54" t="n">
        <f aca="false">AE46*IF(Assumptions!$B$167=1,MIN(Assumptions!$B$14,1%),Assumptions!$B$14)*(1-Assumptions!$B$134)</f>
        <v>7319.30285164406</v>
      </c>
    </row>
    <row r="52" customFormat="false" ht="15" hidden="false" customHeight="false" outlineLevel="0" collapsed="false">
      <c r="A52" s="6" t="s">
        <v>459</v>
      </c>
      <c r="B52" s="23" t="s">
        <v>109</v>
      </c>
      <c r="C52" s="54" t="n">
        <f aca="false">IF(C2&gt;=Assumptions!$B$47,C29*Assumptions!$B$152*Assumptions!$B$25/12*C7,0)</f>
        <v>0</v>
      </c>
      <c r="D52" s="54" t="n">
        <f aca="false">IF(D2&gt;=Assumptions!$B$47,D29*Assumptions!$B$152*Assumptions!$B$25/12*D7,0)</f>
        <v>0</v>
      </c>
      <c r="E52" s="54" t="n">
        <f aca="false">IF(E2&gt;=Assumptions!$B$47,E29*Assumptions!$B$152*Assumptions!$B$25/12*E7,0)</f>
        <v>0</v>
      </c>
      <c r="F52" s="54" t="n">
        <f aca="false">IF(F2&gt;=Assumptions!$B$47,F29*Assumptions!$B$152*Assumptions!$B$25/12*F7,0)</f>
        <v>0</v>
      </c>
      <c r="G52" s="54" t="n">
        <f aca="false">IF(G2&gt;=Assumptions!$B$47,G29*Assumptions!$B$152*Assumptions!$B$25/12*G7,0)</f>
        <v>0</v>
      </c>
      <c r="H52" s="54" t="n">
        <f aca="false">IF(H2&gt;=Assumptions!$B$47,H29*Assumptions!$B$152*Assumptions!$B$25/12*H7,0)</f>
        <v>0</v>
      </c>
      <c r="I52" s="54" t="n">
        <f aca="false">IF(I2&gt;=Assumptions!$B$47,I29*Assumptions!$B$152*Assumptions!$B$25/12*I7,0)</f>
        <v>378.315057573114</v>
      </c>
      <c r="J52" s="54" t="n">
        <f aca="false">IF(J2&gt;=Assumptions!$B$47,J29*Assumptions!$B$152*Assumptions!$B$25/12*J7,0)</f>
        <v>414.65087716968</v>
      </c>
      <c r="K52" s="54" t="n">
        <f aca="false">IF(K2&gt;=Assumptions!$B$47,K29*Assumptions!$B$152*Assumptions!$B$25/12*K7,0)</f>
        <v>454.356238658703</v>
      </c>
      <c r="L52" s="54" t="n">
        <f aca="false">IF(L2&gt;=Assumptions!$B$47,L29*Assumptions!$B$152*Assumptions!$B$25/12*L7,0)</f>
        <v>512.706105374935</v>
      </c>
      <c r="M52" s="54" t="n">
        <f aca="false">IF(M2&gt;=Assumptions!$B$47,M29*Assumptions!$B$152*Assumptions!$B$25/12*M7,0)</f>
        <v>561.758760031968</v>
      </c>
      <c r="N52" s="54" t="n">
        <f aca="false">IF(N2&gt;=Assumptions!$B$47,N29*Assumptions!$B$152*Assumptions!$B$25/12*N7,0)</f>
        <v>599.400709922397</v>
      </c>
      <c r="O52" s="54" t="n">
        <f aca="false">IF(O2&gt;=Assumptions!$B$47,O29*Assumptions!$B$152*Assumptions!$B$25/12*O7,0)</f>
        <v>788.441885650116</v>
      </c>
      <c r="P52" s="54" t="n">
        <f aca="false">IF(P2&gt;=Assumptions!$B$47,P29*Assumptions!$B$152*Assumptions!$B$25/12*P7,0)</f>
        <v>961.387218366717</v>
      </c>
      <c r="Q52" s="54" t="n">
        <f aca="false">IF(Q2&gt;=Assumptions!$B$47,Q29*Assumptions!$B$152*Assumptions!$B$25/12*Q7,0)</f>
        <v>1120.51943578763</v>
      </c>
      <c r="R52" s="54" t="n">
        <f aca="false">IF(R2&gt;=Assumptions!$B$47,R29*Assumptions!$B$152*Assumptions!$B$25/12*R7,0)</f>
        <v>1327.26465168733</v>
      </c>
      <c r="S52" s="54" t="n">
        <f aca="false">IF(S2&gt;=Assumptions!$B$47,S29*Assumptions!$B$152*Assumptions!$B$25/12*S7,0)</f>
        <v>1503.53641524015</v>
      </c>
      <c r="T52" s="54" t="n">
        <f aca="false">IF(T2&gt;=Assumptions!$B$47,T29*Assumptions!$B$152*Assumptions!$B$25/12*T7,0)</f>
        <v>1637.46315050242</v>
      </c>
      <c r="U52" s="54" t="n">
        <f aca="false">IF(U2&gt;=Assumptions!$B$47,U29*Assumptions!$B$152*Assumptions!$B$25/12*U7,0)</f>
        <v>1760.19266363058</v>
      </c>
      <c r="V52" s="54" t="n">
        <f aca="false">IF(V2&gt;=Assumptions!$B$47,V29*Assumptions!$B$152*Assumptions!$B$25/12*V7,0)</f>
        <v>1879.11182841635</v>
      </c>
      <c r="W52" s="54" t="n">
        <f aca="false">IF(W2&gt;=Assumptions!$B$47,W29*Assumptions!$B$152*Assumptions!$B$25/12*W7,0)</f>
        <v>2013.76573797519</v>
      </c>
      <c r="X52" s="54" t="n">
        <f aca="false">IF(X2&gt;=Assumptions!$B$47,X29*Assumptions!$B$152*Assumptions!$B$25/12*X7,0)</f>
        <v>2223.08699623348</v>
      </c>
      <c r="Y52" s="54" t="n">
        <f aca="false">IF(Y2&gt;=Assumptions!$B$47,Y29*Assumptions!$B$152*Assumptions!$B$25/12*Y7,0)</f>
        <v>2402.64663923016</v>
      </c>
      <c r="Z52" s="54" t="n">
        <f aca="false">IF(Z2&gt;=Assumptions!$B$47,Z29*Assumptions!$B$152*Assumptions!$B$25/12*Z7,0)</f>
        <v>2542.18538074276</v>
      </c>
      <c r="AA52" s="54" t="n">
        <f aca="false">IF(AA2&gt;=Assumptions!$B$47,AA29*Assumptions!$B$152*Assumptions!$B$25/12*AA7,0)</f>
        <v>61811.514541722</v>
      </c>
      <c r="AB52" s="54" t="n">
        <f aca="false">IF(AB2&gt;=Assumptions!$B$47,AB29*Assumptions!$B$152*Assumptions!$B$25/12*AB7,0)</f>
        <v>105523.209557228</v>
      </c>
      <c r="AC52" s="54" t="n">
        <f aca="false">IF(AC2&gt;=Assumptions!$B$47,AC29*Assumptions!$B$152*Assumptions!$B$25/12*AC7,0)</f>
        <v>163827.539618923</v>
      </c>
      <c r="AD52" s="54" t="n">
        <f aca="false">IF(AD2&gt;=Assumptions!$B$47,AD29*Assumptions!$B$152*Assumptions!$B$25/12*AD7,0)</f>
        <v>226862.805163459</v>
      </c>
      <c r="AE52" s="54" t="n">
        <f aca="false">IF(AE2&gt;=Assumptions!$B$47,AE29*Assumptions!$B$152*Assumptions!$B$25/12*AE7,0)</f>
        <v>286424.203880507</v>
      </c>
    </row>
    <row r="53" customFormat="false" ht="15" hidden="false" customHeight="false" outlineLevel="0" collapsed="false">
      <c r="A53" s="6" t="s">
        <v>460</v>
      </c>
      <c r="B53" s="23" t="s">
        <v>109</v>
      </c>
      <c r="C53" s="54" t="n">
        <f aca="false">IF(C2&gt;=Assumptions!$B$49,C46*C17*Assumptions!$B$17+C41*(Assumptions!$B$141*MAX(0,Assumptions!$B$145-Assumptions!$B$18)+Assumptions!$B$142*MAX(0,Assumptions!$B$146-Assumptions!$B$18)+Assumptions!$B$143*MAX(0,Assumptions!$B$147-Assumptions!$B$18)+Assumptions!$B$144*MAX(0,Assumptions!$B$148-Assumptions!$B$18))*Assumptions!$B$19/Assumptions!$B$7*C7+C41*(Assumptions!$B$139*Assumptions!$B$20+Assumptions!$B$140*Assumptions!$B$21)/12/Assumptions!$B$7*C7,0)</f>
        <v>0</v>
      </c>
      <c r="D53" s="54" t="n">
        <f aca="false">IF(D2&gt;=Assumptions!$B$49,D46*D17*Assumptions!$B$17+D41*(Assumptions!$B$141*MAX(0,Assumptions!$B$145-Assumptions!$B$18)+Assumptions!$B$142*MAX(0,Assumptions!$B$146-Assumptions!$B$18)+Assumptions!$B$143*MAX(0,Assumptions!$B$147-Assumptions!$B$18)+Assumptions!$B$144*MAX(0,Assumptions!$B$148-Assumptions!$B$18))*Assumptions!$B$19/Assumptions!$B$7*D7+D41*(Assumptions!$B$139*Assumptions!$B$20+Assumptions!$B$140*Assumptions!$B$21)/12/Assumptions!$B$7*D7,0)</f>
        <v>0</v>
      </c>
      <c r="E53" s="54" t="n">
        <f aca="false">IF(E2&gt;=Assumptions!$B$49,E46*E17*Assumptions!$B$17+E41*(Assumptions!$B$141*MAX(0,Assumptions!$B$145-Assumptions!$B$18)+Assumptions!$B$142*MAX(0,Assumptions!$B$146-Assumptions!$B$18)+Assumptions!$B$143*MAX(0,Assumptions!$B$147-Assumptions!$B$18)+Assumptions!$B$144*MAX(0,Assumptions!$B$148-Assumptions!$B$18))*Assumptions!$B$19/Assumptions!$B$7*E7+E41*(Assumptions!$B$139*Assumptions!$B$20+Assumptions!$B$140*Assumptions!$B$21)/12/Assumptions!$B$7*E7,0)</f>
        <v>0</v>
      </c>
      <c r="F53" s="54" t="n">
        <f aca="false">IF(F2&gt;=Assumptions!$B$49,F46*F17*Assumptions!$B$17+F41*(Assumptions!$B$141*MAX(0,Assumptions!$B$145-Assumptions!$B$18)+Assumptions!$B$142*MAX(0,Assumptions!$B$146-Assumptions!$B$18)+Assumptions!$B$143*MAX(0,Assumptions!$B$147-Assumptions!$B$18)+Assumptions!$B$144*MAX(0,Assumptions!$B$148-Assumptions!$B$18))*Assumptions!$B$19/Assumptions!$B$7*F7+F41*(Assumptions!$B$139*Assumptions!$B$20+Assumptions!$B$140*Assumptions!$B$21)/12/Assumptions!$B$7*F7,0)</f>
        <v>0</v>
      </c>
      <c r="G53" s="54" t="n">
        <f aca="false">IF(G2&gt;=Assumptions!$B$49,G46*G17*Assumptions!$B$17+G41*(Assumptions!$B$141*MAX(0,Assumptions!$B$145-Assumptions!$B$18)+Assumptions!$B$142*MAX(0,Assumptions!$B$146-Assumptions!$B$18)+Assumptions!$B$143*MAX(0,Assumptions!$B$147-Assumptions!$B$18)+Assumptions!$B$144*MAX(0,Assumptions!$B$148-Assumptions!$B$18))*Assumptions!$B$19/Assumptions!$B$7*G7+G41*(Assumptions!$B$139*Assumptions!$B$20+Assumptions!$B$140*Assumptions!$B$21)/12/Assumptions!$B$7*G7,0)</f>
        <v>0</v>
      </c>
      <c r="H53" s="54" t="n">
        <f aca="false">IF(H2&gt;=Assumptions!$B$49,H46*H17*Assumptions!$B$17+H41*(Assumptions!$B$141*MAX(0,Assumptions!$B$145-Assumptions!$B$18)+Assumptions!$B$142*MAX(0,Assumptions!$B$146-Assumptions!$B$18)+Assumptions!$B$143*MAX(0,Assumptions!$B$147-Assumptions!$B$18)+Assumptions!$B$144*MAX(0,Assumptions!$B$148-Assumptions!$B$18))*Assumptions!$B$19/Assumptions!$B$7*H7+H41*(Assumptions!$B$139*Assumptions!$B$20+Assumptions!$B$140*Assumptions!$B$21)/12/Assumptions!$B$7*H7,0)</f>
        <v>0</v>
      </c>
      <c r="I53" s="54" t="n">
        <f aca="false">IF(I2&gt;=Assumptions!$B$49,I46*I17*Assumptions!$B$17+I41*(Assumptions!$B$141*MAX(0,Assumptions!$B$145-Assumptions!$B$18)+Assumptions!$B$142*MAX(0,Assumptions!$B$146-Assumptions!$B$18)+Assumptions!$B$143*MAX(0,Assumptions!$B$147-Assumptions!$B$18)+Assumptions!$B$144*MAX(0,Assumptions!$B$148-Assumptions!$B$18))*Assumptions!$B$19/Assumptions!$B$7*I7+I41*(Assumptions!$B$139*Assumptions!$B$20+Assumptions!$B$140*Assumptions!$B$21)/12/Assumptions!$B$7*I7,0)</f>
        <v>0</v>
      </c>
      <c r="J53" s="54" t="n">
        <f aca="false">IF(J2&gt;=Assumptions!$B$49,J46*J17*Assumptions!$B$17+J41*(Assumptions!$B$141*MAX(0,Assumptions!$B$145-Assumptions!$B$18)+Assumptions!$B$142*MAX(0,Assumptions!$B$146-Assumptions!$B$18)+Assumptions!$B$143*MAX(0,Assumptions!$B$147-Assumptions!$B$18)+Assumptions!$B$144*MAX(0,Assumptions!$B$148-Assumptions!$B$18))*Assumptions!$B$19/Assumptions!$B$7*J7+J41*(Assumptions!$B$139*Assumptions!$B$20+Assumptions!$B$140*Assumptions!$B$21)/12/Assumptions!$B$7*J7,0)</f>
        <v>0</v>
      </c>
      <c r="K53" s="54" t="n">
        <f aca="false">IF(K2&gt;=Assumptions!$B$49,K46*K17*Assumptions!$B$17+K41*(Assumptions!$B$141*MAX(0,Assumptions!$B$145-Assumptions!$B$18)+Assumptions!$B$142*MAX(0,Assumptions!$B$146-Assumptions!$B$18)+Assumptions!$B$143*MAX(0,Assumptions!$B$147-Assumptions!$B$18)+Assumptions!$B$144*MAX(0,Assumptions!$B$148-Assumptions!$B$18))*Assumptions!$B$19/Assumptions!$B$7*K7+K41*(Assumptions!$B$139*Assumptions!$B$20+Assumptions!$B$140*Assumptions!$B$21)/12/Assumptions!$B$7*K7,0)</f>
        <v>0</v>
      </c>
      <c r="L53" s="54" t="n">
        <f aca="false">IF(L2&gt;=Assumptions!$B$49,L46*L17*Assumptions!$B$17+L41*(Assumptions!$B$141*MAX(0,Assumptions!$B$145-Assumptions!$B$18)+Assumptions!$B$142*MAX(0,Assumptions!$B$146-Assumptions!$B$18)+Assumptions!$B$143*MAX(0,Assumptions!$B$147-Assumptions!$B$18)+Assumptions!$B$144*MAX(0,Assumptions!$B$148-Assumptions!$B$18))*Assumptions!$B$19/Assumptions!$B$7*L7+L41*(Assumptions!$B$139*Assumptions!$B$20+Assumptions!$B$140*Assumptions!$B$21)/12/Assumptions!$B$7*L7,0)</f>
        <v>0</v>
      </c>
      <c r="M53" s="54" t="n">
        <f aca="false">IF(M2&gt;=Assumptions!$B$49,M46*M17*Assumptions!$B$17+M41*(Assumptions!$B$141*MAX(0,Assumptions!$B$145-Assumptions!$B$18)+Assumptions!$B$142*MAX(0,Assumptions!$B$146-Assumptions!$B$18)+Assumptions!$B$143*MAX(0,Assumptions!$B$147-Assumptions!$B$18)+Assumptions!$B$144*MAX(0,Assumptions!$B$148-Assumptions!$B$18))*Assumptions!$B$19/Assumptions!$B$7*M7+M41*(Assumptions!$B$139*Assumptions!$B$20+Assumptions!$B$140*Assumptions!$B$21)/12/Assumptions!$B$7*M7,0)</f>
        <v>0</v>
      </c>
      <c r="N53" s="54" t="n">
        <f aca="false">IF(N2&gt;=Assumptions!$B$49,N46*N17*Assumptions!$B$17+N41*(Assumptions!$B$141*MAX(0,Assumptions!$B$145-Assumptions!$B$18)+Assumptions!$B$142*MAX(0,Assumptions!$B$146-Assumptions!$B$18)+Assumptions!$B$143*MAX(0,Assumptions!$B$147-Assumptions!$B$18)+Assumptions!$B$144*MAX(0,Assumptions!$B$148-Assumptions!$B$18))*Assumptions!$B$19/Assumptions!$B$7*N7+N41*(Assumptions!$B$139*Assumptions!$B$20+Assumptions!$B$140*Assumptions!$B$21)/12/Assumptions!$B$7*N7,0)</f>
        <v>0</v>
      </c>
      <c r="O53" s="54" t="n">
        <f aca="false">IF(O2&gt;=Assumptions!$B$49,O46*O17*Assumptions!$B$17+O41*(Assumptions!$B$141*MAX(0,Assumptions!$B$145-Assumptions!$B$18)+Assumptions!$B$142*MAX(0,Assumptions!$B$146-Assumptions!$B$18)+Assumptions!$B$143*MAX(0,Assumptions!$B$147-Assumptions!$B$18)+Assumptions!$B$144*MAX(0,Assumptions!$B$148-Assumptions!$B$18))*Assumptions!$B$19/Assumptions!$B$7*O7+O41*(Assumptions!$B$139*Assumptions!$B$20+Assumptions!$B$140*Assumptions!$B$21)/12/Assumptions!$B$7*O7,0)</f>
        <v>56.6910428552007</v>
      </c>
      <c r="P53" s="54" t="n">
        <f aca="false">IF(P2&gt;=Assumptions!$B$49,P46*P17*Assumptions!$B$17+P41*(Assumptions!$B$141*MAX(0,Assumptions!$B$145-Assumptions!$B$18)+Assumptions!$B$142*MAX(0,Assumptions!$B$146-Assumptions!$B$18)+Assumptions!$B$143*MAX(0,Assumptions!$B$147-Assumptions!$B$18)+Assumptions!$B$144*MAX(0,Assumptions!$B$148-Assumptions!$B$18))*Assumptions!$B$19/Assumptions!$B$7*P7+P41*(Assumptions!$B$139*Assumptions!$B$20+Assumptions!$B$140*Assumptions!$B$21)/12/Assumptions!$B$7*P7,0)</f>
        <v>66.3921767192706</v>
      </c>
      <c r="Q53" s="54" t="n">
        <f aca="false">IF(Q2&gt;=Assumptions!$B$49,Q46*Q17*Assumptions!$B$17+Q41*(Assumptions!$B$141*MAX(0,Assumptions!$B$145-Assumptions!$B$18)+Assumptions!$B$142*MAX(0,Assumptions!$B$146-Assumptions!$B$18)+Assumptions!$B$143*MAX(0,Assumptions!$B$147-Assumptions!$B$18)+Assumptions!$B$144*MAX(0,Assumptions!$B$148-Assumptions!$B$18))*Assumptions!$B$19/Assumptions!$B$7*Q7+Q41*(Assumptions!$B$139*Assumptions!$B$20+Assumptions!$B$140*Assumptions!$B$21)/12/Assumptions!$B$7*Q7,0)</f>
        <v>75.8484817603071</v>
      </c>
      <c r="R53" s="54" t="n">
        <f aca="false">IF(R2&gt;=Assumptions!$B$49,R46*R17*Assumptions!$B$17+R41*(Assumptions!$B$141*MAX(0,Assumptions!$B$145-Assumptions!$B$18)+Assumptions!$B$142*MAX(0,Assumptions!$B$146-Assumptions!$B$18)+Assumptions!$B$143*MAX(0,Assumptions!$B$147-Assumptions!$B$18)+Assumptions!$B$144*MAX(0,Assumptions!$B$148-Assumptions!$B$18))*Assumptions!$B$19/Assumptions!$B$7*R7+R41*(Assumptions!$B$139*Assumptions!$B$20+Assumptions!$B$140*Assumptions!$B$21)/12/Assumptions!$B$7*R7,0)</f>
        <v>85.3806643891561</v>
      </c>
      <c r="S53" s="54" t="n">
        <f aca="false">IF(S2&gt;=Assumptions!$B$49,S46*S17*Assumptions!$B$17+S41*(Assumptions!$B$141*MAX(0,Assumptions!$B$145-Assumptions!$B$18)+Assumptions!$B$142*MAX(0,Assumptions!$B$146-Assumptions!$B$18)+Assumptions!$B$143*MAX(0,Assumptions!$B$147-Assumptions!$B$18)+Assumptions!$B$144*MAX(0,Assumptions!$B$148-Assumptions!$B$18))*Assumptions!$B$19/Assumptions!$B$7*S7+S41*(Assumptions!$B$139*Assumptions!$B$20+Assumptions!$B$140*Assumptions!$B$21)/12/Assumptions!$B$7*S7,0)</f>
        <v>95.9024740544611</v>
      </c>
      <c r="T53" s="54" t="n">
        <f aca="false">IF(T2&gt;=Assumptions!$B$49,T46*T17*Assumptions!$B$17+T41*(Assumptions!$B$141*MAX(0,Assumptions!$B$145-Assumptions!$B$18)+Assumptions!$B$142*MAX(0,Assumptions!$B$146-Assumptions!$B$18)+Assumptions!$B$143*MAX(0,Assumptions!$B$147-Assumptions!$B$18)+Assumptions!$B$144*MAX(0,Assumptions!$B$148-Assumptions!$B$18))*Assumptions!$B$19/Assumptions!$B$7*T7+T41*(Assumptions!$B$139*Assumptions!$B$20+Assumptions!$B$140*Assumptions!$B$21)/12/Assumptions!$B$7*T7,0)</f>
        <v>110.943029404407</v>
      </c>
      <c r="U53" s="54" t="n">
        <f aca="false">IF(U2&gt;=Assumptions!$B$49,U46*U17*Assumptions!$B$17+U41*(Assumptions!$B$141*MAX(0,Assumptions!$B$145-Assumptions!$B$18)+Assumptions!$B$142*MAX(0,Assumptions!$B$146-Assumptions!$B$18)+Assumptions!$B$143*MAX(0,Assumptions!$B$147-Assumptions!$B$18)+Assumptions!$B$144*MAX(0,Assumptions!$B$148-Assumptions!$B$18))*Assumptions!$B$19/Assumptions!$B$7*U7+U41*(Assumptions!$B$139*Assumptions!$B$20+Assumptions!$B$140*Assumptions!$B$21)/12/Assumptions!$B$7*U7,0)</f>
        <v>124.139778707344</v>
      </c>
      <c r="V53" s="54" t="n">
        <f aca="false">IF(V2&gt;=Assumptions!$B$49,V46*V17*Assumptions!$B$17+V41*(Assumptions!$B$141*MAX(0,Assumptions!$B$145-Assumptions!$B$18)+Assumptions!$B$142*MAX(0,Assumptions!$B$146-Assumptions!$B$18)+Assumptions!$B$143*MAX(0,Assumptions!$B$147-Assumptions!$B$18)+Assumptions!$B$144*MAX(0,Assumptions!$B$148-Assumptions!$B$18))*Assumptions!$B$19/Assumptions!$B$7*V7+V41*(Assumptions!$B$139*Assumptions!$B$20+Assumptions!$B$140*Assumptions!$B$21)/12/Assumptions!$B$7*V7,0)</f>
        <v>135.588644580425</v>
      </c>
      <c r="W53" s="54" t="n">
        <f aca="false">IF(W2&gt;=Assumptions!$B$49,W46*W17*Assumptions!$B$17+W41*(Assumptions!$B$141*MAX(0,Assumptions!$B$145-Assumptions!$B$18)+Assumptions!$B$142*MAX(0,Assumptions!$B$146-Assumptions!$B$18)+Assumptions!$B$143*MAX(0,Assumptions!$B$147-Assumptions!$B$18)+Assumptions!$B$144*MAX(0,Assumptions!$B$148-Assumptions!$B$18))*Assumptions!$B$19/Assumptions!$B$7*W7+W41*(Assumptions!$B$139*Assumptions!$B$20+Assumptions!$B$140*Assumptions!$B$21)/12/Assumptions!$B$7*W7,0)</f>
        <v>172.658804983007</v>
      </c>
      <c r="X53" s="54" t="n">
        <f aca="false">IF(X2&gt;=Assumptions!$B$49,X46*X17*Assumptions!$B$17+X41*(Assumptions!$B$141*MAX(0,Assumptions!$B$145-Assumptions!$B$18)+Assumptions!$B$142*MAX(0,Assumptions!$B$146-Assumptions!$B$18)+Assumptions!$B$143*MAX(0,Assumptions!$B$147-Assumptions!$B$18)+Assumptions!$B$144*MAX(0,Assumptions!$B$148-Assumptions!$B$18))*Assumptions!$B$19/Assumptions!$B$7*X7+X41*(Assumptions!$B$139*Assumptions!$B$20+Assumptions!$B$140*Assumptions!$B$21)/12/Assumptions!$B$7*X7,0)</f>
        <v>210.404776125054</v>
      </c>
      <c r="Y53" s="54" t="n">
        <f aca="false">IF(Y2&gt;=Assumptions!$B$49,Y46*Y17*Assumptions!$B$17+Y41*(Assumptions!$B$141*MAX(0,Assumptions!$B$145-Assumptions!$B$18)+Assumptions!$B$142*MAX(0,Assumptions!$B$146-Assumptions!$B$18)+Assumptions!$B$143*MAX(0,Assumptions!$B$147-Assumptions!$B$18)+Assumptions!$B$144*MAX(0,Assumptions!$B$148-Assumptions!$B$18))*Assumptions!$B$19/Assumptions!$B$7*Y7+Y41*(Assumptions!$B$139*Assumptions!$B$20+Assumptions!$B$140*Assumptions!$B$21)/12/Assumptions!$B$7*Y7,0)</f>
        <v>246.523989422082</v>
      </c>
      <c r="Z53" s="54" t="n">
        <f aca="false">IF(Z2&gt;=Assumptions!$B$49,Z46*Z17*Assumptions!$B$17+Z41*(Assumptions!$B$141*MAX(0,Assumptions!$B$145-Assumptions!$B$18)+Assumptions!$B$142*MAX(0,Assumptions!$B$146-Assumptions!$B$18)+Assumptions!$B$143*MAX(0,Assumptions!$B$147-Assumptions!$B$18)+Assumptions!$B$144*MAX(0,Assumptions!$B$148-Assumptions!$B$18))*Assumptions!$B$19/Assumptions!$B$7*Z7+Z41*(Assumptions!$B$139*Assumptions!$B$20+Assumptions!$B$140*Assumptions!$B$21)/12/Assumptions!$B$7*Z7,0)</f>
        <v>291.58919909234</v>
      </c>
      <c r="AA53" s="54" t="n">
        <f aca="false">IF(AA2&gt;=Assumptions!$B$49,AA46*AA17*Assumptions!$B$17+AA41*(Assumptions!$B$141*MAX(0,Assumptions!$B$145-Assumptions!$B$18)+Assumptions!$B$142*MAX(0,Assumptions!$B$146-Assumptions!$B$18)+Assumptions!$B$143*MAX(0,Assumptions!$B$147-Assumptions!$B$18)+Assumptions!$B$144*MAX(0,Assumptions!$B$148-Assumptions!$B$18))*Assumptions!$B$19/Assumptions!$B$7*AA7+AA41*(Assumptions!$B$139*Assumptions!$B$20+Assumptions!$B$140*Assumptions!$B$21)/12/Assumptions!$B$7*AA7,0)</f>
        <v>18292.6768217036</v>
      </c>
      <c r="AB53" s="54" t="n">
        <f aca="false">IF(AB2&gt;=Assumptions!$B$49,AB46*AB17*Assumptions!$B$17+AB41*(Assumptions!$B$141*MAX(0,Assumptions!$B$145-Assumptions!$B$18)+Assumptions!$B$142*MAX(0,Assumptions!$B$146-Assumptions!$B$18)+Assumptions!$B$143*MAX(0,Assumptions!$B$147-Assumptions!$B$18)+Assumptions!$B$144*MAX(0,Assumptions!$B$148-Assumptions!$B$18))*Assumptions!$B$19/Assumptions!$B$7*AB7+AB41*(Assumptions!$B$139*Assumptions!$B$20+Assumptions!$B$140*Assumptions!$B$21)/12/Assumptions!$B$7*AB7,0)</f>
        <v>35456.2987651961</v>
      </c>
      <c r="AC53" s="54" t="n">
        <f aca="false">IF(AC2&gt;=Assumptions!$B$49,AC46*AC17*Assumptions!$B$17+AC41*(Assumptions!$B$141*MAX(0,Assumptions!$B$145-Assumptions!$B$18)+Assumptions!$B$142*MAX(0,Assumptions!$B$146-Assumptions!$B$18)+Assumptions!$B$143*MAX(0,Assumptions!$B$147-Assumptions!$B$18)+Assumptions!$B$144*MAX(0,Assumptions!$B$148-Assumptions!$B$18))*Assumptions!$B$19/Assumptions!$B$7*AC7+AC41*(Assumptions!$B$139*Assumptions!$B$20+Assumptions!$B$140*Assumptions!$B$21)/12/Assumptions!$B$7*AC7,0)</f>
        <v>60971.9135721538</v>
      </c>
      <c r="AD53" s="54" t="n">
        <f aca="false">IF(AD2&gt;=Assumptions!$B$49,AD46*AD17*Assumptions!$B$17+AD41*(Assumptions!$B$141*MAX(0,Assumptions!$B$145-Assumptions!$B$18)+Assumptions!$B$142*MAX(0,Assumptions!$B$146-Assumptions!$B$18)+Assumptions!$B$143*MAX(0,Assumptions!$B$147-Assumptions!$B$18)+Assumptions!$B$144*MAX(0,Assumptions!$B$148-Assumptions!$B$18))*Assumptions!$B$19/Assumptions!$B$7*AD7+AD41*(Assumptions!$B$139*Assumptions!$B$20+Assumptions!$B$140*Assumptions!$B$21)/12/Assumptions!$B$7*AD7,0)</f>
        <v>94266.9001794799</v>
      </c>
      <c r="AE53" s="54" t="n">
        <f aca="false">IF(AE2&gt;=Assumptions!$B$49,AE46*AE17*Assumptions!$B$17+AE41*(Assumptions!$B$141*MAX(0,Assumptions!$B$145-Assumptions!$B$18)+Assumptions!$B$142*MAX(0,Assumptions!$B$146-Assumptions!$B$18)+Assumptions!$B$143*MAX(0,Assumptions!$B$147-Assumptions!$B$18)+Assumptions!$B$144*MAX(0,Assumptions!$B$148-Assumptions!$B$18))*Assumptions!$B$19/Assumptions!$B$7*AE7+AE41*(Assumptions!$B$139*Assumptions!$B$20+Assumptions!$B$140*Assumptions!$B$21)/12/Assumptions!$B$7*AE7,0)</f>
        <v>134052.244175485</v>
      </c>
    </row>
    <row r="54" customFormat="false" ht="15" hidden="false" customHeight="false" outlineLevel="0" collapsed="false">
      <c r="A54" s="6" t="s">
        <v>461</v>
      </c>
      <c r="B54" s="23" t="s">
        <v>109</v>
      </c>
      <c r="C54" s="54" t="n">
        <f aca="false">IF(C2&gt;=Assumptions!$B$50,C41*C42*(1-Assumptions!$B$167)*Assumptions!$B$149*Assumptions!$B$150,0)</f>
        <v>0</v>
      </c>
      <c r="D54" s="54" t="n">
        <f aca="false">IF(D2&gt;=Assumptions!$B$50,D41*D42*(1-Assumptions!$B$167)*Assumptions!$B$149*Assumptions!$B$150,0)</f>
        <v>0</v>
      </c>
      <c r="E54" s="54" t="n">
        <f aca="false">IF(E2&gt;=Assumptions!$B$50,E41*E42*(1-Assumptions!$B$167)*Assumptions!$B$149*Assumptions!$B$150,0)</f>
        <v>0</v>
      </c>
      <c r="F54" s="54" t="n">
        <f aca="false">IF(F2&gt;=Assumptions!$B$50,F41*F42*(1-Assumptions!$B$167)*Assumptions!$B$149*Assumptions!$B$150,0)</f>
        <v>0</v>
      </c>
      <c r="G54" s="54" t="n">
        <f aca="false">IF(G2&gt;=Assumptions!$B$50,G41*G42*(1-Assumptions!$B$167)*Assumptions!$B$149*Assumptions!$B$150,0)</f>
        <v>0</v>
      </c>
      <c r="H54" s="54" t="n">
        <f aca="false">IF(H2&gt;=Assumptions!$B$50,H41*H42*(1-Assumptions!$B$167)*Assumptions!$B$149*Assumptions!$B$150,0)</f>
        <v>0</v>
      </c>
      <c r="I54" s="54" t="n">
        <f aca="false">IF(I2&gt;=Assumptions!$B$50,I41*I42*(1-Assumptions!$B$167)*Assumptions!$B$149*Assumptions!$B$150,0)</f>
        <v>0</v>
      </c>
      <c r="J54" s="54" t="n">
        <f aca="false">IF(J2&gt;=Assumptions!$B$50,J41*J42*(1-Assumptions!$B$167)*Assumptions!$B$149*Assumptions!$B$150,0)</f>
        <v>0</v>
      </c>
      <c r="K54" s="54" t="n">
        <f aca="false">IF(K2&gt;=Assumptions!$B$50,K41*K42*(1-Assumptions!$B$167)*Assumptions!$B$149*Assumptions!$B$150,0)</f>
        <v>0</v>
      </c>
      <c r="L54" s="54" t="n">
        <f aca="false">IF(L2&gt;=Assumptions!$B$50,L41*L42*(1-Assumptions!$B$167)*Assumptions!$B$149*Assumptions!$B$150,0)</f>
        <v>0</v>
      </c>
      <c r="M54" s="54" t="n">
        <f aca="false">IF(M2&gt;=Assumptions!$B$50,M41*M42*(1-Assumptions!$B$167)*Assumptions!$B$149*Assumptions!$B$150,0)</f>
        <v>0</v>
      </c>
      <c r="N54" s="54" t="n">
        <f aca="false">IF(N2&gt;=Assumptions!$B$50,N41*N42*(1-Assumptions!$B$167)*Assumptions!$B$149*Assumptions!$B$150,0)</f>
        <v>0</v>
      </c>
      <c r="O54" s="54" t="n">
        <f aca="false">IF(O2&gt;=Assumptions!$B$50,O41*O42*(1-Assumptions!$B$167)*Assumptions!$B$149*Assumptions!$B$150,0)</f>
        <v>356.393838636094</v>
      </c>
      <c r="P54" s="54" t="n">
        <f aca="false">IF(P2&gt;=Assumptions!$B$50,P41*P42*(1-Assumptions!$B$167)*Assumptions!$B$149*Assumptions!$B$150,0)</f>
        <v>408.149330683759</v>
      </c>
      <c r="Q54" s="54" t="n">
        <f aca="false">IF(Q2&gt;=Assumptions!$B$50,Q41*Q42*(1-Assumptions!$B$167)*Assumptions!$B$149*Assumptions!$B$150,0)</f>
        <v>474.493152614863</v>
      </c>
      <c r="R54" s="54" t="n">
        <f aca="false">IF(R2&gt;=Assumptions!$B$50,R41*R42*(1-Assumptions!$B$167)*Assumptions!$B$149*Assumptions!$B$150,0)</f>
        <v>534.205672356167</v>
      </c>
      <c r="S54" s="54" t="n">
        <f aca="false">IF(S2&gt;=Assumptions!$B$50,S41*S42*(1-Assumptions!$B$167)*Assumptions!$B$149*Assumptions!$B$150,0)</f>
        <v>622.117668870368</v>
      </c>
      <c r="T54" s="54" t="n">
        <f aca="false">IF(T2&gt;=Assumptions!$B$50,T41*T42*(1-Assumptions!$B$167)*Assumptions!$B$149*Assumptions!$B$150,0)</f>
        <v>760.199058363464</v>
      </c>
      <c r="U54" s="54" t="n">
        <f aca="false">IF(U2&gt;=Assumptions!$B$50,U41*U42*(1-Assumptions!$B$167)*Assumptions!$B$149*Assumptions!$B$150,0)</f>
        <v>906.839938606184</v>
      </c>
      <c r="V54" s="54" t="n">
        <f aca="false">IF(V2&gt;=Assumptions!$B$50,V41*V42*(1-Assumptions!$B$167)*Assumptions!$B$149*Assumptions!$B$150,0)</f>
        <v>1053.92571534487</v>
      </c>
      <c r="W54" s="54" t="n">
        <f aca="false">IF(W2&gt;=Assumptions!$B$50,W41*W42*(1-Assumptions!$B$167)*Assumptions!$B$149*Assumptions!$B$150,0)</f>
        <v>1421.87452506036</v>
      </c>
      <c r="X54" s="54" t="n">
        <f aca="false">IF(X2&gt;=Assumptions!$B$50,X41*X42*(1-Assumptions!$B$167)*Assumptions!$B$149*Assumptions!$B$150,0)</f>
        <v>1756.95760755085</v>
      </c>
      <c r="Y54" s="54" t="n">
        <f aca="false">IF(Y2&gt;=Assumptions!$B$50,Y41*Y42*(1-Assumptions!$B$167)*Assumptions!$B$149*Assumptions!$B$150,0)</f>
        <v>2130.1385270568</v>
      </c>
      <c r="Z54" s="54" t="n">
        <f aca="false">IF(Z2&gt;=Assumptions!$B$50,Z41*Z42*(1-Assumptions!$B$167)*Assumptions!$B$149*Assumptions!$B$150,0)</f>
        <v>2652.04793383004</v>
      </c>
      <c r="AA54" s="54" t="n">
        <f aca="false">IF(AA2&gt;=Assumptions!$B$50,AA41*AA42*(1-Assumptions!$B$167)*Assumptions!$B$149*Assumptions!$B$150,0)</f>
        <v>24181.9966866039</v>
      </c>
      <c r="AB54" s="54" t="n">
        <f aca="false">IF(AB2&gt;=Assumptions!$B$50,AB41*AB42*(1-Assumptions!$B$167)*Assumptions!$B$149*Assumptions!$B$150,0)</f>
        <v>57120.2359882768</v>
      </c>
      <c r="AC54" s="54" t="n">
        <f aca="false">IF(AC2&gt;=Assumptions!$B$50,AC41*AC42*(1-Assumptions!$B$167)*Assumptions!$B$149*Assumptions!$B$150,0)</f>
        <v>109667.542784934</v>
      </c>
      <c r="AD54" s="54" t="n">
        <f aca="false">IF(AD2&gt;=Assumptions!$B$50,AD41*AD42*(1-Assumptions!$B$167)*Assumptions!$B$149*Assumptions!$B$150,0)</f>
        <v>186719.850694265</v>
      </c>
      <c r="AE54" s="54" t="n">
        <f aca="false">IF(AE2&gt;=Assumptions!$B$50,AE41*AE42*(1-Assumptions!$B$167)*Assumptions!$B$149*Assumptions!$B$150,0)</f>
        <v>290448.525858891</v>
      </c>
    </row>
    <row r="55" customFormat="false" ht="15" hidden="false" customHeight="false" outlineLevel="0" collapsed="false">
      <c r="A55" s="6" t="s">
        <v>462</v>
      </c>
      <c r="B55" s="23" t="s">
        <v>109</v>
      </c>
      <c r="C55" s="54" t="n">
        <f aca="false">IF(C2&gt;=Assumptions!$B$50,(C54*Assumptions!$B$29*Assumptions!$B$30+C41*C43*(1-Assumptions!$B$167)*Assumptions!$B$27*Assumptions!$B$28)*C7/12,0)</f>
        <v>0</v>
      </c>
      <c r="D55" s="54" t="n">
        <f aca="false">IF(D2&gt;=Assumptions!$B$50,(D54*Assumptions!$B$29*Assumptions!$B$30+D41*D43*(1-Assumptions!$B$167)*Assumptions!$B$27*Assumptions!$B$28)*D7/12,0)</f>
        <v>0</v>
      </c>
      <c r="E55" s="54" t="n">
        <f aca="false">IF(E2&gt;=Assumptions!$B$50,(E54*Assumptions!$B$29*Assumptions!$B$30+E41*E43*(1-Assumptions!$B$167)*Assumptions!$B$27*Assumptions!$B$28)*E7/12,0)</f>
        <v>0</v>
      </c>
      <c r="F55" s="54" t="n">
        <f aca="false">IF(F2&gt;=Assumptions!$B$50,(F54*Assumptions!$B$29*Assumptions!$B$30+F41*F43*(1-Assumptions!$B$167)*Assumptions!$B$27*Assumptions!$B$28)*F7/12,0)</f>
        <v>0</v>
      </c>
      <c r="G55" s="54" t="n">
        <f aca="false">IF(G2&gt;=Assumptions!$B$50,(G54*Assumptions!$B$29*Assumptions!$B$30+G41*G43*(1-Assumptions!$B$167)*Assumptions!$B$27*Assumptions!$B$28)*G7/12,0)</f>
        <v>0</v>
      </c>
      <c r="H55" s="54" t="n">
        <f aca="false">IF(H2&gt;=Assumptions!$B$50,(H54*Assumptions!$B$29*Assumptions!$B$30+H41*H43*(1-Assumptions!$B$167)*Assumptions!$B$27*Assumptions!$B$28)*H7/12,0)</f>
        <v>0</v>
      </c>
      <c r="I55" s="54" t="n">
        <f aca="false">IF(I2&gt;=Assumptions!$B$50,(I54*Assumptions!$B$29*Assumptions!$B$30+I41*I43*(1-Assumptions!$B$167)*Assumptions!$B$27*Assumptions!$B$28)*I7/12,0)</f>
        <v>0</v>
      </c>
      <c r="J55" s="54" t="n">
        <f aca="false">IF(J2&gt;=Assumptions!$B$50,(J54*Assumptions!$B$29*Assumptions!$B$30+J41*J43*(1-Assumptions!$B$167)*Assumptions!$B$27*Assumptions!$B$28)*J7/12,0)</f>
        <v>0</v>
      </c>
      <c r="K55" s="54" t="n">
        <f aca="false">IF(K2&gt;=Assumptions!$B$50,(K54*Assumptions!$B$29*Assumptions!$B$30+K41*K43*(1-Assumptions!$B$167)*Assumptions!$B$27*Assumptions!$B$28)*K7/12,0)</f>
        <v>0</v>
      </c>
      <c r="L55" s="54" t="n">
        <f aca="false">IF(L2&gt;=Assumptions!$B$50,(L54*Assumptions!$B$29*Assumptions!$B$30+L41*L43*(1-Assumptions!$B$167)*Assumptions!$B$27*Assumptions!$B$28)*L7/12,0)</f>
        <v>0</v>
      </c>
      <c r="M55" s="54" t="n">
        <f aca="false">IF(M2&gt;=Assumptions!$B$50,(M54*Assumptions!$B$29*Assumptions!$B$30+M41*M43*(1-Assumptions!$B$167)*Assumptions!$B$27*Assumptions!$B$28)*M7/12,0)</f>
        <v>0</v>
      </c>
      <c r="N55" s="54" t="n">
        <f aca="false">IF(N2&gt;=Assumptions!$B$50,(N54*Assumptions!$B$29*Assumptions!$B$30+N41*N43*(1-Assumptions!$B$167)*Assumptions!$B$27*Assumptions!$B$28)*N7/12,0)</f>
        <v>0</v>
      </c>
      <c r="O55" s="54" t="n">
        <f aca="false">IF(O2&gt;=Assumptions!$B$50,(O54*Assumptions!$B$29*Assumptions!$B$30+O41*O43*(1-Assumptions!$B$167)*Assumptions!$B$27*Assumptions!$B$28)*O7/12,0)</f>
        <v>0.846435366760723</v>
      </c>
      <c r="P55" s="54" t="n">
        <f aca="false">IF(P2&gt;=Assumptions!$B$50,(P54*Assumptions!$B$29*Assumptions!$B$30+P41*P43*(1-Assumptions!$B$167)*Assumptions!$B$27*Assumptions!$B$28)*P7/12,0)</f>
        <v>0.969354660373927</v>
      </c>
      <c r="Q55" s="54" t="n">
        <f aca="false">IF(Q2&gt;=Assumptions!$B$50,(Q54*Assumptions!$B$29*Assumptions!$B$30+Q41*Q43*(1-Assumptions!$B$167)*Assumptions!$B$27*Assumptions!$B$28)*Q7/12,0)</f>
        <v>1.1269212374603</v>
      </c>
      <c r="R55" s="54" t="n">
        <f aca="false">IF(R2&gt;=Assumptions!$B$50,(R54*Assumptions!$B$29*Assumptions!$B$30+R41*R43*(1-Assumptions!$B$167)*Assumptions!$B$27*Assumptions!$B$28)*R7/12,0)</f>
        <v>1.2687384718459</v>
      </c>
      <c r="S55" s="54" t="n">
        <f aca="false">IF(S2&gt;=Assumptions!$B$50,(S54*Assumptions!$B$29*Assumptions!$B$30+S41*S43*(1-Assumptions!$B$167)*Assumptions!$B$27*Assumptions!$B$28)*S7/12,0)</f>
        <v>1.47752946356712</v>
      </c>
      <c r="T55" s="54" t="n">
        <f aca="false">IF(T2&gt;=Assumptions!$B$50,(T54*Assumptions!$B$29*Assumptions!$B$30+T41*T43*(1-Assumptions!$B$167)*Assumptions!$B$27*Assumptions!$B$28)*T7/12,0)</f>
        <v>1.80547276361323</v>
      </c>
      <c r="U55" s="54" t="n">
        <f aca="false">IF(U2&gt;=Assumptions!$B$50,(U54*Assumptions!$B$29*Assumptions!$B$30+U41*U43*(1-Assumptions!$B$167)*Assumptions!$B$27*Assumptions!$B$28)*U7/12,0)</f>
        <v>2.15374485418969</v>
      </c>
      <c r="V55" s="54" t="n">
        <f aca="false">IF(V2&gt;=Assumptions!$B$50,(V54*Assumptions!$B$29*Assumptions!$B$30+V41*V43*(1-Assumptions!$B$167)*Assumptions!$B$27*Assumptions!$B$28)*V7/12,0)</f>
        <v>2.50307357394407</v>
      </c>
      <c r="W55" s="54" t="n">
        <f aca="false">IF(W2&gt;=Assumptions!$B$50,(W54*Assumptions!$B$29*Assumptions!$B$30+W41*W43*(1-Assumptions!$B$167)*Assumptions!$B$27*Assumptions!$B$28)*W7/12,0)</f>
        <v>3.37695199701836</v>
      </c>
      <c r="X55" s="54" t="n">
        <f aca="false">IF(X2&gt;=Assumptions!$B$50,(X54*Assumptions!$B$29*Assumptions!$B$30+X41*X43*(1-Assumptions!$B$167)*Assumptions!$B$27*Assumptions!$B$28)*X7/12,0)</f>
        <v>4.17277431793328</v>
      </c>
      <c r="Y55" s="54" t="n">
        <f aca="false">IF(Y2&gt;=Assumptions!$B$50,(Y54*Assumptions!$B$29*Assumptions!$B$30+Y41*Y43*(1-Assumptions!$B$167)*Assumptions!$B$27*Assumptions!$B$28)*Y7/12,0)</f>
        <v>5.0590790017599</v>
      </c>
      <c r="Z55" s="54" t="n">
        <f aca="false">IF(Z2&gt;=Assumptions!$B$50,(Z54*Assumptions!$B$29*Assumptions!$B$30+Z41*Z43*(1-Assumptions!$B$167)*Assumptions!$B$27*Assumptions!$B$28)*Z7/12,0)</f>
        <v>6.29861384284634</v>
      </c>
      <c r="AA55" s="54" t="n">
        <f aca="false">IF(AA2&gt;=Assumptions!$B$50,(AA54*Assumptions!$B$29*Assumptions!$B$30+AA41*AA43*(1-Assumptions!$B$167)*Assumptions!$B$27*Assumptions!$B$28)*AA7/12,0)</f>
        <v>689.18690556821</v>
      </c>
      <c r="AB55" s="54" t="n">
        <f aca="false">IF(AB2&gt;=Assumptions!$B$50,(AB54*Assumptions!$B$29*Assumptions!$B$30+AB41*AB43*(1-Assumptions!$B$167)*Assumptions!$B$27*Assumptions!$B$28)*AB7/12,0)</f>
        <v>1627.92672566589</v>
      </c>
      <c r="AC55" s="54" t="n">
        <f aca="false">IF(AC2&gt;=Assumptions!$B$50,(AC54*Assumptions!$B$29*Assumptions!$B$30+AC41*AC43*(1-Assumptions!$B$167)*Assumptions!$B$27*Assumptions!$B$28)*AC7/12,0)</f>
        <v>3125.52496937061</v>
      </c>
      <c r="AD55" s="54" t="n">
        <f aca="false">IF(AD2&gt;=Assumptions!$B$50,(AD54*Assumptions!$B$29*Assumptions!$B$30+AD41*AD43*(1-Assumptions!$B$167)*Assumptions!$B$27*Assumptions!$B$28)*AD7/12,0)</f>
        <v>5321.51574478657</v>
      </c>
      <c r="AE55" s="54" t="n">
        <f aca="false">IF(AE2&gt;=Assumptions!$B$50,(AE54*Assumptions!$B$29*Assumptions!$B$30+AE41*AE43*(1-Assumptions!$B$167)*Assumptions!$B$27*Assumptions!$B$28)*AE7/12,0)</f>
        <v>8277.7829869784</v>
      </c>
    </row>
    <row r="56" customFormat="false" ht="15" hidden="false" customHeight="false" outlineLevel="0" collapsed="false">
      <c r="A56" s="6" t="s">
        <v>463</v>
      </c>
      <c r="B56" s="23" t="s">
        <v>464</v>
      </c>
      <c r="C56" s="44" t="n">
        <f aca="false">IF(C2&gt;=Assumptions!$B$46,(C29+C31*Assumptions!$B$129)*Assumptions!$B$128*C7/12,0)</f>
        <v>0.229222067670005</v>
      </c>
      <c r="D56" s="44" t="n">
        <f aca="false">IF(D2&gt;=Assumptions!$B$46,(D29+D31*Assumptions!$B$129)*Assumptions!$B$128*D7/12,0)</f>
        <v>0.459697543880058</v>
      </c>
      <c r="E56" s="44" t="n">
        <f aca="false">IF(E2&gt;=Assumptions!$B$46,(E29+E31*Assumptions!$B$129)*Assumptions!$B$128*E7/12,0)</f>
        <v>0.692458309860175</v>
      </c>
      <c r="F56" s="44" t="n">
        <f aca="false">IF(F2&gt;=Assumptions!$B$46,(F29+F31*Assumptions!$B$129)*Assumptions!$B$128*F7/12,0)</f>
        <v>0.987677726964312</v>
      </c>
      <c r="G56" s="44" t="n">
        <f aca="false">IF(G2&gt;=Assumptions!$B$46,(G29+G31*Assumptions!$B$129)*Assumptions!$B$128*G7/12,0)</f>
        <v>1.27060899941478</v>
      </c>
      <c r="H56" s="44" t="n">
        <f aca="false">IF(H2&gt;=Assumptions!$B$46,(H29+H31*Assumptions!$B$129)*Assumptions!$B$128*H7/12,0)</f>
        <v>1.52794332993825</v>
      </c>
      <c r="I56" s="44" t="n">
        <f aca="false">IF(I2&gt;=Assumptions!$B$46,(I29+I31*Assumptions!$B$129)*Assumptions!$B$128*I7/12,0)</f>
        <v>1.78663396932842</v>
      </c>
      <c r="J56" s="44" t="n">
        <f aca="false">IF(J2&gt;=Assumptions!$B$46,(J29+J31*Assumptions!$B$129)*Assumptions!$B$128*J7/12,0)</f>
        <v>2.05270402709544</v>
      </c>
      <c r="K56" s="44" t="n">
        <f aca="false">IF(K2&gt;=Assumptions!$B$46,(K29+K31*Assumptions!$B$129)*Assumptions!$B$128*K7/12,0)</f>
        <v>2.34390562076345</v>
      </c>
      <c r="L56" s="44" t="n">
        <f aca="false">IF(L2&gt;=Assumptions!$B$46,(L29+L31*Assumptions!$B$129)*Assumptions!$B$128*L7/12,0)</f>
        <v>2.71521182485385</v>
      </c>
      <c r="M56" s="44" t="n">
        <f aca="false">IF(M2&gt;=Assumptions!$B$46,(M29+M31*Assumptions!$B$129)*Assumptions!$B$128*M7/12,0)</f>
        <v>3.07512767542584</v>
      </c>
      <c r="N56" s="44" t="n">
        <f aca="false">IF(N2&gt;=Assumptions!$B$46,(N29+N31*Assumptions!$B$129)*Assumptions!$B$128*N7/12,0)</f>
        <v>3.41282023154699</v>
      </c>
      <c r="O56" s="44" t="n">
        <f aca="false">IF(O2&gt;=Assumptions!$B$46,(O29+O31*Assumptions!$B$129)*Assumptions!$B$128*O7/12,0)</f>
        <v>4.29693438804434</v>
      </c>
      <c r="P56" s="44" t="n">
        <f aca="false">IF(P2&gt;=Assumptions!$B$46,(P29+P31*Assumptions!$B$129)*Assumptions!$B$128*P7/12,0)</f>
        <v>5.19349090081149</v>
      </c>
      <c r="Q56" s="44" t="n">
        <f aca="false">IF(Q2&gt;=Assumptions!$B$46,(Q29+Q31*Assumptions!$B$129)*Assumptions!$B$128*Q7/12,0)</f>
        <v>6.10463994936215</v>
      </c>
      <c r="R56" s="44" t="n">
        <f aca="false">IF(R2&gt;=Assumptions!$B$46,(R29+R31*Assumptions!$B$129)*Assumptions!$B$128*R7/12,0)</f>
        <v>7.24144995347304</v>
      </c>
      <c r="S56" s="44" t="n">
        <f aca="false">IF(S2&gt;=Assumptions!$B$46,(S29+S31*Assumptions!$B$129)*Assumptions!$B$128*S7/12,0)</f>
        <v>8.34658632042895</v>
      </c>
      <c r="T56" s="44" t="n">
        <f aca="false">IF(T2&gt;=Assumptions!$B$46,(T29+T31*Assumptions!$B$129)*Assumptions!$B$128*T7/12,0)</f>
        <v>9.36714681558477</v>
      </c>
      <c r="U56" s="44" t="n">
        <f aca="false">IF(U2&gt;=Assumptions!$B$46,(U29+U31*Assumptions!$B$129)*Assumptions!$B$128*U7/12,0)</f>
        <v>10.3972466259786</v>
      </c>
      <c r="V56" s="44" t="n">
        <f aca="false">IF(V2&gt;=Assumptions!$B$46,(V29+V31*Assumptions!$B$129)*Assumptions!$B$128*V7/12,0)</f>
        <v>11.4587837188444</v>
      </c>
      <c r="W56" s="44" t="n">
        <f aca="false">IF(W2&gt;=Assumptions!$B$46,(W29+W31*Assumptions!$B$129)*Assumptions!$B$128*W7/12,0)</f>
        <v>12.619131358937</v>
      </c>
      <c r="X56" s="44" t="n">
        <f aca="false">IF(X2&gt;=Assumptions!$B$46,(X29+X31*Assumptions!$B$129)*Assumptions!$B$128*X7/12,0)</f>
        <v>14.0913813249636</v>
      </c>
      <c r="Y56" s="44" t="n">
        <f aca="false">IF(Y2&gt;=Assumptions!$B$46,(Y29+Y31*Assumptions!$B$129)*Assumptions!$B$128*Y7/12,0)</f>
        <v>15.5354033513055</v>
      </c>
      <c r="Z56" s="44" t="n">
        <f aca="false">IF(Z2&gt;=Assumptions!$B$46,(Z29+Z31*Assumptions!$B$129)*Assumptions!$B$128*Z7/12,0)</f>
        <v>16.9042278150342</v>
      </c>
      <c r="AA56" s="44" t="n">
        <f aca="false">IF(AA2&gt;=Assumptions!$B$46,(AA29+AA31*Assumptions!$B$129)*Assumptions!$B$128*AA7/12,0)</f>
        <v>522.928695965408</v>
      </c>
      <c r="AB56" s="44" t="n">
        <f aca="false">IF(AB2&gt;=Assumptions!$B$46,(AB29+AB31*Assumptions!$B$129)*Assumptions!$B$128*AB7/12,0)</f>
        <v>1055.35860087087</v>
      </c>
      <c r="AC56" s="44" t="n">
        <f aca="false">IF(AC2&gt;=Assumptions!$B$46,(AC29+AC31*Assumptions!$B$129)*Assumptions!$B$128*AC7/12,0)</f>
        <v>1868.21856672673</v>
      </c>
      <c r="AD56" s="44" t="n">
        <f aca="false">IF(AD2&gt;=Assumptions!$B$46,(AD29+AD31*Assumptions!$B$129)*Assumptions!$B$128*AD7/12,0)</f>
        <v>2968.37342338188</v>
      </c>
      <c r="AE56" s="44" t="n">
        <f aca="false">IF(AE2&gt;=Assumptions!$B$46,(AE29+AE31*Assumptions!$B$129)*Assumptions!$B$128*AE7/12,0)</f>
        <v>4328.56245737883</v>
      </c>
    </row>
    <row r="57" customFormat="false" ht="15" hidden="false" customHeight="false" outlineLevel="0" collapsed="false">
      <c r="A57" s="3" t="s">
        <v>465</v>
      </c>
      <c r="B57" s="23" t="s">
        <v>109</v>
      </c>
      <c r="C57" s="56" t="n">
        <f aca="false">C49+C50+C51+C52+C53+C55</f>
        <v>60.8649546237702</v>
      </c>
      <c r="D57" s="56" t="n">
        <f aca="false">D49+D50+D51+D52+D53+D55</f>
        <v>115.741775162971</v>
      </c>
      <c r="E57" s="56" t="n">
        <f aca="false">E49+E50+E51+E52+E53+E55</f>
        <v>165.526335253005</v>
      </c>
      <c r="F57" s="56" t="n">
        <f aca="false">F49+F50+F51+F52+F53+F55</f>
        <v>226.725209141068</v>
      </c>
      <c r="G57" s="56" t="n">
        <f aca="false">G49+G50+G51+G52+G53+G55</f>
        <v>278.305604637243</v>
      </c>
      <c r="H57" s="56" t="n">
        <f aca="false">H49+H50+H51+H52+H53+H55</f>
        <v>317.732557504881</v>
      </c>
      <c r="I57" s="56" t="n">
        <f aca="false">I49+I50+I51+I52+I53+I55</f>
        <v>731.740136983396</v>
      </c>
      <c r="J57" s="56" t="n">
        <f aca="false">J49+J50+J51+J52+J53+J55</f>
        <v>802.021182045572</v>
      </c>
      <c r="K57" s="56" t="n">
        <f aca="false">K49+K50+K51+K52+K53+K55</f>
        <v>878.819623115653</v>
      </c>
      <c r="L57" s="56" t="n">
        <f aca="false">L49+L50+L51+L52+L53+L55</f>
        <v>991.680421567078</v>
      </c>
      <c r="M57" s="56" t="n">
        <f aca="false">M49+M50+M51+M52+M53+M55</f>
        <v>1086.55847497683</v>
      </c>
      <c r="N57" s="56" t="n">
        <f aca="false">N49+N50+N51+N52+N53+N55</f>
        <v>1159.36584813782</v>
      </c>
      <c r="O57" s="56" t="n">
        <f aca="false">O49+O50+O51+O52+O53+O55</f>
        <v>1583.37161356271</v>
      </c>
      <c r="P57" s="56" t="n">
        <f aca="false">P49+P50+P51+P52+P53+P55</f>
        <v>1927.74181429914</v>
      </c>
      <c r="Q57" s="56" t="n">
        <f aca="false">Q49+Q50+Q51+Q52+Q53+Q55</f>
        <v>2245.26994026824</v>
      </c>
      <c r="R57" s="56" t="n">
        <f aca="false">R49+R50+R51+R52+R53+R55</f>
        <v>2654.9551479671</v>
      </c>
      <c r="S57" s="56" t="n">
        <f aca="false">S49+S50+S51+S52+S53+S55</f>
        <v>3006.83911445028</v>
      </c>
      <c r="T57" s="56" t="n">
        <f aca="false">T49+T50+T51+T52+T53+T55</f>
        <v>3281.45997051748</v>
      </c>
      <c r="U57" s="56" t="n">
        <f aca="false">U49+U50+U51+U52+U53+U55</f>
        <v>3532.54868203454</v>
      </c>
      <c r="V57" s="56" t="n">
        <f aca="false">V49+V50+V51+V52+V53+V55</f>
        <v>3774.67739554451</v>
      </c>
      <c r="W57" s="56" t="n">
        <f aca="false">W49+W50+W51+W52+W53+W55</f>
        <v>4074.06416525542</v>
      </c>
      <c r="X57" s="56" t="n">
        <f aca="false">X49+X50+X51+X52+X53+X55</f>
        <v>4518.25434747812</v>
      </c>
      <c r="Y57" s="56" t="n">
        <f aca="false">Y49+Y50+Y51+Y52+Y53+Y55</f>
        <v>4903.4991755303</v>
      </c>
      <c r="Z57" s="56" t="n">
        <f aca="false">Z49+Z50+Z51+Z52+Z53+Z55</f>
        <v>5221.3529639996</v>
      </c>
      <c r="AA57" s="56" t="n">
        <f aca="false">AA49+AA50+AA51+AA52+AA53+AA55</f>
        <v>139147.596566327</v>
      </c>
      <c r="AB57" s="56" t="n">
        <f aca="false">AB49+AB50+AB51+AB52+AB53+AB55</f>
        <v>242627.526723436</v>
      </c>
      <c r="AC57" s="56" t="n">
        <f aca="false">AC49+AC50+AC51+AC52+AC53+AC55</f>
        <v>383737.652980123</v>
      </c>
      <c r="AD57" s="56" t="n">
        <f aca="false">AD49+AD50+AD51+AD52+AD53+AD55</f>
        <v>543093.684432301</v>
      </c>
      <c r="AE57" s="56" t="n">
        <f aca="false">AE49+AE50+AE51+AE52+AE53+AE55</f>
        <v>703653.412028149</v>
      </c>
    </row>
    <row r="59" customFormat="false" ht="15" hidden="false" customHeight="false" outlineLevel="0" collapsed="false">
      <c r="A59" s="45" t="s">
        <v>466</v>
      </c>
      <c r="B59" s="46"/>
      <c r="C59" s="46"/>
      <c r="D59" s="46"/>
      <c r="E59" s="46"/>
      <c r="F59" s="46"/>
      <c r="G59" s="46"/>
      <c r="H59" s="46"/>
      <c r="I59" s="46"/>
      <c r="J59" s="46"/>
      <c r="K59" s="46"/>
      <c r="L59" s="46"/>
      <c r="M59" s="46"/>
      <c r="N59" s="46"/>
      <c r="O59" s="46"/>
      <c r="P59" s="46"/>
      <c r="Q59" s="46"/>
      <c r="R59" s="46"/>
      <c r="S59" s="46"/>
      <c r="T59" s="46"/>
      <c r="U59" s="46"/>
      <c r="V59" s="46"/>
      <c r="W59" s="46"/>
      <c r="X59" s="46"/>
      <c r="Y59" s="46"/>
      <c r="Z59" s="46"/>
      <c r="AA59" s="46"/>
      <c r="AB59" s="46"/>
      <c r="AC59" s="46"/>
      <c r="AD59" s="46"/>
      <c r="AE59" s="46"/>
    </row>
    <row r="60" customFormat="false" ht="15" hidden="false" customHeight="false" outlineLevel="0" collapsed="false">
      <c r="A60" s="6" t="s">
        <v>428</v>
      </c>
      <c r="B60" s="23" t="s">
        <v>185</v>
      </c>
      <c r="C60" s="52" t="n">
        <f aca="false">INDEX(Assumptions!$B$92:$B$98,C5)*Assumptions!$B$119/12*C7/Assumptions!$B$116*(1+Assumptions!$B$123)*IF(C2&gt;=Assumptions!$B$53,1,0)</f>
        <v>0</v>
      </c>
      <c r="D60" s="52" t="n">
        <f aca="false">INDEX(Assumptions!$B$92:$B$98,D5)*Assumptions!$B$119/12*D7/Assumptions!$B$116*(1+Assumptions!$B$123)*IF(D2&gt;=Assumptions!$B$53,1,0)</f>
        <v>0</v>
      </c>
      <c r="E60" s="52" t="n">
        <f aca="false">INDEX(Assumptions!$B$92:$B$98,E5)*Assumptions!$B$119/12*E7/Assumptions!$B$116*(1+Assumptions!$B$123)*IF(E2&gt;=Assumptions!$B$53,1,0)</f>
        <v>0</v>
      </c>
      <c r="F60" s="52" t="n">
        <f aca="false">INDEX(Assumptions!$B$92:$B$98,F5)*Assumptions!$B$119/12*F7/Assumptions!$B$116*(1+Assumptions!$B$123)*IF(F2&gt;=Assumptions!$B$53,1,0)</f>
        <v>0</v>
      </c>
      <c r="G60" s="52" t="n">
        <f aca="false">INDEX(Assumptions!$B$92:$B$98,G5)*Assumptions!$B$119/12*G7/Assumptions!$B$116*(1+Assumptions!$B$123)*IF(G2&gt;=Assumptions!$B$53,1,0)</f>
        <v>0</v>
      </c>
      <c r="H60" s="52" t="n">
        <f aca="false">INDEX(Assumptions!$B$92:$B$98,H5)*Assumptions!$B$119/12*H7/Assumptions!$B$116*(1+Assumptions!$B$123)*IF(H2&gt;=Assumptions!$B$53,1,0)</f>
        <v>0</v>
      </c>
      <c r="I60" s="52" t="n">
        <f aca="false">INDEX(Assumptions!$B$92:$B$98,I5)*Assumptions!$B$119/12*I7/Assumptions!$B$116*(1+Assumptions!$B$123)*IF(I2&gt;=Assumptions!$B$53,1,0)</f>
        <v>0</v>
      </c>
      <c r="J60" s="52" t="n">
        <f aca="false">INDEX(Assumptions!$B$92:$B$98,J5)*Assumptions!$B$119/12*J7/Assumptions!$B$116*(1+Assumptions!$B$123)*IF(J2&gt;=Assumptions!$B$53,1,0)</f>
        <v>0</v>
      </c>
      <c r="K60" s="52" t="n">
        <f aca="false">INDEX(Assumptions!$B$92:$B$98,K5)*Assumptions!$B$119/12*K7/Assumptions!$B$116*(1+Assumptions!$B$123)*IF(K2&gt;=Assumptions!$B$53,1,0)</f>
        <v>0</v>
      </c>
      <c r="L60" s="52" t="n">
        <f aca="false">INDEX(Assumptions!$B$92:$B$98,L5)*Assumptions!$B$119/12*L7/Assumptions!$B$116*(1+Assumptions!$B$123)*IF(L2&gt;=Assumptions!$B$53,1,0)</f>
        <v>0</v>
      </c>
      <c r="M60" s="52" t="n">
        <f aca="false">INDEX(Assumptions!$B$92:$B$98,M5)*Assumptions!$B$119/12*M7/Assumptions!$B$116*(1+Assumptions!$B$123)*IF(M2&gt;=Assumptions!$B$53,1,0)</f>
        <v>0</v>
      </c>
      <c r="N60" s="52" t="n">
        <f aca="false">INDEX(Assumptions!$B$92:$B$98,N5)*Assumptions!$B$119/12*N7/Assumptions!$B$116*(1+Assumptions!$B$123)*IF(N2&gt;=Assumptions!$B$53,1,0)</f>
        <v>0</v>
      </c>
      <c r="O60" s="52" t="n">
        <f aca="false">INDEX(Assumptions!$B$92:$B$98,O5)*Assumptions!$B$119/12*O7/Assumptions!$B$116*(1+Assumptions!$B$123)*IF(O2&gt;=Assumptions!$B$53,1,0)</f>
        <v>26.88</v>
      </c>
      <c r="P60" s="52" t="n">
        <f aca="false">INDEX(Assumptions!$B$92:$B$98,P5)*Assumptions!$B$119/12*P7/Assumptions!$B$116*(1+Assumptions!$B$123)*IF(P2&gt;=Assumptions!$B$53,1,0)</f>
        <v>26.88</v>
      </c>
      <c r="Q60" s="52" t="n">
        <f aca="false">INDEX(Assumptions!$B$92:$B$98,Q5)*Assumptions!$B$119/12*Q7/Assumptions!$B$116*(1+Assumptions!$B$123)*IF(Q2&gt;=Assumptions!$B$53,1,0)</f>
        <v>26.88</v>
      </c>
      <c r="R60" s="52" t="n">
        <f aca="false">INDEX(Assumptions!$B$92:$B$98,R5)*Assumptions!$B$119/12*R7/Assumptions!$B$116*(1+Assumptions!$B$123)*IF(R2&gt;=Assumptions!$B$53,1,0)</f>
        <v>26.88</v>
      </c>
      <c r="S60" s="52" t="n">
        <f aca="false">INDEX(Assumptions!$B$92:$B$98,S5)*Assumptions!$B$119/12*S7/Assumptions!$B$116*(1+Assumptions!$B$123)*IF(S2&gt;=Assumptions!$B$53,1,0)</f>
        <v>26.88</v>
      </c>
      <c r="T60" s="52" t="n">
        <f aca="false">INDEX(Assumptions!$B$92:$B$98,T5)*Assumptions!$B$119/12*T7/Assumptions!$B$116*(1+Assumptions!$B$123)*IF(T2&gt;=Assumptions!$B$53,1,0)</f>
        <v>26.88</v>
      </c>
      <c r="U60" s="52" t="n">
        <f aca="false">INDEX(Assumptions!$B$92:$B$98,U5)*Assumptions!$B$119/12*U7/Assumptions!$B$116*(1+Assumptions!$B$123)*IF(U2&gt;=Assumptions!$B$53,1,0)</f>
        <v>26.88</v>
      </c>
      <c r="V60" s="52" t="n">
        <f aca="false">INDEX(Assumptions!$B$92:$B$98,V5)*Assumptions!$B$119/12*V7/Assumptions!$B$116*(1+Assumptions!$B$123)*IF(V2&gt;=Assumptions!$B$53,1,0)</f>
        <v>26.88</v>
      </c>
      <c r="W60" s="52" t="n">
        <f aca="false">INDEX(Assumptions!$B$92:$B$98,W5)*Assumptions!$B$119/12*W7/Assumptions!$B$116*(1+Assumptions!$B$123)*IF(W2&gt;=Assumptions!$B$53,1,0)</f>
        <v>26.88</v>
      </c>
      <c r="X60" s="52" t="n">
        <f aca="false">INDEX(Assumptions!$B$92:$B$98,X5)*Assumptions!$B$119/12*X7/Assumptions!$B$116*(1+Assumptions!$B$123)*IF(X2&gt;=Assumptions!$B$53,1,0)</f>
        <v>26.88</v>
      </c>
      <c r="Y60" s="52" t="n">
        <f aca="false">INDEX(Assumptions!$B$92:$B$98,Y5)*Assumptions!$B$119/12*Y7/Assumptions!$B$116*(1+Assumptions!$B$123)*IF(Y2&gt;=Assumptions!$B$53,1,0)</f>
        <v>26.88</v>
      </c>
      <c r="Z60" s="52" t="n">
        <f aca="false">INDEX(Assumptions!$B$92:$B$98,Z5)*Assumptions!$B$119/12*Z7/Assumptions!$B$116*(1+Assumptions!$B$123)*IF(Z2&gt;=Assumptions!$B$53,1,0)</f>
        <v>26.88</v>
      </c>
      <c r="AA60" s="52" t="n">
        <f aca="false">INDEX(Assumptions!$B$92:$B$98,AA5)*Assumptions!$B$119/12*AA7/Assumptions!$B$116*(1+Assumptions!$B$123)*IF(AA2&gt;=Assumptions!$B$53,1,0)</f>
        <v>448</v>
      </c>
      <c r="AB60" s="52" t="n">
        <f aca="false">INDEX(Assumptions!$B$92:$B$98,AB5)*Assumptions!$B$119/12*AB7/Assumptions!$B$116*(1+Assumptions!$B$123)*IF(AB2&gt;=Assumptions!$B$53,1,0)</f>
        <v>716.8</v>
      </c>
      <c r="AC60" s="52" t="n">
        <f aca="false">INDEX(Assumptions!$B$92:$B$98,AC5)*Assumptions!$B$119/12*AC7/Assumptions!$B$116*(1+Assumptions!$B$123)*IF(AC2&gt;=Assumptions!$B$53,1,0)</f>
        <v>1075.2</v>
      </c>
      <c r="AD60" s="52" t="n">
        <f aca="false">INDEX(Assumptions!$B$92:$B$98,AD5)*Assumptions!$B$119/12*AD7/Assumptions!$B$116*(1+Assumptions!$B$123)*IF(AD2&gt;=Assumptions!$B$53,1,0)</f>
        <v>1523.2</v>
      </c>
      <c r="AE60" s="52" t="n">
        <f aca="false">INDEX(Assumptions!$B$92:$B$98,AE5)*Assumptions!$B$119/12*AE7/Assumptions!$B$116*(1+Assumptions!$B$123)*IF(AE2&gt;=Assumptions!$B$53,1,0)</f>
        <v>1971.2</v>
      </c>
    </row>
    <row r="61" customFormat="false" ht="15" hidden="false" customHeight="false" outlineLevel="0" collapsed="false">
      <c r="A61" s="6" t="s">
        <v>429</v>
      </c>
      <c r="B61" s="23" t="s">
        <v>185</v>
      </c>
      <c r="C61" s="53" t="n">
        <v>0</v>
      </c>
      <c r="D61" s="53" t="n">
        <f aca="false">IF(D2&gt;=Assumptions!$B$52,C65*Assumptions!$B$121/12*Assumptions!$B$122*D7,0)</f>
        <v>0</v>
      </c>
      <c r="E61" s="53" t="n">
        <f aca="false">IF(E2&gt;=Assumptions!$B$52,D65*Assumptions!$B$121/12*Assumptions!$B$122*E7,0)</f>
        <v>0</v>
      </c>
      <c r="F61" s="53" t="n">
        <f aca="false">IF(F2&gt;=Assumptions!$B$52,E65*Assumptions!$B$121/12*Assumptions!$B$122*F7,0)</f>
        <v>0</v>
      </c>
      <c r="G61" s="53" t="n">
        <f aca="false">IF(G2&gt;=Assumptions!$B$52,F65*Assumptions!$B$121/12*Assumptions!$B$122*G7,0)</f>
        <v>0</v>
      </c>
      <c r="H61" s="53" t="n">
        <f aca="false">IF(H2&gt;=Assumptions!$B$52,G65*Assumptions!$B$121/12*Assumptions!$B$122*H7,0)</f>
        <v>0</v>
      </c>
      <c r="I61" s="53" t="n">
        <f aca="false">IF(I2&gt;=Assumptions!$B$52,H65*Assumptions!$B$121/12*Assumptions!$B$122*I7,0)</f>
        <v>0</v>
      </c>
      <c r="J61" s="53" t="n">
        <f aca="false">IF(J2&gt;=Assumptions!$B$52,I65*Assumptions!$B$121/12*Assumptions!$B$122*J7,0)</f>
        <v>0</v>
      </c>
      <c r="K61" s="53" t="n">
        <f aca="false">IF(K2&gt;=Assumptions!$B$52,J65*Assumptions!$B$121/12*Assumptions!$B$122*K7,0)</f>
        <v>0</v>
      </c>
      <c r="L61" s="53" t="n">
        <f aca="false">IF(L2&gt;=Assumptions!$B$52,K65*Assumptions!$B$121/12*Assumptions!$B$122*L7,0)</f>
        <v>0</v>
      </c>
      <c r="M61" s="53" t="n">
        <f aca="false">IF(M2&gt;=Assumptions!$B$52,L65*Assumptions!$B$121/12*Assumptions!$B$122*M7,0)</f>
        <v>0</v>
      </c>
      <c r="N61" s="53" t="n">
        <f aca="false">IF(N2&gt;=Assumptions!$B$52,M65*Assumptions!$B$121/12*Assumptions!$B$122*N7,0)</f>
        <v>0</v>
      </c>
      <c r="O61" s="53" t="n">
        <f aca="false">IF(O2&gt;=Assumptions!$B$52,N65*Assumptions!$B$121/12*Assumptions!$B$122*O7,0)</f>
        <v>0</v>
      </c>
      <c r="P61" s="53" t="n">
        <f aca="false">IF(P2&gt;=Assumptions!$B$52,O65*Assumptions!$B$121/12*Assumptions!$B$122*P7,0)</f>
        <v>0.732494839093939</v>
      </c>
      <c r="Q61" s="53" t="n">
        <f aca="false">IF(Q2&gt;=Assumptions!$B$52,P65*Assumptions!$B$121/12*Assumptions!$B$122*Q7,0)</f>
        <v>1.40811697869126</v>
      </c>
      <c r="R61" s="53" t="n">
        <f aca="false">IF(R2&gt;=Assumptions!$B$52,Q65*Assumptions!$B$121/12*Assumptions!$B$122*R7,0)</f>
        <v>2.03443650598553</v>
      </c>
      <c r="S61" s="53" t="n">
        <f aca="false">IF(S2&gt;=Assumptions!$B$52,R65*Assumptions!$B$121/12*Assumptions!$B$122*S7,0)</f>
        <v>2.81916349677008</v>
      </c>
      <c r="T61" s="53" t="n">
        <f aca="false">IF(T2&gt;=Assumptions!$B$52,S65*Assumptions!$B$121/12*Assumptions!$B$122*T7,0)</f>
        <v>3.49833720029476</v>
      </c>
      <c r="U61" s="53" t="n">
        <f aca="false">IF(U2&gt;=Assumptions!$B$52,T65*Assumptions!$B$121/12*Assumptions!$B$122*U7,0)</f>
        <v>4.03135346572136</v>
      </c>
      <c r="V61" s="53" t="n">
        <f aca="false">IF(V2&gt;=Assumptions!$B$52,U65*Assumptions!$B$121/12*Assumptions!$B$122*V7,0)</f>
        <v>4.52380350253357</v>
      </c>
      <c r="W61" s="53" t="n">
        <f aca="false">IF(W2&gt;=Assumptions!$B$52,V65*Assumptions!$B$121/12*Assumptions!$B$122*W7,0)</f>
        <v>5.00084378390974</v>
      </c>
      <c r="X61" s="53" t="n">
        <f aca="false">IF(X2&gt;=Assumptions!$B$52,W65*Assumptions!$B$121/12*Assumptions!$B$122*X7,0)</f>
        <v>5.52925532629969</v>
      </c>
      <c r="Y61" s="53" t="n">
        <f aca="false">IF(Y2&gt;=Assumptions!$B$52,X65*Assumptions!$B$121/12*Assumptions!$B$122*Y7,0)</f>
        <v>6.31073896422393</v>
      </c>
      <c r="Z61" s="53" t="n">
        <f aca="false">IF(Z2&gt;=Assumptions!$B$52,Y65*Assumptions!$B$121/12*Assumptions!$B$122*Z7,0)</f>
        <v>6.98842902825687</v>
      </c>
      <c r="AA61" s="53" t="n">
        <f aca="false">IF(AA2&gt;=Assumptions!$B$52,Z65*Assumptions!$B$121/12*Assumptions!$B$122*AA7,0)</f>
        <v>90.3243789688655</v>
      </c>
      <c r="AB61" s="53" t="n">
        <f aca="false">IF(AB2&gt;=Assumptions!$B$52,AA65*Assumptions!$B$121/12*Assumptions!$B$122*AB7,0)</f>
        <v>198.121272064186</v>
      </c>
      <c r="AC61" s="53" t="n">
        <f aca="false">IF(AC2&gt;=Assumptions!$B$52,AB65*Assumptions!$B$121/12*Assumptions!$B$122*AC7,0)</f>
        <v>346.023072393929</v>
      </c>
      <c r="AD61" s="53" t="n">
        <f aca="false">IF(AD2&gt;=Assumptions!$B$52,AC65*Assumptions!$B$121/12*Assumptions!$B$122*AD7,0)</f>
        <v>537.206321946373</v>
      </c>
      <c r="AE61" s="53" t="n">
        <f aca="false">IF(AE2&gt;=Assumptions!$B$52,AD65*Assumptions!$B$121/12*Assumptions!$B$122*AE7,0)</f>
        <v>739.220339527717</v>
      </c>
    </row>
    <row r="62" customFormat="false" ht="15" hidden="false" customHeight="false" outlineLevel="0" collapsed="false">
      <c r="A62" s="6" t="s">
        <v>430</v>
      </c>
      <c r="B62" s="23" t="s">
        <v>185</v>
      </c>
      <c r="C62" s="53" t="n">
        <f aca="false">C60+C61+IF(C21=0,0,C20*Assumptions!$B$107/C21*IF(C2&gt;=Assumptions!$B$53,1,0))</f>
        <v>0</v>
      </c>
      <c r="D62" s="53" t="n">
        <f aca="false">D60+D61+IF(D21=0,0,D20*Assumptions!$B$107/D21*IF(D2&gt;=Assumptions!$B$53,1,0))</f>
        <v>0</v>
      </c>
      <c r="E62" s="53" t="n">
        <f aca="false">E60+E61+IF(E21=0,0,E20*Assumptions!$B$107/E21*IF(E2&gt;=Assumptions!$B$53,1,0))</f>
        <v>0</v>
      </c>
      <c r="F62" s="53" t="n">
        <f aca="false">F60+F61+IF(F21=0,0,F20*Assumptions!$B$107/F21*IF(F2&gt;=Assumptions!$B$53,1,0))</f>
        <v>0</v>
      </c>
      <c r="G62" s="53" t="n">
        <f aca="false">G60+G61+IF(G21=0,0,G20*Assumptions!$B$107/G21*IF(G2&gt;=Assumptions!$B$53,1,0))</f>
        <v>0</v>
      </c>
      <c r="H62" s="53" t="n">
        <f aca="false">H60+H61+IF(H21=0,0,H20*Assumptions!$B$107/H21*IF(H2&gt;=Assumptions!$B$53,1,0))</f>
        <v>0</v>
      </c>
      <c r="I62" s="53" t="n">
        <f aca="false">I60+I61+IF(I21=0,0,I20*Assumptions!$B$107/I21*IF(I2&gt;=Assumptions!$B$53,1,0))</f>
        <v>0</v>
      </c>
      <c r="J62" s="53" t="n">
        <f aca="false">J60+J61+IF(J21=0,0,J20*Assumptions!$B$107/J21*IF(J2&gt;=Assumptions!$B$53,1,0))</f>
        <v>0</v>
      </c>
      <c r="K62" s="53" t="n">
        <f aca="false">K60+K61+IF(K21=0,0,K20*Assumptions!$B$107/K21*IF(K2&gt;=Assumptions!$B$53,1,0))</f>
        <v>0</v>
      </c>
      <c r="L62" s="53" t="n">
        <f aca="false">L60+L61+IF(L21=0,0,L20*Assumptions!$B$107/L21*IF(L2&gt;=Assumptions!$B$53,1,0))</f>
        <v>0</v>
      </c>
      <c r="M62" s="53" t="n">
        <f aca="false">M60+M61+IF(M21=0,0,M20*Assumptions!$B$107/M21*IF(M2&gt;=Assumptions!$B$53,1,0))</f>
        <v>0</v>
      </c>
      <c r="N62" s="53" t="n">
        <f aca="false">N60+N61+IF(N21=0,0,N20*Assumptions!$B$107/N21*IF(N2&gt;=Assumptions!$B$53,1,0))</f>
        <v>0</v>
      </c>
      <c r="O62" s="53" t="n">
        <f aca="false">O60+O61+IF(O21=0,0,O20*Assumptions!$B$107/O21*IF(O2&gt;=Assumptions!$B$53,1,0))</f>
        <v>31.98</v>
      </c>
      <c r="P62" s="53" t="n">
        <f aca="false">P60+P61+IF(P21=0,0,P20*Assumptions!$B$107/P21*IF(P2&gt;=Assumptions!$B$53,1,0))</f>
        <v>32.7124948390939</v>
      </c>
      <c r="Q62" s="53" t="n">
        <f aca="false">Q60+Q61+IF(Q21=0,0,Q20*Assumptions!$B$107/Q21*IF(Q2&gt;=Assumptions!$B$53,1,0))</f>
        <v>33.3881169786913</v>
      </c>
      <c r="R62" s="53" t="n">
        <f aca="false">R60+R61+IF(R21=0,0,R20*Assumptions!$B$107/R21*IF(R2&gt;=Assumptions!$B$53,1,0))</f>
        <v>34.0144365059855</v>
      </c>
      <c r="S62" s="53" t="n">
        <f aca="false">S60+S61+IF(S21=0,0,S20*Assumptions!$B$107/S21*IF(S2&gt;=Assumptions!$B$53,1,0))</f>
        <v>34.7991634967701</v>
      </c>
      <c r="T62" s="53" t="n">
        <f aca="false">T60+T61+IF(T21=0,0,T20*Assumptions!$B$107/T21*IF(T2&gt;=Assumptions!$B$53,1,0))</f>
        <v>35.4783372002948</v>
      </c>
      <c r="U62" s="53" t="n">
        <f aca="false">U60+U61+IF(U21=0,0,U20*Assumptions!$B$107/U21*IF(U2&gt;=Assumptions!$B$53,1,0))</f>
        <v>36.0113534657214</v>
      </c>
      <c r="V62" s="53" t="n">
        <f aca="false">V60+V61+IF(V21=0,0,V20*Assumptions!$B$107/V21*IF(V2&gt;=Assumptions!$B$53,1,0))</f>
        <v>36.5038035025336</v>
      </c>
      <c r="W62" s="53" t="n">
        <f aca="false">W60+W61+IF(W21=0,0,W20*Assumptions!$B$107/W21*IF(W2&gt;=Assumptions!$B$53,1,0))</f>
        <v>36.9808437839097</v>
      </c>
      <c r="X62" s="53" t="n">
        <f aca="false">X60+X61+IF(X21=0,0,X20*Assumptions!$B$107/X21*IF(X2&gt;=Assumptions!$B$53,1,0))</f>
        <v>37.5092553262997</v>
      </c>
      <c r="Y62" s="53" t="n">
        <f aca="false">Y60+Y61+IF(Y21=0,0,Y20*Assumptions!$B$107/Y21*IF(Y2&gt;=Assumptions!$B$53,1,0))</f>
        <v>38.2907389642239</v>
      </c>
      <c r="Z62" s="53" t="n">
        <f aca="false">Z60+Z61+IF(Z21=0,0,Z20*Assumptions!$B$107/Z21*IF(Z2&gt;=Assumptions!$B$53,1,0))</f>
        <v>38.9684290282569</v>
      </c>
      <c r="AA62" s="53" t="n">
        <f aca="false">AA60+AA61+IF(AA21=0,0,AA20*Assumptions!$B$107/AA21*IF(AA2&gt;=Assumptions!$B$53,1,0))</f>
        <v>730.324378968866</v>
      </c>
      <c r="AB62" s="53" t="n">
        <f aca="false">AB60+AB61+IF(AB21=0,0,AB20*Assumptions!$B$107/AB21*IF(AB2&gt;=Assumptions!$B$53,1,0))</f>
        <v>1202.92127206419</v>
      </c>
      <c r="AC62" s="53" t="n">
        <f aca="false">AC60+AC61+IF(AC21=0,0,AC20*Assumptions!$B$107/AC21*IF(AC2&gt;=Assumptions!$B$53,1,0))</f>
        <v>1853.22307239393</v>
      </c>
      <c r="AD62" s="53" t="n">
        <f aca="false">AD60+AD61+IF(AD21=0,0,AD20*Assumptions!$B$107/AD21*IF(AD2&gt;=Assumptions!$B$53,1,0))</f>
        <v>2569.20632194637</v>
      </c>
      <c r="AE62" s="53" t="n">
        <f aca="false">AE60+AE61+IF(AE21=0,0,AE20*Assumptions!$B$107/AE21*IF(AE2&gt;=Assumptions!$B$53,1,0))</f>
        <v>3305.62033952772</v>
      </c>
    </row>
    <row r="63" customFormat="false" ht="15" hidden="false" customHeight="false" outlineLevel="0" collapsed="false">
      <c r="A63" s="6" t="s">
        <v>431</v>
      </c>
      <c r="B63" s="23" t="s">
        <v>426</v>
      </c>
      <c r="C63" s="50" t="n">
        <v>1</v>
      </c>
      <c r="D63" s="50" t="n">
        <f aca="false">MAX(0,1-C68/Assumptions!$B$82)</f>
        <v>1</v>
      </c>
      <c r="E63" s="50" t="n">
        <f aca="false">MAX(0,1-D68/Assumptions!$B$82)</f>
        <v>1</v>
      </c>
      <c r="F63" s="50" t="n">
        <f aca="false">MAX(0,1-E68/Assumptions!$B$82)</f>
        <v>1</v>
      </c>
      <c r="G63" s="50" t="n">
        <f aca="false">MAX(0,1-F68/Assumptions!$B$82)</f>
        <v>1</v>
      </c>
      <c r="H63" s="50" t="n">
        <f aca="false">MAX(0,1-G68/Assumptions!$B$82)</f>
        <v>1</v>
      </c>
      <c r="I63" s="50" t="n">
        <f aca="false">MAX(0,1-H68/Assumptions!$B$82)</f>
        <v>1</v>
      </c>
      <c r="J63" s="50" t="n">
        <f aca="false">MAX(0,1-I68/Assumptions!$B$82)</f>
        <v>1</v>
      </c>
      <c r="K63" s="50" t="n">
        <f aca="false">MAX(0,1-J68/Assumptions!$B$82)</f>
        <v>1</v>
      </c>
      <c r="L63" s="50" t="n">
        <f aca="false">MAX(0,1-K68/Assumptions!$B$82)</f>
        <v>1</v>
      </c>
      <c r="M63" s="50" t="n">
        <f aca="false">MAX(0,1-L68/Assumptions!$B$82)</f>
        <v>1</v>
      </c>
      <c r="N63" s="50" t="n">
        <f aca="false">MAX(0,1-M68/Assumptions!$B$82)</f>
        <v>1</v>
      </c>
      <c r="O63" s="50" t="n">
        <f aca="false">MAX(0,1-N68/Assumptions!$B$82)</f>
        <v>1</v>
      </c>
      <c r="P63" s="50" t="n">
        <f aca="false">MAX(0,1-O68/Assumptions!$B$82)</f>
        <v>0.998653367020212</v>
      </c>
      <c r="Q63" s="50" t="n">
        <f aca="false">MAX(0,1-P68/Assumptions!$B$82)</f>
        <v>0.997345844782282</v>
      </c>
      <c r="R63" s="50" t="n">
        <f aca="false">MAX(0,1-Q68/Assumptions!$B$82)</f>
        <v>0.99606859761085</v>
      </c>
      <c r="S63" s="50" t="n">
        <f aca="false">MAX(0,1-R68/Assumptions!$B$82)</f>
        <v>0.994444172168943</v>
      </c>
      <c r="T63" s="50" t="n">
        <f aca="false">MAX(0,1-S68/Assumptions!$B$82)</f>
        <v>0.992943686112762</v>
      </c>
      <c r="U63" s="50" t="n">
        <f aca="false">MAX(0,1-T68/Assumptions!$B$82)</f>
        <v>0.99165121763139</v>
      </c>
      <c r="V63" s="50" t="n">
        <f aca="false">MAX(0,1-U68/Assumptions!$B$82)</f>
        <v>0.990385704276047</v>
      </c>
      <c r="W63" s="50" t="n">
        <f aca="false">MAX(0,1-V68/Assumptions!$B$82)</f>
        <v>0.989104522301465</v>
      </c>
      <c r="X63" s="50" t="n">
        <f aca="false">MAX(0,1-W68/Assumptions!$B$82)</f>
        <v>0.987686276961035</v>
      </c>
      <c r="Y63" s="50" t="n">
        <f aca="false">MAX(0,1-X68/Assumptions!$B$82)</f>
        <v>0.985755567663331</v>
      </c>
      <c r="Z63" s="50" t="n">
        <f aca="false">MAX(0,1-Y68/Assumptions!$B$82)</f>
        <v>0.983945852438675</v>
      </c>
      <c r="AA63" s="50" t="n">
        <f aca="false">MAX(0,1-Z68/Assumptions!$B$82)</f>
        <v>0.982331289852807</v>
      </c>
      <c r="AB63" s="50" t="n">
        <f aca="false">MAX(0,1-AA68/Assumptions!$B$82)</f>
        <v>0.952420823189332</v>
      </c>
      <c r="AC63" s="50" t="n">
        <f aca="false">MAX(0,1-AB68/Assumptions!$B$82)</f>
        <v>0.904655194304863</v>
      </c>
      <c r="AD63" s="50" t="n">
        <f aca="false">MAX(0,1-AC68/Assumptions!$B$82)</f>
        <v>0.834757927667931</v>
      </c>
      <c r="AE63" s="50" t="n">
        <f aca="false">MAX(0,1-AD68/Assumptions!$B$82)</f>
        <v>0.745343222800873</v>
      </c>
    </row>
    <row r="64" customFormat="false" ht="15" hidden="false" customHeight="false" outlineLevel="0" collapsed="false">
      <c r="A64" s="6" t="s">
        <v>432</v>
      </c>
      <c r="B64" s="23" t="s">
        <v>185</v>
      </c>
      <c r="C64" s="53" t="n">
        <f aca="false">C62*C63*C15</f>
        <v>0</v>
      </c>
      <c r="D64" s="53" t="n">
        <f aca="false">D62*D63*D15</f>
        <v>0</v>
      </c>
      <c r="E64" s="53" t="n">
        <f aca="false">E62*E63*E15</f>
        <v>0</v>
      </c>
      <c r="F64" s="53" t="n">
        <f aca="false">F62*F63*F15</f>
        <v>0</v>
      </c>
      <c r="G64" s="53" t="n">
        <f aca="false">G62*G63*G15</f>
        <v>0</v>
      </c>
      <c r="H64" s="53" t="n">
        <f aca="false">H62*H63*H15</f>
        <v>0</v>
      </c>
      <c r="I64" s="53" t="n">
        <f aca="false">I62*I63*I15</f>
        <v>0</v>
      </c>
      <c r="J64" s="53" t="n">
        <f aca="false">J62*J63*J15</f>
        <v>0</v>
      </c>
      <c r="K64" s="53" t="n">
        <f aca="false">K62*K63*K15</f>
        <v>0</v>
      </c>
      <c r="L64" s="53" t="n">
        <f aca="false">L62*L63*L15</f>
        <v>0</v>
      </c>
      <c r="M64" s="53" t="n">
        <f aca="false">M62*M63*M15</f>
        <v>0</v>
      </c>
      <c r="N64" s="53" t="n">
        <f aca="false">N62*N63*N15</f>
        <v>0</v>
      </c>
      <c r="O64" s="53" t="n">
        <f aca="false">O62*O63*O15</f>
        <v>32.2998</v>
      </c>
      <c r="P64" s="53" t="n">
        <f aca="false">P62*P63*P15</f>
        <v>31.3617053901048</v>
      </c>
      <c r="Q64" s="53" t="n">
        <f aca="false">Q62*Q63*Q15</f>
        <v>30.6355397550983</v>
      </c>
      <c r="R64" s="53" t="n">
        <f aca="false">R62*R63*R15</f>
        <v>38.9628188793964</v>
      </c>
      <c r="S64" s="53" t="n">
        <f aca="false">S62*S63*S15</f>
        <v>35.9900583491459</v>
      </c>
      <c r="T64" s="53" t="n">
        <f aca="false">T62*T63*T15</f>
        <v>31.0006320067947</v>
      </c>
      <c r="U64" s="53" t="n">
        <f aca="false">U62*U63*U15</f>
        <v>30.3540971359114</v>
      </c>
      <c r="V64" s="53" t="n">
        <f aca="false">V62*V63*V15</f>
        <v>30.7299183695195</v>
      </c>
      <c r="W64" s="53" t="n">
        <f aca="false">W62*W63*W15</f>
        <v>34.0174654374259</v>
      </c>
      <c r="X64" s="53" t="n">
        <f aca="false">X62*X63*X15</f>
        <v>46.3092209310173</v>
      </c>
      <c r="Y64" s="53" t="n">
        <f aca="false">Y62*Y63*Y15</f>
        <v>43.407105492516</v>
      </c>
      <c r="Z64" s="53" t="n">
        <f aca="false">Z62*Z63*Z15</f>
        <v>38.7262523595882</v>
      </c>
      <c r="AA64" s="53" t="n">
        <f aca="false">AA62*AA63*AA15</f>
        <v>717.420489203436</v>
      </c>
      <c r="AB64" s="53" t="n">
        <f aca="false">AB62*AB63*AB15</f>
        <v>1145.68726817133</v>
      </c>
      <c r="AC64" s="53" t="n">
        <f aca="false">AC62*AC63*AC15</f>
        <v>1676.52787864678</v>
      </c>
      <c r="AD64" s="53" t="n">
        <f aca="false">AD62*AD63*AD15</f>
        <v>2144.6653450593</v>
      </c>
      <c r="AE64" s="53" t="n">
        <f aca="false">AE62*AE63*AE15</f>
        <v>2463.82171721971</v>
      </c>
    </row>
    <row r="65" customFormat="false" ht="15" hidden="false" customHeight="false" outlineLevel="0" collapsed="false">
      <c r="A65" s="6" t="s">
        <v>433</v>
      </c>
      <c r="B65" s="23" t="s">
        <v>185</v>
      </c>
      <c r="C65" s="28" t="n">
        <f aca="false">C64*(1-Assumptions!$B$113)^(C7/2)</f>
        <v>0</v>
      </c>
      <c r="D65" s="28" t="n">
        <f aca="false">C65*(1-Assumptions!$B$113)^D7+D64*(1-Assumptions!$B$113)^(D7/2)</f>
        <v>0</v>
      </c>
      <c r="E65" s="28" t="n">
        <f aca="false">D65*(1-Assumptions!$B$113)^E7+E64*(1-Assumptions!$B$113)^(E7/2)</f>
        <v>0</v>
      </c>
      <c r="F65" s="28" t="n">
        <f aca="false">E65*(1-Assumptions!$B$113)^F7+F64*(1-Assumptions!$B$113)^(F7/2)</f>
        <v>0</v>
      </c>
      <c r="G65" s="28" t="n">
        <f aca="false">F65*(1-Assumptions!$B$113)^G7+G64*(1-Assumptions!$B$113)^(G7/2)</f>
        <v>0</v>
      </c>
      <c r="H65" s="28" t="n">
        <f aca="false">G65*(1-Assumptions!$B$113)^H7+H64*(1-Assumptions!$B$113)^(H7/2)</f>
        <v>0</v>
      </c>
      <c r="I65" s="28" t="n">
        <f aca="false">H65*(1-Assumptions!$B$113)^I7+I64*(1-Assumptions!$B$113)^(I7/2)</f>
        <v>0</v>
      </c>
      <c r="J65" s="28" t="n">
        <f aca="false">I65*(1-Assumptions!$B$113)^J7+J64*(1-Assumptions!$B$113)^(J7/2)</f>
        <v>0</v>
      </c>
      <c r="K65" s="28" t="n">
        <f aca="false">J65*(1-Assumptions!$B$113)^K7+K64*(1-Assumptions!$B$113)^(K7/2)</f>
        <v>0</v>
      </c>
      <c r="L65" s="28" t="n">
        <f aca="false">K65*(1-Assumptions!$B$113)^L7+L64*(1-Assumptions!$B$113)^(L7/2)</f>
        <v>0</v>
      </c>
      <c r="M65" s="28" t="n">
        <f aca="false">L65*(1-Assumptions!$B$113)^M7+M64*(1-Assumptions!$B$113)^(M7/2)</f>
        <v>0</v>
      </c>
      <c r="N65" s="28" t="n">
        <f aca="false">M65*(1-Assumptions!$B$113)^N7+N64*(1-Assumptions!$B$113)^(N7/2)</f>
        <v>0</v>
      </c>
      <c r="O65" s="28" t="n">
        <f aca="false">N65*(1-Assumptions!$B$113)^O7+O64*(1-Assumptions!$B$113)^(O7/2)</f>
        <v>31.5051543696318</v>
      </c>
      <c r="P65" s="28" t="n">
        <f aca="false">O65*(1-Assumptions!$B$113)^P7+P64*(1-Assumptions!$B$113)^(P7/2)</f>
        <v>60.5641711265059</v>
      </c>
      <c r="Q65" s="28" t="n">
        <f aca="false">P65*(1-Assumptions!$B$113)^Q7+Q64*(1-Assumptions!$B$113)^(Q7/2)</f>
        <v>87.5026454187325</v>
      </c>
      <c r="R65" s="28" t="n">
        <f aca="false">Q65*(1-Assumptions!$B$113)^R7+R64*(1-Assumptions!$B$113)^(R7/2)</f>
        <v>121.2543439471</v>
      </c>
      <c r="S65" s="28" t="n">
        <f aca="false">R65*(1-Assumptions!$B$113)^S7+S64*(1-Assumptions!$B$113)^(S7/2)</f>
        <v>150.46611614171</v>
      </c>
      <c r="T65" s="28" t="n">
        <f aca="false">S65*(1-Assumptions!$B$113)^T7+T64*(1-Assumptions!$B$113)^(T7/2)</f>
        <v>173.391546912747</v>
      </c>
      <c r="U65" s="28" t="n">
        <f aca="false">T65*(1-Assumptions!$B$113)^U7+U64*(1-Assumptions!$B$113)^(U7/2)</f>
        <v>194.572193657358</v>
      </c>
      <c r="V65" s="28" t="n">
        <f aca="false">U65*(1-Assumptions!$B$113)^V7+V64*(1-Assumptions!$B$113)^(V7/2)</f>
        <v>215.090055221924</v>
      </c>
      <c r="W65" s="28" t="n">
        <f aca="false">V65*(1-Assumptions!$B$113)^W7+W64*(1-Assumptions!$B$113)^(W7/2)</f>
        <v>237.817433389234</v>
      </c>
      <c r="X65" s="28" t="n">
        <f aca="false">W65*(1-Assumptions!$B$113)^X7+X64*(1-Assumptions!$B$113)^(X7/2)</f>
        <v>271.429632869846</v>
      </c>
      <c r="Y65" s="28" t="n">
        <f aca="false">X65*(1-Assumptions!$B$113)^Y7+Y64*(1-Assumptions!$B$113)^(Y7/2)</f>
        <v>300.577592613199</v>
      </c>
      <c r="Z65" s="28" t="n">
        <f aca="false">Y65*(1-Assumptions!$B$113)^Z7+Z64*(1-Assumptions!$B$113)^(Z7/2)</f>
        <v>323.743293795217</v>
      </c>
      <c r="AA65" s="28" t="n">
        <f aca="false">Z65*(1-Assumptions!$B$113)^AA7+AA64*(1-Assumptions!$B$113)^(AA7/2)</f>
        <v>710.112086251564</v>
      </c>
      <c r="AB65" s="28" t="n">
        <f aca="false">AA65*(1-Assumptions!$B$113)^AB7+AB64*(1-Assumptions!$B$113)^(AB7/2)</f>
        <v>1240.22606592806</v>
      </c>
      <c r="AC65" s="28" t="n">
        <f aca="false">AB65*(1-Assumptions!$B$113)^AC7+AC64*(1-Assumptions!$B$113)^(AC7/2)</f>
        <v>1925.47068797983</v>
      </c>
      <c r="AD65" s="28" t="n">
        <f aca="false">AC65*(1-Assumptions!$B$113)^AD7+AD64*(1-Assumptions!$B$113)^(AD7/2)</f>
        <v>2649.53526712444</v>
      </c>
      <c r="AE65" s="28" t="n">
        <f aca="false">AD65*(1-Assumptions!$B$113)^AE7+AE64*(1-Assumptions!$B$113)^(AE7/2)</f>
        <v>3284.46348609026</v>
      </c>
    </row>
    <row r="66" customFormat="false" ht="15" hidden="false" customHeight="false" outlineLevel="0" collapsed="false">
      <c r="A66" s="6" t="s">
        <v>434</v>
      </c>
      <c r="B66" s="23" t="s">
        <v>185</v>
      </c>
      <c r="C66" s="53" t="n">
        <f aca="false">C64-C65</f>
        <v>0</v>
      </c>
      <c r="D66" s="53" t="n">
        <f aca="false">C65+D64-D65</f>
        <v>0</v>
      </c>
      <c r="E66" s="53" t="n">
        <f aca="false">D65+E64-E65</f>
        <v>0</v>
      </c>
      <c r="F66" s="53" t="n">
        <f aca="false">E65+F64-F65</f>
        <v>0</v>
      </c>
      <c r="G66" s="53" t="n">
        <f aca="false">F65+G64-G65</f>
        <v>0</v>
      </c>
      <c r="H66" s="53" t="n">
        <f aca="false">G65+H64-H65</f>
        <v>0</v>
      </c>
      <c r="I66" s="53" t="n">
        <f aca="false">H65+I64-I65</f>
        <v>0</v>
      </c>
      <c r="J66" s="53" t="n">
        <f aca="false">I65+J64-J65</f>
        <v>0</v>
      </c>
      <c r="K66" s="53" t="n">
        <f aca="false">J65+K64-K65</f>
        <v>0</v>
      </c>
      <c r="L66" s="53" t="n">
        <f aca="false">K65+L64-L65</f>
        <v>0</v>
      </c>
      <c r="M66" s="53" t="n">
        <f aca="false">L65+M64-M65</f>
        <v>0</v>
      </c>
      <c r="N66" s="53" t="n">
        <f aca="false">M65+N64-N65</f>
        <v>0</v>
      </c>
      <c r="O66" s="53" t="n">
        <f aca="false">N65+O64-O65</f>
        <v>0.794645630368233</v>
      </c>
      <c r="P66" s="53" t="n">
        <f aca="false">O65+P64-P65</f>
        <v>2.30268863323069</v>
      </c>
      <c r="Q66" s="53" t="n">
        <f aca="false">P65+Q64-Q65</f>
        <v>3.69706546287162</v>
      </c>
      <c r="R66" s="53" t="n">
        <f aca="false">Q65+R64-R65</f>
        <v>5.21112035102853</v>
      </c>
      <c r="S66" s="53" t="n">
        <f aca="false">R65+S64-S65</f>
        <v>6.77828615453612</v>
      </c>
      <c r="T66" s="53" t="n">
        <f aca="false">S65+T64-T65</f>
        <v>8.07520123575827</v>
      </c>
      <c r="U66" s="53" t="n">
        <f aca="false">T65+U64-U65</f>
        <v>9.17345039130032</v>
      </c>
      <c r="V66" s="53" t="n">
        <f aca="false">U65+V64-V65</f>
        <v>10.2120568049529</v>
      </c>
      <c r="W66" s="53" t="n">
        <f aca="false">V65+W64-W65</f>
        <v>11.2900872701164</v>
      </c>
      <c r="X66" s="53" t="n">
        <f aca="false">W65+X64-X65</f>
        <v>12.6970214504049</v>
      </c>
      <c r="Y66" s="53" t="n">
        <f aca="false">X65+Y64-Y65</f>
        <v>14.2591457491635</v>
      </c>
      <c r="Z66" s="53" t="n">
        <f aca="false">Y65+Z64-Z65</f>
        <v>15.5605511775702</v>
      </c>
      <c r="AA66" s="53" t="n">
        <f aca="false">Z65+AA64-AA65</f>
        <v>331.051696747088</v>
      </c>
      <c r="AB66" s="53" t="n">
        <f aca="false">AA65+AB64-AB65</f>
        <v>615.573288494836</v>
      </c>
      <c r="AC66" s="53" t="n">
        <f aca="false">AB65+AC64-AC65</f>
        <v>991.283256595013</v>
      </c>
      <c r="AD66" s="53" t="n">
        <f aca="false">AC65+AD64-AD65</f>
        <v>1420.6007659147</v>
      </c>
      <c r="AE66" s="53" t="n">
        <f aca="false">AD65+AE64-AE65</f>
        <v>1828.89349825388</v>
      </c>
    </row>
    <row r="67" customFormat="false" ht="15" hidden="false" customHeight="false" outlineLevel="0" collapsed="false">
      <c r="A67" s="6" t="s">
        <v>435</v>
      </c>
      <c r="B67" s="23" t="s">
        <v>185</v>
      </c>
      <c r="C67" s="44" t="n">
        <f aca="false">C66</f>
        <v>0</v>
      </c>
      <c r="D67" s="44" t="n">
        <f aca="false">C67+D66</f>
        <v>0</v>
      </c>
      <c r="E67" s="44" t="n">
        <f aca="false">D67+E66</f>
        <v>0</v>
      </c>
      <c r="F67" s="44" t="n">
        <f aca="false">E67+F66</f>
        <v>0</v>
      </c>
      <c r="G67" s="44" t="n">
        <f aca="false">F67+G66</f>
        <v>0</v>
      </c>
      <c r="H67" s="44" t="n">
        <f aca="false">G67+H66</f>
        <v>0</v>
      </c>
      <c r="I67" s="44" t="n">
        <f aca="false">H67+I66</f>
        <v>0</v>
      </c>
      <c r="J67" s="44" t="n">
        <f aca="false">I67+J66</f>
        <v>0</v>
      </c>
      <c r="K67" s="44" t="n">
        <f aca="false">J67+K66</f>
        <v>0</v>
      </c>
      <c r="L67" s="44" t="n">
        <f aca="false">K67+L66</f>
        <v>0</v>
      </c>
      <c r="M67" s="44" t="n">
        <f aca="false">L67+M66</f>
        <v>0</v>
      </c>
      <c r="N67" s="44" t="n">
        <f aca="false">M67+N66</f>
        <v>0</v>
      </c>
      <c r="O67" s="44" t="n">
        <f aca="false">N67+O66</f>
        <v>0.794645630368233</v>
      </c>
      <c r="P67" s="44" t="n">
        <f aca="false">O67+P66</f>
        <v>3.09733426359893</v>
      </c>
      <c r="Q67" s="44" t="n">
        <f aca="false">P67+Q66</f>
        <v>6.79439972647055</v>
      </c>
      <c r="R67" s="44" t="n">
        <f aca="false">Q67+R66</f>
        <v>12.0055200774991</v>
      </c>
      <c r="S67" s="44" t="n">
        <f aca="false">R67+S66</f>
        <v>18.7838062320352</v>
      </c>
      <c r="T67" s="44" t="n">
        <f aca="false">S67+T66</f>
        <v>26.8590074677935</v>
      </c>
      <c r="U67" s="44" t="n">
        <f aca="false">T67+U66</f>
        <v>36.0324578590938</v>
      </c>
      <c r="V67" s="44" t="n">
        <f aca="false">U67+V66</f>
        <v>46.2445146640466</v>
      </c>
      <c r="W67" s="44" t="n">
        <f aca="false">V67+W66</f>
        <v>57.5346019341631</v>
      </c>
      <c r="X67" s="44" t="n">
        <f aca="false">W67+X66</f>
        <v>70.2316233845679</v>
      </c>
      <c r="Y67" s="44" t="n">
        <f aca="false">X67+Y66</f>
        <v>84.4907691337314</v>
      </c>
      <c r="Z67" s="44" t="n">
        <f aca="false">Y67+Z66</f>
        <v>100.051320311302</v>
      </c>
      <c r="AA67" s="44" t="n">
        <f aca="false">Z67+AA66</f>
        <v>431.10301705839</v>
      </c>
      <c r="AB67" s="44" t="n">
        <f aca="false">AA67+AB66</f>
        <v>1046.67630555323</v>
      </c>
      <c r="AC67" s="44" t="n">
        <f aca="false">AB67+AC66</f>
        <v>2037.95956214824</v>
      </c>
      <c r="AD67" s="44" t="n">
        <f aca="false">AC67+AD66</f>
        <v>3458.56032806294</v>
      </c>
      <c r="AE67" s="44" t="n">
        <f aca="false">AD67+AE66</f>
        <v>5287.45382631682</v>
      </c>
    </row>
    <row r="68" customFormat="false" ht="15" hidden="false" customHeight="false" outlineLevel="0" collapsed="false">
      <c r="A68" s="6" t="s">
        <v>436</v>
      </c>
      <c r="B68" s="23" t="s">
        <v>185</v>
      </c>
      <c r="C68" s="44" t="n">
        <f aca="false">C64</f>
        <v>0</v>
      </c>
      <c r="D68" s="44" t="n">
        <f aca="false">C68+D64</f>
        <v>0</v>
      </c>
      <c r="E68" s="44" t="n">
        <f aca="false">D68+E64</f>
        <v>0</v>
      </c>
      <c r="F68" s="44" t="n">
        <f aca="false">E68+F64</f>
        <v>0</v>
      </c>
      <c r="G68" s="44" t="n">
        <f aca="false">F68+G64</f>
        <v>0</v>
      </c>
      <c r="H68" s="44" t="n">
        <f aca="false">G68+H64</f>
        <v>0</v>
      </c>
      <c r="I68" s="44" t="n">
        <f aca="false">H68+I64</f>
        <v>0</v>
      </c>
      <c r="J68" s="44" t="n">
        <f aca="false">I68+J64</f>
        <v>0</v>
      </c>
      <c r="K68" s="44" t="n">
        <f aca="false">J68+K64</f>
        <v>0</v>
      </c>
      <c r="L68" s="44" t="n">
        <f aca="false">K68+L64</f>
        <v>0</v>
      </c>
      <c r="M68" s="44" t="n">
        <f aca="false">L68+M64</f>
        <v>0</v>
      </c>
      <c r="N68" s="44" t="n">
        <f aca="false">M68+N64</f>
        <v>0</v>
      </c>
      <c r="O68" s="44" t="n">
        <f aca="false">N68+O64</f>
        <v>32.2998</v>
      </c>
      <c r="P68" s="44" t="n">
        <f aca="false">O68+P64</f>
        <v>63.6615053901048</v>
      </c>
      <c r="Q68" s="44" t="n">
        <f aca="false">P68+Q64</f>
        <v>94.2970451452031</v>
      </c>
      <c r="R68" s="44" t="n">
        <f aca="false">Q68+R64</f>
        <v>133.259864024599</v>
      </c>
      <c r="S68" s="44" t="n">
        <f aca="false">R68+S64</f>
        <v>169.249922373745</v>
      </c>
      <c r="T68" s="44" t="n">
        <f aca="false">S68+T64</f>
        <v>200.25055438054</v>
      </c>
      <c r="U68" s="44" t="n">
        <f aca="false">T68+U64</f>
        <v>230.604651516452</v>
      </c>
      <c r="V68" s="44" t="n">
        <f aca="false">U68+V64</f>
        <v>261.334569885971</v>
      </c>
      <c r="W68" s="44" t="n">
        <f aca="false">V68+W64</f>
        <v>295.352035323397</v>
      </c>
      <c r="X68" s="44" t="n">
        <f aca="false">W68+X64</f>
        <v>341.661256254414</v>
      </c>
      <c r="Y68" s="44" t="n">
        <f aca="false">X68+Y64</f>
        <v>385.06836174693</v>
      </c>
      <c r="Z68" s="44" t="n">
        <f aca="false">Y68+Z64</f>
        <v>423.794614106518</v>
      </c>
      <c r="AA68" s="44" t="n">
        <f aca="false">Z68+AA64</f>
        <v>1141.21510330995</v>
      </c>
      <c r="AB68" s="44" t="n">
        <f aca="false">AA68+AB64</f>
        <v>2286.90237148129</v>
      </c>
      <c r="AC68" s="44" t="n">
        <f aca="false">AB68+AC64</f>
        <v>3963.43025012807</v>
      </c>
      <c r="AD68" s="44" t="n">
        <f aca="false">AC68+AD64</f>
        <v>6108.09559518737</v>
      </c>
      <c r="AE68" s="44" t="n">
        <f aca="false">AD68+AE64</f>
        <v>8571.91731240708</v>
      </c>
    </row>
    <row r="69" customFormat="false" ht="15" hidden="false" customHeight="false" outlineLevel="0" collapsed="false">
      <c r="A69" s="6" t="s">
        <v>437</v>
      </c>
      <c r="B69" s="23" t="s">
        <v>109</v>
      </c>
      <c r="C69" s="54" t="n">
        <f aca="false">IF(C2&gt;=Assumptions!$B$44,C65*Assumptions!$B$162*C7,0)</f>
        <v>0</v>
      </c>
      <c r="D69" s="54" t="n">
        <f aca="false">IF(D2&gt;=Assumptions!$B$44,D65*Assumptions!$B$162*D7,0)</f>
        <v>0</v>
      </c>
      <c r="E69" s="54" t="n">
        <f aca="false">IF(E2&gt;=Assumptions!$B$44,E65*Assumptions!$B$162*E7,0)</f>
        <v>0</v>
      </c>
      <c r="F69" s="54" t="n">
        <f aca="false">IF(F2&gt;=Assumptions!$B$44,F65*Assumptions!$B$162*F7,0)</f>
        <v>0</v>
      </c>
      <c r="G69" s="54" t="n">
        <f aca="false">IF(G2&gt;=Assumptions!$B$44,G65*Assumptions!$B$162*G7,0)</f>
        <v>0</v>
      </c>
      <c r="H69" s="54" t="n">
        <f aca="false">IF(H2&gt;=Assumptions!$B$44,H65*Assumptions!$B$162*H7,0)</f>
        <v>0</v>
      </c>
      <c r="I69" s="54" t="n">
        <f aca="false">IF(I2&gt;=Assumptions!$B$44,I65*Assumptions!$B$162*I7,0)</f>
        <v>0</v>
      </c>
      <c r="J69" s="54" t="n">
        <f aca="false">IF(J2&gt;=Assumptions!$B$44,J65*Assumptions!$B$162*J7,0)</f>
        <v>0</v>
      </c>
      <c r="K69" s="54" t="n">
        <f aca="false">IF(K2&gt;=Assumptions!$B$44,K65*Assumptions!$B$162*K7,0)</f>
        <v>0</v>
      </c>
      <c r="L69" s="54" t="n">
        <f aca="false">IF(L2&gt;=Assumptions!$B$44,L65*Assumptions!$B$162*L7,0)</f>
        <v>0</v>
      </c>
      <c r="M69" s="54" t="n">
        <f aca="false">IF(M2&gt;=Assumptions!$B$44,M65*Assumptions!$B$162*M7,0)</f>
        <v>0</v>
      </c>
      <c r="N69" s="54" t="n">
        <f aca="false">IF(N2&gt;=Assumptions!$B$44,N65*Assumptions!$B$162*N7,0)</f>
        <v>0</v>
      </c>
      <c r="O69" s="54" t="n">
        <f aca="false">IF(O2&gt;=Assumptions!$B$44,O65*Assumptions!$B$162*O7,0)</f>
        <v>819.134013610426</v>
      </c>
      <c r="P69" s="54" t="n">
        <f aca="false">IF(P2&gt;=Assumptions!$B$44,P65*Assumptions!$B$162*P7,0)</f>
        <v>1574.66844928915</v>
      </c>
      <c r="Q69" s="54" t="n">
        <f aca="false">IF(Q2&gt;=Assumptions!$B$44,Q65*Assumptions!$B$162*Q7,0)</f>
        <v>2275.06878088705</v>
      </c>
      <c r="R69" s="54" t="n">
        <f aca="false">IF(R2&gt;=Assumptions!$B$44,R65*Assumptions!$B$162*R7,0)</f>
        <v>3152.61294262461</v>
      </c>
      <c r="S69" s="54" t="n">
        <f aca="false">IF(S2&gt;=Assumptions!$B$44,S65*Assumptions!$B$162*S7,0)</f>
        <v>3912.11901968446</v>
      </c>
      <c r="T69" s="54" t="n">
        <f aca="false">IF(T2&gt;=Assumptions!$B$44,T65*Assumptions!$B$162*T7,0)</f>
        <v>4508.18021973141</v>
      </c>
      <c r="U69" s="54" t="n">
        <f aca="false">IF(U2&gt;=Assumptions!$B$44,U65*Assumptions!$B$162*U7,0)</f>
        <v>5058.8770350913</v>
      </c>
      <c r="V69" s="54" t="n">
        <f aca="false">IF(V2&gt;=Assumptions!$B$44,V65*Assumptions!$B$162*V7,0)</f>
        <v>5592.34143577003</v>
      </c>
      <c r="W69" s="54" t="n">
        <f aca="false">IF(W2&gt;=Assumptions!$B$44,W65*Assumptions!$B$162*W7,0)</f>
        <v>6183.25326812008</v>
      </c>
      <c r="X69" s="54" t="n">
        <f aca="false">IF(X2&gt;=Assumptions!$B$44,X65*Assumptions!$B$162*X7,0)</f>
        <v>7057.170454616</v>
      </c>
      <c r="Y69" s="54" t="n">
        <f aca="false">IF(Y2&gt;=Assumptions!$B$44,Y65*Assumptions!$B$162*Y7,0)</f>
        <v>7815.01740794317</v>
      </c>
      <c r="Z69" s="54" t="n">
        <f aca="false">IF(Z2&gt;=Assumptions!$B$44,Z65*Assumptions!$B$162*Z7,0)</f>
        <v>8417.32563867564</v>
      </c>
      <c r="AA69" s="54" t="n">
        <f aca="false">IF(AA2&gt;=Assumptions!$B$44,AA65*Assumptions!$B$162*AA7,0)</f>
        <v>221554.970910488</v>
      </c>
      <c r="AB69" s="54" t="n">
        <f aca="false">IF(AB2&gt;=Assumptions!$B$44,AB65*Assumptions!$B$162*AB7,0)</f>
        <v>386950.532569554</v>
      </c>
      <c r="AC69" s="54" t="n">
        <f aca="false">IF(AC2&gt;=Assumptions!$B$44,AC65*Assumptions!$B$162*AC7,0)</f>
        <v>600746.854649707</v>
      </c>
      <c r="AD69" s="54" t="n">
        <f aca="false">IF(AD2&gt;=Assumptions!$B$44,AD65*Assumptions!$B$162*AD7,0)</f>
        <v>826655.003342824</v>
      </c>
      <c r="AE69" s="54" t="n">
        <f aca="false">IF(AE2&gt;=Assumptions!$B$44,AE65*Assumptions!$B$162*AE7,0)</f>
        <v>1024752.60766016</v>
      </c>
    </row>
    <row r="70" customFormat="false" ht="15" hidden="false" customHeight="false" outlineLevel="0" collapsed="false">
      <c r="A70" s="6" t="s">
        <v>438</v>
      </c>
      <c r="B70" s="23" t="s">
        <v>109</v>
      </c>
      <c r="C70" s="54" t="n">
        <f aca="false">IF(C2&gt;=Assumptions!$B$45,C65*Assumptions!$B$33*Assumptions!$B$130*Assumptions!$B$132*Assumptions!$B$131/12*C7,0)</f>
        <v>0</v>
      </c>
      <c r="D70" s="54" t="n">
        <f aca="false">IF(D2&gt;=Assumptions!$B$45,D65*Assumptions!$B$33*Assumptions!$B$130*Assumptions!$B$132*Assumptions!$B$131/12*D7,0)</f>
        <v>0</v>
      </c>
      <c r="E70" s="54" t="n">
        <f aca="false">IF(E2&gt;=Assumptions!$B$45,E65*Assumptions!$B$33*Assumptions!$B$130*Assumptions!$B$132*Assumptions!$B$131/12*E7,0)</f>
        <v>0</v>
      </c>
      <c r="F70" s="54" t="n">
        <f aca="false">IF(F2&gt;=Assumptions!$B$45,F65*Assumptions!$B$33*Assumptions!$B$130*Assumptions!$B$132*Assumptions!$B$131/12*F7,0)</f>
        <v>0</v>
      </c>
      <c r="G70" s="54" t="n">
        <f aca="false">IF(G2&gt;=Assumptions!$B$45,G65*Assumptions!$B$33*Assumptions!$B$130*Assumptions!$B$132*Assumptions!$B$131/12*G7,0)</f>
        <v>0</v>
      </c>
      <c r="H70" s="54" t="n">
        <f aca="false">IF(H2&gt;=Assumptions!$B$45,H65*Assumptions!$B$33*Assumptions!$B$130*Assumptions!$B$132*Assumptions!$B$131/12*H7,0)</f>
        <v>0</v>
      </c>
      <c r="I70" s="54" t="n">
        <f aca="false">IF(I2&gt;=Assumptions!$B$45,I65*Assumptions!$B$33*Assumptions!$B$130*Assumptions!$B$132*Assumptions!$B$131/12*I7,0)</f>
        <v>0</v>
      </c>
      <c r="J70" s="54" t="n">
        <f aca="false">IF(J2&gt;=Assumptions!$B$45,J65*Assumptions!$B$33*Assumptions!$B$130*Assumptions!$B$132*Assumptions!$B$131/12*J7,0)</f>
        <v>0</v>
      </c>
      <c r="K70" s="54" t="n">
        <f aca="false">IF(K2&gt;=Assumptions!$B$45,K65*Assumptions!$B$33*Assumptions!$B$130*Assumptions!$B$132*Assumptions!$B$131/12*K7,0)</f>
        <v>0</v>
      </c>
      <c r="L70" s="54" t="n">
        <f aca="false">IF(L2&gt;=Assumptions!$B$45,L65*Assumptions!$B$33*Assumptions!$B$130*Assumptions!$B$132*Assumptions!$B$131/12*L7,0)</f>
        <v>0</v>
      </c>
      <c r="M70" s="54" t="n">
        <f aca="false">IF(M2&gt;=Assumptions!$B$45,M65*Assumptions!$B$33*Assumptions!$B$130*Assumptions!$B$132*Assumptions!$B$131/12*M7,0)</f>
        <v>0</v>
      </c>
      <c r="N70" s="54" t="n">
        <f aca="false">IF(N2&gt;=Assumptions!$B$45,N65*Assumptions!$B$33*Assumptions!$B$130*Assumptions!$B$132*Assumptions!$B$131/12*N7,0)</f>
        <v>0</v>
      </c>
      <c r="O70" s="54" t="n">
        <f aca="false">IF(O2&gt;=Assumptions!$B$45,O65*Assumptions!$B$33*Assumptions!$B$130*Assumptions!$B$132*Assumptions!$B$131/12*O7,0)</f>
        <v>90.6035731079994</v>
      </c>
      <c r="P70" s="54" t="n">
        <f aca="false">IF(P2&gt;=Assumptions!$B$45,P65*Assumptions!$B$33*Assumptions!$B$130*Assumptions!$B$132*Assumptions!$B$131/12*P7,0)</f>
        <v>174.17246213131</v>
      </c>
      <c r="Q70" s="54" t="n">
        <f aca="false">IF(Q2&gt;=Assumptions!$B$45,Q65*Assumptions!$B$33*Assumptions!$B$130*Assumptions!$B$132*Assumptions!$B$131/12*Q7,0)</f>
        <v>251.643024450038</v>
      </c>
      <c r="R70" s="54" t="n">
        <f aca="false">IF(R2&gt;=Assumptions!$B$45,R65*Assumptions!$B$33*Assumptions!$B$130*Assumptions!$B$132*Assumptions!$B$131/12*R7,0)</f>
        <v>348.707284134536</v>
      </c>
      <c r="S70" s="54" t="n">
        <f aca="false">IF(S2&gt;=Assumptions!$B$45,S65*Assumptions!$B$33*Assumptions!$B$130*Assumptions!$B$132*Assumptions!$B$131/12*S7,0)</f>
        <v>432.715472337535</v>
      </c>
      <c r="T70" s="54" t="n">
        <f aca="false">IF(T2&gt;=Assumptions!$B$45,T65*Assumptions!$B$33*Assumptions!$B$130*Assumptions!$B$132*Assumptions!$B$131/12*T7,0)</f>
        <v>498.645190329907</v>
      </c>
      <c r="U70" s="54" t="n">
        <f aca="false">IF(U2&gt;=Assumptions!$B$45,U65*Assumptions!$B$33*Assumptions!$B$130*Assumptions!$B$132*Assumptions!$B$131/12*U7,0)</f>
        <v>559.557200259618</v>
      </c>
      <c r="V70" s="54" t="n">
        <f aca="false">IF(V2&gt;=Assumptions!$B$45,V65*Assumptions!$B$33*Assumptions!$B$130*Assumptions!$B$132*Assumptions!$B$131/12*V7,0)</f>
        <v>618.563150475717</v>
      </c>
      <c r="W70" s="54" t="n">
        <f aca="false">IF(W2&gt;=Assumptions!$B$45,W65*Assumptions!$B$33*Assumptions!$B$130*Assumptions!$B$132*Assumptions!$B$131/12*W7,0)</f>
        <v>683.923302188538</v>
      </c>
      <c r="X70" s="54" t="n">
        <f aca="false">IF(X2&gt;=Assumptions!$B$45,X65*Assumptions!$B$33*Assumptions!$B$130*Assumptions!$B$132*Assumptions!$B$131/12*X7,0)</f>
        <v>780.586385861533</v>
      </c>
      <c r="Y70" s="54" t="n">
        <f aca="false">IF(Y2&gt;=Assumptions!$B$45,Y65*Assumptions!$B$33*Assumptions!$B$130*Assumptions!$B$132*Assumptions!$B$131/12*Y7,0)</f>
        <v>864.411060090124</v>
      </c>
      <c r="Z70" s="54" t="n">
        <f aca="false">IF(Z2&gt;=Assumptions!$B$45,Z65*Assumptions!$B$33*Assumptions!$B$130*Assumptions!$B$132*Assumptions!$B$131/12*Z7,0)</f>
        <v>931.031755739411</v>
      </c>
      <c r="AA70" s="54" t="n">
        <f aca="false">IF(AA2&gt;=Assumptions!$B$45,AA65*Assumptions!$B$33*Assumptions!$B$130*Assumptions!$B$132*Assumptions!$B$131/12*AA7,0)</f>
        <v>24505.9680965415</v>
      </c>
      <c r="AB70" s="54" t="n">
        <f aca="false">IF(AB2&gt;=Assumptions!$B$45,AB65*Assumptions!$B$33*Assumptions!$B$130*Assumptions!$B$132*Assumptions!$B$131/12*AB7,0)</f>
        <v>42800.2015351773</v>
      </c>
      <c r="AC70" s="54" t="n">
        <f aca="false">IF(AC2&gt;=Assumptions!$B$45,AC65*Assumptions!$B$33*Assumptions!$B$130*Assumptions!$B$132*Assumptions!$B$131/12*AC7,0)</f>
        <v>66447.9934421839</v>
      </c>
      <c r="AD70" s="54" t="n">
        <f aca="false">IF(AD2&gt;=Assumptions!$B$45,AD65*Assumptions!$B$33*Assumptions!$B$130*Assumptions!$B$132*Assumptions!$B$131/12*AD7,0)</f>
        <v>91435.4620684643</v>
      </c>
      <c r="AE70" s="54" t="n">
        <f aca="false">IF(AE2&gt;=Assumptions!$B$45,AE65*Assumptions!$B$33*Assumptions!$B$130*Assumptions!$B$132*Assumptions!$B$131/12*AE7,0)</f>
        <v>113346.834904975</v>
      </c>
    </row>
    <row r="71" customFormat="false" ht="15" hidden="false" customHeight="false" outlineLevel="0" collapsed="false">
      <c r="A71" s="6" t="s">
        <v>439</v>
      </c>
      <c r="B71" s="23" t="s">
        <v>47</v>
      </c>
      <c r="C71" s="53" t="n">
        <f aca="false">(C69+C70)*(1-Assumptions!$B$8)/Assumptions!$B$6/(1+Assumptions!$B$9)</f>
        <v>0</v>
      </c>
      <c r="D71" s="53" t="n">
        <f aca="false">(D69+D70)*(1-Assumptions!$B$8)/Assumptions!$B$6/(1+Assumptions!$B$9)</f>
        <v>0</v>
      </c>
      <c r="E71" s="53" t="n">
        <f aca="false">(E69+E70)*(1-Assumptions!$B$8)/Assumptions!$B$6/(1+Assumptions!$B$9)</f>
        <v>0</v>
      </c>
      <c r="F71" s="53" t="n">
        <f aca="false">(F69+F70)*(1-Assumptions!$B$8)/Assumptions!$B$6/(1+Assumptions!$B$9)</f>
        <v>0</v>
      </c>
      <c r="G71" s="53" t="n">
        <f aca="false">(G69+G70)*(1-Assumptions!$B$8)/Assumptions!$B$6/(1+Assumptions!$B$9)</f>
        <v>0</v>
      </c>
      <c r="H71" s="53" t="n">
        <f aca="false">(H69+H70)*(1-Assumptions!$B$8)/Assumptions!$B$6/(1+Assumptions!$B$9)</f>
        <v>0</v>
      </c>
      <c r="I71" s="53" t="n">
        <f aca="false">(I69+I70)*(1-Assumptions!$B$8)/Assumptions!$B$6/(1+Assumptions!$B$9)</f>
        <v>0</v>
      </c>
      <c r="J71" s="53" t="n">
        <f aca="false">(J69+J70)*(1-Assumptions!$B$8)/Assumptions!$B$6/(1+Assumptions!$B$9)</f>
        <v>0</v>
      </c>
      <c r="K71" s="53" t="n">
        <f aca="false">(K69+K70)*(1-Assumptions!$B$8)/Assumptions!$B$6/(1+Assumptions!$B$9)</f>
        <v>0</v>
      </c>
      <c r="L71" s="53" t="n">
        <f aca="false">(L69+L70)*(1-Assumptions!$B$8)/Assumptions!$B$6/(1+Assumptions!$B$9)</f>
        <v>0</v>
      </c>
      <c r="M71" s="53" t="n">
        <f aca="false">(M69+M70)*(1-Assumptions!$B$8)/Assumptions!$B$6/(1+Assumptions!$B$9)</f>
        <v>0</v>
      </c>
      <c r="N71" s="53" t="n">
        <f aca="false">(N69+N70)*(1-Assumptions!$B$8)/Assumptions!$B$6/(1+Assumptions!$B$9)</f>
        <v>0</v>
      </c>
      <c r="O71" s="53" t="n">
        <f aca="false">(O69+O70)*(1-Assumptions!$B$8)/Assumptions!$B$6/(1+Assumptions!$B$9)</f>
        <v>6.01921765474969</v>
      </c>
      <c r="P71" s="53" t="n">
        <f aca="false">(P69+P70)*(1-Assumptions!$B$8)/Assumptions!$B$6/(1+Assumptions!$B$9)</f>
        <v>11.5710884578727</v>
      </c>
      <c r="Q71" s="53" t="n">
        <f aca="false">(Q69+Q70)*(1-Assumptions!$B$8)/Assumptions!$B$6/(1+Assumptions!$B$9)</f>
        <v>16.7178189943874</v>
      </c>
      <c r="R71" s="53" t="n">
        <f aca="false">(R69+R70)*(1-Assumptions!$B$8)/Assumptions!$B$6/(1+Assumptions!$B$9)</f>
        <v>23.166250170956</v>
      </c>
      <c r="S71" s="53" t="n">
        <f aca="false">(S69+S70)*(1-Assumptions!$B$8)/Assumptions!$B$6/(1+Assumptions!$B$9)</f>
        <v>28.7473056661104</v>
      </c>
      <c r="T71" s="53" t="n">
        <f aca="false">(T69+T70)*(1-Assumptions!$B$8)/Assumptions!$B$6/(1+Assumptions!$B$9)</f>
        <v>33.1273241234324</v>
      </c>
      <c r="U71" s="53" t="n">
        <f aca="false">(U69+U70)*(1-Assumptions!$B$8)/Assumptions!$B$6/(1+Assumptions!$B$9)</f>
        <v>37.1739928471721</v>
      </c>
      <c r="V71" s="53" t="n">
        <f aca="false">(V69+V70)*(1-Assumptions!$B$8)/Assumptions!$B$6/(1+Assumptions!$B$9)</f>
        <v>41.0940331402041</v>
      </c>
      <c r="W71" s="53" t="n">
        <f aca="false">(W69+W70)*(1-Assumptions!$B$8)/Assumptions!$B$6/(1+Assumptions!$B$9)</f>
        <v>45.4362126548903</v>
      </c>
      <c r="X71" s="53" t="n">
        <f aca="false">(X69+X70)*(1-Assumptions!$B$8)/Assumptions!$B$6/(1+Assumptions!$B$9)</f>
        <v>51.8579918391779</v>
      </c>
      <c r="Y71" s="53" t="n">
        <f aca="false">(Y69+Y70)*(1-Assumptions!$B$8)/Assumptions!$B$6/(1+Assumptions!$B$9)</f>
        <v>57.4268556456742</v>
      </c>
      <c r="Z71" s="53" t="n">
        <f aca="false">(Z69+Z70)*(1-Assumptions!$B$8)/Assumptions!$B$6/(1+Assumptions!$B$9)</f>
        <v>61.8527789693151</v>
      </c>
      <c r="AA71" s="53" t="n">
        <f aca="false">(AA69+AA70)*(1-Assumptions!$B$8)/Assumptions!$B$6/(1+Assumptions!$B$9)</f>
        <v>1628.04568024715</v>
      </c>
      <c r="AB71" s="53" t="n">
        <f aca="false">(AB69+AB70)*(1-Assumptions!$B$8)/Assumptions!$B$6/(1+Assumptions!$B$9)</f>
        <v>2843.41687496471</v>
      </c>
      <c r="AC71" s="53" t="n">
        <f aca="false">(AC69+AC70)*(1-Assumptions!$B$8)/Assumptions!$B$6/(1+Assumptions!$B$9)</f>
        <v>4414.44991107721</v>
      </c>
      <c r="AD71" s="53" t="n">
        <f aca="false">(AD69+AD70)*(1-Assumptions!$B$8)/Assumptions!$B$6/(1+Assumptions!$B$9)</f>
        <v>6074.48391573537</v>
      </c>
      <c r="AE71" s="53" t="n">
        <f aca="false">(AE69+AE70)*(1-Assumptions!$B$8)/Assumptions!$B$6/(1+Assumptions!$B$9)</f>
        <v>7530.1585397385</v>
      </c>
    </row>
    <row r="72" customFormat="false" ht="15" hidden="false" customHeight="false" outlineLevel="0" collapsed="false">
      <c r="A72" s="6" t="s">
        <v>440</v>
      </c>
      <c r="B72" s="23" t="s">
        <v>441</v>
      </c>
      <c r="C72" s="55" t="n">
        <f aca="false">(Assumptions!$B$127+Assumptions!$B$128*IF(C65+C67=0,1,(C65+C67*Assumptions!$B$129)/(C65+C67)))*C7/12</f>
        <v>0.0166666666666667</v>
      </c>
      <c r="D72" s="55" t="n">
        <f aca="false">(Assumptions!$B$127+Assumptions!$B$128*IF(D65+D67=0,1,(D65+D67*Assumptions!$B$129)/(D65+D67)))*D7/12</f>
        <v>0.0166666666666667</v>
      </c>
      <c r="E72" s="55" t="n">
        <f aca="false">(Assumptions!$B$127+Assumptions!$B$128*IF(E65+E67=0,1,(E65+E67*Assumptions!$B$129)/(E65+E67)))*E7/12</f>
        <v>0.0166666666666667</v>
      </c>
      <c r="F72" s="55" t="n">
        <f aca="false">(Assumptions!$B$127+Assumptions!$B$128*IF(F65+F67=0,1,(F65+F67*Assumptions!$B$129)/(F65+F67)))*F7/12</f>
        <v>0.0166666666666667</v>
      </c>
      <c r="G72" s="55" t="n">
        <f aca="false">(Assumptions!$B$127+Assumptions!$B$128*IF(G65+G67=0,1,(G65+G67*Assumptions!$B$129)/(G65+G67)))*G7/12</f>
        <v>0.0166666666666667</v>
      </c>
      <c r="H72" s="55" t="n">
        <f aca="false">(Assumptions!$B$127+Assumptions!$B$128*IF(H65+H67=0,1,(H65+H67*Assumptions!$B$129)/(H65+H67)))*H7/12</f>
        <v>0.0166666666666667</v>
      </c>
      <c r="I72" s="55" t="n">
        <f aca="false">(Assumptions!$B$127+Assumptions!$B$128*IF(I65+I67=0,1,(I65+I67*Assumptions!$B$129)/(I65+I67)))*I7/12</f>
        <v>0.0166666666666667</v>
      </c>
      <c r="J72" s="55" t="n">
        <f aca="false">(Assumptions!$B$127+Assumptions!$B$128*IF(J65+J67=0,1,(J65+J67*Assumptions!$B$129)/(J65+J67)))*J7/12</f>
        <v>0.0166666666666667</v>
      </c>
      <c r="K72" s="55" t="n">
        <f aca="false">(Assumptions!$B$127+Assumptions!$B$128*IF(K65+K67=0,1,(K65+K67*Assumptions!$B$129)/(K65+K67)))*K7/12</f>
        <v>0.0166666666666667</v>
      </c>
      <c r="L72" s="55" t="n">
        <f aca="false">(Assumptions!$B$127+Assumptions!$B$128*IF(L65+L67=0,1,(L65+L67*Assumptions!$B$129)/(L65+L67)))*L7/12</f>
        <v>0.0166666666666667</v>
      </c>
      <c r="M72" s="55" t="n">
        <f aca="false">(Assumptions!$B$127+Assumptions!$B$128*IF(M65+M67=0,1,(M65+M67*Assumptions!$B$129)/(M65+M67)))*M7/12</f>
        <v>0.0166666666666667</v>
      </c>
      <c r="N72" s="55" t="n">
        <f aca="false">(Assumptions!$B$127+Assumptions!$B$128*IF(N65+N67=0,1,(N65+N67*Assumptions!$B$129)/(N65+N67)))*N7/12</f>
        <v>0.0166666666666667</v>
      </c>
      <c r="O72" s="55" t="n">
        <f aca="false">(Assumptions!$B$127+Assumptions!$B$128*IF(O65+O67=0,1,(O65+O67*Assumptions!$B$129)/(O65+O67)))*O7/12</f>
        <v>0.0168634841405503</v>
      </c>
      <c r="P72" s="55" t="n">
        <f aca="false">(Assumptions!$B$127+Assumptions!$B$128*IF(P65+P67=0,1,(P65+P67*Assumptions!$B$129)/(P65+P67)))*P7/12</f>
        <v>0.0170558920542373</v>
      </c>
      <c r="Q72" s="55" t="n">
        <f aca="false">(Assumptions!$B$127+Assumptions!$B$128*IF(Q65+Q67=0,1,(Q65+Q67*Assumptions!$B$129)/(Q65+Q67)))*Q7/12</f>
        <v>0.0172430919165572</v>
      </c>
      <c r="R72" s="55" t="n">
        <f aca="false">(Assumptions!$B$127+Assumptions!$B$128*IF(R65+R67=0,1,(R65+R67*Assumptions!$B$129)/(R65+R67)))*R7/12</f>
        <v>0.0173873950069137</v>
      </c>
      <c r="S72" s="55" t="n">
        <f aca="false">(Assumptions!$B$127+Assumptions!$B$128*IF(S65+S67=0,1,(S65+S67*Assumptions!$B$129)/(S65+S67)))*S7/12</f>
        <v>0.0175545279297546</v>
      </c>
      <c r="T72" s="55" t="n">
        <f aca="false">(Assumptions!$B$127+Assumptions!$B$128*IF(T65+T67=0,1,(T65+T67*Assumptions!$B$129)/(T65+T67)))*T7/12</f>
        <v>0.0177396827210144</v>
      </c>
      <c r="U72" s="55" t="n">
        <f aca="false">(Assumptions!$B$127+Assumptions!$B$128*IF(U65+U67=0,1,(U65+U67*Assumptions!$B$129)/(U65+U67)))*U7/12</f>
        <v>0.0179166833553031</v>
      </c>
      <c r="V72" s="55" t="n">
        <f aca="false">(Assumptions!$B$127+Assumptions!$B$128*IF(V65+V67=0,1,(V65+V67*Assumptions!$B$129)/(V65+V67)))*V7/12</f>
        <v>0.0180823083763486</v>
      </c>
      <c r="W72" s="55" t="n">
        <f aca="false">(Assumptions!$B$127+Assumptions!$B$128*IF(W65+W67=0,1,(W65+W67*Assumptions!$B$129)/(W65+W67)))*W7/12</f>
        <v>0.0182250673560993</v>
      </c>
      <c r="X72" s="55" t="n">
        <f aca="false">(Assumptions!$B$127+Assumptions!$B$128*IF(X65+X67=0,1,(X65+X67*Assumptions!$B$129)/(X65+X67)))*X7/12</f>
        <v>0.0183111404745431</v>
      </c>
      <c r="Y72" s="55" t="n">
        <f aca="false">(Assumptions!$B$127+Assumptions!$B$128*IF(Y65+Y67=0,1,(Y65+Y67*Assumptions!$B$129)/(Y65+Y67)))*Y7/12</f>
        <v>0.0184220073287854</v>
      </c>
      <c r="Z72" s="55" t="n">
        <f aca="false">(Assumptions!$B$127+Assumptions!$B$128*IF(Z65+Z67=0,1,(Z65+Z67*Assumptions!$B$129)/(Z65+Z67)))*Z7/12</f>
        <v>0.0185553423030428</v>
      </c>
      <c r="AA72" s="55" t="n">
        <f aca="false">(Assumptions!$B$127+Assumptions!$B$128*IF(AA65+AA67=0,1,(AA65+AA67*Assumptions!$B$129)/(AA65+AA67)))*AA7/12</f>
        <v>0.236264758078973</v>
      </c>
      <c r="AB72" s="55" t="n">
        <f aca="false">(Assumptions!$B$127+Assumptions!$B$128*IF(AB65+AB67=0,1,(AB65+AB67*Assumptions!$B$129)/(AB65+AB67)))*AB7/12</f>
        <v>0.243937566634305</v>
      </c>
      <c r="AC72" s="55" t="n">
        <f aca="false">(Assumptions!$B$127+Assumptions!$B$128*IF(AC65+AC67=0,1,(AC65+AC67*Assumptions!$B$129)/(AC65+AC67)))*AC7/12</f>
        <v>0.249362321428492</v>
      </c>
      <c r="AD72" s="55" t="n">
        <f aca="false">(Assumptions!$B$127+Assumptions!$B$128*IF(AD65+AD67=0,1,(AD65+AD67*Assumptions!$B$129)/(AD65+AD67)))*AD7/12</f>
        <v>0.254357661290639</v>
      </c>
      <c r="AE72" s="55" t="n">
        <f aca="false">(Assumptions!$B$127+Assumptions!$B$128*IF(AE65+AE67=0,1,(AE65+AE67*Assumptions!$B$129)/(AE65+AE67)))*AE7/12</f>
        <v>0.259216106365342</v>
      </c>
    </row>
    <row r="73" customFormat="false" ht="15" hidden="false" customHeight="false" outlineLevel="0" collapsed="false">
      <c r="A73" s="6" t="s">
        <v>442</v>
      </c>
      <c r="B73" s="23" t="s">
        <v>47</v>
      </c>
      <c r="C73" s="44" t="n">
        <f aca="false">C71</f>
        <v>0</v>
      </c>
      <c r="D73" s="44" t="n">
        <f aca="false">C73*(1-D72)+D71</f>
        <v>0</v>
      </c>
      <c r="E73" s="44" t="n">
        <f aca="false">D73*(1-E72)+E71</f>
        <v>0</v>
      </c>
      <c r="F73" s="44" t="n">
        <f aca="false">E73*(1-F72)+F71</f>
        <v>0</v>
      </c>
      <c r="G73" s="44" t="n">
        <f aca="false">F73*(1-G72)+G71</f>
        <v>0</v>
      </c>
      <c r="H73" s="44" t="n">
        <f aca="false">G73*(1-H72)+H71</f>
        <v>0</v>
      </c>
      <c r="I73" s="44" t="n">
        <f aca="false">H73*(1-I72)+I71</f>
        <v>0</v>
      </c>
      <c r="J73" s="44" t="n">
        <f aca="false">I73*(1-J72)+J71</f>
        <v>0</v>
      </c>
      <c r="K73" s="44" t="n">
        <f aca="false">J73*(1-K72)+K71</f>
        <v>0</v>
      </c>
      <c r="L73" s="44" t="n">
        <f aca="false">K73*(1-L72)+L71</f>
        <v>0</v>
      </c>
      <c r="M73" s="44" t="n">
        <f aca="false">L73*(1-M72)+M71</f>
        <v>0</v>
      </c>
      <c r="N73" s="44" t="n">
        <f aca="false">M73*(1-N72)+N71</f>
        <v>0</v>
      </c>
      <c r="O73" s="44" t="n">
        <f aca="false">N73*(1-O72)+O71</f>
        <v>6.01921765474969</v>
      </c>
      <c r="P73" s="44" t="n">
        <f aca="false">O73*(1-P72)+P71</f>
        <v>17.4876429860521</v>
      </c>
      <c r="Q73" s="44" t="n">
        <f aca="false">P73*(1-Q72)+Q71</f>
        <v>33.903920945027</v>
      </c>
      <c r="R73" s="44" t="n">
        <f aca="false">Q73*(1-R72)+R71</f>
        <v>56.4806702502287</v>
      </c>
      <c r="S73" s="44" t="n">
        <f aca="false">R73*(1-S72)+S71</f>
        <v>84.2364844129402</v>
      </c>
      <c r="T73" s="44" t="n">
        <f aca="false">S73*(1-T72)+T71</f>
        <v>115.869480029353</v>
      </c>
      <c r="U73" s="44" t="n">
        <f aca="false">T73*(1-U72)+U71</f>
        <v>150.967476092296</v>
      </c>
      <c r="V73" s="44" t="n">
        <f aca="false">U73*(1-V72)+V71</f>
        <v>189.331668775</v>
      </c>
      <c r="W73" s="44" t="n">
        <f aca="false">V73*(1-W72)+W71</f>
        <v>231.317299013823</v>
      </c>
      <c r="X73" s="44" t="n">
        <f aca="false">W73*(1-X72)+X71</f>
        <v>278.939607296567</v>
      </c>
      <c r="Y73" s="44" t="n">
        <f aca="false">X73*(1-Y72)+Y71</f>
        <v>331.227835452335</v>
      </c>
      <c r="Z73" s="44" t="n">
        <f aca="false">Y73*(1-Z72)+Z71</f>
        <v>386.934568554536</v>
      </c>
      <c r="AA73" s="44" t="n">
        <f aca="false">Z73*(1-AA72)+AA71</f>
        <v>1923.56124656976</v>
      </c>
      <c r="AB73" s="44" t="n">
        <f aca="false">AA73*(1-AB72)+AB71</f>
        <v>4297.74927177419</v>
      </c>
      <c r="AC73" s="44" t="n">
        <f aca="false">AB73*(1-AC72)+AC71</f>
        <v>7640.50244752417</v>
      </c>
      <c r="AD73" s="44" t="n">
        <f aca="false">AC73*(1-AD72)+AD71</f>
        <v>11771.5660296219</v>
      </c>
      <c r="AE73" s="44" t="n">
        <f aca="false">AD73*(1-AE72)+AE71</f>
        <v>16250.3450573393</v>
      </c>
    </row>
    <row r="74" customFormat="false" ht="15" hidden="false" customHeight="false" outlineLevel="0" collapsed="false">
      <c r="A74" s="6" t="s">
        <v>443</v>
      </c>
      <c r="B74" s="23" t="s">
        <v>109</v>
      </c>
      <c r="C74" s="56" t="n">
        <f aca="false">C73*Assumptions!$B$6</f>
        <v>0</v>
      </c>
      <c r="D74" s="56" t="n">
        <f aca="false">D73*Assumptions!$B$6</f>
        <v>0</v>
      </c>
      <c r="E74" s="56" t="n">
        <f aca="false">E73*Assumptions!$B$6</f>
        <v>0</v>
      </c>
      <c r="F74" s="56" t="n">
        <f aca="false">F73*Assumptions!$B$6</f>
        <v>0</v>
      </c>
      <c r="G74" s="56" t="n">
        <f aca="false">G73*Assumptions!$B$6</f>
        <v>0</v>
      </c>
      <c r="H74" s="56" t="n">
        <f aca="false">H73*Assumptions!$B$6</f>
        <v>0</v>
      </c>
      <c r="I74" s="56" t="n">
        <f aca="false">I73*Assumptions!$B$6</f>
        <v>0</v>
      </c>
      <c r="J74" s="56" t="n">
        <f aca="false">J73*Assumptions!$B$6</f>
        <v>0</v>
      </c>
      <c r="K74" s="56" t="n">
        <f aca="false">K73*Assumptions!$B$6</f>
        <v>0</v>
      </c>
      <c r="L74" s="56" t="n">
        <f aca="false">L73*Assumptions!$B$6</f>
        <v>0</v>
      </c>
      <c r="M74" s="56" t="n">
        <f aca="false">M73*Assumptions!$B$6</f>
        <v>0</v>
      </c>
      <c r="N74" s="56" t="n">
        <f aca="false">N73*Assumptions!$B$6</f>
        <v>0</v>
      </c>
      <c r="O74" s="56" t="n">
        <f aca="false">O73*Assumptions!$B$6</f>
        <v>851.478529440891</v>
      </c>
      <c r="P74" s="56" t="n">
        <f aca="false">P73*Assumptions!$B$6</f>
        <v>2473.80197680693</v>
      </c>
      <c r="Q74" s="56" t="n">
        <f aca="false">Q73*Assumptions!$B$6</f>
        <v>4796.04865688352</v>
      </c>
      <c r="R74" s="56" t="n">
        <f aca="false">R73*Assumptions!$B$6</f>
        <v>7989.75561359735</v>
      </c>
      <c r="S74" s="56" t="n">
        <f aca="false">S73*Assumptions!$B$6</f>
        <v>11916.0930850545</v>
      </c>
      <c r="T74" s="56" t="n">
        <f aca="false">T73*Assumptions!$B$6</f>
        <v>16390.8966449523</v>
      </c>
      <c r="U74" s="56" t="n">
        <f aca="false">U73*Assumptions!$B$6</f>
        <v>21355.8591680162</v>
      </c>
      <c r="V74" s="56" t="n">
        <f aca="false">V73*Assumptions!$B$6</f>
        <v>26782.8578649115</v>
      </c>
      <c r="W74" s="56" t="n">
        <f aca="false">W73*Assumptions!$B$6</f>
        <v>32722.1451184954</v>
      </c>
      <c r="X74" s="56" t="n">
        <f aca="false">X73*Assumptions!$B$6</f>
        <v>39458.7968481724</v>
      </c>
      <c r="Y74" s="56" t="n">
        <f aca="false">Y73*Assumptions!$B$6</f>
        <v>46855.4896030874</v>
      </c>
      <c r="Z74" s="56" t="n">
        <f aca="false">Z73*Assumptions!$B$6</f>
        <v>54735.7640677247</v>
      </c>
      <c r="AA74" s="56" t="n">
        <f aca="false">AA73*Assumptions!$B$6</f>
        <v>272106.973939758</v>
      </c>
      <c r="AB74" s="56" t="n">
        <f aca="false">AB73*Assumptions!$B$6</f>
        <v>607959.611985177</v>
      </c>
      <c r="AC74" s="56" t="n">
        <f aca="false">AC73*Assumptions!$B$6</f>
        <v>1080825.47622677</v>
      </c>
      <c r="AD74" s="56" t="n">
        <f aca="false">AD73*Assumptions!$B$6</f>
        <v>1665205.73055031</v>
      </c>
      <c r="AE74" s="56" t="n">
        <f aca="false">AE73*Assumptions!$B$6</f>
        <v>2298773.81181121</v>
      </c>
    </row>
    <row r="75" customFormat="false" ht="15" hidden="false" customHeight="false" outlineLevel="0" collapsed="false">
      <c r="A75" s="6" t="s">
        <v>444</v>
      </c>
      <c r="B75" s="23" t="s">
        <v>185</v>
      </c>
      <c r="C75" s="53" t="n">
        <f aca="false">C65+C67*Assumptions!$B$168</f>
        <v>0</v>
      </c>
      <c r="D75" s="53" t="n">
        <f aca="false">D65+D67*Assumptions!$B$168</f>
        <v>0</v>
      </c>
      <c r="E75" s="53" t="n">
        <f aca="false">E65+E67*Assumptions!$B$168</f>
        <v>0</v>
      </c>
      <c r="F75" s="53" t="n">
        <f aca="false">F65+F67*Assumptions!$B$168</f>
        <v>0</v>
      </c>
      <c r="G75" s="53" t="n">
        <f aca="false">G65+G67*Assumptions!$B$168</f>
        <v>0</v>
      </c>
      <c r="H75" s="53" t="n">
        <f aca="false">H65+H67*Assumptions!$B$168</f>
        <v>0</v>
      </c>
      <c r="I75" s="53" t="n">
        <f aca="false">I65+I67*Assumptions!$B$168</f>
        <v>0</v>
      </c>
      <c r="J75" s="53" t="n">
        <f aca="false">J65+J67*Assumptions!$B$168</f>
        <v>0</v>
      </c>
      <c r="K75" s="53" t="n">
        <f aca="false">K65+K67*Assumptions!$B$168</f>
        <v>0</v>
      </c>
      <c r="L75" s="53" t="n">
        <f aca="false">L65+L67*Assumptions!$B$168</f>
        <v>0</v>
      </c>
      <c r="M75" s="53" t="n">
        <f aca="false">M65+M67*Assumptions!$B$168</f>
        <v>0</v>
      </c>
      <c r="N75" s="53" t="n">
        <f aca="false">N65+N67*Assumptions!$B$168</f>
        <v>0</v>
      </c>
      <c r="O75" s="53" t="n">
        <f aca="false">O65+O67*Assumptions!$B$168</f>
        <v>32.2998</v>
      </c>
      <c r="P75" s="53" t="n">
        <f aca="false">P65+P67*Assumptions!$B$168</f>
        <v>63.6615053901048</v>
      </c>
      <c r="Q75" s="53" t="n">
        <f aca="false">Q65+Q67*Assumptions!$B$168</f>
        <v>94.2970451452031</v>
      </c>
      <c r="R75" s="53" t="n">
        <f aca="false">R65+R67*Assumptions!$B$168</f>
        <v>133.259864024599</v>
      </c>
      <c r="S75" s="53" t="n">
        <f aca="false">S65+S67*Assumptions!$B$168</f>
        <v>169.249922373745</v>
      </c>
      <c r="T75" s="53" t="n">
        <f aca="false">T65+T67*Assumptions!$B$168</f>
        <v>200.25055438054</v>
      </c>
      <c r="U75" s="53" t="n">
        <f aca="false">U65+U67*Assumptions!$B$168</f>
        <v>230.604651516452</v>
      </c>
      <c r="V75" s="53" t="n">
        <f aca="false">V65+V67*Assumptions!$B$168</f>
        <v>261.334569885971</v>
      </c>
      <c r="W75" s="53" t="n">
        <f aca="false">W65+W67*Assumptions!$B$168</f>
        <v>295.352035323397</v>
      </c>
      <c r="X75" s="53" t="n">
        <f aca="false">X65+X67*Assumptions!$B$168</f>
        <v>341.661256254414</v>
      </c>
      <c r="Y75" s="53" t="n">
        <f aca="false">Y65+Y67*Assumptions!$B$168</f>
        <v>385.06836174693</v>
      </c>
      <c r="Z75" s="53" t="n">
        <f aca="false">Z65+Z67*Assumptions!$B$168</f>
        <v>423.794614106518</v>
      </c>
      <c r="AA75" s="53" t="n">
        <f aca="false">AA65+AA67*Assumptions!$B$168</f>
        <v>1141.21510330995</v>
      </c>
      <c r="AB75" s="53" t="n">
        <f aca="false">AB65+AB67*Assumptions!$B$168</f>
        <v>2286.90237148129</v>
      </c>
      <c r="AC75" s="53" t="n">
        <f aca="false">AC65+AC67*Assumptions!$B$168</f>
        <v>3963.43025012807</v>
      </c>
      <c r="AD75" s="53" t="n">
        <f aca="false">AD65+AD67*Assumptions!$B$168</f>
        <v>6108.09559518737</v>
      </c>
      <c r="AE75" s="53" t="n">
        <f aca="false">AE65+AE67*Assumptions!$B$168</f>
        <v>8571.91731240708</v>
      </c>
    </row>
    <row r="76" customFormat="false" ht="15" hidden="false" customHeight="false" outlineLevel="0" collapsed="false">
      <c r="A76" s="6" t="s">
        <v>445</v>
      </c>
      <c r="B76" s="23" t="s">
        <v>185</v>
      </c>
      <c r="C76" s="44" t="n">
        <f aca="false">IF(C7&gt;1,C75*Assumptions!$B$125,IF(C2&gt;Assumptions!$B$126,INDEX($C$75:$AE$75,1,C2-Assumptions!$B$126)*Assumptions!$B$125,0))</f>
        <v>0</v>
      </c>
      <c r="D76" s="44" t="n">
        <f aca="false">IF(D7&gt;1,D75*Assumptions!$B$125,IF(D2&gt;Assumptions!$B$126,INDEX($C$75:$AE$75,1,D2-Assumptions!$B$126)*Assumptions!$B$125,0))</f>
        <v>0</v>
      </c>
      <c r="E76" s="44" t="n">
        <f aca="false">IF(E7&gt;1,E75*Assumptions!$B$125,IF(E2&gt;Assumptions!$B$126,INDEX($C$75:$AE$75,1,E2-Assumptions!$B$126)*Assumptions!$B$125,0))</f>
        <v>0</v>
      </c>
      <c r="F76" s="44" t="n">
        <f aca="false">IF(F7&gt;1,F75*Assumptions!$B$125,IF(F2&gt;Assumptions!$B$126,INDEX($C$75:$AE$75,1,F2-Assumptions!$B$126)*Assumptions!$B$125,0))</f>
        <v>0</v>
      </c>
      <c r="G76" s="44" t="n">
        <f aca="false">IF(G7&gt;1,G75*Assumptions!$B$125,IF(G2&gt;Assumptions!$B$126,INDEX($C$75:$AE$75,1,G2-Assumptions!$B$126)*Assumptions!$B$125,0))</f>
        <v>0</v>
      </c>
      <c r="H76" s="44" t="n">
        <f aca="false">IF(H7&gt;1,H75*Assumptions!$B$125,IF(H2&gt;Assumptions!$B$126,INDEX($C$75:$AE$75,1,H2-Assumptions!$B$126)*Assumptions!$B$125,0))</f>
        <v>0</v>
      </c>
      <c r="I76" s="44" t="n">
        <f aca="false">IF(I7&gt;1,I75*Assumptions!$B$125,IF(I2&gt;Assumptions!$B$126,INDEX($C$75:$AE$75,1,I2-Assumptions!$B$126)*Assumptions!$B$125,0))</f>
        <v>0</v>
      </c>
      <c r="J76" s="44" t="n">
        <f aca="false">IF(J7&gt;1,J75*Assumptions!$B$125,IF(J2&gt;Assumptions!$B$126,INDEX($C$75:$AE$75,1,J2-Assumptions!$B$126)*Assumptions!$B$125,0))</f>
        <v>0</v>
      </c>
      <c r="K76" s="44" t="n">
        <f aca="false">IF(K7&gt;1,K75*Assumptions!$B$125,IF(K2&gt;Assumptions!$B$126,INDEX($C$75:$AE$75,1,K2-Assumptions!$B$126)*Assumptions!$B$125,0))</f>
        <v>0</v>
      </c>
      <c r="L76" s="44" t="n">
        <f aca="false">IF(L7&gt;1,L75*Assumptions!$B$125,IF(L2&gt;Assumptions!$B$126,INDEX($C$75:$AE$75,1,L2-Assumptions!$B$126)*Assumptions!$B$125,0))</f>
        <v>0</v>
      </c>
      <c r="M76" s="44" t="n">
        <f aca="false">IF(M7&gt;1,M75*Assumptions!$B$125,IF(M2&gt;Assumptions!$B$126,INDEX($C$75:$AE$75,1,M2-Assumptions!$B$126)*Assumptions!$B$125,0))</f>
        <v>0</v>
      </c>
      <c r="N76" s="44" t="n">
        <f aca="false">IF(N7&gt;1,N75*Assumptions!$B$125,IF(N2&gt;Assumptions!$B$126,INDEX($C$75:$AE$75,1,N2-Assumptions!$B$126)*Assumptions!$B$125,0))</f>
        <v>0</v>
      </c>
      <c r="O76" s="44" t="n">
        <f aca="false">IF(O7&gt;1,O75*Assumptions!$B$125,IF(O2&gt;Assumptions!$B$126,INDEX($C$75:$AE$75,1,O2-Assumptions!$B$126)*Assumptions!$B$125,0))</f>
        <v>0</v>
      </c>
      <c r="P76" s="44" t="n">
        <f aca="false">IF(P7&gt;1,P75*Assumptions!$B$125,IF(P2&gt;Assumptions!$B$126,INDEX($C$75:$AE$75,1,P2-Assumptions!$B$126)*Assumptions!$B$125,0))</f>
        <v>0</v>
      </c>
      <c r="Q76" s="44" t="n">
        <f aca="false">IF(Q7&gt;1,Q75*Assumptions!$B$125,IF(Q2&gt;Assumptions!$B$126,INDEX($C$75:$AE$75,1,Q2-Assumptions!$B$126)*Assumptions!$B$125,0))</f>
        <v>0</v>
      </c>
      <c r="R76" s="44" t="n">
        <f aca="false">IF(R7&gt;1,R75*Assumptions!$B$125,IF(R2&gt;Assumptions!$B$126,INDEX($C$75:$AE$75,1,R2-Assumptions!$B$126)*Assumptions!$B$125,0))</f>
        <v>0</v>
      </c>
      <c r="S76" s="44" t="n">
        <f aca="false">IF(S7&gt;1,S75*Assumptions!$B$125,IF(S2&gt;Assumptions!$B$126,INDEX($C$75:$AE$75,1,S2-Assumptions!$B$126)*Assumptions!$B$125,0))</f>
        <v>0</v>
      </c>
      <c r="T76" s="44" t="n">
        <f aca="false">IF(T7&gt;1,T75*Assumptions!$B$125,IF(T2&gt;Assumptions!$B$126,INDEX($C$75:$AE$75,1,T2-Assumptions!$B$126)*Assumptions!$B$125,0))</f>
        <v>0</v>
      </c>
      <c r="U76" s="44" t="n">
        <f aca="false">IF(U7&gt;1,U75*Assumptions!$B$125,IF(U2&gt;Assumptions!$B$126,INDEX($C$75:$AE$75,1,U2-Assumptions!$B$126)*Assumptions!$B$125,0))</f>
        <v>0</v>
      </c>
      <c r="V76" s="44" t="n">
        <f aca="false">IF(V7&gt;1,V75*Assumptions!$B$125,IF(V2&gt;Assumptions!$B$126,INDEX($C$75:$AE$75,1,V2-Assumptions!$B$126)*Assumptions!$B$125,0))</f>
        <v>0</v>
      </c>
      <c r="W76" s="44" t="n">
        <f aca="false">IF(W7&gt;1,W75*Assumptions!$B$125,IF(W2&gt;Assumptions!$B$126,INDEX($C$75:$AE$75,1,W2-Assumptions!$B$126)*Assumptions!$B$125,0))</f>
        <v>17.76489</v>
      </c>
      <c r="X76" s="44" t="n">
        <f aca="false">IF(X7&gt;1,X75*Assumptions!$B$125,IF(X2&gt;Assumptions!$B$126,INDEX($C$75:$AE$75,1,X2-Assumptions!$B$126)*Assumptions!$B$125,0))</f>
        <v>35.0138279645576</v>
      </c>
      <c r="Y76" s="44" t="n">
        <f aca="false">IF(Y7&gt;1,Y75*Assumptions!$B$125,IF(Y2&gt;Assumptions!$B$126,INDEX($C$75:$AE$75,1,Y2-Assumptions!$B$126)*Assumptions!$B$125,0))</f>
        <v>51.8633748298617</v>
      </c>
      <c r="Z76" s="44" t="n">
        <f aca="false">IF(Z7&gt;1,Z75*Assumptions!$B$125,IF(Z2&gt;Assumptions!$B$126,INDEX($C$75:$AE$75,1,Z2-Assumptions!$B$126)*Assumptions!$B$125,0))</f>
        <v>73.2929252135297</v>
      </c>
      <c r="AA76" s="44" t="n">
        <f aca="false">IF(AA7&gt;1,AA75*Assumptions!$B$125,IF(AA2&gt;Assumptions!$B$126,INDEX($C$75:$AE$75,1,AA2-Assumptions!$B$126)*Assumptions!$B$125,0))</f>
        <v>627.668306820475</v>
      </c>
      <c r="AB76" s="44" t="n">
        <f aca="false">IF(AB7&gt;1,AB75*Assumptions!$B$125,IF(AB2&gt;Assumptions!$B$126,INDEX($C$75:$AE$75,1,AB2-Assumptions!$B$126)*Assumptions!$B$125,0))</f>
        <v>1257.79630431471</v>
      </c>
      <c r="AC76" s="44" t="n">
        <f aca="false">IF(AC7&gt;1,AC75*Assumptions!$B$125,IF(AC2&gt;Assumptions!$B$126,INDEX($C$75:$AE$75,1,AC2-Assumptions!$B$126)*Assumptions!$B$125,0))</f>
        <v>2179.88663757044</v>
      </c>
      <c r="AD76" s="44" t="n">
        <f aca="false">IF(AD7&gt;1,AD75*Assumptions!$B$125,IF(AD2&gt;Assumptions!$B$126,INDEX($C$75:$AE$75,1,AD2-Assumptions!$B$126)*Assumptions!$B$125,0))</f>
        <v>3359.45257735305</v>
      </c>
      <c r="AE76" s="44" t="n">
        <f aca="false">IF(AE7&gt;1,AE75*Assumptions!$B$125,IF(AE2&gt;Assumptions!$B$126,INDEX($C$75:$AE$75,1,AE2-Assumptions!$B$126)*Assumptions!$B$125,0))</f>
        <v>4714.55452182389</v>
      </c>
    </row>
    <row r="77" customFormat="false" ht="15" hidden="false" customHeight="false" outlineLevel="0" collapsed="false">
      <c r="A77" s="6" t="s">
        <v>446</v>
      </c>
      <c r="B77" s="23" t="s">
        <v>447</v>
      </c>
      <c r="C77" s="28" t="n">
        <f aca="false">IF(C2&gt;=Assumptions!$B$48,C76*Assumptions!$B$135,0)</f>
        <v>0</v>
      </c>
      <c r="D77" s="28" t="n">
        <f aca="false">IF(D2&gt;=Assumptions!$B$48,D76*Assumptions!$B$135,0)</f>
        <v>0</v>
      </c>
      <c r="E77" s="28" t="n">
        <f aca="false">IF(E2&gt;=Assumptions!$B$48,E76*Assumptions!$B$135,0)</f>
        <v>0</v>
      </c>
      <c r="F77" s="28" t="n">
        <f aca="false">IF(F2&gt;=Assumptions!$B$48,F76*Assumptions!$B$135,0)</f>
        <v>0</v>
      </c>
      <c r="G77" s="28" t="n">
        <f aca="false">IF(G2&gt;=Assumptions!$B$48,G76*Assumptions!$B$135,0)</f>
        <v>0</v>
      </c>
      <c r="H77" s="28" t="n">
        <f aca="false">IF(H2&gt;=Assumptions!$B$48,H76*Assumptions!$B$135,0)</f>
        <v>0</v>
      </c>
      <c r="I77" s="28" t="n">
        <f aca="false">IF(I2&gt;=Assumptions!$B$48,I76*Assumptions!$B$135,0)</f>
        <v>0</v>
      </c>
      <c r="J77" s="28" t="n">
        <f aca="false">IF(J2&gt;=Assumptions!$B$48,J76*Assumptions!$B$135,0)</f>
        <v>0</v>
      </c>
      <c r="K77" s="28" t="n">
        <f aca="false">IF(K2&gt;=Assumptions!$B$48,K76*Assumptions!$B$135,0)</f>
        <v>0</v>
      </c>
      <c r="L77" s="28" t="n">
        <f aca="false">IF(L2&gt;=Assumptions!$B$48,L76*Assumptions!$B$135,0)</f>
        <v>0</v>
      </c>
      <c r="M77" s="28" t="n">
        <f aca="false">IF(M2&gt;=Assumptions!$B$48,M76*Assumptions!$B$135,0)</f>
        <v>0</v>
      </c>
      <c r="N77" s="28" t="n">
        <f aca="false">IF(N2&gt;=Assumptions!$B$48,N76*Assumptions!$B$135,0)</f>
        <v>0</v>
      </c>
      <c r="O77" s="28" t="n">
        <f aca="false">IF(O2&gt;=Assumptions!$B$48,O76*Assumptions!$B$135,0)</f>
        <v>0</v>
      </c>
      <c r="P77" s="28" t="n">
        <f aca="false">IF(P2&gt;=Assumptions!$B$48,P76*Assumptions!$B$135,0)</f>
        <v>0</v>
      </c>
      <c r="Q77" s="28" t="n">
        <f aca="false">IF(Q2&gt;=Assumptions!$B$48,Q76*Assumptions!$B$135,0)</f>
        <v>0</v>
      </c>
      <c r="R77" s="28" t="n">
        <f aca="false">IF(R2&gt;=Assumptions!$B$48,R76*Assumptions!$B$135,0)</f>
        <v>0</v>
      </c>
      <c r="S77" s="28" t="n">
        <f aca="false">IF(S2&gt;=Assumptions!$B$48,S76*Assumptions!$B$135,0)</f>
        <v>0</v>
      </c>
      <c r="T77" s="28" t="n">
        <f aca="false">IF(T2&gt;=Assumptions!$B$48,T76*Assumptions!$B$135,0)</f>
        <v>0</v>
      </c>
      <c r="U77" s="28" t="n">
        <f aca="false">IF(U2&gt;=Assumptions!$B$48,U76*Assumptions!$B$135,0)</f>
        <v>0</v>
      </c>
      <c r="V77" s="28" t="n">
        <f aca="false">IF(V2&gt;=Assumptions!$B$48,V76*Assumptions!$B$135,0)</f>
        <v>0</v>
      </c>
      <c r="W77" s="28" t="n">
        <f aca="false">IF(W2&gt;=Assumptions!$B$48,W76*Assumptions!$B$135,0)</f>
        <v>3.1976802</v>
      </c>
      <c r="X77" s="28" t="n">
        <f aca="false">IF(X2&gt;=Assumptions!$B$48,X76*Assumptions!$B$135,0)</f>
        <v>6.30248903362037</v>
      </c>
      <c r="Y77" s="28" t="n">
        <f aca="false">IF(Y2&gt;=Assumptions!$B$48,Y76*Assumptions!$B$135,0)</f>
        <v>9.3354074693751</v>
      </c>
      <c r="Z77" s="28" t="n">
        <f aca="false">IF(Z2&gt;=Assumptions!$B$48,Z76*Assumptions!$B$135,0)</f>
        <v>13.1927265384353</v>
      </c>
      <c r="AA77" s="28" t="n">
        <f aca="false">IF(AA2&gt;=Assumptions!$B$48,AA76*Assumptions!$B$135,0)</f>
        <v>112.980295227685</v>
      </c>
      <c r="AB77" s="28" t="n">
        <f aca="false">IF(AB2&gt;=Assumptions!$B$48,AB76*Assumptions!$B$135,0)</f>
        <v>226.403334776647</v>
      </c>
      <c r="AC77" s="28" t="n">
        <f aca="false">IF(AC2&gt;=Assumptions!$B$48,AC76*Assumptions!$B$135,0)</f>
        <v>392.379594762679</v>
      </c>
      <c r="AD77" s="28" t="n">
        <f aca="false">IF(AD2&gt;=Assumptions!$B$48,AD76*Assumptions!$B$135,0)</f>
        <v>604.70146392355</v>
      </c>
      <c r="AE77" s="28" t="n">
        <f aca="false">IF(AE2&gt;=Assumptions!$B$48,AE76*Assumptions!$B$135,0)</f>
        <v>848.619813928301</v>
      </c>
    </row>
    <row r="78" customFormat="false" ht="15" hidden="false" customHeight="false" outlineLevel="0" collapsed="false">
      <c r="A78" s="6" t="s">
        <v>448</v>
      </c>
      <c r="B78" s="23" t="s">
        <v>109</v>
      </c>
      <c r="C78" s="54" t="n">
        <f aca="false">IF(C65=0,0,C74/C65*Assumptions!$B$31)</f>
        <v>0</v>
      </c>
      <c r="D78" s="54" t="n">
        <f aca="false">IF(D65=0,0,D74/D65*Assumptions!$B$31)</f>
        <v>0</v>
      </c>
      <c r="E78" s="54" t="n">
        <f aca="false">IF(E65=0,0,E74/E65*Assumptions!$B$31)</f>
        <v>0</v>
      </c>
      <c r="F78" s="54" t="n">
        <f aca="false">IF(F65=0,0,F74/F65*Assumptions!$B$31)</f>
        <v>0</v>
      </c>
      <c r="G78" s="54" t="n">
        <f aca="false">IF(G65=0,0,G74/G65*Assumptions!$B$31)</f>
        <v>0</v>
      </c>
      <c r="H78" s="54" t="n">
        <f aca="false">IF(H65=0,0,H74/H65*Assumptions!$B$31)</f>
        <v>0</v>
      </c>
      <c r="I78" s="54" t="n">
        <f aca="false">IF(I65=0,0,I74/I65*Assumptions!$B$31)</f>
        <v>0</v>
      </c>
      <c r="J78" s="54" t="n">
        <f aca="false">IF(J65=0,0,J74/J65*Assumptions!$B$31)</f>
        <v>0</v>
      </c>
      <c r="K78" s="54" t="n">
        <f aca="false">IF(K65=0,0,K74/K65*Assumptions!$B$31)</f>
        <v>0</v>
      </c>
      <c r="L78" s="54" t="n">
        <f aca="false">IF(L65=0,0,L74/L65*Assumptions!$B$31)</f>
        <v>0</v>
      </c>
      <c r="M78" s="54" t="n">
        <f aca="false">IF(M65=0,0,M74/M65*Assumptions!$B$31)</f>
        <v>0</v>
      </c>
      <c r="N78" s="54" t="n">
        <f aca="false">IF(N65=0,0,N74/N65*Assumptions!$B$31)</f>
        <v>0</v>
      </c>
      <c r="O78" s="54" t="n">
        <f aca="false">IF(O65=0,0,O74/O65*Assumptions!$B$31)</f>
        <v>13.5133210180624</v>
      </c>
      <c r="P78" s="54" t="n">
        <f aca="false">IF(P65=0,0,P74/P65*Assumptions!$B$31)</f>
        <v>20.4229821922244</v>
      </c>
      <c r="Q78" s="54" t="n">
        <f aca="false">IF(Q65=0,0,Q74/Q65*Assumptions!$B$31)</f>
        <v>27.4051637749502</v>
      </c>
      <c r="R78" s="54" t="n">
        <f aca="false">IF(R65=0,0,R74/R65*Assumptions!$B$31)</f>
        <v>32.9462654842413</v>
      </c>
      <c r="S78" s="54" t="n">
        <f aca="false">IF(S65=0,0,S74/S65*Assumptions!$B$31)</f>
        <v>39.5972641236777</v>
      </c>
      <c r="T78" s="54" t="n">
        <f aca="false">IF(T65=0,0,T74/T65*Assumptions!$B$31)</f>
        <v>47.2655586065002</v>
      </c>
      <c r="U78" s="54" t="n">
        <f aca="false">IF(U65=0,0,U74/U65*Assumptions!$B$31)</f>
        <v>54.8790111438634</v>
      </c>
      <c r="V78" s="54" t="n">
        <f aca="false">IF(V65=0,0,V74/V65*Assumptions!$B$31)</f>
        <v>62.2596377997989</v>
      </c>
      <c r="W78" s="54" t="n">
        <f aca="false">IF(W65=0,0,W74/W65*Assumptions!$B$31)</f>
        <v>68.7967754343294</v>
      </c>
      <c r="X78" s="54" t="n">
        <f aca="false">IF(X65=0,0,X74/X65*Assumptions!$B$31)</f>
        <v>72.6869731041735</v>
      </c>
      <c r="Y78" s="54" t="n">
        <f aca="false">IF(Y65=0,0,Y74/Y65*Assumptions!$B$31)</f>
        <v>77.9424194527099</v>
      </c>
      <c r="Z78" s="54" t="n">
        <f aca="false">IF(Z65=0,0,Z74/Z65*Assumptions!$B$31)</f>
        <v>84.5357496460571</v>
      </c>
      <c r="AA78" s="54" t="n">
        <f aca="false">IF(AA65=0,0,AA74/AA65*Assumptions!$B$31)</f>
        <v>191.594382920671</v>
      </c>
      <c r="AB78" s="54" t="n">
        <f aca="false">IF(AB65=0,0,AB74/AB65*Assumptions!$B$31)</f>
        <v>245.100320291302</v>
      </c>
      <c r="AC78" s="54" t="n">
        <f aca="false">IF(AC65=0,0,AC74/AC65*Assumptions!$B$31)</f>
        <v>280.665263557129</v>
      </c>
      <c r="AD78" s="54" t="n">
        <f aca="false">IF(AD65=0,0,AD74/AD65*Assumptions!$B$31)</f>
        <v>314.244869885724</v>
      </c>
      <c r="AE78" s="54" t="n">
        <f aca="false">IF(AE65=0,0,AE74/AE65*Assumptions!$B$31)</f>
        <v>349.946623177049</v>
      </c>
    </row>
    <row r="79" customFormat="false" ht="15" hidden="false" customHeight="false" outlineLevel="0" collapsed="false">
      <c r="A79" s="6" t="s">
        <v>449</v>
      </c>
      <c r="B79" s="23" t="s">
        <v>76</v>
      </c>
      <c r="C79" s="54" t="n">
        <f aca="false">C78*Assumptions!$B$149*Assumptions!$B$151</f>
        <v>0</v>
      </c>
      <c r="D79" s="54" t="n">
        <f aca="false">D78*Assumptions!$B$149*Assumptions!$B$151</f>
        <v>0</v>
      </c>
      <c r="E79" s="54" t="n">
        <f aca="false">E78*Assumptions!$B$149*Assumptions!$B$151</f>
        <v>0</v>
      </c>
      <c r="F79" s="54" t="n">
        <f aca="false">F78*Assumptions!$B$149*Assumptions!$B$151</f>
        <v>0</v>
      </c>
      <c r="G79" s="54" t="n">
        <f aca="false">G78*Assumptions!$B$149*Assumptions!$B$151</f>
        <v>0</v>
      </c>
      <c r="H79" s="54" t="n">
        <f aca="false">H78*Assumptions!$B$149*Assumptions!$B$151</f>
        <v>0</v>
      </c>
      <c r="I79" s="54" t="n">
        <f aca="false">I78*Assumptions!$B$149*Assumptions!$B$151</f>
        <v>0</v>
      </c>
      <c r="J79" s="54" t="n">
        <f aca="false">J78*Assumptions!$B$149*Assumptions!$B$151</f>
        <v>0</v>
      </c>
      <c r="K79" s="54" t="n">
        <f aca="false">K78*Assumptions!$B$149*Assumptions!$B$151</f>
        <v>0</v>
      </c>
      <c r="L79" s="54" t="n">
        <f aca="false">L78*Assumptions!$B$149*Assumptions!$B$151</f>
        <v>0</v>
      </c>
      <c r="M79" s="54" t="n">
        <f aca="false">M78*Assumptions!$B$149*Assumptions!$B$151</f>
        <v>0</v>
      </c>
      <c r="N79" s="54" t="n">
        <f aca="false">N78*Assumptions!$B$149*Assumptions!$B$151</f>
        <v>0</v>
      </c>
      <c r="O79" s="54" t="n">
        <f aca="false">O78*Assumptions!$B$149*Assumptions!$B$151</f>
        <v>14.1889870689655</v>
      </c>
      <c r="P79" s="54" t="n">
        <f aca="false">P78*Assumptions!$B$149*Assumptions!$B$151</f>
        <v>21.4441313018357</v>
      </c>
      <c r="Q79" s="54" t="n">
        <f aca="false">Q78*Assumptions!$B$149*Assumptions!$B$151</f>
        <v>28.7754219636977</v>
      </c>
      <c r="R79" s="54" t="n">
        <f aca="false">R78*Assumptions!$B$149*Assumptions!$B$151</f>
        <v>34.5935787584534</v>
      </c>
      <c r="S79" s="54" t="n">
        <f aca="false">S78*Assumptions!$B$149*Assumptions!$B$151</f>
        <v>41.5771273298616</v>
      </c>
      <c r="T79" s="54" t="n">
        <f aca="false">T78*Assumptions!$B$149*Assumptions!$B$151</f>
        <v>49.6288365368252</v>
      </c>
      <c r="U79" s="54" t="n">
        <f aca="false">U78*Assumptions!$B$149*Assumptions!$B$151</f>
        <v>57.6229617010566</v>
      </c>
      <c r="V79" s="54" t="n">
        <f aca="false">V78*Assumptions!$B$149*Assumptions!$B$151</f>
        <v>65.3726196897888</v>
      </c>
      <c r="W79" s="54" t="n">
        <f aca="false">W78*Assumptions!$B$149*Assumptions!$B$151</f>
        <v>72.2366142060459</v>
      </c>
      <c r="X79" s="54" t="n">
        <f aca="false">X78*Assumptions!$B$149*Assumptions!$B$151</f>
        <v>76.3213217593821</v>
      </c>
      <c r="Y79" s="54" t="n">
        <f aca="false">Y78*Assumptions!$B$149*Assumptions!$B$151</f>
        <v>81.8395404253454</v>
      </c>
      <c r="Z79" s="54" t="n">
        <f aca="false">Z78*Assumptions!$B$149*Assumptions!$B$151</f>
        <v>88.76253712836</v>
      </c>
      <c r="AA79" s="54" t="n">
        <f aca="false">AA78*Assumptions!$B$149*Assumptions!$B$151</f>
        <v>201.174102066705</v>
      </c>
      <c r="AB79" s="54" t="n">
        <f aca="false">AB78*Assumptions!$B$149*Assumptions!$B$151</f>
        <v>257.355336305867</v>
      </c>
      <c r="AC79" s="54" t="n">
        <f aca="false">AC78*Assumptions!$B$149*Assumptions!$B$151</f>
        <v>294.698526734985</v>
      </c>
      <c r="AD79" s="54" t="n">
        <f aca="false">AD78*Assumptions!$B$149*Assumptions!$B$151</f>
        <v>329.95711338001</v>
      </c>
      <c r="AE79" s="54" t="n">
        <f aca="false">AE78*Assumptions!$B$149*Assumptions!$B$151</f>
        <v>367.443954335902</v>
      </c>
    </row>
    <row r="80" customFormat="false" ht="15" hidden="false" customHeight="false" outlineLevel="0" collapsed="false">
      <c r="A80" s="6" t="s">
        <v>450</v>
      </c>
      <c r="B80" s="23" t="s">
        <v>109</v>
      </c>
      <c r="C80" s="54" t="n">
        <f aca="false">C79/12*C16</f>
        <v>0</v>
      </c>
      <c r="D80" s="54" t="n">
        <f aca="false">D79/12*D16</f>
        <v>0</v>
      </c>
      <c r="E80" s="54" t="n">
        <f aca="false">E79/12*E16</f>
        <v>0</v>
      </c>
      <c r="F80" s="54" t="n">
        <f aca="false">F79/12*F16</f>
        <v>0</v>
      </c>
      <c r="G80" s="54" t="n">
        <f aca="false">G79/12*G16</f>
        <v>0</v>
      </c>
      <c r="H80" s="54" t="n">
        <f aca="false">H79/12*H16</f>
        <v>0</v>
      </c>
      <c r="I80" s="54" t="n">
        <f aca="false">I79/12*I16</f>
        <v>0</v>
      </c>
      <c r="J80" s="54" t="n">
        <f aca="false">J79/12*J16</f>
        <v>0</v>
      </c>
      <c r="K80" s="54" t="n">
        <f aca="false">K79/12*K16</f>
        <v>0</v>
      </c>
      <c r="L80" s="54" t="n">
        <f aca="false">L79/12*L16</f>
        <v>0</v>
      </c>
      <c r="M80" s="54" t="n">
        <f aca="false">M79/12*M16</f>
        <v>0</v>
      </c>
      <c r="N80" s="54" t="n">
        <f aca="false">N79/12*N16</f>
        <v>0</v>
      </c>
      <c r="O80" s="54" t="n">
        <f aca="false">O79/12*O16</f>
        <v>1.30065714798851</v>
      </c>
      <c r="P80" s="54" t="n">
        <f aca="false">P79/12*P16</f>
        <v>1.78701094181964</v>
      </c>
      <c r="Q80" s="54" t="n">
        <f aca="false">Q79/12*Q16</f>
        <v>2.34999279370198</v>
      </c>
      <c r="R80" s="54" t="n">
        <f aca="false">R79/12*R16</f>
        <v>2.82514226527369</v>
      </c>
      <c r="S80" s="54" t="n">
        <f aca="false">S79/12*S16</f>
        <v>3.4647606108218</v>
      </c>
      <c r="T80" s="54" t="n">
        <f aca="false">T79/12*T16</f>
        <v>3.92894955916533</v>
      </c>
      <c r="U80" s="54" t="n">
        <f aca="false">U79/12*U16</f>
        <v>4.22568385807748</v>
      </c>
      <c r="V80" s="54" t="n">
        <f aca="false">V79/12*V16</f>
        <v>4.90294647673416</v>
      </c>
      <c r="W80" s="54" t="n">
        <f aca="false">W79/12*W16</f>
        <v>6.01971785050383</v>
      </c>
      <c r="X80" s="54" t="n">
        <f aca="false">X79/12*X16</f>
        <v>6.48731234954748</v>
      </c>
      <c r="Y80" s="54" t="n">
        <f aca="false">Y79/12*Y16</f>
        <v>7.16095978721772</v>
      </c>
      <c r="Z80" s="54" t="n">
        <f aca="false">Z79/12*Z16</f>
        <v>8.43244102719419</v>
      </c>
      <c r="AA80" s="54" t="n">
        <f aca="false">AA79/12*AA16</f>
        <v>16.7645085055587</v>
      </c>
      <c r="AB80" s="54" t="n">
        <f aca="false">AB79/12*AB16</f>
        <v>21.4462780254889</v>
      </c>
      <c r="AC80" s="54" t="n">
        <f aca="false">AC79/12*AC16</f>
        <v>24.5582105612487</v>
      </c>
      <c r="AD80" s="54" t="n">
        <f aca="false">AD79/12*AD16</f>
        <v>27.4964261150009</v>
      </c>
      <c r="AE80" s="54" t="n">
        <f aca="false">AE79/12*AE16</f>
        <v>30.6203295279918</v>
      </c>
    </row>
    <row r="81" customFormat="false" ht="15" hidden="false" customHeight="false" outlineLevel="0" collapsed="false">
      <c r="A81" s="6" t="s">
        <v>451</v>
      </c>
      <c r="B81" s="23" t="s">
        <v>452</v>
      </c>
      <c r="C81" s="44" t="n">
        <f aca="false">C77*C80*Assumptions!$B$7*C7</f>
        <v>0</v>
      </c>
      <c r="D81" s="44" t="n">
        <f aca="false">D77*D80*Assumptions!$B$7*D7</f>
        <v>0</v>
      </c>
      <c r="E81" s="44" t="n">
        <f aca="false">E77*E80*Assumptions!$B$7*E7</f>
        <v>0</v>
      </c>
      <c r="F81" s="44" t="n">
        <f aca="false">F77*F80*Assumptions!$B$7*F7</f>
        <v>0</v>
      </c>
      <c r="G81" s="44" t="n">
        <f aca="false">G77*G80*Assumptions!$B$7*G7</f>
        <v>0</v>
      </c>
      <c r="H81" s="44" t="n">
        <f aca="false">H77*H80*Assumptions!$B$7*H7</f>
        <v>0</v>
      </c>
      <c r="I81" s="44" t="n">
        <f aca="false">I77*I80*Assumptions!$B$7*I7</f>
        <v>0</v>
      </c>
      <c r="J81" s="44" t="n">
        <f aca="false">J77*J80*Assumptions!$B$7*J7</f>
        <v>0</v>
      </c>
      <c r="K81" s="44" t="n">
        <f aca="false">K77*K80*Assumptions!$B$7*K7</f>
        <v>0</v>
      </c>
      <c r="L81" s="44" t="n">
        <f aca="false">L77*L80*Assumptions!$B$7*L7</f>
        <v>0</v>
      </c>
      <c r="M81" s="44" t="n">
        <f aca="false">M77*M80*Assumptions!$B$7*M7</f>
        <v>0</v>
      </c>
      <c r="N81" s="44" t="n">
        <f aca="false">N77*N80*Assumptions!$B$7*N7</f>
        <v>0</v>
      </c>
      <c r="O81" s="44" t="n">
        <f aca="false">O77*O80*Assumptions!$B$7*O7</f>
        <v>0</v>
      </c>
      <c r="P81" s="44" t="n">
        <f aca="false">P77*P80*Assumptions!$B$7*P7</f>
        <v>0</v>
      </c>
      <c r="Q81" s="44" t="n">
        <f aca="false">Q77*Q80*Assumptions!$B$7*Q7</f>
        <v>0</v>
      </c>
      <c r="R81" s="44" t="n">
        <f aca="false">R77*R80*Assumptions!$B$7*R7</f>
        <v>0</v>
      </c>
      <c r="S81" s="44" t="n">
        <f aca="false">S77*S80*Assumptions!$B$7*S7</f>
        <v>0</v>
      </c>
      <c r="T81" s="44" t="n">
        <f aca="false">T77*T80*Assumptions!$B$7*T7</f>
        <v>0</v>
      </c>
      <c r="U81" s="44" t="n">
        <f aca="false">U77*U80*Assumptions!$B$7*U7</f>
        <v>0</v>
      </c>
      <c r="V81" s="44" t="n">
        <f aca="false">V77*V80*Assumptions!$B$7*V7</f>
        <v>0</v>
      </c>
      <c r="W81" s="44" t="n">
        <f aca="false">W77*W80*Assumptions!$B$7*W7</f>
        <v>70.6924394005739</v>
      </c>
      <c r="X81" s="44" t="n">
        <f aca="false">X77*X80*Assumptions!$B$7*X7</f>
        <v>150.154624369695</v>
      </c>
      <c r="Y81" s="44" t="n">
        <f aca="false">Y77*Y80*Assumptions!$B$7*Y7</f>
        <v>245.508378565451</v>
      </c>
      <c r="Z81" s="44" t="n">
        <f aca="false">Z77*Z80*Assumptions!$B$7*Z7</f>
        <v>408.554198101657</v>
      </c>
      <c r="AA81" s="44" t="n">
        <f aca="false">AA77*AA80*Assumptions!$B$7*AA7</f>
        <v>83471.1854318444</v>
      </c>
      <c r="AB81" s="44" t="n">
        <f aca="false">AB77*AB80*Assumptions!$B$7*AB7</f>
        <v>213982.27561523</v>
      </c>
      <c r="AC81" s="44" t="n">
        <f aca="false">AC77*AC80*Assumptions!$B$7*AC7</f>
        <v>424664.721006819</v>
      </c>
      <c r="AD81" s="44" t="n">
        <f aca="false">AD77*AD80*Assumptions!$B$7*AD7</f>
        <v>732757.580512605</v>
      </c>
      <c r="AE81" s="44" t="n">
        <f aca="false">AE77*AE80*Assumptions!$B$7*AE7</f>
        <v>1145159.75852883</v>
      </c>
    </row>
    <row r="82" customFormat="false" ht="15" hidden="false" customHeight="false" outlineLevel="0" collapsed="false">
      <c r="A82" s="6" t="s">
        <v>451</v>
      </c>
      <c r="B82" s="23" t="s">
        <v>109</v>
      </c>
      <c r="C82" s="54" t="n">
        <f aca="false">C81/Assumptions!$B$7</f>
        <v>0</v>
      </c>
      <c r="D82" s="54" t="n">
        <f aca="false">D81/Assumptions!$B$7</f>
        <v>0</v>
      </c>
      <c r="E82" s="54" t="n">
        <f aca="false">E81/Assumptions!$B$7</f>
        <v>0</v>
      </c>
      <c r="F82" s="54" t="n">
        <f aca="false">F81/Assumptions!$B$7</f>
        <v>0</v>
      </c>
      <c r="G82" s="54" t="n">
        <f aca="false">G81/Assumptions!$B$7</f>
        <v>0</v>
      </c>
      <c r="H82" s="54" t="n">
        <f aca="false">H81/Assumptions!$B$7</f>
        <v>0</v>
      </c>
      <c r="I82" s="54" t="n">
        <f aca="false">I81/Assumptions!$B$7</f>
        <v>0</v>
      </c>
      <c r="J82" s="54" t="n">
        <f aca="false">J81/Assumptions!$B$7</f>
        <v>0</v>
      </c>
      <c r="K82" s="54" t="n">
        <f aca="false">K81/Assumptions!$B$7</f>
        <v>0</v>
      </c>
      <c r="L82" s="54" t="n">
        <f aca="false">L81/Assumptions!$B$7</f>
        <v>0</v>
      </c>
      <c r="M82" s="54" t="n">
        <f aca="false">M81/Assumptions!$B$7</f>
        <v>0</v>
      </c>
      <c r="N82" s="54" t="n">
        <f aca="false">N81/Assumptions!$B$7</f>
        <v>0</v>
      </c>
      <c r="O82" s="54" t="n">
        <f aca="false">O81/Assumptions!$B$7</f>
        <v>0</v>
      </c>
      <c r="P82" s="54" t="n">
        <f aca="false">P81/Assumptions!$B$7</f>
        <v>0</v>
      </c>
      <c r="Q82" s="54" t="n">
        <f aca="false">Q81/Assumptions!$B$7</f>
        <v>0</v>
      </c>
      <c r="R82" s="54" t="n">
        <f aca="false">R81/Assumptions!$B$7</f>
        <v>0</v>
      </c>
      <c r="S82" s="54" t="n">
        <f aca="false">S81/Assumptions!$B$7</f>
        <v>0</v>
      </c>
      <c r="T82" s="54" t="n">
        <f aca="false">T81/Assumptions!$B$7</f>
        <v>0</v>
      </c>
      <c r="U82" s="54" t="n">
        <f aca="false">U81/Assumptions!$B$7</f>
        <v>0</v>
      </c>
      <c r="V82" s="54" t="n">
        <f aca="false">V81/Assumptions!$B$7</f>
        <v>0</v>
      </c>
      <c r="W82" s="54" t="n">
        <f aca="false">W81/Assumptions!$B$7</f>
        <v>19.2491325801426</v>
      </c>
      <c r="X82" s="54" t="n">
        <f aca="false">X81/Assumptions!$B$7</f>
        <v>40.886214940693</v>
      </c>
      <c r="Y82" s="54" t="n">
        <f aca="false">Y81/Assumptions!$B$7</f>
        <v>66.8504774854871</v>
      </c>
      <c r="Z82" s="54" t="n">
        <f aca="false">Z81/Assumptions!$B$7</f>
        <v>111.246888523256</v>
      </c>
      <c r="AA82" s="54" t="n">
        <f aca="false">AA81/Assumptions!$B$7</f>
        <v>22728.7094436608</v>
      </c>
      <c r="AB82" s="54" t="n">
        <f aca="false">AB81/Assumptions!$B$7</f>
        <v>58266.1063622138</v>
      </c>
      <c r="AC82" s="54" t="n">
        <f aca="false">AC81/Assumptions!$B$7</f>
        <v>115633.688497432</v>
      </c>
      <c r="AD82" s="54" t="n">
        <f aca="false">AD81/Assumptions!$B$7</f>
        <v>199525.549492881</v>
      </c>
      <c r="AE82" s="54" t="n">
        <f aca="false">AE81/Assumptions!$B$7</f>
        <v>311820.220157612</v>
      </c>
    </row>
    <row r="83" customFormat="false" ht="15" hidden="false" customHeight="false" outlineLevel="0" collapsed="false">
      <c r="A83" s="6" t="s">
        <v>453</v>
      </c>
      <c r="B83" s="23" t="s">
        <v>452</v>
      </c>
      <c r="C83" s="44" t="n">
        <f aca="false">IF(Assumptions!$B$136=0,0,C78*Assumptions!$B$149*Assumptions!$B$7/Assumptions!$B$136)</f>
        <v>0</v>
      </c>
      <c r="D83" s="44" t="n">
        <f aca="false">IF(Assumptions!$B$136=0,0,D78*Assumptions!$B$149*Assumptions!$B$7/Assumptions!$B$136)</f>
        <v>0</v>
      </c>
      <c r="E83" s="44" t="n">
        <f aca="false">IF(Assumptions!$B$136=0,0,E78*Assumptions!$B$149*Assumptions!$B$7/Assumptions!$B$136)</f>
        <v>0</v>
      </c>
      <c r="F83" s="44" t="n">
        <f aca="false">IF(Assumptions!$B$136=0,0,F78*Assumptions!$B$149*Assumptions!$B$7/Assumptions!$B$136)</f>
        <v>0</v>
      </c>
      <c r="G83" s="44" t="n">
        <f aca="false">IF(Assumptions!$B$136=0,0,G78*Assumptions!$B$149*Assumptions!$B$7/Assumptions!$B$136)</f>
        <v>0</v>
      </c>
      <c r="H83" s="44" t="n">
        <f aca="false">IF(Assumptions!$B$136=0,0,H78*Assumptions!$B$149*Assumptions!$B$7/Assumptions!$B$136)</f>
        <v>0</v>
      </c>
      <c r="I83" s="44" t="n">
        <f aca="false">IF(Assumptions!$B$136=0,0,I78*Assumptions!$B$149*Assumptions!$B$7/Assumptions!$B$136)</f>
        <v>0</v>
      </c>
      <c r="J83" s="44" t="n">
        <f aca="false">IF(Assumptions!$B$136=0,0,J78*Assumptions!$B$149*Assumptions!$B$7/Assumptions!$B$136)</f>
        <v>0</v>
      </c>
      <c r="K83" s="44" t="n">
        <f aca="false">IF(Assumptions!$B$136=0,0,K78*Assumptions!$B$149*Assumptions!$B$7/Assumptions!$B$136)</f>
        <v>0</v>
      </c>
      <c r="L83" s="44" t="n">
        <f aca="false">IF(Assumptions!$B$136=0,0,L78*Assumptions!$B$149*Assumptions!$B$7/Assumptions!$B$136)</f>
        <v>0</v>
      </c>
      <c r="M83" s="44" t="n">
        <f aca="false">IF(Assumptions!$B$136=0,0,M78*Assumptions!$B$149*Assumptions!$B$7/Assumptions!$B$136)</f>
        <v>0</v>
      </c>
      <c r="N83" s="44" t="n">
        <f aca="false">IF(Assumptions!$B$136=0,0,N78*Assumptions!$B$149*Assumptions!$B$7/Assumptions!$B$136)</f>
        <v>0</v>
      </c>
      <c r="O83" s="44" t="n">
        <f aca="false">IF(Assumptions!$B$136=0,0,O78*Assumptions!$B$149*Assumptions!$B$7/Assumptions!$B$136)</f>
        <v>6.20345892985427</v>
      </c>
      <c r="P83" s="44" t="n">
        <f aca="false">IF(Assumptions!$B$136=0,0,P78*Assumptions!$B$149*Assumptions!$B$7/Assumptions!$B$136)</f>
        <v>9.37542526261803</v>
      </c>
      <c r="Q83" s="44" t="n">
        <f aca="false">IF(Assumptions!$B$136=0,0,Q78*Assumptions!$B$149*Assumptions!$B$7/Assumptions!$B$136)</f>
        <v>12.5806829954381</v>
      </c>
      <c r="R83" s="44" t="n">
        <f aca="false">IF(Assumptions!$B$136=0,0,R78*Assumptions!$B$149*Assumptions!$B$7/Assumptions!$B$136)</f>
        <v>15.1243949988595</v>
      </c>
      <c r="S83" s="44" t="n">
        <f aca="false">IF(Assumptions!$B$136=0,0,S78*Assumptions!$B$149*Assumptions!$B$7/Assumptions!$B$136)</f>
        <v>18.1776190617758</v>
      </c>
      <c r="T83" s="44" t="n">
        <f aca="false">IF(Assumptions!$B$136=0,0,T78*Assumptions!$B$149*Assumptions!$B$7/Assumptions!$B$136)</f>
        <v>21.6978454977965</v>
      </c>
      <c r="U83" s="44" t="n">
        <f aca="false">IF(Assumptions!$B$136=0,0,U78*Assumptions!$B$149*Assumptions!$B$7/Assumptions!$B$136)</f>
        <v>25.1928960532298</v>
      </c>
      <c r="V83" s="44" t="n">
        <f aca="false">IF(Assumptions!$B$136=0,0,V78*Assumptions!$B$149*Assumptions!$B$7/Assumptions!$B$136)</f>
        <v>28.5810649774702</v>
      </c>
      <c r="W83" s="44" t="n">
        <f aca="false">IF(Assumptions!$B$136=0,0,W78*Assumptions!$B$149*Assumptions!$B$7/Assumptions!$B$136)</f>
        <v>31.5820197228218</v>
      </c>
      <c r="X83" s="44" t="n">
        <f aca="false">IF(Assumptions!$B$136=0,0,X78*Assumptions!$B$149*Assumptions!$B$7/Assumptions!$B$136)</f>
        <v>33.3678635906346</v>
      </c>
      <c r="Y83" s="44" t="n">
        <f aca="false">IF(Assumptions!$B$136=0,0,Y78*Assumptions!$B$149*Assumptions!$B$7/Assumptions!$B$136)</f>
        <v>35.7804419300096</v>
      </c>
      <c r="Z83" s="44" t="n">
        <f aca="false">IF(Assumptions!$B$136=0,0,Z78*Assumptions!$B$149*Assumptions!$B$7/Assumptions!$B$136)</f>
        <v>38.8071925718931</v>
      </c>
      <c r="AA83" s="44" t="n">
        <f aca="false">IF(Assumptions!$B$136=0,0,AA78*Assumptions!$B$149*Assumptions!$B$7/Assumptions!$B$136)</f>
        <v>87.9537964095206</v>
      </c>
      <c r="AB83" s="44" t="n">
        <f aca="false">IF(Assumptions!$B$136=0,0,AB78*Assumptions!$B$149*Assumptions!$B$7/Assumptions!$B$136)</f>
        <v>112.516365783726</v>
      </c>
      <c r="AC83" s="44" t="n">
        <f aca="false">IF(Assumptions!$B$136=0,0,AC78*Assumptions!$B$149*Assumptions!$B$7/Assumptions!$B$136)</f>
        <v>128.842897551694</v>
      </c>
      <c r="AD83" s="44" t="n">
        <f aca="false">IF(Assumptions!$B$136=0,0,AD78*Assumptions!$B$149*Assumptions!$B$7/Assumptions!$B$136)</f>
        <v>144.258035581915</v>
      </c>
      <c r="AE83" s="44" t="n">
        <f aca="false">IF(Assumptions!$B$136=0,0,AE78*Assumptions!$B$149*Assumptions!$B$7/Assumptions!$B$136)</f>
        <v>160.647371702214</v>
      </c>
    </row>
    <row r="84" customFormat="false" ht="15" hidden="false" customHeight="false" outlineLevel="0" collapsed="false">
      <c r="A84" s="6" t="s">
        <v>454</v>
      </c>
      <c r="B84" s="23" t="s">
        <v>455</v>
      </c>
      <c r="C84" s="44" t="n">
        <f aca="false">C77*Assumptions!$B$151*Assumptions!$B$136*C7/12*(1+Assumptions!$B$16)</f>
        <v>0</v>
      </c>
      <c r="D84" s="44" t="n">
        <f aca="false">D77*Assumptions!$B$151*Assumptions!$B$136*D7/12*(1+Assumptions!$B$16)</f>
        <v>0</v>
      </c>
      <c r="E84" s="44" t="n">
        <f aca="false">E77*Assumptions!$B$151*Assumptions!$B$136*E7/12*(1+Assumptions!$B$16)</f>
        <v>0</v>
      </c>
      <c r="F84" s="44" t="n">
        <f aca="false">F77*Assumptions!$B$151*Assumptions!$B$136*F7/12*(1+Assumptions!$B$16)</f>
        <v>0</v>
      </c>
      <c r="G84" s="44" t="n">
        <f aca="false">G77*Assumptions!$B$151*Assumptions!$B$136*G7/12*(1+Assumptions!$B$16)</f>
        <v>0</v>
      </c>
      <c r="H84" s="44" t="n">
        <f aca="false">H77*Assumptions!$B$151*Assumptions!$B$136*H7/12*(1+Assumptions!$B$16)</f>
        <v>0</v>
      </c>
      <c r="I84" s="44" t="n">
        <f aca="false">I77*Assumptions!$B$151*Assumptions!$B$136*I7/12*(1+Assumptions!$B$16)</f>
        <v>0</v>
      </c>
      <c r="J84" s="44" t="n">
        <f aca="false">J77*Assumptions!$B$151*Assumptions!$B$136*J7/12*(1+Assumptions!$B$16)</f>
        <v>0</v>
      </c>
      <c r="K84" s="44" t="n">
        <f aca="false">K77*Assumptions!$B$151*Assumptions!$B$136*K7/12*(1+Assumptions!$B$16)</f>
        <v>0</v>
      </c>
      <c r="L84" s="44" t="n">
        <f aca="false">L77*Assumptions!$B$151*Assumptions!$B$136*L7/12*(1+Assumptions!$B$16)</f>
        <v>0</v>
      </c>
      <c r="M84" s="44" t="n">
        <f aca="false">M77*Assumptions!$B$151*Assumptions!$B$136*M7/12*(1+Assumptions!$B$16)</f>
        <v>0</v>
      </c>
      <c r="N84" s="44" t="n">
        <f aca="false">N77*Assumptions!$B$151*Assumptions!$B$136*N7/12*(1+Assumptions!$B$16)</f>
        <v>0</v>
      </c>
      <c r="O84" s="44" t="n">
        <f aca="false">O77*Assumptions!$B$151*Assumptions!$B$136*O7/12*(1+Assumptions!$B$16)</f>
        <v>0</v>
      </c>
      <c r="P84" s="44" t="n">
        <f aca="false">P77*Assumptions!$B$151*Assumptions!$B$136*P7/12*(1+Assumptions!$B$16)</f>
        <v>0</v>
      </c>
      <c r="Q84" s="44" t="n">
        <f aca="false">Q77*Assumptions!$B$151*Assumptions!$B$136*Q7/12*(1+Assumptions!$B$16)</f>
        <v>0</v>
      </c>
      <c r="R84" s="44" t="n">
        <f aca="false">R77*Assumptions!$B$151*Assumptions!$B$136*R7/12*(1+Assumptions!$B$16)</f>
        <v>0</v>
      </c>
      <c r="S84" s="44" t="n">
        <f aca="false">S77*Assumptions!$B$151*Assumptions!$B$136*S7/12*(1+Assumptions!$B$16)</f>
        <v>0</v>
      </c>
      <c r="T84" s="44" t="n">
        <f aca="false">T77*Assumptions!$B$151*Assumptions!$B$136*T7/12*(1+Assumptions!$B$16)</f>
        <v>0</v>
      </c>
      <c r="U84" s="44" t="n">
        <f aca="false">U77*Assumptions!$B$151*Assumptions!$B$136*U7/12*(1+Assumptions!$B$16)</f>
        <v>0</v>
      </c>
      <c r="V84" s="44" t="n">
        <f aca="false">V77*Assumptions!$B$151*Assumptions!$B$136*V7/12*(1+Assumptions!$B$16)</f>
        <v>0</v>
      </c>
      <c r="W84" s="44" t="n">
        <f aca="false">W77*Assumptions!$B$151*Assumptions!$B$136*W7/12*(1+Assumptions!$B$16)</f>
        <v>2.3726787084</v>
      </c>
      <c r="X84" s="44" t="n">
        <f aca="false">X77*Assumptions!$B$151*Assumptions!$B$136*X7/12*(1+Assumptions!$B$16)</f>
        <v>4.67644686294632</v>
      </c>
      <c r="Y84" s="44" t="n">
        <f aca="false">Y77*Assumptions!$B$151*Assumptions!$B$136*Y7/12*(1+Assumptions!$B$16)</f>
        <v>6.92687234227633</v>
      </c>
      <c r="Z84" s="44" t="n">
        <f aca="false">Z77*Assumptions!$B$151*Assumptions!$B$136*Z7/12*(1+Assumptions!$B$16)</f>
        <v>9.78900309151903</v>
      </c>
      <c r="AA84" s="44" t="n">
        <f aca="false">AA77*Assumptions!$B$151*Assumptions!$B$136*AA7/12*(1+Assumptions!$B$16)</f>
        <v>1005.97654870731</v>
      </c>
      <c r="AB84" s="44" t="n">
        <f aca="false">AB77*Assumptions!$B$151*Assumptions!$B$136*AB7/12*(1+Assumptions!$B$16)</f>
        <v>2015.89529285127</v>
      </c>
      <c r="AC84" s="44" t="n">
        <f aca="false">AC77*Assumptions!$B$151*Assumptions!$B$136*AC7/12*(1+Assumptions!$B$16)</f>
        <v>3493.74791176689</v>
      </c>
      <c r="AD84" s="44" t="n">
        <f aca="false">AD77*Assumptions!$B$151*Assumptions!$B$136*AD7/12*(1+Assumptions!$B$16)</f>
        <v>5384.26183477529</v>
      </c>
      <c r="AE84" s="44" t="n">
        <f aca="false">AE77*Assumptions!$B$151*Assumptions!$B$136*AE7/12*(1+Assumptions!$B$16)</f>
        <v>7556.11082321759</v>
      </c>
    </row>
    <row r="85" customFormat="false" ht="15" hidden="false" customHeight="false" outlineLevel="0" collapsed="false">
      <c r="A85" s="6" t="s">
        <v>456</v>
      </c>
      <c r="B85" s="23" t="s">
        <v>109</v>
      </c>
      <c r="C85" s="54" t="n">
        <f aca="false">C69*Assumptions!$B$8</f>
        <v>0</v>
      </c>
      <c r="D85" s="54" t="n">
        <f aca="false">D69*Assumptions!$B$8</f>
        <v>0</v>
      </c>
      <c r="E85" s="54" t="n">
        <f aca="false">E69*Assumptions!$B$8</f>
        <v>0</v>
      </c>
      <c r="F85" s="54" t="n">
        <f aca="false">F69*Assumptions!$B$8</f>
        <v>0</v>
      </c>
      <c r="G85" s="54" t="n">
        <f aca="false">G69*Assumptions!$B$8</f>
        <v>0</v>
      </c>
      <c r="H85" s="54" t="n">
        <f aca="false">H69*Assumptions!$B$8</f>
        <v>0</v>
      </c>
      <c r="I85" s="54" t="n">
        <f aca="false">I69*Assumptions!$B$8</f>
        <v>0</v>
      </c>
      <c r="J85" s="54" t="n">
        <f aca="false">J69*Assumptions!$B$8</f>
        <v>0</v>
      </c>
      <c r="K85" s="54" t="n">
        <f aca="false">K69*Assumptions!$B$8</f>
        <v>0</v>
      </c>
      <c r="L85" s="54" t="n">
        <f aca="false">L69*Assumptions!$B$8</f>
        <v>0</v>
      </c>
      <c r="M85" s="54" t="n">
        <f aca="false">M69*Assumptions!$B$8</f>
        <v>0</v>
      </c>
      <c r="N85" s="54" t="n">
        <f aca="false">N69*Assumptions!$B$8</f>
        <v>0</v>
      </c>
      <c r="O85" s="54" t="n">
        <f aca="false">O69*Assumptions!$B$8</f>
        <v>40.9567006805213</v>
      </c>
      <c r="P85" s="54" t="n">
        <f aca="false">P69*Assumptions!$B$8</f>
        <v>78.7334224644576</v>
      </c>
      <c r="Q85" s="54" t="n">
        <f aca="false">Q69*Assumptions!$B$8</f>
        <v>113.753439044352</v>
      </c>
      <c r="R85" s="54" t="n">
        <f aca="false">R69*Assumptions!$B$8</f>
        <v>157.630647131231</v>
      </c>
      <c r="S85" s="54" t="n">
        <f aca="false">S69*Assumptions!$B$8</f>
        <v>195.605950984223</v>
      </c>
      <c r="T85" s="54" t="n">
        <f aca="false">T69*Assumptions!$B$8</f>
        <v>225.409010986571</v>
      </c>
      <c r="U85" s="54" t="n">
        <f aca="false">U69*Assumptions!$B$8</f>
        <v>252.943851754565</v>
      </c>
      <c r="V85" s="54" t="n">
        <f aca="false">V69*Assumptions!$B$8</f>
        <v>279.617071788502</v>
      </c>
      <c r="W85" s="54" t="n">
        <f aca="false">W69*Assumptions!$B$8</f>
        <v>309.162663406004</v>
      </c>
      <c r="X85" s="54" t="n">
        <f aca="false">X69*Assumptions!$B$8</f>
        <v>352.8585227308</v>
      </c>
      <c r="Y85" s="54" t="n">
        <f aca="false">Y69*Assumptions!$B$8</f>
        <v>390.750870397158</v>
      </c>
      <c r="Z85" s="54" t="n">
        <f aca="false">Z69*Assumptions!$B$8</f>
        <v>420.866281933782</v>
      </c>
      <c r="AA85" s="54" t="n">
        <f aca="false">AA69*Assumptions!$B$8</f>
        <v>11077.7485455244</v>
      </c>
      <c r="AB85" s="54" t="n">
        <f aca="false">AB69*Assumptions!$B$8</f>
        <v>19347.5266284777</v>
      </c>
      <c r="AC85" s="54" t="n">
        <f aca="false">AC69*Assumptions!$B$8</f>
        <v>30037.3427324854</v>
      </c>
      <c r="AD85" s="54" t="n">
        <f aca="false">AD69*Assumptions!$B$8</f>
        <v>41332.7501671412</v>
      </c>
      <c r="AE85" s="54" t="n">
        <f aca="false">AE69*Assumptions!$B$8</f>
        <v>51237.6303830081</v>
      </c>
    </row>
    <row r="86" customFormat="false" ht="15" hidden="false" customHeight="false" outlineLevel="0" collapsed="false">
      <c r="A86" s="6" t="s">
        <v>457</v>
      </c>
      <c r="B86" s="23" t="s">
        <v>109</v>
      </c>
      <c r="C86" s="54" t="n">
        <f aca="false">C70*Assumptions!$B$8</f>
        <v>0</v>
      </c>
      <c r="D86" s="54" t="n">
        <f aca="false">D70*Assumptions!$B$8</f>
        <v>0</v>
      </c>
      <c r="E86" s="54" t="n">
        <f aca="false">E70*Assumptions!$B$8</f>
        <v>0</v>
      </c>
      <c r="F86" s="54" t="n">
        <f aca="false">F70*Assumptions!$B$8</f>
        <v>0</v>
      </c>
      <c r="G86" s="54" t="n">
        <f aca="false">G70*Assumptions!$B$8</f>
        <v>0</v>
      </c>
      <c r="H86" s="54" t="n">
        <f aca="false">H70*Assumptions!$B$8</f>
        <v>0</v>
      </c>
      <c r="I86" s="54" t="n">
        <f aca="false">I70*Assumptions!$B$8</f>
        <v>0</v>
      </c>
      <c r="J86" s="54" t="n">
        <f aca="false">J70*Assumptions!$B$8</f>
        <v>0</v>
      </c>
      <c r="K86" s="54" t="n">
        <f aca="false">K70*Assumptions!$B$8</f>
        <v>0</v>
      </c>
      <c r="L86" s="54" t="n">
        <f aca="false">L70*Assumptions!$B$8</f>
        <v>0</v>
      </c>
      <c r="M86" s="54" t="n">
        <f aca="false">M70*Assumptions!$B$8</f>
        <v>0</v>
      </c>
      <c r="N86" s="54" t="n">
        <f aca="false">N70*Assumptions!$B$8</f>
        <v>0</v>
      </c>
      <c r="O86" s="54" t="n">
        <f aca="false">O70*Assumptions!$B$8</f>
        <v>4.53017865539997</v>
      </c>
      <c r="P86" s="54" t="n">
        <f aca="false">P70*Assumptions!$B$8</f>
        <v>8.70862310656549</v>
      </c>
      <c r="Q86" s="54" t="n">
        <f aca="false">Q70*Assumptions!$B$8</f>
        <v>12.5821512225019</v>
      </c>
      <c r="R86" s="54" t="n">
        <f aca="false">R70*Assumptions!$B$8</f>
        <v>17.4353642067268</v>
      </c>
      <c r="S86" s="54" t="n">
        <f aca="false">S70*Assumptions!$B$8</f>
        <v>21.6357736168767</v>
      </c>
      <c r="T86" s="54" t="n">
        <f aca="false">T70*Assumptions!$B$8</f>
        <v>24.9322595164954</v>
      </c>
      <c r="U86" s="54" t="n">
        <f aca="false">U70*Assumptions!$B$8</f>
        <v>27.9778600129809</v>
      </c>
      <c r="V86" s="54" t="n">
        <f aca="false">V70*Assumptions!$B$8</f>
        <v>30.9281575237859</v>
      </c>
      <c r="W86" s="54" t="n">
        <f aca="false">W70*Assumptions!$B$8</f>
        <v>34.1961651094269</v>
      </c>
      <c r="X86" s="54" t="n">
        <f aca="false">X70*Assumptions!$B$8</f>
        <v>39.0293192930766</v>
      </c>
      <c r="Y86" s="54" t="n">
        <f aca="false">Y70*Assumptions!$B$8</f>
        <v>43.2205530045062</v>
      </c>
      <c r="Z86" s="54" t="n">
        <f aca="false">Z70*Assumptions!$B$8</f>
        <v>46.5515877869706</v>
      </c>
      <c r="AA86" s="54" t="n">
        <f aca="false">AA70*Assumptions!$B$8</f>
        <v>1225.29840482707</v>
      </c>
      <c r="AB86" s="54" t="n">
        <f aca="false">AB70*Assumptions!$B$8</f>
        <v>2140.01007675887</v>
      </c>
      <c r="AC86" s="54" t="n">
        <f aca="false">AC70*Assumptions!$B$8</f>
        <v>3322.3996721092</v>
      </c>
      <c r="AD86" s="54" t="n">
        <f aca="false">AD70*Assumptions!$B$8</f>
        <v>4571.77310342321</v>
      </c>
      <c r="AE86" s="54" t="n">
        <f aca="false">AE70*Assumptions!$B$8</f>
        <v>5667.34174524875</v>
      </c>
    </row>
    <row r="87" customFormat="false" ht="15" hidden="false" customHeight="false" outlineLevel="0" collapsed="false">
      <c r="A87" s="6" t="s">
        <v>458</v>
      </c>
      <c r="B87" s="23" t="s">
        <v>109</v>
      </c>
      <c r="C87" s="54" t="n">
        <f aca="false">C82*IF(Assumptions!$B$167=1,MIN(Assumptions!$B$14,1%),Assumptions!$B$14)*(1-Assumptions!$B$134)</f>
        <v>0</v>
      </c>
      <c r="D87" s="54" t="n">
        <f aca="false">D82*IF(Assumptions!$B$167=1,MIN(Assumptions!$B$14,1%),Assumptions!$B$14)*(1-Assumptions!$B$134)</f>
        <v>0</v>
      </c>
      <c r="E87" s="54" t="n">
        <f aca="false">E82*IF(Assumptions!$B$167=1,MIN(Assumptions!$B$14,1%),Assumptions!$B$14)*(1-Assumptions!$B$134)</f>
        <v>0</v>
      </c>
      <c r="F87" s="54" t="n">
        <f aca="false">F82*IF(Assumptions!$B$167=1,MIN(Assumptions!$B$14,1%),Assumptions!$B$14)*(1-Assumptions!$B$134)</f>
        <v>0</v>
      </c>
      <c r="G87" s="54" t="n">
        <f aca="false">G82*IF(Assumptions!$B$167=1,MIN(Assumptions!$B$14,1%),Assumptions!$B$14)*(1-Assumptions!$B$134)</f>
        <v>0</v>
      </c>
      <c r="H87" s="54" t="n">
        <f aca="false">H82*IF(Assumptions!$B$167=1,MIN(Assumptions!$B$14,1%),Assumptions!$B$14)*(1-Assumptions!$B$134)</f>
        <v>0</v>
      </c>
      <c r="I87" s="54" t="n">
        <f aca="false">I82*IF(Assumptions!$B$167=1,MIN(Assumptions!$B$14,1%),Assumptions!$B$14)*(1-Assumptions!$B$134)</f>
        <v>0</v>
      </c>
      <c r="J87" s="54" t="n">
        <f aca="false">J82*IF(Assumptions!$B$167=1,MIN(Assumptions!$B$14,1%),Assumptions!$B$14)*(1-Assumptions!$B$134)</f>
        <v>0</v>
      </c>
      <c r="K87" s="54" t="n">
        <f aca="false">K82*IF(Assumptions!$B$167=1,MIN(Assumptions!$B$14,1%),Assumptions!$B$14)*(1-Assumptions!$B$134)</f>
        <v>0</v>
      </c>
      <c r="L87" s="54" t="n">
        <f aca="false">L82*IF(Assumptions!$B$167=1,MIN(Assumptions!$B$14,1%),Assumptions!$B$14)*(1-Assumptions!$B$134)</f>
        <v>0</v>
      </c>
      <c r="M87" s="54" t="n">
        <f aca="false">M82*IF(Assumptions!$B$167=1,MIN(Assumptions!$B$14,1%),Assumptions!$B$14)*(1-Assumptions!$B$134)</f>
        <v>0</v>
      </c>
      <c r="N87" s="54" t="n">
        <f aca="false">N82*IF(Assumptions!$B$167=1,MIN(Assumptions!$B$14,1%),Assumptions!$B$14)*(1-Assumptions!$B$134)</f>
        <v>0</v>
      </c>
      <c r="O87" s="54" t="n">
        <f aca="false">O82*IF(Assumptions!$B$167=1,MIN(Assumptions!$B$14,1%),Assumptions!$B$14)*(1-Assumptions!$B$134)</f>
        <v>0</v>
      </c>
      <c r="P87" s="54" t="n">
        <f aca="false">P82*IF(Assumptions!$B$167=1,MIN(Assumptions!$B$14,1%),Assumptions!$B$14)*(1-Assumptions!$B$134)</f>
        <v>0</v>
      </c>
      <c r="Q87" s="54" t="n">
        <f aca="false">Q82*IF(Assumptions!$B$167=1,MIN(Assumptions!$B$14,1%),Assumptions!$B$14)*(1-Assumptions!$B$134)</f>
        <v>0</v>
      </c>
      <c r="R87" s="54" t="n">
        <f aca="false">R82*IF(Assumptions!$B$167=1,MIN(Assumptions!$B$14,1%),Assumptions!$B$14)*(1-Assumptions!$B$134)</f>
        <v>0</v>
      </c>
      <c r="S87" s="54" t="n">
        <f aca="false">S82*IF(Assumptions!$B$167=1,MIN(Assumptions!$B$14,1%),Assumptions!$B$14)*(1-Assumptions!$B$134)</f>
        <v>0</v>
      </c>
      <c r="T87" s="54" t="n">
        <f aca="false">T82*IF(Assumptions!$B$167=1,MIN(Assumptions!$B$14,1%),Assumptions!$B$14)*(1-Assumptions!$B$134)</f>
        <v>0</v>
      </c>
      <c r="U87" s="54" t="n">
        <f aca="false">U82*IF(Assumptions!$B$167=1,MIN(Assumptions!$B$14,1%),Assumptions!$B$14)*(1-Assumptions!$B$134)</f>
        <v>0</v>
      </c>
      <c r="V87" s="54" t="n">
        <f aca="false">V82*IF(Assumptions!$B$167=1,MIN(Assumptions!$B$14,1%),Assumptions!$B$14)*(1-Assumptions!$B$134)</f>
        <v>0</v>
      </c>
      <c r="W87" s="54" t="n">
        <f aca="false">W82*IF(Assumptions!$B$167=1,MIN(Assumptions!$B$14,1%),Assumptions!$B$14)*(1-Assumptions!$B$134)</f>
        <v>0.0970156282039189</v>
      </c>
      <c r="X87" s="54" t="n">
        <f aca="false">X82*IF(Assumptions!$B$167=1,MIN(Assumptions!$B$14,1%),Assumptions!$B$14)*(1-Assumptions!$B$134)</f>
        <v>0.206066523301093</v>
      </c>
      <c r="Y87" s="54" t="n">
        <f aca="false">Y82*IF(Assumptions!$B$167=1,MIN(Assumptions!$B$14,1%),Assumptions!$B$14)*(1-Assumptions!$B$134)</f>
        <v>0.336926406526855</v>
      </c>
      <c r="Z87" s="54" t="n">
        <f aca="false">Z82*IF(Assumptions!$B$167=1,MIN(Assumptions!$B$14,1%),Assumptions!$B$14)*(1-Assumptions!$B$134)</f>
        <v>0.56068431815721</v>
      </c>
      <c r="AA87" s="54" t="n">
        <f aca="false">AA82*IF(Assumptions!$B$167=1,MIN(Assumptions!$B$14,1%),Assumptions!$B$14)*(1-Assumptions!$B$134)</f>
        <v>114.552695596051</v>
      </c>
      <c r="AB87" s="54" t="n">
        <f aca="false">AB82*IF(Assumptions!$B$167=1,MIN(Assumptions!$B$14,1%),Assumptions!$B$14)*(1-Assumptions!$B$134)</f>
        <v>293.661176065557</v>
      </c>
      <c r="AC87" s="54" t="n">
        <f aca="false">AC82*IF(Assumptions!$B$167=1,MIN(Assumptions!$B$14,1%),Assumptions!$B$14)*(1-Assumptions!$B$134)</f>
        <v>582.793790027057</v>
      </c>
      <c r="AD87" s="54" t="n">
        <f aca="false">AD82*IF(Assumptions!$B$167=1,MIN(Assumptions!$B$14,1%),Assumptions!$B$14)*(1-Assumptions!$B$134)</f>
        <v>1005.60876944412</v>
      </c>
      <c r="AE87" s="54" t="n">
        <f aca="false">AE82*IF(Assumptions!$B$167=1,MIN(Assumptions!$B$14,1%),Assumptions!$B$14)*(1-Assumptions!$B$134)</f>
        <v>1571.57390959436</v>
      </c>
    </row>
    <row r="88" customFormat="false" ht="15" hidden="false" customHeight="false" outlineLevel="0" collapsed="false">
      <c r="A88" s="6" t="s">
        <v>459</v>
      </c>
      <c r="B88" s="23" t="s">
        <v>109</v>
      </c>
      <c r="C88" s="54" t="n">
        <f aca="false">IF(C2&gt;=Assumptions!$B$47,C65*Assumptions!$B$152*Assumptions!$B$25/12*C7,0)</f>
        <v>0</v>
      </c>
      <c r="D88" s="54" t="n">
        <f aca="false">IF(D2&gt;=Assumptions!$B$47,D65*Assumptions!$B$152*Assumptions!$B$25/12*D7,0)</f>
        <v>0</v>
      </c>
      <c r="E88" s="54" t="n">
        <f aca="false">IF(E2&gt;=Assumptions!$B$47,E65*Assumptions!$B$152*Assumptions!$B$25/12*E7,0)</f>
        <v>0</v>
      </c>
      <c r="F88" s="54" t="n">
        <f aca="false">IF(F2&gt;=Assumptions!$B$47,F65*Assumptions!$B$152*Assumptions!$B$25/12*F7,0)</f>
        <v>0</v>
      </c>
      <c r="G88" s="54" t="n">
        <f aca="false">IF(G2&gt;=Assumptions!$B$47,G65*Assumptions!$B$152*Assumptions!$B$25/12*G7,0)</f>
        <v>0</v>
      </c>
      <c r="H88" s="54" t="n">
        <f aca="false">IF(H2&gt;=Assumptions!$B$47,H65*Assumptions!$B$152*Assumptions!$B$25/12*H7,0)</f>
        <v>0</v>
      </c>
      <c r="I88" s="54" t="n">
        <f aca="false">IF(I2&gt;=Assumptions!$B$47,I65*Assumptions!$B$152*Assumptions!$B$25/12*I7,0)</f>
        <v>0</v>
      </c>
      <c r="J88" s="54" t="n">
        <f aca="false">IF(J2&gt;=Assumptions!$B$47,J65*Assumptions!$B$152*Assumptions!$B$25/12*J7,0)</f>
        <v>0</v>
      </c>
      <c r="K88" s="54" t="n">
        <f aca="false">IF(K2&gt;=Assumptions!$B$47,K65*Assumptions!$B$152*Assumptions!$B$25/12*K7,0)</f>
        <v>0</v>
      </c>
      <c r="L88" s="54" t="n">
        <f aca="false">IF(L2&gt;=Assumptions!$B$47,L65*Assumptions!$B$152*Assumptions!$B$25/12*L7,0)</f>
        <v>0</v>
      </c>
      <c r="M88" s="54" t="n">
        <f aca="false">IF(M2&gt;=Assumptions!$B$47,M65*Assumptions!$B$152*Assumptions!$B$25/12*M7,0)</f>
        <v>0</v>
      </c>
      <c r="N88" s="54" t="n">
        <f aca="false">IF(N2&gt;=Assumptions!$B$47,N65*Assumptions!$B$152*Assumptions!$B$25/12*N7,0)</f>
        <v>0</v>
      </c>
      <c r="O88" s="54" t="n">
        <f aca="false">IF(O2&gt;=Assumptions!$B$47,O65*Assumptions!$B$152*Assumptions!$B$25/12*O7,0)</f>
        <v>63.0103087392635</v>
      </c>
      <c r="P88" s="54" t="n">
        <f aca="false">IF(P2&gt;=Assumptions!$B$47,P65*Assumptions!$B$152*Assumptions!$B$25/12*P7,0)</f>
        <v>121.128342253012</v>
      </c>
      <c r="Q88" s="54" t="n">
        <f aca="false">IF(Q2&gt;=Assumptions!$B$47,Q65*Assumptions!$B$152*Assumptions!$B$25/12*Q7,0)</f>
        <v>175.005290837465</v>
      </c>
      <c r="R88" s="54" t="n">
        <f aca="false">IF(R2&gt;=Assumptions!$B$47,R65*Assumptions!$B$152*Assumptions!$B$25/12*R7,0)</f>
        <v>242.508687894201</v>
      </c>
      <c r="S88" s="54" t="n">
        <f aca="false">IF(S2&gt;=Assumptions!$B$47,S65*Assumptions!$B$152*Assumptions!$B$25/12*S7,0)</f>
        <v>300.93223228342</v>
      </c>
      <c r="T88" s="54" t="n">
        <f aca="false">IF(T2&gt;=Assumptions!$B$47,T65*Assumptions!$B$152*Assumptions!$B$25/12*T7,0)</f>
        <v>346.783093825493</v>
      </c>
      <c r="U88" s="54" t="n">
        <f aca="false">IF(U2&gt;=Assumptions!$B$47,U65*Assumptions!$B$152*Assumptions!$B$25/12*U7,0)</f>
        <v>389.144387314715</v>
      </c>
      <c r="V88" s="54" t="n">
        <f aca="false">IF(V2&gt;=Assumptions!$B$47,V65*Assumptions!$B$152*Assumptions!$B$25/12*V7,0)</f>
        <v>430.180110443849</v>
      </c>
      <c r="W88" s="54" t="n">
        <f aca="false">IF(W2&gt;=Assumptions!$B$47,W65*Assumptions!$B$152*Assumptions!$B$25/12*W7,0)</f>
        <v>475.634866778468</v>
      </c>
      <c r="X88" s="54" t="n">
        <f aca="false">IF(X2&gt;=Assumptions!$B$47,X65*Assumptions!$B$152*Assumptions!$B$25/12*X7,0)</f>
        <v>542.859265739692</v>
      </c>
      <c r="Y88" s="54" t="n">
        <f aca="false">IF(Y2&gt;=Assumptions!$B$47,Y65*Assumptions!$B$152*Assumptions!$B$25/12*Y7,0)</f>
        <v>601.155185226398</v>
      </c>
      <c r="Z88" s="54" t="n">
        <f aca="false">IF(Z2&gt;=Assumptions!$B$47,Z65*Assumptions!$B$152*Assumptions!$B$25/12*Z7,0)</f>
        <v>647.486587590434</v>
      </c>
      <c r="AA88" s="54" t="n">
        <f aca="false">IF(AA2&gt;=Assumptions!$B$47,AA65*Assumptions!$B$152*Assumptions!$B$25/12*AA7,0)</f>
        <v>17042.6900700375</v>
      </c>
      <c r="AB88" s="54" t="n">
        <f aca="false">IF(AB2&gt;=Assumptions!$B$47,AB65*Assumptions!$B$152*Assumptions!$B$25/12*AB7,0)</f>
        <v>29765.4255822734</v>
      </c>
      <c r="AC88" s="54" t="n">
        <f aca="false">IF(AC2&gt;=Assumptions!$B$47,AC65*Assumptions!$B$152*Assumptions!$B$25/12*AC7,0)</f>
        <v>46211.2965115159</v>
      </c>
      <c r="AD88" s="54" t="n">
        <f aca="false">IF(AD2&gt;=Assumptions!$B$47,AD65*Assumptions!$B$152*Assumptions!$B$25/12*AD7,0)</f>
        <v>63588.8464109865</v>
      </c>
      <c r="AE88" s="54" t="n">
        <f aca="false">IF(AE2&gt;=Assumptions!$B$47,AE65*Assumptions!$B$152*Assumptions!$B$25/12*AE7,0)</f>
        <v>78827.1236661663</v>
      </c>
    </row>
    <row r="89" customFormat="false" ht="15" hidden="false" customHeight="false" outlineLevel="0" collapsed="false">
      <c r="A89" s="6" t="s">
        <v>460</v>
      </c>
      <c r="B89" s="23" t="s">
        <v>109</v>
      </c>
      <c r="C89" s="54" t="n">
        <f aca="false">IF(C2&gt;=Assumptions!$B$49,C82*C17*Assumptions!$B$17+C77*(Assumptions!$B$141*MAX(0,Assumptions!$B$145-Assumptions!$B$18)+Assumptions!$B$142*MAX(0,Assumptions!$B$146-Assumptions!$B$18)+Assumptions!$B$143*MAX(0,Assumptions!$B$147-Assumptions!$B$18)+Assumptions!$B$144*MAX(0,Assumptions!$B$148-Assumptions!$B$18))*Assumptions!$B$19/Assumptions!$B$7*C7+C77*(Assumptions!$B$139*Assumptions!$B$20+Assumptions!$B$140*Assumptions!$B$21)/12/Assumptions!$B$7*C7,0)</f>
        <v>0</v>
      </c>
      <c r="D89" s="54" t="n">
        <f aca="false">IF(D2&gt;=Assumptions!$B$49,D82*D17*Assumptions!$B$17+D77*(Assumptions!$B$141*MAX(0,Assumptions!$B$145-Assumptions!$B$18)+Assumptions!$B$142*MAX(0,Assumptions!$B$146-Assumptions!$B$18)+Assumptions!$B$143*MAX(0,Assumptions!$B$147-Assumptions!$B$18)+Assumptions!$B$144*MAX(0,Assumptions!$B$148-Assumptions!$B$18))*Assumptions!$B$19/Assumptions!$B$7*D7+D77*(Assumptions!$B$139*Assumptions!$B$20+Assumptions!$B$140*Assumptions!$B$21)/12/Assumptions!$B$7*D7,0)</f>
        <v>0</v>
      </c>
      <c r="E89" s="54" t="n">
        <f aca="false">IF(E2&gt;=Assumptions!$B$49,E82*E17*Assumptions!$B$17+E77*(Assumptions!$B$141*MAX(0,Assumptions!$B$145-Assumptions!$B$18)+Assumptions!$B$142*MAX(0,Assumptions!$B$146-Assumptions!$B$18)+Assumptions!$B$143*MAX(0,Assumptions!$B$147-Assumptions!$B$18)+Assumptions!$B$144*MAX(0,Assumptions!$B$148-Assumptions!$B$18))*Assumptions!$B$19/Assumptions!$B$7*E7+E77*(Assumptions!$B$139*Assumptions!$B$20+Assumptions!$B$140*Assumptions!$B$21)/12/Assumptions!$B$7*E7,0)</f>
        <v>0</v>
      </c>
      <c r="F89" s="54" t="n">
        <f aca="false">IF(F2&gt;=Assumptions!$B$49,F82*F17*Assumptions!$B$17+F77*(Assumptions!$B$141*MAX(0,Assumptions!$B$145-Assumptions!$B$18)+Assumptions!$B$142*MAX(0,Assumptions!$B$146-Assumptions!$B$18)+Assumptions!$B$143*MAX(0,Assumptions!$B$147-Assumptions!$B$18)+Assumptions!$B$144*MAX(0,Assumptions!$B$148-Assumptions!$B$18))*Assumptions!$B$19/Assumptions!$B$7*F7+F77*(Assumptions!$B$139*Assumptions!$B$20+Assumptions!$B$140*Assumptions!$B$21)/12/Assumptions!$B$7*F7,0)</f>
        <v>0</v>
      </c>
      <c r="G89" s="54" t="n">
        <f aca="false">IF(G2&gt;=Assumptions!$B$49,G82*G17*Assumptions!$B$17+G77*(Assumptions!$B$141*MAX(0,Assumptions!$B$145-Assumptions!$B$18)+Assumptions!$B$142*MAX(0,Assumptions!$B$146-Assumptions!$B$18)+Assumptions!$B$143*MAX(0,Assumptions!$B$147-Assumptions!$B$18)+Assumptions!$B$144*MAX(0,Assumptions!$B$148-Assumptions!$B$18))*Assumptions!$B$19/Assumptions!$B$7*G7+G77*(Assumptions!$B$139*Assumptions!$B$20+Assumptions!$B$140*Assumptions!$B$21)/12/Assumptions!$B$7*G7,0)</f>
        <v>0</v>
      </c>
      <c r="H89" s="54" t="n">
        <f aca="false">IF(H2&gt;=Assumptions!$B$49,H82*H17*Assumptions!$B$17+H77*(Assumptions!$B$141*MAX(0,Assumptions!$B$145-Assumptions!$B$18)+Assumptions!$B$142*MAX(0,Assumptions!$B$146-Assumptions!$B$18)+Assumptions!$B$143*MAX(0,Assumptions!$B$147-Assumptions!$B$18)+Assumptions!$B$144*MAX(0,Assumptions!$B$148-Assumptions!$B$18))*Assumptions!$B$19/Assumptions!$B$7*H7+H77*(Assumptions!$B$139*Assumptions!$B$20+Assumptions!$B$140*Assumptions!$B$21)/12/Assumptions!$B$7*H7,0)</f>
        <v>0</v>
      </c>
      <c r="I89" s="54" t="n">
        <f aca="false">IF(I2&gt;=Assumptions!$B$49,I82*I17*Assumptions!$B$17+I77*(Assumptions!$B$141*MAX(0,Assumptions!$B$145-Assumptions!$B$18)+Assumptions!$B$142*MAX(0,Assumptions!$B$146-Assumptions!$B$18)+Assumptions!$B$143*MAX(0,Assumptions!$B$147-Assumptions!$B$18)+Assumptions!$B$144*MAX(0,Assumptions!$B$148-Assumptions!$B$18))*Assumptions!$B$19/Assumptions!$B$7*I7+I77*(Assumptions!$B$139*Assumptions!$B$20+Assumptions!$B$140*Assumptions!$B$21)/12/Assumptions!$B$7*I7,0)</f>
        <v>0</v>
      </c>
      <c r="J89" s="54" t="n">
        <f aca="false">IF(J2&gt;=Assumptions!$B$49,J82*J17*Assumptions!$B$17+J77*(Assumptions!$B$141*MAX(0,Assumptions!$B$145-Assumptions!$B$18)+Assumptions!$B$142*MAX(0,Assumptions!$B$146-Assumptions!$B$18)+Assumptions!$B$143*MAX(0,Assumptions!$B$147-Assumptions!$B$18)+Assumptions!$B$144*MAX(0,Assumptions!$B$148-Assumptions!$B$18))*Assumptions!$B$19/Assumptions!$B$7*J7+J77*(Assumptions!$B$139*Assumptions!$B$20+Assumptions!$B$140*Assumptions!$B$21)/12/Assumptions!$B$7*J7,0)</f>
        <v>0</v>
      </c>
      <c r="K89" s="54" t="n">
        <f aca="false">IF(K2&gt;=Assumptions!$B$49,K82*K17*Assumptions!$B$17+K77*(Assumptions!$B$141*MAX(0,Assumptions!$B$145-Assumptions!$B$18)+Assumptions!$B$142*MAX(0,Assumptions!$B$146-Assumptions!$B$18)+Assumptions!$B$143*MAX(0,Assumptions!$B$147-Assumptions!$B$18)+Assumptions!$B$144*MAX(0,Assumptions!$B$148-Assumptions!$B$18))*Assumptions!$B$19/Assumptions!$B$7*K7+K77*(Assumptions!$B$139*Assumptions!$B$20+Assumptions!$B$140*Assumptions!$B$21)/12/Assumptions!$B$7*K7,0)</f>
        <v>0</v>
      </c>
      <c r="L89" s="54" t="n">
        <f aca="false">IF(L2&gt;=Assumptions!$B$49,L82*L17*Assumptions!$B$17+L77*(Assumptions!$B$141*MAX(0,Assumptions!$B$145-Assumptions!$B$18)+Assumptions!$B$142*MAX(0,Assumptions!$B$146-Assumptions!$B$18)+Assumptions!$B$143*MAX(0,Assumptions!$B$147-Assumptions!$B$18)+Assumptions!$B$144*MAX(0,Assumptions!$B$148-Assumptions!$B$18))*Assumptions!$B$19/Assumptions!$B$7*L7+L77*(Assumptions!$B$139*Assumptions!$B$20+Assumptions!$B$140*Assumptions!$B$21)/12/Assumptions!$B$7*L7,0)</f>
        <v>0</v>
      </c>
      <c r="M89" s="54" t="n">
        <f aca="false">IF(M2&gt;=Assumptions!$B$49,M82*M17*Assumptions!$B$17+M77*(Assumptions!$B$141*MAX(0,Assumptions!$B$145-Assumptions!$B$18)+Assumptions!$B$142*MAX(0,Assumptions!$B$146-Assumptions!$B$18)+Assumptions!$B$143*MAX(0,Assumptions!$B$147-Assumptions!$B$18)+Assumptions!$B$144*MAX(0,Assumptions!$B$148-Assumptions!$B$18))*Assumptions!$B$19/Assumptions!$B$7*M7+M77*(Assumptions!$B$139*Assumptions!$B$20+Assumptions!$B$140*Assumptions!$B$21)/12/Assumptions!$B$7*M7,0)</f>
        <v>0</v>
      </c>
      <c r="N89" s="54" t="n">
        <f aca="false">IF(N2&gt;=Assumptions!$B$49,N82*N17*Assumptions!$B$17+N77*(Assumptions!$B$141*MAX(0,Assumptions!$B$145-Assumptions!$B$18)+Assumptions!$B$142*MAX(0,Assumptions!$B$146-Assumptions!$B$18)+Assumptions!$B$143*MAX(0,Assumptions!$B$147-Assumptions!$B$18)+Assumptions!$B$144*MAX(0,Assumptions!$B$148-Assumptions!$B$18))*Assumptions!$B$19/Assumptions!$B$7*N7+N77*(Assumptions!$B$139*Assumptions!$B$20+Assumptions!$B$140*Assumptions!$B$21)/12/Assumptions!$B$7*N7,0)</f>
        <v>0</v>
      </c>
      <c r="O89" s="54" t="n">
        <f aca="false">IF(O2&gt;=Assumptions!$B$49,O82*O17*Assumptions!$B$17+O77*(Assumptions!$B$141*MAX(0,Assumptions!$B$145-Assumptions!$B$18)+Assumptions!$B$142*MAX(0,Assumptions!$B$146-Assumptions!$B$18)+Assumptions!$B$143*MAX(0,Assumptions!$B$147-Assumptions!$B$18)+Assumptions!$B$144*MAX(0,Assumptions!$B$148-Assumptions!$B$18))*Assumptions!$B$19/Assumptions!$B$7*O7+O77*(Assumptions!$B$139*Assumptions!$B$20+Assumptions!$B$140*Assumptions!$B$21)/12/Assumptions!$B$7*O7,0)</f>
        <v>0</v>
      </c>
      <c r="P89" s="54" t="n">
        <f aca="false">IF(P2&gt;=Assumptions!$B$49,P82*P17*Assumptions!$B$17+P77*(Assumptions!$B$141*MAX(0,Assumptions!$B$145-Assumptions!$B$18)+Assumptions!$B$142*MAX(0,Assumptions!$B$146-Assumptions!$B$18)+Assumptions!$B$143*MAX(0,Assumptions!$B$147-Assumptions!$B$18)+Assumptions!$B$144*MAX(0,Assumptions!$B$148-Assumptions!$B$18))*Assumptions!$B$19/Assumptions!$B$7*P7+P77*(Assumptions!$B$139*Assumptions!$B$20+Assumptions!$B$140*Assumptions!$B$21)/12/Assumptions!$B$7*P7,0)</f>
        <v>0</v>
      </c>
      <c r="Q89" s="54" t="n">
        <f aca="false">IF(Q2&gt;=Assumptions!$B$49,Q82*Q17*Assumptions!$B$17+Q77*(Assumptions!$B$141*MAX(0,Assumptions!$B$145-Assumptions!$B$18)+Assumptions!$B$142*MAX(0,Assumptions!$B$146-Assumptions!$B$18)+Assumptions!$B$143*MAX(0,Assumptions!$B$147-Assumptions!$B$18)+Assumptions!$B$144*MAX(0,Assumptions!$B$148-Assumptions!$B$18))*Assumptions!$B$19/Assumptions!$B$7*Q7+Q77*(Assumptions!$B$139*Assumptions!$B$20+Assumptions!$B$140*Assumptions!$B$21)/12/Assumptions!$B$7*Q7,0)</f>
        <v>0</v>
      </c>
      <c r="R89" s="54" t="n">
        <f aca="false">IF(R2&gt;=Assumptions!$B$49,R82*R17*Assumptions!$B$17+R77*(Assumptions!$B$141*MAX(0,Assumptions!$B$145-Assumptions!$B$18)+Assumptions!$B$142*MAX(0,Assumptions!$B$146-Assumptions!$B$18)+Assumptions!$B$143*MAX(0,Assumptions!$B$147-Assumptions!$B$18)+Assumptions!$B$144*MAX(0,Assumptions!$B$148-Assumptions!$B$18))*Assumptions!$B$19/Assumptions!$B$7*R7+R77*(Assumptions!$B$139*Assumptions!$B$20+Assumptions!$B$140*Assumptions!$B$21)/12/Assumptions!$B$7*R7,0)</f>
        <v>0</v>
      </c>
      <c r="S89" s="54" t="n">
        <f aca="false">IF(S2&gt;=Assumptions!$B$49,S82*S17*Assumptions!$B$17+S77*(Assumptions!$B$141*MAX(0,Assumptions!$B$145-Assumptions!$B$18)+Assumptions!$B$142*MAX(0,Assumptions!$B$146-Assumptions!$B$18)+Assumptions!$B$143*MAX(0,Assumptions!$B$147-Assumptions!$B$18)+Assumptions!$B$144*MAX(0,Assumptions!$B$148-Assumptions!$B$18))*Assumptions!$B$19/Assumptions!$B$7*S7+S77*(Assumptions!$B$139*Assumptions!$B$20+Assumptions!$B$140*Assumptions!$B$21)/12/Assumptions!$B$7*S7,0)</f>
        <v>0</v>
      </c>
      <c r="T89" s="54" t="n">
        <f aca="false">IF(T2&gt;=Assumptions!$B$49,T82*T17*Assumptions!$B$17+T77*(Assumptions!$B$141*MAX(0,Assumptions!$B$145-Assumptions!$B$18)+Assumptions!$B$142*MAX(0,Assumptions!$B$146-Assumptions!$B$18)+Assumptions!$B$143*MAX(0,Assumptions!$B$147-Assumptions!$B$18)+Assumptions!$B$144*MAX(0,Assumptions!$B$148-Assumptions!$B$18))*Assumptions!$B$19/Assumptions!$B$7*T7+T77*(Assumptions!$B$139*Assumptions!$B$20+Assumptions!$B$140*Assumptions!$B$21)/12/Assumptions!$B$7*T7,0)</f>
        <v>0</v>
      </c>
      <c r="U89" s="54" t="n">
        <f aca="false">IF(U2&gt;=Assumptions!$B$49,U82*U17*Assumptions!$B$17+U77*(Assumptions!$B$141*MAX(0,Assumptions!$B$145-Assumptions!$B$18)+Assumptions!$B$142*MAX(0,Assumptions!$B$146-Assumptions!$B$18)+Assumptions!$B$143*MAX(0,Assumptions!$B$147-Assumptions!$B$18)+Assumptions!$B$144*MAX(0,Assumptions!$B$148-Assumptions!$B$18))*Assumptions!$B$19/Assumptions!$B$7*U7+U77*(Assumptions!$B$139*Assumptions!$B$20+Assumptions!$B$140*Assumptions!$B$21)/12/Assumptions!$B$7*U7,0)</f>
        <v>0</v>
      </c>
      <c r="V89" s="54" t="n">
        <f aca="false">IF(V2&gt;=Assumptions!$B$49,V82*V17*Assumptions!$B$17+V77*(Assumptions!$B$141*MAX(0,Assumptions!$B$145-Assumptions!$B$18)+Assumptions!$B$142*MAX(0,Assumptions!$B$146-Assumptions!$B$18)+Assumptions!$B$143*MAX(0,Assumptions!$B$147-Assumptions!$B$18)+Assumptions!$B$144*MAX(0,Assumptions!$B$148-Assumptions!$B$18))*Assumptions!$B$19/Assumptions!$B$7*V7+V77*(Assumptions!$B$139*Assumptions!$B$20+Assumptions!$B$140*Assumptions!$B$21)/12/Assumptions!$B$7*V7,0)</f>
        <v>0</v>
      </c>
      <c r="W89" s="54" t="n">
        <f aca="false">IF(W2&gt;=Assumptions!$B$49,W82*W17*Assumptions!$B$17+W77*(Assumptions!$B$141*MAX(0,Assumptions!$B$145-Assumptions!$B$18)+Assumptions!$B$142*MAX(0,Assumptions!$B$146-Assumptions!$B$18)+Assumptions!$B$143*MAX(0,Assumptions!$B$147-Assumptions!$B$18)+Assumptions!$B$144*MAX(0,Assumptions!$B$148-Assumptions!$B$18))*Assumptions!$B$19/Assumptions!$B$7*W7+W77*(Assumptions!$B$139*Assumptions!$B$20+Assumptions!$B$140*Assumptions!$B$21)/12/Assumptions!$B$7*W7,0)</f>
        <v>10.8645505394523</v>
      </c>
      <c r="X89" s="54" t="n">
        <f aca="false">IF(X2&gt;=Assumptions!$B$49,X82*X17*Assumptions!$B$17+X77*(Assumptions!$B$141*MAX(0,Assumptions!$B$145-Assumptions!$B$18)+Assumptions!$B$142*MAX(0,Assumptions!$B$146-Assumptions!$B$18)+Assumptions!$B$143*MAX(0,Assumptions!$B$147-Assumptions!$B$18)+Assumptions!$B$144*MAX(0,Assumptions!$B$148-Assumptions!$B$18))*Assumptions!$B$19/Assumptions!$B$7*X7+X77*(Assumptions!$B$139*Assumptions!$B$20+Assumptions!$B$140*Assumptions!$B$21)/12/Assumptions!$B$7*X7,0)</f>
        <v>21.4736734196951</v>
      </c>
      <c r="Y89" s="54" t="n">
        <f aca="false">IF(Y2&gt;=Assumptions!$B$49,Y82*Y17*Assumptions!$B$17+Y77*(Assumptions!$B$141*MAX(0,Assumptions!$B$145-Assumptions!$B$18)+Assumptions!$B$142*MAX(0,Assumptions!$B$146-Assumptions!$B$18)+Assumptions!$B$143*MAX(0,Assumptions!$B$147-Assumptions!$B$18)+Assumptions!$B$144*MAX(0,Assumptions!$B$148-Assumptions!$B$18))*Assumptions!$B$19/Assumptions!$B$7*Y7+Y77*(Assumptions!$B$139*Assumptions!$B$20+Assumptions!$B$140*Assumptions!$B$21)/12/Assumptions!$B$7*Y7,0)</f>
        <v>31.8296647755427</v>
      </c>
      <c r="Z89" s="54" t="n">
        <f aca="false">IF(Z2&gt;=Assumptions!$B$49,Z82*Z17*Assumptions!$B$17+Z77*(Assumptions!$B$141*MAX(0,Assumptions!$B$145-Assumptions!$B$18)+Assumptions!$B$142*MAX(0,Assumptions!$B$146-Assumptions!$B$18)+Assumptions!$B$143*MAX(0,Assumptions!$B$147-Assumptions!$B$18)+Assumptions!$B$144*MAX(0,Assumptions!$B$148-Assumptions!$B$18))*Assumptions!$B$19/Assumptions!$B$7*Z7+Z77*(Assumptions!$B$139*Assumptions!$B$20+Assumptions!$B$140*Assumptions!$B$21)/12/Assumptions!$B$7*Z7,0)</f>
        <v>44.9439745149232</v>
      </c>
      <c r="AA89" s="54" t="n">
        <f aca="false">IF(AA2&gt;=Assumptions!$B$49,AA82*AA17*Assumptions!$B$17+AA77*(Assumptions!$B$141*MAX(0,Assumptions!$B$145-Assumptions!$B$18)+Assumptions!$B$142*MAX(0,Assumptions!$B$146-Assumptions!$B$18)+Assumptions!$B$143*MAX(0,Assumptions!$B$147-Assumptions!$B$18)+Assumptions!$B$144*MAX(0,Assumptions!$B$148-Assumptions!$B$18))*Assumptions!$B$19/Assumptions!$B$7*AA7+AA77*(Assumptions!$B$139*Assumptions!$B$20+Assumptions!$B$140*Assumptions!$B$21)/12/Assumptions!$B$7*AA7,0)</f>
        <v>4710.68367165603</v>
      </c>
      <c r="AB89" s="54" t="n">
        <f aca="false">IF(AB2&gt;=Assumptions!$B$49,AB82*AB17*Assumptions!$B$17+AB77*(Assumptions!$B$141*MAX(0,Assumptions!$B$145-Assumptions!$B$18)+Assumptions!$B$142*MAX(0,Assumptions!$B$146-Assumptions!$B$18)+Assumptions!$B$143*MAX(0,Assumptions!$B$147-Assumptions!$B$18)+Assumptions!$B$144*MAX(0,Assumptions!$B$148-Assumptions!$B$18))*Assumptions!$B$19/Assumptions!$B$7*AB7+AB77*(Assumptions!$B$139*Assumptions!$B$20+Assumptions!$B$140*Assumptions!$B$21)/12/Assumptions!$B$7*AB7,0)</f>
        <v>9526.32085898027</v>
      </c>
      <c r="AC89" s="54" t="n">
        <f aca="false">IF(AC2&gt;=Assumptions!$B$49,AC82*AC17*Assumptions!$B$17+AC77*(Assumptions!$B$141*MAX(0,Assumptions!$B$145-Assumptions!$B$18)+Assumptions!$B$142*MAX(0,Assumptions!$B$146-Assumptions!$B$18)+Assumptions!$B$143*MAX(0,Assumptions!$B$147-Assumptions!$B$18)+Assumptions!$B$144*MAX(0,Assumptions!$B$148-Assumptions!$B$18))*Assumptions!$B$19/Assumptions!$B$7*AC7+AC77*(Assumptions!$B$139*Assumptions!$B$20+Assumptions!$B$140*Assumptions!$B$21)/12/Assumptions!$B$7*AC7,0)</f>
        <v>16609.7040400814</v>
      </c>
      <c r="AD89" s="54" t="n">
        <f aca="false">IF(AD2&gt;=Assumptions!$B$49,AD82*AD17*Assumptions!$B$17+AD77*(Assumptions!$B$141*MAX(0,Assumptions!$B$145-Assumptions!$B$18)+Assumptions!$B$142*MAX(0,Assumptions!$B$146-Assumptions!$B$18)+Assumptions!$B$143*MAX(0,Assumptions!$B$147-Assumptions!$B$18)+Assumptions!$B$144*MAX(0,Assumptions!$B$148-Assumptions!$B$18))*Assumptions!$B$19/Assumptions!$B$7*AD7+AD77*(Assumptions!$B$139*Assumptions!$B$20+Assumptions!$B$140*Assumptions!$B$21)/12/Assumptions!$B$7*AD7,0)</f>
        <v>25742.4202463073</v>
      </c>
      <c r="AE89" s="54" t="n">
        <f aca="false">IF(AE2&gt;=Assumptions!$B$49,AE82*AE17*Assumptions!$B$17+AE77*(Assumptions!$B$141*MAX(0,Assumptions!$B$145-Assumptions!$B$18)+Assumptions!$B$142*MAX(0,Assumptions!$B$146-Assumptions!$B$18)+Assumptions!$B$143*MAX(0,Assumptions!$B$147-Assumptions!$B$18)+Assumptions!$B$144*MAX(0,Assumptions!$B$148-Assumptions!$B$18))*Assumptions!$B$19/Assumptions!$B$7*AE7+AE77*(Assumptions!$B$139*Assumptions!$B$20+Assumptions!$B$140*Assumptions!$B$21)/12/Assumptions!$B$7*AE7,0)</f>
        <v>36342.4590335677</v>
      </c>
    </row>
    <row r="90" customFormat="false" ht="15" hidden="false" customHeight="false" outlineLevel="0" collapsed="false">
      <c r="A90" s="6" t="s">
        <v>461</v>
      </c>
      <c r="B90" s="23" t="s">
        <v>109</v>
      </c>
      <c r="C90" s="54" t="n">
        <f aca="false">IF(C2&gt;=Assumptions!$B$50,C77*C78*(1-Assumptions!$B$167)*Assumptions!$B$149*Assumptions!$B$150,0)</f>
        <v>0</v>
      </c>
      <c r="D90" s="54" t="n">
        <f aca="false">IF(D2&gt;=Assumptions!$B$50,D77*D78*(1-Assumptions!$B$167)*Assumptions!$B$149*Assumptions!$B$150,0)</f>
        <v>0</v>
      </c>
      <c r="E90" s="54" t="n">
        <f aca="false">IF(E2&gt;=Assumptions!$B$50,E77*E78*(1-Assumptions!$B$167)*Assumptions!$B$149*Assumptions!$B$150,0)</f>
        <v>0</v>
      </c>
      <c r="F90" s="54" t="n">
        <f aca="false">IF(F2&gt;=Assumptions!$B$50,F77*F78*(1-Assumptions!$B$167)*Assumptions!$B$149*Assumptions!$B$150,0)</f>
        <v>0</v>
      </c>
      <c r="G90" s="54" t="n">
        <f aca="false">IF(G2&gt;=Assumptions!$B$50,G77*G78*(1-Assumptions!$B$167)*Assumptions!$B$149*Assumptions!$B$150,0)</f>
        <v>0</v>
      </c>
      <c r="H90" s="54" t="n">
        <f aca="false">IF(H2&gt;=Assumptions!$B$50,H77*H78*(1-Assumptions!$B$167)*Assumptions!$B$149*Assumptions!$B$150,0)</f>
        <v>0</v>
      </c>
      <c r="I90" s="54" t="n">
        <f aca="false">IF(I2&gt;=Assumptions!$B$50,I77*I78*(1-Assumptions!$B$167)*Assumptions!$B$149*Assumptions!$B$150,0)</f>
        <v>0</v>
      </c>
      <c r="J90" s="54" t="n">
        <f aca="false">IF(J2&gt;=Assumptions!$B$50,J77*J78*(1-Assumptions!$B$167)*Assumptions!$B$149*Assumptions!$B$150,0)</f>
        <v>0</v>
      </c>
      <c r="K90" s="54" t="n">
        <f aca="false">IF(K2&gt;=Assumptions!$B$50,K77*K78*(1-Assumptions!$B$167)*Assumptions!$B$149*Assumptions!$B$150,0)</f>
        <v>0</v>
      </c>
      <c r="L90" s="54" t="n">
        <f aca="false">IF(L2&gt;=Assumptions!$B$50,L77*L78*(1-Assumptions!$B$167)*Assumptions!$B$149*Assumptions!$B$150,0)</f>
        <v>0</v>
      </c>
      <c r="M90" s="54" t="n">
        <f aca="false">IF(M2&gt;=Assumptions!$B$50,M77*M78*(1-Assumptions!$B$167)*Assumptions!$B$149*Assumptions!$B$150,0)</f>
        <v>0</v>
      </c>
      <c r="N90" s="54" t="n">
        <f aca="false">IF(N2&gt;=Assumptions!$B$50,N77*N78*(1-Assumptions!$B$167)*Assumptions!$B$149*Assumptions!$B$150,0)</f>
        <v>0</v>
      </c>
      <c r="O90" s="54" t="n">
        <f aca="false">IF(O2&gt;=Assumptions!$B$50,O77*O78*(1-Assumptions!$B$167)*Assumptions!$B$149*Assumptions!$B$150,0)</f>
        <v>0</v>
      </c>
      <c r="P90" s="54" t="n">
        <f aca="false">IF(P2&gt;=Assumptions!$B$50,P77*P78*(1-Assumptions!$B$167)*Assumptions!$B$149*Assumptions!$B$150,0)</f>
        <v>0</v>
      </c>
      <c r="Q90" s="54" t="n">
        <f aca="false">IF(Q2&gt;=Assumptions!$B$50,Q77*Q78*(1-Assumptions!$B$167)*Assumptions!$B$149*Assumptions!$B$150,0)</f>
        <v>0</v>
      </c>
      <c r="R90" s="54" t="n">
        <f aca="false">IF(R2&gt;=Assumptions!$B$50,R77*R78*(1-Assumptions!$B$167)*Assumptions!$B$149*Assumptions!$B$150,0)</f>
        <v>0</v>
      </c>
      <c r="S90" s="54" t="n">
        <f aca="false">IF(S2&gt;=Assumptions!$B$50,S77*S78*(1-Assumptions!$B$167)*Assumptions!$B$149*Assumptions!$B$150,0)</f>
        <v>0</v>
      </c>
      <c r="T90" s="54" t="n">
        <f aca="false">IF(T2&gt;=Assumptions!$B$50,T77*T78*(1-Assumptions!$B$167)*Assumptions!$B$149*Assumptions!$B$150,0)</f>
        <v>0</v>
      </c>
      <c r="U90" s="54" t="n">
        <f aca="false">IF(U2&gt;=Assumptions!$B$50,U77*U78*(1-Assumptions!$B$167)*Assumptions!$B$149*Assumptions!$B$150,0)</f>
        <v>0</v>
      </c>
      <c r="V90" s="54" t="n">
        <f aca="false">IF(V2&gt;=Assumptions!$B$50,V77*V78*(1-Assumptions!$B$167)*Assumptions!$B$149*Assumptions!$B$150,0)</f>
        <v>0</v>
      </c>
      <c r="W90" s="54" t="n">
        <f aca="false">IF(W2&gt;=Assumptions!$B$50,W77*W78*(1-Assumptions!$B$167)*Assumptions!$B$149*Assumptions!$B$150,0)</f>
        <v>46.1979181923423</v>
      </c>
      <c r="X90" s="54" t="n">
        <f aca="false">IF(X2&gt;=Assumptions!$B$50,X77*X78*(1-Assumptions!$B$167)*Assumptions!$B$149*Assumptions!$B$150,0)</f>
        <v>96.2028586839836</v>
      </c>
      <c r="Y90" s="54" t="n">
        <f aca="false">IF(Y2&gt;=Assumptions!$B$50,Y77*Y78*(1-Assumptions!$B$167)*Assumptions!$B$149*Assumptions!$B$150,0)</f>
        <v>152.801091395399</v>
      </c>
      <c r="Z90" s="54" t="n">
        <f aca="false">IF(Z2&gt;=Assumptions!$B$50,Z77*Z78*(1-Assumptions!$B$167)*Assumptions!$B$149*Assumptions!$B$150,0)</f>
        <v>234.203975838433</v>
      </c>
      <c r="AA90" s="54" t="n">
        <f aca="false">IF(AA2&gt;=Assumptions!$B$50,AA77*AA78*(1-Assumptions!$B$167)*Assumptions!$B$149*Assumptions!$B$150,0)</f>
        <v>4545.74188873216</v>
      </c>
      <c r="AB90" s="54" t="n">
        <f aca="false">IF(AB2&gt;=Assumptions!$B$50,AB77*AB78*(1-Assumptions!$B$167)*Assumptions!$B$149*Assumptions!$B$150,0)</f>
        <v>11653.2212724428</v>
      </c>
      <c r="AC90" s="54" t="n">
        <f aca="false">IF(AC2&gt;=Assumptions!$B$50,AC77*AC78*(1-Assumptions!$B$167)*Assumptions!$B$149*Assumptions!$B$150,0)</f>
        <v>23126.7376994864</v>
      </c>
      <c r="AD90" s="54" t="n">
        <f aca="false">IF(AD2&gt;=Assumptions!$B$50,AD77*AD78*(1-Assumptions!$B$167)*Assumptions!$B$149*Assumptions!$B$150,0)</f>
        <v>39905.1098985762</v>
      </c>
      <c r="AE90" s="54" t="n">
        <f aca="false">IF(AE2&gt;=Assumptions!$B$50,AE77*AE78*(1-Assumptions!$B$167)*Assumptions!$B$149*Assumptions!$B$150,0)</f>
        <v>62364.0440315224</v>
      </c>
    </row>
    <row r="91" customFormat="false" ht="15" hidden="false" customHeight="false" outlineLevel="0" collapsed="false">
      <c r="A91" s="6" t="s">
        <v>462</v>
      </c>
      <c r="B91" s="23" t="s">
        <v>109</v>
      </c>
      <c r="C91" s="54" t="n">
        <f aca="false">IF(C2&gt;=Assumptions!$B$50,(C90*Assumptions!$B$29*Assumptions!$B$30+C77*C79*(1-Assumptions!$B$167)*Assumptions!$B$27*Assumptions!$B$28)*C7/12,0)</f>
        <v>0</v>
      </c>
      <c r="D91" s="54" t="n">
        <f aca="false">IF(D2&gt;=Assumptions!$B$50,(D90*Assumptions!$B$29*Assumptions!$B$30+D77*D79*(1-Assumptions!$B$167)*Assumptions!$B$27*Assumptions!$B$28)*D7/12,0)</f>
        <v>0</v>
      </c>
      <c r="E91" s="54" t="n">
        <f aca="false">IF(E2&gt;=Assumptions!$B$50,(E90*Assumptions!$B$29*Assumptions!$B$30+E77*E79*(1-Assumptions!$B$167)*Assumptions!$B$27*Assumptions!$B$28)*E7/12,0)</f>
        <v>0</v>
      </c>
      <c r="F91" s="54" t="n">
        <f aca="false">IF(F2&gt;=Assumptions!$B$50,(F90*Assumptions!$B$29*Assumptions!$B$30+F77*F79*(1-Assumptions!$B$167)*Assumptions!$B$27*Assumptions!$B$28)*F7/12,0)</f>
        <v>0</v>
      </c>
      <c r="G91" s="54" t="n">
        <f aca="false">IF(G2&gt;=Assumptions!$B$50,(G90*Assumptions!$B$29*Assumptions!$B$30+G77*G79*(1-Assumptions!$B$167)*Assumptions!$B$27*Assumptions!$B$28)*G7/12,0)</f>
        <v>0</v>
      </c>
      <c r="H91" s="54" t="n">
        <f aca="false">IF(H2&gt;=Assumptions!$B$50,(H90*Assumptions!$B$29*Assumptions!$B$30+H77*H79*(1-Assumptions!$B$167)*Assumptions!$B$27*Assumptions!$B$28)*H7/12,0)</f>
        <v>0</v>
      </c>
      <c r="I91" s="54" t="n">
        <f aca="false">IF(I2&gt;=Assumptions!$B$50,(I90*Assumptions!$B$29*Assumptions!$B$30+I77*I79*(1-Assumptions!$B$167)*Assumptions!$B$27*Assumptions!$B$28)*I7/12,0)</f>
        <v>0</v>
      </c>
      <c r="J91" s="54" t="n">
        <f aca="false">IF(J2&gt;=Assumptions!$B$50,(J90*Assumptions!$B$29*Assumptions!$B$30+J77*J79*(1-Assumptions!$B$167)*Assumptions!$B$27*Assumptions!$B$28)*J7/12,0)</f>
        <v>0</v>
      </c>
      <c r="K91" s="54" t="n">
        <f aca="false">IF(K2&gt;=Assumptions!$B$50,(K90*Assumptions!$B$29*Assumptions!$B$30+K77*K79*(1-Assumptions!$B$167)*Assumptions!$B$27*Assumptions!$B$28)*K7/12,0)</f>
        <v>0</v>
      </c>
      <c r="L91" s="54" t="n">
        <f aca="false">IF(L2&gt;=Assumptions!$B$50,(L90*Assumptions!$B$29*Assumptions!$B$30+L77*L79*(1-Assumptions!$B$167)*Assumptions!$B$27*Assumptions!$B$28)*L7/12,0)</f>
        <v>0</v>
      </c>
      <c r="M91" s="54" t="n">
        <f aca="false">IF(M2&gt;=Assumptions!$B$50,(M90*Assumptions!$B$29*Assumptions!$B$30+M77*M79*(1-Assumptions!$B$167)*Assumptions!$B$27*Assumptions!$B$28)*M7/12,0)</f>
        <v>0</v>
      </c>
      <c r="N91" s="54" t="n">
        <f aca="false">IF(N2&gt;=Assumptions!$B$50,(N90*Assumptions!$B$29*Assumptions!$B$30+N77*N79*(1-Assumptions!$B$167)*Assumptions!$B$27*Assumptions!$B$28)*N7/12,0)</f>
        <v>0</v>
      </c>
      <c r="O91" s="54" t="n">
        <f aca="false">IF(O2&gt;=Assumptions!$B$50,(O90*Assumptions!$B$29*Assumptions!$B$30+O77*O79*(1-Assumptions!$B$167)*Assumptions!$B$27*Assumptions!$B$28)*O7/12,0)</f>
        <v>0</v>
      </c>
      <c r="P91" s="54" t="n">
        <f aca="false">IF(P2&gt;=Assumptions!$B$50,(P90*Assumptions!$B$29*Assumptions!$B$30+P77*P79*(1-Assumptions!$B$167)*Assumptions!$B$27*Assumptions!$B$28)*P7/12,0)</f>
        <v>0</v>
      </c>
      <c r="Q91" s="54" t="n">
        <f aca="false">IF(Q2&gt;=Assumptions!$B$50,(Q90*Assumptions!$B$29*Assumptions!$B$30+Q77*Q79*(1-Assumptions!$B$167)*Assumptions!$B$27*Assumptions!$B$28)*Q7/12,0)</f>
        <v>0</v>
      </c>
      <c r="R91" s="54" t="n">
        <f aca="false">IF(R2&gt;=Assumptions!$B$50,(R90*Assumptions!$B$29*Assumptions!$B$30+R77*R79*(1-Assumptions!$B$167)*Assumptions!$B$27*Assumptions!$B$28)*R7/12,0)</f>
        <v>0</v>
      </c>
      <c r="S91" s="54" t="n">
        <f aca="false">IF(S2&gt;=Assumptions!$B$50,(S90*Assumptions!$B$29*Assumptions!$B$30+S77*S79*(1-Assumptions!$B$167)*Assumptions!$B$27*Assumptions!$B$28)*S7/12,0)</f>
        <v>0</v>
      </c>
      <c r="T91" s="54" t="n">
        <f aca="false">IF(T2&gt;=Assumptions!$B$50,(T90*Assumptions!$B$29*Assumptions!$B$30+T77*T79*(1-Assumptions!$B$167)*Assumptions!$B$27*Assumptions!$B$28)*T7/12,0)</f>
        <v>0</v>
      </c>
      <c r="U91" s="54" t="n">
        <f aca="false">IF(U2&gt;=Assumptions!$B$50,(U90*Assumptions!$B$29*Assumptions!$B$30+U77*U79*(1-Assumptions!$B$167)*Assumptions!$B$27*Assumptions!$B$28)*U7/12,0)</f>
        <v>0</v>
      </c>
      <c r="V91" s="54" t="n">
        <f aca="false">IF(V2&gt;=Assumptions!$B$50,(V90*Assumptions!$B$29*Assumptions!$B$30+V77*V79*(1-Assumptions!$B$167)*Assumptions!$B$27*Assumptions!$B$28)*V7/12,0)</f>
        <v>0</v>
      </c>
      <c r="W91" s="54" t="n">
        <f aca="false">IF(W2&gt;=Assumptions!$B$50,(W90*Assumptions!$B$29*Assumptions!$B$30+W77*W79*(1-Assumptions!$B$167)*Assumptions!$B$27*Assumptions!$B$28)*W7/12,0)</f>
        <v>0.109720055706813</v>
      </c>
      <c r="X91" s="54" t="n">
        <f aca="false">IF(X2&gt;=Assumptions!$B$50,(X90*Assumptions!$B$29*Assumptions!$B$30+X77*X79*(1-Assumptions!$B$167)*Assumptions!$B$27*Assumptions!$B$28)*X7/12,0)</f>
        <v>0.228481789374461</v>
      </c>
      <c r="Y91" s="54" t="n">
        <f aca="false">IF(Y2&gt;=Assumptions!$B$50,(Y90*Assumptions!$B$29*Assumptions!$B$30+Y77*Y79*(1-Assumptions!$B$167)*Assumptions!$B$27*Assumptions!$B$28)*Y7/12,0)</f>
        <v>0.362902592064073</v>
      </c>
      <c r="Z91" s="54" t="n">
        <f aca="false">IF(Z2&gt;=Assumptions!$B$50,(Z90*Assumptions!$B$29*Assumptions!$B$30+Z77*Z79*(1-Assumptions!$B$167)*Assumptions!$B$27*Assumptions!$B$28)*Z7/12,0)</f>
        <v>0.556234442616279</v>
      </c>
      <c r="AA91" s="54" t="n">
        <f aca="false">IF(AA2&gt;=Assumptions!$B$50,(AA90*Assumptions!$B$29*Assumptions!$B$30+AA77*AA79*(1-Assumptions!$B$167)*Assumptions!$B$27*Assumptions!$B$28)*AA7/12,0)</f>
        <v>129.553643828867</v>
      </c>
      <c r="AB91" s="54" t="n">
        <f aca="false">IF(AB2&gt;=Assumptions!$B$50,(AB90*Assumptions!$B$29*Assumptions!$B$30+AB77*AB79*(1-Assumptions!$B$167)*Assumptions!$B$27*Assumptions!$B$28)*AB7/12,0)</f>
        <v>332.116806264619</v>
      </c>
      <c r="AC91" s="54" t="n">
        <f aca="false">IF(AC2&gt;=Assumptions!$B$50,(AC90*Assumptions!$B$29*Assumptions!$B$30+AC77*AC79*(1-Assumptions!$B$167)*Assumptions!$B$27*Assumptions!$B$28)*AC7/12,0)</f>
        <v>659.112024435362</v>
      </c>
      <c r="AD91" s="54" t="n">
        <f aca="false">IF(AD2&gt;=Assumptions!$B$50,(AD90*Assumptions!$B$29*Assumptions!$B$30+AD77*AD79*(1-Assumptions!$B$167)*Assumptions!$B$27*Assumptions!$B$28)*AD7/12,0)</f>
        <v>1137.29563210942</v>
      </c>
      <c r="AE91" s="54" t="n">
        <f aca="false">IF(AE2&gt;=Assumptions!$B$50,(AE90*Assumptions!$B$29*Assumptions!$B$30+AE77*AE79*(1-Assumptions!$B$167)*Assumptions!$B$27*Assumptions!$B$28)*AE7/12,0)</f>
        <v>1777.37525489839</v>
      </c>
    </row>
    <row r="92" customFormat="false" ht="15" hidden="false" customHeight="false" outlineLevel="0" collapsed="false">
      <c r="A92" s="6" t="s">
        <v>463</v>
      </c>
      <c r="B92" s="23" t="s">
        <v>464</v>
      </c>
      <c r="C92" s="44" t="n">
        <f aca="false">IF(C2&gt;=Assumptions!$B$46,(C65+C67*Assumptions!$B$129)*Assumptions!$B$128*C7/12,0)</f>
        <v>0</v>
      </c>
      <c r="D92" s="44" t="n">
        <f aca="false">IF(D2&gt;=Assumptions!$B$46,(D65+D67*Assumptions!$B$129)*Assumptions!$B$128*D7/12,0)</f>
        <v>0</v>
      </c>
      <c r="E92" s="44" t="n">
        <f aca="false">IF(E2&gt;=Assumptions!$B$46,(E65+E67*Assumptions!$B$129)*Assumptions!$B$128*E7/12,0)</f>
        <v>0</v>
      </c>
      <c r="F92" s="44" t="n">
        <f aca="false">IF(F2&gt;=Assumptions!$B$46,(F65+F67*Assumptions!$B$129)*Assumptions!$B$128*F7/12,0)</f>
        <v>0</v>
      </c>
      <c r="G92" s="44" t="n">
        <f aca="false">IF(G2&gt;=Assumptions!$B$46,(G65+G67*Assumptions!$B$129)*Assumptions!$B$128*G7/12,0)</f>
        <v>0</v>
      </c>
      <c r="H92" s="44" t="n">
        <f aca="false">IF(H2&gt;=Assumptions!$B$46,(H65+H67*Assumptions!$B$129)*Assumptions!$B$128*H7/12,0)</f>
        <v>0</v>
      </c>
      <c r="I92" s="44" t="n">
        <f aca="false">IF(I2&gt;=Assumptions!$B$46,(I65+I67*Assumptions!$B$129)*Assumptions!$B$128*I7/12,0)</f>
        <v>0</v>
      </c>
      <c r="J92" s="44" t="n">
        <f aca="false">IF(J2&gt;=Assumptions!$B$46,(J65+J67*Assumptions!$B$129)*Assumptions!$B$128*J7/12,0)</f>
        <v>0</v>
      </c>
      <c r="K92" s="44" t="n">
        <f aca="false">IF(K2&gt;=Assumptions!$B$46,(K65+K67*Assumptions!$B$129)*Assumptions!$B$128*K7/12,0)</f>
        <v>0</v>
      </c>
      <c r="L92" s="44" t="n">
        <f aca="false">IF(L2&gt;=Assumptions!$B$46,(L65+L67*Assumptions!$B$129)*Assumptions!$B$128*L7/12,0)</f>
        <v>0</v>
      </c>
      <c r="M92" s="44" t="n">
        <f aca="false">IF(M2&gt;=Assumptions!$B$46,(M65+M67*Assumptions!$B$129)*Assumptions!$B$128*M7/12,0)</f>
        <v>0</v>
      </c>
      <c r="N92" s="44" t="n">
        <f aca="false">IF(N2&gt;=Assumptions!$B$46,(N65+N67*Assumptions!$B$129)*Assumptions!$B$128*N7/12,0)</f>
        <v>0</v>
      </c>
      <c r="O92" s="44" t="n">
        <f aca="false">IF(O2&gt;=Assumptions!$B$46,(O65+O67*Assumptions!$B$129)*Assumptions!$B$128*O7/12,0)</f>
        <v>0.221689165042946</v>
      </c>
      <c r="P92" s="44" t="n">
        <f aca="false">IF(P2&gt;=Assumptions!$B$46,(P65+P67*Assumptions!$B$129)*Assumptions!$B$128*P7/12,0)</f>
        <v>0.449188710042823</v>
      </c>
      <c r="Q92" s="44" t="n">
        <f aca="false">IF(Q2&gt;=Assumptions!$B$46,(Q65+Q67*Assumptions!$B$129)*Assumptions!$B$128*Q7/12,0)</f>
        <v>0.683002165446452</v>
      </c>
      <c r="R92" s="44" t="n">
        <f aca="false">IF(R2&gt;=Assumptions!$B$46,(R65+R67*Assumptions!$B$129)*Assumptions!$B$128*R7/12,0)</f>
        <v>0.984443254117322</v>
      </c>
      <c r="S92" s="44" t="n">
        <f aca="false">IF(S2&gt;=Assumptions!$B$46,(S65+S67*Assumptions!$B$129)*Assumptions!$B$128*S7/12,0)</f>
        <v>1.27860326568125</v>
      </c>
      <c r="T92" s="44" t="n">
        <f aca="false">IF(T2&gt;=Assumptions!$B$46,(T65+T67*Assumptions!$B$129)*Assumptions!$B$128*T7/12,0)</f>
        <v>1.54987575561262</v>
      </c>
      <c r="U92" s="44" t="n">
        <f aca="false">IF(U2&gt;=Assumptions!$B$46,(U65+U67*Assumptions!$B$129)*Assumptions!$B$128*U7/12,0)</f>
        <v>1.82562400631576</v>
      </c>
      <c r="V92" s="44" t="n">
        <f aca="false">IF(V2&gt;=Assumptions!$B$46,(V65+V67*Assumptions!$B$129)*Assumptions!$B$128*V7/12,0)</f>
        <v>2.11218658321885</v>
      </c>
      <c r="W92" s="44" t="n">
        <f aca="false">IF(W2&gt;=Assumptions!$B$46,(W65+W67*Assumptions!$B$129)*Assumptions!$B$128*W7/12,0)</f>
        <v>2.42929038429595</v>
      </c>
      <c r="X92" s="44" t="n">
        <f aca="false">IF(X2&gt;=Assumptions!$B$46,(X65+X67*Assumptions!$B$129)*Assumptions!$B$128*X7/12,0)</f>
        <v>2.8395946954393</v>
      </c>
      <c r="Y92" s="44" t="n">
        <f aca="false">IF(Y2&gt;=Assumptions!$B$46,(Y65+Y67*Assumptions!$B$129)*Assumptions!$B$128*Y7/12,0)</f>
        <v>3.24304856471605</v>
      </c>
      <c r="Z92" s="44" t="n">
        <f aca="false">IF(Z2&gt;=Assumptions!$B$46,(Z65+Z67*Assumptions!$B$129)*Assumptions!$B$128*Z7/12,0)</f>
        <v>3.6257079898672</v>
      </c>
      <c r="AA92" s="44" t="n">
        <f aca="false">IF(AA2&gt;=Assumptions!$B$46,(AA65+AA67*Assumptions!$B$129)*Assumptions!$B$128*AA7/12,0)</f>
        <v>132.683097902402</v>
      </c>
      <c r="AB92" s="44" t="n">
        <f aca="false">IF(AB2&gt;=Assumptions!$B$46,(AB65+AB67*Assumptions!$B$129)*Assumptions!$B$128*AB7/12,0)</f>
        <v>283.433115051613</v>
      </c>
      <c r="AC92" s="44" t="n">
        <f aca="false">IF(AC2&gt;=Assumptions!$B$46,(AC65+AC67*Assumptions!$B$129)*Assumptions!$B$128*AC7/12,0)</f>
        <v>512.718537976477</v>
      </c>
      <c r="AD92" s="44" t="n">
        <f aca="false">IF(AD2&gt;=Assumptions!$B$46,(AD65+AD67*Assumptions!$B$129)*Assumptions!$B$128*AD7/12,0)</f>
        <v>820.669439109032</v>
      </c>
      <c r="AE92" s="44" t="n">
        <f aca="false">IF(AE2&gt;=Assumptions!$B$46,(AE65+AE67*Assumptions!$B$129)*Assumptions!$B$128*AE7/12,0)</f>
        <v>1193.34895231898</v>
      </c>
    </row>
    <row r="93" customFormat="false" ht="15" hidden="false" customHeight="false" outlineLevel="0" collapsed="false">
      <c r="A93" s="3" t="s">
        <v>467</v>
      </c>
      <c r="B93" s="23" t="s">
        <v>109</v>
      </c>
      <c r="C93" s="56" t="n">
        <f aca="false">C85+C86+C87+C88+C89+C91</f>
        <v>0</v>
      </c>
      <c r="D93" s="56" t="n">
        <f aca="false">D85+D86+D87+D88+D89+D91</f>
        <v>0</v>
      </c>
      <c r="E93" s="56" t="n">
        <f aca="false">E85+E86+E87+E88+E89+E91</f>
        <v>0</v>
      </c>
      <c r="F93" s="56" t="n">
        <f aca="false">F85+F86+F87+F88+F89+F91</f>
        <v>0</v>
      </c>
      <c r="G93" s="56" t="n">
        <f aca="false">G85+G86+G87+G88+G89+G91</f>
        <v>0</v>
      </c>
      <c r="H93" s="56" t="n">
        <f aca="false">H85+H86+H87+H88+H89+H91</f>
        <v>0</v>
      </c>
      <c r="I93" s="56" t="n">
        <f aca="false">I85+I86+I87+I88+I89+I91</f>
        <v>0</v>
      </c>
      <c r="J93" s="56" t="n">
        <f aca="false">J85+J86+J87+J88+J89+J91</f>
        <v>0</v>
      </c>
      <c r="K93" s="56" t="n">
        <f aca="false">K85+K86+K87+K88+K89+K91</f>
        <v>0</v>
      </c>
      <c r="L93" s="56" t="n">
        <f aca="false">L85+L86+L87+L88+L89+L91</f>
        <v>0</v>
      </c>
      <c r="M93" s="56" t="n">
        <f aca="false">M85+M86+M87+M88+M89+M91</f>
        <v>0</v>
      </c>
      <c r="N93" s="56" t="n">
        <f aca="false">N85+N86+N87+N88+N89+N91</f>
        <v>0</v>
      </c>
      <c r="O93" s="56" t="n">
        <f aca="false">O85+O86+O87+O88+O89+O91</f>
        <v>108.497188075185</v>
      </c>
      <c r="P93" s="56" t="n">
        <f aca="false">P85+P86+P87+P88+P89+P91</f>
        <v>208.570387824035</v>
      </c>
      <c r="Q93" s="56" t="n">
        <f aca="false">Q85+Q86+Q87+Q88+Q89+Q91</f>
        <v>301.340881104319</v>
      </c>
      <c r="R93" s="56" t="n">
        <f aca="false">R85+R86+R87+R88+R89+R91</f>
        <v>417.574699232158</v>
      </c>
      <c r="S93" s="56" t="n">
        <f aca="false">S85+S86+S87+S88+S89+S91</f>
        <v>518.17395688452</v>
      </c>
      <c r="T93" s="56" t="n">
        <f aca="false">T85+T86+T87+T88+T89+T91</f>
        <v>597.124364328559</v>
      </c>
      <c r="U93" s="56" t="n">
        <f aca="false">U85+U86+U87+U88+U89+U91</f>
        <v>670.066099082261</v>
      </c>
      <c r="V93" s="56" t="n">
        <f aca="false">V85+V86+V87+V88+V89+V91</f>
        <v>740.725339756136</v>
      </c>
      <c r="W93" s="56" t="n">
        <f aca="false">W85+W86+W87+W88+W89+W91</f>
        <v>830.064981517262</v>
      </c>
      <c r="X93" s="56" t="n">
        <f aca="false">X85+X86+X87+X88+X89+X91</f>
        <v>956.65532949594</v>
      </c>
      <c r="Y93" s="56" t="n">
        <f aca="false">Y85+Y86+Y87+Y88+Y89+Y91</f>
        <v>1067.6561024022</v>
      </c>
      <c r="Z93" s="56" t="n">
        <f aca="false">Z85+Z86+Z87+Z88+Z89+Z91</f>
        <v>1160.96535058688</v>
      </c>
      <c r="AA93" s="56" t="n">
        <f aca="false">AA85+AA86+AA87+AA88+AA89+AA91</f>
        <v>34300.52703147</v>
      </c>
      <c r="AB93" s="56" t="n">
        <f aca="false">AB85+AB86+AB87+AB88+AB89+AB91</f>
        <v>61405.0611288205</v>
      </c>
      <c r="AC93" s="56" t="n">
        <f aca="false">AC85+AC86+AC87+AC88+AC89+AC91</f>
        <v>97422.6487706543</v>
      </c>
      <c r="AD93" s="56" t="n">
        <f aca="false">AD85+AD86+AD87+AD88+AD89+AD91</f>
        <v>137378.694329412</v>
      </c>
      <c r="AE93" s="56" t="n">
        <f aca="false">AE85+AE86+AE87+AE88+AE89+AE91</f>
        <v>175423.503992484</v>
      </c>
    </row>
    <row r="95" customFormat="false" ht="15" hidden="false" customHeight="false" outlineLevel="0" collapsed="false">
      <c r="A95" s="45" t="s">
        <v>468</v>
      </c>
      <c r="B95" s="46"/>
      <c r="C95" s="46"/>
      <c r="D95" s="46"/>
      <c r="E95" s="46"/>
      <c r="F95" s="46"/>
      <c r="G95" s="46"/>
      <c r="H95" s="46"/>
      <c r="I95" s="46"/>
      <c r="J95" s="46"/>
      <c r="K95" s="46"/>
      <c r="L95" s="46"/>
      <c r="M95" s="46"/>
      <c r="N95" s="46"/>
      <c r="O95" s="46"/>
      <c r="P95" s="46"/>
      <c r="Q95" s="46"/>
      <c r="R95" s="46"/>
      <c r="S95" s="46"/>
      <c r="T95" s="46"/>
      <c r="U95" s="46"/>
      <c r="V95" s="46"/>
      <c r="W95" s="46"/>
      <c r="X95" s="46"/>
      <c r="Y95" s="46"/>
      <c r="Z95" s="46"/>
      <c r="AA95" s="46"/>
      <c r="AB95" s="46"/>
      <c r="AC95" s="46"/>
      <c r="AD95" s="46"/>
      <c r="AE95" s="46"/>
    </row>
    <row r="96" customFormat="false" ht="15" hidden="false" customHeight="false" outlineLevel="0" collapsed="false">
      <c r="A96" s="6" t="s">
        <v>428</v>
      </c>
      <c r="B96" s="23" t="s">
        <v>185</v>
      </c>
      <c r="C96" s="52" t="n">
        <f aca="false">INDEX(Assumptions!$B$92:$B$98,C5)*Assumptions!$B$120/12*C7/Assumptions!$B$117*(1+Assumptions!$B$123)*IF(C2&gt;=Assumptions!$B$54,1,0)</f>
        <v>72.8</v>
      </c>
      <c r="D96" s="52" t="n">
        <f aca="false">INDEX(Assumptions!$B$92:$B$98,D5)*Assumptions!$B$120/12*D7/Assumptions!$B$117*(1+Assumptions!$B$123)*IF(D2&gt;=Assumptions!$B$54,1,0)</f>
        <v>72.8</v>
      </c>
      <c r="E96" s="52" t="n">
        <f aca="false">INDEX(Assumptions!$B$92:$B$98,E5)*Assumptions!$B$120/12*E7/Assumptions!$B$117*(1+Assumptions!$B$123)*IF(E2&gt;=Assumptions!$B$54,1,0)</f>
        <v>72.8</v>
      </c>
      <c r="F96" s="52" t="n">
        <f aca="false">INDEX(Assumptions!$B$92:$B$98,F5)*Assumptions!$B$120/12*F7/Assumptions!$B$117*(1+Assumptions!$B$123)*IF(F2&gt;=Assumptions!$B$54,1,0)</f>
        <v>72.8</v>
      </c>
      <c r="G96" s="52" t="n">
        <f aca="false">INDEX(Assumptions!$B$92:$B$98,G5)*Assumptions!$B$120/12*G7/Assumptions!$B$117*(1+Assumptions!$B$123)*IF(G2&gt;=Assumptions!$B$54,1,0)</f>
        <v>72.8</v>
      </c>
      <c r="H96" s="52" t="n">
        <f aca="false">INDEX(Assumptions!$B$92:$B$98,H5)*Assumptions!$B$120/12*H7/Assumptions!$B$117*(1+Assumptions!$B$123)*IF(H2&gt;=Assumptions!$B$54,1,0)</f>
        <v>72.8</v>
      </c>
      <c r="I96" s="52" t="n">
        <f aca="false">INDEX(Assumptions!$B$92:$B$98,I5)*Assumptions!$B$120/12*I7/Assumptions!$B$117*(1+Assumptions!$B$123)*IF(I2&gt;=Assumptions!$B$54,1,0)</f>
        <v>72.8</v>
      </c>
      <c r="J96" s="52" t="n">
        <f aca="false">INDEX(Assumptions!$B$92:$B$98,J5)*Assumptions!$B$120/12*J7/Assumptions!$B$117*(1+Assumptions!$B$123)*IF(J2&gt;=Assumptions!$B$54,1,0)</f>
        <v>72.8</v>
      </c>
      <c r="K96" s="52" t="n">
        <f aca="false">INDEX(Assumptions!$B$92:$B$98,K5)*Assumptions!$B$120/12*K7/Assumptions!$B$117*(1+Assumptions!$B$123)*IF(K2&gt;=Assumptions!$B$54,1,0)</f>
        <v>72.8</v>
      </c>
      <c r="L96" s="52" t="n">
        <f aca="false">INDEX(Assumptions!$B$92:$B$98,L5)*Assumptions!$B$120/12*L7/Assumptions!$B$117*(1+Assumptions!$B$123)*IF(L2&gt;=Assumptions!$B$54,1,0)</f>
        <v>72.8</v>
      </c>
      <c r="M96" s="52" t="n">
        <f aca="false">INDEX(Assumptions!$B$92:$B$98,M5)*Assumptions!$B$120/12*M7/Assumptions!$B$117*(1+Assumptions!$B$123)*IF(M2&gt;=Assumptions!$B$54,1,0)</f>
        <v>72.8</v>
      </c>
      <c r="N96" s="52" t="n">
        <f aca="false">INDEX(Assumptions!$B$92:$B$98,N5)*Assumptions!$B$120/12*N7/Assumptions!$B$117*(1+Assumptions!$B$123)*IF(N2&gt;=Assumptions!$B$54,1,0)</f>
        <v>72.8</v>
      </c>
      <c r="O96" s="52" t="n">
        <f aca="false">INDEX(Assumptions!$B$92:$B$98,O5)*Assumptions!$B$120/12*O7/Assumptions!$B$117*(1+Assumptions!$B$123)*IF(O2&gt;=Assumptions!$B$54,1,0)</f>
        <v>218.4</v>
      </c>
      <c r="P96" s="52" t="n">
        <f aca="false">INDEX(Assumptions!$B$92:$B$98,P5)*Assumptions!$B$120/12*P7/Assumptions!$B$117*(1+Assumptions!$B$123)*IF(P2&gt;=Assumptions!$B$54,1,0)</f>
        <v>218.4</v>
      </c>
      <c r="Q96" s="52" t="n">
        <f aca="false">INDEX(Assumptions!$B$92:$B$98,Q5)*Assumptions!$B$120/12*Q7/Assumptions!$B$117*(1+Assumptions!$B$123)*IF(Q2&gt;=Assumptions!$B$54,1,0)</f>
        <v>218.4</v>
      </c>
      <c r="R96" s="52" t="n">
        <f aca="false">INDEX(Assumptions!$B$92:$B$98,R5)*Assumptions!$B$120/12*R7/Assumptions!$B$117*(1+Assumptions!$B$123)*IF(R2&gt;=Assumptions!$B$54,1,0)</f>
        <v>218.4</v>
      </c>
      <c r="S96" s="52" t="n">
        <f aca="false">INDEX(Assumptions!$B$92:$B$98,S5)*Assumptions!$B$120/12*S7/Assumptions!$B$117*(1+Assumptions!$B$123)*IF(S2&gt;=Assumptions!$B$54,1,0)</f>
        <v>218.4</v>
      </c>
      <c r="T96" s="52" t="n">
        <f aca="false">INDEX(Assumptions!$B$92:$B$98,T5)*Assumptions!$B$120/12*T7/Assumptions!$B$117*(1+Assumptions!$B$123)*IF(T2&gt;=Assumptions!$B$54,1,0)</f>
        <v>218.4</v>
      </c>
      <c r="U96" s="52" t="n">
        <f aca="false">INDEX(Assumptions!$B$92:$B$98,U5)*Assumptions!$B$120/12*U7/Assumptions!$B$117*(1+Assumptions!$B$123)*IF(U2&gt;=Assumptions!$B$54,1,0)</f>
        <v>218.4</v>
      </c>
      <c r="V96" s="52" t="n">
        <f aca="false">INDEX(Assumptions!$B$92:$B$98,V5)*Assumptions!$B$120/12*V7/Assumptions!$B$117*(1+Assumptions!$B$123)*IF(V2&gt;=Assumptions!$B$54,1,0)</f>
        <v>218.4</v>
      </c>
      <c r="W96" s="52" t="n">
        <f aca="false">INDEX(Assumptions!$B$92:$B$98,W5)*Assumptions!$B$120/12*W7/Assumptions!$B$117*(1+Assumptions!$B$123)*IF(W2&gt;=Assumptions!$B$54,1,0)</f>
        <v>218.4</v>
      </c>
      <c r="X96" s="52" t="n">
        <f aca="false">INDEX(Assumptions!$B$92:$B$98,X5)*Assumptions!$B$120/12*X7/Assumptions!$B$117*(1+Assumptions!$B$123)*IF(X2&gt;=Assumptions!$B$54,1,0)</f>
        <v>218.4</v>
      </c>
      <c r="Y96" s="52" t="n">
        <f aca="false">INDEX(Assumptions!$B$92:$B$98,Y5)*Assumptions!$B$120/12*Y7/Assumptions!$B$117*(1+Assumptions!$B$123)*IF(Y2&gt;=Assumptions!$B$54,1,0)</f>
        <v>218.4</v>
      </c>
      <c r="Z96" s="52" t="n">
        <f aca="false">INDEX(Assumptions!$B$92:$B$98,Z5)*Assumptions!$B$120/12*Z7/Assumptions!$B$117*(1+Assumptions!$B$123)*IF(Z2&gt;=Assumptions!$B$54,1,0)</f>
        <v>218.4</v>
      </c>
      <c r="AA96" s="52" t="n">
        <f aca="false">INDEX(Assumptions!$B$92:$B$98,AA5)*Assumptions!$B$120/12*AA7/Assumptions!$B$117*(1+Assumptions!$B$123)*IF(AA2&gt;=Assumptions!$B$54,1,0)</f>
        <v>3640</v>
      </c>
      <c r="AB96" s="52" t="n">
        <f aca="false">INDEX(Assumptions!$B$92:$B$98,AB5)*Assumptions!$B$120/12*AB7/Assumptions!$B$117*(1+Assumptions!$B$123)*IF(AB2&gt;=Assumptions!$B$54,1,0)</f>
        <v>5824</v>
      </c>
      <c r="AC96" s="52" t="n">
        <f aca="false">INDEX(Assumptions!$B$92:$B$98,AC5)*Assumptions!$B$120/12*AC7/Assumptions!$B$117*(1+Assumptions!$B$123)*IF(AC2&gt;=Assumptions!$B$54,1,0)</f>
        <v>8736</v>
      </c>
      <c r="AD96" s="52" t="n">
        <f aca="false">INDEX(Assumptions!$B$92:$B$98,AD5)*Assumptions!$B$120/12*AD7/Assumptions!$B$117*(1+Assumptions!$B$123)*IF(AD2&gt;=Assumptions!$B$54,1,0)</f>
        <v>12376</v>
      </c>
      <c r="AE96" s="52" t="n">
        <f aca="false">INDEX(Assumptions!$B$92:$B$98,AE5)*Assumptions!$B$120/12*AE7/Assumptions!$B$117*(1+Assumptions!$B$123)*IF(AE2&gt;=Assumptions!$B$54,1,0)</f>
        <v>16016</v>
      </c>
    </row>
    <row r="97" customFormat="false" ht="15" hidden="false" customHeight="false" outlineLevel="0" collapsed="false">
      <c r="A97" s="6" t="s">
        <v>429</v>
      </c>
      <c r="B97" s="23" t="s">
        <v>185</v>
      </c>
      <c r="C97" s="53" t="n">
        <v>0</v>
      </c>
      <c r="D97" s="53" t="n">
        <f aca="false">IF(D2&gt;=Assumptions!$B$52,C101*Assumptions!$B$121/12*Assumptions!$B$122*D7,0)</f>
        <v>0</v>
      </c>
      <c r="E97" s="53" t="n">
        <f aca="false">IF(E2&gt;=Assumptions!$B$52,D101*Assumptions!$B$121/12*Assumptions!$B$122*E7,0)</f>
        <v>0</v>
      </c>
      <c r="F97" s="53" t="n">
        <f aca="false">IF(F2&gt;=Assumptions!$B$52,E101*Assumptions!$B$121/12*Assumptions!$B$122*F7,0)</f>
        <v>0</v>
      </c>
      <c r="G97" s="53" t="n">
        <f aca="false">IF(G2&gt;=Assumptions!$B$52,F101*Assumptions!$B$121/12*Assumptions!$B$122*G7,0)</f>
        <v>0</v>
      </c>
      <c r="H97" s="53" t="n">
        <f aca="false">IF(H2&gt;=Assumptions!$B$52,G101*Assumptions!$B$121/12*Assumptions!$B$122*H7,0)</f>
        <v>0</v>
      </c>
      <c r="I97" s="53" t="n">
        <f aca="false">IF(I2&gt;=Assumptions!$B$52,H101*Assumptions!$B$121/12*Assumptions!$B$122*I7,0)</f>
        <v>0</v>
      </c>
      <c r="J97" s="53" t="n">
        <f aca="false">IF(J2&gt;=Assumptions!$B$52,I101*Assumptions!$B$121/12*Assumptions!$B$122*J7,0)</f>
        <v>0</v>
      </c>
      <c r="K97" s="53" t="n">
        <f aca="false">IF(K2&gt;=Assumptions!$B$52,J101*Assumptions!$B$121/12*Assumptions!$B$122*K7,0)</f>
        <v>0</v>
      </c>
      <c r="L97" s="53" t="n">
        <f aca="false">IF(L2&gt;=Assumptions!$B$52,K101*Assumptions!$B$121/12*Assumptions!$B$122*L7,0)</f>
        <v>0</v>
      </c>
      <c r="M97" s="53" t="n">
        <f aca="false">IF(M2&gt;=Assumptions!$B$52,L101*Assumptions!$B$121/12*Assumptions!$B$122*M7,0)</f>
        <v>0</v>
      </c>
      <c r="N97" s="53" t="n">
        <f aca="false">IF(N2&gt;=Assumptions!$B$52,M101*Assumptions!$B$121/12*Assumptions!$B$122*N7,0)</f>
        <v>0</v>
      </c>
      <c r="O97" s="53" t="n">
        <f aca="false">IF(O2&gt;=Assumptions!$B$52,N101*Assumptions!$B$121/12*Assumptions!$B$122*O7,0)</f>
        <v>16.4535109701858</v>
      </c>
      <c r="P97" s="53" t="n">
        <f aca="false">IF(P2&gt;=Assumptions!$B$52,O101*Assumptions!$B$121/12*Assumptions!$B$122*P7,0)</f>
        <v>21.4324451490452</v>
      </c>
      <c r="Q97" s="53" t="n">
        <f aca="false">IF(Q2&gt;=Assumptions!$B$52,P101*Assumptions!$B$121/12*Assumptions!$B$122*Q7,0)</f>
        <v>25.9560959340365</v>
      </c>
      <c r="R97" s="53" t="n">
        <f aca="false">IF(R2&gt;=Assumptions!$B$52,Q101*Assumptions!$B$121/12*Assumptions!$B$122*R7,0)</f>
        <v>30.0885442049551</v>
      </c>
      <c r="S97" s="53" t="n">
        <f aca="false">IF(S2&gt;=Assumptions!$B$52,R101*Assumptions!$B$121/12*Assumptions!$B$122*S7,0)</f>
        <v>35.4343811530885</v>
      </c>
      <c r="T97" s="53" t="n">
        <f aca="false">IF(T2&gt;=Assumptions!$B$52,S101*Assumptions!$B$121/12*Assumptions!$B$122*T7,0)</f>
        <v>39.9456669169879</v>
      </c>
      <c r="U97" s="53" t="n">
        <f aca="false">IF(U2&gt;=Assumptions!$B$52,T101*Assumptions!$B$121/12*Assumptions!$B$122*U7,0)</f>
        <v>43.329427057997</v>
      </c>
      <c r="V97" s="53" t="n">
        <f aca="false">IF(V2&gt;=Assumptions!$B$52,U101*Assumptions!$B$121/12*Assumptions!$B$122*V7,0)</f>
        <v>46.3996226939913</v>
      </c>
      <c r="W97" s="53" t="n">
        <f aca="false">IF(W2&gt;=Assumptions!$B$52,V101*Assumptions!$B$121/12*Assumptions!$B$122*W7,0)</f>
        <v>49.3474945013377</v>
      </c>
      <c r="X97" s="53" t="n">
        <f aca="false">IF(X2&gt;=Assumptions!$B$52,W101*Assumptions!$B$121/12*Assumptions!$B$122*X7,0)</f>
        <v>52.6679496164503</v>
      </c>
      <c r="Y97" s="53" t="n">
        <f aca="false">IF(Y2&gt;=Assumptions!$B$52,X101*Assumptions!$B$121/12*Assumptions!$B$122*Y7,0)</f>
        <v>57.8345151677098</v>
      </c>
      <c r="Z97" s="53" t="n">
        <f aca="false">IF(Z2&gt;=Assumptions!$B$52,Y101*Assumptions!$B$121/12*Assumptions!$B$122*Z7,0)</f>
        <v>62.1960402714574</v>
      </c>
      <c r="AA97" s="53" t="n">
        <f aca="false">IF(AA2&gt;=Assumptions!$B$52,Z101*Assumptions!$B$121/12*Assumptions!$B$122*AA7,0)</f>
        <v>786.168318139872</v>
      </c>
      <c r="AB97" s="53" t="n">
        <f aca="false">IF(AB2&gt;=Assumptions!$B$52,AA101*Assumptions!$B$121/12*Assumptions!$B$122*AB7,0)</f>
        <v>1423.64579753955</v>
      </c>
      <c r="AC97" s="53" t="n">
        <f aca="false">IF(AC2&gt;=Assumptions!$B$52,AB101*Assumptions!$B$121/12*Assumptions!$B$122*AC7,0)</f>
        <v>2190.30840065933</v>
      </c>
      <c r="AD97" s="53" t="n">
        <f aca="false">IF(AD2&gt;=Assumptions!$B$52,AC101*Assumptions!$B$121/12*Assumptions!$B$122*AD7,0)</f>
        <v>2910.65927856155</v>
      </c>
      <c r="AE97" s="53" t="n">
        <f aca="false">IF(AE2&gt;=Assumptions!$B$52,AD101*Assumptions!$B$121/12*Assumptions!$B$122*AE7,0)</f>
        <v>3245.26760051115</v>
      </c>
    </row>
    <row r="98" customFormat="false" ht="15" hidden="false" customHeight="false" outlineLevel="0" collapsed="false">
      <c r="A98" s="6" t="s">
        <v>430</v>
      </c>
      <c r="B98" s="23" t="s">
        <v>185</v>
      </c>
      <c r="C98" s="53" t="n">
        <f aca="false">C96+C97+IF(C21=0,0,C20*Assumptions!$B$108/C21*IF(C2&gt;=Assumptions!$B$54,1,0))</f>
        <v>78.8</v>
      </c>
      <c r="D98" s="53" t="n">
        <f aca="false">D96+D97+IF(D21=0,0,D20*Assumptions!$B$108/D21*IF(D2&gt;=Assumptions!$B$54,1,0))</f>
        <v>78.8</v>
      </c>
      <c r="E98" s="53" t="n">
        <f aca="false">E96+E97+IF(E21=0,0,E20*Assumptions!$B$108/E21*IF(E2&gt;=Assumptions!$B$54,1,0))</f>
        <v>78.8</v>
      </c>
      <c r="F98" s="53" t="n">
        <f aca="false">F96+F97+IF(F21=0,0,F20*Assumptions!$B$108/F21*IF(F2&gt;=Assumptions!$B$54,1,0))</f>
        <v>78.8</v>
      </c>
      <c r="G98" s="53" t="n">
        <f aca="false">G96+G97+IF(G21=0,0,G20*Assumptions!$B$108/G21*IF(G2&gt;=Assumptions!$B$54,1,0))</f>
        <v>78.8</v>
      </c>
      <c r="H98" s="53" t="n">
        <f aca="false">H96+H97+IF(H21=0,0,H20*Assumptions!$B$108/H21*IF(H2&gt;=Assumptions!$B$54,1,0))</f>
        <v>78.8</v>
      </c>
      <c r="I98" s="53" t="n">
        <f aca="false">I96+I97+IF(I21=0,0,I20*Assumptions!$B$108/I21*IF(I2&gt;=Assumptions!$B$54,1,0))</f>
        <v>78.8</v>
      </c>
      <c r="J98" s="53" t="n">
        <f aca="false">J96+J97+IF(J21=0,0,J20*Assumptions!$B$108/J21*IF(J2&gt;=Assumptions!$B$54,1,0))</f>
        <v>78.8</v>
      </c>
      <c r="K98" s="53" t="n">
        <f aca="false">K96+K97+IF(K21=0,0,K20*Assumptions!$B$108/K21*IF(K2&gt;=Assumptions!$B$54,1,0))</f>
        <v>78.8</v>
      </c>
      <c r="L98" s="53" t="n">
        <f aca="false">L96+L97+IF(L21=0,0,L20*Assumptions!$B$108/L21*IF(L2&gt;=Assumptions!$B$54,1,0))</f>
        <v>78.8</v>
      </c>
      <c r="M98" s="53" t="n">
        <f aca="false">M96+M97+IF(M21=0,0,M20*Assumptions!$B$108/M21*IF(M2&gt;=Assumptions!$B$54,1,0))</f>
        <v>78.8</v>
      </c>
      <c r="N98" s="53" t="n">
        <f aca="false">N96+N97+IF(N21=0,0,N20*Assumptions!$B$108/N21*IF(N2&gt;=Assumptions!$B$54,1,0))</f>
        <v>78.8</v>
      </c>
      <c r="O98" s="53" t="n">
        <f aca="false">O96+O97+IF(O21=0,0,O20*Assumptions!$B$108/O21*IF(O2&gt;=Assumptions!$B$54,1,0))</f>
        <v>257.803510970186</v>
      </c>
      <c r="P98" s="53" t="n">
        <f aca="false">P96+P97+IF(P21=0,0,P20*Assumptions!$B$108/P21*IF(P2&gt;=Assumptions!$B$54,1,0))</f>
        <v>262.782445149045</v>
      </c>
      <c r="Q98" s="53" t="n">
        <f aca="false">Q96+Q97+IF(Q21=0,0,Q20*Assumptions!$B$108/Q21*IF(Q2&gt;=Assumptions!$B$54,1,0))</f>
        <v>267.306095934037</v>
      </c>
      <c r="R98" s="53" t="n">
        <f aca="false">R96+R97+IF(R21=0,0,R20*Assumptions!$B$108/R21*IF(R2&gt;=Assumptions!$B$54,1,0))</f>
        <v>271.438544204955</v>
      </c>
      <c r="S98" s="53" t="n">
        <f aca="false">S96+S97+IF(S21=0,0,S20*Assumptions!$B$108/S21*IF(S2&gt;=Assumptions!$B$54,1,0))</f>
        <v>276.784381153089</v>
      </c>
      <c r="T98" s="53" t="n">
        <f aca="false">T96+T97+IF(T21=0,0,T20*Assumptions!$B$108/T21*IF(T2&gt;=Assumptions!$B$54,1,0))</f>
        <v>281.295666916988</v>
      </c>
      <c r="U98" s="53" t="n">
        <f aca="false">U96+U97+IF(U21=0,0,U20*Assumptions!$B$108/U21*IF(U2&gt;=Assumptions!$B$54,1,0))</f>
        <v>284.679427057997</v>
      </c>
      <c r="V98" s="53" t="n">
        <f aca="false">V96+V97+IF(V21=0,0,V20*Assumptions!$B$108/V21*IF(V2&gt;=Assumptions!$B$54,1,0))</f>
        <v>287.749622693991</v>
      </c>
      <c r="W98" s="53" t="n">
        <f aca="false">W96+W97+IF(W21=0,0,W20*Assumptions!$B$108/W21*IF(W2&gt;=Assumptions!$B$54,1,0))</f>
        <v>290.697494501338</v>
      </c>
      <c r="X98" s="53" t="n">
        <f aca="false">X96+X97+IF(X21=0,0,X20*Assumptions!$B$108/X21*IF(X2&gt;=Assumptions!$B$54,1,0))</f>
        <v>294.01794961645</v>
      </c>
      <c r="Y98" s="53" t="n">
        <f aca="false">Y96+Y97+IF(Y21=0,0,Y20*Assumptions!$B$108/Y21*IF(Y2&gt;=Assumptions!$B$54,1,0))</f>
        <v>299.18451516771</v>
      </c>
      <c r="Z98" s="53" t="n">
        <f aca="false">Z96+Z97+IF(Z21=0,0,Z20*Assumptions!$B$108/Z21*IF(Z2&gt;=Assumptions!$B$54,1,0))</f>
        <v>303.546040271457</v>
      </c>
      <c r="AA98" s="53" t="n">
        <f aca="false">AA96+AA97+IF(AA21=0,0,AA20*Assumptions!$B$108/AA21*IF(AA2&gt;=Assumptions!$B$54,1,0))</f>
        <v>5290.16831813987</v>
      </c>
      <c r="AB98" s="53" t="n">
        <f aca="false">AB96+AB97+IF(AB21=0,0,AB20*Assumptions!$B$108/AB21*IF(AB2&gt;=Assumptions!$B$54,1,0))</f>
        <v>8543.64579753955</v>
      </c>
      <c r="AC98" s="53" t="n">
        <f aca="false">AC96+AC97+IF(AC21=0,0,AC20*Assumptions!$B$108/AC21*IF(AC2&gt;=Assumptions!$B$54,1,0))</f>
        <v>12870.3084006593</v>
      </c>
      <c r="AD98" s="53" t="n">
        <f aca="false">AD96+AD97+IF(AD21=0,0,AD20*Assumptions!$B$108/AD21*IF(AD2&gt;=Assumptions!$B$54,1,0))</f>
        <v>17576.2592785615</v>
      </c>
      <c r="AE98" s="53" t="n">
        <f aca="false">AE96+AE97+IF(AE21=0,0,AE20*Assumptions!$B$108/AE21*IF(AE2&gt;=Assumptions!$B$54,1,0))</f>
        <v>21939.6676005112</v>
      </c>
    </row>
    <row r="99" customFormat="false" ht="15" hidden="false" customHeight="false" outlineLevel="0" collapsed="false">
      <c r="A99" s="6" t="s">
        <v>431</v>
      </c>
      <c r="B99" s="23" t="s">
        <v>426</v>
      </c>
      <c r="C99" s="50" t="n">
        <v>1</v>
      </c>
      <c r="D99" s="50" t="n">
        <f aca="false">MAX(0,1-C104/Assumptions!$B$83)</f>
        <v>0.998180845714286</v>
      </c>
      <c r="E99" s="50" t="n">
        <f aca="false">MAX(0,1-D104/Assumptions!$B$83)</f>
        <v>0.996454894065906</v>
      </c>
      <c r="F99" s="50" t="n">
        <f aca="false">MAX(0,1-E104/Assumptions!$B$83)</f>
        <v>0.994803717060188</v>
      </c>
      <c r="G99" s="50" t="n">
        <f aca="false">MAX(0,1-F104/Assumptions!$B$83)</f>
        <v>0.992743165909559</v>
      </c>
      <c r="H99" s="50" t="n">
        <f aca="false">MAX(0,1-G104/Assumptions!$B$83)</f>
        <v>0.990883570756813</v>
      </c>
      <c r="I99" s="50" t="n">
        <f aca="false">MAX(0,1-H104/Assumptions!$B$83)</f>
        <v>0.989313014634972</v>
      </c>
      <c r="J99" s="50" t="n">
        <f aca="false">MAX(0,1-I104/Assumptions!$B$83)</f>
        <v>0.987798404675652</v>
      </c>
      <c r="K99" s="50" t="n">
        <f aca="false">MAX(0,1-J104/Assumptions!$B$83)</f>
        <v>0.986286113540905</v>
      </c>
      <c r="L99" s="50" t="n">
        <f aca="false">MAX(0,1-K104/Assumptions!$B$83)</f>
        <v>0.984634022305597</v>
      </c>
      <c r="M99" s="50" t="n">
        <f aca="false">MAX(0,1-L104/Assumptions!$B$83)</f>
        <v>0.982417189135378</v>
      </c>
      <c r="N99" s="50" t="n">
        <f aca="false">MAX(0,1-M104/Assumptions!$B$83)</f>
        <v>0.98038229437699</v>
      </c>
      <c r="O99" s="50" t="n">
        <f aca="false">MAX(0,1-N104/Assumptions!$B$83)</f>
        <v>0.978598827724536</v>
      </c>
      <c r="P99" s="50" t="n">
        <f aca="false">MAX(0,1-O104/Assumptions!$B$83)</f>
        <v>0.97277462027871</v>
      </c>
      <c r="Q99" s="50" t="n">
        <f aca="false">MAX(0,1-P104/Assumptions!$B$83)</f>
        <v>0.96716540954582</v>
      </c>
      <c r="R99" s="50" t="n">
        <f aca="false">MAX(0,1-Q104/Assumptions!$B$83)</f>
        <v>0.961728909592259</v>
      </c>
      <c r="S99" s="50" t="n">
        <f aca="false">MAX(0,1-R104/Assumptions!$B$83)</f>
        <v>0.95486701612002</v>
      </c>
      <c r="T99" s="50" t="n">
        <f aca="false">MAX(0,1-S104/Assumptions!$B$83)</f>
        <v>0.948584411155771</v>
      </c>
      <c r="U99" s="50" t="n">
        <f aca="false">MAX(0,1-T104/Assumptions!$B$83)</f>
        <v>0.943217262300559</v>
      </c>
      <c r="V99" s="50" t="n">
        <f aca="false">MAX(0,1-U104/Assumptions!$B$83)</f>
        <v>0.938000408189713</v>
      </c>
      <c r="W99" s="50" t="n">
        <f aca="false">MAX(0,1-V104/Assumptions!$B$83)</f>
        <v>0.932756456783727</v>
      </c>
      <c r="X99" s="50" t="n">
        <f aca="false">MAX(0,1-W104/Assumptions!$B$83)</f>
        <v>0.926992583242715</v>
      </c>
      <c r="Y99" s="50" t="n">
        <f aca="false">MAX(0,1-X104/Assumptions!$B$83)</f>
        <v>0.919205370138867</v>
      </c>
      <c r="Z99" s="50" t="n">
        <f aca="false">MAX(0,1-Y104/Assumptions!$B$83)</f>
        <v>0.91197648293989</v>
      </c>
      <c r="AA99" s="50" t="n">
        <f aca="false">MAX(0,1-Z104/Assumptions!$B$83)</f>
        <v>0.905585737369164</v>
      </c>
      <c r="AB99" s="50" t="n">
        <f aca="false">MAX(0,1-AA104/Assumptions!$B$83)</f>
        <v>0.796084000747685</v>
      </c>
      <c r="AC99" s="50" t="n">
        <f aca="false">MAX(0,1-AB104/Assumptions!$B$83)</f>
        <v>0.640622064119653</v>
      </c>
      <c r="AD99" s="50" t="n">
        <f aca="false">MAX(0,1-AC104/Assumptions!$B$83)</f>
        <v>0.452164840497095</v>
      </c>
      <c r="AE99" s="50" t="n">
        <f aca="false">MAX(0,1-AD104/Assumptions!$B$83)</f>
        <v>0.270510749680492</v>
      </c>
    </row>
    <row r="100" customFormat="false" ht="15" hidden="false" customHeight="false" outlineLevel="0" collapsed="false">
      <c r="A100" s="6" t="s">
        <v>432</v>
      </c>
      <c r="B100" s="23" t="s">
        <v>185</v>
      </c>
      <c r="C100" s="53" t="n">
        <f aca="false">C98*C99*C15</f>
        <v>79.588</v>
      </c>
      <c r="D100" s="53" t="n">
        <f aca="false">D98*D99*D15</f>
        <v>75.5103846165943</v>
      </c>
      <c r="E100" s="53" t="n">
        <f aca="false">E98*E99*E15</f>
        <v>72.238994000202</v>
      </c>
      <c r="F100" s="53" t="n">
        <f aca="false">F98*F99*F15</f>
        <v>90.1491128399942</v>
      </c>
      <c r="G100" s="53" t="n">
        <f aca="false">G98*G99*G15</f>
        <v>81.3572879326202</v>
      </c>
      <c r="H100" s="53" t="n">
        <f aca="false">H98*H99*H15</f>
        <v>68.7118303305605</v>
      </c>
      <c r="I100" s="53" t="n">
        <f aca="false">I98*I99*I15</f>
        <v>66.2641857202504</v>
      </c>
      <c r="J100" s="53" t="n">
        <f aca="false">J98*J99*J15</f>
        <v>66.1627371451752</v>
      </c>
      <c r="K100" s="53" t="n">
        <f aca="false">K98*K99*K15</f>
        <v>72.2789915447317</v>
      </c>
      <c r="L100" s="53" t="n">
        <f aca="false">L98*L99*L15</f>
        <v>96.9864511971013</v>
      </c>
      <c r="M100" s="53" t="n">
        <f aca="false">M98*M99*M15</f>
        <v>89.0266456794479</v>
      </c>
      <c r="N100" s="53" t="n">
        <f aca="false">N98*N99*N15</f>
        <v>78.0266660448759</v>
      </c>
      <c r="O100" s="53" t="n">
        <f aca="false">O98*O99*O15</f>
        <v>254.80907575488</v>
      </c>
      <c r="P100" s="53" t="n">
        <f aca="false">P98*P99*P15</f>
        <v>245.402969563942</v>
      </c>
      <c r="Q100" s="53" t="n">
        <f aca="false">Q98*Q99*Q15</f>
        <v>237.846872968286</v>
      </c>
      <c r="R100" s="53" t="n">
        <f aca="false">R98*R99*R15</f>
        <v>300.207839410473</v>
      </c>
      <c r="S100" s="53" t="n">
        <f aca="false">S98*S99*S15</f>
        <v>274.863967185887</v>
      </c>
      <c r="T100" s="53" t="n">
        <f aca="false">T98*T99*T15</f>
        <v>234.812762415546</v>
      </c>
      <c r="U100" s="53" t="n">
        <f aca="false">U98*U99*U15</f>
        <v>228.237367349495</v>
      </c>
      <c r="V100" s="53" t="n">
        <f aca="false">V98*V99*V15</f>
        <v>229.42287401189</v>
      </c>
      <c r="W100" s="53" t="n">
        <f aca="false">W98*W99*W15</f>
        <v>252.169467419287</v>
      </c>
      <c r="X100" s="53" t="n">
        <f aca="false">X98*X99*X15</f>
        <v>340.69057329335</v>
      </c>
      <c r="Y100" s="53" t="n">
        <f aca="false">Y98*Y99*Y15</f>
        <v>316.263814955235</v>
      </c>
      <c r="Z100" s="53" t="n">
        <f aca="false">Z98*Z99*Z15</f>
        <v>279.595118719265</v>
      </c>
      <c r="AA100" s="53" t="n">
        <f aca="false">AA98*AA99*AA15</f>
        <v>4790.70097718969</v>
      </c>
      <c r="AB100" s="53" t="n">
        <f aca="false">AB98*AB99*AB15</f>
        <v>6801.45972747643</v>
      </c>
      <c r="AC100" s="53" t="n">
        <f aca="false">AC98*AC99*AC15</f>
        <v>8245.00353348688</v>
      </c>
      <c r="AD100" s="53" t="n">
        <f aca="false">AD98*AD99*AD15</f>
        <v>7947.36647322637</v>
      </c>
      <c r="AE100" s="53" t="n">
        <f aca="false">AE98*AE99*AE15</f>
        <v>5934.91593035508</v>
      </c>
    </row>
    <row r="101" customFormat="false" ht="15" hidden="false" customHeight="false" outlineLevel="0" collapsed="false">
      <c r="A101" s="6" t="s">
        <v>433</v>
      </c>
      <c r="B101" s="23" t="s">
        <v>185</v>
      </c>
      <c r="C101" s="28" t="n">
        <f aca="false">C100*(1-Assumptions!$B$113)^(C7/2)</f>
        <v>77.6299613610689</v>
      </c>
      <c r="D101" s="28" t="n">
        <f aca="false">C101*(1-Assumptions!$B$113)^D7+D100*(1-Assumptions!$B$113)^(D7/2)</f>
        <v>147.509879250688</v>
      </c>
      <c r="E101" s="28" t="n">
        <f aca="false">D101*(1-Assumptions!$B$113)^E7+E100*(1-Assumptions!$B$113)^(E7/2)</f>
        <v>210.802788691053</v>
      </c>
      <c r="F101" s="28" t="n">
        <f aca="false">E101*(1-Assumptions!$B$113)^F7+F100*(1-Assumptions!$B$113)^(F7/2)</f>
        <v>288.489210429249</v>
      </c>
      <c r="G101" s="28" t="n">
        <f aca="false">F101*(1-Assumptions!$B$113)^G7+G100*(1-Assumptions!$B$113)^(G7/2)</f>
        <v>353.824615099689</v>
      </c>
      <c r="H101" s="28" t="n">
        <f aca="false">G101*(1-Assumptions!$B$113)^H7+H100*(1-Assumptions!$B$113)^(H7/2)</f>
        <v>403.650426115167</v>
      </c>
      <c r="I101" s="28" t="n">
        <f aca="false">H101*(1-Assumptions!$B$113)^I7+I100*(1-Assumptions!$B$113)^(I7/2)</f>
        <v>448.667320301946</v>
      </c>
      <c r="J101" s="28" t="n">
        <f aca="false">I101*(1-Assumptions!$B$113)^J7+J100*(1-Assumptions!$B$113)^(J7/2)</f>
        <v>491.397481182816</v>
      </c>
      <c r="K101" s="28" t="n">
        <f aca="false">J101*(1-Assumptions!$B$113)^K7+K100*(1-Assumptions!$B$113)^(K7/2)</f>
        <v>538.016775841204</v>
      </c>
      <c r="L101" s="28" t="n">
        <f aca="false">K101*(1-Assumptions!$B$113)^L7+L100*(1-Assumptions!$B$113)^(L7/2)</f>
        <v>606.47001686787</v>
      </c>
      <c r="M101" s="28" t="n">
        <f aca="false">L101*(1-Assumptions!$B$113)^M7+M100*(1-Assumptions!$B$113)^(M7/2)</f>
        <v>663.832515004155</v>
      </c>
      <c r="N101" s="28" t="n">
        <f aca="false">M101*(1-Assumptions!$B$113)^N7+N100*(1-Assumptions!$B$113)^(N7/2)</f>
        <v>707.677891190786</v>
      </c>
      <c r="O101" s="28" t="n">
        <f aca="false">N101*(1-Assumptions!$B$113)^O7+O100*(1-Assumptions!$B$113)^(O7/2)</f>
        <v>921.825597808395</v>
      </c>
      <c r="P101" s="28" t="n">
        <f aca="false">O101*(1-Assumptions!$B$113)^P7+P100*(1-Assumptions!$B$113)^(P7/2)</f>
        <v>1116.39122296931</v>
      </c>
      <c r="Q101" s="28" t="n">
        <f aca="false">P101*(1-Assumptions!$B$113)^Q7+Q100*(1-Assumptions!$B$113)^(Q7/2)</f>
        <v>1294.13093354646</v>
      </c>
      <c r="R101" s="28" t="n">
        <f aca="false">Q101*(1-Assumptions!$B$113)^R7+R100*(1-Assumptions!$B$113)^(R7/2)</f>
        <v>1524.05940443391</v>
      </c>
      <c r="S101" s="28" t="n">
        <f aca="false">R101*(1-Assumptions!$B$113)^S7+S100*(1-Assumptions!$B$113)^(S7/2)</f>
        <v>1718.09320073066</v>
      </c>
      <c r="T101" s="28" t="n">
        <f aca="false">S101*(1-Assumptions!$B$113)^T7+T100*(1-Assumptions!$B$113)^(T7/2)</f>
        <v>1863.6312713117</v>
      </c>
      <c r="U101" s="28" t="n">
        <f aca="false">T101*(1-Assumptions!$B$113)^U7+U100*(1-Assumptions!$B$113)^(U7/2)</f>
        <v>1995.68269651575</v>
      </c>
      <c r="V101" s="28" t="n">
        <f aca="false">U101*(1-Assumptions!$B$113)^V7+V100*(1-Assumptions!$B$113)^(V7/2)</f>
        <v>2122.47288177797</v>
      </c>
      <c r="W101" s="28" t="n">
        <f aca="false">V101*(1-Assumptions!$B$113)^W7+W100*(1-Assumptions!$B$113)^(W7/2)</f>
        <v>2265.28815554625</v>
      </c>
      <c r="X101" s="28" t="n">
        <f aca="false">W101*(1-Assumptions!$B$113)^X7+X100*(1-Assumptions!$B$113)^(X7/2)</f>
        <v>2487.5060287187</v>
      </c>
      <c r="Y101" s="28" t="n">
        <f aca="false">X101*(1-Assumptions!$B$113)^Y7+Y100*(1-Assumptions!$B$113)^(Y7/2)</f>
        <v>2675.09850629924</v>
      </c>
      <c r="Z101" s="28" t="n">
        <f aca="false">Y101*(1-Assumptions!$B$113)^Z7+Z100*(1-Assumptions!$B$113)^(Z7/2)</f>
        <v>2817.80759189918</v>
      </c>
      <c r="AA101" s="28" t="n">
        <f aca="false">Z101*(1-Assumptions!$B$113)^AA7+AA100*(1-Assumptions!$B$113)^(AA7/2)</f>
        <v>5102.67310946074</v>
      </c>
      <c r="AB101" s="28" t="n">
        <f aca="false">AA101*(1-Assumptions!$B$113)^AB7+AB100*(1-Assumptions!$B$113)^(AB7/2)</f>
        <v>7850.56774429868</v>
      </c>
      <c r="AC101" s="28" t="n">
        <f aca="false">AB101*(1-Assumptions!$B$113)^AC7+AC100*(1-Assumptions!$B$113)^(AC7/2)</f>
        <v>10432.4705324787</v>
      </c>
      <c r="AD101" s="28" t="n">
        <f aca="false">AC101*(1-Assumptions!$B$113)^AD7+AD100*(1-Assumptions!$B$113)^(AD7/2)</f>
        <v>11631.7835143769</v>
      </c>
      <c r="AE101" s="28" t="n">
        <f aca="false">AD101*(1-Assumptions!$B$113)^AE7+AE100*(1-Assumptions!$B$113)^(AE7/2)</f>
        <v>10798.9323872812</v>
      </c>
    </row>
    <row r="102" customFormat="false" ht="15" hidden="false" customHeight="false" outlineLevel="0" collapsed="false">
      <c r="A102" s="6" t="s">
        <v>434</v>
      </c>
      <c r="B102" s="23" t="s">
        <v>185</v>
      </c>
      <c r="C102" s="53" t="n">
        <f aca="false">C100-C101</f>
        <v>1.9580386389311</v>
      </c>
      <c r="D102" s="53" t="n">
        <f aca="false">C101+D100-D101</f>
        <v>5.63046672697558</v>
      </c>
      <c r="E102" s="53" t="n">
        <f aca="false">D101+E100-E101</f>
        <v>8.94608455983638</v>
      </c>
      <c r="F102" s="53" t="n">
        <f aca="false">E101+F100-F101</f>
        <v>12.4626911017986</v>
      </c>
      <c r="G102" s="53" t="n">
        <f aca="false">F101+G100-G101</f>
        <v>16.0218832621805</v>
      </c>
      <c r="H102" s="53" t="n">
        <f aca="false">G101+H100-H101</f>
        <v>18.8860193150818</v>
      </c>
      <c r="I102" s="53" t="n">
        <f aca="false">H101+I100-I101</f>
        <v>21.2472915334713</v>
      </c>
      <c r="J102" s="53" t="n">
        <f aca="false">I101+J100-J101</f>
        <v>23.4325762643051</v>
      </c>
      <c r="K102" s="53" t="n">
        <f aca="false">J101+K100-K101</f>
        <v>25.6596968863443</v>
      </c>
      <c r="L102" s="53" t="n">
        <f aca="false">K101+L100-L101</f>
        <v>28.533210170435</v>
      </c>
      <c r="M102" s="53" t="n">
        <f aca="false">L101+M100-M101</f>
        <v>31.6641475431633</v>
      </c>
      <c r="N102" s="53" t="n">
        <f aca="false">M101+N100-N101</f>
        <v>34.1812898582451</v>
      </c>
      <c r="O102" s="53" t="n">
        <f aca="false">N101+O100-O101</f>
        <v>40.6613691372713</v>
      </c>
      <c r="P102" s="53" t="n">
        <f aca="false">O101+P100-P101</f>
        <v>50.8373444030256</v>
      </c>
      <c r="Q102" s="53" t="n">
        <f aca="false">P101+Q100-Q101</f>
        <v>60.1071623911421</v>
      </c>
      <c r="R102" s="53" t="n">
        <f aca="false">Q101+R100-R101</f>
        <v>70.2793685230133</v>
      </c>
      <c r="S102" s="53" t="n">
        <f aca="false">R101+S100-S101</f>
        <v>80.8301708891415</v>
      </c>
      <c r="T102" s="53" t="n">
        <f aca="false">S101+T100-T101</f>
        <v>89.2746918345079</v>
      </c>
      <c r="U102" s="53" t="n">
        <f aca="false">T101+U100-U101</f>
        <v>96.1859421454396</v>
      </c>
      <c r="V102" s="53" t="n">
        <f aca="false">U101+V100-V101</f>
        <v>102.632688749677</v>
      </c>
      <c r="W102" s="53" t="n">
        <f aca="false">V101+W100-W101</f>
        <v>109.354193651003</v>
      </c>
      <c r="X102" s="53" t="n">
        <f aca="false">W101+X100-X101</f>
        <v>118.4727001209</v>
      </c>
      <c r="Y102" s="53" t="n">
        <f aca="false">X101+Y100-Y101</f>
        <v>128.671337374692</v>
      </c>
      <c r="Z102" s="53" t="n">
        <f aca="false">Y101+Z100-Z101</f>
        <v>136.886033119326</v>
      </c>
      <c r="AA102" s="53" t="n">
        <f aca="false">Z101+AA100-AA101</f>
        <v>2505.83545962813</v>
      </c>
      <c r="AB102" s="53" t="n">
        <f aca="false">AA101+AB100-AB101</f>
        <v>4053.56509263848</v>
      </c>
      <c r="AC102" s="53" t="n">
        <f aca="false">AB101+AC100-AC101</f>
        <v>5663.10074530691</v>
      </c>
      <c r="AD102" s="53" t="n">
        <f aca="false">AC101+AD100-AD101</f>
        <v>6748.05349132815</v>
      </c>
      <c r="AE102" s="53" t="n">
        <f aca="false">AD101+AE100-AE101</f>
        <v>6767.76705745075</v>
      </c>
    </row>
    <row r="103" customFormat="false" ht="15" hidden="false" customHeight="false" outlineLevel="0" collapsed="false">
      <c r="A103" s="6" t="s">
        <v>435</v>
      </c>
      <c r="B103" s="23" t="s">
        <v>185</v>
      </c>
      <c r="C103" s="44" t="n">
        <f aca="false">C102</f>
        <v>1.9580386389311</v>
      </c>
      <c r="D103" s="44" t="n">
        <f aca="false">C103+D102</f>
        <v>7.58850536590668</v>
      </c>
      <c r="E103" s="44" t="n">
        <f aca="false">D103+E102</f>
        <v>16.5345899257431</v>
      </c>
      <c r="F103" s="44" t="n">
        <f aca="false">E103+F102</f>
        <v>28.9972810275416</v>
      </c>
      <c r="G103" s="44" t="n">
        <f aca="false">F103+G102</f>
        <v>45.0191642897221</v>
      </c>
      <c r="H103" s="44" t="n">
        <f aca="false">G103+H102</f>
        <v>63.9051836048039</v>
      </c>
      <c r="I103" s="44" t="n">
        <f aca="false">H103+I102</f>
        <v>85.1524751382752</v>
      </c>
      <c r="J103" s="44" t="n">
        <f aca="false">I103+J102</f>
        <v>108.58505140258</v>
      </c>
      <c r="K103" s="44" t="n">
        <f aca="false">J103+K102</f>
        <v>134.244748288925</v>
      </c>
      <c r="L103" s="44" t="n">
        <f aca="false">K103+L102</f>
        <v>162.77795845936</v>
      </c>
      <c r="M103" s="44" t="n">
        <f aca="false">L103+M102</f>
        <v>194.442106002523</v>
      </c>
      <c r="N103" s="44" t="n">
        <f aca="false">M103+N102</f>
        <v>228.623395860768</v>
      </c>
      <c r="O103" s="44" t="n">
        <f aca="false">N103+O102</f>
        <v>269.284764998039</v>
      </c>
      <c r="P103" s="44" t="n">
        <f aca="false">O103+P102</f>
        <v>320.122109401065</v>
      </c>
      <c r="Q103" s="44" t="n">
        <f aca="false">P103+Q102</f>
        <v>380.229271792207</v>
      </c>
      <c r="R103" s="44" t="n">
        <f aca="false">Q103+R102</f>
        <v>450.50864031522</v>
      </c>
      <c r="S103" s="44" t="n">
        <f aca="false">R103+S102</f>
        <v>531.338811204362</v>
      </c>
      <c r="T103" s="44" t="n">
        <f aca="false">S103+T102</f>
        <v>620.61350303887</v>
      </c>
      <c r="U103" s="44" t="n">
        <f aca="false">T103+U102</f>
        <v>716.799445184309</v>
      </c>
      <c r="V103" s="44" t="n">
        <f aca="false">U103+V102</f>
        <v>819.432133933986</v>
      </c>
      <c r="W103" s="44" t="n">
        <f aca="false">V103+W102</f>
        <v>928.786327584989</v>
      </c>
      <c r="X103" s="44" t="n">
        <f aca="false">W103+X102</f>
        <v>1047.25902770589</v>
      </c>
      <c r="Y103" s="44" t="n">
        <f aca="false">X103+Y102</f>
        <v>1175.93036508058</v>
      </c>
      <c r="Z103" s="44" t="n">
        <f aca="false">Y103+Z102</f>
        <v>1312.81639819991</v>
      </c>
      <c r="AA103" s="44" t="n">
        <f aca="false">Z103+AA102</f>
        <v>3818.65185782804</v>
      </c>
      <c r="AB103" s="44" t="n">
        <f aca="false">AA103+AB102</f>
        <v>7872.21695046652</v>
      </c>
      <c r="AC103" s="44" t="n">
        <f aca="false">AB103+AC102</f>
        <v>13535.3176957734</v>
      </c>
      <c r="AD103" s="44" t="n">
        <f aca="false">AC103+AD102</f>
        <v>20283.3711871016</v>
      </c>
      <c r="AE103" s="44" t="n">
        <f aca="false">AD103+AE102</f>
        <v>27051.1382445523</v>
      </c>
    </row>
    <row r="104" customFormat="false" ht="15" hidden="false" customHeight="false" outlineLevel="0" collapsed="false">
      <c r="A104" s="6" t="s">
        <v>436</v>
      </c>
      <c r="B104" s="23" t="s">
        <v>185</v>
      </c>
      <c r="C104" s="44" t="n">
        <f aca="false">C100</f>
        <v>79.588</v>
      </c>
      <c r="D104" s="44" t="n">
        <f aca="false">C104+D100</f>
        <v>155.098384616594</v>
      </c>
      <c r="E104" s="44" t="n">
        <f aca="false">D104+E100</f>
        <v>227.337378616796</v>
      </c>
      <c r="F104" s="44" t="n">
        <f aca="false">E104+F100</f>
        <v>317.486491456791</v>
      </c>
      <c r="G104" s="44" t="n">
        <f aca="false">F104+G100</f>
        <v>398.843779389411</v>
      </c>
      <c r="H104" s="44" t="n">
        <f aca="false">G104+H100</f>
        <v>467.555609719971</v>
      </c>
      <c r="I104" s="44" t="n">
        <f aca="false">H104+I100</f>
        <v>533.819795440222</v>
      </c>
      <c r="J104" s="44" t="n">
        <f aca="false">I104+J100</f>
        <v>599.982532585397</v>
      </c>
      <c r="K104" s="44" t="n">
        <f aca="false">J104+K100</f>
        <v>672.261524130129</v>
      </c>
      <c r="L104" s="44" t="n">
        <f aca="false">K104+L100</f>
        <v>769.24797532723</v>
      </c>
      <c r="M104" s="44" t="n">
        <f aca="false">L104+M100</f>
        <v>858.274621006678</v>
      </c>
      <c r="N104" s="44" t="n">
        <f aca="false">M104+N100</f>
        <v>936.301287051554</v>
      </c>
      <c r="O104" s="44" t="n">
        <f aca="false">N104+O100</f>
        <v>1191.11036280643</v>
      </c>
      <c r="P104" s="44" t="n">
        <f aca="false">O104+P100</f>
        <v>1436.51333237038</v>
      </c>
      <c r="Q104" s="44" t="n">
        <f aca="false">P104+Q100</f>
        <v>1674.36020533866</v>
      </c>
      <c r="R104" s="44" t="n">
        <f aca="false">Q104+R100</f>
        <v>1974.56804474914</v>
      </c>
      <c r="S104" s="44" t="n">
        <f aca="false">R104+S100</f>
        <v>2249.43201193502</v>
      </c>
      <c r="T104" s="44" t="n">
        <f aca="false">S104+T100</f>
        <v>2484.24477435057</v>
      </c>
      <c r="U104" s="44" t="n">
        <f aca="false">T104+U100</f>
        <v>2712.48214170006</v>
      </c>
      <c r="V104" s="44" t="n">
        <f aca="false">U104+V100</f>
        <v>2941.90501571195</v>
      </c>
      <c r="W104" s="44" t="n">
        <f aca="false">V104+W100</f>
        <v>3194.07448313124</v>
      </c>
      <c r="X104" s="44" t="n">
        <f aca="false">W104+X100</f>
        <v>3534.76505642459</v>
      </c>
      <c r="Y104" s="44" t="n">
        <f aca="false">X104+Y100</f>
        <v>3851.02887137982</v>
      </c>
      <c r="Z104" s="44" t="n">
        <f aca="false">Y104+Z100</f>
        <v>4130.62399009909</v>
      </c>
      <c r="AA104" s="44" t="n">
        <f aca="false">Z104+AA100</f>
        <v>8921.32496728877</v>
      </c>
      <c r="AB104" s="44" t="n">
        <f aca="false">AA104+AB100</f>
        <v>15722.7846947652</v>
      </c>
      <c r="AC104" s="44" t="n">
        <f aca="false">AB104+AC100</f>
        <v>23967.7882282521</v>
      </c>
      <c r="AD104" s="44" t="n">
        <f aca="false">AC104+AD100</f>
        <v>31915.1547014785</v>
      </c>
      <c r="AE104" s="44" t="n">
        <f aca="false">AD104+AE100</f>
        <v>37850.0706318335</v>
      </c>
    </row>
    <row r="105" customFormat="false" ht="15" hidden="false" customHeight="false" outlineLevel="0" collapsed="false">
      <c r="A105" s="6" t="s">
        <v>437</v>
      </c>
      <c r="B105" s="23" t="s">
        <v>109</v>
      </c>
      <c r="C105" s="54" t="n">
        <f aca="false">IF(C2&gt;=Assumptions!$B$44,C101*Assumptions!$B$163*C7,0)</f>
        <v>2328.89884083207</v>
      </c>
      <c r="D105" s="54" t="n">
        <f aca="false">IF(D2&gt;=Assumptions!$B$44,D101*Assumptions!$B$163*D7,0)</f>
        <v>4425.29637752063</v>
      </c>
      <c r="E105" s="54" t="n">
        <f aca="false">IF(E2&gt;=Assumptions!$B$44,E101*Assumptions!$B$163*E7,0)</f>
        <v>6324.0836607316</v>
      </c>
      <c r="F105" s="54" t="n">
        <f aca="false">IF(F2&gt;=Assumptions!$B$44,F101*Assumptions!$B$163*F7,0)</f>
        <v>8654.67631287747</v>
      </c>
      <c r="G105" s="54" t="n">
        <f aca="false">IF(G2&gt;=Assumptions!$B$44,G101*Assumptions!$B$163*G7,0)</f>
        <v>10614.7384529907</v>
      </c>
      <c r="H105" s="54" t="n">
        <f aca="false">IF(H2&gt;=Assumptions!$B$44,H101*Assumptions!$B$163*H7,0)</f>
        <v>12109.512783455</v>
      </c>
      <c r="I105" s="54" t="n">
        <f aca="false">IF(I2&gt;=Assumptions!$B$44,I101*Assumptions!$B$163*I7,0)</f>
        <v>13460.0196090584</v>
      </c>
      <c r="J105" s="54" t="n">
        <f aca="false">IF(J2&gt;=Assumptions!$B$44,J101*Assumptions!$B$163*J7,0)</f>
        <v>14741.9244354845</v>
      </c>
      <c r="K105" s="54" t="n">
        <f aca="false">IF(K2&gt;=Assumptions!$B$44,K101*Assumptions!$B$163*K7,0)</f>
        <v>16140.5032752361</v>
      </c>
      <c r="L105" s="54" t="n">
        <f aca="false">IF(L2&gt;=Assumptions!$B$44,L101*Assumptions!$B$163*L7,0)</f>
        <v>18194.1005060361</v>
      </c>
      <c r="M105" s="54" t="n">
        <f aca="false">IF(M2&gt;=Assumptions!$B$44,M101*Assumptions!$B$163*M7,0)</f>
        <v>19914.9754501246</v>
      </c>
      <c r="N105" s="54" t="n">
        <f aca="false">IF(N2&gt;=Assumptions!$B$44,N101*Assumptions!$B$163*N7,0)</f>
        <v>21230.3367357236</v>
      </c>
      <c r="O105" s="54" t="n">
        <f aca="false">IF(O2&gt;=Assumptions!$B$44,O101*Assumptions!$B$163*O7,0)</f>
        <v>27654.7679342518</v>
      </c>
      <c r="P105" s="54" t="n">
        <f aca="false">IF(P2&gt;=Assumptions!$B$44,P101*Assumptions!$B$163*P7,0)</f>
        <v>33491.7366890793</v>
      </c>
      <c r="Q105" s="54" t="n">
        <f aca="false">IF(Q2&gt;=Assumptions!$B$44,Q101*Assumptions!$B$163*Q7,0)</f>
        <v>38823.9280063937</v>
      </c>
      <c r="R105" s="54" t="n">
        <f aca="false">IF(R2&gt;=Assumptions!$B$44,R101*Assumptions!$B$163*R7,0)</f>
        <v>45721.7821330174</v>
      </c>
      <c r="S105" s="54" t="n">
        <f aca="false">IF(S2&gt;=Assumptions!$B$44,S101*Assumptions!$B$163*S7,0)</f>
        <v>51542.7960219198</v>
      </c>
      <c r="T105" s="54" t="n">
        <f aca="false">IF(T2&gt;=Assumptions!$B$44,T101*Assumptions!$B$163*T7,0)</f>
        <v>55908.938139351</v>
      </c>
      <c r="U105" s="54" t="n">
        <f aca="false">IF(U2&gt;=Assumptions!$B$44,U101*Assumptions!$B$163*U7,0)</f>
        <v>59870.4808954726</v>
      </c>
      <c r="V105" s="54" t="n">
        <f aca="false">IF(V2&gt;=Assumptions!$B$44,V101*Assumptions!$B$163*V7,0)</f>
        <v>63674.186453339</v>
      </c>
      <c r="W105" s="54" t="n">
        <f aca="false">IF(W2&gt;=Assumptions!$B$44,W101*Assumptions!$B$163*W7,0)</f>
        <v>67958.6446663875</v>
      </c>
      <c r="X105" s="54" t="n">
        <f aca="false">IF(X2&gt;=Assumptions!$B$44,X101*Assumptions!$B$163*X7,0)</f>
        <v>74625.180861561</v>
      </c>
      <c r="Y105" s="54" t="n">
        <f aca="false">IF(Y2&gt;=Assumptions!$B$44,Y101*Assumptions!$B$163*Y7,0)</f>
        <v>80252.9551889773</v>
      </c>
      <c r="Z105" s="54" t="n">
        <f aca="false">IF(Z2&gt;=Assumptions!$B$44,Z101*Assumptions!$B$163*Z7,0)</f>
        <v>84534.2277569755</v>
      </c>
      <c r="AA105" s="54" t="n">
        <f aca="false">IF(AA2&gt;=Assumptions!$B$44,AA101*Assumptions!$B$163*AA7,0)</f>
        <v>1836962.31940587</v>
      </c>
      <c r="AB105" s="54" t="n">
        <f aca="false">IF(AB2&gt;=Assumptions!$B$44,AB101*Assumptions!$B$163*AB7,0)</f>
        <v>2826204.38794753</v>
      </c>
      <c r="AC105" s="54" t="n">
        <f aca="false">IF(AC2&gt;=Assumptions!$B$44,AC101*Assumptions!$B$163*AC7,0)</f>
        <v>3755689.39169232</v>
      </c>
      <c r="AD105" s="54" t="n">
        <f aca="false">IF(AD2&gt;=Assumptions!$B$44,AD101*Assumptions!$B$163*AD7,0)</f>
        <v>4187442.06517568</v>
      </c>
      <c r="AE105" s="54" t="n">
        <f aca="false">IF(AE2&gt;=Assumptions!$B$44,AE101*Assumptions!$B$163*AE7,0)</f>
        <v>3887615.65942124</v>
      </c>
    </row>
    <row r="106" customFormat="false" ht="15" hidden="false" customHeight="false" outlineLevel="0" collapsed="false">
      <c r="A106" s="6" t="s">
        <v>438</v>
      </c>
      <c r="B106" s="23" t="s">
        <v>109</v>
      </c>
      <c r="C106" s="54" t="n">
        <f aca="false">IF(C2&gt;=Assumptions!$B$45,C101*Assumptions!$B$34*Assumptions!$B$130*Assumptions!$B$132*Assumptions!$B$131/12*C7,0)</f>
        <v>61.5864360131147</v>
      </c>
      <c r="D106" s="54" t="n">
        <f aca="false">IF(D2&gt;=Assumptions!$B$45,D101*Assumptions!$B$34*Assumptions!$B$130*Assumptions!$B$132*Assumptions!$B$131/12*D7,0)</f>
        <v>117.024504205546</v>
      </c>
      <c r="E106" s="54" t="n">
        <f aca="false">IF(E2&gt;=Assumptions!$B$45,E101*Assumptions!$B$34*Assumptions!$B$130*Assumptions!$B$132*Assumptions!$B$131/12*E7,0)</f>
        <v>167.236879028236</v>
      </c>
      <c r="F106" s="54" t="n">
        <f aca="false">IF(F2&gt;=Assumptions!$B$45,F101*Assumptions!$B$34*Assumptions!$B$130*Assumptions!$B$132*Assumptions!$B$131/12*F7,0)</f>
        <v>228.868106940537</v>
      </c>
      <c r="G106" s="54" t="n">
        <f aca="false">IF(G2&gt;=Assumptions!$B$45,G101*Assumptions!$B$34*Assumptions!$B$130*Assumptions!$B$132*Assumptions!$B$131/12*G7,0)</f>
        <v>280.70086131242</v>
      </c>
      <c r="H106" s="54" t="n">
        <f aca="false">IF(H2&gt;=Assumptions!$B$45,H101*Assumptions!$B$34*Assumptions!$B$130*Assumptions!$B$132*Assumptions!$B$131/12*H7,0)</f>
        <v>320.229338051366</v>
      </c>
      <c r="I106" s="54" t="n">
        <f aca="false">IF(I2&gt;=Assumptions!$B$45,I101*Assumptions!$B$34*Assumptions!$B$130*Assumptions!$B$132*Assumptions!$B$131/12*I7,0)</f>
        <v>355.942740772877</v>
      </c>
      <c r="J106" s="54" t="n">
        <f aca="false">IF(J2&gt;=Assumptions!$B$45,J101*Assumptions!$B$34*Assumptions!$B$130*Assumptions!$B$132*Assumptions!$B$131/12*J7,0)</f>
        <v>389.842001738368</v>
      </c>
      <c r="K106" s="54" t="n">
        <f aca="false">IF(K2&gt;=Assumptions!$B$45,K101*Assumptions!$B$34*Assumptions!$B$130*Assumptions!$B$132*Assumptions!$B$131/12*K7,0)</f>
        <v>426.826642167355</v>
      </c>
      <c r="L106" s="54" t="n">
        <f aca="false">IF(L2&gt;=Assumptions!$B$45,L101*Assumptions!$B$34*Assumptions!$B$130*Assumptions!$B$132*Assumptions!$B$131/12*L7,0)</f>
        <v>481.13288004851</v>
      </c>
      <c r="M106" s="54" t="n">
        <f aca="false">IF(M2&gt;=Assumptions!$B$45,M101*Assumptions!$B$34*Assumptions!$B$130*Assumptions!$B$132*Assumptions!$B$131/12*M7,0)</f>
        <v>526.640461903296</v>
      </c>
      <c r="N106" s="54" t="n">
        <f aca="false">IF(N2&gt;=Assumptions!$B$45,N101*Assumptions!$B$34*Assumptions!$B$130*Assumptions!$B$132*Assumptions!$B$131/12*N7,0)</f>
        <v>561.42446034469</v>
      </c>
      <c r="O106" s="54" t="n">
        <f aca="false">IF(O2&gt;=Assumptions!$B$45,O101*Assumptions!$B$34*Assumptions!$B$130*Assumptions!$B$132*Assumptions!$B$131/12*O7,0)</f>
        <v>731.314974261326</v>
      </c>
      <c r="P106" s="54" t="n">
        <f aca="false">IF(P2&gt;=Assumptions!$B$45,P101*Assumptions!$B$34*Assumptions!$B$130*Assumptions!$B$132*Assumptions!$B$131/12*P7,0)</f>
        <v>885.670370222321</v>
      </c>
      <c r="Q106" s="54" t="n">
        <f aca="false">IF(Q2&gt;=Assumptions!$B$45,Q101*Assumptions!$B$34*Assumptions!$B$130*Assumptions!$B$132*Assumptions!$B$131/12*Q7,0)</f>
        <v>1026.67720728019</v>
      </c>
      <c r="R106" s="54" t="n">
        <f aca="false">IF(R2&gt;=Assumptions!$B$45,R101*Assumptions!$B$34*Assumptions!$B$130*Assumptions!$B$132*Assumptions!$B$131/12*R7,0)</f>
        <v>1209.08712751757</v>
      </c>
      <c r="S106" s="54" t="n">
        <f aca="false">IF(S2&gt;=Assumptions!$B$45,S101*Assumptions!$B$34*Assumptions!$B$130*Assumptions!$B$132*Assumptions!$B$131/12*S7,0)</f>
        <v>1363.02060591299</v>
      </c>
      <c r="T106" s="54" t="n">
        <f aca="false">IF(T2&gt;=Assumptions!$B$45,T101*Assumptions!$B$34*Assumptions!$B$130*Assumptions!$B$132*Assumptions!$B$131/12*T7,0)</f>
        <v>1478.48080857395</v>
      </c>
      <c r="U106" s="54" t="n">
        <f aca="false">IF(U2&gt;=Assumptions!$B$45,U101*Assumptions!$B$34*Assumptions!$B$130*Assumptions!$B$132*Assumptions!$B$131/12*U7,0)</f>
        <v>1583.2416059025</v>
      </c>
      <c r="V106" s="54" t="n">
        <f aca="false">IF(V2&gt;=Assumptions!$B$45,V101*Assumptions!$B$34*Assumptions!$B$130*Assumptions!$B$132*Assumptions!$B$131/12*V7,0)</f>
        <v>1683.82848621052</v>
      </c>
      <c r="W106" s="54" t="n">
        <f aca="false">IF(W2&gt;=Assumptions!$B$45,W101*Assumptions!$B$34*Assumptions!$B$130*Assumptions!$B$132*Assumptions!$B$131/12*W7,0)</f>
        <v>1797.12860340003</v>
      </c>
      <c r="X106" s="54" t="n">
        <f aca="false">IF(X2&gt;=Assumptions!$B$45,X101*Assumptions!$B$34*Assumptions!$B$130*Assumptions!$B$132*Assumptions!$B$131/12*X7,0)</f>
        <v>1973.42144945017</v>
      </c>
      <c r="Y106" s="54" t="n">
        <f aca="false">IF(Y2&gt;=Assumptions!$B$45,Y101*Assumptions!$B$34*Assumptions!$B$130*Assumptions!$B$132*Assumptions!$B$131/12*Y7,0)</f>
        <v>2122.2448149974</v>
      </c>
      <c r="Z106" s="54" t="n">
        <f aca="false">IF(Z2&gt;=Assumptions!$B$45,Z101*Assumptions!$B$34*Assumptions!$B$130*Assumptions!$B$132*Assumptions!$B$131/12*Z7,0)</f>
        <v>2235.46068957335</v>
      </c>
      <c r="AA106" s="54" t="n">
        <f aca="false">IF(AA2&gt;=Assumptions!$B$45,AA101*Assumptions!$B$34*Assumptions!$B$130*Assumptions!$B$132*Assumptions!$B$131/12*AA7,0)</f>
        <v>48577.4480020662</v>
      </c>
      <c r="AB106" s="54" t="n">
        <f aca="false">IF(AB2&gt;=Assumptions!$B$45,AB101*Assumptions!$B$34*Assumptions!$B$130*Assumptions!$B$132*Assumptions!$B$131/12*AB7,0)</f>
        <v>74737.4049257234</v>
      </c>
      <c r="AC106" s="54" t="n">
        <f aca="false">IF(AC2&gt;=Assumptions!$B$45,AC101*Assumptions!$B$34*Assumptions!$B$130*Assumptions!$B$132*Assumptions!$B$131/12*AC7,0)</f>
        <v>99317.1194691968</v>
      </c>
      <c r="AD106" s="54" t="n">
        <f aca="false">IF(AD2&gt;=Assumptions!$B$45,AD101*Assumptions!$B$34*Assumptions!$B$130*Assumptions!$B$132*Assumptions!$B$131/12*AD7,0)</f>
        <v>110734.579056868</v>
      </c>
      <c r="AE106" s="54" t="n">
        <f aca="false">IF(AE2&gt;=Assumptions!$B$45,AE101*Assumptions!$B$34*Assumptions!$B$130*Assumptions!$B$132*Assumptions!$B$131/12*AE7,0)</f>
        <v>102805.836326917</v>
      </c>
    </row>
    <row r="107" customFormat="false" ht="15" hidden="false" customHeight="false" outlineLevel="0" collapsed="false">
      <c r="A107" s="6" t="s">
        <v>439</v>
      </c>
      <c r="B107" s="23" t="s">
        <v>47</v>
      </c>
      <c r="C107" s="53" t="n">
        <f aca="false">(C105+C106)*(1-Assumptions!$B$8)/Assumptions!$B$6/(1+Assumptions!$B$9)</f>
        <v>15.8164853160665</v>
      </c>
      <c r="D107" s="53" t="n">
        <f aca="false">(D105+D106)*(1-Assumptions!$B$8)/Assumptions!$B$6/(1+Assumptions!$B$9)</f>
        <v>30.0539611026172</v>
      </c>
      <c r="E107" s="53" t="n">
        <f aca="false">(E105+E106)*(1-Assumptions!$B$8)/Assumptions!$B$6/(1+Assumptions!$B$9)</f>
        <v>42.9493864670396</v>
      </c>
      <c r="F107" s="53" t="n">
        <f aca="false">(F105+F106)*(1-Assumptions!$B$8)/Assumptions!$B$6/(1+Assumptions!$B$9)</f>
        <v>58.7773751345198</v>
      </c>
      <c r="G107" s="53" t="n">
        <f aca="false">(G105+G106)*(1-Assumptions!$B$8)/Assumptions!$B$6/(1+Assumptions!$B$9)</f>
        <v>72.0889426075844</v>
      </c>
      <c r="H107" s="53" t="n">
        <f aca="false">(H105+H106)*(1-Assumptions!$B$8)/Assumptions!$B$6/(1+Assumptions!$B$9)</f>
        <v>82.2405541048772</v>
      </c>
      <c r="I107" s="53" t="n">
        <f aca="false">(I105+I106)*(1-Assumptions!$B$8)/Assumptions!$B$6/(1+Assumptions!$B$9)</f>
        <v>91.412387162586</v>
      </c>
      <c r="J107" s="53" t="n">
        <f aca="false">(J105+J106)*(1-Assumptions!$B$8)/Assumptions!$B$6/(1+Assumptions!$B$9)</f>
        <v>100.118316552168</v>
      </c>
      <c r="K107" s="53" t="n">
        <f aca="false">(K105+K106)*(1-Assumptions!$B$8)/Assumptions!$B$6/(1+Assumptions!$B$9)</f>
        <v>109.616625922441</v>
      </c>
      <c r="L107" s="53" t="n">
        <f aca="false">(L105+L106)*(1-Assumptions!$B$8)/Assumptions!$B$6/(1+Assumptions!$B$9)</f>
        <v>123.563427679815</v>
      </c>
      <c r="M107" s="53" t="n">
        <f aca="false">(M105+M106)*(1-Assumptions!$B$8)/Assumptions!$B$6/(1+Assumptions!$B$9)</f>
        <v>135.25057905228</v>
      </c>
      <c r="N107" s="53" t="n">
        <f aca="false">(N105+N106)*(1-Assumptions!$B$8)/Assumptions!$B$6/(1+Assumptions!$B$9)</f>
        <v>144.183724663519</v>
      </c>
      <c r="O107" s="53" t="n">
        <f aca="false">(O105+O106)*(1-Assumptions!$B$8)/Assumptions!$B$6/(1+Assumptions!$B$9)</f>
        <v>187.814611473225</v>
      </c>
      <c r="P107" s="53" t="n">
        <f aca="false">(P105+P106)*(1-Assumptions!$B$8)/Assumptions!$B$6/(1+Assumptions!$B$9)</f>
        <v>227.455805406786</v>
      </c>
      <c r="Q107" s="53" t="n">
        <f aca="false">(Q105+Q106)*(1-Assumptions!$B$8)/Assumptions!$B$6/(1+Assumptions!$B$9)</f>
        <v>263.668853476588</v>
      </c>
      <c r="R107" s="53" t="n">
        <f aca="false">(R105+R106)*(1-Assumptions!$B$8)/Assumptions!$B$6/(1+Assumptions!$B$9)</f>
        <v>310.514945111524</v>
      </c>
      <c r="S107" s="53" t="n">
        <f aca="false">(S105+S106)*(1-Assumptions!$B$8)/Assumptions!$B$6/(1+Assumptions!$B$9)</f>
        <v>350.047783156799</v>
      </c>
      <c r="T107" s="53" t="n">
        <f aca="false">(T105+T106)*(1-Assumptions!$B$8)/Assumptions!$B$6/(1+Assumptions!$B$9)</f>
        <v>379.700003973542</v>
      </c>
      <c r="U107" s="53" t="n">
        <f aca="false">(U105+U106)*(1-Assumptions!$B$8)/Assumptions!$B$6/(1+Assumptions!$B$9)</f>
        <v>406.604428387606</v>
      </c>
      <c r="V107" s="53" t="n">
        <f aca="false">(V105+V106)*(1-Assumptions!$B$8)/Assumptions!$B$6/(1+Assumptions!$B$9)</f>
        <v>432.436917136297</v>
      </c>
      <c r="W107" s="53" t="n">
        <f aca="false">(W105+W106)*(1-Assumptions!$B$8)/Assumptions!$B$6/(1+Assumptions!$B$9)</f>
        <v>461.534389824192</v>
      </c>
      <c r="X107" s="53" t="n">
        <f aca="false">(X105+X106)*(1-Assumptions!$B$8)/Assumptions!$B$6/(1+Assumptions!$B$9)</f>
        <v>506.809508687799</v>
      </c>
      <c r="Y107" s="53" t="n">
        <f aca="false">(Y105+Y106)*(1-Assumptions!$B$8)/Assumptions!$B$6/(1+Assumptions!$B$9)</f>
        <v>545.029979431781</v>
      </c>
      <c r="Z107" s="53" t="n">
        <f aca="false">(Z105+Z106)*(1-Assumptions!$B$8)/Assumptions!$B$6/(1+Assumptions!$B$9)</f>
        <v>574.105817127517</v>
      </c>
      <c r="AA107" s="53" t="n">
        <f aca="false">(AA105+AA106)*(1-Assumptions!$B$8)/Assumptions!$B$6/(1+Assumptions!$B$9)</f>
        <v>12475.5472593519</v>
      </c>
      <c r="AB107" s="53" t="n">
        <f aca="false">(AB105+AB106)*(1-Assumptions!$B$8)/Assumptions!$B$6/(1+Assumptions!$B$9)</f>
        <v>19193.8865778318</v>
      </c>
      <c r="AC107" s="53" t="n">
        <f aca="false">(AC105+AC106)*(1-Assumptions!$B$8)/Assumptions!$B$6/(1+Assumptions!$B$9)</f>
        <v>25506.3917221003</v>
      </c>
      <c r="AD107" s="53" t="n">
        <f aca="false">(AD105+AD106)*(1-Assumptions!$B$8)/Assumptions!$B$6/(1+Assumptions!$B$9)</f>
        <v>28438.5971492292</v>
      </c>
      <c r="AE107" s="53" t="n">
        <f aca="false">(AE105+AE106)*(1-Assumptions!$B$8)/Assumptions!$B$6/(1+Assumptions!$B$9)</f>
        <v>26402.3558746663</v>
      </c>
    </row>
    <row r="108" customFormat="false" ht="15" hidden="false" customHeight="false" outlineLevel="0" collapsed="false">
      <c r="A108" s="6" t="s">
        <v>440</v>
      </c>
      <c r="B108" s="23" t="s">
        <v>441</v>
      </c>
      <c r="C108" s="55" t="n">
        <f aca="false">(Assumptions!$B$127+Assumptions!$B$128*IF(C101+C103=0,1,(C101+C103*Assumptions!$B$129)/(C101+C103)))*C7/12</f>
        <v>0.0168634841405503</v>
      </c>
      <c r="D108" s="55" t="n">
        <f aca="false">(Assumptions!$B$127+Assumptions!$B$128*IF(D101+D103=0,1,(D101+D103*Assumptions!$B$129)/(D101+D103)))*D7/12</f>
        <v>0.0170580830123451</v>
      </c>
      <c r="E108" s="55" t="n">
        <f aca="false">(Assumptions!$B$127+Assumptions!$B$128*IF(E101+E103=0,1,(E101+E103*Assumptions!$B$129)/(E101+E103)))*E7/12</f>
        <v>0.0172485187149781</v>
      </c>
      <c r="F108" s="55" t="n">
        <f aca="false">(Assumptions!$B$127+Assumptions!$B$128*IF(F101+F103=0,1,(F101+F103*Assumptions!$B$129)/(F101+F103)))*F7/12</f>
        <v>0.0173973379061134</v>
      </c>
      <c r="G108" s="55" t="n">
        <f aca="false">(Assumptions!$B$127+Assumptions!$B$128*IF(G101+G103=0,1,(G101+G103*Assumptions!$B$129)/(G101+G103)))*G7/12</f>
        <v>0.0175696601015126</v>
      </c>
      <c r="H108" s="55" t="n">
        <f aca="false">(Assumptions!$B$127+Assumptions!$B$128*IF(H101+H103=0,1,(H101+H103*Assumptions!$B$129)/(H101+H103)))*H7/12</f>
        <v>0.0177601012404591</v>
      </c>
      <c r="I108" s="55" t="n">
        <f aca="false">(Assumptions!$B$127+Assumptions!$B$128*IF(I101+I103=0,1,(I101+I103*Assumptions!$B$129)/(I101+I103)))*I7/12</f>
        <v>0.0179427898208191</v>
      </c>
      <c r="J108" s="55" t="n">
        <f aca="false">(Assumptions!$B$127+Assumptions!$B$128*IF(J101+J103=0,1,(J101+J103*Assumptions!$B$129)/(J101+J103)))*J7/12</f>
        <v>0.0181145095021529</v>
      </c>
      <c r="K108" s="55" t="n">
        <f aca="false">(Assumptions!$B$127+Assumptions!$B$128*IF(K101+K103=0,1,(K101+K103*Assumptions!$B$129)/(K101+K103)))*K7/12</f>
        <v>0.0182641967167481</v>
      </c>
      <c r="L108" s="55" t="n">
        <f aca="false">(Assumptions!$B$127+Assumptions!$B$128*IF(L101+L103=0,1,(L101+L103*Assumptions!$B$129)/(L101+L103)))*L7/12</f>
        <v>0.0183595195690366</v>
      </c>
      <c r="M108" s="55" t="n">
        <f aca="false">(Assumptions!$B$127+Assumptions!$B$128*IF(M101+M103=0,1,(M101+M103*Assumptions!$B$129)/(M101+M103)))*M7/12</f>
        <v>0.0184790665791745</v>
      </c>
      <c r="N108" s="55" t="n">
        <f aca="false">(Assumptions!$B$127+Assumptions!$B$128*IF(N101+N103=0,1,(N101+N103*Assumptions!$B$129)/(N101+N103)))*N7/12</f>
        <v>0.018620084003778</v>
      </c>
      <c r="O108" s="55" t="n">
        <f aca="false">(Assumptions!$B$127+Assumptions!$B$128*IF(O101+O103=0,1,(O101+O103*Assumptions!$B$129)/(O101+O103)))*O7/12</f>
        <v>0.0184752968215656</v>
      </c>
      <c r="P108" s="55" t="n">
        <f aca="false">(Assumptions!$B$127+Assumptions!$B$128*IF(P101+P103=0,1,(P101+P103*Assumptions!$B$129)/(P101+P103)))*P7/12</f>
        <v>0.0184494394523412</v>
      </c>
      <c r="Q108" s="55" t="n">
        <f aca="false">(Assumptions!$B$127+Assumptions!$B$128*IF(Q101+Q103=0,1,(Q101+Q103*Assumptions!$B$129)/(Q101+Q103)))*Q7/12</f>
        <v>0.0184833809941088</v>
      </c>
      <c r="R108" s="55" t="n">
        <f aca="false">(Assumptions!$B$127+Assumptions!$B$128*IF(R101+R103=0,1,(R101+R103*Assumptions!$B$129)/(R101+R103)))*R7/12</f>
        <v>0.0184919109939543</v>
      </c>
      <c r="S108" s="55" t="n">
        <f aca="false">(Assumptions!$B$127+Assumptions!$B$128*IF(S101+S103=0,1,(S101+S103*Assumptions!$B$129)/(S101+S103)))*S7/12</f>
        <v>0.0185563483583477</v>
      </c>
      <c r="T108" s="55" t="n">
        <f aca="false">(Assumptions!$B$127+Assumptions!$B$128*IF(T101+T103=0,1,(T101+T103*Assumptions!$B$129)/(T101+T103)))*T7/12</f>
        <v>0.0186652249712157</v>
      </c>
      <c r="U108" s="55" t="n">
        <f aca="false">(Assumptions!$B$127+Assumptions!$B$128*IF(U101+U103=0,1,(U101+U103*Assumptions!$B$129)/(U101+U103)))*U7/12</f>
        <v>0.018780743464931</v>
      </c>
      <c r="V108" s="55" t="n">
        <f aca="false">(Assumptions!$B$127+Assumptions!$B$128*IF(V101+V103=0,1,(V101+V103*Assumptions!$B$129)/(V101+V103)))*V7/12</f>
        <v>0.0188949701083009</v>
      </c>
      <c r="W108" s="55" t="n">
        <f aca="false">(Assumptions!$B$127+Assumptions!$B$128*IF(W101+W103=0,1,(W101+W103*Assumptions!$B$129)/(W101+W103)))*W7/12</f>
        <v>0.01899294010203</v>
      </c>
      <c r="X108" s="55" t="n">
        <f aca="false">(Assumptions!$B$127+Assumptions!$B$128*IF(X101+X103=0,1,(X101+X103*Assumptions!$B$129)/(X101+X103)))*X7/12</f>
        <v>0.0190368587693694</v>
      </c>
      <c r="Y108" s="55" t="n">
        <f aca="false">(Assumptions!$B$127+Assumptions!$B$128*IF(Y101+Y103=0,1,(Y101+Y103*Assumptions!$B$129)/(Y101+Y103)))*Y7/12</f>
        <v>0.0191095055117761</v>
      </c>
      <c r="Z108" s="55" t="n">
        <f aca="false">(Assumptions!$B$127+Assumptions!$B$128*IF(Z101+Z103=0,1,(Z101+Z103*Assumptions!$B$129)/(Z101+Z103)))*Z7/12</f>
        <v>0.0192092682713572</v>
      </c>
      <c r="AA108" s="55" t="n">
        <f aca="false">(Assumptions!$B$127+Assumptions!$B$128*IF(AA101+AA103=0,1,(AA101+AA103*Assumptions!$B$129)/(AA101+AA103)))*AA7/12</f>
        <v>0.241091494783078</v>
      </c>
      <c r="AB108" s="55" t="n">
        <f aca="false">(Assumptions!$B$127+Assumptions!$B$128*IF(AB101+AB103=0,1,(AB101+AB103*Assumptions!$B$129)/(AB101+AB103)))*AB7/12</f>
        <v>0.248066092738419</v>
      </c>
      <c r="AC108" s="55" t="n">
        <f aca="false">(Assumptions!$B$127+Assumptions!$B$128*IF(AC101+AC103=0,1,(AC101+AC103*Assumptions!$B$129)/(AC101+AC103)))*AC7/12</f>
        <v>0.254214034537513</v>
      </c>
      <c r="AD108" s="55" t="n">
        <f aca="false">(Assumptions!$B$127+Assumptions!$B$128*IF(AD101+AD103=0,1,(AD101+AD103*Assumptions!$B$129)/(AD101+AD103)))*AD7/12</f>
        <v>0.261011881414178</v>
      </c>
      <c r="AE108" s="55" t="n">
        <f aca="false">(Assumptions!$B$127+Assumptions!$B$128*IF(AE101+AE103=0,1,(AE101+AE103*Assumptions!$B$129)/(AE101+AE103)))*AE7/12</f>
        <v>0.268610420750256</v>
      </c>
    </row>
    <row r="109" customFormat="false" ht="15" hidden="false" customHeight="false" outlineLevel="0" collapsed="false">
      <c r="A109" s="6" t="s">
        <v>442</v>
      </c>
      <c r="B109" s="23" t="s">
        <v>47</v>
      </c>
      <c r="C109" s="44" t="n">
        <f aca="false">C107</f>
        <v>15.8164853160665</v>
      </c>
      <c r="D109" s="44" t="n">
        <f aca="false">C109*(1-D108)+D107</f>
        <v>45.6006474991986</v>
      </c>
      <c r="E109" s="44" t="n">
        <f aca="false">D109*(1-E108)+E107</f>
        <v>87.7634903444332</v>
      </c>
      <c r="F109" s="44" t="n">
        <f aca="false">E109*(1-F108)+F107</f>
        <v>145.014014381611</v>
      </c>
      <c r="G109" s="44" t="n">
        <f aca="false">F109*(1-G108)+G107</f>
        <v>214.555110046555</v>
      </c>
      <c r="H109" s="44" t="n">
        <f aca="false">G109*(1-H108)+H107</f>
        <v>292.985143675347</v>
      </c>
      <c r="I109" s="44" t="n">
        <f aca="false">H109*(1-I108)+I107</f>
        <v>379.140559984344</v>
      </c>
      <c r="J109" s="44" t="n">
        <f aca="false">I109*(1-J108)+J107</f>
        <v>472.390931260024</v>
      </c>
      <c r="K109" s="44" t="n">
        <f aca="false">J109*(1-K108)+K107</f>
        <v>573.379716286724</v>
      </c>
      <c r="L109" s="44" t="n">
        <f aca="false">K109*(1-L108)+L107</f>
        <v>686.416167844884</v>
      </c>
      <c r="M109" s="44" t="n">
        <f aca="false">L109*(1-M108)+M107</f>
        <v>808.982416830536</v>
      </c>
      <c r="N109" s="44" t="n">
        <f aca="false">M109*(1-N108)+N107</f>
        <v>938.10282093509</v>
      </c>
      <c r="O109" s="44" t="n">
        <f aca="false">N109*(1-O108)+O107</f>
        <v>1108.58570434239</v>
      </c>
      <c r="P109" s="44" t="n">
        <f aca="false">O109*(1-P108)+P107</f>
        <v>1315.58872491918</v>
      </c>
      <c r="Q109" s="44" t="n">
        <f aca="false">P109*(1-Q108)+Q107</f>
        <v>1554.94105076154</v>
      </c>
      <c r="R109" s="44" t="n">
        <f aca="false">Q109*(1-R108)+R107</f>
        <v>1836.70216436153</v>
      </c>
      <c r="S109" s="44" t="n">
        <f aca="false">R109*(1-S108)+S107</f>
        <v>2152.66746232591</v>
      </c>
      <c r="T109" s="44" t="n">
        <f aca="false">S109*(1-T108)+T107</f>
        <v>2492.18744382692</v>
      </c>
      <c r="U109" s="44" t="n">
        <f aca="false">T109*(1-U108)+U107</f>
        <v>2851.98673916549</v>
      </c>
      <c r="V109" s="44" t="n">
        <f aca="false">U109*(1-V108)+V107</f>
        <v>3230.53545211598</v>
      </c>
      <c r="W109" s="44" t="n">
        <f aca="false">V109*(1-W108)+W107</f>
        <v>3630.71247560065</v>
      </c>
      <c r="X109" s="44" t="n">
        <f aca="false">W109*(1-X108)+X107</f>
        <v>4068.40462365825</v>
      </c>
      <c r="Y109" s="44" t="n">
        <f aca="false">X109*(1-Y108)+Y107</f>
        <v>4535.6894025101</v>
      </c>
      <c r="Z109" s="44" t="n">
        <f aca="false">Y109*(1-Z108)+Z107</f>
        <v>5022.66794510925</v>
      </c>
      <c r="AA109" s="44" t="n">
        <f aca="false">Z109*(1-AA108)+AA107</f>
        <v>16287.2926817757</v>
      </c>
      <c r="AB109" s="44" t="n">
        <f aca="false">AA109*(1-AB108)+AB107</f>
        <v>31440.8542027523</v>
      </c>
      <c r="AC109" s="44" t="n">
        <f aca="false">AB109*(1-AC108)+AC107</f>
        <v>48954.5395286653</v>
      </c>
      <c r="AD109" s="44" t="n">
        <f aca="false">AC109*(1-AD108)+AD107</f>
        <v>64615.4202117529</v>
      </c>
      <c r="AE109" s="44" t="n">
        <f aca="false">AD109*(1-AE108)+AE107</f>
        <v>73661.4008763856</v>
      </c>
    </row>
    <row r="110" customFormat="false" ht="15" hidden="false" customHeight="false" outlineLevel="0" collapsed="false">
      <c r="A110" s="6" t="s">
        <v>443</v>
      </c>
      <c r="B110" s="23" t="s">
        <v>109</v>
      </c>
      <c r="C110" s="56" t="n">
        <f aca="false">C109*Assumptions!$B$6</f>
        <v>2237.40001281076</v>
      </c>
      <c r="D110" s="56" t="n">
        <f aca="false">D109*Assumptions!$B$6</f>
        <v>6450.66759523664</v>
      </c>
      <c r="E110" s="56" t="n">
        <f aca="false">E109*Assumptions!$B$6</f>
        <v>12415.0233441235</v>
      </c>
      <c r="F110" s="56" t="n">
        <f aca="false">F109*Assumptions!$B$6</f>
        <v>20513.6824744227</v>
      </c>
      <c r="G110" s="56" t="n">
        <f aca="false">G109*Assumptions!$B$6</f>
        <v>30350.9658671856</v>
      </c>
      <c r="H110" s="56" t="n">
        <f aca="false">H109*Assumptions!$B$6</f>
        <v>41445.6784243146</v>
      </c>
      <c r="I110" s="56" t="n">
        <f aca="false">I109*Assumptions!$B$6</f>
        <v>53633.2236153853</v>
      </c>
      <c r="J110" s="56" t="n">
        <f aca="false">J109*Assumptions!$B$6</f>
        <v>66824.421136043</v>
      </c>
      <c r="K110" s="56" t="n">
        <f aca="false">K109*Assumptions!$B$6</f>
        <v>81110.2946659199</v>
      </c>
      <c r="L110" s="56" t="n">
        <f aca="false">L109*Assumptions!$B$6</f>
        <v>97100.4311033372</v>
      </c>
      <c r="M110" s="56" t="n">
        <f aca="false">M109*Assumptions!$B$6</f>
        <v>114438.652684848</v>
      </c>
      <c r="N110" s="56" t="n">
        <f aca="false">N109*Assumptions!$B$6</f>
        <v>132704.025049478</v>
      </c>
      <c r="O110" s="56" t="n">
        <f aca="false">O109*Assumptions!$B$6</f>
        <v>156820.533736275</v>
      </c>
      <c r="P110" s="56" t="n">
        <f aca="false">P109*Assumptions!$B$6</f>
        <v>186103.181027067</v>
      </c>
      <c r="Q110" s="56" t="n">
        <f aca="false">Q109*Assumptions!$B$6</f>
        <v>219961.961040727</v>
      </c>
      <c r="R110" s="56" t="n">
        <f aca="false">R109*Assumptions!$B$6</f>
        <v>259819.888170582</v>
      </c>
      <c r="S110" s="56" t="n">
        <f aca="false">S109*Assumptions!$B$6</f>
        <v>304516.339220623</v>
      </c>
      <c r="T110" s="56" t="n">
        <f aca="false">T109*Assumptions!$B$6</f>
        <v>352544.835803756</v>
      </c>
      <c r="U110" s="56" t="n">
        <f aca="false">U109*Assumptions!$B$6</f>
        <v>403442.04412235</v>
      </c>
      <c r="V110" s="56" t="n">
        <f aca="false">V109*Assumptions!$B$6</f>
        <v>456991.545056327</v>
      </c>
      <c r="W110" s="56" t="n">
        <f aca="false">W109*Assumptions!$B$6</f>
        <v>513600.586798468</v>
      </c>
      <c r="X110" s="56" t="n">
        <f aca="false">X109*Assumptions!$B$6</f>
        <v>575516.518062697</v>
      </c>
      <c r="Y110" s="56" t="n">
        <f aca="false">Y109*Assumptions!$B$6</f>
        <v>641618.622879079</v>
      </c>
      <c r="Z110" s="56" t="n">
        <f aca="false">Z109*Assumptions!$B$6</f>
        <v>710506.607515155</v>
      </c>
      <c r="AA110" s="56" t="n">
        <f aca="false">AA109*Assumptions!$B$6</f>
        <v>2304000.42276399</v>
      </c>
      <c r="AB110" s="56" t="n">
        <f aca="false">AB109*Assumptions!$B$6</f>
        <v>4447623.23552134</v>
      </c>
      <c r="AC110" s="56" t="n">
        <f aca="false">AC109*Assumptions!$B$6</f>
        <v>6925109.16172499</v>
      </c>
      <c r="AD110" s="56" t="n">
        <f aca="false">AD109*Assumptions!$B$6</f>
        <v>9140497.34315456</v>
      </c>
      <c r="AE110" s="56" t="n">
        <f aca="false">AE109*Assumptions!$B$6</f>
        <v>10420141.7679735</v>
      </c>
    </row>
    <row r="111" customFormat="false" ht="15" hidden="false" customHeight="false" outlineLevel="0" collapsed="false">
      <c r="A111" s="6" t="s">
        <v>444</v>
      </c>
      <c r="B111" s="23" t="s">
        <v>185</v>
      </c>
      <c r="C111" s="53" t="n">
        <f aca="false">C101+C103*Assumptions!$B$168</f>
        <v>79.588</v>
      </c>
      <c r="D111" s="53" t="n">
        <f aca="false">D101+D103*Assumptions!$B$168</f>
        <v>155.098384616594</v>
      </c>
      <c r="E111" s="53" t="n">
        <f aca="false">E101+E103*Assumptions!$B$168</f>
        <v>227.337378616796</v>
      </c>
      <c r="F111" s="53" t="n">
        <f aca="false">F101+F103*Assumptions!$B$168</f>
        <v>317.48649145679</v>
      </c>
      <c r="G111" s="53" t="n">
        <f aca="false">G101+G103*Assumptions!$B$168</f>
        <v>398.843779389411</v>
      </c>
      <c r="H111" s="53" t="n">
        <f aca="false">H101+H103*Assumptions!$B$168</f>
        <v>467.555609719971</v>
      </c>
      <c r="I111" s="53" t="n">
        <f aca="false">I101+I103*Assumptions!$B$168</f>
        <v>533.819795440222</v>
      </c>
      <c r="J111" s="53" t="n">
        <f aca="false">J101+J103*Assumptions!$B$168</f>
        <v>599.982532585397</v>
      </c>
      <c r="K111" s="53" t="n">
        <f aca="false">K101+K103*Assumptions!$B$168</f>
        <v>672.261524130128</v>
      </c>
      <c r="L111" s="53" t="n">
        <f aca="false">L101+L103*Assumptions!$B$168</f>
        <v>769.24797532723</v>
      </c>
      <c r="M111" s="53" t="n">
        <f aca="false">M101+M103*Assumptions!$B$168</f>
        <v>858.274621006678</v>
      </c>
      <c r="N111" s="53" t="n">
        <f aca="false">N101+N103*Assumptions!$B$168</f>
        <v>936.301287051554</v>
      </c>
      <c r="O111" s="53" t="n">
        <f aca="false">O101+O103*Assumptions!$B$168</f>
        <v>1191.11036280643</v>
      </c>
      <c r="P111" s="53" t="n">
        <f aca="false">P101+P103*Assumptions!$B$168</f>
        <v>1436.51333237038</v>
      </c>
      <c r="Q111" s="53" t="n">
        <f aca="false">Q101+Q103*Assumptions!$B$168</f>
        <v>1674.36020533866</v>
      </c>
      <c r="R111" s="53" t="n">
        <f aca="false">R101+R103*Assumptions!$B$168</f>
        <v>1974.56804474914</v>
      </c>
      <c r="S111" s="53" t="n">
        <f aca="false">S101+S103*Assumptions!$B$168</f>
        <v>2249.43201193502</v>
      </c>
      <c r="T111" s="53" t="n">
        <f aca="false">T101+T103*Assumptions!$B$168</f>
        <v>2484.24477435057</v>
      </c>
      <c r="U111" s="53" t="n">
        <f aca="false">U101+U103*Assumptions!$B$168</f>
        <v>2712.48214170006</v>
      </c>
      <c r="V111" s="53" t="n">
        <f aca="false">V101+V103*Assumptions!$B$168</f>
        <v>2941.90501571195</v>
      </c>
      <c r="W111" s="53" t="n">
        <f aca="false">W101+W103*Assumptions!$B$168</f>
        <v>3194.07448313124</v>
      </c>
      <c r="X111" s="53" t="n">
        <f aca="false">X101+X103*Assumptions!$B$168</f>
        <v>3534.76505642459</v>
      </c>
      <c r="Y111" s="53" t="n">
        <f aca="false">Y101+Y103*Assumptions!$B$168</f>
        <v>3851.02887137982</v>
      </c>
      <c r="Z111" s="53" t="n">
        <f aca="false">Z101+Z103*Assumptions!$B$168</f>
        <v>4130.62399009909</v>
      </c>
      <c r="AA111" s="53" t="n">
        <f aca="false">AA101+AA103*Assumptions!$B$168</f>
        <v>8921.32496728877</v>
      </c>
      <c r="AB111" s="53" t="n">
        <f aca="false">AB101+AB103*Assumptions!$B$168</f>
        <v>15722.7846947652</v>
      </c>
      <c r="AC111" s="53" t="n">
        <f aca="false">AC101+AC103*Assumptions!$B$168</f>
        <v>23967.7882282521</v>
      </c>
      <c r="AD111" s="53" t="n">
        <f aca="false">AD101+AD103*Assumptions!$B$168</f>
        <v>31915.1547014785</v>
      </c>
      <c r="AE111" s="53" t="n">
        <f aca="false">AE101+AE103*Assumptions!$B$168</f>
        <v>37850.0706318335</v>
      </c>
    </row>
    <row r="112" customFormat="false" ht="15" hidden="false" customHeight="false" outlineLevel="0" collapsed="false">
      <c r="A112" s="6" t="s">
        <v>445</v>
      </c>
      <c r="B112" s="23" t="s">
        <v>185</v>
      </c>
      <c r="C112" s="44" t="n">
        <f aca="false">IF(C7&gt;1,C111*Assumptions!$B$125,IF(C2&gt;Assumptions!$B$126,INDEX($C$111:$AE$111,1,C2-Assumptions!$B$126)*Assumptions!$B$125,0))</f>
        <v>0</v>
      </c>
      <c r="D112" s="44" t="n">
        <f aca="false">IF(D7&gt;1,D111*Assumptions!$B$125,IF(D2&gt;Assumptions!$B$126,INDEX($C$111:$AE$111,1,D2-Assumptions!$B$126)*Assumptions!$B$125,0))</f>
        <v>0</v>
      </c>
      <c r="E112" s="44" t="n">
        <f aca="false">IF(E7&gt;1,E111*Assumptions!$B$125,IF(E2&gt;Assumptions!$B$126,INDEX($C$111:$AE$111,1,E2-Assumptions!$B$126)*Assumptions!$B$125,0))</f>
        <v>0</v>
      </c>
      <c r="F112" s="44" t="n">
        <f aca="false">IF(F7&gt;1,F111*Assumptions!$B$125,IF(F2&gt;Assumptions!$B$126,INDEX($C$111:$AE$111,1,F2-Assumptions!$B$126)*Assumptions!$B$125,0))</f>
        <v>0</v>
      </c>
      <c r="G112" s="44" t="n">
        <f aca="false">IF(G7&gt;1,G111*Assumptions!$B$125,IF(G2&gt;Assumptions!$B$126,INDEX($C$111:$AE$111,1,G2-Assumptions!$B$126)*Assumptions!$B$125,0))</f>
        <v>0</v>
      </c>
      <c r="H112" s="44" t="n">
        <f aca="false">IF(H7&gt;1,H111*Assumptions!$B$125,IF(H2&gt;Assumptions!$B$126,INDEX($C$111:$AE$111,1,H2-Assumptions!$B$126)*Assumptions!$B$125,0))</f>
        <v>0</v>
      </c>
      <c r="I112" s="44" t="n">
        <f aca="false">IF(I7&gt;1,I111*Assumptions!$B$125,IF(I2&gt;Assumptions!$B$126,INDEX($C$111:$AE$111,1,I2-Assumptions!$B$126)*Assumptions!$B$125,0))</f>
        <v>0</v>
      </c>
      <c r="J112" s="44" t="n">
        <f aca="false">IF(J7&gt;1,J111*Assumptions!$B$125,IF(J2&gt;Assumptions!$B$126,INDEX($C$111:$AE$111,1,J2-Assumptions!$B$126)*Assumptions!$B$125,0))</f>
        <v>0</v>
      </c>
      <c r="K112" s="44" t="n">
        <f aca="false">IF(K7&gt;1,K111*Assumptions!$B$125,IF(K2&gt;Assumptions!$B$126,INDEX($C$111:$AE$111,1,K2-Assumptions!$B$126)*Assumptions!$B$125,0))</f>
        <v>43.7734</v>
      </c>
      <c r="L112" s="44" t="n">
        <f aca="false">IF(L7&gt;1,L111*Assumptions!$B$125,IF(L2&gt;Assumptions!$B$126,INDEX($C$111:$AE$111,1,L2-Assumptions!$B$126)*Assumptions!$B$125,0))</f>
        <v>85.3041115391269</v>
      </c>
      <c r="M112" s="44" t="n">
        <f aca="false">IF(M7&gt;1,M111*Assumptions!$B$125,IF(M2&gt;Assumptions!$B$126,INDEX($C$111:$AE$111,1,M2-Assumptions!$B$126)*Assumptions!$B$125,0))</f>
        <v>125.035558239238</v>
      </c>
      <c r="N112" s="44" t="n">
        <f aca="false">IF(N7&gt;1,N111*Assumptions!$B$125,IF(N2&gt;Assumptions!$B$126,INDEX($C$111:$AE$111,1,N2-Assumptions!$B$126)*Assumptions!$B$125,0))</f>
        <v>174.617570301235</v>
      </c>
      <c r="O112" s="44" t="n">
        <f aca="false">IF(O7&gt;1,O111*Assumptions!$B$125,IF(O2&gt;Assumptions!$B$126,INDEX($C$111:$AE$111,1,O2-Assumptions!$B$126)*Assumptions!$B$125,0))</f>
        <v>219.364078664176</v>
      </c>
      <c r="P112" s="44" t="n">
        <f aca="false">IF(P7&gt;1,P111*Assumptions!$B$125,IF(P2&gt;Assumptions!$B$126,INDEX($C$111:$AE$111,1,P2-Assumptions!$B$126)*Assumptions!$B$125,0))</f>
        <v>257.155585345984</v>
      </c>
      <c r="Q112" s="44" t="n">
        <f aca="false">IF(Q7&gt;1,Q111*Assumptions!$B$125,IF(Q2&gt;Assumptions!$B$126,INDEX($C$111:$AE$111,1,Q2-Assumptions!$B$126)*Assumptions!$B$125,0))</f>
        <v>293.600887492122</v>
      </c>
      <c r="R112" s="44" t="n">
        <f aca="false">IF(R7&gt;1,R111*Assumptions!$B$125,IF(R2&gt;Assumptions!$B$126,INDEX($C$111:$AE$111,1,R2-Assumptions!$B$126)*Assumptions!$B$125,0))</f>
        <v>329.990392921968</v>
      </c>
      <c r="S112" s="44" t="n">
        <f aca="false">IF(S7&gt;1,S111*Assumptions!$B$125,IF(S2&gt;Assumptions!$B$126,INDEX($C$111:$AE$111,1,S2-Assumptions!$B$126)*Assumptions!$B$125,0))</f>
        <v>369.743838271571</v>
      </c>
      <c r="T112" s="44" t="n">
        <f aca="false">IF(T7&gt;1,T111*Assumptions!$B$125,IF(T2&gt;Assumptions!$B$126,INDEX($C$111:$AE$111,1,T2-Assumptions!$B$126)*Assumptions!$B$125,0))</f>
        <v>423.086386429976</v>
      </c>
      <c r="U112" s="44" t="n">
        <f aca="false">IF(U7&gt;1,U111*Assumptions!$B$125,IF(U2&gt;Assumptions!$B$126,INDEX($C$111:$AE$111,1,U2-Assumptions!$B$126)*Assumptions!$B$125,0))</f>
        <v>472.051041553673</v>
      </c>
      <c r="V112" s="44" t="n">
        <f aca="false">IF(V7&gt;1,V111*Assumptions!$B$125,IF(V2&gt;Assumptions!$B$126,INDEX($C$111:$AE$111,1,V2-Assumptions!$B$126)*Assumptions!$B$125,0))</f>
        <v>514.965707878355</v>
      </c>
      <c r="W112" s="44" t="n">
        <f aca="false">IF(W7&gt;1,W111*Assumptions!$B$125,IF(W2&gt;Assumptions!$B$126,INDEX($C$111:$AE$111,1,W2-Assumptions!$B$126)*Assumptions!$B$125,0))</f>
        <v>655.110699543539</v>
      </c>
      <c r="X112" s="44" t="n">
        <f aca="false">IF(X7&gt;1,X111*Assumptions!$B$125,IF(X2&gt;Assumptions!$B$126,INDEX($C$111:$AE$111,1,X2-Assumptions!$B$126)*Assumptions!$B$125,0))</f>
        <v>790.082332803707</v>
      </c>
      <c r="Y112" s="44" t="n">
        <f aca="false">IF(Y7&gt;1,Y111*Assumptions!$B$125,IF(Y2&gt;Assumptions!$B$126,INDEX($C$111:$AE$111,1,Y2-Assumptions!$B$126)*Assumptions!$B$125,0))</f>
        <v>920.898112936264</v>
      </c>
      <c r="Z112" s="44" t="n">
        <f aca="false">IF(Z7&gt;1,Z111*Assumptions!$B$125,IF(Z2&gt;Assumptions!$B$126,INDEX($C$111:$AE$111,1,Z2-Assumptions!$B$126)*Assumptions!$B$125,0))</f>
        <v>1086.01242461202</v>
      </c>
      <c r="AA112" s="44" t="n">
        <f aca="false">IF(AA7&gt;1,AA111*Assumptions!$B$125,IF(AA2&gt;Assumptions!$B$126,INDEX($C$111:$AE$111,1,AA2-Assumptions!$B$126)*Assumptions!$B$125,0))</f>
        <v>4906.72873200883</v>
      </c>
      <c r="AB112" s="44" t="n">
        <f aca="false">IF(AB7&gt;1,AB111*Assumptions!$B$125,IF(AB2&gt;Assumptions!$B$126,INDEX($C$111:$AE$111,1,AB2-Assumptions!$B$126)*Assumptions!$B$125,0))</f>
        <v>8647.53158212086</v>
      </c>
      <c r="AC112" s="44" t="n">
        <f aca="false">IF(AC7&gt;1,AC111*Assumptions!$B$125,IF(AC2&gt;Assumptions!$B$126,INDEX($C$111:$AE$111,1,AC2-Assumptions!$B$126)*Assumptions!$B$125,0))</f>
        <v>13182.2835255386</v>
      </c>
      <c r="AD112" s="44" t="n">
        <f aca="false">IF(AD7&gt;1,AD111*Assumptions!$B$125,IF(AD2&gt;Assumptions!$B$126,INDEX($C$111:$AE$111,1,AD2-Assumptions!$B$126)*Assumptions!$B$125,0))</f>
        <v>17553.3350858132</v>
      </c>
      <c r="AE112" s="44" t="n">
        <f aca="false">IF(AE7&gt;1,AE111*Assumptions!$B$125,IF(AE2&gt;Assumptions!$B$126,INDEX($C$111:$AE$111,1,AE2-Assumptions!$B$126)*Assumptions!$B$125,0))</f>
        <v>20817.5388475084</v>
      </c>
    </row>
    <row r="113" customFormat="false" ht="15" hidden="false" customHeight="false" outlineLevel="0" collapsed="false">
      <c r="A113" s="6" t="s">
        <v>446</v>
      </c>
      <c r="B113" s="23" t="s">
        <v>447</v>
      </c>
      <c r="C113" s="28" t="n">
        <f aca="false">IF(C2&gt;=Assumptions!$B$48,C112*Assumptions!$B$135,0)</f>
        <v>0</v>
      </c>
      <c r="D113" s="28" t="n">
        <f aca="false">IF(D2&gt;=Assumptions!$B$48,D112*Assumptions!$B$135,0)</f>
        <v>0</v>
      </c>
      <c r="E113" s="28" t="n">
        <f aca="false">IF(E2&gt;=Assumptions!$B$48,E112*Assumptions!$B$135,0)</f>
        <v>0</v>
      </c>
      <c r="F113" s="28" t="n">
        <f aca="false">IF(F2&gt;=Assumptions!$B$48,F112*Assumptions!$B$135,0)</f>
        <v>0</v>
      </c>
      <c r="G113" s="28" t="n">
        <f aca="false">IF(G2&gt;=Assumptions!$B$48,G112*Assumptions!$B$135,0)</f>
        <v>0</v>
      </c>
      <c r="H113" s="28" t="n">
        <f aca="false">IF(H2&gt;=Assumptions!$B$48,H112*Assumptions!$B$135,0)</f>
        <v>0</v>
      </c>
      <c r="I113" s="28" t="n">
        <f aca="false">IF(I2&gt;=Assumptions!$B$48,I112*Assumptions!$B$135,0)</f>
        <v>0</v>
      </c>
      <c r="J113" s="28" t="n">
        <f aca="false">IF(J2&gt;=Assumptions!$B$48,J112*Assumptions!$B$135,0)</f>
        <v>0</v>
      </c>
      <c r="K113" s="28" t="n">
        <f aca="false">IF(K2&gt;=Assumptions!$B$48,K112*Assumptions!$B$135,0)</f>
        <v>0</v>
      </c>
      <c r="L113" s="28" t="n">
        <f aca="false">IF(L2&gt;=Assumptions!$B$48,L112*Assumptions!$B$135,0)</f>
        <v>0</v>
      </c>
      <c r="M113" s="28" t="n">
        <f aca="false">IF(M2&gt;=Assumptions!$B$48,M112*Assumptions!$B$135,0)</f>
        <v>0</v>
      </c>
      <c r="N113" s="28" t="n">
        <f aca="false">IF(N2&gt;=Assumptions!$B$48,N112*Assumptions!$B$135,0)</f>
        <v>0</v>
      </c>
      <c r="O113" s="28" t="n">
        <f aca="false">IF(O2&gt;=Assumptions!$B$48,O112*Assumptions!$B$135,0)</f>
        <v>39.4855341595517</v>
      </c>
      <c r="P113" s="28" t="n">
        <f aca="false">IF(P2&gt;=Assumptions!$B$48,P112*Assumptions!$B$135,0)</f>
        <v>46.2880053622772</v>
      </c>
      <c r="Q113" s="28" t="n">
        <f aca="false">IF(Q2&gt;=Assumptions!$B$48,Q112*Assumptions!$B$135,0)</f>
        <v>52.8481597485819</v>
      </c>
      <c r="R113" s="28" t="n">
        <f aca="false">IF(R2&gt;=Assumptions!$B$48,R112*Assumptions!$B$135,0)</f>
        <v>59.3982707259543</v>
      </c>
      <c r="S113" s="28" t="n">
        <f aca="false">IF(S2&gt;=Assumptions!$B$48,S112*Assumptions!$B$135,0)</f>
        <v>66.5538908888827</v>
      </c>
      <c r="T113" s="28" t="n">
        <f aca="false">IF(T2&gt;=Assumptions!$B$48,T112*Assumptions!$B$135,0)</f>
        <v>76.1555495573957</v>
      </c>
      <c r="U113" s="28" t="n">
        <f aca="false">IF(U2&gt;=Assumptions!$B$48,U112*Assumptions!$B$135,0)</f>
        <v>84.9691874796611</v>
      </c>
      <c r="V113" s="28" t="n">
        <f aca="false">IF(V2&gt;=Assumptions!$B$48,V112*Assumptions!$B$135,0)</f>
        <v>92.6938274181038</v>
      </c>
      <c r="W113" s="28" t="n">
        <f aca="false">IF(W2&gt;=Assumptions!$B$48,W112*Assumptions!$B$135,0)</f>
        <v>117.919925917837</v>
      </c>
      <c r="X113" s="28" t="n">
        <f aca="false">IF(X2&gt;=Assumptions!$B$48,X112*Assumptions!$B$135,0)</f>
        <v>142.214819904667</v>
      </c>
      <c r="Y113" s="28" t="n">
        <f aca="false">IF(Y2&gt;=Assumptions!$B$48,Y112*Assumptions!$B$135,0)</f>
        <v>165.761660328528</v>
      </c>
      <c r="Z113" s="28" t="n">
        <f aca="false">IF(Z2&gt;=Assumptions!$B$48,Z112*Assumptions!$B$135,0)</f>
        <v>195.482236430164</v>
      </c>
      <c r="AA113" s="28" t="n">
        <f aca="false">IF(AA2&gt;=Assumptions!$B$48,AA112*Assumptions!$B$135,0)</f>
        <v>883.211171761589</v>
      </c>
      <c r="AB113" s="28" t="n">
        <f aca="false">IF(AB2&gt;=Assumptions!$B$48,AB112*Assumptions!$B$135,0)</f>
        <v>1556.55568478176</v>
      </c>
      <c r="AC113" s="28" t="n">
        <f aca="false">IF(AC2&gt;=Assumptions!$B$48,AC112*Assumptions!$B$135,0)</f>
        <v>2372.81103459696</v>
      </c>
      <c r="AD113" s="28" t="n">
        <f aca="false">IF(AD2&gt;=Assumptions!$B$48,AD112*Assumptions!$B$135,0)</f>
        <v>3159.60031544637</v>
      </c>
      <c r="AE113" s="28" t="n">
        <f aca="false">IF(AE2&gt;=Assumptions!$B$48,AE112*Assumptions!$B$135,0)</f>
        <v>3747.15699255152</v>
      </c>
    </row>
    <row r="114" customFormat="false" ht="15" hidden="false" customHeight="false" outlineLevel="0" collapsed="false">
      <c r="A114" s="6" t="s">
        <v>448</v>
      </c>
      <c r="B114" s="23" t="s">
        <v>109</v>
      </c>
      <c r="C114" s="54" t="n">
        <f aca="false">IF(C101=0,0,C110/C101*Assumptions!$B$31)</f>
        <v>14.4106732348112</v>
      </c>
      <c r="D114" s="54" t="n">
        <f aca="false">IF(D101=0,0,D110/D101*Assumptions!$B$31)</f>
        <v>21.8652053272783</v>
      </c>
      <c r="E114" s="54" t="n">
        <f aca="false">IF(E101=0,0,E110/E101*Assumptions!$B$31)</f>
        <v>29.4470092668429</v>
      </c>
      <c r="F114" s="54" t="n">
        <f aca="false">IF(F101=0,0,F110/F101*Assumptions!$B$31)</f>
        <v>35.5536389799465</v>
      </c>
      <c r="G114" s="54" t="n">
        <f aca="false">IF(G101=0,0,G110/G101*Assumptions!$B$31)</f>
        <v>42.8898450983044</v>
      </c>
      <c r="H114" s="54" t="n">
        <f aca="false">IF(H101=0,0,H110/H101*Assumptions!$B$31)</f>
        <v>51.3385788083989</v>
      </c>
      <c r="I114" s="54" t="n">
        <f aca="false">IF(I101=0,0,I110/I101*Assumptions!$B$31)</f>
        <v>59.7694786186912</v>
      </c>
      <c r="J114" s="54" t="n">
        <f aca="false">IF(J101=0,0,J110/J101*Assumptions!$B$31)</f>
        <v>67.9942650247143</v>
      </c>
      <c r="K114" s="54" t="n">
        <f aca="false">IF(K101=0,0,K110/K101*Assumptions!$B$31)</f>
        <v>75.378964288894</v>
      </c>
      <c r="L114" s="54" t="n">
        <f aca="false">IF(L101=0,0,L110/L101*Assumptions!$B$31)</f>
        <v>80.0537771057627</v>
      </c>
      <c r="M114" s="54" t="n">
        <f aca="false">IF(M101=0,0,M110/M101*Assumptions!$B$31)</f>
        <v>86.1954258779651</v>
      </c>
      <c r="N114" s="54" t="n">
        <f aca="false">IF(N101=0,0,N110/N101*Assumptions!$B$31)</f>
        <v>93.7601885698176</v>
      </c>
      <c r="O114" s="54" t="n">
        <f aca="false">IF(O101=0,0,O110/O101*Assumptions!$B$31)</f>
        <v>85.0597629904776</v>
      </c>
      <c r="P114" s="54" t="n">
        <f aca="false">IF(P101=0,0,P110/P101*Assumptions!$B$31)</f>
        <v>83.3503422447559</v>
      </c>
      <c r="Q114" s="54" t="n">
        <f aca="false">IF(Q101=0,0,Q110/Q101*Assumptions!$B$31)</f>
        <v>84.9844306085551</v>
      </c>
      <c r="R114" s="54" t="n">
        <f aca="false">IF(R101=0,0,R110/R101*Assumptions!$B$31)</f>
        <v>85.2394228908314</v>
      </c>
      <c r="S114" s="54" t="n">
        <f aca="false">IF(S101=0,0,S110/S101*Assumptions!$B$31)</f>
        <v>88.6204366244858</v>
      </c>
      <c r="T114" s="54" t="n">
        <f aca="false">IF(T101=0,0,T110/T101*Assumptions!$B$31)</f>
        <v>94.5854583014216</v>
      </c>
      <c r="U114" s="54" t="n">
        <f aca="false">IF(U101=0,0,U110/U101*Assumptions!$B$31)</f>
        <v>101.078704752693</v>
      </c>
      <c r="V114" s="54" t="n">
        <f aca="false">IF(V101=0,0,V110/V101*Assumptions!$B$31)</f>
        <v>107.655449683181</v>
      </c>
      <c r="W114" s="54" t="n">
        <f aca="false">IF(W101=0,0,W110/W101*Assumptions!$B$31)</f>
        <v>113.363190802236</v>
      </c>
      <c r="X114" s="54" t="n">
        <f aca="false">IF(X101=0,0,X110/X101*Assumptions!$B$31)</f>
        <v>115.681431807251</v>
      </c>
      <c r="Y114" s="54" t="n">
        <f aca="false">IF(Y101=0,0,Y110/Y101*Assumptions!$B$31)</f>
        <v>119.924298370362</v>
      </c>
      <c r="Z114" s="54" t="n">
        <f aca="false">IF(Z101=0,0,Z110/Z101*Assumptions!$B$31)</f>
        <v>126.074365325327</v>
      </c>
      <c r="AA114" s="54" t="n">
        <f aca="false">IF(AA101=0,0,AA110/AA101*Assumptions!$B$31)</f>
        <v>225.76406261379</v>
      </c>
      <c r="AB114" s="54" t="n">
        <f aca="false">IF(AB101=0,0,AB110/AB101*Assumptions!$B$31)</f>
        <v>283.267617093766</v>
      </c>
      <c r="AC114" s="54" t="n">
        <f aca="false">IF(AC101=0,0,AC110/AC101*Assumptions!$B$31)</f>
        <v>331.901688107604</v>
      </c>
      <c r="AD114" s="54" t="n">
        <f aca="false">IF(AD101=0,0,AD110/AD101*Assumptions!$B$31)</f>
        <v>392.910396408982</v>
      </c>
      <c r="AE114" s="54" t="n">
        <f aca="false">IF(AE101=0,0,AE110/AE101*Assumptions!$B$31)</f>
        <v>482.461663536581</v>
      </c>
    </row>
    <row r="115" customFormat="false" ht="15" hidden="false" customHeight="false" outlineLevel="0" collapsed="false">
      <c r="A115" s="6" t="s">
        <v>449</v>
      </c>
      <c r="B115" s="23" t="s">
        <v>76</v>
      </c>
      <c r="C115" s="54" t="n">
        <f aca="false">C114*Assumptions!$B$149*Assumptions!$B$151</f>
        <v>15.1312068965517</v>
      </c>
      <c r="D115" s="54" t="n">
        <f aca="false">D114*Assumptions!$B$149*Assumptions!$B$151</f>
        <v>22.9584655936423</v>
      </c>
      <c r="E115" s="54" t="n">
        <f aca="false">E114*Assumptions!$B$149*Assumptions!$B$151</f>
        <v>30.919359730185</v>
      </c>
      <c r="F115" s="54" t="n">
        <f aca="false">F114*Assumptions!$B$149*Assumptions!$B$151</f>
        <v>37.3313209289439</v>
      </c>
      <c r="G115" s="54" t="n">
        <f aca="false">G114*Assumptions!$B$149*Assumptions!$B$151</f>
        <v>45.0343373532196</v>
      </c>
      <c r="H115" s="54" t="n">
        <f aca="false">H114*Assumptions!$B$149*Assumptions!$B$151</f>
        <v>53.9055077488188</v>
      </c>
      <c r="I115" s="54" t="n">
        <f aca="false">I114*Assumptions!$B$149*Assumptions!$B$151</f>
        <v>62.7579525496257</v>
      </c>
      <c r="J115" s="54" t="n">
        <f aca="false">J114*Assumptions!$B$149*Assumptions!$B$151</f>
        <v>71.39397827595</v>
      </c>
      <c r="K115" s="54" t="n">
        <f aca="false">K114*Assumptions!$B$149*Assumptions!$B$151</f>
        <v>79.1479125033387</v>
      </c>
      <c r="L115" s="54" t="n">
        <f aca="false">L114*Assumptions!$B$149*Assumptions!$B$151</f>
        <v>84.0564659610508</v>
      </c>
      <c r="M115" s="54" t="n">
        <f aca="false">M114*Assumptions!$B$149*Assumptions!$B$151</f>
        <v>90.5051971718634</v>
      </c>
      <c r="N115" s="54" t="n">
        <f aca="false">N114*Assumptions!$B$149*Assumptions!$B$151</f>
        <v>98.4481979983085</v>
      </c>
      <c r="O115" s="54" t="n">
        <f aca="false">O114*Assumptions!$B$149*Assumptions!$B$151</f>
        <v>89.3127511400015</v>
      </c>
      <c r="P115" s="54" t="n">
        <f aca="false">P114*Assumptions!$B$149*Assumptions!$B$151</f>
        <v>87.5178593569937</v>
      </c>
      <c r="Q115" s="54" t="n">
        <f aca="false">Q114*Assumptions!$B$149*Assumptions!$B$151</f>
        <v>89.2336521389829</v>
      </c>
      <c r="R115" s="54" t="n">
        <f aca="false">R114*Assumptions!$B$149*Assumptions!$B$151</f>
        <v>89.501394035373</v>
      </c>
      <c r="S115" s="54" t="n">
        <f aca="false">S114*Assumptions!$B$149*Assumptions!$B$151</f>
        <v>93.05145845571</v>
      </c>
      <c r="T115" s="54" t="n">
        <f aca="false">T114*Assumptions!$B$149*Assumptions!$B$151</f>
        <v>99.3147312164927</v>
      </c>
      <c r="U115" s="54" t="n">
        <f aca="false">U114*Assumptions!$B$149*Assumptions!$B$151</f>
        <v>106.132639990328</v>
      </c>
      <c r="V115" s="54" t="n">
        <f aca="false">V114*Assumptions!$B$149*Assumptions!$B$151</f>
        <v>113.03822216734</v>
      </c>
      <c r="W115" s="54" t="n">
        <f aca="false">W114*Assumptions!$B$149*Assumptions!$B$151</f>
        <v>119.031350342347</v>
      </c>
      <c r="X115" s="54" t="n">
        <f aca="false">X114*Assumptions!$B$149*Assumptions!$B$151</f>
        <v>121.465503397614</v>
      </c>
      <c r="Y115" s="54" t="n">
        <f aca="false">Y114*Assumptions!$B$149*Assumptions!$B$151</f>
        <v>125.92051328888</v>
      </c>
      <c r="Z115" s="54" t="n">
        <f aca="false">Z114*Assumptions!$B$149*Assumptions!$B$151</f>
        <v>132.378083591593</v>
      </c>
      <c r="AA115" s="54" t="n">
        <f aca="false">AA114*Assumptions!$B$149*Assumptions!$B$151</f>
        <v>237.052265744479</v>
      </c>
      <c r="AB115" s="54" t="n">
        <f aca="false">AB114*Assumptions!$B$149*Assumptions!$B$151</f>
        <v>297.430997948455</v>
      </c>
      <c r="AC115" s="54" t="n">
        <f aca="false">AC114*Assumptions!$B$149*Assumptions!$B$151</f>
        <v>348.496772512984</v>
      </c>
      <c r="AD115" s="54" t="n">
        <f aca="false">AD114*Assumptions!$B$149*Assumptions!$B$151</f>
        <v>412.555916229431</v>
      </c>
      <c r="AE115" s="54" t="n">
        <f aca="false">AE114*Assumptions!$B$149*Assumptions!$B$151</f>
        <v>506.58474671341</v>
      </c>
    </row>
    <row r="116" customFormat="false" ht="15" hidden="false" customHeight="false" outlineLevel="0" collapsed="false">
      <c r="A116" s="6" t="s">
        <v>450</v>
      </c>
      <c r="B116" s="23" t="s">
        <v>109</v>
      </c>
      <c r="C116" s="54" t="n">
        <f aca="false">C115/12*C16</f>
        <v>1.38702729885058</v>
      </c>
      <c r="D116" s="54" t="n">
        <f aca="false">D115/12*D16</f>
        <v>1.91320546613685</v>
      </c>
      <c r="E116" s="54" t="n">
        <f aca="false">E115/12*E16</f>
        <v>2.52508104463178</v>
      </c>
      <c r="F116" s="54" t="n">
        <f aca="false">F115/12*F16</f>
        <v>3.04872454253042</v>
      </c>
      <c r="G116" s="54" t="n">
        <f aca="false">G115/12*G16</f>
        <v>3.75286144610163</v>
      </c>
      <c r="H116" s="54" t="n">
        <f aca="false">H115/12*H16</f>
        <v>4.26751936344816</v>
      </c>
      <c r="I116" s="54" t="n">
        <f aca="false">I115/12*I16</f>
        <v>4.60224985363922</v>
      </c>
      <c r="J116" s="54" t="n">
        <f aca="false">J115/12*J16</f>
        <v>5.35454837069625</v>
      </c>
      <c r="K116" s="54" t="n">
        <f aca="false">K115/12*K16</f>
        <v>6.59565937527822</v>
      </c>
      <c r="L116" s="54" t="n">
        <f aca="false">L115/12*L16</f>
        <v>7.14479960668932</v>
      </c>
      <c r="M116" s="54" t="n">
        <f aca="false">M115/12*M16</f>
        <v>7.91920475253805</v>
      </c>
      <c r="N116" s="54" t="n">
        <f aca="false">N115/12*N16</f>
        <v>9.35257880983931</v>
      </c>
      <c r="O116" s="54" t="n">
        <f aca="false">O115/12*O16</f>
        <v>8.18700218783347</v>
      </c>
      <c r="P116" s="54" t="n">
        <f aca="false">P115/12*P16</f>
        <v>7.29315494641615</v>
      </c>
      <c r="Q116" s="54" t="n">
        <f aca="false">Q115/12*Q16</f>
        <v>7.2874149246836</v>
      </c>
      <c r="R116" s="54" t="n">
        <f aca="false">R115/12*R16</f>
        <v>7.30928051288879</v>
      </c>
      <c r="S116" s="54" t="n">
        <f aca="false">S115/12*S16</f>
        <v>7.7542882046425</v>
      </c>
      <c r="T116" s="54" t="n">
        <f aca="false">T115/12*T16</f>
        <v>7.86241622130567</v>
      </c>
      <c r="U116" s="54" t="n">
        <f aca="false">U115/12*U16</f>
        <v>7.7830602659574</v>
      </c>
      <c r="V116" s="54" t="n">
        <f aca="false">V115/12*V16</f>
        <v>8.47786666255048</v>
      </c>
      <c r="W116" s="54" t="n">
        <f aca="false">W115/12*W16</f>
        <v>9.91927919519562</v>
      </c>
      <c r="X116" s="54" t="n">
        <f aca="false">X115/12*X16</f>
        <v>10.3245677887972</v>
      </c>
      <c r="Y116" s="54" t="n">
        <f aca="false">Y115/12*Y16</f>
        <v>11.018044912777</v>
      </c>
      <c r="Z116" s="54" t="n">
        <f aca="false">Z115/12*Z16</f>
        <v>12.5759179412014</v>
      </c>
      <c r="AA116" s="54" t="n">
        <f aca="false">AA115/12*AA16</f>
        <v>19.7543554787066</v>
      </c>
      <c r="AB116" s="54" t="n">
        <f aca="false">AB115/12*AB16</f>
        <v>24.7859164957046</v>
      </c>
      <c r="AC116" s="54" t="n">
        <f aca="false">AC115/12*AC16</f>
        <v>29.0413977094153</v>
      </c>
      <c r="AD116" s="54" t="n">
        <f aca="false">AD115/12*AD16</f>
        <v>34.3796596857859</v>
      </c>
      <c r="AE116" s="54" t="n">
        <f aca="false">AE115/12*AE16</f>
        <v>42.2153955594508</v>
      </c>
    </row>
    <row r="117" customFormat="false" ht="15" hidden="false" customHeight="false" outlineLevel="0" collapsed="false">
      <c r="A117" s="6" t="s">
        <v>451</v>
      </c>
      <c r="B117" s="23" t="s">
        <v>452</v>
      </c>
      <c r="C117" s="44" t="n">
        <f aca="false">C113*C116*Assumptions!$B$7*C7</f>
        <v>0</v>
      </c>
      <c r="D117" s="44" t="n">
        <f aca="false">D113*D116*Assumptions!$B$7*D7</f>
        <v>0</v>
      </c>
      <c r="E117" s="44" t="n">
        <f aca="false">E113*E116*Assumptions!$B$7*E7</f>
        <v>0</v>
      </c>
      <c r="F117" s="44" t="n">
        <f aca="false">F113*F116*Assumptions!$B$7*F7</f>
        <v>0</v>
      </c>
      <c r="G117" s="44" t="n">
        <f aca="false">G113*G116*Assumptions!$B$7*G7</f>
        <v>0</v>
      </c>
      <c r="H117" s="44" t="n">
        <f aca="false">H113*H116*Assumptions!$B$7*H7</f>
        <v>0</v>
      </c>
      <c r="I117" s="44" t="n">
        <f aca="false">I113*I116*Assumptions!$B$7*I7</f>
        <v>0</v>
      </c>
      <c r="J117" s="44" t="n">
        <f aca="false">J113*J116*Assumptions!$B$7*J7</f>
        <v>0</v>
      </c>
      <c r="K117" s="44" t="n">
        <f aca="false">K113*K116*Assumptions!$B$7*K7</f>
        <v>0</v>
      </c>
      <c r="L117" s="44" t="n">
        <f aca="false">L113*L116*Assumptions!$B$7*L7</f>
        <v>0</v>
      </c>
      <c r="M117" s="44" t="n">
        <f aca="false">M113*M116*Assumptions!$B$7*M7</f>
        <v>0</v>
      </c>
      <c r="N117" s="44" t="n">
        <f aca="false">N113*N116*Assumptions!$B$7*N7</f>
        <v>0</v>
      </c>
      <c r="O117" s="44" t="n">
        <f aca="false">O113*O116*Assumptions!$B$7*O7</f>
        <v>1187.2022975923</v>
      </c>
      <c r="P117" s="44" t="n">
        <f aca="false">P113*P116*Assumptions!$B$7*P7</f>
        <v>1239.78309862037</v>
      </c>
      <c r="Q117" s="44" t="n">
        <f aca="false">Q113*Q116*Assumptions!$B$7*Q7</f>
        <v>1414.37695407477</v>
      </c>
      <c r="R117" s="44" t="n">
        <f aca="false">R113*R116*Assumptions!$B$7*R7</f>
        <v>1594.44754192638</v>
      </c>
      <c r="S117" s="44" t="n">
        <f aca="false">S113*S116*Assumptions!$B$7*S7</f>
        <v>1895.29664263804</v>
      </c>
      <c r="T117" s="44" t="n">
        <f aca="false">T113*T116*Assumptions!$B$7*T7</f>
        <v>2198.97044200029</v>
      </c>
      <c r="U117" s="44" t="n">
        <f aca="false">U113*U116*Assumptions!$B$7*U7</f>
        <v>2428.6988271036</v>
      </c>
      <c r="V117" s="44" t="n">
        <f aca="false">V113*V116*Assumptions!$B$7*V7</f>
        <v>2886.01910187542</v>
      </c>
      <c r="W117" s="44" t="n">
        <f aca="false">W113*W116*Assumptions!$B$7*W7</f>
        <v>4295.65225270046</v>
      </c>
      <c r="X117" s="44" t="n">
        <f aca="false">X113*X116*Assumptions!$B$7*X7</f>
        <v>5392.35580001745</v>
      </c>
      <c r="Y117" s="44" t="n">
        <f aca="false">Y113*Y116*Assumptions!$B$7*Y7</f>
        <v>6707.34168876624</v>
      </c>
      <c r="Z117" s="44" t="n">
        <f aca="false">Z113*Z116*Assumptions!$B$7*Z7</f>
        <v>9028.35855242212</v>
      </c>
      <c r="AA117" s="44" t="n">
        <f aca="false">AA113*AA116*Assumptions!$B$7*AA7</f>
        <v>768901.076510192</v>
      </c>
      <c r="AB117" s="44" t="n">
        <f aca="false">AB113*AB116*Assumptions!$B$7*AB7</f>
        <v>1700249.65199793</v>
      </c>
      <c r="AC117" s="44" t="n">
        <f aca="false">AC113*AC116*Assumptions!$B$7*AC7</f>
        <v>3036852.63600701</v>
      </c>
      <c r="AD117" s="44" t="n">
        <f aca="false">AD113*AD116*Assumptions!$B$7*AD7</f>
        <v>4787147.09672968</v>
      </c>
      <c r="AE117" s="44" t="n">
        <f aca="false">AE113*AE116*Assumptions!$B$7*AE7</f>
        <v>6971332.58523915</v>
      </c>
    </row>
    <row r="118" customFormat="false" ht="15" hidden="false" customHeight="false" outlineLevel="0" collapsed="false">
      <c r="A118" s="6" t="s">
        <v>451</v>
      </c>
      <c r="B118" s="23" t="s">
        <v>109</v>
      </c>
      <c r="C118" s="54" t="n">
        <f aca="false">C117/Assumptions!$B$7</f>
        <v>0</v>
      </c>
      <c r="D118" s="54" t="n">
        <f aca="false">D117/Assumptions!$B$7</f>
        <v>0</v>
      </c>
      <c r="E118" s="54" t="n">
        <f aca="false">E117/Assumptions!$B$7</f>
        <v>0</v>
      </c>
      <c r="F118" s="54" t="n">
        <f aca="false">F117/Assumptions!$B$7</f>
        <v>0</v>
      </c>
      <c r="G118" s="54" t="n">
        <f aca="false">G117/Assumptions!$B$7</f>
        <v>0</v>
      </c>
      <c r="H118" s="54" t="n">
        <f aca="false">H117/Assumptions!$B$7</f>
        <v>0</v>
      </c>
      <c r="I118" s="54" t="n">
        <f aca="false">I117/Assumptions!$B$7</f>
        <v>0</v>
      </c>
      <c r="J118" s="54" t="n">
        <f aca="false">J117/Assumptions!$B$7</f>
        <v>0</v>
      </c>
      <c r="K118" s="54" t="n">
        <f aca="false">K117/Assumptions!$B$7</f>
        <v>0</v>
      </c>
      <c r="L118" s="54" t="n">
        <f aca="false">L117/Assumptions!$B$7</f>
        <v>0</v>
      </c>
      <c r="M118" s="54" t="n">
        <f aca="false">M117/Assumptions!$B$7</f>
        <v>0</v>
      </c>
      <c r="N118" s="54" t="n">
        <f aca="false">N117/Assumptions!$B$7</f>
        <v>0</v>
      </c>
      <c r="O118" s="54" t="n">
        <f aca="false">O117/Assumptions!$B$7</f>
        <v>323.268154552023</v>
      </c>
      <c r="P118" s="54" t="n">
        <f aca="false">P117/Assumptions!$B$7</f>
        <v>337.585595267629</v>
      </c>
      <c r="Q118" s="54" t="n">
        <f aca="false">Q117/Assumptions!$B$7</f>
        <v>385.126468093879</v>
      </c>
      <c r="R118" s="54" t="n">
        <f aca="false">R117/Assumptions!$B$7</f>
        <v>434.15862271651</v>
      </c>
      <c r="S118" s="54" t="n">
        <f aca="false">S117/Assumptions!$B$7</f>
        <v>516.078051092727</v>
      </c>
      <c r="T118" s="54" t="n">
        <f aca="false">T117/Assumptions!$B$7</f>
        <v>598.766628182516</v>
      </c>
      <c r="U118" s="54" t="n">
        <f aca="false">U117/Assumptions!$B$7</f>
        <v>661.320306903635</v>
      </c>
      <c r="V118" s="54" t="n">
        <f aca="false">V117/Assumptions!$B$7</f>
        <v>785.84590929215</v>
      </c>
      <c r="W118" s="54" t="n">
        <f aca="false">W117/Assumptions!$B$7</f>
        <v>1169.68066785581</v>
      </c>
      <c r="X118" s="54" t="n">
        <f aca="false">X117/Assumptions!$B$7</f>
        <v>1468.30654867732</v>
      </c>
      <c r="Y118" s="54" t="n">
        <f aca="false">Y117/Assumptions!$B$7</f>
        <v>1826.3694183162</v>
      </c>
      <c r="Z118" s="54" t="n">
        <f aca="false">Z117/Assumptions!$B$7</f>
        <v>2458.36856430827</v>
      </c>
      <c r="AA118" s="54" t="n">
        <f aca="false">AA117/Assumptions!$B$7</f>
        <v>209367.209396921</v>
      </c>
      <c r="AB118" s="54" t="n">
        <f aca="false">AB117/Assumptions!$B$7</f>
        <v>462967.910686978</v>
      </c>
      <c r="AC118" s="54" t="n">
        <f aca="false">AC117/Assumptions!$B$7</f>
        <v>826916.987340233</v>
      </c>
      <c r="AD118" s="54" t="n">
        <f aca="false">AD117/Assumptions!$B$7</f>
        <v>1303511.80305778</v>
      </c>
      <c r="AE118" s="54" t="n">
        <f aca="false">AE117/Assumptions!$B$7</f>
        <v>1898252.57596709</v>
      </c>
    </row>
    <row r="119" customFormat="false" ht="15" hidden="false" customHeight="false" outlineLevel="0" collapsed="false">
      <c r="A119" s="6" t="s">
        <v>453</v>
      </c>
      <c r="B119" s="23" t="s">
        <v>452</v>
      </c>
      <c r="C119" s="44" t="n">
        <f aca="false">IF(Assumptions!$B$136=0,0,C114*Assumptions!$B$149*Assumptions!$B$7/Assumptions!$B$136)</f>
        <v>6.6153996818555</v>
      </c>
      <c r="D119" s="44" t="n">
        <f aca="false">IF(Assumptions!$B$136=0,0,D114*Assumptions!$B$149*Assumptions!$B$7/Assumptions!$B$136)</f>
        <v>10.0374958205537</v>
      </c>
      <c r="E119" s="44" t="n">
        <f aca="false">IF(Assumptions!$B$136=0,0,E114*Assumptions!$B$149*Assumptions!$B$7/Assumptions!$B$136)</f>
        <v>13.5180176915601</v>
      </c>
      <c r="F119" s="44" t="n">
        <f aca="false">IF(Assumptions!$B$136=0,0,F114*Assumptions!$B$149*Assumptions!$B$7/Assumptions!$B$136)</f>
        <v>16.3213423942317</v>
      </c>
      <c r="G119" s="44" t="n">
        <f aca="false">IF(Assumptions!$B$136=0,0,G114*Assumptions!$B$149*Assumptions!$B$7/Assumptions!$B$136)</f>
        <v>19.6891195154403</v>
      </c>
      <c r="H119" s="44" t="n">
        <f aca="false">IF(Assumptions!$B$136=0,0,H114*Assumptions!$B$149*Assumptions!$B$7/Assumptions!$B$136)</f>
        <v>23.5676163342306</v>
      </c>
      <c r="I119" s="44" t="n">
        <f aca="false">IF(Assumptions!$B$136=0,0,I114*Assumptions!$B$149*Assumptions!$B$7/Assumptions!$B$136)</f>
        <v>27.4379262783929</v>
      </c>
      <c r="J119" s="44" t="n">
        <f aca="false">IF(Assumptions!$B$136=0,0,J114*Assumptions!$B$149*Assumptions!$B$7/Assumptions!$B$136)</f>
        <v>31.2136172879079</v>
      </c>
      <c r="K119" s="44" t="n">
        <f aca="false">IF(Assumptions!$B$136=0,0,K114*Assumptions!$B$149*Assumptions!$B$7/Assumptions!$B$136)</f>
        <v>34.6036557938704</v>
      </c>
      <c r="L119" s="44" t="n">
        <f aca="false">IF(Assumptions!$B$136=0,0,L114*Assumptions!$B$149*Assumptions!$B$7/Assumptions!$B$136)</f>
        <v>36.7496870526142</v>
      </c>
      <c r="M119" s="44" t="n">
        <f aca="false">IF(Assumptions!$B$136=0,0,M114*Assumptions!$B$149*Assumptions!$B$7/Assumptions!$B$136)</f>
        <v>39.5690876921034</v>
      </c>
      <c r="N119" s="44" t="n">
        <f aca="false">IF(Assumptions!$B$136=0,0,N114*Assumptions!$B$149*Assumptions!$B$7/Assumptions!$B$136)</f>
        <v>43.0417865653319</v>
      </c>
      <c r="O119" s="44" t="n">
        <f aca="false">IF(Assumptions!$B$136=0,0,O114*Assumptions!$B$149*Assumptions!$B$7/Assumptions!$B$136)</f>
        <v>39.0477474478161</v>
      </c>
      <c r="P119" s="44" t="n">
        <f aca="false">IF(Assumptions!$B$136=0,0,P114*Assumptions!$B$149*Assumptions!$B$7/Assumptions!$B$136)</f>
        <v>38.2630164867333</v>
      </c>
      <c r="Q119" s="44" t="n">
        <f aca="false">IF(Assumptions!$B$136=0,0,Q114*Assumptions!$B$149*Assumptions!$B$7/Assumptions!$B$136)</f>
        <v>39.0131651762398</v>
      </c>
      <c r="R119" s="44" t="n">
        <f aca="false">IF(Assumptions!$B$136=0,0,R114*Assumptions!$B$149*Assumptions!$B$7/Assumptions!$B$136)</f>
        <v>39.1302225708223</v>
      </c>
      <c r="S119" s="44" t="n">
        <f aca="false">IF(Assumptions!$B$136=0,0,S114*Assumptions!$B$149*Assumptions!$B$7/Assumptions!$B$136)</f>
        <v>40.682319187928</v>
      </c>
      <c r="T119" s="44" t="n">
        <f aca="false">IF(Assumptions!$B$136=0,0,T114*Assumptions!$B$149*Assumptions!$B$7/Assumptions!$B$136)</f>
        <v>43.4206369514964</v>
      </c>
      <c r="U119" s="44" t="n">
        <f aca="false">IF(Assumptions!$B$136=0,0,U114*Assumptions!$B$149*Assumptions!$B$7/Assumptions!$B$136)</f>
        <v>46.4014429005334</v>
      </c>
      <c r="V119" s="44" t="n">
        <f aca="false">IF(Assumptions!$B$136=0,0,V114*Assumptions!$B$149*Assumptions!$B$7/Assumptions!$B$136)</f>
        <v>49.4205798701852</v>
      </c>
      <c r="W119" s="44" t="n">
        <f aca="false">IF(Assumptions!$B$136=0,0,W114*Assumptions!$B$149*Assumptions!$B$7/Assumptions!$B$136)</f>
        <v>52.0407897776513</v>
      </c>
      <c r="X119" s="44" t="n">
        <f aca="false">IF(Assumptions!$B$136=0,0,X114*Assumptions!$B$149*Assumptions!$B$7/Assumptions!$B$136)</f>
        <v>53.1050072890162</v>
      </c>
      <c r="Y119" s="44" t="n">
        <f aca="false">IF(Assumptions!$B$136=0,0,Y114*Assumptions!$B$149*Assumptions!$B$7/Assumptions!$B$136)</f>
        <v>55.0527482206442</v>
      </c>
      <c r="Z119" s="44" t="n">
        <f aca="false">IF(Assumptions!$B$136=0,0,Z114*Assumptions!$B$149*Assumptions!$B$7/Assumptions!$B$136)</f>
        <v>57.8760133321579</v>
      </c>
      <c r="AA119" s="44" t="n">
        <f aca="false">IF(Assumptions!$B$136=0,0,AA114*Assumptions!$B$149*Assumptions!$B$7/Assumptions!$B$136)</f>
        <v>103.639814993643</v>
      </c>
      <c r="AB119" s="44" t="n">
        <f aca="false">IF(Assumptions!$B$136=0,0,AB114*Assumptions!$B$149*Assumptions!$B$7/Assumptions!$B$136)</f>
        <v>130.037540472107</v>
      </c>
      <c r="AC119" s="44" t="n">
        <f aca="false">IF(Assumptions!$B$136=0,0,AC114*Assumptions!$B$149*Assumptions!$B$7/Assumptions!$B$136)</f>
        <v>152.363618696897</v>
      </c>
      <c r="AD119" s="44" t="n">
        <f aca="false">IF(Assumptions!$B$136=0,0,AD114*Assumptions!$B$149*Assumptions!$B$7/Assumptions!$B$136)</f>
        <v>180.370428851498</v>
      </c>
      <c r="AE119" s="44" t="n">
        <f aca="false">IF(Assumptions!$B$136=0,0,AE114*Assumptions!$B$149*Assumptions!$B$7/Assumptions!$B$136)</f>
        <v>221.480057417262</v>
      </c>
    </row>
    <row r="120" customFormat="false" ht="15" hidden="false" customHeight="false" outlineLevel="0" collapsed="false">
      <c r="A120" s="6" t="s">
        <v>454</v>
      </c>
      <c r="B120" s="23" t="s">
        <v>455</v>
      </c>
      <c r="C120" s="44" t="n">
        <f aca="false">C113*Assumptions!$B$151*Assumptions!$B$136*C7/12*(1+Assumptions!$B$16)</f>
        <v>0</v>
      </c>
      <c r="D120" s="44" t="n">
        <f aca="false">D113*Assumptions!$B$151*Assumptions!$B$136*D7/12*(1+Assumptions!$B$16)</f>
        <v>0</v>
      </c>
      <c r="E120" s="44" t="n">
        <f aca="false">E113*Assumptions!$B$151*Assumptions!$B$136*E7/12*(1+Assumptions!$B$16)</f>
        <v>0</v>
      </c>
      <c r="F120" s="44" t="n">
        <f aca="false">F113*Assumptions!$B$151*Assumptions!$B$136*F7/12*(1+Assumptions!$B$16)</f>
        <v>0</v>
      </c>
      <c r="G120" s="44" t="n">
        <f aca="false">G113*Assumptions!$B$151*Assumptions!$B$136*G7/12*(1+Assumptions!$B$16)</f>
        <v>0</v>
      </c>
      <c r="H120" s="44" t="n">
        <f aca="false">H113*Assumptions!$B$151*Assumptions!$B$136*H7/12*(1+Assumptions!$B$16)</f>
        <v>0</v>
      </c>
      <c r="I120" s="44" t="n">
        <f aca="false">I113*Assumptions!$B$151*Assumptions!$B$136*I7/12*(1+Assumptions!$B$16)</f>
        <v>0</v>
      </c>
      <c r="J120" s="44" t="n">
        <f aca="false">J113*Assumptions!$B$151*Assumptions!$B$136*J7/12*(1+Assumptions!$B$16)</f>
        <v>0</v>
      </c>
      <c r="K120" s="44" t="n">
        <f aca="false">K113*Assumptions!$B$151*Assumptions!$B$136*K7/12*(1+Assumptions!$B$16)</f>
        <v>0</v>
      </c>
      <c r="L120" s="44" t="n">
        <f aca="false">L113*Assumptions!$B$151*Assumptions!$B$136*L7/12*(1+Assumptions!$B$16)</f>
        <v>0</v>
      </c>
      <c r="M120" s="44" t="n">
        <f aca="false">M113*Assumptions!$B$151*Assumptions!$B$136*M7/12*(1+Assumptions!$B$16)</f>
        <v>0</v>
      </c>
      <c r="N120" s="44" t="n">
        <f aca="false">N113*Assumptions!$B$151*Assumptions!$B$136*N7/12*(1+Assumptions!$B$16)</f>
        <v>0</v>
      </c>
      <c r="O120" s="44" t="n">
        <f aca="false">O113*Assumptions!$B$151*Assumptions!$B$136*O7/12*(1+Assumptions!$B$16)</f>
        <v>29.2982663463873</v>
      </c>
      <c r="P120" s="44" t="n">
        <f aca="false">P113*Assumptions!$B$151*Assumptions!$B$136*P7/12*(1+Assumptions!$B$16)</f>
        <v>34.3456999788097</v>
      </c>
      <c r="Q120" s="44" t="n">
        <f aca="false">Q113*Assumptions!$B$151*Assumptions!$B$136*Q7/12*(1+Assumptions!$B$16)</f>
        <v>39.2133345334478</v>
      </c>
      <c r="R120" s="44" t="n">
        <f aca="false">R113*Assumptions!$B$151*Assumptions!$B$136*R7/12*(1+Assumptions!$B$16)</f>
        <v>44.0735168786581</v>
      </c>
      <c r="S120" s="44" t="n">
        <f aca="false">S113*Assumptions!$B$151*Assumptions!$B$136*S7/12*(1+Assumptions!$B$16)</f>
        <v>49.382987039551</v>
      </c>
      <c r="T120" s="44" t="n">
        <f aca="false">T113*Assumptions!$B$151*Assumptions!$B$136*T7/12*(1+Assumptions!$B$16)</f>
        <v>56.5074177715877</v>
      </c>
      <c r="U120" s="44" t="n">
        <f aca="false">U113*Assumptions!$B$151*Assumptions!$B$136*U7/12*(1+Assumptions!$B$16)</f>
        <v>63.0471371099085</v>
      </c>
      <c r="V120" s="44" t="n">
        <f aca="false">V113*Assumptions!$B$151*Assumptions!$B$136*V7/12*(1+Assumptions!$B$16)</f>
        <v>68.778819944233</v>
      </c>
      <c r="W120" s="44" t="n">
        <f aca="false">W113*Assumptions!$B$151*Assumptions!$B$136*W7/12*(1+Assumptions!$B$16)</f>
        <v>87.496585031035</v>
      </c>
      <c r="X120" s="44" t="n">
        <f aca="false">X113*Assumptions!$B$151*Assumptions!$B$136*X7/12*(1+Assumptions!$B$16)</f>
        <v>105.523396369263</v>
      </c>
      <c r="Y120" s="44" t="n">
        <f aca="false">Y113*Assumptions!$B$151*Assumptions!$B$136*Y7/12*(1+Assumptions!$B$16)</f>
        <v>122.995151963767</v>
      </c>
      <c r="Z120" s="44" t="n">
        <f aca="false">Z113*Assumptions!$B$151*Assumptions!$B$136*Z7/12*(1+Assumptions!$B$16)</f>
        <v>145.047819431182</v>
      </c>
      <c r="AA120" s="44" t="n">
        <f aca="false">AA113*Assumptions!$B$151*Assumptions!$B$136*AA7/12*(1+Assumptions!$B$16)</f>
        <v>7864.11227336519</v>
      </c>
      <c r="AB120" s="44" t="n">
        <f aca="false">AB113*Assumptions!$B$151*Assumptions!$B$136*AB7/12*(1+Assumptions!$B$16)</f>
        <v>13859.5718172968</v>
      </c>
      <c r="AC120" s="44" t="n">
        <f aca="false">AC113*Assumptions!$B$151*Assumptions!$B$136*AC7/12*(1+Assumptions!$B$16)</f>
        <v>21127.5094520513</v>
      </c>
      <c r="AD120" s="44" t="n">
        <f aca="false">AD113*Assumptions!$B$151*Assumptions!$B$136*AD7/12*(1+Assumptions!$B$16)</f>
        <v>28133.0812087345</v>
      </c>
      <c r="AE120" s="44" t="n">
        <f aca="false">AE113*Assumptions!$B$151*Assumptions!$B$136*AE7/12*(1+Assumptions!$B$16)</f>
        <v>33364.6858616787</v>
      </c>
    </row>
    <row r="121" customFormat="false" ht="15" hidden="false" customHeight="false" outlineLevel="0" collapsed="false">
      <c r="A121" s="6" t="s">
        <v>456</v>
      </c>
      <c r="B121" s="23" t="s">
        <v>109</v>
      </c>
      <c r="C121" s="54" t="n">
        <f aca="false">C105*Assumptions!$B$8</f>
        <v>116.444942041603</v>
      </c>
      <c r="D121" s="54" t="n">
        <f aca="false">D105*Assumptions!$B$8</f>
        <v>221.264818876031</v>
      </c>
      <c r="E121" s="54" t="n">
        <f aca="false">E105*Assumptions!$B$8</f>
        <v>316.20418303658</v>
      </c>
      <c r="F121" s="54" t="n">
        <f aca="false">F105*Assumptions!$B$8</f>
        <v>432.733815643873</v>
      </c>
      <c r="G121" s="54" t="n">
        <f aca="false">G105*Assumptions!$B$8</f>
        <v>530.736922649533</v>
      </c>
      <c r="H121" s="54" t="n">
        <f aca="false">H105*Assumptions!$B$8</f>
        <v>605.475639172751</v>
      </c>
      <c r="I121" s="54" t="n">
        <f aca="false">I105*Assumptions!$B$8</f>
        <v>673.00098045292</v>
      </c>
      <c r="J121" s="54" t="n">
        <f aca="false">J105*Assumptions!$B$8</f>
        <v>737.096221774225</v>
      </c>
      <c r="K121" s="54" t="n">
        <f aca="false">K105*Assumptions!$B$8</f>
        <v>807.025163761806</v>
      </c>
      <c r="L121" s="54" t="n">
        <f aca="false">L105*Assumptions!$B$8</f>
        <v>909.705025301805</v>
      </c>
      <c r="M121" s="54" t="n">
        <f aca="false">M105*Assumptions!$B$8</f>
        <v>995.748772506232</v>
      </c>
      <c r="N121" s="54" t="n">
        <f aca="false">N105*Assumptions!$B$8</f>
        <v>1061.51683678618</v>
      </c>
      <c r="O121" s="54" t="n">
        <f aca="false">O105*Assumptions!$B$8</f>
        <v>1382.73839671259</v>
      </c>
      <c r="P121" s="54" t="n">
        <f aca="false">P105*Assumptions!$B$8</f>
        <v>1674.58683445397</v>
      </c>
      <c r="Q121" s="54" t="n">
        <f aca="false">Q105*Assumptions!$B$8</f>
        <v>1941.19640031968</v>
      </c>
      <c r="R121" s="54" t="n">
        <f aca="false">R105*Assumptions!$B$8</f>
        <v>2286.08910665087</v>
      </c>
      <c r="S121" s="54" t="n">
        <f aca="false">S105*Assumptions!$B$8</f>
        <v>2577.13980109599</v>
      </c>
      <c r="T121" s="54" t="n">
        <f aca="false">T105*Assumptions!$B$8</f>
        <v>2795.44690696755</v>
      </c>
      <c r="U121" s="54" t="n">
        <f aca="false">U105*Assumptions!$B$8</f>
        <v>2993.52404477363</v>
      </c>
      <c r="V121" s="54" t="n">
        <f aca="false">V105*Assumptions!$B$8</f>
        <v>3183.70932266695</v>
      </c>
      <c r="W121" s="54" t="n">
        <f aca="false">W105*Assumptions!$B$8</f>
        <v>3397.93223331938</v>
      </c>
      <c r="X121" s="54" t="n">
        <f aca="false">X105*Assumptions!$B$8</f>
        <v>3731.25904307805</v>
      </c>
      <c r="Y121" s="54" t="n">
        <f aca="false">Y105*Assumptions!$B$8</f>
        <v>4012.64775944887</v>
      </c>
      <c r="Z121" s="54" t="n">
        <f aca="false">Z105*Assumptions!$B$8</f>
        <v>4226.71138784878</v>
      </c>
      <c r="AA121" s="54" t="n">
        <f aca="false">AA105*Assumptions!$B$8</f>
        <v>91848.1159702933</v>
      </c>
      <c r="AB121" s="54" t="n">
        <f aca="false">AB105*Assumptions!$B$8</f>
        <v>141310.219397376</v>
      </c>
      <c r="AC121" s="54" t="n">
        <f aca="false">AC105*Assumptions!$B$8</f>
        <v>187784.469584616</v>
      </c>
      <c r="AD121" s="54" t="n">
        <f aca="false">AD105*Assumptions!$B$8</f>
        <v>209372.103258784</v>
      </c>
      <c r="AE121" s="54" t="n">
        <f aca="false">AE105*Assumptions!$B$8</f>
        <v>194380.782971062</v>
      </c>
    </row>
    <row r="122" customFormat="false" ht="15" hidden="false" customHeight="false" outlineLevel="0" collapsed="false">
      <c r="A122" s="6" t="s">
        <v>457</v>
      </c>
      <c r="B122" s="23" t="s">
        <v>109</v>
      </c>
      <c r="C122" s="54" t="n">
        <f aca="false">C106*Assumptions!$B$8</f>
        <v>3.07932180065573</v>
      </c>
      <c r="D122" s="54" t="n">
        <f aca="false">D106*Assumptions!$B$8</f>
        <v>5.85122521027728</v>
      </c>
      <c r="E122" s="54" t="n">
        <f aca="false">E106*Assumptions!$B$8</f>
        <v>8.36184395141178</v>
      </c>
      <c r="F122" s="54" t="n">
        <f aca="false">F106*Assumptions!$B$8</f>
        <v>11.4434053470269</v>
      </c>
      <c r="G122" s="54" t="n">
        <f aca="false">G106*Assumptions!$B$8</f>
        <v>14.035043065621</v>
      </c>
      <c r="H122" s="54" t="n">
        <f aca="false">H106*Assumptions!$B$8</f>
        <v>16.0114669025683</v>
      </c>
      <c r="I122" s="54" t="n">
        <f aca="false">I106*Assumptions!$B$8</f>
        <v>17.7971370386439</v>
      </c>
      <c r="J122" s="54" t="n">
        <f aca="false">J106*Assumptions!$B$8</f>
        <v>19.4921000869184</v>
      </c>
      <c r="K122" s="54" t="n">
        <f aca="false">K106*Assumptions!$B$8</f>
        <v>21.3413321083678</v>
      </c>
      <c r="L122" s="54" t="n">
        <f aca="false">L106*Assumptions!$B$8</f>
        <v>24.0566440024255</v>
      </c>
      <c r="M122" s="54" t="n">
        <f aca="false">M106*Assumptions!$B$8</f>
        <v>26.3320230951648</v>
      </c>
      <c r="N122" s="54" t="n">
        <f aca="false">N106*Assumptions!$B$8</f>
        <v>28.0712230172345</v>
      </c>
      <c r="O122" s="54" t="n">
        <f aca="false">O106*Assumptions!$B$8</f>
        <v>36.5657487130663</v>
      </c>
      <c r="P122" s="54" t="n">
        <f aca="false">P106*Assumptions!$B$8</f>
        <v>44.283518511116</v>
      </c>
      <c r="Q122" s="54" t="n">
        <f aca="false">Q106*Assumptions!$B$8</f>
        <v>51.3338603640094</v>
      </c>
      <c r="R122" s="54" t="n">
        <f aca="false">R106*Assumptions!$B$8</f>
        <v>60.4543563758786</v>
      </c>
      <c r="S122" s="54" t="n">
        <f aca="false">S106*Assumptions!$B$8</f>
        <v>68.1510302956495</v>
      </c>
      <c r="T122" s="54" t="n">
        <f aca="false">T106*Assumptions!$B$8</f>
        <v>73.9240404286974</v>
      </c>
      <c r="U122" s="54" t="n">
        <f aca="false">U106*Assumptions!$B$8</f>
        <v>79.1620802951249</v>
      </c>
      <c r="V122" s="54" t="n">
        <f aca="false">V106*Assumptions!$B$8</f>
        <v>84.1914243105261</v>
      </c>
      <c r="W122" s="54" t="n">
        <f aca="false">W106*Assumptions!$B$8</f>
        <v>89.8564301700013</v>
      </c>
      <c r="X122" s="54" t="n">
        <f aca="false">X106*Assumptions!$B$8</f>
        <v>98.6710724725085</v>
      </c>
      <c r="Y122" s="54" t="n">
        <f aca="false">Y106*Assumptions!$B$8</f>
        <v>106.11224074987</v>
      </c>
      <c r="Z122" s="54" t="n">
        <f aca="false">Z106*Assumptions!$B$8</f>
        <v>111.773034478668</v>
      </c>
      <c r="AA122" s="54" t="n">
        <f aca="false">AA106*Assumptions!$B$8</f>
        <v>2428.87240010331</v>
      </c>
      <c r="AB122" s="54" t="n">
        <f aca="false">AB106*Assumptions!$B$8</f>
        <v>3736.87024628617</v>
      </c>
      <c r="AC122" s="54" t="n">
        <f aca="false">AC106*Assumptions!$B$8</f>
        <v>4965.85597345984</v>
      </c>
      <c r="AD122" s="54" t="n">
        <f aca="false">AD106*Assumptions!$B$8</f>
        <v>5536.7289528434</v>
      </c>
      <c r="AE122" s="54" t="n">
        <f aca="false">AE106*Assumptions!$B$8</f>
        <v>5140.29181634586</v>
      </c>
    </row>
    <row r="123" customFormat="false" ht="15" hidden="false" customHeight="false" outlineLevel="0" collapsed="false">
      <c r="A123" s="6" t="s">
        <v>458</v>
      </c>
      <c r="B123" s="23" t="s">
        <v>109</v>
      </c>
      <c r="C123" s="54" t="n">
        <f aca="false">C118*IF(Assumptions!$B$167=1,MIN(Assumptions!$B$14,1%),Assumptions!$B$14)*(1-Assumptions!$B$134)</f>
        <v>0</v>
      </c>
      <c r="D123" s="54" t="n">
        <f aca="false">D118*IF(Assumptions!$B$167=1,MIN(Assumptions!$B$14,1%),Assumptions!$B$14)*(1-Assumptions!$B$134)</f>
        <v>0</v>
      </c>
      <c r="E123" s="54" t="n">
        <f aca="false">E118*IF(Assumptions!$B$167=1,MIN(Assumptions!$B$14,1%),Assumptions!$B$14)*(1-Assumptions!$B$134)</f>
        <v>0</v>
      </c>
      <c r="F123" s="54" t="n">
        <f aca="false">F118*IF(Assumptions!$B$167=1,MIN(Assumptions!$B$14,1%),Assumptions!$B$14)*(1-Assumptions!$B$134)</f>
        <v>0</v>
      </c>
      <c r="G123" s="54" t="n">
        <f aca="false">G118*IF(Assumptions!$B$167=1,MIN(Assumptions!$B$14,1%),Assumptions!$B$14)*(1-Assumptions!$B$134)</f>
        <v>0</v>
      </c>
      <c r="H123" s="54" t="n">
        <f aca="false">H118*IF(Assumptions!$B$167=1,MIN(Assumptions!$B$14,1%),Assumptions!$B$14)*(1-Assumptions!$B$134)</f>
        <v>0</v>
      </c>
      <c r="I123" s="54" t="n">
        <f aca="false">I118*IF(Assumptions!$B$167=1,MIN(Assumptions!$B$14,1%),Assumptions!$B$14)*(1-Assumptions!$B$134)</f>
        <v>0</v>
      </c>
      <c r="J123" s="54" t="n">
        <f aca="false">J118*IF(Assumptions!$B$167=1,MIN(Assumptions!$B$14,1%),Assumptions!$B$14)*(1-Assumptions!$B$134)</f>
        <v>0</v>
      </c>
      <c r="K123" s="54" t="n">
        <f aca="false">K118*IF(Assumptions!$B$167=1,MIN(Assumptions!$B$14,1%),Assumptions!$B$14)*(1-Assumptions!$B$134)</f>
        <v>0</v>
      </c>
      <c r="L123" s="54" t="n">
        <f aca="false">L118*IF(Assumptions!$B$167=1,MIN(Assumptions!$B$14,1%),Assumptions!$B$14)*(1-Assumptions!$B$134)</f>
        <v>0</v>
      </c>
      <c r="M123" s="54" t="n">
        <f aca="false">M118*IF(Assumptions!$B$167=1,MIN(Assumptions!$B$14,1%),Assumptions!$B$14)*(1-Assumptions!$B$134)</f>
        <v>0</v>
      </c>
      <c r="N123" s="54" t="n">
        <f aca="false">N118*IF(Assumptions!$B$167=1,MIN(Assumptions!$B$14,1%),Assumptions!$B$14)*(1-Assumptions!$B$134)</f>
        <v>0</v>
      </c>
      <c r="O123" s="54" t="n">
        <f aca="false">O118*IF(Assumptions!$B$167=1,MIN(Assumptions!$B$14,1%),Assumptions!$B$14)*(1-Assumptions!$B$134)</f>
        <v>1.62927149894219</v>
      </c>
      <c r="P123" s="54" t="n">
        <f aca="false">P118*IF(Assumptions!$B$167=1,MIN(Assumptions!$B$14,1%),Assumptions!$B$14)*(1-Assumptions!$B$134)</f>
        <v>1.70143140014885</v>
      </c>
      <c r="Q123" s="54" t="n">
        <f aca="false">Q118*IF(Assumptions!$B$167=1,MIN(Assumptions!$B$14,1%),Assumptions!$B$14)*(1-Assumptions!$B$134)</f>
        <v>1.94103739919315</v>
      </c>
      <c r="R123" s="54" t="n">
        <f aca="false">R118*IF(Assumptions!$B$167=1,MIN(Assumptions!$B$14,1%),Assumptions!$B$14)*(1-Assumptions!$B$134)</f>
        <v>2.18815945849121</v>
      </c>
      <c r="S123" s="54" t="n">
        <f aca="false">S118*IF(Assumptions!$B$167=1,MIN(Assumptions!$B$14,1%),Assumptions!$B$14)*(1-Assumptions!$B$134)</f>
        <v>2.60103337750735</v>
      </c>
      <c r="T123" s="54" t="n">
        <f aca="false">T118*IF(Assumptions!$B$167=1,MIN(Assumptions!$B$14,1%),Assumptions!$B$14)*(1-Assumptions!$B$134)</f>
        <v>3.01778380603988</v>
      </c>
      <c r="U123" s="54" t="n">
        <f aca="false">U118*IF(Assumptions!$B$167=1,MIN(Assumptions!$B$14,1%),Assumptions!$B$14)*(1-Assumptions!$B$134)</f>
        <v>3.33305434679432</v>
      </c>
      <c r="V123" s="54" t="n">
        <f aca="false">V118*IF(Assumptions!$B$167=1,MIN(Assumptions!$B$14,1%),Assumptions!$B$14)*(1-Assumptions!$B$134)</f>
        <v>3.96066338283244</v>
      </c>
      <c r="W123" s="54" t="n">
        <f aca="false">W118*IF(Assumptions!$B$167=1,MIN(Assumptions!$B$14,1%),Assumptions!$B$14)*(1-Assumptions!$B$134)</f>
        <v>5.89519056599328</v>
      </c>
      <c r="X123" s="54" t="n">
        <f aca="false">X118*IF(Assumptions!$B$167=1,MIN(Assumptions!$B$14,1%),Assumptions!$B$14)*(1-Assumptions!$B$134)</f>
        <v>7.40026500533368</v>
      </c>
      <c r="Y123" s="54" t="n">
        <f aca="false">Y118*IF(Assumptions!$B$167=1,MIN(Assumptions!$B$14,1%),Assumptions!$B$14)*(1-Assumptions!$B$134)</f>
        <v>9.20490186831365</v>
      </c>
      <c r="Z123" s="54" t="n">
        <f aca="false">Z118*IF(Assumptions!$B$167=1,MIN(Assumptions!$B$14,1%),Assumptions!$B$14)*(1-Assumptions!$B$134)</f>
        <v>12.3901775641137</v>
      </c>
      <c r="AA123" s="54" t="n">
        <f aca="false">AA118*IF(Assumptions!$B$167=1,MIN(Assumptions!$B$14,1%),Assumptions!$B$14)*(1-Assumptions!$B$134)</f>
        <v>1055.21073536048</v>
      </c>
      <c r="AB123" s="54" t="n">
        <f aca="false">AB118*IF(Assumptions!$B$167=1,MIN(Assumptions!$B$14,1%),Assumptions!$B$14)*(1-Assumptions!$B$134)</f>
        <v>2333.35826986237</v>
      </c>
      <c r="AC123" s="54" t="n">
        <f aca="false">AC118*IF(Assumptions!$B$167=1,MIN(Assumptions!$B$14,1%),Assumptions!$B$14)*(1-Assumptions!$B$134)</f>
        <v>4167.66161619478</v>
      </c>
      <c r="AD123" s="54" t="n">
        <f aca="false">AD118*IF(Assumptions!$B$167=1,MIN(Assumptions!$B$14,1%),Assumptions!$B$14)*(1-Assumptions!$B$134)</f>
        <v>6569.69948741119</v>
      </c>
      <c r="AE123" s="54" t="n">
        <f aca="false">AE118*IF(Assumptions!$B$167=1,MIN(Assumptions!$B$14,1%),Assumptions!$B$14)*(1-Assumptions!$B$134)</f>
        <v>9567.19298287415</v>
      </c>
    </row>
    <row r="124" customFormat="false" ht="15" hidden="false" customHeight="false" outlineLevel="0" collapsed="false">
      <c r="A124" s="6" t="s">
        <v>459</v>
      </c>
      <c r="B124" s="23" t="s">
        <v>109</v>
      </c>
      <c r="C124" s="54" t="n">
        <f aca="false">IF(C2&gt;=Assumptions!$B$47,C101*Assumptions!$B$152*Assumptions!$B$25/12*C7,0)</f>
        <v>0</v>
      </c>
      <c r="D124" s="54" t="n">
        <f aca="false">IF(D2&gt;=Assumptions!$B$47,D101*Assumptions!$B$152*Assumptions!$B$25/12*D7,0)</f>
        <v>0</v>
      </c>
      <c r="E124" s="54" t="n">
        <f aca="false">IF(E2&gt;=Assumptions!$B$47,E101*Assumptions!$B$152*Assumptions!$B$25/12*E7,0)</f>
        <v>0</v>
      </c>
      <c r="F124" s="54" t="n">
        <f aca="false">IF(F2&gt;=Assumptions!$B$47,F101*Assumptions!$B$152*Assumptions!$B$25/12*F7,0)</f>
        <v>0</v>
      </c>
      <c r="G124" s="54" t="n">
        <f aca="false">IF(G2&gt;=Assumptions!$B$47,G101*Assumptions!$B$152*Assumptions!$B$25/12*G7,0)</f>
        <v>0</v>
      </c>
      <c r="H124" s="54" t="n">
        <f aca="false">IF(H2&gt;=Assumptions!$B$47,H101*Assumptions!$B$152*Assumptions!$B$25/12*H7,0)</f>
        <v>0</v>
      </c>
      <c r="I124" s="54" t="n">
        <f aca="false">IF(I2&gt;=Assumptions!$B$47,I101*Assumptions!$B$152*Assumptions!$B$25/12*I7,0)</f>
        <v>897.334640603893</v>
      </c>
      <c r="J124" s="54" t="n">
        <f aca="false">IF(J2&gt;=Assumptions!$B$47,J101*Assumptions!$B$152*Assumptions!$B$25/12*J7,0)</f>
        <v>982.794962365633</v>
      </c>
      <c r="K124" s="54" t="n">
        <f aca="false">IF(K2&gt;=Assumptions!$B$47,K101*Assumptions!$B$152*Assumptions!$B$25/12*K7,0)</f>
        <v>1076.03355168241</v>
      </c>
      <c r="L124" s="54" t="n">
        <f aca="false">IF(L2&gt;=Assumptions!$B$47,L101*Assumptions!$B$152*Assumptions!$B$25/12*L7,0)</f>
        <v>1212.94003373574</v>
      </c>
      <c r="M124" s="54" t="n">
        <f aca="false">IF(M2&gt;=Assumptions!$B$47,M101*Assumptions!$B$152*Assumptions!$B$25/12*M7,0)</f>
        <v>1327.66503000831</v>
      </c>
      <c r="N124" s="54" t="n">
        <f aca="false">IF(N2&gt;=Assumptions!$B$47,N101*Assumptions!$B$152*Assumptions!$B$25/12*N7,0)</f>
        <v>1415.35578238157</v>
      </c>
      <c r="O124" s="54" t="n">
        <f aca="false">IF(O2&gt;=Assumptions!$B$47,O101*Assumptions!$B$152*Assumptions!$B$25/12*O7,0)</f>
        <v>1843.65119561679</v>
      </c>
      <c r="P124" s="54" t="n">
        <f aca="false">IF(P2&gt;=Assumptions!$B$47,P101*Assumptions!$B$152*Assumptions!$B$25/12*P7,0)</f>
        <v>2232.78244593862</v>
      </c>
      <c r="Q124" s="54" t="n">
        <f aca="false">IF(Q2&gt;=Assumptions!$B$47,Q101*Assumptions!$B$152*Assumptions!$B$25/12*Q7,0)</f>
        <v>2588.26186709291</v>
      </c>
      <c r="R124" s="54" t="n">
        <f aca="false">IF(R2&gt;=Assumptions!$B$47,R101*Assumptions!$B$152*Assumptions!$B$25/12*R7,0)</f>
        <v>3048.11880886783</v>
      </c>
      <c r="S124" s="54" t="n">
        <f aca="false">IF(S2&gt;=Assumptions!$B$47,S101*Assumptions!$B$152*Assumptions!$B$25/12*S7,0)</f>
        <v>3436.18640146132</v>
      </c>
      <c r="T124" s="54" t="n">
        <f aca="false">IF(T2&gt;=Assumptions!$B$47,T101*Assumptions!$B$152*Assumptions!$B$25/12*T7,0)</f>
        <v>3727.2625426234</v>
      </c>
      <c r="U124" s="54" t="n">
        <f aca="false">IF(U2&gt;=Assumptions!$B$47,U101*Assumptions!$B$152*Assumptions!$B$25/12*U7,0)</f>
        <v>3991.36539303151</v>
      </c>
      <c r="V124" s="54" t="n">
        <f aca="false">IF(V2&gt;=Assumptions!$B$47,V101*Assumptions!$B$152*Assumptions!$B$25/12*V7,0)</f>
        <v>4244.94576355594</v>
      </c>
      <c r="W124" s="54" t="n">
        <f aca="false">IF(W2&gt;=Assumptions!$B$47,W101*Assumptions!$B$152*Assumptions!$B$25/12*W7,0)</f>
        <v>4530.5763110925</v>
      </c>
      <c r="X124" s="54" t="n">
        <f aca="false">IF(X2&gt;=Assumptions!$B$47,X101*Assumptions!$B$152*Assumptions!$B$25/12*X7,0)</f>
        <v>4975.0120574374</v>
      </c>
      <c r="Y124" s="54" t="n">
        <f aca="false">IF(Y2&gt;=Assumptions!$B$47,Y101*Assumptions!$B$152*Assumptions!$B$25/12*Y7,0)</f>
        <v>5350.19701259849</v>
      </c>
      <c r="Z124" s="54" t="n">
        <f aca="false">IF(Z2&gt;=Assumptions!$B$47,Z101*Assumptions!$B$152*Assumptions!$B$25/12*Z7,0)</f>
        <v>5635.61518379837</v>
      </c>
      <c r="AA124" s="54" t="n">
        <f aca="false">IF(AA2&gt;=Assumptions!$B$47,AA101*Assumptions!$B$152*Assumptions!$B$25/12*AA7,0)</f>
        <v>122464.154627058</v>
      </c>
      <c r="AB124" s="54" t="n">
        <f aca="false">IF(AB2&gt;=Assumptions!$B$47,AB101*Assumptions!$B$152*Assumptions!$B$25/12*AB7,0)</f>
        <v>188413.625863168</v>
      </c>
      <c r="AC124" s="54" t="n">
        <f aca="false">IF(AC2&gt;=Assumptions!$B$47,AC101*Assumptions!$B$152*Assumptions!$B$25/12*AC7,0)</f>
        <v>250379.292779488</v>
      </c>
      <c r="AD124" s="54" t="n">
        <f aca="false">IF(AD2&gt;=Assumptions!$B$47,AD101*Assumptions!$B$152*Assumptions!$B$25/12*AD7,0)</f>
        <v>279162.804345045</v>
      </c>
      <c r="AE124" s="54" t="n">
        <f aca="false">IF(AE2&gt;=Assumptions!$B$47,AE101*Assumptions!$B$152*Assumptions!$B$25/12*AE7,0)</f>
        <v>259174.377294749</v>
      </c>
    </row>
    <row r="125" customFormat="false" ht="15" hidden="false" customHeight="false" outlineLevel="0" collapsed="false">
      <c r="A125" s="6" t="s">
        <v>460</v>
      </c>
      <c r="B125" s="23" t="s">
        <v>109</v>
      </c>
      <c r="C125" s="54" t="n">
        <f aca="false">IF(C2&gt;=Assumptions!$B$49,C118*C17*Assumptions!$B$17+C113*(Assumptions!$B$141*MAX(0,Assumptions!$B$145-Assumptions!$B$18)+Assumptions!$B$142*MAX(0,Assumptions!$B$146-Assumptions!$B$18)+Assumptions!$B$143*MAX(0,Assumptions!$B$147-Assumptions!$B$18)+Assumptions!$B$144*MAX(0,Assumptions!$B$148-Assumptions!$B$18))*Assumptions!$B$19/Assumptions!$B$7*C7+C113*(Assumptions!$B$139*Assumptions!$B$20+Assumptions!$B$140*Assumptions!$B$21)/12/Assumptions!$B$7*C7,0)</f>
        <v>0</v>
      </c>
      <c r="D125" s="54" t="n">
        <f aca="false">IF(D2&gt;=Assumptions!$B$49,D118*D17*Assumptions!$B$17+D113*(Assumptions!$B$141*MAX(0,Assumptions!$B$145-Assumptions!$B$18)+Assumptions!$B$142*MAX(0,Assumptions!$B$146-Assumptions!$B$18)+Assumptions!$B$143*MAX(0,Assumptions!$B$147-Assumptions!$B$18)+Assumptions!$B$144*MAX(0,Assumptions!$B$148-Assumptions!$B$18))*Assumptions!$B$19/Assumptions!$B$7*D7+D113*(Assumptions!$B$139*Assumptions!$B$20+Assumptions!$B$140*Assumptions!$B$21)/12/Assumptions!$B$7*D7,0)</f>
        <v>0</v>
      </c>
      <c r="E125" s="54" t="n">
        <f aca="false">IF(E2&gt;=Assumptions!$B$49,E118*E17*Assumptions!$B$17+E113*(Assumptions!$B$141*MAX(0,Assumptions!$B$145-Assumptions!$B$18)+Assumptions!$B$142*MAX(0,Assumptions!$B$146-Assumptions!$B$18)+Assumptions!$B$143*MAX(0,Assumptions!$B$147-Assumptions!$B$18)+Assumptions!$B$144*MAX(0,Assumptions!$B$148-Assumptions!$B$18))*Assumptions!$B$19/Assumptions!$B$7*E7+E113*(Assumptions!$B$139*Assumptions!$B$20+Assumptions!$B$140*Assumptions!$B$21)/12/Assumptions!$B$7*E7,0)</f>
        <v>0</v>
      </c>
      <c r="F125" s="54" t="n">
        <f aca="false">IF(F2&gt;=Assumptions!$B$49,F118*F17*Assumptions!$B$17+F113*(Assumptions!$B$141*MAX(0,Assumptions!$B$145-Assumptions!$B$18)+Assumptions!$B$142*MAX(0,Assumptions!$B$146-Assumptions!$B$18)+Assumptions!$B$143*MAX(0,Assumptions!$B$147-Assumptions!$B$18)+Assumptions!$B$144*MAX(0,Assumptions!$B$148-Assumptions!$B$18))*Assumptions!$B$19/Assumptions!$B$7*F7+F113*(Assumptions!$B$139*Assumptions!$B$20+Assumptions!$B$140*Assumptions!$B$21)/12/Assumptions!$B$7*F7,0)</f>
        <v>0</v>
      </c>
      <c r="G125" s="54" t="n">
        <f aca="false">IF(G2&gt;=Assumptions!$B$49,G118*G17*Assumptions!$B$17+G113*(Assumptions!$B$141*MAX(0,Assumptions!$B$145-Assumptions!$B$18)+Assumptions!$B$142*MAX(0,Assumptions!$B$146-Assumptions!$B$18)+Assumptions!$B$143*MAX(0,Assumptions!$B$147-Assumptions!$B$18)+Assumptions!$B$144*MAX(0,Assumptions!$B$148-Assumptions!$B$18))*Assumptions!$B$19/Assumptions!$B$7*G7+G113*(Assumptions!$B$139*Assumptions!$B$20+Assumptions!$B$140*Assumptions!$B$21)/12/Assumptions!$B$7*G7,0)</f>
        <v>0</v>
      </c>
      <c r="H125" s="54" t="n">
        <f aca="false">IF(H2&gt;=Assumptions!$B$49,H118*H17*Assumptions!$B$17+H113*(Assumptions!$B$141*MAX(0,Assumptions!$B$145-Assumptions!$B$18)+Assumptions!$B$142*MAX(0,Assumptions!$B$146-Assumptions!$B$18)+Assumptions!$B$143*MAX(0,Assumptions!$B$147-Assumptions!$B$18)+Assumptions!$B$144*MAX(0,Assumptions!$B$148-Assumptions!$B$18))*Assumptions!$B$19/Assumptions!$B$7*H7+H113*(Assumptions!$B$139*Assumptions!$B$20+Assumptions!$B$140*Assumptions!$B$21)/12/Assumptions!$B$7*H7,0)</f>
        <v>0</v>
      </c>
      <c r="I125" s="54" t="n">
        <f aca="false">IF(I2&gt;=Assumptions!$B$49,I118*I17*Assumptions!$B$17+I113*(Assumptions!$B$141*MAX(0,Assumptions!$B$145-Assumptions!$B$18)+Assumptions!$B$142*MAX(0,Assumptions!$B$146-Assumptions!$B$18)+Assumptions!$B$143*MAX(0,Assumptions!$B$147-Assumptions!$B$18)+Assumptions!$B$144*MAX(0,Assumptions!$B$148-Assumptions!$B$18))*Assumptions!$B$19/Assumptions!$B$7*I7+I113*(Assumptions!$B$139*Assumptions!$B$20+Assumptions!$B$140*Assumptions!$B$21)/12/Assumptions!$B$7*I7,0)</f>
        <v>0</v>
      </c>
      <c r="J125" s="54" t="n">
        <f aca="false">IF(J2&gt;=Assumptions!$B$49,J118*J17*Assumptions!$B$17+J113*(Assumptions!$B$141*MAX(0,Assumptions!$B$145-Assumptions!$B$18)+Assumptions!$B$142*MAX(0,Assumptions!$B$146-Assumptions!$B$18)+Assumptions!$B$143*MAX(0,Assumptions!$B$147-Assumptions!$B$18)+Assumptions!$B$144*MAX(0,Assumptions!$B$148-Assumptions!$B$18))*Assumptions!$B$19/Assumptions!$B$7*J7+J113*(Assumptions!$B$139*Assumptions!$B$20+Assumptions!$B$140*Assumptions!$B$21)/12/Assumptions!$B$7*J7,0)</f>
        <v>0</v>
      </c>
      <c r="K125" s="54" t="n">
        <f aca="false">IF(K2&gt;=Assumptions!$B$49,K118*K17*Assumptions!$B$17+K113*(Assumptions!$B$141*MAX(0,Assumptions!$B$145-Assumptions!$B$18)+Assumptions!$B$142*MAX(0,Assumptions!$B$146-Assumptions!$B$18)+Assumptions!$B$143*MAX(0,Assumptions!$B$147-Assumptions!$B$18)+Assumptions!$B$144*MAX(0,Assumptions!$B$148-Assumptions!$B$18))*Assumptions!$B$19/Assumptions!$B$7*K7+K113*(Assumptions!$B$139*Assumptions!$B$20+Assumptions!$B$140*Assumptions!$B$21)/12/Assumptions!$B$7*K7,0)</f>
        <v>0</v>
      </c>
      <c r="L125" s="54" t="n">
        <f aca="false">IF(L2&gt;=Assumptions!$B$49,L118*L17*Assumptions!$B$17+L113*(Assumptions!$B$141*MAX(0,Assumptions!$B$145-Assumptions!$B$18)+Assumptions!$B$142*MAX(0,Assumptions!$B$146-Assumptions!$B$18)+Assumptions!$B$143*MAX(0,Assumptions!$B$147-Assumptions!$B$18)+Assumptions!$B$144*MAX(0,Assumptions!$B$148-Assumptions!$B$18))*Assumptions!$B$19/Assumptions!$B$7*L7+L113*(Assumptions!$B$139*Assumptions!$B$20+Assumptions!$B$140*Assumptions!$B$21)/12/Assumptions!$B$7*L7,0)</f>
        <v>0</v>
      </c>
      <c r="M125" s="54" t="n">
        <f aca="false">IF(M2&gt;=Assumptions!$B$49,M118*M17*Assumptions!$B$17+M113*(Assumptions!$B$141*MAX(0,Assumptions!$B$145-Assumptions!$B$18)+Assumptions!$B$142*MAX(0,Assumptions!$B$146-Assumptions!$B$18)+Assumptions!$B$143*MAX(0,Assumptions!$B$147-Assumptions!$B$18)+Assumptions!$B$144*MAX(0,Assumptions!$B$148-Assumptions!$B$18))*Assumptions!$B$19/Assumptions!$B$7*M7+M113*(Assumptions!$B$139*Assumptions!$B$20+Assumptions!$B$140*Assumptions!$B$21)/12/Assumptions!$B$7*M7,0)</f>
        <v>0</v>
      </c>
      <c r="N125" s="54" t="n">
        <f aca="false">IF(N2&gt;=Assumptions!$B$49,N118*N17*Assumptions!$B$17+N113*(Assumptions!$B$141*MAX(0,Assumptions!$B$145-Assumptions!$B$18)+Assumptions!$B$142*MAX(0,Assumptions!$B$146-Assumptions!$B$18)+Assumptions!$B$143*MAX(0,Assumptions!$B$147-Assumptions!$B$18)+Assumptions!$B$144*MAX(0,Assumptions!$B$148-Assumptions!$B$18))*Assumptions!$B$19/Assumptions!$B$7*N7+N113*(Assumptions!$B$139*Assumptions!$B$20+Assumptions!$B$140*Assumptions!$B$21)/12/Assumptions!$B$7*N7,0)</f>
        <v>0</v>
      </c>
      <c r="O125" s="54" t="n">
        <f aca="false">IF(O2&gt;=Assumptions!$B$49,O118*O17*Assumptions!$B$17+O113*(Assumptions!$B$141*MAX(0,Assumptions!$B$145-Assumptions!$B$18)+Assumptions!$B$142*MAX(0,Assumptions!$B$146-Assumptions!$B$18)+Assumptions!$B$143*MAX(0,Assumptions!$B$147-Assumptions!$B$18)+Assumptions!$B$144*MAX(0,Assumptions!$B$148-Assumptions!$B$18))*Assumptions!$B$19/Assumptions!$B$7*O7+O113*(Assumptions!$B$139*Assumptions!$B$20+Assumptions!$B$140*Assumptions!$B$21)/12/Assumptions!$B$7*O7,0)</f>
        <v>134.35265147553</v>
      </c>
      <c r="P125" s="54" t="n">
        <f aca="false">IF(P2&gt;=Assumptions!$B$49,P118*P17*Assumptions!$B$17+P113*(Assumptions!$B$141*MAX(0,Assumptions!$B$145-Assumptions!$B$18)+Assumptions!$B$142*MAX(0,Assumptions!$B$146-Assumptions!$B$18)+Assumptions!$B$143*MAX(0,Assumptions!$B$147-Assumptions!$B$18)+Assumptions!$B$144*MAX(0,Assumptions!$B$148-Assumptions!$B$18))*Assumptions!$B$19/Assumptions!$B$7*P7+P113*(Assumptions!$B$139*Assumptions!$B$20+Assumptions!$B$140*Assumptions!$B$21)/12/Assumptions!$B$7*P7,0)</f>
        <v>157.286260933086</v>
      </c>
      <c r="Q125" s="54" t="n">
        <f aca="false">IF(Q2&gt;=Assumptions!$B$49,Q118*Q17*Assumptions!$B$17+Q113*(Assumptions!$B$141*MAX(0,Assumptions!$B$145-Assumptions!$B$18)+Assumptions!$B$142*MAX(0,Assumptions!$B$146-Assumptions!$B$18)+Assumptions!$B$143*MAX(0,Assumptions!$B$147-Assumptions!$B$18)+Assumptions!$B$144*MAX(0,Assumptions!$B$148-Assumptions!$B$18))*Assumptions!$B$19/Assumptions!$B$7*Q7+Q113*(Assumptions!$B$139*Assumptions!$B$20+Assumptions!$B$140*Assumptions!$B$21)/12/Assumptions!$B$7*Q7,0)</f>
        <v>179.576054686859</v>
      </c>
      <c r="R125" s="54" t="n">
        <f aca="false">IF(R2&gt;=Assumptions!$B$49,R118*R17*Assumptions!$B$17+R113*(Assumptions!$B$141*MAX(0,Assumptions!$B$145-Assumptions!$B$18)+Assumptions!$B$142*MAX(0,Assumptions!$B$146-Assumptions!$B$18)+Assumptions!$B$143*MAX(0,Assumptions!$B$147-Assumptions!$B$18)+Assumptions!$B$144*MAX(0,Assumptions!$B$148-Assumptions!$B$18))*Assumptions!$B$19/Assumptions!$B$7*R7+R113*(Assumptions!$B$139*Assumptions!$B$20+Assumptions!$B$140*Assumptions!$B$21)/12/Assumptions!$B$7*R7,0)</f>
        <v>201.98829262674</v>
      </c>
      <c r="S125" s="54" t="n">
        <f aca="false">IF(S2&gt;=Assumptions!$B$49,S118*S17*Assumptions!$B$17+S113*(Assumptions!$B$141*MAX(0,Assumptions!$B$145-Assumptions!$B$18)+Assumptions!$B$142*MAX(0,Assumptions!$B$146-Assumptions!$B$18)+Assumptions!$B$143*MAX(0,Assumptions!$B$147-Assumptions!$B$18)+Assumptions!$B$144*MAX(0,Assumptions!$B$148-Assumptions!$B$18))*Assumptions!$B$19/Assumptions!$B$7*S7+S113*(Assumptions!$B$139*Assumptions!$B$20+Assumptions!$B$140*Assumptions!$B$21)/12/Assumptions!$B$7*S7,0)</f>
        <v>226.66021770449</v>
      </c>
      <c r="T125" s="54" t="n">
        <f aca="false">IF(T2&gt;=Assumptions!$B$49,T118*T17*Assumptions!$B$17+T113*(Assumptions!$B$141*MAX(0,Assumptions!$B$145-Assumptions!$B$18)+Assumptions!$B$142*MAX(0,Assumptions!$B$146-Assumptions!$B$18)+Assumptions!$B$143*MAX(0,Assumptions!$B$147-Assumptions!$B$18)+Assumptions!$B$144*MAX(0,Assumptions!$B$148-Assumptions!$B$18))*Assumptions!$B$19/Assumptions!$B$7*T7+T113*(Assumptions!$B$139*Assumptions!$B$20+Assumptions!$B$140*Assumptions!$B$21)/12/Assumptions!$B$7*T7,0)</f>
        <v>261.559180834006</v>
      </c>
      <c r="U125" s="54" t="n">
        <f aca="false">IF(U2&gt;=Assumptions!$B$49,U118*U17*Assumptions!$B$17+U113*(Assumptions!$B$141*MAX(0,Assumptions!$B$145-Assumptions!$B$18)+Assumptions!$B$142*MAX(0,Assumptions!$B$146-Assumptions!$B$18)+Assumptions!$B$143*MAX(0,Assumptions!$B$147-Assumptions!$B$18)+Assumptions!$B$144*MAX(0,Assumptions!$B$148-Assumptions!$B$18))*Assumptions!$B$19/Assumptions!$B$7*U7+U113*(Assumptions!$B$139*Assumptions!$B$20+Assumptions!$B$140*Assumptions!$B$21)/12/Assumptions!$B$7*U7,0)</f>
        <v>292.332177037148</v>
      </c>
      <c r="V125" s="54" t="n">
        <f aca="false">IF(V2&gt;=Assumptions!$B$49,V118*V17*Assumptions!$B$17+V113*(Assumptions!$B$141*MAX(0,Assumptions!$B$145-Assumptions!$B$18)+Assumptions!$B$142*MAX(0,Assumptions!$B$146-Assumptions!$B$18)+Assumptions!$B$143*MAX(0,Assumptions!$B$147-Assumptions!$B$18)+Assumptions!$B$144*MAX(0,Assumptions!$B$148-Assumptions!$B$18))*Assumptions!$B$19/Assumptions!$B$7*V7+V113*(Assumptions!$B$139*Assumptions!$B$20+Assumptions!$B$140*Assumptions!$B$21)/12/Assumptions!$B$7*V7,0)</f>
        <v>319.031727713127</v>
      </c>
      <c r="W125" s="54" t="n">
        <f aca="false">IF(W2&gt;=Assumptions!$B$49,W118*W17*Assumptions!$B$17+W113*(Assumptions!$B$141*MAX(0,Assumptions!$B$145-Assumptions!$B$18)+Assumptions!$B$142*MAX(0,Assumptions!$B$146-Assumptions!$B$18)+Assumptions!$B$143*MAX(0,Assumptions!$B$147-Assumptions!$B$18)+Assumptions!$B$144*MAX(0,Assumptions!$B$148-Assumptions!$B$18))*Assumptions!$B$19/Assumptions!$B$7*W7+W113*(Assumptions!$B$139*Assumptions!$B$20+Assumptions!$B$140*Assumptions!$B$21)/12/Assumptions!$B$7*W7,0)</f>
        <v>403.480776830281</v>
      </c>
      <c r="X125" s="54" t="n">
        <f aca="false">IF(X2&gt;=Assumptions!$B$49,X118*X17*Assumptions!$B$17+X113*(Assumptions!$B$141*MAX(0,Assumptions!$B$145-Assumptions!$B$18)+Assumptions!$B$142*MAX(0,Assumptions!$B$146-Assumptions!$B$18)+Assumptions!$B$143*MAX(0,Assumptions!$B$147-Assumptions!$B$18)+Assumptions!$B$144*MAX(0,Assumptions!$B$148-Assumptions!$B$18))*Assumptions!$B$19/Assumptions!$B$7*X7+X113*(Assumptions!$B$139*Assumptions!$B$20+Assumptions!$B$140*Assumptions!$B$21)/12/Assumptions!$B$7*X7,0)</f>
        <v>488.471469035738</v>
      </c>
      <c r="Y125" s="54" t="n">
        <f aca="false">IF(Y2&gt;=Assumptions!$B$49,Y118*Y17*Assumptions!$B$17+Y113*(Assumptions!$B$141*MAX(0,Assumptions!$B$145-Assumptions!$B$18)+Assumptions!$B$142*MAX(0,Assumptions!$B$146-Assumptions!$B$18)+Assumptions!$B$143*MAX(0,Assumptions!$B$147-Assumptions!$B$18)+Assumptions!$B$144*MAX(0,Assumptions!$B$148-Assumptions!$B$18))*Assumptions!$B$19/Assumptions!$B$7*Y7+Y113*(Assumptions!$B$139*Assumptions!$B$20+Assumptions!$B$140*Assumptions!$B$21)/12/Assumptions!$B$7*Y7,0)</f>
        <v>569.549880527215</v>
      </c>
      <c r="Z125" s="54" t="n">
        <f aca="false">IF(Z2&gt;=Assumptions!$B$49,Z118*Z17*Assumptions!$B$17+Z113*(Assumptions!$B$141*MAX(0,Assumptions!$B$145-Assumptions!$B$18)+Assumptions!$B$142*MAX(0,Assumptions!$B$146-Assumptions!$B$18)+Assumptions!$B$143*MAX(0,Assumptions!$B$147-Assumptions!$B$18)+Assumptions!$B$144*MAX(0,Assumptions!$B$148-Assumptions!$B$18))*Assumptions!$B$19/Assumptions!$B$7*Z7+Z113*(Assumptions!$B$139*Assumptions!$B$20+Assumptions!$B$140*Assumptions!$B$21)/12/Assumptions!$B$7*Z7,0)</f>
        <v>670.387955502782</v>
      </c>
      <c r="AA125" s="54" t="n">
        <f aca="false">IF(AA2&gt;=Assumptions!$B$49,AA118*AA17*Assumptions!$B$17+AA113*(Assumptions!$B$141*MAX(0,Assumptions!$B$145-Assumptions!$B$18)+Assumptions!$B$142*MAX(0,Assumptions!$B$146-Assumptions!$B$18)+Assumptions!$B$143*MAX(0,Assumptions!$B$147-Assumptions!$B$18)+Assumptions!$B$144*MAX(0,Assumptions!$B$148-Assumptions!$B$18))*Assumptions!$B$19/Assumptions!$B$7*AA7+AA113*(Assumptions!$B$139*Assumptions!$B$20+Assumptions!$B$140*Assumptions!$B$21)/12/Assumptions!$B$7*AA7,0)</f>
        <v>37040.7356999757</v>
      </c>
      <c r="AB125" s="54" t="n">
        <f aca="false">IF(AB2&gt;=Assumptions!$B$49,AB118*AB17*Assumptions!$B$17+AB113*(Assumptions!$B$141*MAX(0,Assumptions!$B$145-Assumptions!$B$18)+Assumptions!$B$142*MAX(0,Assumptions!$B$146-Assumptions!$B$18)+Assumptions!$B$143*MAX(0,Assumptions!$B$147-Assumptions!$B$18)+Assumptions!$B$144*MAX(0,Assumptions!$B$148-Assumptions!$B$18))*Assumptions!$B$19/Assumptions!$B$7*AB7+AB113*(Assumptions!$B$139*Assumptions!$B$20+Assumptions!$B$140*Assumptions!$B$21)/12/Assumptions!$B$7*AB7,0)</f>
        <v>65919.0182572536</v>
      </c>
      <c r="AC125" s="54" t="n">
        <f aca="false">IF(AC2&gt;=Assumptions!$B$49,AC118*AC17*Assumptions!$B$17+AC113*(Assumptions!$B$141*MAX(0,Assumptions!$B$145-Assumptions!$B$18)+Assumptions!$B$142*MAX(0,Assumptions!$B$146-Assumptions!$B$18)+Assumptions!$B$143*MAX(0,Assumptions!$B$147-Assumptions!$B$18)+Assumptions!$B$144*MAX(0,Assumptions!$B$148-Assumptions!$B$18))*Assumptions!$B$19/Assumptions!$B$7*AC7+AC113*(Assumptions!$B$139*Assumptions!$B$20+Assumptions!$B$140*Assumptions!$B$21)/12/Assumptions!$B$7*AC7,0)</f>
        <v>101310.799768184</v>
      </c>
      <c r="AD125" s="54" t="n">
        <f aca="false">IF(AD2&gt;=Assumptions!$B$49,AD118*AD17*Assumptions!$B$17+AD113*(Assumptions!$B$141*MAX(0,Assumptions!$B$145-Assumptions!$B$18)+Assumptions!$B$142*MAX(0,Assumptions!$B$146-Assumptions!$B$18)+Assumptions!$B$143*MAX(0,Assumptions!$B$147-Assumptions!$B$18)+Assumptions!$B$144*MAX(0,Assumptions!$B$148-Assumptions!$B$18))*Assumptions!$B$19/Assumptions!$B$7*AD7+AD113*(Assumptions!$B$139*Assumptions!$B$20+Assumptions!$B$140*Assumptions!$B$21)/12/Assumptions!$B$7*AD7,0)</f>
        <v>136280.301422837</v>
      </c>
      <c r="AE125" s="54" t="n">
        <f aca="false">IF(AE2&gt;=Assumptions!$B$49,AE118*AE17*Assumptions!$B$17+AE113*(Assumptions!$B$141*MAX(0,Assumptions!$B$145-Assumptions!$B$18)+Assumptions!$B$142*MAX(0,Assumptions!$B$146-Assumptions!$B$18)+Assumptions!$B$143*MAX(0,Assumptions!$B$147-Assumptions!$B$18)+Assumptions!$B$144*MAX(0,Assumptions!$B$148-Assumptions!$B$18))*Assumptions!$B$19/Assumptions!$B$7*AE7+AE113*(Assumptions!$B$139*Assumptions!$B$20+Assumptions!$B$140*Assumptions!$B$21)/12/Assumptions!$B$7*AE7,0)</f>
        <v>164018.791606945</v>
      </c>
    </row>
    <row r="126" customFormat="false" ht="15" hidden="false" customHeight="false" outlineLevel="0" collapsed="false">
      <c r="A126" s="6" t="s">
        <v>461</v>
      </c>
      <c r="B126" s="23" t="s">
        <v>109</v>
      </c>
      <c r="C126" s="54" t="n">
        <f aca="false">IF(C2&gt;=Assumptions!$B$50,C113*C114*(1-Assumptions!$B$167)*Assumptions!$B$149*Assumptions!$B$150,0)</f>
        <v>0</v>
      </c>
      <c r="D126" s="54" t="n">
        <f aca="false">IF(D2&gt;=Assumptions!$B$50,D113*D114*(1-Assumptions!$B$167)*Assumptions!$B$149*Assumptions!$B$150,0)</f>
        <v>0</v>
      </c>
      <c r="E126" s="54" t="n">
        <f aca="false">IF(E2&gt;=Assumptions!$B$50,E113*E114*(1-Assumptions!$B$167)*Assumptions!$B$149*Assumptions!$B$150,0)</f>
        <v>0</v>
      </c>
      <c r="F126" s="54" t="n">
        <f aca="false">IF(F2&gt;=Assumptions!$B$50,F113*F114*(1-Assumptions!$B$167)*Assumptions!$B$149*Assumptions!$B$150,0)</f>
        <v>0</v>
      </c>
      <c r="G126" s="54" t="n">
        <f aca="false">IF(G2&gt;=Assumptions!$B$50,G113*G114*(1-Assumptions!$B$167)*Assumptions!$B$149*Assumptions!$B$150,0)</f>
        <v>0</v>
      </c>
      <c r="H126" s="54" t="n">
        <f aca="false">IF(H2&gt;=Assumptions!$B$50,H113*H114*(1-Assumptions!$B$167)*Assumptions!$B$149*Assumptions!$B$150,0)</f>
        <v>0</v>
      </c>
      <c r="I126" s="54" t="n">
        <f aca="false">IF(I2&gt;=Assumptions!$B$50,I113*I114*(1-Assumptions!$B$167)*Assumptions!$B$149*Assumptions!$B$150,0)</f>
        <v>0</v>
      </c>
      <c r="J126" s="54" t="n">
        <f aca="false">IF(J2&gt;=Assumptions!$B$50,J113*J114*(1-Assumptions!$B$167)*Assumptions!$B$149*Assumptions!$B$150,0)</f>
        <v>0</v>
      </c>
      <c r="K126" s="54" t="n">
        <f aca="false">IF(K2&gt;=Assumptions!$B$50,K113*K114*(1-Assumptions!$B$167)*Assumptions!$B$149*Assumptions!$B$150,0)</f>
        <v>0</v>
      </c>
      <c r="L126" s="54" t="n">
        <f aca="false">IF(L2&gt;=Assumptions!$B$50,L113*L114*(1-Assumptions!$B$167)*Assumptions!$B$149*Assumptions!$B$150,0)</f>
        <v>0</v>
      </c>
      <c r="M126" s="54" t="n">
        <f aca="false">IF(M2&gt;=Assumptions!$B$50,M113*M114*(1-Assumptions!$B$167)*Assumptions!$B$149*Assumptions!$B$150,0)</f>
        <v>0</v>
      </c>
      <c r="N126" s="54" t="n">
        <f aca="false">IF(N2&gt;=Assumptions!$B$50,N113*N114*(1-Assumptions!$B$167)*Assumptions!$B$149*Assumptions!$B$150,0)</f>
        <v>0</v>
      </c>
      <c r="O126" s="54" t="n">
        <f aca="false">IF(O2&gt;=Assumptions!$B$50,O113*O114*(1-Assumptions!$B$167)*Assumptions!$B$149*Assumptions!$B$150,0)</f>
        <v>705.312337204413</v>
      </c>
      <c r="P126" s="54" t="n">
        <f aca="false">IF(P2&gt;=Assumptions!$B$50,P113*P114*(1-Assumptions!$B$167)*Assumptions!$B$149*Assumptions!$B$150,0)</f>
        <v>810.205428642309</v>
      </c>
      <c r="Q126" s="54" t="n">
        <f aca="false">IF(Q2&gt;=Assumptions!$B$50,Q113*Q114*(1-Assumptions!$B$167)*Assumptions!$B$149*Assumptions!$B$150,0)</f>
        <v>943.166860638072</v>
      </c>
      <c r="R126" s="54" t="n">
        <f aca="false">IF(R2&gt;=Assumptions!$B$50,R113*R114*(1-Assumptions!$B$167)*Assumptions!$B$149*Assumptions!$B$150,0)</f>
        <v>1063.24560665268</v>
      </c>
      <c r="S126" s="54" t="n">
        <f aca="false">IF(S2&gt;=Assumptions!$B$50,S113*S114*(1-Assumptions!$B$167)*Assumptions!$B$149*Assumptions!$B$150,0)</f>
        <v>1238.58732262255</v>
      </c>
      <c r="T126" s="54" t="n">
        <f aca="false">IF(T2&gt;=Assumptions!$B$50,T113*T114*(1-Assumptions!$B$167)*Assumptions!$B$149*Assumptions!$B$150,0)</f>
        <v>1512.67358698741</v>
      </c>
      <c r="U126" s="54" t="n">
        <f aca="false">IF(U2&gt;=Assumptions!$B$50,U113*U114*(1-Assumptions!$B$167)*Assumptions!$B$149*Assumptions!$B$150,0)</f>
        <v>1803.60083700991</v>
      </c>
      <c r="V126" s="54" t="n">
        <f aca="false">IF(V2&gt;=Assumptions!$B$50,V113*V114*(1-Assumptions!$B$167)*Assumptions!$B$149*Assumptions!$B$150,0)</f>
        <v>2095.58909144573</v>
      </c>
      <c r="W126" s="54" t="n">
        <f aca="false">IF(W2&gt;=Assumptions!$B$50,W113*W114*(1-Assumptions!$B$167)*Assumptions!$B$149*Assumptions!$B$150,0)</f>
        <v>2807.23360285394</v>
      </c>
      <c r="X126" s="54" t="n">
        <f aca="false">IF(X2&gt;=Assumptions!$B$50,X113*X114*(1-Assumptions!$B$167)*Assumptions!$B$149*Assumptions!$B$150,0)</f>
        <v>3454.83893806427</v>
      </c>
      <c r="Y126" s="54" t="n">
        <f aca="false">IF(Y2&gt;=Assumptions!$B$50,Y113*Y114*(1-Assumptions!$B$167)*Assumptions!$B$149*Assumptions!$B$150,0)</f>
        <v>4174.55867043703</v>
      </c>
      <c r="Z126" s="54" t="n">
        <f aca="false">IF(Z2&gt;=Assumptions!$B$50,Z113*Z114*(1-Assumptions!$B$167)*Assumptions!$B$149*Assumptions!$B$150,0)</f>
        <v>5175.51276696478</v>
      </c>
      <c r="AA126" s="54" t="n">
        <f aca="false">IF(AA2&gt;=Assumptions!$B$50,AA113*AA114*(1-Assumptions!$B$167)*Assumptions!$B$149*Assumptions!$B$150,0)</f>
        <v>41873.4418793842</v>
      </c>
      <c r="AB126" s="54" t="n">
        <f aca="false">IF(AB2&gt;=Assumptions!$B$50,AB113*AB114*(1-Assumptions!$B$167)*Assumptions!$B$149*Assumptions!$B$150,0)</f>
        <v>92593.5821373955</v>
      </c>
      <c r="AC126" s="54" t="n">
        <f aca="false">IF(AC2&gt;=Assumptions!$B$50,AC113*AC114*(1-Assumptions!$B$167)*Assumptions!$B$149*Assumptions!$B$150,0)</f>
        <v>165383.397468047</v>
      </c>
      <c r="AD126" s="54" t="n">
        <f aca="false">IF(AD2&gt;=Assumptions!$B$50,AD113*AD114*(1-Assumptions!$B$167)*Assumptions!$B$149*Assumptions!$B$150,0)</f>
        <v>260702.360611555</v>
      </c>
      <c r="AE126" s="54" t="n">
        <f aca="false">IF(AE2&gt;=Assumptions!$B$50,AE113*AE114*(1-Assumptions!$B$167)*Assumptions!$B$149*Assumptions!$B$150,0)</f>
        <v>379650.515193419</v>
      </c>
    </row>
    <row r="127" customFormat="false" ht="15" hidden="false" customHeight="false" outlineLevel="0" collapsed="false">
      <c r="A127" s="6" t="s">
        <v>462</v>
      </c>
      <c r="B127" s="23" t="s">
        <v>109</v>
      </c>
      <c r="C127" s="54" t="n">
        <f aca="false">IF(C2&gt;=Assumptions!$B$50,(C126*Assumptions!$B$29*Assumptions!$B$30+C113*C115*(1-Assumptions!$B$167)*Assumptions!$B$27*Assumptions!$B$28)*C7/12,0)</f>
        <v>0</v>
      </c>
      <c r="D127" s="54" t="n">
        <f aca="false">IF(D2&gt;=Assumptions!$B$50,(D126*Assumptions!$B$29*Assumptions!$B$30+D113*D115*(1-Assumptions!$B$167)*Assumptions!$B$27*Assumptions!$B$28)*D7/12,0)</f>
        <v>0</v>
      </c>
      <c r="E127" s="54" t="n">
        <f aca="false">IF(E2&gt;=Assumptions!$B$50,(E126*Assumptions!$B$29*Assumptions!$B$30+E113*E115*(1-Assumptions!$B$167)*Assumptions!$B$27*Assumptions!$B$28)*E7/12,0)</f>
        <v>0</v>
      </c>
      <c r="F127" s="54" t="n">
        <f aca="false">IF(F2&gt;=Assumptions!$B$50,(F126*Assumptions!$B$29*Assumptions!$B$30+F113*F115*(1-Assumptions!$B$167)*Assumptions!$B$27*Assumptions!$B$28)*F7/12,0)</f>
        <v>0</v>
      </c>
      <c r="G127" s="54" t="n">
        <f aca="false">IF(G2&gt;=Assumptions!$B$50,(G126*Assumptions!$B$29*Assumptions!$B$30+G113*G115*(1-Assumptions!$B$167)*Assumptions!$B$27*Assumptions!$B$28)*G7/12,0)</f>
        <v>0</v>
      </c>
      <c r="H127" s="54" t="n">
        <f aca="false">IF(H2&gt;=Assumptions!$B$50,(H126*Assumptions!$B$29*Assumptions!$B$30+H113*H115*(1-Assumptions!$B$167)*Assumptions!$B$27*Assumptions!$B$28)*H7/12,0)</f>
        <v>0</v>
      </c>
      <c r="I127" s="54" t="n">
        <f aca="false">IF(I2&gt;=Assumptions!$B$50,(I126*Assumptions!$B$29*Assumptions!$B$30+I113*I115*(1-Assumptions!$B$167)*Assumptions!$B$27*Assumptions!$B$28)*I7/12,0)</f>
        <v>0</v>
      </c>
      <c r="J127" s="54" t="n">
        <f aca="false">IF(J2&gt;=Assumptions!$B$50,(J126*Assumptions!$B$29*Assumptions!$B$30+J113*J115*(1-Assumptions!$B$167)*Assumptions!$B$27*Assumptions!$B$28)*J7/12,0)</f>
        <v>0</v>
      </c>
      <c r="K127" s="54" t="n">
        <f aca="false">IF(K2&gt;=Assumptions!$B$50,(K126*Assumptions!$B$29*Assumptions!$B$30+K113*K115*(1-Assumptions!$B$167)*Assumptions!$B$27*Assumptions!$B$28)*K7/12,0)</f>
        <v>0</v>
      </c>
      <c r="L127" s="54" t="n">
        <f aca="false">IF(L2&gt;=Assumptions!$B$50,(L126*Assumptions!$B$29*Assumptions!$B$30+L113*L115*(1-Assumptions!$B$167)*Assumptions!$B$27*Assumptions!$B$28)*L7/12,0)</f>
        <v>0</v>
      </c>
      <c r="M127" s="54" t="n">
        <f aca="false">IF(M2&gt;=Assumptions!$B$50,(M126*Assumptions!$B$29*Assumptions!$B$30+M113*M115*(1-Assumptions!$B$167)*Assumptions!$B$27*Assumptions!$B$28)*M7/12,0)</f>
        <v>0</v>
      </c>
      <c r="N127" s="54" t="n">
        <f aca="false">IF(N2&gt;=Assumptions!$B$50,(N126*Assumptions!$B$29*Assumptions!$B$30+N113*N115*(1-Assumptions!$B$167)*Assumptions!$B$27*Assumptions!$B$28)*N7/12,0)</f>
        <v>0</v>
      </c>
      <c r="O127" s="54" t="n">
        <f aca="false">IF(O2&gt;=Assumptions!$B$50,(O126*Assumptions!$B$29*Assumptions!$B$30+O113*O115*(1-Assumptions!$B$167)*Assumptions!$B$27*Assumptions!$B$28)*O7/12,0)</f>
        <v>1.67511680086048</v>
      </c>
      <c r="P127" s="54" t="n">
        <f aca="false">IF(P2&gt;=Assumptions!$B$50,(P126*Assumptions!$B$29*Assumptions!$B$30+P113*P115*(1-Assumptions!$B$167)*Assumptions!$B$27*Assumptions!$B$28)*P7/12,0)</f>
        <v>1.92423789302548</v>
      </c>
      <c r="Q127" s="54" t="n">
        <f aca="false">IF(Q2&gt;=Assumptions!$B$50,(Q126*Assumptions!$B$29*Assumptions!$B$30+Q113*Q115*(1-Assumptions!$B$167)*Assumptions!$B$27*Assumptions!$B$28)*Q7/12,0)</f>
        <v>2.24002129401542</v>
      </c>
      <c r="R127" s="54" t="n">
        <f aca="false">IF(R2&gt;=Assumptions!$B$50,(R126*Assumptions!$B$29*Assumptions!$B$30+R113*R115*(1-Assumptions!$B$167)*Assumptions!$B$27*Assumptions!$B$28)*R7/12,0)</f>
        <v>2.52520831580011</v>
      </c>
      <c r="S127" s="54" t="n">
        <f aca="false">IF(S2&gt;=Assumptions!$B$50,(S126*Assumptions!$B$29*Assumptions!$B$30+S113*S115*(1-Assumptions!$B$167)*Assumptions!$B$27*Assumptions!$B$28)*S7/12,0)</f>
        <v>2.94164489122855</v>
      </c>
      <c r="T127" s="54" t="n">
        <f aca="false">IF(T2&gt;=Assumptions!$B$50,(T126*Assumptions!$B$29*Assumptions!$B$30+T113*T115*(1-Assumptions!$B$167)*Assumptions!$B$27*Assumptions!$B$28)*T7/12,0)</f>
        <v>3.5925997690951</v>
      </c>
      <c r="U127" s="54" t="n">
        <f aca="false">IF(U2&gt;=Assumptions!$B$50,(U126*Assumptions!$B$29*Assumptions!$B$30+U113*U115*(1-Assumptions!$B$167)*Assumptions!$B$27*Assumptions!$B$28)*U7/12,0)</f>
        <v>4.28355198789854</v>
      </c>
      <c r="V127" s="54" t="n">
        <f aca="false">IF(V2&gt;=Assumptions!$B$50,(V126*Assumptions!$B$29*Assumptions!$B$30+V113*V115*(1-Assumptions!$B$167)*Assumptions!$B$27*Assumptions!$B$28)*V7/12,0)</f>
        <v>4.97702409218362</v>
      </c>
      <c r="W127" s="54" t="n">
        <f aca="false">IF(W2&gt;=Assumptions!$B$50,(W126*Assumptions!$B$29*Assumptions!$B$30+W113*W115*(1-Assumptions!$B$167)*Assumptions!$B$27*Assumptions!$B$28)*W7/12,0)</f>
        <v>6.66717980677811</v>
      </c>
      <c r="X127" s="54" t="n">
        <f aca="false">IF(X2&gt;=Assumptions!$B$50,(X126*Assumptions!$B$29*Assumptions!$B$30+X113*X115*(1-Assumptions!$B$167)*Assumptions!$B$27*Assumptions!$B$28)*X7/12,0)</f>
        <v>8.20524247790265</v>
      </c>
      <c r="Y127" s="54" t="n">
        <f aca="false">IF(Y2&gt;=Assumptions!$B$50,(Y126*Assumptions!$B$29*Assumptions!$B$30+Y113*Y115*(1-Assumptions!$B$167)*Assumptions!$B$27*Assumptions!$B$28)*Y7/12,0)</f>
        <v>9.91457684228794</v>
      </c>
      <c r="Z127" s="54" t="n">
        <f aca="false">IF(Z2&gt;=Assumptions!$B$50,(Z126*Assumptions!$B$29*Assumptions!$B$30+Z113*Z115*(1-Assumptions!$B$167)*Assumptions!$B$27*Assumptions!$B$28)*Z7/12,0)</f>
        <v>12.2918428215414</v>
      </c>
      <c r="AA127" s="54" t="n">
        <f aca="false">IF(AA2&gt;=Assumptions!$B$50,(AA126*Assumptions!$B$29*Assumptions!$B$30+AA113*AA115*(1-Assumptions!$B$167)*Assumptions!$B$27*Assumptions!$B$28)*AA7/12,0)</f>
        <v>1193.39309356245</v>
      </c>
      <c r="AB127" s="54" t="n">
        <f aca="false">IF(AB2&gt;=Assumptions!$B$50,(AB126*Assumptions!$B$29*Assumptions!$B$30+AB113*AB115*(1-Assumptions!$B$167)*Assumptions!$B$27*Assumptions!$B$28)*AB7/12,0)</f>
        <v>2638.91709091577</v>
      </c>
      <c r="AC127" s="54" t="n">
        <f aca="false">IF(AC2&gt;=Assumptions!$B$50,(AC126*Assumptions!$B$29*Assumptions!$B$30+AC113*AC115*(1-Assumptions!$B$167)*Assumptions!$B$27*Assumptions!$B$28)*AC7/12,0)</f>
        <v>4713.42682783933</v>
      </c>
      <c r="AD127" s="54" t="n">
        <f aca="false">IF(AD2&gt;=Assumptions!$B$50,(AD126*Assumptions!$B$29*Assumptions!$B$30+AD113*AD115*(1-Assumptions!$B$167)*Assumptions!$B$27*Assumptions!$B$28)*AD7/12,0)</f>
        <v>7430.01727742932</v>
      </c>
      <c r="AE127" s="54" t="n">
        <f aca="false">IF(AE2&gt;=Assumptions!$B$50,(AE126*Assumptions!$B$29*Assumptions!$B$30+AE113*AE115*(1-Assumptions!$B$167)*Assumptions!$B$27*Assumptions!$B$28)*AE7/12,0)</f>
        <v>10820.0396830124</v>
      </c>
    </row>
    <row r="128" customFormat="false" ht="15" hidden="false" customHeight="false" outlineLevel="0" collapsed="false">
      <c r="A128" s="6" t="s">
        <v>463</v>
      </c>
      <c r="B128" s="23" t="s">
        <v>464</v>
      </c>
      <c r="C128" s="44" t="n">
        <f aca="false">IF(C2&gt;=Assumptions!$B$46,(C101+C103*Assumptions!$B$129)*Assumptions!$B$128*C7/12,0)</f>
        <v>0.546250975778116</v>
      </c>
      <c r="D128" s="44" t="n">
        <f aca="false">IF(D2&gt;=Assumptions!$B$46,(D101+D103*Assumptions!$B$129)*Assumptions!$B$128*D7/12,0)</f>
        <v>1.09469727370455</v>
      </c>
      <c r="E128" s="44" t="n">
        <f aca="false">IF(E2&gt;=Assumptions!$B$46,(E101+E103*Assumptions!$B$129)*Assumptions!$B$128*E7/12,0)</f>
        <v>1.64785924351792</v>
      </c>
      <c r="F128" s="44" t="n">
        <f aca="false">IF(F2&gt;=Assumptions!$B$46,(F101+F103*Assumptions!$B$129)*Assumptions!$B$128*F7/12,0)</f>
        <v>2.34855485793227</v>
      </c>
      <c r="G128" s="44" t="n">
        <f aca="false">IF(G2&gt;=Assumptions!$B$46,(G101+G103*Assumptions!$B$129)*Assumptions!$B$128*G7/12,0)</f>
        <v>3.01911184358051</v>
      </c>
      <c r="H128" s="44" t="n">
        <f aca="false">IF(H2&gt;=Assumptions!$B$46,(H101+H103*Assumptions!$B$129)*Assumptions!$B$128*H7/12,0)</f>
        <v>3.62827886697157</v>
      </c>
      <c r="I128" s="44" t="n">
        <f aca="false">IF(I2&gt;=Assumptions!$B$46,(I101+I103*Assumptions!$B$129)*Assumptions!$B$128*I7/12,0)</f>
        <v>4.24001843737435</v>
      </c>
      <c r="J128" s="44" t="n">
        <f aca="false">IF(J2&gt;=Assumptions!$B$46,(J101+J103*Assumptions!$B$129)*Assumptions!$B$128*J7/12,0)</f>
        <v>4.86856396178995</v>
      </c>
      <c r="K128" s="44" t="n">
        <f aca="false">IF(K2&gt;=Assumptions!$B$46,(K101+K103*Assumptions!$B$129)*Assumptions!$B$128*K7/12,0)</f>
        <v>5.55570148051225</v>
      </c>
      <c r="L128" s="44" t="n">
        <f aca="false">IF(L2&gt;=Assumptions!$B$46,(L101+L103*Assumptions!$B$129)*Assumptions!$B$128*L7/12,0)</f>
        <v>6.43054350318974</v>
      </c>
      <c r="M128" s="44" t="n">
        <f aca="false">IF(M2&gt;=Assumptions!$B$46,(M101+M103*Assumptions!$B$129)*Assumptions!$B$128*M7/12,0)</f>
        <v>7.27736765473137</v>
      </c>
      <c r="N128" s="44" t="n">
        <f aca="false">IF(N2&gt;=Assumptions!$B$46,(N101+N103*Assumptions!$B$129)*Assumptions!$B$128*N7/12,0)</f>
        <v>8.07099574722984</v>
      </c>
      <c r="O128" s="44" t="n">
        <f aca="false">IF(O2&gt;=Assumptions!$B$46,(O101+O103*Assumptions!$B$129)*Assumptions!$B$128*O7/12,0)</f>
        <v>10.0950138720272</v>
      </c>
      <c r="P128" s="44" t="n">
        <f aca="false">IF(P2&gt;=Assumptions!$B$46,(P101+P103*Assumptions!$B$129)*Assumptions!$B$128*P7/12,0)</f>
        <v>12.1377324243444</v>
      </c>
      <c r="Q128" s="44" t="n">
        <f aca="false">IF(Q2&gt;=Assumptions!$B$46,(Q101+Q103*Assumptions!$B$129)*Assumptions!$B$128*Q7/12,0)</f>
        <v>14.2042355432621</v>
      </c>
      <c r="R128" s="44" t="n">
        <f aca="false">IF(R2&gt;=Assumptions!$B$46,(R101+R103*Assumptions!$B$129)*Assumptions!$B$128*R7/12,0)</f>
        <v>16.767856087516</v>
      </c>
      <c r="S128" s="44" t="n">
        <f aca="false">IF(S2&gt;=Assumptions!$B$46,(S101+S103*Assumptions!$B$129)*Assumptions!$B$128*S7/12,0)</f>
        <v>19.246923902535</v>
      </c>
      <c r="T128" s="44" t="n">
        <f aca="false">IF(T2&gt;=Assumptions!$B$46,(T101+T103*Assumptions!$B$129)*Assumptions!$B$128*T7/12,0)</f>
        <v>21.5265398533147</v>
      </c>
      <c r="U128" s="44" t="n">
        <f aca="false">IF(U2&gt;=Assumptions!$B$46,(U101+U103*Assumptions!$B$129)*Assumptions!$B$128*U7/12,0)</f>
        <v>23.8176098394749</v>
      </c>
      <c r="V128" s="44" t="n">
        <f aca="false">IF(V2&gt;=Assumptions!$B$46,(V101+V103*Assumptions!$B$129)*Assumptions!$B$128*V7/12,0)</f>
        <v>26.1681571762182</v>
      </c>
      <c r="W128" s="44" t="n">
        <f aca="false">IF(W2&gt;=Assumptions!$B$46,(W101+W103*Assumptions!$B$129)*Assumptions!$B$128*W7/12,0)</f>
        <v>28.7241205082215</v>
      </c>
      <c r="X128" s="44" t="n">
        <f aca="false">IF(X2&gt;=Assumptions!$B$46,(X101+X103*Assumptions!$B$129)*Assumptions!$B$128*X7/12,0)</f>
        <v>31.943172597811</v>
      </c>
      <c r="Y128" s="44" t="n">
        <f aca="false">IF(Y2&gt;=Assumptions!$B$46,(Y101+Y103*Assumptions!$B$129)*Assumptions!$B$128*Y7/12,0)</f>
        <v>35.0809687298435</v>
      </c>
      <c r="Z128" s="44" t="n">
        <f aca="false">IF(Z2&gt;=Assumptions!$B$46,(Z101+Z103*Assumptions!$B$129)*Assumptions!$B$128*Z7/12,0)</f>
        <v>38.0400244529265</v>
      </c>
      <c r="AA128" s="44" t="n">
        <f aca="false">IF(AA2&gt;=Assumptions!$B$46,(AA101+AA103*Assumptions!$B$129)*Assumptions!$B$128*AA7/12,0)</f>
        <v>1080.29657573459</v>
      </c>
      <c r="AB128" s="44" t="n">
        <f aca="false">IF(AB2&gt;=Assumptions!$B$46,(AB101+AB103*Assumptions!$B$129)*Assumptions!$B$128*AB7/12,0)</f>
        <v>2013.555602826</v>
      </c>
      <c r="AC128" s="44" t="n">
        <f aca="false">IF(AC2&gt;=Assumptions!$B$46,(AC101+AC103*Assumptions!$B$129)*Assumptions!$B$128*AC7/12,0)</f>
        <v>3216.81355705442</v>
      </c>
      <c r="AD128" s="44" t="n">
        <f aca="false">IF(AD2&gt;=Assumptions!$B$46,(AD101+AD103*Assumptions!$B$129)*Assumptions!$B$128*AD7/12,0)</f>
        <v>4500.41601008003</v>
      </c>
      <c r="AE128" s="44" t="n">
        <f aca="false">IF(AE2&gt;=Assumptions!$B$46,(AE101+AE103*Assumptions!$B$129)*Assumptions!$B$128*AE7/12,0)</f>
        <v>5624.91492202371</v>
      </c>
    </row>
    <row r="129" customFormat="false" ht="15" hidden="false" customHeight="false" outlineLevel="0" collapsed="false">
      <c r="A129" s="3" t="s">
        <v>469</v>
      </c>
      <c r="B129" s="23" t="s">
        <v>109</v>
      </c>
      <c r="C129" s="56" t="n">
        <f aca="false">C121+C122+C123+C124+C125+C127</f>
        <v>119.524263842259</v>
      </c>
      <c r="D129" s="56" t="n">
        <f aca="false">D121+D122+D123+D124+D125+D127</f>
        <v>227.116044086309</v>
      </c>
      <c r="E129" s="56" t="n">
        <f aca="false">E121+E122+E123+E124+E125+E127</f>
        <v>324.566026987992</v>
      </c>
      <c r="F129" s="56" t="n">
        <f aca="false">F121+F122+F123+F124+F125+F127</f>
        <v>444.1772209909</v>
      </c>
      <c r="G129" s="56" t="n">
        <f aca="false">G121+G122+G123+G124+G125+G127</f>
        <v>544.771965715154</v>
      </c>
      <c r="H129" s="56" t="n">
        <f aca="false">H121+H122+H123+H124+H125+H127</f>
        <v>621.487106075319</v>
      </c>
      <c r="I129" s="56" t="n">
        <f aca="false">I121+I122+I123+I124+I125+I127</f>
        <v>1588.13275809546</v>
      </c>
      <c r="J129" s="56" t="n">
        <f aca="false">J121+J122+J123+J124+J125+J127</f>
        <v>1739.38328422678</v>
      </c>
      <c r="K129" s="56" t="n">
        <f aca="false">K121+K122+K123+K124+K125+K127</f>
        <v>1904.40004755258</v>
      </c>
      <c r="L129" s="56" t="n">
        <f aca="false">L121+L122+L123+L124+L125+L127</f>
        <v>2146.70170303997</v>
      </c>
      <c r="M129" s="56" t="n">
        <f aca="false">M121+M122+M123+M124+M125+M127</f>
        <v>2349.74582560971</v>
      </c>
      <c r="N129" s="56" t="n">
        <f aca="false">N121+N122+N123+N124+N125+N127</f>
        <v>2504.94384218498</v>
      </c>
      <c r="O129" s="56" t="n">
        <f aca="false">O121+O122+O123+O124+O125+O127</f>
        <v>3400.61238081778</v>
      </c>
      <c r="P129" s="56" t="n">
        <f aca="false">P121+P122+P123+P124+P125+P127</f>
        <v>4112.56472912997</v>
      </c>
      <c r="Q129" s="56" t="n">
        <f aca="false">Q121+Q122+Q123+Q124+Q125+Q127</f>
        <v>4764.54924115667</v>
      </c>
      <c r="R129" s="56" t="n">
        <f aca="false">R121+R122+R123+R124+R125+R127</f>
        <v>5601.36393229561</v>
      </c>
      <c r="S129" s="56" t="n">
        <f aca="false">S121+S122+S123+S124+S125+S127</f>
        <v>6313.68012882619</v>
      </c>
      <c r="T129" s="56" t="n">
        <f aca="false">T121+T122+T123+T124+T125+T127</f>
        <v>6864.80305442878</v>
      </c>
      <c r="U129" s="56" t="n">
        <f aca="false">U121+U122+U123+U124+U125+U127</f>
        <v>7364.00030147211</v>
      </c>
      <c r="V129" s="56" t="n">
        <f aca="false">V121+V122+V123+V124+V125+V127</f>
        <v>7840.81592572156</v>
      </c>
      <c r="W129" s="56" t="n">
        <f aca="false">W121+W122+W123+W124+W125+W127</f>
        <v>8434.40812178493</v>
      </c>
      <c r="X129" s="56" t="n">
        <f aca="false">X121+X122+X123+X124+X125+X127</f>
        <v>9309.01914950694</v>
      </c>
      <c r="Y129" s="56" t="n">
        <f aca="false">Y121+Y122+Y123+Y124+Y125+Y127</f>
        <v>10057.626372035</v>
      </c>
      <c r="Z129" s="56" t="n">
        <f aca="false">Z121+Z122+Z123+Z124+Z125+Z127</f>
        <v>10669.1695820142</v>
      </c>
      <c r="AA129" s="56" t="n">
        <f aca="false">AA121+AA122+AA123+AA124+AA125+AA127</f>
        <v>256030.482526353</v>
      </c>
      <c r="AB129" s="56" t="n">
        <f aca="false">AB121+AB122+AB123+AB124+AB125+AB127</f>
        <v>404352.009124863</v>
      </c>
      <c r="AC129" s="56" t="n">
        <f aca="false">AC121+AC122+AC123+AC124+AC125+AC127</f>
        <v>553321.506549782</v>
      </c>
      <c r="AD129" s="56" t="n">
        <f aca="false">AD121+AD122+AD123+AD124+AD125+AD127</f>
        <v>644351.65474435</v>
      </c>
      <c r="AE129" s="56" t="n">
        <f aca="false">AE121+AE122+AE123+AE124+AE125+AE127</f>
        <v>643101.476354989</v>
      </c>
    </row>
    <row r="131" customFormat="false" ht="15" hidden="false" customHeight="false" outlineLevel="0" collapsed="false">
      <c r="A131" s="45" t="s">
        <v>470</v>
      </c>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c r="AA131" s="46"/>
      <c r="AB131" s="46"/>
      <c r="AC131" s="46"/>
      <c r="AD131" s="46"/>
      <c r="AE131" s="46"/>
    </row>
    <row r="132" customFormat="false" ht="15" hidden="false" customHeight="false" outlineLevel="0" collapsed="false">
      <c r="A132" s="6" t="s">
        <v>471</v>
      </c>
      <c r="B132" s="23" t="s">
        <v>109</v>
      </c>
      <c r="C132" s="57" t="n">
        <f aca="false">IF(C2&gt;=Assumptions!$B$51,INDEX(Assumptions!$B$153:$B$159,C5)*Assumptions!$B$160,0)</f>
        <v>0</v>
      </c>
      <c r="D132" s="57" t="n">
        <f aca="false">IF(D2&gt;=Assumptions!$B$51,INDEX(Assumptions!$B$153:$B$159,D5)*Assumptions!$B$160,0)</f>
        <v>0</v>
      </c>
      <c r="E132" s="57" t="n">
        <f aca="false">IF(E2&gt;=Assumptions!$B$51,INDEX(Assumptions!$B$153:$B$159,E5)*Assumptions!$B$160,0)</f>
        <v>0</v>
      </c>
      <c r="F132" s="57" t="n">
        <f aca="false">IF(F2&gt;=Assumptions!$B$51,INDEX(Assumptions!$B$153:$B$159,F5)*Assumptions!$B$160,0)</f>
        <v>0</v>
      </c>
      <c r="G132" s="57" t="n">
        <f aca="false">IF(G2&gt;=Assumptions!$B$51,INDEX(Assumptions!$B$153:$B$159,G5)*Assumptions!$B$160,0)</f>
        <v>0</v>
      </c>
      <c r="H132" s="57" t="n">
        <f aca="false">IF(H2&gt;=Assumptions!$B$51,INDEX(Assumptions!$B$153:$B$159,H5)*Assumptions!$B$160,0)</f>
        <v>0</v>
      </c>
      <c r="I132" s="57" t="n">
        <f aca="false">IF(I2&gt;=Assumptions!$B$51,INDEX(Assumptions!$B$153:$B$159,I5)*Assumptions!$B$160,0)</f>
        <v>0</v>
      </c>
      <c r="J132" s="57" t="n">
        <f aca="false">IF(J2&gt;=Assumptions!$B$51,INDEX(Assumptions!$B$153:$B$159,J5)*Assumptions!$B$160,0)</f>
        <v>0</v>
      </c>
      <c r="K132" s="57" t="n">
        <f aca="false">IF(K2&gt;=Assumptions!$B$51,INDEX(Assumptions!$B$153:$B$159,K5)*Assumptions!$B$160,0)</f>
        <v>0</v>
      </c>
      <c r="L132" s="57" t="n">
        <f aca="false">IF(L2&gt;=Assumptions!$B$51,INDEX(Assumptions!$B$153:$B$159,L5)*Assumptions!$B$160,0)</f>
        <v>0</v>
      </c>
      <c r="M132" s="57" t="n">
        <f aca="false">IF(M2&gt;=Assumptions!$B$51,INDEX(Assumptions!$B$153:$B$159,M5)*Assumptions!$B$160,0)</f>
        <v>0</v>
      </c>
      <c r="N132" s="57" t="n">
        <f aca="false">IF(N2&gt;=Assumptions!$B$51,INDEX(Assumptions!$B$153:$B$159,N5)*Assumptions!$B$160,0)</f>
        <v>0</v>
      </c>
      <c r="O132" s="57" t="n">
        <f aca="false">IF(O2&gt;=Assumptions!$B$51,INDEX(Assumptions!$B$153:$B$159,O5)*Assumptions!$B$160,0)</f>
        <v>32000000</v>
      </c>
      <c r="P132" s="57" t="n">
        <f aca="false">IF(P2&gt;=Assumptions!$B$51,INDEX(Assumptions!$B$153:$B$159,P5)*Assumptions!$B$160,0)</f>
        <v>32000000</v>
      </c>
      <c r="Q132" s="57" t="n">
        <f aca="false">IF(Q2&gt;=Assumptions!$B$51,INDEX(Assumptions!$B$153:$B$159,Q5)*Assumptions!$B$160,0)</f>
        <v>32000000</v>
      </c>
      <c r="R132" s="57" t="n">
        <f aca="false">IF(R2&gt;=Assumptions!$B$51,INDEX(Assumptions!$B$153:$B$159,R5)*Assumptions!$B$160,0)</f>
        <v>32000000</v>
      </c>
      <c r="S132" s="57" t="n">
        <f aca="false">IF(S2&gt;=Assumptions!$B$51,INDEX(Assumptions!$B$153:$B$159,S5)*Assumptions!$B$160,0)</f>
        <v>32000000</v>
      </c>
      <c r="T132" s="57" t="n">
        <f aca="false">IF(T2&gt;=Assumptions!$B$51,INDEX(Assumptions!$B$153:$B$159,T5)*Assumptions!$B$160,0)</f>
        <v>32000000</v>
      </c>
      <c r="U132" s="57" t="n">
        <f aca="false">IF(U2&gt;=Assumptions!$B$51,INDEX(Assumptions!$B$153:$B$159,U5)*Assumptions!$B$160,0)</f>
        <v>32000000</v>
      </c>
      <c r="V132" s="57" t="n">
        <f aca="false">IF(V2&gt;=Assumptions!$B$51,INDEX(Assumptions!$B$153:$B$159,V5)*Assumptions!$B$160,0)</f>
        <v>32000000</v>
      </c>
      <c r="W132" s="57" t="n">
        <f aca="false">IF(W2&gt;=Assumptions!$B$51,INDEX(Assumptions!$B$153:$B$159,W5)*Assumptions!$B$160,0)</f>
        <v>32000000</v>
      </c>
      <c r="X132" s="57" t="n">
        <f aca="false">IF(X2&gt;=Assumptions!$B$51,INDEX(Assumptions!$B$153:$B$159,X5)*Assumptions!$B$160,0)</f>
        <v>32000000</v>
      </c>
      <c r="Y132" s="57" t="n">
        <f aca="false">IF(Y2&gt;=Assumptions!$B$51,INDEX(Assumptions!$B$153:$B$159,Y5)*Assumptions!$B$160,0)</f>
        <v>32000000</v>
      </c>
      <c r="Z132" s="57" t="n">
        <f aca="false">IF(Z2&gt;=Assumptions!$B$51,INDEX(Assumptions!$B$153:$B$159,Z5)*Assumptions!$B$160,0)</f>
        <v>32000000</v>
      </c>
      <c r="AA132" s="57" t="n">
        <f aca="false">IF(AA2&gt;=Assumptions!$B$51,INDEX(Assumptions!$B$153:$B$159,AA5)*Assumptions!$B$160,0)</f>
        <v>64000000</v>
      </c>
      <c r="AB132" s="57" t="n">
        <f aca="false">IF(AB2&gt;=Assumptions!$B$51,INDEX(Assumptions!$B$153:$B$159,AB5)*Assumptions!$B$160,0)</f>
        <v>96000000</v>
      </c>
      <c r="AC132" s="57" t="n">
        <f aca="false">IF(AC2&gt;=Assumptions!$B$51,INDEX(Assumptions!$B$153:$B$159,AC5)*Assumptions!$B$160,0)</f>
        <v>128000000</v>
      </c>
      <c r="AD132" s="57" t="n">
        <f aca="false">IF(AD2&gt;=Assumptions!$B$51,INDEX(Assumptions!$B$153:$B$159,AD5)*Assumptions!$B$160,0)</f>
        <v>160000000</v>
      </c>
      <c r="AE132" s="57" t="n">
        <f aca="false">IF(AE2&gt;=Assumptions!$B$51,INDEX(Assumptions!$B$153:$B$159,AE5)*Assumptions!$B$160,0)</f>
        <v>192000000</v>
      </c>
    </row>
    <row r="133" customFormat="false" ht="15" hidden="false" customHeight="false" outlineLevel="0" collapsed="false">
      <c r="A133" s="6" t="s">
        <v>127</v>
      </c>
      <c r="B133" s="23" t="s">
        <v>109</v>
      </c>
      <c r="C133" s="56" t="n">
        <f aca="false">C132*Assumptions!$B$26*C7/12</f>
        <v>0</v>
      </c>
      <c r="D133" s="56" t="n">
        <f aca="false">D132*Assumptions!$B$26*D7/12</f>
        <v>0</v>
      </c>
      <c r="E133" s="56" t="n">
        <f aca="false">E132*Assumptions!$B$26*E7/12</f>
        <v>0</v>
      </c>
      <c r="F133" s="56" t="n">
        <f aca="false">F132*Assumptions!$B$26*F7/12</f>
        <v>0</v>
      </c>
      <c r="G133" s="56" t="n">
        <f aca="false">G132*Assumptions!$B$26*G7/12</f>
        <v>0</v>
      </c>
      <c r="H133" s="56" t="n">
        <f aca="false">H132*Assumptions!$B$26*H7/12</f>
        <v>0</v>
      </c>
      <c r="I133" s="56" t="n">
        <f aca="false">I132*Assumptions!$B$26*I7/12</f>
        <v>0</v>
      </c>
      <c r="J133" s="56" t="n">
        <f aca="false">J132*Assumptions!$B$26*J7/12</f>
        <v>0</v>
      </c>
      <c r="K133" s="56" t="n">
        <f aca="false">K132*Assumptions!$B$26*K7/12</f>
        <v>0</v>
      </c>
      <c r="L133" s="56" t="n">
        <f aca="false">L132*Assumptions!$B$26*L7/12</f>
        <v>0</v>
      </c>
      <c r="M133" s="56" t="n">
        <f aca="false">M132*Assumptions!$B$26*M7/12</f>
        <v>0</v>
      </c>
      <c r="N133" s="56" t="n">
        <f aca="false">N132*Assumptions!$B$26*N7/12</f>
        <v>0</v>
      </c>
      <c r="O133" s="56" t="n">
        <f aca="false">O132*Assumptions!$B$26*O7/12</f>
        <v>16666.6666666667</v>
      </c>
      <c r="P133" s="56" t="n">
        <f aca="false">P132*Assumptions!$B$26*P7/12</f>
        <v>16666.6666666667</v>
      </c>
      <c r="Q133" s="56" t="n">
        <f aca="false">Q132*Assumptions!$B$26*Q7/12</f>
        <v>16666.6666666667</v>
      </c>
      <c r="R133" s="56" t="n">
        <f aca="false">R132*Assumptions!$B$26*R7/12</f>
        <v>16666.6666666667</v>
      </c>
      <c r="S133" s="56" t="n">
        <f aca="false">S132*Assumptions!$B$26*S7/12</f>
        <v>16666.6666666667</v>
      </c>
      <c r="T133" s="56" t="n">
        <f aca="false">T132*Assumptions!$B$26*T7/12</f>
        <v>16666.6666666667</v>
      </c>
      <c r="U133" s="56" t="n">
        <f aca="false">U132*Assumptions!$B$26*U7/12</f>
        <v>16666.6666666667</v>
      </c>
      <c r="V133" s="56" t="n">
        <f aca="false">V132*Assumptions!$B$26*V7/12</f>
        <v>16666.6666666667</v>
      </c>
      <c r="W133" s="56" t="n">
        <f aca="false">W132*Assumptions!$B$26*W7/12</f>
        <v>16666.6666666667</v>
      </c>
      <c r="X133" s="56" t="n">
        <f aca="false">X132*Assumptions!$B$26*X7/12</f>
        <v>16666.6666666667</v>
      </c>
      <c r="Y133" s="56" t="n">
        <f aca="false">Y132*Assumptions!$B$26*Y7/12</f>
        <v>16666.6666666667</v>
      </c>
      <c r="Z133" s="56" t="n">
        <f aca="false">Z132*Assumptions!$B$26*Z7/12</f>
        <v>16666.6666666667</v>
      </c>
      <c r="AA133" s="56" t="n">
        <f aca="false">AA132*Assumptions!$B$26*AA7/12</f>
        <v>400000</v>
      </c>
      <c r="AB133" s="56" t="n">
        <f aca="false">AB132*Assumptions!$B$26*AB7/12</f>
        <v>600000</v>
      </c>
      <c r="AC133" s="56" t="n">
        <f aca="false">AC132*Assumptions!$B$26*AC7/12</f>
        <v>800000</v>
      </c>
      <c r="AD133" s="56" t="n">
        <f aca="false">AD132*Assumptions!$B$26*AD7/12</f>
        <v>1000000</v>
      </c>
      <c r="AE133" s="56" t="n">
        <f aca="false">AE132*Assumptions!$B$26*AE7/12</f>
        <v>1200000</v>
      </c>
    </row>
    <row r="134" customFormat="false" ht="15" hidden="false" customHeight="false" outlineLevel="0" collapsed="false">
      <c r="A134" s="9" t="s">
        <v>472</v>
      </c>
    </row>
    <row r="136" customFormat="false" ht="15" hidden="false" customHeight="false" outlineLevel="0" collapsed="false">
      <c r="A136" s="45" t="s">
        <v>473</v>
      </c>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c r="AA136" s="46"/>
      <c r="AB136" s="46"/>
      <c r="AC136" s="46"/>
      <c r="AD136" s="46"/>
      <c r="AE136" s="46"/>
    </row>
    <row r="137" customFormat="false" ht="15" hidden="false" customHeight="false" outlineLevel="0" collapsed="false">
      <c r="A137" s="3" t="s">
        <v>474</v>
      </c>
      <c r="B137" s="23" t="s">
        <v>372</v>
      </c>
      <c r="C137" s="44" t="n">
        <f aca="false">C29+C65+C101</f>
        <v>110.205647346763</v>
      </c>
      <c r="D137" s="44" t="n">
        <f aca="false">D29+D65+D101</f>
        <v>209.456326864784</v>
      </c>
      <c r="E137" s="44" t="n">
        <f aca="false">E29+E65+E101</f>
        <v>299.394556365825</v>
      </c>
      <c r="F137" s="44" t="n">
        <f aca="false">F29+F65+F101</f>
        <v>409.83538186196</v>
      </c>
      <c r="G137" s="44" t="n">
        <f aca="false">G29+G65+G101</f>
        <v>502.777260193436</v>
      </c>
      <c r="H137" s="44" t="n">
        <f aca="false">H29+H65+H101</f>
        <v>573.70487016577</v>
      </c>
      <c r="I137" s="44" t="n">
        <f aca="false">I29+I65+I101</f>
        <v>637.824849088503</v>
      </c>
      <c r="J137" s="44" t="n">
        <f aca="false">J29+J65+J101</f>
        <v>698.722919767657</v>
      </c>
      <c r="K137" s="44" t="n">
        <f aca="false">K29+K65+K101</f>
        <v>765.194895170556</v>
      </c>
      <c r="L137" s="44" t="n">
        <f aca="false">L29+L65+L101</f>
        <v>862.823069555338</v>
      </c>
      <c r="M137" s="44" t="n">
        <f aca="false">M29+M65+M101</f>
        <v>944.711895020139</v>
      </c>
      <c r="N137" s="44" t="n">
        <f aca="false">N29+N65+N101</f>
        <v>1007.37824615198</v>
      </c>
      <c r="O137" s="44" t="n">
        <f aca="false">O29+O65+O101</f>
        <v>1347.55169500308</v>
      </c>
      <c r="P137" s="44" t="n">
        <f aca="false">P29+P65+P101</f>
        <v>1657.64900327918</v>
      </c>
      <c r="Q137" s="44" t="n">
        <f aca="false">Q29+Q65+Q101</f>
        <v>1941.893296859</v>
      </c>
      <c r="R137" s="44" t="n">
        <f aca="false">R29+R65+R101</f>
        <v>2308.94607422468</v>
      </c>
      <c r="S137" s="44" t="n">
        <f aca="false">S29+S65+S101</f>
        <v>2620.32752449245</v>
      </c>
      <c r="T137" s="44" t="n">
        <f aca="false">T29+T65+T101</f>
        <v>2855.75439347565</v>
      </c>
      <c r="U137" s="44" t="n">
        <f aca="false">U29+U65+U101</f>
        <v>3070.3512219884</v>
      </c>
      <c r="V137" s="44" t="n">
        <f aca="false">V29+V65+V101</f>
        <v>3277.11885120807</v>
      </c>
      <c r="W137" s="44" t="n">
        <f aca="false">W29+W65+W101</f>
        <v>3509.98845792308</v>
      </c>
      <c r="X137" s="44" t="n">
        <f aca="false">X29+X65+X101</f>
        <v>3870.47915970529</v>
      </c>
      <c r="Y137" s="44" t="n">
        <f aca="false">Y29+Y65+Y101</f>
        <v>4176.99941852752</v>
      </c>
      <c r="Z137" s="44" t="n">
        <f aca="false">Z29+Z65+Z101</f>
        <v>4412.64357606578</v>
      </c>
      <c r="AA137" s="44" t="n">
        <f aca="false">AA29+AA65+AA101</f>
        <v>8388.26496828405</v>
      </c>
      <c r="AB137" s="44" t="n">
        <f aca="false">AB29+AB65+AB101</f>
        <v>13487.5942084446</v>
      </c>
      <c r="AC137" s="44" t="n">
        <f aca="false">AC29+AC65+AC101</f>
        <v>19184.0887045803</v>
      </c>
      <c r="AD137" s="44" t="n">
        <f aca="false">AD29+AD65+AD101</f>
        <v>23733.9356633121</v>
      </c>
      <c r="AE137" s="44" t="n">
        <f aca="false">AE29+AE65+AE101</f>
        <v>26017.7377017259</v>
      </c>
    </row>
    <row r="138" customFormat="false" ht="15" hidden="false" customHeight="false" outlineLevel="0" collapsed="false">
      <c r="A138" s="3" t="s">
        <v>475</v>
      </c>
      <c r="B138" s="23" t="s">
        <v>372</v>
      </c>
      <c r="C138" s="44" t="n">
        <f aca="false">C31+C67+C103</f>
        <v>2.77968598657055</v>
      </c>
      <c r="D138" s="44" t="n">
        <f aca="false">D31+D67+D103</f>
        <v>10.7740435331397</v>
      </c>
      <c r="E138" s="44" t="n">
        <f aca="false">E31+E67+E103</f>
        <v>23.4786712004042</v>
      </c>
      <c r="F138" s="44" t="n">
        <f aca="false">F31+F67+F103</f>
        <v>41.1815935784214</v>
      </c>
      <c r="G138" s="44" t="n">
        <f aca="false">G31+G67+G103</f>
        <v>63.9458482981172</v>
      </c>
      <c r="H138" s="44" t="n">
        <f aca="false">H31+H67+H103</f>
        <v>90.7856633503193</v>
      </c>
      <c r="I138" s="44" t="n">
        <f aca="false">I31+I67+I103</f>
        <v>120.987732689505</v>
      </c>
      <c r="J138" s="44" t="n">
        <f aca="false">J31+J67+J103</f>
        <v>154.303308438706</v>
      </c>
      <c r="K138" s="44" t="n">
        <f aca="false">K31+K67+K103</f>
        <v>190.793713645818</v>
      </c>
      <c r="L138" s="44" t="n">
        <f aca="false">L31+L67+L103</f>
        <v>231.381922568727</v>
      </c>
      <c r="M138" s="44" t="n">
        <f aca="false">M31+M67+M103</f>
        <v>276.437456592474</v>
      </c>
      <c r="N138" s="44" t="n">
        <f aca="false">N31+N67+N103</f>
        <v>325.088250302063</v>
      </c>
      <c r="O138" s="44" t="n">
        <f aca="false">O31+O67+O103</f>
        <v>383.860872165495</v>
      </c>
      <c r="P138" s="44" t="n">
        <f aca="false">P31+P67+P103</f>
        <v>458.824000909375</v>
      </c>
      <c r="Q138" s="44" t="n">
        <f aca="false">Q31+Q67+Q103</f>
        <v>548.585614478</v>
      </c>
      <c r="R138" s="44" t="n">
        <f aca="false">R31+R67+R103</f>
        <v>654.598327291489</v>
      </c>
      <c r="S138" s="44" t="n">
        <f aca="false">S31+S67+S103</f>
        <v>777.495226729246</v>
      </c>
      <c r="T138" s="44" t="n">
        <f aca="false">T31+T67+T103</f>
        <v>913.990895545985</v>
      </c>
      <c r="U138" s="44" t="n">
        <f aca="false">U31+U67+U103</f>
        <v>1061.69129489863</v>
      </c>
      <c r="V138" s="44" t="n">
        <f aca="false">V31+V67+V103</f>
        <v>1219.88648660643</v>
      </c>
      <c r="W138" s="44" t="n">
        <f aca="false">W31+W67+W103</f>
        <v>1389.04221808867</v>
      </c>
      <c r="X138" s="44" t="n">
        <f aca="false">X31+X67+X103</f>
        <v>1573.01960592127</v>
      </c>
      <c r="Y138" s="44" t="n">
        <f aca="false">Y31+Y67+Y103</f>
        <v>1773.59712652374</v>
      </c>
      <c r="Z138" s="44" t="n">
        <f aca="false">Z31+Z67+Z103</f>
        <v>1987.65930118564</v>
      </c>
      <c r="AA138" s="44" t="n">
        <f aca="false">AA31+AA67+AA103</f>
        <v>6050.2680235209</v>
      </c>
      <c r="AB138" s="44" t="n">
        <f aca="false">AB31+AB67+AB103</f>
        <v>12916.7033072325</v>
      </c>
      <c r="AC138" s="44" t="n">
        <f aca="false">AC31+AC67+AC103</f>
        <v>23085.3611669954</v>
      </c>
      <c r="AD138" s="44" t="n">
        <f aca="false">AD31+AD67+AD103</f>
        <v>36311.0455653748</v>
      </c>
      <c r="AE138" s="44" t="n">
        <f aca="false">AE31+AE67+AE103</f>
        <v>51507.9961112696</v>
      </c>
    </row>
    <row r="139" customFormat="false" ht="15" hidden="false" customHeight="false" outlineLevel="0" collapsed="false">
      <c r="A139" s="6" t="s">
        <v>476</v>
      </c>
      <c r="B139" s="23" t="s">
        <v>372</v>
      </c>
      <c r="C139" s="44" t="n">
        <f aca="false">C32+C68+C104</f>
        <v>112.985333333333</v>
      </c>
      <c r="D139" s="44" t="n">
        <f aca="false">D32+D68+D104</f>
        <v>220.230370397923</v>
      </c>
      <c r="E139" s="44" t="n">
        <f aca="false">E32+E68+E104</f>
        <v>322.873227566229</v>
      </c>
      <c r="F139" s="44" t="n">
        <f aca="false">F32+F68+F104</f>
        <v>451.016975440382</v>
      </c>
      <c r="G139" s="44" t="n">
        <f aca="false">G32+G68+G104</f>
        <v>566.723108491554</v>
      </c>
      <c r="H139" s="44" t="n">
        <f aca="false">H32+H68+H104</f>
        <v>664.49053351609</v>
      </c>
      <c r="I139" s="44" t="n">
        <f aca="false">I32+I68+I104</f>
        <v>758.812581778008</v>
      </c>
      <c r="J139" s="44" t="n">
        <f aca="false">J32+J68+J104</f>
        <v>853.026228206362</v>
      </c>
      <c r="K139" s="44" t="n">
        <f aca="false">K32+K68+K104</f>
        <v>955.988608816374</v>
      </c>
      <c r="L139" s="44" t="n">
        <f aca="false">L32+L68+L104</f>
        <v>1094.20499212407</v>
      </c>
      <c r="M139" s="44" t="n">
        <f aca="false">M32+M68+M104</f>
        <v>1221.14935161261</v>
      </c>
      <c r="N139" s="44" t="n">
        <f aca="false">N32+N68+N104</f>
        <v>1332.46649645405</v>
      </c>
      <c r="O139" s="44" t="n">
        <f aca="false">O32+O68+O104</f>
        <v>1731.41256716858</v>
      </c>
      <c r="P139" s="44" t="n">
        <f aca="false">P32+P68+P104</f>
        <v>2116.47300418855</v>
      </c>
      <c r="Q139" s="44" t="n">
        <f aca="false">Q32+Q68+Q104</f>
        <v>2490.478911337</v>
      </c>
      <c r="R139" s="44" t="n">
        <f aca="false">R32+R68+R104</f>
        <v>2963.54440151617</v>
      </c>
      <c r="S139" s="44" t="n">
        <f aca="false">S32+S68+S104</f>
        <v>3397.82275122169</v>
      </c>
      <c r="T139" s="44" t="n">
        <f aca="false">T32+T68+T104</f>
        <v>3769.74528902164</v>
      </c>
      <c r="U139" s="44" t="n">
        <f aca="false">U32+U68+U104</f>
        <v>4132.04251688703</v>
      </c>
      <c r="V139" s="44" t="n">
        <f aca="false">V32+V68+V104</f>
        <v>4497.0053378145</v>
      </c>
      <c r="W139" s="44" t="n">
        <f aca="false">W32+W68+W104</f>
        <v>4899.03067601176</v>
      </c>
      <c r="X139" s="44" t="n">
        <f aca="false">X32+X68+X104</f>
        <v>5443.49876562656</v>
      </c>
      <c r="Y139" s="44" t="n">
        <f aca="false">Y32+Y68+Y104</f>
        <v>5950.59654505127</v>
      </c>
      <c r="Z139" s="44" t="n">
        <f aca="false">Z32+Z68+Z104</f>
        <v>6400.30287725142</v>
      </c>
      <c r="AA139" s="44" t="n">
        <f aca="false">AA32+AA68+AA104</f>
        <v>14438.532991805</v>
      </c>
      <c r="AB139" s="44" t="n">
        <f aca="false">AB32+AB68+AB104</f>
        <v>26404.2975156771</v>
      </c>
      <c r="AC139" s="44" t="n">
        <f aca="false">AC32+AC68+AC104</f>
        <v>42269.4498715757</v>
      </c>
      <c r="AD139" s="44" t="n">
        <f aca="false">AD32+AD68+AD104</f>
        <v>60044.9812286869</v>
      </c>
      <c r="AE139" s="44" t="n">
        <f aca="false">AE32+AE68+AE104</f>
        <v>77525.7338129955</v>
      </c>
    </row>
    <row r="140" customFormat="false" ht="15" hidden="false" customHeight="false" outlineLevel="0" collapsed="false">
      <c r="A140" s="3" t="s">
        <v>477</v>
      </c>
      <c r="B140" s="23" t="s">
        <v>372</v>
      </c>
      <c r="C140" s="44" t="n">
        <f aca="false">C28+C64+C100</f>
        <v>112.985333333333</v>
      </c>
      <c r="D140" s="44" t="n">
        <f aca="false">D28+D64+D100</f>
        <v>107.24503706459</v>
      </c>
      <c r="E140" s="44" t="n">
        <f aca="false">E28+E64+E100</f>
        <v>102.642857168306</v>
      </c>
      <c r="F140" s="44" t="n">
        <f aca="false">F28+F64+F100</f>
        <v>128.143747874152</v>
      </c>
      <c r="G140" s="44" t="n">
        <f aca="false">G28+G64+G100</f>
        <v>115.706133051172</v>
      </c>
      <c r="H140" s="44" t="n">
        <f aca="false">H28+H64+H100</f>
        <v>97.767425024536</v>
      </c>
      <c r="I140" s="44" t="n">
        <f aca="false">I28+I64+I100</f>
        <v>94.3220482619185</v>
      </c>
      <c r="J140" s="44" t="n">
        <f aca="false">J28+J64+J100</f>
        <v>94.2136464283542</v>
      </c>
      <c r="K140" s="44" t="n">
        <f aca="false">K28+K64+K100</f>
        <v>102.962380610011</v>
      </c>
      <c r="L140" s="44" t="n">
        <f aca="false">L28+L64+L100</f>
        <v>138.216383307692</v>
      </c>
      <c r="M140" s="44" t="n">
        <f aca="false">M28+M64+M100</f>
        <v>126.944359488548</v>
      </c>
      <c r="N140" s="44" t="n">
        <f aca="false">N28+N64+N100</f>
        <v>111.317144841435</v>
      </c>
      <c r="O140" s="44" t="n">
        <f aca="false">O28+O64+O100</f>
        <v>398.946070714532</v>
      </c>
      <c r="P140" s="44" t="n">
        <f aca="false">P28+P64+P100</f>
        <v>385.060437019971</v>
      </c>
      <c r="Q140" s="44" t="n">
        <f aca="false">Q28+Q64+Q100</f>
        <v>374.00590714845</v>
      </c>
      <c r="R140" s="44" t="n">
        <f aca="false">R28+R64+R100</f>
        <v>473.065490179166</v>
      </c>
      <c r="S140" s="44" t="n">
        <f aca="false">S28+S64+S100</f>
        <v>434.278349705524</v>
      </c>
      <c r="T140" s="44" t="n">
        <f aca="false">T28+T64+T100</f>
        <v>371.922537799947</v>
      </c>
      <c r="U140" s="44" t="n">
        <f aca="false">U28+U64+U100</f>
        <v>362.297227865394</v>
      </c>
      <c r="V140" s="44" t="n">
        <f aca="false">V28+V64+V100</f>
        <v>364.962820927467</v>
      </c>
      <c r="W140" s="44" t="n">
        <f aca="false">W28+W64+W100</f>
        <v>402.025338197256</v>
      </c>
      <c r="X140" s="44" t="n">
        <f aca="false">X28+X64+X100</f>
        <v>544.468089614804</v>
      </c>
      <c r="Y140" s="44" t="n">
        <f aca="false">Y28+Y64+Y100</f>
        <v>507.097779424709</v>
      </c>
      <c r="Z140" s="44" t="n">
        <f aca="false">Z28+Z64+Z100</f>
        <v>449.706332200155</v>
      </c>
      <c r="AA140" s="44" t="n">
        <f aca="false">AA28+AA64+AA100</f>
        <v>8038.23011455353</v>
      </c>
      <c r="AB140" s="44" t="n">
        <f aca="false">AB28+AB64+AB100</f>
        <v>11965.7645238721</v>
      </c>
      <c r="AC140" s="44" t="n">
        <f aca="false">AC28+AC64+AC100</f>
        <v>15865.1523558987</v>
      </c>
      <c r="AD140" s="44" t="n">
        <f aca="false">AD28+AD64+AD100</f>
        <v>17775.5313571112</v>
      </c>
      <c r="AE140" s="44" t="n">
        <f aca="false">AE28+AE64+AE100</f>
        <v>17480.7525843085</v>
      </c>
    </row>
    <row r="141" customFormat="false" ht="15" hidden="false" customHeight="false" outlineLevel="0" collapsed="false">
      <c r="A141" s="3" t="s">
        <v>478</v>
      </c>
      <c r="B141" s="23" t="s">
        <v>372</v>
      </c>
      <c r="C141" s="44" t="n">
        <f aca="false">C41+C77+C113</f>
        <v>0</v>
      </c>
      <c r="D141" s="44" t="n">
        <f aca="false">D41+D77+D113</f>
        <v>0</v>
      </c>
      <c r="E141" s="44" t="n">
        <f aca="false">E41+E77+E113</f>
        <v>0</v>
      </c>
      <c r="F141" s="44" t="n">
        <f aca="false">F41+F77+F113</f>
        <v>0</v>
      </c>
      <c r="G141" s="44" t="n">
        <f aca="false">G41+G77+G113</f>
        <v>0</v>
      </c>
      <c r="H141" s="44" t="n">
        <f aca="false">H41+H77+H113</f>
        <v>0</v>
      </c>
      <c r="I141" s="44" t="n">
        <f aca="false">I41+I77+I113</f>
        <v>0</v>
      </c>
      <c r="J141" s="44" t="n">
        <f aca="false">J41+J77+J113</f>
        <v>0</v>
      </c>
      <c r="K141" s="44" t="n">
        <f aca="false">K41+K77+K113</f>
        <v>0</v>
      </c>
      <c r="L141" s="44" t="n">
        <f aca="false">L41+L77+L113</f>
        <v>0</v>
      </c>
      <c r="M141" s="44" t="n">
        <f aca="false">M41+M77+M113</f>
        <v>0</v>
      </c>
      <c r="N141" s="44" t="n">
        <f aca="false">N41+N77+N113</f>
        <v>0</v>
      </c>
      <c r="O141" s="44" t="n">
        <f aca="false">O41+O77+O113</f>
        <v>56.1055877406638</v>
      </c>
      <c r="P141" s="44" t="n">
        <f aca="false">P41+P77+P113</f>
        <v>65.7845628180929</v>
      </c>
      <c r="Q141" s="44" t="n">
        <f aca="false">Q41+Q77+Q113</f>
        <v>75.1224455960228</v>
      </c>
      <c r="R141" s="44" t="n">
        <f aca="false">R41+R77+R113</f>
        <v>84.4495965924299</v>
      </c>
      <c r="S141" s="44" t="n">
        <f aca="false">S41+S77+S113</f>
        <v>94.642872272821</v>
      </c>
      <c r="T141" s="44" t="n">
        <f aca="false">T41+T77+T113</f>
        <v>108.326294220282</v>
      </c>
      <c r="U141" s="44" t="n">
        <f aca="false">U41+U77+U113</f>
        <v>120.893785809649</v>
      </c>
      <c r="V141" s="44" t="n">
        <f aca="false">V41+V77+V113</f>
        <v>131.914183148951</v>
      </c>
      <c r="W141" s="44" t="n">
        <f aca="false">W41+W77+W113</f>
        <v>171.409844149689</v>
      </c>
      <c r="X141" s="44" t="n">
        <f aca="false">X41+X77+X113</f>
        <v>209.530827414667</v>
      </c>
      <c r="Y141" s="44" t="n">
        <f aca="false">Y41+Y77+Y113</f>
        <v>246.557412222363</v>
      </c>
      <c r="Z141" s="44" t="n">
        <f aca="false">Z41+Z77+Z113</f>
        <v>293.390895750101</v>
      </c>
      <c r="AA141" s="44" t="n">
        <f aca="false">AA41+AA77+AA113</f>
        <v>1429.41476618869</v>
      </c>
      <c r="AB141" s="44" t="n">
        <f aca="false">AB41+AB77+AB113</f>
        <v>2614.02545405203</v>
      </c>
      <c r="AC141" s="44" t="n">
        <f aca="false">AC41+AC77+AC113</f>
        <v>4184.675537286</v>
      </c>
      <c r="AD141" s="44" t="n">
        <f aca="false">AD41+AD77+AD113</f>
        <v>5944.45314164001</v>
      </c>
      <c r="AE141" s="44" t="n">
        <f aca="false">AE41+AE77+AE113</f>
        <v>7675.04764748655</v>
      </c>
    </row>
    <row r="142" customFormat="false" ht="15" hidden="false" customHeight="false" outlineLevel="0" collapsed="false">
      <c r="A142" s="6" t="s">
        <v>479</v>
      </c>
      <c r="B142" s="23" t="s">
        <v>372</v>
      </c>
      <c r="C142" s="44" t="n">
        <f aca="false">C37+C73+C109</f>
        <v>23.8706630212761</v>
      </c>
      <c r="D142" s="44" t="n">
        <f aca="false">D37+D73+D109</f>
        <v>68.8333912061314</v>
      </c>
      <c r="E142" s="44" t="n">
        <f aca="false">E37+E73+E109</f>
        <v>132.499389813607</v>
      </c>
      <c r="F142" s="44" t="n">
        <f aca="false">F37+F73+F109</f>
        <v>218.973901681169</v>
      </c>
      <c r="G142" s="44" t="n">
        <f aca="false">G37+G73+G109</f>
        <v>324.043433671433</v>
      </c>
      <c r="H142" s="44" t="n">
        <f aca="false">H37+H73+H109</f>
        <v>442.574228343201</v>
      </c>
      <c r="I142" s="44" t="n">
        <f aca="false">I37+I73+I109</f>
        <v>572.814155438321</v>
      </c>
      <c r="J142" s="44" t="n">
        <f aca="false">J37+J73+J109</f>
        <v>713.816892383677</v>
      </c>
      <c r="K142" s="44" t="n">
        <f aca="false">K37+K73+K109</f>
        <v>866.565636774552</v>
      </c>
      <c r="L142" s="44" t="n">
        <f aca="false">L37+L73+L109</f>
        <v>1037.6025119815</v>
      </c>
      <c r="M142" s="44" t="n">
        <f aca="false">M37+M73+M109</f>
        <v>1223.12686282015</v>
      </c>
      <c r="N142" s="44" t="n">
        <f aca="false">N37+N73+N109</f>
        <v>1418.63755232249</v>
      </c>
      <c r="O142" s="44" t="n">
        <f aca="false">O37+O73+O109</f>
        <v>1683.73889069998</v>
      </c>
      <c r="P142" s="44" t="n">
        <f aca="false">P37+P73+P109</f>
        <v>2010.57207881683</v>
      </c>
      <c r="Q142" s="44" t="n">
        <f aca="false">Q37+Q73+Q109</f>
        <v>2392.35741423664</v>
      </c>
      <c r="R142" s="44" t="n">
        <f aca="false">R37+R73+R109</f>
        <v>2845.94029613881</v>
      </c>
      <c r="S142" s="44" t="n">
        <f aca="false">S37+S73+S109</f>
        <v>3357.88313137025</v>
      </c>
      <c r="T142" s="44" t="n">
        <f aca="false">T37+T73+T109</f>
        <v>3910.57812343358</v>
      </c>
      <c r="U142" s="44" t="n">
        <f aca="false">U37+U73+U109</f>
        <v>4498.65932011358</v>
      </c>
      <c r="V142" s="44" t="n">
        <f aca="false">V37+V73+V109</f>
        <v>5119.66839581546</v>
      </c>
      <c r="W142" s="44" t="n">
        <f aca="false">W37+W73+W109</f>
        <v>5778.56281143855</v>
      </c>
      <c r="X142" s="44" t="n">
        <f aca="false">X37+X73+X109</f>
        <v>6502.30179530312</v>
      </c>
      <c r="Y142" s="44" t="n">
        <f aca="false">Y37+Y73+Y109</f>
        <v>7277.8200137383</v>
      </c>
      <c r="Z142" s="44" t="n">
        <f aca="false">Z37+Z73+Z109</f>
        <v>8088.58910984294</v>
      </c>
      <c r="AA142" s="44" t="n">
        <f aca="false">AA37+AA73+AA109</f>
        <v>27889.5208057204</v>
      </c>
      <c r="AB142" s="44" t="n">
        <f aca="false">AB37+AB73+AB109</f>
        <v>56084.0885354677</v>
      </c>
      <c r="AC142" s="44" t="n">
        <f aca="false">AC37+AC73+AC109</f>
        <v>92100.9029168054</v>
      </c>
      <c r="AD142" s="44" t="n">
        <f aca="false">AD37+AD73+AD109</f>
        <v>130891.560057921</v>
      </c>
      <c r="AE142" s="44" t="n">
        <f aca="false">AE37+AE73+AE109</f>
        <v>165699.110863342</v>
      </c>
    </row>
    <row r="143" customFormat="false" ht="15" hidden="false" customHeight="false" outlineLevel="0" collapsed="false">
      <c r="A143" s="6" t="s">
        <v>480</v>
      </c>
      <c r="B143" s="23" t="s">
        <v>372</v>
      </c>
      <c r="C143" s="53" t="n">
        <f aca="false">C35+C71+C107</f>
        <v>23.8706630212761</v>
      </c>
      <c r="D143" s="53" t="n">
        <f aca="false">D35+D71+D107</f>
        <v>45.3699147715437</v>
      </c>
      <c r="E143" s="53" t="n">
        <f aca="false">E35+E71+E107</f>
        <v>64.8532641132269</v>
      </c>
      <c r="F143" s="53" t="n">
        <f aca="false">F35+F71+F107</f>
        <v>88.7796175737151</v>
      </c>
      <c r="G143" s="53" t="n">
        <f aca="false">G35+G71+G107</f>
        <v>108.916749511572</v>
      </c>
      <c r="H143" s="53" t="n">
        <f aca="false">H35+H71+H107</f>
        <v>124.2856767324</v>
      </c>
      <c r="I143" s="53" t="n">
        <f aca="false">I35+I71+I107</f>
        <v>138.180653279662</v>
      </c>
      <c r="J143" s="53" t="n">
        <f aca="false">J35+J71+J107</f>
        <v>151.378508767496</v>
      </c>
      <c r="K143" s="53" t="n">
        <f aca="false">K35+K71+K107</f>
        <v>165.785295543626</v>
      </c>
      <c r="L143" s="53" t="n">
        <f aca="false">L35+L71+L107</f>
        <v>186.945455690662</v>
      </c>
      <c r="M143" s="53" t="n">
        <f aca="false">M35+M71+M107</f>
        <v>204.696620537679</v>
      </c>
      <c r="N143" s="53" t="n">
        <f aca="false">N35+N71+N107</f>
        <v>218.283159384002</v>
      </c>
      <c r="O143" s="53" t="n">
        <f aca="false">O35+O71+O107</f>
        <v>291.303013047009</v>
      </c>
      <c r="P143" s="53" t="n">
        <f aca="false">P35+P71+P107</f>
        <v>357.876018080235</v>
      </c>
      <c r="Q143" s="53" t="n">
        <f aca="false">Q35+Q71+Q107</f>
        <v>418.908124665999</v>
      </c>
      <c r="R143" s="53" t="n">
        <f aca="false">R35+R71+R107</f>
        <v>497.761014986469</v>
      </c>
      <c r="S143" s="53" t="n">
        <f aca="false">S35+S71+S107</f>
        <v>564.666070633026</v>
      </c>
      <c r="T143" s="53" t="n">
        <f aca="false">T35+T71+T107</f>
        <v>615.254672308094</v>
      </c>
      <c r="U143" s="53" t="n">
        <f aca="false">U35+U71+U107</f>
        <v>661.377898871456</v>
      </c>
      <c r="V143" s="53" t="n">
        <f aca="false">V35+V71+V107</f>
        <v>705.83151642073</v>
      </c>
      <c r="W143" s="53" t="n">
        <f aca="false">W35+W71+W107</f>
        <v>755.917426153612</v>
      </c>
      <c r="X143" s="53" t="n">
        <f aca="false">X35+X71+X107</f>
        <v>833.491148594869</v>
      </c>
      <c r="Y143" s="53" t="n">
        <f aca="false">Y35+Y71+Y107</f>
        <v>899.478101240242</v>
      </c>
      <c r="Z143" s="53" t="n">
        <f aca="false">Z35+Z71+Z107</f>
        <v>950.229995094847</v>
      </c>
      <c r="AA143" s="53" t="n">
        <f aca="false">AA35+AA71+AA107</f>
        <v>21744.8890057173</v>
      </c>
      <c r="AB143" s="53" t="n">
        <f aca="false">AB35+AB71+AB107</f>
        <v>35082.3500278898</v>
      </c>
      <c r="AC143" s="53" t="n">
        <f aca="false">AC35+AC71+AC107</f>
        <v>50173.6172413037</v>
      </c>
      <c r="AD143" s="53" t="n">
        <f aca="false">AD35+AD71+AD107</f>
        <v>62558.4359393222</v>
      </c>
      <c r="AE143" s="53" t="n">
        <f aca="false">AE35+AE71+AE107</f>
        <v>69341.0003345463</v>
      </c>
    </row>
    <row r="144" customFormat="false" ht="15" hidden="false" customHeight="false" outlineLevel="0" collapsed="false">
      <c r="A144" s="3" t="s">
        <v>481</v>
      </c>
      <c r="B144" s="23" t="s">
        <v>372</v>
      </c>
      <c r="C144" s="54" t="n">
        <f aca="false">C38+C74+C110</f>
        <v>3376.74399098971</v>
      </c>
      <c r="D144" s="54" t="n">
        <f aca="false">D38+D74+D110</f>
        <v>9737.17152001935</v>
      </c>
      <c r="E144" s="54" t="n">
        <f aca="false">E38+E74+E110</f>
        <v>18743.3636830329</v>
      </c>
      <c r="F144" s="54" t="n">
        <f aca="false">F38+F74+F110</f>
        <v>30976.0481318182</v>
      </c>
      <c r="G144" s="54" t="n">
        <f aca="false">G38+G74+G110</f>
        <v>45839.1841271609</v>
      </c>
      <c r="H144" s="54" t="n">
        <f aca="false">H38+H74+H110</f>
        <v>62606.5503414291</v>
      </c>
      <c r="I144" s="54" t="n">
        <f aca="false">I38+I74+I110</f>
        <v>81030.2904283049</v>
      </c>
      <c r="J144" s="54" t="n">
        <f aca="false">J38+J74+J110</f>
        <v>100976.537596595</v>
      </c>
      <c r="K144" s="54" t="n">
        <f aca="false">K38+K74+K110</f>
        <v>122584.374978128</v>
      </c>
      <c r="L144" s="54" t="n">
        <f aca="false">L38+L74+L110</f>
        <v>146779.251344903</v>
      </c>
      <c r="M144" s="54" t="n">
        <f aca="false">M38+M74+M110</f>
        <v>173023.526014538</v>
      </c>
      <c r="N144" s="54" t="n">
        <f aca="false">N38+N74+N110</f>
        <v>200680.46815154</v>
      </c>
      <c r="O144" s="54" t="n">
        <f aca="false">O38+O74+O110</f>
        <v>238181.703478419</v>
      </c>
      <c r="P144" s="54" t="n">
        <f aca="false">P38+P74+P110</f>
        <v>284415.526269428</v>
      </c>
      <c r="Q144" s="54" t="n">
        <f aca="false">Q38+Q74+Q110</f>
        <v>338422.879817915</v>
      </c>
      <c r="R144" s="54" t="n">
        <f aca="false">R38+R74+R110</f>
        <v>402586.714291795</v>
      </c>
      <c r="S144" s="54" t="n">
        <f aca="false">S38+S74+S110</f>
        <v>475006.147763636</v>
      </c>
      <c r="T144" s="54" t="n">
        <f aca="false">T38+T74+T110</f>
        <v>553190.381340914</v>
      </c>
      <c r="U144" s="54" t="n">
        <f aca="false">U38+U74+U110</f>
        <v>636380.347423266</v>
      </c>
      <c r="V144" s="54" t="n">
        <f aca="false">V38+V74+V110</f>
        <v>724228.291272054</v>
      </c>
      <c r="W144" s="54" t="n">
        <f aca="false">W38+W74+W110</f>
        <v>817435.495306097</v>
      </c>
      <c r="X144" s="54" t="n">
        <f aca="false">X38+X74+X110</f>
        <v>919815.61196358</v>
      </c>
      <c r="Y144" s="54" t="n">
        <f aca="false">Y38+Y74+Y110</f>
        <v>1029520.41914342</v>
      </c>
      <c r="Z144" s="54" t="n">
        <f aca="false">Z38+Z74+Z110</f>
        <v>1144211.81547838</v>
      </c>
      <c r="AA144" s="54" t="n">
        <f aca="false">AA38+AA74+AA110</f>
        <v>3945251.6131772</v>
      </c>
      <c r="AB144" s="54" t="n">
        <f aca="false">AB38+AB74+AB110</f>
        <v>7933655.16422726</v>
      </c>
      <c r="AC144" s="54" t="n">
        <f aca="false">AC38+AC74+AC110</f>
        <v>13028593.7266113</v>
      </c>
      <c r="AD144" s="54" t="n">
        <f aca="false">AD38+AD74+AD110</f>
        <v>18515920.0857934</v>
      </c>
      <c r="AE144" s="54" t="n">
        <f aca="false">AE38+AE74+AE110</f>
        <v>23439796.2227284</v>
      </c>
    </row>
    <row r="145" customFormat="false" ht="15" hidden="false" customHeight="false" outlineLevel="0" collapsed="false">
      <c r="A145" s="6" t="s">
        <v>482</v>
      </c>
      <c r="B145" s="23" t="s">
        <v>372</v>
      </c>
      <c r="C145" s="44" t="n">
        <f aca="false">C40+C76+C112</f>
        <v>0</v>
      </c>
      <c r="D145" s="44" t="n">
        <f aca="false">D40+D76+D112</f>
        <v>0</v>
      </c>
      <c r="E145" s="44" t="n">
        <f aca="false">E40+E76+E112</f>
        <v>0</v>
      </c>
      <c r="F145" s="44" t="n">
        <f aca="false">F40+F76+F112</f>
        <v>0</v>
      </c>
      <c r="G145" s="44" t="n">
        <f aca="false">G40+G76+G112</f>
        <v>0</v>
      </c>
      <c r="H145" s="44" t="n">
        <f aca="false">H40+H76+H112</f>
        <v>0</v>
      </c>
      <c r="I145" s="44" t="n">
        <f aca="false">I40+I76+I112</f>
        <v>0</v>
      </c>
      <c r="J145" s="44" t="n">
        <f aca="false">J40+J76+J112</f>
        <v>0</v>
      </c>
      <c r="K145" s="44" t="n">
        <f aca="false">K40+K76+K112</f>
        <v>62.1419333333333</v>
      </c>
      <c r="L145" s="44" t="n">
        <f aca="false">L40+L76+L112</f>
        <v>121.126703718858</v>
      </c>
      <c r="M145" s="44" t="n">
        <f aca="false">M40+M76+M112</f>
        <v>177.580275161426</v>
      </c>
      <c r="N145" s="44" t="n">
        <f aca="false">N40+N76+N112</f>
        <v>248.05933649221</v>
      </c>
      <c r="O145" s="44" t="n">
        <f aca="false">O40+O76+O112</f>
        <v>311.697709670355</v>
      </c>
      <c r="P145" s="44" t="n">
        <f aca="false">P40+P76+P112</f>
        <v>365.469793433849</v>
      </c>
      <c r="Q145" s="44" t="n">
        <f aca="false">Q40+Q76+Q112</f>
        <v>417.346919977905</v>
      </c>
      <c r="R145" s="44" t="n">
        <f aca="false">R40+R76+R112</f>
        <v>469.164425513499</v>
      </c>
      <c r="S145" s="44" t="n">
        <f aca="false">S40+S76+S112</f>
        <v>525.793734849006</v>
      </c>
      <c r="T145" s="44" t="n">
        <f aca="false">T40+T76+T112</f>
        <v>601.812745668236</v>
      </c>
      <c r="U145" s="44" t="n">
        <f aca="false">U40+U76+U112</f>
        <v>671.632143386937</v>
      </c>
      <c r="V145" s="44" t="n">
        <f aca="false">V40+V76+V112</f>
        <v>732.856573049726</v>
      </c>
      <c r="W145" s="44" t="n">
        <f aca="false">W40+W76+W112</f>
        <v>952.276911942719</v>
      </c>
      <c r="X145" s="44" t="n">
        <f aca="false">X40+X76+X112</f>
        <v>1164.0601523037</v>
      </c>
      <c r="Y145" s="44" t="n">
        <f aca="false">Y40+Y76+Y112</f>
        <v>1369.76340123535</v>
      </c>
      <c r="Z145" s="44" t="n">
        <f aca="false">Z40+Z76+Z112</f>
        <v>1629.94942083389</v>
      </c>
      <c r="AA145" s="44" t="n">
        <f aca="false">AA40+AA76+AA112</f>
        <v>7941.19314549273</v>
      </c>
      <c r="AB145" s="44" t="n">
        <f aca="false">AB40+AB76+AB112</f>
        <v>14522.3636336224</v>
      </c>
      <c r="AC145" s="44" t="n">
        <f aca="false">AC40+AC76+AC112</f>
        <v>23248.1974293667</v>
      </c>
      <c r="AD145" s="44" t="n">
        <f aca="false">AD40+AD76+AD112</f>
        <v>33024.7396757778</v>
      </c>
      <c r="AE145" s="44" t="n">
        <f aca="false">AE40+AE76+AE112</f>
        <v>42639.1535971475</v>
      </c>
    </row>
    <row r="146" customFormat="false" ht="15" hidden="false" customHeight="false" outlineLevel="0" collapsed="false">
      <c r="A146" s="6" t="s">
        <v>483</v>
      </c>
      <c r="B146" s="23" t="s">
        <v>372</v>
      </c>
      <c r="C146" s="54" t="n">
        <f aca="false">C33+C69+C105</f>
        <v>3423.44188995138</v>
      </c>
      <c r="D146" s="54" t="n">
        <f aca="false">D33+D69+D105</f>
        <v>6506.69701735426</v>
      </c>
      <c r="E146" s="54" t="n">
        <f aca="false">E33+E69+E105</f>
        <v>9300.76705460393</v>
      </c>
      <c r="F146" s="54" t="n">
        <f aca="false">F33+F69+F105</f>
        <v>12731.9076730166</v>
      </c>
      <c r="G146" s="54" t="n">
        <f aca="false">G33+G69+G105</f>
        <v>15619.5473281406</v>
      </c>
      <c r="H146" s="54" t="n">
        <f aca="false">H33+H69+H105</f>
        <v>17823.3421035553</v>
      </c>
      <c r="I146" s="54" t="n">
        <f aca="false">I33+I69+I105</f>
        <v>19815.7125762867</v>
      </c>
      <c r="J146" s="54" t="n">
        <f aca="false">J33+J69+J105</f>
        <v>21708.0591719351</v>
      </c>
      <c r="K146" s="54" t="n">
        <f aca="false">K33+K69+K105</f>
        <v>23773.6880847023</v>
      </c>
      <c r="L146" s="54" t="n">
        <f aca="false">L33+L69+L105</f>
        <v>26807.563076335</v>
      </c>
      <c r="M146" s="54" t="n">
        <f aca="false">M33+M69+M105</f>
        <v>29352.5226186617</v>
      </c>
      <c r="N146" s="54" t="n">
        <f aca="false">N33+N69+N105</f>
        <v>31300.2686624198</v>
      </c>
      <c r="O146" s="54" t="n">
        <f aca="false">O33+O69+O105</f>
        <v>41719.7256267842</v>
      </c>
      <c r="P146" s="54" t="n">
        <f aca="false">P33+P69+P105</f>
        <v>51217.7104069293</v>
      </c>
      <c r="Q146" s="54" t="n">
        <f aca="false">Q33+Q69+Q105</f>
        <v>59923.7233085129</v>
      </c>
      <c r="R146" s="54" t="n">
        <f aca="false">R33+R69+R105</f>
        <v>71172.4412239891</v>
      </c>
      <c r="S146" s="54" t="n">
        <f aca="false">S33+S69+S105</f>
        <v>80714.3268176388</v>
      </c>
      <c r="T146" s="54" t="n">
        <f aca="false">T33+T69+T105</f>
        <v>87926.499287523</v>
      </c>
      <c r="U146" s="54" t="n">
        <f aca="false">U33+U69+U105</f>
        <v>94500.5946795576</v>
      </c>
      <c r="V146" s="54" t="n">
        <f aca="false">V33+V69+V105</f>
        <v>100835.606606504</v>
      </c>
      <c r="W146" s="54" t="n">
        <f aca="false">W33+W69+W105</f>
        <v>107973.162332491</v>
      </c>
      <c r="X146" s="54" t="n">
        <f aca="false">X33+X69+X105</f>
        <v>119030.212852899</v>
      </c>
      <c r="Y146" s="54" t="n">
        <f aca="false">Y33+Y69+Y105</f>
        <v>128432.436135987</v>
      </c>
      <c r="Z146" s="54" t="n">
        <f aca="false">Z33+Z69+Z105</f>
        <v>135660.26779213</v>
      </c>
      <c r="AA146" s="54" t="n">
        <f aca="false">AA33+AA69+AA105</f>
        <v>3096950.73461728</v>
      </c>
      <c r="AB146" s="54" t="n">
        <f aca="false">AB33+AB69+AB105</f>
        <v>4985944.84107851</v>
      </c>
      <c r="AC146" s="54" t="n">
        <f aca="false">AC33+AC69+AC105</f>
        <v>7108738.91193993</v>
      </c>
      <c r="AD146" s="54" t="n">
        <f aca="false">AD33+AD69+AD105</f>
        <v>8825392.19526462</v>
      </c>
      <c r="AE146" s="54" t="n">
        <f aca="false">AE33+AE69+AE105</f>
        <v>9724294.89227391</v>
      </c>
    </row>
    <row r="147" customFormat="false" ht="15" hidden="false" customHeight="false" outlineLevel="0" collapsed="false">
      <c r="A147" s="6" t="s">
        <v>484</v>
      </c>
      <c r="B147" s="23" t="s">
        <v>372</v>
      </c>
      <c r="C147" s="54" t="n">
        <f aca="false">C34+C70+C106</f>
        <v>184.342479369204</v>
      </c>
      <c r="D147" s="54" t="n">
        <f aca="false">D34+D70+D106</f>
        <v>350.459367631331</v>
      </c>
      <c r="E147" s="54" t="n">
        <f aca="false">E34+E70+E106</f>
        <v>501.080190216001</v>
      </c>
      <c r="F147" s="54" t="n">
        <f aca="false">F34+F70+F106</f>
        <v>686.140929622804</v>
      </c>
      <c r="G147" s="54" t="n">
        <f aca="false">G34+G70+G106</f>
        <v>842.00407890736</v>
      </c>
      <c r="H147" s="54" t="n">
        <f aca="false">H34+H70+H106</f>
        <v>961.051168048722</v>
      </c>
      <c r="I147" s="54" t="n">
        <f aca="false">I34+I70+I106</f>
        <v>1068.75136175022</v>
      </c>
      <c r="J147" s="54" t="n">
        <f aca="false">J34+J70+J106</f>
        <v>1171.11336280557</v>
      </c>
      <c r="K147" s="54" t="n">
        <f aca="false">K34+K70+K106</f>
        <v>1282.90952184013</v>
      </c>
      <c r="L147" s="54" t="n">
        <f aca="false">L34+L70+L106</f>
        <v>1447.15663359245</v>
      </c>
      <c r="M147" s="54" t="n">
        <f aca="false">M34+M70+M106</f>
        <v>1585.08759226353</v>
      </c>
      <c r="N147" s="54" t="n">
        <f aca="false">N34+N70+N106</f>
        <v>1690.79529795681</v>
      </c>
      <c r="O147" s="54" t="n">
        <f aca="false">O34+O70+O106</f>
        <v>2307.47446691509</v>
      </c>
      <c r="P147" s="54" t="n">
        <f aca="false">P34+P70+P106</f>
        <v>2871.25658295959</v>
      </c>
      <c r="Q147" s="54" t="n">
        <f aca="false">Q34+Q70+Q106</f>
        <v>3389.56560199342</v>
      </c>
      <c r="R147" s="54" t="n">
        <f aca="false">R34+R70+R106</f>
        <v>4058.58222620631</v>
      </c>
      <c r="S147" s="54" t="n">
        <f aca="false">S34+S70+S106</f>
        <v>4628.64927396551</v>
      </c>
      <c r="T147" s="54" t="n">
        <f aca="false">T34+T70+T106</f>
        <v>5062.37948497549</v>
      </c>
      <c r="U147" s="54" t="n">
        <f aca="false">U34+U70+U106</f>
        <v>5459.29514988606</v>
      </c>
      <c r="V147" s="54" t="n">
        <f aca="false">V34+V70+V106</f>
        <v>5842.95150672738</v>
      </c>
      <c r="W147" s="54" t="n">
        <f aca="false">W34+W70+W106</f>
        <v>6275.32218355683</v>
      </c>
      <c r="X147" s="54" t="n">
        <f aca="false">X34+X70+X106</f>
        <v>6942.67425071495</v>
      </c>
      <c r="Y147" s="54" t="n">
        <f aca="false">Y34+Y70+Y106</f>
        <v>7513.64258450369</v>
      </c>
      <c r="Z147" s="54" t="n">
        <f aca="false">Z34+Z70+Z106</f>
        <v>7956.39340019558</v>
      </c>
      <c r="AA147" s="54" t="n">
        <f aca="false">AA34+AA70+AA106</f>
        <v>189546.611414302</v>
      </c>
      <c r="AB147" s="54" t="n">
        <f aca="false">AB34+AB70+AB106</f>
        <v>316360.920468311</v>
      </c>
      <c r="AC147" s="54" t="n">
        <f aca="false">AC34+AC70+AC106</f>
        <v>474443.502143369</v>
      </c>
      <c r="AD147" s="54" t="n">
        <f aca="false">AD34+AD70+AD106</f>
        <v>629617.376520817</v>
      </c>
      <c r="AE147" s="54" t="n">
        <f aca="false">AE34+AE70+AE106</f>
        <v>755823.60871008</v>
      </c>
    </row>
    <row r="148" customFormat="false" ht="15" hidden="false" customHeight="false" outlineLevel="0" collapsed="false">
      <c r="A148" s="6" t="s">
        <v>485</v>
      </c>
      <c r="B148" s="23" t="s">
        <v>372</v>
      </c>
      <c r="C148" s="54" t="n">
        <f aca="false">C46+C82+C118</f>
        <v>0</v>
      </c>
      <c r="D148" s="54" t="n">
        <f aca="false">D46+D82+D118</f>
        <v>0</v>
      </c>
      <c r="E148" s="54" t="n">
        <f aca="false">E46+E82+E118</f>
        <v>0</v>
      </c>
      <c r="F148" s="54" t="n">
        <f aca="false">F46+F82+F118</f>
        <v>0</v>
      </c>
      <c r="G148" s="54" t="n">
        <f aca="false">G46+G82+G118</f>
        <v>0</v>
      </c>
      <c r="H148" s="54" t="n">
        <f aca="false">H46+H82+H118</f>
        <v>0</v>
      </c>
      <c r="I148" s="54" t="n">
        <f aca="false">I46+I82+I118</f>
        <v>0</v>
      </c>
      <c r="J148" s="54" t="n">
        <f aca="false">J46+J82+J118</f>
        <v>0</v>
      </c>
      <c r="K148" s="54" t="n">
        <f aca="false">K46+K82+K118</f>
        <v>0</v>
      </c>
      <c r="L148" s="54" t="n">
        <f aca="false">L46+L82+L118</f>
        <v>0</v>
      </c>
      <c r="M148" s="54" t="n">
        <f aca="false">M46+M82+M118</f>
        <v>0</v>
      </c>
      <c r="N148" s="54" t="n">
        <f aca="false">N46+N82+N118</f>
        <v>0</v>
      </c>
      <c r="O148" s="54" t="n">
        <f aca="false">O46+O82+O118</f>
        <v>486.615330593566</v>
      </c>
      <c r="P148" s="54" t="n">
        <f aca="false">P46+P82+P118</f>
        <v>507.647816385861</v>
      </c>
      <c r="Q148" s="54" t="n">
        <f aca="false">Q46+Q82+Q118</f>
        <v>578.877838744948</v>
      </c>
      <c r="R148" s="54" t="n">
        <f aca="false">R46+R82+R118</f>
        <v>652.292605595279</v>
      </c>
      <c r="S148" s="54" t="n">
        <f aca="false">S46+S82+S118</f>
        <v>775.29374645538</v>
      </c>
      <c r="T148" s="54" t="n">
        <f aca="false">T46+T82+T118</f>
        <v>899.678755451387</v>
      </c>
      <c r="U148" s="54" t="n">
        <f aca="false">U46+U82+U118</f>
        <v>993.828284392569</v>
      </c>
      <c r="V148" s="54" t="n">
        <f aca="false">V46+V82+V118</f>
        <v>1181.06805254648</v>
      </c>
      <c r="W148" s="54" t="n">
        <f aca="false">W46+W82+W118</f>
        <v>1781.3775192111</v>
      </c>
      <c r="X148" s="54" t="n">
        <f aca="false">X46+X82+X118</f>
        <v>2255.89974682712</v>
      </c>
      <c r="Y148" s="54" t="n">
        <f aca="false">Y46+Y82+Y118</f>
        <v>2825.15550138904</v>
      </c>
      <c r="Z148" s="54" t="n">
        <f aca="false">Z46+Z82+Z118</f>
        <v>3829.33822140079</v>
      </c>
      <c r="AA148" s="54" t="n">
        <f aca="false">AA46+AA82+AA118</f>
        <v>353005.902273601</v>
      </c>
      <c r="AB148" s="54" t="n">
        <f aca="false">AB46+AB82+AB118</f>
        <v>806835.196990576</v>
      </c>
      <c r="AC148" s="54" t="n">
        <f aca="false">AC46+AC82+AC118</f>
        <v>1490888.38976233</v>
      </c>
      <c r="AD148" s="54" t="n">
        <f aca="false">AD46+AD82+AD118</f>
        <v>2436636.60602198</v>
      </c>
      <c r="AE148" s="54" t="n">
        <f aca="false">AE46+AE82+AE118</f>
        <v>3662315.42541916</v>
      </c>
    </row>
    <row r="149" customFormat="false" ht="15" hidden="false" customHeight="false" outlineLevel="0" collapsed="false">
      <c r="A149" s="6" t="s">
        <v>486</v>
      </c>
      <c r="B149" s="23" t="s">
        <v>487</v>
      </c>
      <c r="C149" s="58" t="n">
        <f aca="false">C137+C138-C139</f>
        <v>0</v>
      </c>
      <c r="D149" s="58" t="n">
        <f aca="false">D137+D138-D139</f>
        <v>0</v>
      </c>
      <c r="E149" s="58" t="n">
        <f aca="false">E137+E138-E139</f>
        <v>0</v>
      </c>
      <c r="F149" s="58" t="n">
        <f aca="false">F137+F138-F139</f>
        <v>0</v>
      </c>
      <c r="G149" s="58" t="n">
        <f aca="false">G137+G138-G139</f>
        <v>0</v>
      </c>
      <c r="H149" s="58" t="n">
        <f aca="false">H137+H138-H139</f>
        <v>0</v>
      </c>
      <c r="I149" s="58" t="n">
        <f aca="false">I137+I138-I139</f>
        <v>0</v>
      </c>
      <c r="J149" s="58" t="n">
        <f aca="false">J137+J138-J139</f>
        <v>0</v>
      </c>
      <c r="K149" s="58" t="n">
        <f aca="false">K137+K138-K139</f>
        <v>0</v>
      </c>
      <c r="L149" s="58" t="n">
        <f aca="false">L137+L138-L139</f>
        <v>0</v>
      </c>
      <c r="M149" s="58" t="n">
        <f aca="false">M137+M138-M139</f>
        <v>0</v>
      </c>
      <c r="N149" s="58" t="n">
        <f aca="false">N137+N138-N139</f>
        <v>0</v>
      </c>
      <c r="O149" s="58" t="n">
        <f aca="false">O137+O138-O139</f>
        <v>0</v>
      </c>
      <c r="P149" s="58" t="n">
        <f aca="false">P137+P138-P139</f>
        <v>0</v>
      </c>
      <c r="Q149" s="58" t="n">
        <f aca="false">Q137+Q138-Q139</f>
        <v>0</v>
      </c>
      <c r="R149" s="58" t="n">
        <f aca="false">R137+R138-R139</f>
        <v>0</v>
      </c>
      <c r="S149" s="58" t="n">
        <f aca="false">S137+S138-S139</f>
        <v>0</v>
      </c>
      <c r="T149" s="58" t="n">
        <f aca="false">T137+T138-T139</f>
        <v>0</v>
      </c>
      <c r="U149" s="58" t="n">
        <f aca="false">U137+U138-U139</f>
        <v>0</v>
      </c>
      <c r="V149" s="58" t="n">
        <f aca="false">V137+V138-V139</f>
        <v>0</v>
      </c>
      <c r="W149" s="58" t="n">
        <f aca="false">W137+W138-W139</f>
        <v>0</v>
      </c>
      <c r="X149" s="58" t="n">
        <f aca="false">X137+X138-X139</f>
        <v>0</v>
      </c>
      <c r="Y149" s="58" t="n">
        <f aca="false">Y137+Y138-Y139</f>
        <v>0</v>
      </c>
      <c r="Z149" s="58" t="n">
        <f aca="false">Z137+Z138-Z139</f>
        <v>0</v>
      </c>
      <c r="AA149" s="58" t="n">
        <f aca="false">AA137+AA138-AA139</f>
        <v>0</v>
      </c>
      <c r="AB149" s="58" t="n">
        <f aca="false">AB137+AB138-AB139</f>
        <v>0</v>
      </c>
      <c r="AC149" s="58" t="n">
        <f aca="false">AC137+AC138-AC139</f>
        <v>0</v>
      </c>
      <c r="AD149" s="58" t="n">
        <f aca="false">AD137+AD138-AD139</f>
        <v>0</v>
      </c>
      <c r="AE149" s="58" t="n">
        <f aca="false">AE137+AE138-AE139</f>
        <v>0</v>
      </c>
    </row>
    <row r="150" customFormat="false" ht="15" hidden="false" customHeight="false" outlineLevel="0" collapsed="false">
      <c r="A150" s="6" t="s">
        <v>488</v>
      </c>
      <c r="B150" s="23" t="s">
        <v>109</v>
      </c>
      <c r="C150" s="54" t="n">
        <f aca="false">IF(C137=0,0,C144/C137)</f>
        <v>30.6403897829733</v>
      </c>
      <c r="D150" s="54" t="n">
        <f aca="false">IF(D137=0,0,D144/D137)</f>
        <v>46.4878367045234</v>
      </c>
      <c r="E150" s="54" t="n">
        <f aca="false">IF(E137=0,0,E144/E137)</f>
        <v>62.6042233718195</v>
      </c>
      <c r="F150" s="54" t="n">
        <f aca="false">IF(F137=0,0,F144/F137)</f>
        <v>75.5816835312953</v>
      </c>
      <c r="G150" s="54" t="n">
        <f aca="false">IF(G137=0,0,G144/G137)</f>
        <v>91.1719517893966</v>
      </c>
      <c r="H150" s="54" t="n">
        <f aca="false">IF(H137=0,0,H144/H137)</f>
        <v>109.126754185195</v>
      </c>
      <c r="I150" s="54" t="n">
        <f aca="false">IF(I137=0,0,I144/I137)</f>
        <v>127.041601693793</v>
      </c>
      <c r="J150" s="54" t="n">
        <f aca="false">IF(J137=0,0,J144/J137)</f>
        <v>144.515851333705</v>
      </c>
      <c r="K150" s="54" t="n">
        <f aca="false">IF(K137=0,0,K144/K137)</f>
        <v>160.200199650842</v>
      </c>
      <c r="L150" s="54" t="n">
        <f aca="false">IF(L137=0,0,L144/L137)</f>
        <v>170.115121539978</v>
      </c>
      <c r="M150" s="54" t="n">
        <f aca="false">IF(M137=0,0,M144/M137)</f>
        <v>183.149515663556</v>
      </c>
      <c r="N150" s="54" t="n">
        <f aca="false">IF(N137=0,0,N144/N137)</f>
        <v>199.210642991454</v>
      </c>
      <c r="O150" s="54" t="n">
        <f aca="false">IF(O137=0,0,O144/O137)</f>
        <v>176.751440676919</v>
      </c>
      <c r="P150" s="54" t="n">
        <f aca="false">IF(P137=0,0,P144/P137)</f>
        <v>171.577653475974</v>
      </c>
      <c r="Q150" s="54" t="n">
        <f aca="false">IF(Q137=0,0,Q144/Q137)</f>
        <v>174.274704158726</v>
      </c>
      <c r="R150" s="54" t="n">
        <f aca="false">IF(R137=0,0,R144/R137)</f>
        <v>174.359513539951</v>
      </c>
      <c r="S150" s="54" t="n">
        <f aca="false">IF(S137=0,0,S144/S137)</f>
        <v>181.277395029327</v>
      </c>
      <c r="T150" s="54" t="n">
        <f aca="false">IF(T137=0,0,T144/T137)</f>
        <v>193.710769597256</v>
      </c>
      <c r="U150" s="54" t="n">
        <f aca="false">IF(U137=0,0,U144/U137)</f>
        <v>207.266303237822</v>
      </c>
      <c r="V150" s="54" t="n">
        <f aca="false">IF(V137=0,0,V144/V137)</f>
        <v>220.99543048464</v>
      </c>
      <c r="W150" s="54" t="n">
        <f aca="false">IF(W137=0,0,W144/W137)</f>
        <v>232.888371316693</v>
      </c>
      <c r="X150" s="54" t="n">
        <f aca="false">IF(X137=0,0,X144/X137)</f>
        <v>237.649028456109</v>
      </c>
      <c r="Y150" s="54" t="n">
        <f aca="false">IF(Y137=0,0,Y144/Y137)</f>
        <v>246.473680263606</v>
      </c>
      <c r="Z150" s="54" t="n">
        <f aca="false">IF(Z137=0,0,Z144/Z137)</f>
        <v>259.303022270957</v>
      </c>
      <c r="AA150" s="54" t="n">
        <f aca="false">IF(AA137=0,0,AA144/AA137)</f>
        <v>470.329874901921</v>
      </c>
      <c r="AB150" s="54" t="n">
        <f aca="false">IF(AB137=0,0,AB144/AB137)</f>
        <v>588.218702432492</v>
      </c>
      <c r="AC150" s="54" t="n">
        <f aca="false">IF(AC137=0,0,AC144/AC137)</f>
        <v>679.135398466994</v>
      </c>
      <c r="AD150" s="54" t="n">
        <f aca="false">IF(AD137=0,0,AD144/AD137)</f>
        <v>780.145372788523</v>
      </c>
      <c r="AE150" s="54" t="n">
        <f aca="false">IF(AE137=0,0,AE144/AE137)</f>
        <v>900.916001669642</v>
      </c>
    </row>
    <row r="151" customFormat="false" ht="15" hidden="false" customHeight="false" outlineLevel="0" collapsed="false">
      <c r="A151" s="6" t="s">
        <v>489</v>
      </c>
      <c r="B151" s="23" t="s">
        <v>109</v>
      </c>
      <c r="C151" s="54" t="n">
        <f aca="false">C41*C42+C77*C78+C113*C114</f>
        <v>0</v>
      </c>
      <c r="D151" s="54" t="n">
        <f aca="false">D41*D42+D77*D78+D113*D114</f>
        <v>0</v>
      </c>
      <c r="E151" s="54" t="n">
        <f aca="false">E41*E42+E77*E78+E113*E114</f>
        <v>0</v>
      </c>
      <c r="F151" s="54" t="n">
        <f aca="false">F41*F42+F77*F78+F113*F114</f>
        <v>0</v>
      </c>
      <c r="G151" s="54" t="n">
        <f aca="false">G41*G42+G77*G78+G113*G114</f>
        <v>0</v>
      </c>
      <c r="H151" s="54" t="n">
        <f aca="false">H41*H42+H77*H78+H113*H114</f>
        <v>0</v>
      </c>
      <c r="I151" s="54" t="n">
        <f aca="false">I41*I42+I77*I78+I113*I114</f>
        <v>0</v>
      </c>
      <c r="J151" s="54" t="n">
        <f aca="false">J41*J42+J77*J78+J113*J114</f>
        <v>0</v>
      </c>
      <c r="K151" s="54" t="n">
        <f aca="false">K41*K42+K77*K78+K113*K114</f>
        <v>0</v>
      </c>
      <c r="L151" s="54" t="n">
        <f aca="false">L41*L42+L77*L78+L113*L114</f>
        <v>0</v>
      </c>
      <c r="M151" s="54" t="n">
        <f aca="false">M41*M42+M77*M78+M113*M114</f>
        <v>0</v>
      </c>
      <c r="N151" s="54" t="n">
        <f aca="false">N41*N42+N77*N78+N113*N114</f>
        <v>0</v>
      </c>
      <c r="O151" s="54" t="n">
        <f aca="false">O41*O42+O77*O78+O113*O114</f>
        <v>5055.74369447861</v>
      </c>
      <c r="P151" s="54" t="n">
        <f aca="false">P41*P42+P77*P78+P113*P114</f>
        <v>5801.68933012413</v>
      </c>
      <c r="Q151" s="54" t="n">
        <f aca="false">Q41*Q42+Q77*Q78+Q113*Q114</f>
        <v>6750.76196787112</v>
      </c>
      <c r="R151" s="54" t="n">
        <f aca="false">R41*R42+R77*R78+R113*R114</f>
        <v>7606.91085242307</v>
      </c>
      <c r="S151" s="54" t="n">
        <f aca="false">S41*S42+S77*S78+S113*S114</f>
        <v>8860.49995949006</v>
      </c>
      <c r="T151" s="54" t="n">
        <f aca="false">T41*T42+T77*T78+T113*T114</f>
        <v>10823.2030730994</v>
      </c>
      <c r="U151" s="54" t="n">
        <f aca="false">U41*U42+U77*U78+U113*U114</f>
        <v>12906.8608362671</v>
      </c>
      <c r="V151" s="54" t="n">
        <f aca="false">V41*V42+V77*V78+V113*V114</f>
        <v>14997.6895561457</v>
      </c>
      <c r="W151" s="54" t="n">
        <f aca="false">W41*W42+W77*W78+W113*W114</f>
        <v>20358.6002195555</v>
      </c>
      <c r="X151" s="54" t="n">
        <f aca="false">X41*X42+X77*X78+X113*X114</f>
        <v>25276.1876395196</v>
      </c>
      <c r="Y151" s="54" t="n">
        <f aca="false">Y41*Y42+Y77*Y78+Y113*Y114</f>
        <v>30749.9918518535</v>
      </c>
      <c r="Z151" s="54" t="n">
        <f aca="false">Z41*Z42+Z77*Z78+Z113*Z114</f>
        <v>38389.3556030155</v>
      </c>
      <c r="AA151" s="54" t="n">
        <f aca="false">AA41*AA42+AA77*AA78+AA113*AA114</f>
        <v>336196.09740343</v>
      </c>
      <c r="AB151" s="54" t="n">
        <f aca="false">AB41*AB42+AB77*AB78+AB113*AB114</f>
        <v>768414.473324358</v>
      </c>
      <c r="AC151" s="54" t="n">
        <f aca="false">AC41*AC42+AC77*AC78+AC113*AC114</f>
        <v>1419893.70453556</v>
      </c>
      <c r="AD151" s="54" t="n">
        <f aca="false">AD41*AD42+AD77*AD78+AD113*AD114</f>
        <v>2320606.29144951</v>
      </c>
      <c r="AE151" s="54" t="n">
        <f aca="false">AE41*AE42+AE77*AE78+AE113*AE114</f>
        <v>3487919.45278015</v>
      </c>
    </row>
    <row r="152" customFormat="false" ht="15" hidden="false" customHeight="false" outlineLevel="0" collapsed="false">
      <c r="A152" s="6" t="s">
        <v>490</v>
      </c>
      <c r="B152" s="23" t="s">
        <v>426</v>
      </c>
      <c r="C152" s="59" t="n">
        <f aca="false">IF(C151=0,0,((C46+C82+C118)/C7)/C151)</f>
        <v>0</v>
      </c>
      <c r="D152" s="59" t="n">
        <f aca="false">IF(D151=0,0,((D46+D82+D118)/D7)/D151)</f>
        <v>0</v>
      </c>
      <c r="E152" s="59" t="n">
        <f aca="false">IF(E151=0,0,((E46+E82+E118)/E7)/E151)</f>
        <v>0</v>
      </c>
      <c r="F152" s="59" t="n">
        <f aca="false">IF(F151=0,0,((F46+F82+F118)/F7)/F151)</f>
        <v>0</v>
      </c>
      <c r="G152" s="59" t="n">
        <f aca="false">IF(G151=0,0,((G46+G82+G118)/G7)/G151)</f>
        <v>0</v>
      </c>
      <c r="H152" s="59" t="n">
        <f aca="false">IF(H151=0,0,((H46+H82+H118)/H7)/H151)</f>
        <v>0</v>
      </c>
      <c r="I152" s="59" t="n">
        <f aca="false">IF(I151=0,0,((I46+I82+I118)/I7)/I151)</f>
        <v>0</v>
      </c>
      <c r="J152" s="59" t="n">
        <f aca="false">IF(J151=0,0,((J46+J82+J118)/J7)/J151)</f>
        <v>0</v>
      </c>
      <c r="K152" s="59" t="n">
        <f aca="false">IF(K151=0,0,((K46+K82+K118)/K7)/K151)</f>
        <v>0</v>
      </c>
      <c r="L152" s="59" t="n">
        <f aca="false">IF(L151=0,0,((L46+L82+L118)/L7)/L151)</f>
        <v>0</v>
      </c>
      <c r="M152" s="59" t="n">
        <f aca="false">IF(M151=0,0,((M46+M82+M118)/M7)/M151)</f>
        <v>0</v>
      </c>
      <c r="N152" s="59" t="n">
        <f aca="false">IF(N151=0,0,((N46+N82+N118)/N7)/N151)</f>
        <v>0</v>
      </c>
      <c r="O152" s="59" t="n">
        <f aca="false">IF(O151=0,0,((O46+O82+O118)/O7)/O151)</f>
        <v>0.09625</v>
      </c>
      <c r="P152" s="59" t="n">
        <f aca="false">IF(P151=0,0,((P46+P82+P118)/P7)/P151)</f>
        <v>0.0875</v>
      </c>
      <c r="Q152" s="59" t="n">
        <f aca="false">IF(Q151=0,0,((Q46+Q82+Q118)/Q7)/Q151)</f>
        <v>0.08575</v>
      </c>
      <c r="R152" s="59" t="n">
        <f aca="false">IF(R151=0,0,((R46+R82+R118)/R7)/R151)</f>
        <v>0.08575</v>
      </c>
      <c r="S152" s="59" t="n">
        <f aca="false">IF(S151=0,0,((S46+S82+S118)/S7)/S151)</f>
        <v>0.0875</v>
      </c>
      <c r="T152" s="59" t="n">
        <f aca="false">IF(T151=0,0,((T46+T82+T118)/T7)/T151)</f>
        <v>0.083125</v>
      </c>
      <c r="U152" s="59" t="n">
        <f aca="false">IF(U151=0,0,((U46+U82+U118)/U7)/U151)</f>
        <v>0.077</v>
      </c>
      <c r="V152" s="59" t="n">
        <f aca="false">IF(V151=0,0,((V46+V82+V118)/V7)/V151)</f>
        <v>0.07875</v>
      </c>
      <c r="W152" s="59" t="n">
        <f aca="false">IF(W151=0,0,((W46+W82+W118)/W7)/W151)</f>
        <v>0.0875</v>
      </c>
      <c r="X152" s="59" t="n">
        <f aca="false">IF(X151=0,0,((X46+X82+X118)/X7)/X151)</f>
        <v>0.08925</v>
      </c>
      <c r="Y152" s="59" t="n">
        <f aca="false">IF(Y151=0,0,((Y46+Y82+Y118)/Y7)/Y151)</f>
        <v>0.091875</v>
      </c>
      <c r="Z152" s="59" t="n">
        <f aca="false">IF(Z151=0,0,((Z46+Z82+Z118)/Z7)/Z151)</f>
        <v>0.09975</v>
      </c>
      <c r="AA152" s="59" t="n">
        <f aca="false">IF(AA151=0,0,((AA46+AA82+AA118)/AA7)/AA151)</f>
        <v>0.0875</v>
      </c>
      <c r="AB152" s="59" t="n">
        <f aca="false">IF(AB151=0,0,((AB46+AB82+AB118)/AB7)/AB151)</f>
        <v>0.0875</v>
      </c>
      <c r="AC152" s="59" t="n">
        <f aca="false">IF(AC151=0,0,((AC46+AC82+AC118)/AC7)/AC151)</f>
        <v>0.0875</v>
      </c>
      <c r="AD152" s="59" t="n">
        <f aca="false">IF(AD151=0,0,((AD46+AD82+AD118)/AD7)/AD151)</f>
        <v>0.0875</v>
      </c>
      <c r="AE152" s="59" t="n">
        <f aca="false">IF(AE151=0,0,((AE46+AE82+AE118)/AE7)/AE151)</f>
        <v>0.0875</v>
      </c>
    </row>
    <row r="154" customFormat="false" ht="15" hidden="false" customHeight="false" outlineLevel="0" collapsed="false">
      <c r="A154" s="6" t="s">
        <v>112</v>
      </c>
      <c r="B154" s="23" t="s">
        <v>109</v>
      </c>
      <c r="C154" s="54" t="n">
        <f aca="false">C49+C85+C121</f>
        <v>171.172094497569</v>
      </c>
      <c r="D154" s="54" t="n">
        <f aca="false">D49+D85+D121</f>
        <v>325.334850867713</v>
      </c>
      <c r="E154" s="54" t="n">
        <f aca="false">E49+E85+E121</f>
        <v>465.038352730197</v>
      </c>
      <c r="F154" s="54" t="n">
        <f aca="false">F49+F85+F121</f>
        <v>636.595383650828</v>
      </c>
      <c r="G154" s="54" t="n">
        <f aca="false">G49+G85+G121</f>
        <v>780.977366407029</v>
      </c>
      <c r="H154" s="54" t="n">
        <f aca="false">H49+H85+H121</f>
        <v>891.167105177764</v>
      </c>
      <c r="I154" s="54" t="n">
        <f aca="false">I49+I85+I121</f>
        <v>990.785628814335</v>
      </c>
      <c r="J154" s="54" t="n">
        <f aca="false">J49+J85+J121</f>
        <v>1085.40295859676</v>
      </c>
      <c r="K154" s="54" t="n">
        <f aca="false">K49+K85+K121</f>
        <v>1188.68440423512</v>
      </c>
      <c r="L154" s="54" t="n">
        <f aca="false">L49+L85+L121</f>
        <v>1340.37815381675</v>
      </c>
      <c r="M154" s="54" t="n">
        <f aca="false">M49+M85+M121</f>
        <v>1467.62613093309</v>
      </c>
      <c r="N154" s="54" t="n">
        <f aca="false">N49+N85+N121</f>
        <v>1565.01343312099</v>
      </c>
      <c r="O154" s="54" t="n">
        <f aca="false">O49+O85+O121</f>
        <v>2085.98628133921</v>
      </c>
      <c r="P154" s="54" t="n">
        <f aca="false">P49+P85+P121</f>
        <v>2560.88552034647</v>
      </c>
      <c r="Q154" s="54" t="n">
        <f aca="false">Q49+Q85+Q121</f>
        <v>2996.18616542564</v>
      </c>
      <c r="R154" s="54" t="n">
        <f aca="false">R49+R85+R121</f>
        <v>3558.62206119946</v>
      </c>
      <c r="S154" s="54" t="n">
        <f aca="false">S49+S85+S121</f>
        <v>4035.71634088194</v>
      </c>
      <c r="T154" s="54" t="n">
        <f aca="false">T49+T85+T121</f>
        <v>4396.32496437615</v>
      </c>
      <c r="U154" s="54" t="n">
        <f aca="false">U49+U85+U121</f>
        <v>4725.02973397788</v>
      </c>
      <c r="V154" s="54" t="n">
        <f aca="false">V49+V85+V121</f>
        <v>5041.78033032519</v>
      </c>
      <c r="W154" s="54" t="n">
        <f aca="false">W49+W85+W121</f>
        <v>5398.65811662454</v>
      </c>
      <c r="X154" s="54" t="n">
        <f aca="false">X49+X85+X121</f>
        <v>5951.51064264497</v>
      </c>
      <c r="Y154" s="54" t="n">
        <f aca="false">Y49+Y85+Y121</f>
        <v>6421.62180679936</v>
      </c>
      <c r="Z154" s="54" t="n">
        <f aca="false">Z49+Z85+Z121</f>
        <v>6783.01338960648</v>
      </c>
      <c r="AA154" s="54" t="n">
        <f aca="false">AA49+AA85+AA121</f>
        <v>154847.536730864</v>
      </c>
      <c r="AB154" s="54" t="n">
        <f aca="false">AB49+AB85+AB121</f>
        <v>249297.242053925</v>
      </c>
      <c r="AC154" s="54" t="n">
        <f aca="false">AC49+AC85+AC121</f>
        <v>355436.945596997</v>
      </c>
      <c r="AD154" s="54" t="n">
        <f aca="false">AD49+AD85+AD121</f>
        <v>441269.609763231</v>
      </c>
      <c r="AE154" s="54" t="n">
        <f aca="false">AE49+AE85+AE121</f>
        <v>486214.744613696</v>
      </c>
    </row>
    <row r="155" customFormat="false" ht="15" hidden="false" customHeight="false" outlineLevel="0" collapsed="false">
      <c r="A155" s="6" t="s">
        <v>115</v>
      </c>
      <c r="B155" s="23" t="s">
        <v>109</v>
      </c>
      <c r="C155" s="54" t="n">
        <f aca="false">C50+C86+C122</f>
        <v>9.21712396846023</v>
      </c>
      <c r="D155" s="54" t="n">
        <f aca="false">D50+D86+D122</f>
        <v>17.5229683815665</v>
      </c>
      <c r="E155" s="54" t="n">
        <f aca="false">E50+E86+E122</f>
        <v>25.0540095108</v>
      </c>
      <c r="F155" s="54" t="n">
        <f aca="false">F50+F86+F122</f>
        <v>34.3070464811402</v>
      </c>
      <c r="G155" s="54" t="n">
        <f aca="false">G50+G86+G122</f>
        <v>42.100203945368</v>
      </c>
      <c r="H155" s="54" t="n">
        <f aca="false">H50+H86+H122</f>
        <v>48.0525584024361</v>
      </c>
      <c r="I155" s="54" t="n">
        <f aca="false">I50+I86+I122</f>
        <v>53.437568087511</v>
      </c>
      <c r="J155" s="54" t="n">
        <f aca="false">J50+J86+J122</f>
        <v>58.5556681402787</v>
      </c>
      <c r="K155" s="54" t="n">
        <f aca="false">K50+K86+K122</f>
        <v>64.1454760920064</v>
      </c>
      <c r="L155" s="54" t="n">
        <f aca="false">L50+L86+L122</f>
        <v>72.3578316796226</v>
      </c>
      <c r="M155" s="54" t="n">
        <f aca="false">M50+M86+M122</f>
        <v>79.2543796131765</v>
      </c>
      <c r="N155" s="54" t="n">
        <f aca="false">N50+N86+N122</f>
        <v>84.5397648978403</v>
      </c>
      <c r="O155" s="54" t="n">
        <f aca="false">O50+O86+O122</f>
        <v>115.373723345754</v>
      </c>
      <c r="P155" s="54" t="n">
        <f aca="false">P50+P86+P122</f>
        <v>143.562829147979</v>
      </c>
      <c r="Q155" s="54" t="n">
        <f aca="false">Q50+Q86+Q122</f>
        <v>169.478280099671</v>
      </c>
      <c r="R155" s="54" t="n">
        <f aca="false">R50+R86+R122</f>
        <v>202.929111310316</v>
      </c>
      <c r="S155" s="54" t="n">
        <f aca="false">S50+S86+S122</f>
        <v>231.432463698275</v>
      </c>
      <c r="T155" s="54" t="n">
        <f aca="false">T50+T86+T122</f>
        <v>253.118974248775</v>
      </c>
      <c r="U155" s="54" t="n">
        <f aca="false">U50+U86+U122</f>
        <v>272.964757494303</v>
      </c>
      <c r="V155" s="54" t="n">
        <f aca="false">V50+V86+V122</f>
        <v>292.147575336369</v>
      </c>
      <c r="W155" s="54" t="n">
        <f aca="false">W50+W86+W122</f>
        <v>313.766109177841</v>
      </c>
      <c r="X155" s="54" t="n">
        <f aca="false">X50+X86+X122</f>
        <v>347.133712535747</v>
      </c>
      <c r="Y155" s="54" t="n">
        <f aca="false">Y50+Y86+Y122</f>
        <v>375.682129225184</v>
      </c>
      <c r="Z155" s="54" t="n">
        <f aca="false">Z50+Z86+Z122</f>
        <v>397.819670009779</v>
      </c>
      <c r="AA155" s="54" t="n">
        <f aca="false">AA50+AA86+AA122</f>
        <v>9477.33057071511</v>
      </c>
      <c r="AB155" s="54" t="n">
        <f aca="false">AB50+AB86+AB122</f>
        <v>15818.0460234155</v>
      </c>
      <c r="AC155" s="54" t="n">
        <f aca="false">AC50+AC86+AC122</f>
        <v>23722.1751071684</v>
      </c>
      <c r="AD155" s="54" t="n">
        <f aca="false">AD50+AD86+AD122</f>
        <v>31480.8688260408</v>
      </c>
      <c r="AE155" s="54" t="n">
        <f aca="false">AE50+AE86+AE122</f>
        <v>37791.180435504</v>
      </c>
    </row>
    <row r="156" customFormat="false" ht="15" hidden="false" customHeight="false" outlineLevel="0" collapsed="false">
      <c r="A156" s="6" t="s">
        <v>121</v>
      </c>
      <c r="B156" s="23" t="s">
        <v>109</v>
      </c>
      <c r="C156" s="54" t="n">
        <f aca="false">C51+C87+C123</f>
        <v>0</v>
      </c>
      <c r="D156" s="54" t="n">
        <f aca="false">D51+D87+D123</f>
        <v>0</v>
      </c>
      <c r="E156" s="54" t="n">
        <f aca="false">E51+E87+E123</f>
        <v>0</v>
      </c>
      <c r="F156" s="54" t="n">
        <f aca="false">F51+F87+F123</f>
        <v>0</v>
      </c>
      <c r="G156" s="54" t="n">
        <f aca="false">G51+G87+G123</f>
        <v>0</v>
      </c>
      <c r="H156" s="54" t="n">
        <f aca="false">H51+H87+H123</f>
        <v>0</v>
      </c>
      <c r="I156" s="54" t="n">
        <f aca="false">I51+I87+I123</f>
        <v>0</v>
      </c>
      <c r="J156" s="54" t="n">
        <f aca="false">J51+J87+J123</f>
        <v>0</v>
      </c>
      <c r="K156" s="54" t="n">
        <f aca="false">K51+K87+K123</f>
        <v>0</v>
      </c>
      <c r="L156" s="54" t="n">
        <f aca="false">L51+L87+L123</f>
        <v>0</v>
      </c>
      <c r="M156" s="54" t="n">
        <f aca="false">M51+M87+M123</f>
        <v>0</v>
      </c>
      <c r="N156" s="54" t="n">
        <f aca="false">N51+N87+N123</f>
        <v>0</v>
      </c>
      <c r="O156" s="54" t="n">
        <f aca="false">O51+O87+O123</f>
        <v>2.45254126619157</v>
      </c>
      <c r="P156" s="54" t="n">
        <f aca="false">P51+P87+P123</f>
        <v>2.55854499458474</v>
      </c>
      <c r="Q156" s="54" t="n">
        <f aca="false">Q51+Q87+Q123</f>
        <v>2.91754430727454</v>
      </c>
      <c r="R156" s="54" t="n">
        <f aca="false">R51+R87+R123</f>
        <v>3.2875547322002</v>
      </c>
      <c r="S156" s="54" t="n">
        <f aca="false">S51+S87+S123</f>
        <v>3.90748048213512</v>
      </c>
      <c r="T156" s="54" t="n">
        <f aca="false">T51+T87+T123</f>
        <v>4.53438092747499</v>
      </c>
      <c r="U156" s="54" t="n">
        <f aca="false">U51+U87+U123</f>
        <v>5.00889455333855</v>
      </c>
      <c r="V156" s="54" t="n">
        <f aca="false">V51+V87+V123</f>
        <v>5.95258298483424</v>
      </c>
      <c r="W156" s="54" t="n">
        <f aca="false">W51+W87+W123</f>
        <v>8.97814269682396</v>
      </c>
      <c r="X156" s="54" t="n">
        <f aca="false">X51+X87+X123</f>
        <v>11.3697347240087</v>
      </c>
      <c r="Y156" s="54" t="n">
        <f aca="false">Y51+Y87+Y123</f>
        <v>14.2387837270008</v>
      </c>
      <c r="Z156" s="54" t="n">
        <f aca="false">Z51+Z87+Z123</f>
        <v>19.29986463586</v>
      </c>
      <c r="AA156" s="54" t="n">
        <f aca="false">AA51+AA87+AA123</f>
        <v>1779.14974745895</v>
      </c>
      <c r="AB156" s="54" t="n">
        <f aca="false">AB51+AB87+AB123</f>
        <v>4066.4493928325</v>
      </c>
      <c r="AC156" s="54" t="n">
        <f aca="false">AC51+AC87+AC123</f>
        <v>7514.07748440216</v>
      </c>
      <c r="AD156" s="54" t="n">
        <f aca="false">AD51+AD87+AD123</f>
        <v>12280.6484943508</v>
      </c>
      <c r="AE156" s="54" t="n">
        <f aca="false">AE51+AE87+AE123</f>
        <v>18458.0697441126</v>
      </c>
    </row>
    <row r="157" customFormat="false" ht="15" hidden="false" customHeight="false" outlineLevel="0" collapsed="false">
      <c r="A157" s="6" t="s">
        <v>119</v>
      </c>
      <c r="B157" s="23" t="s">
        <v>109</v>
      </c>
      <c r="C157" s="54" t="n">
        <f aca="false">C52+C88+C124</f>
        <v>0</v>
      </c>
      <c r="D157" s="54" t="n">
        <f aca="false">D52+D88+D124</f>
        <v>0</v>
      </c>
      <c r="E157" s="54" t="n">
        <f aca="false">E52+E88+E124</f>
        <v>0</v>
      </c>
      <c r="F157" s="54" t="n">
        <f aca="false">F52+F88+F124</f>
        <v>0</v>
      </c>
      <c r="G157" s="54" t="n">
        <f aca="false">G52+G88+G124</f>
        <v>0</v>
      </c>
      <c r="H157" s="54" t="n">
        <f aca="false">H52+H88+H124</f>
        <v>0</v>
      </c>
      <c r="I157" s="54" t="n">
        <f aca="false">I52+I88+I124</f>
        <v>1275.64969817701</v>
      </c>
      <c r="J157" s="54" t="n">
        <f aca="false">J52+J88+J124</f>
        <v>1397.44583953531</v>
      </c>
      <c r="K157" s="54" t="n">
        <f aca="false">K52+K88+K124</f>
        <v>1530.38979034111</v>
      </c>
      <c r="L157" s="54" t="n">
        <f aca="false">L52+L88+L124</f>
        <v>1725.64613911068</v>
      </c>
      <c r="M157" s="54" t="n">
        <f aca="false">M52+M88+M124</f>
        <v>1889.42379004028</v>
      </c>
      <c r="N157" s="54" t="n">
        <f aca="false">N52+N88+N124</f>
        <v>2014.75649230397</v>
      </c>
      <c r="O157" s="54" t="n">
        <f aca="false">O52+O88+O124</f>
        <v>2695.10339000617</v>
      </c>
      <c r="P157" s="54" t="n">
        <f aca="false">P52+P88+P124</f>
        <v>3315.29800655835</v>
      </c>
      <c r="Q157" s="54" t="n">
        <f aca="false">Q52+Q88+Q124</f>
        <v>3883.786593718</v>
      </c>
      <c r="R157" s="54" t="n">
        <f aca="false">R52+R88+R124</f>
        <v>4617.89214844936</v>
      </c>
      <c r="S157" s="54" t="n">
        <f aca="false">S52+S88+S124</f>
        <v>5240.65504898489</v>
      </c>
      <c r="T157" s="54" t="n">
        <f aca="false">T52+T88+T124</f>
        <v>5711.50878695131</v>
      </c>
      <c r="U157" s="54" t="n">
        <f aca="false">U52+U88+U124</f>
        <v>6140.7024439768</v>
      </c>
      <c r="V157" s="54" t="n">
        <f aca="false">V52+V88+V124</f>
        <v>6554.23770241613</v>
      </c>
      <c r="W157" s="54" t="n">
        <f aca="false">W52+W88+W124</f>
        <v>7019.97691584616</v>
      </c>
      <c r="X157" s="54" t="n">
        <f aca="false">X52+X88+X124</f>
        <v>7740.95831941057</v>
      </c>
      <c r="Y157" s="54" t="n">
        <f aca="false">Y52+Y88+Y124</f>
        <v>8353.99883705505</v>
      </c>
      <c r="Z157" s="54" t="n">
        <f aca="false">Z52+Z88+Z124</f>
        <v>8825.28715213156</v>
      </c>
      <c r="AA157" s="54" t="n">
        <f aca="false">AA52+AA88+AA124</f>
        <v>201318.359238817</v>
      </c>
      <c r="AB157" s="54" t="n">
        <f aca="false">AB52+AB88+AB124</f>
        <v>323702.26100267</v>
      </c>
      <c r="AC157" s="54" t="n">
        <f aca="false">AC52+AC88+AC124</f>
        <v>460418.128909927</v>
      </c>
      <c r="AD157" s="54" t="n">
        <f aca="false">AD52+AD88+AD124</f>
        <v>569614.455919491</v>
      </c>
      <c r="AE157" s="54" t="n">
        <f aca="false">AE52+AE88+AE124</f>
        <v>624425.704841422</v>
      </c>
    </row>
    <row r="158" customFormat="false" ht="15" hidden="false" customHeight="false" outlineLevel="0" collapsed="false">
      <c r="A158" s="6" t="s">
        <v>123</v>
      </c>
      <c r="B158" s="23" t="s">
        <v>109</v>
      </c>
      <c r="C158" s="54" t="n">
        <f aca="false">C53+C89+C125</f>
        <v>0</v>
      </c>
      <c r="D158" s="54" t="n">
        <f aca="false">D53+D89+D125</f>
        <v>0</v>
      </c>
      <c r="E158" s="54" t="n">
        <f aca="false">E53+E89+E125</f>
        <v>0</v>
      </c>
      <c r="F158" s="54" t="n">
        <f aca="false">F53+F89+F125</f>
        <v>0</v>
      </c>
      <c r="G158" s="54" t="n">
        <f aca="false">G53+G89+G125</f>
        <v>0</v>
      </c>
      <c r="H158" s="54" t="n">
        <f aca="false">H53+H89+H125</f>
        <v>0</v>
      </c>
      <c r="I158" s="54" t="n">
        <f aca="false">I53+I89+I125</f>
        <v>0</v>
      </c>
      <c r="J158" s="54" t="n">
        <f aca="false">J53+J89+J125</f>
        <v>0</v>
      </c>
      <c r="K158" s="54" t="n">
        <f aca="false">K53+K89+K125</f>
        <v>0</v>
      </c>
      <c r="L158" s="54" t="n">
        <f aca="false">L53+L89+L125</f>
        <v>0</v>
      </c>
      <c r="M158" s="54" t="n">
        <f aca="false">M53+M89+M125</f>
        <v>0</v>
      </c>
      <c r="N158" s="54" t="n">
        <f aca="false">N53+N89+N125</f>
        <v>0</v>
      </c>
      <c r="O158" s="54" t="n">
        <f aca="false">O53+O89+O125</f>
        <v>191.043694330731</v>
      </c>
      <c r="P158" s="54" t="n">
        <f aca="false">P53+P89+P125</f>
        <v>223.678437652357</v>
      </c>
      <c r="Q158" s="54" t="n">
        <f aca="false">Q53+Q89+Q125</f>
        <v>255.424536447166</v>
      </c>
      <c r="R158" s="54" t="n">
        <f aca="false">R53+R89+R125</f>
        <v>287.368957015897</v>
      </c>
      <c r="S158" s="54" t="n">
        <f aca="false">S53+S89+S125</f>
        <v>322.562691758951</v>
      </c>
      <c r="T158" s="54" t="n">
        <f aca="false">T53+T89+T125</f>
        <v>372.502210238413</v>
      </c>
      <c r="U158" s="54" t="n">
        <f aca="false">U53+U89+U125</f>
        <v>416.471955744491</v>
      </c>
      <c r="V158" s="54" t="n">
        <f aca="false">V53+V89+V125</f>
        <v>454.620372293552</v>
      </c>
      <c r="W158" s="54" t="n">
        <f aca="false">W53+W89+W125</f>
        <v>587.00413235274</v>
      </c>
      <c r="X158" s="54" t="n">
        <f aca="false">X53+X89+X125</f>
        <v>720.349918580488</v>
      </c>
      <c r="Y158" s="54" t="n">
        <f aca="false">Y53+Y89+Y125</f>
        <v>847.90353472484</v>
      </c>
      <c r="Z158" s="54" t="n">
        <f aca="false">Z53+Z89+Z125</f>
        <v>1006.92112911004</v>
      </c>
      <c r="AA158" s="54" t="n">
        <f aca="false">AA53+AA89+AA125</f>
        <v>60044.0961933353</v>
      </c>
      <c r="AB158" s="54" t="n">
        <f aca="false">AB53+AB89+AB125</f>
        <v>110901.63788143</v>
      </c>
      <c r="AC158" s="54" t="n">
        <f aca="false">AC53+AC89+AC125</f>
        <v>178892.41738042</v>
      </c>
      <c r="AD158" s="54" t="n">
        <f aca="false">AD53+AD89+AD125</f>
        <v>256289.621848624</v>
      </c>
      <c r="AE158" s="54" t="n">
        <f aca="false">AE53+AE89+AE125</f>
        <v>334413.494815998</v>
      </c>
    </row>
    <row r="159" customFormat="false" ht="15" hidden="false" customHeight="false" outlineLevel="0" collapsed="false">
      <c r="A159" s="6" t="s">
        <v>125</v>
      </c>
      <c r="B159" s="23" t="s">
        <v>109</v>
      </c>
      <c r="C159" s="54" t="n">
        <f aca="false">C55+C91+C127</f>
        <v>0</v>
      </c>
      <c r="D159" s="54" t="n">
        <f aca="false">D55+D91+D127</f>
        <v>0</v>
      </c>
      <c r="E159" s="54" t="n">
        <f aca="false">E55+E91+E127</f>
        <v>0</v>
      </c>
      <c r="F159" s="54" t="n">
        <f aca="false">F55+F91+F127</f>
        <v>0</v>
      </c>
      <c r="G159" s="54" t="n">
        <f aca="false">G55+G91+G127</f>
        <v>0</v>
      </c>
      <c r="H159" s="54" t="n">
        <f aca="false">H55+H91+H127</f>
        <v>0</v>
      </c>
      <c r="I159" s="54" t="n">
        <f aca="false">I55+I91+I127</f>
        <v>0</v>
      </c>
      <c r="J159" s="54" t="n">
        <f aca="false">J55+J91+J127</f>
        <v>0</v>
      </c>
      <c r="K159" s="54" t="n">
        <f aca="false">K55+K91+K127</f>
        <v>0</v>
      </c>
      <c r="L159" s="54" t="n">
        <f aca="false">L55+L91+L127</f>
        <v>0</v>
      </c>
      <c r="M159" s="54" t="n">
        <f aca="false">M55+M91+M127</f>
        <v>0</v>
      </c>
      <c r="N159" s="54" t="n">
        <f aca="false">N55+N91+N127</f>
        <v>0</v>
      </c>
      <c r="O159" s="54" t="n">
        <f aca="false">O55+O91+O127</f>
        <v>2.5215521676212</v>
      </c>
      <c r="P159" s="54" t="n">
        <f aca="false">P55+P91+P127</f>
        <v>2.89359255339941</v>
      </c>
      <c r="Q159" s="54" t="n">
        <f aca="false">Q55+Q91+Q127</f>
        <v>3.36694253147572</v>
      </c>
      <c r="R159" s="54" t="n">
        <f aca="false">R55+R91+R127</f>
        <v>3.79394678764601</v>
      </c>
      <c r="S159" s="54" t="n">
        <f aca="false">S55+S91+S127</f>
        <v>4.41917435479567</v>
      </c>
      <c r="T159" s="54" t="n">
        <f aca="false">T55+T91+T127</f>
        <v>5.39807253270833</v>
      </c>
      <c r="U159" s="54" t="n">
        <f aca="false">U55+U91+U127</f>
        <v>6.43729684208823</v>
      </c>
      <c r="V159" s="54" t="n">
        <f aca="false">V55+V91+V127</f>
        <v>7.48009766612769</v>
      </c>
      <c r="W159" s="54" t="n">
        <f aca="false">W55+W91+W127</f>
        <v>10.1538518595033</v>
      </c>
      <c r="X159" s="54" t="n">
        <f aca="false">X55+X91+X127</f>
        <v>12.6064985852104</v>
      </c>
      <c r="Y159" s="54" t="n">
        <f aca="false">Y55+Y91+Y127</f>
        <v>15.3365584361119</v>
      </c>
      <c r="Z159" s="54" t="n">
        <f aca="false">Z55+Z91+Z127</f>
        <v>19.146691107004</v>
      </c>
      <c r="AA159" s="54" t="n">
        <f aca="false">AA55+AA91+AA127</f>
        <v>2012.13364295953</v>
      </c>
      <c r="AB159" s="54" t="n">
        <f aca="false">AB55+AB91+AB127</f>
        <v>4598.96062284628</v>
      </c>
      <c r="AC159" s="54" t="n">
        <f aca="false">AC55+AC91+AC127</f>
        <v>8498.0638216453</v>
      </c>
      <c r="AD159" s="54" t="n">
        <f aca="false">AD55+AD91+AD127</f>
        <v>13888.8286543253</v>
      </c>
      <c r="AE159" s="54" t="n">
        <f aca="false">AE55+AE91+AE127</f>
        <v>20875.1979248892</v>
      </c>
    </row>
    <row r="160" customFormat="false" ht="15" hidden="false" customHeight="false" outlineLevel="0" collapsed="false">
      <c r="A160" s="6" t="s">
        <v>491</v>
      </c>
      <c r="B160" s="23" t="s">
        <v>464</v>
      </c>
      <c r="C160" s="44" t="n">
        <f aca="false">C56+C92+C128</f>
        <v>0.77547304344812</v>
      </c>
      <c r="D160" s="44" t="n">
        <f aca="false">D56+D92+D128</f>
        <v>1.55439481758461</v>
      </c>
      <c r="E160" s="44" t="n">
        <f aca="false">E56+E92+E128</f>
        <v>2.3403175533781</v>
      </c>
      <c r="F160" s="44" t="n">
        <f aca="false">F56+F92+F128</f>
        <v>3.33623258489658</v>
      </c>
      <c r="G160" s="44" t="n">
        <f aca="false">G56+G92+G128</f>
        <v>4.2897208429953</v>
      </c>
      <c r="H160" s="44" t="n">
        <f aca="false">H56+H92+H128</f>
        <v>5.15622219690982</v>
      </c>
      <c r="I160" s="44" t="n">
        <f aca="false">I56+I92+I128</f>
        <v>6.02665240670276</v>
      </c>
      <c r="J160" s="44" t="n">
        <f aca="false">J56+J92+J128</f>
        <v>6.92126798888539</v>
      </c>
      <c r="K160" s="44" t="n">
        <f aca="false">K56+K92+K128</f>
        <v>7.8996071012757</v>
      </c>
      <c r="L160" s="44" t="n">
        <f aca="false">L56+L92+L128</f>
        <v>9.14575532804359</v>
      </c>
      <c r="M160" s="44" t="n">
        <f aca="false">M56+M92+M128</f>
        <v>10.3524953301572</v>
      </c>
      <c r="N160" s="44" t="n">
        <f aca="false">N56+N92+N128</f>
        <v>11.4838159787768</v>
      </c>
      <c r="O160" s="44" t="n">
        <f aca="false">O56+O92+O128</f>
        <v>14.6136374251145</v>
      </c>
      <c r="P160" s="44" t="n">
        <f aca="false">P56+P92+P128</f>
        <v>17.7804120351987</v>
      </c>
      <c r="Q160" s="44" t="n">
        <f aca="false">Q56+Q92+Q128</f>
        <v>20.9918776580707</v>
      </c>
      <c r="R160" s="44" t="n">
        <f aca="false">R56+R92+R128</f>
        <v>24.9937492951064</v>
      </c>
      <c r="S160" s="44" t="n">
        <f aca="false">S56+S92+S128</f>
        <v>28.8721134886452</v>
      </c>
      <c r="T160" s="44" t="n">
        <f aca="false">T56+T92+T128</f>
        <v>32.4435624245121</v>
      </c>
      <c r="U160" s="44" t="n">
        <f aca="false">U56+U92+U128</f>
        <v>36.0404804717693</v>
      </c>
      <c r="V160" s="44" t="n">
        <f aca="false">V56+V92+V128</f>
        <v>39.7391274782814</v>
      </c>
      <c r="W160" s="44" t="n">
        <f aca="false">W56+W92+W128</f>
        <v>43.7725422514544</v>
      </c>
      <c r="X160" s="44" t="n">
        <f aca="false">X56+X92+X128</f>
        <v>48.8741486182139</v>
      </c>
      <c r="Y160" s="44" t="n">
        <f aca="false">Y56+Y92+Y128</f>
        <v>53.8594206458651</v>
      </c>
      <c r="Z160" s="44" t="n">
        <f aca="false">Z56+Z92+Z128</f>
        <v>58.569960257828</v>
      </c>
      <c r="AA160" s="44" t="n">
        <f aca="false">AA56+AA92+AA128</f>
        <v>1735.9083696024</v>
      </c>
      <c r="AB160" s="44" t="n">
        <f aca="false">AB56+AB92+AB128</f>
        <v>3352.34731874849</v>
      </c>
      <c r="AC160" s="44" t="n">
        <f aca="false">AC56+AC92+AC128</f>
        <v>5597.75066175762</v>
      </c>
      <c r="AD160" s="44" t="n">
        <f aca="false">AD56+AD92+AD128</f>
        <v>8289.45887257094</v>
      </c>
      <c r="AE160" s="44" t="n">
        <f aca="false">AE56+AE92+AE128</f>
        <v>11146.8263317215</v>
      </c>
    </row>
    <row r="161" customFormat="false" ht="15" hidden="false" customHeight="false" outlineLevel="0" collapsed="false">
      <c r="A161" s="6" t="s">
        <v>492</v>
      </c>
      <c r="B161" s="23" t="s">
        <v>464</v>
      </c>
      <c r="C161" s="44" t="n">
        <f aca="false">C48+C84+C120</f>
        <v>0</v>
      </c>
      <c r="D161" s="44" t="n">
        <f aca="false">D48+D84+D120</f>
        <v>0</v>
      </c>
      <c r="E161" s="44" t="n">
        <f aca="false">E48+E84+E120</f>
        <v>0</v>
      </c>
      <c r="F161" s="44" t="n">
        <f aca="false">F48+F84+F120</f>
        <v>0</v>
      </c>
      <c r="G161" s="44" t="n">
        <f aca="false">G48+G84+G120</f>
        <v>0</v>
      </c>
      <c r="H161" s="44" t="n">
        <f aca="false">H48+H84+H120</f>
        <v>0</v>
      </c>
      <c r="I161" s="44" t="n">
        <f aca="false">I48+I84+I120</f>
        <v>0</v>
      </c>
      <c r="J161" s="44" t="n">
        <f aca="false">J48+J84+J120</f>
        <v>0</v>
      </c>
      <c r="K161" s="44" t="n">
        <f aca="false">K48+K84+K120</f>
        <v>0</v>
      </c>
      <c r="L161" s="44" t="n">
        <f aca="false">L48+L84+L120</f>
        <v>0</v>
      </c>
      <c r="M161" s="44" t="n">
        <f aca="false">M48+M84+M120</f>
        <v>0</v>
      </c>
      <c r="N161" s="44" t="n">
        <f aca="false">N48+N84+N120</f>
        <v>0</v>
      </c>
      <c r="O161" s="44" t="n">
        <f aca="false">O48+O84+O120</f>
        <v>41.6303461035726</v>
      </c>
      <c r="P161" s="44" t="n">
        <f aca="false">P48+P84+P120</f>
        <v>48.8121456110249</v>
      </c>
      <c r="Q161" s="44" t="n">
        <f aca="false">Q48+Q84+Q120</f>
        <v>55.7408546322489</v>
      </c>
      <c r="R161" s="44" t="n">
        <f aca="false">R48+R84+R120</f>
        <v>62.661600671583</v>
      </c>
      <c r="S161" s="44" t="n">
        <f aca="false">S48+S84+S120</f>
        <v>70.2250112264332</v>
      </c>
      <c r="T161" s="44" t="n">
        <f aca="false">T48+T84+T120</f>
        <v>80.3781103114496</v>
      </c>
      <c r="U161" s="44" t="n">
        <f aca="false">U48+U84+U120</f>
        <v>89.7031890707593</v>
      </c>
      <c r="V161" s="44" t="n">
        <f aca="false">V48+V84+V120</f>
        <v>97.8803238965214</v>
      </c>
      <c r="W161" s="44" t="n">
        <f aca="false">W48+W84+W120</f>
        <v>127.18610435907</v>
      </c>
      <c r="X161" s="44" t="n">
        <f aca="false">X48+X84+X120</f>
        <v>155.471873941683</v>
      </c>
      <c r="Y161" s="44" t="n">
        <f aca="false">Y48+Y84+Y120</f>
        <v>182.945599868993</v>
      </c>
      <c r="Z161" s="44" t="n">
        <f aca="false">Z48+Z84+Z120</f>
        <v>217.696044646575</v>
      </c>
      <c r="AA161" s="44" t="n">
        <f aca="false">AA48+AA84+AA120</f>
        <v>12727.5090781441</v>
      </c>
      <c r="AB161" s="44" t="n">
        <f aca="false">AB48+AB84+AB120</f>
        <v>23275.2826428793</v>
      </c>
      <c r="AC161" s="44" t="n">
        <f aca="false">AC48+AC84+AC120</f>
        <v>37260.3509839945</v>
      </c>
      <c r="AD161" s="44" t="n">
        <f aca="false">AD48+AD84+AD120</f>
        <v>52929.4107731626</v>
      </c>
      <c r="AE161" s="44" t="n">
        <f aca="false">AE48+AE84+AE120</f>
        <v>68338.6242532203</v>
      </c>
    </row>
    <row r="162" customFormat="false" ht="15" hidden="false" customHeight="false" outlineLevel="0" collapsed="false">
      <c r="A162" s="3" t="s">
        <v>493</v>
      </c>
      <c r="B162" s="23" t="s">
        <v>109</v>
      </c>
      <c r="C162" s="56" t="n">
        <f aca="false">C57+C93+C129+C133</f>
        <v>180.389218466029</v>
      </c>
      <c r="D162" s="56" t="n">
        <f aca="false">D57+D93+D129+D133</f>
        <v>342.857819249279</v>
      </c>
      <c r="E162" s="56" t="n">
        <f aca="false">E57+E93+E129+E133</f>
        <v>490.092362240997</v>
      </c>
      <c r="F162" s="56" t="n">
        <f aca="false">F57+F93+F129+F133</f>
        <v>670.902430131969</v>
      </c>
      <c r="G162" s="56" t="n">
        <f aca="false">G57+G93+G129+G133</f>
        <v>823.077570352397</v>
      </c>
      <c r="H162" s="56" t="n">
        <f aca="false">H57+H93+H129+H133</f>
        <v>939.2196635802</v>
      </c>
      <c r="I162" s="56" t="n">
        <f aca="false">I57+I93+I129+I133</f>
        <v>2319.87289507885</v>
      </c>
      <c r="J162" s="56" t="n">
        <f aca="false">J57+J93+J129+J133</f>
        <v>2541.40446627235</v>
      </c>
      <c r="K162" s="56" t="n">
        <f aca="false">K57+K93+K129+K133</f>
        <v>2783.21967066823</v>
      </c>
      <c r="L162" s="56" t="n">
        <f aca="false">L57+L93+L129+L133</f>
        <v>3138.38212460705</v>
      </c>
      <c r="M162" s="56" t="n">
        <f aca="false">M57+M93+M129+M133</f>
        <v>3436.30430058654</v>
      </c>
      <c r="N162" s="56" t="n">
        <f aca="false">N57+N93+N129+N133</f>
        <v>3664.3096903228</v>
      </c>
      <c r="O162" s="56" t="n">
        <f aca="false">O57+O93+O129+O133</f>
        <v>21759.1478491223</v>
      </c>
      <c r="P162" s="56" t="n">
        <f aca="false">P57+P93+P129+P133</f>
        <v>22915.5435979198</v>
      </c>
      <c r="Q162" s="56" t="n">
        <f aca="false">Q57+Q93+Q129+Q133</f>
        <v>23977.8267291959</v>
      </c>
      <c r="R162" s="56" t="n">
        <f aca="false">R57+R93+R129+R133</f>
        <v>25340.5604461615</v>
      </c>
      <c r="S162" s="56" t="n">
        <f aca="false">S57+S93+S129+S133</f>
        <v>26505.3598668277</v>
      </c>
      <c r="T162" s="56" t="n">
        <f aca="false">T57+T93+T129+T133</f>
        <v>27410.0540559415</v>
      </c>
      <c r="U162" s="56" t="n">
        <f aca="false">U57+U93+U129+U133</f>
        <v>28233.2817492556</v>
      </c>
      <c r="V162" s="56" t="n">
        <f aca="false">V57+V93+V129+V133</f>
        <v>29022.8853276889</v>
      </c>
      <c r="W162" s="56" t="n">
        <f aca="false">W57+W93+W129+W133</f>
        <v>30005.2039352243</v>
      </c>
      <c r="X162" s="56" t="n">
        <f aca="false">X57+X93+X129+X133</f>
        <v>31450.5954931477</v>
      </c>
      <c r="Y162" s="56" t="n">
        <f aca="false">Y57+Y93+Y129+Y133</f>
        <v>32695.4483166342</v>
      </c>
      <c r="Z162" s="56" t="n">
        <f aca="false">Z57+Z93+Z129+Z133</f>
        <v>33718.1545632674</v>
      </c>
      <c r="AA162" s="56" t="n">
        <f aca="false">AA57+AA93+AA129+AA133</f>
        <v>829478.60612415</v>
      </c>
      <c r="AB162" s="56" t="n">
        <f aca="false">AB57+AB93+AB129+AB133</f>
        <v>1308384.59697712</v>
      </c>
      <c r="AC162" s="56" t="n">
        <f aca="false">AC57+AC93+AC129+AC133</f>
        <v>1834481.80830056</v>
      </c>
      <c r="AD162" s="56" t="n">
        <f aca="false">AD57+AD93+AD129+AD133</f>
        <v>2324824.03350606</v>
      </c>
      <c r="AE162" s="56" t="n">
        <f aca="false">AE57+AE93+AE129+AE133</f>
        <v>2722178.39237562</v>
      </c>
    </row>
    <row r="163" customFormat="false" ht="15" hidden="false" customHeight="false" outlineLevel="0" collapsed="false">
      <c r="A163" s="6" t="s">
        <v>494</v>
      </c>
      <c r="B163" s="23" t="s">
        <v>109</v>
      </c>
      <c r="C163" s="54" t="n">
        <f aca="false">IF(C137=0,0,C162/C137/C7*12)</f>
        <v>19.6421025029797</v>
      </c>
      <c r="D163" s="54" t="n">
        <f aca="false">IF(D137=0,0,D162/D137/D7*12)</f>
        <v>19.6427288331442</v>
      </c>
      <c r="E163" s="54" t="n">
        <f aca="false">IF(E137=0,0,E162/E137/E7*12)</f>
        <v>19.6433376019901</v>
      </c>
      <c r="F163" s="54" t="n">
        <f aca="false">IF(F137=0,0,F162/F137/F7*12)</f>
        <v>19.6440559255943</v>
      </c>
      <c r="G163" s="54" t="n">
        <f aca="false">IF(G137=0,0,G162/G137/G7*12)</f>
        <v>19.6447445543356</v>
      </c>
      <c r="H163" s="54" t="n">
        <f aca="false">IF(H137=0,0,H162/H137/H7*12)</f>
        <v>19.6453552149658</v>
      </c>
      <c r="I163" s="54" t="n">
        <f aca="false">IF(I137=0,0,I162/I137/I7*12)</f>
        <v>43.6459551250306</v>
      </c>
      <c r="J163" s="54" t="n">
        <f aca="false">IF(J137=0,0,J162/J137/J7*12)</f>
        <v>43.6465625106575</v>
      </c>
      <c r="K163" s="54" t="n">
        <f aca="false">IF(K137=0,0,K162/K137/K7*12)</f>
        <v>43.6472279922549</v>
      </c>
      <c r="L163" s="54" t="n">
        <f aca="false">IF(L137=0,0,L162/L137/L7*12)</f>
        <v>43.6480975348669</v>
      </c>
      <c r="M163" s="54" t="n">
        <f aca="false">IF(M137=0,0,M162/M137/M7*12)</f>
        <v>43.6489175423788</v>
      </c>
      <c r="N163" s="54" t="n">
        <f aca="false">IF(N137=0,0,N162/N137/N7*12)</f>
        <v>43.6496583600432</v>
      </c>
      <c r="O163" s="54" t="n">
        <f aca="false">IF(O137=0,0,O162/O137/O7*12)</f>
        <v>193.766053768253</v>
      </c>
      <c r="P163" s="54" t="n">
        <f aca="false">IF(P137=0,0,P162/P137/P7*12)</f>
        <v>165.889475173005</v>
      </c>
      <c r="Q163" s="54" t="n">
        <f aca="false">IF(Q137=0,0,Q162/Q137/Q7*12)</f>
        <v>148.171849202919</v>
      </c>
      <c r="R163" s="54" t="n">
        <f aca="false">IF(R137=0,0,R162/R137/R7*12)</f>
        <v>131.699362210548</v>
      </c>
      <c r="S163" s="54" t="n">
        <f aca="false">IF(S137=0,0,S162/S137/S7*12)</f>
        <v>121.38342074758</v>
      </c>
      <c r="T163" s="54" t="n">
        <f aca="false">IF(T137=0,0,T162/T137/T7*12)</f>
        <v>115.178199295696</v>
      </c>
      <c r="U163" s="54" t="n">
        <f aca="false">IF(U137=0,0,U162/U137/U7*12)</f>
        <v>110.345480531591</v>
      </c>
      <c r="V163" s="54" t="n">
        <f aca="false">IF(V137=0,0,V162/V137/V7*12)</f>
        <v>106.274639323465</v>
      </c>
      <c r="W163" s="54" t="n">
        <f aca="false">IF(W137=0,0,W162/W137/W7*12)</f>
        <v>102.582231120995</v>
      </c>
      <c r="X163" s="54" t="n">
        <f aca="false">IF(X137=0,0,X162/X137/X7*12)</f>
        <v>97.5091533489898</v>
      </c>
      <c r="Y163" s="54" t="n">
        <f aca="false">IF(Y137=0,0,Y162/Y137/Y7*12)</f>
        <v>93.9299579643993</v>
      </c>
      <c r="Z163" s="54" t="n">
        <f aca="false">IF(Z137=0,0,Z162/Z137/Z7*12)</f>
        <v>91.6951137757556</v>
      </c>
      <c r="AA163" s="54" t="n">
        <f aca="false">IF(AA137=0,0,AA162/AA137/AA7*12)</f>
        <v>98.8855990196305</v>
      </c>
      <c r="AB163" s="54" t="n">
        <f aca="false">IF(AB137=0,0,AB162/AB137/AB7*12)</f>
        <v>97.0065214564315</v>
      </c>
      <c r="AC163" s="54" t="n">
        <f aca="false">IF(AC137=0,0,AC162/AC137/AC7*12)</f>
        <v>95.6251733689372</v>
      </c>
      <c r="AD163" s="54" t="n">
        <f aca="false">IF(AD137=0,0,AD162/AD137/AD7*12)</f>
        <v>97.953582856457</v>
      </c>
      <c r="AE163" s="54" t="n">
        <f aca="false">IF(AE137=0,0,AE162/AE137/AE7*12)</f>
        <v>104.627789840277</v>
      </c>
    </row>
    <row r="164" customFormat="false" ht="15" hidden="false" customHeight="false" outlineLevel="0" collapsed="false">
      <c r="A164" s="6" t="s">
        <v>495</v>
      </c>
      <c r="B164" s="23" t="s">
        <v>487</v>
      </c>
      <c r="C164" s="58" t="n">
        <f aca="false">C162-(C154+C155+C156+C157+C158+C159+C133)</f>
        <v>0</v>
      </c>
      <c r="D164" s="58" t="n">
        <f aca="false">D162-(D154+D155+D156+D157+D158+D159+D133)</f>
        <v>0</v>
      </c>
      <c r="E164" s="58" t="n">
        <f aca="false">E162-(E154+E155+E156+E157+E158+E159+E133)</f>
        <v>0</v>
      </c>
      <c r="F164" s="58" t="n">
        <f aca="false">F162-(F154+F155+F156+F157+F158+F159+F133)</f>
        <v>0</v>
      </c>
      <c r="G164" s="58" t="n">
        <f aca="false">G162-(G154+G155+G156+G157+G158+G159+G133)</f>
        <v>0</v>
      </c>
      <c r="H164" s="58" t="n">
        <f aca="false">H162-(H154+H155+H156+H157+H158+H159+H133)</f>
        <v>0</v>
      </c>
      <c r="I164" s="58" t="n">
        <f aca="false">I162-(I154+I155+I156+I157+I158+I159+I133)</f>
        <v>0</v>
      </c>
      <c r="J164" s="58" t="n">
        <f aca="false">J162-(J154+J155+J156+J157+J158+J159+J133)</f>
        <v>0</v>
      </c>
      <c r="K164" s="58" t="n">
        <f aca="false">K162-(K154+K155+K156+K157+K158+K159+K133)</f>
        <v>0</v>
      </c>
      <c r="L164" s="58" t="n">
        <f aca="false">L162-(L154+L155+L156+L157+L158+L159+L133)</f>
        <v>0</v>
      </c>
      <c r="M164" s="58" t="n">
        <f aca="false">M162-(M154+M155+M156+M157+M158+M159+M133)</f>
        <v>0</v>
      </c>
      <c r="N164" s="58" t="n">
        <f aca="false">N162-(N154+N155+N156+N157+N158+N159+N133)</f>
        <v>0</v>
      </c>
      <c r="O164" s="58" t="n">
        <f aca="false">O162-(O154+O155+O156+O157+O158+O159+O133)</f>
        <v>0</v>
      </c>
      <c r="P164" s="58" t="n">
        <f aca="false">P162-(P154+P155+P156+P157+P158+P159+P133)</f>
        <v>0</v>
      </c>
      <c r="Q164" s="58" t="n">
        <f aca="false">Q162-(Q154+Q155+Q156+Q157+Q158+Q159+Q133)</f>
        <v>0</v>
      </c>
      <c r="R164" s="58" t="n">
        <f aca="false">R162-(R154+R155+R156+R157+R158+R159+R133)</f>
        <v>0</v>
      </c>
      <c r="S164" s="58" t="n">
        <f aca="false">S162-(S154+S155+S156+S157+S158+S159+S133)</f>
        <v>0</v>
      </c>
      <c r="T164" s="58" t="n">
        <f aca="false">T162-(T154+T155+T156+T157+T158+T159+T133)</f>
        <v>0</v>
      </c>
      <c r="U164" s="58" t="n">
        <f aca="false">U162-(U154+U155+U156+U157+U158+U159+U133)</f>
        <v>0</v>
      </c>
      <c r="V164" s="58" t="n">
        <f aca="false">V162-(V154+V155+V156+V157+V158+V159+V133)</f>
        <v>0</v>
      </c>
      <c r="W164" s="58" t="n">
        <f aca="false">W162-(W154+W155+W156+W157+W158+W159+W133)</f>
        <v>0</v>
      </c>
      <c r="X164" s="58" t="n">
        <f aca="false">X162-(X154+X155+X156+X157+X158+X159+X133)</f>
        <v>0</v>
      </c>
      <c r="Y164" s="58" t="n">
        <f aca="false">Y162-(Y154+Y155+Y156+Y157+Y158+Y159+Y133)</f>
        <v>0</v>
      </c>
      <c r="Z164" s="58" t="n">
        <f aca="false">Z162-(Z154+Z155+Z156+Z157+Z158+Z159+Z133)</f>
        <v>0</v>
      </c>
      <c r="AA164" s="58" t="n">
        <f aca="false">AA162-(AA154+AA155+AA156+AA157+AA158+AA159+AA133)</f>
        <v>0</v>
      </c>
      <c r="AB164" s="58" t="n">
        <f aca="false">AB162-(AB154+AB155+AB156+AB157+AB158+AB159+AB133)</f>
        <v>0</v>
      </c>
      <c r="AC164" s="58" t="n">
        <f aca="false">AC162-(AC154+AC155+AC156+AC157+AC158+AC159+AC133)</f>
        <v>0</v>
      </c>
      <c r="AD164" s="58" t="n">
        <f aca="false">AD162-(AD154+AD155+AD156+AD157+AD158+AD159+AD133)</f>
        <v>0</v>
      </c>
      <c r="AE164" s="58" t="n">
        <f aca="false">AE162-(AE154+AE155+AE156+AE157+AE158+AE159+AE133)</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10" min="4" style="0" width="16"/>
  </cols>
  <sheetData>
    <row r="1" customFormat="false" ht="22.05" hidden="false" customHeight="false" outlineLevel="0" collapsed="false">
      <c r="A1" s="10" t="str">
        <f aca="false">Cover!$B$2</f>
        <v>Aurumix Revenue Model</v>
      </c>
    </row>
    <row r="2" customFormat="false" ht="17.35" hidden="false" customHeight="false" outlineLevel="0" collapsed="false">
      <c r="A2" s="11" t="s">
        <v>496</v>
      </c>
    </row>
    <row r="4" customFormat="false" ht="15" hidden="false" customHeight="false" outlineLevel="0" collapsed="false">
      <c r="D4" s="60" t="s">
        <v>497</v>
      </c>
      <c r="E4" s="60" t="s">
        <v>498</v>
      </c>
      <c r="F4" s="60" t="s">
        <v>397</v>
      </c>
      <c r="G4" s="60" t="s">
        <v>398</v>
      </c>
      <c r="H4" s="60" t="s">
        <v>399</v>
      </c>
      <c r="I4" s="60" t="s">
        <v>400</v>
      </c>
      <c r="J4" s="60" t="s">
        <v>401</v>
      </c>
    </row>
    <row r="6" customFormat="false" ht="18" hidden="false" customHeight="true" outlineLevel="0" collapsed="false">
      <c r="A6" s="12" t="s">
        <v>499</v>
      </c>
      <c r="B6" s="13"/>
      <c r="C6" s="13"/>
      <c r="D6" s="13"/>
      <c r="E6" s="13"/>
      <c r="F6" s="13"/>
      <c r="G6" s="13"/>
      <c r="H6" s="13"/>
      <c r="I6" s="13"/>
      <c r="J6" s="13"/>
      <c r="K6" s="13"/>
    </row>
    <row r="7" customFormat="false" ht="15" hidden="false" customHeight="false" outlineLevel="0" collapsed="false">
      <c r="A7" s="6" t="s">
        <v>500</v>
      </c>
      <c r="D7" s="35" t="n">
        <f aca="false">SUM(Model!C57:N57)</f>
        <v>6815.08212314929</v>
      </c>
      <c r="E7" s="35" t="n">
        <f aca="false">SUM(Model!O57:Z57)</f>
        <v>40724.0343309075</v>
      </c>
      <c r="F7" s="35" t="n">
        <f aca="false">Model!AA57</f>
        <v>139147.596566327</v>
      </c>
      <c r="G7" s="35" t="n">
        <f aca="false">Model!AB57</f>
        <v>242627.526723436</v>
      </c>
      <c r="H7" s="35" t="n">
        <f aca="false">Model!AC57</f>
        <v>383737.652980123</v>
      </c>
      <c r="I7" s="35" t="n">
        <f aca="false">Model!AD57</f>
        <v>543093.684432301</v>
      </c>
      <c r="J7" s="35" t="n">
        <f aca="false">Model!AE57</f>
        <v>703653.412028149</v>
      </c>
    </row>
    <row r="8" customFormat="false" ht="15" hidden="false" customHeight="false" outlineLevel="0" collapsed="false">
      <c r="A8" s="6" t="s">
        <v>501</v>
      </c>
      <c r="D8" s="35" t="n">
        <f aca="false">SUM(Model!C93:N93)</f>
        <v>0</v>
      </c>
      <c r="E8" s="35" t="n">
        <f aca="false">SUM(Model!O93:Z93)</f>
        <v>7577.41468028945</v>
      </c>
      <c r="F8" s="35" t="n">
        <f aca="false">Model!AA93</f>
        <v>34300.52703147</v>
      </c>
      <c r="G8" s="35" t="n">
        <f aca="false">Model!AB93</f>
        <v>61405.0611288205</v>
      </c>
      <c r="H8" s="35" t="n">
        <f aca="false">Model!AC93</f>
        <v>97422.6487706543</v>
      </c>
      <c r="I8" s="35" t="n">
        <f aca="false">Model!AD93</f>
        <v>137378.694329412</v>
      </c>
      <c r="J8" s="35" t="n">
        <f aca="false">Model!AE93</f>
        <v>175423.503992484</v>
      </c>
    </row>
    <row r="9" customFormat="false" ht="15" hidden="false" customHeight="false" outlineLevel="0" collapsed="false">
      <c r="A9" s="6" t="s">
        <v>502</v>
      </c>
      <c r="D9" s="35" t="n">
        <f aca="false">SUM(Model!C129:N129)</f>
        <v>14514.9500884074</v>
      </c>
      <c r="E9" s="35" t="n">
        <f aca="false">SUM(Model!O129:Z129)</f>
        <v>84732.6129191898</v>
      </c>
      <c r="F9" s="35" t="n">
        <f aca="false">Model!AA129</f>
        <v>256030.482526353</v>
      </c>
      <c r="G9" s="35" t="n">
        <f aca="false">Model!AB129</f>
        <v>404352.009124863</v>
      </c>
      <c r="H9" s="35" t="n">
        <f aca="false">Model!AC129</f>
        <v>553321.506549782</v>
      </c>
      <c r="I9" s="35" t="n">
        <f aca="false">Model!AD129</f>
        <v>644351.65474435</v>
      </c>
      <c r="J9" s="35" t="n">
        <f aca="false">Model!AE129</f>
        <v>643101.476354989</v>
      </c>
    </row>
    <row r="10" customFormat="false" ht="15" hidden="false" customHeight="false" outlineLevel="0" collapsed="false">
      <c r="A10" s="6" t="s">
        <v>503</v>
      </c>
      <c r="D10" s="35" t="n">
        <f aca="false">SUM(Model!C133:N133)</f>
        <v>0</v>
      </c>
      <c r="E10" s="35" t="n">
        <f aca="false">SUM(Model!O133:Z133)</f>
        <v>200000</v>
      </c>
      <c r="F10" s="35" t="n">
        <f aca="false">Model!AA133</f>
        <v>400000</v>
      </c>
      <c r="G10" s="35" t="n">
        <f aca="false">Model!AB133</f>
        <v>600000</v>
      </c>
      <c r="H10" s="35" t="n">
        <f aca="false">Model!AC133</f>
        <v>800000</v>
      </c>
      <c r="I10" s="35" t="n">
        <f aca="false">Model!AD133</f>
        <v>1000000</v>
      </c>
      <c r="J10" s="35" t="n">
        <f aca="false">Model!AE133</f>
        <v>1200000</v>
      </c>
    </row>
    <row r="11" customFormat="false" ht="15" hidden="false" customHeight="false" outlineLevel="0" collapsed="false">
      <c r="A11" s="3" t="s">
        <v>504</v>
      </c>
      <c r="D11" s="61" t="n">
        <f aca="false">SUM(Model!C162:N162)</f>
        <v>21330.0322115567</v>
      </c>
      <c r="E11" s="61" t="n">
        <f aca="false">SUM(Model!O162:Z162)</f>
        <v>333034.061930387</v>
      </c>
      <c r="F11" s="61" t="n">
        <f aca="false">Model!AA162</f>
        <v>829478.60612415</v>
      </c>
      <c r="G11" s="61" t="n">
        <f aca="false">Model!AB162</f>
        <v>1308384.59697712</v>
      </c>
      <c r="H11" s="61" t="n">
        <f aca="false">Model!AC162</f>
        <v>1834481.80830056</v>
      </c>
      <c r="I11" s="61" t="n">
        <f aca="false">Model!AD162</f>
        <v>2324824.03350606</v>
      </c>
      <c r="J11" s="61" t="n">
        <f aca="false">Model!AE162</f>
        <v>2722178.39237562</v>
      </c>
    </row>
    <row r="13" customFormat="false" ht="18" hidden="false" customHeight="true" outlineLevel="0" collapsed="false">
      <c r="A13" s="12" t="s">
        <v>505</v>
      </c>
      <c r="B13" s="13"/>
      <c r="C13" s="13"/>
      <c r="D13" s="13"/>
      <c r="E13" s="13"/>
      <c r="F13" s="13"/>
      <c r="G13" s="13"/>
      <c r="H13" s="13"/>
      <c r="I13" s="13"/>
      <c r="J13" s="13"/>
      <c r="K13" s="13"/>
    </row>
    <row r="14" customFormat="false" ht="15" hidden="false" customHeight="false" outlineLevel="0" collapsed="false">
      <c r="A14" s="6" t="s">
        <v>506</v>
      </c>
      <c r="D14" s="35" t="n">
        <f aca="false">SUM(Model!C154:N154)</f>
        <v>10908.1758628481</v>
      </c>
      <c r="E14" s="35" t="n">
        <f aca="false">SUM(Model!O154:Z154)</f>
        <v>53955.3353535473</v>
      </c>
      <c r="F14" s="35" t="n">
        <f aca="false">Model!AA154</f>
        <v>154847.536730864</v>
      </c>
      <c r="G14" s="35" t="n">
        <f aca="false">Model!AB154</f>
        <v>249297.242053925</v>
      </c>
      <c r="H14" s="35" t="n">
        <f aca="false">Model!AC154</f>
        <v>355436.945596997</v>
      </c>
      <c r="I14" s="35" t="n">
        <f aca="false">Model!AD154</f>
        <v>441269.609763231</v>
      </c>
      <c r="J14" s="35" t="n">
        <f aca="false">Model!AE154</f>
        <v>486214.744613696</v>
      </c>
    </row>
    <row r="15" customFormat="false" ht="15" hidden="false" customHeight="false" outlineLevel="0" collapsed="false">
      <c r="A15" s="6" t="s">
        <v>507</v>
      </c>
      <c r="D15" s="35" t="n">
        <f aca="false">SUM(Model!C155:N155)</f>
        <v>588.544599200207</v>
      </c>
      <c r="E15" s="35" t="n">
        <f aca="false">SUM(Model!O155:Z155)</f>
        <v>3115.40933562999</v>
      </c>
      <c r="F15" s="35" t="n">
        <f aca="false">Model!AA155</f>
        <v>9477.33057071511</v>
      </c>
      <c r="G15" s="35" t="n">
        <f aca="false">Model!AB155</f>
        <v>15818.0460234155</v>
      </c>
      <c r="H15" s="35" t="n">
        <f aca="false">Model!AC155</f>
        <v>23722.1751071684</v>
      </c>
      <c r="I15" s="35" t="n">
        <f aca="false">Model!AD155</f>
        <v>31480.8688260408</v>
      </c>
      <c r="J15" s="35" t="n">
        <f aca="false">Model!AE155</f>
        <v>37791.180435504</v>
      </c>
    </row>
    <row r="16" customFormat="false" ht="15" hidden="false" customHeight="false" outlineLevel="0" collapsed="false">
      <c r="A16" s="6" t="s">
        <v>508</v>
      </c>
      <c r="D16" s="35" t="n">
        <f aca="false">SUM(Model!C156:N156)</f>
        <v>0</v>
      </c>
      <c r="E16" s="35" t="n">
        <f aca="false">SUM(Model!O156:Z156)</f>
        <v>84.5060500317274</v>
      </c>
      <c r="F16" s="35" t="n">
        <f aca="false">Model!AA156</f>
        <v>1779.14974745895</v>
      </c>
      <c r="G16" s="35" t="n">
        <f aca="false">Model!AB156</f>
        <v>4066.4493928325</v>
      </c>
      <c r="H16" s="35" t="n">
        <f aca="false">Model!AC156</f>
        <v>7514.07748440216</v>
      </c>
      <c r="I16" s="35" t="n">
        <f aca="false">Model!AD156</f>
        <v>12280.6484943508</v>
      </c>
      <c r="J16" s="35" t="n">
        <f aca="false">Model!AE156</f>
        <v>18458.0697441126</v>
      </c>
    </row>
    <row r="17" customFormat="false" ht="15" hidden="false" customHeight="false" outlineLevel="0" collapsed="false">
      <c r="A17" s="6" t="s">
        <v>509</v>
      </c>
      <c r="D17" s="35" t="n">
        <f aca="false">SUM(Model!C157:N157)</f>
        <v>9833.31174950835</v>
      </c>
      <c r="E17" s="35" t="n">
        <f aca="false">SUM(Model!O157:Z157)</f>
        <v>70099.4053455044</v>
      </c>
      <c r="F17" s="35" t="n">
        <f aca="false">Model!AA157</f>
        <v>201318.359238817</v>
      </c>
      <c r="G17" s="35" t="n">
        <f aca="false">Model!AB157</f>
        <v>323702.26100267</v>
      </c>
      <c r="H17" s="35" t="n">
        <f aca="false">Model!AC157</f>
        <v>460418.128909927</v>
      </c>
      <c r="I17" s="35" t="n">
        <f aca="false">Model!AD157</f>
        <v>569614.455919491</v>
      </c>
      <c r="J17" s="35" t="n">
        <f aca="false">Model!AE157</f>
        <v>624425.704841422</v>
      </c>
    </row>
    <row r="18" customFormat="false" ht="15" hidden="false" customHeight="false" outlineLevel="0" collapsed="false">
      <c r="A18" s="6" t="s">
        <v>510</v>
      </c>
      <c r="D18" s="35" t="n">
        <f aca="false">SUM(Model!C158:N158)</f>
        <v>0</v>
      </c>
      <c r="E18" s="35" t="n">
        <f aca="false">SUM(Model!O158:Z158)</f>
        <v>5685.85157024967</v>
      </c>
      <c r="F18" s="35" t="n">
        <f aca="false">Model!AA158</f>
        <v>60044.0961933353</v>
      </c>
      <c r="G18" s="35" t="n">
        <f aca="false">Model!AB158</f>
        <v>110901.63788143</v>
      </c>
      <c r="H18" s="35" t="n">
        <f aca="false">Model!AC158</f>
        <v>178892.41738042</v>
      </c>
      <c r="I18" s="35" t="n">
        <f aca="false">Model!AD158</f>
        <v>256289.621848624</v>
      </c>
      <c r="J18" s="35" t="n">
        <f aca="false">Model!AE158</f>
        <v>334413.494815998</v>
      </c>
    </row>
    <row r="19" customFormat="false" ht="15" hidden="false" customHeight="false" outlineLevel="0" collapsed="false">
      <c r="A19" s="6" t="s">
        <v>511</v>
      </c>
      <c r="D19" s="35" t="n">
        <f aca="false">SUM(Model!C159:N159)</f>
        <v>0</v>
      </c>
      <c r="E19" s="35" t="n">
        <f aca="false">SUM(Model!O159:Z159)</f>
        <v>93.5542754236918</v>
      </c>
      <c r="F19" s="35" t="n">
        <f aca="false">Model!AA159</f>
        <v>2012.13364295953</v>
      </c>
      <c r="G19" s="35" t="n">
        <f aca="false">Model!AB159</f>
        <v>4598.96062284628</v>
      </c>
      <c r="H19" s="35" t="n">
        <f aca="false">Model!AC159</f>
        <v>8498.0638216453</v>
      </c>
      <c r="I19" s="35" t="n">
        <f aca="false">Model!AD159</f>
        <v>13888.8286543253</v>
      </c>
      <c r="J19" s="35" t="n">
        <f aca="false">Model!AE159</f>
        <v>20875.1979248892</v>
      </c>
    </row>
    <row r="20" customFormat="false" ht="15" hidden="false" customHeight="false" outlineLevel="0" collapsed="false">
      <c r="A20" s="6" t="s">
        <v>512</v>
      </c>
      <c r="D20" s="35" t="n">
        <f aca="false">SUM(Model!C133:N133)</f>
        <v>0</v>
      </c>
      <c r="E20" s="35" t="n">
        <f aca="false">SUM(Model!O133:Z133)</f>
        <v>200000</v>
      </c>
      <c r="F20" s="35" t="n">
        <f aca="false">Model!AA133</f>
        <v>400000</v>
      </c>
      <c r="G20" s="35" t="n">
        <f aca="false">Model!AB133</f>
        <v>600000</v>
      </c>
      <c r="H20" s="35" t="n">
        <f aca="false">Model!AC133</f>
        <v>800000</v>
      </c>
      <c r="I20" s="35" t="n">
        <f aca="false">Model!AD133</f>
        <v>1000000</v>
      </c>
      <c r="J20" s="35" t="n">
        <f aca="false">Model!AE133</f>
        <v>1200000</v>
      </c>
    </row>
    <row r="21" customFormat="false" ht="15" hidden="false" customHeight="false" outlineLevel="0" collapsed="false">
      <c r="A21" s="3" t="s">
        <v>513</v>
      </c>
      <c r="D21" s="61" t="n">
        <f aca="false">SUM(Model!C162:N162)</f>
        <v>21330.0322115567</v>
      </c>
      <c r="E21" s="61" t="n">
        <f aca="false">SUM(Model!O162:Z162)</f>
        <v>333034.061930387</v>
      </c>
      <c r="F21" s="61" t="n">
        <f aca="false">Model!AA162</f>
        <v>829478.60612415</v>
      </c>
      <c r="G21" s="61" t="n">
        <f aca="false">Model!AB162</f>
        <v>1308384.59697712</v>
      </c>
      <c r="H21" s="61" t="n">
        <f aca="false">Model!AC162</f>
        <v>1834481.80830056</v>
      </c>
      <c r="I21" s="61" t="n">
        <f aca="false">Model!AD162</f>
        <v>2324824.03350606</v>
      </c>
      <c r="J21" s="61" t="n">
        <f aca="false">Model!AE162</f>
        <v>2722178.39237562</v>
      </c>
    </row>
    <row r="23" customFormat="false" ht="18" hidden="false" customHeight="true" outlineLevel="0" collapsed="false">
      <c r="A23" s="12" t="s">
        <v>514</v>
      </c>
      <c r="B23" s="13"/>
      <c r="C23" s="13"/>
      <c r="D23" s="13"/>
      <c r="E23" s="13"/>
      <c r="F23" s="13"/>
      <c r="G23" s="13"/>
      <c r="H23" s="13"/>
      <c r="I23" s="13"/>
      <c r="J23" s="13"/>
      <c r="K23" s="13"/>
    </row>
    <row r="24" customFormat="false" ht="15" hidden="false" customHeight="false" outlineLevel="0" collapsed="false">
      <c r="A24" s="0" t="s">
        <v>515</v>
      </c>
      <c r="D24" s="62" t="n">
        <f aca="false">IF(D$11=0,0,D14/D$11)</f>
        <v>0.51139987763066</v>
      </c>
      <c r="E24" s="62" t="n">
        <f aca="false">IF(E$11=0,0,E14/E$11)</f>
        <v>0.162011462253448</v>
      </c>
      <c r="F24" s="62" t="n">
        <f aca="false">IF(F$11=0,0,F14/F$11)</f>
        <v>0.186680567271542</v>
      </c>
      <c r="G24" s="62" t="n">
        <f aca="false">IF(G$11=0,0,G14/G$11)</f>
        <v>0.190538196971976</v>
      </c>
      <c r="H24" s="62" t="n">
        <f aca="false">IF(H$11=0,0,H14/H$11)</f>
        <v>0.19375332259428</v>
      </c>
      <c r="I24" s="62" t="n">
        <f aca="false">IF(I$11=0,0,I14/I$11)</f>
        <v>0.189807746050248</v>
      </c>
      <c r="J24" s="62" t="n">
        <f aca="false">IF(J$11=0,0,J14/J$11)</f>
        <v>0.178612373816317</v>
      </c>
    </row>
    <row r="25" customFormat="false" ht="15" hidden="false" customHeight="false" outlineLevel="0" collapsed="false">
      <c r="A25" s="0" t="s">
        <v>516</v>
      </c>
      <c r="D25" s="62" t="n">
        <f aca="false">IF(D$11=0,0,D15/D$11)</f>
        <v>0.0275922977219571</v>
      </c>
      <c r="E25" s="62" t="n">
        <f aca="false">IF(E$11=0,0,E15/E$11)</f>
        <v>0.00935462672368089</v>
      </c>
      <c r="F25" s="62" t="n">
        <f aca="false">IF(F$11=0,0,F15/F$11)</f>
        <v>0.0114256479922963</v>
      </c>
      <c r="G25" s="62" t="n">
        <f aca="false">IF(G$11=0,0,G15/G$11)</f>
        <v>0.01208975255438</v>
      </c>
      <c r="H25" s="62" t="n">
        <f aca="false">IF(H$11=0,0,H15/H$11)</f>
        <v>0.0129312675654954</v>
      </c>
      <c r="I25" s="62" t="n">
        <f aca="false">IF(I$11=0,0,I15/I$11)</f>
        <v>0.0135411834927414</v>
      </c>
      <c r="J25" s="62" t="n">
        <f aca="false">IF(J$11=0,0,J15/J$11)</f>
        <v>0.0138826979676831</v>
      </c>
    </row>
    <row r="26" customFormat="false" ht="15" hidden="false" customHeight="false" outlineLevel="0" collapsed="false">
      <c r="A26" s="0" t="s">
        <v>517</v>
      </c>
      <c r="D26" s="62" t="n">
        <f aca="false">IF(D$11=0,0,D16/D$11)</f>
        <v>0</v>
      </c>
      <c r="E26" s="62" t="n">
        <f aca="false">IF(E$11=0,0,E16/E$11)</f>
        <v>0.000253745966829638</v>
      </c>
      <c r="F26" s="62" t="n">
        <f aca="false">IF(F$11=0,0,F16/F$11)</f>
        <v>0.00214490130827155</v>
      </c>
      <c r="G26" s="62" t="n">
        <f aca="false">IF(G$11=0,0,G16/G$11)</f>
        <v>0.00310799240699378</v>
      </c>
      <c r="H26" s="62" t="n">
        <f aca="false">IF(H$11=0,0,H16/H$11)</f>
        <v>0.00409602180321598</v>
      </c>
      <c r="I26" s="62" t="n">
        <f aca="false">IF(I$11=0,0,I16/I$11)</f>
        <v>0.0052823991482187</v>
      </c>
      <c r="J26" s="62" t="n">
        <f aca="false">IF(J$11=0,0,J16/J$11)</f>
        <v>0.00678062458941362</v>
      </c>
    </row>
    <row r="27" customFormat="false" ht="15" hidden="false" customHeight="false" outlineLevel="0" collapsed="false">
      <c r="A27" s="0" t="s">
        <v>518</v>
      </c>
      <c r="D27" s="62" t="n">
        <f aca="false">IF(D$11=0,0,D17/D$11)</f>
        <v>0.461007824647383</v>
      </c>
      <c r="E27" s="62" t="n">
        <f aca="false">IF(E$11=0,0,E17/E$11)</f>
        <v>0.210487194430452</v>
      </c>
      <c r="F27" s="62" t="n">
        <f aca="false">IF(F$11=0,0,F17/F$11)</f>
        <v>0.24270470359628</v>
      </c>
      <c r="G27" s="62" t="n">
        <f aca="false">IF(G$11=0,0,G17/G$11)</f>
        <v>0.247406046930351</v>
      </c>
      <c r="H27" s="62" t="n">
        <f aca="false">IF(H$11=0,0,H17/H$11)</f>
        <v>0.250979937128105</v>
      </c>
      <c r="I27" s="62" t="n">
        <f aca="false">IF(I$11=0,0,I17/I$11)</f>
        <v>0.245014008677662</v>
      </c>
      <c r="J27" s="62" t="n">
        <f aca="false">IF(J$11=0,0,J17/J$11)</f>
        <v>0.229384564432051</v>
      </c>
    </row>
    <row r="28" customFormat="false" ht="15" hidden="false" customHeight="false" outlineLevel="0" collapsed="false">
      <c r="A28" s="0" t="s">
        <v>519</v>
      </c>
      <c r="D28" s="62" t="n">
        <f aca="false">IF(D$11=0,0,D18/D$11)</f>
        <v>0</v>
      </c>
      <c r="E28" s="62" t="n">
        <f aca="false">IF(E$11=0,0,E18/E$11)</f>
        <v>0.0170728829876812</v>
      </c>
      <c r="F28" s="62" t="n">
        <f aca="false">IF(F$11=0,0,F18/F$11)</f>
        <v>0.0723877575021487</v>
      </c>
      <c r="G28" s="62" t="n">
        <f aca="false">IF(G$11=0,0,G18/G$11)</f>
        <v>0.0847622619049904</v>
      </c>
      <c r="H28" s="62" t="n">
        <f aca="false">IF(H$11=0,0,H18/H$11)</f>
        <v>0.0975165938255574</v>
      </c>
      <c r="I28" s="62" t="n">
        <f aca="false">IF(I$11=0,0,I18/I$11)</f>
        <v>0.110240438912753</v>
      </c>
      <c r="J28" s="62" t="n">
        <f aca="false">IF(J$11=0,0,J18/J$11)</f>
        <v>0.122847751548038</v>
      </c>
    </row>
    <row r="29" customFormat="false" ht="15" hidden="false" customHeight="false" outlineLevel="0" collapsed="false">
      <c r="A29" s="0" t="s">
        <v>520</v>
      </c>
      <c r="D29" s="62" t="n">
        <f aca="false">IF(D$11=0,0,D19/D$11)</f>
        <v>0</v>
      </c>
      <c r="E29" s="62" t="n">
        <f aca="false">IF(E$11=0,0,E19/E$11)</f>
        <v>0.000280915035781677</v>
      </c>
      <c r="F29" s="62" t="n">
        <f aca="false">IF(F$11=0,0,F19/F$11)</f>
        <v>0.00242578124149758</v>
      </c>
      <c r="G29" s="62" t="n">
        <f aca="false">IF(G$11=0,0,G19/G$11)</f>
        <v>0.00351499141267154</v>
      </c>
      <c r="H29" s="62" t="n">
        <f aca="false">IF(H$11=0,0,H19/H$11)</f>
        <v>0.00463240561077997</v>
      </c>
      <c r="I29" s="62" t="n">
        <f aca="false">IF(I$11=0,0,I19/I$11)</f>
        <v>0.00597414189381877</v>
      </c>
      <c r="J29" s="62" t="n">
        <f aca="false">IF(J$11=0,0,J19/J$11)</f>
        <v>0.00766856352374159</v>
      </c>
    </row>
    <row r="30" customFormat="false" ht="15" hidden="false" customHeight="false" outlineLevel="0" collapsed="false">
      <c r="A30" s="0" t="s">
        <v>521</v>
      </c>
      <c r="D30" s="62" t="n">
        <f aca="false">IF(D$11=0,0,D20/D$11)</f>
        <v>0</v>
      </c>
      <c r="E30" s="62" t="n">
        <f aca="false">IF(E$11=0,0,E20/E$11)</f>
        <v>0.600539172602127</v>
      </c>
      <c r="F30" s="62" t="n">
        <f aca="false">IF(F$11=0,0,F20/F$11)</f>
        <v>0.482230641087964</v>
      </c>
      <c r="G30" s="62" t="n">
        <f aca="false">IF(G$11=0,0,G20/G$11)</f>
        <v>0.458580757818638</v>
      </c>
      <c r="H30" s="62" t="n">
        <f aca="false">IF(H$11=0,0,H20/H$11)</f>
        <v>0.436090451472566</v>
      </c>
      <c r="I30" s="62" t="n">
        <f aca="false">IF(I$11=0,0,I20/I$11)</f>
        <v>0.430140081824559</v>
      </c>
      <c r="J30" s="62" t="n">
        <f aca="false">IF(J$11=0,0,J20/J$11)</f>
        <v>0.440823424122756</v>
      </c>
    </row>
    <row r="31" customFormat="false" ht="15" hidden="false" customHeight="false" outlineLevel="0" collapsed="false">
      <c r="A31" s="3" t="s">
        <v>522</v>
      </c>
      <c r="D31" s="38" t="n">
        <f aca="false">SUM(D24:D30)</f>
        <v>1</v>
      </c>
      <c r="E31" s="38" t="n">
        <f aca="false">SUM(E24:E30)</f>
        <v>1</v>
      </c>
      <c r="F31" s="38" t="n">
        <f aca="false">SUM(F24:F30)</f>
        <v>1</v>
      </c>
      <c r="G31" s="38" t="n">
        <f aca="false">SUM(G24:G30)</f>
        <v>1</v>
      </c>
      <c r="H31" s="38" t="n">
        <f aca="false">SUM(H24:H30)</f>
        <v>1</v>
      </c>
      <c r="I31" s="38" t="n">
        <f aca="false">SUM(I24:I30)</f>
        <v>1</v>
      </c>
      <c r="J31" s="38" t="n">
        <f aca="false">SUM(J24:J30)</f>
        <v>1</v>
      </c>
    </row>
    <row r="33" customFormat="false" ht="18" hidden="false" customHeight="true" outlineLevel="0" collapsed="false">
      <c r="A33" s="12" t="s">
        <v>523</v>
      </c>
      <c r="B33" s="13"/>
      <c r="C33" s="13"/>
      <c r="D33" s="13"/>
      <c r="E33" s="13"/>
      <c r="F33" s="13"/>
      <c r="G33" s="13"/>
      <c r="H33" s="13"/>
      <c r="I33" s="13"/>
      <c r="J33" s="13"/>
      <c r="K33" s="13"/>
    </row>
    <row r="34" customFormat="false" ht="15" hidden="false" customHeight="false" outlineLevel="0" collapsed="false">
      <c r="A34" s="6" t="s">
        <v>524</v>
      </c>
      <c r="D34" s="36" t="n">
        <f aca="false">SUM(Model!C140:N140)</f>
        <v>1332.46649645405</v>
      </c>
      <c r="E34" s="36" t="n">
        <f aca="false">SUM(Model!O140:Z140)</f>
        <v>5067.83638079738</v>
      </c>
      <c r="F34" s="36" t="n">
        <f aca="false">Model!AA140</f>
        <v>8038.23011455353</v>
      </c>
      <c r="G34" s="36" t="n">
        <f aca="false">Model!AB140</f>
        <v>11965.7645238721</v>
      </c>
      <c r="H34" s="36" t="n">
        <f aca="false">Model!AC140</f>
        <v>15865.1523558987</v>
      </c>
      <c r="I34" s="36" t="n">
        <f aca="false">Model!AD140</f>
        <v>17775.5313571112</v>
      </c>
      <c r="J34" s="36" t="n">
        <f aca="false">Model!AE140</f>
        <v>17480.7525843085</v>
      </c>
    </row>
    <row r="35" customFormat="false" ht="15" hidden="false" customHeight="false" outlineLevel="0" collapsed="false">
      <c r="A35" s="3" t="s">
        <v>525</v>
      </c>
      <c r="D35" s="63" t="n">
        <f aca="false">Model!N137</f>
        <v>1007.37824615198</v>
      </c>
      <c r="E35" s="63" t="n">
        <f aca="false">Model!Z137</f>
        <v>4412.64357606578</v>
      </c>
      <c r="F35" s="63" t="n">
        <f aca="false">Model!AA137</f>
        <v>8388.26496828405</v>
      </c>
      <c r="G35" s="63" t="n">
        <f aca="false">Model!AB137</f>
        <v>13487.5942084446</v>
      </c>
      <c r="H35" s="63" t="n">
        <f aca="false">Model!AC137</f>
        <v>19184.0887045803</v>
      </c>
      <c r="I35" s="63" t="n">
        <f aca="false">Model!AD137</f>
        <v>23733.9356633121</v>
      </c>
      <c r="J35" s="63" t="n">
        <f aca="false">Model!AE137</f>
        <v>26017.7377017259</v>
      </c>
    </row>
    <row r="36" customFormat="false" ht="15" hidden="false" customHeight="false" outlineLevel="0" collapsed="false">
      <c r="A36" s="6" t="s">
        <v>526</v>
      </c>
      <c r="D36" s="36" t="n">
        <f aca="false">Model!N138</f>
        <v>325.088250302063</v>
      </c>
      <c r="E36" s="36" t="n">
        <f aca="false">Model!Z138</f>
        <v>1987.65930118564</v>
      </c>
      <c r="F36" s="36" t="n">
        <f aca="false">Model!AA138</f>
        <v>6050.2680235209</v>
      </c>
      <c r="G36" s="36" t="n">
        <f aca="false">Model!AB138</f>
        <v>12916.7033072325</v>
      </c>
      <c r="H36" s="36" t="n">
        <f aca="false">Model!AC138</f>
        <v>23085.3611669954</v>
      </c>
      <c r="I36" s="36" t="n">
        <f aca="false">Model!AD138</f>
        <v>36311.0455653748</v>
      </c>
      <c r="J36" s="36" t="n">
        <f aca="false">Model!AE138</f>
        <v>51507.9961112696</v>
      </c>
    </row>
    <row r="37" customFormat="false" ht="15" hidden="false" customHeight="false" outlineLevel="0" collapsed="false">
      <c r="A37" s="6" t="s">
        <v>476</v>
      </c>
      <c r="D37" s="36" t="n">
        <f aca="false">Model!N139</f>
        <v>1332.46649645405</v>
      </c>
      <c r="E37" s="36" t="n">
        <f aca="false">Model!Z139</f>
        <v>6400.30287725142</v>
      </c>
      <c r="F37" s="36" t="n">
        <f aca="false">Model!AA139</f>
        <v>14438.532991805</v>
      </c>
      <c r="G37" s="36" t="n">
        <f aca="false">Model!AB139</f>
        <v>26404.2975156771</v>
      </c>
      <c r="H37" s="36" t="n">
        <f aca="false">Model!AC139</f>
        <v>42269.4498715757</v>
      </c>
      <c r="I37" s="36" t="n">
        <f aca="false">Model!AD139</f>
        <v>60044.9812286869</v>
      </c>
      <c r="J37" s="36" t="n">
        <f aca="false">Model!AE139</f>
        <v>77525.7338129955</v>
      </c>
    </row>
    <row r="38" customFormat="false" ht="15" hidden="false" customHeight="false" outlineLevel="0" collapsed="false">
      <c r="A38" s="6" t="s">
        <v>527</v>
      </c>
      <c r="D38" s="36" t="n">
        <f aca="false">Model!N141</f>
        <v>0</v>
      </c>
      <c r="E38" s="36" t="n">
        <f aca="false">Model!Z141</f>
        <v>293.390895750101</v>
      </c>
      <c r="F38" s="36" t="n">
        <f aca="false">Model!AA141</f>
        <v>1429.41476618869</v>
      </c>
      <c r="G38" s="36" t="n">
        <f aca="false">Model!AB141</f>
        <v>2614.02545405203</v>
      </c>
      <c r="H38" s="36" t="n">
        <f aca="false">Model!AC141</f>
        <v>4184.675537286</v>
      </c>
      <c r="I38" s="36" t="n">
        <f aca="false">Model!AD141</f>
        <v>5944.45314164001</v>
      </c>
      <c r="J38" s="36" t="n">
        <f aca="false">Model!AE141</f>
        <v>7675.04764748655</v>
      </c>
    </row>
    <row r="39" customFormat="false" ht="15" hidden="false" customHeight="false" outlineLevel="0" collapsed="false">
      <c r="A39" s="6" t="s">
        <v>528</v>
      </c>
      <c r="D39" s="36" t="n">
        <f aca="false">Model!N142</f>
        <v>1418.63755232249</v>
      </c>
      <c r="E39" s="36" t="n">
        <f aca="false">Model!Z142</f>
        <v>8088.58910984294</v>
      </c>
      <c r="F39" s="36" t="n">
        <f aca="false">Model!AA142</f>
        <v>27889.5208057204</v>
      </c>
      <c r="G39" s="36" t="n">
        <f aca="false">Model!AB142</f>
        <v>56084.0885354677</v>
      </c>
      <c r="H39" s="36" t="n">
        <f aca="false">Model!AC142</f>
        <v>92100.9029168054</v>
      </c>
      <c r="I39" s="36" t="n">
        <f aca="false">Model!AD142</f>
        <v>130891.560057921</v>
      </c>
      <c r="J39" s="36" t="n">
        <f aca="false">Model!AE142</f>
        <v>165699.110863342</v>
      </c>
    </row>
    <row r="40" customFormat="false" ht="15" hidden="false" customHeight="false" outlineLevel="0" collapsed="false">
      <c r="A40" s="3" t="s">
        <v>529</v>
      </c>
      <c r="D40" s="61" t="n">
        <f aca="false">Model!N144</f>
        <v>200680.46815154</v>
      </c>
      <c r="E40" s="61" t="n">
        <f aca="false">Model!Z144</f>
        <v>1144211.81547838</v>
      </c>
      <c r="F40" s="61" t="n">
        <f aca="false">Model!AA144</f>
        <v>3945251.6131772</v>
      </c>
      <c r="G40" s="61" t="n">
        <f aca="false">Model!AB144</f>
        <v>7933655.16422726</v>
      </c>
      <c r="H40" s="61" t="n">
        <f aca="false">Model!AC144</f>
        <v>13028593.7266113</v>
      </c>
      <c r="I40" s="61" t="n">
        <f aca="false">Model!AD144</f>
        <v>18515920.0857934</v>
      </c>
      <c r="J40" s="61" t="n">
        <f aca="false">Model!AE144</f>
        <v>23439796.2227284</v>
      </c>
    </row>
    <row r="41" customFormat="false" ht="15" hidden="false" customHeight="false" outlineLevel="0" collapsed="false">
      <c r="A41" s="6" t="s">
        <v>494</v>
      </c>
      <c r="D41" s="35" t="n">
        <f aca="false">Model!N163</f>
        <v>43.6496583600432</v>
      </c>
      <c r="E41" s="35" t="n">
        <f aca="false">Model!Z163</f>
        <v>91.6951137757556</v>
      </c>
      <c r="F41" s="35" t="n">
        <f aca="false">Model!AA163</f>
        <v>98.8855990196305</v>
      </c>
      <c r="G41" s="35" t="n">
        <f aca="false">Model!AB163</f>
        <v>97.0065214564315</v>
      </c>
      <c r="H41" s="35" t="n">
        <f aca="false">Model!AC163</f>
        <v>95.6251733689372</v>
      </c>
      <c r="I41" s="35" t="n">
        <f aca="false">Model!AD163</f>
        <v>97.953582856457</v>
      </c>
      <c r="J41" s="35" t="n">
        <f aca="false">Model!AE163</f>
        <v>104.627789840277</v>
      </c>
    </row>
    <row r="43" customFormat="false" ht="15" hidden="false" customHeight="false" outlineLevel="0" collapsed="false">
      <c r="A43" s="9" t="s">
        <v>530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2026-08-21T09:22:11Z</dcterms:created>
  <dc:creator>openpyxl</dc:creator>
  <dc:description/>
  <dc:language>en-US</dc:language>
  <cp:lastModifiedBy/>
  <dcterms:modified xsi:type="dcterms:W3CDTF">2026-08-21T09:22:11Z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