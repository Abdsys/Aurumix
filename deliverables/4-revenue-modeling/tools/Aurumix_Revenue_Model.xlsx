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Assumptions!$B$56</definedName>
    <definedName name="act_india">Assumptions!$B$57</definedName>
    <definedName name="act_referral">Assumptions!$B$55</definedName>
    <definedName name="act_s0">Assumptions!$B$49</definedName>
    <definedName name="act_s1a">Assumptions!$B$47</definedName>
    <definedName name="act_s1b">Assumptions!$B$48</definedName>
    <definedName name="act_s2">Assumptions!$B$51</definedName>
    <definedName name="act_s3">Assumptions!$B$50</definedName>
    <definedName name="act_s4">Assumptions!$B$52</definedName>
    <definedName name="act_s5">Assumptions!$B$53</definedName>
    <definedName name="act_s6">Assumptions!$B$54</definedName>
    <definedName name="aed_usd">Assumptions!$B$7</definedName>
    <definedName name="agent_productivity">'Scenario Parameters'!$B$16</definedName>
    <definedName name="agents_y1">Assumptions!$B$93</definedName>
    <definedName name="agents_y2">Assumptions!$B$94</definedName>
    <definedName name="agents_y3">Assumptions!$B$95</definedName>
    <definedName name="agents_y4">Assumptions!$B$96</definedName>
    <definedName name="agents_y5">Assumptions!$B$97</definedName>
    <definedName name="agents_y6">Assumptions!$B$98</definedName>
    <definedName name="agents_y7">Assumptions!$B$99</definedName>
    <definedName name="agentshare_gulf">Assumptions!$B$115</definedName>
    <definedName name="agentshare_india">Assumptions!$B$116</definedName>
    <definedName name="agentshare_uae">Assumptions!$B$114</definedName>
    <definedName name="atm_a1500">'Scenario Parameters'!$B$51</definedName>
    <definedName name="atm_a3000">'Scenario Parameters'!$B$52</definedName>
    <definedName name="atm_a3000p">'Scenario Parameters'!$B$53</definedName>
    <definedName name="atm_a500">'Scenario Parameters'!$B$50</definedName>
    <definedName name="atm_allowance">Assumptions!$B$18</definedName>
    <definedName name="atm_fee">Assumptions!$B$19</definedName>
    <definedName name="atmm_a1500">'Scenario Parameters'!$B$55</definedName>
    <definedName name="atmm_a3000">'Scenario Parameters'!$B$56</definedName>
    <definedName name="atmm_a3000p">'Scenario Parameters'!$B$57</definedName>
    <definedName name="atmm_a500">'Scenario Parameters'!$B$54</definedName>
    <definedName name="aum_per_partner">'Scenario Parameters'!$B$72</definedName>
    <definedName name="b2b_fee">Assumptions!$B$26</definedName>
    <definedName name="bar_grams">Assumptions!$B$10</definedName>
    <definedName name="cac_gulf">'Scenario Parameters'!$B$18</definedName>
    <definedName name="cac_india">'Scenario Parameters'!$B$19</definedName>
    <definedName name="cac_uae">'Scenario Parameters'!$B$17</definedName>
    <definedName name="card_activation">'Scenario Parameters'!$B$45</definedName>
    <definedName name="card_txns_per_draw">'Scenario Parameters'!$B$46</definedName>
    <definedName name="ceil_gulf">Assumptions!$B$85</definedName>
    <definedName name="ceil_india">Assumptions!$B$86</definedName>
    <definedName name="ceil_total">Assumptions!$B$87</definedName>
    <definedName name="ceil_uae">Assumptions!$B$84</definedName>
    <definedName name="decline_uplift">Assumptions!$B$16</definedName>
    <definedName name="draw_events">'Scenario Parameters'!$B$63</definedName>
    <definedName name="drawn_share">'Scenario Parameters'!$B$61</definedName>
    <definedName name="entry_fee">Assumptions!$B$8</definedName>
    <definedName name="ever_qualify">'Scenario Parameters'!$B$30</definedName>
    <definedName name="fab_premium">Assumptions!$B$9</definedName>
    <definedName name="facility_turnover">'Scenario Parameters'!$B$62</definedName>
    <definedName name="family_attach">'Scenario Parameters'!$B$64</definedName>
    <definedName name="family_price">Assumptions!$B$25</definedName>
    <definedName name="foreign_spend_share">'Scenario Parameters'!$B$47</definedName>
    <definedName name="fx_margin">Assumptions!$B$17</definedName>
    <definedName name="gate_run">Assumptions!$B$42</definedName>
    <definedName name="gold_cagr">'Scenario Parameters'!$B$10</definedName>
    <definedName name="gold_price">Assumptions!$B$6</definedName>
    <definedName name="ic_gold">Assumptions!$B$14</definedName>
    <definedName name="issuance_events">'Scenario Parameters'!$B$48</definedName>
    <definedName name="issuance_fee">Assumptions!$B$20</definedName>
    <definedName name="lapsed_redemption_mult">'Scenario Parameters'!$B$37</definedName>
    <definedName name="ltv_gold">Assumptions!$B$31</definedName>
    <definedName name="mktg_y1">Assumptions!$B$100</definedName>
    <definedName name="mktg_y2">Assumptions!$B$101</definedName>
    <definedName name="mktg_y3">Assumptions!$B$102</definedName>
    <definedName name="mktg_y4">Assumptions!$B$103</definedName>
    <definedName name="mktg_y5">Assumptions!$B$104</definedName>
    <definedName name="mktg_y6">Assumptions!$B$105</definedName>
    <definedName name="mktg_y7">Assumptions!$B$106</definedName>
    <definedName name="mktshare_gulf">'Scenario Parameters'!$B$21</definedName>
    <definedName name="mktshare_india">'Scenario Parameters'!$B$22</definedName>
    <definedName name="mktshare_uae">'Scenario Parameters'!$B$20</definedName>
    <definedName name="monthly_churn">'Scenario Parameters'!$B$15</definedName>
    <definedName name="months_to_qualify">'Scenario Parameters'!$B$31</definedName>
    <definedName name="organic_share">'Scenario Parameters'!$B$25</definedName>
    <definedName name="origination_gross">Assumptions!$B$27</definedName>
    <definedName name="origination_share">Assumptions!$B$28</definedName>
    <definedName name="partners_y1">'Scenario Parameters'!$B$65</definedName>
    <definedName name="partners_y2">'Scenario Parameters'!$B$66</definedName>
    <definedName name="partners_y3">'Scenario Parameters'!$B$67</definedName>
    <definedName name="partners_y4">'Scenario Parameters'!$B$68</definedName>
    <definedName name="partners_y5">'Scenario Parameters'!$B$69</definedName>
    <definedName name="partners_y6">'Scenario Parameters'!$B$70</definedName>
    <definedName name="partners_y7">'Scenario Parameters'!$B$71</definedName>
    <definedName name="persistency_m13">'Scenario Parameters'!$B$14</definedName>
    <definedName name="pm_share">'Scenario Parameters'!$B$44</definedName>
    <definedName name="ramp_y1">Assumptions!$B$107</definedName>
    <definedName name="ramp_y2">Assumptions!$B$108</definedName>
    <definedName name="ramp_y3">Assumptions!$B$109</definedName>
    <definedName name="ramp_y4">Assumptions!$B$110</definedName>
    <definedName name="ramp_y5">Assumptions!$B$111</definedName>
    <definedName name="ramp_y6">Assumptions!$B$112</definedName>
    <definedName name="ramp_y7">Assumptions!$B$113</definedName>
    <definedName name="redemption_cost">Assumptions!$B$43</definedName>
    <definedName name="redemption_rate">'Scenario Parameters'!$B$36</definedName>
    <definedName name="referral_conversion">'Scenario Parameters'!$B$24</definedName>
    <definedName name="referral_rate">'Scenario Parameters'!$B$23</definedName>
    <definedName name="replacement_events">'Scenario Parameters'!$B$49</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Parameters'!$B$26</definedName>
    <definedName name="self_custody_leakage">'Scenario Parameters'!$B$35</definedName>
    <definedName name="servicing_gross">Assumptions!$B$29</definedName>
    <definedName name="servicing_share">Assumptions!$B$30</definedName>
    <definedName name="sip_floor">Assumptions!$B$41</definedName>
    <definedName name="spot_attach_mult">'Scenario Parameters'!$B$38</definedName>
    <definedName name="spot_frequency">'Scenario Parameters'!$B$40</definedName>
    <definedName name="spot_ticket_mult">'Scenario Parameters'!$B$39</definedName>
    <definedName name="spotattach_gulf">Assumptions!$B$36</definedName>
    <definedName name="spotattach_india">Assumptions!$B$37</definedName>
    <definedName name="spotattach_uae">Assumptions!$B$35</definedName>
    <definedName name="spotticket_gulf">Assumptions!$B$33</definedName>
    <definedName name="spotticket_india">Assumptions!$B$34</definedName>
    <definedName name="spotticket_uae">Assumptions!$B$32</definedName>
    <definedName name="sw_lapsed_keeps_card">'Scenario Parameters'!$B$83</definedName>
    <definedName name="sw_prepaid_vs_credit">'Scenario Parameters'!$B$82</definedName>
    <definedName name="ticket_gulf">'Scenario Parameters'!$B$77</definedName>
    <definedName name="ticket_india">'Scenario Parameters'!$B$78</definedName>
    <definedName name="ticket_uae">'Scenario Parameters'!$B$76</definedName>
    <definedName name="txn_fee">Assumptions!$B$15</definedName>
    <definedName name="xchk_uae_obs">Assumptions!$B$89</definedName>
  </definedNames>
  <calcPr calcId="124519" fullCalcOnLoad="1"/>
</workbook>
</file>

<file path=xl/styles.xml><?xml version="1.0" encoding="utf-8"?>
<styleSheet xmlns="http://schemas.openxmlformats.org/spreadsheetml/2006/main">
  <numFmts count="8">
    <numFmt numFmtId="164" formatCode="mmmm yyyy"/>
    <numFmt numFmtId="165" formatCode="#,##0.00;(#,##0.00);&quot;-&quot;"/>
    <numFmt numFmtId="166" formatCode="#,##0;(#,##0);&quot;-&quot;"/>
    <numFmt numFmtId="167" formatCode="$#,##0.00;($#,##0.00);&quot;-&quot;"/>
    <numFmt numFmtId="168" formatCode="0.0%"/>
    <numFmt numFmtId="169" formatCode="$#,##0;($#,##0);&quot;-&quot;"/>
    <numFmt numFmtId="170" formatCode="0.00&quot;x&quot;"/>
    <numFmt numFmtId="171" formatCode="#,##0.000"/>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70" fontId="3" fillId="0" borderId="0" pivotButton="0" quotePrefix="0" xfId="0"/>
    <xf numFmtId="10" fontId="6" fillId="0" borderId="0" pivotButton="0" quotePrefix="0" xfId="0"/>
    <xf numFmtId="168" fontId="6" fillId="0" borderId="0" pivotButton="0" quotePrefix="0" xfId="0"/>
    <xf numFmtId="165" fontId="6" fillId="0" borderId="0" pivotButton="0" quotePrefix="0" xfId="0"/>
    <xf numFmtId="169" fontId="6" fillId="0" borderId="0" pivotButton="0" quotePrefix="0" xfId="0"/>
    <xf numFmtId="166" fontId="6" fillId="0" borderId="0" pivotButton="0" quotePrefix="0" xfId="0"/>
    <xf numFmtId="0" fontId="14" fillId="0" borderId="0" pivotButton="0" quotePrefix="0" xfId="0"/>
    <xf numFmtId="10" fontId="3" fillId="0" borderId="0" pivotButton="0" quotePrefix="0" xfId="0"/>
    <xf numFmtId="168" fontId="3" fillId="0" borderId="0" pivotButton="0" quotePrefix="0" xfId="0"/>
    <xf numFmtId="165" fontId="3" fillId="0" borderId="0" pivotButton="0" quotePrefix="0" xfId="0"/>
    <xf numFmtId="169"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1" fontId="6" fillId="0" borderId="0" applyAlignment="1" pivotButton="0" quotePrefix="0" xfId="0">
      <alignment horizontal="center"/>
    </xf>
    <xf numFmtId="168" fontId="6" fillId="0" borderId="0" applyAlignment="1" pivotButton="0" quotePrefix="0" xfId="0">
      <alignment horizontal="center"/>
    </xf>
    <xf numFmtId="171" fontId="3" fillId="0" borderId="0" pivotButton="0" quotePrefix="0" xfId="0"/>
    <xf numFmtId="171"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9" fontId="6" fillId="0" borderId="0" applyAlignment="1" pivotButton="0" quotePrefix="0" xfId="0">
      <alignment horizontal="center"/>
    </xf>
    <xf numFmtId="171" fontId="3" fillId="0" borderId="0" applyAlignment="1" pivotButton="0" quotePrefix="0" xfId="0">
      <alignment horizontal="center"/>
    </xf>
    <xf numFmtId="170"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at M1</t>
        </is>
      </c>
      <c r="B6" s="15" t="n">
        <v>141.46</v>
      </c>
      <c r="C6" t="inlineStr">
        <is>
          <t>USD/g</t>
        </is>
      </c>
      <c r="D6" t="inlineStr">
        <is>
          <t>USD 4,400/oz verified 2026-08-17. THE STARTING PRICE - it no longer holds for the whole horizon; see the appreciation rate below and the live 'Gold price (this period)' row on the Model.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120</v>
      </c>
      <c r="C25" t="inlineStr">
        <is>
          <t>USD/yr</t>
        </is>
      </c>
      <c r="D25" t="inlineStr">
        <is>
          <t>Price is ours; the cost floor is verified. ASSUMPTION.</t>
        </is>
      </c>
    </row>
    <row r="26">
      <c r="A26" t="inlineStr">
        <is>
          <t>B2B platform fee</t>
        </is>
      </c>
      <c r="B26" s="16" t="n">
        <v>0.00625</v>
      </c>
      <c r="C26" t="inlineStr">
        <is>
          <t>% of partner AUM/yr</t>
        </is>
      </c>
      <c r="D26" t="inlineStr">
        <is>
          <t>Placeholder in the 0.5-0.75% band, coupled to the partner set. ASSUMPTION.</t>
        </is>
      </c>
    </row>
    <row r="27">
      <c r="A27" t="inlineStr">
        <is>
          <t>Credit origination fee - gross</t>
        </is>
      </c>
      <c r="B27" s="16" t="n">
        <v>0.01</v>
      </c>
      <c r="C27" t="inlineStr">
        <is>
          <t>% of draw</t>
        </is>
      </c>
      <c r="D27" t="inlineStr">
        <is>
          <t>Finance House UAE gold loan Key Facts Statement carries a 1% processing fee - the one gross rate with a real UAE anchor. CITED.</t>
        </is>
      </c>
    </row>
    <row r="28">
      <c r="A28" t="inlineStr">
        <is>
          <t>Credit origination - Aurumix share</t>
        </is>
      </c>
      <c r="B28" s="19" t="n">
        <v>0.5</v>
      </c>
      <c r="C28" t="inlineStr">
        <is>
          <t>% of gross</t>
        </is>
      </c>
      <c r="D28" t="inlineStr">
        <is>
          <t>ASSUMPTION.</t>
        </is>
      </c>
    </row>
    <row r="29">
      <c r="A29" t="inlineStr">
        <is>
          <t>Credit servicing fee - gross</t>
        </is>
      </c>
      <c r="B29" s="16" t="n">
        <v>0.005</v>
      </c>
      <c r="C29" t="inlineStr">
        <is>
          <t>%/yr of drawn</t>
        </is>
      </c>
      <c r="D29" t="inlineStr">
        <is>
          <t>ASSUMPTION.</t>
        </is>
      </c>
    </row>
    <row r="30">
      <c r="A30" t="inlineStr">
        <is>
          <t>Credit servicing - Aurumix share</t>
        </is>
      </c>
      <c r="B30" s="19" t="n">
        <v>0.7</v>
      </c>
      <c r="C30" t="inlineStr">
        <is>
          <t>% of gross</t>
        </is>
      </c>
      <c r="D30" t="inlineStr">
        <is>
          <t>The highest of the heads: servicing is where Aurumix does the actual work. ASSUMPTION.</t>
        </is>
      </c>
    </row>
    <row r="31">
      <c r="A31" t="inlineStr">
        <is>
          <t>LTV against collateral</t>
        </is>
      </c>
      <c r="B31" s="19" t="n">
        <v>0.5</v>
      </c>
      <c r="C31" t="inlineStr">
        <is>
          <t>% of collateral</t>
        </is>
      </c>
      <c r="D31" t="inlineStr">
        <is>
          <t>_draft_ics-scoring.md sec 6.2, settled 2026-08-13. CITED.</t>
        </is>
      </c>
    </row>
    <row r="32">
      <c r="A32" t="inlineStr">
        <is>
          <t>Spot ticket - UAE</t>
        </is>
      </c>
      <c r="B32" s="20" t="n">
        <v>190</v>
      </c>
      <c r="C32" t="inlineStr">
        <is>
          <t>USD/purchase</t>
        </is>
      </c>
      <c r="D32" t="inlineStr">
        <is>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is>
      </c>
    </row>
    <row r="33">
      <c r="A33" t="inlineStr">
        <is>
          <t>Spot ticket - Oman and Bahrain</t>
        </is>
      </c>
      <c r="B33" s="20" t="n">
        <v>145</v>
      </c>
      <c r="C33" t="inlineStr">
        <is>
          <t>USD/purchase</t>
        </is>
      </c>
      <c r="D33" t="inlineStr">
        <is>
          <t>⚠ INFERRED - THE WEAKEST OF THE THREE. No GCC platform outside the UAE publishes an average ticket; this is a CONFIRMED NEGATIVE, not a gap in the search. Taken as the UAE figure scaled by the regional income gap (SIP 26.00/33.60 = 0.77x). Do not present this as sourced.</t>
        </is>
      </c>
    </row>
    <row r="34">
      <c r="A34" t="inlineStr">
        <is>
          <t>Spot ticket - India</t>
        </is>
      </c>
      <c r="B34" s="20" t="n">
        <v>40</v>
      </c>
      <c r="C34" t="inlineStr">
        <is>
          <t>USD/purchase</t>
        </is>
      </c>
      <c r="D34" t="inlineStr">
        <is>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is>
      </c>
    </row>
    <row r="35">
      <c r="A35" t="inlineStr">
        <is>
          <t>Spot attach rate - UAE</t>
        </is>
      </c>
      <c r="B35" s="19" t="n">
        <v>0.12</v>
      </c>
      <c r="C35" t="inlineStr">
        <is>
          <t>% of customers/yr</t>
        </is>
      </c>
      <c r="D35"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6">
      <c r="A36" t="inlineStr">
        <is>
          <t>Spot attach rate - Oman and Bahrain</t>
        </is>
      </c>
      <c r="B36" s="19" t="n">
        <v>0.1</v>
      </c>
      <c r="C36" t="inlineStr">
        <is>
          <t>% of customers/yr</t>
        </is>
      </c>
      <c r="D36"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7">
      <c r="A37" t="inlineStr">
        <is>
          <t>Spot attach rate - India</t>
        </is>
      </c>
      <c r="B37" s="19" t="n">
        <v>0.35</v>
      </c>
      <c r="C37" t="inlineStr">
        <is>
          <t>% of customers/yr</t>
        </is>
      </c>
      <c r="D37"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9" ht="18" customHeight="1">
      <c r="A39" s="12" t="inlineStr">
        <is>
          <t>SIP RULES</t>
        </is>
      </c>
      <c r="B39" s="13" t="n"/>
      <c r="C39" s="13" t="n"/>
      <c r="D39" s="13" t="n"/>
    </row>
    <row r="40">
      <c r="A40" s="14" t="inlineStr">
        <is>
          <t>Parameter</t>
        </is>
      </c>
      <c r="B40" s="14" t="inlineStr">
        <is>
          <t>Value</t>
        </is>
      </c>
      <c r="C40" s="14" t="inlineStr">
        <is>
          <t>Unit</t>
        </is>
      </c>
      <c r="D40" s="14" t="inlineStr">
        <is>
          <t>Source</t>
        </is>
      </c>
    </row>
    <row r="41">
      <c r="A41" t="inlineStr">
        <is>
          <t>SIP hard floor</t>
        </is>
      </c>
      <c r="B41" s="18" t="n">
        <v>20</v>
      </c>
      <c r="C41" t="inlineStr">
        <is>
          <t>USD/month</t>
        </is>
      </c>
      <c r="D41" t="inlineStr">
        <is>
          <t>Rejected outright below; never partially credited. CITED.</t>
        </is>
      </c>
    </row>
    <row r="42">
      <c r="A42" t="inlineStr">
        <is>
          <t>Confirmed SIP gate</t>
        </is>
      </c>
      <c r="B42" s="17" t="n">
        <v>6</v>
      </c>
      <c r="C42" t="inlineStr">
        <is>
          <t>consecutive payments</t>
        </is>
      </c>
      <c r="D42" t="inlineStr">
        <is>
          <t>Client's own figure. The gate is why eligibility is NOT universal - see the two eligibility parameters on the Scenario sheet. CLIENT INPUT.</t>
        </is>
      </c>
    </row>
    <row r="43">
      <c r="A43" t="inlineStr">
        <is>
          <t>Cost per redemption event (memo - for the cost build)</t>
        </is>
      </c>
      <c r="B43" s="18" t="n">
        <v>3.2</v>
      </c>
      <c r="C43" t="inlineStr">
        <is>
          <t>USD</t>
        </is>
      </c>
      <c r="D43" t="inlineStr">
        <is>
          <t>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5" ht="18" customHeight="1">
      <c r="A45" s="12" t="inlineStr">
        <is>
          <t>ACTIVATION CALENDAR - the single source of every activation period</t>
        </is>
      </c>
      <c r="B45" s="13" t="n"/>
      <c r="C45" s="13" t="n"/>
      <c r="D45" s="13" t="n"/>
    </row>
    <row r="46">
      <c r="A46" s="14" t="inlineStr">
        <is>
          <t>Parameter</t>
        </is>
      </c>
      <c r="B46" s="14" t="inlineStr">
        <is>
          <t>Value</t>
        </is>
      </c>
      <c r="C46" s="14" t="inlineStr">
        <is>
          <t>Unit</t>
        </is>
      </c>
      <c r="D46" s="14" t="inlineStr">
        <is>
          <t>Source</t>
        </is>
      </c>
    </row>
    <row r="47">
      <c r="A47" t="inlineStr">
        <is>
          <t>Stream 1a - Entry fee, SIP</t>
        </is>
      </c>
      <c r="B47" s="17" t="n">
        <v>1</v>
      </c>
      <c r="C47" t="inlineStr">
        <is>
          <t>period # (from)</t>
        </is>
      </c>
      <c r="D47" t="inlineStr">
        <is>
          <t>M1. The core product - live at launch.</t>
        </is>
      </c>
    </row>
    <row r="48">
      <c r="A48" t="inlineStr">
        <is>
          <t>Stream 1b - Entry fee, SPOT</t>
        </is>
      </c>
      <c r="B48" s="17" t="n">
        <v>1</v>
      </c>
      <c r="C48" t="inlineStr">
        <is>
          <t>period # (from)</t>
        </is>
      </c>
      <c r="D48" t="inlineStr">
        <is>
          <t>M1. A sub-stream of 1: the same fee on the same gold through a different rail, so it needs no additional build.</t>
        </is>
      </c>
    </row>
    <row r="49">
      <c r="A49" t="inlineStr">
        <is>
          <t>Stream 0 - Redemption cost</t>
        </is>
      </c>
      <c r="B49" s="17" t="n">
        <v>1</v>
      </c>
      <c r="C49" t="inlineStr">
        <is>
          <t>period # (from)</t>
        </is>
      </c>
      <c r="D49" t="inlineStr">
        <is>
          <t>M1. A mandatory cost from day one. VARA Annex 2 III.E.4 forbids charging any fee on redemption, so there is no offsetting revenue and there can never be an exit fee.</t>
        </is>
      </c>
    </row>
    <row r="50">
      <c r="A50" t="inlineStr">
        <is>
          <t>Stream 3 - Family plan and Digital Will</t>
        </is>
      </c>
      <c r="B50" s="17" t="n">
        <v>7</v>
      </c>
      <c r="C50" t="inlineStr">
        <is>
          <t>period # (from)</t>
        </is>
      </c>
      <c r="D50"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51">
      <c r="A51" t="inlineStr">
        <is>
          <t>Stream 2 - Card interchange</t>
        </is>
      </c>
      <c r="B51" s="17" t="n">
        <v>13</v>
      </c>
      <c r="C51" t="inlineStr">
        <is>
          <t>period # (from)</t>
        </is>
      </c>
      <c r="D51"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52">
      <c r="A52" t="inlineStr">
        <is>
          <t>Stream 4 - Cardholder fees</t>
        </is>
      </c>
      <c r="B52" s="17" t="n">
        <v>13</v>
      </c>
      <c r="C52" t="inlineStr">
        <is>
          <t>period # (from)</t>
        </is>
      </c>
      <c r="D52" t="inlineStr">
        <is>
          <t>M13, necessarily with stream 2 - FX, ATM and issuance fees cannot exist before the card does.</t>
        </is>
      </c>
    </row>
    <row r="53">
      <c r="A53" t="inlineStr">
        <is>
          <t>Stream 5 - Lending revenue share</t>
        </is>
      </c>
      <c r="B53" s="17" t="n">
        <v>13</v>
      </c>
      <c r="C53" t="inlineStr">
        <is>
          <t>period # (from)</t>
        </is>
      </c>
      <c r="D53"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4">
      <c r="A54" t="inlineStr">
        <is>
          <t>Stream 6 - B2B platform fee</t>
        </is>
      </c>
      <c r="B54" s="17" t="n">
        <v>13</v>
      </c>
      <c r="C54" t="inlineStr">
        <is>
          <t>period # (from)</t>
        </is>
      </c>
      <c r="D54"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5">
      <c r="A55" t="inlineStr">
        <is>
          <t>Referral channel begins</t>
        </is>
      </c>
      <c r="B55" s="17" t="n">
        <v>13</v>
      </c>
      <c r="C55" t="inlineStr">
        <is>
          <t>period # (from)</t>
        </is>
      </c>
      <c r="D55"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6">
      <c r="A56" t="inlineStr">
        <is>
          <t>Region opens - Oman and Bahrain</t>
        </is>
      </c>
      <c r="B56" s="17" t="n">
        <v>13</v>
      </c>
      <c r="C56" t="inlineStr">
        <is>
          <t>period # (from)</t>
        </is>
      </c>
      <c r="D56" t="inlineStr">
        <is>
          <t>M13 (client decision 2026-08-20). THE ONLY STAGED REGION, and the reason is regulatory: it requires local authorisation in a second and third jurisdiction. These customers are also NOT UAE-resident, so the VAT and reporting treatment differs.</t>
        </is>
      </c>
    </row>
    <row r="57">
      <c r="A57" t="inlineStr">
        <is>
          <t>Region opens - India</t>
        </is>
      </c>
      <c r="B57" s="17" t="n">
        <v>1</v>
      </c>
      <c r="C57" t="inlineStr">
        <is>
          <t>period # (from)</t>
        </is>
      </c>
      <c r="D57" t="inlineStr">
        <is>
          <t>M1 (client decision 2026-08-20, moved earlier from M13). The India payment route is ASSUMED SOLVED in this model. ⚠ That is a live assumption, not a settled fact - if the route is not solved, this region does not open at all and roughly a quarter of terminal revenue goes with it.</t>
        </is>
      </c>
    </row>
    <row r="59" ht="18" customHeight="1">
      <c r="A59" s="12" t="inlineStr">
        <is>
          <t>SEASONALITY VECTORS (raw - the Model normalises to exactly 12.000)</t>
        </is>
      </c>
      <c r="B59" s="13" t="n"/>
      <c r="C59" s="13" t="n"/>
      <c r="D59" s="13" t="n"/>
    </row>
    <row r="60">
      <c r="A60" t="inlineStr">
        <is>
          <t>Vector</t>
        </is>
      </c>
      <c r="F60" s="21" t="inlineStr">
        <is>
          <t>Jan</t>
        </is>
      </c>
      <c r="G60" s="21" t="inlineStr">
        <is>
          <t>Feb</t>
        </is>
      </c>
      <c r="H60" s="21" t="inlineStr">
        <is>
          <t>Mar</t>
        </is>
      </c>
      <c r="I60" s="21" t="inlineStr">
        <is>
          <t>Apr</t>
        </is>
      </c>
      <c r="J60" s="21" t="inlineStr">
        <is>
          <t>May</t>
        </is>
      </c>
      <c r="K60" s="21" t="inlineStr">
        <is>
          <t>Jun</t>
        </is>
      </c>
      <c r="L60" s="21" t="inlineStr">
        <is>
          <t>Jul</t>
        </is>
      </c>
      <c r="M60" s="21" t="inlineStr">
        <is>
          <t>Aug</t>
        </is>
      </c>
      <c r="N60" s="21" t="inlineStr">
        <is>
          <t>Sep</t>
        </is>
      </c>
      <c r="O60" s="21" t="inlineStr">
        <is>
          <t>Oct</t>
        </is>
      </c>
      <c r="P60" s="21" t="inlineStr">
        <is>
          <t>Nov</t>
        </is>
      </c>
      <c r="Q60" s="21" t="inlineStr">
        <is>
          <t>Dec</t>
        </is>
      </c>
    </row>
    <row r="61">
      <c r="A61" t="inlineStr">
        <is>
          <t>Acquisition seasonality</t>
        </is>
      </c>
      <c r="D61"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 r="A62" t="inlineStr">
        <is>
          <t>Card spend seasonality</t>
        </is>
      </c>
      <c r="D62"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62" s="22" t="n">
        <v>1.1</v>
      </c>
      <c r="G62" s="22" t="n">
        <v>1</v>
      </c>
      <c r="H62" s="22" t="n">
        <v>0.98</v>
      </c>
      <c r="I62" s="22" t="n">
        <v>0.98</v>
      </c>
      <c r="J62" s="22" t="n">
        <v>1</v>
      </c>
      <c r="K62" s="22" t="n">
        <v>0.95</v>
      </c>
      <c r="L62" s="22" t="n">
        <v>0.88</v>
      </c>
      <c r="M62" s="22" t="n">
        <v>0.9</v>
      </c>
      <c r="N62" s="22" t="n">
        <v>1</v>
      </c>
      <c r="O62" s="22" t="n">
        <v>1.02</v>
      </c>
      <c r="P62" s="22" t="n">
        <v>1.05</v>
      </c>
      <c r="Q62" s="22" t="n">
        <v>1.14</v>
      </c>
    </row>
    <row r="63">
      <c r="A63" t="inlineStr">
        <is>
          <t>Foreign-spend share vector</t>
        </is>
      </c>
      <c r="D63" t="inlineStr">
        <is>
          <t>The one seasonality vector the brief itself tabulates. Raw mean 39.75, rescaled on the Model to the foreign-spend-share parameter. THE SUMMER TRAVEL SEASON IS THE LARGEST STREAM-4 MONTH on the weakest total-spend base.</t>
        </is>
      </c>
      <c r="F63" s="22" t="n">
        <v>30</v>
      </c>
      <c r="G63" s="22" t="n">
        <v>30</v>
      </c>
      <c r="H63" s="22" t="n">
        <v>30</v>
      </c>
      <c r="I63" s="22" t="n">
        <v>32</v>
      </c>
      <c r="J63" s="22" t="n">
        <v>34</v>
      </c>
      <c r="K63" s="22" t="n">
        <v>55</v>
      </c>
      <c r="L63" s="22" t="n">
        <v>60</v>
      </c>
      <c r="M63" s="22" t="n">
        <v>56</v>
      </c>
      <c r="N63" s="22" t="n">
        <v>36</v>
      </c>
      <c r="O63" s="22" t="n">
        <v>42</v>
      </c>
      <c r="P63" s="22" t="n">
        <v>40</v>
      </c>
      <c r="Q63" s="22" t="n">
        <v>32</v>
      </c>
    </row>
    <row r="65" ht="18" customHeight="1">
      <c r="A65" s="12" t="inlineStr">
        <is>
          <t>REGION KEY - who each region is</t>
        </is>
      </c>
      <c r="B65" s="13" t="n"/>
      <c r="C65" s="13" t="n"/>
      <c r="D65" s="13" t="n"/>
    </row>
    <row r="66">
      <c r="A66" s="14" t="inlineStr">
        <is>
          <t>Parameter</t>
        </is>
      </c>
      <c r="B66" s="14" t="inlineStr">
        <is>
          <t>Value</t>
        </is>
      </c>
      <c r="C66" s="14" t="inlineStr">
        <is>
          <t>Unit</t>
        </is>
      </c>
      <c r="D66" s="14" t="inlineStr">
        <is>
          <t>Source</t>
        </is>
      </c>
    </row>
    <row r="67">
      <c r="A67" s="3" t="inlineStr">
        <is>
          <t>UAE</t>
        </is>
      </c>
      <c r="B67" s="23" t="inlineStr">
        <is>
          <t>opens M1</t>
        </is>
      </c>
      <c r="D67"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8">
      <c r="A68" s="3" t="inlineStr">
        <is>
          <t>Oman and Bahrain</t>
        </is>
      </c>
      <c r="B68" s="23" t="inlineStr">
        <is>
          <t>opens M13</t>
        </is>
      </c>
      <c r="D68" t="inlineStr">
        <is>
          <t>Expatriate workers in Oman and Bahrain. ~600,000 addressable. NOT UAE-resident, so VAT and reporting treatment differ. Requires local authorisation in a second and third jurisdiction, which is why it is the only staged region.</t>
        </is>
      </c>
    </row>
    <row r="69">
      <c r="A69" s="3" t="inlineStr">
        <is>
          <t>India</t>
        </is>
      </c>
      <c r="B69" s="23" t="inlineStr">
        <is>
          <t>opens M1</t>
        </is>
      </c>
      <c r="D69"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71" ht="18" customHeight="1">
      <c r="A71" s="12" t="inlineStr">
        <is>
          <t>MARKET SIZING - how each region's reachable SIP account ceiling is derived</t>
        </is>
      </c>
      <c r="B71" s="13" t="n"/>
      <c r="C71" s="13" t="n"/>
      <c r="D71" s="13" t="n"/>
    </row>
    <row r="72">
      <c r="A72" s="24" t="inlineStr">
        <is>
          <t>Funnel step</t>
        </is>
      </c>
      <c r="F72" s="25" t="inlineStr">
        <is>
          <t>UAE - Indian</t>
        </is>
      </c>
      <c r="G72" s="25" t="inlineStr">
        <is>
          <t>UAE - other South Asian</t>
        </is>
      </c>
      <c r="H72" s="25" t="inlineStr">
        <is>
          <t>Oman and Bahrain</t>
        </is>
      </c>
      <c r="I72" s="25" t="inlineStr">
        <is>
          <t>India</t>
        </is>
      </c>
    </row>
    <row r="73">
      <c r="A73" t="inlineStr">
        <is>
          <t>Source population</t>
        </is>
      </c>
      <c r="D73"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is>
      </c>
      <c r="F73" s="26" t="n">
        <v>4360000</v>
      </c>
      <c r="G73" s="26" t="n">
        <v>3460000</v>
      </c>
      <c r="H73" s="26" t="n">
        <v>2630000</v>
      </c>
      <c r="I73" s="26" t="n">
        <v>12500000</v>
      </c>
    </row>
    <row r="74">
      <c r="A74" t="inlineStr">
        <is>
          <t xml:space="preserve">  x Economically active</t>
        </is>
      </c>
      <c r="D74" t="inlineStr">
        <is>
          <t>Oman and Bahrain is 100% because the source counts EXPAT WORKERS, who are working-age and economically active by definition - applying a labour-force filter would double-count.</t>
        </is>
      </c>
      <c r="F74" s="27" t="n">
        <v>0.8</v>
      </c>
      <c r="G74" s="27" t="n">
        <v>0.8</v>
      </c>
      <c r="H74" s="27" t="n">
        <v>1</v>
      </c>
      <c r="I74" s="27" t="n">
        <v>1</v>
      </c>
    </row>
    <row r="75">
      <c r="A75" t="inlineStr">
        <is>
          <t xml:space="preserve">  x Payment capable (IBAN able to carry a direct debit)</t>
        </is>
      </c>
      <c r="D75"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5" s="27" t="n">
        <v>0.57</v>
      </c>
      <c r="G75" s="27" t="n">
        <v>0.57</v>
      </c>
      <c r="H75" s="27" t="n">
        <v>0.57</v>
      </c>
      <c r="I75" s="27" t="n">
        <v>1</v>
      </c>
    </row>
    <row r="76">
      <c r="A76" t="inlineStr">
        <is>
          <t xml:space="preserve">  x Money capable (USD 20/month after remittances)</t>
        </is>
      </c>
      <c r="D76" t="inlineStr">
        <is>
          <t>Discretionary capacity for a RECURRING USD 240/year commitment, tested after remittance obligations rather than before them.</t>
        </is>
      </c>
      <c r="F76" s="27" t="n">
        <v>0.4</v>
      </c>
      <c r="G76" s="27" t="n">
        <v>0.4</v>
      </c>
      <c r="H76" s="27" t="n">
        <v>0.4</v>
      </c>
      <c r="I76" s="27" t="n">
        <v>1</v>
      </c>
    </row>
    <row r="77">
      <c r="A77" t="inlineStr">
        <is>
          <t xml:space="preserve">  = Addressable base</t>
        </is>
      </c>
      <c r="D77" t="inlineStr">
        <is>
          <t>Population x the three filters. The UAE-Indian column reproduces the brief's worked figure of ~640,000.</t>
        </is>
      </c>
      <c r="F77" s="28">
        <f>F73*F74*F75*F76</f>
        <v/>
      </c>
      <c r="G77" s="28">
        <f>G73*G74*G75*G76</f>
        <v/>
      </c>
      <c r="H77" s="28">
        <f>H73*H74*H75*H76</f>
        <v/>
      </c>
      <c r="I77" s="28">
        <f>I73*I74*I75*I76</f>
        <v/>
      </c>
    </row>
    <row r="78">
      <c r="A78" t="inlineStr">
        <is>
          <t xml:space="preserve">  x Penetration ceiling</t>
        </is>
      </c>
      <c r="D78" t="inlineStr">
        <is>
          <t>The share of the addressable base the product could ever reach. 'base x ceiling' is the INVARIANT - changing one without the other silently re-scales the whole model.</t>
        </is>
      </c>
      <c r="F78" s="29" t="n">
        <v>0.1</v>
      </c>
      <c r="G78" s="29" t="n">
        <v>0.1</v>
      </c>
      <c r="H78" s="29" t="n">
        <v>0.06</v>
      </c>
      <c r="I78" s="29" t="n">
        <v>0.01</v>
      </c>
    </row>
    <row r="79">
      <c r="A79" t="inlineStr">
        <is>
          <t xml:space="preserve">  = REACHABLE SIP ACCOUNTS</t>
        </is>
      </c>
      <c r="D79" t="inlineStr">
        <is>
          <t>This is what the acquisition engine saturates against.</t>
        </is>
      </c>
      <c r="F79" s="28">
        <f>F77*F78</f>
        <v/>
      </c>
      <c r="G79" s="28">
        <f>G77*G78</f>
        <v/>
      </c>
      <c r="H79" s="28">
        <f>H77*H78</f>
        <v/>
      </c>
      <c r="I79" s="28">
        <f>I77*I78</f>
        <v/>
      </c>
    </row>
    <row r="80">
      <c r="A80" t="inlineStr">
        <is>
          <t xml:space="preserve">  Feeds model region</t>
        </is>
      </c>
      <c r="F80" s="30" t="inlineStr">
        <is>
          <t>UAE</t>
        </is>
      </c>
      <c r="G80" s="30" t="inlineStr">
        <is>
          <t>UAE</t>
        </is>
      </c>
      <c r="H80" s="30" t="inlineStr">
        <is>
          <t>Oman and Bahrain</t>
        </is>
      </c>
      <c r="I80" s="30" t="inlineStr">
        <is>
          <t>India</t>
        </is>
      </c>
    </row>
    <row r="82" ht="18" customHeight="1">
      <c r="A82" s="12" t="inlineStr">
        <is>
          <t>MARKET CEILINGS AND ACQUISITION DRIVERS</t>
        </is>
      </c>
      <c r="B82" s="13" t="n"/>
      <c r="C82" s="13" t="n"/>
      <c r="D82" s="13" t="n"/>
    </row>
    <row r="83">
      <c r="A83" s="14" t="inlineStr">
        <is>
          <t>Parameter</t>
        </is>
      </c>
      <c r="B83" s="14" t="inlineStr">
        <is>
          <t>Value</t>
        </is>
      </c>
      <c r="C83" s="14" t="inlineStr">
        <is>
          <t>Unit</t>
        </is>
      </c>
      <c r="D83" s="14" t="inlineStr">
        <is>
          <t>Source</t>
        </is>
      </c>
    </row>
    <row r="84">
      <c r="A84" t="inlineStr">
        <is>
          <t>Reachable SIP ceiling - UAE</t>
        </is>
      </c>
      <c r="B84" s="31">
        <f>F79+G79</f>
        <v/>
      </c>
      <c r="C84" t="inlineStr">
        <is>
          <t>accounts</t>
        </is>
      </c>
      <c r="D84" t="inlineStr">
        <is>
          <t>DERIVED from the market sizing funnel above - the sum of its source populations (UAE - Indian, UAE - other South Asian), not a typed number. Change any filter and this follows.</t>
        </is>
      </c>
    </row>
    <row r="85">
      <c r="A85" t="inlineStr">
        <is>
          <t>Reachable SIP ceiling - Oman and Bahrain</t>
        </is>
      </c>
      <c r="B85" s="31">
        <f>H79</f>
        <v/>
      </c>
      <c r="C85" t="inlineStr">
        <is>
          <t>accounts</t>
        </is>
      </c>
      <c r="D85" t="inlineStr">
        <is>
          <t>DERIVED from the market sizing funnel above - the sum of its source populations (Oman and Bahrain), not a typed number. Change any filter and this follows.</t>
        </is>
      </c>
    </row>
    <row r="86">
      <c r="A86" t="inlineStr">
        <is>
          <t>Reachable SIP ceiling - India</t>
        </is>
      </c>
      <c r="B86" s="31">
        <f>I79</f>
        <v/>
      </c>
      <c r="C86" t="inlineStr">
        <is>
          <t>accounts</t>
        </is>
      </c>
      <c r="D86" t="inlineStr">
        <is>
          <t>DERIVED from the market sizing funnel above - the sum of its source populations (India), not a typed number. Change any filter and this follows.</t>
        </is>
      </c>
    </row>
    <row r="87">
      <c r="A87" s="3" t="inlineStr">
        <is>
          <t>Total reachable SIP accounts</t>
        </is>
      </c>
      <c r="B87" s="31">
        <f>$B$84+$B$85+$B$86</f>
        <v/>
      </c>
      <c r="C87" t="inlineStr">
        <is>
          <t>accounts</t>
        </is>
      </c>
      <c r="D87" t="inlineStr">
        <is>
          <t>~181,150,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8">
      <c r="A88" s="3" t="inlineStr">
        <is>
          <t>CROSS-CHECK vs observed market evidence (memo - feeds nothing)</t>
        </is>
      </c>
    </row>
    <row r="89">
      <c r="A89" t="inlineStr">
        <is>
          <t xml:space="preserve">  O Gold active users, UAE (observed)</t>
        </is>
      </c>
      <c r="B89" s="17" t="n">
        <v>75000</v>
      </c>
      <c r="C89" t="inlineStr">
        <is>
          <t>users</t>
        </is>
      </c>
      <c r="D89" t="inlineStr">
        <is>
          <t>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is>
      </c>
    </row>
    <row r="90">
      <c r="A90" t="inlineStr">
        <is>
          <t xml:space="preserve">  Our UAE ceiling as a multiple of observed active users</t>
        </is>
      </c>
      <c r="B90" s="32">
        <f>$B$84/$B$89</f>
        <v/>
      </c>
      <c r="C90" t="inlineStr">
        <is>
          <t>x observed</t>
        </is>
      </c>
      <c r="D90" t="inlineStr">
        <is>
          <t>⚠ 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is>
      </c>
    </row>
    <row r="91">
      <c r="A91" t="inlineStr">
        <is>
          <t xml:space="preserve">  Oman &amp; Bahrain / India (no comparable figure)</t>
        </is>
      </c>
      <c r="B91" s="23" t="inlineStr">
        <is>
          <t>n/a</t>
        </is>
      </c>
      <c r="C91" t="inlineStr">
        <is>
          <t>-</t>
        </is>
      </c>
      <c r="D91" t="inlineStr">
        <is>
          <t>CONFIRMED NEGATIVE, recorded so it is not re-searched. No GCC platform outside the UAE publishes a user count. India publishes only REGISTERED counts (Jar 35m, Augmont 42m) which cannot be deduplicated or converted to active users, so no comparable cross-check can be built. ⚠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is>
      </c>
    </row>
    <row r="93">
      <c r="A93" t="inlineStr">
        <is>
          <t>Active agents - Y1</t>
        </is>
      </c>
      <c r="B93" s="17" t="n">
        <v>5</v>
      </c>
      <c r="C93" t="inlineStr">
        <is>
          <t>agents</t>
        </is>
      </c>
      <c r="D93" t="inlineStr">
        <is>
          <t>A STOCK, not a flow: at 45% attrition, holding 200 active needs ~90 recruits a year. CLIENT INPUT.</t>
        </is>
      </c>
    </row>
    <row r="94">
      <c r="A94" t="inlineStr">
        <is>
          <t>Active agents - Y2</t>
        </is>
      </c>
      <c r="B94" s="17" t="n">
        <v>15</v>
      </c>
      <c r="C94" t="inlineStr">
        <is>
          <t>agents</t>
        </is>
      </c>
      <c r="D94" t="inlineStr">
        <is>
          <t>A STOCK, not a flow: at 45% attrition, holding 200 active needs ~90 recruits a year. CLIENT INPUT.</t>
        </is>
      </c>
    </row>
    <row r="95">
      <c r="A95" t="inlineStr">
        <is>
          <t>Active agents - Y3</t>
        </is>
      </c>
      <c r="B95" s="17" t="n">
        <v>40</v>
      </c>
      <c r="C95" t="inlineStr">
        <is>
          <t>agents</t>
        </is>
      </c>
      <c r="D95" t="inlineStr">
        <is>
          <t>A STOCK, not a flow: at 45% attrition, holding 200 active needs ~90 recruits a year. CLIENT INPUT.</t>
        </is>
      </c>
    </row>
    <row r="96">
      <c r="A96" t="inlineStr">
        <is>
          <t>Active agents - Y4</t>
        </is>
      </c>
      <c r="B96" s="17" t="n">
        <v>60</v>
      </c>
      <c r="C96" t="inlineStr">
        <is>
          <t>agents</t>
        </is>
      </c>
      <c r="D96" t="inlineStr">
        <is>
          <t>A STOCK, not a flow: at 45% attrition, holding 200 active needs ~90 recruits a year. CLIENT INPUT.</t>
        </is>
      </c>
    </row>
    <row r="97">
      <c r="A97" t="inlineStr">
        <is>
          <t>Active agents - Y5</t>
        </is>
      </c>
      <c r="B97" s="17" t="n">
        <v>90</v>
      </c>
      <c r="C97" t="inlineStr">
        <is>
          <t>agents</t>
        </is>
      </c>
      <c r="D97" t="inlineStr">
        <is>
          <t>A STOCK, not a flow: at 45% attrition, holding 200 active needs ~90 recruits a year. CLIENT INPUT.</t>
        </is>
      </c>
    </row>
    <row r="98">
      <c r="A98" t="inlineStr">
        <is>
          <t>Active agents - Y6</t>
        </is>
      </c>
      <c r="B98" s="17" t="n">
        <v>106</v>
      </c>
      <c r="C98" t="inlineStr">
        <is>
          <t>agents</t>
        </is>
      </c>
      <c r="D98" t="inlineStr">
        <is>
          <t>A STOCK, not a flow: at 45% attrition, holding 200 active needs ~90 recruits a year. CLIENT INPUT.</t>
        </is>
      </c>
    </row>
    <row r="99">
      <c r="A99" t="inlineStr">
        <is>
          <t>Active agents - Y7</t>
        </is>
      </c>
      <c r="B99" s="17" t="n">
        <v>124</v>
      </c>
      <c r="C99" t="inlineStr">
        <is>
          <t>agents</t>
        </is>
      </c>
      <c r="D99" t="inlineStr">
        <is>
          <t>A STOCK, not a flow: at 45% attrition, holding 200 active needs ~90 recruits a year. CLIENT INPUT.</t>
        </is>
      </c>
    </row>
    <row r="100">
      <c r="A100" t="inlineStr">
        <is>
          <t>Marketing spend - Y1</t>
        </is>
      </c>
      <c r="B100" s="20" t="n">
        <v>60000</v>
      </c>
      <c r="C100" t="inlineStr">
        <is>
          <t>USD/yr</t>
        </is>
      </c>
      <c r="D100" t="inlineStr">
        <is>
          <t>A DECISION VARIABLE and an input to acquisition, not an output of a cost table.</t>
        </is>
      </c>
    </row>
    <row r="101">
      <c r="A101" t="inlineStr">
        <is>
          <t>Marketing spend - Y2</t>
        </is>
      </c>
      <c r="B101" s="20" t="n">
        <v>180000</v>
      </c>
      <c r="C101" t="inlineStr">
        <is>
          <t>USD/yr</t>
        </is>
      </c>
      <c r="D101" t="inlineStr">
        <is>
          <t>A DECISION VARIABLE and an input to acquisition, not an output of a cost table.</t>
        </is>
      </c>
    </row>
    <row r="102">
      <c r="A102" t="inlineStr">
        <is>
          <t>Marketing spend - Y3</t>
        </is>
      </c>
      <c r="B102" s="20" t="n">
        <v>250000</v>
      </c>
      <c r="C102" t="inlineStr">
        <is>
          <t>USD/yr</t>
        </is>
      </c>
      <c r="D102" t="inlineStr">
        <is>
          <t>A DECISION VARIABLE and an input to acquisition, not an output of a cost table.</t>
        </is>
      </c>
    </row>
    <row r="103">
      <c r="A103" t="inlineStr">
        <is>
          <t>Marketing spend - Y4</t>
        </is>
      </c>
      <c r="B103" s="20" t="n">
        <v>400000</v>
      </c>
      <c r="C103" t="inlineStr">
        <is>
          <t>USD/yr</t>
        </is>
      </c>
      <c r="D103" t="inlineStr">
        <is>
          <t>A DECISION VARIABLE and an input to acquisition, not an output of a cost table.</t>
        </is>
      </c>
    </row>
    <row r="104">
      <c r="A104" t="inlineStr">
        <is>
          <t>Marketing spend - Y5</t>
        </is>
      </c>
      <c r="B104" s="20" t="n">
        <v>600000</v>
      </c>
      <c r="C104" t="inlineStr">
        <is>
          <t>USD/yr</t>
        </is>
      </c>
      <c r="D104" t="inlineStr">
        <is>
          <t>A DECISION VARIABLE and an input to acquisition, not an output of a cost table.</t>
        </is>
      </c>
    </row>
    <row r="105">
      <c r="A105" t="inlineStr">
        <is>
          <t>Marketing spend - Y6</t>
        </is>
      </c>
      <c r="B105" s="20" t="n">
        <v>850000</v>
      </c>
      <c r="C105" t="inlineStr">
        <is>
          <t>USD/yr</t>
        </is>
      </c>
      <c r="D105" t="inlineStr">
        <is>
          <t>A DECISION VARIABLE and an input to acquisition, not an output of a cost table.</t>
        </is>
      </c>
    </row>
    <row r="106">
      <c r="A106" t="inlineStr">
        <is>
          <t>Marketing spend - Y7</t>
        </is>
      </c>
      <c r="B106" s="20" t="n">
        <v>1100000</v>
      </c>
      <c r="C106" t="inlineStr">
        <is>
          <t>USD/yr</t>
        </is>
      </c>
      <c r="D106" t="inlineStr">
        <is>
          <t>A DECISION VARIABLE and an input to acquisition, not an output of a cost table.</t>
        </is>
      </c>
    </row>
    <row r="107">
      <c r="A107" t="inlineStr">
        <is>
          <t>Agent blended ramp - Y1</t>
        </is>
      </c>
      <c r="B107" s="15" t="n">
        <v>0.6</v>
      </c>
      <c r="C107" t="inlineStr">
        <is>
          <t>x productivity</t>
        </is>
      </c>
      <c r="D107" t="inlineStr">
        <is>
          <t>Six months to full productivity, which happens to match the six-payment gate.</t>
        </is>
      </c>
    </row>
    <row r="108">
      <c r="A108" t="inlineStr">
        <is>
          <t>Agent blended ramp - Y2</t>
        </is>
      </c>
      <c r="B108" s="15" t="n">
        <v>0.85</v>
      </c>
      <c r="C108" t="inlineStr">
        <is>
          <t>x productivity</t>
        </is>
      </c>
      <c r="D108" t="inlineStr">
        <is>
          <t>Six months to full productivity, which happens to match the six-payment gate.</t>
        </is>
      </c>
    </row>
    <row r="109">
      <c r="A109" t="inlineStr">
        <is>
          <t>Agent blended ramp - Y3</t>
        </is>
      </c>
      <c r="B109" s="15" t="n">
        <v>1</v>
      </c>
      <c r="C109" t="inlineStr">
        <is>
          <t>x productivity</t>
        </is>
      </c>
      <c r="D109" t="inlineStr">
        <is>
          <t>Six months to full productivity, which happens to match the six-payment gate.</t>
        </is>
      </c>
    </row>
    <row r="110">
      <c r="A110" t="inlineStr">
        <is>
          <t>Agent blended ramp - Y4</t>
        </is>
      </c>
      <c r="B110" s="15" t="n">
        <v>1</v>
      </c>
      <c r="C110" t="inlineStr">
        <is>
          <t>x productivity</t>
        </is>
      </c>
      <c r="D110" t="inlineStr">
        <is>
          <t>Six months to full productivity, which happens to match the six-payment gate.</t>
        </is>
      </c>
    </row>
    <row r="111">
      <c r="A111" t="inlineStr">
        <is>
          <t>Agent blended ramp - Y5</t>
        </is>
      </c>
      <c r="B111" s="15" t="n">
        <v>1</v>
      </c>
      <c r="C111" t="inlineStr">
        <is>
          <t>x productivity</t>
        </is>
      </c>
      <c r="D111" t="inlineStr">
        <is>
          <t>Six months to full productivity, which happens to match the six-payment gate.</t>
        </is>
      </c>
    </row>
    <row r="112">
      <c r="A112" t="inlineStr">
        <is>
          <t>Agent blended ramp - Y6</t>
        </is>
      </c>
      <c r="B112" s="15" t="n">
        <v>1</v>
      </c>
      <c r="C112" t="inlineStr">
        <is>
          <t>x productivity</t>
        </is>
      </c>
      <c r="D112" t="inlineStr">
        <is>
          <t>Six months to full productivity, which happens to match the six-payment gate.</t>
        </is>
      </c>
    </row>
    <row r="113">
      <c r="A113" t="inlineStr">
        <is>
          <t>Agent blended ramp - Y7</t>
        </is>
      </c>
      <c r="B113" s="15" t="n">
        <v>1</v>
      </c>
      <c r="C113" t="inlineStr">
        <is>
          <t>x productivity</t>
        </is>
      </c>
      <c r="D113" t="inlineStr">
        <is>
          <t>Six months to full productivity, which happens to match the six-payment gate.</t>
        </is>
      </c>
    </row>
    <row r="114">
      <c r="A114" t="inlineStr">
        <is>
          <t>Share of salesforce deployed - UAE</t>
        </is>
      </c>
      <c r="B114" s="19" t="n">
        <v>0.45</v>
      </c>
      <c r="C114" t="inlineStr">
        <is>
          <t>% of salesforce</t>
        </is>
      </c>
      <c r="D114"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5">
      <c r="A115" t="inlineStr">
        <is>
          <t>Share of salesforce deployed - Oman and Bahrain</t>
        </is>
      </c>
      <c r="B115" s="19" t="n">
        <v>0.1</v>
      </c>
      <c r="C115" t="inlineStr">
        <is>
          <t>% of salesforce</t>
        </is>
      </c>
      <c r="D115"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6">
      <c r="A116" t="inlineStr">
        <is>
          <t>Share of salesforce deployed - India</t>
        </is>
      </c>
      <c r="B116" s="19" t="n">
        <v>0.45</v>
      </c>
      <c r="C116" t="inlineStr">
        <is>
          <t>% of salesforce</t>
        </is>
      </c>
      <c r="D116"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8" ht="18" customHeight="1">
      <c r="A118" s="12" t="inlineStr">
        <is>
          <t>SCENARIO-LINKED INPUTS (live values - move with the scenario switch)</t>
        </is>
      </c>
      <c r="B118" s="13" t="n"/>
      <c r="C118" s="13" t="n"/>
      <c r="D118" s="13" t="n"/>
    </row>
    <row r="119">
      <c r="A119" s="14" t="inlineStr">
        <is>
          <t>Parameter</t>
        </is>
      </c>
      <c r="B119" s="14" t="inlineStr">
        <is>
          <t>Value</t>
        </is>
      </c>
      <c r="C119" s="14" t="inlineStr">
        <is>
          <t>Unit</t>
        </is>
      </c>
      <c r="D119" s="14" t="inlineStr">
        <is>
          <t>Source</t>
        </is>
      </c>
    </row>
    <row r="120">
      <c r="A120" t="inlineStr">
        <is>
          <t>Gold price appreciation</t>
        </is>
      </c>
      <c r="B120" s="33">
        <f>'Scenario Parameters'!$B$10</f>
        <v/>
      </c>
      <c r="C120" t="inlineStr">
        <is>
          <t>%/yr</t>
        </is>
      </c>
      <c r="D120"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1">
      <c r="A121" t="inlineStr">
        <is>
          <t>Persistency - customers still paying after 12 months</t>
        </is>
      </c>
      <c r="B121" s="34">
        <f>'Scenario Parameters'!$B$14</f>
        <v/>
      </c>
      <c r="C121" t="inlineStr">
        <is>
          <t>%</t>
        </is>
      </c>
      <c r="D121"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22">
      <c r="A122" t="inlineStr">
        <is>
          <t>Monthly churn rate (derived)</t>
        </is>
      </c>
      <c r="B122" s="33">
        <f>'Scenario Parameters'!$B$15</f>
        <v/>
      </c>
      <c r="C122" t="inlineStr">
        <is>
          <t>%/month</t>
        </is>
      </c>
      <c r="D122" t="inlineStr">
        <is>
          <t>DERIVED, not typed: the monthly rate that reproduces the persistency above over twelve months. Change persistency and this follows. Base 55% implies ~4.9%/month.</t>
        </is>
      </c>
    </row>
    <row r="123">
      <c r="A123" t="inlineStr">
        <is>
          <t>Agent productivity</t>
        </is>
      </c>
      <c r="B123" s="35">
        <f>'Scenario Parameters'!$B$16</f>
        <v/>
      </c>
      <c r="C123" t="inlineStr">
        <is>
          <t>accounts/agent/month</t>
        </is>
      </c>
      <c r="D123" t="inlineStr">
        <is>
          <t>Insurance agency comparator. TRIANGULATED.</t>
        </is>
      </c>
    </row>
    <row r="124">
      <c r="A124" t="inlineStr">
        <is>
          <t>Marketing CAC - UAE</t>
        </is>
      </c>
      <c r="B124" s="36">
        <f>'Scenario Parameters'!$B$17</f>
        <v/>
      </c>
      <c r="C124" t="inlineStr">
        <is>
          <t>USD per customer</t>
        </is>
      </c>
      <c r="D124"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5">
      <c r="A125" t="inlineStr">
        <is>
          <t>Marketing CAC - Oman and Bahrain</t>
        </is>
      </c>
      <c r="B125" s="36">
        <f>'Scenario Parameters'!$B$18</f>
        <v/>
      </c>
      <c r="C125" t="inlineStr">
        <is>
          <t>USD per customer</t>
        </is>
      </c>
      <c r="D125"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6">
      <c r="A126" t="inlineStr">
        <is>
          <t>Marketing CAC - India</t>
        </is>
      </c>
      <c r="B126" s="36">
        <f>'Scenario Parameters'!$B$19</f>
        <v/>
      </c>
      <c r="C126" t="inlineStr">
        <is>
          <t>USD per customer</t>
        </is>
      </c>
      <c r="D126"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7">
      <c r="A127" t="inlineStr">
        <is>
          <t>Marketing spend share - UAE</t>
        </is>
      </c>
      <c r="B127" s="34">
        <f>'Scenario Parameters'!$B$20</f>
        <v/>
      </c>
      <c r="C127" t="inlineStr">
        <is>
          <t>% of budget</t>
        </is>
      </c>
      <c r="D127" t="inlineStr">
        <is>
          <t>How the marketing budget is split across markets. Defaults to each region's share of the addressable ceiling, so spend follows the opportunity. Does not vary by scenario - it is a management decision, not an uncertainty. Must sum to 100%.</t>
        </is>
      </c>
    </row>
    <row r="128">
      <c r="A128" t="inlineStr">
        <is>
          <t>Marketing spend share - Oman and Bahrain</t>
        </is>
      </c>
      <c r="B128" s="34">
        <f>'Scenario Parameters'!$B$21</f>
        <v/>
      </c>
      <c r="C128" t="inlineStr">
        <is>
          <t>% of budget</t>
        </is>
      </c>
      <c r="D128" t="inlineStr">
        <is>
          <t>How the marketing budget is split across markets. Defaults to each region's share of the addressable ceiling, so spend follows the opportunity. Does not vary by scenario - it is a management decision, not an uncertainty. Must sum to 100%.</t>
        </is>
      </c>
    </row>
    <row r="129">
      <c r="A129" t="inlineStr">
        <is>
          <t>Marketing spend share - India</t>
        </is>
      </c>
      <c r="B129" s="34">
        <f>'Scenario Parameters'!$B$22</f>
        <v/>
      </c>
      <c r="C129" t="inlineStr">
        <is>
          <t>% of budget</t>
        </is>
      </c>
      <c r="D129" t="inlineStr">
        <is>
          <t>How the marketing budget is split across markets. Defaults to each region's share of the addressable ceiling, so spend follows the opportunity. Does not vary by scenario - it is a management decision, not an uncertainty. Must sum to 100%.</t>
        </is>
      </c>
    </row>
    <row r="130">
      <c r="A130" t="inlineStr">
        <is>
          <t>Referral rate</t>
        </is>
      </c>
      <c r="B130" s="35">
        <f>'Scenario Parameters'!$B$23</f>
        <v/>
      </c>
      <c r="C130" t="inlineStr">
        <is>
          <t>referrals/customer/yr</t>
        </is>
      </c>
      <c r="D130" t="inlineStr">
        <is>
          <t>Cap removed deliberately, so the distribution is right-skewed. MODEL THE MEAN, NOT THE MEDIAN. ASSUMPTION.</t>
        </is>
      </c>
    </row>
    <row r="131">
      <c r="A131" t="inlineStr">
        <is>
          <t>Referral conversion</t>
        </is>
      </c>
      <c r="B131" s="34">
        <f>'Scenario Parameters'!$B$24</f>
        <v/>
      </c>
      <c r="C131" t="inlineStr">
        <is>
          <t>%</t>
        </is>
      </c>
      <c r="D131" t="inlineStr">
        <is>
          <t>The M7 survival of the referred cohort, uplifted ~1.1x. DERIVED.</t>
        </is>
      </c>
    </row>
    <row r="132">
      <c r="A132" t="inlineStr">
        <is>
          <t>Organic share of direct</t>
        </is>
      </c>
      <c r="B132" s="34">
        <f>'Scenario Parameters'!$B$25</f>
        <v/>
      </c>
      <c r="C132" t="inlineStr">
        <is>
          <t>% of direct</t>
        </is>
      </c>
      <c r="D132" t="inlineStr">
        <is>
          <t>Kept separate so the CAC never applies to it. ASSUMPTION.</t>
        </is>
      </c>
    </row>
    <row r="133">
      <c r="A133" t="inlineStr">
        <is>
          <t>Seasonality amplitude</t>
        </is>
      </c>
      <c r="B133" s="35">
        <f>'Scenario Parameters'!$B$26</f>
        <v/>
      </c>
      <c r="C133" t="inlineStr">
        <is>
          <t>x deviation from 1.0</t>
        </is>
      </c>
      <c r="D133" t="inlineStr">
        <is>
          <t>Festival TIMING is sourced; how hard a Dubai savings signup responds to Dhanteras is the open question. Applied to the deviation from 1.0, then renormalised, so the vectors stay at exactly 12.000.</t>
        </is>
      </c>
    </row>
    <row r="134">
      <c r="A134" t="inlineStr">
        <is>
          <t>Customers who EVER clear the six-payment gate</t>
        </is>
      </c>
      <c r="B134" s="34">
        <f>'Scenario Parameters'!$B$30</f>
        <v/>
      </c>
      <c r="C134" t="inlineStr">
        <is>
          <t>% of customers</t>
        </is>
      </c>
      <c r="D134"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135">
      <c r="A135" t="inlineStr">
        <is>
          <t>Average months to clear the gate</t>
        </is>
      </c>
      <c r="B135" s="37">
        <f>'Scenario Parameters'!$B$31</f>
        <v/>
      </c>
      <c r="C135" t="inlineStr">
        <is>
          <t>months</t>
        </is>
      </c>
      <c r="D135"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136">
      <c r="A136" t="inlineStr">
        <is>
          <t>Gold moved out of Aurumix's control</t>
        </is>
      </c>
      <c r="B136" s="34">
        <f>'Scenario Parameters'!$B$35</f>
        <v/>
      </c>
      <c r="C136" t="inlineStr">
        <is>
          <t>% of AUM/yr</t>
        </is>
      </c>
      <c r="D136" t="inlineStr">
        <is>
          <t>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137">
      <c r="A137" t="inlineStr">
        <is>
          <t>Redemption rate</t>
        </is>
      </c>
      <c r="B137" s="34">
        <f>'Scenario Parameters'!$B$36</f>
        <v/>
      </c>
      <c r="C137" t="inlineStr">
        <is>
          <t>% of AUM/yr</t>
        </is>
      </c>
      <c r="D137" t="inlineStr">
        <is>
          <t>A DIFFERENT EVENT from self-custody and a separate line. PAXG turnover of 5.9% is the only comparator. VARA forbids charging any fee on it. ASSUMPTION.</t>
        </is>
      </c>
    </row>
    <row r="138">
      <c r="A138" t="inlineStr">
        <is>
          <t>Holder redemption multiplier</t>
        </is>
      </c>
      <c r="B138" s="35">
        <f>'Scenario Parameters'!$B$37</f>
        <v/>
      </c>
      <c r="C138" t="inlineStr">
        <is>
          <t>x the paying rate</t>
        </is>
      </c>
      <c r="D138" t="inlineStr">
        <is>
          <t>Customers who stopped paying redeem FASTER - they have no accruing benefit left to protect. Because holders become the majority of the book by Y4, this is the DOMINANT AUM DECAY TERM from roughly Y4. ASSUMPTION.</t>
        </is>
      </c>
    </row>
    <row r="139">
      <c r="A139" t="inlineStr">
        <is>
          <t>Spot attach scenario multiplier</t>
        </is>
      </c>
      <c r="B139" s="35">
        <f>'Scenario Parameters'!$B$38</f>
        <v/>
      </c>
      <c r="C139" t="inlineStr">
        <is>
          <t>x the regional attach</t>
        </is>
      </c>
      <c r="D13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140">
      <c r="A140" t="inlineStr">
        <is>
          <t>Spot ticket scenario multiplier</t>
        </is>
      </c>
      <c r="B140" s="35">
        <f>'Scenario Parameters'!$B$39</f>
        <v/>
      </c>
      <c r="C140" t="inlineStr">
        <is>
          <t>x the observed ticket</t>
        </is>
      </c>
      <c r="D140"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141">
      <c r="A141" t="inlineStr">
        <is>
          <t>Spot frequency</t>
        </is>
      </c>
      <c r="B141" s="35">
        <f>'Scenario Parameters'!$B$40</f>
        <v/>
      </c>
      <c r="C141" t="inlineStr">
        <is>
          <t>events/attacher/yr</t>
        </is>
      </c>
      <c r="D141"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142">
      <c r="A142" t="inlineStr">
        <is>
          <t>Programme manager share of interchange</t>
        </is>
      </c>
      <c r="B142" s="34">
        <f>'Scenario Parameters'!$B$44</f>
        <v/>
      </c>
      <c r="C142" t="inlineStr">
        <is>
          <t>%</t>
        </is>
      </c>
      <c r="D142" t="inlineStr">
        <is>
          <t>SIZES THE LARGEST STREAM. No UAE/MENA figure is published. FLOOR IS 36% - take that into the sponsor conversation as the walk-away. TRIANGULATED.</t>
        </is>
      </c>
    </row>
    <row r="143">
      <c r="A143" t="inlineStr">
        <is>
          <t>Facility take-up - customers who take AND use the card</t>
        </is>
      </c>
      <c r="B143" s="34">
        <f>'Scenario Parameters'!$B$45</f>
        <v/>
      </c>
      <c r="C143" t="inlineStr">
        <is>
          <t>% of gate-cleared</t>
        </is>
      </c>
      <c r="D143"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144">
      <c r="A144" t="inlineStr">
        <is>
          <t>Transactions per drawdown event</t>
        </is>
      </c>
      <c r="B144" s="37">
        <f>'Scenario Parameters'!$B$46</f>
        <v/>
      </c>
      <c r="C144" t="inlineStr">
        <is>
          <t>transactions/draw</t>
        </is>
      </c>
      <c r="D144"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45">
      <c r="A145" t="inlineStr">
        <is>
          <t>Foreign spend share (mean)</t>
        </is>
      </c>
      <c r="B145" s="34">
        <f>'Scenario Parameters'!$B$47</f>
        <v/>
      </c>
      <c r="C145" t="inlineStr">
        <is>
          <t>% of card spend</t>
        </is>
      </c>
      <c r="D145" t="inlineStr">
        <is>
          <t>Applied through the seasonal vector, not as a constant. ASSUMPTION.</t>
        </is>
      </c>
    </row>
    <row r="146">
      <c r="A146" t="inlineStr">
        <is>
          <t>Card issuance events</t>
        </is>
      </c>
      <c r="B146" s="35">
        <f>'Scenario Parameters'!$B$48</f>
        <v/>
      </c>
      <c r="C146" t="inlineStr">
        <is>
          <t>events/card/yr</t>
        </is>
      </c>
      <c r="D146" t="inlineStr">
        <is>
          <t>1.00 at activation plus reissues - a tier upgrade forces a physical reissue. ASSUMPTION.</t>
        </is>
      </c>
    </row>
    <row r="147">
      <c r="A147" t="inlineStr">
        <is>
          <t>Card replacement events</t>
        </is>
      </c>
      <c r="B147" s="35">
        <f>'Scenario Parameters'!$B$49</f>
        <v/>
      </c>
      <c r="C147" t="inlineStr">
        <is>
          <t>events/card/yr</t>
        </is>
      </c>
      <c r="D147" t="inlineStr">
        <is>
          <t>Industry-normal loss/theft/damage is 8-15% annually. ASSUMPTION.</t>
        </is>
      </c>
    </row>
    <row r="148">
      <c r="A148" t="inlineStr">
        <is>
          <t>ATM AED 0-500 - share of cardholders</t>
        </is>
      </c>
      <c r="B148" s="34">
        <f>'Scenario Parameters'!$B$50</f>
        <v/>
      </c>
      <c r="C148" t="inlineStr">
        <is>
          <t>%</t>
        </is>
      </c>
      <c r="D148"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9">
      <c r="A149" t="inlineStr">
        <is>
          <t>ATM AED 500-1,500 - share of cardholders</t>
        </is>
      </c>
      <c r="B149" s="34">
        <f>'Scenario Parameters'!$B$51</f>
        <v/>
      </c>
      <c r="C149" t="inlineStr">
        <is>
          <t>%</t>
        </is>
      </c>
      <c r="D14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0">
      <c r="A150" t="inlineStr">
        <is>
          <t>ATM AED 1,500-3,000 - share of cardholders</t>
        </is>
      </c>
      <c r="B150" s="34">
        <f>'Scenario Parameters'!$B$52</f>
        <v/>
      </c>
      <c r="C150" t="inlineStr">
        <is>
          <t>%</t>
        </is>
      </c>
      <c r="D150"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1">
      <c r="A151" t="inlineStr">
        <is>
          <t>ATM AED 3,000+ - share of cardholders</t>
        </is>
      </c>
      <c r="B151" s="34">
        <f>'Scenario Parameters'!$B$53</f>
        <v/>
      </c>
      <c r="C151" t="inlineStr">
        <is>
          <t>%</t>
        </is>
      </c>
      <c r="D151"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2">
      <c r="A152" t="inlineStr">
        <is>
          <t>ATM AED 0-500 - midpoint draw</t>
        </is>
      </c>
      <c r="B152" s="37">
        <f>'Scenario Parameters'!$B$54</f>
        <v/>
      </c>
      <c r="C152" t="inlineStr">
        <is>
          <t>AED/month</t>
        </is>
      </c>
      <c r="D152" t="inlineStr">
        <is>
          <t>Raising the allowance at the top tier waives revenue from only the top ~3% of cardholders.</t>
        </is>
      </c>
    </row>
    <row r="153">
      <c r="A153" t="inlineStr">
        <is>
          <t>ATM AED 500-1,500 - midpoint draw</t>
        </is>
      </c>
      <c r="B153" s="37">
        <f>'Scenario Parameters'!$B$55</f>
        <v/>
      </c>
      <c r="C153" t="inlineStr">
        <is>
          <t>AED/month</t>
        </is>
      </c>
      <c r="D153" t="inlineStr">
        <is>
          <t>Raising the allowance at the top tier waives revenue from only the top ~3% of cardholders.</t>
        </is>
      </c>
    </row>
    <row r="154">
      <c r="A154" t="inlineStr">
        <is>
          <t>ATM AED 1,500-3,000 - midpoint draw</t>
        </is>
      </c>
      <c r="B154" s="37">
        <f>'Scenario Parameters'!$B$56</f>
        <v/>
      </c>
      <c r="C154" t="inlineStr">
        <is>
          <t>AED/month</t>
        </is>
      </c>
      <c r="D154" t="inlineStr">
        <is>
          <t>Raising the allowance at the top tier waives revenue from only the top ~3% of cardholders.</t>
        </is>
      </c>
    </row>
    <row r="155">
      <c r="A155" t="inlineStr">
        <is>
          <t>ATM AED 3,000+ - midpoint draw</t>
        </is>
      </c>
      <c r="B155" s="37">
        <f>'Scenario Parameters'!$B$57</f>
        <v/>
      </c>
      <c r="C155" t="inlineStr">
        <is>
          <t>AED/month</t>
        </is>
      </c>
      <c r="D155" t="inlineStr">
        <is>
          <t>Raising the allowance at the top tier waives revenue from only the top ~3% of cardholders.</t>
        </is>
      </c>
    </row>
    <row r="156">
      <c r="A156" t="inlineStr">
        <is>
          <t>Drawn as % of permitted limit</t>
        </is>
      </c>
      <c r="B156" s="34">
        <f>'Scenario Parameters'!$B$61</f>
        <v/>
      </c>
      <c r="C156" t="inlineStr">
        <is>
          <t>%</t>
        </is>
      </c>
      <c r="D156" t="inlineStr">
        <is>
          <t>Revolving facilities draw 40-55% of permitted. This now drives CARD SPEND as well as the loan balance, because the card is the drawdown mechanism. TRIANGULATED.</t>
        </is>
      </c>
    </row>
    <row r="157">
      <c r="A157" t="inlineStr">
        <is>
          <t>Facility turnover, peak -&gt; average</t>
        </is>
      </c>
      <c r="B157" s="35">
        <f>'Scenario Parameters'!$B$62</f>
        <v/>
      </c>
      <c r="C157" t="inlineStr">
        <is>
          <t>x peak drawn</t>
        </is>
      </c>
      <c r="D157" t="inlineStr">
        <is>
          <t>AN ARITHMETIC CORRECTION, not a sensitivity, derived from Manappuram's 71-day realised tenor. It cuts the lending stream by 1.88x. DERIVED.</t>
        </is>
      </c>
    </row>
    <row r="158">
      <c r="A158" t="inlineStr">
        <is>
          <t>Draw events per borrower per year</t>
        </is>
      </c>
      <c r="B158" s="35">
        <f>'Scenario Parameters'!$B$63</f>
        <v/>
      </c>
      <c r="C158" t="inlineStr">
        <is>
          <t>events/yr</t>
        </is>
      </c>
      <c r="D158" t="inlineStr">
        <is>
          <t>MOVES WITH facility turnover - do not flex independently. DERIVED.</t>
        </is>
      </c>
    </row>
    <row r="159">
      <c r="A159" t="inlineStr">
        <is>
          <t>Family plan attach rate</t>
        </is>
      </c>
      <c r="B159" s="34">
        <f>'Scenario Parameters'!$B$64</f>
        <v/>
      </c>
      <c r="C159" t="inlineStr">
        <is>
          <t>% of customers</t>
        </is>
      </c>
      <c r="D159" t="inlineStr">
        <is>
          <t>NOTHING IS STATED ANYWHERE IN THE CORPUS. Pure assumption. Scales stream 3 linearly.</t>
        </is>
      </c>
    </row>
    <row r="160">
      <c r="A160" t="inlineStr">
        <is>
          <t>B2B partners - Y1</t>
        </is>
      </c>
      <c r="B160" s="37">
        <f>'Scenario Parameters'!$B$65</f>
        <v/>
      </c>
      <c r="C160" t="inlineStr">
        <is>
          <t>partners</t>
        </is>
      </c>
      <c r="D160"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1">
      <c r="A161" t="inlineStr">
        <is>
          <t>B2B partners - Y2</t>
        </is>
      </c>
      <c r="B161" s="37">
        <f>'Scenario Parameters'!$B$66</f>
        <v/>
      </c>
      <c r="C161" t="inlineStr">
        <is>
          <t>partners</t>
        </is>
      </c>
      <c r="D161"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2">
      <c r="A162" t="inlineStr">
        <is>
          <t>B2B partners - Y3</t>
        </is>
      </c>
      <c r="B162" s="37">
        <f>'Scenario Parameters'!$B$67</f>
        <v/>
      </c>
      <c r="C162" t="inlineStr">
        <is>
          <t>partners</t>
        </is>
      </c>
      <c r="D162"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3">
      <c r="A163" t="inlineStr">
        <is>
          <t>B2B partners - Y4</t>
        </is>
      </c>
      <c r="B163" s="37">
        <f>'Scenario Parameters'!$B$68</f>
        <v/>
      </c>
      <c r="C163" t="inlineStr">
        <is>
          <t>partners</t>
        </is>
      </c>
      <c r="D163"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4">
      <c r="A164" t="inlineStr">
        <is>
          <t>B2B partners - Y5</t>
        </is>
      </c>
      <c r="B164" s="37">
        <f>'Scenario Parameters'!$B$69</f>
        <v/>
      </c>
      <c r="C164" t="inlineStr">
        <is>
          <t>partners</t>
        </is>
      </c>
      <c r="D164"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5">
      <c r="A165" t="inlineStr">
        <is>
          <t>B2B partners - Y6</t>
        </is>
      </c>
      <c r="B165" s="37">
        <f>'Scenario Parameters'!$B$70</f>
        <v/>
      </c>
      <c r="C165" t="inlineStr">
        <is>
          <t>partners</t>
        </is>
      </c>
      <c r="D165"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6">
      <c r="A166" t="inlineStr">
        <is>
          <t>B2B partners - Y7</t>
        </is>
      </c>
      <c r="B166" s="37">
        <f>'Scenario Parameters'!$B$71</f>
        <v/>
      </c>
      <c r="C166" t="inlineStr">
        <is>
          <t>partners</t>
        </is>
      </c>
      <c r="D166"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7">
      <c r="A167" t="inlineStr">
        <is>
          <t>AUM per partner (mature)</t>
        </is>
      </c>
      <c r="B167" s="36">
        <f>'Scenario Parameters'!$B$72</f>
        <v/>
      </c>
      <c r="C167" t="inlineStr">
        <is>
          <t>USD</t>
        </is>
      </c>
      <c r="D167" t="inlineStr">
        <is>
          <t>Requires a signed partner. Partner AUM earns NO tier and consumes NO benefits - structurally the highest-margin book. DERIVED.</t>
        </is>
      </c>
    </row>
    <row r="168">
      <c r="A168" t="inlineStr">
        <is>
          <t>Average monthly ticket - UAE</t>
        </is>
      </c>
      <c r="B168" s="36">
        <f>'Scenario Parameters'!$B$76</f>
        <v/>
      </c>
      <c r="C168" t="inlineStr">
        <is>
          <t>USD/month</t>
        </is>
      </c>
      <c r="D168"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9">
      <c r="A169" t="inlineStr">
        <is>
          <t>Average monthly ticket - Oman and Bahrain</t>
        </is>
      </c>
      <c r="B169" s="36">
        <f>'Scenario Parameters'!$B$77</f>
        <v/>
      </c>
      <c r="C169" t="inlineStr">
        <is>
          <t>USD/month</t>
        </is>
      </c>
      <c r="D16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0">
      <c r="A170" t="inlineStr">
        <is>
          <t>Average monthly ticket - India</t>
        </is>
      </c>
      <c r="B170" s="36">
        <f>'Scenario Parameters'!$B$78</f>
        <v/>
      </c>
      <c r="C170" t="inlineStr">
        <is>
          <t>USD/month</t>
        </is>
      </c>
      <c r="D170"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1">
      <c r="A171" t="inlineStr">
        <is>
          <t>Prepaid instead of credit</t>
        </is>
      </c>
      <c r="B171" s="37">
        <f>'Scenario Parameters'!$B$82</f>
        <v/>
      </c>
      <c r="C171" t="inlineStr">
        <is>
          <t>1/0 switch</t>
        </is>
      </c>
      <c r="D171" t="inlineStr">
        <is>
          <t>ON (Prepaid) caps interchange at 1.00% and removes the credit stream entirely. 'NOT A PRODUCT CHOICE, IT IS THE BUSINESS MODEL.' Worth ~USD 2.3m of Y10 revenue on the ten-year run.</t>
        </is>
      </c>
    </row>
    <row r="172">
      <c r="A172" t="inlineStr">
        <is>
          <t>Holders keep the card</t>
        </is>
      </c>
      <c r="B172" s="37">
        <f>'Scenario Parameters'!$B$83</f>
        <v/>
      </c>
      <c r="C172" t="inlineStr">
        <is>
          <t>1/0 switch</t>
        </is>
      </c>
      <c r="D172" t="inlineStr">
        <is>
          <t>NOBODY HAS DECIDED THIS. It determines whether the card streams - the majority of revenue - decay with churn or are immune to it. Worth a 42% swing in terminal revenue. Default ON because nothing in the design revokes the card; report both.</t>
        </is>
      </c>
    </row>
    <row r="173">
      <c r="A173"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38" t="inlineStr">
        <is>
          <t>Base</t>
        </is>
      </c>
      <c r="C6">
        <f>IF($B$6="Base",1,IF($B$6="Aggressive",2,3))</f>
        <v/>
      </c>
      <c r="D6" s="23" t="inlineStr">
        <is>
          <t>&lt;- index</t>
        </is>
      </c>
      <c r="G6" s="9" t="inlineStr">
        <is>
          <t>One switch, three columns. Every parameter below resolves through it.</t>
        </is>
      </c>
    </row>
    <row r="8" ht="18" customHeight="1">
      <c r="A8" s="12" t="inlineStr">
        <is>
          <t>GROUP A0: THE METAL</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Gold price appreciation</t>
        </is>
      </c>
      <c r="B10" s="39">
        <f>CHOOSE($C$6,C10,D10,E10)</f>
        <v/>
      </c>
      <c r="C10" s="16" t="n">
        <v>0.081</v>
      </c>
      <c r="D10" s="16" t="n">
        <v>0.12</v>
      </c>
      <c r="E10" s="16" t="n">
        <v>0</v>
      </c>
      <c r="F10" s="23" t="inlineStr">
        <is>
          <t>%/yr</t>
        </is>
      </c>
      <c r="G10" s="9"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 ht="18" customHeight="1">
      <c r="A12" s="12" t="inlineStr">
        <is>
          <t>GROUP A: CUSTOMERS AND CHURN</t>
        </is>
      </c>
      <c r="B12" s="13" t="n"/>
      <c r="C12" s="13" t="n"/>
      <c r="D12" s="13" t="n"/>
      <c r="E12" s="13" t="n"/>
    </row>
    <row r="13">
      <c r="A13" s="14" t="inlineStr">
        <is>
          <t>Parameter</t>
        </is>
      </c>
      <c r="B13" s="14" t="inlineStr">
        <is>
          <t>Active Value</t>
        </is>
      </c>
      <c r="C13" s="14" t="inlineStr">
        <is>
          <t>Base</t>
        </is>
      </c>
      <c r="D13" s="14" t="inlineStr">
        <is>
          <t>Aggressive</t>
        </is>
      </c>
      <c r="E13" s="14" t="inlineStr">
        <is>
          <t>Conservative</t>
        </is>
      </c>
      <c r="F13" s="14" t="inlineStr">
        <is>
          <t>Unit</t>
        </is>
      </c>
    </row>
    <row r="14">
      <c r="A14" t="inlineStr">
        <is>
          <t>Persistency - customers still paying after 12 months</t>
        </is>
      </c>
      <c r="B14" s="40">
        <f>CHOOSE($C$6,C14,D14,E14)</f>
        <v/>
      </c>
      <c r="C14" s="19" t="n">
        <v>0.55</v>
      </c>
      <c r="D14" s="19" t="n">
        <v>0.65</v>
      </c>
      <c r="E14" s="19" t="n">
        <v>0.45</v>
      </c>
      <c r="F14" s="23" t="inlineStr">
        <is>
          <t>%</t>
        </is>
      </c>
      <c r="G14"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5">
      <c r="A15" t="inlineStr">
        <is>
          <t>Monthly churn rate (derived)</t>
        </is>
      </c>
      <c r="B15" s="39">
        <f>1-'Scenario Parameters'!$B$14^(1/12)</f>
        <v/>
      </c>
      <c r="F15" s="23" t="inlineStr">
        <is>
          <t>%/month</t>
        </is>
      </c>
      <c r="G15" s="9" t="inlineStr">
        <is>
          <t>DERIVED, not typed: the monthly rate that reproduces the persistency above over twelve months. Change persistency and this follows. Base 55% implies ~4.9%/month.</t>
        </is>
      </c>
    </row>
    <row r="16">
      <c r="A16" t="inlineStr">
        <is>
          <t>Agent productivity</t>
        </is>
      </c>
      <c r="B16" s="41">
        <f>CHOOSE($C$6,C16,D16,E16)</f>
        <v/>
      </c>
      <c r="C16" s="15" t="n">
        <v>4</v>
      </c>
      <c r="D16" s="15" t="n">
        <v>6</v>
      </c>
      <c r="E16" s="15" t="n">
        <v>2</v>
      </c>
      <c r="F16" s="23" t="inlineStr">
        <is>
          <t>accounts/agent/month</t>
        </is>
      </c>
      <c r="G16" s="9" t="inlineStr">
        <is>
          <t>Insurance agency comparator. TRIANGULATED.</t>
        </is>
      </c>
    </row>
    <row r="17">
      <c r="A17" t="inlineStr">
        <is>
          <t>Marketing CAC - UAE</t>
        </is>
      </c>
      <c r="B17" s="42">
        <f>CHOOSE($C$6,C17,D17,E17)</f>
        <v/>
      </c>
      <c r="C17" s="20" t="n">
        <v>120</v>
      </c>
      <c r="D17" s="20" t="n">
        <v>80</v>
      </c>
      <c r="E17" s="20" t="n">
        <v>200</v>
      </c>
      <c r="F17" s="23" t="inlineStr">
        <is>
          <t>USD per customer</t>
        </is>
      </c>
      <c r="G17"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8">
      <c r="A18" t="inlineStr">
        <is>
          <t>Marketing CAC - Oman and Bahrain</t>
        </is>
      </c>
      <c r="B18" s="42">
        <f>CHOOSE($C$6,C18,D18,E18)</f>
        <v/>
      </c>
      <c r="C18" s="20" t="n">
        <v>100</v>
      </c>
      <c r="D18" s="20" t="n">
        <v>70</v>
      </c>
      <c r="E18" s="20" t="n">
        <v>170</v>
      </c>
      <c r="F18" s="23" t="inlineStr">
        <is>
          <t>USD per customer</t>
        </is>
      </c>
      <c r="G18"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9">
      <c r="A19" t="inlineStr">
        <is>
          <t>Marketing CAC - India</t>
        </is>
      </c>
      <c r="B19" s="42">
        <f>CHOOSE($C$6,C19,D19,E19)</f>
        <v/>
      </c>
      <c r="C19" s="20" t="n">
        <v>20</v>
      </c>
      <c r="D19" s="20" t="n">
        <v>12</v>
      </c>
      <c r="E19" s="20" t="n">
        <v>35</v>
      </c>
      <c r="F19" s="23" t="inlineStr">
        <is>
          <t>USD per customer</t>
        </is>
      </c>
      <c r="G19"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20">
      <c r="A20" t="inlineStr">
        <is>
          <t>Marketing spend share - UAE</t>
        </is>
      </c>
      <c r="B20" s="40">
        <f>CHOOSE($C$6,C20,D20,E20)</f>
        <v/>
      </c>
      <c r="C20" s="19" t="n">
        <v>0.58</v>
      </c>
      <c r="D20" s="19" t="n">
        <v>0.58</v>
      </c>
      <c r="E20" s="19" t="n">
        <v>0.58</v>
      </c>
      <c r="F20" s="23" t="inlineStr">
        <is>
          <t>% of budget</t>
        </is>
      </c>
      <c r="G20" s="9" t="inlineStr">
        <is>
          <t>How the marketing budget is split across markets. Defaults to each region's share of the addressable ceiling, so spend follows the opportunity. Does not vary by scenario - it is a management decision, not an uncertainty. Must sum to 100%.</t>
        </is>
      </c>
    </row>
    <row r="21">
      <c r="A21" t="inlineStr">
        <is>
          <t>Marketing spend share - Oman and Bahrain</t>
        </is>
      </c>
      <c r="B21" s="40">
        <f>CHOOSE($C$6,C21,D21,E21)</f>
        <v/>
      </c>
      <c r="C21" s="19" t="n">
        <v>0.16</v>
      </c>
      <c r="D21" s="19" t="n">
        <v>0.16</v>
      </c>
      <c r="E21" s="19" t="n">
        <v>0.16</v>
      </c>
      <c r="F21" s="23" t="inlineStr">
        <is>
          <t>% of budget</t>
        </is>
      </c>
      <c r="G21" s="9" t="inlineStr">
        <is>
          <t>How the marketing budget is split across markets. Defaults to each region's share of the addressable ceiling, so spend follows the opportunity. Does not vary by scenario - it is a management decision, not an uncertainty. Must sum to 100%.</t>
        </is>
      </c>
    </row>
    <row r="22">
      <c r="A22" t="inlineStr">
        <is>
          <t>Marketing spend share - India</t>
        </is>
      </c>
      <c r="B22" s="40">
        <f>CHOOSE($C$6,C22,D22,E22)</f>
        <v/>
      </c>
      <c r="C22" s="19" t="n">
        <v>0.26</v>
      </c>
      <c r="D22" s="19" t="n">
        <v>0.26</v>
      </c>
      <c r="E22" s="19" t="n">
        <v>0.26</v>
      </c>
      <c r="F22" s="23" t="inlineStr">
        <is>
          <t>% of budget</t>
        </is>
      </c>
      <c r="G22" s="9" t="inlineStr">
        <is>
          <t>How the marketing budget is split across markets. Defaults to each region's share of the addressable ceiling, so spend follows the opportunity. Does not vary by scenario - it is a management decision, not an uncertainty. Must sum to 100%.</t>
        </is>
      </c>
    </row>
    <row r="23">
      <c r="A23" t="inlineStr">
        <is>
          <t>Referral rate</t>
        </is>
      </c>
      <c r="B23" s="41">
        <f>CHOOSE($C$6,C23,D23,E23)</f>
        <v/>
      </c>
      <c r="C23" s="15" t="n">
        <v>0.45</v>
      </c>
      <c r="D23" s="15" t="n">
        <v>0.9</v>
      </c>
      <c r="E23" s="15" t="n">
        <v>0.18</v>
      </c>
      <c r="F23" s="23" t="inlineStr">
        <is>
          <t>referrals/customer/yr</t>
        </is>
      </c>
      <c r="G23" s="9" t="inlineStr">
        <is>
          <t>Cap removed deliberately, so the distribution is right-skewed. MODEL THE MEAN, NOT THE MEDIAN. ASSUMPTION.</t>
        </is>
      </c>
    </row>
    <row r="24">
      <c r="A24" t="inlineStr">
        <is>
          <t>Referral conversion</t>
        </is>
      </c>
      <c r="B24" s="40">
        <f>CHOOSE($C$6,C24,D24,E24)</f>
        <v/>
      </c>
      <c r="C24" s="19" t="n">
        <v>0.62</v>
      </c>
      <c r="D24" s="19" t="n">
        <v>0.72</v>
      </c>
      <c r="E24" s="19" t="n">
        <v>0.48</v>
      </c>
      <c r="F24" s="23" t="inlineStr">
        <is>
          <t>%</t>
        </is>
      </c>
      <c r="G24" s="9" t="inlineStr">
        <is>
          <t>The M7 survival of the referred cohort, uplifted ~1.1x. DERIVED.</t>
        </is>
      </c>
    </row>
    <row r="25">
      <c r="A25" t="inlineStr">
        <is>
          <t>Organic share of direct</t>
        </is>
      </c>
      <c r="B25" s="40">
        <f>CHOOSE($C$6,C25,D25,E25)</f>
        <v/>
      </c>
      <c r="C25" s="19" t="n">
        <v>0.12</v>
      </c>
      <c r="D25" s="19" t="n">
        <v>0.2</v>
      </c>
      <c r="E25" s="19" t="n">
        <v>0.05</v>
      </c>
      <c r="F25" s="23" t="inlineStr">
        <is>
          <t>% of direct</t>
        </is>
      </c>
      <c r="G25" s="9" t="inlineStr">
        <is>
          <t>Kept separate so the CAC never applies to it. ASSUMPTION.</t>
        </is>
      </c>
    </row>
    <row r="26">
      <c r="A26" t="inlineStr">
        <is>
          <t>Seasonality amplitude</t>
        </is>
      </c>
      <c r="B26" s="41">
        <f>CHOOSE($C$6,C26,D26,E26)</f>
        <v/>
      </c>
      <c r="C26" s="15" t="n">
        <v>1</v>
      </c>
      <c r="D26" s="15" t="n">
        <v>1.4</v>
      </c>
      <c r="E26" s="15" t="n">
        <v>0.6</v>
      </c>
      <c r="F26" s="23" t="inlineStr">
        <is>
          <t>x deviation from 1.0</t>
        </is>
      </c>
      <c r="G26" s="9" t="inlineStr">
        <is>
          <t>Festival TIMING is sourced; how hard a Dubai savings signup responds to Dhanteras is the open question. Applied to the deviation from 1.0, then renormalised, so the vectors stay at exactly 12.000.</t>
        </is>
      </c>
    </row>
    <row r="28" ht="18" customHeight="1">
      <c r="A28" s="12" t="inlineStr">
        <is>
          <t>GROUP B: CARD ELIGIBILITY - the two cells that replace the archetype engine</t>
        </is>
      </c>
      <c r="B28" s="13" t="n"/>
      <c r="C28" s="13" t="n"/>
      <c r="D28" s="13" t="n"/>
      <c r="E28" s="13" t="n"/>
    </row>
    <row r="29">
      <c r="A29" s="14" t="inlineStr">
        <is>
          <t>Parameter</t>
        </is>
      </c>
      <c r="B29" s="14" t="inlineStr">
        <is>
          <t>Active Value</t>
        </is>
      </c>
      <c r="C29" s="14" t="inlineStr">
        <is>
          <t>Base</t>
        </is>
      </c>
      <c r="D29" s="14" t="inlineStr">
        <is>
          <t>Aggressive</t>
        </is>
      </c>
      <c r="E29" s="14" t="inlineStr">
        <is>
          <t>Conservative</t>
        </is>
      </c>
      <c r="F29" s="14" t="inlineStr">
        <is>
          <t>Unit</t>
        </is>
      </c>
    </row>
    <row r="30">
      <c r="A30" t="inlineStr">
        <is>
          <t>Customers who EVER clear the six-payment gate</t>
        </is>
      </c>
      <c r="B30" s="40">
        <f>CHOOSE($C$6,C30,D30,E30)</f>
        <v/>
      </c>
      <c r="C30" s="19" t="n">
        <v>0.55</v>
      </c>
      <c r="D30" s="19" t="n">
        <v>0.65</v>
      </c>
      <c r="E30" s="19" t="n">
        <v>0.45</v>
      </c>
      <c r="F30" s="23" t="inlineStr">
        <is>
          <t>% of customers</t>
        </is>
      </c>
      <c r="G30" s="9"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31">
      <c r="A31" t="inlineStr">
        <is>
          <t>Average months to clear the gate</t>
        </is>
      </c>
      <c r="B31" s="31">
        <f>CHOOSE($C$6,C31,D31,E31)</f>
        <v/>
      </c>
      <c r="C31" s="17" t="n">
        <v>8</v>
      </c>
      <c r="D31" s="17" t="n">
        <v>6</v>
      </c>
      <c r="E31" s="17" t="n">
        <v>11</v>
      </c>
      <c r="F31" s="23" t="inlineStr">
        <is>
          <t>months</t>
        </is>
      </c>
      <c r="G31" s="9"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33" ht="18" customHeight="1">
      <c r="A33" s="12" t="inlineStr">
        <is>
          <t>GROUP C: AUM, LEAKAGE AND SPOT</t>
        </is>
      </c>
      <c r="B33" s="13" t="n"/>
      <c r="C33" s="13" t="n"/>
      <c r="D33" s="13" t="n"/>
      <c r="E33" s="13" t="n"/>
    </row>
    <row r="34">
      <c r="A34" s="14" t="inlineStr">
        <is>
          <t>Parameter</t>
        </is>
      </c>
      <c r="B34" s="14" t="inlineStr">
        <is>
          <t>Active Value</t>
        </is>
      </c>
      <c r="C34" s="14" t="inlineStr">
        <is>
          <t>Base</t>
        </is>
      </c>
      <c r="D34" s="14" t="inlineStr">
        <is>
          <t>Aggressive</t>
        </is>
      </c>
      <c r="E34" s="14" t="inlineStr">
        <is>
          <t>Conservative</t>
        </is>
      </c>
      <c r="F34" s="14" t="inlineStr">
        <is>
          <t>Unit</t>
        </is>
      </c>
    </row>
    <row r="35">
      <c r="A35" t="inlineStr">
        <is>
          <t>Gold moved out of Aurumix's control</t>
        </is>
      </c>
      <c r="B35" s="40">
        <f>CHOOSE($C$6,C35,D35,E35)</f>
        <v/>
      </c>
      <c r="C35" s="19" t="n">
        <v>0.12</v>
      </c>
      <c r="D35" s="19" t="n">
        <v>0.06</v>
      </c>
      <c r="E35" s="19" t="n">
        <v>0.3</v>
      </c>
      <c r="F35" s="23" t="inlineStr">
        <is>
          <t>% of AUM/yr</t>
        </is>
      </c>
      <c r="G35" s="9" t="inlineStr">
        <is>
          <t>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36">
      <c r="A36" t="inlineStr">
        <is>
          <t>Redemption rate</t>
        </is>
      </c>
      <c r="B36" s="40">
        <f>CHOOSE($C$6,C36,D36,E36)</f>
        <v/>
      </c>
      <c r="C36" s="19" t="n">
        <v>0.08</v>
      </c>
      <c r="D36" s="19" t="n">
        <v>0.04</v>
      </c>
      <c r="E36" s="19" t="n">
        <v>0.16</v>
      </c>
      <c r="F36" s="23" t="inlineStr">
        <is>
          <t>% of AUM/yr</t>
        </is>
      </c>
      <c r="G36" s="9" t="inlineStr">
        <is>
          <t>A DIFFERENT EVENT from self-custody and a separate line. PAXG turnover of 5.9% is the only comparator. VARA forbids charging any fee on it. ASSUMPTION.</t>
        </is>
      </c>
    </row>
    <row r="37">
      <c r="A37" t="inlineStr">
        <is>
          <t>Holder redemption multiplier</t>
        </is>
      </c>
      <c r="B37" s="41">
        <f>CHOOSE($C$6,C37,D37,E37)</f>
        <v/>
      </c>
      <c r="C37" s="15" t="n">
        <v>2.2</v>
      </c>
      <c r="D37" s="15" t="n">
        <v>1.6</v>
      </c>
      <c r="E37" s="15" t="n">
        <v>3.5</v>
      </c>
      <c r="F37" s="23" t="inlineStr">
        <is>
          <t>x the paying rate</t>
        </is>
      </c>
      <c r="G37" s="9" t="inlineStr">
        <is>
          <t>Customers who stopped paying redeem FASTER - they have no accruing benefit left to protect. Because holders become the majority of the book by Y4, this is the DOMINANT AUM DECAY TERM from roughly Y4. ASSUMPTION.</t>
        </is>
      </c>
    </row>
    <row r="38">
      <c r="A38" t="inlineStr">
        <is>
          <t>Spot attach scenario multiplier</t>
        </is>
      </c>
      <c r="B38" s="41">
        <f>CHOOSE($C$6,C38,D38,E38)</f>
        <v/>
      </c>
      <c r="C38" s="15" t="n">
        <v>1</v>
      </c>
      <c r="D38" s="15" t="n">
        <v>1.7</v>
      </c>
      <c r="E38" s="15" t="n">
        <v>0.5</v>
      </c>
      <c r="F38" s="23" t="inlineStr">
        <is>
          <t>x the regional attach</t>
        </is>
      </c>
      <c r="G38" s="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39">
      <c r="A39" t="inlineStr">
        <is>
          <t>Spot ticket scenario multiplier</t>
        </is>
      </c>
      <c r="B39" s="41">
        <f>CHOOSE($C$6,C39,D39,E39)</f>
        <v/>
      </c>
      <c r="C39" s="15" t="n">
        <v>1</v>
      </c>
      <c r="D39" s="15" t="n">
        <v>1.35</v>
      </c>
      <c r="E39" s="15" t="n">
        <v>0.7</v>
      </c>
      <c r="F39" s="23" t="inlineStr">
        <is>
          <t>x the observed ticket</t>
        </is>
      </c>
      <c r="G39" s="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40">
      <c r="A40" t="inlineStr">
        <is>
          <t>Spot frequency</t>
        </is>
      </c>
      <c r="B40" s="41">
        <f>CHOOSE($C$6,C40,D40,E40)</f>
        <v/>
      </c>
      <c r="C40" s="15" t="n">
        <v>1.7</v>
      </c>
      <c r="D40" s="15" t="n">
        <v>2.4</v>
      </c>
      <c r="E40" s="15" t="n">
        <v>1.2</v>
      </c>
      <c r="F40" s="23" t="inlineStr">
        <is>
          <t>events/attacher/yr</t>
        </is>
      </c>
      <c r="G40" s="9"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42" ht="18" customHeight="1">
      <c r="A42" s="12" t="inlineStr">
        <is>
          <t>GROUP D: CARD</t>
        </is>
      </c>
      <c r="B42" s="13" t="n"/>
      <c r="C42" s="13" t="n"/>
      <c r="D42" s="13" t="n"/>
      <c r="E42" s="13" t="n"/>
    </row>
    <row r="43">
      <c r="A43" s="14" t="inlineStr">
        <is>
          <t>Parameter</t>
        </is>
      </c>
      <c r="B43" s="14" t="inlineStr">
        <is>
          <t>Active Value</t>
        </is>
      </c>
      <c r="C43" s="14" t="inlineStr">
        <is>
          <t>Base</t>
        </is>
      </c>
      <c r="D43" s="14" t="inlineStr">
        <is>
          <t>Aggressive</t>
        </is>
      </c>
      <c r="E43" s="14" t="inlineStr">
        <is>
          <t>Conservative</t>
        </is>
      </c>
      <c r="F43" s="14" t="inlineStr">
        <is>
          <t>Unit</t>
        </is>
      </c>
    </row>
    <row r="44">
      <c r="A44" t="inlineStr">
        <is>
          <t>Programme manager share of interchange</t>
        </is>
      </c>
      <c r="B44" s="40">
        <f>CHOOSE($C$6,C44,D44,E44)</f>
        <v/>
      </c>
      <c r="C44" s="19" t="n">
        <v>0.72</v>
      </c>
      <c r="D44" s="19" t="n">
        <v>0.85</v>
      </c>
      <c r="E44" s="19" t="n">
        <v>0.55</v>
      </c>
      <c r="F44" s="23" t="inlineStr">
        <is>
          <t>%</t>
        </is>
      </c>
      <c r="G44" s="9" t="inlineStr">
        <is>
          <t>SIZES THE LARGEST STREAM. No UAE/MENA figure is published. FLOOR IS 36% - take that into the sponsor conversation as the walk-away. TRIANGULATED.</t>
        </is>
      </c>
    </row>
    <row r="45">
      <c r="A45" t="inlineStr">
        <is>
          <t>Facility take-up - customers who take AND use the card</t>
        </is>
      </c>
      <c r="B45" s="40">
        <f>CHOOSE($C$6,C45,D45,E45)</f>
        <v/>
      </c>
      <c r="C45" s="19" t="n">
        <v>0.18</v>
      </c>
      <c r="D45" s="19" t="n">
        <v>0.3</v>
      </c>
      <c r="E45" s="19" t="n">
        <v>0.08</v>
      </c>
      <c r="F45" s="23" t="inlineStr">
        <is>
          <t>% of gate-cleared</t>
        </is>
      </c>
      <c r="G45" s="9"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46">
      <c r="A46" t="inlineStr">
        <is>
          <t>Transactions per drawdown event</t>
        </is>
      </c>
      <c r="B46" s="31">
        <f>CHOOSE($C$6,C46,D46,E46)</f>
        <v/>
      </c>
      <c r="C46" s="17" t="n">
        <v>4</v>
      </c>
      <c r="D46" s="17" t="n">
        <v>6</v>
      </c>
      <c r="E46" s="17" t="n">
        <v>2</v>
      </c>
      <c r="F46" s="23" t="inlineStr">
        <is>
          <t>transactions/draw</t>
        </is>
      </c>
      <c r="G46"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47">
      <c r="A47" t="inlineStr">
        <is>
          <t>Foreign spend share (mean)</t>
        </is>
      </c>
      <c r="B47" s="40">
        <f>CHOOSE($C$6,C47,D47,E47)</f>
        <v/>
      </c>
      <c r="C47" s="19" t="n">
        <v>0.34</v>
      </c>
      <c r="D47" s="19" t="n">
        <v>0.45</v>
      </c>
      <c r="E47" s="19" t="n">
        <v>0.24</v>
      </c>
      <c r="F47" s="23" t="inlineStr">
        <is>
          <t>% of card spend</t>
        </is>
      </c>
      <c r="G47" s="9" t="inlineStr">
        <is>
          <t>Applied through the seasonal vector, not as a constant. ASSUMPTION.</t>
        </is>
      </c>
    </row>
    <row r="48">
      <c r="A48" t="inlineStr">
        <is>
          <t>Card issuance events</t>
        </is>
      </c>
      <c r="B48" s="41">
        <f>CHOOSE($C$6,C48,D48,E48)</f>
        <v/>
      </c>
      <c r="C48" s="15" t="n">
        <v>1.06</v>
      </c>
      <c r="D48" s="15" t="n">
        <v>1.04</v>
      </c>
      <c r="E48" s="15" t="n">
        <v>1.1</v>
      </c>
      <c r="F48" s="23" t="inlineStr">
        <is>
          <t>events/card/yr</t>
        </is>
      </c>
      <c r="G48" s="9" t="inlineStr">
        <is>
          <t>1.00 at activation plus reissues - a tier upgrade forces a physical reissue. ASSUMPTION.</t>
        </is>
      </c>
    </row>
    <row r="49">
      <c r="A49" t="inlineStr">
        <is>
          <t>Card replacement events</t>
        </is>
      </c>
      <c r="B49" s="41">
        <f>CHOOSE($C$6,C49,D49,E49)</f>
        <v/>
      </c>
      <c r="C49" s="15" t="n">
        <v>0.11</v>
      </c>
      <c r="D49" s="15" t="n">
        <v>0.07000000000000001</v>
      </c>
      <c r="E49" s="15" t="n">
        <v>0.18</v>
      </c>
      <c r="F49" s="23" t="inlineStr">
        <is>
          <t>events/card/yr</t>
        </is>
      </c>
      <c r="G49" s="9" t="inlineStr">
        <is>
          <t>Industry-normal loss/theft/damage is 8-15% annually. ASSUMPTION.</t>
        </is>
      </c>
    </row>
    <row r="50">
      <c r="A50" t="inlineStr">
        <is>
          <t>ATM AED 0-500 - share of cardholders</t>
        </is>
      </c>
      <c r="B50" s="40">
        <f>CHOOSE($C$6,C50,D50,E50)</f>
        <v/>
      </c>
      <c r="C50" s="19" t="n">
        <v>0.6</v>
      </c>
      <c r="D50" s="19" t="n">
        <v>0.42</v>
      </c>
      <c r="E50" s="19" t="n">
        <v>0.74</v>
      </c>
      <c r="F50" s="23" t="inlineStr">
        <is>
          <t>%</t>
        </is>
      </c>
      <c r="G50"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1">
      <c r="A51" t="inlineStr">
        <is>
          <t>ATM AED 500-1,500 - share of cardholders</t>
        </is>
      </c>
      <c r="B51" s="40">
        <f>CHOOSE($C$6,C51,D51,E51)</f>
        <v/>
      </c>
      <c r="C51" s="19" t="n">
        <v>0.25</v>
      </c>
      <c r="D51" s="19" t="n">
        <v>0.3</v>
      </c>
      <c r="E51" s="19" t="n">
        <v>0.18</v>
      </c>
      <c r="F51" s="23" t="inlineStr">
        <is>
          <t>%</t>
        </is>
      </c>
      <c r="G51"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2">
      <c r="A52" t="inlineStr">
        <is>
          <t>ATM AED 1,500-3,000 - share of cardholders</t>
        </is>
      </c>
      <c r="B52" s="40">
        <f>CHOOSE($C$6,C52,D52,E52)</f>
        <v/>
      </c>
      <c r="C52" s="19" t="n">
        <v>0.12</v>
      </c>
      <c r="D52" s="19" t="n">
        <v>0.2</v>
      </c>
      <c r="E52" s="19" t="n">
        <v>0.06</v>
      </c>
      <c r="F52" s="23" t="inlineStr">
        <is>
          <t>%</t>
        </is>
      </c>
      <c r="G52"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3">
      <c r="A53" t="inlineStr">
        <is>
          <t>ATM AED 3,000+ - share of cardholders</t>
        </is>
      </c>
      <c r="B53" s="40">
        <f>CHOOSE($C$6,C53,D53,E53)</f>
        <v/>
      </c>
      <c r="C53" s="19" t="n">
        <v>0.03</v>
      </c>
      <c r="D53" s="19" t="n">
        <v>0.08</v>
      </c>
      <c r="E53" s="19" t="n">
        <v>0.02</v>
      </c>
      <c r="F53" s="23" t="inlineStr">
        <is>
          <t>%</t>
        </is>
      </c>
      <c r="G53"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4">
      <c r="A54" t="inlineStr">
        <is>
          <t>ATM AED 0-500 - midpoint draw</t>
        </is>
      </c>
      <c r="B54" s="31">
        <f>CHOOSE($C$6,C54,D54,E54)</f>
        <v/>
      </c>
      <c r="C54" s="17" t="n">
        <v>250</v>
      </c>
      <c r="D54" s="17" t="n">
        <v>300</v>
      </c>
      <c r="E54" s="17" t="n">
        <v>200</v>
      </c>
      <c r="F54" s="23" t="inlineStr">
        <is>
          <t>AED/month</t>
        </is>
      </c>
      <c r="G54" s="9" t="inlineStr">
        <is>
          <t>Raising the allowance at the top tier waives revenue from only the top ~3% of cardholders.</t>
        </is>
      </c>
    </row>
    <row r="55">
      <c r="A55" t="inlineStr">
        <is>
          <t>ATM AED 500-1,500 - midpoint draw</t>
        </is>
      </c>
      <c r="B55" s="31">
        <f>CHOOSE($C$6,C55,D55,E55)</f>
        <v/>
      </c>
      <c r="C55" s="17" t="n">
        <v>1000</v>
      </c>
      <c r="D55" s="17" t="n">
        <v>1100</v>
      </c>
      <c r="E55" s="17" t="n">
        <v>900</v>
      </c>
      <c r="F55" s="23" t="inlineStr">
        <is>
          <t>AED/month</t>
        </is>
      </c>
      <c r="G55" s="9" t="inlineStr">
        <is>
          <t>Raising the allowance at the top tier waives revenue from only the top ~3% of cardholders.</t>
        </is>
      </c>
    </row>
    <row r="56">
      <c r="A56" t="inlineStr">
        <is>
          <t>ATM AED 1,500-3,000 - midpoint draw</t>
        </is>
      </c>
      <c r="B56" s="31">
        <f>CHOOSE($C$6,C56,D56,E56)</f>
        <v/>
      </c>
      <c r="C56" s="17" t="n">
        <v>2250</v>
      </c>
      <c r="D56" s="17" t="n">
        <v>2400</v>
      </c>
      <c r="E56" s="17" t="n">
        <v>2100</v>
      </c>
      <c r="F56" s="23" t="inlineStr">
        <is>
          <t>AED/month</t>
        </is>
      </c>
      <c r="G56" s="9" t="inlineStr">
        <is>
          <t>Raising the allowance at the top tier waives revenue from only the top ~3% of cardholders.</t>
        </is>
      </c>
    </row>
    <row r="57">
      <c r="A57" t="inlineStr">
        <is>
          <t>ATM AED 3,000+ - midpoint draw</t>
        </is>
      </c>
      <c r="B57" s="31">
        <f>CHOOSE($C$6,C57,D57,E57)</f>
        <v/>
      </c>
      <c r="C57" s="17" t="n">
        <v>4000</v>
      </c>
      <c r="D57" s="17" t="n">
        <v>4500</v>
      </c>
      <c r="E57" s="17" t="n">
        <v>3600</v>
      </c>
      <c r="F57" s="23" t="inlineStr">
        <is>
          <t>AED/month</t>
        </is>
      </c>
      <c r="G57" s="9" t="inlineStr">
        <is>
          <t>Raising the allowance at the top tier waives revenue from only the top ~3% of cardholders.</t>
        </is>
      </c>
    </row>
    <row r="59" ht="18" customHeight="1">
      <c r="A59" s="12" t="inlineStr">
        <is>
          <t>GROUP E: CREDIT, B2B AND FAMILY</t>
        </is>
      </c>
      <c r="B59" s="13" t="n"/>
      <c r="C59" s="13" t="n"/>
      <c r="D59" s="13" t="n"/>
      <c r="E59" s="13" t="n"/>
    </row>
    <row r="60">
      <c r="A60" s="14" t="inlineStr">
        <is>
          <t>Parameter</t>
        </is>
      </c>
      <c r="B60" s="14" t="inlineStr">
        <is>
          <t>Active Value</t>
        </is>
      </c>
      <c r="C60" s="14" t="inlineStr">
        <is>
          <t>Base</t>
        </is>
      </c>
      <c r="D60" s="14" t="inlineStr">
        <is>
          <t>Aggressive</t>
        </is>
      </c>
      <c r="E60" s="14" t="inlineStr">
        <is>
          <t>Conservative</t>
        </is>
      </c>
      <c r="F60" s="14" t="inlineStr">
        <is>
          <t>Unit</t>
        </is>
      </c>
    </row>
    <row r="61">
      <c r="A61" t="inlineStr">
        <is>
          <t>Drawn as % of permitted limit</t>
        </is>
      </c>
      <c r="B61" s="40">
        <f>CHOOSE($C$6,C61,D61,E61)</f>
        <v/>
      </c>
      <c r="C61" s="19" t="n">
        <v>0.5</v>
      </c>
      <c r="D61" s="19" t="n">
        <v>0.7</v>
      </c>
      <c r="E61" s="19" t="n">
        <v>0.3</v>
      </c>
      <c r="F61" s="23" t="inlineStr">
        <is>
          <t>%</t>
        </is>
      </c>
      <c r="G61" s="9" t="inlineStr">
        <is>
          <t>Revolving facilities draw 40-55% of permitted. This now drives CARD SPEND as well as the loan balance, because the card is the drawdown mechanism. TRIANGULATED.</t>
        </is>
      </c>
    </row>
    <row r="62">
      <c r="A62" t="inlineStr">
        <is>
          <t>Facility turnover, peak -&gt; average</t>
        </is>
      </c>
      <c r="B62" s="41">
        <f>CHOOSE($C$6,C62,D62,E62)</f>
        <v/>
      </c>
      <c r="C62" s="15" t="n">
        <v>0.42</v>
      </c>
      <c r="D62" s="15" t="n">
        <v>0.55</v>
      </c>
      <c r="E62" s="15" t="n">
        <v>0.3</v>
      </c>
      <c r="F62" s="23" t="inlineStr">
        <is>
          <t>x peak drawn</t>
        </is>
      </c>
      <c r="G62" s="9" t="inlineStr">
        <is>
          <t>AN ARITHMETIC CORRECTION, not a sensitivity, derived from Manappuram's 71-day realised tenor. It cuts the lending stream by 1.88x. DERIVED.</t>
        </is>
      </c>
    </row>
    <row r="63">
      <c r="A63" t="inlineStr">
        <is>
          <t>Draw events per borrower per year</t>
        </is>
      </c>
      <c r="B63" s="41">
        <f>CHOOSE($C$6,C63,D63,E63)</f>
        <v/>
      </c>
      <c r="C63" s="15" t="n">
        <v>2.1</v>
      </c>
      <c r="D63" s="15" t="n">
        <v>3.2</v>
      </c>
      <c r="E63" s="15" t="n">
        <v>1.3</v>
      </c>
      <c r="F63" s="23" t="inlineStr">
        <is>
          <t>events/yr</t>
        </is>
      </c>
      <c r="G63" s="9" t="inlineStr">
        <is>
          <t>MOVES WITH facility turnover - do not flex independently. DERIVED.</t>
        </is>
      </c>
    </row>
    <row r="64">
      <c r="A64" t="inlineStr">
        <is>
          <t>Family plan attach rate</t>
        </is>
      </c>
      <c r="B64" s="40">
        <f>CHOOSE($C$6,C64,D64,E64)</f>
        <v/>
      </c>
      <c r="C64" s="19" t="n">
        <v>0.2</v>
      </c>
      <c r="D64" s="19" t="n">
        <v>0.35</v>
      </c>
      <c r="E64" s="19" t="n">
        <v>0.1</v>
      </c>
      <c r="F64" s="23" t="inlineStr">
        <is>
          <t>% of customers</t>
        </is>
      </c>
      <c r="G64" s="9" t="inlineStr">
        <is>
          <t>NOTHING IS STATED ANYWHERE IN THE CORPUS. Pure assumption. Scales stream 3 linearly.</t>
        </is>
      </c>
    </row>
    <row r="65">
      <c r="A65" t="inlineStr">
        <is>
          <t>B2B partners - Y1</t>
        </is>
      </c>
      <c r="B65" s="31">
        <f>CHOOSE($C$6,C65,D65,E65)</f>
        <v/>
      </c>
      <c r="C65" s="17" t="n">
        <v>0</v>
      </c>
      <c r="D65" s="17" t="n">
        <v>0</v>
      </c>
      <c r="E65" s="17" t="n">
        <v>0</v>
      </c>
      <c r="F65" s="23" t="inlineStr">
        <is>
          <t>partners</t>
        </is>
      </c>
      <c r="G65"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6">
      <c r="A66" t="inlineStr">
        <is>
          <t>B2B partners - Y2</t>
        </is>
      </c>
      <c r="B66" s="31">
        <f>CHOOSE($C$6,C66,D66,E66)</f>
        <v/>
      </c>
      <c r="C66" s="17" t="n">
        <v>1</v>
      </c>
      <c r="D66" s="17" t="n">
        <v>1</v>
      </c>
      <c r="E66" s="17" t="n">
        <v>1</v>
      </c>
      <c r="F66" s="23" t="inlineStr">
        <is>
          <t>partners</t>
        </is>
      </c>
      <c r="G66"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7">
      <c r="A67" t="inlineStr">
        <is>
          <t>B2B partners - Y3</t>
        </is>
      </c>
      <c r="B67" s="31">
        <f>CHOOSE($C$6,C67,D67,E67)</f>
        <v/>
      </c>
      <c r="C67" s="17" t="n">
        <v>2</v>
      </c>
      <c r="D67" s="17" t="n">
        <v>3</v>
      </c>
      <c r="E67" s="17" t="n">
        <v>1</v>
      </c>
      <c r="F67" s="23" t="inlineStr">
        <is>
          <t>partners</t>
        </is>
      </c>
      <c r="G67"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8">
      <c r="A68" t="inlineStr">
        <is>
          <t>B2B partners - Y4</t>
        </is>
      </c>
      <c r="B68" s="31">
        <f>CHOOSE($C$6,C68,D68,E68)</f>
        <v/>
      </c>
      <c r="C68" s="17" t="n">
        <v>3</v>
      </c>
      <c r="D68" s="17" t="n">
        <v>5</v>
      </c>
      <c r="E68" s="17" t="n">
        <v>1</v>
      </c>
      <c r="F68" s="23" t="inlineStr">
        <is>
          <t>partners</t>
        </is>
      </c>
      <c r="G68"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9">
      <c r="A69" t="inlineStr">
        <is>
          <t>B2B partners - Y5</t>
        </is>
      </c>
      <c r="B69" s="31">
        <f>CHOOSE($C$6,C69,D69,E69)</f>
        <v/>
      </c>
      <c r="C69" s="17" t="n">
        <v>4</v>
      </c>
      <c r="D69" s="17" t="n">
        <v>7</v>
      </c>
      <c r="E69" s="17" t="n">
        <v>2</v>
      </c>
      <c r="F69" s="23" t="inlineStr">
        <is>
          <t>partners</t>
        </is>
      </c>
      <c r="G69"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70">
      <c r="A70" t="inlineStr">
        <is>
          <t>B2B partners - Y6</t>
        </is>
      </c>
      <c r="B70" s="31">
        <f>CHOOSE($C$6,C70,D70,E70)</f>
        <v/>
      </c>
      <c r="C70" s="17" t="n">
        <v>5</v>
      </c>
      <c r="D70" s="17" t="n">
        <v>9</v>
      </c>
      <c r="E70" s="17" t="n">
        <v>2</v>
      </c>
      <c r="F70" s="23" t="inlineStr">
        <is>
          <t>partners</t>
        </is>
      </c>
      <c r="G70"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71">
      <c r="A71" t="inlineStr">
        <is>
          <t>B2B partners - Y7</t>
        </is>
      </c>
      <c r="B71" s="31">
        <f>CHOOSE($C$6,C71,D71,E71)</f>
        <v/>
      </c>
      <c r="C71" s="17" t="n">
        <v>6</v>
      </c>
      <c r="D71" s="17" t="n">
        <v>11</v>
      </c>
      <c r="E71" s="17" t="n">
        <v>2</v>
      </c>
      <c r="F71" s="23" t="inlineStr">
        <is>
          <t>partners</t>
        </is>
      </c>
      <c r="G71"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72">
      <c r="A72" t="inlineStr">
        <is>
          <t>AUM per partner (mature)</t>
        </is>
      </c>
      <c r="B72" s="42">
        <f>CHOOSE($C$6,C72,D72,E72)</f>
        <v/>
      </c>
      <c r="C72" s="20" t="n">
        <v>32000000</v>
      </c>
      <c r="D72" s="20" t="n">
        <v>45000000</v>
      </c>
      <c r="E72" s="20" t="n">
        <v>22000000</v>
      </c>
      <c r="F72" s="23" t="inlineStr">
        <is>
          <t>USD</t>
        </is>
      </c>
      <c r="G72" s="9" t="inlineStr">
        <is>
          <t>Requires a signed partner. Partner AUM earns NO tier and consumes NO benefits - structurally the highest-margin book. DERIVED.</t>
        </is>
      </c>
    </row>
    <row r="74" ht="18" customHeight="1">
      <c r="A74" s="12" t="inlineStr">
        <is>
          <t>GROUP F: REGIONS</t>
        </is>
      </c>
      <c r="B74" s="13" t="n"/>
      <c r="C74" s="13" t="n"/>
      <c r="D74" s="13" t="n"/>
      <c r="E74" s="13" t="n"/>
    </row>
    <row r="75">
      <c r="A75" s="14" t="inlineStr">
        <is>
          <t>Parameter</t>
        </is>
      </c>
      <c r="B75" s="14" t="inlineStr">
        <is>
          <t>Active Value</t>
        </is>
      </c>
      <c r="C75" s="14" t="inlineStr">
        <is>
          <t>Base</t>
        </is>
      </c>
      <c r="D75" s="14" t="inlineStr">
        <is>
          <t>Aggressive</t>
        </is>
      </c>
      <c r="E75" s="14" t="inlineStr">
        <is>
          <t>Conservative</t>
        </is>
      </c>
      <c r="F75" s="14" t="inlineStr">
        <is>
          <t>Unit</t>
        </is>
      </c>
    </row>
    <row r="76">
      <c r="A76" t="inlineStr">
        <is>
          <t>Average monthly ticket - UAE</t>
        </is>
      </c>
      <c r="B76" s="42">
        <f>CHOOSE($C$6,C76,D76,E76)</f>
        <v/>
      </c>
      <c r="C76" s="20" t="n">
        <v>33.6</v>
      </c>
      <c r="D76" s="20" t="n">
        <v>41</v>
      </c>
      <c r="E76" s="20" t="n">
        <v>26.5</v>
      </c>
      <c r="F76" s="23" t="inlineStr">
        <is>
          <t>USD/month</t>
        </is>
      </c>
      <c r="G76"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7">
      <c r="A77" t="inlineStr">
        <is>
          <t>Average monthly ticket - Oman and Bahrain</t>
        </is>
      </c>
      <c r="B77" s="42">
        <f>CHOOSE($C$6,C77,D77,E77)</f>
        <v/>
      </c>
      <c r="C77" s="20" t="n">
        <v>26</v>
      </c>
      <c r="D77" s="20" t="n">
        <v>32</v>
      </c>
      <c r="E77" s="20" t="n">
        <v>21</v>
      </c>
      <c r="F77" s="23" t="inlineStr">
        <is>
          <t>USD/month</t>
        </is>
      </c>
      <c r="G77"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8">
      <c r="A78" t="inlineStr">
        <is>
          <t>Average monthly ticket - India</t>
        </is>
      </c>
      <c r="B78" s="42">
        <f>CHOOSE($C$6,C78,D78,E78)</f>
        <v/>
      </c>
      <c r="C78" s="20" t="n">
        <v>30</v>
      </c>
      <c r="D78" s="20" t="n">
        <v>36</v>
      </c>
      <c r="E78" s="20" t="n">
        <v>24</v>
      </c>
      <c r="F78" s="23" t="inlineStr">
        <is>
          <t>USD/month</t>
        </is>
      </c>
      <c r="G78"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0" ht="18" customHeight="1">
      <c r="A80" s="12" t="inlineStr">
        <is>
          <t>STRUCTURAL SWITCHES - the two that move revenue</t>
        </is>
      </c>
      <c r="B80" s="13" t="n"/>
      <c r="C80" s="13" t="n"/>
      <c r="D80" s="13" t="n"/>
      <c r="E80" s="13" t="n"/>
    </row>
    <row r="81">
      <c r="A81" s="14" t="inlineStr">
        <is>
          <t>Switch</t>
        </is>
      </c>
      <c r="B81" s="14" t="inlineStr">
        <is>
          <t>Active (1/0)</t>
        </is>
      </c>
      <c r="C81" s="14" t="inlineStr">
        <is>
          <t>State</t>
        </is>
      </c>
      <c r="D81" s="14" t="inlineStr">
        <is>
          <t>ON value</t>
        </is>
      </c>
    </row>
    <row r="82">
      <c r="A82" t="inlineStr">
        <is>
          <t>Prepaid instead of credit</t>
        </is>
      </c>
      <c r="B82" s="31">
        <f>IF($C$82="Prepaid",1,0)</f>
        <v/>
      </c>
      <c r="C82" s="38" t="inlineStr">
        <is>
          <t>Credit</t>
        </is>
      </c>
      <c r="D82" s="23" t="inlineStr">
        <is>
          <t>Prepaid</t>
        </is>
      </c>
      <c r="G82" s="9" t="inlineStr">
        <is>
          <t>ON (Prepaid) caps interchange at 1.00% and removes the credit stream entirely. 'NOT A PRODUCT CHOICE, IT IS THE BUSINESS MODEL.' Worth ~USD 2.3m of Y10 revenue on the ten-year run.</t>
        </is>
      </c>
    </row>
    <row r="83">
      <c r="A83" t="inlineStr">
        <is>
          <t>Holders keep the card</t>
        </is>
      </c>
      <c r="B83" s="31">
        <f>IF($C$83="ON",1,0)</f>
        <v/>
      </c>
      <c r="C83" s="38" t="inlineStr">
        <is>
          <t>ON</t>
        </is>
      </c>
      <c r="D83" s="23" t="inlineStr">
        <is>
          <t>ON</t>
        </is>
      </c>
      <c r="G83" s="9" t="inlineStr">
        <is>
          <t>NOBODY HAS DECIDED THIS. It determines whether the card streams - the majority of revenue - decay with churn or are immune to it. Worth a 42% swing in terminal revenue. Default ON because nothing in the design revokes the card; report both.</t>
        </is>
      </c>
    </row>
  </sheetData>
  <dataValidations count="3">
    <dataValidation sqref="B6" showDropDown="0" showInputMessage="0" showErrorMessage="0" allowBlank="0" type="list">
      <formula1>"Base,Aggressive,Conservative"</formula1>
    </dataValidation>
    <dataValidation sqref="C82" showDropDown="0" showInputMessage="0" showErrorMessage="0" allowBlank="0" type="list">
      <formula1>"Credit,Prepaid"</formula1>
    </dataValidation>
    <dataValidation sqref="C83" showDropDown="0" showInputMessage="0" showErrorMessage="0" allowBlank="0" type="list">
      <formula1>"ON,OFF"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79"/>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3" t="inlineStr">
        <is>
          <t>M1</t>
        </is>
      </c>
      <c r="D3" s="43" t="inlineStr">
        <is>
          <t>M2</t>
        </is>
      </c>
      <c r="E3" s="43" t="inlineStr">
        <is>
          <t>M3</t>
        </is>
      </c>
      <c r="F3" s="43" t="inlineStr">
        <is>
          <t>M4</t>
        </is>
      </c>
      <c r="G3" s="43" t="inlineStr">
        <is>
          <t>M5</t>
        </is>
      </c>
      <c r="H3" s="43" t="inlineStr">
        <is>
          <t>M6</t>
        </is>
      </c>
      <c r="I3" s="43" t="inlineStr">
        <is>
          <t>M7</t>
        </is>
      </c>
      <c r="J3" s="43" t="inlineStr">
        <is>
          <t>M8</t>
        </is>
      </c>
      <c r="K3" s="43" t="inlineStr">
        <is>
          <t>M9</t>
        </is>
      </c>
      <c r="L3" s="43" t="inlineStr">
        <is>
          <t>M10</t>
        </is>
      </c>
      <c r="M3" s="43" t="inlineStr">
        <is>
          <t>M11</t>
        </is>
      </c>
      <c r="N3" s="43" t="inlineStr">
        <is>
          <t>M12</t>
        </is>
      </c>
      <c r="O3" s="43" t="inlineStr">
        <is>
          <t>M13</t>
        </is>
      </c>
      <c r="P3" s="43" t="inlineStr">
        <is>
          <t>M14</t>
        </is>
      </c>
      <c r="Q3" s="43" t="inlineStr">
        <is>
          <t>M15</t>
        </is>
      </c>
      <c r="R3" s="43" t="inlineStr">
        <is>
          <t>M16</t>
        </is>
      </c>
      <c r="S3" s="43" t="inlineStr">
        <is>
          <t>M17</t>
        </is>
      </c>
      <c r="T3" s="43" t="inlineStr">
        <is>
          <t>M18</t>
        </is>
      </c>
      <c r="U3" s="43" t="inlineStr">
        <is>
          <t>M19</t>
        </is>
      </c>
      <c r="V3" s="43" t="inlineStr">
        <is>
          <t>M20</t>
        </is>
      </c>
      <c r="W3" s="43" t="inlineStr">
        <is>
          <t>M21</t>
        </is>
      </c>
      <c r="X3" s="43" t="inlineStr">
        <is>
          <t>M22</t>
        </is>
      </c>
      <c r="Y3" s="43" t="inlineStr">
        <is>
          <t>M23</t>
        </is>
      </c>
      <c r="Z3" s="43" t="inlineStr">
        <is>
          <t>M24</t>
        </is>
      </c>
      <c r="AA3" s="43" t="inlineStr">
        <is>
          <t>Y3</t>
        </is>
      </c>
      <c r="AB3" s="43" t="inlineStr">
        <is>
          <t>Y4</t>
        </is>
      </c>
      <c r="AC3" s="43" t="inlineStr">
        <is>
          <t>Y5</t>
        </is>
      </c>
      <c r="AD3" s="43" t="inlineStr">
        <is>
          <t>Y6</t>
        </is>
      </c>
      <c r="AE3" s="43" t="inlineStr">
        <is>
          <t>Y7</t>
        </is>
      </c>
    </row>
    <row r="4">
      <c r="A4" s="6" t="inlineStr">
        <is>
          <t>Period type</t>
        </is>
      </c>
      <c r="B4" s="23" t="inlineStr">
        <is>
          <t>-</t>
        </is>
      </c>
      <c r="C4" s="44" t="inlineStr">
        <is>
          <t>Monthly</t>
        </is>
      </c>
      <c r="D4" s="44" t="inlineStr">
        <is>
          <t>Monthly</t>
        </is>
      </c>
      <c r="E4" s="44" t="inlineStr">
        <is>
          <t>Monthly</t>
        </is>
      </c>
      <c r="F4" s="44" t="inlineStr">
        <is>
          <t>Monthly</t>
        </is>
      </c>
      <c r="G4" s="44" t="inlineStr">
        <is>
          <t>Monthly</t>
        </is>
      </c>
      <c r="H4" s="44" t="inlineStr">
        <is>
          <t>Monthly</t>
        </is>
      </c>
      <c r="I4" s="44" t="inlineStr">
        <is>
          <t>Monthly</t>
        </is>
      </c>
      <c r="J4" s="44" t="inlineStr">
        <is>
          <t>Monthly</t>
        </is>
      </c>
      <c r="K4" s="44" t="inlineStr">
        <is>
          <t>Monthly</t>
        </is>
      </c>
      <c r="L4" s="44" t="inlineStr">
        <is>
          <t>Monthly</t>
        </is>
      </c>
      <c r="M4" s="44" t="inlineStr">
        <is>
          <t>Monthly</t>
        </is>
      </c>
      <c r="N4" s="44" t="inlineStr">
        <is>
          <t>Monthly</t>
        </is>
      </c>
      <c r="O4" s="44" t="inlineStr">
        <is>
          <t>Monthly</t>
        </is>
      </c>
      <c r="P4" s="44" t="inlineStr">
        <is>
          <t>Monthly</t>
        </is>
      </c>
      <c r="Q4" s="44" t="inlineStr">
        <is>
          <t>Monthly</t>
        </is>
      </c>
      <c r="R4" s="44" t="inlineStr">
        <is>
          <t>Monthly</t>
        </is>
      </c>
      <c r="S4" s="44" t="inlineStr">
        <is>
          <t>Monthly</t>
        </is>
      </c>
      <c r="T4" s="44" t="inlineStr">
        <is>
          <t>Monthly</t>
        </is>
      </c>
      <c r="U4" s="44" t="inlineStr">
        <is>
          <t>Monthly</t>
        </is>
      </c>
      <c r="V4" s="44" t="inlineStr">
        <is>
          <t>Monthly</t>
        </is>
      </c>
      <c r="W4" s="44" t="inlineStr">
        <is>
          <t>Monthly</t>
        </is>
      </c>
      <c r="X4" s="44" t="inlineStr">
        <is>
          <t>Monthly</t>
        </is>
      </c>
      <c r="Y4" s="44" t="inlineStr">
        <is>
          <t>Monthly</t>
        </is>
      </c>
      <c r="Z4" s="44" t="inlineStr">
        <is>
          <t>Monthly</t>
        </is>
      </c>
      <c r="AA4" s="44" t="inlineStr">
        <is>
          <t>Annual</t>
        </is>
      </c>
      <c r="AB4" s="44" t="inlineStr">
        <is>
          <t>Annual</t>
        </is>
      </c>
      <c r="AC4" s="44" t="inlineStr">
        <is>
          <t>Annual</t>
        </is>
      </c>
      <c r="AD4" s="44" t="inlineStr">
        <is>
          <t>Annual</t>
        </is>
      </c>
      <c r="AE4" s="44" t="inlineStr">
        <is>
          <t>Annual</t>
        </is>
      </c>
    </row>
    <row r="5">
      <c r="A5" s="6" t="inlineStr">
        <is>
          <t>Model year</t>
        </is>
      </c>
      <c r="B5" s="23" t="inlineStr">
        <is>
          <t>1..7</t>
        </is>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 r="A6" s="6" t="inlineStr">
        <is>
          <t>Calendar month</t>
        </is>
      </c>
      <c r="B6" s="23" t="inlineStr">
        <is>
          <t>0 = annual</t>
        </is>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 r="A7" s="6" t="inlineStr">
        <is>
          <t>Months in period</t>
        </is>
      </c>
      <c r="B7" s="23" t="inlineStr">
        <is>
          <t>months</t>
        </is>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 r="A8" s="6" t="inlineStr">
        <is>
          <t>Financial-year end</t>
        </is>
      </c>
      <c r="B8" s="23" t="inlineStr">
        <is>
          <t>1/0</t>
        </is>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 r="A10" s="46" t="inlineStr">
        <is>
          <t>SEASONALITY - normalised to EXACTLY 12.000 by construction</t>
        </is>
      </c>
      <c r="B10" s="47" t="n"/>
      <c r="C10" s="47" t="n"/>
      <c r="D10" s="47" t="n"/>
      <c r="E10" s="47" t="n"/>
      <c r="F10" s="47" t="n"/>
      <c r="G10" s="47" t="n"/>
      <c r="H10" s="47" t="n"/>
      <c r="I10" s="47" t="n"/>
      <c r="J10" s="47" t="n"/>
      <c r="K10" s="47" t="n"/>
      <c r="L10" s="47" t="n"/>
      <c r="M10" s="47" t="n"/>
      <c r="N10" s="47" t="n"/>
      <c r="O10" s="47" t="n"/>
      <c r="P10" s="47" t="n"/>
      <c r="Q10" s="47" t="n"/>
      <c r="R10" s="47" t="n"/>
      <c r="S10" s="47" t="n"/>
      <c r="T10" s="47" t="n"/>
      <c r="U10" s="47" t="n"/>
      <c r="V10" s="47" t="n"/>
      <c r="W10" s="47" t="n"/>
      <c r="X10" s="47" t="n"/>
      <c r="Y10" s="47" t="n"/>
      <c r="Z10" s="47" t="n"/>
      <c r="AA10" s="47" t="n"/>
      <c r="AB10" s="47" t="n"/>
      <c r="AC10" s="47" t="n"/>
      <c r="AD10" s="47" t="n"/>
      <c r="AE10" s="47" t="n"/>
    </row>
    <row r="11">
      <c r="A11" t="inlineStr">
        <is>
          <t>Acquisition seasonality - normalised</t>
        </is>
      </c>
      <c r="B11" s="23" t="inlineStr">
        <is>
          <t>Jan..Dec</t>
        </is>
      </c>
      <c r="C11" s="48">
        <f>(1+(Assumptions!$F$61-1)*Assumptions!$B$133)*12/SUMPRODUCT(1+(Assumptions!$F$61:$Q$61-1)*Assumptions!$B$133)</f>
        <v/>
      </c>
      <c r="D11" s="48">
        <f>(1+(Assumptions!$G$61-1)*Assumptions!$B$133)*12/SUMPRODUCT(1+(Assumptions!$F$61:$Q$61-1)*Assumptions!$B$133)</f>
        <v/>
      </c>
      <c r="E11" s="48">
        <f>(1+(Assumptions!$H$61-1)*Assumptions!$B$133)*12/SUMPRODUCT(1+(Assumptions!$F$61:$Q$61-1)*Assumptions!$B$133)</f>
        <v/>
      </c>
      <c r="F11" s="48">
        <f>(1+(Assumptions!$I$61-1)*Assumptions!$B$133)*12/SUMPRODUCT(1+(Assumptions!$F$61:$Q$61-1)*Assumptions!$B$133)</f>
        <v/>
      </c>
      <c r="G11" s="48">
        <f>(1+(Assumptions!$J$61-1)*Assumptions!$B$133)*12/SUMPRODUCT(1+(Assumptions!$F$61:$Q$61-1)*Assumptions!$B$133)</f>
        <v/>
      </c>
      <c r="H11" s="48">
        <f>(1+(Assumptions!$K$61-1)*Assumptions!$B$133)*12/SUMPRODUCT(1+(Assumptions!$F$61:$Q$61-1)*Assumptions!$B$133)</f>
        <v/>
      </c>
      <c r="I11" s="48">
        <f>(1+(Assumptions!$L$61-1)*Assumptions!$B$133)*12/SUMPRODUCT(1+(Assumptions!$F$61:$Q$61-1)*Assumptions!$B$133)</f>
        <v/>
      </c>
      <c r="J11" s="48">
        <f>(1+(Assumptions!$M$61-1)*Assumptions!$B$133)*12/SUMPRODUCT(1+(Assumptions!$F$61:$Q$61-1)*Assumptions!$B$133)</f>
        <v/>
      </c>
      <c r="K11" s="48">
        <f>(1+(Assumptions!$N$61-1)*Assumptions!$B$133)*12/SUMPRODUCT(1+(Assumptions!$F$61:$Q$61-1)*Assumptions!$B$133)</f>
        <v/>
      </c>
      <c r="L11" s="48">
        <f>(1+(Assumptions!$O$61-1)*Assumptions!$B$133)*12/SUMPRODUCT(1+(Assumptions!$F$61:$Q$61-1)*Assumptions!$B$133)</f>
        <v/>
      </c>
      <c r="M11" s="48">
        <f>(1+(Assumptions!$P$61-1)*Assumptions!$B$133)*12/SUMPRODUCT(1+(Assumptions!$F$61:$Q$61-1)*Assumptions!$B$133)</f>
        <v/>
      </c>
      <c r="N11" s="48">
        <f>(1+(Assumptions!$Q$61-1)*Assumptions!$B$133)*12/SUMPRODUCT(1+(Assumptions!$F$61:$Q$61-1)*Assumptions!$B$133)</f>
        <v/>
      </c>
    </row>
    <row r="12">
      <c r="A12" t="inlineStr">
        <is>
          <t>Card spend seasonality - normalised</t>
        </is>
      </c>
      <c r="B12" s="23" t="inlineStr">
        <is>
          <t>Jan..Dec</t>
        </is>
      </c>
      <c r="C12" s="48">
        <f>(1+(Assumptions!$F$62-1)*Assumptions!$B$133)*12/SUMPRODUCT(1+(Assumptions!$F$62:$Q$62-1)*Assumptions!$B$133)</f>
        <v/>
      </c>
      <c r="D12" s="48">
        <f>(1+(Assumptions!$G$62-1)*Assumptions!$B$133)*12/SUMPRODUCT(1+(Assumptions!$F$62:$Q$62-1)*Assumptions!$B$133)</f>
        <v/>
      </c>
      <c r="E12" s="48">
        <f>(1+(Assumptions!$H$62-1)*Assumptions!$B$133)*12/SUMPRODUCT(1+(Assumptions!$F$62:$Q$62-1)*Assumptions!$B$133)</f>
        <v/>
      </c>
      <c r="F12" s="48">
        <f>(1+(Assumptions!$I$62-1)*Assumptions!$B$133)*12/SUMPRODUCT(1+(Assumptions!$F$62:$Q$62-1)*Assumptions!$B$133)</f>
        <v/>
      </c>
      <c r="G12" s="48">
        <f>(1+(Assumptions!$J$62-1)*Assumptions!$B$133)*12/SUMPRODUCT(1+(Assumptions!$F$62:$Q$62-1)*Assumptions!$B$133)</f>
        <v/>
      </c>
      <c r="H12" s="48">
        <f>(1+(Assumptions!$K$62-1)*Assumptions!$B$133)*12/SUMPRODUCT(1+(Assumptions!$F$62:$Q$62-1)*Assumptions!$B$133)</f>
        <v/>
      </c>
      <c r="I12" s="48">
        <f>(1+(Assumptions!$L$62-1)*Assumptions!$B$133)*12/SUMPRODUCT(1+(Assumptions!$F$62:$Q$62-1)*Assumptions!$B$133)</f>
        <v/>
      </c>
      <c r="J12" s="48">
        <f>(1+(Assumptions!$M$62-1)*Assumptions!$B$133)*12/SUMPRODUCT(1+(Assumptions!$F$62:$Q$62-1)*Assumptions!$B$133)</f>
        <v/>
      </c>
      <c r="K12" s="48">
        <f>(1+(Assumptions!$N$62-1)*Assumptions!$B$133)*12/SUMPRODUCT(1+(Assumptions!$F$62:$Q$62-1)*Assumptions!$B$133)</f>
        <v/>
      </c>
      <c r="L12" s="48">
        <f>(1+(Assumptions!$O$62-1)*Assumptions!$B$133)*12/SUMPRODUCT(1+(Assumptions!$F$62:$Q$62-1)*Assumptions!$B$133)</f>
        <v/>
      </c>
      <c r="M12" s="48">
        <f>(1+(Assumptions!$P$62-1)*Assumptions!$B$133)*12/SUMPRODUCT(1+(Assumptions!$F$62:$Q$62-1)*Assumptions!$B$133)</f>
        <v/>
      </c>
      <c r="N12" s="48">
        <f>(1+(Assumptions!$Q$62-1)*Assumptions!$B$133)*12/SUMPRODUCT(1+(Assumptions!$F$62:$Q$62-1)*Assumptions!$B$133)</f>
        <v/>
      </c>
    </row>
    <row r="13">
      <c r="A13" t="inlineStr">
        <is>
          <t>Foreign-spend share - rescaled to the mean</t>
        </is>
      </c>
      <c r="B13" s="23" t="inlineStr">
        <is>
          <t>Jan..Dec</t>
        </is>
      </c>
      <c r="C13" s="49">
        <f>Assumptions!$F$63/AVERAGE(Assumptions!$F$63:$Q$63)*Assumptions!$B$145</f>
        <v/>
      </c>
      <c r="D13" s="49">
        <f>Assumptions!$G$63/AVERAGE(Assumptions!$F$63:$Q$63)*Assumptions!$B$145</f>
        <v/>
      </c>
      <c r="E13" s="49">
        <f>Assumptions!$H$63/AVERAGE(Assumptions!$F$63:$Q$63)*Assumptions!$B$145</f>
        <v/>
      </c>
      <c r="F13" s="49">
        <f>Assumptions!$I$63/AVERAGE(Assumptions!$F$63:$Q$63)*Assumptions!$B$145</f>
        <v/>
      </c>
      <c r="G13" s="49">
        <f>Assumptions!$J$63/AVERAGE(Assumptions!$F$63:$Q$63)*Assumptions!$B$145</f>
        <v/>
      </c>
      <c r="H13" s="49">
        <f>Assumptions!$K$63/AVERAGE(Assumptions!$F$63:$Q$63)*Assumptions!$B$145</f>
        <v/>
      </c>
      <c r="I13" s="49">
        <f>Assumptions!$L$63/AVERAGE(Assumptions!$F$63:$Q$63)*Assumptions!$B$145</f>
        <v/>
      </c>
      <c r="J13" s="49">
        <f>Assumptions!$M$63/AVERAGE(Assumptions!$F$63:$Q$63)*Assumptions!$B$145</f>
        <v/>
      </c>
      <c r="K13" s="49">
        <f>Assumptions!$N$63/AVERAGE(Assumptions!$F$63:$Q$63)*Assumptions!$B$145</f>
        <v/>
      </c>
      <c r="L13" s="49">
        <f>Assumptions!$O$63/AVERAGE(Assumptions!$F$63:$Q$63)*Assumptions!$B$145</f>
        <v/>
      </c>
      <c r="M13" s="49">
        <f>Assumptions!$P$63/AVERAGE(Assumptions!$F$63:$Q$63)*Assumptions!$B$145</f>
        <v/>
      </c>
      <c r="N13" s="49">
        <f>Assumptions!$Q$63/AVERAGE(Assumptions!$F$63:$Q$63)*Assumptions!$B$145</f>
        <v/>
      </c>
    </row>
    <row r="14">
      <c r="A14" s="3" t="inlineStr">
        <is>
          <t>Seasonality sum check (must be exactly 12.000)</t>
        </is>
      </c>
      <c r="B14" s="23" t="inlineStr">
        <is>
          <t>acq | spend</t>
        </is>
      </c>
      <c r="C14" s="50">
        <f>SUM($C$11:$N$11)</f>
        <v/>
      </c>
      <c r="D14" s="50">
        <f>SUM($C$12:$N$12)</f>
        <v/>
      </c>
    </row>
    <row r="15">
      <c r="A15" s="6" t="inlineStr">
        <is>
          <t>Acquisition seasonality applied</t>
        </is>
      </c>
      <c r="B15" s="23" t="inlineStr">
        <is>
          <t>multiplier</t>
        </is>
      </c>
      <c r="C15" s="51">
        <f>IF(C7=1,INDEX($C$11:$N$11,1,C6),1)</f>
        <v/>
      </c>
      <c r="D15" s="51">
        <f>IF(D7=1,INDEX($C$11:$N$11,1,D6),1)</f>
        <v/>
      </c>
      <c r="E15" s="51">
        <f>IF(E7=1,INDEX($C$11:$N$11,1,E6),1)</f>
        <v/>
      </c>
      <c r="F15" s="51">
        <f>IF(F7=1,INDEX($C$11:$N$11,1,F6),1)</f>
        <v/>
      </c>
      <c r="G15" s="51">
        <f>IF(G7=1,INDEX($C$11:$N$11,1,G6),1)</f>
        <v/>
      </c>
      <c r="H15" s="51">
        <f>IF(H7=1,INDEX($C$11:$N$11,1,H6),1)</f>
        <v/>
      </c>
      <c r="I15" s="51">
        <f>IF(I7=1,INDEX($C$11:$N$11,1,I6),1)</f>
        <v/>
      </c>
      <c r="J15" s="51">
        <f>IF(J7=1,INDEX($C$11:$N$11,1,J6),1)</f>
        <v/>
      </c>
      <c r="K15" s="51">
        <f>IF(K7=1,INDEX($C$11:$N$11,1,K6),1)</f>
        <v/>
      </c>
      <c r="L15" s="51">
        <f>IF(L7=1,INDEX($C$11:$N$11,1,L6),1)</f>
        <v/>
      </c>
      <c r="M15" s="51">
        <f>IF(M7=1,INDEX($C$11:$N$11,1,M6),1)</f>
        <v/>
      </c>
      <c r="N15" s="51">
        <f>IF(N7=1,INDEX($C$11:$N$11,1,N6),1)</f>
        <v/>
      </c>
      <c r="O15" s="51">
        <f>IF(O7=1,INDEX($C$11:$N$11,1,O6),1)</f>
        <v/>
      </c>
      <c r="P15" s="51">
        <f>IF(P7=1,INDEX($C$11:$N$11,1,P6),1)</f>
        <v/>
      </c>
      <c r="Q15" s="51">
        <f>IF(Q7=1,INDEX($C$11:$N$11,1,Q6),1)</f>
        <v/>
      </c>
      <c r="R15" s="51">
        <f>IF(R7=1,INDEX($C$11:$N$11,1,R6),1)</f>
        <v/>
      </c>
      <c r="S15" s="51">
        <f>IF(S7=1,INDEX($C$11:$N$11,1,S6),1)</f>
        <v/>
      </c>
      <c r="T15" s="51">
        <f>IF(T7=1,INDEX($C$11:$N$11,1,T6),1)</f>
        <v/>
      </c>
      <c r="U15" s="51">
        <f>IF(U7=1,INDEX($C$11:$N$11,1,U6),1)</f>
        <v/>
      </c>
      <c r="V15" s="51">
        <f>IF(V7=1,INDEX($C$11:$N$11,1,V6),1)</f>
        <v/>
      </c>
      <c r="W15" s="51">
        <f>IF(W7=1,INDEX($C$11:$N$11,1,W6),1)</f>
        <v/>
      </c>
      <c r="X15" s="51">
        <f>IF(X7=1,INDEX($C$11:$N$11,1,X6),1)</f>
        <v/>
      </c>
      <c r="Y15" s="51">
        <f>IF(Y7=1,INDEX($C$11:$N$11,1,Y6),1)</f>
        <v/>
      </c>
      <c r="Z15" s="51">
        <f>IF(Z7=1,INDEX($C$11:$N$11,1,Z6),1)</f>
        <v/>
      </c>
      <c r="AA15" s="51">
        <f>IF(AA7=1,INDEX($C$11:$N$11,1,AA6),1)</f>
        <v/>
      </c>
      <c r="AB15" s="51">
        <f>IF(AB7=1,INDEX($C$11:$N$11,1,AB6),1)</f>
        <v/>
      </c>
      <c r="AC15" s="51">
        <f>IF(AC7=1,INDEX($C$11:$N$11,1,AC6),1)</f>
        <v/>
      </c>
      <c r="AD15" s="51">
        <f>IF(AD7=1,INDEX($C$11:$N$11,1,AD6),1)</f>
        <v/>
      </c>
      <c r="AE15" s="51">
        <f>IF(AE7=1,INDEX($C$11:$N$11,1,AE6),1)</f>
        <v/>
      </c>
    </row>
    <row r="16">
      <c r="A16" s="6" t="inlineStr">
        <is>
          <t>Card spend seasonality applied</t>
        </is>
      </c>
      <c r="B16" s="23" t="inlineStr">
        <is>
          <t>multiplier</t>
        </is>
      </c>
      <c r="C16" s="51">
        <f>IF(C7=1,INDEX($C$12:$N$12,1,C6),1)</f>
        <v/>
      </c>
      <c r="D16" s="51">
        <f>IF(D7=1,INDEX($C$12:$N$12,1,D6),1)</f>
        <v/>
      </c>
      <c r="E16" s="51">
        <f>IF(E7=1,INDEX($C$12:$N$12,1,E6),1)</f>
        <v/>
      </c>
      <c r="F16" s="51">
        <f>IF(F7=1,INDEX($C$12:$N$12,1,F6),1)</f>
        <v/>
      </c>
      <c r="G16" s="51">
        <f>IF(G7=1,INDEX($C$12:$N$12,1,G6),1)</f>
        <v/>
      </c>
      <c r="H16" s="51">
        <f>IF(H7=1,INDEX($C$12:$N$12,1,H6),1)</f>
        <v/>
      </c>
      <c r="I16" s="51">
        <f>IF(I7=1,INDEX($C$12:$N$12,1,I6),1)</f>
        <v/>
      </c>
      <c r="J16" s="51">
        <f>IF(J7=1,INDEX($C$12:$N$12,1,J6),1)</f>
        <v/>
      </c>
      <c r="K16" s="51">
        <f>IF(K7=1,INDEX($C$12:$N$12,1,K6),1)</f>
        <v/>
      </c>
      <c r="L16" s="51">
        <f>IF(L7=1,INDEX($C$12:$N$12,1,L6),1)</f>
        <v/>
      </c>
      <c r="M16" s="51">
        <f>IF(M7=1,INDEX($C$12:$N$12,1,M6),1)</f>
        <v/>
      </c>
      <c r="N16" s="51">
        <f>IF(N7=1,INDEX($C$12:$N$12,1,N6),1)</f>
        <v/>
      </c>
      <c r="O16" s="51">
        <f>IF(O7=1,INDEX($C$12:$N$12,1,O6),1)</f>
        <v/>
      </c>
      <c r="P16" s="51">
        <f>IF(P7=1,INDEX($C$12:$N$12,1,P6),1)</f>
        <v/>
      </c>
      <c r="Q16" s="51">
        <f>IF(Q7=1,INDEX($C$12:$N$12,1,Q6),1)</f>
        <v/>
      </c>
      <c r="R16" s="51">
        <f>IF(R7=1,INDEX($C$12:$N$12,1,R6),1)</f>
        <v/>
      </c>
      <c r="S16" s="51">
        <f>IF(S7=1,INDEX($C$12:$N$12,1,S6),1)</f>
        <v/>
      </c>
      <c r="T16" s="51">
        <f>IF(T7=1,INDEX($C$12:$N$12,1,T6),1)</f>
        <v/>
      </c>
      <c r="U16" s="51">
        <f>IF(U7=1,INDEX($C$12:$N$12,1,U6),1)</f>
        <v/>
      </c>
      <c r="V16" s="51">
        <f>IF(V7=1,INDEX($C$12:$N$12,1,V6),1)</f>
        <v/>
      </c>
      <c r="W16" s="51">
        <f>IF(W7=1,INDEX($C$12:$N$12,1,W6),1)</f>
        <v/>
      </c>
      <c r="X16" s="51">
        <f>IF(X7=1,INDEX($C$12:$N$12,1,X6),1)</f>
        <v/>
      </c>
      <c r="Y16" s="51">
        <f>IF(Y7=1,INDEX($C$12:$N$12,1,Y6),1)</f>
        <v/>
      </c>
      <c r="Z16" s="51">
        <f>IF(Z7=1,INDEX($C$12:$N$12,1,Z6),1)</f>
        <v/>
      </c>
      <c r="AA16" s="51">
        <f>IF(AA7=1,INDEX($C$12:$N$12,1,AA6),1)</f>
        <v/>
      </c>
      <c r="AB16" s="51">
        <f>IF(AB7=1,INDEX($C$12:$N$12,1,AB6),1)</f>
        <v/>
      </c>
      <c r="AC16" s="51">
        <f>IF(AC7=1,INDEX($C$12:$N$12,1,AC6),1)</f>
        <v/>
      </c>
      <c r="AD16" s="51">
        <f>IF(AD7=1,INDEX($C$12:$N$12,1,AD6),1)</f>
        <v/>
      </c>
      <c r="AE16" s="51">
        <f>IF(AE7=1,INDEX($C$12:$N$12,1,AE6),1)</f>
        <v/>
      </c>
    </row>
    <row r="17">
      <c r="A17" s="6" t="inlineStr">
        <is>
          <t>Foreign-spend share applied</t>
        </is>
      </c>
      <c r="B17" s="23" t="inlineStr">
        <is>
          <t>%</t>
        </is>
      </c>
      <c r="C17" s="52">
        <f>IF(C7=1,INDEX($C$13:$N$13,1,C6),AVERAGE($C$13:$N$13))</f>
        <v/>
      </c>
      <c r="D17" s="52">
        <f>IF(D7=1,INDEX($C$13:$N$13,1,D6),AVERAGE($C$13:$N$13))</f>
        <v/>
      </c>
      <c r="E17" s="52">
        <f>IF(E7=1,INDEX($C$13:$N$13,1,E6),AVERAGE($C$13:$N$13))</f>
        <v/>
      </c>
      <c r="F17" s="52">
        <f>IF(F7=1,INDEX($C$13:$N$13,1,F6),AVERAGE($C$13:$N$13))</f>
        <v/>
      </c>
      <c r="G17" s="52">
        <f>IF(G7=1,INDEX($C$13:$N$13,1,G6),AVERAGE($C$13:$N$13))</f>
        <v/>
      </c>
      <c r="H17" s="52">
        <f>IF(H7=1,INDEX($C$13:$N$13,1,H6),AVERAGE($C$13:$N$13))</f>
        <v/>
      </c>
      <c r="I17" s="52">
        <f>IF(I7=1,INDEX($C$13:$N$13,1,I6),AVERAGE($C$13:$N$13))</f>
        <v/>
      </c>
      <c r="J17" s="52">
        <f>IF(J7=1,INDEX($C$13:$N$13,1,J6),AVERAGE($C$13:$N$13))</f>
        <v/>
      </c>
      <c r="K17" s="52">
        <f>IF(K7=1,INDEX($C$13:$N$13,1,K6),AVERAGE($C$13:$N$13))</f>
        <v/>
      </c>
      <c r="L17" s="52">
        <f>IF(L7=1,INDEX($C$13:$N$13,1,L6),AVERAGE($C$13:$N$13))</f>
        <v/>
      </c>
      <c r="M17" s="52">
        <f>IF(M7=1,INDEX($C$13:$N$13,1,M6),AVERAGE($C$13:$N$13))</f>
        <v/>
      </c>
      <c r="N17" s="52">
        <f>IF(N7=1,INDEX($C$13:$N$13,1,N6),AVERAGE($C$13:$N$13))</f>
        <v/>
      </c>
      <c r="O17" s="52">
        <f>IF(O7=1,INDEX($C$13:$N$13,1,O6),AVERAGE($C$13:$N$13))</f>
        <v/>
      </c>
      <c r="P17" s="52">
        <f>IF(P7=1,INDEX($C$13:$N$13,1,P6),AVERAGE($C$13:$N$13))</f>
        <v/>
      </c>
      <c r="Q17" s="52">
        <f>IF(Q7=1,INDEX($C$13:$N$13,1,Q6),AVERAGE($C$13:$N$13))</f>
        <v/>
      </c>
      <c r="R17" s="52">
        <f>IF(R7=1,INDEX($C$13:$N$13,1,R6),AVERAGE($C$13:$N$13))</f>
        <v/>
      </c>
      <c r="S17" s="52">
        <f>IF(S7=1,INDEX($C$13:$N$13,1,S6),AVERAGE($C$13:$N$13))</f>
        <v/>
      </c>
      <c r="T17" s="52">
        <f>IF(T7=1,INDEX($C$13:$N$13,1,T6),AVERAGE($C$13:$N$13))</f>
        <v/>
      </c>
      <c r="U17" s="52">
        <f>IF(U7=1,INDEX($C$13:$N$13,1,U6),AVERAGE($C$13:$N$13))</f>
        <v/>
      </c>
      <c r="V17" s="52">
        <f>IF(V7=1,INDEX($C$13:$N$13,1,V6),AVERAGE($C$13:$N$13))</f>
        <v/>
      </c>
      <c r="W17" s="52">
        <f>IF(W7=1,INDEX($C$13:$N$13,1,W6),AVERAGE($C$13:$N$13))</f>
        <v/>
      </c>
      <c r="X17" s="52">
        <f>IF(X7=1,INDEX($C$13:$N$13,1,X6),AVERAGE($C$13:$N$13))</f>
        <v/>
      </c>
      <c r="Y17" s="52">
        <f>IF(Y7=1,INDEX($C$13:$N$13,1,Y6),AVERAGE($C$13:$N$13))</f>
        <v/>
      </c>
      <c r="Z17" s="52">
        <f>IF(Z7=1,INDEX($C$13:$N$13,1,Z6),AVERAGE($C$13:$N$13))</f>
        <v/>
      </c>
      <c r="AA17" s="52">
        <f>IF(AA7=1,INDEX($C$13:$N$13,1,AA6),AVERAGE($C$13:$N$13))</f>
        <v/>
      </c>
      <c r="AB17" s="52">
        <f>IF(AB7=1,INDEX($C$13:$N$13,1,AB6),AVERAGE($C$13:$N$13))</f>
        <v/>
      </c>
      <c r="AC17" s="52">
        <f>IF(AC7=1,INDEX($C$13:$N$13,1,AC6),AVERAGE($C$13:$N$13))</f>
        <v/>
      </c>
      <c r="AD17" s="52">
        <f>IF(AD7=1,INDEX($C$13:$N$13,1,AD6),AVERAGE($C$13:$N$13))</f>
        <v/>
      </c>
      <c r="AE17" s="52">
        <f>IF(AE7=1,INDEX($C$13:$N$13,1,AE6),AVERAGE($C$13:$N$13))</f>
        <v/>
      </c>
    </row>
    <row r="19">
      <c r="A19" s="46" t="inlineStr">
        <is>
          <t>ACQUISITION - all channels, then split across regions</t>
        </is>
      </c>
      <c r="B19" s="47" t="n"/>
      <c r="C19" s="47" t="n"/>
      <c r="D19" s="47" t="n"/>
      <c r="E19" s="47" t="n"/>
      <c r="F19" s="47" t="n"/>
      <c r="G19" s="47" t="n"/>
      <c r="H19" s="47" t="n"/>
      <c r="I19" s="47" t="n"/>
      <c r="J19" s="47" t="n"/>
      <c r="K19" s="47" t="n"/>
      <c r="L19" s="47" t="n"/>
      <c r="M19" s="47" t="n"/>
      <c r="N19" s="47" t="n"/>
      <c r="O19" s="47" t="n"/>
      <c r="P19" s="47" t="n"/>
      <c r="Q19" s="47" t="n"/>
      <c r="R19" s="47" t="n"/>
      <c r="S19" s="47" t="n"/>
      <c r="T19" s="47" t="n"/>
      <c r="U19" s="47" t="n"/>
      <c r="V19" s="47" t="n"/>
      <c r="W19" s="47" t="n"/>
      <c r="X19" s="47" t="n"/>
      <c r="Y19" s="47" t="n"/>
      <c r="Z19" s="47" t="n"/>
      <c r="AA19" s="47" t="n"/>
      <c r="AB19" s="47" t="n"/>
      <c r="AC19" s="47" t="n"/>
      <c r="AD19" s="47" t="n"/>
      <c r="AE19" s="47" t="n"/>
    </row>
    <row r="20">
      <c r="A20" t="inlineStr">
        <is>
          <t>Agent-driven new customers (routed by region below)</t>
        </is>
      </c>
      <c r="B20" s="23" t="inlineStr">
        <is>
          <t>accounts</t>
        </is>
      </c>
      <c r="C20" s="53">
        <f>INDEX(Assumptions!$B$93:$B$99,C5)*Assumptions!$B$123*INDEX(Assumptions!$B$107:$B$113,C5)*C7</f>
        <v/>
      </c>
      <c r="D20" s="53">
        <f>INDEX(Assumptions!$B$93:$B$99,D5)*Assumptions!$B$123*INDEX(Assumptions!$B$107:$B$113,D5)*D7</f>
        <v/>
      </c>
      <c r="E20" s="53">
        <f>INDEX(Assumptions!$B$93:$B$99,E5)*Assumptions!$B$123*INDEX(Assumptions!$B$107:$B$113,E5)*E7</f>
        <v/>
      </c>
      <c r="F20" s="53">
        <f>INDEX(Assumptions!$B$93:$B$99,F5)*Assumptions!$B$123*INDEX(Assumptions!$B$107:$B$113,F5)*F7</f>
        <v/>
      </c>
      <c r="G20" s="53">
        <f>INDEX(Assumptions!$B$93:$B$99,G5)*Assumptions!$B$123*INDEX(Assumptions!$B$107:$B$113,G5)*G7</f>
        <v/>
      </c>
      <c r="H20" s="53">
        <f>INDEX(Assumptions!$B$93:$B$99,H5)*Assumptions!$B$123*INDEX(Assumptions!$B$107:$B$113,H5)*H7</f>
        <v/>
      </c>
      <c r="I20" s="53">
        <f>INDEX(Assumptions!$B$93:$B$99,I5)*Assumptions!$B$123*INDEX(Assumptions!$B$107:$B$113,I5)*I7</f>
        <v/>
      </c>
      <c r="J20" s="53">
        <f>INDEX(Assumptions!$B$93:$B$99,J5)*Assumptions!$B$123*INDEX(Assumptions!$B$107:$B$113,J5)*J7</f>
        <v/>
      </c>
      <c r="K20" s="53">
        <f>INDEX(Assumptions!$B$93:$B$99,K5)*Assumptions!$B$123*INDEX(Assumptions!$B$107:$B$113,K5)*K7</f>
        <v/>
      </c>
      <c r="L20" s="53">
        <f>INDEX(Assumptions!$B$93:$B$99,L5)*Assumptions!$B$123*INDEX(Assumptions!$B$107:$B$113,L5)*L7</f>
        <v/>
      </c>
      <c r="M20" s="53">
        <f>INDEX(Assumptions!$B$93:$B$99,M5)*Assumptions!$B$123*INDEX(Assumptions!$B$107:$B$113,M5)*M7</f>
        <v/>
      </c>
      <c r="N20" s="53">
        <f>INDEX(Assumptions!$B$93:$B$99,N5)*Assumptions!$B$123*INDEX(Assumptions!$B$107:$B$113,N5)*N7</f>
        <v/>
      </c>
      <c r="O20" s="53">
        <f>INDEX(Assumptions!$B$93:$B$99,O5)*Assumptions!$B$123*INDEX(Assumptions!$B$107:$B$113,O5)*O7</f>
        <v/>
      </c>
      <c r="P20" s="53">
        <f>INDEX(Assumptions!$B$93:$B$99,P5)*Assumptions!$B$123*INDEX(Assumptions!$B$107:$B$113,P5)*P7</f>
        <v/>
      </c>
      <c r="Q20" s="53">
        <f>INDEX(Assumptions!$B$93:$B$99,Q5)*Assumptions!$B$123*INDEX(Assumptions!$B$107:$B$113,Q5)*Q7</f>
        <v/>
      </c>
      <c r="R20" s="53">
        <f>INDEX(Assumptions!$B$93:$B$99,R5)*Assumptions!$B$123*INDEX(Assumptions!$B$107:$B$113,R5)*R7</f>
        <v/>
      </c>
      <c r="S20" s="53">
        <f>INDEX(Assumptions!$B$93:$B$99,S5)*Assumptions!$B$123*INDEX(Assumptions!$B$107:$B$113,S5)*S7</f>
        <v/>
      </c>
      <c r="T20" s="53">
        <f>INDEX(Assumptions!$B$93:$B$99,T5)*Assumptions!$B$123*INDEX(Assumptions!$B$107:$B$113,T5)*T7</f>
        <v/>
      </c>
      <c r="U20" s="53">
        <f>INDEX(Assumptions!$B$93:$B$99,U5)*Assumptions!$B$123*INDEX(Assumptions!$B$107:$B$113,U5)*U7</f>
        <v/>
      </c>
      <c r="V20" s="53">
        <f>INDEX(Assumptions!$B$93:$B$99,V5)*Assumptions!$B$123*INDEX(Assumptions!$B$107:$B$113,V5)*V7</f>
        <v/>
      </c>
      <c r="W20" s="53">
        <f>INDEX(Assumptions!$B$93:$B$99,W5)*Assumptions!$B$123*INDEX(Assumptions!$B$107:$B$113,W5)*W7</f>
        <v/>
      </c>
      <c r="X20" s="53">
        <f>INDEX(Assumptions!$B$93:$B$99,X5)*Assumptions!$B$123*INDEX(Assumptions!$B$107:$B$113,X5)*X7</f>
        <v/>
      </c>
      <c r="Y20" s="53">
        <f>INDEX(Assumptions!$B$93:$B$99,Y5)*Assumptions!$B$123*INDEX(Assumptions!$B$107:$B$113,Y5)*Y7</f>
        <v/>
      </c>
      <c r="Z20" s="53">
        <f>INDEX(Assumptions!$B$93:$B$99,Z5)*Assumptions!$B$123*INDEX(Assumptions!$B$107:$B$113,Z5)*Z7</f>
        <v/>
      </c>
      <c r="AA20" s="53">
        <f>INDEX(Assumptions!$B$93:$B$99,AA5)*Assumptions!$B$123*INDEX(Assumptions!$B$107:$B$113,AA5)*AA7</f>
        <v/>
      </c>
      <c r="AB20" s="53">
        <f>INDEX(Assumptions!$B$93:$B$99,AB5)*Assumptions!$B$123*INDEX(Assumptions!$B$107:$B$113,AB5)*AB7</f>
        <v/>
      </c>
      <c r="AC20" s="53">
        <f>INDEX(Assumptions!$B$93:$B$99,AC5)*Assumptions!$B$123*INDEX(Assumptions!$B$107:$B$113,AC5)*AC7</f>
        <v/>
      </c>
      <c r="AD20" s="53">
        <f>INDEX(Assumptions!$B$93:$B$99,AD5)*Assumptions!$B$123*INDEX(Assumptions!$B$107:$B$113,AD5)*AD7</f>
        <v/>
      </c>
      <c r="AE20" s="53">
        <f>INDEX(Assumptions!$B$93:$B$99,AE5)*Assumptions!$B$123*INDEX(Assumptions!$B$107:$B$113,AE5)*AE7</f>
        <v/>
      </c>
    </row>
    <row r="21">
      <c r="A21" s="6" t="inlineStr">
        <is>
          <t>Gold price (this period)</t>
        </is>
      </c>
      <c r="B21" s="23" t="inlineStr">
        <is>
          <t>USD/g</t>
        </is>
      </c>
      <c r="C21" s="53">
        <f>Assumptions!$B$6*(1+Assumptions!$B$120)^(C5-1)</f>
        <v/>
      </c>
      <c r="D21" s="53">
        <f>Assumptions!$B$6*(1+Assumptions!$B$120)^(D5-1)</f>
        <v/>
      </c>
      <c r="E21" s="53">
        <f>Assumptions!$B$6*(1+Assumptions!$B$120)^(E5-1)</f>
        <v/>
      </c>
      <c r="F21" s="53">
        <f>Assumptions!$B$6*(1+Assumptions!$B$120)^(F5-1)</f>
        <v/>
      </c>
      <c r="G21" s="53">
        <f>Assumptions!$B$6*(1+Assumptions!$B$120)^(G5-1)</f>
        <v/>
      </c>
      <c r="H21" s="53">
        <f>Assumptions!$B$6*(1+Assumptions!$B$120)^(H5-1)</f>
        <v/>
      </c>
      <c r="I21" s="53">
        <f>Assumptions!$B$6*(1+Assumptions!$B$120)^(I5-1)</f>
        <v/>
      </c>
      <c r="J21" s="53">
        <f>Assumptions!$B$6*(1+Assumptions!$B$120)^(J5-1)</f>
        <v/>
      </c>
      <c r="K21" s="53">
        <f>Assumptions!$B$6*(1+Assumptions!$B$120)^(K5-1)</f>
        <v/>
      </c>
      <c r="L21" s="53">
        <f>Assumptions!$B$6*(1+Assumptions!$B$120)^(L5-1)</f>
        <v/>
      </c>
      <c r="M21" s="53">
        <f>Assumptions!$B$6*(1+Assumptions!$B$120)^(M5-1)</f>
        <v/>
      </c>
      <c r="N21" s="53">
        <f>Assumptions!$B$6*(1+Assumptions!$B$120)^(N5-1)</f>
        <v/>
      </c>
      <c r="O21" s="53">
        <f>Assumptions!$B$6*(1+Assumptions!$B$120)^(O5-1)</f>
        <v/>
      </c>
      <c r="P21" s="53">
        <f>Assumptions!$B$6*(1+Assumptions!$B$120)^(P5-1)</f>
        <v/>
      </c>
      <c r="Q21" s="53">
        <f>Assumptions!$B$6*(1+Assumptions!$B$120)^(Q5-1)</f>
        <v/>
      </c>
      <c r="R21" s="53">
        <f>Assumptions!$B$6*(1+Assumptions!$B$120)^(R5-1)</f>
        <v/>
      </c>
      <c r="S21" s="53">
        <f>Assumptions!$B$6*(1+Assumptions!$B$120)^(S5-1)</f>
        <v/>
      </c>
      <c r="T21" s="53">
        <f>Assumptions!$B$6*(1+Assumptions!$B$120)^(T5-1)</f>
        <v/>
      </c>
      <c r="U21" s="53">
        <f>Assumptions!$B$6*(1+Assumptions!$B$120)^(U5-1)</f>
        <v/>
      </c>
      <c r="V21" s="53">
        <f>Assumptions!$B$6*(1+Assumptions!$B$120)^(V5-1)</f>
        <v/>
      </c>
      <c r="W21" s="53">
        <f>Assumptions!$B$6*(1+Assumptions!$B$120)^(W5-1)</f>
        <v/>
      </c>
      <c r="X21" s="53">
        <f>Assumptions!$B$6*(1+Assumptions!$B$120)^(X5-1)</f>
        <v/>
      </c>
      <c r="Y21" s="53">
        <f>Assumptions!$B$6*(1+Assumptions!$B$120)^(Y5-1)</f>
        <v/>
      </c>
      <c r="Z21" s="53">
        <f>Assumptions!$B$6*(1+Assumptions!$B$120)^(Z5-1)</f>
        <v/>
      </c>
      <c r="AA21" s="53">
        <f>Assumptions!$B$6*(1+Assumptions!$B$120)^(AA5-1)</f>
        <v/>
      </c>
      <c r="AB21" s="53">
        <f>Assumptions!$B$6*(1+Assumptions!$B$120)^(AB5-1)</f>
        <v/>
      </c>
      <c r="AC21" s="53">
        <f>Assumptions!$B$6*(1+Assumptions!$B$120)^(AC5-1)</f>
        <v/>
      </c>
      <c r="AD21" s="53">
        <f>Assumptions!$B$6*(1+Assumptions!$B$120)^(AD5-1)</f>
        <v/>
      </c>
      <c r="AE21" s="53">
        <f>Assumptions!$B$6*(1+Assumptions!$B$120)^(AE5-1)</f>
        <v/>
      </c>
    </row>
    <row r="22">
      <c r="A22" s="9" t="inlineStr">
        <is>
          <t>⚠ 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is>
      </c>
    </row>
    <row r="23">
      <c r="A23" s="6" t="inlineStr">
        <is>
          <t>Open-region salesforce share (renormalisation base)</t>
        </is>
      </c>
      <c r="B23" s="23" t="inlineStr">
        <is>
          <t>x</t>
        </is>
      </c>
      <c r="C23" s="48">
        <f>Assumptions!$B$114*1+Assumptions!$B$115*IF(C2&gt;=Assumptions!$B$56,1,0)+Assumptions!$B$116*IF(C2&gt;=Assumptions!$B$57,1,0)</f>
        <v/>
      </c>
      <c r="D23" s="48">
        <f>Assumptions!$B$114*1+Assumptions!$B$115*IF(D2&gt;=Assumptions!$B$56,1,0)+Assumptions!$B$116*IF(D2&gt;=Assumptions!$B$57,1,0)</f>
        <v/>
      </c>
      <c r="E23" s="48">
        <f>Assumptions!$B$114*1+Assumptions!$B$115*IF(E2&gt;=Assumptions!$B$56,1,0)+Assumptions!$B$116*IF(E2&gt;=Assumptions!$B$57,1,0)</f>
        <v/>
      </c>
      <c r="F23" s="48">
        <f>Assumptions!$B$114*1+Assumptions!$B$115*IF(F2&gt;=Assumptions!$B$56,1,0)+Assumptions!$B$116*IF(F2&gt;=Assumptions!$B$57,1,0)</f>
        <v/>
      </c>
      <c r="G23" s="48">
        <f>Assumptions!$B$114*1+Assumptions!$B$115*IF(G2&gt;=Assumptions!$B$56,1,0)+Assumptions!$B$116*IF(G2&gt;=Assumptions!$B$57,1,0)</f>
        <v/>
      </c>
      <c r="H23" s="48">
        <f>Assumptions!$B$114*1+Assumptions!$B$115*IF(H2&gt;=Assumptions!$B$56,1,0)+Assumptions!$B$116*IF(H2&gt;=Assumptions!$B$57,1,0)</f>
        <v/>
      </c>
      <c r="I23" s="48">
        <f>Assumptions!$B$114*1+Assumptions!$B$115*IF(I2&gt;=Assumptions!$B$56,1,0)+Assumptions!$B$116*IF(I2&gt;=Assumptions!$B$57,1,0)</f>
        <v/>
      </c>
      <c r="J23" s="48">
        <f>Assumptions!$B$114*1+Assumptions!$B$115*IF(J2&gt;=Assumptions!$B$56,1,0)+Assumptions!$B$116*IF(J2&gt;=Assumptions!$B$57,1,0)</f>
        <v/>
      </c>
      <c r="K23" s="48">
        <f>Assumptions!$B$114*1+Assumptions!$B$115*IF(K2&gt;=Assumptions!$B$56,1,0)+Assumptions!$B$116*IF(K2&gt;=Assumptions!$B$57,1,0)</f>
        <v/>
      </c>
      <c r="L23" s="48">
        <f>Assumptions!$B$114*1+Assumptions!$B$115*IF(L2&gt;=Assumptions!$B$56,1,0)+Assumptions!$B$116*IF(L2&gt;=Assumptions!$B$57,1,0)</f>
        <v/>
      </c>
      <c r="M23" s="48">
        <f>Assumptions!$B$114*1+Assumptions!$B$115*IF(M2&gt;=Assumptions!$B$56,1,0)+Assumptions!$B$116*IF(M2&gt;=Assumptions!$B$57,1,0)</f>
        <v/>
      </c>
      <c r="N23" s="48">
        <f>Assumptions!$B$114*1+Assumptions!$B$115*IF(N2&gt;=Assumptions!$B$56,1,0)+Assumptions!$B$116*IF(N2&gt;=Assumptions!$B$57,1,0)</f>
        <v/>
      </c>
      <c r="O23" s="48">
        <f>Assumptions!$B$114*1+Assumptions!$B$115*IF(O2&gt;=Assumptions!$B$56,1,0)+Assumptions!$B$116*IF(O2&gt;=Assumptions!$B$57,1,0)</f>
        <v/>
      </c>
      <c r="P23" s="48">
        <f>Assumptions!$B$114*1+Assumptions!$B$115*IF(P2&gt;=Assumptions!$B$56,1,0)+Assumptions!$B$116*IF(P2&gt;=Assumptions!$B$57,1,0)</f>
        <v/>
      </c>
      <c r="Q23" s="48">
        <f>Assumptions!$B$114*1+Assumptions!$B$115*IF(Q2&gt;=Assumptions!$B$56,1,0)+Assumptions!$B$116*IF(Q2&gt;=Assumptions!$B$57,1,0)</f>
        <v/>
      </c>
      <c r="R23" s="48">
        <f>Assumptions!$B$114*1+Assumptions!$B$115*IF(R2&gt;=Assumptions!$B$56,1,0)+Assumptions!$B$116*IF(R2&gt;=Assumptions!$B$57,1,0)</f>
        <v/>
      </c>
      <c r="S23" s="48">
        <f>Assumptions!$B$114*1+Assumptions!$B$115*IF(S2&gt;=Assumptions!$B$56,1,0)+Assumptions!$B$116*IF(S2&gt;=Assumptions!$B$57,1,0)</f>
        <v/>
      </c>
      <c r="T23" s="48">
        <f>Assumptions!$B$114*1+Assumptions!$B$115*IF(T2&gt;=Assumptions!$B$56,1,0)+Assumptions!$B$116*IF(T2&gt;=Assumptions!$B$57,1,0)</f>
        <v/>
      </c>
      <c r="U23" s="48">
        <f>Assumptions!$B$114*1+Assumptions!$B$115*IF(U2&gt;=Assumptions!$B$56,1,0)+Assumptions!$B$116*IF(U2&gt;=Assumptions!$B$57,1,0)</f>
        <v/>
      </c>
      <c r="V23" s="48">
        <f>Assumptions!$B$114*1+Assumptions!$B$115*IF(V2&gt;=Assumptions!$B$56,1,0)+Assumptions!$B$116*IF(V2&gt;=Assumptions!$B$57,1,0)</f>
        <v/>
      </c>
      <c r="W23" s="48">
        <f>Assumptions!$B$114*1+Assumptions!$B$115*IF(W2&gt;=Assumptions!$B$56,1,0)+Assumptions!$B$116*IF(W2&gt;=Assumptions!$B$57,1,0)</f>
        <v/>
      </c>
      <c r="X23" s="48">
        <f>Assumptions!$B$114*1+Assumptions!$B$115*IF(X2&gt;=Assumptions!$B$56,1,0)+Assumptions!$B$116*IF(X2&gt;=Assumptions!$B$57,1,0)</f>
        <v/>
      </c>
      <c r="Y23" s="48">
        <f>Assumptions!$B$114*1+Assumptions!$B$115*IF(Y2&gt;=Assumptions!$B$56,1,0)+Assumptions!$B$116*IF(Y2&gt;=Assumptions!$B$57,1,0)</f>
        <v/>
      </c>
      <c r="Z23" s="48">
        <f>Assumptions!$B$114*1+Assumptions!$B$115*IF(Z2&gt;=Assumptions!$B$56,1,0)+Assumptions!$B$116*IF(Z2&gt;=Assumptions!$B$57,1,0)</f>
        <v/>
      </c>
      <c r="AA23" s="48">
        <f>Assumptions!$B$114*1+Assumptions!$B$115*IF(AA2&gt;=Assumptions!$B$56,1,0)+Assumptions!$B$116*IF(AA2&gt;=Assumptions!$B$57,1,0)</f>
        <v/>
      </c>
      <c r="AB23" s="48">
        <f>Assumptions!$B$114*1+Assumptions!$B$115*IF(AB2&gt;=Assumptions!$B$56,1,0)+Assumptions!$B$116*IF(AB2&gt;=Assumptions!$B$57,1,0)</f>
        <v/>
      </c>
      <c r="AC23" s="48">
        <f>Assumptions!$B$114*1+Assumptions!$B$115*IF(AC2&gt;=Assumptions!$B$56,1,0)+Assumptions!$B$116*IF(AC2&gt;=Assumptions!$B$57,1,0)</f>
        <v/>
      </c>
      <c r="AD23" s="48">
        <f>Assumptions!$B$114*1+Assumptions!$B$115*IF(AD2&gt;=Assumptions!$B$56,1,0)+Assumptions!$B$116*IF(AD2&gt;=Assumptions!$B$57,1,0)</f>
        <v/>
      </c>
      <c r="AE23" s="48">
        <f>Assumptions!$B$114*1+Assumptions!$B$115*IF(AE2&gt;=Assumptions!$B$56,1,0)+Assumptions!$B$116*IF(AE2&gt;=Assumptions!$B$57,1,0)</f>
        <v/>
      </c>
    </row>
    <row r="25">
      <c r="A25" s="46" t="inlineStr">
        <is>
          <t>REGION: UAE</t>
        </is>
      </c>
      <c r="B25" s="47" t="n"/>
      <c r="C25" s="47" t="n"/>
      <c r="D25" s="47" t="n"/>
      <c r="E25" s="47" t="n"/>
      <c r="F25" s="47" t="n"/>
      <c r="G25" s="47" t="n"/>
      <c r="H25" s="47" t="n"/>
      <c r="I25" s="47" t="n"/>
      <c r="J25" s="47" t="n"/>
      <c r="K25" s="47" t="n"/>
      <c r="L25" s="47" t="n"/>
      <c r="M25" s="47" t="n"/>
      <c r="N25" s="47" t="n"/>
      <c r="O25" s="47" t="n"/>
      <c r="P25" s="47" t="n"/>
      <c r="Q25" s="47" t="n"/>
      <c r="R25" s="47" t="n"/>
      <c r="S25" s="47" t="n"/>
      <c r="T25" s="47" t="n"/>
      <c r="U25" s="47" t="n"/>
      <c r="V25" s="47" t="n"/>
      <c r="W25" s="47" t="n"/>
      <c r="X25" s="47" t="n"/>
      <c r="Y25" s="47" t="n"/>
      <c r="Z25" s="47" t="n"/>
      <c r="AA25" s="47" t="n"/>
      <c r="AB25" s="47" t="n"/>
      <c r="AC25" s="47" t="n"/>
      <c r="AD25" s="47" t="n"/>
      <c r="AE25" s="47" t="n"/>
    </row>
    <row r="26">
      <c r="A26" s="6" t="inlineStr">
        <is>
          <t xml:space="preserve">  Direct-driven (this market's budget at its own CAC)</t>
        </is>
      </c>
      <c r="B26" s="23" t="inlineStr">
        <is>
          <t>accounts</t>
        </is>
      </c>
      <c r="C26" s="53">
        <f>INDEX(Assumptions!$B$100:$B$106,C5)*Assumptions!$B$127/12*C7/Assumptions!$B$124*(1+Assumptions!$B$132)*1</f>
        <v/>
      </c>
      <c r="D26" s="53">
        <f>INDEX(Assumptions!$B$100:$B$106,D5)*Assumptions!$B$127/12*D7/Assumptions!$B$124*(1+Assumptions!$B$132)*1</f>
        <v/>
      </c>
      <c r="E26" s="53">
        <f>INDEX(Assumptions!$B$100:$B$106,E5)*Assumptions!$B$127/12*E7/Assumptions!$B$124*(1+Assumptions!$B$132)*1</f>
        <v/>
      </c>
      <c r="F26" s="53">
        <f>INDEX(Assumptions!$B$100:$B$106,F5)*Assumptions!$B$127/12*F7/Assumptions!$B$124*(1+Assumptions!$B$132)*1</f>
        <v/>
      </c>
      <c r="G26" s="53">
        <f>INDEX(Assumptions!$B$100:$B$106,G5)*Assumptions!$B$127/12*G7/Assumptions!$B$124*(1+Assumptions!$B$132)*1</f>
        <v/>
      </c>
      <c r="H26" s="53">
        <f>INDEX(Assumptions!$B$100:$B$106,H5)*Assumptions!$B$127/12*H7/Assumptions!$B$124*(1+Assumptions!$B$132)*1</f>
        <v/>
      </c>
      <c r="I26" s="53">
        <f>INDEX(Assumptions!$B$100:$B$106,I5)*Assumptions!$B$127/12*I7/Assumptions!$B$124*(1+Assumptions!$B$132)*1</f>
        <v/>
      </c>
      <c r="J26" s="53">
        <f>INDEX(Assumptions!$B$100:$B$106,J5)*Assumptions!$B$127/12*J7/Assumptions!$B$124*(1+Assumptions!$B$132)*1</f>
        <v/>
      </c>
      <c r="K26" s="53">
        <f>INDEX(Assumptions!$B$100:$B$106,K5)*Assumptions!$B$127/12*K7/Assumptions!$B$124*(1+Assumptions!$B$132)*1</f>
        <v/>
      </c>
      <c r="L26" s="53">
        <f>INDEX(Assumptions!$B$100:$B$106,L5)*Assumptions!$B$127/12*L7/Assumptions!$B$124*(1+Assumptions!$B$132)*1</f>
        <v/>
      </c>
      <c r="M26" s="53">
        <f>INDEX(Assumptions!$B$100:$B$106,M5)*Assumptions!$B$127/12*M7/Assumptions!$B$124*(1+Assumptions!$B$132)*1</f>
        <v/>
      </c>
      <c r="N26" s="53">
        <f>INDEX(Assumptions!$B$100:$B$106,N5)*Assumptions!$B$127/12*N7/Assumptions!$B$124*(1+Assumptions!$B$132)*1</f>
        <v/>
      </c>
      <c r="O26" s="53">
        <f>INDEX(Assumptions!$B$100:$B$106,O5)*Assumptions!$B$127/12*O7/Assumptions!$B$124*(1+Assumptions!$B$132)*1</f>
        <v/>
      </c>
      <c r="P26" s="53">
        <f>INDEX(Assumptions!$B$100:$B$106,P5)*Assumptions!$B$127/12*P7/Assumptions!$B$124*(1+Assumptions!$B$132)*1</f>
        <v/>
      </c>
      <c r="Q26" s="53">
        <f>INDEX(Assumptions!$B$100:$B$106,Q5)*Assumptions!$B$127/12*Q7/Assumptions!$B$124*(1+Assumptions!$B$132)*1</f>
        <v/>
      </c>
      <c r="R26" s="53">
        <f>INDEX(Assumptions!$B$100:$B$106,R5)*Assumptions!$B$127/12*R7/Assumptions!$B$124*(1+Assumptions!$B$132)*1</f>
        <v/>
      </c>
      <c r="S26" s="53">
        <f>INDEX(Assumptions!$B$100:$B$106,S5)*Assumptions!$B$127/12*S7/Assumptions!$B$124*(1+Assumptions!$B$132)*1</f>
        <v/>
      </c>
      <c r="T26" s="53">
        <f>INDEX(Assumptions!$B$100:$B$106,T5)*Assumptions!$B$127/12*T7/Assumptions!$B$124*(1+Assumptions!$B$132)*1</f>
        <v/>
      </c>
      <c r="U26" s="53">
        <f>INDEX(Assumptions!$B$100:$B$106,U5)*Assumptions!$B$127/12*U7/Assumptions!$B$124*(1+Assumptions!$B$132)*1</f>
        <v/>
      </c>
      <c r="V26" s="53">
        <f>INDEX(Assumptions!$B$100:$B$106,V5)*Assumptions!$B$127/12*V7/Assumptions!$B$124*(1+Assumptions!$B$132)*1</f>
        <v/>
      </c>
      <c r="W26" s="53">
        <f>INDEX(Assumptions!$B$100:$B$106,W5)*Assumptions!$B$127/12*W7/Assumptions!$B$124*(1+Assumptions!$B$132)*1</f>
        <v/>
      </c>
      <c r="X26" s="53">
        <f>INDEX(Assumptions!$B$100:$B$106,X5)*Assumptions!$B$127/12*X7/Assumptions!$B$124*(1+Assumptions!$B$132)*1</f>
        <v/>
      </c>
      <c r="Y26" s="53">
        <f>INDEX(Assumptions!$B$100:$B$106,Y5)*Assumptions!$B$127/12*Y7/Assumptions!$B$124*(1+Assumptions!$B$132)*1</f>
        <v/>
      </c>
      <c r="Z26" s="53">
        <f>INDEX(Assumptions!$B$100:$B$106,Z5)*Assumptions!$B$127/12*Z7/Assumptions!$B$124*(1+Assumptions!$B$132)*1</f>
        <v/>
      </c>
      <c r="AA26" s="53">
        <f>INDEX(Assumptions!$B$100:$B$106,AA5)*Assumptions!$B$127/12*AA7/Assumptions!$B$124*(1+Assumptions!$B$132)*1</f>
        <v/>
      </c>
      <c r="AB26" s="53">
        <f>INDEX(Assumptions!$B$100:$B$106,AB5)*Assumptions!$B$127/12*AB7/Assumptions!$B$124*(1+Assumptions!$B$132)*1</f>
        <v/>
      </c>
      <c r="AC26" s="53">
        <f>INDEX(Assumptions!$B$100:$B$106,AC5)*Assumptions!$B$127/12*AC7/Assumptions!$B$124*(1+Assumptions!$B$132)*1</f>
        <v/>
      </c>
      <c r="AD26" s="53">
        <f>INDEX(Assumptions!$B$100:$B$106,AD5)*Assumptions!$B$127/12*AD7/Assumptions!$B$124*(1+Assumptions!$B$132)*1</f>
        <v/>
      </c>
      <c r="AE26" s="53">
        <f>INDEX(Assumptions!$B$100:$B$106,AE5)*Assumptions!$B$127/12*AE7/Assumptions!$B$124*(1+Assumptions!$B$132)*1</f>
        <v/>
      </c>
    </row>
    <row r="27">
      <c r="A27" s="6" t="inlineStr">
        <is>
          <t xml:space="preserve">  Referral-driven (from this market's own base)</t>
        </is>
      </c>
      <c r="B27" s="23" t="inlineStr">
        <is>
          <t>accounts</t>
        </is>
      </c>
      <c r="C27" s="54" t="n">
        <v>0</v>
      </c>
      <c r="D27" s="54">
        <f>IF(D2&gt;=Assumptions!$B$55,C31*Assumptions!$B$130/12*Assumptions!$B$131*D7,0)</f>
        <v/>
      </c>
      <c r="E27" s="54">
        <f>IF(E2&gt;=Assumptions!$B$55,D31*Assumptions!$B$130/12*Assumptions!$B$131*E7,0)</f>
        <v/>
      </c>
      <c r="F27" s="54">
        <f>IF(F2&gt;=Assumptions!$B$55,E31*Assumptions!$B$130/12*Assumptions!$B$131*F7,0)</f>
        <v/>
      </c>
      <c r="G27" s="54">
        <f>IF(G2&gt;=Assumptions!$B$55,F31*Assumptions!$B$130/12*Assumptions!$B$131*G7,0)</f>
        <v/>
      </c>
      <c r="H27" s="54">
        <f>IF(H2&gt;=Assumptions!$B$55,G31*Assumptions!$B$130/12*Assumptions!$B$131*H7,0)</f>
        <v/>
      </c>
      <c r="I27" s="54">
        <f>IF(I2&gt;=Assumptions!$B$55,H31*Assumptions!$B$130/12*Assumptions!$B$131*I7,0)</f>
        <v/>
      </c>
      <c r="J27" s="54">
        <f>IF(J2&gt;=Assumptions!$B$55,I31*Assumptions!$B$130/12*Assumptions!$B$131*J7,0)</f>
        <v/>
      </c>
      <c r="K27" s="54">
        <f>IF(K2&gt;=Assumptions!$B$55,J31*Assumptions!$B$130/12*Assumptions!$B$131*K7,0)</f>
        <v/>
      </c>
      <c r="L27" s="54">
        <f>IF(L2&gt;=Assumptions!$B$55,K31*Assumptions!$B$130/12*Assumptions!$B$131*L7,0)</f>
        <v/>
      </c>
      <c r="M27" s="54">
        <f>IF(M2&gt;=Assumptions!$B$55,L31*Assumptions!$B$130/12*Assumptions!$B$131*M7,0)</f>
        <v/>
      </c>
      <c r="N27" s="54">
        <f>IF(N2&gt;=Assumptions!$B$55,M31*Assumptions!$B$130/12*Assumptions!$B$131*N7,0)</f>
        <v/>
      </c>
      <c r="O27" s="54">
        <f>IF(O2&gt;=Assumptions!$B$55,N31*Assumptions!$B$130/12*Assumptions!$B$131*O7,0)</f>
        <v/>
      </c>
      <c r="P27" s="54">
        <f>IF(P2&gt;=Assumptions!$B$55,O31*Assumptions!$B$130/12*Assumptions!$B$131*P7,0)</f>
        <v/>
      </c>
      <c r="Q27" s="54">
        <f>IF(Q2&gt;=Assumptions!$B$55,P31*Assumptions!$B$130/12*Assumptions!$B$131*Q7,0)</f>
        <v/>
      </c>
      <c r="R27" s="54">
        <f>IF(R2&gt;=Assumptions!$B$55,Q31*Assumptions!$B$130/12*Assumptions!$B$131*R7,0)</f>
        <v/>
      </c>
      <c r="S27" s="54">
        <f>IF(S2&gt;=Assumptions!$B$55,R31*Assumptions!$B$130/12*Assumptions!$B$131*S7,0)</f>
        <v/>
      </c>
      <c r="T27" s="54">
        <f>IF(T2&gt;=Assumptions!$B$55,S31*Assumptions!$B$130/12*Assumptions!$B$131*T7,0)</f>
        <v/>
      </c>
      <c r="U27" s="54">
        <f>IF(U2&gt;=Assumptions!$B$55,T31*Assumptions!$B$130/12*Assumptions!$B$131*U7,0)</f>
        <v/>
      </c>
      <c r="V27" s="54">
        <f>IF(V2&gt;=Assumptions!$B$55,U31*Assumptions!$B$130/12*Assumptions!$B$131*V7,0)</f>
        <v/>
      </c>
      <c r="W27" s="54">
        <f>IF(W2&gt;=Assumptions!$B$55,V31*Assumptions!$B$130/12*Assumptions!$B$131*W7,0)</f>
        <v/>
      </c>
      <c r="X27" s="54">
        <f>IF(X2&gt;=Assumptions!$B$55,W31*Assumptions!$B$130/12*Assumptions!$B$131*X7,0)</f>
        <v/>
      </c>
      <c r="Y27" s="54">
        <f>IF(Y2&gt;=Assumptions!$B$55,X31*Assumptions!$B$130/12*Assumptions!$B$131*Y7,0)</f>
        <v/>
      </c>
      <c r="Z27" s="54">
        <f>IF(Z2&gt;=Assumptions!$B$55,Y31*Assumptions!$B$130/12*Assumptions!$B$131*Z7,0)</f>
        <v/>
      </c>
      <c r="AA27" s="54">
        <f>IF(AA2&gt;=Assumptions!$B$55,Z31*Assumptions!$B$130/12*Assumptions!$B$131*AA7,0)</f>
        <v/>
      </c>
      <c r="AB27" s="54">
        <f>IF(AB2&gt;=Assumptions!$B$55,AA31*Assumptions!$B$130/12*Assumptions!$B$131*AB7,0)</f>
        <v/>
      </c>
      <c r="AC27" s="54">
        <f>IF(AC2&gt;=Assumptions!$B$55,AB31*Assumptions!$B$130/12*Assumptions!$B$131*AC7,0)</f>
        <v/>
      </c>
      <c r="AD27" s="54">
        <f>IF(AD2&gt;=Assumptions!$B$55,AC31*Assumptions!$B$130/12*Assumptions!$B$131*AD7,0)</f>
        <v/>
      </c>
      <c r="AE27" s="54">
        <f>IF(AE2&gt;=Assumptions!$B$55,AD31*Assumptions!$B$130/12*Assumptions!$B$131*AE7,0)</f>
        <v/>
      </c>
    </row>
    <row r="28">
      <c r="A28" s="6" t="inlineStr">
        <is>
          <t xml:space="preserve">  Raw demand</t>
        </is>
      </c>
      <c r="B28" s="23" t="inlineStr">
        <is>
          <t>accounts</t>
        </is>
      </c>
      <c r="C28" s="54">
        <f>C26+C27+IF(C23=0,0,C20*Assumptions!$B$114/C23*1)</f>
        <v/>
      </c>
      <c r="D28" s="54">
        <f>D26+D27+IF(D23=0,0,D20*Assumptions!$B$114/D23*1)</f>
        <v/>
      </c>
      <c r="E28" s="54">
        <f>E26+E27+IF(E23=0,0,E20*Assumptions!$B$114/E23*1)</f>
        <v/>
      </c>
      <c r="F28" s="54">
        <f>F26+F27+IF(F23=0,0,F20*Assumptions!$B$114/F23*1)</f>
        <v/>
      </c>
      <c r="G28" s="54">
        <f>G26+G27+IF(G23=0,0,G20*Assumptions!$B$114/G23*1)</f>
        <v/>
      </c>
      <c r="H28" s="54">
        <f>H26+H27+IF(H23=0,0,H20*Assumptions!$B$114/H23*1)</f>
        <v/>
      </c>
      <c r="I28" s="54">
        <f>I26+I27+IF(I23=0,0,I20*Assumptions!$B$114/I23*1)</f>
        <v/>
      </c>
      <c r="J28" s="54">
        <f>J26+J27+IF(J23=0,0,J20*Assumptions!$B$114/J23*1)</f>
        <v/>
      </c>
      <c r="K28" s="54">
        <f>K26+K27+IF(K23=0,0,K20*Assumptions!$B$114/K23*1)</f>
        <v/>
      </c>
      <c r="L28" s="54">
        <f>L26+L27+IF(L23=0,0,L20*Assumptions!$B$114/L23*1)</f>
        <v/>
      </c>
      <c r="M28" s="54">
        <f>M26+M27+IF(M23=0,0,M20*Assumptions!$B$114/M23*1)</f>
        <v/>
      </c>
      <c r="N28" s="54">
        <f>N26+N27+IF(N23=0,0,N20*Assumptions!$B$114/N23*1)</f>
        <v/>
      </c>
      <c r="O28" s="54">
        <f>O26+O27+IF(O23=0,0,O20*Assumptions!$B$114/O23*1)</f>
        <v/>
      </c>
      <c r="P28" s="54">
        <f>P26+P27+IF(P23=0,0,P20*Assumptions!$B$114/P23*1)</f>
        <v/>
      </c>
      <c r="Q28" s="54">
        <f>Q26+Q27+IF(Q23=0,0,Q20*Assumptions!$B$114/Q23*1)</f>
        <v/>
      </c>
      <c r="R28" s="54">
        <f>R26+R27+IF(R23=0,0,R20*Assumptions!$B$114/R23*1)</f>
        <v/>
      </c>
      <c r="S28" s="54">
        <f>S26+S27+IF(S23=0,0,S20*Assumptions!$B$114/S23*1)</f>
        <v/>
      </c>
      <c r="T28" s="54">
        <f>T26+T27+IF(T23=0,0,T20*Assumptions!$B$114/T23*1)</f>
        <v/>
      </c>
      <c r="U28" s="54">
        <f>U26+U27+IF(U23=0,0,U20*Assumptions!$B$114/U23*1)</f>
        <v/>
      </c>
      <c r="V28" s="54">
        <f>V26+V27+IF(V23=0,0,V20*Assumptions!$B$114/V23*1)</f>
        <v/>
      </c>
      <c r="W28" s="54">
        <f>W26+W27+IF(W23=0,0,W20*Assumptions!$B$114/W23*1)</f>
        <v/>
      </c>
      <c r="X28" s="54">
        <f>X26+X27+IF(X23=0,0,X20*Assumptions!$B$114/X23*1)</f>
        <v/>
      </c>
      <c r="Y28" s="54">
        <f>Y26+Y27+IF(Y23=0,0,Y20*Assumptions!$B$114/Y23*1)</f>
        <v/>
      </c>
      <c r="Z28" s="54">
        <f>Z26+Z27+IF(Z23=0,0,Z20*Assumptions!$B$114/Z23*1)</f>
        <v/>
      </c>
      <c r="AA28" s="54">
        <f>AA26+AA27+IF(AA23=0,0,AA20*Assumptions!$B$114/AA23*1)</f>
        <v/>
      </c>
      <c r="AB28" s="54">
        <f>AB26+AB27+IF(AB23=0,0,AB20*Assumptions!$B$114/AB23*1)</f>
        <v/>
      </c>
      <c r="AC28" s="54">
        <f>AC26+AC27+IF(AC23=0,0,AC20*Assumptions!$B$114/AC23*1)</f>
        <v/>
      </c>
      <c r="AD28" s="54">
        <f>AD26+AD27+IF(AD23=0,0,AD20*Assumptions!$B$114/AD23*1)</f>
        <v/>
      </c>
      <c r="AE28" s="54">
        <f>AE26+AE27+IF(AE23=0,0,AE20*Assumptions!$B$114/AE23*1)</f>
        <v/>
      </c>
    </row>
    <row r="29">
      <c r="A29" s="6" t="inlineStr">
        <is>
          <t xml:space="preserve">  Saturation (this region's own headroom)</t>
        </is>
      </c>
      <c r="B29" s="23" t="inlineStr">
        <is>
          <t>x</t>
        </is>
      </c>
      <c r="C29" s="51" t="n">
        <v>1</v>
      </c>
      <c r="D29" s="51">
        <f>MAX(0,1-C34/Assumptions!$B$84)</f>
        <v/>
      </c>
      <c r="E29" s="51">
        <f>MAX(0,1-D34/Assumptions!$B$84)</f>
        <v/>
      </c>
      <c r="F29" s="51">
        <f>MAX(0,1-E34/Assumptions!$B$84)</f>
        <v/>
      </c>
      <c r="G29" s="51">
        <f>MAX(0,1-F34/Assumptions!$B$84)</f>
        <v/>
      </c>
      <c r="H29" s="51">
        <f>MAX(0,1-G34/Assumptions!$B$84)</f>
        <v/>
      </c>
      <c r="I29" s="51">
        <f>MAX(0,1-H34/Assumptions!$B$84)</f>
        <v/>
      </c>
      <c r="J29" s="51">
        <f>MAX(0,1-I34/Assumptions!$B$84)</f>
        <v/>
      </c>
      <c r="K29" s="51">
        <f>MAX(0,1-J34/Assumptions!$B$84)</f>
        <v/>
      </c>
      <c r="L29" s="51">
        <f>MAX(0,1-K34/Assumptions!$B$84)</f>
        <v/>
      </c>
      <c r="M29" s="51">
        <f>MAX(0,1-L34/Assumptions!$B$84)</f>
        <v/>
      </c>
      <c r="N29" s="51">
        <f>MAX(0,1-M34/Assumptions!$B$84)</f>
        <v/>
      </c>
      <c r="O29" s="51">
        <f>MAX(0,1-N34/Assumptions!$B$84)</f>
        <v/>
      </c>
      <c r="P29" s="51">
        <f>MAX(0,1-O34/Assumptions!$B$84)</f>
        <v/>
      </c>
      <c r="Q29" s="51">
        <f>MAX(0,1-P34/Assumptions!$B$84)</f>
        <v/>
      </c>
      <c r="R29" s="51">
        <f>MAX(0,1-Q34/Assumptions!$B$84)</f>
        <v/>
      </c>
      <c r="S29" s="51">
        <f>MAX(0,1-R34/Assumptions!$B$84)</f>
        <v/>
      </c>
      <c r="T29" s="51">
        <f>MAX(0,1-S34/Assumptions!$B$84)</f>
        <v/>
      </c>
      <c r="U29" s="51">
        <f>MAX(0,1-T34/Assumptions!$B$84)</f>
        <v/>
      </c>
      <c r="V29" s="51">
        <f>MAX(0,1-U34/Assumptions!$B$84)</f>
        <v/>
      </c>
      <c r="W29" s="51">
        <f>MAX(0,1-V34/Assumptions!$B$84)</f>
        <v/>
      </c>
      <c r="X29" s="51">
        <f>MAX(0,1-W34/Assumptions!$B$84)</f>
        <v/>
      </c>
      <c r="Y29" s="51">
        <f>MAX(0,1-X34/Assumptions!$B$84)</f>
        <v/>
      </c>
      <c r="Z29" s="51">
        <f>MAX(0,1-Y34/Assumptions!$B$84)</f>
        <v/>
      </c>
      <c r="AA29" s="51">
        <f>MAX(0,1-Z34/Assumptions!$B$84)</f>
        <v/>
      </c>
      <c r="AB29" s="51">
        <f>MAX(0,1-AA34/Assumptions!$B$84)</f>
        <v/>
      </c>
      <c r="AC29" s="51">
        <f>MAX(0,1-AB34/Assumptions!$B$84)</f>
        <v/>
      </c>
      <c r="AD29" s="51">
        <f>MAX(0,1-AC34/Assumptions!$B$84)</f>
        <v/>
      </c>
      <c r="AE29" s="51">
        <f>MAX(0,1-AD34/Assumptions!$B$84)</f>
        <v/>
      </c>
    </row>
    <row r="30">
      <c r="A30" s="6" t="inlineStr">
        <is>
          <t xml:space="preserve">  New customers</t>
        </is>
      </c>
      <c r="B30" s="23" t="inlineStr">
        <is>
          <t>accounts</t>
        </is>
      </c>
      <c r="C30" s="54">
        <f>C28*C29*C15</f>
        <v/>
      </c>
      <c r="D30" s="54">
        <f>D28*D29*D15</f>
        <v/>
      </c>
      <c r="E30" s="54">
        <f>E28*E29*E15</f>
        <v/>
      </c>
      <c r="F30" s="54">
        <f>F28*F29*F15</f>
        <v/>
      </c>
      <c r="G30" s="54">
        <f>G28*G29*G15</f>
        <v/>
      </c>
      <c r="H30" s="54">
        <f>H28*H29*H15</f>
        <v/>
      </c>
      <c r="I30" s="54">
        <f>I28*I29*I15</f>
        <v/>
      </c>
      <c r="J30" s="54">
        <f>J28*J29*J15</f>
        <v/>
      </c>
      <c r="K30" s="54">
        <f>K28*K29*K15</f>
        <v/>
      </c>
      <c r="L30" s="54">
        <f>L28*L29*L15</f>
        <v/>
      </c>
      <c r="M30" s="54">
        <f>M28*M29*M15</f>
        <v/>
      </c>
      <c r="N30" s="54">
        <f>N28*N29*N15</f>
        <v/>
      </c>
      <c r="O30" s="54">
        <f>O28*O29*O15</f>
        <v/>
      </c>
      <c r="P30" s="54">
        <f>P28*P29*P15</f>
        <v/>
      </c>
      <c r="Q30" s="54">
        <f>Q28*Q29*Q15</f>
        <v/>
      </c>
      <c r="R30" s="54">
        <f>R28*R29*R15</f>
        <v/>
      </c>
      <c r="S30" s="54">
        <f>S28*S29*S15</f>
        <v/>
      </c>
      <c r="T30" s="54">
        <f>T28*T29*T15</f>
        <v/>
      </c>
      <c r="U30" s="54">
        <f>U28*U29*U15</f>
        <v/>
      </c>
      <c r="V30" s="54">
        <f>V28*V29*V15</f>
        <v/>
      </c>
      <c r="W30" s="54">
        <f>W28*W29*W15</f>
        <v/>
      </c>
      <c r="X30" s="54">
        <f>X28*X29*X15</f>
        <v/>
      </c>
      <c r="Y30" s="54">
        <f>Y28*Y29*Y15</f>
        <v/>
      </c>
      <c r="Z30" s="54">
        <f>Z28*Z29*Z15</f>
        <v/>
      </c>
      <c r="AA30" s="54">
        <f>AA28*AA29*AA15</f>
        <v/>
      </c>
      <c r="AB30" s="54">
        <f>AB28*AB29*AB15</f>
        <v/>
      </c>
      <c r="AC30" s="54">
        <f>AC28*AC29*AC15</f>
        <v/>
      </c>
      <c r="AD30" s="54">
        <f>AD28*AD29*AD15</f>
        <v/>
      </c>
      <c r="AE30" s="54">
        <f>AE28*AE29*AE15</f>
        <v/>
      </c>
    </row>
    <row r="31">
      <c r="A31" s="6" t="inlineStr">
        <is>
          <t xml:space="preserve">  Paying customers</t>
        </is>
      </c>
      <c r="B31" s="23" t="inlineStr">
        <is>
          <t>accounts</t>
        </is>
      </c>
      <c r="C31" s="28">
        <f>C30*(1-Assumptions!$B$122)^(C7/2)</f>
        <v/>
      </c>
      <c r="D31" s="28">
        <f>C31*(1-Assumptions!$B$122)^D7+D30*(1-Assumptions!$B$122)^(D7/2)</f>
        <v/>
      </c>
      <c r="E31" s="28">
        <f>D31*(1-Assumptions!$B$122)^E7+E30*(1-Assumptions!$B$122)^(E7/2)</f>
        <v/>
      </c>
      <c r="F31" s="28">
        <f>E31*(1-Assumptions!$B$122)^F7+F30*(1-Assumptions!$B$122)^(F7/2)</f>
        <v/>
      </c>
      <c r="G31" s="28">
        <f>F31*(1-Assumptions!$B$122)^G7+G30*(1-Assumptions!$B$122)^(G7/2)</f>
        <v/>
      </c>
      <c r="H31" s="28">
        <f>G31*(1-Assumptions!$B$122)^H7+H30*(1-Assumptions!$B$122)^(H7/2)</f>
        <v/>
      </c>
      <c r="I31" s="28">
        <f>H31*(1-Assumptions!$B$122)^I7+I30*(1-Assumptions!$B$122)^(I7/2)</f>
        <v/>
      </c>
      <c r="J31" s="28">
        <f>I31*(1-Assumptions!$B$122)^J7+J30*(1-Assumptions!$B$122)^(J7/2)</f>
        <v/>
      </c>
      <c r="K31" s="28">
        <f>J31*(1-Assumptions!$B$122)^K7+K30*(1-Assumptions!$B$122)^(K7/2)</f>
        <v/>
      </c>
      <c r="L31" s="28">
        <f>K31*(1-Assumptions!$B$122)^L7+L30*(1-Assumptions!$B$122)^(L7/2)</f>
        <v/>
      </c>
      <c r="M31" s="28">
        <f>L31*(1-Assumptions!$B$122)^M7+M30*(1-Assumptions!$B$122)^(M7/2)</f>
        <v/>
      </c>
      <c r="N31" s="28">
        <f>M31*(1-Assumptions!$B$122)^N7+N30*(1-Assumptions!$B$122)^(N7/2)</f>
        <v/>
      </c>
      <c r="O31" s="28">
        <f>N31*(1-Assumptions!$B$122)^O7+O30*(1-Assumptions!$B$122)^(O7/2)</f>
        <v/>
      </c>
      <c r="P31" s="28">
        <f>O31*(1-Assumptions!$B$122)^P7+P30*(1-Assumptions!$B$122)^(P7/2)</f>
        <v/>
      </c>
      <c r="Q31" s="28">
        <f>P31*(1-Assumptions!$B$122)^Q7+Q30*(1-Assumptions!$B$122)^(Q7/2)</f>
        <v/>
      </c>
      <c r="R31" s="28">
        <f>Q31*(1-Assumptions!$B$122)^R7+R30*(1-Assumptions!$B$122)^(R7/2)</f>
        <v/>
      </c>
      <c r="S31" s="28">
        <f>R31*(1-Assumptions!$B$122)^S7+S30*(1-Assumptions!$B$122)^(S7/2)</f>
        <v/>
      </c>
      <c r="T31" s="28">
        <f>S31*(1-Assumptions!$B$122)^T7+T30*(1-Assumptions!$B$122)^(T7/2)</f>
        <v/>
      </c>
      <c r="U31" s="28">
        <f>T31*(1-Assumptions!$B$122)^U7+U30*(1-Assumptions!$B$122)^(U7/2)</f>
        <v/>
      </c>
      <c r="V31" s="28">
        <f>U31*(1-Assumptions!$B$122)^V7+V30*(1-Assumptions!$B$122)^(V7/2)</f>
        <v/>
      </c>
      <c r="W31" s="28">
        <f>V31*(1-Assumptions!$B$122)^W7+W30*(1-Assumptions!$B$122)^(W7/2)</f>
        <v/>
      </c>
      <c r="X31" s="28">
        <f>W31*(1-Assumptions!$B$122)^X7+X30*(1-Assumptions!$B$122)^(X7/2)</f>
        <v/>
      </c>
      <c r="Y31" s="28">
        <f>X31*(1-Assumptions!$B$122)^Y7+Y30*(1-Assumptions!$B$122)^(Y7/2)</f>
        <v/>
      </c>
      <c r="Z31" s="28">
        <f>Y31*(1-Assumptions!$B$122)^Z7+Z30*(1-Assumptions!$B$122)^(Z7/2)</f>
        <v/>
      </c>
      <c r="AA31" s="28">
        <f>Z31*(1-Assumptions!$B$122)^AA7+AA30*(1-Assumptions!$B$122)^(AA7/2)</f>
        <v/>
      </c>
      <c r="AB31" s="28">
        <f>AA31*(1-Assumptions!$B$122)^AB7+AB30*(1-Assumptions!$B$122)^(AB7/2)</f>
        <v/>
      </c>
      <c r="AC31" s="28">
        <f>AB31*(1-Assumptions!$B$122)^AC7+AC30*(1-Assumptions!$B$122)^(AC7/2)</f>
        <v/>
      </c>
      <c r="AD31" s="28">
        <f>AC31*(1-Assumptions!$B$122)^AD7+AD30*(1-Assumptions!$B$122)^(AD7/2)</f>
        <v/>
      </c>
      <c r="AE31" s="28">
        <f>AD31*(1-Assumptions!$B$122)^AE7+AE30*(1-Assumptions!$B$122)^(AE7/2)</f>
        <v/>
      </c>
    </row>
    <row r="32">
      <c r="A32" s="6" t="inlineStr">
        <is>
          <t xml:space="preserve">  Churned this period</t>
        </is>
      </c>
      <c r="B32" s="23" t="inlineStr">
        <is>
          <t>accounts</t>
        </is>
      </c>
      <c r="C32" s="54">
        <f>C30-C31</f>
        <v/>
      </c>
      <c r="D32" s="54">
        <f>C31+D30-D31</f>
        <v/>
      </c>
      <c r="E32" s="54">
        <f>D31+E30-E31</f>
        <v/>
      </c>
      <c r="F32" s="54">
        <f>E31+F30-F31</f>
        <v/>
      </c>
      <c r="G32" s="54">
        <f>F31+G30-G31</f>
        <v/>
      </c>
      <c r="H32" s="54">
        <f>G31+H30-H31</f>
        <v/>
      </c>
      <c r="I32" s="54">
        <f>H31+I30-I31</f>
        <v/>
      </c>
      <c r="J32" s="54">
        <f>I31+J30-J31</f>
        <v/>
      </c>
      <c r="K32" s="54">
        <f>J31+K30-K31</f>
        <v/>
      </c>
      <c r="L32" s="54">
        <f>K31+L30-L31</f>
        <v/>
      </c>
      <c r="M32" s="54">
        <f>L31+M30-M31</f>
        <v/>
      </c>
      <c r="N32" s="54">
        <f>M31+N30-N31</f>
        <v/>
      </c>
      <c r="O32" s="54">
        <f>N31+O30-O31</f>
        <v/>
      </c>
      <c r="P32" s="54">
        <f>O31+P30-P31</f>
        <v/>
      </c>
      <c r="Q32" s="54">
        <f>P31+Q30-Q31</f>
        <v/>
      </c>
      <c r="R32" s="54">
        <f>Q31+R30-R31</f>
        <v/>
      </c>
      <c r="S32" s="54">
        <f>R31+S30-S31</f>
        <v/>
      </c>
      <c r="T32" s="54">
        <f>S31+T30-T31</f>
        <v/>
      </c>
      <c r="U32" s="54">
        <f>T31+U30-U31</f>
        <v/>
      </c>
      <c r="V32" s="54">
        <f>U31+V30-V31</f>
        <v/>
      </c>
      <c r="W32" s="54">
        <f>V31+W30-W31</f>
        <v/>
      </c>
      <c r="X32" s="54">
        <f>W31+X30-X31</f>
        <v/>
      </c>
      <c r="Y32" s="54">
        <f>X31+Y30-Y31</f>
        <v/>
      </c>
      <c r="Z32" s="54">
        <f>Y31+Z30-Z31</f>
        <v/>
      </c>
      <c r="AA32" s="54">
        <f>Z31+AA30-AA31</f>
        <v/>
      </c>
      <c r="AB32" s="54">
        <f>AA31+AB30-AB31</f>
        <v/>
      </c>
      <c r="AC32" s="54">
        <f>AB31+AC30-AC31</f>
        <v/>
      </c>
      <c r="AD32" s="54">
        <f>AC31+AD30-AD31</f>
        <v/>
      </c>
      <c r="AE32" s="54">
        <f>AD31+AE30-AE31</f>
        <v/>
      </c>
    </row>
    <row r="33">
      <c r="A33" s="6" t="inlineStr">
        <is>
          <t xml:space="preserve">  Holders (stopped paying, still hold gold)</t>
        </is>
      </c>
      <c r="B33" s="23" t="inlineStr">
        <is>
          <t>accounts</t>
        </is>
      </c>
      <c r="C33" s="45">
        <f>C32</f>
        <v/>
      </c>
      <c r="D33" s="45">
        <f>C33+D32</f>
        <v/>
      </c>
      <c r="E33" s="45">
        <f>D33+E32</f>
        <v/>
      </c>
      <c r="F33" s="45">
        <f>E33+F32</f>
        <v/>
      </c>
      <c r="G33" s="45">
        <f>F33+G32</f>
        <v/>
      </c>
      <c r="H33" s="45">
        <f>G33+H32</f>
        <v/>
      </c>
      <c r="I33" s="45">
        <f>H33+I32</f>
        <v/>
      </c>
      <c r="J33" s="45">
        <f>I33+J32</f>
        <v/>
      </c>
      <c r="K33" s="45">
        <f>J33+K32</f>
        <v/>
      </c>
      <c r="L33" s="45">
        <f>K33+L32</f>
        <v/>
      </c>
      <c r="M33" s="45">
        <f>L33+M32</f>
        <v/>
      </c>
      <c r="N33" s="45">
        <f>M33+N32</f>
        <v/>
      </c>
      <c r="O33" s="45">
        <f>N33+O32</f>
        <v/>
      </c>
      <c r="P33" s="45">
        <f>O33+P32</f>
        <v/>
      </c>
      <c r="Q33" s="45">
        <f>P33+Q32</f>
        <v/>
      </c>
      <c r="R33" s="45">
        <f>Q33+R32</f>
        <v/>
      </c>
      <c r="S33" s="45">
        <f>R33+S32</f>
        <v/>
      </c>
      <c r="T33" s="45">
        <f>S33+T32</f>
        <v/>
      </c>
      <c r="U33" s="45">
        <f>T33+U32</f>
        <v/>
      </c>
      <c r="V33" s="45">
        <f>U33+V32</f>
        <v/>
      </c>
      <c r="W33" s="45">
        <f>V33+W32</f>
        <v/>
      </c>
      <c r="X33" s="45">
        <f>W33+X32</f>
        <v/>
      </c>
      <c r="Y33" s="45">
        <f>X33+Y32</f>
        <v/>
      </c>
      <c r="Z33" s="45">
        <f>Y33+Z32</f>
        <v/>
      </c>
      <c r="AA33" s="45">
        <f>Z33+AA32</f>
        <v/>
      </c>
      <c r="AB33" s="45">
        <f>AA33+AB32</f>
        <v/>
      </c>
      <c r="AC33" s="45">
        <f>AB33+AC32</f>
        <v/>
      </c>
      <c r="AD33" s="45">
        <f>AC33+AD32</f>
        <v/>
      </c>
      <c r="AE33" s="45">
        <f>AD33+AE32</f>
        <v/>
      </c>
    </row>
    <row r="34">
      <c r="A34" s="6" t="inlineStr">
        <is>
          <t xml:space="preserve">  Cumulative ever acquired</t>
        </is>
      </c>
      <c r="B34" s="23" t="inlineStr">
        <is>
          <t>accounts</t>
        </is>
      </c>
      <c r="C34" s="45">
        <f>C30</f>
        <v/>
      </c>
      <c r="D34" s="45">
        <f>C34+D30</f>
        <v/>
      </c>
      <c r="E34" s="45">
        <f>D34+E30</f>
        <v/>
      </c>
      <c r="F34" s="45">
        <f>E34+F30</f>
        <v/>
      </c>
      <c r="G34" s="45">
        <f>F34+G30</f>
        <v/>
      </c>
      <c r="H34" s="45">
        <f>G34+H30</f>
        <v/>
      </c>
      <c r="I34" s="45">
        <f>H34+I30</f>
        <v/>
      </c>
      <c r="J34" s="45">
        <f>I34+J30</f>
        <v/>
      </c>
      <c r="K34" s="45">
        <f>J34+K30</f>
        <v/>
      </c>
      <c r="L34" s="45">
        <f>K34+L30</f>
        <v/>
      </c>
      <c r="M34" s="45">
        <f>L34+M30</f>
        <v/>
      </c>
      <c r="N34" s="45">
        <f>M34+N30</f>
        <v/>
      </c>
      <c r="O34" s="45">
        <f>N34+O30</f>
        <v/>
      </c>
      <c r="P34" s="45">
        <f>O34+P30</f>
        <v/>
      </c>
      <c r="Q34" s="45">
        <f>P34+Q30</f>
        <v/>
      </c>
      <c r="R34" s="45">
        <f>Q34+R30</f>
        <v/>
      </c>
      <c r="S34" s="45">
        <f>R34+S30</f>
        <v/>
      </c>
      <c r="T34" s="45">
        <f>S34+T30</f>
        <v/>
      </c>
      <c r="U34" s="45">
        <f>T34+U30</f>
        <v/>
      </c>
      <c r="V34" s="45">
        <f>U34+V30</f>
        <v/>
      </c>
      <c r="W34" s="45">
        <f>V34+W30</f>
        <v/>
      </c>
      <c r="X34" s="45">
        <f>W34+X30</f>
        <v/>
      </c>
      <c r="Y34" s="45">
        <f>X34+Y30</f>
        <v/>
      </c>
      <c r="Z34" s="45">
        <f>Y34+Z30</f>
        <v/>
      </c>
      <c r="AA34" s="45">
        <f>Z34+AA30</f>
        <v/>
      </c>
      <c r="AB34" s="45">
        <f>AA34+AB30</f>
        <v/>
      </c>
      <c r="AC34" s="45">
        <f>AB34+AC30</f>
        <v/>
      </c>
      <c r="AD34" s="45">
        <f>AC34+AD30</f>
        <v/>
      </c>
      <c r="AE34" s="45">
        <f>AD34+AE30</f>
        <v/>
      </c>
    </row>
    <row r="35">
      <c r="A35" s="6" t="inlineStr">
        <is>
          <t xml:space="preserve">  SIP contributions</t>
        </is>
      </c>
      <c r="B35" s="23" t="inlineStr">
        <is>
          <t>USD</t>
        </is>
      </c>
      <c r="C35" s="55">
        <f>IF(C2&gt;=Assumptions!$B$47,C31*Assumptions!$B$168*C7,0)</f>
        <v/>
      </c>
      <c r="D35" s="55">
        <f>IF(D2&gt;=Assumptions!$B$47,D31*Assumptions!$B$168*D7,0)</f>
        <v/>
      </c>
      <c r="E35" s="55">
        <f>IF(E2&gt;=Assumptions!$B$47,E31*Assumptions!$B$168*E7,0)</f>
        <v/>
      </c>
      <c r="F35" s="55">
        <f>IF(F2&gt;=Assumptions!$B$47,F31*Assumptions!$B$168*F7,0)</f>
        <v/>
      </c>
      <c r="G35" s="55">
        <f>IF(G2&gt;=Assumptions!$B$47,G31*Assumptions!$B$168*G7,0)</f>
        <v/>
      </c>
      <c r="H35" s="55">
        <f>IF(H2&gt;=Assumptions!$B$47,H31*Assumptions!$B$168*H7,0)</f>
        <v/>
      </c>
      <c r="I35" s="55">
        <f>IF(I2&gt;=Assumptions!$B$47,I31*Assumptions!$B$168*I7,0)</f>
        <v/>
      </c>
      <c r="J35" s="55">
        <f>IF(J2&gt;=Assumptions!$B$47,J31*Assumptions!$B$168*J7,0)</f>
        <v/>
      </c>
      <c r="K35" s="55">
        <f>IF(K2&gt;=Assumptions!$B$47,K31*Assumptions!$B$168*K7,0)</f>
        <v/>
      </c>
      <c r="L35" s="55">
        <f>IF(L2&gt;=Assumptions!$B$47,L31*Assumptions!$B$168*L7,0)</f>
        <v/>
      </c>
      <c r="M35" s="55">
        <f>IF(M2&gt;=Assumptions!$B$47,M31*Assumptions!$B$168*M7,0)</f>
        <v/>
      </c>
      <c r="N35" s="55">
        <f>IF(N2&gt;=Assumptions!$B$47,N31*Assumptions!$B$168*N7,0)</f>
        <v/>
      </c>
      <c r="O35" s="55">
        <f>IF(O2&gt;=Assumptions!$B$47,O31*Assumptions!$B$168*O7,0)</f>
        <v/>
      </c>
      <c r="P35" s="55">
        <f>IF(P2&gt;=Assumptions!$B$47,P31*Assumptions!$B$168*P7,0)</f>
        <v/>
      </c>
      <c r="Q35" s="55">
        <f>IF(Q2&gt;=Assumptions!$B$47,Q31*Assumptions!$B$168*Q7,0)</f>
        <v/>
      </c>
      <c r="R35" s="55">
        <f>IF(R2&gt;=Assumptions!$B$47,R31*Assumptions!$B$168*R7,0)</f>
        <v/>
      </c>
      <c r="S35" s="55">
        <f>IF(S2&gt;=Assumptions!$B$47,S31*Assumptions!$B$168*S7,0)</f>
        <v/>
      </c>
      <c r="T35" s="55">
        <f>IF(T2&gt;=Assumptions!$B$47,T31*Assumptions!$B$168*T7,0)</f>
        <v/>
      </c>
      <c r="U35" s="55">
        <f>IF(U2&gt;=Assumptions!$B$47,U31*Assumptions!$B$168*U7,0)</f>
        <v/>
      </c>
      <c r="V35" s="55">
        <f>IF(V2&gt;=Assumptions!$B$47,V31*Assumptions!$B$168*V7,0)</f>
        <v/>
      </c>
      <c r="W35" s="55">
        <f>IF(W2&gt;=Assumptions!$B$47,W31*Assumptions!$B$168*W7,0)</f>
        <v/>
      </c>
      <c r="X35" s="55">
        <f>IF(X2&gt;=Assumptions!$B$47,X31*Assumptions!$B$168*X7,0)</f>
        <v/>
      </c>
      <c r="Y35" s="55">
        <f>IF(Y2&gt;=Assumptions!$B$47,Y31*Assumptions!$B$168*Y7,0)</f>
        <v/>
      </c>
      <c r="Z35" s="55">
        <f>IF(Z2&gt;=Assumptions!$B$47,Z31*Assumptions!$B$168*Z7,0)</f>
        <v/>
      </c>
      <c r="AA35" s="55">
        <f>IF(AA2&gt;=Assumptions!$B$47,AA31*Assumptions!$B$168*AA7,0)</f>
        <v/>
      </c>
      <c r="AB35" s="55">
        <f>IF(AB2&gt;=Assumptions!$B$47,AB31*Assumptions!$B$168*AB7,0)</f>
        <v/>
      </c>
      <c r="AC35" s="55">
        <f>IF(AC2&gt;=Assumptions!$B$47,AC31*Assumptions!$B$168*AC7,0)</f>
        <v/>
      </c>
      <c r="AD35" s="55">
        <f>IF(AD2&gt;=Assumptions!$B$47,AD31*Assumptions!$B$168*AD7,0)</f>
        <v/>
      </c>
      <c r="AE35" s="55">
        <f>IF(AE2&gt;=Assumptions!$B$47,AE31*Assumptions!$B$168*AE7,0)</f>
        <v/>
      </c>
    </row>
    <row r="36">
      <c r="A36" s="6" t="inlineStr">
        <is>
          <t xml:space="preserve">  Spot purchase volume</t>
        </is>
      </c>
      <c r="B36" s="23" t="inlineStr">
        <is>
          <t>USD</t>
        </is>
      </c>
      <c r="C36" s="55">
        <f>IF(C2&gt;=Assumptions!$B$48,C31*Assumptions!$B$35*Assumptions!$B$139*Assumptions!$B$141*Assumptions!$B$32*Assumptions!$B$140/12*C7,0)</f>
        <v/>
      </c>
      <c r="D36" s="55">
        <f>IF(D2&gt;=Assumptions!$B$48,D31*Assumptions!$B$35*Assumptions!$B$139*Assumptions!$B$141*Assumptions!$B$32*Assumptions!$B$140/12*D7,0)</f>
        <v/>
      </c>
      <c r="E36" s="55">
        <f>IF(E2&gt;=Assumptions!$B$48,E31*Assumptions!$B$35*Assumptions!$B$139*Assumptions!$B$141*Assumptions!$B$32*Assumptions!$B$140/12*E7,0)</f>
        <v/>
      </c>
      <c r="F36" s="55">
        <f>IF(F2&gt;=Assumptions!$B$48,F31*Assumptions!$B$35*Assumptions!$B$139*Assumptions!$B$141*Assumptions!$B$32*Assumptions!$B$140/12*F7,0)</f>
        <v/>
      </c>
      <c r="G36" s="55">
        <f>IF(G2&gt;=Assumptions!$B$48,G31*Assumptions!$B$35*Assumptions!$B$139*Assumptions!$B$141*Assumptions!$B$32*Assumptions!$B$140/12*G7,0)</f>
        <v/>
      </c>
      <c r="H36" s="55">
        <f>IF(H2&gt;=Assumptions!$B$48,H31*Assumptions!$B$35*Assumptions!$B$139*Assumptions!$B$141*Assumptions!$B$32*Assumptions!$B$140/12*H7,0)</f>
        <v/>
      </c>
      <c r="I36" s="55">
        <f>IF(I2&gt;=Assumptions!$B$48,I31*Assumptions!$B$35*Assumptions!$B$139*Assumptions!$B$141*Assumptions!$B$32*Assumptions!$B$140/12*I7,0)</f>
        <v/>
      </c>
      <c r="J36" s="55">
        <f>IF(J2&gt;=Assumptions!$B$48,J31*Assumptions!$B$35*Assumptions!$B$139*Assumptions!$B$141*Assumptions!$B$32*Assumptions!$B$140/12*J7,0)</f>
        <v/>
      </c>
      <c r="K36" s="55">
        <f>IF(K2&gt;=Assumptions!$B$48,K31*Assumptions!$B$35*Assumptions!$B$139*Assumptions!$B$141*Assumptions!$B$32*Assumptions!$B$140/12*K7,0)</f>
        <v/>
      </c>
      <c r="L36" s="55">
        <f>IF(L2&gt;=Assumptions!$B$48,L31*Assumptions!$B$35*Assumptions!$B$139*Assumptions!$B$141*Assumptions!$B$32*Assumptions!$B$140/12*L7,0)</f>
        <v/>
      </c>
      <c r="M36" s="55">
        <f>IF(M2&gt;=Assumptions!$B$48,M31*Assumptions!$B$35*Assumptions!$B$139*Assumptions!$B$141*Assumptions!$B$32*Assumptions!$B$140/12*M7,0)</f>
        <v/>
      </c>
      <c r="N36" s="55">
        <f>IF(N2&gt;=Assumptions!$B$48,N31*Assumptions!$B$35*Assumptions!$B$139*Assumptions!$B$141*Assumptions!$B$32*Assumptions!$B$140/12*N7,0)</f>
        <v/>
      </c>
      <c r="O36" s="55">
        <f>IF(O2&gt;=Assumptions!$B$48,O31*Assumptions!$B$35*Assumptions!$B$139*Assumptions!$B$141*Assumptions!$B$32*Assumptions!$B$140/12*O7,0)</f>
        <v/>
      </c>
      <c r="P36" s="55">
        <f>IF(P2&gt;=Assumptions!$B$48,P31*Assumptions!$B$35*Assumptions!$B$139*Assumptions!$B$141*Assumptions!$B$32*Assumptions!$B$140/12*P7,0)</f>
        <v/>
      </c>
      <c r="Q36" s="55">
        <f>IF(Q2&gt;=Assumptions!$B$48,Q31*Assumptions!$B$35*Assumptions!$B$139*Assumptions!$B$141*Assumptions!$B$32*Assumptions!$B$140/12*Q7,0)</f>
        <v/>
      </c>
      <c r="R36" s="55">
        <f>IF(R2&gt;=Assumptions!$B$48,R31*Assumptions!$B$35*Assumptions!$B$139*Assumptions!$B$141*Assumptions!$B$32*Assumptions!$B$140/12*R7,0)</f>
        <v/>
      </c>
      <c r="S36" s="55">
        <f>IF(S2&gt;=Assumptions!$B$48,S31*Assumptions!$B$35*Assumptions!$B$139*Assumptions!$B$141*Assumptions!$B$32*Assumptions!$B$140/12*S7,0)</f>
        <v/>
      </c>
      <c r="T36" s="55">
        <f>IF(T2&gt;=Assumptions!$B$48,T31*Assumptions!$B$35*Assumptions!$B$139*Assumptions!$B$141*Assumptions!$B$32*Assumptions!$B$140/12*T7,0)</f>
        <v/>
      </c>
      <c r="U36" s="55">
        <f>IF(U2&gt;=Assumptions!$B$48,U31*Assumptions!$B$35*Assumptions!$B$139*Assumptions!$B$141*Assumptions!$B$32*Assumptions!$B$140/12*U7,0)</f>
        <v/>
      </c>
      <c r="V36" s="55">
        <f>IF(V2&gt;=Assumptions!$B$48,V31*Assumptions!$B$35*Assumptions!$B$139*Assumptions!$B$141*Assumptions!$B$32*Assumptions!$B$140/12*V7,0)</f>
        <v/>
      </c>
      <c r="W36" s="55">
        <f>IF(W2&gt;=Assumptions!$B$48,W31*Assumptions!$B$35*Assumptions!$B$139*Assumptions!$B$141*Assumptions!$B$32*Assumptions!$B$140/12*W7,0)</f>
        <v/>
      </c>
      <c r="X36" s="55">
        <f>IF(X2&gt;=Assumptions!$B$48,X31*Assumptions!$B$35*Assumptions!$B$139*Assumptions!$B$141*Assumptions!$B$32*Assumptions!$B$140/12*X7,0)</f>
        <v/>
      </c>
      <c r="Y36" s="55">
        <f>IF(Y2&gt;=Assumptions!$B$48,Y31*Assumptions!$B$35*Assumptions!$B$139*Assumptions!$B$141*Assumptions!$B$32*Assumptions!$B$140/12*Y7,0)</f>
        <v/>
      </c>
      <c r="Z36" s="55">
        <f>IF(Z2&gt;=Assumptions!$B$48,Z31*Assumptions!$B$35*Assumptions!$B$139*Assumptions!$B$141*Assumptions!$B$32*Assumptions!$B$140/12*Z7,0)</f>
        <v/>
      </c>
      <c r="AA36" s="55">
        <f>IF(AA2&gt;=Assumptions!$B$48,AA31*Assumptions!$B$35*Assumptions!$B$139*Assumptions!$B$141*Assumptions!$B$32*Assumptions!$B$140/12*AA7,0)</f>
        <v/>
      </c>
      <c r="AB36" s="55">
        <f>IF(AB2&gt;=Assumptions!$B$48,AB31*Assumptions!$B$35*Assumptions!$B$139*Assumptions!$B$141*Assumptions!$B$32*Assumptions!$B$140/12*AB7,0)</f>
        <v/>
      </c>
      <c r="AC36" s="55">
        <f>IF(AC2&gt;=Assumptions!$B$48,AC31*Assumptions!$B$35*Assumptions!$B$139*Assumptions!$B$141*Assumptions!$B$32*Assumptions!$B$140/12*AC7,0)</f>
        <v/>
      </c>
      <c r="AD36" s="55">
        <f>IF(AD2&gt;=Assumptions!$B$48,AD31*Assumptions!$B$35*Assumptions!$B$139*Assumptions!$B$141*Assumptions!$B$32*Assumptions!$B$140/12*AD7,0)</f>
        <v/>
      </c>
      <c r="AE36" s="55">
        <f>IF(AE2&gt;=Assumptions!$B$48,AE31*Assumptions!$B$35*Assumptions!$B$139*Assumptions!$B$141*Assumptions!$B$32*Assumptions!$B$140/12*AE7,0)</f>
        <v/>
      </c>
    </row>
    <row r="37">
      <c r="A37" s="6" t="inlineStr">
        <is>
          <t xml:space="preserve">  Grams purchased</t>
        </is>
      </c>
      <c r="B37" s="23" t="inlineStr">
        <is>
          <t>grams</t>
        </is>
      </c>
      <c r="C37" s="54">
        <f>(C35+C36)*(1-Assumptions!$B$8)/C21/(1+Assumptions!$B$9)</f>
        <v/>
      </c>
      <c r="D37" s="54">
        <f>(D35+D36)*(1-Assumptions!$B$8)/D21/(1+Assumptions!$B$9)</f>
        <v/>
      </c>
      <c r="E37" s="54">
        <f>(E35+E36)*(1-Assumptions!$B$8)/E21/(1+Assumptions!$B$9)</f>
        <v/>
      </c>
      <c r="F37" s="54">
        <f>(F35+F36)*(1-Assumptions!$B$8)/F21/(1+Assumptions!$B$9)</f>
        <v/>
      </c>
      <c r="G37" s="54">
        <f>(G35+G36)*(1-Assumptions!$B$8)/G21/(1+Assumptions!$B$9)</f>
        <v/>
      </c>
      <c r="H37" s="54">
        <f>(H35+H36)*(1-Assumptions!$B$8)/H21/(1+Assumptions!$B$9)</f>
        <v/>
      </c>
      <c r="I37" s="54">
        <f>(I35+I36)*(1-Assumptions!$B$8)/I21/(1+Assumptions!$B$9)</f>
        <v/>
      </c>
      <c r="J37" s="54">
        <f>(J35+J36)*(1-Assumptions!$B$8)/J21/(1+Assumptions!$B$9)</f>
        <v/>
      </c>
      <c r="K37" s="54">
        <f>(K35+K36)*(1-Assumptions!$B$8)/K21/(1+Assumptions!$B$9)</f>
        <v/>
      </c>
      <c r="L37" s="54">
        <f>(L35+L36)*(1-Assumptions!$B$8)/L21/(1+Assumptions!$B$9)</f>
        <v/>
      </c>
      <c r="M37" s="54">
        <f>(M35+M36)*(1-Assumptions!$B$8)/M21/(1+Assumptions!$B$9)</f>
        <v/>
      </c>
      <c r="N37" s="54">
        <f>(N35+N36)*(1-Assumptions!$B$8)/N21/(1+Assumptions!$B$9)</f>
        <v/>
      </c>
      <c r="O37" s="54">
        <f>(O35+O36)*(1-Assumptions!$B$8)/O21/(1+Assumptions!$B$9)</f>
        <v/>
      </c>
      <c r="P37" s="54">
        <f>(P35+P36)*(1-Assumptions!$B$8)/P21/(1+Assumptions!$B$9)</f>
        <v/>
      </c>
      <c r="Q37" s="54">
        <f>(Q35+Q36)*(1-Assumptions!$B$8)/Q21/(1+Assumptions!$B$9)</f>
        <v/>
      </c>
      <c r="R37" s="54">
        <f>(R35+R36)*(1-Assumptions!$B$8)/R21/(1+Assumptions!$B$9)</f>
        <v/>
      </c>
      <c r="S37" s="54">
        <f>(S35+S36)*(1-Assumptions!$B$8)/S21/(1+Assumptions!$B$9)</f>
        <v/>
      </c>
      <c r="T37" s="54">
        <f>(T35+T36)*(1-Assumptions!$B$8)/T21/(1+Assumptions!$B$9)</f>
        <v/>
      </c>
      <c r="U37" s="54">
        <f>(U35+U36)*(1-Assumptions!$B$8)/U21/(1+Assumptions!$B$9)</f>
        <v/>
      </c>
      <c r="V37" s="54">
        <f>(V35+V36)*(1-Assumptions!$B$8)/V21/(1+Assumptions!$B$9)</f>
        <v/>
      </c>
      <c r="W37" s="54">
        <f>(W35+W36)*(1-Assumptions!$B$8)/W21/(1+Assumptions!$B$9)</f>
        <v/>
      </c>
      <c r="X37" s="54">
        <f>(X35+X36)*(1-Assumptions!$B$8)/X21/(1+Assumptions!$B$9)</f>
        <v/>
      </c>
      <c r="Y37" s="54">
        <f>(Y35+Y36)*(1-Assumptions!$B$8)/Y21/(1+Assumptions!$B$9)</f>
        <v/>
      </c>
      <c r="Z37" s="54">
        <f>(Z35+Z36)*(1-Assumptions!$B$8)/Z21/(1+Assumptions!$B$9)</f>
        <v/>
      </c>
      <c r="AA37" s="54">
        <f>(AA35+AA36)*(1-Assumptions!$B$8)/AA21/(1+Assumptions!$B$9)</f>
        <v/>
      </c>
      <c r="AB37" s="54">
        <f>(AB35+AB36)*(1-Assumptions!$B$8)/AB21/(1+Assumptions!$B$9)</f>
        <v/>
      </c>
      <c r="AC37" s="54">
        <f>(AC35+AC36)*(1-Assumptions!$B$8)/AC21/(1+Assumptions!$B$9)</f>
        <v/>
      </c>
      <c r="AD37" s="54">
        <f>(AD35+AD36)*(1-Assumptions!$B$8)/AD21/(1+Assumptions!$B$9)</f>
        <v/>
      </c>
      <c r="AE37" s="54">
        <f>(AE35+AE36)*(1-Assumptions!$B$8)/AE21/(1+Assumptions!$B$9)</f>
        <v/>
      </c>
    </row>
    <row r="38">
      <c r="A38" s="6" t="inlineStr">
        <is>
          <t xml:space="preserve">  Collateral-eligible AUM decay rate (holder-weighted)</t>
        </is>
      </c>
      <c r="B38" s="23" t="inlineStr">
        <is>
          <t>%/period</t>
        </is>
      </c>
      <c r="C38" s="56">
        <f>(Assumptions!$B$136+Assumptions!$B$137*IF(C31+C33=0,1,(C31+C33*Assumptions!$B$138)/(C31+C33)))*C7/12</f>
        <v/>
      </c>
      <c r="D38" s="56">
        <f>(Assumptions!$B$136+Assumptions!$B$137*IF(D31+D33=0,1,(D31+D33*Assumptions!$B$138)/(D31+D33)))*D7/12</f>
        <v/>
      </c>
      <c r="E38" s="56">
        <f>(Assumptions!$B$136+Assumptions!$B$137*IF(E31+E33=0,1,(E31+E33*Assumptions!$B$138)/(E31+E33)))*E7/12</f>
        <v/>
      </c>
      <c r="F38" s="56">
        <f>(Assumptions!$B$136+Assumptions!$B$137*IF(F31+F33=0,1,(F31+F33*Assumptions!$B$138)/(F31+F33)))*F7/12</f>
        <v/>
      </c>
      <c r="G38" s="56">
        <f>(Assumptions!$B$136+Assumptions!$B$137*IF(G31+G33=0,1,(G31+G33*Assumptions!$B$138)/(G31+G33)))*G7/12</f>
        <v/>
      </c>
      <c r="H38" s="56">
        <f>(Assumptions!$B$136+Assumptions!$B$137*IF(H31+H33=0,1,(H31+H33*Assumptions!$B$138)/(H31+H33)))*H7/12</f>
        <v/>
      </c>
      <c r="I38" s="56">
        <f>(Assumptions!$B$136+Assumptions!$B$137*IF(I31+I33=0,1,(I31+I33*Assumptions!$B$138)/(I31+I33)))*I7/12</f>
        <v/>
      </c>
      <c r="J38" s="56">
        <f>(Assumptions!$B$136+Assumptions!$B$137*IF(J31+J33=0,1,(J31+J33*Assumptions!$B$138)/(J31+J33)))*J7/12</f>
        <v/>
      </c>
      <c r="K38" s="56">
        <f>(Assumptions!$B$136+Assumptions!$B$137*IF(K31+K33=0,1,(K31+K33*Assumptions!$B$138)/(K31+K33)))*K7/12</f>
        <v/>
      </c>
      <c r="L38" s="56">
        <f>(Assumptions!$B$136+Assumptions!$B$137*IF(L31+L33=0,1,(L31+L33*Assumptions!$B$138)/(L31+L33)))*L7/12</f>
        <v/>
      </c>
      <c r="M38" s="56">
        <f>(Assumptions!$B$136+Assumptions!$B$137*IF(M31+M33=0,1,(M31+M33*Assumptions!$B$138)/(M31+M33)))*M7/12</f>
        <v/>
      </c>
      <c r="N38" s="56">
        <f>(Assumptions!$B$136+Assumptions!$B$137*IF(N31+N33=0,1,(N31+N33*Assumptions!$B$138)/(N31+N33)))*N7/12</f>
        <v/>
      </c>
      <c r="O38" s="56">
        <f>(Assumptions!$B$136+Assumptions!$B$137*IF(O31+O33=0,1,(O31+O33*Assumptions!$B$138)/(O31+O33)))*O7/12</f>
        <v/>
      </c>
      <c r="P38" s="56">
        <f>(Assumptions!$B$136+Assumptions!$B$137*IF(P31+P33=0,1,(P31+P33*Assumptions!$B$138)/(P31+P33)))*P7/12</f>
        <v/>
      </c>
      <c r="Q38" s="56">
        <f>(Assumptions!$B$136+Assumptions!$B$137*IF(Q31+Q33=0,1,(Q31+Q33*Assumptions!$B$138)/(Q31+Q33)))*Q7/12</f>
        <v/>
      </c>
      <c r="R38" s="56">
        <f>(Assumptions!$B$136+Assumptions!$B$137*IF(R31+R33=0,1,(R31+R33*Assumptions!$B$138)/(R31+R33)))*R7/12</f>
        <v/>
      </c>
      <c r="S38" s="56">
        <f>(Assumptions!$B$136+Assumptions!$B$137*IF(S31+S33=0,1,(S31+S33*Assumptions!$B$138)/(S31+S33)))*S7/12</f>
        <v/>
      </c>
      <c r="T38" s="56">
        <f>(Assumptions!$B$136+Assumptions!$B$137*IF(T31+T33=0,1,(T31+T33*Assumptions!$B$138)/(T31+T33)))*T7/12</f>
        <v/>
      </c>
      <c r="U38" s="56">
        <f>(Assumptions!$B$136+Assumptions!$B$137*IF(U31+U33=0,1,(U31+U33*Assumptions!$B$138)/(U31+U33)))*U7/12</f>
        <v/>
      </c>
      <c r="V38" s="56">
        <f>(Assumptions!$B$136+Assumptions!$B$137*IF(V31+V33=0,1,(V31+V33*Assumptions!$B$138)/(V31+V33)))*V7/12</f>
        <v/>
      </c>
      <c r="W38" s="56">
        <f>(Assumptions!$B$136+Assumptions!$B$137*IF(W31+W33=0,1,(W31+W33*Assumptions!$B$138)/(W31+W33)))*W7/12</f>
        <v/>
      </c>
      <c r="X38" s="56">
        <f>(Assumptions!$B$136+Assumptions!$B$137*IF(X31+X33=0,1,(X31+X33*Assumptions!$B$138)/(X31+X33)))*X7/12</f>
        <v/>
      </c>
      <c r="Y38" s="56">
        <f>(Assumptions!$B$136+Assumptions!$B$137*IF(Y31+Y33=0,1,(Y31+Y33*Assumptions!$B$138)/(Y31+Y33)))*Y7/12</f>
        <v/>
      </c>
      <c r="Z38" s="56">
        <f>(Assumptions!$B$136+Assumptions!$B$137*IF(Z31+Z33=0,1,(Z31+Z33*Assumptions!$B$138)/(Z31+Z33)))*Z7/12</f>
        <v/>
      </c>
      <c r="AA38" s="56">
        <f>(Assumptions!$B$136+Assumptions!$B$137*IF(AA31+AA33=0,1,(AA31+AA33*Assumptions!$B$138)/(AA31+AA33)))*AA7/12</f>
        <v/>
      </c>
      <c r="AB38" s="56">
        <f>(Assumptions!$B$136+Assumptions!$B$137*IF(AB31+AB33=0,1,(AB31+AB33*Assumptions!$B$138)/(AB31+AB33)))*AB7/12</f>
        <v/>
      </c>
      <c r="AC38" s="56">
        <f>(Assumptions!$B$136+Assumptions!$B$137*IF(AC31+AC33=0,1,(AC31+AC33*Assumptions!$B$138)/(AC31+AC33)))*AC7/12</f>
        <v/>
      </c>
      <c r="AD38" s="56">
        <f>(Assumptions!$B$136+Assumptions!$B$137*IF(AD31+AD33=0,1,(AD31+AD33*Assumptions!$B$138)/(AD31+AD33)))*AD7/12</f>
        <v/>
      </c>
      <c r="AE38" s="56">
        <f>(Assumptions!$B$136+Assumptions!$B$137*IF(AE31+AE33=0,1,(AE31+AE33*Assumptions!$B$138)/(AE31+AE33)))*AE7/12</f>
        <v/>
      </c>
    </row>
    <row r="39">
      <c r="A39" s="6" t="inlineStr">
        <is>
          <t xml:space="preserve">  Redemption-only decay rate (metal actually leaving)</t>
        </is>
      </c>
      <c r="B39" s="23" t="inlineStr">
        <is>
          <t>%/period</t>
        </is>
      </c>
      <c r="C39" s="56">
        <f>Assumptions!$B$137*IF(C31+C33=0,1,(C31+C33*Assumptions!$B$138)/(C31+C33))*C7/12</f>
        <v/>
      </c>
      <c r="D39" s="56">
        <f>Assumptions!$B$137*IF(D31+D33=0,1,(D31+D33*Assumptions!$B$138)/(D31+D33))*D7/12</f>
        <v/>
      </c>
      <c r="E39" s="56">
        <f>Assumptions!$B$137*IF(E31+E33=0,1,(E31+E33*Assumptions!$B$138)/(E31+E33))*E7/12</f>
        <v/>
      </c>
      <c r="F39" s="56">
        <f>Assumptions!$B$137*IF(F31+F33=0,1,(F31+F33*Assumptions!$B$138)/(F31+F33))*F7/12</f>
        <v/>
      </c>
      <c r="G39" s="56">
        <f>Assumptions!$B$137*IF(G31+G33=0,1,(G31+G33*Assumptions!$B$138)/(G31+G33))*G7/12</f>
        <v/>
      </c>
      <c r="H39" s="56">
        <f>Assumptions!$B$137*IF(H31+H33=0,1,(H31+H33*Assumptions!$B$138)/(H31+H33))*H7/12</f>
        <v/>
      </c>
      <c r="I39" s="56">
        <f>Assumptions!$B$137*IF(I31+I33=0,1,(I31+I33*Assumptions!$B$138)/(I31+I33))*I7/12</f>
        <v/>
      </c>
      <c r="J39" s="56">
        <f>Assumptions!$B$137*IF(J31+J33=0,1,(J31+J33*Assumptions!$B$138)/(J31+J33))*J7/12</f>
        <v/>
      </c>
      <c r="K39" s="56">
        <f>Assumptions!$B$137*IF(K31+K33=0,1,(K31+K33*Assumptions!$B$138)/(K31+K33))*K7/12</f>
        <v/>
      </c>
      <c r="L39" s="56">
        <f>Assumptions!$B$137*IF(L31+L33=0,1,(L31+L33*Assumptions!$B$138)/(L31+L33))*L7/12</f>
        <v/>
      </c>
      <c r="M39" s="56">
        <f>Assumptions!$B$137*IF(M31+M33=0,1,(M31+M33*Assumptions!$B$138)/(M31+M33))*M7/12</f>
        <v/>
      </c>
      <c r="N39" s="56">
        <f>Assumptions!$B$137*IF(N31+N33=0,1,(N31+N33*Assumptions!$B$138)/(N31+N33))*N7/12</f>
        <v/>
      </c>
      <c r="O39" s="56">
        <f>Assumptions!$B$137*IF(O31+O33=0,1,(O31+O33*Assumptions!$B$138)/(O31+O33))*O7/12</f>
        <v/>
      </c>
      <c r="P39" s="56">
        <f>Assumptions!$B$137*IF(P31+P33=0,1,(P31+P33*Assumptions!$B$138)/(P31+P33))*P7/12</f>
        <v/>
      </c>
      <c r="Q39" s="56">
        <f>Assumptions!$B$137*IF(Q31+Q33=0,1,(Q31+Q33*Assumptions!$B$138)/(Q31+Q33))*Q7/12</f>
        <v/>
      </c>
      <c r="R39" s="56">
        <f>Assumptions!$B$137*IF(R31+R33=0,1,(R31+R33*Assumptions!$B$138)/(R31+R33))*R7/12</f>
        <v/>
      </c>
      <c r="S39" s="56">
        <f>Assumptions!$B$137*IF(S31+S33=0,1,(S31+S33*Assumptions!$B$138)/(S31+S33))*S7/12</f>
        <v/>
      </c>
      <c r="T39" s="56">
        <f>Assumptions!$B$137*IF(T31+T33=0,1,(T31+T33*Assumptions!$B$138)/(T31+T33))*T7/12</f>
        <v/>
      </c>
      <c r="U39" s="56">
        <f>Assumptions!$B$137*IF(U31+U33=0,1,(U31+U33*Assumptions!$B$138)/(U31+U33))*U7/12</f>
        <v/>
      </c>
      <c r="V39" s="56">
        <f>Assumptions!$B$137*IF(V31+V33=0,1,(V31+V33*Assumptions!$B$138)/(V31+V33))*V7/12</f>
        <v/>
      </c>
      <c r="W39" s="56">
        <f>Assumptions!$B$137*IF(W31+W33=0,1,(W31+W33*Assumptions!$B$138)/(W31+W33))*W7/12</f>
        <v/>
      </c>
      <c r="X39" s="56">
        <f>Assumptions!$B$137*IF(X31+X33=0,1,(X31+X33*Assumptions!$B$138)/(X31+X33))*X7/12</f>
        <v/>
      </c>
      <c r="Y39" s="56">
        <f>Assumptions!$B$137*IF(Y31+Y33=0,1,(Y31+Y33*Assumptions!$B$138)/(Y31+Y33))*Y7/12</f>
        <v/>
      </c>
      <c r="Z39" s="56">
        <f>Assumptions!$B$137*IF(Z31+Z33=0,1,(Z31+Z33*Assumptions!$B$138)/(Z31+Z33))*Z7/12</f>
        <v/>
      </c>
      <c r="AA39" s="56">
        <f>Assumptions!$B$137*IF(AA31+AA33=0,1,(AA31+AA33*Assumptions!$B$138)/(AA31+AA33))*AA7/12</f>
        <v/>
      </c>
      <c r="AB39" s="56">
        <f>Assumptions!$B$137*IF(AB31+AB33=0,1,(AB31+AB33*Assumptions!$B$138)/(AB31+AB33))*AB7/12</f>
        <v/>
      </c>
      <c r="AC39" s="56">
        <f>Assumptions!$B$137*IF(AC31+AC33=0,1,(AC31+AC33*Assumptions!$B$138)/(AC31+AC33))*AC7/12</f>
        <v/>
      </c>
      <c r="AD39" s="56">
        <f>Assumptions!$B$137*IF(AD31+AD33=0,1,(AD31+AD33*Assumptions!$B$138)/(AD31+AD33))*AD7/12</f>
        <v/>
      </c>
      <c r="AE39" s="56">
        <f>Assumptions!$B$137*IF(AE31+AE33=0,1,(AE31+AE33*Assumptions!$B$138)/(AE31+AE33))*AE7/12</f>
        <v/>
      </c>
    </row>
    <row r="40">
      <c r="A40" s="6" t="inlineStr">
        <is>
          <t xml:space="preserve">  Grams held (collateral-eligible)</t>
        </is>
      </c>
      <c r="B40" s="23" t="inlineStr">
        <is>
          <t>grams</t>
        </is>
      </c>
      <c r="C40" s="45">
        <f>C37</f>
        <v/>
      </c>
      <c r="D40" s="45">
        <f>C40*(1-D38)+D37</f>
        <v/>
      </c>
      <c r="E40" s="45">
        <f>D40*(1-E38)+E37</f>
        <v/>
      </c>
      <c r="F40" s="45">
        <f>E40*(1-F38)+F37</f>
        <v/>
      </c>
      <c r="G40" s="45">
        <f>F40*(1-G38)+G37</f>
        <v/>
      </c>
      <c r="H40" s="45">
        <f>G40*(1-H38)+H37</f>
        <v/>
      </c>
      <c r="I40" s="45">
        <f>H40*(1-I38)+I37</f>
        <v/>
      </c>
      <c r="J40" s="45">
        <f>I40*(1-J38)+J37</f>
        <v/>
      </c>
      <c r="K40" s="45">
        <f>J40*(1-K38)+K37</f>
        <v/>
      </c>
      <c r="L40" s="45">
        <f>K40*(1-L38)+L37</f>
        <v/>
      </c>
      <c r="M40" s="45">
        <f>L40*(1-M38)+M37</f>
        <v/>
      </c>
      <c r="N40" s="45">
        <f>M40*(1-N38)+N37</f>
        <v/>
      </c>
      <c r="O40" s="45">
        <f>N40*(1-O38)+O37</f>
        <v/>
      </c>
      <c r="P40" s="45">
        <f>O40*(1-P38)+P37</f>
        <v/>
      </c>
      <c r="Q40" s="45">
        <f>P40*(1-Q38)+Q37</f>
        <v/>
      </c>
      <c r="R40" s="45">
        <f>Q40*(1-R38)+R37</f>
        <v/>
      </c>
      <c r="S40" s="45">
        <f>R40*(1-S38)+S37</f>
        <v/>
      </c>
      <c r="T40" s="45">
        <f>S40*(1-T38)+T37</f>
        <v/>
      </c>
      <c r="U40" s="45">
        <f>T40*(1-U38)+U37</f>
        <v/>
      </c>
      <c r="V40" s="45">
        <f>U40*(1-V38)+V37</f>
        <v/>
      </c>
      <c r="W40" s="45">
        <f>V40*(1-W38)+W37</f>
        <v/>
      </c>
      <c r="X40" s="45">
        <f>W40*(1-X38)+X37</f>
        <v/>
      </c>
      <c r="Y40" s="45">
        <f>X40*(1-Y38)+Y37</f>
        <v/>
      </c>
      <c r="Z40" s="45">
        <f>Y40*(1-Z38)+Z37</f>
        <v/>
      </c>
      <c r="AA40" s="45">
        <f>Z40*(1-AA38)+AA37</f>
        <v/>
      </c>
      <c r="AB40" s="45">
        <f>AA40*(1-AB38)+AB37</f>
        <v/>
      </c>
      <c r="AC40" s="45">
        <f>AB40*(1-AC38)+AC37</f>
        <v/>
      </c>
      <c r="AD40" s="45">
        <f>AC40*(1-AD38)+AD37</f>
        <v/>
      </c>
      <c r="AE40" s="45">
        <f>AD40*(1-AE38)+AE37</f>
        <v/>
      </c>
    </row>
    <row r="41">
      <c r="A41" s="6" t="inlineStr">
        <is>
          <t xml:space="preserve">  Grams under custody (vaulted, incl. self-custodied)</t>
        </is>
      </c>
      <c r="B41" s="23" t="inlineStr">
        <is>
          <t>grams</t>
        </is>
      </c>
      <c r="C41" s="45">
        <f>C37</f>
        <v/>
      </c>
      <c r="D41" s="45">
        <f>C41*(1-D39)+D37</f>
        <v/>
      </c>
      <c r="E41" s="45">
        <f>D41*(1-E39)+E37</f>
        <v/>
      </c>
      <c r="F41" s="45">
        <f>E41*(1-F39)+F37</f>
        <v/>
      </c>
      <c r="G41" s="45">
        <f>F41*(1-G39)+G37</f>
        <v/>
      </c>
      <c r="H41" s="45">
        <f>G41*(1-H39)+H37</f>
        <v/>
      </c>
      <c r="I41" s="45">
        <f>H41*(1-I39)+I37</f>
        <v/>
      </c>
      <c r="J41" s="45">
        <f>I41*(1-J39)+J37</f>
        <v/>
      </c>
      <c r="K41" s="45">
        <f>J41*(1-K39)+K37</f>
        <v/>
      </c>
      <c r="L41" s="45">
        <f>K41*(1-L39)+L37</f>
        <v/>
      </c>
      <c r="M41" s="45">
        <f>L41*(1-M39)+M37</f>
        <v/>
      </c>
      <c r="N41" s="45">
        <f>M41*(1-N39)+N37</f>
        <v/>
      </c>
      <c r="O41" s="45">
        <f>N41*(1-O39)+O37</f>
        <v/>
      </c>
      <c r="P41" s="45">
        <f>O41*(1-P39)+P37</f>
        <v/>
      </c>
      <c r="Q41" s="45">
        <f>P41*(1-Q39)+Q37</f>
        <v/>
      </c>
      <c r="R41" s="45">
        <f>Q41*(1-R39)+R37</f>
        <v/>
      </c>
      <c r="S41" s="45">
        <f>R41*(1-S39)+S37</f>
        <v/>
      </c>
      <c r="T41" s="45">
        <f>S41*(1-T39)+T37</f>
        <v/>
      </c>
      <c r="U41" s="45">
        <f>T41*(1-U39)+U37</f>
        <v/>
      </c>
      <c r="V41" s="45">
        <f>U41*(1-V39)+V37</f>
        <v/>
      </c>
      <c r="W41" s="45">
        <f>V41*(1-W39)+W37</f>
        <v/>
      </c>
      <c r="X41" s="45">
        <f>W41*(1-X39)+X37</f>
        <v/>
      </c>
      <c r="Y41" s="45">
        <f>X41*(1-Y39)+Y37</f>
        <v/>
      </c>
      <c r="Z41" s="45">
        <f>Y41*(1-Z39)+Z37</f>
        <v/>
      </c>
      <c r="AA41" s="45">
        <f>Z41*(1-AA39)+AA37</f>
        <v/>
      </c>
      <c r="AB41" s="45">
        <f>AA41*(1-AB39)+AB37</f>
        <v/>
      </c>
      <c r="AC41" s="45">
        <f>AB41*(1-AC39)+AC37</f>
        <v/>
      </c>
      <c r="AD41" s="45">
        <f>AC41*(1-AD39)+AD37</f>
        <v/>
      </c>
      <c r="AE41" s="45">
        <f>AD41*(1-AE39)+AE37</f>
        <v/>
      </c>
    </row>
    <row r="42">
      <c r="A42" s="6" t="inlineStr">
        <is>
          <t xml:space="preserve">  AUM</t>
        </is>
      </c>
      <c r="B42" s="23" t="inlineStr">
        <is>
          <t>USD</t>
        </is>
      </c>
      <c r="C42" s="57">
        <f>C40*C21</f>
        <v/>
      </c>
      <c r="D42" s="57">
        <f>D40*D21</f>
        <v/>
      </c>
      <c r="E42" s="57">
        <f>E40*E21</f>
        <v/>
      </c>
      <c r="F42" s="57">
        <f>F40*F21</f>
        <v/>
      </c>
      <c r="G42" s="57">
        <f>G40*G21</f>
        <v/>
      </c>
      <c r="H42" s="57">
        <f>H40*H21</f>
        <v/>
      </c>
      <c r="I42" s="57">
        <f>I40*I21</f>
        <v/>
      </c>
      <c r="J42" s="57">
        <f>J40*J21</f>
        <v/>
      </c>
      <c r="K42" s="57">
        <f>K40*K21</f>
        <v/>
      </c>
      <c r="L42" s="57">
        <f>L40*L21</f>
        <v/>
      </c>
      <c r="M42" s="57">
        <f>M40*M21</f>
        <v/>
      </c>
      <c r="N42" s="57">
        <f>N40*N21</f>
        <v/>
      </c>
      <c r="O42" s="57">
        <f>O40*O21</f>
        <v/>
      </c>
      <c r="P42" s="57">
        <f>P40*P21</f>
        <v/>
      </c>
      <c r="Q42" s="57">
        <f>Q40*Q21</f>
        <v/>
      </c>
      <c r="R42" s="57">
        <f>R40*R21</f>
        <v/>
      </c>
      <c r="S42" s="57">
        <f>S40*S21</f>
        <v/>
      </c>
      <c r="T42" s="57">
        <f>T40*T21</f>
        <v/>
      </c>
      <c r="U42" s="57">
        <f>U40*U21</f>
        <v/>
      </c>
      <c r="V42" s="57">
        <f>V40*V21</f>
        <v/>
      </c>
      <c r="W42" s="57">
        <f>W40*W21</f>
        <v/>
      </c>
      <c r="X42" s="57">
        <f>X40*X21</f>
        <v/>
      </c>
      <c r="Y42" s="57">
        <f>Y40*Y21</f>
        <v/>
      </c>
      <c r="Z42" s="57">
        <f>Z40*Z21</f>
        <v/>
      </c>
      <c r="AA42" s="57">
        <f>AA40*AA21</f>
        <v/>
      </c>
      <c r="AB42" s="57">
        <f>AB40*AB21</f>
        <v/>
      </c>
      <c r="AC42" s="57">
        <f>AC40*AC21</f>
        <v/>
      </c>
      <c r="AD42" s="57">
        <f>AD40*AD21</f>
        <v/>
      </c>
      <c r="AE42" s="57">
        <f>AE40*AE21</f>
        <v/>
      </c>
    </row>
    <row r="43">
      <c r="A43" s="6" t="inlineStr">
        <is>
          <t xml:space="preserve">  Card-eligible base</t>
        </is>
      </c>
      <c r="B43" s="23" t="inlineStr">
        <is>
          <t>accounts</t>
        </is>
      </c>
      <c r="C43" s="54">
        <f>C31+C33*Assumptions!$B$172</f>
        <v/>
      </c>
      <c r="D43" s="54">
        <f>D31+D33*Assumptions!$B$172</f>
        <v/>
      </c>
      <c r="E43" s="54">
        <f>E31+E33*Assumptions!$B$172</f>
        <v/>
      </c>
      <c r="F43" s="54">
        <f>F31+F33*Assumptions!$B$172</f>
        <v/>
      </c>
      <c r="G43" s="54">
        <f>G31+G33*Assumptions!$B$172</f>
        <v/>
      </c>
      <c r="H43" s="54">
        <f>H31+H33*Assumptions!$B$172</f>
        <v/>
      </c>
      <c r="I43" s="54">
        <f>I31+I33*Assumptions!$B$172</f>
        <v/>
      </c>
      <c r="J43" s="54">
        <f>J31+J33*Assumptions!$B$172</f>
        <v/>
      </c>
      <c r="K43" s="54">
        <f>K31+K33*Assumptions!$B$172</f>
        <v/>
      </c>
      <c r="L43" s="54">
        <f>L31+L33*Assumptions!$B$172</f>
        <v/>
      </c>
      <c r="M43" s="54">
        <f>M31+M33*Assumptions!$B$172</f>
        <v/>
      </c>
      <c r="N43" s="54">
        <f>N31+N33*Assumptions!$B$172</f>
        <v/>
      </c>
      <c r="O43" s="54">
        <f>O31+O33*Assumptions!$B$172</f>
        <v/>
      </c>
      <c r="P43" s="54">
        <f>P31+P33*Assumptions!$B$172</f>
        <v/>
      </c>
      <c r="Q43" s="54">
        <f>Q31+Q33*Assumptions!$B$172</f>
        <v/>
      </c>
      <c r="R43" s="54">
        <f>R31+R33*Assumptions!$B$172</f>
        <v/>
      </c>
      <c r="S43" s="54">
        <f>S31+S33*Assumptions!$B$172</f>
        <v/>
      </c>
      <c r="T43" s="54">
        <f>T31+T33*Assumptions!$B$172</f>
        <v/>
      </c>
      <c r="U43" s="54">
        <f>U31+U33*Assumptions!$B$172</f>
        <v/>
      </c>
      <c r="V43" s="54">
        <f>V31+V33*Assumptions!$B$172</f>
        <v/>
      </c>
      <c r="W43" s="54">
        <f>W31+W33*Assumptions!$B$172</f>
        <v/>
      </c>
      <c r="X43" s="54">
        <f>X31+X33*Assumptions!$B$172</f>
        <v/>
      </c>
      <c r="Y43" s="54">
        <f>Y31+Y33*Assumptions!$B$172</f>
        <v/>
      </c>
      <c r="Z43" s="54">
        <f>Z31+Z33*Assumptions!$B$172</f>
        <v/>
      </c>
      <c r="AA43" s="54">
        <f>AA31+AA33*Assumptions!$B$172</f>
        <v/>
      </c>
      <c r="AB43" s="54">
        <f>AB31+AB33*Assumptions!$B$172</f>
        <v/>
      </c>
      <c r="AC43" s="54">
        <f>AC31+AC33*Assumptions!$B$172</f>
        <v/>
      </c>
      <c r="AD43" s="54">
        <f>AD31+AD33*Assumptions!$B$172</f>
        <v/>
      </c>
      <c r="AE43" s="54">
        <f>AE31+AE33*Assumptions!$B$172</f>
        <v/>
      </c>
    </row>
    <row r="44">
      <c r="A44" s="6" t="inlineStr">
        <is>
          <t xml:space="preserve">  Cleared the six-payment gate</t>
        </is>
      </c>
      <c r="B44" s="23" t="inlineStr">
        <is>
          <t>accounts</t>
        </is>
      </c>
      <c r="C44" s="45">
        <f>IF(C7&gt;1,C43*Assumptions!$B$134,IF(C2&gt;Assumptions!$B$135,INDEX($C$43:$AE$43,1,C2-Assumptions!$B$135)*Assumptions!$B$134,0))</f>
        <v/>
      </c>
      <c r="D44" s="45">
        <f>IF(D7&gt;1,D43*Assumptions!$B$134,IF(D2&gt;Assumptions!$B$135,INDEX($C$43:$AE$43,1,D2-Assumptions!$B$135)*Assumptions!$B$134,0))</f>
        <v/>
      </c>
      <c r="E44" s="45">
        <f>IF(E7&gt;1,E43*Assumptions!$B$134,IF(E2&gt;Assumptions!$B$135,INDEX($C$43:$AE$43,1,E2-Assumptions!$B$135)*Assumptions!$B$134,0))</f>
        <v/>
      </c>
      <c r="F44" s="45">
        <f>IF(F7&gt;1,F43*Assumptions!$B$134,IF(F2&gt;Assumptions!$B$135,INDEX($C$43:$AE$43,1,F2-Assumptions!$B$135)*Assumptions!$B$134,0))</f>
        <v/>
      </c>
      <c r="G44" s="45">
        <f>IF(G7&gt;1,G43*Assumptions!$B$134,IF(G2&gt;Assumptions!$B$135,INDEX($C$43:$AE$43,1,G2-Assumptions!$B$135)*Assumptions!$B$134,0))</f>
        <v/>
      </c>
      <c r="H44" s="45">
        <f>IF(H7&gt;1,H43*Assumptions!$B$134,IF(H2&gt;Assumptions!$B$135,INDEX($C$43:$AE$43,1,H2-Assumptions!$B$135)*Assumptions!$B$134,0))</f>
        <v/>
      </c>
      <c r="I44" s="45">
        <f>IF(I7&gt;1,I43*Assumptions!$B$134,IF(I2&gt;Assumptions!$B$135,INDEX($C$43:$AE$43,1,I2-Assumptions!$B$135)*Assumptions!$B$134,0))</f>
        <v/>
      </c>
      <c r="J44" s="45">
        <f>IF(J7&gt;1,J43*Assumptions!$B$134,IF(J2&gt;Assumptions!$B$135,INDEX($C$43:$AE$43,1,J2-Assumptions!$B$135)*Assumptions!$B$134,0))</f>
        <v/>
      </c>
      <c r="K44" s="45">
        <f>IF(K7&gt;1,K43*Assumptions!$B$134,IF(K2&gt;Assumptions!$B$135,INDEX($C$43:$AE$43,1,K2-Assumptions!$B$135)*Assumptions!$B$134,0))</f>
        <v/>
      </c>
      <c r="L44" s="45">
        <f>IF(L7&gt;1,L43*Assumptions!$B$134,IF(L2&gt;Assumptions!$B$135,INDEX($C$43:$AE$43,1,L2-Assumptions!$B$135)*Assumptions!$B$134,0))</f>
        <v/>
      </c>
      <c r="M44" s="45">
        <f>IF(M7&gt;1,M43*Assumptions!$B$134,IF(M2&gt;Assumptions!$B$135,INDEX($C$43:$AE$43,1,M2-Assumptions!$B$135)*Assumptions!$B$134,0))</f>
        <v/>
      </c>
      <c r="N44" s="45">
        <f>IF(N7&gt;1,N43*Assumptions!$B$134,IF(N2&gt;Assumptions!$B$135,INDEX($C$43:$AE$43,1,N2-Assumptions!$B$135)*Assumptions!$B$134,0))</f>
        <v/>
      </c>
      <c r="O44" s="45">
        <f>IF(O7&gt;1,O43*Assumptions!$B$134,IF(O2&gt;Assumptions!$B$135,INDEX($C$43:$AE$43,1,O2-Assumptions!$B$135)*Assumptions!$B$134,0))</f>
        <v/>
      </c>
      <c r="P44" s="45">
        <f>IF(P7&gt;1,P43*Assumptions!$B$134,IF(P2&gt;Assumptions!$B$135,INDEX($C$43:$AE$43,1,P2-Assumptions!$B$135)*Assumptions!$B$134,0))</f>
        <v/>
      </c>
      <c r="Q44" s="45">
        <f>IF(Q7&gt;1,Q43*Assumptions!$B$134,IF(Q2&gt;Assumptions!$B$135,INDEX($C$43:$AE$43,1,Q2-Assumptions!$B$135)*Assumptions!$B$134,0))</f>
        <v/>
      </c>
      <c r="R44" s="45">
        <f>IF(R7&gt;1,R43*Assumptions!$B$134,IF(R2&gt;Assumptions!$B$135,INDEX($C$43:$AE$43,1,R2-Assumptions!$B$135)*Assumptions!$B$134,0))</f>
        <v/>
      </c>
      <c r="S44" s="45">
        <f>IF(S7&gt;1,S43*Assumptions!$B$134,IF(S2&gt;Assumptions!$B$135,INDEX($C$43:$AE$43,1,S2-Assumptions!$B$135)*Assumptions!$B$134,0))</f>
        <v/>
      </c>
      <c r="T44" s="45">
        <f>IF(T7&gt;1,T43*Assumptions!$B$134,IF(T2&gt;Assumptions!$B$135,INDEX($C$43:$AE$43,1,T2-Assumptions!$B$135)*Assumptions!$B$134,0))</f>
        <v/>
      </c>
      <c r="U44" s="45">
        <f>IF(U7&gt;1,U43*Assumptions!$B$134,IF(U2&gt;Assumptions!$B$135,INDEX($C$43:$AE$43,1,U2-Assumptions!$B$135)*Assumptions!$B$134,0))</f>
        <v/>
      </c>
      <c r="V44" s="45">
        <f>IF(V7&gt;1,V43*Assumptions!$B$134,IF(V2&gt;Assumptions!$B$135,INDEX($C$43:$AE$43,1,V2-Assumptions!$B$135)*Assumptions!$B$134,0))</f>
        <v/>
      </c>
      <c r="W44" s="45">
        <f>IF(W7&gt;1,W43*Assumptions!$B$134,IF(W2&gt;Assumptions!$B$135,INDEX($C$43:$AE$43,1,W2-Assumptions!$B$135)*Assumptions!$B$134,0))</f>
        <v/>
      </c>
      <c r="X44" s="45">
        <f>IF(X7&gt;1,X43*Assumptions!$B$134,IF(X2&gt;Assumptions!$B$135,INDEX($C$43:$AE$43,1,X2-Assumptions!$B$135)*Assumptions!$B$134,0))</f>
        <v/>
      </c>
      <c r="Y44" s="45">
        <f>IF(Y7&gt;1,Y43*Assumptions!$B$134,IF(Y2&gt;Assumptions!$B$135,INDEX($C$43:$AE$43,1,Y2-Assumptions!$B$135)*Assumptions!$B$134,0))</f>
        <v/>
      </c>
      <c r="Z44" s="45">
        <f>IF(Z7&gt;1,Z43*Assumptions!$B$134,IF(Z2&gt;Assumptions!$B$135,INDEX($C$43:$AE$43,1,Z2-Assumptions!$B$135)*Assumptions!$B$134,0))</f>
        <v/>
      </c>
      <c r="AA44" s="45">
        <f>IF(AA7&gt;1,AA43*Assumptions!$B$134,IF(AA2&gt;Assumptions!$B$135,INDEX($C$43:$AE$43,1,AA2-Assumptions!$B$135)*Assumptions!$B$134,0))</f>
        <v/>
      </c>
      <c r="AB44" s="45">
        <f>IF(AB7&gt;1,AB43*Assumptions!$B$134,IF(AB2&gt;Assumptions!$B$135,INDEX($C$43:$AE$43,1,AB2-Assumptions!$B$135)*Assumptions!$B$134,0))</f>
        <v/>
      </c>
      <c r="AC44" s="45">
        <f>IF(AC7&gt;1,AC43*Assumptions!$B$134,IF(AC2&gt;Assumptions!$B$135,INDEX($C$43:$AE$43,1,AC2-Assumptions!$B$135)*Assumptions!$B$134,0))</f>
        <v/>
      </c>
      <c r="AD44" s="45">
        <f>IF(AD7&gt;1,AD43*Assumptions!$B$134,IF(AD2&gt;Assumptions!$B$135,INDEX($C$43:$AE$43,1,AD2-Assumptions!$B$135)*Assumptions!$B$134,0))</f>
        <v/>
      </c>
      <c r="AE44" s="45">
        <f>IF(AE7&gt;1,AE43*Assumptions!$B$134,IF(AE2&gt;Assumptions!$B$135,INDEX($C$43:$AE$43,1,AE2-Assumptions!$B$135)*Assumptions!$B$134,0))</f>
        <v/>
      </c>
    </row>
    <row r="45">
      <c r="A45" s="6" t="inlineStr">
        <is>
          <t xml:space="preserve">  Active cards</t>
        </is>
      </c>
      <c r="B45" s="23" t="inlineStr">
        <is>
          <t>cards</t>
        </is>
      </c>
      <c r="C45" s="28">
        <f>IF(C2&gt;=Assumptions!$B$51,C44*Assumptions!$B$143,0)</f>
        <v/>
      </c>
      <c r="D45" s="28">
        <f>IF(D2&gt;=Assumptions!$B$51,D44*Assumptions!$B$143,0)</f>
        <v/>
      </c>
      <c r="E45" s="28">
        <f>IF(E2&gt;=Assumptions!$B$51,E44*Assumptions!$B$143,0)</f>
        <v/>
      </c>
      <c r="F45" s="28">
        <f>IF(F2&gt;=Assumptions!$B$51,F44*Assumptions!$B$143,0)</f>
        <v/>
      </c>
      <c r="G45" s="28">
        <f>IF(G2&gt;=Assumptions!$B$51,G44*Assumptions!$B$143,0)</f>
        <v/>
      </c>
      <c r="H45" s="28">
        <f>IF(H2&gt;=Assumptions!$B$51,H44*Assumptions!$B$143,0)</f>
        <v/>
      </c>
      <c r="I45" s="28">
        <f>IF(I2&gt;=Assumptions!$B$51,I44*Assumptions!$B$143,0)</f>
        <v/>
      </c>
      <c r="J45" s="28">
        <f>IF(J2&gt;=Assumptions!$B$51,J44*Assumptions!$B$143,0)</f>
        <v/>
      </c>
      <c r="K45" s="28">
        <f>IF(K2&gt;=Assumptions!$B$51,K44*Assumptions!$B$143,0)</f>
        <v/>
      </c>
      <c r="L45" s="28">
        <f>IF(L2&gt;=Assumptions!$B$51,L44*Assumptions!$B$143,0)</f>
        <v/>
      </c>
      <c r="M45" s="28">
        <f>IF(M2&gt;=Assumptions!$B$51,M44*Assumptions!$B$143,0)</f>
        <v/>
      </c>
      <c r="N45" s="28">
        <f>IF(N2&gt;=Assumptions!$B$51,N44*Assumptions!$B$143,0)</f>
        <v/>
      </c>
      <c r="O45" s="28">
        <f>IF(O2&gt;=Assumptions!$B$51,O44*Assumptions!$B$143,0)</f>
        <v/>
      </c>
      <c r="P45" s="28">
        <f>IF(P2&gt;=Assumptions!$B$51,P44*Assumptions!$B$143,0)</f>
        <v/>
      </c>
      <c r="Q45" s="28">
        <f>IF(Q2&gt;=Assumptions!$B$51,Q44*Assumptions!$B$143,0)</f>
        <v/>
      </c>
      <c r="R45" s="28">
        <f>IF(R2&gt;=Assumptions!$B$51,R44*Assumptions!$B$143,0)</f>
        <v/>
      </c>
      <c r="S45" s="28">
        <f>IF(S2&gt;=Assumptions!$B$51,S44*Assumptions!$B$143,0)</f>
        <v/>
      </c>
      <c r="T45" s="28">
        <f>IF(T2&gt;=Assumptions!$B$51,T44*Assumptions!$B$143,0)</f>
        <v/>
      </c>
      <c r="U45" s="28">
        <f>IF(U2&gt;=Assumptions!$B$51,U44*Assumptions!$B$143,0)</f>
        <v/>
      </c>
      <c r="V45" s="28">
        <f>IF(V2&gt;=Assumptions!$B$51,V44*Assumptions!$B$143,0)</f>
        <v/>
      </c>
      <c r="W45" s="28">
        <f>IF(W2&gt;=Assumptions!$B$51,W44*Assumptions!$B$143,0)</f>
        <v/>
      </c>
      <c r="X45" s="28">
        <f>IF(X2&gt;=Assumptions!$B$51,X44*Assumptions!$B$143,0)</f>
        <v/>
      </c>
      <c r="Y45" s="28">
        <f>IF(Y2&gt;=Assumptions!$B$51,Y44*Assumptions!$B$143,0)</f>
        <v/>
      </c>
      <c r="Z45" s="28">
        <f>IF(Z2&gt;=Assumptions!$B$51,Z44*Assumptions!$B$143,0)</f>
        <v/>
      </c>
      <c r="AA45" s="28">
        <f>IF(AA2&gt;=Assumptions!$B$51,AA44*Assumptions!$B$143,0)</f>
        <v/>
      </c>
      <c r="AB45" s="28">
        <f>IF(AB2&gt;=Assumptions!$B$51,AB44*Assumptions!$B$143,0)</f>
        <v/>
      </c>
      <c r="AC45" s="28">
        <f>IF(AC2&gt;=Assumptions!$B$51,AC44*Assumptions!$B$143,0)</f>
        <v/>
      </c>
      <c r="AD45" s="28">
        <f>IF(AD2&gt;=Assumptions!$B$51,AD44*Assumptions!$B$143,0)</f>
        <v/>
      </c>
      <c r="AE45" s="28">
        <f>IF(AE2&gt;=Assumptions!$B$51,AE44*Assumptions!$B$143,0)</f>
        <v/>
      </c>
    </row>
    <row r="46">
      <c r="A46" s="6" t="inlineStr">
        <is>
          <t xml:space="preserve">  Credit limit per customer (gold x LTV)</t>
        </is>
      </c>
      <c r="B46" s="23" t="inlineStr">
        <is>
          <t>USD</t>
        </is>
      </c>
      <c r="C46" s="55">
        <f>IF(C31=0,0,C42/C31*Assumptions!$B$31)</f>
        <v/>
      </c>
      <c r="D46" s="55">
        <f>IF(D31=0,0,D42/D31*Assumptions!$B$31)</f>
        <v/>
      </c>
      <c r="E46" s="55">
        <f>IF(E31=0,0,E42/E31*Assumptions!$B$31)</f>
        <v/>
      </c>
      <c r="F46" s="55">
        <f>IF(F31=0,0,F42/F31*Assumptions!$B$31)</f>
        <v/>
      </c>
      <c r="G46" s="55">
        <f>IF(G31=0,0,G42/G31*Assumptions!$B$31)</f>
        <v/>
      </c>
      <c r="H46" s="55">
        <f>IF(H31=0,0,H42/H31*Assumptions!$B$31)</f>
        <v/>
      </c>
      <c r="I46" s="55">
        <f>IF(I31=0,0,I42/I31*Assumptions!$B$31)</f>
        <v/>
      </c>
      <c r="J46" s="55">
        <f>IF(J31=0,0,J42/J31*Assumptions!$B$31)</f>
        <v/>
      </c>
      <c r="K46" s="55">
        <f>IF(K31=0,0,K42/K31*Assumptions!$B$31)</f>
        <v/>
      </c>
      <c r="L46" s="55">
        <f>IF(L31=0,0,L42/L31*Assumptions!$B$31)</f>
        <v/>
      </c>
      <c r="M46" s="55">
        <f>IF(M31=0,0,M42/M31*Assumptions!$B$31)</f>
        <v/>
      </c>
      <c r="N46" s="55">
        <f>IF(N31=0,0,N42/N31*Assumptions!$B$31)</f>
        <v/>
      </c>
      <c r="O46" s="55">
        <f>IF(O31=0,0,O42/O31*Assumptions!$B$31)</f>
        <v/>
      </c>
      <c r="P46" s="55">
        <f>IF(P31=0,0,P42/P31*Assumptions!$B$31)</f>
        <v/>
      </c>
      <c r="Q46" s="55">
        <f>IF(Q31=0,0,Q42/Q31*Assumptions!$B$31)</f>
        <v/>
      </c>
      <c r="R46" s="55">
        <f>IF(R31=0,0,R42/R31*Assumptions!$B$31)</f>
        <v/>
      </c>
      <c r="S46" s="55">
        <f>IF(S31=0,0,S42/S31*Assumptions!$B$31)</f>
        <v/>
      </c>
      <c r="T46" s="55">
        <f>IF(T31=0,0,T42/T31*Assumptions!$B$31)</f>
        <v/>
      </c>
      <c r="U46" s="55">
        <f>IF(U31=0,0,U42/U31*Assumptions!$B$31)</f>
        <v/>
      </c>
      <c r="V46" s="55">
        <f>IF(V31=0,0,V42/V31*Assumptions!$B$31)</f>
        <v/>
      </c>
      <c r="W46" s="55">
        <f>IF(W31=0,0,W42/W31*Assumptions!$B$31)</f>
        <v/>
      </c>
      <c r="X46" s="55">
        <f>IF(X31=0,0,X42/X31*Assumptions!$B$31)</f>
        <v/>
      </c>
      <c r="Y46" s="55">
        <f>IF(Y31=0,0,Y42/Y31*Assumptions!$B$31)</f>
        <v/>
      </c>
      <c r="Z46" s="55">
        <f>IF(Z31=0,0,Z42/Z31*Assumptions!$B$31)</f>
        <v/>
      </c>
      <c r="AA46" s="55">
        <f>IF(AA31=0,0,AA42/AA31*Assumptions!$B$31)</f>
        <v/>
      </c>
      <c r="AB46" s="55">
        <f>IF(AB31=0,0,AB42/AB31*Assumptions!$B$31)</f>
        <v/>
      </c>
      <c r="AC46" s="55">
        <f>IF(AC31=0,0,AC42/AC31*Assumptions!$B$31)</f>
        <v/>
      </c>
      <c r="AD46" s="55">
        <f>IF(AD31=0,0,AD42/AD31*Assumptions!$B$31)</f>
        <v/>
      </c>
      <c r="AE46" s="55">
        <f>IF(AE31=0,0,AE42/AE31*Assumptions!$B$31)</f>
        <v/>
      </c>
    </row>
    <row r="47">
      <c r="A47" s="6" t="inlineStr">
        <is>
          <t xml:space="preserve">  Annual drawdown per card (limit x drawn x draws)</t>
        </is>
      </c>
      <c r="B47" s="23" t="inlineStr">
        <is>
          <t>USD/yr</t>
        </is>
      </c>
      <c r="C47" s="55">
        <f>C46*Assumptions!$B$156*Assumptions!$B$158</f>
        <v/>
      </c>
      <c r="D47" s="55">
        <f>D46*Assumptions!$B$156*Assumptions!$B$158</f>
        <v/>
      </c>
      <c r="E47" s="55">
        <f>E46*Assumptions!$B$156*Assumptions!$B$158</f>
        <v/>
      </c>
      <c r="F47" s="55">
        <f>F46*Assumptions!$B$156*Assumptions!$B$158</f>
        <v/>
      </c>
      <c r="G47" s="55">
        <f>G46*Assumptions!$B$156*Assumptions!$B$158</f>
        <v/>
      </c>
      <c r="H47" s="55">
        <f>H46*Assumptions!$B$156*Assumptions!$B$158</f>
        <v/>
      </c>
      <c r="I47" s="55">
        <f>I46*Assumptions!$B$156*Assumptions!$B$158</f>
        <v/>
      </c>
      <c r="J47" s="55">
        <f>J46*Assumptions!$B$156*Assumptions!$B$158</f>
        <v/>
      </c>
      <c r="K47" s="55">
        <f>K46*Assumptions!$B$156*Assumptions!$B$158</f>
        <v/>
      </c>
      <c r="L47" s="55">
        <f>L46*Assumptions!$B$156*Assumptions!$B$158</f>
        <v/>
      </c>
      <c r="M47" s="55">
        <f>M46*Assumptions!$B$156*Assumptions!$B$158</f>
        <v/>
      </c>
      <c r="N47" s="55">
        <f>N46*Assumptions!$B$156*Assumptions!$B$158</f>
        <v/>
      </c>
      <c r="O47" s="55">
        <f>O46*Assumptions!$B$156*Assumptions!$B$158</f>
        <v/>
      </c>
      <c r="P47" s="55">
        <f>P46*Assumptions!$B$156*Assumptions!$B$158</f>
        <v/>
      </c>
      <c r="Q47" s="55">
        <f>Q46*Assumptions!$B$156*Assumptions!$B$158</f>
        <v/>
      </c>
      <c r="R47" s="55">
        <f>R46*Assumptions!$B$156*Assumptions!$B$158</f>
        <v/>
      </c>
      <c r="S47" s="55">
        <f>S46*Assumptions!$B$156*Assumptions!$B$158</f>
        <v/>
      </c>
      <c r="T47" s="55">
        <f>T46*Assumptions!$B$156*Assumptions!$B$158</f>
        <v/>
      </c>
      <c r="U47" s="55">
        <f>U46*Assumptions!$B$156*Assumptions!$B$158</f>
        <v/>
      </c>
      <c r="V47" s="55">
        <f>V46*Assumptions!$B$156*Assumptions!$B$158</f>
        <v/>
      </c>
      <c r="W47" s="55">
        <f>W46*Assumptions!$B$156*Assumptions!$B$158</f>
        <v/>
      </c>
      <c r="X47" s="55">
        <f>X46*Assumptions!$B$156*Assumptions!$B$158</f>
        <v/>
      </c>
      <c r="Y47" s="55">
        <f>Y46*Assumptions!$B$156*Assumptions!$B$158</f>
        <v/>
      </c>
      <c r="Z47" s="55">
        <f>Z46*Assumptions!$B$156*Assumptions!$B$158</f>
        <v/>
      </c>
      <c r="AA47" s="55">
        <f>AA46*Assumptions!$B$156*Assumptions!$B$158</f>
        <v/>
      </c>
      <c r="AB47" s="55">
        <f>AB46*Assumptions!$B$156*Assumptions!$B$158</f>
        <v/>
      </c>
      <c r="AC47" s="55">
        <f>AC46*Assumptions!$B$156*Assumptions!$B$158</f>
        <v/>
      </c>
      <c r="AD47" s="55">
        <f>AD46*Assumptions!$B$156*Assumptions!$B$158</f>
        <v/>
      </c>
      <c r="AE47" s="55">
        <f>AE46*Assumptions!$B$156*Assumptions!$B$158</f>
        <v/>
      </c>
    </row>
    <row r="48">
      <c r="A48" s="6" t="inlineStr">
        <is>
          <t xml:space="preserve">  Card spend per card per month</t>
        </is>
      </c>
      <c r="B48" s="23" t="inlineStr">
        <is>
          <t>USD</t>
        </is>
      </c>
      <c r="C48" s="55">
        <f>C47/12*C16</f>
        <v/>
      </c>
      <c r="D48" s="55">
        <f>D47/12*D16</f>
        <v/>
      </c>
      <c r="E48" s="55">
        <f>E47/12*E16</f>
        <v/>
      </c>
      <c r="F48" s="55">
        <f>F47/12*F16</f>
        <v/>
      </c>
      <c r="G48" s="55">
        <f>G47/12*G16</f>
        <v/>
      </c>
      <c r="H48" s="55">
        <f>H47/12*H16</f>
        <v/>
      </c>
      <c r="I48" s="55">
        <f>I47/12*I16</f>
        <v/>
      </c>
      <c r="J48" s="55">
        <f>J47/12*J16</f>
        <v/>
      </c>
      <c r="K48" s="55">
        <f>K47/12*K16</f>
        <v/>
      </c>
      <c r="L48" s="55">
        <f>L47/12*L16</f>
        <v/>
      </c>
      <c r="M48" s="55">
        <f>M47/12*M16</f>
        <v/>
      </c>
      <c r="N48" s="55">
        <f>N47/12*N16</f>
        <v/>
      </c>
      <c r="O48" s="55">
        <f>O47/12*O16</f>
        <v/>
      </c>
      <c r="P48" s="55">
        <f>P47/12*P16</f>
        <v/>
      </c>
      <c r="Q48" s="55">
        <f>Q47/12*Q16</f>
        <v/>
      </c>
      <c r="R48" s="55">
        <f>R47/12*R16</f>
        <v/>
      </c>
      <c r="S48" s="55">
        <f>S47/12*S16</f>
        <v/>
      </c>
      <c r="T48" s="55">
        <f>T47/12*T16</f>
        <v/>
      </c>
      <c r="U48" s="55">
        <f>U47/12*U16</f>
        <v/>
      </c>
      <c r="V48" s="55">
        <f>V47/12*V16</f>
        <v/>
      </c>
      <c r="W48" s="55">
        <f>W47/12*W16</f>
        <v/>
      </c>
      <c r="X48" s="55">
        <f>X47/12*X16</f>
        <v/>
      </c>
      <c r="Y48" s="55">
        <f>Y47/12*Y16</f>
        <v/>
      </c>
      <c r="Z48" s="55">
        <f>Z47/12*Z16</f>
        <v/>
      </c>
      <c r="AA48" s="55">
        <f>AA47/12*AA16</f>
        <v/>
      </c>
      <c r="AB48" s="55">
        <f>AB47/12*AB16</f>
        <v/>
      </c>
      <c r="AC48" s="55">
        <f>AC47/12*AC16</f>
        <v/>
      </c>
      <c r="AD48" s="55">
        <f>AD47/12*AD16</f>
        <v/>
      </c>
      <c r="AE48" s="55">
        <f>AE47/12*AE16</f>
        <v/>
      </c>
    </row>
    <row r="49">
      <c r="A49" s="6" t="inlineStr">
        <is>
          <t xml:space="preserve">  Card spend</t>
        </is>
      </c>
      <c r="B49" s="23" t="inlineStr">
        <is>
          <t>AED</t>
        </is>
      </c>
      <c r="C49" s="45">
        <f>C45*C48*Assumptions!$B$7*C7</f>
        <v/>
      </c>
      <c r="D49" s="45">
        <f>D45*D48*Assumptions!$B$7*D7</f>
        <v/>
      </c>
      <c r="E49" s="45">
        <f>E45*E48*Assumptions!$B$7*E7</f>
        <v/>
      </c>
      <c r="F49" s="45">
        <f>F45*F48*Assumptions!$B$7*F7</f>
        <v/>
      </c>
      <c r="G49" s="45">
        <f>G45*G48*Assumptions!$B$7*G7</f>
        <v/>
      </c>
      <c r="H49" s="45">
        <f>H45*H48*Assumptions!$B$7*H7</f>
        <v/>
      </c>
      <c r="I49" s="45">
        <f>I45*I48*Assumptions!$B$7*I7</f>
        <v/>
      </c>
      <c r="J49" s="45">
        <f>J45*J48*Assumptions!$B$7*J7</f>
        <v/>
      </c>
      <c r="K49" s="45">
        <f>K45*K48*Assumptions!$B$7*K7</f>
        <v/>
      </c>
      <c r="L49" s="45">
        <f>L45*L48*Assumptions!$B$7*L7</f>
        <v/>
      </c>
      <c r="M49" s="45">
        <f>M45*M48*Assumptions!$B$7*M7</f>
        <v/>
      </c>
      <c r="N49" s="45">
        <f>N45*N48*Assumptions!$B$7*N7</f>
        <v/>
      </c>
      <c r="O49" s="45">
        <f>O45*O48*Assumptions!$B$7*O7</f>
        <v/>
      </c>
      <c r="P49" s="45">
        <f>P45*P48*Assumptions!$B$7*P7</f>
        <v/>
      </c>
      <c r="Q49" s="45">
        <f>Q45*Q48*Assumptions!$B$7*Q7</f>
        <v/>
      </c>
      <c r="R49" s="45">
        <f>R45*R48*Assumptions!$B$7*R7</f>
        <v/>
      </c>
      <c r="S49" s="45">
        <f>S45*S48*Assumptions!$B$7*S7</f>
        <v/>
      </c>
      <c r="T49" s="45">
        <f>T45*T48*Assumptions!$B$7*T7</f>
        <v/>
      </c>
      <c r="U49" s="45">
        <f>U45*U48*Assumptions!$B$7*U7</f>
        <v/>
      </c>
      <c r="V49" s="45">
        <f>V45*V48*Assumptions!$B$7*V7</f>
        <v/>
      </c>
      <c r="W49" s="45">
        <f>W45*W48*Assumptions!$B$7*W7</f>
        <v/>
      </c>
      <c r="X49" s="45">
        <f>X45*X48*Assumptions!$B$7*X7</f>
        <v/>
      </c>
      <c r="Y49" s="45">
        <f>Y45*Y48*Assumptions!$B$7*Y7</f>
        <v/>
      </c>
      <c r="Z49" s="45">
        <f>Z45*Z48*Assumptions!$B$7*Z7</f>
        <v/>
      </c>
      <c r="AA49" s="45">
        <f>AA45*AA48*Assumptions!$B$7*AA7</f>
        <v/>
      </c>
      <c r="AB49" s="45">
        <f>AB45*AB48*Assumptions!$B$7*AB7</f>
        <v/>
      </c>
      <c r="AC49" s="45">
        <f>AC45*AC48*Assumptions!$B$7*AC7</f>
        <v/>
      </c>
      <c r="AD49" s="45">
        <f>AD45*AD48*Assumptions!$B$7*AD7</f>
        <v/>
      </c>
      <c r="AE49" s="45">
        <f>AE45*AE48*Assumptions!$B$7*AE7</f>
        <v/>
      </c>
    </row>
    <row r="50">
      <c r="A50" s="6" t="inlineStr">
        <is>
          <t xml:space="preserve">  Card spend</t>
        </is>
      </c>
      <c r="B50" s="23" t="inlineStr">
        <is>
          <t>USD</t>
        </is>
      </c>
      <c r="C50" s="55">
        <f>C49/Assumptions!$B$7</f>
        <v/>
      </c>
      <c r="D50" s="55">
        <f>D49/Assumptions!$B$7</f>
        <v/>
      </c>
      <c r="E50" s="55">
        <f>E49/Assumptions!$B$7</f>
        <v/>
      </c>
      <c r="F50" s="55">
        <f>F49/Assumptions!$B$7</f>
        <v/>
      </c>
      <c r="G50" s="55">
        <f>G49/Assumptions!$B$7</f>
        <v/>
      </c>
      <c r="H50" s="55">
        <f>H49/Assumptions!$B$7</f>
        <v/>
      </c>
      <c r="I50" s="55">
        <f>I49/Assumptions!$B$7</f>
        <v/>
      </c>
      <c r="J50" s="55">
        <f>J49/Assumptions!$B$7</f>
        <v/>
      </c>
      <c r="K50" s="55">
        <f>K49/Assumptions!$B$7</f>
        <v/>
      </c>
      <c r="L50" s="55">
        <f>L49/Assumptions!$B$7</f>
        <v/>
      </c>
      <c r="M50" s="55">
        <f>M49/Assumptions!$B$7</f>
        <v/>
      </c>
      <c r="N50" s="55">
        <f>N49/Assumptions!$B$7</f>
        <v/>
      </c>
      <c r="O50" s="55">
        <f>O49/Assumptions!$B$7</f>
        <v/>
      </c>
      <c r="P50" s="55">
        <f>P49/Assumptions!$B$7</f>
        <v/>
      </c>
      <c r="Q50" s="55">
        <f>Q49/Assumptions!$B$7</f>
        <v/>
      </c>
      <c r="R50" s="55">
        <f>R49/Assumptions!$B$7</f>
        <v/>
      </c>
      <c r="S50" s="55">
        <f>S49/Assumptions!$B$7</f>
        <v/>
      </c>
      <c r="T50" s="55">
        <f>T49/Assumptions!$B$7</f>
        <v/>
      </c>
      <c r="U50" s="55">
        <f>U49/Assumptions!$B$7</f>
        <v/>
      </c>
      <c r="V50" s="55">
        <f>V49/Assumptions!$B$7</f>
        <v/>
      </c>
      <c r="W50" s="55">
        <f>W49/Assumptions!$B$7</f>
        <v/>
      </c>
      <c r="X50" s="55">
        <f>X49/Assumptions!$B$7</f>
        <v/>
      </c>
      <c r="Y50" s="55">
        <f>Y49/Assumptions!$B$7</f>
        <v/>
      </c>
      <c r="Z50" s="55">
        <f>Z49/Assumptions!$B$7</f>
        <v/>
      </c>
      <c r="AA50" s="55">
        <f>AA49/Assumptions!$B$7</f>
        <v/>
      </c>
      <c r="AB50" s="55">
        <f>AB49/Assumptions!$B$7</f>
        <v/>
      </c>
      <c r="AC50" s="55">
        <f>AC49/Assumptions!$B$7</f>
        <v/>
      </c>
      <c r="AD50" s="55">
        <f>AD49/Assumptions!$B$7</f>
        <v/>
      </c>
      <c r="AE50" s="55">
        <f>AE49/Assumptions!$B$7</f>
        <v/>
      </c>
    </row>
    <row r="51">
      <c r="A51" s="6" t="inlineStr">
        <is>
          <t xml:space="preserve">  Average transaction size (derived)</t>
        </is>
      </c>
      <c r="B51" s="23" t="inlineStr">
        <is>
          <t>AED</t>
        </is>
      </c>
      <c r="C51" s="45">
        <f>IF(Assumptions!$B$144=0,0,C46*Assumptions!$B$156*Assumptions!$B$7/Assumptions!$B$144)</f>
        <v/>
      </c>
      <c r="D51" s="45">
        <f>IF(Assumptions!$B$144=0,0,D46*Assumptions!$B$156*Assumptions!$B$7/Assumptions!$B$144)</f>
        <v/>
      </c>
      <c r="E51" s="45">
        <f>IF(Assumptions!$B$144=0,0,E46*Assumptions!$B$156*Assumptions!$B$7/Assumptions!$B$144)</f>
        <v/>
      </c>
      <c r="F51" s="45">
        <f>IF(Assumptions!$B$144=0,0,F46*Assumptions!$B$156*Assumptions!$B$7/Assumptions!$B$144)</f>
        <v/>
      </c>
      <c r="G51" s="45">
        <f>IF(Assumptions!$B$144=0,0,G46*Assumptions!$B$156*Assumptions!$B$7/Assumptions!$B$144)</f>
        <v/>
      </c>
      <c r="H51" s="45">
        <f>IF(Assumptions!$B$144=0,0,H46*Assumptions!$B$156*Assumptions!$B$7/Assumptions!$B$144)</f>
        <v/>
      </c>
      <c r="I51" s="45">
        <f>IF(Assumptions!$B$144=0,0,I46*Assumptions!$B$156*Assumptions!$B$7/Assumptions!$B$144)</f>
        <v/>
      </c>
      <c r="J51" s="45">
        <f>IF(Assumptions!$B$144=0,0,J46*Assumptions!$B$156*Assumptions!$B$7/Assumptions!$B$144)</f>
        <v/>
      </c>
      <c r="K51" s="45">
        <f>IF(Assumptions!$B$144=0,0,K46*Assumptions!$B$156*Assumptions!$B$7/Assumptions!$B$144)</f>
        <v/>
      </c>
      <c r="L51" s="45">
        <f>IF(Assumptions!$B$144=0,0,L46*Assumptions!$B$156*Assumptions!$B$7/Assumptions!$B$144)</f>
        <v/>
      </c>
      <c r="M51" s="45">
        <f>IF(Assumptions!$B$144=0,0,M46*Assumptions!$B$156*Assumptions!$B$7/Assumptions!$B$144)</f>
        <v/>
      </c>
      <c r="N51" s="45">
        <f>IF(Assumptions!$B$144=0,0,N46*Assumptions!$B$156*Assumptions!$B$7/Assumptions!$B$144)</f>
        <v/>
      </c>
      <c r="O51" s="45">
        <f>IF(Assumptions!$B$144=0,0,O46*Assumptions!$B$156*Assumptions!$B$7/Assumptions!$B$144)</f>
        <v/>
      </c>
      <c r="P51" s="45">
        <f>IF(Assumptions!$B$144=0,0,P46*Assumptions!$B$156*Assumptions!$B$7/Assumptions!$B$144)</f>
        <v/>
      </c>
      <c r="Q51" s="45">
        <f>IF(Assumptions!$B$144=0,0,Q46*Assumptions!$B$156*Assumptions!$B$7/Assumptions!$B$144)</f>
        <v/>
      </c>
      <c r="R51" s="45">
        <f>IF(Assumptions!$B$144=0,0,R46*Assumptions!$B$156*Assumptions!$B$7/Assumptions!$B$144)</f>
        <v/>
      </c>
      <c r="S51" s="45">
        <f>IF(Assumptions!$B$144=0,0,S46*Assumptions!$B$156*Assumptions!$B$7/Assumptions!$B$144)</f>
        <v/>
      </c>
      <c r="T51" s="45">
        <f>IF(Assumptions!$B$144=0,0,T46*Assumptions!$B$156*Assumptions!$B$7/Assumptions!$B$144)</f>
        <v/>
      </c>
      <c r="U51" s="45">
        <f>IF(Assumptions!$B$144=0,0,U46*Assumptions!$B$156*Assumptions!$B$7/Assumptions!$B$144)</f>
        <v/>
      </c>
      <c r="V51" s="45">
        <f>IF(Assumptions!$B$144=0,0,V46*Assumptions!$B$156*Assumptions!$B$7/Assumptions!$B$144)</f>
        <v/>
      </c>
      <c r="W51" s="45">
        <f>IF(Assumptions!$B$144=0,0,W46*Assumptions!$B$156*Assumptions!$B$7/Assumptions!$B$144)</f>
        <v/>
      </c>
      <c r="X51" s="45">
        <f>IF(Assumptions!$B$144=0,0,X46*Assumptions!$B$156*Assumptions!$B$7/Assumptions!$B$144)</f>
        <v/>
      </c>
      <c r="Y51" s="45">
        <f>IF(Assumptions!$B$144=0,0,Y46*Assumptions!$B$156*Assumptions!$B$7/Assumptions!$B$144)</f>
        <v/>
      </c>
      <c r="Z51" s="45">
        <f>IF(Assumptions!$B$144=0,0,Z46*Assumptions!$B$156*Assumptions!$B$7/Assumptions!$B$144)</f>
        <v/>
      </c>
      <c r="AA51" s="45">
        <f>IF(Assumptions!$B$144=0,0,AA46*Assumptions!$B$156*Assumptions!$B$7/Assumptions!$B$144)</f>
        <v/>
      </c>
      <c r="AB51" s="45">
        <f>IF(Assumptions!$B$144=0,0,AB46*Assumptions!$B$156*Assumptions!$B$7/Assumptions!$B$144)</f>
        <v/>
      </c>
      <c r="AC51" s="45">
        <f>IF(Assumptions!$B$144=0,0,AC46*Assumptions!$B$156*Assumptions!$B$7/Assumptions!$B$144)</f>
        <v/>
      </c>
      <c r="AD51" s="45">
        <f>IF(Assumptions!$B$144=0,0,AD46*Assumptions!$B$156*Assumptions!$B$7/Assumptions!$B$144)</f>
        <v/>
      </c>
      <c r="AE51" s="45">
        <f>IF(Assumptions!$B$144=0,0,AE46*Assumptions!$B$156*Assumptions!$B$7/Assumptions!$B$144)</f>
        <v/>
      </c>
    </row>
    <row r="52">
      <c r="A52" s="6" t="inlineStr">
        <is>
          <t xml:space="preserve">  Card authorisations (memo - drives cost, not revenue)</t>
        </is>
      </c>
      <c r="B52" s="23" t="inlineStr">
        <is>
          <t>auths</t>
        </is>
      </c>
      <c r="C52" s="45">
        <f>C45*Assumptions!$B$158*Assumptions!$B$144*C7/12*(1+Assumptions!$B$16)</f>
        <v/>
      </c>
      <c r="D52" s="45">
        <f>D45*Assumptions!$B$158*Assumptions!$B$144*D7/12*(1+Assumptions!$B$16)</f>
        <v/>
      </c>
      <c r="E52" s="45">
        <f>E45*Assumptions!$B$158*Assumptions!$B$144*E7/12*(1+Assumptions!$B$16)</f>
        <v/>
      </c>
      <c r="F52" s="45">
        <f>F45*Assumptions!$B$158*Assumptions!$B$144*F7/12*(1+Assumptions!$B$16)</f>
        <v/>
      </c>
      <c r="G52" s="45">
        <f>G45*Assumptions!$B$158*Assumptions!$B$144*G7/12*(1+Assumptions!$B$16)</f>
        <v/>
      </c>
      <c r="H52" s="45">
        <f>H45*Assumptions!$B$158*Assumptions!$B$144*H7/12*(1+Assumptions!$B$16)</f>
        <v/>
      </c>
      <c r="I52" s="45">
        <f>I45*Assumptions!$B$158*Assumptions!$B$144*I7/12*(1+Assumptions!$B$16)</f>
        <v/>
      </c>
      <c r="J52" s="45">
        <f>J45*Assumptions!$B$158*Assumptions!$B$144*J7/12*(1+Assumptions!$B$16)</f>
        <v/>
      </c>
      <c r="K52" s="45">
        <f>K45*Assumptions!$B$158*Assumptions!$B$144*K7/12*(1+Assumptions!$B$16)</f>
        <v/>
      </c>
      <c r="L52" s="45">
        <f>L45*Assumptions!$B$158*Assumptions!$B$144*L7/12*(1+Assumptions!$B$16)</f>
        <v/>
      </c>
      <c r="M52" s="45">
        <f>M45*Assumptions!$B$158*Assumptions!$B$144*M7/12*(1+Assumptions!$B$16)</f>
        <v/>
      </c>
      <c r="N52" s="45">
        <f>N45*Assumptions!$B$158*Assumptions!$B$144*N7/12*(1+Assumptions!$B$16)</f>
        <v/>
      </c>
      <c r="O52" s="45">
        <f>O45*Assumptions!$B$158*Assumptions!$B$144*O7/12*(1+Assumptions!$B$16)</f>
        <v/>
      </c>
      <c r="P52" s="45">
        <f>P45*Assumptions!$B$158*Assumptions!$B$144*P7/12*(1+Assumptions!$B$16)</f>
        <v/>
      </c>
      <c r="Q52" s="45">
        <f>Q45*Assumptions!$B$158*Assumptions!$B$144*Q7/12*(1+Assumptions!$B$16)</f>
        <v/>
      </c>
      <c r="R52" s="45">
        <f>R45*Assumptions!$B$158*Assumptions!$B$144*R7/12*(1+Assumptions!$B$16)</f>
        <v/>
      </c>
      <c r="S52" s="45">
        <f>S45*Assumptions!$B$158*Assumptions!$B$144*S7/12*(1+Assumptions!$B$16)</f>
        <v/>
      </c>
      <c r="T52" s="45">
        <f>T45*Assumptions!$B$158*Assumptions!$B$144*T7/12*(1+Assumptions!$B$16)</f>
        <v/>
      </c>
      <c r="U52" s="45">
        <f>U45*Assumptions!$B$158*Assumptions!$B$144*U7/12*(1+Assumptions!$B$16)</f>
        <v/>
      </c>
      <c r="V52" s="45">
        <f>V45*Assumptions!$B$158*Assumptions!$B$144*V7/12*(1+Assumptions!$B$16)</f>
        <v/>
      </c>
      <c r="W52" s="45">
        <f>W45*Assumptions!$B$158*Assumptions!$B$144*W7/12*(1+Assumptions!$B$16)</f>
        <v/>
      </c>
      <c r="X52" s="45">
        <f>X45*Assumptions!$B$158*Assumptions!$B$144*X7/12*(1+Assumptions!$B$16)</f>
        <v/>
      </c>
      <c r="Y52" s="45">
        <f>Y45*Assumptions!$B$158*Assumptions!$B$144*Y7/12*(1+Assumptions!$B$16)</f>
        <v/>
      </c>
      <c r="Z52" s="45">
        <f>Z45*Assumptions!$B$158*Assumptions!$B$144*Z7/12*(1+Assumptions!$B$16)</f>
        <v/>
      </c>
      <c r="AA52" s="45">
        <f>AA45*Assumptions!$B$158*Assumptions!$B$144*AA7/12*(1+Assumptions!$B$16)</f>
        <v/>
      </c>
      <c r="AB52" s="45">
        <f>AB45*Assumptions!$B$158*Assumptions!$B$144*AB7/12*(1+Assumptions!$B$16)</f>
        <v/>
      </c>
      <c r="AC52" s="45">
        <f>AC45*Assumptions!$B$158*Assumptions!$B$144*AC7/12*(1+Assumptions!$B$16)</f>
        <v/>
      </c>
      <c r="AD52" s="45">
        <f>AD45*Assumptions!$B$158*Assumptions!$B$144*AD7/12*(1+Assumptions!$B$16)</f>
        <v/>
      </c>
      <c r="AE52" s="45">
        <f>AE45*Assumptions!$B$158*Assumptions!$B$144*AE7/12*(1+Assumptions!$B$16)</f>
        <v/>
      </c>
    </row>
    <row r="53">
      <c r="A53" s="6" t="inlineStr">
        <is>
          <t xml:space="preserve">  Stream 1a - Entry fee, SIP</t>
        </is>
      </c>
      <c r="B53" s="23" t="inlineStr">
        <is>
          <t>USD</t>
        </is>
      </c>
      <c r="C53" s="55">
        <f>C35*Assumptions!$B$8</f>
        <v/>
      </c>
      <c r="D53" s="55">
        <f>D35*Assumptions!$B$8</f>
        <v/>
      </c>
      <c r="E53" s="55">
        <f>E35*Assumptions!$B$8</f>
        <v/>
      </c>
      <c r="F53" s="55">
        <f>F35*Assumptions!$B$8</f>
        <v/>
      </c>
      <c r="G53" s="55">
        <f>G35*Assumptions!$B$8</f>
        <v/>
      </c>
      <c r="H53" s="55">
        <f>H35*Assumptions!$B$8</f>
        <v/>
      </c>
      <c r="I53" s="55">
        <f>I35*Assumptions!$B$8</f>
        <v/>
      </c>
      <c r="J53" s="55">
        <f>J35*Assumptions!$B$8</f>
        <v/>
      </c>
      <c r="K53" s="55">
        <f>K35*Assumptions!$B$8</f>
        <v/>
      </c>
      <c r="L53" s="55">
        <f>L35*Assumptions!$B$8</f>
        <v/>
      </c>
      <c r="M53" s="55">
        <f>M35*Assumptions!$B$8</f>
        <v/>
      </c>
      <c r="N53" s="55">
        <f>N35*Assumptions!$B$8</f>
        <v/>
      </c>
      <c r="O53" s="55">
        <f>O35*Assumptions!$B$8</f>
        <v/>
      </c>
      <c r="P53" s="55">
        <f>P35*Assumptions!$B$8</f>
        <v/>
      </c>
      <c r="Q53" s="55">
        <f>Q35*Assumptions!$B$8</f>
        <v/>
      </c>
      <c r="R53" s="55">
        <f>R35*Assumptions!$B$8</f>
        <v/>
      </c>
      <c r="S53" s="55">
        <f>S35*Assumptions!$B$8</f>
        <v/>
      </c>
      <c r="T53" s="55">
        <f>T35*Assumptions!$B$8</f>
        <v/>
      </c>
      <c r="U53" s="55">
        <f>U35*Assumptions!$B$8</f>
        <v/>
      </c>
      <c r="V53" s="55">
        <f>V35*Assumptions!$B$8</f>
        <v/>
      </c>
      <c r="W53" s="55">
        <f>W35*Assumptions!$B$8</f>
        <v/>
      </c>
      <c r="X53" s="55">
        <f>X35*Assumptions!$B$8</f>
        <v/>
      </c>
      <c r="Y53" s="55">
        <f>Y35*Assumptions!$B$8</f>
        <v/>
      </c>
      <c r="Z53" s="55">
        <f>Z35*Assumptions!$B$8</f>
        <v/>
      </c>
      <c r="AA53" s="55">
        <f>AA35*Assumptions!$B$8</f>
        <v/>
      </c>
      <c r="AB53" s="55">
        <f>AB35*Assumptions!$B$8</f>
        <v/>
      </c>
      <c r="AC53" s="55">
        <f>AC35*Assumptions!$B$8</f>
        <v/>
      </c>
      <c r="AD53" s="55">
        <f>AD35*Assumptions!$B$8</f>
        <v/>
      </c>
      <c r="AE53" s="55">
        <f>AE35*Assumptions!$B$8</f>
        <v/>
      </c>
    </row>
    <row r="54">
      <c r="A54" s="6" t="inlineStr">
        <is>
          <t xml:space="preserve">  Stream 1b - Entry fee, SPOT</t>
        </is>
      </c>
      <c r="B54" s="23" t="inlineStr">
        <is>
          <t>USD</t>
        </is>
      </c>
      <c r="C54" s="55">
        <f>C36*Assumptions!$B$8</f>
        <v/>
      </c>
      <c r="D54" s="55">
        <f>D36*Assumptions!$B$8</f>
        <v/>
      </c>
      <c r="E54" s="55">
        <f>E36*Assumptions!$B$8</f>
        <v/>
      </c>
      <c r="F54" s="55">
        <f>F36*Assumptions!$B$8</f>
        <v/>
      </c>
      <c r="G54" s="55">
        <f>G36*Assumptions!$B$8</f>
        <v/>
      </c>
      <c r="H54" s="55">
        <f>H36*Assumptions!$B$8</f>
        <v/>
      </c>
      <c r="I54" s="55">
        <f>I36*Assumptions!$B$8</f>
        <v/>
      </c>
      <c r="J54" s="55">
        <f>J36*Assumptions!$B$8</f>
        <v/>
      </c>
      <c r="K54" s="55">
        <f>K36*Assumptions!$B$8</f>
        <v/>
      </c>
      <c r="L54" s="55">
        <f>L36*Assumptions!$B$8</f>
        <v/>
      </c>
      <c r="M54" s="55">
        <f>M36*Assumptions!$B$8</f>
        <v/>
      </c>
      <c r="N54" s="55">
        <f>N36*Assumptions!$B$8</f>
        <v/>
      </c>
      <c r="O54" s="55">
        <f>O36*Assumptions!$B$8</f>
        <v/>
      </c>
      <c r="P54" s="55">
        <f>P36*Assumptions!$B$8</f>
        <v/>
      </c>
      <c r="Q54" s="55">
        <f>Q36*Assumptions!$B$8</f>
        <v/>
      </c>
      <c r="R54" s="55">
        <f>R36*Assumptions!$B$8</f>
        <v/>
      </c>
      <c r="S54" s="55">
        <f>S36*Assumptions!$B$8</f>
        <v/>
      </c>
      <c r="T54" s="55">
        <f>T36*Assumptions!$B$8</f>
        <v/>
      </c>
      <c r="U54" s="55">
        <f>U36*Assumptions!$B$8</f>
        <v/>
      </c>
      <c r="V54" s="55">
        <f>V36*Assumptions!$B$8</f>
        <v/>
      </c>
      <c r="W54" s="55">
        <f>W36*Assumptions!$B$8</f>
        <v/>
      </c>
      <c r="X54" s="55">
        <f>X36*Assumptions!$B$8</f>
        <v/>
      </c>
      <c r="Y54" s="55">
        <f>Y36*Assumptions!$B$8</f>
        <v/>
      </c>
      <c r="Z54" s="55">
        <f>Z36*Assumptions!$B$8</f>
        <v/>
      </c>
      <c r="AA54" s="55">
        <f>AA36*Assumptions!$B$8</f>
        <v/>
      </c>
      <c r="AB54" s="55">
        <f>AB36*Assumptions!$B$8</f>
        <v/>
      </c>
      <c r="AC54" s="55">
        <f>AC36*Assumptions!$B$8</f>
        <v/>
      </c>
      <c r="AD54" s="55">
        <f>AD36*Assumptions!$B$8</f>
        <v/>
      </c>
      <c r="AE54" s="55">
        <f>AE36*Assumptions!$B$8</f>
        <v/>
      </c>
    </row>
    <row r="55">
      <c r="A55" s="6" t="inlineStr">
        <is>
          <t xml:space="preserve">  Stream 2 - Card interchange</t>
        </is>
      </c>
      <c r="B55" s="23" t="inlineStr">
        <is>
          <t>USD</t>
        </is>
      </c>
      <c r="C55" s="55">
        <f>C50*IF(Assumptions!$B$171=1,MIN(Assumptions!$B$14,1%),Assumptions!$B$14)*(1-Assumptions!$B$142)</f>
        <v/>
      </c>
      <c r="D55" s="55">
        <f>D50*IF(Assumptions!$B$171=1,MIN(Assumptions!$B$14,1%),Assumptions!$B$14)*(1-Assumptions!$B$142)</f>
        <v/>
      </c>
      <c r="E55" s="55">
        <f>E50*IF(Assumptions!$B$171=1,MIN(Assumptions!$B$14,1%),Assumptions!$B$14)*(1-Assumptions!$B$142)</f>
        <v/>
      </c>
      <c r="F55" s="55">
        <f>F50*IF(Assumptions!$B$171=1,MIN(Assumptions!$B$14,1%),Assumptions!$B$14)*(1-Assumptions!$B$142)</f>
        <v/>
      </c>
      <c r="G55" s="55">
        <f>G50*IF(Assumptions!$B$171=1,MIN(Assumptions!$B$14,1%),Assumptions!$B$14)*(1-Assumptions!$B$142)</f>
        <v/>
      </c>
      <c r="H55" s="55">
        <f>H50*IF(Assumptions!$B$171=1,MIN(Assumptions!$B$14,1%),Assumptions!$B$14)*(1-Assumptions!$B$142)</f>
        <v/>
      </c>
      <c r="I55" s="55">
        <f>I50*IF(Assumptions!$B$171=1,MIN(Assumptions!$B$14,1%),Assumptions!$B$14)*(1-Assumptions!$B$142)</f>
        <v/>
      </c>
      <c r="J55" s="55">
        <f>J50*IF(Assumptions!$B$171=1,MIN(Assumptions!$B$14,1%),Assumptions!$B$14)*(1-Assumptions!$B$142)</f>
        <v/>
      </c>
      <c r="K55" s="55">
        <f>K50*IF(Assumptions!$B$171=1,MIN(Assumptions!$B$14,1%),Assumptions!$B$14)*(1-Assumptions!$B$142)</f>
        <v/>
      </c>
      <c r="L55" s="55">
        <f>L50*IF(Assumptions!$B$171=1,MIN(Assumptions!$B$14,1%),Assumptions!$B$14)*(1-Assumptions!$B$142)</f>
        <v/>
      </c>
      <c r="M55" s="55">
        <f>M50*IF(Assumptions!$B$171=1,MIN(Assumptions!$B$14,1%),Assumptions!$B$14)*(1-Assumptions!$B$142)</f>
        <v/>
      </c>
      <c r="N55" s="55">
        <f>N50*IF(Assumptions!$B$171=1,MIN(Assumptions!$B$14,1%),Assumptions!$B$14)*(1-Assumptions!$B$142)</f>
        <v/>
      </c>
      <c r="O55" s="55">
        <f>O50*IF(Assumptions!$B$171=1,MIN(Assumptions!$B$14,1%),Assumptions!$B$14)*(1-Assumptions!$B$142)</f>
        <v/>
      </c>
      <c r="P55" s="55">
        <f>P50*IF(Assumptions!$B$171=1,MIN(Assumptions!$B$14,1%),Assumptions!$B$14)*(1-Assumptions!$B$142)</f>
        <v/>
      </c>
      <c r="Q55" s="55">
        <f>Q50*IF(Assumptions!$B$171=1,MIN(Assumptions!$B$14,1%),Assumptions!$B$14)*(1-Assumptions!$B$142)</f>
        <v/>
      </c>
      <c r="R55" s="55">
        <f>R50*IF(Assumptions!$B$171=1,MIN(Assumptions!$B$14,1%),Assumptions!$B$14)*(1-Assumptions!$B$142)</f>
        <v/>
      </c>
      <c r="S55" s="55">
        <f>S50*IF(Assumptions!$B$171=1,MIN(Assumptions!$B$14,1%),Assumptions!$B$14)*(1-Assumptions!$B$142)</f>
        <v/>
      </c>
      <c r="T55" s="55">
        <f>T50*IF(Assumptions!$B$171=1,MIN(Assumptions!$B$14,1%),Assumptions!$B$14)*(1-Assumptions!$B$142)</f>
        <v/>
      </c>
      <c r="U55" s="55">
        <f>U50*IF(Assumptions!$B$171=1,MIN(Assumptions!$B$14,1%),Assumptions!$B$14)*(1-Assumptions!$B$142)</f>
        <v/>
      </c>
      <c r="V55" s="55">
        <f>V50*IF(Assumptions!$B$171=1,MIN(Assumptions!$B$14,1%),Assumptions!$B$14)*(1-Assumptions!$B$142)</f>
        <v/>
      </c>
      <c r="W55" s="55">
        <f>W50*IF(Assumptions!$B$171=1,MIN(Assumptions!$B$14,1%),Assumptions!$B$14)*(1-Assumptions!$B$142)</f>
        <v/>
      </c>
      <c r="X55" s="55">
        <f>X50*IF(Assumptions!$B$171=1,MIN(Assumptions!$B$14,1%),Assumptions!$B$14)*(1-Assumptions!$B$142)</f>
        <v/>
      </c>
      <c r="Y55" s="55">
        <f>Y50*IF(Assumptions!$B$171=1,MIN(Assumptions!$B$14,1%),Assumptions!$B$14)*(1-Assumptions!$B$142)</f>
        <v/>
      </c>
      <c r="Z55" s="55">
        <f>Z50*IF(Assumptions!$B$171=1,MIN(Assumptions!$B$14,1%),Assumptions!$B$14)*(1-Assumptions!$B$142)</f>
        <v/>
      </c>
      <c r="AA55" s="55">
        <f>AA50*IF(Assumptions!$B$171=1,MIN(Assumptions!$B$14,1%),Assumptions!$B$14)*(1-Assumptions!$B$142)</f>
        <v/>
      </c>
      <c r="AB55" s="55">
        <f>AB50*IF(Assumptions!$B$171=1,MIN(Assumptions!$B$14,1%),Assumptions!$B$14)*(1-Assumptions!$B$142)</f>
        <v/>
      </c>
      <c r="AC55" s="55">
        <f>AC50*IF(Assumptions!$B$171=1,MIN(Assumptions!$B$14,1%),Assumptions!$B$14)*(1-Assumptions!$B$142)</f>
        <v/>
      </c>
      <c r="AD55" s="55">
        <f>AD50*IF(Assumptions!$B$171=1,MIN(Assumptions!$B$14,1%),Assumptions!$B$14)*(1-Assumptions!$B$142)</f>
        <v/>
      </c>
      <c r="AE55" s="55">
        <f>AE50*IF(Assumptions!$B$171=1,MIN(Assumptions!$B$14,1%),Assumptions!$B$14)*(1-Assumptions!$B$142)</f>
        <v/>
      </c>
    </row>
    <row r="56">
      <c r="A56" s="6" t="inlineStr">
        <is>
          <t xml:space="preserve">  Stream 3 - Family plan and Digital Will</t>
        </is>
      </c>
      <c r="B56" s="23" t="inlineStr">
        <is>
          <t>USD</t>
        </is>
      </c>
      <c r="C56" s="55">
        <f>IF(C2&gt;=Assumptions!$B$50,C31*Assumptions!$B$159*Assumptions!$B$25/12*C7,0)</f>
        <v/>
      </c>
      <c r="D56" s="55">
        <f>IF(D2&gt;=Assumptions!$B$50,D31*Assumptions!$B$159*Assumptions!$B$25/12*D7,0)</f>
        <v/>
      </c>
      <c r="E56" s="55">
        <f>IF(E2&gt;=Assumptions!$B$50,E31*Assumptions!$B$159*Assumptions!$B$25/12*E7,0)</f>
        <v/>
      </c>
      <c r="F56" s="55">
        <f>IF(F2&gt;=Assumptions!$B$50,F31*Assumptions!$B$159*Assumptions!$B$25/12*F7,0)</f>
        <v/>
      </c>
      <c r="G56" s="55">
        <f>IF(G2&gt;=Assumptions!$B$50,G31*Assumptions!$B$159*Assumptions!$B$25/12*G7,0)</f>
        <v/>
      </c>
      <c r="H56" s="55">
        <f>IF(H2&gt;=Assumptions!$B$50,H31*Assumptions!$B$159*Assumptions!$B$25/12*H7,0)</f>
        <v/>
      </c>
      <c r="I56" s="55">
        <f>IF(I2&gt;=Assumptions!$B$50,I31*Assumptions!$B$159*Assumptions!$B$25/12*I7,0)</f>
        <v/>
      </c>
      <c r="J56" s="55">
        <f>IF(J2&gt;=Assumptions!$B$50,J31*Assumptions!$B$159*Assumptions!$B$25/12*J7,0)</f>
        <v/>
      </c>
      <c r="K56" s="55">
        <f>IF(K2&gt;=Assumptions!$B$50,K31*Assumptions!$B$159*Assumptions!$B$25/12*K7,0)</f>
        <v/>
      </c>
      <c r="L56" s="55">
        <f>IF(L2&gt;=Assumptions!$B$50,L31*Assumptions!$B$159*Assumptions!$B$25/12*L7,0)</f>
        <v/>
      </c>
      <c r="M56" s="55">
        <f>IF(M2&gt;=Assumptions!$B$50,M31*Assumptions!$B$159*Assumptions!$B$25/12*M7,0)</f>
        <v/>
      </c>
      <c r="N56" s="55">
        <f>IF(N2&gt;=Assumptions!$B$50,N31*Assumptions!$B$159*Assumptions!$B$25/12*N7,0)</f>
        <v/>
      </c>
      <c r="O56" s="55">
        <f>IF(O2&gt;=Assumptions!$B$50,O31*Assumptions!$B$159*Assumptions!$B$25/12*O7,0)</f>
        <v/>
      </c>
      <c r="P56" s="55">
        <f>IF(P2&gt;=Assumptions!$B$50,P31*Assumptions!$B$159*Assumptions!$B$25/12*P7,0)</f>
        <v/>
      </c>
      <c r="Q56" s="55">
        <f>IF(Q2&gt;=Assumptions!$B$50,Q31*Assumptions!$B$159*Assumptions!$B$25/12*Q7,0)</f>
        <v/>
      </c>
      <c r="R56" s="55">
        <f>IF(R2&gt;=Assumptions!$B$50,R31*Assumptions!$B$159*Assumptions!$B$25/12*R7,0)</f>
        <v/>
      </c>
      <c r="S56" s="55">
        <f>IF(S2&gt;=Assumptions!$B$50,S31*Assumptions!$B$159*Assumptions!$B$25/12*S7,0)</f>
        <v/>
      </c>
      <c r="T56" s="55">
        <f>IF(T2&gt;=Assumptions!$B$50,T31*Assumptions!$B$159*Assumptions!$B$25/12*T7,0)</f>
        <v/>
      </c>
      <c r="U56" s="55">
        <f>IF(U2&gt;=Assumptions!$B$50,U31*Assumptions!$B$159*Assumptions!$B$25/12*U7,0)</f>
        <v/>
      </c>
      <c r="V56" s="55">
        <f>IF(V2&gt;=Assumptions!$B$50,V31*Assumptions!$B$159*Assumptions!$B$25/12*V7,0)</f>
        <v/>
      </c>
      <c r="W56" s="55">
        <f>IF(W2&gt;=Assumptions!$B$50,W31*Assumptions!$B$159*Assumptions!$B$25/12*W7,0)</f>
        <v/>
      </c>
      <c r="X56" s="55">
        <f>IF(X2&gt;=Assumptions!$B$50,X31*Assumptions!$B$159*Assumptions!$B$25/12*X7,0)</f>
        <v/>
      </c>
      <c r="Y56" s="55">
        <f>IF(Y2&gt;=Assumptions!$B$50,Y31*Assumptions!$B$159*Assumptions!$B$25/12*Y7,0)</f>
        <v/>
      </c>
      <c r="Z56" s="55">
        <f>IF(Z2&gt;=Assumptions!$B$50,Z31*Assumptions!$B$159*Assumptions!$B$25/12*Z7,0)</f>
        <v/>
      </c>
      <c r="AA56" s="55">
        <f>IF(AA2&gt;=Assumptions!$B$50,AA31*Assumptions!$B$159*Assumptions!$B$25/12*AA7,0)</f>
        <v/>
      </c>
      <c r="AB56" s="55">
        <f>IF(AB2&gt;=Assumptions!$B$50,AB31*Assumptions!$B$159*Assumptions!$B$25/12*AB7,0)</f>
        <v/>
      </c>
      <c r="AC56" s="55">
        <f>IF(AC2&gt;=Assumptions!$B$50,AC31*Assumptions!$B$159*Assumptions!$B$25/12*AC7,0)</f>
        <v/>
      </c>
      <c r="AD56" s="55">
        <f>IF(AD2&gt;=Assumptions!$B$50,AD31*Assumptions!$B$159*Assumptions!$B$25/12*AD7,0)</f>
        <v/>
      </c>
      <c r="AE56" s="55">
        <f>IF(AE2&gt;=Assumptions!$B$50,AE31*Assumptions!$B$159*Assumptions!$B$25/12*AE7,0)</f>
        <v/>
      </c>
    </row>
    <row r="57">
      <c r="A57" s="6" t="inlineStr">
        <is>
          <t xml:space="preserve">  Stream 4 - Cardholder fees (FX, ATM, events)</t>
        </is>
      </c>
      <c r="B57" s="23" t="inlineStr">
        <is>
          <t>USD</t>
        </is>
      </c>
      <c r="C57" s="55">
        <f>IF(C2&gt;=Assumptions!$B$52,C50*C17*Assumptions!$B$17+C45*(Assumptions!$B$148*MAX(0,Assumptions!$B$152-Assumptions!$B$18)+Assumptions!$B$149*MAX(0,Assumptions!$B$153-Assumptions!$B$18)+Assumptions!$B$150*MAX(0,Assumptions!$B$154-Assumptions!$B$18)+Assumptions!$B$151*MAX(0,Assumptions!$B$155-Assumptions!$B$18))*Assumptions!$B$19/Assumptions!$B$7*C7+C45*(Assumptions!$B$146*Assumptions!$B$20+Assumptions!$B$147*Assumptions!$B$21)/12/Assumptions!$B$7*C7,0)</f>
        <v/>
      </c>
      <c r="D57" s="55">
        <f>IF(D2&gt;=Assumptions!$B$52,D50*D17*Assumptions!$B$17+D45*(Assumptions!$B$148*MAX(0,Assumptions!$B$152-Assumptions!$B$18)+Assumptions!$B$149*MAX(0,Assumptions!$B$153-Assumptions!$B$18)+Assumptions!$B$150*MAX(0,Assumptions!$B$154-Assumptions!$B$18)+Assumptions!$B$151*MAX(0,Assumptions!$B$155-Assumptions!$B$18))*Assumptions!$B$19/Assumptions!$B$7*D7+D45*(Assumptions!$B$146*Assumptions!$B$20+Assumptions!$B$147*Assumptions!$B$21)/12/Assumptions!$B$7*D7,0)</f>
        <v/>
      </c>
      <c r="E57" s="55">
        <f>IF(E2&gt;=Assumptions!$B$52,E50*E17*Assumptions!$B$17+E45*(Assumptions!$B$148*MAX(0,Assumptions!$B$152-Assumptions!$B$18)+Assumptions!$B$149*MAX(0,Assumptions!$B$153-Assumptions!$B$18)+Assumptions!$B$150*MAX(0,Assumptions!$B$154-Assumptions!$B$18)+Assumptions!$B$151*MAX(0,Assumptions!$B$155-Assumptions!$B$18))*Assumptions!$B$19/Assumptions!$B$7*E7+E45*(Assumptions!$B$146*Assumptions!$B$20+Assumptions!$B$147*Assumptions!$B$21)/12/Assumptions!$B$7*E7,0)</f>
        <v/>
      </c>
      <c r="F57" s="55">
        <f>IF(F2&gt;=Assumptions!$B$52,F50*F17*Assumptions!$B$17+F45*(Assumptions!$B$148*MAX(0,Assumptions!$B$152-Assumptions!$B$18)+Assumptions!$B$149*MAX(0,Assumptions!$B$153-Assumptions!$B$18)+Assumptions!$B$150*MAX(0,Assumptions!$B$154-Assumptions!$B$18)+Assumptions!$B$151*MAX(0,Assumptions!$B$155-Assumptions!$B$18))*Assumptions!$B$19/Assumptions!$B$7*F7+F45*(Assumptions!$B$146*Assumptions!$B$20+Assumptions!$B$147*Assumptions!$B$21)/12/Assumptions!$B$7*F7,0)</f>
        <v/>
      </c>
      <c r="G57" s="55">
        <f>IF(G2&gt;=Assumptions!$B$52,G50*G17*Assumptions!$B$17+G45*(Assumptions!$B$148*MAX(0,Assumptions!$B$152-Assumptions!$B$18)+Assumptions!$B$149*MAX(0,Assumptions!$B$153-Assumptions!$B$18)+Assumptions!$B$150*MAX(0,Assumptions!$B$154-Assumptions!$B$18)+Assumptions!$B$151*MAX(0,Assumptions!$B$155-Assumptions!$B$18))*Assumptions!$B$19/Assumptions!$B$7*G7+G45*(Assumptions!$B$146*Assumptions!$B$20+Assumptions!$B$147*Assumptions!$B$21)/12/Assumptions!$B$7*G7,0)</f>
        <v/>
      </c>
      <c r="H57" s="55">
        <f>IF(H2&gt;=Assumptions!$B$52,H50*H17*Assumptions!$B$17+H45*(Assumptions!$B$148*MAX(0,Assumptions!$B$152-Assumptions!$B$18)+Assumptions!$B$149*MAX(0,Assumptions!$B$153-Assumptions!$B$18)+Assumptions!$B$150*MAX(0,Assumptions!$B$154-Assumptions!$B$18)+Assumptions!$B$151*MAX(0,Assumptions!$B$155-Assumptions!$B$18))*Assumptions!$B$19/Assumptions!$B$7*H7+H45*(Assumptions!$B$146*Assumptions!$B$20+Assumptions!$B$147*Assumptions!$B$21)/12/Assumptions!$B$7*H7,0)</f>
        <v/>
      </c>
      <c r="I57" s="55">
        <f>IF(I2&gt;=Assumptions!$B$52,I50*I17*Assumptions!$B$17+I45*(Assumptions!$B$148*MAX(0,Assumptions!$B$152-Assumptions!$B$18)+Assumptions!$B$149*MAX(0,Assumptions!$B$153-Assumptions!$B$18)+Assumptions!$B$150*MAX(0,Assumptions!$B$154-Assumptions!$B$18)+Assumptions!$B$151*MAX(0,Assumptions!$B$155-Assumptions!$B$18))*Assumptions!$B$19/Assumptions!$B$7*I7+I45*(Assumptions!$B$146*Assumptions!$B$20+Assumptions!$B$147*Assumptions!$B$21)/12/Assumptions!$B$7*I7,0)</f>
        <v/>
      </c>
      <c r="J57" s="55">
        <f>IF(J2&gt;=Assumptions!$B$52,J50*J17*Assumptions!$B$17+J45*(Assumptions!$B$148*MAX(0,Assumptions!$B$152-Assumptions!$B$18)+Assumptions!$B$149*MAX(0,Assumptions!$B$153-Assumptions!$B$18)+Assumptions!$B$150*MAX(0,Assumptions!$B$154-Assumptions!$B$18)+Assumptions!$B$151*MAX(0,Assumptions!$B$155-Assumptions!$B$18))*Assumptions!$B$19/Assumptions!$B$7*J7+J45*(Assumptions!$B$146*Assumptions!$B$20+Assumptions!$B$147*Assumptions!$B$21)/12/Assumptions!$B$7*J7,0)</f>
        <v/>
      </c>
      <c r="K57" s="55">
        <f>IF(K2&gt;=Assumptions!$B$52,K50*K17*Assumptions!$B$17+K45*(Assumptions!$B$148*MAX(0,Assumptions!$B$152-Assumptions!$B$18)+Assumptions!$B$149*MAX(0,Assumptions!$B$153-Assumptions!$B$18)+Assumptions!$B$150*MAX(0,Assumptions!$B$154-Assumptions!$B$18)+Assumptions!$B$151*MAX(0,Assumptions!$B$155-Assumptions!$B$18))*Assumptions!$B$19/Assumptions!$B$7*K7+K45*(Assumptions!$B$146*Assumptions!$B$20+Assumptions!$B$147*Assumptions!$B$21)/12/Assumptions!$B$7*K7,0)</f>
        <v/>
      </c>
      <c r="L57" s="55">
        <f>IF(L2&gt;=Assumptions!$B$52,L50*L17*Assumptions!$B$17+L45*(Assumptions!$B$148*MAX(0,Assumptions!$B$152-Assumptions!$B$18)+Assumptions!$B$149*MAX(0,Assumptions!$B$153-Assumptions!$B$18)+Assumptions!$B$150*MAX(0,Assumptions!$B$154-Assumptions!$B$18)+Assumptions!$B$151*MAX(0,Assumptions!$B$155-Assumptions!$B$18))*Assumptions!$B$19/Assumptions!$B$7*L7+L45*(Assumptions!$B$146*Assumptions!$B$20+Assumptions!$B$147*Assumptions!$B$21)/12/Assumptions!$B$7*L7,0)</f>
        <v/>
      </c>
      <c r="M57" s="55">
        <f>IF(M2&gt;=Assumptions!$B$52,M50*M17*Assumptions!$B$17+M45*(Assumptions!$B$148*MAX(0,Assumptions!$B$152-Assumptions!$B$18)+Assumptions!$B$149*MAX(0,Assumptions!$B$153-Assumptions!$B$18)+Assumptions!$B$150*MAX(0,Assumptions!$B$154-Assumptions!$B$18)+Assumptions!$B$151*MAX(0,Assumptions!$B$155-Assumptions!$B$18))*Assumptions!$B$19/Assumptions!$B$7*M7+M45*(Assumptions!$B$146*Assumptions!$B$20+Assumptions!$B$147*Assumptions!$B$21)/12/Assumptions!$B$7*M7,0)</f>
        <v/>
      </c>
      <c r="N57" s="55">
        <f>IF(N2&gt;=Assumptions!$B$52,N50*N17*Assumptions!$B$17+N45*(Assumptions!$B$148*MAX(0,Assumptions!$B$152-Assumptions!$B$18)+Assumptions!$B$149*MAX(0,Assumptions!$B$153-Assumptions!$B$18)+Assumptions!$B$150*MAX(0,Assumptions!$B$154-Assumptions!$B$18)+Assumptions!$B$151*MAX(0,Assumptions!$B$155-Assumptions!$B$18))*Assumptions!$B$19/Assumptions!$B$7*N7+N45*(Assumptions!$B$146*Assumptions!$B$20+Assumptions!$B$147*Assumptions!$B$21)/12/Assumptions!$B$7*N7,0)</f>
        <v/>
      </c>
      <c r="O57" s="55">
        <f>IF(O2&gt;=Assumptions!$B$52,O50*O17*Assumptions!$B$17+O45*(Assumptions!$B$148*MAX(0,Assumptions!$B$152-Assumptions!$B$18)+Assumptions!$B$149*MAX(0,Assumptions!$B$153-Assumptions!$B$18)+Assumptions!$B$150*MAX(0,Assumptions!$B$154-Assumptions!$B$18)+Assumptions!$B$151*MAX(0,Assumptions!$B$155-Assumptions!$B$18))*Assumptions!$B$19/Assumptions!$B$7*O7+O45*(Assumptions!$B$146*Assumptions!$B$20+Assumptions!$B$147*Assumptions!$B$21)/12/Assumptions!$B$7*O7,0)</f>
        <v/>
      </c>
      <c r="P57" s="55">
        <f>IF(P2&gt;=Assumptions!$B$52,P50*P17*Assumptions!$B$17+P45*(Assumptions!$B$148*MAX(0,Assumptions!$B$152-Assumptions!$B$18)+Assumptions!$B$149*MAX(0,Assumptions!$B$153-Assumptions!$B$18)+Assumptions!$B$150*MAX(0,Assumptions!$B$154-Assumptions!$B$18)+Assumptions!$B$151*MAX(0,Assumptions!$B$155-Assumptions!$B$18))*Assumptions!$B$19/Assumptions!$B$7*P7+P45*(Assumptions!$B$146*Assumptions!$B$20+Assumptions!$B$147*Assumptions!$B$21)/12/Assumptions!$B$7*P7,0)</f>
        <v/>
      </c>
      <c r="Q57" s="55">
        <f>IF(Q2&gt;=Assumptions!$B$52,Q50*Q17*Assumptions!$B$17+Q45*(Assumptions!$B$148*MAX(0,Assumptions!$B$152-Assumptions!$B$18)+Assumptions!$B$149*MAX(0,Assumptions!$B$153-Assumptions!$B$18)+Assumptions!$B$150*MAX(0,Assumptions!$B$154-Assumptions!$B$18)+Assumptions!$B$151*MAX(0,Assumptions!$B$155-Assumptions!$B$18))*Assumptions!$B$19/Assumptions!$B$7*Q7+Q45*(Assumptions!$B$146*Assumptions!$B$20+Assumptions!$B$147*Assumptions!$B$21)/12/Assumptions!$B$7*Q7,0)</f>
        <v/>
      </c>
      <c r="R57" s="55">
        <f>IF(R2&gt;=Assumptions!$B$52,R50*R17*Assumptions!$B$17+R45*(Assumptions!$B$148*MAX(0,Assumptions!$B$152-Assumptions!$B$18)+Assumptions!$B$149*MAX(0,Assumptions!$B$153-Assumptions!$B$18)+Assumptions!$B$150*MAX(0,Assumptions!$B$154-Assumptions!$B$18)+Assumptions!$B$151*MAX(0,Assumptions!$B$155-Assumptions!$B$18))*Assumptions!$B$19/Assumptions!$B$7*R7+R45*(Assumptions!$B$146*Assumptions!$B$20+Assumptions!$B$147*Assumptions!$B$21)/12/Assumptions!$B$7*R7,0)</f>
        <v/>
      </c>
      <c r="S57" s="55">
        <f>IF(S2&gt;=Assumptions!$B$52,S50*S17*Assumptions!$B$17+S45*(Assumptions!$B$148*MAX(0,Assumptions!$B$152-Assumptions!$B$18)+Assumptions!$B$149*MAX(0,Assumptions!$B$153-Assumptions!$B$18)+Assumptions!$B$150*MAX(0,Assumptions!$B$154-Assumptions!$B$18)+Assumptions!$B$151*MAX(0,Assumptions!$B$155-Assumptions!$B$18))*Assumptions!$B$19/Assumptions!$B$7*S7+S45*(Assumptions!$B$146*Assumptions!$B$20+Assumptions!$B$147*Assumptions!$B$21)/12/Assumptions!$B$7*S7,0)</f>
        <v/>
      </c>
      <c r="T57" s="55">
        <f>IF(T2&gt;=Assumptions!$B$52,T50*T17*Assumptions!$B$17+T45*(Assumptions!$B$148*MAX(0,Assumptions!$B$152-Assumptions!$B$18)+Assumptions!$B$149*MAX(0,Assumptions!$B$153-Assumptions!$B$18)+Assumptions!$B$150*MAX(0,Assumptions!$B$154-Assumptions!$B$18)+Assumptions!$B$151*MAX(0,Assumptions!$B$155-Assumptions!$B$18))*Assumptions!$B$19/Assumptions!$B$7*T7+T45*(Assumptions!$B$146*Assumptions!$B$20+Assumptions!$B$147*Assumptions!$B$21)/12/Assumptions!$B$7*T7,0)</f>
        <v/>
      </c>
      <c r="U57" s="55">
        <f>IF(U2&gt;=Assumptions!$B$52,U50*U17*Assumptions!$B$17+U45*(Assumptions!$B$148*MAX(0,Assumptions!$B$152-Assumptions!$B$18)+Assumptions!$B$149*MAX(0,Assumptions!$B$153-Assumptions!$B$18)+Assumptions!$B$150*MAX(0,Assumptions!$B$154-Assumptions!$B$18)+Assumptions!$B$151*MAX(0,Assumptions!$B$155-Assumptions!$B$18))*Assumptions!$B$19/Assumptions!$B$7*U7+U45*(Assumptions!$B$146*Assumptions!$B$20+Assumptions!$B$147*Assumptions!$B$21)/12/Assumptions!$B$7*U7,0)</f>
        <v/>
      </c>
      <c r="V57" s="55">
        <f>IF(V2&gt;=Assumptions!$B$52,V50*V17*Assumptions!$B$17+V45*(Assumptions!$B$148*MAX(0,Assumptions!$B$152-Assumptions!$B$18)+Assumptions!$B$149*MAX(0,Assumptions!$B$153-Assumptions!$B$18)+Assumptions!$B$150*MAX(0,Assumptions!$B$154-Assumptions!$B$18)+Assumptions!$B$151*MAX(0,Assumptions!$B$155-Assumptions!$B$18))*Assumptions!$B$19/Assumptions!$B$7*V7+V45*(Assumptions!$B$146*Assumptions!$B$20+Assumptions!$B$147*Assumptions!$B$21)/12/Assumptions!$B$7*V7,0)</f>
        <v/>
      </c>
      <c r="W57" s="55">
        <f>IF(W2&gt;=Assumptions!$B$52,W50*W17*Assumptions!$B$17+W45*(Assumptions!$B$148*MAX(0,Assumptions!$B$152-Assumptions!$B$18)+Assumptions!$B$149*MAX(0,Assumptions!$B$153-Assumptions!$B$18)+Assumptions!$B$150*MAX(0,Assumptions!$B$154-Assumptions!$B$18)+Assumptions!$B$151*MAX(0,Assumptions!$B$155-Assumptions!$B$18))*Assumptions!$B$19/Assumptions!$B$7*W7+W45*(Assumptions!$B$146*Assumptions!$B$20+Assumptions!$B$147*Assumptions!$B$21)/12/Assumptions!$B$7*W7,0)</f>
        <v/>
      </c>
      <c r="X57" s="55">
        <f>IF(X2&gt;=Assumptions!$B$52,X50*X17*Assumptions!$B$17+X45*(Assumptions!$B$148*MAX(0,Assumptions!$B$152-Assumptions!$B$18)+Assumptions!$B$149*MAX(0,Assumptions!$B$153-Assumptions!$B$18)+Assumptions!$B$150*MAX(0,Assumptions!$B$154-Assumptions!$B$18)+Assumptions!$B$151*MAX(0,Assumptions!$B$155-Assumptions!$B$18))*Assumptions!$B$19/Assumptions!$B$7*X7+X45*(Assumptions!$B$146*Assumptions!$B$20+Assumptions!$B$147*Assumptions!$B$21)/12/Assumptions!$B$7*X7,0)</f>
        <v/>
      </c>
      <c r="Y57" s="55">
        <f>IF(Y2&gt;=Assumptions!$B$52,Y50*Y17*Assumptions!$B$17+Y45*(Assumptions!$B$148*MAX(0,Assumptions!$B$152-Assumptions!$B$18)+Assumptions!$B$149*MAX(0,Assumptions!$B$153-Assumptions!$B$18)+Assumptions!$B$150*MAX(0,Assumptions!$B$154-Assumptions!$B$18)+Assumptions!$B$151*MAX(0,Assumptions!$B$155-Assumptions!$B$18))*Assumptions!$B$19/Assumptions!$B$7*Y7+Y45*(Assumptions!$B$146*Assumptions!$B$20+Assumptions!$B$147*Assumptions!$B$21)/12/Assumptions!$B$7*Y7,0)</f>
        <v/>
      </c>
      <c r="Z57" s="55">
        <f>IF(Z2&gt;=Assumptions!$B$52,Z50*Z17*Assumptions!$B$17+Z45*(Assumptions!$B$148*MAX(0,Assumptions!$B$152-Assumptions!$B$18)+Assumptions!$B$149*MAX(0,Assumptions!$B$153-Assumptions!$B$18)+Assumptions!$B$150*MAX(0,Assumptions!$B$154-Assumptions!$B$18)+Assumptions!$B$151*MAX(0,Assumptions!$B$155-Assumptions!$B$18))*Assumptions!$B$19/Assumptions!$B$7*Z7+Z45*(Assumptions!$B$146*Assumptions!$B$20+Assumptions!$B$147*Assumptions!$B$21)/12/Assumptions!$B$7*Z7,0)</f>
        <v/>
      </c>
      <c r="AA57" s="55">
        <f>IF(AA2&gt;=Assumptions!$B$52,AA50*AA17*Assumptions!$B$17+AA45*(Assumptions!$B$148*MAX(0,Assumptions!$B$152-Assumptions!$B$18)+Assumptions!$B$149*MAX(0,Assumptions!$B$153-Assumptions!$B$18)+Assumptions!$B$150*MAX(0,Assumptions!$B$154-Assumptions!$B$18)+Assumptions!$B$151*MAX(0,Assumptions!$B$155-Assumptions!$B$18))*Assumptions!$B$19/Assumptions!$B$7*AA7+AA45*(Assumptions!$B$146*Assumptions!$B$20+Assumptions!$B$147*Assumptions!$B$21)/12/Assumptions!$B$7*AA7,0)</f>
        <v/>
      </c>
      <c r="AB57" s="55">
        <f>IF(AB2&gt;=Assumptions!$B$52,AB50*AB17*Assumptions!$B$17+AB45*(Assumptions!$B$148*MAX(0,Assumptions!$B$152-Assumptions!$B$18)+Assumptions!$B$149*MAX(0,Assumptions!$B$153-Assumptions!$B$18)+Assumptions!$B$150*MAX(0,Assumptions!$B$154-Assumptions!$B$18)+Assumptions!$B$151*MAX(0,Assumptions!$B$155-Assumptions!$B$18))*Assumptions!$B$19/Assumptions!$B$7*AB7+AB45*(Assumptions!$B$146*Assumptions!$B$20+Assumptions!$B$147*Assumptions!$B$21)/12/Assumptions!$B$7*AB7,0)</f>
        <v/>
      </c>
      <c r="AC57" s="55">
        <f>IF(AC2&gt;=Assumptions!$B$52,AC50*AC17*Assumptions!$B$17+AC45*(Assumptions!$B$148*MAX(0,Assumptions!$B$152-Assumptions!$B$18)+Assumptions!$B$149*MAX(0,Assumptions!$B$153-Assumptions!$B$18)+Assumptions!$B$150*MAX(0,Assumptions!$B$154-Assumptions!$B$18)+Assumptions!$B$151*MAX(0,Assumptions!$B$155-Assumptions!$B$18))*Assumptions!$B$19/Assumptions!$B$7*AC7+AC45*(Assumptions!$B$146*Assumptions!$B$20+Assumptions!$B$147*Assumptions!$B$21)/12/Assumptions!$B$7*AC7,0)</f>
        <v/>
      </c>
      <c r="AD57" s="55">
        <f>IF(AD2&gt;=Assumptions!$B$52,AD50*AD17*Assumptions!$B$17+AD45*(Assumptions!$B$148*MAX(0,Assumptions!$B$152-Assumptions!$B$18)+Assumptions!$B$149*MAX(0,Assumptions!$B$153-Assumptions!$B$18)+Assumptions!$B$150*MAX(0,Assumptions!$B$154-Assumptions!$B$18)+Assumptions!$B$151*MAX(0,Assumptions!$B$155-Assumptions!$B$18))*Assumptions!$B$19/Assumptions!$B$7*AD7+AD45*(Assumptions!$B$146*Assumptions!$B$20+Assumptions!$B$147*Assumptions!$B$21)/12/Assumptions!$B$7*AD7,0)</f>
        <v/>
      </c>
      <c r="AE57" s="55">
        <f>IF(AE2&gt;=Assumptions!$B$52,AE50*AE17*Assumptions!$B$17+AE45*(Assumptions!$B$148*MAX(0,Assumptions!$B$152-Assumptions!$B$18)+Assumptions!$B$149*MAX(0,Assumptions!$B$153-Assumptions!$B$18)+Assumptions!$B$150*MAX(0,Assumptions!$B$154-Assumptions!$B$18)+Assumptions!$B$151*MAX(0,Assumptions!$B$155-Assumptions!$B$18))*Assumptions!$B$19/Assumptions!$B$7*AE7+AE45*(Assumptions!$B$146*Assumptions!$B$20+Assumptions!$B$147*Assumptions!$B$21)/12/Assumptions!$B$7*AE7,0)</f>
        <v/>
      </c>
    </row>
    <row r="58">
      <c r="A58" s="6" t="inlineStr">
        <is>
          <t xml:space="preserve">  Average drawn balance outstanding</t>
        </is>
      </c>
      <c r="B58" s="23" t="inlineStr">
        <is>
          <t>USD</t>
        </is>
      </c>
      <c r="C58" s="55">
        <f>IF(C2&gt;=Assumptions!$B$53,C45*C46*(1-Assumptions!$B$171)*Assumptions!$B$156*Assumptions!$B$157,0)</f>
        <v/>
      </c>
      <c r="D58" s="55">
        <f>IF(D2&gt;=Assumptions!$B$53,D45*D46*(1-Assumptions!$B$171)*Assumptions!$B$156*Assumptions!$B$157,0)</f>
        <v/>
      </c>
      <c r="E58" s="55">
        <f>IF(E2&gt;=Assumptions!$B$53,E45*E46*(1-Assumptions!$B$171)*Assumptions!$B$156*Assumptions!$B$157,0)</f>
        <v/>
      </c>
      <c r="F58" s="55">
        <f>IF(F2&gt;=Assumptions!$B$53,F45*F46*(1-Assumptions!$B$171)*Assumptions!$B$156*Assumptions!$B$157,0)</f>
        <v/>
      </c>
      <c r="G58" s="55">
        <f>IF(G2&gt;=Assumptions!$B$53,G45*G46*(1-Assumptions!$B$171)*Assumptions!$B$156*Assumptions!$B$157,0)</f>
        <v/>
      </c>
      <c r="H58" s="55">
        <f>IF(H2&gt;=Assumptions!$B$53,H45*H46*(1-Assumptions!$B$171)*Assumptions!$B$156*Assumptions!$B$157,0)</f>
        <v/>
      </c>
      <c r="I58" s="55">
        <f>IF(I2&gt;=Assumptions!$B$53,I45*I46*(1-Assumptions!$B$171)*Assumptions!$B$156*Assumptions!$B$157,0)</f>
        <v/>
      </c>
      <c r="J58" s="55">
        <f>IF(J2&gt;=Assumptions!$B$53,J45*J46*(1-Assumptions!$B$171)*Assumptions!$B$156*Assumptions!$B$157,0)</f>
        <v/>
      </c>
      <c r="K58" s="55">
        <f>IF(K2&gt;=Assumptions!$B$53,K45*K46*(1-Assumptions!$B$171)*Assumptions!$B$156*Assumptions!$B$157,0)</f>
        <v/>
      </c>
      <c r="L58" s="55">
        <f>IF(L2&gt;=Assumptions!$B$53,L45*L46*(1-Assumptions!$B$171)*Assumptions!$B$156*Assumptions!$B$157,0)</f>
        <v/>
      </c>
      <c r="M58" s="55">
        <f>IF(M2&gt;=Assumptions!$B$53,M45*M46*(1-Assumptions!$B$171)*Assumptions!$B$156*Assumptions!$B$157,0)</f>
        <v/>
      </c>
      <c r="N58" s="55">
        <f>IF(N2&gt;=Assumptions!$B$53,N45*N46*(1-Assumptions!$B$171)*Assumptions!$B$156*Assumptions!$B$157,0)</f>
        <v/>
      </c>
      <c r="O58" s="55">
        <f>IF(O2&gt;=Assumptions!$B$53,O45*O46*(1-Assumptions!$B$171)*Assumptions!$B$156*Assumptions!$B$157,0)</f>
        <v/>
      </c>
      <c r="P58" s="55">
        <f>IF(P2&gt;=Assumptions!$B$53,P45*P46*(1-Assumptions!$B$171)*Assumptions!$B$156*Assumptions!$B$157,0)</f>
        <v/>
      </c>
      <c r="Q58" s="55">
        <f>IF(Q2&gt;=Assumptions!$B$53,Q45*Q46*(1-Assumptions!$B$171)*Assumptions!$B$156*Assumptions!$B$157,0)</f>
        <v/>
      </c>
      <c r="R58" s="55">
        <f>IF(R2&gt;=Assumptions!$B$53,R45*R46*(1-Assumptions!$B$171)*Assumptions!$B$156*Assumptions!$B$157,0)</f>
        <v/>
      </c>
      <c r="S58" s="55">
        <f>IF(S2&gt;=Assumptions!$B$53,S45*S46*(1-Assumptions!$B$171)*Assumptions!$B$156*Assumptions!$B$157,0)</f>
        <v/>
      </c>
      <c r="T58" s="55">
        <f>IF(T2&gt;=Assumptions!$B$53,T45*T46*(1-Assumptions!$B$171)*Assumptions!$B$156*Assumptions!$B$157,0)</f>
        <v/>
      </c>
      <c r="U58" s="55">
        <f>IF(U2&gt;=Assumptions!$B$53,U45*U46*(1-Assumptions!$B$171)*Assumptions!$B$156*Assumptions!$B$157,0)</f>
        <v/>
      </c>
      <c r="V58" s="55">
        <f>IF(V2&gt;=Assumptions!$B$53,V45*V46*(1-Assumptions!$B$171)*Assumptions!$B$156*Assumptions!$B$157,0)</f>
        <v/>
      </c>
      <c r="W58" s="55">
        <f>IF(W2&gt;=Assumptions!$B$53,W45*W46*(1-Assumptions!$B$171)*Assumptions!$B$156*Assumptions!$B$157,0)</f>
        <v/>
      </c>
      <c r="X58" s="55">
        <f>IF(X2&gt;=Assumptions!$B$53,X45*X46*(1-Assumptions!$B$171)*Assumptions!$B$156*Assumptions!$B$157,0)</f>
        <v/>
      </c>
      <c r="Y58" s="55">
        <f>IF(Y2&gt;=Assumptions!$B$53,Y45*Y46*(1-Assumptions!$B$171)*Assumptions!$B$156*Assumptions!$B$157,0)</f>
        <v/>
      </c>
      <c r="Z58" s="55">
        <f>IF(Z2&gt;=Assumptions!$B$53,Z45*Z46*(1-Assumptions!$B$171)*Assumptions!$B$156*Assumptions!$B$157,0)</f>
        <v/>
      </c>
      <c r="AA58" s="55">
        <f>IF(AA2&gt;=Assumptions!$B$53,AA45*AA46*(1-Assumptions!$B$171)*Assumptions!$B$156*Assumptions!$B$157,0)</f>
        <v/>
      </c>
      <c r="AB58" s="55">
        <f>IF(AB2&gt;=Assumptions!$B$53,AB45*AB46*(1-Assumptions!$B$171)*Assumptions!$B$156*Assumptions!$B$157,0)</f>
        <v/>
      </c>
      <c r="AC58" s="55">
        <f>IF(AC2&gt;=Assumptions!$B$53,AC45*AC46*(1-Assumptions!$B$171)*Assumptions!$B$156*Assumptions!$B$157,0)</f>
        <v/>
      </c>
      <c r="AD58" s="55">
        <f>IF(AD2&gt;=Assumptions!$B$53,AD45*AD46*(1-Assumptions!$B$171)*Assumptions!$B$156*Assumptions!$B$157,0)</f>
        <v/>
      </c>
      <c r="AE58" s="55">
        <f>IF(AE2&gt;=Assumptions!$B$53,AE45*AE46*(1-Assumptions!$B$171)*Assumptions!$B$156*Assumptions!$B$157,0)</f>
        <v/>
      </c>
    </row>
    <row r="59">
      <c r="A59" s="6" t="inlineStr">
        <is>
          <t xml:space="preserve">  Stream 5 - Lending revenue share</t>
        </is>
      </c>
      <c r="B59" s="23" t="inlineStr">
        <is>
          <t>USD</t>
        </is>
      </c>
      <c r="C59" s="55">
        <f>IF(C2&gt;=Assumptions!$B$53,(C58*Assumptions!$B$29*Assumptions!$B$30+C45*C47*(1-Assumptions!$B$171)*Assumptions!$B$27*Assumptions!$B$28)*C7/12,0)</f>
        <v/>
      </c>
      <c r="D59" s="55">
        <f>IF(D2&gt;=Assumptions!$B$53,(D58*Assumptions!$B$29*Assumptions!$B$30+D45*D47*(1-Assumptions!$B$171)*Assumptions!$B$27*Assumptions!$B$28)*D7/12,0)</f>
        <v/>
      </c>
      <c r="E59" s="55">
        <f>IF(E2&gt;=Assumptions!$B$53,(E58*Assumptions!$B$29*Assumptions!$B$30+E45*E47*(1-Assumptions!$B$171)*Assumptions!$B$27*Assumptions!$B$28)*E7/12,0)</f>
        <v/>
      </c>
      <c r="F59" s="55">
        <f>IF(F2&gt;=Assumptions!$B$53,(F58*Assumptions!$B$29*Assumptions!$B$30+F45*F47*(1-Assumptions!$B$171)*Assumptions!$B$27*Assumptions!$B$28)*F7/12,0)</f>
        <v/>
      </c>
      <c r="G59" s="55">
        <f>IF(G2&gt;=Assumptions!$B$53,(G58*Assumptions!$B$29*Assumptions!$B$30+G45*G47*(1-Assumptions!$B$171)*Assumptions!$B$27*Assumptions!$B$28)*G7/12,0)</f>
        <v/>
      </c>
      <c r="H59" s="55">
        <f>IF(H2&gt;=Assumptions!$B$53,(H58*Assumptions!$B$29*Assumptions!$B$30+H45*H47*(1-Assumptions!$B$171)*Assumptions!$B$27*Assumptions!$B$28)*H7/12,0)</f>
        <v/>
      </c>
      <c r="I59" s="55">
        <f>IF(I2&gt;=Assumptions!$B$53,(I58*Assumptions!$B$29*Assumptions!$B$30+I45*I47*(1-Assumptions!$B$171)*Assumptions!$B$27*Assumptions!$B$28)*I7/12,0)</f>
        <v/>
      </c>
      <c r="J59" s="55">
        <f>IF(J2&gt;=Assumptions!$B$53,(J58*Assumptions!$B$29*Assumptions!$B$30+J45*J47*(1-Assumptions!$B$171)*Assumptions!$B$27*Assumptions!$B$28)*J7/12,0)</f>
        <v/>
      </c>
      <c r="K59" s="55">
        <f>IF(K2&gt;=Assumptions!$B$53,(K58*Assumptions!$B$29*Assumptions!$B$30+K45*K47*(1-Assumptions!$B$171)*Assumptions!$B$27*Assumptions!$B$28)*K7/12,0)</f>
        <v/>
      </c>
      <c r="L59" s="55">
        <f>IF(L2&gt;=Assumptions!$B$53,(L58*Assumptions!$B$29*Assumptions!$B$30+L45*L47*(1-Assumptions!$B$171)*Assumptions!$B$27*Assumptions!$B$28)*L7/12,0)</f>
        <v/>
      </c>
      <c r="M59" s="55">
        <f>IF(M2&gt;=Assumptions!$B$53,(M58*Assumptions!$B$29*Assumptions!$B$30+M45*M47*(1-Assumptions!$B$171)*Assumptions!$B$27*Assumptions!$B$28)*M7/12,0)</f>
        <v/>
      </c>
      <c r="N59" s="55">
        <f>IF(N2&gt;=Assumptions!$B$53,(N58*Assumptions!$B$29*Assumptions!$B$30+N45*N47*(1-Assumptions!$B$171)*Assumptions!$B$27*Assumptions!$B$28)*N7/12,0)</f>
        <v/>
      </c>
      <c r="O59" s="55">
        <f>IF(O2&gt;=Assumptions!$B$53,(O58*Assumptions!$B$29*Assumptions!$B$30+O45*O47*(1-Assumptions!$B$171)*Assumptions!$B$27*Assumptions!$B$28)*O7/12,0)</f>
        <v/>
      </c>
      <c r="P59" s="55">
        <f>IF(P2&gt;=Assumptions!$B$53,(P58*Assumptions!$B$29*Assumptions!$B$30+P45*P47*(1-Assumptions!$B$171)*Assumptions!$B$27*Assumptions!$B$28)*P7/12,0)</f>
        <v/>
      </c>
      <c r="Q59" s="55">
        <f>IF(Q2&gt;=Assumptions!$B$53,(Q58*Assumptions!$B$29*Assumptions!$B$30+Q45*Q47*(1-Assumptions!$B$171)*Assumptions!$B$27*Assumptions!$B$28)*Q7/12,0)</f>
        <v/>
      </c>
      <c r="R59" s="55">
        <f>IF(R2&gt;=Assumptions!$B$53,(R58*Assumptions!$B$29*Assumptions!$B$30+R45*R47*(1-Assumptions!$B$171)*Assumptions!$B$27*Assumptions!$B$28)*R7/12,0)</f>
        <v/>
      </c>
      <c r="S59" s="55">
        <f>IF(S2&gt;=Assumptions!$B$53,(S58*Assumptions!$B$29*Assumptions!$B$30+S45*S47*(1-Assumptions!$B$171)*Assumptions!$B$27*Assumptions!$B$28)*S7/12,0)</f>
        <v/>
      </c>
      <c r="T59" s="55">
        <f>IF(T2&gt;=Assumptions!$B$53,(T58*Assumptions!$B$29*Assumptions!$B$30+T45*T47*(1-Assumptions!$B$171)*Assumptions!$B$27*Assumptions!$B$28)*T7/12,0)</f>
        <v/>
      </c>
      <c r="U59" s="55">
        <f>IF(U2&gt;=Assumptions!$B$53,(U58*Assumptions!$B$29*Assumptions!$B$30+U45*U47*(1-Assumptions!$B$171)*Assumptions!$B$27*Assumptions!$B$28)*U7/12,0)</f>
        <v/>
      </c>
      <c r="V59" s="55">
        <f>IF(V2&gt;=Assumptions!$B$53,(V58*Assumptions!$B$29*Assumptions!$B$30+V45*V47*(1-Assumptions!$B$171)*Assumptions!$B$27*Assumptions!$B$28)*V7/12,0)</f>
        <v/>
      </c>
      <c r="W59" s="55">
        <f>IF(W2&gt;=Assumptions!$B$53,(W58*Assumptions!$B$29*Assumptions!$B$30+W45*W47*(1-Assumptions!$B$171)*Assumptions!$B$27*Assumptions!$B$28)*W7/12,0)</f>
        <v/>
      </c>
      <c r="X59" s="55">
        <f>IF(X2&gt;=Assumptions!$B$53,(X58*Assumptions!$B$29*Assumptions!$B$30+X45*X47*(1-Assumptions!$B$171)*Assumptions!$B$27*Assumptions!$B$28)*X7/12,0)</f>
        <v/>
      </c>
      <c r="Y59" s="55">
        <f>IF(Y2&gt;=Assumptions!$B$53,(Y58*Assumptions!$B$29*Assumptions!$B$30+Y45*Y47*(1-Assumptions!$B$171)*Assumptions!$B$27*Assumptions!$B$28)*Y7/12,0)</f>
        <v/>
      </c>
      <c r="Z59" s="55">
        <f>IF(Z2&gt;=Assumptions!$B$53,(Z58*Assumptions!$B$29*Assumptions!$B$30+Z45*Z47*(1-Assumptions!$B$171)*Assumptions!$B$27*Assumptions!$B$28)*Z7/12,0)</f>
        <v/>
      </c>
      <c r="AA59" s="55">
        <f>IF(AA2&gt;=Assumptions!$B$53,(AA58*Assumptions!$B$29*Assumptions!$B$30+AA45*AA47*(1-Assumptions!$B$171)*Assumptions!$B$27*Assumptions!$B$28)*AA7/12,0)</f>
        <v/>
      </c>
      <c r="AB59" s="55">
        <f>IF(AB2&gt;=Assumptions!$B$53,(AB58*Assumptions!$B$29*Assumptions!$B$30+AB45*AB47*(1-Assumptions!$B$171)*Assumptions!$B$27*Assumptions!$B$28)*AB7/12,0)</f>
        <v/>
      </c>
      <c r="AC59" s="55">
        <f>IF(AC2&gt;=Assumptions!$B$53,(AC58*Assumptions!$B$29*Assumptions!$B$30+AC45*AC47*(1-Assumptions!$B$171)*Assumptions!$B$27*Assumptions!$B$28)*AC7/12,0)</f>
        <v/>
      </c>
      <c r="AD59" s="55">
        <f>IF(AD2&gt;=Assumptions!$B$53,(AD58*Assumptions!$B$29*Assumptions!$B$30+AD45*AD47*(1-Assumptions!$B$171)*Assumptions!$B$27*Assumptions!$B$28)*AD7/12,0)</f>
        <v/>
      </c>
      <c r="AE59" s="55">
        <f>IF(AE2&gt;=Assumptions!$B$53,(AE58*Assumptions!$B$29*Assumptions!$B$30+AE45*AE47*(1-Assumptions!$B$171)*Assumptions!$B$27*Assumptions!$B$28)*AE7/12,0)</f>
        <v/>
      </c>
    </row>
    <row r="60">
      <c r="A60" s="6" t="inlineStr">
        <is>
          <t xml:space="preserve">  Redemption events (memo - drives cost, not revenue)</t>
        </is>
      </c>
      <c r="B60" s="23" t="inlineStr">
        <is>
          <t>events</t>
        </is>
      </c>
      <c r="C60" s="45">
        <f>IF(C2&gt;=Assumptions!$B$49,(C31+C33*Assumptions!$B$138)*Assumptions!$B$137*C7/12,0)</f>
        <v/>
      </c>
      <c r="D60" s="45">
        <f>IF(D2&gt;=Assumptions!$B$49,(D31+D33*Assumptions!$B$138)*Assumptions!$B$137*D7/12,0)</f>
        <v/>
      </c>
      <c r="E60" s="45">
        <f>IF(E2&gt;=Assumptions!$B$49,(E31+E33*Assumptions!$B$138)*Assumptions!$B$137*E7/12,0)</f>
        <v/>
      </c>
      <c r="F60" s="45">
        <f>IF(F2&gt;=Assumptions!$B$49,(F31+F33*Assumptions!$B$138)*Assumptions!$B$137*F7/12,0)</f>
        <v/>
      </c>
      <c r="G60" s="45">
        <f>IF(G2&gt;=Assumptions!$B$49,(G31+G33*Assumptions!$B$138)*Assumptions!$B$137*G7/12,0)</f>
        <v/>
      </c>
      <c r="H60" s="45">
        <f>IF(H2&gt;=Assumptions!$B$49,(H31+H33*Assumptions!$B$138)*Assumptions!$B$137*H7/12,0)</f>
        <v/>
      </c>
      <c r="I60" s="45">
        <f>IF(I2&gt;=Assumptions!$B$49,(I31+I33*Assumptions!$B$138)*Assumptions!$B$137*I7/12,0)</f>
        <v/>
      </c>
      <c r="J60" s="45">
        <f>IF(J2&gt;=Assumptions!$B$49,(J31+J33*Assumptions!$B$138)*Assumptions!$B$137*J7/12,0)</f>
        <v/>
      </c>
      <c r="K60" s="45">
        <f>IF(K2&gt;=Assumptions!$B$49,(K31+K33*Assumptions!$B$138)*Assumptions!$B$137*K7/12,0)</f>
        <v/>
      </c>
      <c r="L60" s="45">
        <f>IF(L2&gt;=Assumptions!$B$49,(L31+L33*Assumptions!$B$138)*Assumptions!$B$137*L7/12,0)</f>
        <v/>
      </c>
      <c r="M60" s="45">
        <f>IF(M2&gt;=Assumptions!$B$49,(M31+M33*Assumptions!$B$138)*Assumptions!$B$137*M7/12,0)</f>
        <v/>
      </c>
      <c r="N60" s="45">
        <f>IF(N2&gt;=Assumptions!$B$49,(N31+N33*Assumptions!$B$138)*Assumptions!$B$137*N7/12,0)</f>
        <v/>
      </c>
      <c r="O60" s="45">
        <f>IF(O2&gt;=Assumptions!$B$49,(O31+O33*Assumptions!$B$138)*Assumptions!$B$137*O7/12,0)</f>
        <v/>
      </c>
      <c r="P60" s="45">
        <f>IF(P2&gt;=Assumptions!$B$49,(P31+P33*Assumptions!$B$138)*Assumptions!$B$137*P7/12,0)</f>
        <v/>
      </c>
      <c r="Q60" s="45">
        <f>IF(Q2&gt;=Assumptions!$B$49,(Q31+Q33*Assumptions!$B$138)*Assumptions!$B$137*Q7/12,0)</f>
        <v/>
      </c>
      <c r="R60" s="45">
        <f>IF(R2&gt;=Assumptions!$B$49,(R31+R33*Assumptions!$B$138)*Assumptions!$B$137*R7/12,0)</f>
        <v/>
      </c>
      <c r="S60" s="45">
        <f>IF(S2&gt;=Assumptions!$B$49,(S31+S33*Assumptions!$B$138)*Assumptions!$B$137*S7/12,0)</f>
        <v/>
      </c>
      <c r="T60" s="45">
        <f>IF(T2&gt;=Assumptions!$B$49,(T31+T33*Assumptions!$B$138)*Assumptions!$B$137*T7/12,0)</f>
        <v/>
      </c>
      <c r="U60" s="45">
        <f>IF(U2&gt;=Assumptions!$B$49,(U31+U33*Assumptions!$B$138)*Assumptions!$B$137*U7/12,0)</f>
        <v/>
      </c>
      <c r="V60" s="45">
        <f>IF(V2&gt;=Assumptions!$B$49,(V31+V33*Assumptions!$B$138)*Assumptions!$B$137*V7/12,0)</f>
        <v/>
      </c>
      <c r="W60" s="45">
        <f>IF(W2&gt;=Assumptions!$B$49,(W31+W33*Assumptions!$B$138)*Assumptions!$B$137*W7/12,0)</f>
        <v/>
      </c>
      <c r="X60" s="45">
        <f>IF(X2&gt;=Assumptions!$B$49,(X31+X33*Assumptions!$B$138)*Assumptions!$B$137*X7/12,0)</f>
        <v/>
      </c>
      <c r="Y60" s="45">
        <f>IF(Y2&gt;=Assumptions!$B$49,(Y31+Y33*Assumptions!$B$138)*Assumptions!$B$137*Y7/12,0)</f>
        <v/>
      </c>
      <c r="Z60" s="45">
        <f>IF(Z2&gt;=Assumptions!$B$49,(Z31+Z33*Assumptions!$B$138)*Assumptions!$B$137*Z7/12,0)</f>
        <v/>
      </c>
      <c r="AA60" s="45">
        <f>IF(AA2&gt;=Assumptions!$B$49,(AA31+AA33*Assumptions!$B$138)*Assumptions!$B$137*AA7/12,0)</f>
        <v/>
      </c>
      <c r="AB60" s="45">
        <f>IF(AB2&gt;=Assumptions!$B$49,(AB31+AB33*Assumptions!$B$138)*Assumptions!$B$137*AB7/12,0)</f>
        <v/>
      </c>
      <c r="AC60" s="45">
        <f>IF(AC2&gt;=Assumptions!$B$49,(AC31+AC33*Assumptions!$B$138)*Assumptions!$B$137*AC7/12,0)</f>
        <v/>
      </c>
      <c r="AD60" s="45">
        <f>IF(AD2&gt;=Assumptions!$B$49,(AD31+AD33*Assumptions!$B$138)*Assumptions!$B$137*AD7/12,0)</f>
        <v/>
      </c>
      <c r="AE60" s="45">
        <f>IF(AE2&gt;=Assumptions!$B$49,(AE31+AE33*Assumptions!$B$138)*Assumptions!$B$137*AE7/12,0)</f>
        <v/>
      </c>
    </row>
    <row r="61">
      <c r="A61" s="3" t="inlineStr">
        <is>
          <t xml:space="preserve">  SUBTOTAL - UAE</t>
        </is>
      </c>
      <c r="B61" s="23" t="inlineStr">
        <is>
          <t>USD</t>
        </is>
      </c>
      <c r="C61" s="57">
        <f>C53+C54+C55+C56+C57+C59</f>
        <v/>
      </c>
      <c r="D61" s="57">
        <f>D53+D54+D55+D56+D57+D59</f>
        <v/>
      </c>
      <c r="E61" s="57">
        <f>E53+E54+E55+E56+E57+E59</f>
        <v/>
      </c>
      <c r="F61" s="57">
        <f>F53+F54+F55+F56+F57+F59</f>
        <v/>
      </c>
      <c r="G61" s="57">
        <f>G53+G54+G55+G56+G57+G59</f>
        <v/>
      </c>
      <c r="H61" s="57">
        <f>H53+H54+H55+H56+H57+H59</f>
        <v/>
      </c>
      <c r="I61" s="57">
        <f>I53+I54+I55+I56+I57+I59</f>
        <v/>
      </c>
      <c r="J61" s="57">
        <f>J53+J54+J55+J56+J57+J59</f>
        <v/>
      </c>
      <c r="K61" s="57">
        <f>K53+K54+K55+K56+K57+K59</f>
        <v/>
      </c>
      <c r="L61" s="57">
        <f>L53+L54+L55+L56+L57+L59</f>
        <v/>
      </c>
      <c r="M61" s="57">
        <f>M53+M54+M55+M56+M57+M59</f>
        <v/>
      </c>
      <c r="N61" s="57">
        <f>N53+N54+N55+N56+N57+N59</f>
        <v/>
      </c>
      <c r="O61" s="57">
        <f>O53+O54+O55+O56+O57+O59</f>
        <v/>
      </c>
      <c r="P61" s="57">
        <f>P53+P54+P55+P56+P57+P59</f>
        <v/>
      </c>
      <c r="Q61" s="57">
        <f>Q53+Q54+Q55+Q56+Q57+Q59</f>
        <v/>
      </c>
      <c r="R61" s="57">
        <f>R53+R54+R55+R56+R57+R59</f>
        <v/>
      </c>
      <c r="S61" s="57">
        <f>S53+S54+S55+S56+S57+S59</f>
        <v/>
      </c>
      <c r="T61" s="57">
        <f>T53+T54+T55+T56+T57+T59</f>
        <v/>
      </c>
      <c r="U61" s="57">
        <f>U53+U54+U55+U56+U57+U59</f>
        <v/>
      </c>
      <c r="V61" s="57">
        <f>V53+V54+V55+V56+V57+V59</f>
        <v/>
      </c>
      <c r="W61" s="57">
        <f>W53+W54+W55+W56+W57+W59</f>
        <v/>
      </c>
      <c r="X61" s="57">
        <f>X53+X54+X55+X56+X57+X59</f>
        <v/>
      </c>
      <c r="Y61" s="57">
        <f>Y53+Y54+Y55+Y56+Y57+Y59</f>
        <v/>
      </c>
      <c r="Z61" s="57">
        <f>Z53+Z54+Z55+Z56+Z57+Z59</f>
        <v/>
      </c>
      <c r="AA61" s="57">
        <f>AA53+AA54+AA55+AA56+AA57+AA59</f>
        <v/>
      </c>
      <c r="AB61" s="57">
        <f>AB53+AB54+AB55+AB56+AB57+AB59</f>
        <v/>
      </c>
      <c r="AC61" s="57">
        <f>AC53+AC54+AC55+AC56+AC57+AC59</f>
        <v/>
      </c>
      <c r="AD61" s="57">
        <f>AD53+AD54+AD55+AD56+AD57+AD59</f>
        <v/>
      </c>
      <c r="AE61" s="57">
        <f>AE53+AE54+AE55+AE56+AE57+AE59</f>
        <v/>
      </c>
    </row>
    <row r="63">
      <c r="A63" s="46" t="inlineStr">
        <is>
          <t>REGION: OMAN AND BAHRAIN</t>
        </is>
      </c>
      <c r="B63" s="47" t="n"/>
      <c r="C63" s="47" t="n"/>
      <c r="D63" s="47" t="n"/>
      <c r="E63" s="47" t="n"/>
      <c r="F63" s="47" t="n"/>
      <c r="G63" s="47" t="n"/>
      <c r="H63" s="47" t="n"/>
      <c r="I63" s="47" t="n"/>
      <c r="J63" s="47" t="n"/>
      <c r="K63" s="47" t="n"/>
      <c r="L63" s="47" t="n"/>
      <c r="M63" s="47" t="n"/>
      <c r="N63" s="47" t="n"/>
      <c r="O63" s="47" t="n"/>
      <c r="P63" s="47" t="n"/>
      <c r="Q63" s="47" t="n"/>
      <c r="R63" s="47" t="n"/>
      <c r="S63" s="47" t="n"/>
      <c r="T63" s="47" t="n"/>
      <c r="U63" s="47" t="n"/>
      <c r="V63" s="47" t="n"/>
      <c r="W63" s="47" t="n"/>
      <c r="X63" s="47" t="n"/>
      <c r="Y63" s="47" t="n"/>
      <c r="Z63" s="47" t="n"/>
      <c r="AA63" s="47" t="n"/>
      <c r="AB63" s="47" t="n"/>
      <c r="AC63" s="47" t="n"/>
      <c r="AD63" s="47" t="n"/>
      <c r="AE63" s="47" t="n"/>
    </row>
    <row r="64">
      <c r="A64" s="6" t="inlineStr">
        <is>
          <t xml:space="preserve">  Direct-driven (this market's budget at its own CAC)</t>
        </is>
      </c>
      <c r="B64" s="23" t="inlineStr">
        <is>
          <t>accounts</t>
        </is>
      </c>
      <c r="C64" s="53">
        <f>INDEX(Assumptions!$B$100:$B$106,C5)*Assumptions!$B$128/12*C7/Assumptions!$B$125*(1+Assumptions!$B$132)*IF(C2&gt;=Assumptions!$B$56,1,0)</f>
        <v/>
      </c>
      <c r="D64" s="53">
        <f>INDEX(Assumptions!$B$100:$B$106,D5)*Assumptions!$B$128/12*D7/Assumptions!$B$125*(1+Assumptions!$B$132)*IF(D2&gt;=Assumptions!$B$56,1,0)</f>
        <v/>
      </c>
      <c r="E64" s="53">
        <f>INDEX(Assumptions!$B$100:$B$106,E5)*Assumptions!$B$128/12*E7/Assumptions!$B$125*(1+Assumptions!$B$132)*IF(E2&gt;=Assumptions!$B$56,1,0)</f>
        <v/>
      </c>
      <c r="F64" s="53">
        <f>INDEX(Assumptions!$B$100:$B$106,F5)*Assumptions!$B$128/12*F7/Assumptions!$B$125*(1+Assumptions!$B$132)*IF(F2&gt;=Assumptions!$B$56,1,0)</f>
        <v/>
      </c>
      <c r="G64" s="53">
        <f>INDEX(Assumptions!$B$100:$B$106,G5)*Assumptions!$B$128/12*G7/Assumptions!$B$125*(1+Assumptions!$B$132)*IF(G2&gt;=Assumptions!$B$56,1,0)</f>
        <v/>
      </c>
      <c r="H64" s="53">
        <f>INDEX(Assumptions!$B$100:$B$106,H5)*Assumptions!$B$128/12*H7/Assumptions!$B$125*(1+Assumptions!$B$132)*IF(H2&gt;=Assumptions!$B$56,1,0)</f>
        <v/>
      </c>
      <c r="I64" s="53">
        <f>INDEX(Assumptions!$B$100:$B$106,I5)*Assumptions!$B$128/12*I7/Assumptions!$B$125*(1+Assumptions!$B$132)*IF(I2&gt;=Assumptions!$B$56,1,0)</f>
        <v/>
      </c>
      <c r="J64" s="53">
        <f>INDEX(Assumptions!$B$100:$B$106,J5)*Assumptions!$B$128/12*J7/Assumptions!$B$125*(1+Assumptions!$B$132)*IF(J2&gt;=Assumptions!$B$56,1,0)</f>
        <v/>
      </c>
      <c r="K64" s="53">
        <f>INDEX(Assumptions!$B$100:$B$106,K5)*Assumptions!$B$128/12*K7/Assumptions!$B$125*(1+Assumptions!$B$132)*IF(K2&gt;=Assumptions!$B$56,1,0)</f>
        <v/>
      </c>
      <c r="L64" s="53">
        <f>INDEX(Assumptions!$B$100:$B$106,L5)*Assumptions!$B$128/12*L7/Assumptions!$B$125*(1+Assumptions!$B$132)*IF(L2&gt;=Assumptions!$B$56,1,0)</f>
        <v/>
      </c>
      <c r="M64" s="53">
        <f>INDEX(Assumptions!$B$100:$B$106,M5)*Assumptions!$B$128/12*M7/Assumptions!$B$125*(1+Assumptions!$B$132)*IF(M2&gt;=Assumptions!$B$56,1,0)</f>
        <v/>
      </c>
      <c r="N64" s="53">
        <f>INDEX(Assumptions!$B$100:$B$106,N5)*Assumptions!$B$128/12*N7/Assumptions!$B$125*(1+Assumptions!$B$132)*IF(N2&gt;=Assumptions!$B$56,1,0)</f>
        <v/>
      </c>
      <c r="O64" s="53">
        <f>INDEX(Assumptions!$B$100:$B$106,O5)*Assumptions!$B$128/12*O7/Assumptions!$B$125*(1+Assumptions!$B$132)*IF(O2&gt;=Assumptions!$B$56,1,0)</f>
        <v/>
      </c>
      <c r="P64" s="53">
        <f>INDEX(Assumptions!$B$100:$B$106,P5)*Assumptions!$B$128/12*P7/Assumptions!$B$125*(1+Assumptions!$B$132)*IF(P2&gt;=Assumptions!$B$56,1,0)</f>
        <v/>
      </c>
      <c r="Q64" s="53">
        <f>INDEX(Assumptions!$B$100:$B$106,Q5)*Assumptions!$B$128/12*Q7/Assumptions!$B$125*(1+Assumptions!$B$132)*IF(Q2&gt;=Assumptions!$B$56,1,0)</f>
        <v/>
      </c>
      <c r="R64" s="53">
        <f>INDEX(Assumptions!$B$100:$B$106,R5)*Assumptions!$B$128/12*R7/Assumptions!$B$125*(1+Assumptions!$B$132)*IF(R2&gt;=Assumptions!$B$56,1,0)</f>
        <v/>
      </c>
      <c r="S64" s="53">
        <f>INDEX(Assumptions!$B$100:$B$106,S5)*Assumptions!$B$128/12*S7/Assumptions!$B$125*(1+Assumptions!$B$132)*IF(S2&gt;=Assumptions!$B$56,1,0)</f>
        <v/>
      </c>
      <c r="T64" s="53">
        <f>INDEX(Assumptions!$B$100:$B$106,T5)*Assumptions!$B$128/12*T7/Assumptions!$B$125*(1+Assumptions!$B$132)*IF(T2&gt;=Assumptions!$B$56,1,0)</f>
        <v/>
      </c>
      <c r="U64" s="53">
        <f>INDEX(Assumptions!$B$100:$B$106,U5)*Assumptions!$B$128/12*U7/Assumptions!$B$125*(1+Assumptions!$B$132)*IF(U2&gt;=Assumptions!$B$56,1,0)</f>
        <v/>
      </c>
      <c r="V64" s="53">
        <f>INDEX(Assumptions!$B$100:$B$106,V5)*Assumptions!$B$128/12*V7/Assumptions!$B$125*(1+Assumptions!$B$132)*IF(V2&gt;=Assumptions!$B$56,1,0)</f>
        <v/>
      </c>
      <c r="W64" s="53">
        <f>INDEX(Assumptions!$B$100:$B$106,W5)*Assumptions!$B$128/12*W7/Assumptions!$B$125*(1+Assumptions!$B$132)*IF(W2&gt;=Assumptions!$B$56,1,0)</f>
        <v/>
      </c>
      <c r="X64" s="53">
        <f>INDEX(Assumptions!$B$100:$B$106,X5)*Assumptions!$B$128/12*X7/Assumptions!$B$125*(1+Assumptions!$B$132)*IF(X2&gt;=Assumptions!$B$56,1,0)</f>
        <v/>
      </c>
      <c r="Y64" s="53">
        <f>INDEX(Assumptions!$B$100:$B$106,Y5)*Assumptions!$B$128/12*Y7/Assumptions!$B$125*(1+Assumptions!$B$132)*IF(Y2&gt;=Assumptions!$B$56,1,0)</f>
        <v/>
      </c>
      <c r="Z64" s="53">
        <f>INDEX(Assumptions!$B$100:$B$106,Z5)*Assumptions!$B$128/12*Z7/Assumptions!$B$125*(1+Assumptions!$B$132)*IF(Z2&gt;=Assumptions!$B$56,1,0)</f>
        <v/>
      </c>
      <c r="AA64" s="53">
        <f>INDEX(Assumptions!$B$100:$B$106,AA5)*Assumptions!$B$128/12*AA7/Assumptions!$B$125*(1+Assumptions!$B$132)*IF(AA2&gt;=Assumptions!$B$56,1,0)</f>
        <v/>
      </c>
      <c r="AB64" s="53">
        <f>INDEX(Assumptions!$B$100:$B$106,AB5)*Assumptions!$B$128/12*AB7/Assumptions!$B$125*(1+Assumptions!$B$132)*IF(AB2&gt;=Assumptions!$B$56,1,0)</f>
        <v/>
      </c>
      <c r="AC64" s="53">
        <f>INDEX(Assumptions!$B$100:$B$106,AC5)*Assumptions!$B$128/12*AC7/Assumptions!$B$125*(1+Assumptions!$B$132)*IF(AC2&gt;=Assumptions!$B$56,1,0)</f>
        <v/>
      </c>
      <c r="AD64" s="53">
        <f>INDEX(Assumptions!$B$100:$B$106,AD5)*Assumptions!$B$128/12*AD7/Assumptions!$B$125*(1+Assumptions!$B$132)*IF(AD2&gt;=Assumptions!$B$56,1,0)</f>
        <v/>
      </c>
      <c r="AE64" s="53">
        <f>INDEX(Assumptions!$B$100:$B$106,AE5)*Assumptions!$B$128/12*AE7/Assumptions!$B$125*(1+Assumptions!$B$132)*IF(AE2&gt;=Assumptions!$B$56,1,0)</f>
        <v/>
      </c>
    </row>
    <row r="65">
      <c r="A65" s="6" t="inlineStr">
        <is>
          <t xml:space="preserve">  Referral-driven (from this market's own base)</t>
        </is>
      </c>
      <c r="B65" s="23" t="inlineStr">
        <is>
          <t>accounts</t>
        </is>
      </c>
      <c r="C65" s="54" t="n">
        <v>0</v>
      </c>
      <c r="D65" s="54">
        <f>IF(D2&gt;=Assumptions!$B$55,C69*Assumptions!$B$130/12*Assumptions!$B$131*D7,0)</f>
        <v/>
      </c>
      <c r="E65" s="54">
        <f>IF(E2&gt;=Assumptions!$B$55,D69*Assumptions!$B$130/12*Assumptions!$B$131*E7,0)</f>
        <v/>
      </c>
      <c r="F65" s="54">
        <f>IF(F2&gt;=Assumptions!$B$55,E69*Assumptions!$B$130/12*Assumptions!$B$131*F7,0)</f>
        <v/>
      </c>
      <c r="G65" s="54">
        <f>IF(G2&gt;=Assumptions!$B$55,F69*Assumptions!$B$130/12*Assumptions!$B$131*G7,0)</f>
        <v/>
      </c>
      <c r="H65" s="54">
        <f>IF(H2&gt;=Assumptions!$B$55,G69*Assumptions!$B$130/12*Assumptions!$B$131*H7,0)</f>
        <v/>
      </c>
      <c r="I65" s="54">
        <f>IF(I2&gt;=Assumptions!$B$55,H69*Assumptions!$B$130/12*Assumptions!$B$131*I7,0)</f>
        <v/>
      </c>
      <c r="J65" s="54">
        <f>IF(J2&gt;=Assumptions!$B$55,I69*Assumptions!$B$130/12*Assumptions!$B$131*J7,0)</f>
        <v/>
      </c>
      <c r="K65" s="54">
        <f>IF(K2&gt;=Assumptions!$B$55,J69*Assumptions!$B$130/12*Assumptions!$B$131*K7,0)</f>
        <v/>
      </c>
      <c r="L65" s="54">
        <f>IF(L2&gt;=Assumptions!$B$55,K69*Assumptions!$B$130/12*Assumptions!$B$131*L7,0)</f>
        <v/>
      </c>
      <c r="M65" s="54">
        <f>IF(M2&gt;=Assumptions!$B$55,L69*Assumptions!$B$130/12*Assumptions!$B$131*M7,0)</f>
        <v/>
      </c>
      <c r="N65" s="54">
        <f>IF(N2&gt;=Assumptions!$B$55,M69*Assumptions!$B$130/12*Assumptions!$B$131*N7,0)</f>
        <v/>
      </c>
      <c r="O65" s="54">
        <f>IF(O2&gt;=Assumptions!$B$55,N69*Assumptions!$B$130/12*Assumptions!$B$131*O7,0)</f>
        <v/>
      </c>
      <c r="P65" s="54">
        <f>IF(P2&gt;=Assumptions!$B$55,O69*Assumptions!$B$130/12*Assumptions!$B$131*P7,0)</f>
        <v/>
      </c>
      <c r="Q65" s="54">
        <f>IF(Q2&gt;=Assumptions!$B$55,P69*Assumptions!$B$130/12*Assumptions!$B$131*Q7,0)</f>
        <v/>
      </c>
      <c r="R65" s="54">
        <f>IF(R2&gt;=Assumptions!$B$55,Q69*Assumptions!$B$130/12*Assumptions!$B$131*R7,0)</f>
        <v/>
      </c>
      <c r="S65" s="54">
        <f>IF(S2&gt;=Assumptions!$B$55,R69*Assumptions!$B$130/12*Assumptions!$B$131*S7,0)</f>
        <v/>
      </c>
      <c r="T65" s="54">
        <f>IF(T2&gt;=Assumptions!$B$55,S69*Assumptions!$B$130/12*Assumptions!$B$131*T7,0)</f>
        <v/>
      </c>
      <c r="U65" s="54">
        <f>IF(U2&gt;=Assumptions!$B$55,T69*Assumptions!$B$130/12*Assumptions!$B$131*U7,0)</f>
        <v/>
      </c>
      <c r="V65" s="54">
        <f>IF(V2&gt;=Assumptions!$B$55,U69*Assumptions!$B$130/12*Assumptions!$B$131*V7,0)</f>
        <v/>
      </c>
      <c r="W65" s="54">
        <f>IF(W2&gt;=Assumptions!$B$55,V69*Assumptions!$B$130/12*Assumptions!$B$131*W7,0)</f>
        <v/>
      </c>
      <c r="X65" s="54">
        <f>IF(X2&gt;=Assumptions!$B$55,W69*Assumptions!$B$130/12*Assumptions!$B$131*X7,0)</f>
        <v/>
      </c>
      <c r="Y65" s="54">
        <f>IF(Y2&gt;=Assumptions!$B$55,X69*Assumptions!$B$130/12*Assumptions!$B$131*Y7,0)</f>
        <v/>
      </c>
      <c r="Z65" s="54">
        <f>IF(Z2&gt;=Assumptions!$B$55,Y69*Assumptions!$B$130/12*Assumptions!$B$131*Z7,0)</f>
        <v/>
      </c>
      <c r="AA65" s="54">
        <f>IF(AA2&gt;=Assumptions!$B$55,Z69*Assumptions!$B$130/12*Assumptions!$B$131*AA7,0)</f>
        <v/>
      </c>
      <c r="AB65" s="54">
        <f>IF(AB2&gt;=Assumptions!$B$55,AA69*Assumptions!$B$130/12*Assumptions!$B$131*AB7,0)</f>
        <v/>
      </c>
      <c r="AC65" s="54">
        <f>IF(AC2&gt;=Assumptions!$B$55,AB69*Assumptions!$B$130/12*Assumptions!$B$131*AC7,0)</f>
        <v/>
      </c>
      <c r="AD65" s="54">
        <f>IF(AD2&gt;=Assumptions!$B$55,AC69*Assumptions!$B$130/12*Assumptions!$B$131*AD7,0)</f>
        <v/>
      </c>
      <c r="AE65" s="54">
        <f>IF(AE2&gt;=Assumptions!$B$55,AD69*Assumptions!$B$130/12*Assumptions!$B$131*AE7,0)</f>
        <v/>
      </c>
    </row>
    <row r="66">
      <c r="A66" s="6" t="inlineStr">
        <is>
          <t xml:space="preserve">  Raw demand</t>
        </is>
      </c>
      <c r="B66" s="23" t="inlineStr">
        <is>
          <t>accounts</t>
        </is>
      </c>
      <c r="C66" s="54">
        <f>C64+C65+IF(C23=0,0,C20*Assumptions!$B$115/C23*IF(C2&gt;=Assumptions!$B$56,1,0))</f>
        <v/>
      </c>
      <c r="D66" s="54">
        <f>D64+D65+IF(D23=0,0,D20*Assumptions!$B$115/D23*IF(D2&gt;=Assumptions!$B$56,1,0))</f>
        <v/>
      </c>
      <c r="E66" s="54">
        <f>E64+E65+IF(E23=0,0,E20*Assumptions!$B$115/E23*IF(E2&gt;=Assumptions!$B$56,1,0))</f>
        <v/>
      </c>
      <c r="F66" s="54">
        <f>F64+F65+IF(F23=0,0,F20*Assumptions!$B$115/F23*IF(F2&gt;=Assumptions!$B$56,1,0))</f>
        <v/>
      </c>
      <c r="G66" s="54">
        <f>G64+G65+IF(G23=0,0,G20*Assumptions!$B$115/G23*IF(G2&gt;=Assumptions!$B$56,1,0))</f>
        <v/>
      </c>
      <c r="H66" s="54">
        <f>H64+H65+IF(H23=0,0,H20*Assumptions!$B$115/H23*IF(H2&gt;=Assumptions!$B$56,1,0))</f>
        <v/>
      </c>
      <c r="I66" s="54">
        <f>I64+I65+IF(I23=0,0,I20*Assumptions!$B$115/I23*IF(I2&gt;=Assumptions!$B$56,1,0))</f>
        <v/>
      </c>
      <c r="J66" s="54">
        <f>J64+J65+IF(J23=0,0,J20*Assumptions!$B$115/J23*IF(J2&gt;=Assumptions!$B$56,1,0))</f>
        <v/>
      </c>
      <c r="K66" s="54">
        <f>K64+K65+IF(K23=0,0,K20*Assumptions!$B$115/K23*IF(K2&gt;=Assumptions!$B$56,1,0))</f>
        <v/>
      </c>
      <c r="L66" s="54">
        <f>L64+L65+IF(L23=0,0,L20*Assumptions!$B$115/L23*IF(L2&gt;=Assumptions!$B$56,1,0))</f>
        <v/>
      </c>
      <c r="M66" s="54">
        <f>M64+M65+IF(M23=0,0,M20*Assumptions!$B$115/M23*IF(M2&gt;=Assumptions!$B$56,1,0))</f>
        <v/>
      </c>
      <c r="N66" s="54">
        <f>N64+N65+IF(N23=0,0,N20*Assumptions!$B$115/N23*IF(N2&gt;=Assumptions!$B$56,1,0))</f>
        <v/>
      </c>
      <c r="O66" s="54">
        <f>O64+O65+IF(O23=0,0,O20*Assumptions!$B$115/O23*IF(O2&gt;=Assumptions!$B$56,1,0))</f>
        <v/>
      </c>
      <c r="P66" s="54">
        <f>P64+P65+IF(P23=0,0,P20*Assumptions!$B$115/P23*IF(P2&gt;=Assumptions!$B$56,1,0))</f>
        <v/>
      </c>
      <c r="Q66" s="54">
        <f>Q64+Q65+IF(Q23=0,0,Q20*Assumptions!$B$115/Q23*IF(Q2&gt;=Assumptions!$B$56,1,0))</f>
        <v/>
      </c>
      <c r="R66" s="54">
        <f>R64+R65+IF(R23=0,0,R20*Assumptions!$B$115/R23*IF(R2&gt;=Assumptions!$B$56,1,0))</f>
        <v/>
      </c>
      <c r="S66" s="54">
        <f>S64+S65+IF(S23=0,0,S20*Assumptions!$B$115/S23*IF(S2&gt;=Assumptions!$B$56,1,0))</f>
        <v/>
      </c>
      <c r="T66" s="54">
        <f>T64+T65+IF(T23=0,0,T20*Assumptions!$B$115/T23*IF(T2&gt;=Assumptions!$B$56,1,0))</f>
        <v/>
      </c>
      <c r="U66" s="54">
        <f>U64+U65+IF(U23=0,0,U20*Assumptions!$B$115/U23*IF(U2&gt;=Assumptions!$B$56,1,0))</f>
        <v/>
      </c>
      <c r="V66" s="54">
        <f>V64+V65+IF(V23=0,0,V20*Assumptions!$B$115/V23*IF(V2&gt;=Assumptions!$B$56,1,0))</f>
        <v/>
      </c>
      <c r="W66" s="54">
        <f>W64+W65+IF(W23=0,0,W20*Assumptions!$B$115/W23*IF(W2&gt;=Assumptions!$B$56,1,0))</f>
        <v/>
      </c>
      <c r="X66" s="54">
        <f>X64+X65+IF(X23=0,0,X20*Assumptions!$B$115/X23*IF(X2&gt;=Assumptions!$B$56,1,0))</f>
        <v/>
      </c>
      <c r="Y66" s="54">
        <f>Y64+Y65+IF(Y23=0,0,Y20*Assumptions!$B$115/Y23*IF(Y2&gt;=Assumptions!$B$56,1,0))</f>
        <v/>
      </c>
      <c r="Z66" s="54">
        <f>Z64+Z65+IF(Z23=0,0,Z20*Assumptions!$B$115/Z23*IF(Z2&gt;=Assumptions!$B$56,1,0))</f>
        <v/>
      </c>
      <c r="AA66" s="54">
        <f>AA64+AA65+IF(AA23=0,0,AA20*Assumptions!$B$115/AA23*IF(AA2&gt;=Assumptions!$B$56,1,0))</f>
        <v/>
      </c>
      <c r="AB66" s="54">
        <f>AB64+AB65+IF(AB23=0,0,AB20*Assumptions!$B$115/AB23*IF(AB2&gt;=Assumptions!$B$56,1,0))</f>
        <v/>
      </c>
      <c r="AC66" s="54">
        <f>AC64+AC65+IF(AC23=0,0,AC20*Assumptions!$B$115/AC23*IF(AC2&gt;=Assumptions!$B$56,1,0))</f>
        <v/>
      </c>
      <c r="AD66" s="54">
        <f>AD64+AD65+IF(AD23=0,0,AD20*Assumptions!$B$115/AD23*IF(AD2&gt;=Assumptions!$B$56,1,0))</f>
        <v/>
      </c>
      <c r="AE66" s="54">
        <f>AE64+AE65+IF(AE23=0,0,AE20*Assumptions!$B$115/AE23*IF(AE2&gt;=Assumptions!$B$56,1,0))</f>
        <v/>
      </c>
    </row>
    <row r="67">
      <c r="A67" s="6" t="inlineStr">
        <is>
          <t xml:space="preserve">  Saturation (this region's own headroom)</t>
        </is>
      </c>
      <c r="B67" s="23" t="inlineStr">
        <is>
          <t>x</t>
        </is>
      </c>
      <c r="C67" s="51" t="n">
        <v>1</v>
      </c>
      <c r="D67" s="51">
        <f>MAX(0,1-C72/Assumptions!$B$85)</f>
        <v/>
      </c>
      <c r="E67" s="51">
        <f>MAX(0,1-D72/Assumptions!$B$85)</f>
        <v/>
      </c>
      <c r="F67" s="51">
        <f>MAX(0,1-E72/Assumptions!$B$85)</f>
        <v/>
      </c>
      <c r="G67" s="51">
        <f>MAX(0,1-F72/Assumptions!$B$85)</f>
        <v/>
      </c>
      <c r="H67" s="51">
        <f>MAX(0,1-G72/Assumptions!$B$85)</f>
        <v/>
      </c>
      <c r="I67" s="51">
        <f>MAX(0,1-H72/Assumptions!$B$85)</f>
        <v/>
      </c>
      <c r="J67" s="51">
        <f>MAX(0,1-I72/Assumptions!$B$85)</f>
        <v/>
      </c>
      <c r="K67" s="51">
        <f>MAX(0,1-J72/Assumptions!$B$85)</f>
        <v/>
      </c>
      <c r="L67" s="51">
        <f>MAX(0,1-K72/Assumptions!$B$85)</f>
        <v/>
      </c>
      <c r="M67" s="51">
        <f>MAX(0,1-L72/Assumptions!$B$85)</f>
        <v/>
      </c>
      <c r="N67" s="51">
        <f>MAX(0,1-M72/Assumptions!$B$85)</f>
        <v/>
      </c>
      <c r="O67" s="51">
        <f>MAX(0,1-N72/Assumptions!$B$85)</f>
        <v/>
      </c>
      <c r="P67" s="51">
        <f>MAX(0,1-O72/Assumptions!$B$85)</f>
        <v/>
      </c>
      <c r="Q67" s="51">
        <f>MAX(0,1-P72/Assumptions!$B$85)</f>
        <v/>
      </c>
      <c r="R67" s="51">
        <f>MAX(0,1-Q72/Assumptions!$B$85)</f>
        <v/>
      </c>
      <c r="S67" s="51">
        <f>MAX(0,1-R72/Assumptions!$B$85)</f>
        <v/>
      </c>
      <c r="T67" s="51">
        <f>MAX(0,1-S72/Assumptions!$B$85)</f>
        <v/>
      </c>
      <c r="U67" s="51">
        <f>MAX(0,1-T72/Assumptions!$B$85)</f>
        <v/>
      </c>
      <c r="V67" s="51">
        <f>MAX(0,1-U72/Assumptions!$B$85)</f>
        <v/>
      </c>
      <c r="W67" s="51">
        <f>MAX(0,1-V72/Assumptions!$B$85)</f>
        <v/>
      </c>
      <c r="X67" s="51">
        <f>MAX(0,1-W72/Assumptions!$B$85)</f>
        <v/>
      </c>
      <c r="Y67" s="51">
        <f>MAX(0,1-X72/Assumptions!$B$85)</f>
        <v/>
      </c>
      <c r="Z67" s="51">
        <f>MAX(0,1-Y72/Assumptions!$B$85)</f>
        <v/>
      </c>
      <c r="AA67" s="51">
        <f>MAX(0,1-Z72/Assumptions!$B$85)</f>
        <v/>
      </c>
      <c r="AB67" s="51">
        <f>MAX(0,1-AA72/Assumptions!$B$85)</f>
        <v/>
      </c>
      <c r="AC67" s="51">
        <f>MAX(0,1-AB72/Assumptions!$B$85)</f>
        <v/>
      </c>
      <c r="AD67" s="51">
        <f>MAX(0,1-AC72/Assumptions!$B$85)</f>
        <v/>
      </c>
      <c r="AE67" s="51">
        <f>MAX(0,1-AD72/Assumptions!$B$85)</f>
        <v/>
      </c>
    </row>
    <row r="68">
      <c r="A68" s="6" t="inlineStr">
        <is>
          <t xml:space="preserve">  New customers</t>
        </is>
      </c>
      <c r="B68" s="23" t="inlineStr">
        <is>
          <t>accounts</t>
        </is>
      </c>
      <c r="C68" s="54">
        <f>C66*C67*C15</f>
        <v/>
      </c>
      <c r="D68" s="54">
        <f>D66*D67*D15</f>
        <v/>
      </c>
      <c r="E68" s="54">
        <f>E66*E67*E15</f>
        <v/>
      </c>
      <c r="F68" s="54">
        <f>F66*F67*F15</f>
        <v/>
      </c>
      <c r="G68" s="54">
        <f>G66*G67*G15</f>
        <v/>
      </c>
      <c r="H68" s="54">
        <f>H66*H67*H15</f>
        <v/>
      </c>
      <c r="I68" s="54">
        <f>I66*I67*I15</f>
        <v/>
      </c>
      <c r="J68" s="54">
        <f>J66*J67*J15</f>
        <v/>
      </c>
      <c r="K68" s="54">
        <f>K66*K67*K15</f>
        <v/>
      </c>
      <c r="L68" s="54">
        <f>L66*L67*L15</f>
        <v/>
      </c>
      <c r="M68" s="54">
        <f>M66*M67*M15</f>
        <v/>
      </c>
      <c r="N68" s="54">
        <f>N66*N67*N15</f>
        <v/>
      </c>
      <c r="O68" s="54">
        <f>O66*O67*O15</f>
        <v/>
      </c>
      <c r="P68" s="54">
        <f>P66*P67*P15</f>
        <v/>
      </c>
      <c r="Q68" s="54">
        <f>Q66*Q67*Q15</f>
        <v/>
      </c>
      <c r="R68" s="54">
        <f>R66*R67*R15</f>
        <v/>
      </c>
      <c r="S68" s="54">
        <f>S66*S67*S15</f>
        <v/>
      </c>
      <c r="T68" s="54">
        <f>T66*T67*T15</f>
        <v/>
      </c>
      <c r="U68" s="54">
        <f>U66*U67*U15</f>
        <v/>
      </c>
      <c r="V68" s="54">
        <f>V66*V67*V15</f>
        <v/>
      </c>
      <c r="W68" s="54">
        <f>W66*W67*W15</f>
        <v/>
      </c>
      <c r="X68" s="54">
        <f>X66*X67*X15</f>
        <v/>
      </c>
      <c r="Y68" s="54">
        <f>Y66*Y67*Y15</f>
        <v/>
      </c>
      <c r="Z68" s="54">
        <f>Z66*Z67*Z15</f>
        <v/>
      </c>
      <c r="AA68" s="54">
        <f>AA66*AA67*AA15</f>
        <v/>
      </c>
      <c r="AB68" s="54">
        <f>AB66*AB67*AB15</f>
        <v/>
      </c>
      <c r="AC68" s="54">
        <f>AC66*AC67*AC15</f>
        <v/>
      </c>
      <c r="AD68" s="54">
        <f>AD66*AD67*AD15</f>
        <v/>
      </c>
      <c r="AE68" s="54">
        <f>AE66*AE67*AE15</f>
        <v/>
      </c>
    </row>
    <row r="69">
      <c r="A69" s="6" t="inlineStr">
        <is>
          <t xml:space="preserve">  Paying customers</t>
        </is>
      </c>
      <c r="B69" s="23" t="inlineStr">
        <is>
          <t>accounts</t>
        </is>
      </c>
      <c r="C69" s="28">
        <f>C68*(1-Assumptions!$B$122)^(C7/2)</f>
        <v/>
      </c>
      <c r="D69" s="28">
        <f>C69*(1-Assumptions!$B$122)^D7+D68*(1-Assumptions!$B$122)^(D7/2)</f>
        <v/>
      </c>
      <c r="E69" s="28">
        <f>D69*(1-Assumptions!$B$122)^E7+E68*(1-Assumptions!$B$122)^(E7/2)</f>
        <v/>
      </c>
      <c r="F69" s="28">
        <f>E69*(1-Assumptions!$B$122)^F7+F68*(1-Assumptions!$B$122)^(F7/2)</f>
        <v/>
      </c>
      <c r="G69" s="28">
        <f>F69*(1-Assumptions!$B$122)^G7+G68*(1-Assumptions!$B$122)^(G7/2)</f>
        <v/>
      </c>
      <c r="H69" s="28">
        <f>G69*(1-Assumptions!$B$122)^H7+H68*(1-Assumptions!$B$122)^(H7/2)</f>
        <v/>
      </c>
      <c r="I69" s="28">
        <f>H69*(1-Assumptions!$B$122)^I7+I68*(1-Assumptions!$B$122)^(I7/2)</f>
        <v/>
      </c>
      <c r="J69" s="28">
        <f>I69*(1-Assumptions!$B$122)^J7+J68*(1-Assumptions!$B$122)^(J7/2)</f>
        <v/>
      </c>
      <c r="K69" s="28">
        <f>J69*(1-Assumptions!$B$122)^K7+K68*(1-Assumptions!$B$122)^(K7/2)</f>
        <v/>
      </c>
      <c r="L69" s="28">
        <f>K69*(1-Assumptions!$B$122)^L7+L68*(1-Assumptions!$B$122)^(L7/2)</f>
        <v/>
      </c>
      <c r="M69" s="28">
        <f>L69*(1-Assumptions!$B$122)^M7+M68*(1-Assumptions!$B$122)^(M7/2)</f>
        <v/>
      </c>
      <c r="N69" s="28">
        <f>M69*(1-Assumptions!$B$122)^N7+N68*(1-Assumptions!$B$122)^(N7/2)</f>
        <v/>
      </c>
      <c r="O69" s="28">
        <f>N69*(1-Assumptions!$B$122)^O7+O68*(1-Assumptions!$B$122)^(O7/2)</f>
        <v/>
      </c>
      <c r="P69" s="28">
        <f>O69*(1-Assumptions!$B$122)^P7+P68*(1-Assumptions!$B$122)^(P7/2)</f>
        <v/>
      </c>
      <c r="Q69" s="28">
        <f>P69*(1-Assumptions!$B$122)^Q7+Q68*(1-Assumptions!$B$122)^(Q7/2)</f>
        <v/>
      </c>
      <c r="R69" s="28">
        <f>Q69*(1-Assumptions!$B$122)^R7+R68*(1-Assumptions!$B$122)^(R7/2)</f>
        <v/>
      </c>
      <c r="S69" s="28">
        <f>R69*(1-Assumptions!$B$122)^S7+S68*(1-Assumptions!$B$122)^(S7/2)</f>
        <v/>
      </c>
      <c r="T69" s="28">
        <f>S69*(1-Assumptions!$B$122)^T7+T68*(1-Assumptions!$B$122)^(T7/2)</f>
        <v/>
      </c>
      <c r="U69" s="28">
        <f>T69*(1-Assumptions!$B$122)^U7+U68*(1-Assumptions!$B$122)^(U7/2)</f>
        <v/>
      </c>
      <c r="V69" s="28">
        <f>U69*(1-Assumptions!$B$122)^V7+V68*(1-Assumptions!$B$122)^(V7/2)</f>
        <v/>
      </c>
      <c r="W69" s="28">
        <f>V69*(1-Assumptions!$B$122)^W7+W68*(1-Assumptions!$B$122)^(W7/2)</f>
        <v/>
      </c>
      <c r="X69" s="28">
        <f>W69*(1-Assumptions!$B$122)^X7+X68*(1-Assumptions!$B$122)^(X7/2)</f>
        <v/>
      </c>
      <c r="Y69" s="28">
        <f>X69*(1-Assumptions!$B$122)^Y7+Y68*(1-Assumptions!$B$122)^(Y7/2)</f>
        <v/>
      </c>
      <c r="Z69" s="28">
        <f>Y69*(1-Assumptions!$B$122)^Z7+Z68*(1-Assumptions!$B$122)^(Z7/2)</f>
        <v/>
      </c>
      <c r="AA69" s="28">
        <f>Z69*(1-Assumptions!$B$122)^AA7+AA68*(1-Assumptions!$B$122)^(AA7/2)</f>
        <v/>
      </c>
      <c r="AB69" s="28">
        <f>AA69*(1-Assumptions!$B$122)^AB7+AB68*(1-Assumptions!$B$122)^(AB7/2)</f>
        <v/>
      </c>
      <c r="AC69" s="28">
        <f>AB69*(1-Assumptions!$B$122)^AC7+AC68*(1-Assumptions!$B$122)^(AC7/2)</f>
        <v/>
      </c>
      <c r="AD69" s="28">
        <f>AC69*(1-Assumptions!$B$122)^AD7+AD68*(1-Assumptions!$B$122)^(AD7/2)</f>
        <v/>
      </c>
      <c r="AE69" s="28">
        <f>AD69*(1-Assumptions!$B$122)^AE7+AE68*(1-Assumptions!$B$122)^(AE7/2)</f>
        <v/>
      </c>
    </row>
    <row r="70">
      <c r="A70" s="6" t="inlineStr">
        <is>
          <t xml:space="preserve">  Churned this period</t>
        </is>
      </c>
      <c r="B70" s="23" t="inlineStr">
        <is>
          <t>accounts</t>
        </is>
      </c>
      <c r="C70" s="54">
        <f>C68-C69</f>
        <v/>
      </c>
      <c r="D70" s="54">
        <f>C69+D68-D69</f>
        <v/>
      </c>
      <c r="E70" s="54">
        <f>D69+E68-E69</f>
        <v/>
      </c>
      <c r="F70" s="54">
        <f>E69+F68-F69</f>
        <v/>
      </c>
      <c r="G70" s="54">
        <f>F69+G68-G69</f>
        <v/>
      </c>
      <c r="H70" s="54">
        <f>G69+H68-H69</f>
        <v/>
      </c>
      <c r="I70" s="54">
        <f>H69+I68-I69</f>
        <v/>
      </c>
      <c r="J70" s="54">
        <f>I69+J68-J69</f>
        <v/>
      </c>
      <c r="K70" s="54">
        <f>J69+K68-K69</f>
        <v/>
      </c>
      <c r="L70" s="54">
        <f>K69+L68-L69</f>
        <v/>
      </c>
      <c r="M70" s="54">
        <f>L69+M68-M69</f>
        <v/>
      </c>
      <c r="N70" s="54">
        <f>M69+N68-N69</f>
        <v/>
      </c>
      <c r="O70" s="54">
        <f>N69+O68-O69</f>
        <v/>
      </c>
      <c r="P70" s="54">
        <f>O69+P68-P69</f>
        <v/>
      </c>
      <c r="Q70" s="54">
        <f>P69+Q68-Q69</f>
        <v/>
      </c>
      <c r="R70" s="54">
        <f>Q69+R68-R69</f>
        <v/>
      </c>
      <c r="S70" s="54">
        <f>R69+S68-S69</f>
        <v/>
      </c>
      <c r="T70" s="54">
        <f>S69+T68-T69</f>
        <v/>
      </c>
      <c r="U70" s="54">
        <f>T69+U68-U69</f>
        <v/>
      </c>
      <c r="V70" s="54">
        <f>U69+V68-V69</f>
        <v/>
      </c>
      <c r="W70" s="54">
        <f>V69+W68-W69</f>
        <v/>
      </c>
      <c r="X70" s="54">
        <f>W69+X68-X69</f>
        <v/>
      </c>
      <c r="Y70" s="54">
        <f>X69+Y68-Y69</f>
        <v/>
      </c>
      <c r="Z70" s="54">
        <f>Y69+Z68-Z69</f>
        <v/>
      </c>
      <c r="AA70" s="54">
        <f>Z69+AA68-AA69</f>
        <v/>
      </c>
      <c r="AB70" s="54">
        <f>AA69+AB68-AB69</f>
        <v/>
      </c>
      <c r="AC70" s="54">
        <f>AB69+AC68-AC69</f>
        <v/>
      </c>
      <c r="AD70" s="54">
        <f>AC69+AD68-AD69</f>
        <v/>
      </c>
      <c r="AE70" s="54">
        <f>AD69+AE68-AE69</f>
        <v/>
      </c>
    </row>
    <row r="71">
      <c r="A71" s="6" t="inlineStr">
        <is>
          <t xml:space="preserve">  Holders (stopped paying, still hold gold)</t>
        </is>
      </c>
      <c r="B71" s="23" t="inlineStr">
        <is>
          <t>accounts</t>
        </is>
      </c>
      <c r="C71" s="45">
        <f>C70</f>
        <v/>
      </c>
      <c r="D71" s="45">
        <f>C71+D70</f>
        <v/>
      </c>
      <c r="E71" s="45">
        <f>D71+E70</f>
        <v/>
      </c>
      <c r="F71" s="45">
        <f>E71+F70</f>
        <v/>
      </c>
      <c r="G71" s="45">
        <f>F71+G70</f>
        <v/>
      </c>
      <c r="H71" s="45">
        <f>G71+H70</f>
        <v/>
      </c>
      <c r="I71" s="45">
        <f>H71+I70</f>
        <v/>
      </c>
      <c r="J71" s="45">
        <f>I71+J70</f>
        <v/>
      </c>
      <c r="K71" s="45">
        <f>J71+K70</f>
        <v/>
      </c>
      <c r="L71" s="45">
        <f>K71+L70</f>
        <v/>
      </c>
      <c r="M71" s="45">
        <f>L71+M70</f>
        <v/>
      </c>
      <c r="N71" s="45">
        <f>M71+N70</f>
        <v/>
      </c>
      <c r="O71" s="45">
        <f>N71+O70</f>
        <v/>
      </c>
      <c r="P71" s="45">
        <f>O71+P70</f>
        <v/>
      </c>
      <c r="Q71" s="45">
        <f>P71+Q70</f>
        <v/>
      </c>
      <c r="R71" s="45">
        <f>Q71+R70</f>
        <v/>
      </c>
      <c r="S71" s="45">
        <f>R71+S70</f>
        <v/>
      </c>
      <c r="T71" s="45">
        <f>S71+T70</f>
        <v/>
      </c>
      <c r="U71" s="45">
        <f>T71+U70</f>
        <v/>
      </c>
      <c r="V71" s="45">
        <f>U71+V70</f>
        <v/>
      </c>
      <c r="W71" s="45">
        <f>V71+W70</f>
        <v/>
      </c>
      <c r="X71" s="45">
        <f>W71+X70</f>
        <v/>
      </c>
      <c r="Y71" s="45">
        <f>X71+Y70</f>
        <v/>
      </c>
      <c r="Z71" s="45">
        <f>Y71+Z70</f>
        <v/>
      </c>
      <c r="AA71" s="45">
        <f>Z71+AA70</f>
        <v/>
      </c>
      <c r="AB71" s="45">
        <f>AA71+AB70</f>
        <v/>
      </c>
      <c r="AC71" s="45">
        <f>AB71+AC70</f>
        <v/>
      </c>
      <c r="AD71" s="45">
        <f>AC71+AD70</f>
        <v/>
      </c>
      <c r="AE71" s="45">
        <f>AD71+AE70</f>
        <v/>
      </c>
    </row>
    <row r="72">
      <c r="A72" s="6" t="inlineStr">
        <is>
          <t xml:space="preserve">  Cumulative ever acquired</t>
        </is>
      </c>
      <c r="B72" s="23" t="inlineStr">
        <is>
          <t>accounts</t>
        </is>
      </c>
      <c r="C72" s="45">
        <f>C68</f>
        <v/>
      </c>
      <c r="D72" s="45">
        <f>C72+D68</f>
        <v/>
      </c>
      <c r="E72" s="45">
        <f>D72+E68</f>
        <v/>
      </c>
      <c r="F72" s="45">
        <f>E72+F68</f>
        <v/>
      </c>
      <c r="G72" s="45">
        <f>F72+G68</f>
        <v/>
      </c>
      <c r="H72" s="45">
        <f>G72+H68</f>
        <v/>
      </c>
      <c r="I72" s="45">
        <f>H72+I68</f>
        <v/>
      </c>
      <c r="J72" s="45">
        <f>I72+J68</f>
        <v/>
      </c>
      <c r="K72" s="45">
        <f>J72+K68</f>
        <v/>
      </c>
      <c r="L72" s="45">
        <f>K72+L68</f>
        <v/>
      </c>
      <c r="M72" s="45">
        <f>L72+M68</f>
        <v/>
      </c>
      <c r="N72" s="45">
        <f>M72+N68</f>
        <v/>
      </c>
      <c r="O72" s="45">
        <f>N72+O68</f>
        <v/>
      </c>
      <c r="P72" s="45">
        <f>O72+P68</f>
        <v/>
      </c>
      <c r="Q72" s="45">
        <f>P72+Q68</f>
        <v/>
      </c>
      <c r="R72" s="45">
        <f>Q72+R68</f>
        <v/>
      </c>
      <c r="S72" s="45">
        <f>R72+S68</f>
        <v/>
      </c>
      <c r="T72" s="45">
        <f>S72+T68</f>
        <v/>
      </c>
      <c r="U72" s="45">
        <f>T72+U68</f>
        <v/>
      </c>
      <c r="V72" s="45">
        <f>U72+V68</f>
        <v/>
      </c>
      <c r="W72" s="45">
        <f>V72+W68</f>
        <v/>
      </c>
      <c r="X72" s="45">
        <f>W72+X68</f>
        <v/>
      </c>
      <c r="Y72" s="45">
        <f>X72+Y68</f>
        <v/>
      </c>
      <c r="Z72" s="45">
        <f>Y72+Z68</f>
        <v/>
      </c>
      <c r="AA72" s="45">
        <f>Z72+AA68</f>
        <v/>
      </c>
      <c r="AB72" s="45">
        <f>AA72+AB68</f>
        <v/>
      </c>
      <c r="AC72" s="45">
        <f>AB72+AC68</f>
        <v/>
      </c>
      <c r="AD72" s="45">
        <f>AC72+AD68</f>
        <v/>
      </c>
      <c r="AE72" s="45">
        <f>AD72+AE68</f>
        <v/>
      </c>
    </row>
    <row r="73">
      <c r="A73" s="6" t="inlineStr">
        <is>
          <t xml:space="preserve">  SIP contributions</t>
        </is>
      </c>
      <c r="B73" s="23" t="inlineStr">
        <is>
          <t>USD</t>
        </is>
      </c>
      <c r="C73" s="55">
        <f>IF(C2&gt;=Assumptions!$B$47,C69*Assumptions!$B$169*C7,0)</f>
        <v/>
      </c>
      <c r="D73" s="55">
        <f>IF(D2&gt;=Assumptions!$B$47,D69*Assumptions!$B$169*D7,0)</f>
        <v/>
      </c>
      <c r="E73" s="55">
        <f>IF(E2&gt;=Assumptions!$B$47,E69*Assumptions!$B$169*E7,0)</f>
        <v/>
      </c>
      <c r="F73" s="55">
        <f>IF(F2&gt;=Assumptions!$B$47,F69*Assumptions!$B$169*F7,0)</f>
        <v/>
      </c>
      <c r="G73" s="55">
        <f>IF(G2&gt;=Assumptions!$B$47,G69*Assumptions!$B$169*G7,0)</f>
        <v/>
      </c>
      <c r="H73" s="55">
        <f>IF(H2&gt;=Assumptions!$B$47,H69*Assumptions!$B$169*H7,0)</f>
        <v/>
      </c>
      <c r="I73" s="55">
        <f>IF(I2&gt;=Assumptions!$B$47,I69*Assumptions!$B$169*I7,0)</f>
        <v/>
      </c>
      <c r="J73" s="55">
        <f>IF(J2&gt;=Assumptions!$B$47,J69*Assumptions!$B$169*J7,0)</f>
        <v/>
      </c>
      <c r="K73" s="55">
        <f>IF(K2&gt;=Assumptions!$B$47,K69*Assumptions!$B$169*K7,0)</f>
        <v/>
      </c>
      <c r="L73" s="55">
        <f>IF(L2&gt;=Assumptions!$B$47,L69*Assumptions!$B$169*L7,0)</f>
        <v/>
      </c>
      <c r="M73" s="55">
        <f>IF(M2&gt;=Assumptions!$B$47,M69*Assumptions!$B$169*M7,0)</f>
        <v/>
      </c>
      <c r="N73" s="55">
        <f>IF(N2&gt;=Assumptions!$B$47,N69*Assumptions!$B$169*N7,0)</f>
        <v/>
      </c>
      <c r="O73" s="55">
        <f>IF(O2&gt;=Assumptions!$B$47,O69*Assumptions!$B$169*O7,0)</f>
        <v/>
      </c>
      <c r="P73" s="55">
        <f>IF(P2&gt;=Assumptions!$B$47,P69*Assumptions!$B$169*P7,0)</f>
        <v/>
      </c>
      <c r="Q73" s="55">
        <f>IF(Q2&gt;=Assumptions!$B$47,Q69*Assumptions!$B$169*Q7,0)</f>
        <v/>
      </c>
      <c r="R73" s="55">
        <f>IF(R2&gt;=Assumptions!$B$47,R69*Assumptions!$B$169*R7,0)</f>
        <v/>
      </c>
      <c r="S73" s="55">
        <f>IF(S2&gt;=Assumptions!$B$47,S69*Assumptions!$B$169*S7,0)</f>
        <v/>
      </c>
      <c r="T73" s="55">
        <f>IF(T2&gt;=Assumptions!$B$47,T69*Assumptions!$B$169*T7,0)</f>
        <v/>
      </c>
      <c r="U73" s="55">
        <f>IF(U2&gt;=Assumptions!$B$47,U69*Assumptions!$B$169*U7,0)</f>
        <v/>
      </c>
      <c r="V73" s="55">
        <f>IF(V2&gt;=Assumptions!$B$47,V69*Assumptions!$B$169*V7,0)</f>
        <v/>
      </c>
      <c r="W73" s="55">
        <f>IF(W2&gt;=Assumptions!$B$47,W69*Assumptions!$B$169*W7,0)</f>
        <v/>
      </c>
      <c r="X73" s="55">
        <f>IF(X2&gt;=Assumptions!$B$47,X69*Assumptions!$B$169*X7,0)</f>
        <v/>
      </c>
      <c r="Y73" s="55">
        <f>IF(Y2&gt;=Assumptions!$B$47,Y69*Assumptions!$B$169*Y7,0)</f>
        <v/>
      </c>
      <c r="Z73" s="55">
        <f>IF(Z2&gt;=Assumptions!$B$47,Z69*Assumptions!$B$169*Z7,0)</f>
        <v/>
      </c>
      <c r="AA73" s="55">
        <f>IF(AA2&gt;=Assumptions!$B$47,AA69*Assumptions!$B$169*AA7,0)</f>
        <v/>
      </c>
      <c r="AB73" s="55">
        <f>IF(AB2&gt;=Assumptions!$B$47,AB69*Assumptions!$B$169*AB7,0)</f>
        <v/>
      </c>
      <c r="AC73" s="55">
        <f>IF(AC2&gt;=Assumptions!$B$47,AC69*Assumptions!$B$169*AC7,0)</f>
        <v/>
      </c>
      <c r="AD73" s="55">
        <f>IF(AD2&gt;=Assumptions!$B$47,AD69*Assumptions!$B$169*AD7,0)</f>
        <v/>
      </c>
      <c r="AE73" s="55">
        <f>IF(AE2&gt;=Assumptions!$B$47,AE69*Assumptions!$B$169*AE7,0)</f>
        <v/>
      </c>
    </row>
    <row r="74">
      <c r="A74" s="6" t="inlineStr">
        <is>
          <t xml:space="preserve">  Spot purchase volume</t>
        </is>
      </c>
      <c r="B74" s="23" t="inlineStr">
        <is>
          <t>USD</t>
        </is>
      </c>
      <c r="C74" s="55">
        <f>IF(C2&gt;=Assumptions!$B$48,C69*Assumptions!$B$36*Assumptions!$B$139*Assumptions!$B$141*Assumptions!$B$33*Assumptions!$B$140/12*C7,0)</f>
        <v/>
      </c>
      <c r="D74" s="55">
        <f>IF(D2&gt;=Assumptions!$B$48,D69*Assumptions!$B$36*Assumptions!$B$139*Assumptions!$B$141*Assumptions!$B$33*Assumptions!$B$140/12*D7,0)</f>
        <v/>
      </c>
      <c r="E74" s="55">
        <f>IF(E2&gt;=Assumptions!$B$48,E69*Assumptions!$B$36*Assumptions!$B$139*Assumptions!$B$141*Assumptions!$B$33*Assumptions!$B$140/12*E7,0)</f>
        <v/>
      </c>
      <c r="F74" s="55">
        <f>IF(F2&gt;=Assumptions!$B$48,F69*Assumptions!$B$36*Assumptions!$B$139*Assumptions!$B$141*Assumptions!$B$33*Assumptions!$B$140/12*F7,0)</f>
        <v/>
      </c>
      <c r="G74" s="55">
        <f>IF(G2&gt;=Assumptions!$B$48,G69*Assumptions!$B$36*Assumptions!$B$139*Assumptions!$B$141*Assumptions!$B$33*Assumptions!$B$140/12*G7,0)</f>
        <v/>
      </c>
      <c r="H74" s="55">
        <f>IF(H2&gt;=Assumptions!$B$48,H69*Assumptions!$B$36*Assumptions!$B$139*Assumptions!$B$141*Assumptions!$B$33*Assumptions!$B$140/12*H7,0)</f>
        <v/>
      </c>
      <c r="I74" s="55">
        <f>IF(I2&gt;=Assumptions!$B$48,I69*Assumptions!$B$36*Assumptions!$B$139*Assumptions!$B$141*Assumptions!$B$33*Assumptions!$B$140/12*I7,0)</f>
        <v/>
      </c>
      <c r="J74" s="55">
        <f>IF(J2&gt;=Assumptions!$B$48,J69*Assumptions!$B$36*Assumptions!$B$139*Assumptions!$B$141*Assumptions!$B$33*Assumptions!$B$140/12*J7,0)</f>
        <v/>
      </c>
      <c r="K74" s="55">
        <f>IF(K2&gt;=Assumptions!$B$48,K69*Assumptions!$B$36*Assumptions!$B$139*Assumptions!$B$141*Assumptions!$B$33*Assumptions!$B$140/12*K7,0)</f>
        <v/>
      </c>
      <c r="L74" s="55">
        <f>IF(L2&gt;=Assumptions!$B$48,L69*Assumptions!$B$36*Assumptions!$B$139*Assumptions!$B$141*Assumptions!$B$33*Assumptions!$B$140/12*L7,0)</f>
        <v/>
      </c>
      <c r="M74" s="55">
        <f>IF(M2&gt;=Assumptions!$B$48,M69*Assumptions!$B$36*Assumptions!$B$139*Assumptions!$B$141*Assumptions!$B$33*Assumptions!$B$140/12*M7,0)</f>
        <v/>
      </c>
      <c r="N74" s="55">
        <f>IF(N2&gt;=Assumptions!$B$48,N69*Assumptions!$B$36*Assumptions!$B$139*Assumptions!$B$141*Assumptions!$B$33*Assumptions!$B$140/12*N7,0)</f>
        <v/>
      </c>
      <c r="O74" s="55">
        <f>IF(O2&gt;=Assumptions!$B$48,O69*Assumptions!$B$36*Assumptions!$B$139*Assumptions!$B$141*Assumptions!$B$33*Assumptions!$B$140/12*O7,0)</f>
        <v/>
      </c>
      <c r="P74" s="55">
        <f>IF(P2&gt;=Assumptions!$B$48,P69*Assumptions!$B$36*Assumptions!$B$139*Assumptions!$B$141*Assumptions!$B$33*Assumptions!$B$140/12*P7,0)</f>
        <v/>
      </c>
      <c r="Q74" s="55">
        <f>IF(Q2&gt;=Assumptions!$B$48,Q69*Assumptions!$B$36*Assumptions!$B$139*Assumptions!$B$141*Assumptions!$B$33*Assumptions!$B$140/12*Q7,0)</f>
        <v/>
      </c>
      <c r="R74" s="55">
        <f>IF(R2&gt;=Assumptions!$B$48,R69*Assumptions!$B$36*Assumptions!$B$139*Assumptions!$B$141*Assumptions!$B$33*Assumptions!$B$140/12*R7,0)</f>
        <v/>
      </c>
      <c r="S74" s="55">
        <f>IF(S2&gt;=Assumptions!$B$48,S69*Assumptions!$B$36*Assumptions!$B$139*Assumptions!$B$141*Assumptions!$B$33*Assumptions!$B$140/12*S7,0)</f>
        <v/>
      </c>
      <c r="T74" s="55">
        <f>IF(T2&gt;=Assumptions!$B$48,T69*Assumptions!$B$36*Assumptions!$B$139*Assumptions!$B$141*Assumptions!$B$33*Assumptions!$B$140/12*T7,0)</f>
        <v/>
      </c>
      <c r="U74" s="55">
        <f>IF(U2&gt;=Assumptions!$B$48,U69*Assumptions!$B$36*Assumptions!$B$139*Assumptions!$B$141*Assumptions!$B$33*Assumptions!$B$140/12*U7,0)</f>
        <v/>
      </c>
      <c r="V74" s="55">
        <f>IF(V2&gt;=Assumptions!$B$48,V69*Assumptions!$B$36*Assumptions!$B$139*Assumptions!$B$141*Assumptions!$B$33*Assumptions!$B$140/12*V7,0)</f>
        <v/>
      </c>
      <c r="W74" s="55">
        <f>IF(W2&gt;=Assumptions!$B$48,W69*Assumptions!$B$36*Assumptions!$B$139*Assumptions!$B$141*Assumptions!$B$33*Assumptions!$B$140/12*W7,0)</f>
        <v/>
      </c>
      <c r="X74" s="55">
        <f>IF(X2&gt;=Assumptions!$B$48,X69*Assumptions!$B$36*Assumptions!$B$139*Assumptions!$B$141*Assumptions!$B$33*Assumptions!$B$140/12*X7,0)</f>
        <v/>
      </c>
      <c r="Y74" s="55">
        <f>IF(Y2&gt;=Assumptions!$B$48,Y69*Assumptions!$B$36*Assumptions!$B$139*Assumptions!$B$141*Assumptions!$B$33*Assumptions!$B$140/12*Y7,0)</f>
        <v/>
      </c>
      <c r="Z74" s="55">
        <f>IF(Z2&gt;=Assumptions!$B$48,Z69*Assumptions!$B$36*Assumptions!$B$139*Assumptions!$B$141*Assumptions!$B$33*Assumptions!$B$140/12*Z7,0)</f>
        <v/>
      </c>
      <c r="AA74" s="55">
        <f>IF(AA2&gt;=Assumptions!$B$48,AA69*Assumptions!$B$36*Assumptions!$B$139*Assumptions!$B$141*Assumptions!$B$33*Assumptions!$B$140/12*AA7,0)</f>
        <v/>
      </c>
      <c r="AB74" s="55">
        <f>IF(AB2&gt;=Assumptions!$B$48,AB69*Assumptions!$B$36*Assumptions!$B$139*Assumptions!$B$141*Assumptions!$B$33*Assumptions!$B$140/12*AB7,0)</f>
        <v/>
      </c>
      <c r="AC74" s="55">
        <f>IF(AC2&gt;=Assumptions!$B$48,AC69*Assumptions!$B$36*Assumptions!$B$139*Assumptions!$B$141*Assumptions!$B$33*Assumptions!$B$140/12*AC7,0)</f>
        <v/>
      </c>
      <c r="AD74" s="55">
        <f>IF(AD2&gt;=Assumptions!$B$48,AD69*Assumptions!$B$36*Assumptions!$B$139*Assumptions!$B$141*Assumptions!$B$33*Assumptions!$B$140/12*AD7,0)</f>
        <v/>
      </c>
      <c r="AE74" s="55">
        <f>IF(AE2&gt;=Assumptions!$B$48,AE69*Assumptions!$B$36*Assumptions!$B$139*Assumptions!$B$141*Assumptions!$B$33*Assumptions!$B$140/12*AE7,0)</f>
        <v/>
      </c>
    </row>
    <row r="75">
      <c r="A75" s="6" t="inlineStr">
        <is>
          <t xml:space="preserve">  Grams purchased</t>
        </is>
      </c>
      <c r="B75" s="23" t="inlineStr">
        <is>
          <t>grams</t>
        </is>
      </c>
      <c r="C75" s="54">
        <f>(C73+C74)*(1-Assumptions!$B$8)/C21/(1+Assumptions!$B$9)</f>
        <v/>
      </c>
      <c r="D75" s="54">
        <f>(D73+D74)*(1-Assumptions!$B$8)/D21/(1+Assumptions!$B$9)</f>
        <v/>
      </c>
      <c r="E75" s="54">
        <f>(E73+E74)*(1-Assumptions!$B$8)/E21/(1+Assumptions!$B$9)</f>
        <v/>
      </c>
      <c r="F75" s="54">
        <f>(F73+F74)*(1-Assumptions!$B$8)/F21/(1+Assumptions!$B$9)</f>
        <v/>
      </c>
      <c r="G75" s="54">
        <f>(G73+G74)*(1-Assumptions!$B$8)/G21/(1+Assumptions!$B$9)</f>
        <v/>
      </c>
      <c r="H75" s="54">
        <f>(H73+H74)*(1-Assumptions!$B$8)/H21/(1+Assumptions!$B$9)</f>
        <v/>
      </c>
      <c r="I75" s="54">
        <f>(I73+I74)*(1-Assumptions!$B$8)/I21/(1+Assumptions!$B$9)</f>
        <v/>
      </c>
      <c r="J75" s="54">
        <f>(J73+J74)*(1-Assumptions!$B$8)/J21/(1+Assumptions!$B$9)</f>
        <v/>
      </c>
      <c r="K75" s="54">
        <f>(K73+K74)*(1-Assumptions!$B$8)/K21/(1+Assumptions!$B$9)</f>
        <v/>
      </c>
      <c r="L75" s="54">
        <f>(L73+L74)*(1-Assumptions!$B$8)/L21/(1+Assumptions!$B$9)</f>
        <v/>
      </c>
      <c r="M75" s="54">
        <f>(M73+M74)*(1-Assumptions!$B$8)/M21/(1+Assumptions!$B$9)</f>
        <v/>
      </c>
      <c r="N75" s="54">
        <f>(N73+N74)*(1-Assumptions!$B$8)/N21/(1+Assumptions!$B$9)</f>
        <v/>
      </c>
      <c r="O75" s="54">
        <f>(O73+O74)*(1-Assumptions!$B$8)/O21/(1+Assumptions!$B$9)</f>
        <v/>
      </c>
      <c r="P75" s="54">
        <f>(P73+P74)*(1-Assumptions!$B$8)/P21/(1+Assumptions!$B$9)</f>
        <v/>
      </c>
      <c r="Q75" s="54">
        <f>(Q73+Q74)*(1-Assumptions!$B$8)/Q21/(1+Assumptions!$B$9)</f>
        <v/>
      </c>
      <c r="R75" s="54">
        <f>(R73+R74)*(1-Assumptions!$B$8)/R21/(1+Assumptions!$B$9)</f>
        <v/>
      </c>
      <c r="S75" s="54">
        <f>(S73+S74)*(1-Assumptions!$B$8)/S21/(1+Assumptions!$B$9)</f>
        <v/>
      </c>
      <c r="T75" s="54">
        <f>(T73+T74)*(1-Assumptions!$B$8)/T21/(1+Assumptions!$B$9)</f>
        <v/>
      </c>
      <c r="U75" s="54">
        <f>(U73+U74)*(1-Assumptions!$B$8)/U21/(1+Assumptions!$B$9)</f>
        <v/>
      </c>
      <c r="V75" s="54">
        <f>(V73+V74)*(1-Assumptions!$B$8)/V21/(1+Assumptions!$B$9)</f>
        <v/>
      </c>
      <c r="W75" s="54">
        <f>(W73+W74)*(1-Assumptions!$B$8)/W21/(1+Assumptions!$B$9)</f>
        <v/>
      </c>
      <c r="X75" s="54">
        <f>(X73+X74)*(1-Assumptions!$B$8)/X21/(1+Assumptions!$B$9)</f>
        <v/>
      </c>
      <c r="Y75" s="54">
        <f>(Y73+Y74)*(1-Assumptions!$B$8)/Y21/(1+Assumptions!$B$9)</f>
        <v/>
      </c>
      <c r="Z75" s="54">
        <f>(Z73+Z74)*(1-Assumptions!$B$8)/Z21/(1+Assumptions!$B$9)</f>
        <v/>
      </c>
      <c r="AA75" s="54">
        <f>(AA73+AA74)*(1-Assumptions!$B$8)/AA21/(1+Assumptions!$B$9)</f>
        <v/>
      </c>
      <c r="AB75" s="54">
        <f>(AB73+AB74)*(1-Assumptions!$B$8)/AB21/(1+Assumptions!$B$9)</f>
        <v/>
      </c>
      <c r="AC75" s="54">
        <f>(AC73+AC74)*(1-Assumptions!$B$8)/AC21/(1+Assumptions!$B$9)</f>
        <v/>
      </c>
      <c r="AD75" s="54">
        <f>(AD73+AD74)*(1-Assumptions!$B$8)/AD21/(1+Assumptions!$B$9)</f>
        <v/>
      </c>
      <c r="AE75" s="54">
        <f>(AE73+AE74)*(1-Assumptions!$B$8)/AE21/(1+Assumptions!$B$9)</f>
        <v/>
      </c>
    </row>
    <row r="76">
      <c r="A76" s="6" t="inlineStr">
        <is>
          <t xml:space="preserve">  Collateral-eligible AUM decay rate (holder-weighted)</t>
        </is>
      </c>
      <c r="B76" s="23" t="inlineStr">
        <is>
          <t>%/period</t>
        </is>
      </c>
      <c r="C76" s="56">
        <f>(Assumptions!$B$136+Assumptions!$B$137*IF(C69+C71=0,1,(C69+C71*Assumptions!$B$138)/(C69+C71)))*C7/12</f>
        <v/>
      </c>
      <c r="D76" s="56">
        <f>(Assumptions!$B$136+Assumptions!$B$137*IF(D69+D71=0,1,(D69+D71*Assumptions!$B$138)/(D69+D71)))*D7/12</f>
        <v/>
      </c>
      <c r="E76" s="56">
        <f>(Assumptions!$B$136+Assumptions!$B$137*IF(E69+E71=0,1,(E69+E71*Assumptions!$B$138)/(E69+E71)))*E7/12</f>
        <v/>
      </c>
      <c r="F76" s="56">
        <f>(Assumptions!$B$136+Assumptions!$B$137*IF(F69+F71=0,1,(F69+F71*Assumptions!$B$138)/(F69+F71)))*F7/12</f>
        <v/>
      </c>
      <c r="G76" s="56">
        <f>(Assumptions!$B$136+Assumptions!$B$137*IF(G69+G71=0,1,(G69+G71*Assumptions!$B$138)/(G69+G71)))*G7/12</f>
        <v/>
      </c>
      <c r="H76" s="56">
        <f>(Assumptions!$B$136+Assumptions!$B$137*IF(H69+H71=0,1,(H69+H71*Assumptions!$B$138)/(H69+H71)))*H7/12</f>
        <v/>
      </c>
      <c r="I76" s="56">
        <f>(Assumptions!$B$136+Assumptions!$B$137*IF(I69+I71=0,1,(I69+I71*Assumptions!$B$138)/(I69+I71)))*I7/12</f>
        <v/>
      </c>
      <c r="J76" s="56">
        <f>(Assumptions!$B$136+Assumptions!$B$137*IF(J69+J71=0,1,(J69+J71*Assumptions!$B$138)/(J69+J71)))*J7/12</f>
        <v/>
      </c>
      <c r="K76" s="56">
        <f>(Assumptions!$B$136+Assumptions!$B$137*IF(K69+K71=0,1,(K69+K71*Assumptions!$B$138)/(K69+K71)))*K7/12</f>
        <v/>
      </c>
      <c r="L76" s="56">
        <f>(Assumptions!$B$136+Assumptions!$B$137*IF(L69+L71=0,1,(L69+L71*Assumptions!$B$138)/(L69+L71)))*L7/12</f>
        <v/>
      </c>
      <c r="M76" s="56">
        <f>(Assumptions!$B$136+Assumptions!$B$137*IF(M69+M71=0,1,(M69+M71*Assumptions!$B$138)/(M69+M71)))*M7/12</f>
        <v/>
      </c>
      <c r="N76" s="56">
        <f>(Assumptions!$B$136+Assumptions!$B$137*IF(N69+N71=0,1,(N69+N71*Assumptions!$B$138)/(N69+N71)))*N7/12</f>
        <v/>
      </c>
      <c r="O76" s="56">
        <f>(Assumptions!$B$136+Assumptions!$B$137*IF(O69+O71=0,1,(O69+O71*Assumptions!$B$138)/(O69+O71)))*O7/12</f>
        <v/>
      </c>
      <c r="P76" s="56">
        <f>(Assumptions!$B$136+Assumptions!$B$137*IF(P69+P71=0,1,(P69+P71*Assumptions!$B$138)/(P69+P71)))*P7/12</f>
        <v/>
      </c>
      <c r="Q76" s="56">
        <f>(Assumptions!$B$136+Assumptions!$B$137*IF(Q69+Q71=0,1,(Q69+Q71*Assumptions!$B$138)/(Q69+Q71)))*Q7/12</f>
        <v/>
      </c>
      <c r="R76" s="56">
        <f>(Assumptions!$B$136+Assumptions!$B$137*IF(R69+R71=0,1,(R69+R71*Assumptions!$B$138)/(R69+R71)))*R7/12</f>
        <v/>
      </c>
      <c r="S76" s="56">
        <f>(Assumptions!$B$136+Assumptions!$B$137*IF(S69+S71=0,1,(S69+S71*Assumptions!$B$138)/(S69+S71)))*S7/12</f>
        <v/>
      </c>
      <c r="T76" s="56">
        <f>(Assumptions!$B$136+Assumptions!$B$137*IF(T69+T71=0,1,(T69+T71*Assumptions!$B$138)/(T69+T71)))*T7/12</f>
        <v/>
      </c>
      <c r="U76" s="56">
        <f>(Assumptions!$B$136+Assumptions!$B$137*IF(U69+U71=0,1,(U69+U71*Assumptions!$B$138)/(U69+U71)))*U7/12</f>
        <v/>
      </c>
      <c r="V76" s="56">
        <f>(Assumptions!$B$136+Assumptions!$B$137*IF(V69+V71=0,1,(V69+V71*Assumptions!$B$138)/(V69+V71)))*V7/12</f>
        <v/>
      </c>
      <c r="W76" s="56">
        <f>(Assumptions!$B$136+Assumptions!$B$137*IF(W69+W71=0,1,(W69+W71*Assumptions!$B$138)/(W69+W71)))*W7/12</f>
        <v/>
      </c>
      <c r="X76" s="56">
        <f>(Assumptions!$B$136+Assumptions!$B$137*IF(X69+X71=0,1,(X69+X71*Assumptions!$B$138)/(X69+X71)))*X7/12</f>
        <v/>
      </c>
      <c r="Y76" s="56">
        <f>(Assumptions!$B$136+Assumptions!$B$137*IF(Y69+Y71=0,1,(Y69+Y71*Assumptions!$B$138)/(Y69+Y71)))*Y7/12</f>
        <v/>
      </c>
      <c r="Z76" s="56">
        <f>(Assumptions!$B$136+Assumptions!$B$137*IF(Z69+Z71=0,1,(Z69+Z71*Assumptions!$B$138)/(Z69+Z71)))*Z7/12</f>
        <v/>
      </c>
      <c r="AA76" s="56">
        <f>(Assumptions!$B$136+Assumptions!$B$137*IF(AA69+AA71=0,1,(AA69+AA71*Assumptions!$B$138)/(AA69+AA71)))*AA7/12</f>
        <v/>
      </c>
      <c r="AB76" s="56">
        <f>(Assumptions!$B$136+Assumptions!$B$137*IF(AB69+AB71=0,1,(AB69+AB71*Assumptions!$B$138)/(AB69+AB71)))*AB7/12</f>
        <v/>
      </c>
      <c r="AC76" s="56">
        <f>(Assumptions!$B$136+Assumptions!$B$137*IF(AC69+AC71=0,1,(AC69+AC71*Assumptions!$B$138)/(AC69+AC71)))*AC7/12</f>
        <v/>
      </c>
      <c r="AD76" s="56">
        <f>(Assumptions!$B$136+Assumptions!$B$137*IF(AD69+AD71=0,1,(AD69+AD71*Assumptions!$B$138)/(AD69+AD71)))*AD7/12</f>
        <v/>
      </c>
      <c r="AE76" s="56">
        <f>(Assumptions!$B$136+Assumptions!$B$137*IF(AE69+AE71=0,1,(AE69+AE71*Assumptions!$B$138)/(AE69+AE71)))*AE7/12</f>
        <v/>
      </c>
    </row>
    <row r="77">
      <c r="A77" s="6" t="inlineStr">
        <is>
          <t xml:space="preserve">  Redemption-only decay rate (metal actually leaving)</t>
        </is>
      </c>
      <c r="B77" s="23" t="inlineStr">
        <is>
          <t>%/period</t>
        </is>
      </c>
      <c r="C77" s="56">
        <f>Assumptions!$B$137*IF(C69+C71=0,1,(C69+C71*Assumptions!$B$138)/(C69+C71))*C7/12</f>
        <v/>
      </c>
      <c r="D77" s="56">
        <f>Assumptions!$B$137*IF(D69+D71=0,1,(D69+D71*Assumptions!$B$138)/(D69+D71))*D7/12</f>
        <v/>
      </c>
      <c r="E77" s="56">
        <f>Assumptions!$B$137*IF(E69+E71=0,1,(E69+E71*Assumptions!$B$138)/(E69+E71))*E7/12</f>
        <v/>
      </c>
      <c r="F77" s="56">
        <f>Assumptions!$B$137*IF(F69+F71=0,1,(F69+F71*Assumptions!$B$138)/(F69+F71))*F7/12</f>
        <v/>
      </c>
      <c r="G77" s="56">
        <f>Assumptions!$B$137*IF(G69+G71=0,1,(G69+G71*Assumptions!$B$138)/(G69+G71))*G7/12</f>
        <v/>
      </c>
      <c r="H77" s="56">
        <f>Assumptions!$B$137*IF(H69+H71=0,1,(H69+H71*Assumptions!$B$138)/(H69+H71))*H7/12</f>
        <v/>
      </c>
      <c r="I77" s="56">
        <f>Assumptions!$B$137*IF(I69+I71=0,1,(I69+I71*Assumptions!$B$138)/(I69+I71))*I7/12</f>
        <v/>
      </c>
      <c r="J77" s="56">
        <f>Assumptions!$B$137*IF(J69+J71=0,1,(J69+J71*Assumptions!$B$138)/(J69+J71))*J7/12</f>
        <v/>
      </c>
      <c r="K77" s="56">
        <f>Assumptions!$B$137*IF(K69+K71=0,1,(K69+K71*Assumptions!$B$138)/(K69+K71))*K7/12</f>
        <v/>
      </c>
      <c r="L77" s="56">
        <f>Assumptions!$B$137*IF(L69+L71=0,1,(L69+L71*Assumptions!$B$138)/(L69+L71))*L7/12</f>
        <v/>
      </c>
      <c r="M77" s="56">
        <f>Assumptions!$B$137*IF(M69+M71=0,1,(M69+M71*Assumptions!$B$138)/(M69+M71))*M7/12</f>
        <v/>
      </c>
      <c r="N77" s="56">
        <f>Assumptions!$B$137*IF(N69+N71=0,1,(N69+N71*Assumptions!$B$138)/(N69+N71))*N7/12</f>
        <v/>
      </c>
      <c r="O77" s="56">
        <f>Assumptions!$B$137*IF(O69+O71=0,1,(O69+O71*Assumptions!$B$138)/(O69+O71))*O7/12</f>
        <v/>
      </c>
      <c r="P77" s="56">
        <f>Assumptions!$B$137*IF(P69+P71=0,1,(P69+P71*Assumptions!$B$138)/(P69+P71))*P7/12</f>
        <v/>
      </c>
      <c r="Q77" s="56">
        <f>Assumptions!$B$137*IF(Q69+Q71=0,1,(Q69+Q71*Assumptions!$B$138)/(Q69+Q71))*Q7/12</f>
        <v/>
      </c>
      <c r="R77" s="56">
        <f>Assumptions!$B$137*IF(R69+R71=0,1,(R69+R71*Assumptions!$B$138)/(R69+R71))*R7/12</f>
        <v/>
      </c>
      <c r="S77" s="56">
        <f>Assumptions!$B$137*IF(S69+S71=0,1,(S69+S71*Assumptions!$B$138)/(S69+S71))*S7/12</f>
        <v/>
      </c>
      <c r="T77" s="56">
        <f>Assumptions!$B$137*IF(T69+T71=0,1,(T69+T71*Assumptions!$B$138)/(T69+T71))*T7/12</f>
        <v/>
      </c>
      <c r="U77" s="56">
        <f>Assumptions!$B$137*IF(U69+U71=0,1,(U69+U71*Assumptions!$B$138)/(U69+U71))*U7/12</f>
        <v/>
      </c>
      <c r="V77" s="56">
        <f>Assumptions!$B$137*IF(V69+V71=0,1,(V69+V71*Assumptions!$B$138)/(V69+V71))*V7/12</f>
        <v/>
      </c>
      <c r="W77" s="56">
        <f>Assumptions!$B$137*IF(W69+W71=0,1,(W69+W71*Assumptions!$B$138)/(W69+W71))*W7/12</f>
        <v/>
      </c>
      <c r="X77" s="56">
        <f>Assumptions!$B$137*IF(X69+X71=0,1,(X69+X71*Assumptions!$B$138)/(X69+X71))*X7/12</f>
        <v/>
      </c>
      <c r="Y77" s="56">
        <f>Assumptions!$B$137*IF(Y69+Y71=0,1,(Y69+Y71*Assumptions!$B$138)/(Y69+Y71))*Y7/12</f>
        <v/>
      </c>
      <c r="Z77" s="56">
        <f>Assumptions!$B$137*IF(Z69+Z71=0,1,(Z69+Z71*Assumptions!$B$138)/(Z69+Z71))*Z7/12</f>
        <v/>
      </c>
      <c r="AA77" s="56">
        <f>Assumptions!$B$137*IF(AA69+AA71=0,1,(AA69+AA71*Assumptions!$B$138)/(AA69+AA71))*AA7/12</f>
        <v/>
      </c>
      <c r="AB77" s="56">
        <f>Assumptions!$B$137*IF(AB69+AB71=0,1,(AB69+AB71*Assumptions!$B$138)/(AB69+AB71))*AB7/12</f>
        <v/>
      </c>
      <c r="AC77" s="56">
        <f>Assumptions!$B$137*IF(AC69+AC71=0,1,(AC69+AC71*Assumptions!$B$138)/(AC69+AC71))*AC7/12</f>
        <v/>
      </c>
      <c r="AD77" s="56">
        <f>Assumptions!$B$137*IF(AD69+AD71=0,1,(AD69+AD71*Assumptions!$B$138)/(AD69+AD71))*AD7/12</f>
        <v/>
      </c>
      <c r="AE77" s="56">
        <f>Assumptions!$B$137*IF(AE69+AE71=0,1,(AE69+AE71*Assumptions!$B$138)/(AE69+AE71))*AE7/12</f>
        <v/>
      </c>
    </row>
    <row r="78">
      <c r="A78" s="6" t="inlineStr">
        <is>
          <t xml:space="preserve">  Grams held (collateral-eligible)</t>
        </is>
      </c>
      <c r="B78" s="23" t="inlineStr">
        <is>
          <t>grams</t>
        </is>
      </c>
      <c r="C78" s="45">
        <f>C75</f>
        <v/>
      </c>
      <c r="D78" s="45">
        <f>C78*(1-D76)+D75</f>
        <v/>
      </c>
      <c r="E78" s="45">
        <f>D78*(1-E76)+E75</f>
        <v/>
      </c>
      <c r="F78" s="45">
        <f>E78*(1-F76)+F75</f>
        <v/>
      </c>
      <c r="G78" s="45">
        <f>F78*(1-G76)+G75</f>
        <v/>
      </c>
      <c r="H78" s="45">
        <f>G78*(1-H76)+H75</f>
        <v/>
      </c>
      <c r="I78" s="45">
        <f>H78*(1-I76)+I75</f>
        <v/>
      </c>
      <c r="J78" s="45">
        <f>I78*(1-J76)+J75</f>
        <v/>
      </c>
      <c r="K78" s="45">
        <f>J78*(1-K76)+K75</f>
        <v/>
      </c>
      <c r="L78" s="45">
        <f>K78*(1-L76)+L75</f>
        <v/>
      </c>
      <c r="M78" s="45">
        <f>L78*(1-M76)+M75</f>
        <v/>
      </c>
      <c r="N78" s="45">
        <f>M78*(1-N76)+N75</f>
        <v/>
      </c>
      <c r="O78" s="45">
        <f>N78*(1-O76)+O75</f>
        <v/>
      </c>
      <c r="P78" s="45">
        <f>O78*(1-P76)+P75</f>
        <v/>
      </c>
      <c r="Q78" s="45">
        <f>P78*(1-Q76)+Q75</f>
        <v/>
      </c>
      <c r="R78" s="45">
        <f>Q78*(1-R76)+R75</f>
        <v/>
      </c>
      <c r="S78" s="45">
        <f>R78*(1-S76)+S75</f>
        <v/>
      </c>
      <c r="T78" s="45">
        <f>S78*(1-T76)+T75</f>
        <v/>
      </c>
      <c r="U78" s="45">
        <f>T78*(1-U76)+U75</f>
        <v/>
      </c>
      <c r="V78" s="45">
        <f>U78*(1-V76)+V75</f>
        <v/>
      </c>
      <c r="W78" s="45">
        <f>V78*(1-W76)+W75</f>
        <v/>
      </c>
      <c r="X78" s="45">
        <f>W78*(1-X76)+X75</f>
        <v/>
      </c>
      <c r="Y78" s="45">
        <f>X78*(1-Y76)+Y75</f>
        <v/>
      </c>
      <c r="Z78" s="45">
        <f>Y78*(1-Z76)+Z75</f>
        <v/>
      </c>
      <c r="AA78" s="45">
        <f>Z78*(1-AA76)+AA75</f>
        <v/>
      </c>
      <c r="AB78" s="45">
        <f>AA78*(1-AB76)+AB75</f>
        <v/>
      </c>
      <c r="AC78" s="45">
        <f>AB78*(1-AC76)+AC75</f>
        <v/>
      </c>
      <c r="AD78" s="45">
        <f>AC78*(1-AD76)+AD75</f>
        <v/>
      </c>
      <c r="AE78" s="45">
        <f>AD78*(1-AE76)+AE75</f>
        <v/>
      </c>
    </row>
    <row r="79">
      <c r="A79" s="6" t="inlineStr">
        <is>
          <t xml:space="preserve">  Grams under custody (vaulted, incl. self-custodied)</t>
        </is>
      </c>
      <c r="B79" s="23" t="inlineStr">
        <is>
          <t>grams</t>
        </is>
      </c>
      <c r="C79" s="45">
        <f>C75</f>
        <v/>
      </c>
      <c r="D79" s="45">
        <f>C79*(1-D77)+D75</f>
        <v/>
      </c>
      <c r="E79" s="45">
        <f>D79*(1-E77)+E75</f>
        <v/>
      </c>
      <c r="F79" s="45">
        <f>E79*(1-F77)+F75</f>
        <v/>
      </c>
      <c r="G79" s="45">
        <f>F79*(1-G77)+G75</f>
        <v/>
      </c>
      <c r="H79" s="45">
        <f>G79*(1-H77)+H75</f>
        <v/>
      </c>
      <c r="I79" s="45">
        <f>H79*(1-I77)+I75</f>
        <v/>
      </c>
      <c r="J79" s="45">
        <f>I79*(1-J77)+J75</f>
        <v/>
      </c>
      <c r="K79" s="45">
        <f>J79*(1-K77)+K75</f>
        <v/>
      </c>
      <c r="L79" s="45">
        <f>K79*(1-L77)+L75</f>
        <v/>
      </c>
      <c r="M79" s="45">
        <f>L79*(1-M77)+M75</f>
        <v/>
      </c>
      <c r="N79" s="45">
        <f>M79*(1-N77)+N75</f>
        <v/>
      </c>
      <c r="O79" s="45">
        <f>N79*(1-O77)+O75</f>
        <v/>
      </c>
      <c r="P79" s="45">
        <f>O79*(1-P77)+P75</f>
        <v/>
      </c>
      <c r="Q79" s="45">
        <f>P79*(1-Q77)+Q75</f>
        <v/>
      </c>
      <c r="R79" s="45">
        <f>Q79*(1-R77)+R75</f>
        <v/>
      </c>
      <c r="S79" s="45">
        <f>R79*(1-S77)+S75</f>
        <v/>
      </c>
      <c r="T79" s="45">
        <f>S79*(1-T77)+T75</f>
        <v/>
      </c>
      <c r="U79" s="45">
        <f>T79*(1-U77)+U75</f>
        <v/>
      </c>
      <c r="V79" s="45">
        <f>U79*(1-V77)+V75</f>
        <v/>
      </c>
      <c r="W79" s="45">
        <f>V79*(1-W77)+W75</f>
        <v/>
      </c>
      <c r="X79" s="45">
        <f>W79*(1-X77)+X75</f>
        <v/>
      </c>
      <c r="Y79" s="45">
        <f>X79*(1-Y77)+Y75</f>
        <v/>
      </c>
      <c r="Z79" s="45">
        <f>Y79*(1-Z77)+Z75</f>
        <v/>
      </c>
      <c r="AA79" s="45">
        <f>Z79*(1-AA77)+AA75</f>
        <v/>
      </c>
      <c r="AB79" s="45">
        <f>AA79*(1-AB77)+AB75</f>
        <v/>
      </c>
      <c r="AC79" s="45">
        <f>AB79*(1-AC77)+AC75</f>
        <v/>
      </c>
      <c r="AD79" s="45">
        <f>AC79*(1-AD77)+AD75</f>
        <v/>
      </c>
      <c r="AE79" s="45">
        <f>AD79*(1-AE77)+AE75</f>
        <v/>
      </c>
    </row>
    <row r="80">
      <c r="A80" s="6" t="inlineStr">
        <is>
          <t xml:space="preserve">  AUM</t>
        </is>
      </c>
      <c r="B80" s="23" t="inlineStr">
        <is>
          <t>USD</t>
        </is>
      </c>
      <c r="C80" s="57">
        <f>C78*C21</f>
        <v/>
      </c>
      <c r="D80" s="57">
        <f>D78*D21</f>
        <v/>
      </c>
      <c r="E80" s="57">
        <f>E78*E21</f>
        <v/>
      </c>
      <c r="F80" s="57">
        <f>F78*F21</f>
        <v/>
      </c>
      <c r="G80" s="57">
        <f>G78*G21</f>
        <v/>
      </c>
      <c r="H80" s="57">
        <f>H78*H21</f>
        <v/>
      </c>
      <c r="I80" s="57">
        <f>I78*I21</f>
        <v/>
      </c>
      <c r="J80" s="57">
        <f>J78*J21</f>
        <v/>
      </c>
      <c r="K80" s="57">
        <f>K78*K21</f>
        <v/>
      </c>
      <c r="L80" s="57">
        <f>L78*L21</f>
        <v/>
      </c>
      <c r="M80" s="57">
        <f>M78*M21</f>
        <v/>
      </c>
      <c r="N80" s="57">
        <f>N78*N21</f>
        <v/>
      </c>
      <c r="O80" s="57">
        <f>O78*O21</f>
        <v/>
      </c>
      <c r="P80" s="57">
        <f>P78*P21</f>
        <v/>
      </c>
      <c r="Q80" s="57">
        <f>Q78*Q21</f>
        <v/>
      </c>
      <c r="R80" s="57">
        <f>R78*R21</f>
        <v/>
      </c>
      <c r="S80" s="57">
        <f>S78*S21</f>
        <v/>
      </c>
      <c r="T80" s="57">
        <f>T78*T21</f>
        <v/>
      </c>
      <c r="U80" s="57">
        <f>U78*U21</f>
        <v/>
      </c>
      <c r="V80" s="57">
        <f>V78*V21</f>
        <v/>
      </c>
      <c r="W80" s="57">
        <f>W78*W21</f>
        <v/>
      </c>
      <c r="X80" s="57">
        <f>X78*X21</f>
        <v/>
      </c>
      <c r="Y80" s="57">
        <f>Y78*Y21</f>
        <v/>
      </c>
      <c r="Z80" s="57">
        <f>Z78*Z21</f>
        <v/>
      </c>
      <c r="AA80" s="57">
        <f>AA78*AA21</f>
        <v/>
      </c>
      <c r="AB80" s="57">
        <f>AB78*AB21</f>
        <v/>
      </c>
      <c r="AC80" s="57">
        <f>AC78*AC21</f>
        <v/>
      </c>
      <c r="AD80" s="57">
        <f>AD78*AD21</f>
        <v/>
      </c>
      <c r="AE80" s="57">
        <f>AE78*AE21</f>
        <v/>
      </c>
    </row>
    <row r="81">
      <c r="A81" s="6" t="inlineStr">
        <is>
          <t xml:space="preserve">  Card-eligible base</t>
        </is>
      </c>
      <c r="B81" s="23" t="inlineStr">
        <is>
          <t>accounts</t>
        </is>
      </c>
      <c r="C81" s="54">
        <f>C69+C71*Assumptions!$B$172</f>
        <v/>
      </c>
      <c r="D81" s="54">
        <f>D69+D71*Assumptions!$B$172</f>
        <v/>
      </c>
      <c r="E81" s="54">
        <f>E69+E71*Assumptions!$B$172</f>
        <v/>
      </c>
      <c r="F81" s="54">
        <f>F69+F71*Assumptions!$B$172</f>
        <v/>
      </c>
      <c r="G81" s="54">
        <f>G69+G71*Assumptions!$B$172</f>
        <v/>
      </c>
      <c r="H81" s="54">
        <f>H69+H71*Assumptions!$B$172</f>
        <v/>
      </c>
      <c r="I81" s="54">
        <f>I69+I71*Assumptions!$B$172</f>
        <v/>
      </c>
      <c r="J81" s="54">
        <f>J69+J71*Assumptions!$B$172</f>
        <v/>
      </c>
      <c r="K81" s="54">
        <f>K69+K71*Assumptions!$B$172</f>
        <v/>
      </c>
      <c r="L81" s="54">
        <f>L69+L71*Assumptions!$B$172</f>
        <v/>
      </c>
      <c r="M81" s="54">
        <f>M69+M71*Assumptions!$B$172</f>
        <v/>
      </c>
      <c r="N81" s="54">
        <f>N69+N71*Assumptions!$B$172</f>
        <v/>
      </c>
      <c r="O81" s="54">
        <f>O69+O71*Assumptions!$B$172</f>
        <v/>
      </c>
      <c r="P81" s="54">
        <f>P69+P71*Assumptions!$B$172</f>
        <v/>
      </c>
      <c r="Q81" s="54">
        <f>Q69+Q71*Assumptions!$B$172</f>
        <v/>
      </c>
      <c r="R81" s="54">
        <f>R69+R71*Assumptions!$B$172</f>
        <v/>
      </c>
      <c r="S81" s="54">
        <f>S69+S71*Assumptions!$B$172</f>
        <v/>
      </c>
      <c r="T81" s="54">
        <f>T69+T71*Assumptions!$B$172</f>
        <v/>
      </c>
      <c r="U81" s="54">
        <f>U69+U71*Assumptions!$B$172</f>
        <v/>
      </c>
      <c r="V81" s="54">
        <f>V69+V71*Assumptions!$B$172</f>
        <v/>
      </c>
      <c r="W81" s="54">
        <f>W69+W71*Assumptions!$B$172</f>
        <v/>
      </c>
      <c r="X81" s="54">
        <f>X69+X71*Assumptions!$B$172</f>
        <v/>
      </c>
      <c r="Y81" s="54">
        <f>Y69+Y71*Assumptions!$B$172</f>
        <v/>
      </c>
      <c r="Z81" s="54">
        <f>Z69+Z71*Assumptions!$B$172</f>
        <v/>
      </c>
      <c r="AA81" s="54">
        <f>AA69+AA71*Assumptions!$B$172</f>
        <v/>
      </c>
      <c r="AB81" s="54">
        <f>AB69+AB71*Assumptions!$B$172</f>
        <v/>
      </c>
      <c r="AC81" s="54">
        <f>AC69+AC71*Assumptions!$B$172</f>
        <v/>
      </c>
      <c r="AD81" s="54">
        <f>AD69+AD71*Assumptions!$B$172</f>
        <v/>
      </c>
      <c r="AE81" s="54">
        <f>AE69+AE71*Assumptions!$B$172</f>
        <v/>
      </c>
    </row>
    <row r="82">
      <c r="A82" s="6" t="inlineStr">
        <is>
          <t xml:space="preserve">  Cleared the six-payment gate</t>
        </is>
      </c>
      <c r="B82" s="23" t="inlineStr">
        <is>
          <t>accounts</t>
        </is>
      </c>
      <c r="C82" s="45">
        <f>IF(C7&gt;1,C81*Assumptions!$B$134,IF(C2&gt;Assumptions!$B$135,INDEX($C$81:$AE$81,1,C2-Assumptions!$B$135)*Assumptions!$B$134,0))</f>
        <v/>
      </c>
      <c r="D82" s="45">
        <f>IF(D7&gt;1,D81*Assumptions!$B$134,IF(D2&gt;Assumptions!$B$135,INDEX($C$81:$AE$81,1,D2-Assumptions!$B$135)*Assumptions!$B$134,0))</f>
        <v/>
      </c>
      <c r="E82" s="45">
        <f>IF(E7&gt;1,E81*Assumptions!$B$134,IF(E2&gt;Assumptions!$B$135,INDEX($C$81:$AE$81,1,E2-Assumptions!$B$135)*Assumptions!$B$134,0))</f>
        <v/>
      </c>
      <c r="F82" s="45">
        <f>IF(F7&gt;1,F81*Assumptions!$B$134,IF(F2&gt;Assumptions!$B$135,INDEX($C$81:$AE$81,1,F2-Assumptions!$B$135)*Assumptions!$B$134,0))</f>
        <v/>
      </c>
      <c r="G82" s="45">
        <f>IF(G7&gt;1,G81*Assumptions!$B$134,IF(G2&gt;Assumptions!$B$135,INDEX($C$81:$AE$81,1,G2-Assumptions!$B$135)*Assumptions!$B$134,0))</f>
        <v/>
      </c>
      <c r="H82" s="45">
        <f>IF(H7&gt;1,H81*Assumptions!$B$134,IF(H2&gt;Assumptions!$B$135,INDEX($C$81:$AE$81,1,H2-Assumptions!$B$135)*Assumptions!$B$134,0))</f>
        <v/>
      </c>
      <c r="I82" s="45">
        <f>IF(I7&gt;1,I81*Assumptions!$B$134,IF(I2&gt;Assumptions!$B$135,INDEX($C$81:$AE$81,1,I2-Assumptions!$B$135)*Assumptions!$B$134,0))</f>
        <v/>
      </c>
      <c r="J82" s="45">
        <f>IF(J7&gt;1,J81*Assumptions!$B$134,IF(J2&gt;Assumptions!$B$135,INDEX($C$81:$AE$81,1,J2-Assumptions!$B$135)*Assumptions!$B$134,0))</f>
        <v/>
      </c>
      <c r="K82" s="45">
        <f>IF(K7&gt;1,K81*Assumptions!$B$134,IF(K2&gt;Assumptions!$B$135,INDEX($C$81:$AE$81,1,K2-Assumptions!$B$135)*Assumptions!$B$134,0))</f>
        <v/>
      </c>
      <c r="L82" s="45">
        <f>IF(L7&gt;1,L81*Assumptions!$B$134,IF(L2&gt;Assumptions!$B$135,INDEX($C$81:$AE$81,1,L2-Assumptions!$B$135)*Assumptions!$B$134,0))</f>
        <v/>
      </c>
      <c r="M82" s="45">
        <f>IF(M7&gt;1,M81*Assumptions!$B$134,IF(M2&gt;Assumptions!$B$135,INDEX($C$81:$AE$81,1,M2-Assumptions!$B$135)*Assumptions!$B$134,0))</f>
        <v/>
      </c>
      <c r="N82" s="45">
        <f>IF(N7&gt;1,N81*Assumptions!$B$134,IF(N2&gt;Assumptions!$B$135,INDEX($C$81:$AE$81,1,N2-Assumptions!$B$135)*Assumptions!$B$134,0))</f>
        <v/>
      </c>
      <c r="O82" s="45">
        <f>IF(O7&gt;1,O81*Assumptions!$B$134,IF(O2&gt;Assumptions!$B$135,INDEX($C$81:$AE$81,1,O2-Assumptions!$B$135)*Assumptions!$B$134,0))</f>
        <v/>
      </c>
      <c r="P82" s="45">
        <f>IF(P7&gt;1,P81*Assumptions!$B$134,IF(P2&gt;Assumptions!$B$135,INDEX($C$81:$AE$81,1,P2-Assumptions!$B$135)*Assumptions!$B$134,0))</f>
        <v/>
      </c>
      <c r="Q82" s="45">
        <f>IF(Q7&gt;1,Q81*Assumptions!$B$134,IF(Q2&gt;Assumptions!$B$135,INDEX($C$81:$AE$81,1,Q2-Assumptions!$B$135)*Assumptions!$B$134,0))</f>
        <v/>
      </c>
      <c r="R82" s="45">
        <f>IF(R7&gt;1,R81*Assumptions!$B$134,IF(R2&gt;Assumptions!$B$135,INDEX($C$81:$AE$81,1,R2-Assumptions!$B$135)*Assumptions!$B$134,0))</f>
        <v/>
      </c>
      <c r="S82" s="45">
        <f>IF(S7&gt;1,S81*Assumptions!$B$134,IF(S2&gt;Assumptions!$B$135,INDEX($C$81:$AE$81,1,S2-Assumptions!$B$135)*Assumptions!$B$134,0))</f>
        <v/>
      </c>
      <c r="T82" s="45">
        <f>IF(T7&gt;1,T81*Assumptions!$B$134,IF(T2&gt;Assumptions!$B$135,INDEX($C$81:$AE$81,1,T2-Assumptions!$B$135)*Assumptions!$B$134,0))</f>
        <v/>
      </c>
      <c r="U82" s="45">
        <f>IF(U7&gt;1,U81*Assumptions!$B$134,IF(U2&gt;Assumptions!$B$135,INDEX($C$81:$AE$81,1,U2-Assumptions!$B$135)*Assumptions!$B$134,0))</f>
        <v/>
      </c>
      <c r="V82" s="45">
        <f>IF(V7&gt;1,V81*Assumptions!$B$134,IF(V2&gt;Assumptions!$B$135,INDEX($C$81:$AE$81,1,V2-Assumptions!$B$135)*Assumptions!$B$134,0))</f>
        <v/>
      </c>
      <c r="W82" s="45">
        <f>IF(W7&gt;1,W81*Assumptions!$B$134,IF(W2&gt;Assumptions!$B$135,INDEX($C$81:$AE$81,1,W2-Assumptions!$B$135)*Assumptions!$B$134,0))</f>
        <v/>
      </c>
      <c r="X82" s="45">
        <f>IF(X7&gt;1,X81*Assumptions!$B$134,IF(X2&gt;Assumptions!$B$135,INDEX($C$81:$AE$81,1,X2-Assumptions!$B$135)*Assumptions!$B$134,0))</f>
        <v/>
      </c>
      <c r="Y82" s="45">
        <f>IF(Y7&gt;1,Y81*Assumptions!$B$134,IF(Y2&gt;Assumptions!$B$135,INDEX($C$81:$AE$81,1,Y2-Assumptions!$B$135)*Assumptions!$B$134,0))</f>
        <v/>
      </c>
      <c r="Z82" s="45">
        <f>IF(Z7&gt;1,Z81*Assumptions!$B$134,IF(Z2&gt;Assumptions!$B$135,INDEX($C$81:$AE$81,1,Z2-Assumptions!$B$135)*Assumptions!$B$134,0))</f>
        <v/>
      </c>
      <c r="AA82" s="45">
        <f>IF(AA7&gt;1,AA81*Assumptions!$B$134,IF(AA2&gt;Assumptions!$B$135,INDEX($C$81:$AE$81,1,AA2-Assumptions!$B$135)*Assumptions!$B$134,0))</f>
        <v/>
      </c>
      <c r="AB82" s="45">
        <f>IF(AB7&gt;1,AB81*Assumptions!$B$134,IF(AB2&gt;Assumptions!$B$135,INDEX($C$81:$AE$81,1,AB2-Assumptions!$B$135)*Assumptions!$B$134,0))</f>
        <v/>
      </c>
      <c r="AC82" s="45">
        <f>IF(AC7&gt;1,AC81*Assumptions!$B$134,IF(AC2&gt;Assumptions!$B$135,INDEX($C$81:$AE$81,1,AC2-Assumptions!$B$135)*Assumptions!$B$134,0))</f>
        <v/>
      </c>
      <c r="AD82" s="45">
        <f>IF(AD7&gt;1,AD81*Assumptions!$B$134,IF(AD2&gt;Assumptions!$B$135,INDEX($C$81:$AE$81,1,AD2-Assumptions!$B$135)*Assumptions!$B$134,0))</f>
        <v/>
      </c>
      <c r="AE82" s="45">
        <f>IF(AE7&gt;1,AE81*Assumptions!$B$134,IF(AE2&gt;Assumptions!$B$135,INDEX($C$81:$AE$81,1,AE2-Assumptions!$B$135)*Assumptions!$B$134,0))</f>
        <v/>
      </c>
    </row>
    <row r="83">
      <c r="A83" s="6" t="inlineStr">
        <is>
          <t xml:space="preserve">  Active cards</t>
        </is>
      </c>
      <c r="B83" s="23" t="inlineStr">
        <is>
          <t>cards</t>
        </is>
      </c>
      <c r="C83" s="28">
        <f>IF(C2&gt;=Assumptions!$B$51,C82*Assumptions!$B$143,0)</f>
        <v/>
      </c>
      <c r="D83" s="28">
        <f>IF(D2&gt;=Assumptions!$B$51,D82*Assumptions!$B$143,0)</f>
        <v/>
      </c>
      <c r="E83" s="28">
        <f>IF(E2&gt;=Assumptions!$B$51,E82*Assumptions!$B$143,0)</f>
        <v/>
      </c>
      <c r="F83" s="28">
        <f>IF(F2&gt;=Assumptions!$B$51,F82*Assumptions!$B$143,0)</f>
        <v/>
      </c>
      <c r="G83" s="28">
        <f>IF(G2&gt;=Assumptions!$B$51,G82*Assumptions!$B$143,0)</f>
        <v/>
      </c>
      <c r="H83" s="28">
        <f>IF(H2&gt;=Assumptions!$B$51,H82*Assumptions!$B$143,0)</f>
        <v/>
      </c>
      <c r="I83" s="28">
        <f>IF(I2&gt;=Assumptions!$B$51,I82*Assumptions!$B$143,0)</f>
        <v/>
      </c>
      <c r="J83" s="28">
        <f>IF(J2&gt;=Assumptions!$B$51,J82*Assumptions!$B$143,0)</f>
        <v/>
      </c>
      <c r="K83" s="28">
        <f>IF(K2&gt;=Assumptions!$B$51,K82*Assumptions!$B$143,0)</f>
        <v/>
      </c>
      <c r="L83" s="28">
        <f>IF(L2&gt;=Assumptions!$B$51,L82*Assumptions!$B$143,0)</f>
        <v/>
      </c>
      <c r="M83" s="28">
        <f>IF(M2&gt;=Assumptions!$B$51,M82*Assumptions!$B$143,0)</f>
        <v/>
      </c>
      <c r="N83" s="28">
        <f>IF(N2&gt;=Assumptions!$B$51,N82*Assumptions!$B$143,0)</f>
        <v/>
      </c>
      <c r="O83" s="28">
        <f>IF(O2&gt;=Assumptions!$B$51,O82*Assumptions!$B$143,0)</f>
        <v/>
      </c>
      <c r="P83" s="28">
        <f>IF(P2&gt;=Assumptions!$B$51,P82*Assumptions!$B$143,0)</f>
        <v/>
      </c>
      <c r="Q83" s="28">
        <f>IF(Q2&gt;=Assumptions!$B$51,Q82*Assumptions!$B$143,0)</f>
        <v/>
      </c>
      <c r="R83" s="28">
        <f>IF(R2&gt;=Assumptions!$B$51,R82*Assumptions!$B$143,0)</f>
        <v/>
      </c>
      <c r="S83" s="28">
        <f>IF(S2&gt;=Assumptions!$B$51,S82*Assumptions!$B$143,0)</f>
        <v/>
      </c>
      <c r="T83" s="28">
        <f>IF(T2&gt;=Assumptions!$B$51,T82*Assumptions!$B$143,0)</f>
        <v/>
      </c>
      <c r="U83" s="28">
        <f>IF(U2&gt;=Assumptions!$B$51,U82*Assumptions!$B$143,0)</f>
        <v/>
      </c>
      <c r="V83" s="28">
        <f>IF(V2&gt;=Assumptions!$B$51,V82*Assumptions!$B$143,0)</f>
        <v/>
      </c>
      <c r="W83" s="28">
        <f>IF(W2&gt;=Assumptions!$B$51,W82*Assumptions!$B$143,0)</f>
        <v/>
      </c>
      <c r="X83" s="28">
        <f>IF(X2&gt;=Assumptions!$B$51,X82*Assumptions!$B$143,0)</f>
        <v/>
      </c>
      <c r="Y83" s="28">
        <f>IF(Y2&gt;=Assumptions!$B$51,Y82*Assumptions!$B$143,0)</f>
        <v/>
      </c>
      <c r="Z83" s="28">
        <f>IF(Z2&gt;=Assumptions!$B$51,Z82*Assumptions!$B$143,0)</f>
        <v/>
      </c>
      <c r="AA83" s="28">
        <f>IF(AA2&gt;=Assumptions!$B$51,AA82*Assumptions!$B$143,0)</f>
        <v/>
      </c>
      <c r="AB83" s="28">
        <f>IF(AB2&gt;=Assumptions!$B$51,AB82*Assumptions!$B$143,0)</f>
        <v/>
      </c>
      <c r="AC83" s="28">
        <f>IF(AC2&gt;=Assumptions!$B$51,AC82*Assumptions!$B$143,0)</f>
        <v/>
      </c>
      <c r="AD83" s="28">
        <f>IF(AD2&gt;=Assumptions!$B$51,AD82*Assumptions!$B$143,0)</f>
        <v/>
      </c>
      <c r="AE83" s="28">
        <f>IF(AE2&gt;=Assumptions!$B$51,AE82*Assumptions!$B$143,0)</f>
        <v/>
      </c>
    </row>
    <row r="84">
      <c r="A84" s="6" t="inlineStr">
        <is>
          <t xml:space="preserve">  Credit limit per customer (gold x LTV)</t>
        </is>
      </c>
      <c r="B84" s="23" t="inlineStr">
        <is>
          <t>USD</t>
        </is>
      </c>
      <c r="C84" s="55">
        <f>IF(C69=0,0,C80/C69*Assumptions!$B$31)</f>
        <v/>
      </c>
      <c r="D84" s="55">
        <f>IF(D69=0,0,D80/D69*Assumptions!$B$31)</f>
        <v/>
      </c>
      <c r="E84" s="55">
        <f>IF(E69=0,0,E80/E69*Assumptions!$B$31)</f>
        <v/>
      </c>
      <c r="F84" s="55">
        <f>IF(F69=0,0,F80/F69*Assumptions!$B$31)</f>
        <v/>
      </c>
      <c r="G84" s="55">
        <f>IF(G69=0,0,G80/G69*Assumptions!$B$31)</f>
        <v/>
      </c>
      <c r="H84" s="55">
        <f>IF(H69=0,0,H80/H69*Assumptions!$B$31)</f>
        <v/>
      </c>
      <c r="I84" s="55">
        <f>IF(I69=0,0,I80/I69*Assumptions!$B$31)</f>
        <v/>
      </c>
      <c r="J84" s="55">
        <f>IF(J69=0,0,J80/J69*Assumptions!$B$31)</f>
        <v/>
      </c>
      <c r="K84" s="55">
        <f>IF(K69=0,0,K80/K69*Assumptions!$B$31)</f>
        <v/>
      </c>
      <c r="L84" s="55">
        <f>IF(L69=0,0,L80/L69*Assumptions!$B$31)</f>
        <v/>
      </c>
      <c r="M84" s="55">
        <f>IF(M69=0,0,M80/M69*Assumptions!$B$31)</f>
        <v/>
      </c>
      <c r="N84" s="55">
        <f>IF(N69=0,0,N80/N69*Assumptions!$B$31)</f>
        <v/>
      </c>
      <c r="O84" s="55">
        <f>IF(O69=0,0,O80/O69*Assumptions!$B$31)</f>
        <v/>
      </c>
      <c r="P84" s="55">
        <f>IF(P69=0,0,P80/P69*Assumptions!$B$31)</f>
        <v/>
      </c>
      <c r="Q84" s="55">
        <f>IF(Q69=0,0,Q80/Q69*Assumptions!$B$31)</f>
        <v/>
      </c>
      <c r="R84" s="55">
        <f>IF(R69=0,0,R80/R69*Assumptions!$B$31)</f>
        <v/>
      </c>
      <c r="S84" s="55">
        <f>IF(S69=0,0,S80/S69*Assumptions!$B$31)</f>
        <v/>
      </c>
      <c r="T84" s="55">
        <f>IF(T69=0,0,T80/T69*Assumptions!$B$31)</f>
        <v/>
      </c>
      <c r="U84" s="55">
        <f>IF(U69=0,0,U80/U69*Assumptions!$B$31)</f>
        <v/>
      </c>
      <c r="V84" s="55">
        <f>IF(V69=0,0,V80/V69*Assumptions!$B$31)</f>
        <v/>
      </c>
      <c r="W84" s="55">
        <f>IF(W69=0,0,W80/W69*Assumptions!$B$31)</f>
        <v/>
      </c>
      <c r="X84" s="55">
        <f>IF(X69=0,0,X80/X69*Assumptions!$B$31)</f>
        <v/>
      </c>
      <c r="Y84" s="55">
        <f>IF(Y69=0,0,Y80/Y69*Assumptions!$B$31)</f>
        <v/>
      </c>
      <c r="Z84" s="55">
        <f>IF(Z69=0,0,Z80/Z69*Assumptions!$B$31)</f>
        <v/>
      </c>
      <c r="AA84" s="55">
        <f>IF(AA69=0,0,AA80/AA69*Assumptions!$B$31)</f>
        <v/>
      </c>
      <c r="AB84" s="55">
        <f>IF(AB69=0,0,AB80/AB69*Assumptions!$B$31)</f>
        <v/>
      </c>
      <c r="AC84" s="55">
        <f>IF(AC69=0,0,AC80/AC69*Assumptions!$B$31)</f>
        <v/>
      </c>
      <c r="AD84" s="55">
        <f>IF(AD69=0,0,AD80/AD69*Assumptions!$B$31)</f>
        <v/>
      </c>
      <c r="AE84" s="55">
        <f>IF(AE69=0,0,AE80/AE69*Assumptions!$B$31)</f>
        <v/>
      </c>
    </row>
    <row r="85">
      <c r="A85" s="6" t="inlineStr">
        <is>
          <t xml:space="preserve">  Annual drawdown per card (limit x drawn x draws)</t>
        </is>
      </c>
      <c r="B85" s="23" t="inlineStr">
        <is>
          <t>USD/yr</t>
        </is>
      </c>
      <c r="C85" s="55">
        <f>C84*Assumptions!$B$156*Assumptions!$B$158</f>
        <v/>
      </c>
      <c r="D85" s="55">
        <f>D84*Assumptions!$B$156*Assumptions!$B$158</f>
        <v/>
      </c>
      <c r="E85" s="55">
        <f>E84*Assumptions!$B$156*Assumptions!$B$158</f>
        <v/>
      </c>
      <c r="F85" s="55">
        <f>F84*Assumptions!$B$156*Assumptions!$B$158</f>
        <v/>
      </c>
      <c r="G85" s="55">
        <f>G84*Assumptions!$B$156*Assumptions!$B$158</f>
        <v/>
      </c>
      <c r="H85" s="55">
        <f>H84*Assumptions!$B$156*Assumptions!$B$158</f>
        <v/>
      </c>
      <c r="I85" s="55">
        <f>I84*Assumptions!$B$156*Assumptions!$B$158</f>
        <v/>
      </c>
      <c r="J85" s="55">
        <f>J84*Assumptions!$B$156*Assumptions!$B$158</f>
        <v/>
      </c>
      <c r="K85" s="55">
        <f>K84*Assumptions!$B$156*Assumptions!$B$158</f>
        <v/>
      </c>
      <c r="L85" s="55">
        <f>L84*Assumptions!$B$156*Assumptions!$B$158</f>
        <v/>
      </c>
      <c r="M85" s="55">
        <f>M84*Assumptions!$B$156*Assumptions!$B$158</f>
        <v/>
      </c>
      <c r="N85" s="55">
        <f>N84*Assumptions!$B$156*Assumptions!$B$158</f>
        <v/>
      </c>
      <c r="O85" s="55">
        <f>O84*Assumptions!$B$156*Assumptions!$B$158</f>
        <v/>
      </c>
      <c r="P85" s="55">
        <f>P84*Assumptions!$B$156*Assumptions!$B$158</f>
        <v/>
      </c>
      <c r="Q85" s="55">
        <f>Q84*Assumptions!$B$156*Assumptions!$B$158</f>
        <v/>
      </c>
      <c r="R85" s="55">
        <f>R84*Assumptions!$B$156*Assumptions!$B$158</f>
        <v/>
      </c>
      <c r="S85" s="55">
        <f>S84*Assumptions!$B$156*Assumptions!$B$158</f>
        <v/>
      </c>
      <c r="T85" s="55">
        <f>T84*Assumptions!$B$156*Assumptions!$B$158</f>
        <v/>
      </c>
      <c r="U85" s="55">
        <f>U84*Assumptions!$B$156*Assumptions!$B$158</f>
        <v/>
      </c>
      <c r="V85" s="55">
        <f>V84*Assumptions!$B$156*Assumptions!$B$158</f>
        <v/>
      </c>
      <c r="W85" s="55">
        <f>W84*Assumptions!$B$156*Assumptions!$B$158</f>
        <v/>
      </c>
      <c r="X85" s="55">
        <f>X84*Assumptions!$B$156*Assumptions!$B$158</f>
        <v/>
      </c>
      <c r="Y85" s="55">
        <f>Y84*Assumptions!$B$156*Assumptions!$B$158</f>
        <v/>
      </c>
      <c r="Z85" s="55">
        <f>Z84*Assumptions!$B$156*Assumptions!$B$158</f>
        <v/>
      </c>
      <c r="AA85" s="55">
        <f>AA84*Assumptions!$B$156*Assumptions!$B$158</f>
        <v/>
      </c>
      <c r="AB85" s="55">
        <f>AB84*Assumptions!$B$156*Assumptions!$B$158</f>
        <v/>
      </c>
      <c r="AC85" s="55">
        <f>AC84*Assumptions!$B$156*Assumptions!$B$158</f>
        <v/>
      </c>
      <c r="AD85" s="55">
        <f>AD84*Assumptions!$B$156*Assumptions!$B$158</f>
        <v/>
      </c>
      <c r="AE85" s="55">
        <f>AE84*Assumptions!$B$156*Assumptions!$B$158</f>
        <v/>
      </c>
    </row>
    <row r="86">
      <c r="A86" s="6" t="inlineStr">
        <is>
          <t xml:space="preserve">  Card spend per card per month</t>
        </is>
      </c>
      <c r="B86" s="23" t="inlineStr">
        <is>
          <t>USD</t>
        </is>
      </c>
      <c r="C86" s="55">
        <f>C85/12*C16</f>
        <v/>
      </c>
      <c r="D86" s="55">
        <f>D85/12*D16</f>
        <v/>
      </c>
      <c r="E86" s="55">
        <f>E85/12*E16</f>
        <v/>
      </c>
      <c r="F86" s="55">
        <f>F85/12*F16</f>
        <v/>
      </c>
      <c r="G86" s="55">
        <f>G85/12*G16</f>
        <v/>
      </c>
      <c r="H86" s="55">
        <f>H85/12*H16</f>
        <v/>
      </c>
      <c r="I86" s="55">
        <f>I85/12*I16</f>
        <v/>
      </c>
      <c r="J86" s="55">
        <f>J85/12*J16</f>
        <v/>
      </c>
      <c r="K86" s="55">
        <f>K85/12*K16</f>
        <v/>
      </c>
      <c r="L86" s="55">
        <f>L85/12*L16</f>
        <v/>
      </c>
      <c r="M86" s="55">
        <f>M85/12*M16</f>
        <v/>
      </c>
      <c r="N86" s="55">
        <f>N85/12*N16</f>
        <v/>
      </c>
      <c r="O86" s="55">
        <f>O85/12*O16</f>
        <v/>
      </c>
      <c r="P86" s="55">
        <f>P85/12*P16</f>
        <v/>
      </c>
      <c r="Q86" s="55">
        <f>Q85/12*Q16</f>
        <v/>
      </c>
      <c r="R86" s="55">
        <f>R85/12*R16</f>
        <v/>
      </c>
      <c r="S86" s="55">
        <f>S85/12*S16</f>
        <v/>
      </c>
      <c r="T86" s="55">
        <f>T85/12*T16</f>
        <v/>
      </c>
      <c r="U86" s="55">
        <f>U85/12*U16</f>
        <v/>
      </c>
      <c r="V86" s="55">
        <f>V85/12*V16</f>
        <v/>
      </c>
      <c r="W86" s="55">
        <f>W85/12*W16</f>
        <v/>
      </c>
      <c r="X86" s="55">
        <f>X85/12*X16</f>
        <v/>
      </c>
      <c r="Y86" s="55">
        <f>Y85/12*Y16</f>
        <v/>
      </c>
      <c r="Z86" s="55">
        <f>Z85/12*Z16</f>
        <v/>
      </c>
      <c r="AA86" s="55">
        <f>AA85/12*AA16</f>
        <v/>
      </c>
      <c r="AB86" s="55">
        <f>AB85/12*AB16</f>
        <v/>
      </c>
      <c r="AC86" s="55">
        <f>AC85/12*AC16</f>
        <v/>
      </c>
      <c r="AD86" s="55">
        <f>AD85/12*AD16</f>
        <v/>
      </c>
      <c r="AE86" s="55">
        <f>AE85/12*AE16</f>
        <v/>
      </c>
    </row>
    <row r="87">
      <c r="A87" s="6" t="inlineStr">
        <is>
          <t xml:space="preserve">  Card spend</t>
        </is>
      </c>
      <c r="B87" s="23" t="inlineStr">
        <is>
          <t>AED</t>
        </is>
      </c>
      <c r="C87" s="45">
        <f>C83*C86*Assumptions!$B$7*C7</f>
        <v/>
      </c>
      <c r="D87" s="45">
        <f>D83*D86*Assumptions!$B$7*D7</f>
        <v/>
      </c>
      <c r="E87" s="45">
        <f>E83*E86*Assumptions!$B$7*E7</f>
        <v/>
      </c>
      <c r="F87" s="45">
        <f>F83*F86*Assumptions!$B$7*F7</f>
        <v/>
      </c>
      <c r="G87" s="45">
        <f>G83*G86*Assumptions!$B$7*G7</f>
        <v/>
      </c>
      <c r="H87" s="45">
        <f>H83*H86*Assumptions!$B$7*H7</f>
        <v/>
      </c>
      <c r="I87" s="45">
        <f>I83*I86*Assumptions!$B$7*I7</f>
        <v/>
      </c>
      <c r="J87" s="45">
        <f>J83*J86*Assumptions!$B$7*J7</f>
        <v/>
      </c>
      <c r="K87" s="45">
        <f>K83*K86*Assumptions!$B$7*K7</f>
        <v/>
      </c>
      <c r="L87" s="45">
        <f>L83*L86*Assumptions!$B$7*L7</f>
        <v/>
      </c>
      <c r="M87" s="45">
        <f>M83*M86*Assumptions!$B$7*M7</f>
        <v/>
      </c>
      <c r="N87" s="45">
        <f>N83*N86*Assumptions!$B$7*N7</f>
        <v/>
      </c>
      <c r="O87" s="45">
        <f>O83*O86*Assumptions!$B$7*O7</f>
        <v/>
      </c>
      <c r="P87" s="45">
        <f>P83*P86*Assumptions!$B$7*P7</f>
        <v/>
      </c>
      <c r="Q87" s="45">
        <f>Q83*Q86*Assumptions!$B$7*Q7</f>
        <v/>
      </c>
      <c r="R87" s="45">
        <f>R83*R86*Assumptions!$B$7*R7</f>
        <v/>
      </c>
      <c r="S87" s="45">
        <f>S83*S86*Assumptions!$B$7*S7</f>
        <v/>
      </c>
      <c r="T87" s="45">
        <f>T83*T86*Assumptions!$B$7*T7</f>
        <v/>
      </c>
      <c r="U87" s="45">
        <f>U83*U86*Assumptions!$B$7*U7</f>
        <v/>
      </c>
      <c r="V87" s="45">
        <f>V83*V86*Assumptions!$B$7*V7</f>
        <v/>
      </c>
      <c r="W87" s="45">
        <f>W83*W86*Assumptions!$B$7*W7</f>
        <v/>
      </c>
      <c r="X87" s="45">
        <f>X83*X86*Assumptions!$B$7*X7</f>
        <v/>
      </c>
      <c r="Y87" s="45">
        <f>Y83*Y86*Assumptions!$B$7*Y7</f>
        <v/>
      </c>
      <c r="Z87" s="45">
        <f>Z83*Z86*Assumptions!$B$7*Z7</f>
        <v/>
      </c>
      <c r="AA87" s="45">
        <f>AA83*AA86*Assumptions!$B$7*AA7</f>
        <v/>
      </c>
      <c r="AB87" s="45">
        <f>AB83*AB86*Assumptions!$B$7*AB7</f>
        <v/>
      </c>
      <c r="AC87" s="45">
        <f>AC83*AC86*Assumptions!$B$7*AC7</f>
        <v/>
      </c>
      <c r="AD87" s="45">
        <f>AD83*AD86*Assumptions!$B$7*AD7</f>
        <v/>
      </c>
      <c r="AE87" s="45">
        <f>AE83*AE86*Assumptions!$B$7*AE7</f>
        <v/>
      </c>
    </row>
    <row r="88">
      <c r="A88" s="6" t="inlineStr">
        <is>
          <t xml:space="preserve">  Card spend</t>
        </is>
      </c>
      <c r="B88" s="23" t="inlineStr">
        <is>
          <t>USD</t>
        </is>
      </c>
      <c r="C88" s="55">
        <f>C87/Assumptions!$B$7</f>
        <v/>
      </c>
      <c r="D88" s="55">
        <f>D87/Assumptions!$B$7</f>
        <v/>
      </c>
      <c r="E88" s="55">
        <f>E87/Assumptions!$B$7</f>
        <v/>
      </c>
      <c r="F88" s="55">
        <f>F87/Assumptions!$B$7</f>
        <v/>
      </c>
      <c r="G88" s="55">
        <f>G87/Assumptions!$B$7</f>
        <v/>
      </c>
      <c r="H88" s="55">
        <f>H87/Assumptions!$B$7</f>
        <v/>
      </c>
      <c r="I88" s="55">
        <f>I87/Assumptions!$B$7</f>
        <v/>
      </c>
      <c r="J88" s="55">
        <f>J87/Assumptions!$B$7</f>
        <v/>
      </c>
      <c r="K88" s="55">
        <f>K87/Assumptions!$B$7</f>
        <v/>
      </c>
      <c r="L88" s="55">
        <f>L87/Assumptions!$B$7</f>
        <v/>
      </c>
      <c r="M88" s="55">
        <f>M87/Assumptions!$B$7</f>
        <v/>
      </c>
      <c r="N88" s="55">
        <f>N87/Assumptions!$B$7</f>
        <v/>
      </c>
      <c r="O88" s="55">
        <f>O87/Assumptions!$B$7</f>
        <v/>
      </c>
      <c r="P88" s="55">
        <f>P87/Assumptions!$B$7</f>
        <v/>
      </c>
      <c r="Q88" s="55">
        <f>Q87/Assumptions!$B$7</f>
        <v/>
      </c>
      <c r="R88" s="55">
        <f>R87/Assumptions!$B$7</f>
        <v/>
      </c>
      <c r="S88" s="55">
        <f>S87/Assumptions!$B$7</f>
        <v/>
      </c>
      <c r="T88" s="55">
        <f>T87/Assumptions!$B$7</f>
        <v/>
      </c>
      <c r="U88" s="55">
        <f>U87/Assumptions!$B$7</f>
        <v/>
      </c>
      <c r="V88" s="55">
        <f>V87/Assumptions!$B$7</f>
        <v/>
      </c>
      <c r="W88" s="55">
        <f>W87/Assumptions!$B$7</f>
        <v/>
      </c>
      <c r="X88" s="55">
        <f>X87/Assumptions!$B$7</f>
        <v/>
      </c>
      <c r="Y88" s="55">
        <f>Y87/Assumptions!$B$7</f>
        <v/>
      </c>
      <c r="Z88" s="55">
        <f>Z87/Assumptions!$B$7</f>
        <v/>
      </c>
      <c r="AA88" s="55">
        <f>AA87/Assumptions!$B$7</f>
        <v/>
      </c>
      <c r="AB88" s="55">
        <f>AB87/Assumptions!$B$7</f>
        <v/>
      </c>
      <c r="AC88" s="55">
        <f>AC87/Assumptions!$B$7</f>
        <v/>
      </c>
      <c r="AD88" s="55">
        <f>AD87/Assumptions!$B$7</f>
        <v/>
      </c>
      <c r="AE88" s="55">
        <f>AE87/Assumptions!$B$7</f>
        <v/>
      </c>
    </row>
    <row r="89">
      <c r="A89" s="6" t="inlineStr">
        <is>
          <t xml:space="preserve">  Average transaction size (derived)</t>
        </is>
      </c>
      <c r="B89" s="23" t="inlineStr">
        <is>
          <t>AED</t>
        </is>
      </c>
      <c r="C89" s="45">
        <f>IF(Assumptions!$B$144=0,0,C84*Assumptions!$B$156*Assumptions!$B$7/Assumptions!$B$144)</f>
        <v/>
      </c>
      <c r="D89" s="45">
        <f>IF(Assumptions!$B$144=0,0,D84*Assumptions!$B$156*Assumptions!$B$7/Assumptions!$B$144)</f>
        <v/>
      </c>
      <c r="E89" s="45">
        <f>IF(Assumptions!$B$144=0,0,E84*Assumptions!$B$156*Assumptions!$B$7/Assumptions!$B$144)</f>
        <v/>
      </c>
      <c r="F89" s="45">
        <f>IF(Assumptions!$B$144=0,0,F84*Assumptions!$B$156*Assumptions!$B$7/Assumptions!$B$144)</f>
        <v/>
      </c>
      <c r="G89" s="45">
        <f>IF(Assumptions!$B$144=0,0,G84*Assumptions!$B$156*Assumptions!$B$7/Assumptions!$B$144)</f>
        <v/>
      </c>
      <c r="H89" s="45">
        <f>IF(Assumptions!$B$144=0,0,H84*Assumptions!$B$156*Assumptions!$B$7/Assumptions!$B$144)</f>
        <v/>
      </c>
      <c r="I89" s="45">
        <f>IF(Assumptions!$B$144=0,0,I84*Assumptions!$B$156*Assumptions!$B$7/Assumptions!$B$144)</f>
        <v/>
      </c>
      <c r="J89" s="45">
        <f>IF(Assumptions!$B$144=0,0,J84*Assumptions!$B$156*Assumptions!$B$7/Assumptions!$B$144)</f>
        <v/>
      </c>
      <c r="K89" s="45">
        <f>IF(Assumptions!$B$144=0,0,K84*Assumptions!$B$156*Assumptions!$B$7/Assumptions!$B$144)</f>
        <v/>
      </c>
      <c r="L89" s="45">
        <f>IF(Assumptions!$B$144=0,0,L84*Assumptions!$B$156*Assumptions!$B$7/Assumptions!$B$144)</f>
        <v/>
      </c>
      <c r="M89" s="45">
        <f>IF(Assumptions!$B$144=0,0,M84*Assumptions!$B$156*Assumptions!$B$7/Assumptions!$B$144)</f>
        <v/>
      </c>
      <c r="N89" s="45">
        <f>IF(Assumptions!$B$144=0,0,N84*Assumptions!$B$156*Assumptions!$B$7/Assumptions!$B$144)</f>
        <v/>
      </c>
      <c r="O89" s="45">
        <f>IF(Assumptions!$B$144=0,0,O84*Assumptions!$B$156*Assumptions!$B$7/Assumptions!$B$144)</f>
        <v/>
      </c>
      <c r="P89" s="45">
        <f>IF(Assumptions!$B$144=0,0,P84*Assumptions!$B$156*Assumptions!$B$7/Assumptions!$B$144)</f>
        <v/>
      </c>
      <c r="Q89" s="45">
        <f>IF(Assumptions!$B$144=0,0,Q84*Assumptions!$B$156*Assumptions!$B$7/Assumptions!$B$144)</f>
        <v/>
      </c>
      <c r="R89" s="45">
        <f>IF(Assumptions!$B$144=0,0,R84*Assumptions!$B$156*Assumptions!$B$7/Assumptions!$B$144)</f>
        <v/>
      </c>
      <c r="S89" s="45">
        <f>IF(Assumptions!$B$144=0,0,S84*Assumptions!$B$156*Assumptions!$B$7/Assumptions!$B$144)</f>
        <v/>
      </c>
      <c r="T89" s="45">
        <f>IF(Assumptions!$B$144=0,0,T84*Assumptions!$B$156*Assumptions!$B$7/Assumptions!$B$144)</f>
        <v/>
      </c>
      <c r="U89" s="45">
        <f>IF(Assumptions!$B$144=0,0,U84*Assumptions!$B$156*Assumptions!$B$7/Assumptions!$B$144)</f>
        <v/>
      </c>
      <c r="V89" s="45">
        <f>IF(Assumptions!$B$144=0,0,V84*Assumptions!$B$156*Assumptions!$B$7/Assumptions!$B$144)</f>
        <v/>
      </c>
      <c r="W89" s="45">
        <f>IF(Assumptions!$B$144=0,0,W84*Assumptions!$B$156*Assumptions!$B$7/Assumptions!$B$144)</f>
        <v/>
      </c>
      <c r="X89" s="45">
        <f>IF(Assumptions!$B$144=0,0,X84*Assumptions!$B$156*Assumptions!$B$7/Assumptions!$B$144)</f>
        <v/>
      </c>
      <c r="Y89" s="45">
        <f>IF(Assumptions!$B$144=0,0,Y84*Assumptions!$B$156*Assumptions!$B$7/Assumptions!$B$144)</f>
        <v/>
      </c>
      <c r="Z89" s="45">
        <f>IF(Assumptions!$B$144=0,0,Z84*Assumptions!$B$156*Assumptions!$B$7/Assumptions!$B$144)</f>
        <v/>
      </c>
      <c r="AA89" s="45">
        <f>IF(Assumptions!$B$144=0,0,AA84*Assumptions!$B$156*Assumptions!$B$7/Assumptions!$B$144)</f>
        <v/>
      </c>
      <c r="AB89" s="45">
        <f>IF(Assumptions!$B$144=0,0,AB84*Assumptions!$B$156*Assumptions!$B$7/Assumptions!$B$144)</f>
        <v/>
      </c>
      <c r="AC89" s="45">
        <f>IF(Assumptions!$B$144=0,0,AC84*Assumptions!$B$156*Assumptions!$B$7/Assumptions!$B$144)</f>
        <v/>
      </c>
      <c r="AD89" s="45">
        <f>IF(Assumptions!$B$144=0,0,AD84*Assumptions!$B$156*Assumptions!$B$7/Assumptions!$B$144)</f>
        <v/>
      </c>
      <c r="AE89" s="45">
        <f>IF(Assumptions!$B$144=0,0,AE84*Assumptions!$B$156*Assumptions!$B$7/Assumptions!$B$144)</f>
        <v/>
      </c>
    </row>
    <row r="90">
      <c r="A90" s="6" t="inlineStr">
        <is>
          <t xml:space="preserve">  Card authorisations (memo - drives cost, not revenue)</t>
        </is>
      </c>
      <c r="B90" s="23" t="inlineStr">
        <is>
          <t>auths</t>
        </is>
      </c>
      <c r="C90" s="45">
        <f>C83*Assumptions!$B$158*Assumptions!$B$144*C7/12*(1+Assumptions!$B$16)</f>
        <v/>
      </c>
      <c r="D90" s="45">
        <f>D83*Assumptions!$B$158*Assumptions!$B$144*D7/12*(1+Assumptions!$B$16)</f>
        <v/>
      </c>
      <c r="E90" s="45">
        <f>E83*Assumptions!$B$158*Assumptions!$B$144*E7/12*(1+Assumptions!$B$16)</f>
        <v/>
      </c>
      <c r="F90" s="45">
        <f>F83*Assumptions!$B$158*Assumptions!$B$144*F7/12*(1+Assumptions!$B$16)</f>
        <v/>
      </c>
      <c r="G90" s="45">
        <f>G83*Assumptions!$B$158*Assumptions!$B$144*G7/12*(1+Assumptions!$B$16)</f>
        <v/>
      </c>
      <c r="H90" s="45">
        <f>H83*Assumptions!$B$158*Assumptions!$B$144*H7/12*(1+Assumptions!$B$16)</f>
        <v/>
      </c>
      <c r="I90" s="45">
        <f>I83*Assumptions!$B$158*Assumptions!$B$144*I7/12*(1+Assumptions!$B$16)</f>
        <v/>
      </c>
      <c r="J90" s="45">
        <f>J83*Assumptions!$B$158*Assumptions!$B$144*J7/12*(1+Assumptions!$B$16)</f>
        <v/>
      </c>
      <c r="K90" s="45">
        <f>K83*Assumptions!$B$158*Assumptions!$B$144*K7/12*(1+Assumptions!$B$16)</f>
        <v/>
      </c>
      <c r="L90" s="45">
        <f>L83*Assumptions!$B$158*Assumptions!$B$144*L7/12*(1+Assumptions!$B$16)</f>
        <v/>
      </c>
      <c r="M90" s="45">
        <f>M83*Assumptions!$B$158*Assumptions!$B$144*M7/12*(1+Assumptions!$B$16)</f>
        <v/>
      </c>
      <c r="N90" s="45">
        <f>N83*Assumptions!$B$158*Assumptions!$B$144*N7/12*(1+Assumptions!$B$16)</f>
        <v/>
      </c>
      <c r="O90" s="45">
        <f>O83*Assumptions!$B$158*Assumptions!$B$144*O7/12*(1+Assumptions!$B$16)</f>
        <v/>
      </c>
      <c r="P90" s="45">
        <f>P83*Assumptions!$B$158*Assumptions!$B$144*P7/12*(1+Assumptions!$B$16)</f>
        <v/>
      </c>
      <c r="Q90" s="45">
        <f>Q83*Assumptions!$B$158*Assumptions!$B$144*Q7/12*(1+Assumptions!$B$16)</f>
        <v/>
      </c>
      <c r="R90" s="45">
        <f>R83*Assumptions!$B$158*Assumptions!$B$144*R7/12*(1+Assumptions!$B$16)</f>
        <v/>
      </c>
      <c r="S90" s="45">
        <f>S83*Assumptions!$B$158*Assumptions!$B$144*S7/12*(1+Assumptions!$B$16)</f>
        <v/>
      </c>
      <c r="T90" s="45">
        <f>T83*Assumptions!$B$158*Assumptions!$B$144*T7/12*(1+Assumptions!$B$16)</f>
        <v/>
      </c>
      <c r="U90" s="45">
        <f>U83*Assumptions!$B$158*Assumptions!$B$144*U7/12*(1+Assumptions!$B$16)</f>
        <v/>
      </c>
      <c r="V90" s="45">
        <f>V83*Assumptions!$B$158*Assumptions!$B$144*V7/12*(1+Assumptions!$B$16)</f>
        <v/>
      </c>
      <c r="W90" s="45">
        <f>W83*Assumptions!$B$158*Assumptions!$B$144*W7/12*(1+Assumptions!$B$16)</f>
        <v/>
      </c>
      <c r="X90" s="45">
        <f>X83*Assumptions!$B$158*Assumptions!$B$144*X7/12*(1+Assumptions!$B$16)</f>
        <v/>
      </c>
      <c r="Y90" s="45">
        <f>Y83*Assumptions!$B$158*Assumptions!$B$144*Y7/12*(1+Assumptions!$B$16)</f>
        <v/>
      </c>
      <c r="Z90" s="45">
        <f>Z83*Assumptions!$B$158*Assumptions!$B$144*Z7/12*(1+Assumptions!$B$16)</f>
        <v/>
      </c>
      <c r="AA90" s="45">
        <f>AA83*Assumptions!$B$158*Assumptions!$B$144*AA7/12*(1+Assumptions!$B$16)</f>
        <v/>
      </c>
      <c r="AB90" s="45">
        <f>AB83*Assumptions!$B$158*Assumptions!$B$144*AB7/12*(1+Assumptions!$B$16)</f>
        <v/>
      </c>
      <c r="AC90" s="45">
        <f>AC83*Assumptions!$B$158*Assumptions!$B$144*AC7/12*(1+Assumptions!$B$16)</f>
        <v/>
      </c>
      <c r="AD90" s="45">
        <f>AD83*Assumptions!$B$158*Assumptions!$B$144*AD7/12*(1+Assumptions!$B$16)</f>
        <v/>
      </c>
      <c r="AE90" s="45">
        <f>AE83*Assumptions!$B$158*Assumptions!$B$144*AE7/12*(1+Assumptions!$B$16)</f>
        <v/>
      </c>
    </row>
    <row r="91">
      <c r="A91" s="6" t="inlineStr">
        <is>
          <t xml:space="preserve">  Stream 1a - Entry fee, SIP</t>
        </is>
      </c>
      <c r="B91" s="23" t="inlineStr">
        <is>
          <t>USD</t>
        </is>
      </c>
      <c r="C91" s="55">
        <f>C73*Assumptions!$B$8</f>
        <v/>
      </c>
      <c r="D91" s="55">
        <f>D73*Assumptions!$B$8</f>
        <v/>
      </c>
      <c r="E91" s="55">
        <f>E73*Assumptions!$B$8</f>
        <v/>
      </c>
      <c r="F91" s="55">
        <f>F73*Assumptions!$B$8</f>
        <v/>
      </c>
      <c r="G91" s="55">
        <f>G73*Assumptions!$B$8</f>
        <v/>
      </c>
      <c r="H91" s="55">
        <f>H73*Assumptions!$B$8</f>
        <v/>
      </c>
      <c r="I91" s="55">
        <f>I73*Assumptions!$B$8</f>
        <v/>
      </c>
      <c r="J91" s="55">
        <f>J73*Assumptions!$B$8</f>
        <v/>
      </c>
      <c r="K91" s="55">
        <f>K73*Assumptions!$B$8</f>
        <v/>
      </c>
      <c r="L91" s="55">
        <f>L73*Assumptions!$B$8</f>
        <v/>
      </c>
      <c r="M91" s="55">
        <f>M73*Assumptions!$B$8</f>
        <v/>
      </c>
      <c r="N91" s="55">
        <f>N73*Assumptions!$B$8</f>
        <v/>
      </c>
      <c r="O91" s="55">
        <f>O73*Assumptions!$B$8</f>
        <v/>
      </c>
      <c r="P91" s="55">
        <f>P73*Assumptions!$B$8</f>
        <v/>
      </c>
      <c r="Q91" s="55">
        <f>Q73*Assumptions!$B$8</f>
        <v/>
      </c>
      <c r="R91" s="55">
        <f>R73*Assumptions!$B$8</f>
        <v/>
      </c>
      <c r="S91" s="55">
        <f>S73*Assumptions!$B$8</f>
        <v/>
      </c>
      <c r="T91" s="55">
        <f>T73*Assumptions!$B$8</f>
        <v/>
      </c>
      <c r="U91" s="55">
        <f>U73*Assumptions!$B$8</f>
        <v/>
      </c>
      <c r="V91" s="55">
        <f>V73*Assumptions!$B$8</f>
        <v/>
      </c>
      <c r="W91" s="55">
        <f>W73*Assumptions!$B$8</f>
        <v/>
      </c>
      <c r="X91" s="55">
        <f>X73*Assumptions!$B$8</f>
        <v/>
      </c>
      <c r="Y91" s="55">
        <f>Y73*Assumptions!$B$8</f>
        <v/>
      </c>
      <c r="Z91" s="55">
        <f>Z73*Assumptions!$B$8</f>
        <v/>
      </c>
      <c r="AA91" s="55">
        <f>AA73*Assumptions!$B$8</f>
        <v/>
      </c>
      <c r="AB91" s="55">
        <f>AB73*Assumptions!$B$8</f>
        <v/>
      </c>
      <c r="AC91" s="55">
        <f>AC73*Assumptions!$B$8</f>
        <v/>
      </c>
      <c r="AD91" s="55">
        <f>AD73*Assumptions!$B$8</f>
        <v/>
      </c>
      <c r="AE91" s="55">
        <f>AE73*Assumptions!$B$8</f>
        <v/>
      </c>
    </row>
    <row r="92">
      <c r="A92" s="6" t="inlineStr">
        <is>
          <t xml:space="preserve">  Stream 1b - Entry fee, SPOT</t>
        </is>
      </c>
      <c r="B92" s="23" t="inlineStr">
        <is>
          <t>USD</t>
        </is>
      </c>
      <c r="C92" s="55">
        <f>C74*Assumptions!$B$8</f>
        <v/>
      </c>
      <c r="D92" s="55">
        <f>D74*Assumptions!$B$8</f>
        <v/>
      </c>
      <c r="E92" s="55">
        <f>E74*Assumptions!$B$8</f>
        <v/>
      </c>
      <c r="F92" s="55">
        <f>F74*Assumptions!$B$8</f>
        <v/>
      </c>
      <c r="G92" s="55">
        <f>G74*Assumptions!$B$8</f>
        <v/>
      </c>
      <c r="H92" s="55">
        <f>H74*Assumptions!$B$8</f>
        <v/>
      </c>
      <c r="I92" s="55">
        <f>I74*Assumptions!$B$8</f>
        <v/>
      </c>
      <c r="J92" s="55">
        <f>J74*Assumptions!$B$8</f>
        <v/>
      </c>
      <c r="K92" s="55">
        <f>K74*Assumptions!$B$8</f>
        <v/>
      </c>
      <c r="L92" s="55">
        <f>L74*Assumptions!$B$8</f>
        <v/>
      </c>
      <c r="M92" s="55">
        <f>M74*Assumptions!$B$8</f>
        <v/>
      </c>
      <c r="N92" s="55">
        <f>N74*Assumptions!$B$8</f>
        <v/>
      </c>
      <c r="O92" s="55">
        <f>O74*Assumptions!$B$8</f>
        <v/>
      </c>
      <c r="P92" s="55">
        <f>P74*Assumptions!$B$8</f>
        <v/>
      </c>
      <c r="Q92" s="55">
        <f>Q74*Assumptions!$B$8</f>
        <v/>
      </c>
      <c r="R92" s="55">
        <f>R74*Assumptions!$B$8</f>
        <v/>
      </c>
      <c r="S92" s="55">
        <f>S74*Assumptions!$B$8</f>
        <v/>
      </c>
      <c r="T92" s="55">
        <f>T74*Assumptions!$B$8</f>
        <v/>
      </c>
      <c r="U92" s="55">
        <f>U74*Assumptions!$B$8</f>
        <v/>
      </c>
      <c r="V92" s="55">
        <f>V74*Assumptions!$B$8</f>
        <v/>
      </c>
      <c r="W92" s="55">
        <f>W74*Assumptions!$B$8</f>
        <v/>
      </c>
      <c r="X92" s="55">
        <f>X74*Assumptions!$B$8</f>
        <v/>
      </c>
      <c r="Y92" s="55">
        <f>Y74*Assumptions!$B$8</f>
        <v/>
      </c>
      <c r="Z92" s="55">
        <f>Z74*Assumptions!$B$8</f>
        <v/>
      </c>
      <c r="AA92" s="55">
        <f>AA74*Assumptions!$B$8</f>
        <v/>
      </c>
      <c r="AB92" s="55">
        <f>AB74*Assumptions!$B$8</f>
        <v/>
      </c>
      <c r="AC92" s="55">
        <f>AC74*Assumptions!$B$8</f>
        <v/>
      </c>
      <c r="AD92" s="55">
        <f>AD74*Assumptions!$B$8</f>
        <v/>
      </c>
      <c r="AE92" s="55">
        <f>AE74*Assumptions!$B$8</f>
        <v/>
      </c>
    </row>
    <row r="93">
      <c r="A93" s="6" t="inlineStr">
        <is>
          <t xml:space="preserve">  Stream 2 - Card interchange</t>
        </is>
      </c>
      <c r="B93" s="23" t="inlineStr">
        <is>
          <t>USD</t>
        </is>
      </c>
      <c r="C93" s="55">
        <f>C88*IF(Assumptions!$B$171=1,MIN(Assumptions!$B$14,1%),Assumptions!$B$14)*(1-Assumptions!$B$142)</f>
        <v/>
      </c>
      <c r="D93" s="55">
        <f>D88*IF(Assumptions!$B$171=1,MIN(Assumptions!$B$14,1%),Assumptions!$B$14)*(1-Assumptions!$B$142)</f>
        <v/>
      </c>
      <c r="E93" s="55">
        <f>E88*IF(Assumptions!$B$171=1,MIN(Assumptions!$B$14,1%),Assumptions!$B$14)*(1-Assumptions!$B$142)</f>
        <v/>
      </c>
      <c r="F93" s="55">
        <f>F88*IF(Assumptions!$B$171=1,MIN(Assumptions!$B$14,1%),Assumptions!$B$14)*(1-Assumptions!$B$142)</f>
        <v/>
      </c>
      <c r="G93" s="55">
        <f>G88*IF(Assumptions!$B$171=1,MIN(Assumptions!$B$14,1%),Assumptions!$B$14)*(1-Assumptions!$B$142)</f>
        <v/>
      </c>
      <c r="H93" s="55">
        <f>H88*IF(Assumptions!$B$171=1,MIN(Assumptions!$B$14,1%),Assumptions!$B$14)*(1-Assumptions!$B$142)</f>
        <v/>
      </c>
      <c r="I93" s="55">
        <f>I88*IF(Assumptions!$B$171=1,MIN(Assumptions!$B$14,1%),Assumptions!$B$14)*(1-Assumptions!$B$142)</f>
        <v/>
      </c>
      <c r="J93" s="55">
        <f>J88*IF(Assumptions!$B$171=1,MIN(Assumptions!$B$14,1%),Assumptions!$B$14)*(1-Assumptions!$B$142)</f>
        <v/>
      </c>
      <c r="K93" s="55">
        <f>K88*IF(Assumptions!$B$171=1,MIN(Assumptions!$B$14,1%),Assumptions!$B$14)*(1-Assumptions!$B$142)</f>
        <v/>
      </c>
      <c r="L93" s="55">
        <f>L88*IF(Assumptions!$B$171=1,MIN(Assumptions!$B$14,1%),Assumptions!$B$14)*(1-Assumptions!$B$142)</f>
        <v/>
      </c>
      <c r="M93" s="55">
        <f>M88*IF(Assumptions!$B$171=1,MIN(Assumptions!$B$14,1%),Assumptions!$B$14)*(1-Assumptions!$B$142)</f>
        <v/>
      </c>
      <c r="N93" s="55">
        <f>N88*IF(Assumptions!$B$171=1,MIN(Assumptions!$B$14,1%),Assumptions!$B$14)*(1-Assumptions!$B$142)</f>
        <v/>
      </c>
      <c r="O93" s="55">
        <f>O88*IF(Assumptions!$B$171=1,MIN(Assumptions!$B$14,1%),Assumptions!$B$14)*(1-Assumptions!$B$142)</f>
        <v/>
      </c>
      <c r="P93" s="55">
        <f>P88*IF(Assumptions!$B$171=1,MIN(Assumptions!$B$14,1%),Assumptions!$B$14)*(1-Assumptions!$B$142)</f>
        <v/>
      </c>
      <c r="Q93" s="55">
        <f>Q88*IF(Assumptions!$B$171=1,MIN(Assumptions!$B$14,1%),Assumptions!$B$14)*(1-Assumptions!$B$142)</f>
        <v/>
      </c>
      <c r="R93" s="55">
        <f>R88*IF(Assumptions!$B$171=1,MIN(Assumptions!$B$14,1%),Assumptions!$B$14)*(1-Assumptions!$B$142)</f>
        <v/>
      </c>
      <c r="S93" s="55">
        <f>S88*IF(Assumptions!$B$171=1,MIN(Assumptions!$B$14,1%),Assumptions!$B$14)*(1-Assumptions!$B$142)</f>
        <v/>
      </c>
      <c r="T93" s="55">
        <f>T88*IF(Assumptions!$B$171=1,MIN(Assumptions!$B$14,1%),Assumptions!$B$14)*(1-Assumptions!$B$142)</f>
        <v/>
      </c>
      <c r="U93" s="55">
        <f>U88*IF(Assumptions!$B$171=1,MIN(Assumptions!$B$14,1%),Assumptions!$B$14)*(1-Assumptions!$B$142)</f>
        <v/>
      </c>
      <c r="V93" s="55">
        <f>V88*IF(Assumptions!$B$171=1,MIN(Assumptions!$B$14,1%),Assumptions!$B$14)*(1-Assumptions!$B$142)</f>
        <v/>
      </c>
      <c r="W93" s="55">
        <f>W88*IF(Assumptions!$B$171=1,MIN(Assumptions!$B$14,1%),Assumptions!$B$14)*(1-Assumptions!$B$142)</f>
        <v/>
      </c>
      <c r="X93" s="55">
        <f>X88*IF(Assumptions!$B$171=1,MIN(Assumptions!$B$14,1%),Assumptions!$B$14)*(1-Assumptions!$B$142)</f>
        <v/>
      </c>
      <c r="Y93" s="55">
        <f>Y88*IF(Assumptions!$B$171=1,MIN(Assumptions!$B$14,1%),Assumptions!$B$14)*(1-Assumptions!$B$142)</f>
        <v/>
      </c>
      <c r="Z93" s="55">
        <f>Z88*IF(Assumptions!$B$171=1,MIN(Assumptions!$B$14,1%),Assumptions!$B$14)*(1-Assumptions!$B$142)</f>
        <v/>
      </c>
      <c r="AA93" s="55">
        <f>AA88*IF(Assumptions!$B$171=1,MIN(Assumptions!$B$14,1%),Assumptions!$B$14)*(1-Assumptions!$B$142)</f>
        <v/>
      </c>
      <c r="AB93" s="55">
        <f>AB88*IF(Assumptions!$B$171=1,MIN(Assumptions!$B$14,1%),Assumptions!$B$14)*(1-Assumptions!$B$142)</f>
        <v/>
      </c>
      <c r="AC93" s="55">
        <f>AC88*IF(Assumptions!$B$171=1,MIN(Assumptions!$B$14,1%),Assumptions!$B$14)*(1-Assumptions!$B$142)</f>
        <v/>
      </c>
      <c r="AD93" s="55">
        <f>AD88*IF(Assumptions!$B$171=1,MIN(Assumptions!$B$14,1%),Assumptions!$B$14)*(1-Assumptions!$B$142)</f>
        <v/>
      </c>
      <c r="AE93" s="55">
        <f>AE88*IF(Assumptions!$B$171=1,MIN(Assumptions!$B$14,1%),Assumptions!$B$14)*(1-Assumptions!$B$142)</f>
        <v/>
      </c>
    </row>
    <row r="94">
      <c r="A94" s="6" t="inlineStr">
        <is>
          <t xml:space="preserve">  Stream 3 - Family plan and Digital Will</t>
        </is>
      </c>
      <c r="B94" s="23" t="inlineStr">
        <is>
          <t>USD</t>
        </is>
      </c>
      <c r="C94" s="55">
        <f>IF(C2&gt;=Assumptions!$B$50,C69*Assumptions!$B$159*Assumptions!$B$25/12*C7,0)</f>
        <v/>
      </c>
      <c r="D94" s="55">
        <f>IF(D2&gt;=Assumptions!$B$50,D69*Assumptions!$B$159*Assumptions!$B$25/12*D7,0)</f>
        <v/>
      </c>
      <c r="E94" s="55">
        <f>IF(E2&gt;=Assumptions!$B$50,E69*Assumptions!$B$159*Assumptions!$B$25/12*E7,0)</f>
        <v/>
      </c>
      <c r="F94" s="55">
        <f>IF(F2&gt;=Assumptions!$B$50,F69*Assumptions!$B$159*Assumptions!$B$25/12*F7,0)</f>
        <v/>
      </c>
      <c r="G94" s="55">
        <f>IF(G2&gt;=Assumptions!$B$50,G69*Assumptions!$B$159*Assumptions!$B$25/12*G7,0)</f>
        <v/>
      </c>
      <c r="H94" s="55">
        <f>IF(H2&gt;=Assumptions!$B$50,H69*Assumptions!$B$159*Assumptions!$B$25/12*H7,0)</f>
        <v/>
      </c>
      <c r="I94" s="55">
        <f>IF(I2&gt;=Assumptions!$B$50,I69*Assumptions!$B$159*Assumptions!$B$25/12*I7,0)</f>
        <v/>
      </c>
      <c r="J94" s="55">
        <f>IF(J2&gt;=Assumptions!$B$50,J69*Assumptions!$B$159*Assumptions!$B$25/12*J7,0)</f>
        <v/>
      </c>
      <c r="K94" s="55">
        <f>IF(K2&gt;=Assumptions!$B$50,K69*Assumptions!$B$159*Assumptions!$B$25/12*K7,0)</f>
        <v/>
      </c>
      <c r="L94" s="55">
        <f>IF(L2&gt;=Assumptions!$B$50,L69*Assumptions!$B$159*Assumptions!$B$25/12*L7,0)</f>
        <v/>
      </c>
      <c r="M94" s="55">
        <f>IF(M2&gt;=Assumptions!$B$50,M69*Assumptions!$B$159*Assumptions!$B$25/12*M7,0)</f>
        <v/>
      </c>
      <c r="N94" s="55">
        <f>IF(N2&gt;=Assumptions!$B$50,N69*Assumptions!$B$159*Assumptions!$B$25/12*N7,0)</f>
        <v/>
      </c>
      <c r="O94" s="55">
        <f>IF(O2&gt;=Assumptions!$B$50,O69*Assumptions!$B$159*Assumptions!$B$25/12*O7,0)</f>
        <v/>
      </c>
      <c r="P94" s="55">
        <f>IF(P2&gt;=Assumptions!$B$50,P69*Assumptions!$B$159*Assumptions!$B$25/12*P7,0)</f>
        <v/>
      </c>
      <c r="Q94" s="55">
        <f>IF(Q2&gt;=Assumptions!$B$50,Q69*Assumptions!$B$159*Assumptions!$B$25/12*Q7,0)</f>
        <v/>
      </c>
      <c r="R94" s="55">
        <f>IF(R2&gt;=Assumptions!$B$50,R69*Assumptions!$B$159*Assumptions!$B$25/12*R7,0)</f>
        <v/>
      </c>
      <c r="S94" s="55">
        <f>IF(S2&gt;=Assumptions!$B$50,S69*Assumptions!$B$159*Assumptions!$B$25/12*S7,0)</f>
        <v/>
      </c>
      <c r="T94" s="55">
        <f>IF(T2&gt;=Assumptions!$B$50,T69*Assumptions!$B$159*Assumptions!$B$25/12*T7,0)</f>
        <v/>
      </c>
      <c r="U94" s="55">
        <f>IF(U2&gt;=Assumptions!$B$50,U69*Assumptions!$B$159*Assumptions!$B$25/12*U7,0)</f>
        <v/>
      </c>
      <c r="V94" s="55">
        <f>IF(V2&gt;=Assumptions!$B$50,V69*Assumptions!$B$159*Assumptions!$B$25/12*V7,0)</f>
        <v/>
      </c>
      <c r="W94" s="55">
        <f>IF(W2&gt;=Assumptions!$B$50,W69*Assumptions!$B$159*Assumptions!$B$25/12*W7,0)</f>
        <v/>
      </c>
      <c r="X94" s="55">
        <f>IF(X2&gt;=Assumptions!$B$50,X69*Assumptions!$B$159*Assumptions!$B$25/12*X7,0)</f>
        <v/>
      </c>
      <c r="Y94" s="55">
        <f>IF(Y2&gt;=Assumptions!$B$50,Y69*Assumptions!$B$159*Assumptions!$B$25/12*Y7,0)</f>
        <v/>
      </c>
      <c r="Z94" s="55">
        <f>IF(Z2&gt;=Assumptions!$B$50,Z69*Assumptions!$B$159*Assumptions!$B$25/12*Z7,0)</f>
        <v/>
      </c>
      <c r="AA94" s="55">
        <f>IF(AA2&gt;=Assumptions!$B$50,AA69*Assumptions!$B$159*Assumptions!$B$25/12*AA7,0)</f>
        <v/>
      </c>
      <c r="AB94" s="55">
        <f>IF(AB2&gt;=Assumptions!$B$50,AB69*Assumptions!$B$159*Assumptions!$B$25/12*AB7,0)</f>
        <v/>
      </c>
      <c r="AC94" s="55">
        <f>IF(AC2&gt;=Assumptions!$B$50,AC69*Assumptions!$B$159*Assumptions!$B$25/12*AC7,0)</f>
        <v/>
      </c>
      <c r="AD94" s="55">
        <f>IF(AD2&gt;=Assumptions!$B$50,AD69*Assumptions!$B$159*Assumptions!$B$25/12*AD7,0)</f>
        <v/>
      </c>
      <c r="AE94" s="55">
        <f>IF(AE2&gt;=Assumptions!$B$50,AE69*Assumptions!$B$159*Assumptions!$B$25/12*AE7,0)</f>
        <v/>
      </c>
    </row>
    <row r="95">
      <c r="A95" s="6" t="inlineStr">
        <is>
          <t xml:space="preserve">  Stream 4 - Cardholder fees (FX, ATM, events)</t>
        </is>
      </c>
      <c r="B95" s="23" t="inlineStr">
        <is>
          <t>USD</t>
        </is>
      </c>
      <c r="C95" s="55">
        <f>IF(C2&gt;=Assumptions!$B$52,C88*C17*Assumptions!$B$17+C83*(Assumptions!$B$148*MAX(0,Assumptions!$B$152-Assumptions!$B$18)+Assumptions!$B$149*MAX(0,Assumptions!$B$153-Assumptions!$B$18)+Assumptions!$B$150*MAX(0,Assumptions!$B$154-Assumptions!$B$18)+Assumptions!$B$151*MAX(0,Assumptions!$B$155-Assumptions!$B$18))*Assumptions!$B$19/Assumptions!$B$7*C7+C83*(Assumptions!$B$146*Assumptions!$B$20+Assumptions!$B$147*Assumptions!$B$21)/12/Assumptions!$B$7*C7,0)</f>
        <v/>
      </c>
      <c r="D95" s="55">
        <f>IF(D2&gt;=Assumptions!$B$52,D88*D17*Assumptions!$B$17+D83*(Assumptions!$B$148*MAX(0,Assumptions!$B$152-Assumptions!$B$18)+Assumptions!$B$149*MAX(0,Assumptions!$B$153-Assumptions!$B$18)+Assumptions!$B$150*MAX(0,Assumptions!$B$154-Assumptions!$B$18)+Assumptions!$B$151*MAX(0,Assumptions!$B$155-Assumptions!$B$18))*Assumptions!$B$19/Assumptions!$B$7*D7+D83*(Assumptions!$B$146*Assumptions!$B$20+Assumptions!$B$147*Assumptions!$B$21)/12/Assumptions!$B$7*D7,0)</f>
        <v/>
      </c>
      <c r="E95" s="55">
        <f>IF(E2&gt;=Assumptions!$B$52,E88*E17*Assumptions!$B$17+E83*(Assumptions!$B$148*MAX(0,Assumptions!$B$152-Assumptions!$B$18)+Assumptions!$B$149*MAX(0,Assumptions!$B$153-Assumptions!$B$18)+Assumptions!$B$150*MAX(0,Assumptions!$B$154-Assumptions!$B$18)+Assumptions!$B$151*MAX(0,Assumptions!$B$155-Assumptions!$B$18))*Assumptions!$B$19/Assumptions!$B$7*E7+E83*(Assumptions!$B$146*Assumptions!$B$20+Assumptions!$B$147*Assumptions!$B$21)/12/Assumptions!$B$7*E7,0)</f>
        <v/>
      </c>
      <c r="F95" s="55">
        <f>IF(F2&gt;=Assumptions!$B$52,F88*F17*Assumptions!$B$17+F83*(Assumptions!$B$148*MAX(0,Assumptions!$B$152-Assumptions!$B$18)+Assumptions!$B$149*MAX(0,Assumptions!$B$153-Assumptions!$B$18)+Assumptions!$B$150*MAX(0,Assumptions!$B$154-Assumptions!$B$18)+Assumptions!$B$151*MAX(0,Assumptions!$B$155-Assumptions!$B$18))*Assumptions!$B$19/Assumptions!$B$7*F7+F83*(Assumptions!$B$146*Assumptions!$B$20+Assumptions!$B$147*Assumptions!$B$21)/12/Assumptions!$B$7*F7,0)</f>
        <v/>
      </c>
      <c r="G95" s="55">
        <f>IF(G2&gt;=Assumptions!$B$52,G88*G17*Assumptions!$B$17+G83*(Assumptions!$B$148*MAX(0,Assumptions!$B$152-Assumptions!$B$18)+Assumptions!$B$149*MAX(0,Assumptions!$B$153-Assumptions!$B$18)+Assumptions!$B$150*MAX(0,Assumptions!$B$154-Assumptions!$B$18)+Assumptions!$B$151*MAX(0,Assumptions!$B$155-Assumptions!$B$18))*Assumptions!$B$19/Assumptions!$B$7*G7+G83*(Assumptions!$B$146*Assumptions!$B$20+Assumptions!$B$147*Assumptions!$B$21)/12/Assumptions!$B$7*G7,0)</f>
        <v/>
      </c>
      <c r="H95" s="55">
        <f>IF(H2&gt;=Assumptions!$B$52,H88*H17*Assumptions!$B$17+H83*(Assumptions!$B$148*MAX(0,Assumptions!$B$152-Assumptions!$B$18)+Assumptions!$B$149*MAX(0,Assumptions!$B$153-Assumptions!$B$18)+Assumptions!$B$150*MAX(0,Assumptions!$B$154-Assumptions!$B$18)+Assumptions!$B$151*MAX(0,Assumptions!$B$155-Assumptions!$B$18))*Assumptions!$B$19/Assumptions!$B$7*H7+H83*(Assumptions!$B$146*Assumptions!$B$20+Assumptions!$B$147*Assumptions!$B$21)/12/Assumptions!$B$7*H7,0)</f>
        <v/>
      </c>
      <c r="I95" s="55">
        <f>IF(I2&gt;=Assumptions!$B$52,I88*I17*Assumptions!$B$17+I83*(Assumptions!$B$148*MAX(0,Assumptions!$B$152-Assumptions!$B$18)+Assumptions!$B$149*MAX(0,Assumptions!$B$153-Assumptions!$B$18)+Assumptions!$B$150*MAX(0,Assumptions!$B$154-Assumptions!$B$18)+Assumptions!$B$151*MAX(0,Assumptions!$B$155-Assumptions!$B$18))*Assumptions!$B$19/Assumptions!$B$7*I7+I83*(Assumptions!$B$146*Assumptions!$B$20+Assumptions!$B$147*Assumptions!$B$21)/12/Assumptions!$B$7*I7,0)</f>
        <v/>
      </c>
      <c r="J95" s="55">
        <f>IF(J2&gt;=Assumptions!$B$52,J88*J17*Assumptions!$B$17+J83*(Assumptions!$B$148*MAX(0,Assumptions!$B$152-Assumptions!$B$18)+Assumptions!$B$149*MAX(0,Assumptions!$B$153-Assumptions!$B$18)+Assumptions!$B$150*MAX(0,Assumptions!$B$154-Assumptions!$B$18)+Assumptions!$B$151*MAX(0,Assumptions!$B$155-Assumptions!$B$18))*Assumptions!$B$19/Assumptions!$B$7*J7+J83*(Assumptions!$B$146*Assumptions!$B$20+Assumptions!$B$147*Assumptions!$B$21)/12/Assumptions!$B$7*J7,0)</f>
        <v/>
      </c>
      <c r="K95" s="55">
        <f>IF(K2&gt;=Assumptions!$B$52,K88*K17*Assumptions!$B$17+K83*(Assumptions!$B$148*MAX(0,Assumptions!$B$152-Assumptions!$B$18)+Assumptions!$B$149*MAX(0,Assumptions!$B$153-Assumptions!$B$18)+Assumptions!$B$150*MAX(0,Assumptions!$B$154-Assumptions!$B$18)+Assumptions!$B$151*MAX(0,Assumptions!$B$155-Assumptions!$B$18))*Assumptions!$B$19/Assumptions!$B$7*K7+K83*(Assumptions!$B$146*Assumptions!$B$20+Assumptions!$B$147*Assumptions!$B$21)/12/Assumptions!$B$7*K7,0)</f>
        <v/>
      </c>
      <c r="L95" s="55">
        <f>IF(L2&gt;=Assumptions!$B$52,L88*L17*Assumptions!$B$17+L83*(Assumptions!$B$148*MAX(0,Assumptions!$B$152-Assumptions!$B$18)+Assumptions!$B$149*MAX(0,Assumptions!$B$153-Assumptions!$B$18)+Assumptions!$B$150*MAX(0,Assumptions!$B$154-Assumptions!$B$18)+Assumptions!$B$151*MAX(0,Assumptions!$B$155-Assumptions!$B$18))*Assumptions!$B$19/Assumptions!$B$7*L7+L83*(Assumptions!$B$146*Assumptions!$B$20+Assumptions!$B$147*Assumptions!$B$21)/12/Assumptions!$B$7*L7,0)</f>
        <v/>
      </c>
      <c r="M95" s="55">
        <f>IF(M2&gt;=Assumptions!$B$52,M88*M17*Assumptions!$B$17+M83*(Assumptions!$B$148*MAX(0,Assumptions!$B$152-Assumptions!$B$18)+Assumptions!$B$149*MAX(0,Assumptions!$B$153-Assumptions!$B$18)+Assumptions!$B$150*MAX(0,Assumptions!$B$154-Assumptions!$B$18)+Assumptions!$B$151*MAX(0,Assumptions!$B$155-Assumptions!$B$18))*Assumptions!$B$19/Assumptions!$B$7*M7+M83*(Assumptions!$B$146*Assumptions!$B$20+Assumptions!$B$147*Assumptions!$B$21)/12/Assumptions!$B$7*M7,0)</f>
        <v/>
      </c>
      <c r="N95" s="55">
        <f>IF(N2&gt;=Assumptions!$B$52,N88*N17*Assumptions!$B$17+N83*(Assumptions!$B$148*MAX(0,Assumptions!$B$152-Assumptions!$B$18)+Assumptions!$B$149*MAX(0,Assumptions!$B$153-Assumptions!$B$18)+Assumptions!$B$150*MAX(0,Assumptions!$B$154-Assumptions!$B$18)+Assumptions!$B$151*MAX(0,Assumptions!$B$155-Assumptions!$B$18))*Assumptions!$B$19/Assumptions!$B$7*N7+N83*(Assumptions!$B$146*Assumptions!$B$20+Assumptions!$B$147*Assumptions!$B$21)/12/Assumptions!$B$7*N7,0)</f>
        <v/>
      </c>
      <c r="O95" s="55">
        <f>IF(O2&gt;=Assumptions!$B$52,O88*O17*Assumptions!$B$17+O83*(Assumptions!$B$148*MAX(0,Assumptions!$B$152-Assumptions!$B$18)+Assumptions!$B$149*MAX(0,Assumptions!$B$153-Assumptions!$B$18)+Assumptions!$B$150*MAX(0,Assumptions!$B$154-Assumptions!$B$18)+Assumptions!$B$151*MAX(0,Assumptions!$B$155-Assumptions!$B$18))*Assumptions!$B$19/Assumptions!$B$7*O7+O83*(Assumptions!$B$146*Assumptions!$B$20+Assumptions!$B$147*Assumptions!$B$21)/12/Assumptions!$B$7*O7,0)</f>
        <v/>
      </c>
      <c r="P95" s="55">
        <f>IF(P2&gt;=Assumptions!$B$52,P88*P17*Assumptions!$B$17+P83*(Assumptions!$B$148*MAX(0,Assumptions!$B$152-Assumptions!$B$18)+Assumptions!$B$149*MAX(0,Assumptions!$B$153-Assumptions!$B$18)+Assumptions!$B$150*MAX(0,Assumptions!$B$154-Assumptions!$B$18)+Assumptions!$B$151*MAX(0,Assumptions!$B$155-Assumptions!$B$18))*Assumptions!$B$19/Assumptions!$B$7*P7+P83*(Assumptions!$B$146*Assumptions!$B$20+Assumptions!$B$147*Assumptions!$B$21)/12/Assumptions!$B$7*P7,0)</f>
        <v/>
      </c>
      <c r="Q95" s="55">
        <f>IF(Q2&gt;=Assumptions!$B$52,Q88*Q17*Assumptions!$B$17+Q83*(Assumptions!$B$148*MAX(0,Assumptions!$B$152-Assumptions!$B$18)+Assumptions!$B$149*MAX(0,Assumptions!$B$153-Assumptions!$B$18)+Assumptions!$B$150*MAX(0,Assumptions!$B$154-Assumptions!$B$18)+Assumptions!$B$151*MAX(0,Assumptions!$B$155-Assumptions!$B$18))*Assumptions!$B$19/Assumptions!$B$7*Q7+Q83*(Assumptions!$B$146*Assumptions!$B$20+Assumptions!$B$147*Assumptions!$B$21)/12/Assumptions!$B$7*Q7,0)</f>
        <v/>
      </c>
      <c r="R95" s="55">
        <f>IF(R2&gt;=Assumptions!$B$52,R88*R17*Assumptions!$B$17+R83*(Assumptions!$B$148*MAX(0,Assumptions!$B$152-Assumptions!$B$18)+Assumptions!$B$149*MAX(0,Assumptions!$B$153-Assumptions!$B$18)+Assumptions!$B$150*MAX(0,Assumptions!$B$154-Assumptions!$B$18)+Assumptions!$B$151*MAX(0,Assumptions!$B$155-Assumptions!$B$18))*Assumptions!$B$19/Assumptions!$B$7*R7+R83*(Assumptions!$B$146*Assumptions!$B$20+Assumptions!$B$147*Assumptions!$B$21)/12/Assumptions!$B$7*R7,0)</f>
        <v/>
      </c>
      <c r="S95" s="55">
        <f>IF(S2&gt;=Assumptions!$B$52,S88*S17*Assumptions!$B$17+S83*(Assumptions!$B$148*MAX(0,Assumptions!$B$152-Assumptions!$B$18)+Assumptions!$B$149*MAX(0,Assumptions!$B$153-Assumptions!$B$18)+Assumptions!$B$150*MAX(0,Assumptions!$B$154-Assumptions!$B$18)+Assumptions!$B$151*MAX(0,Assumptions!$B$155-Assumptions!$B$18))*Assumptions!$B$19/Assumptions!$B$7*S7+S83*(Assumptions!$B$146*Assumptions!$B$20+Assumptions!$B$147*Assumptions!$B$21)/12/Assumptions!$B$7*S7,0)</f>
        <v/>
      </c>
      <c r="T95" s="55">
        <f>IF(T2&gt;=Assumptions!$B$52,T88*T17*Assumptions!$B$17+T83*(Assumptions!$B$148*MAX(0,Assumptions!$B$152-Assumptions!$B$18)+Assumptions!$B$149*MAX(0,Assumptions!$B$153-Assumptions!$B$18)+Assumptions!$B$150*MAX(0,Assumptions!$B$154-Assumptions!$B$18)+Assumptions!$B$151*MAX(0,Assumptions!$B$155-Assumptions!$B$18))*Assumptions!$B$19/Assumptions!$B$7*T7+T83*(Assumptions!$B$146*Assumptions!$B$20+Assumptions!$B$147*Assumptions!$B$21)/12/Assumptions!$B$7*T7,0)</f>
        <v/>
      </c>
      <c r="U95" s="55">
        <f>IF(U2&gt;=Assumptions!$B$52,U88*U17*Assumptions!$B$17+U83*(Assumptions!$B$148*MAX(0,Assumptions!$B$152-Assumptions!$B$18)+Assumptions!$B$149*MAX(0,Assumptions!$B$153-Assumptions!$B$18)+Assumptions!$B$150*MAX(0,Assumptions!$B$154-Assumptions!$B$18)+Assumptions!$B$151*MAX(0,Assumptions!$B$155-Assumptions!$B$18))*Assumptions!$B$19/Assumptions!$B$7*U7+U83*(Assumptions!$B$146*Assumptions!$B$20+Assumptions!$B$147*Assumptions!$B$21)/12/Assumptions!$B$7*U7,0)</f>
        <v/>
      </c>
      <c r="V95" s="55">
        <f>IF(V2&gt;=Assumptions!$B$52,V88*V17*Assumptions!$B$17+V83*(Assumptions!$B$148*MAX(0,Assumptions!$B$152-Assumptions!$B$18)+Assumptions!$B$149*MAX(0,Assumptions!$B$153-Assumptions!$B$18)+Assumptions!$B$150*MAX(0,Assumptions!$B$154-Assumptions!$B$18)+Assumptions!$B$151*MAX(0,Assumptions!$B$155-Assumptions!$B$18))*Assumptions!$B$19/Assumptions!$B$7*V7+V83*(Assumptions!$B$146*Assumptions!$B$20+Assumptions!$B$147*Assumptions!$B$21)/12/Assumptions!$B$7*V7,0)</f>
        <v/>
      </c>
      <c r="W95" s="55">
        <f>IF(W2&gt;=Assumptions!$B$52,W88*W17*Assumptions!$B$17+W83*(Assumptions!$B$148*MAX(0,Assumptions!$B$152-Assumptions!$B$18)+Assumptions!$B$149*MAX(0,Assumptions!$B$153-Assumptions!$B$18)+Assumptions!$B$150*MAX(0,Assumptions!$B$154-Assumptions!$B$18)+Assumptions!$B$151*MAX(0,Assumptions!$B$155-Assumptions!$B$18))*Assumptions!$B$19/Assumptions!$B$7*W7+W83*(Assumptions!$B$146*Assumptions!$B$20+Assumptions!$B$147*Assumptions!$B$21)/12/Assumptions!$B$7*W7,0)</f>
        <v/>
      </c>
      <c r="X95" s="55">
        <f>IF(X2&gt;=Assumptions!$B$52,X88*X17*Assumptions!$B$17+X83*(Assumptions!$B$148*MAX(0,Assumptions!$B$152-Assumptions!$B$18)+Assumptions!$B$149*MAX(0,Assumptions!$B$153-Assumptions!$B$18)+Assumptions!$B$150*MAX(0,Assumptions!$B$154-Assumptions!$B$18)+Assumptions!$B$151*MAX(0,Assumptions!$B$155-Assumptions!$B$18))*Assumptions!$B$19/Assumptions!$B$7*X7+X83*(Assumptions!$B$146*Assumptions!$B$20+Assumptions!$B$147*Assumptions!$B$21)/12/Assumptions!$B$7*X7,0)</f>
        <v/>
      </c>
      <c r="Y95" s="55">
        <f>IF(Y2&gt;=Assumptions!$B$52,Y88*Y17*Assumptions!$B$17+Y83*(Assumptions!$B$148*MAX(0,Assumptions!$B$152-Assumptions!$B$18)+Assumptions!$B$149*MAX(0,Assumptions!$B$153-Assumptions!$B$18)+Assumptions!$B$150*MAX(0,Assumptions!$B$154-Assumptions!$B$18)+Assumptions!$B$151*MAX(0,Assumptions!$B$155-Assumptions!$B$18))*Assumptions!$B$19/Assumptions!$B$7*Y7+Y83*(Assumptions!$B$146*Assumptions!$B$20+Assumptions!$B$147*Assumptions!$B$21)/12/Assumptions!$B$7*Y7,0)</f>
        <v/>
      </c>
      <c r="Z95" s="55">
        <f>IF(Z2&gt;=Assumptions!$B$52,Z88*Z17*Assumptions!$B$17+Z83*(Assumptions!$B$148*MAX(0,Assumptions!$B$152-Assumptions!$B$18)+Assumptions!$B$149*MAX(0,Assumptions!$B$153-Assumptions!$B$18)+Assumptions!$B$150*MAX(0,Assumptions!$B$154-Assumptions!$B$18)+Assumptions!$B$151*MAX(0,Assumptions!$B$155-Assumptions!$B$18))*Assumptions!$B$19/Assumptions!$B$7*Z7+Z83*(Assumptions!$B$146*Assumptions!$B$20+Assumptions!$B$147*Assumptions!$B$21)/12/Assumptions!$B$7*Z7,0)</f>
        <v/>
      </c>
      <c r="AA95" s="55">
        <f>IF(AA2&gt;=Assumptions!$B$52,AA88*AA17*Assumptions!$B$17+AA83*(Assumptions!$B$148*MAX(0,Assumptions!$B$152-Assumptions!$B$18)+Assumptions!$B$149*MAX(0,Assumptions!$B$153-Assumptions!$B$18)+Assumptions!$B$150*MAX(0,Assumptions!$B$154-Assumptions!$B$18)+Assumptions!$B$151*MAX(0,Assumptions!$B$155-Assumptions!$B$18))*Assumptions!$B$19/Assumptions!$B$7*AA7+AA83*(Assumptions!$B$146*Assumptions!$B$20+Assumptions!$B$147*Assumptions!$B$21)/12/Assumptions!$B$7*AA7,0)</f>
        <v/>
      </c>
      <c r="AB95" s="55">
        <f>IF(AB2&gt;=Assumptions!$B$52,AB88*AB17*Assumptions!$B$17+AB83*(Assumptions!$B$148*MAX(0,Assumptions!$B$152-Assumptions!$B$18)+Assumptions!$B$149*MAX(0,Assumptions!$B$153-Assumptions!$B$18)+Assumptions!$B$150*MAX(0,Assumptions!$B$154-Assumptions!$B$18)+Assumptions!$B$151*MAX(0,Assumptions!$B$155-Assumptions!$B$18))*Assumptions!$B$19/Assumptions!$B$7*AB7+AB83*(Assumptions!$B$146*Assumptions!$B$20+Assumptions!$B$147*Assumptions!$B$21)/12/Assumptions!$B$7*AB7,0)</f>
        <v/>
      </c>
      <c r="AC95" s="55">
        <f>IF(AC2&gt;=Assumptions!$B$52,AC88*AC17*Assumptions!$B$17+AC83*(Assumptions!$B$148*MAX(0,Assumptions!$B$152-Assumptions!$B$18)+Assumptions!$B$149*MAX(0,Assumptions!$B$153-Assumptions!$B$18)+Assumptions!$B$150*MAX(0,Assumptions!$B$154-Assumptions!$B$18)+Assumptions!$B$151*MAX(0,Assumptions!$B$155-Assumptions!$B$18))*Assumptions!$B$19/Assumptions!$B$7*AC7+AC83*(Assumptions!$B$146*Assumptions!$B$20+Assumptions!$B$147*Assumptions!$B$21)/12/Assumptions!$B$7*AC7,0)</f>
        <v/>
      </c>
      <c r="AD95" s="55">
        <f>IF(AD2&gt;=Assumptions!$B$52,AD88*AD17*Assumptions!$B$17+AD83*(Assumptions!$B$148*MAX(0,Assumptions!$B$152-Assumptions!$B$18)+Assumptions!$B$149*MAX(0,Assumptions!$B$153-Assumptions!$B$18)+Assumptions!$B$150*MAX(0,Assumptions!$B$154-Assumptions!$B$18)+Assumptions!$B$151*MAX(0,Assumptions!$B$155-Assumptions!$B$18))*Assumptions!$B$19/Assumptions!$B$7*AD7+AD83*(Assumptions!$B$146*Assumptions!$B$20+Assumptions!$B$147*Assumptions!$B$21)/12/Assumptions!$B$7*AD7,0)</f>
        <v/>
      </c>
      <c r="AE95" s="55">
        <f>IF(AE2&gt;=Assumptions!$B$52,AE88*AE17*Assumptions!$B$17+AE83*(Assumptions!$B$148*MAX(0,Assumptions!$B$152-Assumptions!$B$18)+Assumptions!$B$149*MAX(0,Assumptions!$B$153-Assumptions!$B$18)+Assumptions!$B$150*MAX(0,Assumptions!$B$154-Assumptions!$B$18)+Assumptions!$B$151*MAX(0,Assumptions!$B$155-Assumptions!$B$18))*Assumptions!$B$19/Assumptions!$B$7*AE7+AE83*(Assumptions!$B$146*Assumptions!$B$20+Assumptions!$B$147*Assumptions!$B$21)/12/Assumptions!$B$7*AE7,0)</f>
        <v/>
      </c>
    </row>
    <row r="96">
      <c r="A96" s="6" t="inlineStr">
        <is>
          <t xml:space="preserve">  Average drawn balance outstanding</t>
        </is>
      </c>
      <c r="B96" s="23" t="inlineStr">
        <is>
          <t>USD</t>
        </is>
      </c>
      <c r="C96" s="55">
        <f>IF(C2&gt;=Assumptions!$B$53,C83*C84*(1-Assumptions!$B$171)*Assumptions!$B$156*Assumptions!$B$157,0)</f>
        <v/>
      </c>
      <c r="D96" s="55">
        <f>IF(D2&gt;=Assumptions!$B$53,D83*D84*(1-Assumptions!$B$171)*Assumptions!$B$156*Assumptions!$B$157,0)</f>
        <v/>
      </c>
      <c r="E96" s="55">
        <f>IF(E2&gt;=Assumptions!$B$53,E83*E84*(1-Assumptions!$B$171)*Assumptions!$B$156*Assumptions!$B$157,0)</f>
        <v/>
      </c>
      <c r="F96" s="55">
        <f>IF(F2&gt;=Assumptions!$B$53,F83*F84*(1-Assumptions!$B$171)*Assumptions!$B$156*Assumptions!$B$157,0)</f>
        <v/>
      </c>
      <c r="G96" s="55">
        <f>IF(G2&gt;=Assumptions!$B$53,G83*G84*(1-Assumptions!$B$171)*Assumptions!$B$156*Assumptions!$B$157,0)</f>
        <v/>
      </c>
      <c r="H96" s="55">
        <f>IF(H2&gt;=Assumptions!$B$53,H83*H84*(1-Assumptions!$B$171)*Assumptions!$B$156*Assumptions!$B$157,0)</f>
        <v/>
      </c>
      <c r="I96" s="55">
        <f>IF(I2&gt;=Assumptions!$B$53,I83*I84*(1-Assumptions!$B$171)*Assumptions!$B$156*Assumptions!$B$157,0)</f>
        <v/>
      </c>
      <c r="J96" s="55">
        <f>IF(J2&gt;=Assumptions!$B$53,J83*J84*(1-Assumptions!$B$171)*Assumptions!$B$156*Assumptions!$B$157,0)</f>
        <v/>
      </c>
      <c r="K96" s="55">
        <f>IF(K2&gt;=Assumptions!$B$53,K83*K84*(1-Assumptions!$B$171)*Assumptions!$B$156*Assumptions!$B$157,0)</f>
        <v/>
      </c>
      <c r="L96" s="55">
        <f>IF(L2&gt;=Assumptions!$B$53,L83*L84*(1-Assumptions!$B$171)*Assumptions!$B$156*Assumptions!$B$157,0)</f>
        <v/>
      </c>
      <c r="M96" s="55">
        <f>IF(M2&gt;=Assumptions!$B$53,M83*M84*(1-Assumptions!$B$171)*Assumptions!$B$156*Assumptions!$B$157,0)</f>
        <v/>
      </c>
      <c r="N96" s="55">
        <f>IF(N2&gt;=Assumptions!$B$53,N83*N84*(1-Assumptions!$B$171)*Assumptions!$B$156*Assumptions!$B$157,0)</f>
        <v/>
      </c>
      <c r="O96" s="55">
        <f>IF(O2&gt;=Assumptions!$B$53,O83*O84*(1-Assumptions!$B$171)*Assumptions!$B$156*Assumptions!$B$157,0)</f>
        <v/>
      </c>
      <c r="P96" s="55">
        <f>IF(P2&gt;=Assumptions!$B$53,P83*P84*(1-Assumptions!$B$171)*Assumptions!$B$156*Assumptions!$B$157,0)</f>
        <v/>
      </c>
      <c r="Q96" s="55">
        <f>IF(Q2&gt;=Assumptions!$B$53,Q83*Q84*(1-Assumptions!$B$171)*Assumptions!$B$156*Assumptions!$B$157,0)</f>
        <v/>
      </c>
      <c r="R96" s="55">
        <f>IF(R2&gt;=Assumptions!$B$53,R83*R84*(1-Assumptions!$B$171)*Assumptions!$B$156*Assumptions!$B$157,0)</f>
        <v/>
      </c>
      <c r="S96" s="55">
        <f>IF(S2&gt;=Assumptions!$B$53,S83*S84*(1-Assumptions!$B$171)*Assumptions!$B$156*Assumptions!$B$157,0)</f>
        <v/>
      </c>
      <c r="T96" s="55">
        <f>IF(T2&gt;=Assumptions!$B$53,T83*T84*(1-Assumptions!$B$171)*Assumptions!$B$156*Assumptions!$B$157,0)</f>
        <v/>
      </c>
      <c r="U96" s="55">
        <f>IF(U2&gt;=Assumptions!$B$53,U83*U84*(1-Assumptions!$B$171)*Assumptions!$B$156*Assumptions!$B$157,0)</f>
        <v/>
      </c>
      <c r="V96" s="55">
        <f>IF(V2&gt;=Assumptions!$B$53,V83*V84*(1-Assumptions!$B$171)*Assumptions!$B$156*Assumptions!$B$157,0)</f>
        <v/>
      </c>
      <c r="W96" s="55">
        <f>IF(W2&gt;=Assumptions!$B$53,W83*W84*(1-Assumptions!$B$171)*Assumptions!$B$156*Assumptions!$B$157,0)</f>
        <v/>
      </c>
      <c r="X96" s="55">
        <f>IF(X2&gt;=Assumptions!$B$53,X83*X84*(1-Assumptions!$B$171)*Assumptions!$B$156*Assumptions!$B$157,0)</f>
        <v/>
      </c>
      <c r="Y96" s="55">
        <f>IF(Y2&gt;=Assumptions!$B$53,Y83*Y84*(1-Assumptions!$B$171)*Assumptions!$B$156*Assumptions!$B$157,0)</f>
        <v/>
      </c>
      <c r="Z96" s="55">
        <f>IF(Z2&gt;=Assumptions!$B$53,Z83*Z84*(1-Assumptions!$B$171)*Assumptions!$B$156*Assumptions!$B$157,0)</f>
        <v/>
      </c>
      <c r="AA96" s="55">
        <f>IF(AA2&gt;=Assumptions!$B$53,AA83*AA84*(1-Assumptions!$B$171)*Assumptions!$B$156*Assumptions!$B$157,0)</f>
        <v/>
      </c>
      <c r="AB96" s="55">
        <f>IF(AB2&gt;=Assumptions!$B$53,AB83*AB84*(1-Assumptions!$B$171)*Assumptions!$B$156*Assumptions!$B$157,0)</f>
        <v/>
      </c>
      <c r="AC96" s="55">
        <f>IF(AC2&gt;=Assumptions!$B$53,AC83*AC84*(1-Assumptions!$B$171)*Assumptions!$B$156*Assumptions!$B$157,0)</f>
        <v/>
      </c>
      <c r="AD96" s="55">
        <f>IF(AD2&gt;=Assumptions!$B$53,AD83*AD84*(1-Assumptions!$B$171)*Assumptions!$B$156*Assumptions!$B$157,0)</f>
        <v/>
      </c>
      <c r="AE96" s="55">
        <f>IF(AE2&gt;=Assumptions!$B$53,AE83*AE84*(1-Assumptions!$B$171)*Assumptions!$B$156*Assumptions!$B$157,0)</f>
        <v/>
      </c>
    </row>
    <row r="97">
      <c r="A97" s="6" t="inlineStr">
        <is>
          <t xml:space="preserve">  Stream 5 - Lending revenue share</t>
        </is>
      </c>
      <c r="B97" s="23" t="inlineStr">
        <is>
          <t>USD</t>
        </is>
      </c>
      <c r="C97" s="55">
        <f>IF(C2&gt;=Assumptions!$B$53,(C96*Assumptions!$B$29*Assumptions!$B$30+C83*C85*(1-Assumptions!$B$171)*Assumptions!$B$27*Assumptions!$B$28)*C7/12,0)</f>
        <v/>
      </c>
      <c r="D97" s="55">
        <f>IF(D2&gt;=Assumptions!$B$53,(D96*Assumptions!$B$29*Assumptions!$B$30+D83*D85*(1-Assumptions!$B$171)*Assumptions!$B$27*Assumptions!$B$28)*D7/12,0)</f>
        <v/>
      </c>
      <c r="E97" s="55">
        <f>IF(E2&gt;=Assumptions!$B$53,(E96*Assumptions!$B$29*Assumptions!$B$30+E83*E85*(1-Assumptions!$B$171)*Assumptions!$B$27*Assumptions!$B$28)*E7/12,0)</f>
        <v/>
      </c>
      <c r="F97" s="55">
        <f>IF(F2&gt;=Assumptions!$B$53,(F96*Assumptions!$B$29*Assumptions!$B$30+F83*F85*(1-Assumptions!$B$171)*Assumptions!$B$27*Assumptions!$B$28)*F7/12,0)</f>
        <v/>
      </c>
      <c r="G97" s="55">
        <f>IF(G2&gt;=Assumptions!$B$53,(G96*Assumptions!$B$29*Assumptions!$B$30+G83*G85*(1-Assumptions!$B$171)*Assumptions!$B$27*Assumptions!$B$28)*G7/12,0)</f>
        <v/>
      </c>
      <c r="H97" s="55">
        <f>IF(H2&gt;=Assumptions!$B$53,(H96*Assumptions!$B$29*Assumptions!$B$30+H83*H85*(1-Assumptions!$B$171)*Assumptions!$B$27*Assumptions!$B$28)*H7/12,0)</f>
        <v/>
      </c>
      <c r="I97" s="55">
        <f>IF(I2&gt;=Assumptions!$B$53,(I96*Assumptions!$B$29*Assumptions!$B$30+I83*I85*(1-Assumptions!$B$171)*Assumptions!$B$27*Assumptions!$B$28)*I7/12,0)</f>
        <v/>
      </c>
      <c r="J97" s="55">
        <f>IF(J2&gt;=Assumptions!$B$53,(J96*Assumptions!$B$29*Assumptions!$B$30+J83*J85*(1-Assumptions!$B$171)*Assumptions!$B$27*Assumptions!$B$28)*J7/12,0)</f>
        <v/>
      </c>
      <c r="K97" s="55">
        <f>IF(K2&gt;=Assumptions!$B$53,(K96*Assumptions!$B$29*Assumptions!$B$30+K83*K85*(1-Assumptions!$B$171)*Assumptions!$B$27*Assumptions!$B$28)*K7/12,0)</f>
        <v/>
      </c>
      <c r="L97" s="55">
        <f>IF(L2&gt;=Assumptions!$B$53,(L96*Assumptions!$B$29*Assumptions!$B$30+L83*L85*(1-Assumptions!$B$171)*Assumptions!$B$27*Assumptions!$B$28)*L7/12,0)</f>
        <v/>
      </c>
      <c r="M97" s="55">
        <f>IF(M2&gt;=Assumptions!$B$53,(M96*Assumptions!$B$29*Assumptions!$B$30+M83*M85*(1-Assumptions!$B$171)*Assumptions!$B$27*Assumptions!$B$28)*M7/12,0)</f>
        <v/>
      </c>
      <c r="N97" s="55">
        <f>IF(N2&gt;=Assumptions!$B$53,(N96*Assumptions!$B$29*Assumptions!$B$30+N83*N85*(1-Assumptions!$B$171)*Assumptions!$B$27*Assumptions!$B$28)*N7/12,0)</f>
        <v/>
      </c>
      <c r="O97" s="55">
        <f>IF(O2&gt;=Assumptions!$B$53,(O96*Assumptions!$B$29*Assumptions!$B$30+O83*O85*(1-Assumptions!$B$171)*Assumptions!$B$27*Assumptions!$B$28)*O7/12,0)</f>
        <v/>
      </c>
      <c r="P97" s="55">
        <f>IF(P2&gt;=Assumptions!$B$53,(P96*Assumptions!$B$29*Assumptions!$B$30+P83*P85*(1-Assumptions!$B$171)*Assumptions!$B$27*Assumptions!$B$28)*P7/12,0)</f>
        <v/>
      </c>
      <c r="Q97" s="55">
        <f>IF(Q2&gt;=Assumptions!$B$53,(Q96*Assumptions!$B$29*Assumptions!$B$30+Q83*Q85*(1-Assumptions!$B$171)*Assumptions!$B$27*Assumptions!$B$28)*Q7/12,0)</f>
        <v/>
      </c>
      <c r="R97" s="55">
        <f>IF(R2&gt;=Assumptions!$B$53,(R96*Assumptions!$B$29*Assumptions!$B$30+R83*R85*(1-Assumptions!$B$171)*Assumptions!$B$27*Assumptions!$B$28)*R7/12,0)</f>
        <v/>
      </c>
      <c r="S97" s="55">
        <f>IF(S2&gt;=Assumptions!$B$53,(S96*Assumptions!$B$29*Assumptions!$B$30+S83*S85*(1-Assumptions!$B$171)*Assumptions!$B$27*Assumptions!$B$28)*S7/12,0)</f>
        <v/>
      </c>
      <c r="T97" s="55">
        <f>IF(T2&gt;=Assumptions!$B$53,(T96*Assumptions!$B$29*Assumptions!$B$30+T83*T85*(1-Assumptions!$B$171)*Assumptions!$B$27*Assumptions!$B$28)*T7/12,0)</f>
        <v/>
      </c>
      <c r="U97" s="55">
        <f>IF(U2&gt;=Assumptions!$B$53,(U96*Assumptions!$B$29*Assumptions!$B$30+U83*U85*(1-Assumptions!$B$171)*Assumptions!$B$27*Assumptions!$B$28)*U7/12,0)</f>
        <v/>
      </c>
      <c r="V97" s="55">
        <f>IF(V2&gt;=Assumptions!$B$53,(V96*Assumptions!$B$29*Assumptions!$B$30+V83*V85*(1-Assumptions!$B$171)*Assumptions!$B$27*Assumptions!$B$28)*V7/12,0)</f>
        <v/>
      </c>
      <c r="W97" s="55">
        <f>IF(W2&gt;=Assumptions!$B$53,(W96*Assumptions!$B$29*Assumptions!$B$30+W83*W85*(1-Assumptions!$B$171)*Assumptions!$B$27*Assumptions!$B$28)*W7/12,0)</f>
        <v/>
      </c>
      <c r="X97" s="55">
        <f>IF(X2&gt;=Assumptions!$B$53,(X96*Assumptions!$B$29*Assumptions!$B$30+X83*X85*(1-Assumptions!$B$171)*Assumptions!$B$27*Assumptions!$B$28)*X7/12,0)</f>
        <v/>
      </c>
      <c r="Y97" s="55">
        <f>IF(Y2&gt;=Assumptions!$B$53,(Y96*Assumptions!$B$29*Assumptions!$B$30+Y83*Y85*(1-Assumptions!$B$171)*Assumptions!$B$27*Assumptions!$B$28)*Y7/12,0)</f>
        <v/>
      </c>
      <c r="Z97" s="55">
        <f>IF(Z2&gt;=Assumptions!$B$53,(Z96*Assumptions!$B$29*Assumptions!$B$30+Z83*Z85*(1-Assumptions!$B$171)*Assumptions!$B$27*Assumptions!$B$28)*Z7/12,0)</f>
        <v/>
      </c>
      <c r="AA97" s="55">
        <f>IF(AA2&gt;=Assumptions!$B$53,(AA96*Assumptions!$B$29*Assumptions!$B$30+AA83*AA85*(1-Assumptions!$B$171)*Assumptions!$B$27*Assumptions!$B$28)*AA7/12,0)</f>
        <v/>
      </c>
      <c r="AB97" s="55">
        <f>IF(AB2&gt;=Assumptions!$B$53,(AB96*Assumptions!$B$29*Assumptions!$B$30+AB83*AB85*(1-Assumptions!$B$171)*Assumptions!$B$27*Assumptions!$B$28)*AB7/12,0)</f>
        <v/>
      </c>
      <c r="AC97" s="55">
        <f>IF(AC2&gt;=Assumptions!$B$53,(AC96*Assumptions!$B$29*Assumptions!$B$30+AC83*AC85*(1-Assumptions!$B$171)*Assumptions!$B$27*Assumptions!$B$28)*AC7/12,0)</f>
        <v/>
      </c>
      <c r="AD97" s="55">
        <f>IF(AD2&gt;=Assumptions!$B$53,(AD96*Assumptions!$B$29*Assumptions!$B$30+AD83*AD85*(1-Assumptions!$B$171)*Assumptions!$B$27*Assumptions!$B$28)*AD7/12,0)</f>
        <v/>
      </c>
      <c r="AE97" s="55">
        <f>IF(AE2&gt;=Assumptions!$B$53,(AE96*Assumptions!$B$29*Assumptions!$B$30+AE83*AE85*(1-Assumptions!$B$171)*Assumptions!$B$27*Assumptions!$B$28)*AE7/12,0)</f>
        <v/>
      </c>
    </row>
    <row r="98">
      <c r="A98" s="6" t="inlineStr">
        <is>
          <t xml:space="preserve">  Redemption events (memo - drives cost, not revenue)</t>
        </is>
      </c>
      <c r="B98" s="23" t="inlineStr">
        <is>
          <t>events</t>
        </is>
      </c>
      <c r="C98" s="45">
        <f>IF(C2&gt;=Assumptions!$B$49,(C69+C71*Assumptions!$B$138)*Assumptions!$B$137*C7/12,0)</f>
        <v/>
      </c>
      <c r="D98" s="45">
        <f>IF(D2&gt;=Assumptions!$B$49,(D69+D71*Assumptions!$B$138)*Assumptions!$B$137*D7/12,0)</f>
        <v/>
      </c>
      <c r="E98" s="45">
        <f>IF(E2&gt;=Assumptions!$B$49,(E69+E71*Assumptions!$B$138)*Assumptions!$B$137*E7/12,0)</f>
        <v/>
      </c>
      <c r="F98" s="45">
        <f>IF(F2&gt;=Assumptions!$B$49,(F69+F71*Assumptions!$B$138)*Assumptions!$B$137*F7/12,0)</f>
        <v/>
      </c>
      <c r="G98" s="45">
        <f>IF(G2&gt;=Assumptions!$B$49,(G69+G71*Assumptions!$B$138)*Assumptions!$B$137*G7/12,0)</f>
        <v/>
      </c>
      <c r="H98" s="45">
        <f>IF(H2&gt;=Assumptions!$B$49,(H69+H71*Assumptions!$B$138)*Assumptions!$B$137*H7/12,0)</f>
        <v/>
      </c>
      <c r="I98" s="45">
        <f>IF(I2&gt;=Assumptions!$B$49,(I69+I71*Assumptions!$B$138)*Assumptions!$B$137*I7/12,0)</f>
        <v/>
      </c>
      <c r="J98" s="45">
        <f>IF(J2&gt;=Assumptions!$B$49,(J69+J71*Assumptions!$B$138)*Assumptions!$B$137*J7/12,0)</f>
        <v/>
      </c>
      <c r="K98" s="45">
        <f>IF(K2&gt;=Assumptions!$B$49,(K69+K71*Assumptions!$B$138)*Assumptions!$B$137*K7/12,0)</f>
        <v/>
      </c>
      <c r="L98" s="45">
        <f>IF(L2&gt;=Assumptions!$B$49,(L69+L71*Assumptions!$B$138)*Assumptions!$B$137*L7/12,0)</f>
        <v/>
      </c>
      <c r="M98" s="45">
        <f>IF(M2&gt;=Assumptions!$B$49,(M69+M71*Assumptions!$B$138)*Assumptions!$B$137*M7/12,0)</f>
        <v/>
      </c>
      <c r="N98" s="45">
        <f>IF(N2&gt;=Assumptions!$B$49,(N69+N71*Assumptions!$B$138)*Assumptions!$B$137*N7/12,0)</f>
        <v/>
      </c>
      <c r="O98" s="45">
        <f>IF(O2&gt;=Assumptions!$B$49,(O69+O71*Assumptions!$B$138)*Assumptions!$B$137*O7/12,0)</f>
        <v/>
      </c>
      <c r="P98" s="45">
        <f>IF(P2&gt;=Assumptions!$B$49,(P69+P71*Assumptions!$B$138)*Assumptions!$B$137*P7/12,0)</f>
        <v/>
      </c>
      <c r="Q98" s="45">
        <f>IF(Q2&gt;=Assumptions!$B$49,(Q69+Q71*Assumptions!$B$138)*Assumptions!$B$137*Q7/12,0)</f>
        <v/>
      </c>
      <c r="R98" s="45">
        <f>IF(R2&gt;=Assumptions!$B$49,(R69+R71*Assumptions!$B$138)*Assumptions!$B$137*R7/12,0)</f>
        <v/>
      </c>
      <c r="S98" s="45">
        <f>IF(S2&gt;=Assumptions!$B$49,(S69+S71*Assumptions!$B$138)*Assumptions!$B$137*S7/12,0)</f>
        <v/>
      </c>
      <c r="T98" s="45">
        <f>IF(T2&gt;=Assumptions!$B$49,(T69+T71*Assumptions!$B$138)*Assumptions!$B$137*T7/12,0)</f>
        <v/>
      </c>
      <c r="U98" s="45">
        <f>IF(U2&gt;=Assumptions!$B$49,(U69+U71*Assumptions!$B$138)*Assumptions!$B$137*U7/12,0)</f>
        <v/>
      </c>
      <c r="V98" s="45">
        <f>IF(V2&gt;=Assumptions!$B$49,(V69+V71*Assumptions!$B$138)*Assumptions!$B$137*V7/12,0)</f>
        <v/>
      </c>
      <c r="W98" s="45">
        <f>IF(W2&gt;=Assumptions!$B$49,(W69+W71*Assumptions!$B$138)*Assumptions!$B$137*W7/12,0)</f>
        <v/>
      </c>
      <c r="X98" s="45">
        <f>IF(X2&gt;=Assumptions!$B$49,(X69+X71*Assumptions!$B$138)*Assumptions!$B$137*X7/12,0)</f>
        <v/>
      </c>
      <c r="Y98" s="45">
        <f>IF(Y2&gt;=Assumptions!$B$49,(Y69+Y71*Assumptions!$B$138)*Assumptions!$B$137*Y7/12,0)</f>
        <v/>
      </c>
      <c r="Z98" s="45">
        <f>IF(Z2&gt;=Assumptions!$B$49,(Z69+Z71*Assumptions!$B$138)*Assumptions!$B$137*Z7/12,0)</f>
        <v/>
      </c>
      <c r="AA98" s="45">
        <f>IF(AA2&gt;=Assumptions!$B$49,(AA69+AA71*Assumptions!$B$138)*Assumptions!$B$137*AA7/12,0)</f>
        <v/>
      </c>
      <c r="AB98" s="45">
        <f>IF(AB2&gt;=Assumptions!$B$49,(AB69+AB71*Assumptions!$B$138)*Assumptions!$B$137*AB7/12,0)</f>
        <v/>
      </c>
      <c r="AC98" s="45">
        <f>IF(AC2&gt;=Assumptions!$B$49,(AC69+AC71*Assumptions!$B$138)*Assumptions!$B$137*AC7/12,0)</f>
        <v/>
      </c>
      <c r="AD98" s="45">
        <f>IF(AD2&gt;=Assumptions!$B$49,(AD69+AD71*Assumptions!$B$138)*Assumptions!$B$137*AD7/12,0)</f>
        <v/>
      </c>
      <c r="AE98" s="45">
        <f>IF(AE2&gt;=Assumptions!$B$49,(AE69+AE71*Assumptions!$B$138)*Assumptions!$B$137*AE7/12,0)</f>
        <v/>
      </c>
    </row>
    <row r="99">
      <c r="A99" s="3" t="inlineStr">
        <is>
          <t xml:space="preserve">  SUBTOTAL - Oman and Bahrain</t>
        </is>
      </c>
      <c r="B99" s="23" t="inlineStr">
        <is>
          <t>USD</t>
        </is>
      </c>
      <c r="C99" s="57">
        <f>C91+C92+C93+C94+C95+C97</f>
        <v/>
      </c>
      <c r="D99" s="57">
        <f>D91+D92+D93+D94+D95+D97</f>
        <v/>
      </c>
      <c r="E99" s="57">
        <f>E91+E92+E93+E94+E95+E97</f>
        <v/>
      </c>
      <c r="F99" s="57">
        <f>F91+F92+F93+F94+F95+F97</f>
        <v/>
      </c>
      <c r="G99" s="57">
        <f>G91+G92+G93+G94+G95+G97</f>
        <v/>
      </c>
      <c r="H99" s="57">
        <f>H91+H92+H93+H94+H95+H97</f>
        <v/>
      </c>
      <c r="I99" s="57">
        <f>I91+I92+I93+I94+I95+I97</f>
        <v/>
      </c>
      <c r="J99" s="57">
        <f>J91+J92+J93+J94+J95+J97</f>
        <v/>
      </c>
      <c r="K99" s="57">
        <f>K91+K92+K93+K94+K95+K97</f>
        <v/>
      </c>
      <c r="L99" s="57">
        <f>L91+L92+L93+L94+L95+L97</f>
        <v/>
      </c>
      <c r="M99" s="57">
        <f>M91+M92+M93+M94+M95+M97</f>
        <v/>
      </c>
      <c r="N99" s="57">
        <f>N91+N92+N93+N94+N95+N97</f>
        <v/>
      </c>
      <c r="O99" s="57">
        <f>O91+O92+O93+O94+O95+O97</f>
        <v/>
      </c>
      <c r="P99" s="57">
        <f>P91+P92+P93+P94+P95+P97</f>
        <v/>
      </c>
      <c r="Q99" s="57">
        <f>Q91+Q92+Q93+Q94+Q95+Q97</f>
        <v/>
      </c>
      <c r="R99" s="57">
        <f>R91+R92+R93+R94+R95+R97</f>
        <v/>
      </c>
      <c r="S99" s="57">
        <f>S91+S92+S93+S94+S95+S97</f>
        <v/>
      </c>
      <c r="T99" s="57">
        <f>T91+T92+T93+T94+T95+T97</f>
        <v/>
      </c>
      <c r="U99" s="57">
        <f>U91+U92+U93+U94+U95+U97</f>
        <v/>
      </c>
      <c r="V99" s="57">
        <f>V91+V92+V93+V94+V95+V97</f>
        <v/>
      </c>
      <c r="W99" s="57">
        <f>W91+W92+W93+W94+W95+W97</f>
        <v/>
      </c>
      <c r="X99" s="57">
        <f>X91+X92+X93+X94+X95+X97</f>
        <v/>
      </c>
      <c r="Y99" s="57">
        <f>Y91+Y92+Y93+Y94+Y95+Y97</f>
        <v/>
      </c>
      <c r="Z99" s="57">
        <f>Z91+Z92+Z93+Z94+Z95+Z97</f>
        <v/>
      </c>
      <c r="AA99" s="57">
        <f>AA91+AA92+AA93+AA94+AA95+AA97</f>
        <v/>
      </c>
      <c r="AB99" s="57">
        <f>AB91+AB92+AB93+AB94+AB95+AB97</f>
        <v/>
      </c>
      <c r="AC99" s="57">
        <f>AC91+AC92+AC93+AC94+AC95+AC97</f>
        <v/>
      </c>
      <c r="AD99" s="57">
        <f>AD91+AD92+AD93+AD94+AD95+AD97</f>
        <v/>
      </c>
      <c r="AE99" s="57">
        <f>AE91+AE92+AE93+AE94+AE95+AE97</f>
        <v/>
      </c>
    </row>
    <row r="101">
      <c r="A101" s="46" t="inlineStr">
        <is>
          <t>REGION: INDIA</t>
        </is>
      </c>
      <c r="B101" s="47" t="n"/>
      <c r="C101" s="47" t="n"/>
      <c r="D101" s="47" t="n"/>
      <c r="E101" s="47" t="n"/>
      <c r="F101" s="47" t="n"/>
      <c r="G101" s="47" t="n"/>
      <c r="H101" s="47" t="n"/>
      <c r="I101" s="47" t="n"/>
      <c r="J101" s="47" t="n"/>
      <c r="K101" s="47" t="n"/>
      <c r="L101" s="47" t="n"/>
      <c r="M101" s="47" t="n"/>
      <c r="N101" s="47" t="n"/>
      <c r="O101" s="47" t="n"/>
      <c r="P101" s="47" t="n"/>
      <c r="Q101" s="47" t="n"/>
      <c r="R101" s="47" t="n"/>
      <c r="S101" s="47" t="n"/>
      <c r="T101" s="47" t="n"/>
      <c r="U101" s="47" t="n"/>
      <c r="V101" s="47" t="n"/>
      <c r="W101" s="47" t="n"/>
      <c r="X101" s="47" t="n"/>
      <c r="Y101" s="47" t="n"/>
      <c r="Z101" s="47" t="n"/>
      <c r="AA101" s="47" t="n"/>
      <c r="AB101" s="47" t="n"/>
      <c r="AC101" s="47" t="n"/>
      <c r="AD101" s="47" t="n"/>
      <c r="AE101" s="47" t="n"/>
    </row>
    <row r="102">
      <c r="A102" s="6" t="inlineStr">
        <is>
          <t xml:space="preserve">  Direct-driven (this market's budget at its own CAC)</t>
        </is>
      </c>
      <c r="B102" s="23" t="inlineStr">
        <is>
          <t>accounts</t>
        </is>
      </c>
      <c r="C102" s="53">
        <f>INDEX(Assumptions!$B$100:$B$106,C5)*Assumptions!$B$129/12*C7/Assumptions!$B$126*(1+Assumptions!$B$132)*IF(C2&gt;=Assumptions!$B$57,1,0)</f>
        <v/>
      </c>
      <c r="D102" s="53">
        <f>INDEX(Assumptions!$B$100:$B$106,D5)*Assumptions!$B$129/12*D7/Assumptions!$B$126*(1+Assumptions!$B$132)*IF(D2&gt;=Assumptions!$B$57,1,0)</f>
        <v/>
      </c>
      <c r="E102" s="53">
        <f>INDEX(Assumptions!$B$100:$B$106,E5)*Assumptions!$B$129/12*E7/Assumptions!$B$126*(1+Assumptions!$B$132)*IF(E2&gt;=Assumptions!$B$57,1,0)</f>
        <v/>
      </c>
      <c r="F102" s="53">
        <f>INDEX(Assumptions!$B$100:$B$106,F5)*Assumptions!$B$129/12*F7/Assumptions!$B$126*(1+Assumptions!$B$132)*IF(F2&gt;=Assumptions!$B$57,1,0)</f>
        <v/>
      </c>
      <c r="G102" s="53">
        <f>INDEX(Assumptions!$B$100:$B$106,G5)*Assumptions!$B$129/12*G7/Assumptions!$B$126*(1+Assumptions!$B$132)*IF(G2&gt;=Assumptions!$B$57,1,0)</f>
        <v/>
      </c>
      <c r="H102" s="53">
        <f>INDEX(Assumptions!$B$100:$B$106,H5)*Assumptions!$B$129/12*H7/Assumptions!$B$126*(1+Assumptions!$B$132)*IF(H2&gt;=Assumptions!$B$57,1,0)</f>
        <v/>
      </c>
      <c r="I102" s="53">
        <f>INDEX(Assumptions!$B$100:$B$106,I5)*Assumptions!$B$129/12*I7/Assumptions!$B$126*(1+Assumptions!$B$132)*IF(I2&gt;=Assumptions!$B$57,1,0)</f>
        <v/>
      </c>
      <c r="J102" s="53">
        <f>INDEX(Assumptions!$B$100:$B$106,J5)*Assumptions!$B$129/12*J7/Assumptions!$B$126*(1+Assumptions!$B$132)*IF(J2&gt;=Assumptions!$B$57,1,0)</f>
        <v/>
      </c>
      <c r="K102" s="53">
        <f>INDEX(Assumptions!$B$100:$B$106,K5)*Assumptions!$B$129/12*K7/Assumptions!$B$126*(1+Assumptions!$B$132)*IF(K2&gt;=Assumptions!$B$57,1,0)</f>
        <v/>
      </c>
      <c r="L102" s="53">
        <f>INDEX(Assumptions!$B$100:$B$106,L5)*Assumptions!$B$129/12*L7/Assumptions!$B$126*(1+Assumptions!$B$132)*IF(L2&gt;=Assumptions!$B$57,1,0)</f>
        <v/>
      </c>
      <c r="M102" s="53">
        <f>INDEX(Assumptions!$B$100:$B$106,M5)*Assumptions!$B$129/12*M7/Assumptions!$B$126*(1+Assumptions!$B$132)*IF(M2&gt;=Assumptions!$B$57,1,0)</f>
        <v/>
      </c>
      <c r="N102" s="53">
        <f>INDEX(Assumptions!$B$100:$B$106,N5)*Assumptions!$B$129/12*N7/Assumptions!$B$126*(1+Assumptions!$B$132)*IF(N2&gt;=Assumptions!$B$57,1,0)</f>
        <v/>
      </c>
      <c r="O102" s="53">
        <f>INDEX(Assumptions!$B$100:$B$106,O5)*Assumptions!$B$129/12*O7/Assumptions!$B$126*(1+Assumptions!$B$132)*IF(O2&gt;=Assumptions!$B$57,1,0)</f>
        <v/>
      </c>
      <c r="P102" s="53">
        <f>INDEX(Assumptions!$B$100:$B$106,P5)*Assumptions!$B$129/12*P7/Assumptions!$B$126*(1+Assumptions!$B$132)*IF(P2&gt;=Assumptions!$B$57,1,0)</f>
        <v/>
      </c>
      <c r="Q102" s="53">
        <f>INDEX(Assumptions!$B$100:$B$106,Q5)*Assumptions!$B$129/12*Q7/Assumptions!$B$126*(1+Assumptions!$B$132)*IF(Q2&gt;=Assumptions!$B$57,1,0)</f>
        <v/>
      </c>
      <c r="R102" s="53">
        <f>INDEX(Assumptions!$B$100:$B$106,R5)*Assumptions!$B$129/12*R7/Assumptions!$B$126*(1+Assumptions!$B$132)*IF(R2&gt;=Assumptions!$B$57,1,0)</f>
        <v/>
      </c>
      <c r="S102" s="53">
        <f>INDEX(Assumptions!$B$100:$B$106,S5)*Assumptions!$B$129/12*S7/Assumptions!$B$126*(1+Assumptions!$B$132)*IF(S2&gt;=Assumptions!$B$57,1,0)</f>
        <v/>
      </c>
      <c r="T102" s="53">
        <f>INDEX(Assumptions!$B$100:$B$106,T5)*Assumptions!$B$129/12*T7/Assumptions!$B$126*(1+Assumptions!$B$132)*IF(T2&gt;=Assumptions!$B$57,1,0)</f>
        <v/>
      </c>
      <c r="U102" s="53">
        <f>INDEX(Assumptions!$B$100:$B$106,U5)*Assumptions!$B$129/12*U7/Assumptions!$B$126*(1+Assumptions!$B$132)*IF(U2&gt;=Assumptions!$B$57,1,0)</f>
        <v/>
      </c>
      <c r="V102" s="53">
        <f>INDEX(Assumptions!$B$100:$B$106,V5)*Assumptions!$B$129/12*V7/Assumptions!$B$126*(1+Assumptions!$B$132)*IF(V2&gt;=Assumptions!$B$57,1,0)</f>
        <v/>
      </c>
      <c r="W102" s="53">
        <f>INDEX(Assumptions!$B$100:$B$106,W5)*Assumptions!$B$129/12*W7/Assumptions!$B$126*(1+Assumptions!$B$132)*IF(W2&gt;=Assumptions!$B$57,1,0)</f>
        <v/>
      </c>
      <c r="X102" s="53">
        <f>INDEX(Assumptions!$B$100:$B$106,X5)*Assumptions!$B$129/12*X7/Assumptions!$B$126*(1+Assumptions!$B$132)*IF(X2&gt;=Assumptions!$B$57,1,0)</f>
        <v/>
      </c>
      <c r="Y102" s="53">
        <f>INDEX(Assumptions!$B$100:$B$106,Y5)*Assumptions!$B$129/12*Y7/Assumptions!$B$126*(1+Assumptions!$B$132)*IF(Y2&gt;=Assumptions!$B$57,1,0)</f>
        <v/>
      </c>
      <c r="Z102" s="53">
        <f>INDEX(Assumptions!$B$100:$B$106,Z5)*Assumptions!$B$129/12*Z7/Assumptions!$B$126*(1+Assumptions!$B$132)*IF(Z2&gt;=Assumptions!$B$57,1,0)</f>
        <v/>
      </c>
      <c r="AA102" s="53">
        <f>INDEX(Assumptions!$B$100:$B$106,AA5)*Assumptions!$B$129/12*AA7/Assumptions!$B$126*(1+Assumptions!$B$132)*IF(AA2&gt;=Assumptions!$B$57,1,0)</f>
        <v/>
      </c>
      <c r="AB102" s="53">
        <f>INDEX(Assumptions!$B$100:$B$106,AB5)*Assumptions!$B$129/12*AB7/Assumptions!$B$126*(1+Assumptions!$B$132)*IF(AB2&gt;=Assumptions!$B$57,1,0)</f>
        <v/>
      </c>
      <c r="AC102" s="53">
        <f>INDEX(Assumptions!$B$100:$B$106,AC5)*Assumptions!$B$129/12*AC7/Assumptions!$B$126*(1+Assumptions!$B$132)*IF(AC2&gt;=Assumptions!$B$57,1,0)</f>
        <v/>
      </c>
      <c r="AD102" s="53">
        <f>INDEX(Assumptions!$B$100:$B$106,AD5)*Assumptions!$B$129/12*AD7/Assumptions!$B$126*(1+Assumptions!$B$132)*IF(AD2&gt;=Assumptions!$B$57,1,0)</f>
        <v/>
      </c>
      <c r="AE102" s="53">
        <f>INDEX(Assumptions!$B$100:$B$106,AE5)*Assumptions!$B$129/12*AE7/Assumptions!$B$126*(1+Assumptions!$B$132)*IF(AE2&gt;=Assumptions!$B$57,1,0)</f>
        <v/>
      </c>
    </row>
    <row r="103">
      <c r="A103" s="6" t="inlineStr">
        <is>
          <t xml:space="preserve">  Referral-driven (from this market's own base)</t>
        </is>
      </c>
      <c r="B103" s="23" t="inlineStr">
        <is>
          <t>accounts</t>
        </is>
      </c>
      <c r="C103" s="54" t="n">
        <v>0</v>
      </c>
      <c r="D103" s="54">
        <f>IF(D2&gt;=Assumptions!$B$55,C107*Assumptions!$B$130/12*Assumptions!$B$131*D7,0)</f>
        <v/>
      </c>
      <c r="E103" s="54">
        <f>IF(E2&gt;=Assumptions!$B$55,D107*Assumptions!$B$130/12*Assumptions!$B$131*E7,0)</f>
        <v/>
      </c>
      <c r="F103" s="54">
        <f>IF(F2&gt;=Assumptions!$B$55,E107*Assumptions!$B$130/12*Assumptions!$B$131*F7,0)</f>
        <v/>
      </c>
      <c r="G103" s="54">
        <f>IF(G2&gt;=Assumptions!$B$55,F107*Assumptions!$B$130/12*Assumptions!$B$131*G7,0)</f>
        <v/>
      </c>
      <c r="H103" s="54">
        <f>IF(H2&gt;=Assumptions!$B$55,G107*Assumptions!$B$130/12*Assumptions!$B$131*H7,0)</f>
        <v/>
      </c>
      <c r="I103" s="54">
        <f>IF(I2&gt;=Assumptions!$B$55,H107*Assumptions!$B$130/12*Assumptions!$B$131*I7,0)</f>
        <v/>
      </c>
      <c r="J103" s="54">
        <f>IF(J2&gt;=Assumptions!$B$55,I107*Assumptions!$B$130/12*Assumptions!$B$131*J7,0)</f>
        <v/>
      </c>
      <c r="K103" s="54">
        <f>IF(K2&gt;=Assumptions!$B$55,J107*Assumptions!$B$130/12*Assumptions!$B$131*K7,0)</f>
        <v/>
      </c>
      <c r="L103" s="54">
        <f>IF(L2&gt;=Assumptions!$B$55,K107*Assumptions!$B$130/12*Assumptions!$B$131*L7,0)</f>
        <v/>
      </c>
      <c r="M103" s="54">
        <f>IF(M2&gt;=Assumptions!$B$55,L107*Assumptions!$B$130/12*Assumptions!$B$131*M7,0)</f>
        <v/>
      </c>
      <c r="N103" s="54">
        <f>IF(N2&gt;=Assumptions!$B$55,M107*Assumptions!$B$130/12*Assumptions!$B$131*N7,0)</f>
        <v/>
      </c>
      <c r="O103" s="54">
        <f>IF(O2&gt;=Assumptions!$B$55,N107*Assumptions!$B$130/12*Assumptions!$B$131*O7,0)</f>
        <v/>
      </c>
      <c r="P103" s="54">
        <f>IF(P2&gt;=Assumptions!$B$55,O107*Assumptions!$B$130/12*Assumptions!$B$131*P7,0)</f>
        <v/>
      </c>
      <c r="Q103" s="54">
        <f>IF(Q2&gt;=Assumptions!$B$55,P107*Assumptions!$B$130/12*Assumptions!$B$131*Q7,0)</f>
        <v/>
      </c>
      <c r="R103" s="54">
        <f>IF(R2&gt;=Assumptions!$B$55,Q107*Assumptions!$B$130/12*Assumptions!$B$131*R7,0)</f>
        <v/>
      </c>
      <c r="S103" s="54">
        <f>IF(S2&gt;=Assumptions!$B$55,R107*Assumptions!$B$130/12*Assumptions!$B$131*S7,0)</f>
        <v/>
      </c>
      <c r="T103" s="54">
        <f>IF(T2&gt;=Assumptions!$B$55,S107*Assumptions!$B$130/12*Assumptions!$B$131*T7,0)</f>
        <v/>
      </c>
      <c r="U103" s="54">
        <f>IF(U2&gt;=Assumptions!$B$55,T107*Assumptions!$B$130/12*Assumptions!$B$131*U7,0)</f>
        <v/>
      </c>
      <c r="V103" s="54">
        <f>IF(V2&gt;=Assumptions!$B$55,U107*Assumptions!$B$130/12*Assumptions!$B$131*V7,0)</f>
        <v/>
      </c>
      <c r="W103" s="54">
        <f>IF(W2&gt;=Assumptions!$B$55,V107*Assumptions!$B$130/12*Assumptions!$B$131*W7,0)</f>
        <v/>
      </c>
      <c r="X103" s="54">
        <f>IF(X2&gt;=Assumptions!$B$55,W107*Assumptions!$B$130/12*Assumptions!$B$131*X7,0)</f>
        <v/>
      </c>
      <c r="Y103" s="54">
        <f>IF(Y2&gt;=Assumptions!$B$55,X107*Assumptions!$B$130/12*Assumptions!$B$131*Y7,0)</f>
        <v/>
      </c>
      <c r="Z103" s="54">
        <f>IF(Z2&gt;=Assumptions!$B$55,Y107*Assumptions!$B$130/12*Assumptions!$B$131*Z7,0)</f>
        <v/>
      </c>
      <c r="AA103" s="54">
        <f>IF(AA2&gt;=Assumptions!$B$55,Z107*Assumptions!$B$130/12*Assumptions!$B$131*AA7,0)</f>
        <v/>
      </c>
      <c r="AB103" s="54">
        <f>IF(AB2&gt;=Assumptions!$B$55,AA107*Assumptions!$B$130/12*Assumptions!$B$131*AB7,0)</f>
        <v/>
      </c>
      <c r="AC103" s="54">
        <f>IF(AC2&gt;=Assumptions!$B$55,AB107*Assumptions!$B$130/12*Assumptions!$B$131*AC7,0)</f>
        <v/>
      </c>
      <c r="AD103" s="54">
        <f>IF(AD2&gt;=Assumptions!$B$55,AC107*Assumptions!$B$130/12*Assumptions!$B$131*AD7,0)</f>
        <v/>
      </c>
      <c r="AE103" s="54">
        <f>IF(AE2&gt;=Assumptions!$B$55,AD107*Assumptions!$B$130/12*Assumptions!$B$131*AE7,0)</f>
        <v/>
      </c>
    </row>
    <row r="104">
      <c r="A104" s="6" t="inlineStr">
        <is>
          <t xml:space="preserve">  Raw demand</t>
        </is>
      </c>
      <c r="B104" s="23" t="inlineStr">
        <is>
          <t>accounts</t>
        </is>
      </c>
      <c r="C104" s="54">
        <f>C102+C103+IF(C23=0,0,C20*Assumptions!$B$116/C23*IF(C2&gt;=Assumptions!$B$57,1,0))</f>
        <v/>
      </c>
      <c r="D104" s="54">
        <f>D102+D103+IF(D23=0,0,D20*Assumptions!$B$116/D23*IF(D2&gt;=Assumptions!$B$57,1,0))</f>
        <v/>
      </c>
      <c r="E104" s="54">
        <f>E102+E103+IF(E23=0,0,E20*Assumptions!$B$116/E23*IF(E2&gt;=Assumptions!$B$57,1,0))</f>
        <v/>
      </c>
      <c r="F104" s="54">
        <f>F102+F103+IF(F23=0,0,F20*Assumptions!$B$116/F23*IF(F2&gt;=Assumptions!$B$57,1,0))</f>
        <v/>
      </c>
      <c r="G104" s="54">
        <f>G102+G103+IF(G23=0,0,G20*Assumptions!$B$116/G23*IF(G2&gt;=Assumptions!$B$57,1,0))</f>
        <v/>
      </c>
      <c r="H104" s="54">
        <f>H102+H103+IF(H23=0,0,H20*Assumptions!$B$116/H23*IF(H2&gt;=Assumptions!$B$57,1,0))</f>
        <v/>
      </c>
      <c r="I104" s="54">
        <f>I102+I103+IF(I23=0,0,I20*Assumptions!$B$116/I23*IF(I2&gt;=Assumptions!$B$57,1,0))</f>
        <v/>
      </c>
      <c r="J104" s="54">
        <f>J102+J103+IF(J23=0,0,J20*Assumptions!$B$116/J23*IF(J2&gt;=Assumptions!$B$57,1,0))</f>
        <v/>
      </c>
      <c r="K104" s="54">
        <f>K102+K103+IF(K23=0,0,K20*Assumptions!$B$116/K23*IF(K2&gt;=Assumptions!$B$57,1,0))</f>
        <v/>
      </c>
      <c r="L104" s="54">
        <f>L102+L103+IF(L23=0,0,L20*Assumptions!$B$116/L23*IF(L2&gt;=Assumptions!$B$57,1,0))</f>
        <v/>
      </c>
      <c r="M104" s="54">
        <f>M102+M103+IF(M23=0,0,M20*Assumptions!$B$116/M23*IF(M2&gt;=Assumptions!$B$57,1,0))</f>
        <v/>
      </c>
      <c r="N104" s="54">
        <f>N102+N103+IF(N23=0,0,N20*Assumptions!$B$116/N23*IF(N2&gt;=Assumptions!$B$57,1,0))</f>
        <v/>
      </c>
      <c r="O104" s="54">
        <f>O102+O103+IF(O23=0,0,O20*Assumptions!$B$116/O23*IF(O2&gt;=Assumptions!$B$57,1,0))</f>
        <v/>
      </c>
      <c r="P104" s="54">
        <f>P102+P103+IF(P23=0,0,P20*Assumptions!$B$116/P23*IF(P2&gt;=Assumptions!$B$57,1,0))</f>
        <v/>
      </c>
      <c r="Q104" s="54">
        <f>Q102+Q103+IF(Q23=0,0,Q20*Assumptions!$B$116/Q23*IF(Q2&gt;=Assumptions!$B$57,1,0))</f>
        <v/>
      </c>
      <c r="R104" s="54">
        <f>R102+R103+IF(R23=0,0,R20*Assumptions!$B$116/R23*IF(R2&gt;=Assumptions!$B$57,1,0))</f>
        <v/>
      </c>
      <c r="S104" s="54">
        <f>S102+S103+IF(S23=0,0,S20*Assumptions!$B$116/S23*IF(S2&gt;=Assumptions!$B$57,1,0))</f>
        <v/>
      </c>
      <c r="T104" s="54">
        <f>T102+T103+IF(T23=0,0,T20*Assumptions!$B$116/T23*IF(T2&gt;=Assumptions!$B$57,1,0))</f>
        <v/>
      </c>
      <c r="U104" s="54">
        <f>U102+U103+IF(U23=0,0,U20*Assumptions!$B$116/U23*IF(U2&gt;=Assumptions!$B$57,1,0))</f>
        <v/>
      </c>
      <c r="V104" s="54">
        <f>V102+V103+IF(V23=0,0,V20*Assumptions!$B$116/V23*IF(V2&gt;=Assumptions!$B$57,1,0))</f>
        <v/>
      </c>
      <c r="W104" s="54">
        <f>W102+W103+IF(W23=0,0,W20*Assumptions!$B$116/W23*IF(W2&gt;=Assumptions!$B$57,1,0))</f>
        <v/>
      </c>
      <c r="X104" s="54">
        <f>X102+X103+IF(X23=0,0,X20*Assumptions!$B$116/X23*IF(X2&gt;=Assumptions!$B$57,1,0))</f>
        <v/>
      </c>
      <c r="Y104" s="54">
        <f>Y102+Y103+IF(Y23=0,0,Y20*Assumptions!$B$116/Y23*IF(Y2&gt;=Assumptions!$B$57,1,0))</f>
        <v/>
      </c>
      <c r="Z104" s="54">
        <f>Z102+Z103+IF(Z23=0,0,Z20*Assumptions!$B$116/Z23*IF(Z2&gt;=Assumptions!$B$57,1,0))</f>
        <v/>
      </c>
      <c r="AA104" s="54">
        <f>AA102+AA103+IF(AA23=0,0,AA20*Assumptions!$B$116/AA23*IF(AA2&gt;=Assumptions!$B$57,1,0))</f>
        <v/>
      </c>
      <c r="AB104" s="54">
        <f>AB102+AB103+IF(AB23=0,0,AB20*Assumptions!$B$116/AB23*IF(AB2&gt;=Assumptions!$B$57,1,0))</f>
        <v/>
      </c>
      <c r="AC104" s="54">
        <f>AC102+AC103+IF(AC23=0,0,AC20*Assumptions!$B$116/AC23*IF(AC2&gt;=Assumptions!$B$57,1,0))</f>
        <v/>
      </c>
      <c r="AD104" s="54">
        <f>AD102+AD103+IF(AD23=0,0,AD20*Assumptions!$B$116/AD23*IF(AD2&gt;=Assumptions!$B$57,1,0))</f>
        <v/>
      </c>
      <c r="AE104" s="54">
        <f>AE102+AE103+IF(AE23=0,0,AE20*Assumptions!$B$116/AE23*IF(AE2&gt;=Assumptions!$B$57,1,0))</f>
        <v/>
      </c>
    </row>
    <row r="105">
      <c r="A105" s="6" t="inlineStr">
        <is>
          <t xml:space="preserve">  Saturation (this region's own headroom)</t>
        </is>
      </c>
      <c r="B105" s="23" t="inlineStr">
        <is>
          <t>x</t>
        </is>
      </c>
      <c r="C105" s="51" t="n">
        <v>1</v>
      </c>
      <c r="D105" s="51">
        <f>MAX(0,1-C110/Assumptions!$B$86)</f>
        <v/>
      </c>
      <c r="E105" s="51">
        <f>MAX(0,1-D110/Assumptions!$B$86)</f>
        <v/>
      </c>
      <c r="F105" s="51">
        <f>MAX(0,1-E110/Assumptions!$B$86)</f>
        <v/>
      </c>
      <c r="G105" s="51">
        <f>MAX(0,1-F110/Assumptions!$B$86)</f>
        <v/>
      </c>
      <c r="H105" s="51">
        <f>MAX(0,1-G110/Assumptions!$B$86)</f>
        <v/>
      </c>
      <c r="I105" s="51">
        <f>MAX(0,1-H110/Assumptions!$B$86)</f>
        <v/>
      </c>
      <c r="J105" s="51">
        <f>MAX(0,1-I110/Assumptions!$B$86)</f>
        <v/>
      </c>
      <c r="K105" s="51">
        <f>MAX(0,1-J110/Assumptions!$B$86)</f>
        <v/>
      </c>
      <c r="L105" s="51">
        <f>MAX(0,1-K110/Assumptions!$B$86)</f>
        <v/>
      </c>
      <c r="M105" s="51">
        <f>MAX(0,1-L110/Assumptions!$B$86)</f>
        <v/>
      </c>
      <c r="N105" s="51">
        <f>MAX(0,1-M110/Assumptions!$B$86)</f>
        <v/>
      </c>
      <c r="O105" s="51">
        <f>MAX(0,1-N110/Assumptions!$B$86)</f>
        <v/>
      </c>
      <c r="P105" s="51">
        <f>MAX(0,1-O110/Assumptions!$B$86)</f>
        <v/>
      </c>
      <c r="Q105" s="51">
        <f>MAX(0,1-P110/Assumptions!$B$86)</f>
        <v/>
      </c>
      <c r="R105" s="51">
        <f>MAX(0,1-Q110/Assumptions!$B$86)</f>
        <v/>
      </c>
      <c r="S105" s="51">
        <f>MAX(0,1-R110/Assumptions!$B$86)</f>
        <v/>
      </c>
      <c r="T105" s="51">
        <f>MAX(0,1-S110/Assumptions!$B$86)</f>
        <v/>
      </c>
      <c r="U105" s="51">
        <f>MAX(0,1-T110/Assumptions!$B$86)</f>
        <v/>
      </c>
      <c r="V105" s="51">
        <f>MAX(0,1-U110/Assumptions!$B$86)</f>
        <v/>
      </c>
      <c r="W105" s="51">
        <f>MAX(0,1-V110/Assumptions!$B$86)</f>
        <v/>
      </c>
      <c r="X105" s="51">
        <f>MAX(0,1-W110/Assumptions!$B$86)</f>
        <v/>
      </c>
      <c r="Y105" s="51">
        <f>MAX(0,1-X110/Assumptions!$B$86)</f>
        <v/>
      </c>
      <c r="Z105" s="51">
        <f>MAX(0,1-Y110/Assumptions!$B$86)</f>
        <v/>
      </c>
      <c r="AA105" s="51">
        <f>MAX(0,1-Z110/Assumptions!$B$86)</f>
        <v/>
      </c>
      <c r="AB105" s="51">
        <f>MAX(0,1-AA110/Assumptions!$B$86)</f>
        <v/>
      </c>
      <c r="AC105" s="51">
        <f>MAX(0,1-AB110/Assumptions!$B$86)</f>
        <v/>
      </c>
      <c r="AD105" s="51">
        <f>MAX(0,1-AC110/Assumptions!$B$86)</f>
        <v/>
      </c>
      <c r="AE105" s="51">
        <f>MAX(0,1-AD110/Assumptions!$B$86)</f>
        <v/>
      </c>
    </row>
    <row r="106">
      <c r="A106" s="6" t="inlineStr">
        <is>
          <t xml:space="preserve">  New customers</t>
        </is>
      </c>
      <c r="B106" s="23" t="inlineStr">
        <is>
          <t>accounts</t>
        </is>
      </c>
      <c r="C106" s="54">
        <f>C104*C105*C15</f>
        <v/>
      </c>
      <c r="D106" s="54">
        <f>D104*D105*D15</f>
        <v/>
      </c>
      <c r="E106" s="54">
        <f>E104*E105*E15</f>
        <v/>
      </c>
      <c r="F106" s="54">
        <f>F104*F105*F15</f>
        <v/>
      </c>
      <c r="G106" s="54">
        <f>G104*G105*G15</f>
        <v/>
      </c>
      <c r="H106" s="54">
        <f>H104*H105*H15</f>
        <v/>
      </c>
      <c r="I106" s="54">
        <f>I104*I105*I15</f>
        <v/>
      </c>
      <c r="J106" s="54">
        <f>J104*J105*J15</f>
        <v/>
      </c>
      <c r="K106" s="54">
        <f>K104*K105*K15</f>
        <v/>
      </c>
      <c r="L106" s="54">
        <f>L104*L105*L15</f>
        <v/>
      </c>
      <c r="M106" s="54">
        <f>M104*M105*M15</f>
        <v/>
      </c>
      <c r="N106" s="54">
        <f>N104*N105*N15</f>
        <v/>
      </c>
      <c r="O106" s="54">
        <f>O104*O105*O15</f>
        <v/>
      </c>
      <c r="P106" s="54">
        <f>P104*P105*P15</f>
        <v/>
      </c>
      <c r="Q106" s="54">
        <f>Q104*Q105*Q15</f>
        <v/>
      </c>
      <c r="R106" s="54">
        <f>R104*R105*R15</f>
        <v/>
      </c>
      <c r="S106" s="54">
        <f>S104*S105*S15</f>
        <v/>
      </c>
      <c r="T106" s="54">
        <f>T104*T105*T15</f>
        <v/>
      </c>
      <c r="U106" s="54">
        <f>U104*U105*U15</f>
        <v/>
      </c>
      <c r="V106" s="54">
        <f>V104*V105*V15</f>
        <v/>
      </c>
      <c r="W106" s="54">
        <f>W104*W105*W15</f>
        <v/>
      </c>
      <c r="X106" s="54">
        <f>X104*X105*X15</f>
        <v/>
      </c>
      <c r="Y106" s="54">
        <f>Y104*Y105*Y15</f>
        <v/>
      </c>
      <c r="Z106" s="54">
        <f>Z104*Z105*Z15</f>
        <v/>
      </c>
      <c r="AA106" s="54">
        <f>AA104*AA105*AA15</f>
        <v/>
      </c>
      <c r="AB106" s="54">
        <f>AB104*AB105*AB15</f>
        <v/>
      </c>
      <c r="AC106" s="54">
        <f>AC104*AC105*AC15</f>
        <v/>
      </c>
      <c r="AD106" s="54">
        <f>AD104*AD105*AD15</f>
        <v/>
      </c>
      <c r="AE106" s="54">
        <f>AE104*AE105*AE15</f>
        <v/>
      </c>
    </row>
    <row r="107">
      <c r="A107" s="6" t="inlineStr">
        <is>
          <t xml:space="preserve">  Paying customers</t>
        </is>
      </c>
      <c r="B107" s="23" t="inlineStr">
        <is>
          <t>accounts</t>
        </is>
      </c>
      <c r="C107" s="28">
        <f>C106*(1-Assumptions!$B$122)^(C7/2)</f>
        <v/>
      </c>
      <c r="D107" s="28">
        <f>C107*(1-Assumptions!$B$122)^D7+D106*(1-Assumptions!$B$122)^(D7/2)</f>
        <v/>
      </c>
      <c r="E107" s="28">
        <f>D107*(1-Assumptions!$B$122)^E7+E106*(1-Assumptions!$B$122)^(E7/2)</f>
        <v/>
      </c>
      <c r="F107" s="28">
        <f>E107*(1-Assumptions!$B$122)^F7+F106*(1-Assumptions!$B$122)^(F7/2)</f>
        <v/>
      </c>
      <c r="G107" s="28">
        <f>F107*(1-Assumptions!$B$122)^G7+G106*(1-Assumptions!$B$122)^(G7/2)</f>
        <v/>
      </c>
      <c r="H107" s="28">
        <f>G107*(1-Assumptions!$B$122)^H7+H106*(1-Assumptions!$B$122)^(H7/2)</f>
        <v/>
      </c>
      <c r="I107" s="28">
        <f>H107*(1-Assumptions!$B$122)^I7+I106*(1-Assumptions!$B$122)^(I7/2)</f>
        <v/>
      </c>
      <c r="J107" s="28">
        <f>I107*(1-Assumptions!$B$122)^J7+J106*(1-Assumptions!$B$122)^(J7/2)</f>
        <v/>
      </c>
      <c r="K107" s="28">
        <f>J107*(1-Assumptions!$B$122)^K7+K106*(1-Assumptions!$B$122)^(K7/2)</f>
        <v/>
      </c>
      <c r="L107" s="28">
        <f>K107*(1-Assumptions!$B$122)^L7+L106*(1-Assumptions!$B$122)^(L7/2)</f>
        <v/>
      </c>
      <c r="M107" s="28">
        <f>L107*(1-Assumptions!$B$122)^M7+M106*(1-Assumptions!$B$122)^(M7/2)</f>
        <v/>
      </c>
      <c r="N107" s="28">
        <f>M107*(1-Assumptions!$B$122)^N7+N106*(1-Assumptions!$B$122)^(N7/2)</f>
        <v/>
      </c>
      <c r="O107" s="28">
        <f>N107*(1-Assumptions!$B$122)^O7+O106*(1-Assumptions!$B$122)^(O7/2)</f>
        <v/>
      </c>
      <c r="P107" s="28">
        <f>O107*(1-Assumptions!$B$122)^P7+P106*(1-Assumptions!$B$122)^(P7/2)</f>
        <v/>
      </c>
      <c r="Q107" s="28">
        <f>P107*(1-Assumptions!$B$122)^Q7+Q106*(1-Assumptions!$B$122)^(Q7/2)</f>
        <v/>
      </c>
      <c r="R107" s="28">
        <f>Q107*(1-Assumptions!$B$122)^R7+R106*(1-Assumptions!$B$122)^(R7/2)</f>
        <v/>
      </c>
      <c r="S107" s="28">
        <f>R107*(1-Assumptions!$B$122)^S7+S106*(1-Assumptions!$B$122)^(S7/2)</f>
        <v/>
      </c>
      <c r="T107" s="28">
        <f>S107*(1-Assumptions!$B$122)^T7+T106*(1-Assumptions!$B$122)^(T7/2)</f>
        <v/>
      </c>
      <c r="U107" s="28">
        <f>T107*(1-Assumptions!$B$122)^U7+U106*(1-Assumptions!$B$122)^(U7/2)</f>
        <v/>
      </c>
      <c r="V107" s="28">
        <f>U107*(1-Assumptions!$B$122)^V7+V106*(1-Assumptions!$B$122)^(V7/2)</f>
        <v/>
      </c>
      <c r="W107" s="28">
        <f>V107*(1-Assumptions!$B$122)^W7+W106*(1-Assumptions!$B$122)^(W7/2)</f>
        <v/>
      </c>
      <c r="X107" s="28">
        <f>W107*(1-Assumptions!$B$122)^X7+X106*(1-Assumptions!$B$122)^(X7/2)</f>
        <v/>
      </c>
      <c r="Y107" s="28">
        <f>X107*(1-Assumptions!$B$122)^Y7+Y106*(1-Assumptions!$B$122)^(Y7/2)</f>
        <v/>
      </c>
      <c r="Z107" s="28">
        <f>Y107*(1-Assumptions!$B$122)^Z7+Z106*(1-Assumptions!$B$122)^(Z7/2)</f>
        <v/>
      </c>
      <c r="AA107" s="28">
        <f>Z107*(1-Assumptions!$B$122)^AA7+AA106*(1-Assumptions!$B$122)^(AA7/2)</f>
        <v/>
      </c>
      <c r="AB107" s="28">
        <f>AA107*(1-Assumptions!$B$122)^AB7+AB106*(1-Assumptions!$B$122)^(AB7/2)</f>
        <v/>
      </c>
      <c r="AC107" s="28">
        <f>AB107*(1-Assumptions!$B$122)^AC7+AC106*(1-Assumptions!$B$122)^(AC7/2)</f>
        <v/>
      </c>
      <c r="AD107" s="28">
        <f>AC107*(1-Assumptions!$B$122)^AD7+AD106*(1-Assumptions!$B$122)^(AD7/2)</f>
        <v/>
      </c>
      <c r="AE107" s="28">
        <f>AD107*(1-Assumptions!$B$122)^AE7+AE106*(1-Assumptions!$B$122)^(AE7/2)</f>
        <v/>
      </c>
    </row>
    <row r="108">
      <c r="A108" s="6" t="inlineStr">
        <is>
          <t xml:space="preserve">  Churned this period</t>
        </is>
      </c>
      <c r="B108" s="23" t="inlineStr">
        <is>
          <t>accounts</t>
        </is>
      </c>
      <c r="C108" s="54">
        <f>C106-C107</f>
        <v/>
      </c>
      <c r="D108" s="54">
        <f>C107+D106-D107</f>
        <v/>
      </c>
      <c r="E108" s="54">
        <f>D107+E106-E107</f>
        <v/>
      </c>
      <c r="F108" s="54">
        <f>E107+F106-F107</f>
        <v/>
      </c>
      <c r="G108" s="54">
        <f>F107+G106-G107</f>
        <v/>
      </c>
      <c r="H108" s="54">
        <f>G107+H106-H107</f>
        <v/>
      </c>
      <c r="I108" s="54">
        <f>H107+I106-I107</f>
        <v/>
      </c>
      <c r="J108" s="54">
        <f>I107+J106-J107</f>
        <v/>
      </c>
      <c r="K108" s="54">
        <f>J107+K106-K107</f>
        <v/>
      </c>
      <c r="L108" s="54">
        <f>K107+L106-L107</f>
        <v/>
      </c>
      <c r="M108" s="54">
        <f>L107+M106-M107</f>
        <v/>
      </c>
      <c r="N108" s="54">
        <f>M107+N106-N107</f>
        <v/>
      </c>
      <c r="O108" s="54">
        <f>N107+O106-O107</f>
        <v/>
      </c>
      <c r="P108" s="54">
        <f>O107+P106-P107</f>
        <v/>
      </c>
      <c r="Q108" s="54">
        <f>P107+Q106-Q107</f>
        <v/>
      </c>
      <c r="R108" s="54">
        <f>Q107+R106-R107</f>
        <v/>
      </c>
      <c r="S108" s="54">
        <f>R107+S106-S107</f>
        <v/>
      </c>
      <c r="T108" s="54">
        <f>S107+T106-T107</f>
        <v/>
      </c>
      <c r="U108" s="54">
        <f>T107+U106-U107</f>
        <v/>
      </c>
      <c r="V108" s="54">
        <f>U107+V106-V107</f>
        <v/>
      </c>
      <c r="W108" s="54">
        <f>V107+W106-W107</f>
        <v/>
      </c>
      <c r="X108" s="54">
        <f>W107+X106-X107</f>
        <v/>
      </c>
      <c r="Y108" s="54">
        <f>X107+Y106-Y107</f>
        <v/>
      </c>
      <c r="Z108" s="54">
        <f>Y107+Z106-Z107</f>
        <v/>
      </c>
      <c r="AA108" s="54">
        <f>Z107+AA106-AA107</f>
        <v/>
      </c>
      <c r="AB108" s="54">
        <f>AA107+AB106-AB107</f>
        <v/>
      </c>
      <c r="AC108" s="54">
        <f>AB107+AC106-AC107</f>
        <v/>
      </c>
      <c r="AD108" s="54">
        <f>AC107+AD106-AD107</f>
        <v/>
      </c>
      <c r="AE108" s="54">
        <f>AD107+AE106-AE107</f>
        <v/>
      </c>
    </row>
    <row r="109">
      <c r="A109" s="6" t="inlineStr">
        <is>
          <t xml:space="preserve">  Holders (stopped paying, still hold gold)</t>
        </is>
      </c>
      <c r="B109" s="23" t="inlineStr">
        <is>
          <t>accounts</t>
        </is>
      </c>
      <c r="C109" s="45">
        <f>C108</f>
        <v/>
      </c>
      <c r="D109" s="45">
        <f>C109+D108</f>
        <v/>
      </c>
      <c r="E109" s="45">
        <f>D109+E108</f>
        <v/>
      </c>
      <c r="F109" s="45">
        <f>E109+F108</f>
        <v/>
      </c>
      <c r="G109" s="45">
        <f>F109+G108</f>
        <v/>
      </c>
      <c r="H109" s="45">
        <f>G109+H108</f>
        <v/>
      </c>
      <c r="I109" s="45">
        <f>H109+I108</f>
        <v/>
      </c>
      <c r="J109" s="45">
        <f>I109+J108</f>
        <v/>
      </c>
      <c r="K109" s="45">
        <f>J109+K108</f>
        <v/>
      </c>
      <c r="L109" s="45">
        <f>K109+L108</f>
        <v/>
      </c>
      <c r="M109" s="45">
        <f>L109+M108</f>
        <v/>
      </c>
      <c r="N109" s="45">
        <f>M109+N108</f>
        <v/>
      </c>
      <c r="O109" s="45">
        <f>N109+O108</f>
        <v/>
      </c>
      <c r="P109" s="45">
        <f>O109+P108</f>
        <v/>
      </c>
      <c r="Q109" s="45">
        <f>P109+Q108</f>
        <v/>
      </c>
      <c r="R109" s="45">
        <f>Q109+R108</f>
        <v/>
      </c>
      <c r="S109" s="45">
        <f>R109+S108</f>
        <v/>
      </c>
      <c r="T109" s="45">
        <f>S109+T108</f>
        <v/>
      </c>
      <c r="U109" s="45">
        <f>T109+U108</f>
        <v/>
      </c>
      <c r="V109" s="45">
        <f>U109+V108</f>
        <v/>
      </c>
      <c r="W109" s="45">
        <f>V109+W108</f>
        <v/>
      </c>
      <c r="X109" s="45">
        <f>W109+X108</f>
        <v/>
      </c>
      <c r="Y109" s="45">
        <f>X109+Y108</f>
        <v/>
      </c>
      <c r="Z109" s="45">
        <f>Y109+Z108</f>
        <v/>
      </c>
      <c r="AA109" s="45">
        <f>Z109+AA108</f>
        <v/>
      </c>
      <c r="AB109" s="45">
        <f>AA109+AB108</f>
        <v/>
      </c>
      <c r="AC109" s="45">
        <f>AB109+AC108</f>
        <v/>
      </c>
      <c r="AD109" s="45">
        <f>AC109+AD108</f>
        <v/>
      </c>
      <c r="AE109" s="45">
        <f>AD109+AE108</f>
        <v/>
      </c>
    </row>
    <row r="110">
      <c r="A110" s="6" t="inlineStr">
        <is>
          <t xml:space="preserve">  Cumulative ever acquired</t>
        </is>
      </c>
      <c r="B110" s="23" t="inlineStr">
        <is>
          <t>accounts</t>
        </is>
      </c>
      <c r="C110" s="45">
        <f>C106</f>
        <v/>
      </c>
      <c r="D110" s="45">
        <f>C110+D106</f>
        <v/>
      </c>
      <c r="E110" s="45">
        <f>D110+E106</f>
        <v/>
      </c>
      <c r="F110" s="45">
        <f>E110+F106</f>
        <v/>
      </c>
      <c r="G110" s="45">
        <f>F110+G106</f>
        <v/>
      </c>
      <c r="H110" s="45">
        <f>G110+H106</f>
        <v/>
      </c>
      <c r="I110" s="45">
        <f>H110+I106</f>
        <v/>
      </c>
      <c r="J110" s="45">
        <f>I110+J106</f>
        <v/>
      </c>
      <c r="K110" s="45">
        <f>J110+K106</f>
        <v/>
      </c>
      <c r="L110" s="45">
        <f>K110+L106</f>
        <v/>
      </c>
      <c r="M110" s="45">
        <f>L110+M106</f>
        <v/>
      </c>
      <c r="N110" s="45">
        <f>M110+N106</f>
        <v/>
      </c>
      <c r="O110" s="45">
        <f>N110+O106</f>
        <v/>
      </c>
      <c r="P110" s="45">
        <f>O110+P106</f>
        <v/>
      </c>
      <c r="Q110" s="45">
        <f>P110+Q106</f>
        <v/>
      </c>
      <c r="R110" s="45">
        <f>Q110+R106</f>
        <v/>
      </c>
      <c r="S110" s="45">
        <f>R110+S106</f>
        <v/>
      </c>
      <c r="T110" s="45">
        <f>S110+T106</f>
        <v/>
      </c>
      <c r="U110" s="45">
        <f>T110+U106</f>
        <v/>
      </c>
      <c r="V110" s="45">
        <f>U110+V106</f>
        <v/>
      </c>
      <c r="W110" s="45">
        <f>V110+W106</f>
        <v/>
      </c>
      <c r="X110" s="45">
        <f>W110+X106</f>
        <v/>
      </c>
      <c r="Y110" s="45">
        <f>X110+Y106</f>
        <v/>
      </c>
      <c r="Z110" s="45">
        <f>Y110+Z106</f>
        <v/>
      </c>
      <c r="AA110" s="45">
        <f>Z110+AA106</f>
        <v/>
      </c>
      <c r="AB110" s="45">
        <f>AA110+AB106</f>
        <v/>
      </c>
      <c r="AC110" s="45">
        <f>AB110+AC106</f>
        <v/>
      </c>
      <c r="AD110" s="45">
        <f>AC110+AD106</f>
        <v/>
      </c>
      <c r="AE110" s="45">
        <f>AD110+AE106</f>
        <v/>
      </c>
    </row>
    <row r="111">
      <c r="A111" s="6" t="inlineStr">
        <is>
          <t xml:space="preserve">  SIP contributions</t>
        </is>
      </c>
      <c r="B111" s="23" t="inlineStr">
        <is>
          <t>USD</t>
        </is>
      </c>
      <c r="C111" s="55">
        <f>IF(C2&gt;=Assumptions!$B$47,C107*Assumptions!$B$170*C7,0)</f>
        <v/>
      </c>
      <c r="D111" s="55">
        <f>IF(D2&gt;=Assumptions!$B$47,D107*Assumptions!$B$170*D7,0)</f>
        <v/>
      </c>
      <c r="E111" s="55">
        <f>IF(E2&gt;=Assumptions!$B$47,E107*Assumptions!$B$170*E7,0)</f>
        <v/>
      </c>
      <c r="F111" s="55">
        <f>IF(F2&gt;=Assumptions!$B$47,F107*Assumptions!$B$170*F7,0)</f>
        <v/>
      </c>
      <c r="G111" s="55">
        <f>IF(G2&gt;=Assumptions!$B$47,G107*Assumptions!$B$170*G7,0)</f>
        <v/>
      </c>
      <c r="H111" s="55">
        <f>IF(H2&gt;=Assumptions!$B$47,H107*Assumptions!$B$170*H7,0)</f>
        <v/>
      </c>
      <c r="I111" s="55">
        <f>IF(I2&gt;=Assumptions!$B$47,I107*Assumptions!$B$170*I7,0)</f>
        <v/>
      </c>
      <c r="J111" s="55">
        <f>IF(J2&gt;=Assumptions!$B$47,J107*Assumptions!$B$170*J7,0)</f>
        <v/>
      </c>
      <c r="K111" s="55">
        <f>IF(K2&gt;=Assumptions!$B$47,K107*Assumptions!$B$170*K7,0)</f>
        <v/>
      </c>
      <c r="L111" s="55">
        <f>IF(L2&gt;=Assumptions!$B$47,L107*Assumptions!$B$170*L7,0)</f>
        <v/>
      </c>
      <c r="M111" s="55">
        <f>IF(M2&gt;=Assumptions!$B$47,M107*Assumptions!$B$170*M7,0)</f>
        <v/>
      </c>
      <c r="N111" s="55">
        <f>IF(N2&gt;=Assumptions!$B$47,N107*Assumptions!$B$170*N7,0)</f>
        <v/>
      </c>
      <c r="O111" s="55">
        <f>IF(O2&gt;=Assumptions!$B$47,O107*Assumptions!$B$170*O7,0)</f>
        <v/>
      </c>
      <c r="P111" s="55">
        <f>IF(P2&gt;=Assumptions!$B$47,P107*Assumptions!$B$170*P7,0)</f>
        <v/>
      </c>
      <c r="Q111" s="55">
        <f>IF(Q2&gt;=Assumptions!$B$47,Q107*Assumptions!$B$170*Q7,0)</f>
        <v/>
      </c>
      <c r="R111" s="55">
        <f>IF(R2&gt;=Assumptions!$B$47,R107*Assumptions!$B$170*R7,0)</f>
        <v/>
      </c>
      <c r="S111" s="55">
        <f>IF(S2&gt;=Assumptions!$B$47,S107*Assumptions!$B$170*S7,0)</f>
        <v/>
      </c>
      <c r="T111" s="55">
        <f>IF(T2&gt;=Assumptions!$B$47,T107*Assumptions!$B$170*T7,0)</f>
        <v/>
      </c>
      <c r="U111" s="55">
        <f>IF(U2&gt;=Assumptions!$B$47,U107*Assumptions!$B$170*U7,0)</f>
        <v/>
      </c>
      <c r="V111" s="55">
        <f>IF(V2&gt;=Assumptions!$B$47,V107*Assumptions!$B$170*V7,0)</f>
        <v/>
      </c>
      <c r="W111" s="55">
        <f>IF(W2&gt;=Assumptions!$B$47,W107*Assumptions!$B$170*W7,0)</f>
        <v/>
      </c>
      <c r="X111" s="55">
        <f>IF(X2&gt;=Assumptions!$B$47,X107*Assumptions!$B$170*X7,0)</f>
        <v/>
      </c>
      <c r="Y111" s="55">
        <f>IF(Y2&gt;=Assumptions!$B$47,Y107*Assumptions!$B$170*Y7,0)</f>
        <v/>
      </c>
      <c r="Z111" s="55">
        <f>IF(Z2&gt;=Assumptions!$B$47,Z107*Assumptions!$B$170*Z7,0)</f>
        <v/>
      </c>
      <c r="AA111" s="55">
        <f>IF(AA2&gt;=Assumptions!$B$47,AA107*Assumptions!$B$170*AA7,0)</f>
        <v/>
      </c>
      <c r="AB111" s="55">
        <f>IF(AB2&gt;=Assumptions!$B$47,AB107*Assumptions!$B$170*AB7,0)</f>
        <v/>
      </c>
      <c r="AC111" s="55">
        <f>IF(AC2&gt;=Assumptions!$B$47,AC107*Assumptions!$B$170*AC7,0)</f>
        <v/>
      </c>
      <c r="AD111" s="55">
        <f>IF(AD2&gt;=Assumptions!$B$47,AD107*Assumptions!$B$170*AD7,0)</f>
        <v/>
      </c>
      <c r="AE111" s="55">
        <f>IF(AE2&gt;=Assumptions!$B$47,AE107*Assumptions!$B$170*AE7,0)</f>
        <v/>
      </c>
    </row>
    <row r="112">
      <c r="A112" s="6" t="inlineStr">
        <is>
          <t xml:space="preserve">  Spot purchase volume</t>
        </is>
      </c>
      <c r="B112" s="23" t="inlineStr">
        <is>
          <t>USD</t>
        </is>
      </c>
      <c r="C112" s="55">
        <f>IF(C2&gt;=Assumptions!$B$48,C107*Assumptions!$B$37*Assumptions!$B$139*Assumptions!$B$141*Assumptions!$B$34*Assumptions!$B$140/12*C7,0)</f>
        <v/>
      </c>
      <c r="D112" s="55">
        <f>IF(D2&gt;=Assumptions!$B$48,D107*Assumptions!$B$37*Assumptions!$B$139*Assumptions!$B$141*Assumptions!$B$34*Assumptions!$B$140/12*D7,0)</f>
        <v/>
      </c>
      <c r="E112" s="55">
        <f>IF(E2&gt;=Assumptions!$B$48,E107*Assumptions!$B$37*Assumptions!$B$139*Assumptions!$B$141*Assumptions!$B$34*Assumptions!$B$140/12*E7,0)</f>
        <v/>
      </c>
      <c r="F112" s="55">
        <f>IF(F2&gt;=Assumptions!$B$48,F107*Assumptions!$B$37*Assumptions!$B$139*Assumptions!$B$141*Assumptions!$B$34*Assumptions!$B$140/12*F7,0)</f>
        <v/>
      </c>
      <c r="G112" s="55">
        <f>IF(G2&gt;=Assumptions!$B$48,G107*Assumptions!$B$37*Assumptions!$B$139*Assumptions!$B$141*Assumptions!$B$34*Assumptions!$B$140/12*G7,0)</f>
        <v/>
      </c>
      <c r="H112" s="55">
        <f>IF(H2&gt;=Assumptions!$B$48,H107*Assumptions!$B$37*Assumptions!$B$139*Assumptions!$B$141*Assumptions!$B$34*Assumptions!$B$140/12*H7,0)</f>
        <v/>
      </c>
      <c r="I112" s="55">
        <f>IF(I2&gt;=Assumptions!$B$48,I107*Assumptions!$B$37*Assumptions!$B$139*Assumptions!$B$141*Assumptions!$B$34*Assumptions!$B$140/12*I7,0)</f>
        <v/>
      </c>
      <c r="J112" s="55">
        <f>IF(J2&gt;=Assumptions!$B$48,J107*Assumptions!$B$37*Assumptions!$B$139*Assumptions!$B$141*Assumptions!$B$34*Assumptions!$B$140/12*J7,0)</f>
        <v/>
      </c>
      <c r="K112" s="55">
        <f>IF(K2&gt;=Assumptions!$B$48,K107*Assumptions!$B$37*Assumptions!$B$139*Assumptions!$B$141*Assumptions!$B$34*Assumptions!$B$140/12*K7,0)</f>
        <v/>
      </c>
      <c r="L112" s="55">
        <f>IF(L2&gt;=Assumptions!$B$48,L107*Assumptions!$B$37*Assumptions!$B$139*Assumptions!$B$141*Assumptions!$B$34*Assumptions!$B$140/12*L7,0)</f>
        <v/>
      </c>
      <c r="M112" s="55">
        <f>IF(M2&gt;=Assumptions!$B$48,M107*Assumptions!$B$37*Assumptions!$B$139*Assumptions!$B$141*Assumptions!$B$34*Assumptions!$B$140/12*M7,0)</f>
        <v/>
      </c>
      <c r="N112" s="55">
        <f>IF(N2&gt;=Assumptions!$B$48,N107*Assumptions!$B$37*Assumptions!$B$139*Assumptions!$B$141*Assumptions!$B$34*Assumptions!$B$140/12*N7,0)</f>
        <v/>
      </c>
      <c r="O112" s="55">
        <f>IF(O2&gt;=Assumptions!$B$48,O107*Assumptions!$B$37*Assumptions!$B$139*Assumptions!$B$141*Assumptions!$B$34*Assumptions!$B$140/12*O7,0)</f>
        <v/>
      </c>
      <c r="P112" s="55">
        <f>IF(P2&gt;=Assumptions!$B$48,P107*Assumptions!$B$37*Assumptions!$B$139*Assumptions!$B$141*Assumptions!$B$34*Assumptions!$B$140/12*P7,0)</f>
        <v/>
      </c>
      <c r="Q112" s="55">
        <f>IF(Q2&gt;=Assumptions!$B$48,Q107*Assumptions!$B$37*Assumptions!$B$139*Assumptions!$B$141*Assumptions!$B$34*Assumptions!$B$140/12*Q7,0)</f>
        <v/>
      </c>
      <c r="R112" s="55">
        <f>IF(R2&gt;=Assumptions!$B$48,R107*Assumptions!$B$37*Assumptions!$B$139*Assumptions!$B$141*Assumptions!$B$34*Assumptions!$B$140/12*R7,0)</f>
        <v/>
      </c>
      <c r="S112" s="55">
        <f>IF(S2&gt;=Assumptions!$B$48,S107*Assumptions!$B$37*Assumptions!$B$139*Assumptions!$B$141*Assumptions!$B$34*Assumptions!$B$140/12*S7,0)</f>
        <v/>
      </c>
      <c r="T112" s="55">
        <f>IF(T2&gt;=Assumptions!$B$48,T107*Assumptions!$B$37*Assumptions!$B$139*Assumptions!$B$141*Assumptions!$B$34*Assumptions!$B$140/12*T7,0)</f>
        <v/>
      </c>
      <c r="U112" s="55">
        <f>IF(U2&gt;=Assumptions!$B$48,U107*Assumptions!$B$37*Assumptions!$B$139*Assumptions!$B$141*Assumptions!$B$34*Assumptions!$B$140/12*U7,0)</f>
        <v/>
      </c>
      <c r="V112" s="55">
        <f>IF(V2&gt;=Assumptions!$B$48,V107*Assumptions!$B$37*Assumptions!$B$139*Assumptions!$B$141*Assumptions!$B$34*Assumptions!$B$140/12*V7,0)</f>
        <v/>
      </c>
      <c r="W112" s="55">
        <f>IF(W2&gt;=Assumptions!$B$48,W107*Assumptions!$B$37*Assumptions!$B$139*Assumptions!$B$141*Assumptions!$B$34*Assumptions!$B$140/12*W7,0)</f>
        <v/>
      </c>
      <c r="X112" s="55">
        <f>IF(X2&gt;=Assumptions!$B$48,X107*Assumptions!$B$37*Assumptions!$B$139*Assumptions!$B$141*Assumptions!$B$34*Assumptions!$B$140/12*X7,0)</f>
        <v/>
      </c>
      <c r="Y112" s="55">
        <f>IF(Y2&gt;=Assumptions!$B$48,Y107*Assumptions!$B$37*Assumptions!$B$139*Assumptions!$B$141*Assumptions!$B$34*Assumptions!$B$140/12*Y7,0)</f>
        <v/>
      </c>
      <c r="Z112" s="55">
        <f>IF(Z2&gt;=Assumptions!$B$48,Z107*Assumptions!$B$37*Assumptions!$B$139*Assumptions!$B$141*Assumptions!$B$34*Assumptions!$B$140/12*Z7,0)</f>
        <v/>
      </c>
      <c r="AA112" s="55">
        <f>IF(AA2&gt;=Assumptions!$B$48,AA107*Assumptions!$B$37*Assumptions!$B$139*Assumptions!$B$141*Assumptions!$B$34*Assumptions!$B$140/12*AA7,0)</f>
        <v/>
      </c>
      <c r="AB112" s="55">
        <f>IF(AB2&gt;=Assumptions!$B$48,AB107*Assumptions!$B$37*Assumptions!$B$139*Assumptions!$B$141*Assumptions!$B$34*Assumptions!$B$140/12*AB7,0)</f>
        <v/>
      </c>
      <c r="AC112" s="55">
        <f>IF(AC2&gt;=Assumptions!$B$48,AC107*Assumptions!$B$37*Assumptions!$B$139*Assumptions!$B$141*Assumptions!$B$34*Assumptions!$B$140/12*AC7,0)</f>
        <v/>
      </c>
      <c r="AD112" s="55">
        <f>IF(AD2&gt;=Assumptions!$B$48,AD107*Assumptions!$B$37*Assumptions!$B$139*Assumptions!$B$141*Assumptions!$B$34*Assumptions!$B$140/12*AD7,0)</f>
        <v/>
      </c>
      <c r="AE112" s="55">
        <f>IF(AE2&gt;=Assumptions!$B$48,AE107*Assumptions!$B$37*Assumptions!$B$139*Assumptions!$B$141*Assumptions!$B$34*Assumptions!$B$140/12*AE7,0)</f>
        <v/>
      </c>
    </row>
    <row r="113">
      <c r="A113" s="6" t="inlineStr">
        <is>
          <t xml:space="preserve">  Grams purchased</t>
        </is>
      </c>
      <c r="B113" s="23" t="inlineStr">
        <is>
          <t>grams</t>
        </is>
      </c>
      <c r="C113" s="54">
        <f>(C111+C112)*(1-Assumptions!$B$8)/C21/(1+Assumptions!$B$9)</f>
        <v/>
      </c>
      <c r="D113" s="54">
        <f>(D111+D112)*(1-Assumptions!$B$8)/D21/(1+Assumptions!$B$9)</f>
        <v/>
      </c>
      <c r="E113" s="54">
        <f>(E111+E112)*(1-Assumptions!$B$8)/E21/(1+Assumptions!$B$9)</f>
        <v/>
      </c>
      <c r="F113" s="54">
        <f>(F111+F112)*(1-Assumptions!$B$8)/F21/(1+Assumptions!$B$9)</f>
        <v/>
      </c>
      <c r="G113" s="54">
        <f>(G111+G112)*(1-Assumptions!$B$8)/G21/(1+Assumptions!$B$9)</f>
        <v/>
      </c>
      <c r="H113" s="54">
        <f>(H111+H112)*(1-Assumptions!$B$8)/H21/(1+Assumptions!$B$9)</f>
        <v/>
      </c>
      <c r="I113" s="54">
        <f>(I111+I112)*(1-Assumptions!$B$8)/I21/(1+Assumptions!$B$9)</f>
        <v/>
      </c>
      <c r="J113" s="54">
        <f>(J111+J112)*(1-Assumptions!$B$8)/J21/(1+Assumptions!$B$9)</f>
        <v/>
      </c>
      <c r="K113" s="54">
        <f>(K111+K112)*(1-Assumptions!$B$8)/K21/(1+Assumptions!$B$9)</f>
        <v/>
      </c>
      <c r="L113" s="54">
        <f>(L111+L112)*(1-Assumptions!$B$8)/L21/(1+Assumptions!$B$9)</f>
        <v/>
      </c>
      <c r="M113" s="54">
        <f>(M111+M112)*(1-Assumptions!$B$8)/M21/(1+Assumptions!$B$9)</f>
        <v/>
      </c>
      <c r="N113" s="54">
        <f>(N111+N112)*(1-Assumptions!$B$8)/N21/(1+Assumptions!$B$9)</f>
        <v/>
      </c>
      <c r="O113" s="54">
        <f>(O111+O112)*(1-Assumptions!$B$8)/O21/(1+Assumptions!$B$9)</f>
        <v/>
      </c>
      <c r="P113" s="54">
        <f>(P111+P112)*(1-Assumptions!$B$8)/P21/(1+Assumptions!$B$9)</f>
        <v/>
      </c>
      <c r="Q113" s="54">
        <f>(Q111+Q112)*(1-Assumptions!$B$8)/Q21/(1+Assumptions!$B$9)</f>
        <v/>
      </c>
      <c r="R113" s="54">
        <f>(R111+R112)*(1-Assumptions!$B$8)/R21/(1+Assumptions!$B$9)</f>
        <v/>
      </c>
      <c r="S113" s="54">
        <f>(S111+S112)*(1-Assumptions!$B$8)/S21/(1+Assumptions!$B$9)</f>
        <v/>
      </c>
      <c r="T113" s="54">
        <f>(T111+T112)*(1-Assumptions!$B$8)/T21/(1+Assumptions!$B$9)</f>
        <v/>
      </c>
      <c r="U113" s="54">
        <f>(U111+U112)*(1-Assumptions!$B$8)/U21/(1+Assumptions!$B$9)</f>
        <v/>
      </c>
      <c r="V113" s="54">
        <f>(V111+V112)*(1-Assumptions!$B$8)/V21/(1+Assumptions!$B$9)</f>
        <v/>
      </c>
      <c r="W113" s="54">
        <f>(W111+W112)*(1-Assumptions!$B$8)/W21/(1+Assumptions!$B$9)</f>
        <v/>
      </c>
      <c r="X113" s="54">
        <f>(X111+X112)*(1-Assumptions!$B$8)/X21/(1+Assumptions!$B$9)</f>
        <v/>
      </c>
      <c r="Y113" s="54">
        <f>(Y111+Y112)*(1-Assumptions!$B$8)/Y21/(1+Assumptions!$B$9)</f>
        <v/>
      </c>
      <c r="Z113" s="54">
        <f>(Z111+Z112)*(1-Assumptions!$B$8)/Z21/(1+Assumptions!$B$9)</f>
        <v/>
      </c>
      <c r="AA113" s="54">
        <f>(AA111+AA112)*(1-Assumptions!$B$8)/AA21/(1+Assumptions!$B$9)</f>
        <v/>
      </c>
      <c r="AB113" s="54">
        <f>(AB111+AB112)*(1-Assumptions!$B$8)/AB21/(1+Assumptions!$B$9)</f>
        <v/>
      </c>
      <c r="AC113" s="54">
        <f>(AC111+AC112)*(1-Assumptions!$B$8)/AC21/(1+Assumptions!$B$9)</f>
        <v/>
      </c>
      <c r="AD113" s="54">
        <f>(AD111+AD112)*(1-Assumptions!$B$8)/AD21/(1+Assumptions!$B$9)</f>
        <v/>
      </c>
      <c r="AE113" s="54">
        <f>(AE111+AE112)*(1-Assumptions!$B$8)/AE21/(1+Assumptions!$B$9)</f>
        <v/>
      </c>
    </row>
    <row r="114">
      <c r="A114" s="6" t="inlineStr">
        <is>
          <t xml:space="preserve">  Collateral-eligible AUM decay rate (holder-weighted)</t>
        </is>
      </c>
      <c r="B114" s="23" t="inlineStr">
        <is>
          <t>%/period</t>
        </is>
      </c>
      <c r="C114" s="56">
        <f>(Assumptions!$B$136+Assumptions!$B$137*IF(C107+C109=0,1,(C107+C109*Assumptions!$B$138)/(C107+C109)))*C7/12</f>
        <v/>
      </c>
      <c r="D114" s="56">
        <f>(Assumptions!$B$136+Assumptions!$B$137*IF(D107+D109=0,1,(D107+D109*Assumptions!$B$138)/(D107+D109)))*D7/12</f>
        <v/>
      </c>
      <c r="E114" s="56">
        <f>(Assumptions!$B$136+Assumptions!$B$137*IF(E107+E109=0,1,(E107+E109*Assumptions!$B$138)/(E107+E109)))*E7/12</f>
        <v/>
      </c>
      <c r="F114" s="56">
        <f>(Assumptions!$B$136+Assumptions!$B$137*IF(F107+F109=0,1,(F107+F109*Assumptions!$B$138)/(F107+F109)))*F7/12</f>
        <v/>
      </c>
      <c r="G114" s="56">
        <f>(Assumptions!$B$136+Assumptions!$B$137*IF(G107+G109=0,1,(G107+G109*Assumptions!$B$138)/(G107+G109)))*G7/12</f>
        <v/>
      </c>
      <c r="H114" s="56">
        <f>(Assumptions!$B$136+Assumptions!$B$137*IF(H107+H109=0,1,(H107+H109*Assumptions!$B$138)/(H107+H109)))*H7/12</f>
        <v/>
      </c>
      <c r="I114" s="56">
        <f>(Assumptions!$B$136+Assumptions!$B$137*IF(I107+I109=0,1,(I107+I109*Assumptions!$B$138)/(I107+I109)))*I7/12</f>
        <v/>
      </c>
      <c r="J114" s="56">
        <f>(Assumptions!$B$136+Assumptions!$B$137*IF(J107+J109=0,1,(J107+J109*Assumptions!$B$138)/(J107+J109)))*J7/12</f>
        <v/>
      </c>
      <c r="K114" s="56">
        <f>(Assumptions!$B$136+Assumptions!$B$137*IF(K107+K109=0,1,(K107+K109*Assumptions!$B$138)/(K107+K109)))*K7/12</f>
        <v/>
      </c>
      <c r="L114" s="56">
        <f>(Assumptions!$B$136+Assumptions!$B$137*IF(L107+L109=0,1,(L107+L109*Assumptions!$B$138)/(L107+L109)))*L7/12</f>
        <v/>
      </c>
      <c r="M114" s="56">
        <f>(Assumptions!$B$136+Assumptions!$B$137*IF(M107+M109=0,1,(M107+M109*Assumptions!$B$138)/(M107+M109)))*M7/12</f>
        <v/>
      </c>
      <c r="N114" s="56">
        <f>(Assumptions!$B$136+Assumptions!$B$137*IF(N107+N109=0,1,(N107+N109*Assumptions!$B$138)/(N107+N109)))*N7/12</f>
        <v/>
      </c>
      <c r="O114" s="56">
        <f>(Assumptions!$B$136+Assumptions!$B$137*IF(O107+O109=0,1,(O107+O109*Assumptions!$B$138)/(O107+O109)))*O7/12</f>
        <v/>
      </c>
      <c r="P114" s="56">
        <f>(Assumptions!$B$136+Assumptions!$B$137*IF(P107+P109=0,1,(P107+P109*Assumptions!$B$138)/(P107+P109)))*P7/12</f>
        <v/>
      </c>
      <c r="Q114" s="56">
        <f>(Assumptions!$B$136+Assumptions!$B$137*IF(Q107+Q109=0,1,(Q107+Q109*Assumptions!$B$138)/(Q107+Q109)))*Q7/12</f>
        <v/>
      </c>
      <c r="R114" s="56">
        <f>(Assumptions!$B$136+Assumptions!$B$137*IF(R107+R109=0,1,(R107+R109*Assumptions!$B$138)/(R107+R109)))*R7/12</f>
        <v/>
      </c>
      <c r="S114" s="56">
        <f>(Assumptions!$B$136+Assumptions!$B$137*IF(S107+S109=0,1,(S107+S109*Assumptions!$B$138)/(S107+S109)))*S7/12</f>
        <v/>
      </c>
      <c r="T114" s="56">
        <f>(Assumptions!$B$136+Assumptions!$B$137*IF(T107+T109=0,1,(T107+T109*Assumptions!$B$138)/(T107+T109)))*T7/12</f>
        <v/>
      </c>
      <c r="U114" s="56">
        <f>(Assumptions!$B$136+Assumptions!$B$137*IF(U107+U109=0,1,(U107+U109*Assumptions!$B$138)/(U107+U109)))*U7/12</f>
        <v/>
      </c>
      <c r="V114" s="56">
        <f>(Assumptions!$B$136+Assumptions!$B$137*IF(V107+V109=0,1,(V107+V109*Assumptions!$B$138)/(V107+V109)))*V7/12</f>
        <v/>
      </c>
      <c r="W114" s="56">
        <f>(Assumptions!$B$136+Assumptions!$B$137*IF(W107+W109=0,1,(W107+W109*Assumptions!$B$138)/(W107+W109)))*W7/12</f>
        <v/>
      </c>
      <c r="X114" s="56">
        <f>(Assumptions!$B$136+Assumptions!$B$137*IF(X107+X109=0,1,(X107+X109*Assumptions!$B$138)/(X107+X109)))*X7/12</f>
        <v/>
      </c>
      <c r="Y114" s="56">
        <f>(Assumptions!$B$136+Assumptions!$B$137*IF(Y107+Y109=0,1,(Y107+Y109*Assumptions!$B$138)/(Y107+Y109)))*Y7/12</f>
        <v/>
      </c>
      <c r="Z114" s="56">
        <f>(Assumptions!$B$136+Assumptions!$B$137*IF(Z107+Z109=0,1,(Z107+Z109*Assumptions!$B$138)/(Z107+Z109)))*Z7/12</f>
        <v/>
      </c>
      <c r="AA114" s="56">
        <f>(Assumptions!$B$136+Assumptions!$B$137*IF(AA107+AA109=0,1,(AA107+AA109*Assumptions!$B$138)/(AA107+AA109)))*AA7/12</f>
        <v/>
      </c>
      <c r="AB114" s="56">
        <f>(Assumptions!$B$136+Assumptions!$B$137*IF(AB107+AB109=0,1,(AB107+AB109*Assumptions!$B$138)/(AB107+AB109)))*AB7/12</f>
        <v/>
      </c>
      <c r="AC114" s="56">
        <f>(Assumptions!$B$136+Assumptions!$B$137*IF(AC107+AC109=0,1,(AC107+AC109*Assumptions!$B$138)/(AC107+AC109)))*AC7/12</f>
        <v/>
      </c>
      <c r="AD114" s="56">
        <f>(Assumptions!$B$136+Assumptions!$B$137*IF(AD107+AD109=0,1,(AD107+AD109*Assumptions!$B$138)/(AD107+AD109)))*AD7/12</f>
        <v/>
      </c>
      <c r="AE114" s="56">
        <f>(Assumptions!$B$136+Assumptions!$B$137*IF(AE107+AE109=0,1,(AE107+AE109*Assumptions!$B$138)/(AE107+AE109)))*AE7/12</f>
        <v/>
      </c>
    </row>
    <row r="115">
      <c r="A115" s="6" t="inlineStr">
        <is>
          <t xml:space="preserve">  Redemption-only decay rate (metal actually leaving)</t>
        </is>
      </c>
      <c r="B115" s="23" t="inlineStr">
        <is>
          <t>%/period</t>
        </is>
      </c>
      <c r="C115" s="56">
        <f>Assumptions!$B$137*IF(C107+C109=0,1,(C107+C109*Assumptions!$B$138)/(C107+C109))*C7/12</f>
        <v/>
      </c>
      <c r="D115" s="56">
        <f>Assumptions!$B$137*IF(D107+D109=0,1,(D107+D109*Assumptions!$B$138)/(D107+D109))*D7/12</f>
        <v/>
      </c>
      <c r="E115" s="56">
        <f>Assumptions!$B$137*IF(E107+E109=0,1,(E107+E109*Assumptions!$B$138)/(E107+E109))*E7/12</f>
        <v/>
      </c>
      <c r="F115" s="56">
        <f>Assumptions!$B$137*IF(F107+F109=0,1,(F107+F109*Assumptions!$B$138)/(F107+F109))*F7/12</f>
        <v/>
      </c>
      <c r="G115" s="56">
        <f>Assumptions!$B$137*IF(G107+G109=0,1,(G107+G109*Assumptions!$B$138)/(G107+G109))*G7/12</f>
        <v/>
      </c>
      <c r="H115" s="56">
        <f>Assumptions!$B$137*IF(H107+H109=0,1,(H107+H109*Assumptions!$B$138)/(H107+H109))*H7/12</f>
        <v/>
      </c>
      <c r="I115" s="56">
        <f>Assumptions!$B$137*IF(I107+I109=0,1,(I107+I109*Assumptions!$B$138)/(I107+I109))*I7/12</f>
        <v/>
      </c>
      <c r="J115" s="56">
        <f>Assumptions!$B$137*IF(J107+J109=0,1,(J107+J109*Assumptions!$B$138)/(J107+J109))*J7/12</f>
        <v/>
      </c>
      <c r="K115" s="56">
        <f>Assumptions!$B$137*IF(K107+K109=0,1,(K107+K109*Assumptions!$B$138)/(K107+K109))*K7/12</f>
        <v/>
      </c>
      <c r="L115" s="56">
        <f>Assumptions!$B$137*IF(L107+L109=0,1,(L107+L109*Assumptions!$B$138)/(L107+L109))*L7/12</f>
        <v/>
      </c>
      <c r="M115" s="56">
        <f>Assumptions!$B$137*IF(M107+M109=0,1,(M107+M109*Assumptions!$B$138)/(M107+M109))*M7/12</f>
        <v/>
      </c>
      <c r="N115" s="56">
        <f>Assumptions!$B$137*IF(N107+N109=0,1,(N107+N109*Assumptions!$B$138)/(N107+N109))*N7/12</f>
        <v/>
      </c>
      <c r="O115" s="56">
        <f>Assumptions!$B$137*IF(O107+O109=0,1,(O107+O109*Assumptions!$B$138)/(O107+O109))*O7/12</f>
        <v/>
      </c>
      <c r="P115" s="56">
        <f>Assumptions!$B$137*IF(P107+P109=0,1,(P107+P109*Assumptions!$B$138)/(P107+P109))*P7/12</f>
        <v/>
      </c>
      <c r="Q115" s="56">
        <f>Assumptions!$B$137*IF(Q107+Q109=0,1,(Q107+Q109*Assumptions!$B$138)/(Q107+Q109))*Q7/12</f>
        <v/>
      </c>
      <c r="R115" s="56">
        <f>Assumptions!$B$137*IF(R107+R109=0,1,(R107+R109*Assumptions!$B$138)/(R107+R109))*R7/12</f>
        <v/>
      </c>
      <c r="S115" s="56">
        <f>Assumptions!$B$137*IF(S107+S109=0,1,(S107+S109*Assumptions!$B$138)/(S107+S109))*S7/12</f>
        <v/>
      </c>
      <c r="T115" s="56">
        <f>Assumptions!$B$137*IF(T107+T109=0,1,(T107+T109*Assumptions!$B$138)/(T107+T109))*T7/12</f>
        <v/>
      </c>
      <c r="U115" s="56">
        <f>Assumptions!$B$137*IF(U107+U109=0,1,(U107+U109*Assumptions!$B$138)/(U107+U109))*U7/12</f>
        <v/>
      </c>
      <c r="V115" s="56">
        <f>Assumptions!$B$137*IF(V107+V109=0,1,(V107+V109*Assumptions!$B$138)/(V107+V109))*V7/12</f>
        <v/>
      </c>
      <c r="W115" s="56">
        <f>Assumptions!$B$137*IF(W107+W109=0,1,(W107+W109*Assumptions!$B$138)/(W107+W109))*W7/12</f>
        <v/>
      </c>
      <c r="X115" s="56">
        <f>Assumptions!$B$137*IF(X107+X109=0,1,(X107+X109*Assumptions!$B$138)/(X107+X109))*X7/12</f>
        <v/>
      </c>
      <c r="Y115" s="56">
        <f>Assumptions!$B$137*IF(Y107+Y109=0,1,(Y107+Y109*Assumptions!$B$138)/(Y107+Y109))*Y7/12</f>
        <v/>
      </c>
      <c r="Z115" s="56">
        <f>Assumptions!$B$137*IF(Z107+Z109=0,1,(Z107+Z109*Assumptions!$B$138)/(Z107+Z109))*Z7/12</f>
        <v/>
      </c>
      <c r="AA115" s="56">
        <f>Assumptions!$B$137*IF(AA107+AA109=0,1,(AA107+AA109*Assumptions!$B$138)/(AA107+AA109))*AA7/12</f>
        <v/>
      </c>
      <c r="AB115" s="56">
        <f>Assumptions!$B$137*IF(AB107+AB109=0,1,(AB107+AB109*Assumptions!$B$138)/(AB107+AB109))*AB7/12</f>
        <v/>
      </c>
      <c r="AC115" s="56">
        <f>Assumptions!$B$137*IF(AC107+AC109=0,1,(AC107+AC109*Assumptions!$B$138)/(AC107+AC109))*AC7/12</f>
        <v/>
      </c>
      <c r="AD115" s="56">
        <f>Assumptions!$B$137*IF(AD107+AD109=0,1,(AD107+AD109*Assumptions!$B$138)/(AD107+AD109))*AD7/12</f>
        <v/>
      </c>
      <c r="AE115" s="56">
        <f>Assumptions!$B$137*IF(AE107+AE109=0,1,(AE107+AE109*Assumptions!$B$138)/(AE107+AE109))*AE7/12</f>
        <v/>
      </c>
    </row>
    <row r="116">
      <c r="A116" s="6" t="inlineStr">
        <is>
          <t xml:space="preserve">  Grams held (collateral-eligible)</t>
        </is>
      </c>
      <c r="B116" s="23" t="inlineStr">
        <is>
          <t>grams</t>
        </is>
      </c>
      <c r="C116" s="45">
        <f>C113</f>
        <v/>
      </c>
      <c r="D116" s="45">
        <f>C116*(1-D114)+D113</f>
        <v/>
      </c>
      <c r="E116" s="45">
        <f>D116*(1-E114)+E113</f>
        <v/>
      </c>
      <c r="F116" s="45">
        <f>E116*(1-F114)+F113</f>
        <v/>
      </c>
      <c r="G116" s="45">
        <f>F116*(1-G114)+G113</f>
        <v/>
      </c>
      <c r="H116" s="45">
        <f>G116*(1-H114)+H113</f>
        <v/>
      </c>
      <c r="I116" s="45">
        <f>H116*(1-I114)+I113</f>
        <v/>
      </c>
      <c r="J116" s="45">
        <f>I116*(1-J114)+J113</f>
        <v/>
      </c>
      <c r="K116" s="45">
        <f>J116*(1-K114)+K113</f>
        <v/>
      </c>
      <c r="L116" s="45">
        <f>K116*(1-L114)+L113</f>
        <v/>
      </c>
      <c r="M116" s="45">
        <f>L116*(1-M114)+M113</f>
        <v/>
      </c>
      <c r="N116" s="45">
        <f>M116*(1-N114)+N113</f>
        <v/>
      </c>
      <c r="O116" s="45">
        <f>N116*(1-O114)+O113</f>
        <v/>
      </c>
      <c r="P116" s="45">
        <f>O116*(1-P114)+P113</f>
        <v/>
      </c>
      <c r="Q116" s="45">
        <f>P116*(1-Q114)+Q113</f>
        <v/>
      </c>
      <c r="R116" s="45">
        <f>Q116*(1-R114)+R113</f>
        <v/>
      </c>
      <c r="S116" s="45">
        <f>R116*(1-S114)+S113</f>
        <v/>
      </c>
      <c r="T116" s="45">
        <f>S116*(1-T114)+T113</f>
        <v/>
      </c>
      <c r="U116" s="45">
        <f>T116*(1-U114)+U113</f>
        <v/>
      </c>
      <c r="V116" s="45">
        <f>U116*(1-V114)+V113</f>
        <v/>
      </c>
      <c r="W116" s="45">
        <f>V116*(1-W114)+W113</f>
        <v/>
      </c>
      <c r="X116" s="45">
        <f>W116*(1-X114)+X113</f>
        <v/>
      </c>
      <c r="Y116" s="45">
        <f>X116*(1-Y114)+Y113</f>
        <v/>
      </c>
      <c r="Z116" s="45">
        <f>Y116*(1-Z114)+Z113</f>
        <v/>
      </c>
      <c r="AA116" s="45">
        <f>Z116*(1-AA114)+AA113</f>
        <v/>
      </c>
      <c r="AB116" s="45">
        <f>AA116*(1-AB114)+AB113</f>
        <v/>
      </c>
      <c r="AC116" s="45">
        <f>AB116*(1-AC114)+AC113</f>
        <v/>
      </c>
      <c r="AD116" s="45">
        <f>AC116*(1-AD114)+AD113</f>
        <v/>
      </c>
      <c r="AE116" s="45">
        <f>AD116*(1-AE114)+AE113</f>
        <v/>
      </c>
    </row>
    <row r="117">
      <c r="A117" s="6" t="inlineStr">
        <is>
          <t xml:space="preserve">  Grams under custody (vaulted, incl. self-custodied)</t>
        </is>
      </c>
      <c r="B117" s="23" t="inlineStr">
        <is>
          <t>grams</t>
        </is>
      </c>
      <c r="C117" s="45">
        <f>C113</f>
        <v/>
      </c>
      <c r="D117" s="45">
        <f>C117*(1-D115)+D113</f>
        <v/>
      </c>
      <c r="E117" s="45">
        <f>D117*(1-E115)+E113</f>
        <v/>
      </c>
      <c r="F117" s="45">
        <f>E117*(1-F115)+F113</f>
        <v/>
      </c>
      <c r="G117" s="45">
        <f>F117*(1-G115)+G113</f>
        <v/>
      </c>
      <c r="H117" s="45">
        <f>G117*(1-H115)+H113</f>
        <v/>
      </c>
      <c r="I117" s="45">
        <f>H117*(1-I115)+I113</f>
        <v/>
      </c>
      <c r="J117" s="45">
        <f>I117*(1-J115)+J113</f>
        <v/>
      </c>
      <c r="K117" s="45">
        <f>J117*(1-K115)+K113</f>
        <v/>
      </c>
      <c r="L117" s="45">
        <f>K117*(1-L115)+L113</f>
        <v/>
      </c>
      <c r="M117" s="45">
        <f>L117*(1-M115)+M113</f>
        <v/>
      </c>
      <c r="N117" s="45">
        <f>M117*(1-N115)+N113</f>
        <v/>
      </c>
      <c r="O117" s="45">
        <f>N117*(1-O115)+O113</f>
        <v/>
      </c>
      <c r="P117" s="45">
        <f>O117*(1-P115)+P113</f>
        <v/>
      </c>
      <c r="Q117" s="45">
        <f>P117*(1-Q115)+Q113</f>
        <v/>
      </c>
      <c r="R117" s="45">
        <f>Q117*(1-R115)+R113</f>
        <v/>
      </c>
      <c r="S117" s="45">
        <f>R117*(1-S115)+S113</f>
        <v/>
      </c>
      <c r="T117" s="45">
        <f>S117*(1-T115)+T113</f>
        <v/>
      </c>
      <c r="U117" s="45">
        <f>T117*(1-U115)+U113</f>
        <v/>
      </c>
      <c r="V117" s="45">
        <f>U117*(1-V115)+V113</f>
        <v/>
      </c>
      <c r="W117" s="45">
        <f>V117*(1-W115)+W113</f>
        <v/>
      </c>
      <c r="X117" s="45">
        <f>W117*(1-X115)+X113</f>
        <v/>
      </c>
      <c r="Y117" s="45">
        <f>X117*(1-Y115)+Y113</f>
        <v/>
      </c>
      <c r="Z117" s="45">
        <f>Y117*(1-Z115)+Z113</f>
        <v/>
      </c>
      <c r="AA117" s="45">
        <f>Z117*(1-AA115)+AA113</f>
        <v/>
      </c>
      <c r="AB117" s="45">
        <f>AA117*(1-AB115)+AB113</f>
        <v/>
      </c>
      <c r="AC117" s="45">
        <f>AB117*(1-AC115)+AC113</f>
        <v/>
      </c>
      <c r="AD117" s="45">
        <f>AC117*(1-AD115)+AD113</f>
        <v/>
      </c>
      <c r="AE117" s="45">
        <f>AD117*(1-AE115)+AE113</f>
        <v/>
      </c>
    </row>
    <row r="118">
      <c r="A118" s="6" t="inlineStr">
        <is>
          <t xml:space="preserve">  AUM</t>
        </is>
      </c>
      <c r="B118" s="23" t="inlineStr">
        <is>
          <t>USD</t>
        </is>
      </c>
      <c r="C118" s="57">
        <f>C116*C21</f>
        <v/>
      </c>
      <c r="D118" s="57">
        <f>D116*D21</f>
        <v/>
      </c>
      <c r="E118" s="57">
        <f>E116*E21</f>
        <v/>
      </c>
      <c r="F118" s="57">
        <f>F116*F21</f>
        <v/>
      </c>
      <c r="G118" s="57">
        <f>G116*G21</f>
        <v/>
      </c>
      <c r="H118" s="57">
        <f>H116*H21</f>
        <v/>
      </c>
      <c r="I118" s="57">
        <f>I116*I21</f>
        <v/>
      </c>
      <c r="J118" s="57">
        <f>J116*J21</f>
        <v/>
      </c>
      <c r="K118" s="57">
        <f>K116*K21</f>
        <v/>
      </c>
      <c r="L118" s="57">
        <f>L116*L21</f>
        <v/>
      </c>
      <c r="M118" s="57">
        <f>M116*M21</f>
        <v/>
      </c>
      <c r="N118" s="57">
        <f>N116*N21</f>
        <v/>
      </c>
      <c r="O118" s="57">
        <f>O116*O21</f>
        <v/>
      </c>
      <c r="P118" s="57">
        <f>P116*P21</f>
        <v/>
      </c>
      <c r="Q118" s="57">
        <f>Q116*Q21</f>
        <v/>
      </c>
      <c r="R118" s="57">
        <f>R116*R21</f>
        <v/>
      </c>
      <c r="S118" s="57">
        <f>S116*S21</f>
        <v/>
      </c>
      <c r="T118" s="57">
        <f>T116*T21</f>
        <v/>
      </c>
      <c r="U118" s="57">
        <f>U116*U21</f>
        <v/>
      </c>
      <c r="V118" s="57">
        <f>V116*V21</f>
        <v/>
      </c>
      <c r="W118" s="57">
        <f>W116*W21</f>
        <v/>
      </c>
      <c r="X118" s="57">
        <f>X116*X21</f>
        <v/>
      </c>
      <c r="Y118" s="57">
        <f>Y116*Y21</f>
        <v/>
      </c>
      <c r="Z118" s="57">
        <f>Z116*Z21</f>
        <v/>
      </c>
      <c r="AA118" s="57">
        <f>AA116*AA21</f>
        <v/>
      </c>
      <c r="AB118" s="57">
        <f>AB116*AB21</f>
        <v/>
      </c>
      <c r="AC118" s="57">
        <f>AC116*AC21</f>
        <v/>
      </c>
      <c r="AD118" s="57">
        <f>AD116*AD21</f>
        <v/>
      </c>
      <c r="AE118" s="57">
        <f>AE116*AE21</f>
        <v/>
      </c>
    </row>
    <row r="119">
      <c r="A119" s="6" t="inlineStr">
        <is>
          <t xml:space="preserve">  Card-eligible base</t>
        </is>
      </c>
      <c r="B119" s="23" t="inlineStr">
        <is>
          <t>accounts</t>
        </is>
      </c>
      <c r="C119" s="54">
        <f>C107+C109*Assumptions!$B$172</f>
        <v/>
      </c>
      <c r="D119" s="54">
        <f>D107+D109*Assumptions!$B$172</f>
        <v/>
      </c>
      <c r="E119" s="54">
        <f>E107+E109*Assumptions!$B$172</f>
        <v/>
      </c>
      <c r="F119" s="54">
        <f>F107+F109*Assumptions!$B$172</f>
        <v/>
      </c>
      <c r="G119" s="54">
        <f>G107+G109*Assumptions!$B$172</f>
        <v/>
      </c>
      <c r="H119" s="54">
        <f>H107+H109*Assumptions!$B$172</f>
        <v/>
      </c>
      <c r="I119" s="54">
        <f>I107+I109*Assumptions!$B$172</f>
        <v/>
      </c>
      <c r="J119" s="54">
        <f>J107+J109*Assumptions!$B$172</f>
        <v/>
      </c>
      <c r="K119" s="54">
        <f>K107+K109*Assumptions!$B$172</f>
        <v/>
      </c>
      <c r="L119" s="54">
        <f>L107+L109*Assumptions!$B$172</f>
        <v/>
      </c>
      <c r="M119" s="54">
        <f>M107+M109*Assumptions!$B$172</f>
        <v/>
      </c>
      <c r="N119" s="54">
        <f>N107+N109*Assumptions!$B$172</f>
        <v/>
      </c>
      <c r="O119" s="54">
        <f>O107+O109*Assumptions!$B$172</f>
        <v/>
      </c>
      <c r="P119" s="54">
        <f>P107+P109*Assumptions!$B$172</f>
        <v/>
      </c>
      <c r="Q119" s="54">
        <f>Q107+Q109*Assumptions!$B$172</f>
        <v/>
      </c>
      <c r="R119" s="54">
        <f>R107+R109*Assumptions!$B$172</f>
        <v/>
      </c>
      <c r="S119" s="54">
        <f>S107+S109*Assumptions!$B$172</f>
        <v/>
      </c>
      <c r="T119" s="54">
        <f>T107+T109*Assumptions!$B$172</f>
        <v/>
      </c>
      <c r="U119" s="54">
        <f>U107+U109*Assumptions!$B$172</f>
        <v/>
      </c>
      <c r="V119" s="54">
        <f>V107+V109*Assumptions!$B$172</f>
        <v/>
      </c>
      <c r="W119" s="54">
        <f>W107+W109*Assumptions!$B$172</f>
        <v/>
      </c>
      <c r="X119" s="54">
        <f>X107+X109*Assumptions!$B$172</f>
        <v/>
      </c>
      <c r="Y119" s="54">
        <f>Y107+Y109*Assumptions!$B$172</f>
        <v/>
      </c>
      <c r="Z119" s="54">
        <f>Z107+Z109*Assumptions!$B$172</f>
        <v/>
      </c>
      <c r="AA119" s="54">
        <f>AA107+AA109*Assumptions!$B$172</f>
        <v/>
      </c>
      <c r="AB119" s="54">
        <f>AB107+AB109*Assumptions!$B$172</f>
        <v/>
      </c>
      <c r="AC119" s="54">
        <f>AC107+AC109*Assumptions!$B$172</f>
        <v/>
      </c>
      <c r="AD119" s="54">
        <f>AD107+AD109*Assumptions!$B$172</f>
        <v/>
      </c>
      <c r="AE119" s="54">
        <f>AE107+AE109*Assumptions!$B$172</f>
        <v/>
      </c>
    </row>
    <row r="120">
      <c r="A120" s="6" t="inlineStr">
        <is>
          <t xml:space="preserve">  Cleared the six-payment gate</t>
        </is>
      </c>
      <c r="B120" s="23" t="inlineStr">
        <is>
          <t>accounts</t>
        </is>
      </c>
      <c r="C120" s="45">
        <f>IF(C7&gt;1,C119*Assumptions!$B$134,IF(C2&gt;Assumptions!$B$135,INDEX($C$119:$AE$119,1,C2-Assumptions!$B$135)*Assumptions!$B$134,0))</f>
        <v/>
      </c>
      <c r="D120" s="45">
        <f>IF(D7&gt;1,D119*Assumptions!$B$134,IF(D2&gt;Assumptions!$B$135,INDEX($C$119:$AE$119,1,D2-Assumptions!$B$135)*Assumptions!$B$134,0))</f>
        <v/>
      </c>
      <c r="E120" s="45">
        <f>IF(E7&gt;1,E119*Assumptions!$B$134,IF(E2&gt;Assumptions!$B$135,INDEX($C$119:$AE$119,1,E2-Assumptions!$B$135)*Assumptions!$B$134,0))</f>
        <v/>
      </c>
      <c r="F120" s="45">
        <f>IF(F7&gt;1,F119*Assumptions!$B$134,IF(F2&gt;Assumptions!$B$135,INDEX($C$119:$AE$119,1,F2-Assumptions!$B$135)*Assumptions!$B$134,0))</f>
        <v/>
      </c>
      <c r="G120" s="45">
        <f>IF(G7&gt;1,G119*Assumptions!$B$134,IF(G2&gt;Assumptions!$B$135,INDEX($C$119:$AE$119,1,G2-Assumptions!$B$135)*Assumptions!$B$134,0))</f>
        <v/>
      </c>
      <c r="H120" s="45">
        <f>IF(H7&gt;1,H119*Assumptions!$B$134,IF(H2&gt;Assumptions!$B$135,INDEX($C$119:$AE$119,1,H2-Assumptions!$B$135)*Assumptions!$B$134,0))</f>
        <v/>
      </c>
      <c r="I120" s="45">
        <f>IF(I7&gt;1,I119*Assumptions!$B$134,IF(I2&gt;Assumptions!$B$135,INDEX($C$119:$AE$119,1,I2-Assumptions!$B$135)*Assumptions!$B$134,0))</f>
        <v/>
      </c>
      <c r="J120" s="45">
        <f>IF(J7&gt;1,J119*Assumptions!$B$134,IF(J2&gt;Assumptions!$B$135,INDEX($C$119:$AE$119,1,J2-Assumptions!$B$135)*Assumptions!$B$134,0))</f>
        <v/>
      </c>
      <c r="K120" s="45">
        <f>IF(K7&gt;1,K119*Assumptions!$B$134,IF(K2&gt;Assumptions!$B$135,INDEX($C$119:$AE$119,1,K2-Assumptions!$B$135)*Assumptions!$B$134,0))</f>
        <v/>
      </c>
      <c r="L120" s="45">
        <f>IF(L7&gt;1,L119*Assumptions!$B$134,IF(L2&gt;Assumptions!$B$135,INDEX($C$119:$AE$119,1,L2-Assumptions!$B$135)*Assumptions!$B$134,0))</f>
        <v/>
      </c>
      <c r="M120" s="45">
        <f>IF(M7&gt;1,M119*Assumptions!$B$134,IF(M2&gt;Assumptions!$B$135,INDEX($C$119:$AE$119,1,M2-Assumptions!$B$135)*Assumptions!$B$134,0))</f>
        <v/>
      </c>
      <c r="N120" s="45">
        <f>IF(N7&gt;1,N119*Assumptions!$B$134,IF(N2&gt;Assumptions!$B$135,INDEX($C$119:$AE$119,1,N2-Assumptions!$B$135)*Assumptions!$B$134,0))</f>
        <v/>
      </c>
      <c r="O120" s="45">
        <f>IF(O7&gt;1,O119*Assumptions!$B$134,IF(O2&gt;Assumptions!$B$135,INDEX($C$119:$AE$119,1,O2-Assumptions!$B$135)*Assumptions!$B$134,0))</f>
        <v/>
      </c>
      <c r="P120" s="45">
        <f>IF(P7&gt;1,P119*Assumptions!$B$134,IF(P2&gt;Assumptions!$B$135,INDEX($C$119:$AE$119,1,P2-Assumptions!$B$135)*Assumptions!$B$134,0))</f>
        <v/>
      </c>
      <c r="Q120" s="45">
        <f>IF(Q7&gt;1,Q119*Assumptions!$B$134,IF(Q2&gt;Assumptions!$B$135,INDEX($C$119:$AE$119,1,Q2-Assumptions!$B$135)*Assumptions!$B$134,0))</f>
        <v/>
      </c>
      <c r="R120" s="45">
        <f>IF(R7&gt;1,R119*Assumptions!$B$134,IF(R2&gt;Assumptions!$B$135,INDEX($C$119:$AE$119,1,R2-Assumptions!$B$135)*Assumptions!$B$134,0))</f>
        <v/>
      </c>
      <c r="S120" s="45">
        <f>IF(S7&gt;1,S119*Assumptions!$B$134,IF(S2&gt;Assumptions!$B$135,INDEX($C$119:$AE$119,1,S2-Assumptions!$B$135)*Assumptions!$B$134,0))</f>
        <v/>
      </c>
      <c r="T120" s="45">
        <f>IF(T7&gt;1,T119*Assumptions!$B$134,IF(T2&gt;Assumptions!$B$135,INDEX($C$119:$AE$119,1,T2-Assumptions!$B$135)*Assumptions!$B$134,0))</f>
        <v/>
      </c>
      <c r="U120" s="45">
        <f>IF(U7&gt;1,U119*Assumptions!$B$134,IF(U2&gt;Assumptions!$B$135,INDEX($C$119:$AE$119,1,U2-Assumptions!$B$135)*Assumptions!$B$134,0))</f>
        <v/>
      </c>
      <c r="V120" s="45">
        <f>IF(V7&gt;1,V119*Assumptions!$B$134,IF(V2&gt;Assumptions!$B$135,INDEX($C$119:$AE$119,1,V2-Assumptions!$B$135)*Assumptions!$B$134,0))</f>
        <v/>
      </c>
      <c r="W120" s="45">
        <f>IF(W7&gt;1,W119*Assumptions!$B$134,IF(W2&gt;Assumptions!$B$135,INDEX($C$119:$AE$119,1,W2-Assumptions!$B$135)*Assumptions!$B$134,0))</f>
        <v/>
      </c>
      <c r="X120" s="45">
        <f>IF(X7&gt;1,X119*Assumptions!$B$134,IF(X2&gt;Assumptions!$B$135,INDEX($C$119:$AE$119,1,X2-Assumptions!$B$135)*Assumptions!$B$134,0))</f>
        <v/>
      </c>
      <c r="Y120" s="45">
        <f>IF(Y7&gt;1,Y119*Assumptions!$B$134,IF(Y2&gt;Assumptions!$B$135,INDEX($C$119:$AE$119,1,Y2-Assumptions!$B$135)*Assumptions!$B$134,0))</f>
        <v/>
      </c>
      <c r="Z120" s="45">
        <f>IF(Z7&gt;1,Z119*Assumptions!$B$134,IF(Z2&gt;Assumptions!$B$135,INDEX($C$119:$AE$119,1,Z2-Assumptions!$B$135)*Assumptions!$B$134,0))</f>
        <v/>
      </c>
      <c r="AA120" s="45">
        <f>IF(AA7&gt;1,AA119*Assumptions!$B$134,IF(AA2&gt;Assumptions!$B$135,INDEX($C$119:$AE$119,1,AA2-Assumptions!$B$135)*Assumptions!$B$134,0))</f>
        <v/>
      </c>
      <c r="AB120" s="45">
        <f>IF(AB7&gt;1,AB119*Assumptions!$B$134,IF(AB2&gt;Assumptions!$B$135,INDEX($C$119:$AE$119,1,AB2-Assumptions!$B$135)*Assumptions!$B$134,0))</f>
        <v/>
      </c>
      <c r="AC120" s="45">
        <f>IF(AC7&gt;1,AC119*Assumptions!$B$134,IF(AC2&gt;Assumptions!$B$135,INDEX($C$119:$AE$119,1,AC2-Assumptions!$B$135)*Assumptions!$B$134,0))</f>
        <v/>
      </c>
      <c r="AD120" s="45">
        <f>IF(AD7&gt;1,AD119*Assumptions!$B$134,IF(AD2&gt;Assumptions!$B$135,INDEX($C$119:$AE$119,1,AD2-Assumptions!$B$135)*Assumptions!$B$134,0))</f>
        <v/>
      </c>
      <c r="AE120" s="45">
        <f>IF(AE7&gt;1,AE119*Assumptions!$B$134,IF(AE2&gt;Assumptions!$B$135,INDEX($C$119:$AE$119,1,AE2-Assumptions!$B$135)*Assumptions!$B$134,0))</f>
        <v/>
      </c>
    </row>
    <row r="121">
      <c r="A121" s="6" t="inlineStr">
        <is>
          <t xml:space="preserve">  Active cards</t>
        </is>
      </c>
      <c r="B121" s="23" t="inlineStr">
        <is>
          <t>cards</t>
        </is>
      </c>
      <c r="C121" s="28">
        <f>IF(C2&gt;=Assumptions!$B$51,C120*Assumptions!$B$143,0)</f>
        <v/>
      </c>
      <c r="D121" s="28">
        <f>IF(D2&gt;=Assumptions!$B$51,D120*Assumptions!$B$143,0)</f>
        <v/>
      </c>
      <c r="E121" s="28">
        <f>IF(E2&gt;=Assumptions!$B$51,E120*Assumptions!$B$143,0)</f>
        <v/>
      </c>
      <c r="F121" s="28">
        <f>IF(F2&gt;=Assumptions!$B$51,F120*Assumptions!$B$143,0)</f>
        <v/>
      </c>
      <c r="G121" s="28">
        <f>IF(G2&gt;=Assumptions!$B$51,G120*Assumptions!$B$143,0)</f>
        <v/>
      </c>
      <c r="H121" s="28">
        <f>IF(H2&gt;=Assumptions!$B$51,H120*Assumptions!$B$143,0)</f>
        <v/>
      </c>
      <c r="I121" s="28">
        <f>IF(I2&gt;=Assumptions!$B$51,I120*Assumptions!$B$143,0)</f>
        <v/>
      </c>
      <c r="J121" s="28">
        <f>IF(J2&gt;=Assumptions!$B$51,J120*Assumptions!$B$143,0)</f>
        <v/>
      </c>
      <c r="K121" s="28">
        <f>IF(K2&gt;=Assumptions!$B$51,K120*Assumptions!$B$143,0)</f>
        <v/>
      </c>
      <c r="L121" s="28">
        <f>IF(L2&gt;=Assumptions!$B$51,L120*Assumptions!$B$143,0)</f>
        <v/>
      </c>
      <c r="M121" s="28">
        <f>IF(M2&gt;=Assumptions!$B$51,M120*Assumptions!$B$143,0)</f>
        <v/>
      </c>
      <c r="N121" s="28">
        <f>IF(N2&gt;=Assumptions!$B$51,N120*Assumptions!$B$143,0)</f>
        <v/>
      </c>
      <c r="O121" s="28">
        <f>IF(O2&gt;=Assumptions!$B$51,O120*Assumptions!$B$143,0)</f>
        <v/>
      </c>
      <c r="P121" s="28">
        <f>IF(P2&gt;=Assumptions!$B$51,P120*Assumptions!$B$143,0)</f>
        <v/>
      </c>
      <c r="Q121" s="28">
        <f>IF(Q2&gt;=Assumptions!$B$51,Q120*Assumptions!$B$143,0)</f>
        <v/>
      </c>
      <c r="R121" s="28">
        <f>IF(R2&gt;=Assumptions!$B$51,R120*Assumptions!$B$143,0)</f>
        <v/>
      </c>
      <c r="S121" s="28">
        <f>IF(S2&gt;=Assumptions!$B$51,S120*Assumptions!$B$143,0)</f>
        <v/>
      </c>
      <c r="T121" s="28">
        <f>IF(T2&gt;=Assumptions!$B$51,T120*Assumptions!$B$143,0)</f>
        <v/>
      </c>
      <c r="U121" s="28">
        <f>IF(U2&gt;=Assumptions!$B$51,U120*Assumptions!$B$143,0)</f>
        <v/>
      </c>
      <c r="V121" s="28">
        <f>IF(V2&gt;=Assumptions!$B$51,V120*Assumptions!$B$143,0)</f>
        <v/>
      </c>
      <c r="W121" s="28">
        <f>IF(W2&gt;=Assumptions!$B$51,W120*Assumptions!$B$143,0)</f>
        <v/>
      </c>
      <c r="X121" s="28">
        <f>IF(X2&gt;=Assumptions!$B$51,X120*Assumptions!$B$143,0)</f>
        <v/>
      </c>
      <c r="Y121" s="28">
        <f>IF(Y2&gt;=Assumptions!$B$51,Y120*Assumptions!$B$143,0)</f>
        <v/>
      </c>
      <c r="Z121" s="28">
        <f>IF(Z2&gt;=Assumptions!$B$51,Z120*Assumptions!$B$143,0)</f>
        <v/>
      </c>
      <c r="AA121" s="28">
        <f>IF(AA2&gt;=Assumptions!$B$51,AA120*Assumptions!$B$143,0)</f>
        <v/>
      </c>
      <c r="AB121" s="28">
        <f>IF(AB2&gt;=Assumptions!$B$51,AB120*Assumptions!$B$143,0)</f>
        <v/>
      </c>
      <c r="AC121" s="28">
        <f>IF(AC2&gt;=Assumptions!$B$51,AC120*Assumptions!$B$143,0)</f>
        <v/>
      </c>
      <c r="AD121" s="28">
        <f>IF(AD2&gt;=Assumptions!$B$51,AD120*Assumptions!$B$143,0)</f>
        <v/>
      </c>
      <c r="AE121" s="28">
        <f>IF(AE2&gt;=Assumptions!$B$51,AE120*Assumptions!$B$143,0)</f>
        <v/>
      </c>
    </row>
    <row r="122">
      <c r="A122" s="6" t="inlineStr">
        <is>
          <t xml:space="preserve">  Credit limit per customer (gold x LTV)</t>
        </is>
      </c>
      <c r="B122" s="23" t="inlineStr">
        <is>
          <t>USD</t>
        </is>
      </c>
      <c r="C122" s="55">
        <f>IF(C107=0,0,C118/C107*Assumptions!$B$31)</f>
        <v/>
      </c>
      <c r="D122" s="55">
        <f>IF(D107=0,0,D118/D107*Assumptions!$B$31)</f>
        <v/>
      </c>
      <c r="E122" s="55">
        <f>IF(E107=0,0,E118/E107*Assumptions!$B$31)</f>
        <v/>
      </c>
      <c r="F122" s="55">
        <f>IF(F107=0,0,F118/F107*Assumptions!$B$31)</f>
        <v/>
      </c>
      <c r="G122" s="55">
        <f>IF(G107=0,0,G118/G107*Assumptions!$B$31)</f>
        <v/>
      </c>
      <c r="H122" s="55">
        <f>IF(H107=0,0,H118/H107*Assumptions!$B$31)</f>
        <v/>
      </c>
      <c r="I122" s="55">
        <f>IF(I107=0,0,I118/I107*Assumptions!$B$31)</f>
        <v/>
      </c>
      <c r="J122" s="55">
        <f>IF(J107=0,0,J118/J107*Assumptions!$B$31)</f>
        <v/>
      </c>
      <c r="K122" s="55">
        <f>IF(K107=0,0,K118/K107*Assumptions!$B$31)</f>
        <v/>
      </c>
      <c r="L122" s="55">
        <f>IF(L107=0,0,L118/L107*Assumptions!$B$31)</f>
        <v/>
      </c>
      <c r="M122" s="55">
        <f>IF(M107=0,0,M118/M107*Assumptions!$B$31)</f>
        <v/>
      </c>
      <c r="N122" s="55">
        <f>IF(N107=0,0,N118/N107*Assumptions!$B$31)</f>
        <v/>
      </c>
      <c r="O122" s="55">
        <f>IF(O107=0,0,O118/O107*Assumptions!$B$31)</f>
        <v/>
      </c>
      <c r="P122" s="55">
        <f>IF(P107=0,0,P118/P107*Assumptions!$B$31)</f>
        <v/>
      </c>
      <c r="Q122" s="55">
        <f>IF(Q107=0,0,Q118/Q107*Assumptions!$B$31)</f>
        <v/>
      </c>
      <c r="R122" s="55">
        <f>IF(R107=0,0,R118/R107*Assumptions!$B$31)</f>
        <v/>
      </c>
      <c r="S122" s="55">
        <f>IF(S107=0,0,S118/S107*Assumptions!$B$31)</f>
        <v/>
      </c>
      <c r="T122" s="55">
        <f>IF(T107=0,0,T118/T107*Assumptions!$B$31)</f>
        <v/>
      </c>
      <c r="U122" s="55">
        <f>IF(U107=0,0,U118/U107*Assumptions!$B$31)</f>
        <v/>
      </c>
      <c r="V122" s="55">
        <f>IF(V107=0,0,V118/V107*Assumptions!$B$31)</f>
        <v/>
      </c>
      <c r="W122" s="55">
        <f>IF(W107=0,0,W118/W107*Assumptions!$B$31)</f>
        <v/>
      </c>
      <c r="X122" s="55">
        <f>IF(X107=0,0,X118/X107*Assumptions!$B$31)</f>
        <v/>
      </c>
      <c r="Y122" s="55">
        <f>IF(Y107=0,0,Y118/Y107*Assumptions!$B$31)</f>
        <v/>
      </c>
      <c r="Z122" s="55">
        <f>IF(Z107=0,0,Z118/Z107*Assumptions!$B$31)</f>
        <v/>
      </c>
      <c r="AA122" s="55">
        <f>IF(AA107=0,0,AA118/AA107*Assumptions!$B$31)</f>
        <v/>
      </c>
      <c r="AB122" s="55">
        <f>IF(AB107=0,0,AB118/AB107*Assumptions!$B$31)</f>
        <v/>
      </c>
      <c r="AC122" s="55">
        <f>IF(AC107=0,0,AC118/AC107*Assumptions!$B$31)</f>
        <v/>
      </c>
      <c r="AD122" s="55">
        <f>IF(AD107=0,0,AD118/AD107*Assumptions!$B$31)</f>
        <v/>
      </c>
      <c r="AE122" s="55">
        <f>IF(AE107=0,0,AE118/AE107*Assumptions!$B$31)</f>
        <v/>
      </c>
    </row>
    <row r="123">
      <c r="A123" s="6" t="inlineStr">
        <is>
          <t xml:space="preserve">  Annual drawdown per card (limit x drawn x draws)</t>
        </is>
      </c>
      <c r="B123" s="23" t="inlineStr">
        <is>
          <t>USD/yr</t>
        </is>
      </c>
      <c r="C123" s="55">
        <f>C122*Assumptions!$B$156*Assumptions!$B$158</f>
        <v/>
      </c>
      <c r="D123" s="55">
        <f>D122*Assumptions!$B$156*Assumptions!$B$158</f>
        <v/>
      </c>
      <c r="E123" s="55">
        <f>E122*Assumptions!$B$156*Assumptions!$B$158</f>
        <v/>
      </c>
      <c r="F123" s="55">
        <f>F122*Assumptions!$B$156*Assumptions!$B$158</f>
        <v/>
      </c>
      <c r="G123" s="55">
        <f>G122*Assumptions!$B$156*Assumptions!$B$158</f>
        <v/>
      </c>
      <c r="H123" s="55">
        <f>H122*Assumptions!$B$156*Assumptions!$B$158</f>
        <v/>
      </c>
      <c r="I123" s="55">
        <f>I122*Assumptions!$B$156*Assumptions!$B$158</f>
        <v/>
      </c>
      <c r="J123" s="55">
        <f>J122*Assumptions!$B$156*Assumptions!$B$158</f>
        <v/>
      </c>
      <c r="K123" s="55">
        <f>K122*Assumptions!$B$156*Assumptions!$B$158</f>
        <v/>
      </c>
      <c r="L123" s="55">
        <f>L122*Assumptions!$B$156*Assumptions!$B$158</f>
        <v/>
      </c>
      <c r="M123" s="55">
        <f>M122*Assumptions!$B$156*Assumptions!$B$158</f>
        <v/>
      </c>
      <c r="N123" s="55">
        <f>N122*Assumptions!$B$156*Assumptions!$B$158</f>
        <v/>
      </c>
      <c r="O123" s="55">
        <f>O122*Assumptions!$B$156*Assumptions!$B$158</f>
        <v/>
      </c>
      <c r="P123" s="55">
        <f>P122*Assumptions!$B$156*Assumptions!$B$158</f>
        <v/>
      </c>
      <c r="Q123" s="55">
        <f>Q122*Assumptions!$B$156*Assumptions!$B$158</f>
        <v/>
      </c>
      <c r="R123" s="55">
        <f>R122*Assumptions!$B$156*Assumptions!$B$158</f>
        <v/>
      </c>
      <c r="S123" s="55">
        <f>S122*Assumptions!$B$156*Assumptions!$B$158</f>
        <v/>
      </c>
      <c r="T123" s="55">
        <f>T122*Assumptions!$B$156*Assumptions!$B$158</f>
        <v/>
      </c>
      <c r="U123" s="55">
        <f>U122*Assumptions!$B$156*Assumptions!$B$158</f>
        <v/>
      </c>
      <c r="V123" s="55">
        <f>V122*Assumptions!$B$156*Assumptions!$B$158</f>
        <v/>
      </c>
      <c r="W123" s="55">
        <f>W122*Assumptions!$B$156*Assumptions!$B$158</f>
        <v/>
      </c>
      <c r="X123" s="55">
        <f>X122*Assumptions!$B$156*Assumptions!$B$158</f>
        <v/>
      </c>
      <c r="Y123" s="55">
        <f>Y122*Assumptions!$B$156*Assumptions!$B$158</f>
        <v/>
      </c>
      <c r="Z123" s="55">
        <f>Z122*Assumptions!$B$156*Assumptions!$B$158</f>
        <v/>
      </c>
      <c r="AA123" s="55">
        <f>AA122*Assumptions!$B$156*Assumptions!$B$158</f>
        <v/>
      </c>
      <c r="AB123" s="55">
        <f>AB122*Assumptions!$B$156*Assumptions!$B$158</f>
        <v/>
      </c>
      <c r="AC123" s="55">
        <f>AC122*Assumptions!$B$156*Assumptions!$B$158</f>
        <v/>
      </c>
      <c r="AD123" s="55">
        <f>AD122*Assumptions!$B$156*Assumptions!$B$158</f>
        <v/>
      </c>
      <c r="AE123" s="55">
        <f>AE122*Assumptions!$B$156*Assumptions!$B$158</f>
        <v/>
      </c>
    </row>
    <row r="124">
      <c r="A124" s="6" t="inlineStr">
        <is>
          <t xml:space="preserve">  Card spend per card per month</t>
        </is>
      </c>
      <c r="B124" s="23" t="inlineStr">
        <is>
          <t>USD</t>
        </is>
      </c>
      <c r="C124" s="55">
        <f>C123/12*C16</f>
        <v/>
      </c>
      <c r="D124" s="55">
        <f>D123/12*D16</f>
        <v/>
      </c>
      <c r="E124" s="55">
        <f>E123/12*E16</f>
        <v/>
      </c>
      <c r="F124" s="55">
        <f>F123/12*F16</f>
        <v/>
      </c>
      <c r="G124" s="55">
        <f>G123/12*G16</f>
        <v/>
      </c>
      <c r="H124" s="55">
        <f>H123/12*H16</f>
        <v/>
      </c>
      <c r="I124" s="55">
        <f>I123/12*I16</f>
        <v/>
      </c>
      <c r="J124" s="55">
        <f>J123/12*J16</f>
        <v/>
      </c>
      <c r="K124" s="55">
        <f>K123/12*K16</f>
        <v/>
      </c>
      <c r="L124" s="55">
        <f>L123/12*L16</f>
        <v/>
      </c>
      <c r="M124" s="55">
        <f>M123/12*M16</f>
        <v/>
      </c>
      <c r="N124" s="55">
        <f>N123/12*N16</f>
        <v/>
      </c>
      <c r="O124" s="55">
        <f>O123/12*O16</f>
        <v/>
      </c>
      <c r="P124" s="55">
        <f>P123/12*P16</f>
        <v/>
      </c>
      <c r="Q124" s="55">
        <f>Q123/12*Q16</f>
        <v/>
      </c>
      <c r="R124" s="55">
        <f>R123/12*R16</f>
        <v/>
      </c>
      <c r="S124" s="55">
        <f>S123/12*S16</f>
        <v/>
      </c>
      <c r="T124" s="55">
        <f>T123/12*T16</f>
        <v/>
      </c>
      <c r="U124" s="55">
        <f>U123/12*U16</f>
        <v/>
      </c>
      <c r="V124" s="55">
        <f>V123/12*V16</f>
        <v/>
      </c>
      <c r="W124" s="55">
        <f>W123/12*W16</f>
        <v/>
      </c>
      <c r="X124" s="55">
        <f>X123/12*X16</f>
        <v/>
      </c>
      <c r="Y124" s="55">
        <f>Y123/12*Y16</f>
        <v/>
      </c>
      <c r="Z124" s="55">
        <f>Z123/12*Z16</f>
        <v/>
      </c>
      <c r="AA124" s="55">
        <f>AA123/12*AA16</f>
        <v/>
      </c>
      <c r="AB124" s="55">
        <f>AB123/12*AB16</f>
        <v/>
      </c>
      <c r="AC124" s="55">
        <f>AC123/12*AC16</f>
        <v/>
      </c>
      <c r="AD124" s="55">
        <f>AD123/12*AD16</f>
        <v/>
      </c>
      <c r="AE124" s="55">
        <f>AE123/12*AE16</f>
        <v/>
      </c>
    </row>
    <row r="125">
      <c r="A125" s="6" t="inlineStr">
        <is>
          <t xml:space="preserve">  Card spend</t>
        </is>
      </c>
      <c r="B125" s="23" t="inlineStr">
        <is>
          <t>AED</t>
        </is>
      </c>
      <c r="C125" s="45">
        <f>C121*C124*Assumptions!$B$7*C7</f>
        <v/>
      </c>
      <c r="D125" s="45">
        <f>D121*D124*Assumptions!$B$7*D7</f>
        <v/>
      </c>
      <c r="E125" s="45">
        <f>E121*E124*Assumptions!$B$7*E7</f>
        <v/>
      </c>
      <c r="F125" s="45">
        <f>F121*F124*Assumptions!$B$7*F7</f>
        <v/>
      </c>
      <c r="G125" s="45">
        <f>G121*G124*Assumptions!$B$7*G7</f>
        <v/>
      </c>
      <c r="H125" s="45">
        <f>H121*H124*Assumptions!$B$7*H7</f>
        <v/>
      </c>
      <c r="I125" s="45">
        <f>I121*I124*Assumptions!$B$7*I7</f>
        <v/>
      </c>
      <c r="J125" s="45">
        <f>J121*J124*Assumptions!$B$7*J7</f>
        <v/>
      </c>
      <c r="K125" s="45">
        <f>K121*K124*Assumptions!$B$7*K7</f>
        <v/>
      </c>
      <c r="L125" s="45">
        <f>L121*L124*Assumptions!$B$7*L7</f>
        <v/>
      </c>
      <c r="M125" s="45">
        <f>M121*M124*Assumptions!$B$7*M7</f>
        <v/>
      </c>
      <c r="N125" s="45">
        <f>N121*N124*Assumptions!$B$7*N7</f>
        <v/>
      </c>
      <c r="O125" s="45">
        <f>O121*O124*Assumptions!$B$7*O7</f>
        <v/>
      </c>
      <c r="P125" s="45">
        <f>P121*P124*Assumptions!$B$7*P7</f>
        <v/>
      </c>
      <c r="Q125" s="45">
        <f>Q121*Q124*Assumptions!$B$7*Q7</f>
        <v/>
      </c>
      <c r="R125" s="45">
        <f>R121*R124*Assumptions!$B$7*R7</f>
        <v/>
      </c>
      <c r="S125" s="45">
        <f>S121*S124*Assumptions!$B$7*S7</f>
        <v/>
      </c>
      <c r="T125" s="45">
        <f>T121*T124*Assumptions!$B$7*T7</f>
        <v/>
      </c>
      <c r="U125" s="45">
        <f>U121*U124*Assumptions!$B$7*U7</f>
        <v/>
      </c>
      <c r="V125" s="45">
        <f>V121*V124*Assumptions!$B$7*V7</f>
        <v/>
      </c>
      <c r="W125" s="45">
        <f>W121*W124*Assumptions!$B$7*W7</f>
        <v/>
      </c>
      <c r="X125" s="45">
        <f>X121*X124*Assumptions!$B$7*X7</f>
        <v/>
      </c>
      <c r="Y125" s="45">
        <f>Y121*Y124*Assumptions!$B$7*Y7</f>
        <v/>
      </c>
      <c r="Z125" s="45">
        <f>Z121*Z124*Assumptions!$B$7*Z7</f>
        <v/>
      </c>
      <c r="AA125" s="45">
        <f>AA121*AA124*Assumptions!$B$7*AA7</f>
        <v/>
      </c>
      <c r="AB125" s="45">
        <f>AB121*AB124*Assumptions!$B$7*AB7</f>
        <v/>
      </c>
      <c r="AC125" s="45">
        <f>AC121*AC124*Assumptions!$B$7*AC7</f>
        <v/>
      </c>
      <c r="AD125" s="45">
        <f>AD121*AD124*Assumptions!$B$7*AD7</f>
        <v/>
      </c>
      <c r="AE125" s="45">
        <f>AE121*AE124*Assumptions!$B$7*AE7</f>
        <v/>
      </c>
    </row>
    <row r="126">
      <c r="A126" s="6" t="inlineStr">
        <is>
          <t xml:space="preserve">  Card spend</t>
        </is>
      </c>
      <c r="B126" s="23" t="inlineStr">
        <is>
          <t>USD</t>
        </is>
      </c>
      <c r="C126" s="55">
        <f>C125/Assumptions!$B$7</f>
        <v/>
      </c>
      <c r="D126" s="55">
        <f>D125/Assumptions!$B$7</f>
        <v/>
      </c>
      <c r="E126" s="55">
        <f>E125/Assumptions!$B$7</f>
        <v/>
      </c>
      <c r="F126" s="55">
        <f>F125/Assumptions!$B$7</f>
        <v/>
      </c>
      <c r="G126" s="55">
        <f>G125/Assumptions!$B$7</f>
        <v/>
      </c>
      <c r="H126" s="55">
        <f>H125/Assumptions!$B$7</f>
        <v/>
      </c>
      <c r="I126" s="55">
        <f>I125/Assumptions!$B$7</f>
        <v/>
      </c>
      <c r="J126" s="55">
        <f>J125/Assumptions!$B$7</f>
        <v/>
      </c>
      <c r="K126" s="55">
        <f>K125/Assumptions!$B$7</f>
        <v/>
      </c>
      <c r="L126" s="55">
        <f>L125/Assumptions!$B$7</f>
        <v/>
      </c>
      <c r="M126" s="55">
        <f>M125/Assumptions!$B$7</f>
        <v/>
      </c>
      <c r="N126" s="55">
        <f>N125/Assumptions!$B$7</f>
        <v/>
      </c>
      <c r="O126" s="55">
        <f>O125/Assumptions!$B$7</f>
        <v/>
      </c>
      <c r="P126" s="55">
        <f>P125/Assumptions!$B$7</f>
        <v/>
      </c>
      <c r="Q126" s="55">
        <f>Q125/Assumptions!$B$7</f>
        <v/>
      </c>
      <c r="R126" s="55">
        <f>R125/Assumptions!$B$7</f>
        <v/>
      </c>
      <c r="S126" s="55">
        <f>S125/Assumptions!$B$7</f>
        <v/>
      </c>
      <c r="T126" s="55">
        <f>T125/Assumptions!$B$7</f>
        <v/>
      </c>
      <c r="U126" s="55">
        <f>U125/Assumptions!$B$7</f>
        <v/>
      </c>
      <c r="V126" s="55">
        <f>V125/Assumptions!$B$7</f>
        <v/>
      </c>
      <c r="W126" s="55">
        <f>W125/Assumptions!$B$7</f>
        <v/>
      </c>
      <c r="X126" s="55">
        <f>X125/Assumptions!$B$7</f>
        <v/>
      </c>
      <c r="Y126" s="55">
        <f>Y125/Assumptions!$B$7</f>
        <v/>
      </c>
      <c r="Z126" s="55">
        <f>Z125/Assumptions!$B$7</f>
        <v/>
      </c>
      <c r="AA126" s="55">
        <f>AA125/Assumptions!$B$7</f>
        <v/>
      </c>
      <c r="AB126" s="55">
        <f>AB125/Assumptions!$B$7</f>
        <v/>
      </c>
      <c r="AC126" s="55">
        <f>AC125/Assumptions!$B$7</f>
        <v/>
      </c>
      <c r="AD126" s="55">
        <f>AD125/Assumptions!$B$7</f>
        <v/>
      </c>
      <c r="AE126" s="55">
        <f>AE125/Assumptions!$B$7</f>
        <v/>
      </c>
    </row>
    <row r="127">
      <c r="A127" s="6" t="inlineStr">
        <is>
          <t xml:space="preserve">  Average transaction size (derived)</t>
        </is>
      </c>
      <c r="B127" s="23" t="inlineStr">
        <is>
          <t>AED</t>
        </is>
      </c>
      <c r="C127" s="45">
        <f>IF(Assumptions!$B$144=0,0,C122*Assumptions!$B$156*Assumptions!$B$7/Assumptions!$B$144)</f>
        <v/>
      </c>
      <c r="D127" s="45">
        <f>IF(Assumptions!$B$144=0,0,D122*Assumptions!$B$156*Assumptions!$B$7/Assumptions!$B$144)</f>
        <v/>
      </c>
      <c r="E127" s="45">
        <f>IF(Assumptions!$B$144=0,0,E122*Assumptions!$B$156*Assumptions!$B$7/Assumptions!$B$144)</f>
        <v/>
      </c>
      <c r="F127" s="45">
        <f>IF(Assumptions!$B$144=0,0,F122*Assumptions!$B$156*Assumptions!$B$7/Assumptions!$B$144)</f>
        <v/>
      </c>
      <c r="G127" s="45">
        <f>IF(Assumptions!$B$144=0,0,G122*Assumptions!$B$156*Assumptions!$B$7/Assumptions!$B$144)</f>
        <v/>
      </c>
      <c r="H127" s="45">
        <f>IF(Assumptions!$B$144=0,0,H122*Assumptions!$B$156*Assumptions!$B$7/Assumptions!$B$144)</f>
        <v/>
      </c>
      <c r="I127" s="45">
        <f>IF(Assumptions!$B$144=0,0,I122*Assumptions!$B$156*Assumptions!$B$7/Assumptions!$B$144)</f>
        <v/>
      </c>
      <c r="J127" s="45">
        <f>IF(Assumptions!$B$144=0,0,J122*Assumptions!$B$156*Assumptions!$B$7/Assumptions!$B$144)</f>
        <v/>
      </c>
      <c r="K127" s="45">
        <f>IF(Assumptions!$B$144=0,0,K122*Assumptions!$B$156*Assumptions!$B$7/Assumptions!$B$144)</f>
        <v/>
      </c>
      <c r="L127" s="45">
        <f>IF(Assumptions!$B$144=0,0,L122*Assumptions!$B$156*Assumptions!$B$7/Assumptions!$B$144)</f>
        <v/>
      </c>
      <c r="M127" s="45">
        <f>IF(Assumptions!$B$144=0,0,M122*Assumptions!$B$156*Assumptions!$B$7/Assumptions!$B$144)</f>
        <v/>
      </c>
      <c r="N127" s="45">
        <f>IF(Assumptions!$B$144=0,0,N122*Assumptions!$B$156*Assumptions!$B$7/Assumptions!$B$144)</f>
        <v/>
      </c>
      <c r="O127" s="45">
        <f>IF(Assumptions!$B$144=0,0,O122*Assumptions!$B$156*Assumptions!$B$7/Assumptions!$B$144)</f>
        <v/>
      </c>
      <c r="P127" s="45">
        <f>IF(Assumptions!$B$144=0,0,P122*Assumptions!$B$156*Assumptions!$B$7/Assumptions!$B$144)</f>
        <v/>
      </c>
      <c r="Q127" s="45">
        <f>IF(Assumptions!$B$144=0,0,Q122*Assumptions!$B$156*Assumptions!$B$7/Assumptions!$B$144)</f>
        <v/>
      </c>
      <c r="R127" s="45">
        <f>IF(Assumptions!$B$144=0,0,R122*Assumptions!$B$156*Assumptions!$B$7/Assumptions!$B$144)</f>
        <v/>
      </c>
      <c r="S127" s="45">
        <f>IF(Assumptions!$B$144=0,0,S122*Assumptions!$B$156*Assumptions!$B$7/Assumptions!$B$144)</f>
        <v/>
      </c>
      <c r="T127" s="45">
        <f>IF(Assumptions!$B$144=0,0,T122*Assumptions!$B$156*Assumptions!$B$7/Assumptions!$B$144)</f>
        <v/>
      </c>
      <c r="U127" s="45">
        <f>IF(Assumptions!$B$144=0,0,U122*Assumptions!$B$156*Assumptions!$B$7/Assumptions!$B$144)</f>
        <v/>
      </c>
      <c r="V127" s="45">
        <f>IF(Assumptions!$B$144=0,0,V122*Assumptions!$B$156*Assumptions!$B$7/Assumptions!$B$144)</f>
        <v/>
      </c>
      <c r="W127" s="45">
        <f>IF(Assumptions!$B$144=0,0,W122*Assumptions!$B$156*Assumptions!$B$7/Assumptions!$B$144)</f>
        <v/>
      </c>
      <c r="X127" s="45">
        <f>IF(Assumptions!$B$144=0,0,X122*Assumptions!$B$156*Assumptions!$B$7/Assumptions!$B$144)</f>
        <v/>
      </c>
      <c r="Y127" s="45">
        <f>IF(Assumptions!$B$144=0,0,Y122*Assumptions!$B$156*Assumptions!$B$7/Assumptions!$B$144)</f>
        <v/>
      </c>
      <c r="Z127" s="45">
        <f>IF(Assumptions!$B$144=0,0,Z122*Assumptions!$B$156*Assumptions!$B$7/Assumptions!$B$144)</f>
        <v/>
      </c>
      <c r="AA127" s="45">
        <f>IF(Assumptions!$B$144=0,0,AA122*Assumptions!$B$156*Assumptions!$B$7/Assumptions!$B$144)</f>
        <v/>
      </c>
      <c r="AB127" s="45">
        <f>IF(Assumptions!$B$144=0,0,AB122*Assumptions!$B$156*Assumptions!$B$7/Assumptions!$B$144)</f>
        <v/>
      </c>
      <c r="AC127" s="45">
        <f>IF(Assumptions!$B$144=0,0,AC122*Assumptions!$B$156*Assumptions!$B$7/Assumptions!$B$144)</f>
        <v/>
      </c>
      <c r="AD127" s="45">
        <f>IF(Assumptions!$B$144=0,0,AD122*Assumptions!$B$156*Assumptions!$B$7/Assumptions!$B$144)</f>
        <v/>
      </c>
      <c r="AE127" s="45">
        <f>IF(Assumptions!$B$144=0,0,AE122*Assumptions!$B$156*Assumptions!$B$7/Assumptions!$B$144)</f>
        <v/>
      </c>
    </row>
    <row r="128">
      <c r="A128" s="6" t="inlineStr">
        <is>
          <t xml:space="preserve">  Card authorisations (memo - drives cost, not revenue)</t>
        </is>
      </c>
      <c r="B128" s="23" t="inlineStr">
        <is>
          <t>auths</t>
        </is>
      </c>
      <c r="C128" s="45">
        <f>C121*Assumptions!$B$158*Assumptions!$B$144*C7/12*(1+Assumptions!$B$16)</f>
        <v/>
      </c>
      <c r="D128" s="45">
        <f>D121*Assumptions!$B$158*Assumptions!$B$144*D7/12*(1+Assumptions!$B$16)</f>
        <v/>
      </c>
      <c r="E128" s="45">
        <f>E121*Assumptions!$B$158*Assumptions!$B$144*E7/12*(1+Assumptions!$B$16)</f>
        <v/>
      </c>
      <c r="F128" s="45">
        <f>F121*Assumptions!$B$158*Assumptions!$B$144*F7/12*(1+Assumptions!$B$16)</f>
        <v/>
      </c>
      <c r="G128" s="45">
        <f>G121*Assumptions!$B$158*Assumptions!$B$144*G7/12*(1+Assumptions!$B$16)</f>
        <v/>
      </c>
      <c r="H128" s="45">
        <f>H121*Assumptions!$B$158*Assumptions!$B$144*H7/12*(1+Assumptions!$B$16)</f>
        <v/>
      </c>
      <c r="I128" s="45">
        <f>I121*Assumptions!$B$158*Assumptions!$B$144*I7/12*(1+Assumptions!$B$16)</f>
        <v/>
      </c>
      <c r="J128" s="45">
        <f>J121*Assumptions!$B$158*Assumptions!$B$144*J7/12*(1+Assumptions!$B$16)</f>
        <v/>
      </c>
      <c r="K128" s="45">
        <f>K121*Assumptions!$B$158*Assumptions!$B$144*K7/12*(1+Assumptions!$B$16)</f>
        <v/>
      </c>
      <c r="L128" s="45">
        <f>L121*Assumptions!$B$158*Assumptions!$B$144*L7/12*(1+Assumptions!$B$16)</f>
        <v/>
      </c>
      <c r="M128" s="45">
        <f>M121*Assumptions!$B$158*Assumptions!$B$144*M7/12*(1+Assumptions!$B$16)</f>
        <v/>
      </c>
      <c r="N128" s="45">
        <f>N121*Assumptions!$B$158*Assumptions!$B$144*N7/12*(1+Assumptions!$B$16)</f>
        <v/>
      </c>
      <c r="O128" s="45">
        <f>O121*Assumptions!$B$158*Assumptions!$B$144*O7/12*(1+Assumptions!$B$16)</f>
        <v/>
      </c>
      <c r="P128" s="45">
        <f>P121*Assumptions!$B$158*Assumptions!$B$144*P7/12*(1+Assumptions!$B$16)</f>
        <v/>
      </c>
      <c r="Q128" s="45">
        <f>Q121*Assumptions!$B$158*Assumptions!$B$144*Q7/12*(1+Assumptions!$B$16)</f>
        <v/>
      </c>
      <c r="R128" s="45">
        <f>R121*Assumptions!$B$158*Assumptions!$B$144*R7/12*(1+Assumptions!$B$16)</f>
        <v/>
      </c>
      <c r="S128" s="45">
        <f>S121*Assumptions!$B$158*Assumptions!$B$144*S7/12*(1+Assumptions!$B$16)</f>
        <v/>
      </c>
      <c r="T128" s="45">
        <f>T121*Assumptions!$B$158*Assumptions!$B$144*T7/12*(1+Assumptions!$B$16)</f>
        <v/>
      </c>
      <c r="U128" s="45">
        <f>U121*Assumptions!$B$158*Assumptions!$B$144*U7/12*(1+Assumptions!$B$16)</f>
        <v/>
      </c>
      <c r="V128" s="45">
        <f>V121*Assumptions!$B$158*Assumptions!$B$144*V7/12*(1+Assumptions!$B$16)</f>
        <v/>
      </c>
      <c r="W128" s="45">
        <f>W121*Assumptions!$B$158*Assumptions!$B$144*W7/12*(1+Assumptions!$B$16)</f>
        <v/>
      </c>
      <c r="X128" s="45">
        <f>X121*Assumptions!$B$158*Assumptions!$B$144*X7/12*(1+Assumptions!$B$16)</f>
        <v/>
      </c>
      <c r="Y128" s="45">
        <f>Y121*Assumptions!$B$158*Assumptions!$B$144*Y7/12*(1+Assumptions!$B$16)</f>
        <v/>
      </c>
      <c r="Z128" s="45">
        <f>Z121*Assumptions!$B$158*Assumptions!$B$144*Z7/12*(1+Assumptions!$B$16)</f>
        <v/>
      </c>
      <c r="AA128" s="45">
        <f>AA121*Assumptions!$B$158*Assumptions!$B$144*AA7/12*(1+Assumptions!$B$16)</f>
        <v/>
      </c>
      <c r="AB128" s="45">
        <f>AB121*Assumptions!$B$158*Assumptions!$B$144*AB7/12*(1+Assumptions!$B$16)</f>
        <v/>
      </c>
      <c r="AC128" s="45">
        <f>AC121*Assumptions!$B$158*Assumptions!$B$144*AC7/12*(1+Assumptions!$B$16)</f>
        <v/>
      </c>
      <c r="AD128" s="45">
        <f>AD121*Assumptions!$B$158*Assumptions!$B$144*AD7/12*(1+Assumptions!$B$16)</f>
        <v/>
      </c>
      <c r="AE128" s="45">
        <f>AE121*Assumptions!$B$158*Assumptions!$B$144*AE7/12*(1+Assumptions!$B$16)</f>
        <v/>
      </c>
    </row>
    <row r="129">
      <c r="A129" s="6" t="inlineStr">
        <is>
          <t xml:space="preserve">  Stream 1a - Entry fee, SIP</t>
        </is>
      </c>
      <c r="B129" s="23" t="inlineStr">
        <is>
          <t>USD</t>
        </is>
      </c>
      <c r="C129" s="55">
        <f>C111*Assumptions!$B$8</f>
        <v/>
      </c>
      <c r="D129" s="55">
        <f>D111*Assumptions!$B$8</f>
        <v/>
      </c>
      <c r="E129" s="55">
        <f>E111*Assumptions!$B$8</f>
        <v/>
      </c>
      <c r="F129" s="55">
        <f>F111*Assumptions!$B$8</f>
        <v/>
      </c>
      <c r="G129" s="55">
        <f>G111*Assumptions!$B$8</f>
        <v/>
      </c>
      <c r="H129" s="55">
        <f>H111*Assumptions!$B$8</f>
        <v/>
      </c>
      <c r="I129" s="55">
        <f>I111*Assumptions!$B$8</f>
        <v/>
      </c>
      <c r="J129" s="55">
        <f>J111*Assumptions!$B$8</f>
        <v/>
      </c>
      <c r="K129" s="55">
        <f>K111*Assumptions!$B$8</f>
        <v/>
      </c>
      <c r="L129" s="55">
        <f>L111*Assumptions!$B$8</f>
        <v/>
      </c>
      <c r="M129" s="55">
        <f>M111*Assumptions!$B$8</f>
        <v/>
      </c>
      <c r="N129" s="55">
        <f>N111*Assumptions!$B$8</f>
        <v/>
      </c>
      <c r="O129" s="55">
        <f>O111*Assumptions!$B$8</f>
        <v/>
      </c>
      <c r="P129" s="55">
        <f>P111*Assumptions!$B$8</f>
        <v/>
      </c>
      <c r="Q129" s="55">
        <f>Q111*Assumptions!$B$8</f>
        <v/>
      </c>
      <c r="R129" s="55">
        <f>R111*Assumptions!$B$8</f>
        <v/>
      </c>
      <c r="S129" s="55">
        <f>S111*Assumptions!$B$8</f>
        <v/>
      </c>
      <c r="T129" s="55">
        <f>T111*Assumptions!$B$8</f>
        <v/>
      </c>
      <c r="U129" s="55">
        <f>U111*Assumptions!$B$8</f>
        <v/>
      </c>
      <c r="V129" s="55">
        <f>V111*Assumptions!$B$8</f>
        <v/>
      </c>
      <c r="W129" s="55">
        <f>W111*Assumptions!$B$8</f>
        <v/>
      </c>
      <c r="X129" s="55">
        <f>X111*Assumptions!$B$8</f>
        <v/>
      </c>
      <c r="Y129" s="55">
        <f>Y111*Assumptions!$B$8</f>
        <v/>
      </c>
      <c r="Z129" s="55">
        <f>Z111*Assumptions!$B$8</f>
        <v/>
      </c>
      <c r="AA129" s="55">
        <f>AA111*Assumptions!$B$8</f>
        <v/>
      </c>
      <c r="AB129" s="55">
        <f>AB111*Assumptions!$B$8</f>
        <v/>
      </c>
      <c r="AC129" s="55">
        <f>AC111*Assumptions!$B$8</f>
        <v/>
      </c>
      <c r="AD129" s="55">
        <f>AD111*Assumptions!$B$8</f>
        <v/>
      </c>
      <c r="AE129" s="55">
        <f>AE111*Assumptions!$B$8</f>
        <v/>
      </c>
    </row>
    <row r="130">
      <c r="A130" s="6" t="inlineStr">
        <is>
          <t xml:space="preserve">  Stream 1b - Entry fee, SPOT</t>
        </is>
      </c>
      <c r="B130" s="23" t="inlineStr">
        <is>
          <t>USD</t>
        </is>
      </c>
      <c r="C130" s="55">
        <f>C112*Assumptions!$B$8</f>
        <v/>
      </c>
      <c r="D130" s="55">
        <f>D112*Assumptions!$B$8</f>
        <v/>
      </c>
      <c r="E130" s="55">
        <f>E112*Assumptions!$B$8</f>
        <v/>
      </c>
      <c r="F130" s="55">
        <f>F112*Assumptions!$B$8</f>
        <v/>
      </c>
      <c r="G130" s="55">
        <f>G112*Assumptions!$B$8</f>
        <v/>
      </c>
      <c r="H130" s="55">
        <f>H112*Assumptions!$B$8</f>
        <v/>
      </c>
      <c r="I130" s="55">
        <f>I112*Assumptions!$B$8</f>
        <v/>
      </c>
      <c r="J130" s="55">
        <f>J112*Assumptions!$B$8</f>
        <v/>
      </c>
      <c r="K130" s="55">
        <f>K112*Assumptions!$B$8</f>
        <v/>
      </c>
      <c r="L130" s="55">
        <f>L112*Assumptions!$B$8</f>
        <v/>
      </c>
      <c r="M130" s="55">
        <f>M112*Assumptions!$B$8</f>
        <v/>
      </c>
      <c r="N130" s="55">
        <f>N112*Assumptions!$B$8</f>
        <v/>
      </c>
      <c r="O130" s="55">
        <f>O112*Assumptions!$B$8</f>
        <v/>
      </c>
      <c r="P130" s="55">
        <f>P112*Assumptions!$B$8</f>
        <v/>
      </c>
      <c r="Q130" s="55">
        <f>Q112*Assumptions!$B$8</f>
        <v/>
      </c>
      <c r="R130" s="55">
        <f>R112*Assumptions!$B$8</f>
        <v/>
      </c>
      <c r="S130" s="55">
        <f>S112*Assumptions!$B$8</f>
        <v/>
      </c>
      <c r="T130" s="55">
        <f>T112*Assumptions!$B$8</f>
        <v/>
      </c>
      <c r="U130" s="55">
        <f>U112*Assumptions!$B$8</f>
        <v/>
      </c>
      <c r="V130" s="55">
        <f>V112*Assumptions!$B$8</f>
        <v/>
      </c>
      <c r="W130" s="55">
        <f>W112*Assumptions!$B$8</f>
        <v/>
      </c>
      <c r="X130" s="55">
        <f>X112*Assumptions!$B$8</f>
        <v/>
      </c>
      <c r="Y130" s="55">
        <f>Y112*Assumptions!$B$8</f>
        <v/>
      </c>
      <c r="Z130" s="55">
        <f>Z112*Assumptions!$B$8</f>
        <v/>
      </c>
      <c r="AA130" s="55">
        <f>AA112*Assumptions!$B$8</f>
        <v/>
      </c>
      <c r="AB130" s="55">
        <f>AB112*Assumptions!$B$8</f>
        <v/>
      </c>
      <c r="AC130" s="55">
        <f>AC112*Assumptions!$B$8</f>
        <v/>
      </c>
      <c r="AD130" s="55">
        <f>AD112*Assumptions!$B$8</f>
        <v/>
      </c>
      <c r="AE130" s="55">
        <f>AE112*Assumptions!$B$8</f>
        <v/>
      </c>
    </row>
    <row r="131">
      <c r="A131" s="6" t="inlineStr">
        <is>
          <t xml:space="preserve">  Stream 2 - Card interchange</t>
        </is>
      </c>
      <c r="B131" s="23" t="inlineStr">
        <is>
          <t>USD</t>
        </is>
      </c>
      <c r="C131" s="55">
        <f>C126*IF(Assumptions!$B$171=1,MIN(Assumptions!$B$14,1%),Assumptions!$B$14)*(1-Assumptions!$B$142)</f>
        <v/>
      </c>
      <c r="D131" s="55">
        <f>D126*IF(Assumptions!$B$171=1,MIN(Assumptions!$B$14,1%),Assumptions!$B$14)*(1-Assumptions!$B$142)</f>
        <v/>
      </c>
      <c r="E131" s="55">
        <f>E126*IF(Assumptions!$B$171=1,MIN(Assumptions!$B$14,1%),Assumptions!$B$14)*(1-Assumptions!$B$142)</f>
        <v/>
      </c>
      <c r="F131" s="55">
        <f>F126*IF(Assumptions!$B$171=1,MIN(Assumptions!$B$14,1%),Assumptions!$B$14)*(1-Assumptions!$B$142)</f>
        <v/>
      </c>
      <c r="G131" s="55">
        <f>G126*IF(Assumptions!$B$171=1,MIN(Assumptions!$B$14,1%),Assumptions!$B$14)*(1-Assumptions!$B$142)</f>
        <v/>
      </c>
      <c r="H131" s="55">
        <f>H126*IF(Assumptions!$B$171=1,MIN(Assumptions!$B$14,1%),Assumptions!$B$14)*(1-Assumptions!$B$142)</f>
        <v/>
      </c>
      <c r="I131" s="55">
        <f>I126*IF(Assumptions!$B$171=1,MIN(Assumptions!$B$14,1%),Assumptions!$B$14)*(1-Assumptions!$B$142)</f>
        <v/>
      </c>
      <c r="J131" s="55">
        <f>J126*IF(Assumptions!$B$171=1,MIN(Assumptions!$B$14,1%),Assumptions!$B$14)*(1-Assumptions!$B$142)</f>
        <v/>
      </c>
      <c r="K131" s="55">
        <f>K126*IF(Assumptions!$B$171=1,MIN(Assumptions!$B$14,1%),Assumptions!$B$14)*(1-Assumptions!$B$142)</f>
        <v/>
      </c>
      <c r="L131" s="55">
        <f>L126*IF(Assumptions!$B$171=1,MIN(Assumptions!$B$14,1%),Assumptions!$B$14)*(1-Assumptions!$B$142)</f>
        <v/>
      </c>
      <c r="M131" s="55">
        <f>M126*IF(Assumptions!$B$171=1,MIN(Assumptions!$B$14,1%),Assumptions!$B$14)*(1-Assumptions!$B$142)</f>
        <v/>
      </c>
      <c r="N131" s="55">
        <f>N126*IF(Assumptions!$B$171=1,MIN(Assumptions!$B$14,1%),Assumptions!$B$14)*(1-Assumptions!$B$142)</f>
        <v/>
      </c>
      <c r="O131" s="55">
        <f>O126*IF(Assumptions!$B$171=1,MIN(Assumptions!$B$14,1%),Assumptions!$B$14)*(1-Assumptions!$B$142)</f>
        <v/>
      </c>
      <c r="P131" s="55">
        <f>P126*IF(Assumptions!$B$171=1,MIN(Assumptions!$B$14,1%),Assumptions!$B$14)*(1-Assumptions!$B$142)</f>
        <v/>
      </c>
      <c r="Q131" s="55">
        <f>Q126*IF(Assumptions!$B$171=1,MIN(Assumptions!$B$14,1%),Assumptions!$B$14)*(1-Assumptions!$B$142)</f>
        <v/>
      </c>
      <c r="R131" s="55">
        <f>R126*IF(Assumptions!$B$171=1,MIN(Assumptions!$B$14,1%),Assumptions!$B$14)*(1-Assumptions!$B$142)</f>
        <v/>
      </c>
      <c r="S131" s="55">
        <f>S126*IF(Assumptions!$B$171=1,MIN(Assumptions!$B$14,1%),Assumptions!$B$14)*(1-Assumptions!$B$142)</f>
        <v/>
      </c>
      <c r="T131" s="55">
        <f>T126*IF(Assumptions!$B$171=1,MIN(Assumptions!$B$14,1%),Assumptions!$B$14)*(1-Assumptions!$B$142)</f>
        <v/>
      </c>
      <c r="U131" s="55">
        <f>U126*IF(Assumptions!$B$171=1,MIN(Assumptions!$B$14,1%),Assumptions!$B$14)*(1-Assumptions!$B$142)</f>
        <v/>
      </c>
      <c r="V131" s="55">
        <f>V126*IF(Assumptions!$B$171=1,MIN(Assumptions!$B$14,1%),Assumptions!$B$14)*(1-Assumptions!$B$142)</f>
        <v/>
      </c>
      <c r="W131" s="55">
        <f>W126*IF(Assumptions!$B$171=1,MIN(Assumptions!$B$14,1%),Assumptions!$B$14)*(1-Assumptions!$B$142)</f>
        <v/>
      </c>
      <c r="X131" s="55">
        <f>X126*IF(Assumptions!$B$171=1,MIN(Assumptions!$B$14,1%),Assumptions!$B$14)*(1-Assumptions!$B$142)</f>
        <v/>
      </c>
      <c r="Y131" s="55">
        <f>Y126*IF(Assumptions!$B$171=1,MIN(Assumptions!$B$14,1%),Assumptions!$B$14)*(1-Assumptions!$B$142)</f>
        <v/>
      </c>
      <c r="Z131" s="55">
        <f>Z126*IF(Assumptions!$B$171=1,MIN(Assumptions!$B$14,1%),Assumptions!$B$14)*(1-Assumptions!$B$142)</f>
        <v/>
      </c>
      <c r="AA131" s="55">
        <f>AA126*IF(Assumptions!$B$171=1,MIN(Assumptions!$B$14,1%),Assumptions!$B$14)*(1-Assumptions!$B$142)</f>
        <v/>
      </c>
      <c r="AB131" s="55">
        <f>AB126*IF(Assumptions!$B$171=1,MIN(Assumptions!$B$14,1%),Assumptions!$B$14)*(1-Assumptions!$B$142)</f>
        <v/>
      </c>
      <c r="AC131" s="55">
        <f>AC126*IF(Assumptions!$B$171=1,MIN(Assumptions!$B$14,1%),Assumptions!$B$14)*(1-Assumptions!$B$142)</f>
        <v/>
      </c>
      <c r="AD131" s="55">
        <f>AD126*IF(Assumptions!$B$171=1,MIN(Assumptions!$B$14,1%),Assumptions!$B$14)*(1-Assumptions!$B$142)</f>
        <v/>
      </c>
      <c r="AE131" s="55">
        <f>AE126*IF(Assumptions!$B$171=1,MIN(Assumptions!$B$14,1%),Assumptions!$B$14)*(1-Assumptions!$B$142)</f>
        <v/>
      </c>
    </row>
    <row r="132">
      <c r="A132" s="6" t="inlineStr">
        <is>
          <t xml:space="preserve">  Stream 3 - Family plan and Digital Will</t>
        </is>
      </c>
      <c r="B132" s="23" t="inlineStr">
        <is>
          <t>USD</t>
        </is>
      </c>
      <c r="C132" s="55">
        <f>IF(C2&gt;=Assumptions!$B$50,C107*Assumptions!$B$159*Assumptions!$B$25/12*C7,0)</f>
        <v/>
      </c>
      <c r="D132" s="55">
        <f>IF(D2&gt;=Assumptions!$B$50,D107*Assumptions!$B$159*Assumptions!$B$25/12*D7,0)</f>
        <v/>
      </c>
      <c r="E132" s="55">
        <f>IF(E2&gt;=Assumptions!$B$50,E107*Assumptions!$B$159*Assumptions!$B$25/12*E7,0)</f>
        <v/>
      </c>
      <c r="F132" s="55">
        <f>IF(F2&gt;=Assumptions!$B$50,F107*Assumptions!$B$159*Assumptions!$B$25/12*F7,0)</f>
        <v/>
      </c>
      <c r="G132" s="55">
        <f>IF(G2&gt;=Assumptions!$B$50,G107*Assumptions!$B$159*Assumptions!$B$25/12*G7,0)</f>
        <v/>
      </c>
      <c r="H132" s="55">
        <f>IF(H2&gt;=Assumptions!$B$50,H107*Assumptions!$B$159*Assumptions!$B$25/12*H7,0)</f>
        <v/>
      </c>
      <c r="I132" s="55">
        <f>IF(I2&gt;=Assumptions!$B$50,I107*Assumptions!$B$159*Assumptions!$B$25/12*I7,0)</f>
        <v/>
      </c>
      <c r="J132" s="55">
        <f>IF(J2&gt;=Assumptions!$B$50,J107*Assumptions!$B$159*Assumptions!$B$25/12*J7,0)</f>
        <v/>
      </c>
      <c r="K132" s="55">
        <f>IF(K2&gt;=Assumptions!$B$50,K107*Assumptions!$B$159*Assumptions!$B$25/12*K7,0)</f>
        <v/>
      </c>
      <c r="L132" s="55">
        <f>IF(L2&gt;=Assumptions!$B$50,L107*Assumptions!$B$159*Assumptions!$B$25/12*L7,0)</f>
        <v/>
      </c>
      <c r="M132" s="55">
        <f>IF(M2&gt;=Assumptions!$B$50,M107*Assumptions!$B$159*Assumptions!$B$25/12*M7,0)</f>
        <v/>
      </c>
      <c r="N132" s="55">
        <f>IF(N2&gt;=Assumptions!$B$50,N107*Assumptions!$B$159*Assumptions!$B$25/12*N7,0)</f>
        <v/>
      </c>
      <c r="O132" s="55">
        <f>IF(O2&gt;=Assumptions!$B$50,O107*Assumptions!$B$159*Assumptions!$B$25/12*O7,0)</f>
        <v/>
      </c>
      <c r="P132" s="55">
        <f>IF(P2&gt;=Assumptions!$B$50,P107*Assumptions!$B$159*Assumptions!$B$25/12*P7,0)</f>
        <v/>
      </c>
      <c r="Q132" s="55">
        <f>IF(Q2&gt;=Assumptions!$B$50,Q107*Assumptions!$B$159*Assumptions!$B$25/12*Q7,0)</f>
        <v/>
      </c>
      <c r="R132" s="55">
        <f>IF(R2&gt;=Assumptions!$B$50,R107*Assumptions!$B$159*Assumptions!$B$25/12*R7,0)</f>
        <v/>
      </c>
      <c r="S132" s="55">
        <f>IF(S2&gt;=Assumptions!$B$50,S107*Assumptions!$B$159*Assumptions!$B$25/12*S7,0)</f>
        <v/>
      </c>
      <c r="T132" s="55">
        <f>IF(T2&gt;=Assumptions!$B$50,T107*Assumptions!$B$159*Assumptions!$B$25/12*T7,0)</f>
        <v/>
      </c>
      <c r="U132" s="55">
        <f>IF(U2&gt;=Assumptions!$B$50,U107*Assumptions!$B$159*Assumptions!$B$25/12*U7,0)</f>
        <v/>
      </c>
      <c r="V132" s="55">
        <f>IF(V2&gt;=Assumptions!$B$50,V107*Assumptions!$B$159*Assumptions!$B$25/12*V7,0)</f>
        <v/>
      </c>
      <c r="W132" s="55">
        <f>IF(W2&gt;=Assumptions!$B$50,W107*Assumptions!$B$159*Assumptions!$B$25/12*W7,0)</f>
        <v/>
      </c>
      <c r="X132" s="55">
        <f>IF(X2&gt;=Assumptions!$B$50,X107*Assumptions!$B$159*Assumptions!$B$25/12*X7,0)</f>
        <v/>
      </c>
      <c r="Y132" s="55">
        <f>IF(Y2&gt;=Assumptions!$B$50,Y107*Assumptions!$B$159*Assumptions!$B$25/12*Y7,0)</f>
        <v/>
      </c>
      <c r="Z132" s="55">
        <f>IF(Z2&gt;=Assumptions!$B$50,Z107*Assumptions!$B$159*Assumptions!$B$25/12*Z7,0)</f>
        <v/>
      </c>
      <c r="AA132" s="55">
        <f>IF(AA2&gt;=Assumptions!$B$50,AA107*Assumptions!$B$159*Assumptions!$B$25/12*AA7,0)</f>
        <v/>
      </c>
      <c r="AB132" s="55">
        <f>IF(AB2&gt;=Assumptions!$B$50,AB107*Assumptions!$B$159*Assumptions!$B$25/12*AB7,0)</f>
        <v/>
      </c>
      <c r="AC132" s="55">
        <f>IF(AC2&gt;=Assumptions!$B$50,AC107*Assumptions!$B$159*Assumptions!$B$25/12*AC7,0)</f>
        <v/>
      </c>
      <c r="AD132" s="55">
        <f>IF(AD2&gt;=Assumptions!$B$50,AD107*Assumptions!$B$159*Assumptions!$B$25/12*AD7,0)</f>
        <v/>
      </c>
      <c r="AE132" s="55">
        <f>IF(AE2&gt;=Assumptions!$B$50,AE107*Assumptions!$B$159*Assumptions!$B$25/12*AE7,0)</f>
        <v/>
      </c>
    </row>
    <row r="133">
      <c r="A133" s="6" t="inlineStr">
        <is>
          <t xml:space="preserve">  Stream 4 - Cardholder fees (FX, ATM, events)</t>
        </is>
      </c>
      <c r="B133" s="23" t="inlineStr">
        <is>
          <t>USD</t>
        </is>
      </c>
      <c r="C133" s="55">
        <f>IF(C2&gt;=Assumptions!$B$52,C126*C17*Assumptions!$B$17+C121*(Assumptions!$B$148*MAX(0,Assumptions!$B$152-Assumptions!$B$18)+Assumptions!$B$149*MAX(0,Assumptions!$B$153-Assumptions!$B$18)+Assumptions!$B$150*MAX(0,Assumptions!$B$154-Assumptions!$B$18)+Assumptions!$B$151*MAX(0,Assumptions!$B$155-Assumptions!$B$18))*Assumptions!$B$19/Assumptions!$B$7*C7+C121*(Assumptions!$B$146*Assumptions!$B$20+Assumptions!$B$147*Assumptions!$B$21)/12/Assumptions!$B$7*C7,0)</f>
        <v/>
      </c>
      <c r="D133" s="55">
        <f>IF(D2&gt;=Assumptions!$B$52,D126*D17*Assumptions!$B$17+D121*(Assumptions!$B$148*MAX(0,Assumptions!$B$152-Assumptions!$B$18)+Assumptions!$B$149*MAX(0,Assumptions!$B$153-Assumptions!$B$18)+Assumptions!$B$150*MAX(0,Assumptions!$B$154-Assumptions!$B$18)+Assumptions!$B$151*MAX(0,Assumptions!$B$155-Assumptions!$B$18))*Assumptions!$B$19/Assumptions!$B$7*D7+D121*(Assumptions!$B$146*Assumptions!$B$20+Assumptions!$B$147*Assumptions!$B$21)/12/Assumptions!$B$7*D7,0)</f>
        <v/>
      </c>
      <c r="E133" s="55">
        <f>IF(E2&gt;=Assumptions!$B$52,E126*E17*Assumptions!$B$17+E121*(Assumptions!$B$148*MAX(0,Assumptions!$B$152-Assumptions!$B$18)+Assumptions!$B$149*MAX(0,Assumptions!$B$153-Assumptions!$B$18)+Assumptions!$B$150*MAX(0,Assumptions!$B$154-Assumptions!$B$18)+Assumptions!$B$151*MAX(0,Assumptions!$B$155-Assumptions!$B$18))*Assumptions!$B$19/Assumptions!$B$7*E7+E121*(Assumptions!$B$146*Assumptions!$B$20+Assumptions!$B$147*Assumptions!$B$21)/12/Assumptions!$B$7*E7,0)</f>
        <v/>
      </c>
      <c r="F133" s="55">
        <f>IF(F2&gt;=Assumptions!$B$52,F126*F17*Assumptions!$B$17+F121*(Assumptions!$B$148*MAX(0,Assumptions!$B$152-Assumptions!$B$18)+Assumptions!$B$149*MAX(0,Assumptions!$B$153-Assumptions!$B$18)+Assumptions!$B$150*MAX(0,Assumptions!$B$154-Assumptions!$B$18)+Assumptions!$B$151*MAX(0,Assumptions!$B$155-Assumptions!$B$18))*Assumptions!$B$19/Assumptions!$B$7*F7+F121*(Assumptions!$B$146*Assumptions!$B$20+Assumptions!$B$147*Assumptions!$B$21)/12/Assumptions!$B$7*F7,0)</f>
        <v/>
      </c>
      <c r="G133" s="55">
        <f>IF(G2&gt;=Assumptions!$B$52,G126*G17*Assumptions!$B$17+G121*(Assumptions!$B$148*MAX(0,Assumptions!$B$152-Assumptions!$B$18)+Assumptions!$B$149*MAX(0,Assumptions!$B$153-Assumptions!$B$18)+Assumptions!$B$150*MAX(0,Assumptions!$B$154-Assumptions!$B$18)+Assumptions!$B$151*MAX(0,Assumptions!$B$155-Assumptions!$B$18))*Assumptions!$B$19/Assumptions!$B$7*G7+G121*(Assumptions!$B$146*Assumptions!$B$20+Assumptions!$B$147*Assumptions!$B$21)/12/Assumptions!$B$7*G7,0)</f>
        <v/>
      </c>
      <c r="H133" s="55">
        <f>IF(H2&gt;=Assumptions!$B$52,H126*H17*Assumptions!$B$17+H121*(Assumptions!$B$148*MAX(0,Assumptions!$B$152-Assumptions!$B$18)+Assumptions!$B$149*MAX(0,Assumptions!$B$153-Assumptions!$B$18)+Assumptions!$B$150*MAX(0,Assumptions!$B$154-Assumptions!$B$18)+Assumptions!$B$151*MAX(0,Assumptions!$B$155-Assumptions!$B$18))*Assumptions!$B$19/Assumptions!$B$7*H7+H121*(Assumptions!$B$146*Assumptions!$B$20+Assumptions!$B$147*Assumptions!$B$21)/12/Assumptions!$B$7*H7,0)</f>
        <v/>
      </c>
      <c r="I133" s="55">
        <f>IF(I2&gt;=Assumptions!$B$52,I126*I17*Assumptions!$B$17+I121*(Assumptions!$B$148*MAX(0,Assumptions!$B$152-Assumptions!$B$18)+Assumptions!$B$149*MAX(0,Assumptions!$B$153-Assumptions!$B$18)+Assumptions!$B$150*MAX(0,Assumptions!$B$154-Assumptions!$B$18)+Assumptions!$B$151*MAX(0,Assumptions!$B$155-Assumptions!$B$18))*Assumptions!$B$19/Assumptions!$B$7*I7+I121*(Assumptions!$B$146*Assumptions!$B$20+Assumptions!$B$147*Assumptions!$B$21)/12/Assumptions!$B$7*I7,0)</f>
        <v/>
      </c>
      <c r="J133" s="55">
        <f>IF(J2&gt;=Assumptions!$B$52,J126*J17*Assumptions!$B$17+J121*(Assumptions!$B$148*MAX(0,Assumptions!$B$152-Assumptions!$B$18)+Assumptions!$B$149*MAX(0,Assumptions!$B$153-Assumptions!$B$18)+Assumptions!$B$150*MAX(0,Assumptions!$B$154-Assumptions!$B$18)+Assumptions!$B$151*MAX(0,Assumptions!$B$155-Assumptions!$B$18))*Assumptions!$B$19/Assumptions!$B$7*J7+J121*(Assumptions!$B$146*Assumptions!$B$20+Assumptions!$B$147*Assumptions!$B$21)/12/Assumptions!$B$7*J7,0)</f>
        <v/>
      </c>
      <c r="K133" s="55">
        <f>IF(K2&gt;=Assumptions!$B$52,K126*K17*Assumptions!$B$17+K121*(Assumptions!$B$148*MAX(0,Assumptions!$B$152-Assumptions!$B$18)+Assumptions!$B$149*MAX(0,Assumptions!$B$153-Assumptions!$B$18)+Assumptions!$B$150*MAX(0,Assumptions!$B$154-Assumptions!$B$18)+Assumptions!$B$151*MAX(0,Assumptions!$B$155-Assumptions!$B$18))*Assumptions!$B$19/Assumptions!$B$7*K7+K121*(Assumptions!$B$146*Assumptions!$B$20+Assumptions!$B$147*Assumptions!$B$21)/12/Assumptions!$B$7*K7,0)</f>
        <v/>
      </c>
      <c r="L133" s="55">
        <f>IF(L2&gt;=Assumptions!$B$52,L126*L17*Assumptions!$B$17+L121*(Assumptions!$B$148*MAX(0,Assumptions!$B$152-Assumptions!$B$18)+Assumptions!$B$149*MAX(0,Assumptions!$B$153-Assumptions!$B$18)+Assumptions!$B$150*MAX(0,Assumptions!$B$154-Assumptions!$B$18)+Assumptions!$B$151*MAX(0,Assumptions!$B$155-Assumptions!$B$18))*Assumptions!$B$19/Assumptions!$B$7*L7+L121*(Assumptions!$B$146*Assumptions!$B$20+Assumptions!$B$147*Assumptions!$B$21)/12/Assumptions!$B$7*L7,0)</f>
        <v/>
      </c>
      <c r="M133" s="55">
        <f>IF(M2&gt;=Assumptions!$B$52,M126*M17*Assumptions!$B$17+M121*(Assumptions!$B$148*MAX(0,Assumptions!$B$152-Assumptions!$B$18)+Assumptions!$B$149*MAX(0,Assumptions!$B$153-Assumptions!$B$18)+Assumptions!$B$150*MAX(0,Assumptions!$B$154-Assumptions!$B$18)+Assumptions!$B$151*MAX(0,Assumptions!$B$155-Assumptions!$B$18))*Assumptions!$B$19/Assumptions!$B$7*M7+M121*(Assumptions!$B$146*Assumptions!$B$20+Assumptions!$B$147*Assumptions!$B$21)/12/Assumptions!$B$7*M7,0)</f>
        <v/>
      </c>
      <c r="N133" s="55">
        <f>IF(N2&gt;=Assumptions!$B$52,N126*N17*Assumptions!$B$17+N121*(Assumptions!$B$148*MAX(0,Assumptions!$B$152-Assumptions!$B$18)+Assumptions!$B$149*MAX(0,Assumptions!$B$153-Assumptions!$B$18)+Assumptions!$B$150*MAX(0,Assumptions!$B$154-Assumptions!$B$18)+Assumptions!$B$151*MAX(0,Assumptions!$B$155-Assumptions!$B$18))*Assumptions!$B$19/Assumptions!$B$7*N7+N121*(Assumptions!$B$146*Assumptions!$B$20+Assumptions!$B$147*Assumptions!$B$21)/12/Assumptions!$B$7*N7,0)</f>
        <v/>
      </c>
      <c r="O133" s="55">
        <f>IF(O2&gt;=Assumptions!$B$52,O126*O17*Assumptions!$B$17+O121*(Assumptions!$B$148*MAX(0,Assumptions!$B$152-Assumptions!$B$18)+Assumptions!$B$149*MAX(0,Assumptions!$B$153-Assumptions!$B$18)+Assumptions!$B$150*MAX(0,Assumptions!$B$154-Assumptions!$B$18)+Assumptions!$B$151*MAX(0,Assumptions!$B$155-Assumptions!$B$18))*Assumptions!$B$19/Assumptions!$B$7*O7+O121*(Assumptions!$B$146*Assumptions!$B$20+Assumptions!$B$147*Assumptions!$B$21)/12/Assumptions!$B$7*O7,0)</f>
        <v/>
      </c>
      <c r="P133" s="55">
        <f>IF(P2&gt;=Assumptions!$B$52,P126*P17*Assumptions!$B$17+P121*(Assumptions!$B$148*MAX(0,Assumptions!$B$152-Assumptions!$B$18)+Assumptions!$B$149*MAX(0,Assumptions!$B$153-Assumptions!$B$18)+Assumptions!$B$150*MAX(0,Assumptions!$B$154-Assumptions!$B$18)+Assumptions!$B$151*MAX(0,Assumptions!$B$155-Assumptions!$B$18))*Assumptions!$B$19/Assumptions!$B$7*P7+P121*(Assumptions!$B$146*Assumptions!$B$20+Assumptions!$B$147*Assumptions!$B$21)/12/Assumptions!$B$7*P7,0)</f>
        <v/>
      </c>
      <c r="Q133" s="55">
        <f>IF(Q2&gt;=Assumptions!$B$52,Q126*Q17*Assumptions!$B$17+Q121*(Assumptions!$B$148*MAX(0,Assumptions!$B$152-Assumptions!$B$18)+Assumptions!$B$149*MAX(0,Assumptions!$B$153-Assumptions!$B$18)+Assumptions!$B$150*MAX(0,Assumptions!$B$154-Assumptions!$B$18)+Assumptions!$B$151*MAX(0,Assumptions!$B$155-Assumptions!$B$18))*Assumptions!$B$19/Assumptions!$B$7*Q7+Q121*(Assumptions!$B$146*Assumptions!$B$20+Assumptions!$B$147*Assumptions!$B$21)/12/Assumptions!$B$7*Q7,0)</f>
        <v/>
      </c>
      <c r="R133" s="55">
        <f>IF(R2&gt;=Assumptions!$B$52,R126*R17*Assumptions!$B$17+R121*(Assumptions!$B$148*MAX(0,Assumptions!$B$152-Assumptions!$B$18)+Assumptions!$B$149*MAX(0,Assumptions!$B$153-Assumptions!$B$18)+Assumptions!$B$150*MAX(0,Assumptions!$B$154-Assumptions!$B$18)+Assumptions!$B$151*MAX(0,Assumptions!$B$155-Assumptions!$B$18))*Assumptions!$B$19/Assumptions!$B$7*R7+R121*(Assumptions!$B$146*Assumptions!$B$20+Assumptions!$B$147*Assumptions!$B$21)/12/Assumptions!$B$7*R7,0)</f>
        <v/>
      </c>
      <c r="S133" s="55">
        <f>IF(S2&gt;=Assumptions!$B$52,S126*S17*Assumptions!$B$17+S121*(Assumptions!$B$148*MAX(0,Assumptions!$B$152-Assumptions!$B$18)+Assumptions!$B$149*MAX(0,Assumptions!$B$153-Assumptions!$B$18)+Assumptions!$B$150*MAX(0,Assumptions!$B$154-Assumptions!$B$18)+Assumptions!$B$151*MAX(0,Assumptions!$B$155-Assumptions!$B$18))*Assumptions!$B$19/Assumptions!$B$7*S7+S121*(Assumptions!$B$146*Assumptions!$B$20+Assumptions!$B$147*Assumptions!$B$21)/12/Assumptions!$B$7*S7,0)</f>
        <v/>
      </c>
      <c r="T133" s="55">
        <f>IF(T2&gt;=Assumptions!$B$52,T126*T17*Assumptions!$B$17+T121*(Assumptions!$B$148*MAX(0,Assumptions!$B$152-Assumptions!$B$18)+Assumptions!$B$149*MAX(0,Assumptions!$B$153-Assumptions!$B$18)+Assumptions!$B$150*MAX(0,Assumptions!$B$154-Assumptions!$B$18)+Assumptions!$B$151*MAX(0,Assumptions!$B$155-Assumptions!$B$18))*Assumptions!$B$19/Assumptions!$B$7*T7+T121*(Assumptions!$B$146*Assumptions!$B$20+Assumptions!$B$147*Assumptions!$B$21)/12/Assumptions!$B$7*T7,0)</f>
        <v/>
      </c>
      <c r="U133" s="55">
        <f>IF(U2&gt;=Assumptions!$B$52,U126*U17*Assumptions!$B$17+U121*(Assumptions!$B$148*MAX(0,Assumptions!$B$152-Assumptions!$B$18)+Assumptions!$B$149*MAX(0,Assumptions!$B$153-Assumptions!$B$18)+Assumptions!$B$150*MAX(0,Assumptions!$B$154-Assumptions!$B$18)+Assumptions!$B$151*MAX(0,Assumptions!$B$155-Assumptions!$B$18))*Assumptions!$B$19/Assumptions!$B$7*U7+U121*(Assumptions!$B$146*Assumptions!$B$20+Assumptions!$B$147*Assumptions!$B$21)/12/Assumptions!$B$7*U7,0)</f>
        <v/>
      </c>
      <c r="V133" s="55">
        <f>IF(V2&gt;=Assumptions!$B$52,V126*V17*Assumptions!$B$17+V121*(Assumptions!$B$148*MAX(0,Assumptions!$B$152-Assumptions!$B$18)+Assumptions!$B$149*MAX(0,Assumptions!$B$153-Assumptions!$B$18)+Assumptions!$B$150*MAX(0,Assumptions!$B$154-Assumptions!$B$18)+Assumptions!$B$151*MAX(0,Assumptions!$B$155-Assumptions!$B$18))*Assumptions!$B$19/Assumptions!$B$7*V7+V121*(Assumptions!$B$146*Assumptions!$B$20+Assumptions!$B$147*Assumptions!$B$21)/12/Assumptions!$B$7*V7,0)</f>
        <v/>
      </c>
      <c r="W133" s="55">
        <f>IF(W2&gt;=Assumptions!$B$52,W126*W17*Assumptions!$B$17+W121*(Assumptions!$B$148*MAX(0,Assumptions!$B$152-Assumptions!$B$18)+Assumptions!$B$149*MAX(0,Assumptions!$B$153-Assumptions!$B$18)+Assumptions!$B$150*MAX(0,Assumptions!$B$154-Assumptions!$B$18)+Assumptions!$B$151*MAX(0,Assumptions!$B$155-Assumptions!$B$18))*Assumptions!$B$19/Assumptions!$B$7*W7+W121*(Assumptions!$B$146*Assumptions!$B$20+Assumptions!$B$147*Assumptions!$B$21)/12/Assumptions!$B$7*W7,0)</f>
        <v/>
      </c>
      <c r="X133" s="55">
        <f>IF(X2&gt;=Assumptions!$B$52,X126*X17*Assumptions!$B$17+X121*(Assumptions!$B$148*MAX(0,Assumptions!$B$152-Assumptions!$B$18)+Assumptions!$B$149*MAX(0,Assumptions!$B$153-Assumptions!$B$18)+Assumptions!$B$150*MAX(0,Assumptions!$B$154-Assumptions!$B$18)+Assumptions!$B$151*MAX(0,Assumptions!$B$155-Assumptions!$B$18))*Assumptions!$B$19/Assumptions!$B$7*X7+X121*(Assumptions!$B$146*Assumptions!$B$20+Assumptions!$B$147*Assumptions!$B$21)/12/Assumptions!$B$7*X7,0)</f>
        <v/>
      </c>
      <c r="Y133" s="55">
        <f>IF(Y2&gt;=Assumptions!$B$52,Y126*Y17*Assumptions!$B$17+Y121*(Assumptions!$B$148*MAX(0,Assumptions!$B$152-Assumptions!$B$18)+Assumptions!$B$149*MAX(0,Assumptions!$B$153-Assumptions!$B$18)+Assumptions!$B$150*MAX(0,Assumptions!$B$154-Assumptions!$B$18)+Assumptions!$B$151*MAX(0,Assumptions!$B$155-Assumptions!$B$18))*Assumptions!$B$19/Assumptions!$B$7*Y7+Y121*(Assumptions!$B$146*Assumptions!$B$20+Assumptions!$B$147*Assumptions!$B$21)/12/Assumptions!$B$7*Y7,0)</f>
        <v/>
      </c>
      <c r="Z133" s="55">
        <f>IF(Z2&gt;=Assumptions!$B$52,Z126*Z17*Assumptions!$B$17+Z121*(Assumptions!$B$148*MAX(0,Assumptions!$B$152-Assumptions!$B$18)+Assumptions!$B$149*MAX(0,Assumptions!$B$153-Assumptions!$B$18)+Assumptions!$B$150*MAX(0,Assumptions!$B$154-Assumptions!$B$18)+Assumptions!$B$151*MAX(0,Assumptions!$B$155-Assumptions!$B$18))*Assumptions!$B$19/Assumptions!$B$7*Z7+Z121*(Assumptions!$B$146*Assumptions!$B$20+Assumptions!$B$147*Assumptions!$B$21)/12/Assumptions!$B$7*Z7,0)</f>
        <v/>
      </c>
      <c r="AA133" s="55">
        <f>IF(AA2&gt;=Assumptions!$B$52,AA126*AA17*Assumptions!$B$17+AA121*(Assumptions!$B$148*MAX(0,Assumptions!$B$152-Assumptions!$B$18)+Assumptions!$B$149*MAX(0,Assumptions!$B$153-Assumptions!$B$18)+Assumptions!$B$150*MAX(0,Assumptions!$B$154-Assumptions!$B$18)+Assumptions!$B$151*MAX(0,Assumptions!$B$155-Assumptions!$B$18))*Assumptions!$B$19/Assumptions!$B$7*AA7+AA121*(Assumptions!$B$146*Assumptions!$B$20+Assumptions!$B$147*Assumptions!$B$21)/12/Assumptions!$B$7*AA7,0)</f>
        <v/>
      </c>
      <c r="AB133" s="55">
        <f>IF(AB2&gt;=Assumptions!$B$52,AB126*AB17*Assumptions!$B$17+AB121*(Assumptions!$B$148*MAX(0,Assumptions!$B$152-Assumptions!$B$18)+Assumptions!$B$149*MAX(0,Assumptions!$B$153-Assumptions!$B$18)+Assumptions!$B$150*MAX(0,Assumptions!$B$154-Assumptions!$B$18)+Assumptions!$B$151*MAX(0,Assumptions!$B$155-Assumptions!$B$18))*Assumptions!$B$19/Assumptions!$B$7*AB7+AB121*(Assumptions!$B$146*Assumptions!$B$20+Assumptions!$B$147*Assumptions!$B$21)/12/Assumptions!$B$7*AB7,0)</f>
        <v/>
      </c>
      <c r="AC133" s="55">
        <f>IF(AC2&gt;=Assumptions!$B$52,AC126*AC17*Assumptions!$B$17+AC121*(Assumptions!$B$148*MAX(0,Assumptions!$B$152-Assumptions!$B$18)+Assumptions!$B$149*MAX(0,Assumptions!$B$153-Assumptions!$B$18)+Assumptions!$B$150*MAX(0,Assumptions!$B$154-Assumptions!$B$18)+Assumptions!$B$151*MAX(0,Assumptions!$B$155-Assumptions!$B$18))*Assumptions!$B$19/Assumptions!$B$7*AC7+AC121*(Assumptions!$B$146*Assumptions!$B$20+Assumptions!$B$147*Assumptions!$B$21)/12/Assumptions!$B$7*AC7,0)</f>
        <v/>
      </c>
      <c r="AD133" s="55">
        <f>IF(AD2&gt;=Assumptions!$B$52,AD126*AD17*Assumptions!$B$17+AD121*(Assumptions!$B$148*MAX(0,Assumptions!$B$152-Assumptions!$B$18)+Assumptions!$B$149*MAX(0,Assumptions!$B$153-Assumptions!$B$18)+Assumptions!$B$150*MAX(0,Assumptions!$B$154-Assumptions!$B$18)+Assumptions!$B$151*MAX(0,Assumptions!$B$155-Assumptions!$B$18))*Assumptions!$B$19/Assumptions!$B$7*AD7+AD121*(Assumptions!$B$146*Assumptions!$B$20+Assumptions!$B$147*Assumptions!$B$21)/12/Assumptions!$B$7*AD7,0)</f>
        <v/>
      </c>
      <c r="AE133" s="55">
        <f>IF(AE2&gt;=Assumptions!$B$52,AE126*AE17*Assumptions!$B$17+AE121*(Assumptions!$B$148*MAX(0,Assumptions!$B$152-Assumptions!$B$18)+Assumptions!$B$149*MAX(0,Assumptions!$B$153-Assumptions!$B$18)+Assumptions!$B$150*MAX(0,Assumptions!$B$154-Assumptions!$B$18)+Assumptions!$B$151*MAX(0,Assumptions!$B$155-Assumptions!$B$18))*Assumptions!$B$19/Assumptions!$B$7*AE7+AE121*(Assumptions!$B$146*Assumptions!$B$20+Assumptions!$B$147*Assumptions!$B$21)/12/Assumptions!$B$7*AE7,0)</f>
        <v/>
      </c>
    </row>
    <row r="134">
      <c r="A134" s="6" t="inlineStr">
        <is>
          <t xml:space="preserve">  Average drawn balance outstanding</t>
        </is>
      </c>
      <c r="B134" s="23" t="inlineStr">
        <is>
          <t>USD</t>
        </is>
      </c>
      <c r="C134" s="55">
        <f>IF(C2&gt;=Assumptions!$B$53,C121*C122*(1-Assumptions!$B$171)*Assumptions!$B$156*Assumptions!$B$157,0)</f>
        <v/>
      </c>
      <c r="D134" s="55">
        <f>IF(D2&gt;=Assumptions!$B$53,D121*D122*(1-Assumptions!$B$171)*Assumptions!$B$156*Assumptions!$B$157,0)</f>
        <v/>
      </c>
      <c r="E134" s="55">
        <f>IF(E2&gt;=Assumptions!$B$53,E121*E122*(1-Assumptions!$B$171)*Assumptions!$B$156*Assumptions!$B$157,0)</f>
        <v/>
      </c>
      <c r="F134" s="55">
        <f>IF(F2&gt;=Assumptions!$B$53,F121*F122*(1-Assumptions!$B$171)*Assumptions!$B$156*Assumptions!$B$157,0)</f>
        <v/>
      </c>
      <c r="G134" s="55">
        <f>IF(G2&gt;=Assumptions!$B$53,G121*G122*(1-Assumptions!$B$171)*Assumptions!$B$156*Assumptions!$B$157,0)</f>
        <v/>
      </c>
      <c r="H134" s="55">
        <f>IF(H2&gt;=Assumptions!$B$53,H121*H122*(1-Assumptions!$B$171)*Assumptions!$B$156*Assumptions!$B$157,0)</f>
        <v/>
      </c>
      <c r="I134" s="55">
        <f>IF(I2&gt;=Assumptions!$B$53,I121*I122*(1-Assumptions!$B$171)*Assumptions!$B$156*Assumptions!$B$157,0)</f>
        <v/>
      </c>
      <c r="J134" s="55">
        <f>IF(J2&gt;=Assumptions!$B$53,J121*J122*(1-Assumptions!$B$171)*Assumptions!$B$156*Assumptions!$B$157,0)</f>
        <v/>
      </c>
      <c r="K134" s="55">
        <f>IF(K2&gt;=Assumptions!$B$53,K121*K122*(1-Assumptions!$B$171)*Assumptions!$B$156*Assumptions!$B$157,0)</f>
        <v/>
      </c>
      <c r="L134" s="55">
        <f>IF(L2&gt;=Assumptions!$B$53,L121*L122*(1-Assumptions!$B$171)*Assumptions!$B$156*Assumptions!$B$157,0)</f>
        <v/>
      </c>
      <c r="M134" s="55">
        <f>IF(M2&gt;=Assumptions!$B$53,M121*M122*(1-Assumptions!$B$171)*Assumptions!$B$156*Assumptions!$B$157,0)</f>
        <v/>
      </c>
      <c r="N134" s="55">
        <f>IF(N2&gt;=Assumptions!$B$53,N121*N122*(1-Assumptions!$B$171)*Assumptions!$B$156*Assumptions!$B$157,0)</f>
        <v/>
      </c>
      <c r="O134" s="55">
        <f>IF(O2&gt;=Assumptions!$B$53,O121*O122*(1-Assumptions!$B$171)*Assumptions!$B$156*Assumptions!$B$157,0)</f>
        <v/>
      </c>
      <c r="P134" s="55">
        <f>IF(P2&gt;=Assumptions!$B$53,P121*P122*(1-Assumptions!$B$171)*Assumptions!$B$156*Assumptions!$B$157,0)</f>
        <v/>
      </c>
      <c r="Q134" s="55">
        <f>IF(Q2&gt;=Assumptions!$B$53,Q121*Q122*(1-Assumptions!$B$171)*Assumptions!$B$156*Assumptions!$B$157,0)</f>
        <v/>
      </c>
      <c r="R134" s="55">
        <f>IF(R2&gt;=Assumptions!$B$53,R121*R122*(1-Assumptions!$B$171)*Assumptions!$B$156*Assumptions!$B$157,0)</f>
        <v/>
      </c>
      <c r="S134" s="55">
        <f>IF(S2&gt;=Assumptions!$B$53,S121*S122*(1-Assumptions!$B$171)*Assumptions!$B$156*Assumptions!$B$157,0)</f>
        <v/>
      </c>
      <c r="T134" s="55">
        <f>IF(T2&gt;=Assumptions!$B$53,T121*T122*(1-Assumptions!$B$171)*Assumptions!$B$156*Assumptions!$B$157,0)</f>
        <v/>
      </c>
      <c r="U134" s="55">
        <f>IF(U2&gt;=Assumptions!$B$53,U121*U122*(1-Assumptions!$B$171)*Assumptions!$B$156*Assumptions!$B$157,0)</f>
        <v/>
      </c>
      <c r="V134" s="55">
        <f>IF(V2&gt;=Assumptions!$B$53,V121*V122*(1-Assumptions!$B$171)*Assumptions!$B$156*Assumptions!$B$157,0)</f>
        <v/>
      </c>
      <c r="W134" s="55">
        <f>IF(W2&gt;=Assumptions!$B$53,W121*W122*(1-Assumptions!$B$171)*Assumptions!$B$156*Assumptions!$B$157,0)</f>
        <v/>
      </c>
      <c r="X134" s="55">
        <f>IF(X2&gt;=Assumptions!$B$53,X121*X122*(1-Assumptions!$B$171)*Assumptions!$B$156*Assumptions!$B$157,0)</f>
        <v/>
      </c>
      <c r="Y134" s="55">
        <f>IF(Y2&gt;=Assumptions!$B$53,Y121*Y122*(1-Assumptions!$B$171)*Assumptions!$B$156*Assumptions!$B$157,0)</f>
        <v/>
      </c>
      <c r="Z134" s="55">
        <f>IF(Z2&gt;=Assumptions!$B$53,Z121*Z122*(1-Assumptions!$B$171)*Assumptions!$B$156*Assumptions!$B$157,0)</f>
        <v/>
      </c>
      <c r="AA134" s="55">
        <f>IF(AA2&gt;=Assumptions!$B$53,AA121*AA122*(1-Assumptions!$B$171)*Assumptions!$B$156*Assumptions!$B$157,0)</f>
        <v/>
      </c>
      <c r="AB134" s="55">
        <f>IF(AB2&gt;=Assumptions!$B$53,AB121*AB122*(1-Assumptions!$B$171)*Assumptions!$B$156*Assumptions!$B$157,0)</f>
        <v/>
      </c>
      <c r="AC134" s="55">
        <f>IF(AC2&gt;=Assumptions!$B$53,AC121*AC122*(1-Assumptions!$B$171)*Assumptions!$B$156*Assumptions!$B$157,0)</f>
        <v/>
      </c>
      <c r="AD134" s="55">
        <f>IF(AD2&gt;=Assumptions!$B$53,AD121*AD122*(1-Assumptions!$B$171)*Assumptions!$B$156*Assumptions!$B$157,0)</f>
        <v/>
      </c>
      <c r="AE134" s="55">
        <f>IF(AE2&gt;=Assumptions!$B$53,AE121*AE122*(1-Assumptions!$B$171)*Assumptions!$B$156*Assumptions!$B$157,0)</f>
        <v/>
      </c>
    </row>
    <row r="135">
      <c r="A135" s="6" t="inlineStr">
        <is>
          <t xml:space="preserve">  Stream 5 - Lending revenue share</t>
        </is>
      </c>
      <c r="B135" s="23" t="inlineStr">
        <is>
          <t>USD</t>
        </is>
      </c>
      <c r="C135" s="55">
        <f>IF(C2&gt;=Assumptions!$B$53,(C134*Assumptions!$B$29*Assumptions!$B$30+C121*C123*(1-Assumptions!$B$171)*Assumptions!$B$27*Assumptions!$B$28)*C7/12,0)</f>
        <v/>
      </c>
      <c r="D135" s="55">
        <f>IF(D2&gt;=Assumptions!$B$53,(D134*Assumptions!$B$29*Assumptions!$B$30+D121*D123*(1-Assumptions!$B$171)*Assumptions!$B$27*Assumptions!$B$28)*D7/12,0)</f>
        <v/>
      </c>
      <c r="E135" s="55">
        <f>IF(E2&gt;=Assumptions!$B$53,(E134*Assumptions!$B$29*Assumptions!$B$30+E121*E123*(1-Assumptions!$B$171)*Assumptions!$B$27*Assumptions!$B$28)*E7/12,0)</f>
        <v/>
      </c>
      <c r="F135" s="55">
        <f>IF(F2&gt;=Assumptions!$B$53,(F134*Assumptions!$B$29*Assumptions!$B$30+F121*F123*(1-Assumptions!$B$171)*Assumptions!$B$27*Assumptions!$B$28)*F7/12,0)</f>
        <v/>
      </c>
      <c r="G135" s="55">
        <f>IF(G2&gt;=Assumptions!$B$53,(G134*Assumptions!$B$29*Assumptions!$B$30+G121*G123*(1-Assumptions!$B$171)*Assumptions!$B$27*Assumptions!$B$28)*G7/12,0)</f>
        <v/>
      </c>
      <c r="H135" s="55">
        <f>IF(H2&gt;=Assumptions!$B$53,(H134*Assumptions!$B$29*Assumptions!$B$30+H121*H123*(1-Assumptions!$B$171)*Assumptions!$B$27*Assumptions!$B$28)*H7/12,0)</f>
        <v/>
      </c>
      <c r="I135" s="55">
        <f>IF(I2&gt;=Assumptions!$B$53,(I134*Assumptions!$B$29*Assumptions!$B$30+I121*I123*(1-Assumptions!$B$171)*Assumptions!$B$27*Assumptions!$B$28)*I7/12,0)</f>
        <v/>
      </c>
      <c r="J135" s="55">
        <f>IF(J2&gt;=Assumptions!$B$53,(J134*Assumptions!$B$29*Assumptions!$B$30+J121*J123*(1-Assumptions!$B$171)*Assumptions!$B$27*Assumptions!$B$28)*J7/12,0)</f>
        <v/>
      </c>
      <c r="K135" s="55">
        <f>IF(K2&gt;=Assumptions!$B$53,(K134*Assumptions!$B$29*Assumptions!$B$30+K121*K123*(1-Assumptions!$B$171)*Assumptions!$B$27*Assumptions!$B$28)*K7/12,0)</f>
        <v/>
      </c>
      <c r="L135" s="55">
        <f>IF(L2&gt;=Assumptions!$B$53,(L134*Assumptions!$B$29*Assumptions!$B$30+L121*L123*(1-Assumptions!$B$171)*Assumptions!$B$27*Assumptions!$B$28)*L7/12,0)</f>
        <v/>
      </c>
      <c r="M135" s="55">
        <f>IF(M2&gt;=Assumptions!$B$53,(M134*Assumptions!$B$29*Assumptions!$B$30+M121*M123*(1-Assumptions!$B$171)*Assumptions!$B$27*Assumptions!$B$28)*M7/12,0)</f>
        <v/>
      </c>
      <c r="N135" s="55">
        <f>IF(N2&gt;=Assumptions!$B$53,(N134*Assumptions!$B$29*Assumptions!$B$30+N121*N123*(1-Assumptions!$B$171)*Assumptions!$B$27*Assumptions!$B$28)*N7/12,0)</f>
        <v/>
      </c>
      <c r="O135" s="55">
        <f>IF(O2&gt;=Assumptions!$B$53,(O134*Assumptions!$B$29*Assumptions!$B$30+O121*O123*(1-Assumptions!$B$171)*Assumptions!$B$27*Assumptions!$B$28)*O7/12,0)</f>
        <v/>
      </c>
      <c r="P135" s="55">
        <f>IF(P2&gt;=Assumptions!$B$53,(P134*Assumptions!$B$29*Assumptions!$B$30+P121*P123*(1-Assumptions!$B$171)*Assumptions!$B$27*Assumptions!$B$28)*P7/12,0)</f>
        <v/>
      </c>
      <c r="Q135" s="55">
        <f>IF(Q2&gt;=Assumptions!$B$53,(Q134*Assumptions!$B$29*Assumptions!$B$30+Q121*Q123*(1-Assumptions!$B$171)*Assumptions!$B$27*Assumptions!$B$28)*Q7/12,0)</f>
        <v/>
      </c>
      <c r="R135" s="55">
        <f>IF(R2&gt;=Assumptions!$B$53,(R134*Assumptions!$B$29*Assumptions!$B$30+R121*R123*(1-Assumptions!$B$171)*Assumptions!$B$27*Assumptions!$B$28)*R7/12,0)</f>
        <v/>
      </c>
      <c r="S135" s="55">
        <f>IF(S2&gt;=Assumptions!$B$53,(S134*Assumptions!$B$29*Assumptions!$B$30+S121*S123*(1-Assumptions!$B$171)*Assumptions!$B$27*Assumptions!$B$28)*S7/12,0)</f>
        <v/>
      </c>
      <c r="T135" s="55">
        <f>IF(T2&gt;=Assumptions!$B$53,(T134*Assumptions!$B$29*Assumptions!$B$30+T121*T123*(1-Assumptions!$B$171)*Assumptions!$B$27*Assumptions!$B$28)*T7/12,0)</f>
        <v/>
      </c>
      <c r="U135" s="55">
        <f>IF(U2&gt;=Assumptions!$B$53,(U134*Assumptions!$B$29*Assumptions!$B$30+U121*U123*(1-Assumptions!$B$171)*Assumptions!$B$27*Assumptions!$B$28)*U7/12,0)</f>
        <v/>
      </c>
      <c r="V135" s="55">
        <f>IF(V2&gt;=Assumptions!$B$53,(V134*Assumptions!$B$29*Assumptions!$B$30+V121*V123*(1-Assumptions!$B$171)*Assumptions!$B$27*Assumptions!$B$28)*V7/12,0)</f>
        <v/>
      </c>
      <c r="W135" s="55">
        <f>IF(W2&gt;=Assumptions!$B$53,(W134*Assumptions!$B$29*Assumptions!$B$30+W121*W123*(1-Assumptions!$B$171)*Assumptions!$B$27*Assumptions!$B$28)*W7/12,0)</f>
        <v/>
      </c>
      <c r="X135" s="55">
        <f>IF(X2&gt;=Assumptions!$B$53,(X134*Assumptions!$B$29*Assumptions!$B$30+X121*X123*(1-Assumptions!$B$171)*Assumptions!$B$27*Assumptions!$B$28)*X7/12,0)</f>
        <v/>
      </c>
      <c r="Y135" s="55">
        <f>IF(Y2&gt;=Assumptions!$B$53,(Y134*Assumptions!$B$29*Assumptions!$B$30+Y121*Y123*(1-Assumptions!$B$171)*Assumptions!$B$27*Assumptions!$B$28)*Y7/12,0)</f>
        <v/>
      </c>
      <c r="Z135" s="55">
        <f>IF(Z2&gt;=Assumptions!$B$53,(Z134*Assumptions!$B$29*Assumptions!$B$30+Z121*Z123*(1-Assumptions!$B$171)*Assumptions!$B$27*Assumptions!$B$28)*Z7/12,0)</f>
        <v/>
      </c>
      <c r="AA135" s="55">
        <f>IF(AA2&gt;=Assumptions!$B$53,(AA134*Assumptions!$B$29*Assumptions!$B$30+AA121*AA123*(1-Assumptions!$B$171)*Assumptions!$B$27*Assumptions!$B$28)*AA7/12,0)</f>
        <v/>
      </c>
      <c r="AB135" s="55">
        <f>IF(AB2&gt;=Assumptions!$B$53,(AB134*Assumptions!$B$29*Assumptions!$B$30+AB121*AB123*(1-Assumptions!$B$171)*Assumptions!$B$27*Assumptions!$B$28)*AB7/12,0)</f>
        <v/>
      </c>
      <c r="AC135" s="55">
        <f>IF(AC2&gt;=Assumptions!$B$53,(AC134*Assumptions!$B$29*Assumptions!$B$30+AC121*AC123*(1-Assumptions!$B$171)*Assumptions!$B$27*Assumptions!$B$28)*AC7/12,0)</f>
        <v/>
      </c>
      <c r="AD135" s="55">
        <f>IF(AD2&gt;=Assumptions!$B$53,(AD134*Assumptions!$B$29*Assumptions!$B$30+AD121*AD123*(1-Assumptions!$B$171)*Assumptions!$B$27*Assumptions!$B$28)*AD7/12,0)</f>
        <v/>
      </c>
      <c r="AE135" s="55">
        <f>IF(AE2&gt;=Assumptions!$B$53,(AE134*Assumptions!$B$29*Assumptions!$B$30+AE121*AE123*(1-Assumptions!$B$171)*Assumptions!$B$27*Assumptions!$B$28)*AE7/12,0)</f>
        <v/>
      </c>
    </row>
    <row r="136">
      <c r="A136" s="6" t="inlineStr">
        <is>
          <t xml:space="preserve">  Redemption events (memo - drives cost, not revenue)</t>
        </is>
      </c>
      <c r="B136" s="23" t="inlineStr">
        <is>
          <t>events</t>
        </is>
      </c>
      <c r="C136" s="45">
        <f>IF(C2&gt;=Assumptions!$B$49,(C107+C109*Assumptions!$B$138)*Assumptions!$B$137*C7/12,0)</f>
        <v/>
      </c>
      <c r="D136" s="45">
        <f>IF(D2&gt;=Assumptions!$B$49,(D107+D109*Assumptions!$B$138)*Assumptions!$B$137*D7/12,0)</f>
        <v/>
      </c>
      <c r="E136" s="45">
        <f>IF(E2&gt;=Assumptions!$B$49,(E107+E109*Assumptions!$B$138)*Assumptions!$B$137*E7/12,0)</f>
        <v/>
      </c>
      <c r="F136" s="45">
        <f>IF(F2&gt;=Assumptions!$B$49,(F107+F109*Assumptions!$B$138)*Assumptions!$B$137*F7/12,0)</f>
        <v/>
      </c>
      <c r="G136" s="45">
        <f>IF(G2&gt;=Assumptions!$B$49,(G107+G109*Assumptions!$B$138)*Assumptions!$B$137*G7/12,0)</f>
        <v/>
      </c>
      <c r="H136" s="45">
        <f>IF(H2&gt;=Assumptions!$B$49,(H107+H109*Assumptions!$B$138)*Assumptions!$B$137*H7/12,0)</f>
        <v/>
      </c>
      <c r="I136" s="45">
        <f>IF(I2&gt;=Assumptions!$B$49,(I107+I109*Assumptions!$B$138)*Assumptions!$B$137*I7/12,0)</f>
        <v/>
      </c>
      <c r="J136" s="45">
        <f>IF(J2&gt;=Assumptions!$B$49,(J107+J109*Assumptions!$B$138)*Assumptions!$B$137*J7/12,0)</f>
        <v/>
      </c>
      <c r="K136" s="45">
        <f>IF(K2&gt;=Assumptions!$B$49,(K107+K109*Assumptions!$B$138)*Assumptions!$B$137*K7/12,0)</f>
        <v/>
      </c>
      <c r="L136" s="45">
        <f>IF(L2&gt;=Assumptions!$B$49,(L107+L109*Assumptions!$B$138)*Assumptions!$B$137*L7/12,0)</f>
        <v/>
      </c>
      <c r="M136" s="45">
        <f>IF(M2&gt;=Assumptions!$B$49,(M107+M109*Assumptions!$B$138)*Assumptions!$B$137*M7/12,0)</f>
        <v/>
      </c>
      <c r="N136" s="45">
        <f>IF(N2&gt;=Assumptions!$B$49,(N107+N109*Assumptions!$B$138)*Assumptions!$B$137*N7/12,0)</f>
        <v/>
      </c>
      <c r="O136" s="45">
        <f>IF(O2&gt;=Assumptions!$B$49,(O107+O109*Assumptions!$B$138)*Assumptions!$B$137*O7/12,0)</f>
        <v/>
      </c>
      <c r="P136" s="45">
        <f>IF(P2&gt;=Assumptions!$B$49,(P107+P109*Assumptions!$B$138)*Assumptions!$B$137*P7/12,0)</f>
        <v/>
      </c>
      <c r="Q136" s="45">
        <f>IF(Q2&gt;=Assumptions!$B$49,(Q107+Q109*Assumptions!$B$138)*Assumptions!$B$137*Q7/12,0)</f>
        <v/>
      </c>
      <c r="R136" s="45">
        <f>IF(R2&gt;=Assumptions!$B$49,(R107+R109*Assumptions!$B$138)*Assumptions!$B$137*R7/12,0)</f>
        <v/>
      </c>
      <c r="S136" s="45">
        <f>IF(S2&gt;=Assumptions!$B$49,(S107+S109*Assumptions!$B$138)*Assumptions!$B$137*S7/12,0)</f>
        <v/>
      </c>
      <c r="T136" s="45">
        <f>IF(T2&gt;=Assumptions!$B$49,(T107+T109*Assumptions!$B$138)*Assumptions!$B$137*T7/12,0)</f>
        <v/>
      </c>
      <c r="U136" s="45">
        <f>IF(U2&gt;=Assumptions!$B$49,(U107+U109*Assumptions!$B$138)*Assumptions!$B$137*U7/12,0)</f>
        <v/>
      </c>
      <c r="V136" s="45">
        <f>IF(V2&gt;=Assumptions!$B$49,(V107+V109*Assumptions!$B$138)*Assumptions!$B$137*V7/12,0)</f>
        <v/>
      </c>
      <c r="W136" s="45">
        <f>IF(W2&gt;=Assumptions!$B$49,(W107+W109*Assumptions!$B$138)*Assumptions!$B$137*W7/12,0)</f>
        <v/>
      </c>
      <c r="X136" s="45">
        <f>IF(X2&gt;=Assumptions!$B$49,(X107+X109*Assumptions!$B$138)*Assumptions!$B$137*X7/12,0)</f>
        <v/>
      </c>
      <c r="Y136" s="45">
        <f>IF(Y2&gt;=Assumptions!$B$49,(Y107+Y109*Assumptions!$B$138)*Assumptions!$B$137*Y7/12,0)</f>
        <v/>
      </c>
      <c r="Z136" s="45">
        <f>IF(Z2&gt;=Assumptions!$B$49,(Z107+Z109*Assumptions!$B$138)*Assumptions!$B$137*Z7/12,0)</f>
        <v/>
      </c>
      <c r="AA136" s="45">
        <f>IF(AA2&gt;=Assumptions!$B$49,(AA107+AA109*Assumptions!$B$138)*Assumptions!$B$137*AA7/12,0)</f>
        <v/>
      </c>
      <c r="AB136" s="45">
        <f>IF(AB2&gt;=Assumptions!$B$49,(AB107+AB109*Assumptions!$B$138)*Assumptions!$B$137*AB7/12,0)</f>
        <v/>
      </c>
      <c r="AC136" s="45">
        <f>IF(AC2&gt;=Assumptions!$B$49,(AC107+AC109*Assumptions!$B$138)*Assumptions!$B$137*AC7/12,0)</f>
        <v/>
      </c>
      <c r="AD136" s="45">
        <f>IF(AD2&gt;=Assumptions!$B$49,(AD107+AD109*Assumptions!$B$138)*Assumptions!$B$137*AD7/12,0)</f>
        <v/>
      </c>
      <c r="AE136" s="45">
        <f>IF(AE2&gt;=Assumptions!$B$49,(AE107+AE109*Assumptions!$B$138)*Assumptions!$B$137*AE7/12,0)</f>
        <v/>
      </c>
    </row>
    <row r="137">
      <c r="A137" s="3" t="inlineStr">
        <is>
          <t xml:space="preserve">  SUBTOTAL - India</t>
        </is>
      </c>
      <c r="B137" s="23" t="inlineStr">
        <is>
          <t>USD</t>
        </is>
      </c>
      <c r="C137" s="57">
        <f>C129+C130+C131+C132+C133+C135</f>
        <v/>
      </c>
      <c r="D137" s="57">
        <f>D129+D130+D131+D132+D133+D135</f>
        <v/>
      </c>
      <c r="E137" s="57">
        <f>E129+E130+E131+E132+E133+E135</f>
        <v/>
      </c>
      <c r="F137" s="57">
        <f>F129+F130+F131+F132+F133+F135</f>
        <v/>
      </c>
      <c r="G137" s="57">
        <f>G129+G130+G131+G132+G133+G135</f>
        <v/>
      </c>
      <c r="H137" s="57">
        <f>H129+H130+H131+H132+H133+H135</f>
        <v/>
      </c>
      <c r="I137" s="57">
        <f>I129+I130+I131+I132+I133+I135</f>
        <v/>
      </c>
      <c r="J137" s="57">
        <f>J129+J130+J131+J132+J133+J135</f>
        <v/>
      </c>
      <c r="K137" s="57">
        <f>K129+K130+K131+K132+K133+K135</f>
        <v/>
      </c>
      <c r="L137" s="57">
        <f>L129+L130+L131+L132+L133+L135</f>
        <v/>
      </c>
      <c r="M137" s="57">
        <f>M129+M130+M131+M132+M133+M135</f>
        <v/>
      </c>
      <c r="N137" s="57">
        <f>N129+N130+N131+N132+N133+N135</f>
        <v/>
      </c>
      <c r="O137" s="57">
        <f>O129+O130+O131+O132+O133+O135</f>
        <v/>
      </c>
      <c r="P137" s="57">
        <f>P129+P130+P131+P132+P133+P135</f>
        <v/>
      </c>
      <c r="Q137" s="57">
        <f>Q129+Q130+Q131+Q132+Q133+Q135</f>
        <v/>
      </c>
      <c r="R137" s="57">
        <f>R129+R130+R131+R132+R133+R135</f>
        <v/>
      </c>
      <c r="S137" s="57">
        <f>S129+S130+S131+S132+S133+S135</f>
        <v/>
      </c>
      <c r="T137" s="57">
        <f>T129+T130+T131+T132+T133+T135</f>
        <v/>
      </c>
      <c r="U137" s="57">
        <f>U129+U130+U131+U132+U133+U135</f>
        <v/>
      </c>
      <c r="V137" s="57">
        <f>V129+V130+V131+V132+V133+V135</f>
        <v/>
      </c>
      <c r="W137" s="57">
        <f>W129+W130+W131+W132+W133+W135</f>
        <v/>
      </c>
      <c r="X137" s="57">
        <f>X129+X130+X131+X132+X133+X135</f>
        <v/>
      </c>
      <c r="Y137" s="57">
        <f>Y129+Y130+Y131+Y132+Y133+Y135</f>
        <v/>
      </c>
      <c r="Z137" s="57">
        <f>Z129+Z130+Z131+Z132+Z133+Z135</f>
        <v/>
      </c>
      <c r="AA137" s="57">
        <f>AA129+AA130+AA131+AA132+AA133+AA135</f>
        <v/>
      </c>
      <c r="AB137" s="57">
        <f>AB129+AB130+AB131+AB132+AB133+AB135</f>
        <v/>
      </c>
      <c r="AC137" s="57">
        <f>AC129+AC130+AC131+AC132+AC133+AC135</f>
        <v/>
      </c>
      <c r="AD137" s="57">
        <f>AD129+AD130+AD131+AD132+AD133+AD135</f>
        <v/>
      </c>
      <c r="AE137" s="57">
        <f>AE129+AE130+AE131+AE132+AE133+AE135</f>
        <v/>
      </c>
    </row>
    <row r="139">
      <c r="A139" s="46" t="inlineStr">
        <is>
          <t>NON-REGIONAL</t>
        </is>
      </c>
      <c r="B139" s="47" t="n"/>
      <c r="C139" s="47" t="n"/>
      <c r="D139" s="47" t="n"/>
      <c r="E139" s="47" t="n"/>
      <c r="F139" s="47" t="n"/>
      <c r="G139" s="47" t="n"/>
      <c r="H139" s="47" t="n"/>
      <c r="I139" s="47" t="n"/>
      <c r="J139" s="47" t="n"/>
      <c r="K139" s="47" t="n"/>
      <c r="L139" s="47" t="n"/>
      <c r="M139" s="47" t="n"/>
      <c r="N139" s="47" t="n"/>
      <c r="O139" s="47" t="n"/>
      <c r="P139" s="47" t="n"/>
      <c r="Q139" s="47" t="n"/>
      <c r="R139" s="47" t="n"/>
      <c r="S139" s="47" t="n"/>
      <c r="T139" s="47" t="n"/>
      <c r="U139" s="47" t="n"/>
      <c r="V139" s="47" t="n"/>
      <c r="W139" s="47" t="n"/>
      <c r="X139" s="47" t="n"/>
      <c r="Y139" s="47" t="n"/>
      <c r="Z139" s="47" t="n"/>
      <c r="AA139" s="47" t="n"/>
      <c r="AB139" s="47" t="n"/>
      <c r="AC139" s="47" t="n"/>
      <c r="AD139" s="47" t="n"/>
      <c r="AE139" s="47" t="n"/>
    </row>
    <row r="140">
      <c r="A140" s="6" t="inlineStr">
        <is>
          <t xml:space="preserve">  Partner AUM</t>
        </is>
      </c>
      <c r="B140" s="23" t="inlineStr">
        <is>
          <t>USD</t>
        </is>
      </c>
      <c r="C140" s="58">
        <f>IF(C2&gt;=Assumptions!$B$54,INDEX(Assumptions!$B$160:$B$166,C5)*Assumptions!$B$167,0)</f>
        <v/>
      </c>
      <c r="D140" s="58">
        <f>IF(D2&gt;=Assumptions!$B$54,INDEX(Assumptions!$B$160:$B$166,D5)*Assumptions!$B$167,0)</f>
        <v/>
      </c>
      <c r="E140" s="58">
        <f>IF(E2&gt;=Assumptions!$B$54,INDEX(Assumptions!$B$160:$B$166,E5)*Assumptions!$B$167,0)</f>
        <v/>
      </c>
      <c r="F140" s="58">
        <f>IF(F2&gt;=Assumptions!$B$54,INDEX(Assumptions!$B$160:$B$166,F5)*Assumptions!$B$167,0)</f>
        <v/>
      </c>
      <c r="G140" s="58">
        <f>IF(G2&gt;=Assumptions!$B$54,INDEX(Assumptions!$B$160:$B$166,G5)*Assumptions!$B$167,0)</f>
        <v/>
      </c>
      <c r="H140" s="58">
        <f>IF(H2&gt;=Assumptions!$B$54,INDEX(Assumptions!$B$160:$B$166,H5)*Assumptions!$B$167,0)</f>
        <v/>
      </c>
      <c r="I140" s="58">
        <f>IF(I2&gt;=Assumptions!$B$54,INDEX(Assumptions!$B$160:$B$166,I5)*Assumptions!$B$167,0)</f>
        <v/>
      </c>
      <c r="J140" s="58">
        <f>IF(J2&gt;=Assumptions!$B$54,INDEX(Assumptions!$B$160:$B$166,J5)*Assumptions!$B$167,0)</f>
        <v/>
      </c>
      <c r="K140" s="58">
        <f>IF(K2&gt;=Assumptions!$B$54,INDEX(Assumptions!$B$160:$B$166,K5)*Assumptions!$B$167,0)</f>
        <v/>
      </c>
      <c r="L140" s="58">
        <f>IF(L2&gt;=Assumptions!$B$54,INDEX(Assumptions!$B$160:$B$166,L5)*Assumptions!$B$167,0)</f>
        <v/>
      </c>
      <c r="M140" s="58">
        <f>IF(M2&gt;=Assumptions!$B$54,INDEX(Assumptions!$B$160:$B$166,M5)*Assumptions!$B$167,0)</f>
        <v/>
      </c>
      <c r="N140" s="58">
        <f>IF(N2&gt;=Assumptions!$B$54,INDEX(Assumptions!$B$160:$B$166,N5)*Assumptions!$B$167,0)</f>
        <v/>
      </c>
      <c r="O140" s="58">
        <f>IF(O2&gt;=Assumptions!$B$54,INDEX(Assumptions!$B$160:$B$166,O5)*Assumptions!$B$167,0)</f>
        <v/>
      </c>
      <c r="P140" s="58">
        <f>IF(P2&gt;=Assumptions!$B$54,INDEX(Assumptions!$B$160:$B$166,P5)*Assumptions!$B$167,0)</f>
        <v/>
      </c>
      <c r="Q140" s="58">
        <f>IF(Q2&gt;=Assumptions!$B$54,INDEX(Assumptions!$B$160:$B$166,Q5)*Assumptions!$B$167,0)</f>
        <v/>
      </c>
      <c r="R140" s="58">
        <f>IF(R2&gt;=Assumptions!$B$54,INDEX(Assumptions!$B$160:$B$166,R5)*Assumptions!$B$167,0)</f>
        <v/>
      </c>
      <c r="S140" s="58">
        <f>IF(S2&gt;=Assumptions!$B$54,INDEX(Assumptions!$B$160:$B$166,S5)*Assumptions!$B$167,0)</f>
        <v/>
      </c>
      <c r="T140" s="58">
        <f>IF(T2&gt;=Assumptions!$B$54,INDEX(Assumptions!$B$160:$B$166,T5)*Assumptions!$B$167,0)</f>
        <v/>
      </c>
      <c r="U140" s="58">
        <f>IF(U2&gt;=Assumptions!$B$54,INDEX(Assumptions!$B$160:$B$166,U5)*Assumptions!$B$167,0)</f>
        <v/>
      </c>
      <c r="V140" s="58">
        <f>IF(V2&gt;=Assumptions!$B$54,INDEX(Assumptions!$B$160:$B$166,V5)*Assumptions!$B$167,0)</f>
        <v/>
      </c>
      <c r="W140" s="58">
        <f>IF(W2&gt;=Assumptions!$B$54,INDEX(Assumptions!$B$160:$B$166,W5)*Assumptions!$B$167,0)</f>
        <v/>
      </c>
      <c r="X140" s="58">
        <f>IF(X2&gt;=Assumptions!$B$54,INDEX(Assumptions!$B$160:$B$166,X5)*Assumptions!$B$167,0)</f>
        <v/>
      </c>
      <c r="Y140" s="58">
        <f>IF(Y2&gt;=Assumptions!$B$54,INDEX(Assumptions!$B$160:$B$166,Y5)*Assumptions!$B$167,0)</f>
        <v/>
      </c>
      <c r="Z140" s="58">
        <f>IF(Z2&gt;=Assumptions!$B$54,INDEX(Assumptions!$B$160:$B$166,Z5)*Assumptions!$B$167,0)</f>
        <v/>
      </c>
      <c r="AA140" s="58">
        <f>IF(AA2&gt;=Assumptions!$B$54,INDEX(Assumptions!$B$160:$B$166,AA5)*Assumptions!$B$167,0)</f>
        <v/>
      </c>
      <c r="AB140" s="58">
        <f>IF(AB2&gt;=Assumptions!$B$54,INDEX(Assumptions!$B$160:$B$166,AB5)*Assumptions!$B$167,0)</f>
        <v/>
      </c>
      <c r="AC140" s="58">
        <f>IF(AC2&gt;=Assumptions!$B$54,INDEX(Assumptions!$B$160:$B$166,AC5)*Assumptions!$B$167,0)</f>
        <v/>
      </c>
      <c r="AD140" s="58">
        <f>IF(AD2&gt;=Assumptions!$B$54,INDEX(Assumptions!$B$160:$B$166,AD5)*Assumptions!$B$167,0)</f>
        <v/>
      </c>
      <c r="AE140" s="58">
        <f>IF(AE2&gt;=Assumptions!$B$54,INDEX(Assumptions!$B$160:$B$166,AE5)*Assumptions!$B$167,0)</f>
        <v/>
      </c>
    </row>
    <row r="141">
      <c r="A141" s="6" t="inlineStr">
        <is>
          <t>Stream 6 - B2B platform fee</t>
        </is>
      </c>
      <c r="B141" s="23" t="inlineStr">
        <is>
          <t>USD</t>
        </is>
      </c>
      <c r="C141" s="57">
        <f>C140*Assumptions!$B$26*C7/12</f>
        <v/>
      </c>
      <c r="D141" s="57">
        <f>D140*Assumptions!$B$26*D7/12</f>
        <v/>
      </c>
      <c r="E141" s="57">
        <f>E140*Assumptions!$B$26*E7/12</f>
        <v/>
      </c>
      <c r="F141" s="57">
        <f>F140*Assumptions!$B$26*F7/12</f>
        <v/>
      </c>
      <c r="G141" s="57">
        <f>G140*Assumptions!$B$26*G7/12</f>
        <v/>
      </c>
      <c r="H141" s="57">
        <f>H140*Assumptions!$B$26*H7/12</f>
        <v/>
      </c>
      <c r="I141" s="57">
        <f>I140*Assumptions!$B$26*I7/12</f>
        <v/>
      </c>
      <c r="J141" s="57">
        <f>J140*Assumptions!$B$26*J7/12</f>
        <v/>
      </c>
      <c r="K141" s="57">
        <f>K140*Assumptions!$B$26*K7/12</f>
        <v/>
      </c>
      <c r="L141" s="57">
        <f>L140*Assumptions!$B$26*L7/12</f>
        <v/>
      </c>
      <c r="M141" s="57">
        <f>M140*Assumptions!$B$26*M7/12</f>
        <v/>
      </c>
      <c r="N141" s="57">
        <f>N140*Assumptions!$B$26*N7/12</f>
        <v/>
      </c>
      <c r="O141" s="57">
        <f>O140*Assumptions!$B$26*O7/12</f>
        <v/>
      </c>
      <c r="P141" s="57">
        <f>P140*Assumptions!$B$26*P7/12</f>
        <v/>
      </c>
      <c r="Q141" s="57">
        <f>Q140*Assumptions!$B$26*Q7/12</f>
        <v/>
      </c>
      <c r="R141" s="57">
        <f>R140*Assumptions!$B$26*R7/12</f>
        <v/>
      </c>
      <c r="S141" s="57">
        <f>S140*Assumptions!$B$26*S7/12</f>
        <v/>
      </c>
      <c r="T141" s="57">
        <f>T140*Assumptions!$B$26*T7/12</f>
        <v/>
      </c>
      <c r="U141" s="57">
        <f>U140*Assumptions!$B$26*U7/12</f>
        <v/>
      </c>
      <c r="V141" s="57">
        <f>V140*Assumptions!$B$26*V7/12</f>
        <v/>
      </c>
      <c r="W141" s="57">
        <f>W140*Assumptions!$B$26*W7/12</f>
        <v/>
      </c>
      <c r="X141" s="57">
        <f>X140*Assumptions!$B$26*X7/12</f>
        <v/>
      </c>
      <c r="Y141" s="57">
        <f>Y140*Assumptions!$B$26*Y7/12</f>
        <v/>
      </c>
      <c r="Z141" s="57">
        <f>Z140*Assumptions!$B$26*Z7/12</f>
        <v/>
      </c>
      <c r="AA141" s="57">
        <f>AA140*Assumptions!$B$26*AA7/12</f>
        <v/>
      </c>
      <c r="AB141" s="57">
        <f>AB140*Assumptions!$B$26*AB7/12</f>
        <v/>
      </c>
      <c r="AC141" s="57">
        <f>AC140*Assumptions!$B$26*AC7/12</f>
        <v/>
      </c>
      <c r="AD141" s="57">
        <f>AD140*Assumptions!$B$26*AD7/12</f>
        <v/>
      </c>
      <c r="AE141" s="57">
        <f>AE140*Assumptions!$B$26*AE7/12</f>
        <v/>
      </c>
    </row>
    <row r="142">
      <c r="A142" s="9" t="inlineStr">
        <is>
          <t>Stream 6 is NOT regional: partners are institutions with their own customer books, not retail customers of a region. It is reported separately rather than allocated, because any allocation would be invented.</t>
        </is>
      </c>
    </row>
    <row r="144">
      <c r="A144" s="46" t="inlineStr">
        <is>
          <t>WHOLE-BOOK TOTALS</t>
        </is>
      </c>
      <c r="B144" s="47" t="n"/>
      <c r="C144" s="47" t="n"/>
      <c r="D144" s="47" t="n"/>
      <c r="E144" s="47" t="n"/>
      <c r="F144" s="47" t="n"/>
      <c r="G144" s="47" t="n"/>
      <c r="H144" s="47" t="n"/>
      <c r="I144" s="47" t="n"/>
      <c r="J144" s="47" t="n"/>
      <c r="K144" s="47" t="n"/>
      <c r="L144" s="47" t="n"/>
      <c r="M144" s="47" t="n"/>
      <c r="N144" s="47" t="n"/>
      <c r="O144" s="47" t="n"/>
      <c r="P144" s="47" t="n"/>
      <c r="Q144" s="47" t="n"/>
      <c r="R144" s="47" t="n"/>
      <c r="S144" s="47" t="n"/>
      <c r="T144" s="47" t="n"/>
      <c r="U144" s="47" t="n"/>
      <c r="V144" s="47" t="n"/>
      <c r="W144" s="47" t="n"/>
      <c r="X144" s="47" t="n"/>
      <c r="Y144" s="47" t="n"/>
      <c r="Z144" s="47" t="n"/>
      <c r="AA144" s="47" t="n"/>
      <c r="AB144" s="47" t="n"/>
      <c r="AC144" s="47" t="n"/>
      <c r="AD144" s="47" t="n"/>
      <c r="AE144" s="47" t="n"/>
    </row>
    <row r="145">
      <c r="A145" s="3" t="inlineStr">
        <is>
          <t>PAYING CUSTOMERS</t>
        </is>
      </c>
      <c r="B145" s="23" t="inlineStr">
        <is>
          <t>-</t>
        </is>
      </c>
      <c r="C145" s="45">
        <f>C31+C69+C107</f>
        <v/>
      </c>
      <c r="D145" s="45">
        <f>D31+D69+D107</f>
        <v/>
      </c>
      <c r="E145" s="45">
        <f>E31+E69+E107</f>
        <v/>
      </c>
      <c r="F145" s="45">
        <f>F31+F69+F107</f>
        <v/>
      </c>
      <c r="G145" s="45">
        <f>G31+G69+G107</f>
        <v/>
      </c>
      <c r="H145" s="45">
        <f>H31+H69+H107</f>
        <v/>
      </c>
      <c r="I145" s="45">
        <f>I31+I69+I107</f>
        <v/>
      </c>
      <c r="J145" s="45">
        <f>J31+J69+J107</f>
        <v/>
      </c>
      <c r="K145" s="45">
        <f>K31+K69+K107</f>
        <v/>
      </c>
      <c r="L145" s="45">
        <f>L31+L69+L107</f>
        <v/>
      </c>
      <c r="M145" s="45">
        <f>M31+M69+M107</f>
        <v/>
      </c>
      <c r="N145" s="45">
        <f>N31+N69+N107</f>
        <v/>
      </c>
      <c r="O145" s="45">
        <f>O31+O69+O107</f>
        <v/>
      </c>
      <c r="P145" s="45">
        <f>P31+P69+P107</f>
        <v/>
      </c>
      <c r="Q145" s="45">
        <f>Q31+Q69+Q107</f>
        <v/>
      </c>
      <c r="R145" s="45">
        <f>R31+R69+R107</f>
        <v/>
      </c>
      <c r="S145" s="45">
        <f>S31+S69+S107</f>
        <v/>
      </c>
      <c r="T145" s="45">
        <f>T31+T69+T107</f>
        <v/>
      </c>
      <c r="U145" s="45">
        <f>U31+U69+U107</f>
        <v/>
      </c>
      <c r="V145" s="45">
        <f>V31+V69+V107</f>
        <v/>
      </c>
      <c r="W145" s="45">
        <f>W31+W69+W107</f>
        <v/>
      </c>
      <c r="X145" s="45">
        <f>X31+X69+X107</f>
        <v/>
      </c>
      <c r="Y145" s="45">
        <f>Y31+Y69+Y107</f>
        <v/>
      </c>
      <c r="Z145" s="45">
        <f>Z31+Z69+Z107</f>
        <v/>
      </c>
      <c r="AA145" s="45">
        <f>AA31+AA69+AA107</f>
        <v/>
      </c>
      <c r="AB145" s="45">
        <f>AB31+AB69+AB107</f>
        <v/>
      </c>
      <c r="AC145" s="45">
        <f>AC31+AC69+AC107</f>
        <v/>
      </c>
      <c r="AD145" s="45">
        <f>AD31+AD69+AD107</f>
        <v/>
      </c>
      <c r="AE145" s="45">
        <f>AE31+AE69+AE107</f>
        <v/>
      </c>
    </row>
    <row r="146">
      <c r="A146" s="3" t="inlineStr">
        <is>
          <t>HOLDERS (stopped paying, still hold gold)</t>
        </is>
      </c>
      <c r="B146" s="23" t="inlineStr">
        <is>
          <t>-</t>
        </is>
      </c>
      <c r="C146" s="45">
        <f>C33+C71+C109</f>
        <v/>
      </c>
      <c r="D146" s="45">
        <f>D33+D71+D109</f>
        <v/>
      </c>
      <c r="E146" s="45">
        <f>E33+E71+E109</f>
        <v/>
      </c>
      <c r="F146" s="45">
        <f>F33+F71+F109</f>
        <v/>
      </c>
      <c r="G146" s="45">
        <f>G33+G71+G109</f>
        <v/>
      </c>
      <c r="H146" s="45">
        <f>H33+H71+H109</f>
        <v/>
      </c>
      <c r="I146" s="45">
        <f>I33+I71+I109</f>
        <v/>
      </c>
      <c r="J146" s="45">
        <f>J33+J71+J109</f>
        <v/>
      </c>
      <c r="K146" s="45">
        <f>K33+K71+K109</f>
        <v/>
      </c>
      <c r="L146" s="45">
        <f>L33+L71+L109</f>
        <v/>
      </c>
      <c r="M146" s="45">
        <f>M33+M71+M109</f>
        <v/>
      </c>
      <c r="N146" s="45">
        <f>N33+N71+N109</f>
        <v/>
      </c>
      <c r="O146" s="45">
        <f>O33+O71+O109</f>
        <v/>
      </c>
      <c r="P146" s="45">
        <f>P33+P71+P109</f>
        <v/>
      </c>
      <c r="Q146" s="45">
        <f>Q33+Q71+Q109</f>
        <v/>
      </c>
      <c r="R146" s="45">
        <f>R33+R71+R109</f>
        <v/>
      </c>
      <c r="S146" s="45">
        <f>S33+S71+S109</f>
        <v/>
      </c>
      <c r="T146" s="45">
        <f>T33+T71+T109</f>
        <v/>
      </c>
      <c r="U146" s="45">
        <f>U33+U71+U109</f>
        <v/>
      </c>
      <c r="V146" s="45">
        <f>V33+V71+V109</f>
        <v/>
      </c>
      <c r="W146" s="45">
        <f>W33+W71+W109</f>
        <v/>
      </c>
      <c r="X146" s="45">
        <f>X33+X71+X109</f>
        <v/>
      </c>
      <c r="Y146" s="45">
        <f>Y33+Y71+Y109</f>
        <v/>
      </c>
      <c r="Z146" s="45">
        <f>Z33+Z71+Z109</f>
        <v/>
      </c>
      <c r="AA146" s="45">
        <f>AA33+AA71+AA109</f>
        <v/>
      </c>
      <c r="AB146" s="45">
        <f>AB33+AB71+AB109</f>
        <v/>
      </c>
      <c r="AC146" s="45">
        <f>AC33+AC71+AC109</f>
        <v/>
      </c>
      <c r="AD146" s="45">
        <f>AD33+AD71+AD109</f>
        <v/>
      </c>
      <c r="AE146" s="45">
        <f>AE33+AE71+AE109</f>
        <v/>
      </c>
    </row>
    <row r="147">
      <c r="A147" s="6" t="inlineStr">
        <is>
          <t>Cumulative ever acquired</t>
        </is>
      </c>
      <c r="B147" s="23" t="inlineStr">
        <is>
          <t>-</t>
        </is>
      </c>
      <c r="C147" s="45">
        <f>C34+C72+C110</f>
        <v/>
      </c>
      <c r="D147" s="45">
        <f>D34+D72+D110</f>
        <v/>
      </c>
      <c r="E147" s="45">
        <f>E34+E72+E110</f>
        <v/>
      </c>
      <c r="F147" s="45">
        <f>F34+F72+F110</f>
        <v/>
      </c>
      <c r="G147" s="45">
        <f>G34+G72+G110</f>
        <v/>
      </c>
      <c r="H147" s="45">
        <f>H34+H72+H110</f>
        <v/>
      </c>
      <c r="I147" s="45">
        <f>I34+I72+I110</f>
        <v/>
      </c>
      <c r="J147" s="45">
        <f>J34+J72+J110</f>
        <v/>
      </c>
      <c r="K147" s="45">
        <f>K34+K72+K110</f>
        <v/>
      </c>
      <c r="L147" s="45">
        <f>L34+L72+L110</f>
        <v/>
      </c>
      <c r="M147" s="45">
        <f>M34+M72+M110</f>
        <v/>
      </c>
      <c r="N147" s="45">
        <f>N34+N72+N110</f>
        <v/>
      </c>
      <c r="O147" s="45">
        <f>O34+O72+O110</f>
        <v/>
      </c>
      <c r="P147" s="45">
        <f>P34+P72+P110</f>
        <v/>
      </c>
      <c r="Q147" s="45">
        <f>Q34+Q72+Q110</f>
        <v/>
      </c>
      <c r="R147" s="45">
        <f>R34+R72+R110</f>
        <v/>
      </c>
      <c r="S147" s="45">
        <f>S34+S72+S110</f>
        <v/>
      </c>
      <c r="T147" s="45">
        <f>T34+T72+T110</f>
        <v/>
      </c>
      <c r="U147" s="45">
        <f>U34+U72+U110</f>
        <v/>
      </c>
      <c r="V147" s="45">
        <f>V34+V72+V110</f>
        <v/>
      </c>
      <c r="W147" s="45">
        <f>W34+W72+W110</f>
        <v/>
      </c>
      <c r="X147" s="45">
        <f>X34+X72+X110</f>
        <v/>
      </c>
      <c r="Y147" s="45">
        <f>Y34+Y72+Y110</f>
        <v/>
      </c>
      <c r="Z147" s="45">
        <f>Z34+Z72+Z110</f>
        <v/>
      </c>
      <c r="AA147" s="45">
        <f>AA34+AA72+AA110</f>
        <v/>
      </c>
      <c r="AB147" s="45">
        <f>AB34+AB72+AB110</f>
        <v/>
      </c>
      <c r="AC147" s="45">
        <f>AC34+AC72+AC110</f>
        <v/>
      </c>
      <c r="AD147" s="45">
        <f>AD34+AD72+AD110</f>
        <v/>
      </c>
      <c r="AE147" s="45">
        <f>AE34+AE72+AE110</f>
        <v/>
      </c>
    </row>
    <row r="148">
      <c r="A148" s="3" t="inlineStr">
        <is>
          <t>NEW CUSTOMERS</t>
        </is>
      </c>
      <c r="B148" s="23" t="inlineStr">
        <is>
          <t>-</t>
        </is>
      </c>
      <c r="C148" s="45">
        <f>C30+C68+C106</f>
        <v/>
      </c>
      <c r="D148" s="45">
        <f>D30+D68+D106</f>
        <v/>
      </c>
      <c r="E148" s="45">
        <f>E30+E68+E106</f>
        <v/>
      </c>
      <c r="F148" s="45">
        <f>F30+F68+F106</f>
        <v/>
      </c>
      <c r="G148" s="45">
        <f>G30+G68+G106</f>
        <v/>
      </c>
      <c r="H148" s="45">
        <f>H30+H68+H106</f>
        <v/>
      </c>
      <c r="I148" s="45">
        <f>I30+I68+I106</f>
        <v/>
      </c>
      <c r="J148" s="45">
        <f>J30+J68+J106</f>
        <v/>
      </c>
      <c r="K148" s="45">
        <f>K30+K68+K106</f>
        <v/>
      </c>
      <c r="L148" s="45">
        <f>L30+L68+L106</f>
        <v/>
      </c>
      <c r="M148" s="45">
        <f>M30+M68+M106</f>
        <v/>
      </c>
      <c r="N148" s="45">
        <f>N30+N68+N106</f>
        <v/>
      </c>
      <c r="O148" s="45">
        <f>O30+O68+O106</f>
        <v/>
      </c>
      <c r="P148" s="45">
        <f>P30+P68+P106</f>
        <v/>
      </c>
      <c r="Q148" s="45">
        <f>Q30+Q68+Q106</f>
        <v/>
      </c>
      <c r="R148" s="45">
        <f>R30+R68+R106</f>
        <v/>
      </c>
      <c r="S148" s="45">
        <f>S30+S68+S106</f>
        <v/>
      </c>
      <c r="T148" s="45">
        <f>T30+T68+T106</f>
        <v/>
      </c>
      <c r="U148" s="45">
        <f>U30+U68+U106</f>
        <v/>
      </c>
      <c r="V148" s="45">
        <f>V30+V68+V106</f>
        <v/>
      </c>
      <c r="W148" s="45">
        <f>W30+W68+W106</f>
        <v/>
      </c>
      <c r="X148" s="45">
        <f>X30+X68+X106</f>
        <v/>
      </c>
      <c r="Y148" s="45">
        <f>Y30+Y68+Y106</f>
        <v/>
      </c>
      <c r="Z148" s="45">
        <f>Z30+Z68+Z106</f>
        <v/>
      </c>
      <c r="AA148" s="45">
        <f>AA30+AA68+AA106</f>
        <v/>
      </c>
      <c r="AB148" s="45">
        <f>AB30+AB68+AB106</f>
        <v/>
      </c>
      <c r="AC148" s="45">
        <f>AC30+AC68+AC106</f>
        <v/>
      </c>
      <c r="AD148" s="45">
        <f>AD30+AD68+AD106</f>
        <v/>
      </c>
      <c r="AE148" s="45">
        <f>AE30+AE68+AE106</f>
        <v/>
      </c>
    </row>
    <row r="149">
      <c r="A149" s="3" t="inlineStr">
        <is>
          <t>ACTIVE CARDS</t>
        </is>
      </c>
      <c r="B149" s="23" t="inlineStr">
        <is>
          <t>-</t>
        </is>
      </c>
      <c r="C149" s="45">
        <f>C45+C83+C121</f>
        <v/>
      </c>
      <c r="D149" s="45">
        <f>D45+D83+D121</f>
        <v/>
      </c>
      <c r="E149" s="45">
        <f>E45+E83+E121</f>
        <v/>
      </c>
      <c r="F149" s="45">
        <f>F45+F83+F121</f>
        <v/>
      </c>
      <c r="G149" s="45">
        <f>G45+G83+G121</f>
        <v/>
      </c>
      <c r="H149" s="45">
        <f>H45+H83+H121</f>
        <v/>
      </c>
      <c r="I149" s="45">
        <f>I45+I83+I121</f>
        <v/>
      </c>
      <c r="J149" s="45">
        <f>J45+J83+J121</f>
        <v/>
      </c>
      <c r="K149" s="45">
        <f>K45+K83+K121</f>
        <v/>
      </c>
      <c r="L149" s="45">
        <f>L45+L83+L121</f>
        <v/>
      </c>
      <c r="M149" s="45">
        <f>M45+M83+M121</f>
        <v/>
      </c>
      <c r="N149" s="45">
        <f>N45+N83+N121</f>
        <v/>
      </c>
      <c r="O149" s="45">
        <f>O45+O83+O121</f>
        <v/>
      </c>
      <c r="P149" s="45">
        <f>P45+P83+P121</f>
        <v/>
      </c>
      <c r="Q149" s="45">
        <f>Q45+Q83+Q121</f>
        <v/>
      </c>
      <c r="R149" s="45">
        <f>R45+R83+R121</f>
        <v/>
      </c>
      <c r="S149" s="45">
        <f>S45+S83+S121</f>
        <v/>
      </c>
      <c r="T149" s="45">
        <f>T45+T83+T121</f>
        <v/>
      </c>
      <c r="U149" s="45">
        <f>U45+U83+U121</f>
        <v/>
      </c>
      <c r="V149" s="45">
        <f>V45+V83+V121</f>
        <v/>
      </c>
      <c r="W149" s="45">
        <f>W45+W83+W121</f>
        <v/>
      </c>
      <c r="X149" s="45">
        <f>X45+X83+X121</f>
        <v/>
      </c>
      <c r="Y149" s="45">
        <f>Y45+Y83+Y121</f>
        <v/>
      </c>
      <c r="Z149" s="45">
        <f>Z45+Z83+Z121</f>
        <v/>
      </c>
      <c r="AA149" s="45">
        <f>AA45+AA83+AA121</f>
        <v/>
      </c>
      <c r="AB149" s="45">
        <f>AB45+AB83+AB121</f>
        <v/>
      </c>
      <c r="AC149" s="45">
        <f>AC45+AC83+AC121</f>
        <v/>
      </c>
      <c r="AD149" s="45">
        <f>AD45+AD83+AD121</f>
        <v/>
      </c>
      <c r="AE149" s="45">
        <f>AE45+AE83+AE121</f>
        <v/>
      </c>
    </row>
    <row r="150">
      <c r="A150" s="6" t="inlineStr">
        <is>
          <t>GRAMS HELD</t>
        </is>
      </c>
      <c r="B150" s="23" t="inlineStr">
        <is>
          <t>-</t>
        </is>
      </c>
      <c r="C150" s="45">
        <f>C40+C78+C116</f>
        <v/>
      </c>
      <c r="D150" s="45">
        <f>D40+D78+D116</f>
        <v/>
      </c>
      <c r="E150" s="45">
        <f>E40+E78+E116</f>
        <v/>
      </c>
      <c r="F150" s="45">
        <f>F40+F78+F116</f>
        <v/>
      </c>
      <c r="G150" s="45">
        <f>G40+G78+G116</f>
        <v/>
      </c>
      <c r="H150" s="45">
        <f>H40+H78+H116</f>
        <v/>
      </c>
      <c r="I150" s="45">
        <f>I40+I78+I116</f>
        <v/>
      </c>
      <c r="J150" s="45">
        <f>J40+J78+J116</f>
        <v/>
      </c>
      <c r="K150" s="45">
        <f>K40+K78+K116</f>
        <v/>
      </c>
      <c r="L150" s="45">
        <f>L40+L78+L116</f>
        <v/>
      </c>
      <c r="M150" s="45">
        <f>M40+M78+M116</f>
        <v/>
      </c>
      <c r="N150" s="45">
        <f>N40+N78+N116</f>
        <v/>
      </c>
      <c r="O150" s="45">
        <f>O40+O78+O116</f>
        <v/>
      </c>
      <c r="P150" s="45">
        <f>P40+P78+P116</f>
        <v/>
      </c>
      <c r="Q150" s="45">
        <f>Q40+Q78+Q116</f>
        <v/>
      </c>
      <c r="R150" s="45">
        <f>R40+R78+R116</f>
        <v/>
      </c>
      <c r="S150" s="45">
        <f>S40+S78+S116</f>
        <v/>
      </c>
      <c r="T150" s="45">
        <f>T40+T78+T116</f>
        <v/>
      </c>
      <c r="U150" s="45">
        <f>U40+U78+U116</f>
        <v/>
      </c>
      <c r="V150" s="45">
        <f>V40+V78+V116</f>
        <v/>
      </c>
      <c r="W150" s="45">
        <f>W40+W78+W116</f>
        <v/>
      </c>
      <c r="X150" s="45">
        <f>X40+X78+X116</f>
        <v/>
      </c>
      <c r="Y150" s="45">
        <f>Y40+Y78+Y116</f>
        <v/>
      </c>
      <c r="Z150" s="45">
        <f>Z40+Z78+Z116</f>
        <v/>
      </c>
      <c r="AA150" s="45">
        <f>AA40+AA78+AA116</f>
        <v/>
      </c>
      <c r="AB150" s="45">
        <f>AB40+AB78+AB116</f>
        <v/>
      </c>
      <c r="AC150" s="45">
        <f>AC40+AC78+AC116</f>
        <v/>
      </c>
      <c r="AD150" s="45">
        <f>AD40+AD78+AD116</f>
        <v/>
      </c>
      <c r="AE150" s="45">
        <f>AE40+AE78+AE116</f>
        <v/>
      </c>
    </row>
    <row r="151">
      <c r="A151" s="3" t="inlineStr">
        <is>
          <t>GRAMS UNDER CUSTODY</t>
        </is>
      </c>
      <c r="B151" s="23" t="inlineStr">
        <is>
          <t>-</t>
        </is>
      </c>
      <c r="C151" s="45">
        <f>C41+C79+C117</f>
        <v/>
      </c>
      <c r="D151" s="45">
        <f>D41+D79+D117</f>
        <v/>
      </c>
      <c r="E151" s="45">
        <f>E41+E79+E117</f>
        <v/>
      </c>
      <c r="F151" s="45">
        <f>F41+F79+F117</f>
        <v/>
      </c>
      <c r="G151" s="45">
        <f>G41+G79+G117</f>
        <v/>
      </c>
      <c r="H151" s="45">
        <f>H41+H79+H117</f>
        <v/>
      </c>
      <c r="I151" s="45">
        <f>I41+I79+I117</f>
        <v/>
      </c>
      <c r="J151" s="45">
        <f>J41+J79+J117</f>
        <v/>
      </c>
      <c r="K151" s="45">
        <f>K41+K79+K117</f>
        <v/>
      </c>
      <c r="L151" s="45">
        <f>L41+L79+L117</f>
        <v/>
      </c>
      <c r="M151" s="45">
        <f>M41+M79+M117</f>
        <v/>
      </c>
      <c r="N151" s="45">
        <f>N41+N79+N117</f>
        <v/>
      </c>
      <c r="O151" s="45">
        <f>O41+O79+O117</f>
        <v/>
      </c>
      <c r="P151" s="45">
        <f>P41+P79+P117</f>
        <v/>
      </c>
      <c r="Q151" s="45">
        <f>Q41+Q79+Q117</f>
        <v/>
      </c>
      <c r="R151" s="45">
        <f>R41+R79+R117</f>
        <v/>
      </c>
      <c r="S151" s="45">
        <f>S41+S79+S117</f>
        <v/>
      </c>
      <c r="T151" s="45">
        <f>T41+T79+T117</f>
        <v/>
      </c>
      <c r="U151" s="45">
        <f>U41+U79+U117</f>
        <v/>
      </c>
      <c r="V151" s="45">
        <f>V41+V79+V117</f>
        <v/>
      </c>
      <c r="W151" s="45">
        <f>W41+W79+W117</f>
        <v/>
      </c>
      <c r="X151" s="45">
        <f>X41+X79+X117</f>
        <v/>
      </c>
      <c r="Y151" s="45">
        <f>Y41+Y79+Y117</f>
        <v/>
      </c>
      <c r="Z151" s="45">
        <f>Z41+Z79+Z117</f>
        <v/>
      </c>
      <c r="AA151" s="45">
        <f>AA41+AA79+AA117</f>
        <v/>
      </c>
      <c r="AB151" s="45">
        <f>AB41+AB79+AB117</f>
        <v/>
      </c>
      <c r="AC151" s="45">
        <f>AC41+AC79+AC117</f>
        <v/>
      </c>
      <c r="AD151" s="45">
        <f>AD41+AD79+AD117</f>
        <v/>
      </c>
      <c r="AE151" s="45">
        <f>AE41+AE79+AE117</f>
        <v/>
      </c>
    </row>
    <row r="152">
      <c r="A152" s="6" t="inlineStr">
        <is>
          <t>Grams purchased</t>
        </is>
      </c>
      <c r="B152" s="23" t="inlineStr">
        <is>
          <t>-</t>
        </is>
      </c>
      <c r="C152" s="54">
        <f>C37+C75+C113</f>
        <v/>
      </c>
      <c r="D152" s="54">
        <f>D37+D75+D113</f>
        <v/>
      </c>
      <c r="E152" s="54">
        <f>E37+E75+E113</f>
        <v/>
      </c>
      <c r="F152" s="54">
        <f>F37+F75+F113</f>
        <v/>
      </c>
      <c r="G152" s="54">
        <f>G37+G75+G113</f>
        <v/>
      </c>
      <c r="H152" s="54">
        <f>H37+H75+H113</f>
        <v/>
      </c>
      <c r="I152" s="54">
        <f>I37+I75+I113</f>
        <v/>
      </c>
      <c r="J152" s="54">
        <f>J37+J75+J113</f>
        <v/>
      </c>
      <c r="K152" s="54">
        <f>K37+K75+K113</f>
        <v/>
      </c>
      <c r="L152" s="54">
        <f>L37+L75+L113</f>
        <v/>
      </c>
      <c r="M152" s="54">
        <f>M37+M75+M113</f>
        <v/>
      </c>
      <c r="N152" s="54">
        <f>N37+N75+N113</f>
        <v/>
      </c>
      <c r="O152" s="54">
        <f>O37+O75+O113</f>
        <v/>
      </c>
      <c r="P152" s="54">
        <f>P37+P75+P113</f>
        <v/>
      </c>
      <c r="Q152" s="54">
        <f>Q37+Q75+Q113</f>
        <v/>
      </c>
      <c r="R152" s="54">
        <f>R37+R75+R113</f>
        <v/>
      </c>
      <c r="S152" s="54">
        <f>S37+S75+S113</f>
        <v/>
      </c>
      <c r="T152" s="54">
        <f>T37+T75+T113</f>
        <v/>
      </c>
      <c r="U152" s="54">
        <f>U37+U75+U113</f>
        <v/>
      </c>
      <c r="V152" s="54">
        <f>V37+V75+V113</f>
        <v/>
      </c>
      <c r="W152" s="54">
        <f>W37+W75+W113</f>
        <v/>
      </c>
      <c r="X152" s="54">
        <f>X37+X75+X113</f>
        <v/>
      </c>
      <c r="Y152" s="54">
        <f>Y37+Y75+Y113</f>
        <v/>
      </c>
      <c r="Z152" s="54">
        <f>Z37+Z75+Z113</f>
        <v/>
      </c>
      <c r="AA152" s="54">
        <f>AA37+AA75+AA113</f>
        <v/>
      </c>
      <c r="AB152" s="54">
        <f>AB37+AB75+AB113</f>
        <v/>
      </c>
      <c r="AC152" s="54">
        <f>AC37+AC75+AC113</f>
        <v/>
      </c>
      <c r="AD152" s="54">
        <f>AD37+AD75+AD113</f>
        <v/>
      </c>
      <c r="AE152" s="54">
        <f>AE37+AE75+AE113</f>
        <v/>
      </c>
    </row>
    <row r="153">
      <c r="A153" s="3" t="inlineStr">
        <is>
          <t>COLLATERAL-ELIGIBLE AUM</t>
        </is>
      </c>
      <c r="B153" s="23" t="inlineStr">
        <is>
          <t>-</t>
        </is>
      </c>
      <c r="C153" s="55">
        <f>C42+C80+C118</f>
        <v/>
      </c>
      <c r="D153" s="55">
        <f>D42+D80+D118</f>
        <v/>
      </c>
      <c r="E153" s="55">
        <f>E42+E80+E118</f>
        <v/>
      </c>
      <c r="F153" s="55">
        <f>F42+F80+F118</f>
        <v/>
      </c>
      <c r="G153" s="55">
        <f>G42+G80+G118</f>
        <v/>
      </c>
      <c r="H153" s="55">
        <f>H42+H80+H118</f>
        <v/>
      </c>
      <c r="I153" s="55">
        <f>I42+I80+I118</f>
        <v/>
      </c>
      <c r="J153" s="55">
        <f>J42+J80+J118</f>
        <v/>
      </c>
      <c r="K153" s="55">
        <f>K42+K80+K118</f>
        <v/>
      </c>
      <c r="L153" s="55">
        <f>L42+L80+L118</f>
        <v/>
      </c>
      <c r="M153" s="55">
        <f>M42+M80+M118</f>
        <v/>
      </c>
      <c r="N153" s="55">
        <f>N42+N80+N118</f>
        <v/>
      </c>
      <c r="O153" s="55">
        <f>O42+O80+O118</f>
        <v/>
      </c>
      <c r="P153" s="55">
        <f>P42+P80+P118</f>
        <v/>
      </c>
      <c r="Q153" s="55">
        <f>Q42+Q80+Q118</f>
        <v/>
      </c>
      <c r="R153" s="55">
        <f>R42+R80+R118</f>
        <v/>
      </c>
      <c r="S153" s="55">
        <f>S42+S80+S118</f>
        <v/>
      </c>
      <c r="T153" s="55">
        <f>T42+T80+T118</f>
        <v/>
      </c>
      <c r="U153" s="55">
        <f>U42+U80+U118</f>
        <v/>
      </c>
      <c r="V153" s="55">
        <f>V42+V80+V118</f>
        <v/>
      </c>
      <c r="W153" s="55">
        <f>W42+W80+W118</f>
        <v/>
      </c>
      <c r="X153" s="55">
        <f>X42+X80+X118</f>
        <v/>
      </c>
      <c r="Y153" s="55">
        <f>Y42+Y80+Y118</f>
        <v/>
      </c>
      <c r="Z153" s="55">
        <f>Z42+Z80+Z118</f>
        <v/>
      </c>
      <c r="AA153" s="55">
        <f>AA42+AA80+AA118</f>
        <v/>
      </c>
      <c r="AB153" s="55">
        <f>AB42+AB80+AB118</f>
        <v/>
      </c>
      <c r="AC153" s="55">
        <f>AC42+AC80+AC118</f>
        <v/>
      </c>
      <c r="AD153" s="55">
        <f>AD42+AD80+AD118</f>
        <v/>
      </c>
      <c r="AE153" s="55">
        <f>AE42+AE80+AE118</f>
        <v/>
      </c>
    </row>
    <row r="154">
      <c r="A154" s="6" t="inlineStr">
        <is>
          <t>Cleared the six-payment gate</t>
        </is>
      </c>
      <c r="B154" s="23" t="inlineStr">
        <is>
          <t>-</t>
        </is>
      </c>
      <c r="C154" s="45">
        <f>C44+C82+C120</f>
        <v/>
      </c>
      <c r="D154" s="45">
        <f>D44+D82+D120</f>
        <v/>
      </c>
      <c r="E154" s="45">
        <f>E44+E82+E120</f>
        <v/>
      </c>
      <c r="F154" s="45">
        <f>F44+F82+F120</f>
        <v/>
      </c>
      <c r="G154" s="45">
        <f>G44+G82+G120</f>
        <v/>
      </c>
      <c r="H154" s="45">
        <f>H44+H82+H120</f>
        <v/>
      </c>
      <c r="I154" s="45">
        <f>I44+I82+I120</f>
        <v/>
      </c>
      <c r="J154" s="45">
        <f>J44+J82+J120</f>
        <v/>
      </c>
      <c r="K154" s="45">
        <f>K44+K82+K120</f>
        <v/>
      </c>
      <c r="L154" s="45">
        <f>L44+L82+L120</f>
        <v/>
      </c>
      <c r="M154" s="45">
        <f>M44+M82+M120</f>
        <v/>
      </c>
      <c r="N154" s="45">
        <f>N44+N82+N120</f>
        <v/>
      </c>
      <c r="O154" s="45">
        <f>O44+O82+O120</f>
        <v/>
      </c>
      <c r="P154" s="45">
        <f>P44+P82+P120</f>
        <v/>
      </c>
      <c r="Q154" s="45">
        <f>Q44+Q82+Q120</f>
        <v/>
      </c>
      <c r="R154" s="45">
        <f>R44+R82+R120</f>
        <v/>
      </c>
      <c r="S154" s="45">
        <f>S44+S82+S120</f>
        <v/>
      </c>
      <c r="T154" s="45">
        <f>T44+T82+T120</f>
        <v/>
      </c>
      <c r="U154" s="45">
        <f>U44+U82+U120</f>
        <v/>
      </c>
      <c r="V154" s="45">
        <f>V44+V82+V120</f>
        <v/>
      </c>
      <c r="W154" s="45">
        <f>W44+W82+W120</f>
        <v/>
      </c>
      <c r="X154" s="45">
        <f>X44+X82+X120</f>
        <v/>
      </c>
      <c r="Y154" s="45">
        <f>Y44+Y82+Y120</f>
        <v/>
      </c>
      <c r="Z154" s="45">
        <f>Z44+Z82+Z120</f>
        <v/>
      </c>
      <c r="AA154" s="45">
        <f>AA44+AA82+AA120</f>
        <v/>
      </c>
      <c r="AB154" s="45">
        <f>AB44+AB82+AB120</f>
        <v/>
      </c>
      <c r="AC154" s="45">
        <f>AC44+AC82+AC120</f>
        <v/>
      </c>
      <c r="AD154" s="45">
        <f>AD44+AD82+AD120</f>
        <v/>
      </c>
      <c r="AE154" s="45">
        <f>AE44+AE82+AE120</f>
        <v/>
      </c>
    </row>
    <row r="155">
      <c r="A155" s="6" t="inlineStr">
        <is>
          <t>SIP contributions</t>
        </is>
      </c>
      <c r="B155" s="23" t="inlineStr">
        <is>
          <t>-</t>
        </is>
      </c>
      <c r="C155" s="55">
        <f>C35+C73+C111</f>
        <v/>
      </c>
      <c r="D155" s="55">
        <f>D35+D73+D111</f>
        <v/>
      </c>
      <c r="E155" s="55">
        <f>E35+E73+E111</f>
        <v/>
      </c>
      <c r="F155" s="55">
        <f>F35+F73+F111</f>
        <v/>
      </c>
      <c r="G155" s="55">
        <f>G35+G73+G111</f>
        <v/>
      </c>
      <c r="H155" s="55">
        <f>H35+H73+H111</f>
        <v/>
      </c>
      <c r="I155" s="55">
        <f>I35+I73+I111</f>
        <v/>
      </c>
      <c r="J155" s="55">
        <f>J35+J73+J111</f>
        <v/>
      </c>
      <c r="K155" s="55">
        <f>K35+K73+K111</f>
        <v/>
      </c>
      <c r="L155" s="55">
        <f>L35+L73+L111</f>
        <v/>
      </c>
      <c r="M155" s="55">
        <f>M35+M73+M111</f>
        <v/>
      </c>
      <c r="N155" s="55">
        <f>N35+N73+N111</f>
        <v/>
      </c>
      <c r="O155" s="55">
        <f>O35+O73+O111</f>
        <v/>
      </c>
      <c r="P155" s="55">
        <f>P35+P73+P111</f>
        <v/>
      </c>
      <c r="Q155" s="55">
        <f>Q35+Q73+Q111</f>
        <v/>
      </c>
      <c r="R155" s="55">
        <f>R35+R73+R111</f>
        <v/>
      </c>
      <c r="S155" s="55">
        <f>S35+S73+S111</f>
        <v/>
      </c>
      <c r="T155" s="55">
        <f>T35+T73+T111</f>
        <v/>
      </c>
      <c r="U155" s="55">
        <f>U35+U73+U111</f>
        <v/>
      </c>
      <c r="V155" s="55">
        <f>V35+V73+V111</f>
        <v/>
      </c>
      <c r="W155" s="55">
        <f>W35+W73+W111</f>
        <v/>
      </c>
      <c r="X155" s="55">
        <f>X35+X73+X111</f>
        <v/>
      </c>
      <c r="Y155" s="55">
        <f>Y35+Y73+Y111</f>
        <v/>
      </c>
      <c r="Z155" s="55">
        <f>Z35+Z73+Z111</f>
        <v/>
      </c>
      <c r="AA155" s="55">
        <f>AA35+AA73+AA111</f>
        <v/>
      </c>
      <c r="AB155" s="55">
        <f>AB35+AB73+AB111</f>
        <v/>
      </c>
      <c r="AC155" s="55">
        <f>AC35+AC73+AC111</f>
        <v/>
      </c>
      <c r="AD155" s="55">
        <f>AD35+AD73+AD111</f>
        <v/>
      </c>
      <c r="AE155" s="55">
        <f>AE35+AE73+AE111</f>
        <v/>
      </c>
    </row>
    <row r="156">
      <c r="A156" s="6" t="inlineStr">
        <is>
          <t>Spot purchase volume</t>
        </is>
      </c>
      <c r="B156" s="23" t="inlineStr">
        <is>
          <t>-</t>
        </is>
      </c>
      <c r="C156" s="55">
        <f>C36+C74+C112</f>
        <v/>
      </c>
      <c r="D156" s="55">
        <f>D36+D74+D112</f>
        <v/>
      </c>
      <c r="E156" s="55">
        <f>E36+E74+E112</f>
        <v/>
      </c>
      <c r="F156" s="55">
        <f>F36+F74+F112</f>
        <v/>
      </c>
      <c r="G156" s="55">
        <f>G36+G74+G112</f>
        <v/>
      </c>
      <c r="H156" s="55">
        <f>H36+H74+H112</f>
        <v/>
      </c>
      <c r="I156" s="55">
        <f>I36+I74+I112</f>
        <v/>
      </c>
      <c r="J156" s="55">
        <f>J36+J74+J112</f>
        <v/>
      </c>
      <c r="K156" s="55">
        <f>K36+K74+K112</f>
        <v/>
      </c>
      <c r="L156" s="55">
        <f>L36+L74+L112</f>
        <v/>
      </c>
      <c r="M156" s="55">
        <f>M36+M74+M112</f>
        <v/>
      </c>
      <c r="N156" s="55">
        <f>N36+N74+N112</f>
        <v/>
      </c>
      <c r="O156" s="55">
        <f>O36+O74+O112</f>
        <v/>
      </c>
      <c r="P156" s="55">
        <f>P36+P74+P112</f>
        <v/>
      </c>
      <c r="Q156" s="55">
        <f>Q36+Q74+Q112</f>
        <v/>
      </c>
      <c r="R156" s="55">
        <f>R36+R74+R112</f>
        <v/>
      </c>
      <c r="S156" s="55">
        <f>S36+S74+S112</f>
        <v/>
      </c>
      <c r="T156" s="55">
        <f>T36+T74+T112</f>
        <v/>
      </c>
      <c r="U156" s="55">
        <f>U36+U74+U112</f>
        <v/>
      </c>
      <c r="V156" s="55">
        <f>V36+V74+V112</f>
        <v/>
      </c>
      <c r="W156" s="55">
        <f>W36+W74+W112</f>
        <v/>
      </c>
      <c r="X156" s="55">
        <f>X36+X74+X112</f>
        <v/>
      </c>
      <c r="Y156" s="55">
        <f>Y36+Y74+Y112</f>
        <v/>
      </c>
      <c r="Z156" s="55">
        <f>Z36+Z74+Z112</f>
        <v/>
      </c>
      <c r="AA156" s="55">
        <f>AA36+AA74+AA112</f>
        <v/>
      </c>
      <c r="AB156" s="55">
        <f>AB36+AB74+AB112</f>
        <v/>
      </c>
      <c r="AC156" s="55">
        <f>AC36+AC74+AC112</f>
        <v/>
      </c>
      <c r="AD156" s="55">
        <f>AD36+AD74+AD112</f>
        <v/>
      </c>
      <c r="AE156" s="55">
        <f>AE36+AE74+AE112</f>
        <v/>
      </c>
    </row>
    <row r="157">
      <c r="A157" s="6" t="inlineStr">
        <is>
          <t>Card spend</t>
        </is>
      </c>
      <c r="B157" s="23" t="inlineStr">
        <is>
          <t>-</t>
        </is>
      </c>
      <c r="C157" s="55">
        <f>C50+C88+C126</f>
        <v/>
      </c>
      <c r="D157" s="55">
        <f>D50+D88+D126</f>
        <v/>
      </c>
      <c r="E157" s="55">
        <f>E50+E88+E126</f>
        <v/>
      </c>
      <c r="F157" s="55">
        <f>F50+F88+F126</f>
        <v/>
      </c>
      <c r="G157" s="55">
        <f>G50+G88+G126</f>
        <v/>
      </c>
      <c r="H157" s="55">
        <f>H50+H88+H126</f>
        <v/>
      </c>
      <c r="I157" s="55">
        <f>I50+I88+I126</f>
        <v/>
      </c>
      <c r="J157" s="55">
        <f>J50+J88+J126</f>
        <v/>
      </c>
      <c r="K157" s="55">
        <f>K50+K88+K126</f>
        <v/>
      </c>
      <c r="L157" s="55">
        <f>L50+L88+L126</f>
        <v/>
      </c>
      <c r="M157" s="55">
        <f>M50+M88+M126</f>
        <v/>
      </c>
      <c r="N157" s="55">
        <f>N50+N88+N126</f>
        <v/>
      </c>
      <c r="O157" s="55">
        <f>O50+O88+O126</f>
        <v/>
      </c>
      <c r="P157" s="55">
        <f>P50+P88+P126</f>
        <v/>
      </c>
      <c r="Q157" s="55">
        <f>Q50+Q88+Q126</f>
        <v/>
      </c>
      <c r="R157" s="55">
        <f>R50+R88+R126</f>
        <v/>
      </c>
      <c r="S157" s="55">
        <f>S50+S88+S126</f>
        <v/>
      </c>
      <c r="T157" s="55">
        <f>T50+T88+T126</f>
        <v/>
      </c>
      <c r="U157" s="55">
        <f>U50+U88+U126</f>
        <v/>
      </c>
      <c r="V157" s="55">
        <f>V50+V88+V126</f>
        <v/>
      </c>
      <c r="W157" s="55">
        <f>W50+W88+W126</f>
        <v/>
      </c>
      <c r="X157" s="55">
        <f>X50+X88+X126</f>
        <v/>
      </c>
      <c r="Y157" s="55">
        <f>Y50+Y88+Y126</f>
        <v/>
      </c>
      <c r="Z157" s="55">
        <f>Z50+Z88+Z126</f>
        <v/>
      </c>
      <c r="AA157" s="55">
        <f>AA50+AA88+AA126</f>
        <v/>
      </c>
      <c r="AB157" s="55">
        <f>AB50+AB88+AB126</f>
        <v/>
      </c>
      <c r="AC157" s="55">
        <f>AC50+AC88+AC126</f>
        <v/>
      </c>
      <c r="AD157" s="55">
        <f>AD50+AD88+AD126</f>
        <v/>
      </c>
      <c r="AE157" s="55">
        <f>AE50+AE88+AE126</f>
        <v/>
      </c>
    </row>
    <row r="158">
      <c r="A158" s="6" t="inlineStr">
        <is>
          <t>GOLD UNDER CUSTODY (comparable headline)</t>
        </is>
      </c>
      <c r="B158" s="23" t="inlineStr">
        <is>
          <t>USD</t>
        </is>
      </c>
      <c r="C158" s="57">
        <f>C151*C21</f>
        <v/>
      </c>
      <c r="D158" s="57">
        <f>D151*D21</f>
        <v/>
      </c>
      <c r="E158" s="57">
        <f>E151*E21</f>
        <v/>
      </c>
      <c r="F158" s="57">
        <f>F151*F21</f>
        <v/>
      </c>
      <c r="G158" s="57">
        <f>G151*G21</f>
        <v/>
      </c>
      <c r="H158" s="57">
        <f>H151*H21</f>
        <v/>
      </c>
      <c r="I158" s="57">
        <f>I151*I21</f>
        <v/>
      </c>
      <c r="J158" s="57">
        <f>J151*J21</f>
        <v/>
      </c>
      <c r="K158" s="57">
        <f>K151*K21</f>
        <v/>
      </c>
      <c r="L158" s="57">
        <f>L151*L21</f>
        <v/>
      </c>
      <c r="M158" s="57">
        <f>M151*M21</f>
        <v/>
      </c>
      <c r="N158" s="57">
        <f>N151*N21</f>
        <v/>
      </c>
      <c r="O158" s="57">
        <f>O151*O21</f>
        <v/>
      </c>
      <c r="P158" s="57">
        <f>P151*P21</f>
        <v/>
      </c>
      <c r="Q158" s="57">
        <f>Q151*Q21</f>
        <v/>
      </c>
      <c r="R158" s="57">
        <f>R151*R21</f>
        <v/>
      </c>
      <c r="S158" s="57">
        <f>S151*S21</f>
        <v/>
      </c>
      <c r="T158" s="57">
        <f>T151*T21</f>
        <v/>
      </c>
      <c r="U158" s="57">
        <f>U151*U21</f>
        <v/>
      </c>
      <c r="V158" s="57">
        <f>V151*V21</f>
        <v/>
      </c>
      <c r="W158" s="57">
        <f>W151*W21</f>
        <v/>
      </c>
      <c r="X158" s="57">
        <f>X151*X21</f>
        <v/>
      </c>
      <c r="Y158" s="57">
        <f>Y151*Y21</f>
        <v/>
      </c>
      <c r="Z158" s="57">
        <f>Z151*Z21</f>
        <v/>
      </c>
      <c r="AA158" s="57">
        <f>AA151*AA21</f>
        <v/>
      </c>
      <c r="AB158" s="57">
        <f>AB151*AB21</f>
        <v/>
      </c>
      <c r="AC158" s="57">
        <f>AC151*AC21</f>
        <v/>
      </c>
      <c r="AD158" s="57">
        <f>AD151*AD21</f>
        <v/>
      </c>
      <c r="AE158" s="57">
        <f>AE151*AE21</f>
        <v/>
      </c>
    </row>
    <row r="159">
      <c r="A159" s="9" t="inlineStr">
        <is>
          <t>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 COMPARE IN GRAMS, NOT DOLLARS: every published USD figure carries the gold price of its own vintage, so a comparison in dollars is really a comparison of gold prices. Comtech Gold, the closest comparable - Dubai, DMCC-licensed, tokenised gold - holds ~141,000 g.</t>
        </is>
      </c>
    </row>
    <row r="160">
      <c r="A160" s="6" t="inlineStr">
        <is>
          <t xml:space="preserve">  Gold under custody at the CONSTANT M1 price (memo)</t>
        </is>
      </c>
      <c r="B160" s="23" t="inlineStr">
        <is>
          <t>USD</t>
        </is>
      </c>
      <c r="C160" s="55">
        <f>C151*Assumptions!$B$6</f>
        <v/>
      </c>
      <c r="D160" s="55">
        <f>D151*Assumptions!$B$6</f>
        <v/>
      </c>
      <c r="E160" s="55">
        <f>E151*Assumptions!$B$6</f>
        <v/>
      </c>
      <c r="F160" s="55">
        <f>F151*Assumptions!$B$6</f>
        <v/>
      </c>
      <c r="G160" s="55">
        <f>G151*Assumptions!$B$6</f>
        <v/>
      </c>
      <c r="H160" s="55">
        <f>H151*Assumptions!$B$6</f>
        <v/>
      </c>
      <c r="I160" s="55">
        <f>I151*Assumptions!$B$6</f>
        <v/>
      </c>
      <c r="J160" s="55">
        <f>J151*Assumptions!$B$6</f>
        <v/>
      </c>
      <c r="K160" s="55">
        <f>K151*Assumptions!$B$6</f>
        <v/>
      </c>
      <c r="L160" s="55">
        <f>L151*Assumptions!$B$6</f>
        <v/>
      </c>
      <c r="M160" s="55">
        <f>M151*Assumptions!$B$6</f>
        <v/>
      </c>
      <c r="N160" s="55">
        <f>N151*Assumptions!$B$6</f>
        <v/>
      </c>
      <c r="O160" s="55">
        <f>O151*Assumptions!$B$6</f>
        <v/>
      </c>
      <c r="P160" s="55">
        <f>P151*Assumptions!$B$6</f>
        <v/>
      </c>
      <c r="Q160" s="55">
        <f>Q151*Assumptions!$B$6</f>
        <v/>
      </c>
      <c r="R160" s="55">
        <f>R151*Assumptions!$B$6</f>
        <v/>
      </c>
      <c r="S160" s="55">
        <f>S151*Assumptions!$B$6</f>
        <v/>
      </c>
      <c r="T160" s="55">
        <f>T151*Assumptions!$B$6</f>
        <v/>
      </c>
      <c r="U160" s="55">
        <f>U151*Assumptions!$B$6</f>
        <v/>
      </c>
      <c r="V160" s="55">
        <f>V151*Assumptions!$B$6</f>
        <v/>
      </c>
      <c r="W160" s="55">
        <f>W151*Assumptions!$B$6</f>
        <v/>
      </c>
      <c r="X160" s="55">
        <f>X151*Assumptions!$B$6</f>
        <v/>
      </c>
      <c r="Y160" s="55">
        <f>Y151*Assumptions!$B$6</f>
        <v/>
      </c>
      <c r="Z160" s="55">
        <f>Z151*Assumptions!$B$6</f>
        <v/>
      </c>
      <c r="AA160" s="55">
        <f>AA151*Assumptions!$B$6</f>
        <v/>
      </c>
      <c r="AB160" s="55">
        <f>AB151*Assumptions!$B$6</f>
        <v/>
      </c>
      <c r="AC160" s="55">
        <f>AC151*Assumptions!$B$6</f>
        <v/>
      </c>
      <c r="AD160" s="55">
        <f>AD151*Assumptions!$B$6</f>
        <v/>
      </c>
      <c r="AE160" s="55">
        <f>AE151*Assumptions!$B$6</f>
        <v/>
      </c>
    </row>
    <row r="161">
      <c r="A161" s="6" t="inlineStr">
        <is>
          <t xml:space="preserve">  of which is the metal moving, not the business</t>
        </is>
      </c>
      <c r="B161" s="23" t="inlineStr">
        <is>
          <t>USD</t>
        </is>
      </c>
      <c r="C161" s="55">
        <f>C158-C160</f>
        <v/>
      </c>
      <c r="D161" s="55">
        <f>D158-D160</f>
        <v/>
      </c>
      <c r="E161" s="55">
        <f>E158-E160</f>
        <v/>
      </c>
      <c r="F161" s="55">
        <f>F158-F160</f>
        <v/>
      </c>
      <c r="G161" s="55">
        <f>G158-G160</f>
        <v/>
      </c>
      <c r="H161" s="55">
        <f>H158-H160</f>
        <v/>
      </c>
      <c r="I161" s="55">
        <f>I158-I160</f>
        <v/>
      </c>
      <c r="J161" s="55">
        <f>J158-J160</f>
        <v/>
      </c>
      <c r="K161" s="55">
        <f>K158-K160</f>
        <v/>
      </c>
      <c r="L161" s="55">
        <f>L158-L160</f>
        <v/>
      </c>
      <c r="M161" s="55">
        <f>M158-M160</f>
        <v/>
      </c>
      <c r="N161" s="55">
        <f>N158-N160</f>
        <v/>
      </c>
      <c r="O161" s="55">
        <f>O158-O160</f>
        <v/>
      </c>
      <c r="P161" s="55">
        <f>P158-P160</f>
        <v/>
      </c>
      <c r="Q161" s="55">
        <f>Q158-Q160</f>
        <v/>
      </c>
      <c r="R161" s="55">
        <f>R158-R160</f>
        <v/>
      </c>
      <c r="S161" s="55">
        <f>S158-S160</f>
        <v/>
      </c>
      <c r="T161" s="55">
        <f>T158-T160</f>
        <v/>
      </c>
      <c r="U161" s="55">
        <f>U158-U160</f>
        <v/>
      </c>
      <c r="V161" s="55">
        <f>V158-V160</f>
        <v/>
      </c>
      <c r="W161" s="55">
        <f>W158-W160</f>
        <v/>
      </c>
      <c r="X161" s="55">
        <f>X158-X160</f>
        <v/>
      </c>
      <c r="Y161" s="55">
        <f>Y158-Y160</f>
        <v/>
      </c>
      <c r="Z161" s="55">
        <f>Z158-Z160</f>
        <v/>
      </c>
      <c r="AA161" s="55">
        <f>AA158-AA160</f>
        <v/>
      </c>
      <c r="AB161" s="55">
        <f>AB158-AB160</f>
        <v/>
      </c>
      <c r="AC161" s="55">
        <f>AC158-AC160</f>
        <v/>
      </c>
      <c r="AD161" s="55">
        <f>AD158-AD160</f>
        <v/>
      </c>
      <c r="AE161" s="55">
        <f>AE158-AE160</f>
        <v/>
      </c>
    </row>
    <row r="162">
      <c r="A162" s="9" t="inlineStr">
        <is>
          <t>THE HONEST SERIES FOR JUDGING EXECUTION is the constant-price row: it strips the gold price out and leaves grams accumulated, which is the part Aurumix controls. The headline above will grow even if the business does not. ⚠ SET GOLD APPRECIATION TO THE CONSERVATIVE SCENARIO (0.0%) TO RECOVER THE ORIGINAL FLAT-PRICE MODEL, under which these two rows are identical by construction.</t>
        </is>
      </c>
    </row>
    <row r="163">
      <c r="A163" s="6" t="inlineStr">
        <is>
          <t>CHECK: paying + holders = cumulative ever acquired</t>
        </is>
      </c>
      <c r="B163" s="23" t="inlineStr">
        <is>
          <t>delta</t>
        </is>
      </c>
      <c r="C163" s="59">
        <f>C145+C146-C147</f>
        <v/>
      </c>
      <c r="D163" s="59">
        <f>D145+D146-D147</f>
        <v/>
      </c>
      <c r="E163" s="59">
        <f>E145+E146-E147</f>
        <v/>
      </c>
      <c r="F163" s="59">
        <f>F145+F146-F147</f>
        <v/>
      </c>
      <c r="G163" s="59">
        <f>G145+G146-G147</f>
        <v/>
      </c>
      <c r="H163" s="59">
        <f>H145+H146-H147</f>
        <v/>
      </c>
      <c r="I163" s="59">
        <f>I145+I146-I147</f>
        <v/>
      </c>
      <c r="J163" s="59">
        <f>J145+J146-J147</f>
        <v/>
      </c>
      <c r="K163" s="59">
        <f>K145+K146-K147</f>
        <v/>
      </c>
      <c r="L163" s="59">
        <f>L145+L146-L147</f>
        <v/>
      </c>
      <c r="M163" s="59">
        <f>M145+M146-M147</f>
        <v/>
      </c>
      <c r="N163" s="59">
        <f>N145+N146-N147</f>
        <v/>
      </c>
      <c r="O163" s="59">
        <f>O145+O146-O147</f>
        <v/>
      </c>
      <c r="P163" s="59">
        <f>P145+P146-P147</f>
        <v/>
      </c>
      <c r="Q163" s="59">
        <f>Q145+Q146-Q147</f>
        <v/>
      </c>
      <c r="R163" s="59">
        <f>R145+R146-R147</f>
        <v/>
      </c>
      <c r="S163" s="59">
        <f>S145+S146-S147</f>
        <v/>
      </c>
      <c r="T163" s="59">
        <f>T145+T146-T147</f>
        <v/>
      </c>
      <c r="U163" s="59">
        <f>U145+U146-U147</f>
        <v/>
      </c>
      <c r="V163" s="59">
        <f>V145+V146-V147</f>
        <v/>
      </c>
      <c r="W163" s="59">
        <f>W145+W146-W147</f>
        <v/>
      </c>
      <c r="X163" s="59">
        <f>X145+X146-X147</f>
        <v/>
      </c>
      <c r="Y163" s="59">
        <f>Y145+Y146-Y147</f>
        <v/>
      </c>
      <c r="Z163" s="59">
        <f>Z145+Z146-Z147</f>
        <v/>
      </c>
      <c r="AA163" s="59">
        <f>AA145+AA146-AA147</f>
        <v/>
      </c>
      <c r="AB163" s="59">
        <f>AB145+AB146-AB147</f>
        <v/>
      </c>
      <c r="AC163" s="59">
        <f>AC145+AC146-AC147</f>
        <v/>
      </c>
      <c r="AD163" s="59">
        <f>AD145+AD146-AD147</f>
        <v/>
      </c>
      <c r="AE163" s="59">
        <f>AE145+AE146-AE147</f>
        <v/>
      </c>
    </row>
    <row r="164">
      <c r="A164" s="6" t="inlineStr">
        <is>
          <t>CHECK: custody &gt;= collateral-eligible (must be &gt;= 0)</t>
        </is>
      </c>
      <c r="B164" s="23" t="inlineStr">
        <is>
          <t>grams</t>
        </is>
      </c>
      <c r="C164" s="59">
        <f>C151-C150</f>
        <v/>
      </c>
      <c r="D164" s="59">
        <f>D151-D150</f>
        <v/>
      </c>
      <c r="E164" s="59">
        <f>E151-E150</f>
        <v/>
      </c>
      <c r="F164" s="59">
        <f>F151-F150</f>
        <v/>
      </c>
      <c r="G164" s="59">
        <f>G151-G150</f>
        <v/>
      </c>
      <c r="H164" s="59">
        <f>H151-H150</f>
        <v/>
      </c>
      <c r="I164" s="59">
        <f>I151-I150</f>
        <v/>
      </c>
      <c r="J164" s="59">
        <f>J151-J150</f>
        <v/>
      </c>
      <c r="K164" s="59">
        <f>K151-K150</f>
        <v/>
      </c>
      <c r="L164" s="59">
        <f>L151-L150</f>
        <v/>
      </c>
      <c r="M164" s="59">
        <f>M151-M150</f>
        <v/>
      </c>
      <c r="N164" s="59">
        <f>N151-N150</f>
        <v/>
      </c>
      <c r="O164" s="59">
        <f>O151-O150</f>
        <v/>
      </c>
      <c r="P164" s="59">
        <f>P151-P150</f>
        <v/>
      </c>
      <c r="Q164" s="59">
        <f>Q151-Q150</f>
        <v/>
      </c>
      <c r="R164" s="59">
        <f>R151-R150</f>
        <v/>
      </c>
      <c r="S164" s="59">
        <f>S151-S150</f>
        <v/>
      </c>
      <c r="T164" s="59">
        <f>T151-T150</f>
        <v/>
      </c>
      <c r="U164" s="59">
        <f>U151-U150</f>
        <v/>
      </c>
      <c r="V164" s="59">
        <f>V151-V150</f>
        <v/>
      </c>
      <c r="W164" s="59">
        <f>W151-W150</f>
        <v/>
      </c>
      <c r="X164" s="59">
        <f>X151-X150</f>
        <v/>
      </c>
      <c r="Y164" s="59">
        <f>Y151-Y150</f>
        <v/>
      </c>
      <c r="Z164" s="59">
        <f>Z151-Z150</f>
        <v/>
      </c>
      <c r="AA164" s="59">
        <f>AA151-AA150</f>
        <v/>
      </c>
      <c r="AB164" s="59">
        <f>AB151-AB150</f>
        <v/>
      </c>
      <c r="AC164" s="59">
        <f>AC151-AC150</f>
        <v/>
      </c>
      <c r="AD164" s="59">
        <f>AD151-AD150</f>
        <v/>
      </c>
      <c r="AE164" s="59">
        <f>AE151-AE150</f>
        <v/>
      </c>
    </row>
    <row r="165">
      <c r="A165" s="6" t="inlineStr">
        <is>
          <t xml:space="preserve">  Collateral-eligible AUM per paying customer (memo)</t>
        </is>
      </c>
      <c r="B165" s="23" t="inlineStr">
        <is>
          <t>USD</t>
        </is>
      </c>
      <c r="C165" s="55">
        <f>IF(C145=0,0,C153/C145)</f>
        <v/>
      </c>
      <c r="D165" s="55">
        <f>IF(D145=0,0,D153/D145)</f>
        <v/>
      </c>
      <c r="E165" s="55">
        <f>IF(E145=0,0,E153/E145)</f>
        <v/>
      </c>
      <c r="F165" s="55">
        <f>IF(F145=0,0,F153/F145)</f>
        <v/>
      </c>
      <c r="G165" s="55">
        <f>IF(G145=0,0,G153/G145)</f>
        <v/>
      </c>
      <c r="H165" s="55">
        <f>IF(H145=0,0,H153/H145)</f>
        <v/>
      </c>
      <c r="I165" s="55">
        <f>IF(I145=0,0,I153/I145)</f>
        <v/>
      </c>
      <c r="J165" s="55">
        <f>IF(J145=0,0,J153/J145)</f>
        <v/>
      </c>
      <c r="K165" s="55">
        <f>IF(K145=0,0,K153/K145)</f>
        <v/>
      </c>
      <c r="L165" s="55">
        <f>IF(L145=0,0,L153/L145)</f>
        <v/>
      </c>
      <c r="M165" s="55">
        <f>IF(M145=0,0,M153/M145)</f>
        <v/>
      </c>
      <c r="N165" s="55">
        <f>IF(N145=0,0,N153/N145)</f>
        <v/>
      </c>
      <c r="O165" s="55">
        <f>IF(O145=0,0,O153/O145)</f>
        <v/>
      </c>
      <c r="P165" s="55">
        <f>IF(P145=0,0,P153/P145)</f>
        <v/>
      </c>
      <c r="Q165" s="55">
        <f>IF(Q145=0,0,Q153/Q145)</f>
        <v/>
      </c>
      <c r="R165" s="55">
        <f>IF(R145=0,0,R153/R145)</f>
        <v/>
      </c>
      <c r="S165" s="55">
        <f>IF(S145=0,0,S153/S145)</f>
        <v/>
      </c>
      <c r="T165" s="55">
        <f>IF(T145=0,0,T153/T145)</f>
        <v/>
      </c>
      <c r="U165" s="55">
        <f>IF(U145=0,0,U153/U145)</f>
        <v/>
      </c>
      <c r="V165" s="55">
        <f>IF(V145=0,0,V153/V145)</f>
        <v/>
      </c>
      <c r="W165" s="55">
        <f>IF(W145=0,0,W153/W145)</f>
        <v/>
      </c>
      <c r="X165" s="55">
        <f>IF(X145=0,0,X153/X145)</f>
        <v/>
      </c>
      <c r="Y165" s="55">
        <f>IF(Y145=0,0,Y153/Y145)</f>
        <v/>
      </c>
      <c r="Z165" s="55">
        <f>IF(Z145=0,0,Z153/Z145)</f>
        <v/>
      </c>
      <c r="AA165" s="55">
        <f>IF(AA145=0,0,AA153/AA145)</f>
        <v/>
      </c>
      <c r="AB165" s="55">
        <f>IF(AB145=0,0,AB153/AB145)</f>
        <v/>
      </c>
      <c r="AC165" s="55">
        <f>IF(AC145=0,0,AC153/AC145)</f>
        <v/>
      </c>
      <c r="AD165" s="55">
        <f>IF(AD145=0,0,AD153/AD145)</f>
        <v/>
      </c>
      <c r="AE165" s="55">
        <f>IF(AE145=0,0,AE153/AE145)</f>
        <v/>
      </c>
    </row>
    <row r="166">
      <c r="A166" s="6" t="inlineStr">
        <is>
          <t xml:space="preserve">  Total credit capacity across cardholders (memo)</t>
        </is>
      </c>
      <c r="B166" s="23" t="inlineStr">
        <is>
          <t>USD</t>
        </is>
      </c>
      <c r="C166" s="55">
        <f>C45*C46+C83*C84+C121*C122</f>
        <v/>
      </c>
      <c r="D166" s="55">
        <f>D45*D46+D83*D84+D121*D122</f>
        <v/>
      </c>
      <c r="E166" s="55">
        <f>E45*E46+E83*E84+E121*E122</f>
        <v/>
      </c>
      <c r="F166" s="55">
        <f>F45*F46+F83*F84+F121*F122</f>
        <v/>
      </c>
      <c r="G166" s="55">
        <f>G45*G46+G83*G84+G121*G122</f>
        <v/>
      </c>
      <c r="H166" s="55">
        <f>H45*H46+H83*H84+H121*H122</f>
        <v/>
      </c>
      <c r="I166" s="55">
        <f>I45*I46+I83*I84+I121*I122</f>
        <v/>
      </c>
      <c r="J166" s="55">
        <f>J45*J46+J83*J84+J121*J122</f>
        <v/>
      </c>
      <c r="K166" s="55">
        <f>K45*K46+K83*K84+K121*K122</f>
        <v/>
      </c>
      <c r="L166" s="55">
        <f>L45*L46+L83*L84+L121*L122</f>
        <v/>
      </c>
      <c r="M166" s="55">
        <f>M45*M46+M83*M84+M121*M122</f>
        <v/>
      </c>
      <c r="N166" s="55">
        <f>N45*N46+N83*N84+N121*N122</f>
        <v/>
      </c>
      <c r="O166" s="55">
        <f>O45*O46+O83*O84+O121*O122</f>
        <v/>
      </c>
      <c r="P166" s="55">
        <f>P45*P46+P83*P84+P121*P122</f>
        <v/>
      </c>
      <c r="Q166" s="55">
        <f>Q45*Q46+Q83*Q84+Q121*Q122</f>
        <v/>
      </c>
      <c r="R166" s="55">
        <f>R45*R46+R83*R84+R121*R122</f>
        <v/>
      </c>
      <c r="S166" s="55">
        <f>S45*S46+S83*S84+S121*S122</f>
        <v/>
      </c>
      <c r="T166" s="55">
        <f>T45*T46+T83*T84+T121*T122</f>
        <v/>
      </c>
      <c r="U166" s="55">
        <f>U45*U46+U83*U84+U121*U122</f>
        <v/>
      </c>
      <c r="V166" s="55">
        <f>V45*V46+V83*V84+V121*V122</f>
        <v/>
      </c>
      <c r="W166" s="55">
        <f>W45*W46+W83*W84+W121*W122</f>
        <v/>
      </c>
      <c r="X166" s="55">
        <f>X45*X46+X83*X84+X121*X122</f>
        <v/>
      </c>
      <c r="Y166" s="55">
        <f>Y45*Y46+Y83*Y84+Y121*Y122</f>
        <v/>
      </c>
      <c r="Z166" s="55">
        <f>Z45*Z46+Z83*Z84+Z121*Z122</f>
        <v/>
      </c>
      <c r="AA166" s="55">
        <f>AA45*AA46+AA83*AA84+AA121*AA122</f>
        <v/>
      </c>
      <c r="AB166" s="55">
        <f>AB45*AB46+AB83*AB84+AB121*AB122</f>
        <v/>
      </c>
      <c r="AC166" s="55">
        <f>AC45*AC46+AC83*AC84+AC121*AC122</f>
        <v/>
      </c>
      <c r="AD166" s="55">
        <f>AD45*AD46+AD83*AD84+AD121*AD122</f>
        <v/>
      </c>
      <c r="AE166" s="55">
        <f>AE45*AE46+AE83*AE84+AE121*AE122</f>
        <v/>
      </c>
    </row>
    <row r="167">
      <c r="A167" s="6" t="inlineStr">
        <is>
          <t xml:space="preserve">  CHECK: card spend vs credit capacity (must be &lt;= 1.00)</t>
        </is>
      </c>
      <c r="B167" s="23" t="inlineStr">
        <is>
          <t>x</t>
        </is>
      </c>
      <c r="C167" s="60">
        <f>IF(C166=0,0,((C50+C88+C126)/C7)/C166)</f>
        <v/>
      </c>
      <c r="D167" s="60">
        <f>IF(D166=0,0,((D50+D88+D126)/D7)/D166)</f>
        <v/>
      </c>
      <c r="E167" s="60">
        <f>IF(E166=0,0,((E50+E88+E126)/E7)/E166)</f>
        <v/>
      </c>
      <c r="F167" s="60">
        <f>IF(F166=0,0,((F50+F88+F126)/F7)/F166)</f>
        <v/>
      </c>
      <c r="G167" s="60">
        <f>IF(G166=0,0,((G50+G88+G126)/G7)/G166)</f>
        <v/>
      </c>
      <c r="H167" s="60">
        <f>IF(H166=0,0,((H50+H88+H126)/H7)/H166)</f>
        <v/>
      </c>
      <c r="I167" s="60">
        <f>IF(I166=0,0,((I50+I88+I126)/I7)/I166)</f>
        <v/>
      </c>
      <c r="J167" s="60">
        <f>IF(J166=0,0,((J50+J88+J126)/J7)/J166)</f>
        <v/>
      </c>
      <c r="K167" s="60">
        <f>IF(K166=0,0,((K50+K88+K126)/K7)/K166)</f>
        <v/>
      </c>
      <c r="L167" s="60">
        <f>IF(L166=0,0,((L50+L88+L126)/L7)/L166)</f>
        <v/>
      </c>
      <c r="M167" s="60">
        <f>IF(M166=0,0,((M50+M88+M126)/M7)/M166)</f>
        <v/>
      </c>
      <c r="N167" s="60">
        <f>IF(N166=0,0,((N50+N88+N126)/N7)/N166)</f>
        <v/>
      </c>
      <c r="O167" s="60">
        <f>IF(O166=0,0,((O50+O88+O126)/O7)/O166)</f>
        <v/>
      </c>
      <c r="P167" s="60">
        <f>IF(P166=0,0,((P50+P88+P126)/P7)/P166)</f>
        <v/>
      </c>
      <c r="Q167" s="60">
        <f>IF(Q166=0,0,((Q50+Q88+Q126)/Q7)/Q166)</f>
        <v/>
      </c>
      <c r="R167" s="60">
        <f>IF(R166=0,0,((R50+R88+R126)/R7)/R166)</f>
        <v/>
      </c>
      <c r="S167" s="60">
        <f>IF(S166=0,0,((S50+S88+S126)/S7)/S166)</f>
        <v/>
      </c>
      <c r="T167" s="60">
        <f>IF(T166=0,0,((T50+T88+T126)/T7)/T166)</f>
        <v/>
      </c>
      <c r="U167" s="60">
        <f>IF(U166=0,0,((U50+U88+U126)/U7)/U166)</f>
        <v/>
      </c>
      <c r="V167" s="60">
        <f>IF(V166=0,0,((V50+V88+V126)/V7)/V166)</f>
        <v/>
      </c>
      <c r="W167" s="60">
        <f>IF(W166=0,0,((W50+W88+W126)/W7)/W166)</f>
        <v/>
      </c>
      <c r="X167" s="60">
        <f>IF(X166=0,0,((X50+X88+X126)/X7)/X166)</f>
        <v/>
      </c>
      <c r="Y167" s="60">
        <f>IF(Y166=0,0,((Y50+Y88+Y126)/Y7)/Y166)</f>
        <v/>
      </c>
      <c r="Z167" s="60">
        <f>IF(Z166=0,0,((Z50+Z88+Z126)/Z7)/Z166)</f>
        <v/>
      </c>
      <c r="AA167" s="60">
        <f>IF(AA166=0,0,((AA50+AA88+AA126)/AA7)/AA166)</f>
        <v/>
      </c>
      <c r="AB167" s="60">
        <f>IF(AB166=0,0,((AB50+AB88+AB126)/AB7)/AB166)</f>
        <v/>
      </c>
      <c r="AC167" s="60">
        <f>IF(AC166=0,0,((AC50+AC88+AC126)/AC7)/AC166)</f>
        <v/>
      </c>
      <c r="AD167" s="60">
        <f>IF(AD166=0,0,((AD50+AD88+AD126)/AD7)/AD166)</f>
        <v/>
      </c>
      <c r="AE167" s="60">
        <f>IF(AE166=0,0,((AE50+AE88+AE126)/AE7)/AE166)</f>
        <v/>
      </c>
    </row>
    <row r="169">
      <c r="A169" s="6" t="inlineStr">
        <is>
          <t>Stream 1a - Entry fee, SIP</t>
        </is>
      </c>
      <c r="B169" s="23" t="inlineStr">
        <is>
          <t>USD</t>
        </is>
      </c>
      <c r="C169" s="55">
        <f>C53+C91+C129</f>
        <v/>
      </c>
      <c r="D169" s="55">
        <f>D53+D91+D129</f>
        <v/>
      </c>
      <c r="E169" s="55">
        <f>E53+E91+E129</f>
        <v/>
      </c>
      <c r="F169" s="55">
        <f>F53+F91+F129</f>
        <v/>
      </c>
      <c r="G169" s="55">
        <f>G53+G91+G129</f>
        <v/>
      </c>
      <c r="H169" s="55">
        <f>H53+H91+H129</f>
        <v/>
      </c>
      <c r="I169" s="55">
        <f>I53+I91+I129</f>
        <v/>
      </c>
      <c r="J169" s="55">
        <f>J53+J91+J129</f>
        <v/>
      </c>
      <c r="K169" s="55">
        <f>K53+K91+K129</f>
        <v/>
      </c>
      <c r="L169" s="55">
        <f>L53+L91+L129</f>
        <v/>
      </c>
      <c r="M169" s="55">
        <f>M53+M91+M129</f>
        <v/>
      </c>
      <c r="N169" s="55">
        <f>N53+N91+N129</f>
        <v/>
      </c>
      <c r="O169" s="55">
        <f>O53+O91+O129</f>
        <v/>
      </c>
      <c r="P169" s="55">
        <f>P53+P91+P129</f>
        <v/>
      </c>
      <c r="Q169" s="55">
        <f>Q53+Q91+Q129</f>
        <v/>
      </c>
      <c r="R169" s="55">
        <f>R53+R91+R129</f>
        <v/>
      </c>
      <c r="S169" s="55">
        <f>S53+S91+S129</f>
        <v/>
      </c>
      <c r="T169" s="55">
        <f>T53+T91+T129</f>
        <v/>
      </c>
      <c r="U169" s="55">
        <f>U53+U91+U129</f>
        <v/>
      </c>
      <c r="V169" s="55">
        <f>V53+V91+V129</f>
        <v/>
      </c>
      <c r="W169" s="55">
        <f>W53+W91+W129</f>
        <v/>
      </c>
      <c r="X169" s="55">
        <f>X53+X91+X129</f>
        <v/>
      </c>
      <c r="Y169" s="55">
        <f>Y53+Y91+Y129</f>
        <v/>
      </c>
      <c r="Z169" s="55">
        <f>Z53+Z91+Z129</f>
        <v/>
      </c>
      <c r="AA169" s="55">
        <f>AA53+AA91+AA129</f>
        <v/>
      </c>
      <c r="AB169" s="55">
        <f>AB53+AB91+AB129</f>
        <v/>
      </c>
      <c r="AC169" s="55">
        <f>AC53+AC91+AC129</f>
        <v/>
      </c>
      <c r="AD169" s="55">
        <f>AD53+AD91+AD129</f>
        <v/>
      </c>
      <c r="AE169" s="55">
        <f>AE53+AE91+AE129</f>
        <v/>
      </c>
    </row>
    <row r="170">
      <c r="A170" s="6" t="inlineStr">
        <is>
          <t>Stream 1b - Entry fee, SPOT</t>
        </is>
      </c>
      <c r="B170" s="23" t="inlineStr">
        <is>
          <t>USD</t>
        </is>
      </c>
      <c r="C170" s="55">
        <f>C54+C92+C130</f>
        <v/>
      </c>
      <c r="D170" s="55">
        <f>D54+D92+D130</f>
        <v/>
      </c>
      <c r="E170" s="55">
        <f>E54+E92+E130</f>
        <v/>
      </c>
      <c r="F170" s="55">
        <f>F54+F92+F130</f>
        <v/>
      </c>
      <c r="G170" s="55">
        <f>G54+G92+G130</f>
        <v/>
      </c>
      <c r="H170" s="55">
        <f>H54+H92+H130</f>
        <v/>
      </c>
      <c r="I170" s="55">
        <f>I54+I92+I130</f>
        <v/>
      </c>
      <c r="J170" s="55">
        <f>J54+J92+J130</f>
        <v/>
      </c>
      <c r="K170" s="55">
        <f>K54+K92+K130</f>
        <v/>
      </c>
      <c r="L170" s="55">
        <f>L54+L92+L130</f>
        <v/>
      </c>
      <c r="M170" s="55">
        <f>M54+M92+M130</f>
        <v/>
      </c>
      <c r="N170" s="55">
        <f>N54+N92+N130</f>
        <v/>
      </c>
      <c r="O170" s="55">
        <f>O54+O92+O130</f>
        <v/>
      </c>
      <c r="P170" s="55">
        <f>P54+P92+P130</f>
        <v/>
      </c>
      <c r="Q170" s="55">
        <f>Q54+Q92+Q130</f>
        <v/>
      </c>
      <c r="R170" s="55">
        <f>R54+R92+R130</f>
        <v/>
      </c>
      <c r="S170" s="55">
        <f>S54+S92+S130</f>
        <v/>
      </c>
      <c r="T170" s="55">
        <f>T54+T92+T130</f>
        <v/>
      </c>
      <c r="U170" s="55">
        <f>U54+U92+U130</f>
        <v/>
      </c>
      <c r="V170" s="55">
        <f>V54+V92+V130</f>
        <v/>
      </c>
      <c r="W170" s="55">
        <f>W54+W92+W130</f>
        <v/>
      </c>
      <c r="X170" s="55">
        <f>X54+X92+X130</f>
        <v/>
      </c>
      <c r="Y170" s="55">
        <f>Y54+Y92+Y130</f>
        <v/>
      </c>
      <c r="Z170" s="55">
        <f>Z54+Z92+Z130</f>
        <v/>
      </c>
      <c r="AA170" s="55">
        <f>AA54+AA92+AA130</f>
        <v/>
      </c>
      <c r="AB170" s="55">
        <f>AB54+AB92+AB130</f>
        <v/>
      </c>
      <c r="AC170" s="55">
        <f>AC54+AC92+AC130</f>
        <v/>
      </c>
      <c r="AD170" s="55">
        <f>AD54+AD92+AD130</f>
        <v/>
      </c>
      <c r="AE170" s="55">
        <f>AE54+AE92+AE130</f>
        <v/>
      </c>
    </row>
    <row r="171">
      <c r="A171" s="6" t="inlineStr">
        <is>
          <t>Stream 2 - Card interchange</t>
        </is>
      </c>
      <c r="B171" s="23" t="inlineStr">
        <is>
          <t>USD</t>
        </is>
      </c>
      <c r="C171" s="55">
        <f>C55+C93+C131</f>
        <v/>
      </c>
      <c r="D171" s="55">
        <f>D55+D93+D131</f>
        <v/>
      </c>
      <c r="E171" s="55">
        <f>E55+E93+E131</f>
        <v/>
      </c>
      <c r="F171" s="55">
        <f>F55+F93+F131</f>
        <v/>
      </c>
      <c r="G171" s="55">
        <f>G55+G93+G131</f>
        <v/>
      </c>
      <c r="H171" s="55">
        <f>H55+H93+H131</f>
        <v/>
      </c>
      <c r="I171" s="55">
        <f>I55+I93+I131</f>
        <v/>
      </c>
      <c r="J171" s="55">
        <f>J55+J93+J131</f>
        <v/>
      </c>
      <c r="K171" s="55">
        <f>K55+K93+K131</f>
        <v/>
      </c>
      <c r="L171" s="55">
        <f>L55+L93+L131</f>
        <v/>
      </c>
      <c r="M171" s="55">
        <f>M55+M93+M131</f>
        <v/>
      </c>
      <c r="N171" s="55">
        <f>N55+N93+N131</f>
        <v/>
      </c>
      <c r="O171" s="55">
        <f>O55+O93+O131</f>
        <v/>
      </c>
      <c r="P171" s="55">
        <f>P55+P93+P131</f>
        <v/>
      </c>
      <c r="Q171" s="55">
        <f>Q55+Q93+Q131</f>
        <v/>
      </c>
      <c r="R171" s="55">
        <f>R55+R93+R131</f>
        <v/>
      </c>
      <c r="S171" s="55">
        <f>S55+S93+S131</f>
        <v/>
      </c>
      <c r="T171" s="55">
        <f>T55+T93+T131</f>
        <v/>
      </c>
      <c r="U171" s="55">
        <f>U55+U93+U131</f>
        <v/>
      </c>
      <c r="V171" s="55">
        <f>V55+V93+V131</f>
        <v/>
      </c>
      <c r="W171" s="55">
        <f>W55+W93+W131</f>
        <v/>
      </c>
      <c r="X171" s="55">
        <f>X55+X93+X131</f>
        <v/>
      </c>
      <c r="Y171" s="55">
        <f>Y55+Y93+Y131</f>
        <v/>
      </c>
      <c r="Z171" s="55">
        <f>Z55+Z93+Z131</f>
        <v/>
      </c>
      <c r="AA171" s="55">
        <f>AA55+AA93+AA131</f>
        <v/>
      </c>
      <c r="AB171" s="55">
        <f>AB55+AB93+AB131</f>
        <v/>
      </c>
      <c r="AC171" s="55">
        <f>AC55+AC93+AC131</f>
        <v/>
      </c>
      <c r="AD171" s="55">
        <f>AD55+AD93+AD131</f>
        <v/>
      </c>
      <c r="AE171" s="55">
        <f>AE55+AE93+AE131</f>
        <v/>
      </c>
    </row>
    <row r="172">
      <c r="A172" s="6" t="inlineStr">
        <is>
          <t>Stream 3 - Family plan and Digital Will</t>
        </is>
      </c>
      <c r="B172" s="23" t="inlineStr">
        <is>
          <t>USD</t>
        </is>
      </c>
      <c r="C172" s="55">
        <f>C56+C94+C132</f>
        <v/>
      </c>
      <c r="D172" s="55">
        <f>D56+D94+D132</f>
        <v/>
      </c>
      <c r="E172" s="55">
        <f>E56+E94+E132</f>
        <v/>
      </c>
      <c r="F172" s="55">
        <f>F56+F94+F132</f>
        <v/>
      </c>
      <c r="G172" s="55">
        <f>G56+G94+G132</f>
        <v/>
      </c>
      <c r="H172" s="55">
        <f>H56+H94+H132</f>
        <v/>
      </c>
      <c r="I172" s="55">
        <f>I56+I94+I132</f>
        <v/>
      </c>
      <c r="J172" s="55">
        <f>J56+J94+J132</f>
        <v/>
      </c>
      <c r="K172" s="55">
        <f>K56+K94+K132</f>
        <v/>
      </c>
      <c r="L172" s="55">
        <f>L56+L94+L132</f>
        <v/>
      </c>
      <c r="M172" s="55">
        <f>M56+M94+M132</f>
        <v/>
      </c>
      <c r="N172" s="55">
        <f>N56+N94+N132</f>
        <v/>
      </c>
      <c r="O172" s="55">
        <f>O56+O94+O132</f>
        <v/>
      </c>
      <c r="P172" s="55">
        <f>P56+P94+P132</f>
        <v/>
      </c>
      <c r="Q172" s="55">
        <f>Q56+Q94+Q132</f>
        <v/>
      </c>
      <c r="R172" s="55">
        <f>R56+R94+R132</f>
        <v/>
      </c>
      <c r="S172" s="55">
        <f>S56+S94+S132</f>
        <v/>
      </c>
      <c r="T172" s="55">
        <f>T56+T94+T132</f>
        <v/>
      </c>
      <c r="U172" s="55">
        <f>U56+U94+U132</f>
        <v/>
      </c>
      <c r="V172" s="55">
        <f>V56+V94+V132</f>
        <v/>
      </c>
      <c r="W172" s="55">
        <f>W56+W94+W132</f>
        <v/>
      </c>
      <c r="X172" s="55">
        <f>X56+X94+X132</f>
        <v/>
      </c>
      <c r="Y172" s="55">
        <f>Y56+Y94+Y132</f>
        <v/>
      </c>
      <c r="Z172" s="55">
        <f>Z56+Z94+Z132</f>
        <v/>
      </c>
      <c r="AA172" s="55">
        <f>AA56+AA94+AA132</f>
        <v/>
      </c>
      <c r="AB172" s="55">
        <f>AB56+AB94+AB132</f>
        <v/>
      </c>
      <c r="AC172" s="55">
        <f>AC56+AC94+AC132</f>
        <v/>
      </c>
      <c r="AD172" s="55">
        <f>AD56+AD94+AD132</f>
        <v/>
      </c>
      <c r="AE172" s="55">
        <f>AE56+AE94+AE132</f>
        <v/>
      </c>
    </row>
    <row r="173">
      <c r="A173" s="6" t="inlineStr">
        <is>
          <t>Stream 4 - Cardholder fees</t>
        </is>
      </c>
      <c r="B173" s="23" t="inlineStr">
        <is>
          <t>USD</t>
        </is>
      </c>
      <c r="C173" s="55">
        <f>C57+C95+C133</f>
        <v/>
      </c>
      <c r="D173" s="55">
        <f>D57+D95+D133</f>
        <v/>
      </c>
      <c r="E173" s="55">
        <f>E57+E95+E133</f>
        <v/>
      </c>
      <c r="F173" s="55">
        <f>F57+F95+F133</f>
        <v/>
      </c>
      <c r="G173" s="55">
        <f>G57+G95+G133</f>
        <v/>
      </c>
      <c r="H173" s="55">
        <f>H57+H95+H133</f>
        <v/>
      </c>
      <c r="I173" s="55">
        <f>I57+I95+I133</f>
        <v/>
      </c>
      <c r="J173" s="55">
        <f>J57+J95+J133</f>
        <v/>
      </c>
      <c r="K173" s="55">
        <f>K57+K95+K133</f>
        <v/>
      </c>
      <c r="L173" s="55">
        <f>L57+L95+L133</f>
        <v/>
      </c>
      <c r="M173" s="55">
        <f>M57+M95+M133</f>
        <v/>
      </c>
      <c r="N173" s="55">
        <f>N57+N95+N133</f>
        <v/>
      </c>
      <c r="O173" s="55">
        <f>O57+O95+O133</f>
        <v/>
      </c>
      <c r="P173" s="55">
        <f>P57+P95+P133</f>
        <v/>
      </c>
      <c r="Q173" s="55">
        <f>Q57+Q95+Q133</f>
        <v/>
      </c>
      <c r="R173" s="55">
        <f>R57+R95+R133</f>
        <v/>
      </c>
      <c r="S173" s="55">
        <f>S57+S95+S133</f>
        <v/>
      </c>
      <c r="T173" s="55">
        <f>T57+T95+T133</f>
        <v/>
      </c>
      <c r="U173" s="55">
        <f>U57+U95+U133</f>
        <v/>
      </c>
      <c r="V173" s="55">
        <f>V57+V95+V133</f>
        <v/>
      </c>
      <c r="W173" s="55">
        <f>W57+W95+W133</f>
        <v/>
      </c>
      <c r="X173" s="55">
        <f>X57+X95+X133</f>
        <v/>
      </c>
      <c r="Y173" s="55">
        <f>Y57+Y95+Y133</f>
        <v/>
      </c>
      <c r="Z173" s="55">
        <f>Z57+Z95+Z133</f>
        <v/>
      </c>
      <c r="AA173" s="55">
        <f>AA57+AA95+AA133</f>
        <v/>
      </c>
      <c r="AB173" s="55">
        <f>AB57+AB95+AB133</f>
        <v/>
      </c>
      <c r="AC173" s="55">
        <f>AC57+AC95+AC133</f>
        <v/>
      </c>
      <c r="AD173" s="55">
        <f>AD57+AD95+AD133</f>
        <v/>
      </c>
      <c r="AE173" s="55">
        <f>AE57+AE95+AE133</f>
        <v/>
      </c>
    </row>
    <row r="174">
      <c r="A174" s="6" t="inlineStr">
        <is>
          <t>Stream 5 - Lending revenue share</t>
        </is>
      </c>
      <c r="B174" s="23" t="inlineStr">
        <is>
          <t>USD</t>
        </is>
      </c>
      <c r="C174" s="55">
        <f>C59+C97+C135</f>
        <v/>
      </c>
      <c r="D174" s="55">
        <f>D59+D97+D135</f>
        <v/>
      </c>
      <c r="E174" s="55">
        <f>E59+E97+E135</f>
        <v/>
      </c>
      <c r="F174" s="55">
        <f>F59+F97+F135</f>
        <v/>
      </c>
      <c r="G174" s="55">
        <f>G59+G97+G135</f>
        <v/>
      </c>
      <c r="H174" s="55">
        <f>H59+H97+H135</f>
        <v/>
      </c>
      <c r="I174" s="55">
        <f>I59+I97+I135</f>
        <v/>
      </c>
      <c r="J174" s="55">
        <f>J59+J97+J135</f>
        <v/>
      </c>
      <c r="K174" s="55">
        <f>K59+K97+K135</f>
        <v/>
      </c>
      <c r="L174" s="55">
        <f>L59+L97+L135</f>
        <v/>
      </c>
      <c r="M174" s="55">
        <f>M59+M97+M135</f>
        <v/>
      </c>
      <c r="N174" s="55">
        <f>N59+N97+N135</f>
        <v/>
      </c>
      <c r="O174" s="55">
        <f>O59+O97+O135</f>
        <v/>
      </c>
      <c r="P174" s="55">
        <f>P59+P97+P135</f>
        <v/>
      </c>
      <c r="Q174" s="55">
        <f>Q59+Q97+Q135</f>
        <v/>
      </c>
      <c r="R174" s="55">
        <f>R59+R97+R135</f>
        <v/>
      </c>
      <c r="S174" s="55">
        <f>S59+S97+S135</f>
        <v/>
      </c>
      <c r="T174" s="55">
        <f>T59+T97+T135</f>
        <v/>
      </c>
      <c r="U174" s="55">
        <f>U59+U97+U135</f>
        <v/>
      </c>
      <c r="V174" s="55">
        <f>V59+V97+V135</f>
        <v/>
      </c>
      <c r="W174" s="55">
        <f>W59+W97+W135</f>
        <v/>
      </c>
      <c r="X174" s="55">
        <f>X59+X97+X135</f>
        <v/>
      </c>
      <c r="Y174" s="55">
        <f>Y59+Y97+Y135</f>
        <v/>
      </c>
      <c r="Z174" s="55">
        <f>Z59+Z97+Z135</f>
        <v/>
      </c>
      <c r="AA174" s="55">
        <f>AA59+AA97+AA135</f>
        <v/>
      </c>
      <c r="AB174" s="55">
        <f>AB59+AB97+AB135</f>
        <v/>
      </c>
      <c r="AC174" s="55">
        <f>AC59+AC97+AC135</f>
        <v/>
      </c>
      <c r="AD174" s="55">
        <f>AD59+AD97+AD135</f>
        <v/>
      </c>
      <c r="AE174" s="55">
        <f>AE59+AE97+AE135</f>
        <v/>
      </c>
    </row>
    <row r="175">
      <c r="A175" s="6" t="inlineStr">
        <is>
          <t>Redemption events (memo - drives cost, not revenue)</t>
        </is>
      </c>
      <c r="B175" s="23" t="inlineStr">
        <is>
          <t>events</t>
        </is>
      </c>
      <c r="C175" s="45">
        <f>C60+C98+C136</f>
        <v/>
      </c>
      <c r="D175" s="45">
        <f>D60+D98+D136</f>
        <v/>
      </c>
      <c r="E175" s="45">
        <f>E60+E98+E136</f>
        <v/>
      </c>
      <c r="F175" s="45">
        <f>F60+F98+F136</f>
        <v/>
      </c>
      <c r="G175" s="45">
        <f>G60+G98+G136</f>
        <v/>
      </c>
      <c r="H175" s="45">
        <f>H60+H98+H136</f>
        <v/>
      </c>
      <c r="I175" s="45">
        <f>I60+I98+I136</f>
        <v/>
      </c>
      <c r="J175" s="45">
        <f>J60+J98+J136</f>
        <v/>
      </c>
      <c r="K175" s="45">
        <f>K60+K98+K136</f>
        <v/>
      </c>
      <c r="L175" s="45">
        <f>L60+L98+L136</f>
        <v/>
      </c>
      <c r="M175" s="45">
        <f>M60+M98+M136</f>
        <v/>
      </c>
      <c r="N175" s="45">
        <f>N60+N98+N136</f>
        <v/>
      </c>
      <c r="O175" s="45">
        <f>O60+O98+O136</f>
        <v/>
      </c>
      <c r="P175" s="45">
        <f>P60+P98+P136</f>
        <v/>
      </c>
      <c r="Q175" s="45">
        <f>Q60+Q98+Q136</f>
        <v/>
      </c>
      <c r="R175" s="45">
        <f>R60+R98+R136</f>
        <v/>
      </c>
      <c r="S175" s="45">
        <f>S60+S98+S136</f>
        <v/>
      </c>
      <c r="T175" s="45">
        <f>T60+T98+T136</f>
        <v/>
      </c>
      <c r="U175" s="45">
        <f>U60+U98+U136</f>
        <v/>
      </c>
      <c r="V175" s="45">
        <f>V60+V98+V136</f>
        <v/>
      </c>
      <c r="W175" s="45">
        <f>W60+W98+W136</f>
        <v/>
      </c>
      <c r="X175" s="45">
        <f>X60+X98+X136</f>
        <v/>
      </c>
      <c r="Y175" s="45">
        <f>Y60+Y98+Y136</f>
        <v/>
      </c>
      <c r="Z175" s="45">
        <f>Z60+Z98+Z136</f>
        <v/>
      </c>
      <c r="AA175" s="45">
        <f>AA60+AA98+AA136</f>
        <v/>
      </c>
      <c r="AB175" s="45">
        <f>AB60+AB98+AB136</f>
        <v/>
      </c>
      <c r="AC175" s="45">
        <f>AC60+AC98+AC136</f>
        <v/>
      </c>
      <c r="AD175" s="45">
        <f>AD60+AD98+AD136</f>
        <v/>
      </c>
      <c r="AE175" s="45">
        <f>AE60+AE98+AE136</f>
        <v/>
      </c>
    </row>
    <row r="176">
      <c r="A176" s="6" t="inlineStr">
        <is>
          <t>Card authorisations (memo - drives cost, not revenue)</t>
        </is>
      </c>
      <c r="B176" s="23" t="inlineStr">
        <is>
          <t>events</t>
        </is>
      </c>
      <c r="C176" s="45">
        <f>C52+C90+C128</f>
        <v/>
      </c>
      <c r="D176" s="45">
        <f>D52+D90+D128</f>
        <v/>
      </c>
      <c r="E176" s="45">
        <f>E52+E90+E128</f>
        <v/>
      </c>
      <c r="F176" s="45">
        <f>F52+F90+F128</f>
        <v/>
      </c>
      <c r="G176" s="45">
        <f>G52+G90+G128</f>
        <v/>
      </c>
      <c r="H176" s="45">
        <f>H52+H90+H128</f>
        <v/>
      </c>
      <c r="I176" s="45">
        <f>I52+I90+I128</f>
        <v/>
      </c>
      <c r="J176" s="45">
        <f>J52+J90+J128</f>
        <v/>
      </c>
      <c r="K176" s="45">
        <f>K52+K90+K128</f>
        <v/>
      </c>
      <c r="L176" s="45">
        <f>L52+L90+L128</f>
        <v/>
      </c>
      <c r="M176" s="45">
        <f>M52+M90+M128</f>
        <v/>
      </c>
      <c r="N176" s="45">
        <f>N52+N90+N128</f>
        <v/>
      </c>
      <c r="O176" s="45">
        <f>O52+O90+O128</f>
        <v/>
      </c>
      <c r="P176" s="45">
        <f>P52+P90+P128</f>
        <v/>
      </c>
      <c r="Q176" s="45">
        <f>Q52+Q90+Q128</f>
        <v/>
      </c>
      <c r="R176" s="45">
        <f>R52+R90+R128</f>
        <v/>
      </c>
      <c r="S176" s="45">
        <f>S52+S90+S128</f>
        <v/>
      </c>
      <c r="T176" s="45">
        <f>T52+T90+T128</f>
        <v/>
      </c>
      <c r="U176" s="45">
        <f>U52+U90+U128</f>
        <v/>
      </c>
      <c r="V176" s="45">
        <f>V52+V90+V128</f>
        <v/>
      </c>
      <c r="W176" s="45">
        <f>W52+W90+W128</f>
        <v/>
      </c>
      <c r="X176" s="45">
        <f>X52+X90+X128</f>
        <v/>
      </c>
      <c r="Y176" s="45">
        <f>Y52+Y90+Y128</f>
        <v/>
      </c>
      <c r="Z176" s="45">
        <f>Z52+Z90+Z128</f>
        <v/>
      </c>
      <c r="AA176" s="45">
        <f>AA52+AA90+AA128</f>
        <v/>
      </c>
      <c r="AB176" s="45">
        <f>AB52+AB90+AB128</f>
        <v/>
      </c>
      <c r="AC176" s="45">
        <f>AC52+AC90+AC128</f>
        <v/>
      </c>
      <c r="AD176" s="45">
        <f>AD52+AD90+AD128</f>
        <v/>
      </c>
      <c r="AE176" s="45">
        <f>AE52+AE90+AE128</f>
        <v/>
      </c>
    </row>
    <row r="177">
      <c r="A177" s="3" t="inlineStr">
        <is>
          <t>TOTAL NET REVENUE</t>
        </is>
      </c>
      <c r="B177" s="23" t="inlineStr">
        <is>
          <t>USD</t>
        </is>
      </c>
      <c r="C177" s="57">
        <f>C61+C99+C137+C141</f>
        <v/>
      </c>
      <c r="D177" s="57">
        <f>D61+D99+D137+D141</f>
        <v/>
      </c>
      <c r="E177" s="57">
        <f>E61+E99+E137+E141</f>
        <v/>
      </c>
      <c r="F177" s="57">
        <f>F61+F99+F137+F141</f>
        <v/>
      </c>
      <c r="G177" s="57">
        <f>G61+G99+G137+G141</f>
        <v/>
      </c>
      <c r="H177" s="57">
        <f>H61+H99+H137+H141</f>
        <v/>
      </c>
      <c r="I177" s="57">
        <f>I61+I99+I137+I141</f>
        <v/>
      </c>
      <c r="J177" s="57">
        <f>J61+J99+J137+J141</f>
        <v/>
      </c>
      <c r="K177" s="57">
        <f>K61+K99+K137+K141</f>
        <v/>
      </c>
      <c r="L177" s="57">
        <f>L61+L99+L137+L141</f>
        <v/>
      </c>
      <c r="M177" s="57">
        <f>M61+M99+M137+M141</f>
        <v/>
      </c>
      <c r="N177" s="57">
        <f>N61+N99+N137+N141</f>
        <v/>
      </c>
      <c r="O177" s="57">
        <f>O61+O99+O137+O141</f>
        <v/>
      </c>
      <c r="P177" s="57">
        <f>P61+P99+P137+P141</f>
        <v/>
      </c>
      <c r="Q177" s="57">
        <f>Q61+Q99+Q137+Q141</f>
        <v/>
      </c>
      <c r="R177" s="57">
        <f>R61+R99+R137+R141</f>
        <v/>
      </c>
      <c r="S177" s="57">
        <f>S61+S99+S137+S141</f>
        <v/>
      </c>
      <c r="T177" s="57">
        <f>T61+T99+T137+T141</f>
        <v/>
      </c>
      <c r="U177" s="57">
        <f>U61+U99+U137+U141</f>
        <v/>
      </c>
      <c r="V177" s="57">
        <f>V61+V99+V137+V141</f>
        <v/>
      </c>
      <c r="W177" s="57">
        <f>W61+W99+W137+W141</f>
        <v/>
      </c>
      <c r="X177" s="57">
        <f>X61+X99+X137+X141</f>
        <v/>
      </c>
      <c r="Y177" s="57">
        <f>Y61+Y99+Y137+Y141</f>
        <v/>
      </c>
      <c r="Z177" s="57">
        <f>Z61+Z99+Z137+Z141</f>
        <v/>
      </c>
      <c r="AA177" s="57">
        <f>AA61+AA99+AA137+AA141</f>
        <v/>
      </c>
      <c r="AB177" s="57">
        <f>AB61+AB99+AB137+AB141</f>
        <v/>
      </c>
      <c r="AC177" s="57">
        <f>AC61+AC99+AC137+AC141</f>
        <v/>
      </c>
      <c r="AD177" s="57">
        <f>AD61+AD99+AD137+AD141</f>
        <v/>
      </c>
      <c r="AE177" s="57">
        <f>AE61+AE99+AE137+AE141</f>
        <v/>
      </c>
    </row>
    <row r="178">
      <c r="A178" s="6" t="inlineStr">
        <is>
          <t>Net revenue per paying customer (annualised)</t>
        </is>
      </c>
      <c r="B178" s="23" t="inlineStr">
        <is>
          <t>USD</t>
        </is>
      </c>
      <c r="C178" s="55">
        <f>IF(C145=0,0,C177/C145/C7*12)</f>
        <v/>
      </c>
      <c r="D178" s="55">
        <f>IF(D145=0,0,D177/D145/D7*12)</f>
        <v/>
      </c>
      <c r="E178" s="55">
        <f>IF(E145=0,0,E177/E145/E7*12)</f>
        <v/>
      </c>
      <c r="F178" s="55">
        <f>IF(F145=0,0,F177/F145/F7*12)</f>
        <v/>
      </c>
      <c r="G178" s="55">
        <f>IF(G145=0,0,G177/G145/G7*12)</f>
        <v/>
      </c>
      <c r="H178" s="55">
        <f>IF(H145=0,0,H177/H145/H7*12)</f>
        <v/>
      </c>
      <c r="I178" s="55">
        <f>IF(I145=0,0,I177/I145/I7*12)</f>
        <v/>
      </c>
      <c r="J178" s="55">
        <f>IF(J145=0,0,J177/J145/J7*12)</f>
        <v/>
      </c>
      <c r="K178" s="55">
        <f>IF(K145=0,0,K177/K145/K7*12)</f>
        <v/>
      </c>
      <c r="L178" s="55">
        <f>IF(L145=0,0,L177/L145/L7*12)</f>
        <v/>
      </c>
      <c r="M178" s="55">
        <f>IF(M145=0,0,M177/M145/M7*12)</f>
        <v/>
      </c>
      <c r="N178" s="55">
        <f>IF(N145=0,0,N177/N145/N7*12)</f>
        <v/>
      </c>
      <c r="O178" s="55">
        <f>IF(O145=0,0,O177/O145/O7*12)</f>
        <v/>
      </c>
      <c r="P178" s="55">
        <f>IF(P145=0,0,P177/P145/P7*12)</f>
        <v/>
      </c>
      <c r="Q178" s="55">
        <f>IF(Q145=0,0,Q177/Q145/Q7*12)</f>
        <v/>
      </c>
      <c r="R178" s="55">
        <f>IF(R145=0,0,R177/R145/R7*12)</f>
        <v/>
      </c>
      <c r="S178" s="55">
        <f>IF(S145=0,0,S177/S145/S7*12)</f>
        <v/>
      </c>
      <c r="T178" s="55">
        <f>IF(T145=0,0,T177/T145/T7*12)</f>
        <v/>
      </c>
      <c r="U178" s="55">
        <f>IF(U145=0,0,U177/U145/U7*12)</f>
        <v/>
      </c>
      <c r="V178" s="55">
        <f>IF(V145=0,0,V177/V145/V7*12)</f>
        <v/>
      </c>
      <c r="W178" s="55">
        <f>IF(W145=0,0,W177/W145/W7*12)</f>
        <v/>
      </c>
      <c r="X178" s="55">
        <f>IF(X145=0,0,X177/X145/X7*12)</f>
        <v/>
      </c>
      <c r="Y178" s="55">
        <f>IF(Y145=0,0,Y177/Y145/Y7*12)</f>
        <v/>
      </c>
      <c r="Z178" s="55">
        <f>IF(Z145=0,0,Z177/Z145/Z7*12)</f>
        <v/>
      </c>
      <c r="AA178" s="55">
        <f>IF(AA145=0,0,AA177/AA145/AA7*12)</f>
        <v/>
      </c>
      <c r="AB178" s="55">
        <f>IF(AB145=0,0,AB177/AB145/AB7*12)</f>
        <v/>
      </c>
      <c r="AC178" s="55">
        <f>IF(AC145=0,0,AC177/AC145/AC7*12)</f>
        <v/>
      </c>
      <c r="AD178" s="55">
        <f>IF(AD145=0,0,AD177/AD145/AD7*12)</f>
        <v/>
      </c>
      <c r="AE178" s="55">
        <f>IF(AE145=0,0,AE177/AE145/AE7*12)</f>
        <v/>
      </c>
    </row>
    <row r="179">
      <c r="A179" s="6" t="inlineStr">
        <is>
          <t>CHECK: regional subtotals + B2B = sum of streams</t>
        </is>
      </c>
      <c r="B179" s="23" t="inlineStr">
        <is>
          <t>delta</t>
        </is>
      </c>
      <c r="C179" s="59">
        <f>C177-(C169+C170+C171+C172+C173+C174+C141)</f>
        <v/>
      </c>
      <c r="D179" s="59">
        <f>D177-(D169+D170+D171+D172+D173+D174+D141)</f>
        <v/>
      </c>
      <c r="E179" s="59">
        <f>E177-(E169+E170+E171+E172+E173+E174+E141)</f>
        <v/>
      </c>
      <c r="F179" s="59">
        <f>F177-(F169+F170+F171+F172+F173+F174+F141)</f>
        <v/>
      </c>
      <c r="G179" s="59">
        <f>G177-(G169+G170+G171+G172+G173+G174+G141)</f>
        <v/>
      </c>
      <c r="H179" s="59">
        <f>H177-(H169+H170+H171+H172+H173+H174+H141)</f>
        <v/>
      </c>
      <c r="I179" s="59">
        <f>I177-(I169+I170+I171+I172+I173+I174+I141)</f>
        <v/>
      </c>
      <c r="J179" s="59">
        <f>J177-(J169+J170+J171+J172+J173+J174+J141)</f>
        <v/>
      </c>
      <c r="K179" s="59">
        <f>K177-(K169+K170+K171+K172+K173+K174+K141)</f>
        <v/>
      </c>
      <c r="L179" s="59">
        <f>L177-(L169+L170+L171+L172+L173+L174+L141)</f>
        <v/>
      </c>
      <c r="M179" s="59">
        <f>M177-(M169+M170+M171+M172+M173+M174+M141)</f>
        <v/>
      </c>
      <c r="N179" s="59">
        <f>N177-(N169+N170+N171+N172+N173+N174+N141)</f>
        <v/>
      </c>
      <c r="O179" s="59">
        <f>O177-(O169+O170+O171+O172+O173+O174+O141)</f>
        <v/>
      </c>
      <c r="P179" s="59">
        <f>P177-(P169+P170+P171+P172+P173+P174+P141)</f>
        <v/>
      </c>
      <c r="Q179" s="59">
        <f>Q177-(Q169+Q170+Q171+Q172+Q173+Q174+Q141)</f>
        <v/>
      </c>
      <c r="R179" s="59">
        <f>R177-(R169+R170+R171+R172+R173+R174+R141)</f>
        <v/>
      </c>
      <c r="S179" s="59">
        <f>S177-(S169+S170+S171+S172+S173+S174+S141)</f>
        <v/>
      </c>
      <c r="T179" s="59">
        <f>T177-(T169+T170+T171+T172+T173+T174+T141)</f>
        <v/>
      </c>
      <c r="U179" s="59">
        <f>U177-(U169+U170+U171+U172+U173+U174+U141)</f>
        <v/>
      </c>
      <c r="V179" s="59">
        <f>V177-(V169+V170+V171+V172+V173+V174+V141)</f>
        <v/>
      </c>
      <c r="W179" s="59">
        <f>W177-(W169+W170+W171+W172+W173+W174+W141)</f>
        <v/>
      </c>
      <c r="X179" s="59">
        <f>X177-(X169+X170+X171+X172+X173+X174+X141)</f>
        <v/>
      </c>
      <c r="Y179" s="59">
        <f>Y177-(Y169+Y170+Y171+Y172+Y173+Y174+Y141)</f>
        <v/>
      </c>
      <c r="Z179" s="59">
        <f>Z177-(Z169+Z170+Z171+Z172+Z173+Z174+Z141)</f>
        <v/>
      </c>
      <c r="AA179" s="59">
        <f>AA177-(AA169+AA170+AA171+AA172+AA173+AA174+AA141)</f>
        <v/>
      </c>
      <c r="AB179" s="59">
        <f>AB177-(AB169+AB170+AB171+AB172+AB173+AB174+AB141)</f>
        <v/>
      </c>
      <c r="AC179" s="59">
        <f>AC177-(AC169+AC170+AC171+AC172+AC173+AC174+AC141)</f>
        <v/>
      </c>
      <c r="AD179" s="59">
        <f>AD177-(AD169+AD170+AD171+AD172+AD173+AD174+AD141)</f>
        <v/>
      </c>
      <c r="AE179" s="59">
        <f>AE177-(AE169+AE170+AE171+AE172+AE173+AE174+AE141)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61" t="inlineStr">
        <is>
          <t>Y1</t>
        </is>
      </c>
      <c r="E4" s="61" t="inlineStr">
        <is>
          <t>Y2</t>
        </is>
      </c>
      <c r="F4" s="61" t="inlineStr">
        <is>
          <t>Y3</t>
        </is>
      </c>
      <c r="G4" s="61" t="inlineStr">
        <is>
          <t>Y4</t>
        </is>
      </c>
      <c r="H4" s="61" t="inlineStr">
        <is>
          <t>Y5</t>
        </is>
      </c>
      <c r="I4" s="61" t="inlineStr">
        <is>
          <t>Y6</t>
        </is>
      </c>
      <c r="J4" s="61"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6">
        <f>SUM(Model!C61:N61)</f>
        <v/>
      </c>
      <c r="E7" s="36">
        <f>SUM(Model!O61:Z61)</f>
        <v/>
      </c>
      <c r="F7" s="36">
        <f>Model!AA61</f>
        <v/>
      </c>
      <c r="G7" s="36">
        <f>Model!AB61</f>
        <v/>
      </c>
      <c r="H7" s="36">
        <f>Model!AC61</f>
        <v/>
      </c>
      <c r="I7" s="36">
        <f>Model!AD61</f>
        <v/>
      </c>
      <c r="J7" s="36">
        <f>Model!AE61</f>
        <v/>
      </c>
    </row>
    <row r="8">
      <c r="A8" s="6" t="inlineStr">
        <is>
          <t xml:space="preserve">  Oman and Bahrain</t>
        </is>
      </c>
      <c r="D8" s="36">
        <f>SUM(Model!C99:N99)</f>
        <v/>
      </c>
      <c r="E8" s="36">
        <f>SUM(Model!O99:Z99)</f>
        <v/>
      </c>
      <c r="F8" s="36">
        <f>Model!AA99</f>
        <v/>
      </c>
      <c r="G8" s="36">
        <f>Model!AB99</f>
        <v/>
      </c>
      <c r="H8" s="36">
        <f>Model!AC99</f>
        <v/>
      </c>
      <c r="I8" s="36">
        <f>Model!AD99</f>
        <v/>
      </c>
      <c r="J8" s="36">
        <f>Model!AE99</f>
        <v/>
      </c>
    </row>
    <row r="9">
      <c r="A9" s="6" t="inlineStr">
        <is>
          <t xml:space="preserve">  India</t>
        </is>
      </c>
      <c r="D9" s="36">
        <f>SUM(Model!C137:N137)</f>
        <v/>
      </c>
      <c r="E9" s="36">
        <f>SUM(Model!O137:Z137)</f>
        <v/>
      </c>
      <c r="F9" s="36">
        <f>Model!AA137</f>
        <v/>
      </c>
      <c r="G9" s="36">
        <f>Model!AB137</f>
        <v/>
      </c>
      <c r="H9" s="36">
        <f>Model!AC137</f>
        <v/>
      </c>
      <c r="I9" s="36">
        <f>Model!AD137</f>
        <v/>
      </c>
      <c r="J9" s="36">
        <f>Model!AE137</f>
        <v/>
      </c>
    </row>
    <row r="10">
      <c r="A10" s="6" t="inlineStr">
        <is>
          <t xml:space="preserve">  Non-regional: B2B platform fee</t>
        </is>
      </c>
      <c r="D10" s="36">
        <f>SUM(Model!C141:N141)</f>
        <v/>
      </c>
      <c r="E10" s="36">
        <f>SUM(Model!O141:Z141)</f>
        <v/>
      </c>
      <c r="F10" s="36">
        <f>Model!AA141</f>
        <v/>
      </c>
      <c r="G10" s="36">
        <f>Model!AB141</f>
        <v/>
      </c>
      <c r="H10" s="36">
        <f>Model!AC141</f>
        <v/>
      </c>
      <c r="I10" s="36">
        <f>Model!AD141</f>
        <v/>
      </c>
      <c r="J10" s="36">
        <f>Model!AE141</f>
        <v/>
      </c>
    </row>
    <row r="11">
      <c r="A11" s="3" t="inlineStr">
        <is>
          <t>TOTAL REVENUE</t>
        </is>
      </c>
      <c r="D11" s="62">
        <f>SUM(Model!C177:N177)</f>
        <v/>
      </c>
      <c r="E11" s="62">
        <f>SUM(Model!O177:Z177)</f>
        <v/>
      </c>
      <c r="F11" s="62">
        <f>Model!AA177</f>
        <v/>
      </c>
      <c r="G11" s="62">
        <f>Model!AB177</f>
        <v/>
      </c>
      <c r="H11" s="62">
        <f>Model!AC177</f>
        <v/>
      </c>
      <c r="I11" s="62">
        <f>Model!AD177</f>
        <v/>
      </c>
      <c r="J11" s="62">
        <f>Model!AE177</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 SIP</t>
        </is>
      </c>
      <c r="D14" s="36">
        <f>SUM(Model!C169:N169)</f>
        <v/>
      </c>
      <c r="E14" s="36">
        <f>SUM(Model!O169:Z169)</f>
        <v/>
      </c>
      <c r="F14" s="36">
        <f>Model!AA169</f>
        <v/>
      </c>
      <c r="G14" s="36">
        <f>Model!AB169</f>
        <v/>
      </c>
      <c r="H14" s="36">
        <f>Model!AC169</f>
        <v/>
      </c>
      <c r="I14" s="36">
        <f>Model!AD169</f>
        <v/>
      </c>
      <c r="J14" s="36">
        <f>Model!AE169</f>
        <v/>
      </c>
    </row>
    <row r="15">
      <c r="A15" s="6" t="inlineStr">
        <is>
          <t>Stream 1b: Entry fee - SPOT</t>
        </is>
      </c>
      <c r="D15" s="36">
        <f>SUM(Model!C170:N170)</f>
        <v/>
      </c>
      <c r="E15" s="36">
        <f>SUM(Model!O170:Z170)</f>
        <v/>
      </c>
      <c r="F15" s="36">
        <f>Model!AA170</f>
        <v/>
      </c>
      <c r="G15" s="36">
        <f>Model!AB170</f>
        <v/>
      </c>
      <c r="H15" s="36">
        <f>Model!AC170</f>
        <v/>
      </c>
      <c r="I15" s="36">
        <f>Model!AD170</f>
        <v/>
      </c>
      <c r="J15" s="36">
        <f>Model!AE170</f>
        <v/>
      </c>
    </row>
    <row r="16">
      <c r="A16" s="6" t="inlineStr">
        <is>
          <t>Stream 2: Card interchange</t>
        </is>
      </c>
      <c r="D16" s="36">
        <f>SUM(Model!C171:N171)</f>
        <v/>
      </c>
      <c r="E16" s="36">
        <f>SUM(Model!O171:Z171)</f>
        <v/>
      </c>
      <c r="F16" s="36">
        <f>Model!AA171</f>
        <v/>
      </c>
      <c r="G16" s="36">
        <f>Model!AB171</f>
        <v/>
      </c>
      <c r="H16" s="36">
        <f>Model!AC171</f>
        <v/>
      </c>
      <c r="I16" s="36">
        <f>Model!AD171</f>
        <v/>
      </c>
      <c r="J16" s="36">
        <f>Model!AE171</f>
        <v/>
      </c>
    </row>
    <row r="17">
      <c r="A17" s="6" t="inlineStr">
        <is>
          <t>Stream 3: Family plan and Digital Will</t>
        </is>
      </c>
      <c r="D17" s="36">
        <f>SUM(Model!C172:N172)</f>
        <v/>
      </c>
      <c r="E17" s="36">
        <f>SUM(Model!O172:Z172)</f>
        <v/>
      </c>
      <c r="F17" s="36">
        <f>Model!AA172</f>
        <v/>
      </c>
      <c r="G17" s="36">
        <f>Model!AB172</f>
        <v/>
      </c>
      <c r="H17" s="36">
        <f>Model!AC172</f>
        <v/>
      </c>
      <c r="I17" s="36">
        <f>Model!AD172</f>
        <v/>
      </c>
      <c r="J17" s="36">
        <f>Model!AE172</f>
        <v/>
      </c>
    </row>
    <row r="18">
      <c r="A18" s="6" t="inlineStr">
        <is>
          <t>Stream 4: Cardholder fees</t>
        </is>
      </c>
      <c r="D18" s="36">
        <f>SUM(Model!C173:N173)</f>
        <v/>
      </c>
      <c r="E18" s="36">
        <f>SUM(Model!O173:Z173)</f>
        <v/>
      </c>
      <c r="F18" s="36">
        <f>Model!AA173</f>
        <v/>
      </c>
      <c r="G18" s="36">
        <f>Model!AB173</f>
        <v/>
      </c>
      <c r="H18" s="36">
        <f>Model!AC173</f>
        <v/>
      </c>
      <c r="I18" s="36">
        <f>Model!AD173</f>
        <v/>
      </c>
      <c r="J18" s="36">
        <f>Model!AE173</f>
        <v/>
      </c>
    </row>
    <row r="19">
      <c r="A19" s="6" t="inlineStr">
        <is>
          <t>Stream 5: Lending revenue share</t>
        </is>
      </c>
      <c r="D19" s="36">
        <f>SUM(Model!C174:N174)</f>
        <v/>
      </c>
      <c r="E19" s="36">
        <f>SUM(Model!O174:Z174)</f>
        <v/>
      </c>
      <c r="F19" s="36">
        <f>Model!AA174</f>
        <v/>
      </c>
      <c r="G19" s="36">
        <f>Model!AB174</f>
        <v/>
      </c>
      <c r="H19" s="36">
        <f>Model!AC174</f>
        <v/>
      </c>
      <c r="I19" s="36">
        <f>Model!AD174</f>
        <v/>
      </c>
      <c r="J19" s="36">
        <f>Model!AE174</f>
        <v/>
      </c>
    </row>
    <row r="20">
      <c r="A20" s="6" t="inlineStr">
        <is>
          <t>Stream 6: B2B platform fee</t>
        </is>
      </c>
      <c r="D20" s="36">
        <f>SUM(Model!C141:N141)</f>
        <v/>
      </c>
      <c r="E20" s="36">
        <f>SUM(Model!O141:Z141)</f>
        <v/>
      </c>
      <c r="F20" s="36">
        <f>Model!AA141</f>
        <v/>
      </c>
      <c r="G20" s="36">
        <f>Model!AB141</f>
        <v/>
      </c>
      <c r="H20" s="36">
        <f>Model!AC141</f>
        <v/>
      </c>
      <c r="I20" s="36">
        <f>Model!AD141</f>
        <v/>
      </c>
      <c r="J20" s="36">
        <f>Model!AE141</f>
        <v/>
      </c>
    </row>
    <row r="21">
      <c r="A21" s="3" t="inlineStr">
        <is>
          <t>Total by stream (reconciles to the regional total above)</t>
        </is>
      </c>
      <c r="D21" s="62">
        <f>SUM(Model!C177:N177)</f>
        <v/>
      </c>
      <c r="E21" s="62">
        <f>SUM(Model!O177:Z177)</f>
        <v/>
      </c>
      <c r="F21" s="62">
        <f>Model!AA177</f>
        <v/>
      </c>
      <c r="G21" s="62">
        <f>Model!AB177</f>
        <v/>
      </c>
      <c r="H21" s="62">
        <f>Model!AC177</f>
        <v/>
      </c>
      <c r="I21" s="62">
        <f>Model!AD177</f>
        <v/>
      </c>
      <c r="J21" s="62">
        <f>Model!AE177</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63">
        <f>IF(D$11=0,0,D14/D$11)</f>
        <v/>
      </c>
      <c r="E24" s="63">
        <f>IF(E$11=0,0,E14/E$11)</f>
        <v/>
      </c>
      <c r="F24" s="63">
        <f>IF(F$11=0,0,F14/F$11)</f>
        <v/>
      </c>
      <c r="G24" s="63">
        <f>IF(G$11=0,0,G14/G$11)</f>
        <v/>
      </c>
      <c r="H24" s="63">
        <f>IF(H$11=0,0,H14/H$11)</f>
        <v/>
      </c>
      <c r="I24" s="63">
        <f>IF(I$11=0,0,I14/I$11)</f>
        <v/>
      </c>
      <c r="J24" s="63">
        <f>IF(J$11=0,0,J14/J$11)</f>
        <v/>
      </c>
    </row>
    <row r="25">
      <c r="A25" t="inlineStr">
        <is>
          <t>Stream 1b: Spot entry fee - share</t>
        </is>
      </c>
      <c r="D25" s="63">
        <f>IF(D$11=0,0,D15/D$11)</f>
        <v/>
      </c>
      <c r="E25" s="63">
        <f>IF(E$11=0,0,E15/E$11)</f>
        <v/>
      </c>
      <c r="F25" s="63">
        <f>IF(F$11=0,0,F15/F$11)</f>
        <v/>
      </c>
      <c r="G25" s="63">
        <f>IF(G$11=0,0,G15/G$11)</f>
        <v/>
      </c>
      <c r="H25" s="63">
        <f>IF(H$11=0,0,H15/H$11)</f>
        <v/>
      </c>
      <c r="I25" s="63">
        <f>IF(I$11=0,0,I15/I$11)</f>
        <v/>
      </c>
      <c r="J25" s="63">
        <f>IF(J$11=0,0,J15/J$11)</f>
        <v/>
      </c>
    </row>
    <row r="26">
      <c r="A26" t="inlineStr">
        <is>
          <t>Stream 2: Card interchange - share</t>
        </is>
      </c>
      <c r="D26" s="63">
        <f>IF(D$11=0,0,D16/D$11)</f>
        <v/>
      </c>
      <c r="E26" s="63">
        <f>IF(E$11=0,0,E16/E$11)</f>
        <v/>
      </c>
      <c r="F26" s="63">
        <f>IF(F$11=0,0,F16/F$11)</f>
        <v/>
      </c>
      <c r="G26" s="63">
        <f>IF(G$11=0,0,G16/G$11)</f>
        <v/>
      </c>
      <c r="H26" s="63">
        <f>IF(H$11=0,0,H16/H$11)</f>
        <v/>
      </c>
      <c r="I26" s="63">
        <f>IF(I$11=0,0,I16/I$11)</f>
        <v/>
      </c>
      <c r="J26" s="63">
        <f>IF(J$11=0,0,J16/J$11)</f>
        <v/>
      </c>
    </row>
    <row r="27">
      <c r="A27" t="inlineStr">
        <is>
          <t>Stream 3: Family and Will - share</t>
        </is>
      </c>
      <c r="D27" s="63">
        <f>IF(D$11=0,0,D17/D$11)</f>
        <v/>
      </c>
      <c r="E27" s="63">
        <f>IF(E$11=0,0,E17/E$11)</f>
        <v/>
      </c>
      <c r="F27" s="63">
        <f>IF(F$11=0,0,F17/F$11)</f>
        <v/>
      </c>
      <c r="G27" s="63">
        <f>IF(G$11=0,0,G17/G$11)</f>
        <v/>
      </c>
      <c r="H27" s="63">
        <f>IF(H$11=0,0,H17/H$11)</f>
        <v/>
      </c>
      <c r="I27" s="63">
        <f>IF(I$11=0,0,I17/I$11)</f>
        <v/>
      </c>
      <c r="J27" s="63">
        <f>IF(J$11=0,0,J17/J$11)</f>
        <v/>
      </c>
    </row>
    <row r="28">
      <c r="A28" t="inlineStr">
        <is>
          <t>Stream 4: Cardholder fees - share</t>
        </is>
      </c>
      <c r="D28" s="63">
        <f>IF(D$11=0,0,D18/D$11)</f>
        <v/>
      </c>
      <c r="E28" s="63">
        <f>IF(E$11=0,0,E18/E$11)</f>
        <v/>
      </c>
      <c r="F28" s="63">
        <f>IF(F$11=0,0,F18/F$11)</f>
        <v/>
      </c>
      <c r="G28" s="63">
        <f>IF(G$11=0,0,G18/G$11)</f>
        <v/>
      </c>
      <c r="H28" s="63">
        <f>IF(H$11=0,0,H18/H$11)</f>
        <v/>
      </c>
      <c r="I28" s="63">
        <f>IF(I$11=0,0,I18/I$11)</f>
        <v/>
      </c>
      <c r="J28" s="63">
        <f>IF(J$11=0,0,J18/J$11)</f>
        <v/>
      </c>
    </row>
    <row r="29">
      <c r="A29" t="inlineStr">
        <is>
          <t>Stream 5: Lending - share</t>
        </is>
      </c>
      <c r="D29" s="63">
        <f>IF(D$11=0,0,D19/D$11)</f>
        <v/>
      </c>
      <c r="E29" s="63">
        <f>IF(E$11=0,0,E19/E$11)</f>
        <v/>
      </c>
      <c r="F29" s="63">
        <f>IF(F$11=0,0,F19/F$11)</f>
        <v/>
      </c>
      <c r="G29" s="63">
        <f>IF(G$11=0,0,G19/G$11)</f>
        <v/>
      </c>
      <c r="H29" s="63">
        <f>IF(H$11=0,0,H19/H$11)</f>
        <v/>
      </c>
      <c r="I29" s="63">
        <f>IF(I$11=0,0,I19/I$11)</f>
        <v/>
      </c>
      <c r="J29" s="63">
        <f>IF(J$11=0,0,J19/J$11)</f>
        <v/>
      </c>
    </row>
    <row r="30">
      <c r="A30" t="inlineStr">
        <is>
          <t>Stream 6: B2B platform - share</t>
        </is>
      </c>
      <c r="D30" s="63">
        <f>IF(D$11=0,0,D20/D$11)</f>
        <v/>
      </c>
      <c r="E30" s="63">
        <f>IF(E$11=0,0,E20/E$11)</f>
        <v/>
      </c>
      <c r="F30" s="63">
        <f>IF(F$11=0,0,F20/F$11)</f>
        <v/>
      </c>
      <c r="G30" s="63">
        <f>IF(G$11=0,0,G20/G$11)</f>
        <v/>
      </c>
      <c r="H30" s="63">
        <f>IF(H$11=0,0,H20/H$11)</f>
        <v/>
      </c>
      <c r="I30" s="63">
        <f>IF(I$11=0,0,I20/I$11)</f>
        <v/>
      </c>
      <c r="J30" s="63">
        <f>IF(J$11=0,0,J20/J$11)</f>
        <v/>
      </c>
    </row>
    <row r="31">
      <c r="A31" s="3" t="inlineStr">
        <is>
          <t>CHECK: mix sums to 100%</t>
        </is>
      </c>
      <c r="D31" s="40">
        <f>SUM(D24:D30)</f>
        <v/>
      </c>
      <c r="E31" s="40">
        <f>SUM(E24:E30)</f>
        <v/>
      </c>
      <c r="F31" s="40">
        <f>SUM(F24:F30)</f>
        <v/>
      </c>
      <c r="G31" s="40">
        <f>SUM(G24:G30)</f>
        <v/>
      </c>
      <c r="H31" s="40">
        <f>SUM(H24:H30)</f>
        <v/>
      </c>
      <c r="I31" s="40">
        <f>SUM(I24:I30)</f>
        <v/>
      </c>
      <c r="J31" s="40">
        <f>SUM(J24:J30)</f>
        <v/>
      </c>
    </row>
    <row r="33" ht="18" customHeight="1">
      <c r="A33" s="12" t="inlineStr">
        <is>
          <t>CUSTOMERS AND AUM (year end)</t>
        </is>
      </c>
      <c r="B33" s="13" t="n"/>
      <c r="C33" s="13" t="n"/>
      <c r="D33" s="13" t="n"/>
      <c r="E33" s="13" t="n"/>
      <c r="F33" s="13" t="n"/>
      <c r="G33" s="13" t="n"/>
      <c r="H33" s="13" t="n"/>
      <c r="I33" s="13" t="n"/>
      <c r="J33" s="13" t="n"/>
      <c r="K33" s="13" t="n"/>
    </row>
    <row r="34">
      <c r="A34" s="6" t="inlineStr">
        <is>
          <t>New customers in year</t>
        </is>
      </c>
      <c r="D34" s="37">
        <f>SUM(Model!C148:N148)</f>
        <v/>
      </c>
      <c r="E34" s="37">
        <f>SUM(Model!O148:Z148)</f>
        <v/>
      </c>
      <c r="F34" s="37">
        <f>Model!AA148</f>
        <v/>
      </c>
      <c r="G34" s="37">
        <f>Model!AB148</f>
        <v/>
      </c>
      <c r="H34" s="37">
        <f>Model!AC148</f>
        <v/>
      </c>
      <c r="I34" s="37">
        <f>Model!AD148</f>
        <v/>
      </c>
      <c r="J34" s="37">
        <f>Model!AE148</f>
        <v/>
      </c>
    </row>
    <row r="35">
      <c r="A35" s="3" t="inlineStr">
        <is>
          <t>Paying customers</t>
        </is>
      </c>
      <c r="D35" s="64">
        <f>Model!N145</f>
        <v/>
      </c>
      <c r="E35" s="64">
        <f>Model!Z145</f>
        <v/>
      </c>
      <c r="F35" s="64">
        <f>Model!AA145</f>
        <v/>
      </c>
      <c r="G35" s="64">
        <f>Model!AB145</f>
        <v/>
      </c>
      <c r="H35" s="64">
        <f>Model!AC145</f>
        <v/>
      </c>
      <c r="I35" s="64">
        <f>Model!AD145</f>
        <v/>
      </c>
      <c r="J35" s="64">
        <f>Model!AE145</f>
        <v/>
      </c>
    </row>
    <row r="36">
      <c r="A36" s="6" t="inlineStr">
        <is>
          <t>Holders (stopped paying, still hold gold)</t>
        </is>
      </c>
      <c r="D36" s="37">
        <f>Model!N146</f>
        <v/>
      </c>
      <c r="E36" s="37">
        <f>Model!Z146</f>
        <v/>
      </c>
      <c r="F36" s="37">
        <f>Model!AA146</f>
        <v/>
      </c>
      <c r="G36" s="37">
        <f>Model!AB146</f>
        <v/>
      </c>
      <c r="H36" s="37">
        <f>Model!AC146</f>
        <v/>
      </c>
      <c r="I36" s="37">
        <f>Model!AD146</f>
        <v/>
      </c>
      <c r="J36" s="37">
        <f>Model!AE146</f>
        <v/>
      </c>
    </row>
    <row r="37">
      <c r="A37" s="6" t="inlineStr">
        <is>
          <t>Cumulative ever acquired</t>
        </is>
      </c>
      <c r="D37" s="37">
        <f>Model!N147</f>
        <v/>
      </c>
      <c r="E37" s="37">
        <f>Model!Z147</f>
        <v/>
      </c>
      <c r="F37" s="37">
        <f>Model!AA147</f>
        <v/>
      </c>
      <c r="G37" s="37">
        <f>Model!AB147</f>
        <v/>
      </c>
      <c r="H37" s="37">
        <f>Model!AC147</f>
        <v/>
      </c>
      <c r="I37" s="37">
        <f>Model!AD147</f>
        <v/>
      </c>
      <c r="J37" s="37">
        <f>Model!AE147</f>
        <v/>
      </c>
    </row>
    <row r="38">
      <c r="A38" s="6" t="inlineStr">
        <is>
          <t>Active cards</t>
        </is>
      </c>
      <c r="D38" s="37">
        <f>Model!N149</f>
        <v/>
      </c>
      <c r="E38" s="37">
        <f>Model!Z149</f>
        <v/>
      </c>
      <c r="F38" s="37">
        <f>Model!AA149</f>
        <v/>
      </c>
      <c r="G38" s="37">
        <f>Model!AB149</f>
        <v/>
      </c>
      <c r="H38" s="37">
        <f>Model!AC149</f>
        <v/>
      </c>
      <c r="I38" s="37">
        <f>Model!AD149</f>
        <v/>
      </c>
      <c r="J38" s="37">
        <f>Model!AE149</f>
        <v/>
      </c>
    </row>
    <row r="39">
      <c r="A39" s="6" t="inlineStr">
        <is>
          <t>Grams under custody</t>
        </is>
      </c>
      <c r="D39" s="37">
        <f>Model!N151</f>
        <v/>
      </c>
      <c r="E39" s="37">
        <f>Model!Z151</f>
        <v/>
      </c>
      <c r="F39" s="37">
        <f>Model!AA151</f>
        <v/>
      </c>
      <c r="G39" s="37">
        <f>Model!AB151</f>
        <v/>
      </c>
      <c r="H39" s="37">
        <f>Model!AC151</f>
        <v/>
      </c>
      <c r="I39" s="37">
        <f>Model!AD151</f>
        <v/>
      </c>
      <c r="J39" s="37">
        <f>Model!AE151</f>
        <v/>
      </c>
    </row>
    <row r="40">
      <c r="A40" s="3" t="inlineStr">
        <is>
          <t>Gold under custody (comparable headline)</t>
        </is>
      </c>
      <c r="D40" s="62">
        <f>Model!N158</f>
        <v/>
      </c>
      <c r="E40" s="62">
        <f>Model!Z158</f>
        <v/>
      </c>
      <c r="F40" s="62">
        <f>Model!AA158</f>
        <v/>
      </c>
      <c r="G40" s="62">
        <f>Model!AB158</f>
        <v/>
      </c>
      <c r="H40" s="62">
        <f>Model!AC158</f>
        <v/>
      </c>
      <c r="I40" s="62">
        <f>Model!AD158</f>
        <v/>
      </c>
      <c r="J40" s="62">
        <f>Model!AE158</f>
        <v/>
      </c>
    </row>
    <row r="41">
      <c r="A41" s="6" t="inlineStr">
        <is>
          <t>Grams held (collateral-eligible)</t>
        </is>
      </c>
      <c r="D41" s="37">
        <f>Model!N150</f>
        <v/>
      </c>
      <c r="E41" s="37">
        <f>Model!Z150</f>
        <v/>
      </c>
      <c r="F41" s="37">
        <f>Model!AA150</f>
        <v/>
      </c>
      <c r="G41" s="37">
        <f>Model!AB150</f>
        <v/>
      </c>
      <c r="H41" s="37">
        <f>Model!AC150</f>
        <v/>
      </c>
      <c r="I41" s="37">
        <f>Model!AD150</f>
        <v/>
      </c>
      <c r="J41" s="37">
        <f>Model!AE150</f>
        <v/>
      </c>
    </row>
    <row r="42">
      <c r="A42" s="3" t="inlineStr">
        <is>
          <t>Collateral-eligible AUM</t>
        </is>
      </c>
      <c r="D42" s="62">
        <f>Model!N153</f>
        <v/>
      </c>
      <c r="E42" s="62">
        <f>Model!Z153</f>
        <v/>
      </c>
      <c r="F42" s="62">
        <f>Model!AA153</f>
        <v/>
      </c>
      <c r="G42" s="62">
        <f>Model!AB153</f>
        <v/>
      </c>
      <c r="H42" s="62">
        <f>Model!AC153</f>
        <v/>
      </c>
      <c r="I42" s="62">
        <f>Model!AD153</f>
        <v/>
      </c>
      <c r="J42" s="62">
        <f>Model!AE153</f>
        <v/>
      </c>
    </row>
    <row r="43">
      <c r="A43" s="6" t="inlineStr">
        <is>
          <t>Net revenue per paying customer (annualised)</t>
        </is>
      </c>
      <c r="D43" s="36">
        <f>Model!N178</f>
        <v/>
      </c>
      <c r="E43" s="36">
        <f>Model!Z178</f>
        <v/>
      </c>
      <c r="F43" s="36">
        <f>Model!AA178</f>
        <v/>
      </c>
      <c r="G43" s="36">
        <f>Model!AB178</f>
        <v/>
      </c>
      <c r="H43" s="36">
        <f>Model!AC178</f>
        <v/>
      </c>
      <c r="I43" s="36">
        <f>Model!AD178</f>
        <v/>
      </c>
      <c r="J43" s="36">
        <f>Model!AE178</f>
        <v/>
      </c>
    </row>
    <row r="45">
      <c r="A45"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2026-08-21T10:26:33Z</dcterms:created>
  <dcterms:modified xmlns:dcterms="http://purl.org/dc/terms/" xmlns:xsi="http://www.w3.org/2001/XMLSchema-instance" xsi:type="dcterms:W3CDTF">2026-08-21T10:26:33Z</dcterms:modified>
</cp:coreProperties>
</file>